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unyi\Downloads\"/>
    </mc:Choice>
  </mc:AlternateContent>
  <xr:revisionPtr revIDLastSave="0" documentId="13_ncr:1_{2F98BEF7-80C2-4F0B-8F7E-4C8158EF4037}" xr6:coauthVersionLast="47" xr6:coauthVersionMax="47" xr10:uidLastSave="{00000000-0000-0000-0000-000000000000}"/>
  <bookViews>
    <workbookView xWindow="38280" yWindow="9330" windowWidth="29040" windowHeight="15720" tabRatio="773" firstSheet="2" activeTab="8" xr2:uid="{E2B35478-8CAE-4350-9738-71C3428B7341}"/>
  </bookViews>
  <sheets>
    <sheet name="00_SKU_Master" sheetId="3" state="hidden" r:id="rId1"/>
    <sheet name="00_Yield_Rates" sheetId="10" state="hidden" r:id="rId2"/>
    <sheet name="01_Cages_Plan" sheetId="4" r:id="rId3"/>
    <sheet name="02_TrayPack_Order" sheetId="5" r:id="rId4"/>
    <sheet name="03_BulkPack_Order" sheetId="6" r:id="rId5"/>
    <sheet name="04_Bagging_Order" sheetId="7" r:id="rId6"/>
    <sheet name="05_Daily_Orders" sheetId="8" r:id="rId7"/>
    <sheet name="06_Resource_Plan" sheetId="9" r:id="rId8"/>
    <sheet name="12_Executive_Dash" sheetId="11" r:id="rId9"/>
    <sheet name="13_Progress_Track" sheetId="14" r:id="rId10"/>
    <sheet name="14_Demand_Aggregation" sheetId="12" r:id="rId11"/>
    <sheet name="14_Production_Planning" sheetId="13" r:id="rId12"/>
    <sheet name="15_5Day_Forecast" sheetId="15" r:id="rId13"/>
    <sheet name="15_Weekly_Plan" sheetId="16" r:id="rId14"/>
  </sheets>
  <definedNames>
    <definedName name="_xlnm._FilterDatabase" localSheetId="3" hidden="1">'02_TrayPack_Order'!$B$2:$R$2</definedName>
    <definedName name="_xlnm._FilterDatabase" localSheetId="4" hidden="1">'03_BulkPack_Order'!$B$2:$N$36</definedName>
    <definedName name="_xlnm._FilterDatabase" localSheetId="6" hidden="1">'05_Daily_Orders'!$B$2:$N$271</definedName>
    <definedName name="_xlnm._FilterDatabase" localSheetId="7" hidden="1">'06_Resource_Plan'!$B$2:$J$53</definedName>
    <definedName name="_xlnm._FilterDatabase" localSheetId="12" hidden="1">'15_5Day_Forecast'!$A$1:$AS$272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1" l="1"/>
  <c r="G11" i="11"/>
  <c r="G10" i="11"/>
  <c r="G9" i="11"/>
  <c r="E11" i="11"/>
  <c r="E10" i="11"/>
  <c r="C11" i="11"/>
  <c r="C9" i="11"/>
  <c r="C8" i="11"/>
  <c r="C8" i="4"/>
  <c r="B6" i="13"/>
  <c r="B5" i="13"/>
  <c r="F40" i="16"/>
  <c r="AS257" i="15"/>
  <c r="AS258" i="15"/>
  <c r="AS259" i="15"/>
  <c r="AS260" i="15"/>
  <c r="AS261" i="15"/>
  <c r="AS262" i="15"/>
  <c r="AS263" i="15"/>
  <c r="AS264" i="15"/>
  <c r="AS3" i="15"/>
  <c r="AS4" i="15"/>
  <c r="AS5" i="15"/>
  <c r="AS6" i="15"/>
  <c r="AS7" i="15"/>
  <c r="AS8" i="15"/>
  <c r="AS9" i="15"/>
  <c r="AS10" i="15"/>
  <c r="AS11" i="15"/>
  <c r="AS12" i="15"/>
  <c r="AS13" i="15"/>
  <c r="AS14" i="15"/>
  <c r="AS15" i="15"/>
  <c r="AS16" i="15"/>
  <c r="AS17" i="15"/>
  <c r="AS18" i="15"/>
  <c r="AS19" i="15"/>
  <c r="AS20" i="15"/>
  <c r="AS21" i="15"/>
  <c r="AS22" i="15"/>
  <c r="AS23" i="15"/>
  <c r="AS24" i="15"/>
  <c r="AS25" i="15"/>
  <c r="AS26" i="15"/>
  <c r="AS27" i="15"/>
  <c r="AS28" i="15"/>
  <c r="AS29" i="15"/>
  <c r="AS30" i="15"/>
  <c r="AS31" i="15"/>
  <c r="AS32" i="15"/>
  <c r="AS33" i="15"/>
  <c r="AS34" i="15"/>
  <c r="AS35" i="15"/>
  <c r="AS36" i="15"/>
  <c r="AS37" i="15"/>
  <c r="AS38" i="15"/>
  <c r="AS39" i="15"/>
  <c r="AS40" i="15"/>
  <c r="AS41" i="15"/>
  <c r="AS42" i="15"/>
  <c r="AS43" i="15"/>
  <c r="AS44" i="15"/>
  <c r="AS45" i="15"/>
  <c r="AS46" i="15"/>
  <c r="AS47" i="15"/>
  <c r="AS48" i="15"/>
  <c r="AS49" i="15"/>
  <c r="AS50" i="15"/>
  <c r="AS51" i="15"/>
  <c r="AS52" i="15"/>
  <c r="AS53" i="15"/>
  <c r="AS54" i="15"/>
  <c r="AS55" i="15"/>
  <c r="AS56" i="15"/>
  <c r="AS57" i="15"/>
  <c r="AS58" i="15"/>
  <c r="AS59" i="15"/>
  <c r="AS60" i="15"/>
  <c r="AS61" i="15"/>
  <c r="AS62" i="15"/>
  <c r="AS63" i="15"/>
  <c r="AS64" i="15"/>
  <c r="AS65" i="15"/>
  <c r="AS66" i="15"/>
  <c r="AS67" i="15"/>
  <c r="AS68" i="15"/>
  <c r="AS69" i="15"/>
  <c r="AS70" i="15"/>
  <c r="AS71" i="15"/>
  <c r="AS72" i="15"/>
  <c r="AS73" i="15"/>
  <c r="AS74" i="15"/>
  <c r="AS75" i="15"/>
  <c r="AS76" i="15"/>
  <c r="AS77" i="15"/>
  <c r="AS78" i="15"/>
  <c r="AS79" i="15"/>
  <c r="AS80" i="15"/>
  <c r="AS81" i="15"/>
  <c r="AS82" i="15"/>
  <c r="AS83" i="15"/>
  <c r="AS84" i="15"/>
  <c r="AS85" i="15"/>
  <c r="AS86" i="15"/>
  <c r="AS87" i="15"/>
  <c r="AS88" i="15"/>
  <c r="AS89" i="15"/>
  <c r="AS90" i="15"/>
  <c r="AS91" i="15"/>
  <c r="AS92" i="15"/>
  <c r="AS93" i="15"/>
  <c r="AS94" i="15"/>
  <c r="AS95" i="15"/>
  <c r="AS96" i="15"/>
  <c r="AS97" i="15"/>
  <c r="AS98" i="15"/>
  <c r="AS99" i="15"/>
  <c r="AS100" i="15"/>
  <c r="AS101" i="15"/>
  <c r="AS102" i="15"/>
  <c r="AS103" i="15"/>
  <c r="AS104" i="15"/>
  <c r="AS105" i="15"/>
  <c r="AS106" i="15"/>
  <c r="AS107" i="15"/>
  <c r="AS108" i="15"/>
  <c r="AS109" i="15"/>
  <c r="AS110" i="15"/>
  <c r="AS111" i="15"/>
  <c r="AS112" i="15"/>
  <c r="AS113" i="15"/>
  <c r="AS114" i="15"/>
  <c r="AS115" i="15"/>
  <c r="AS116" i="15"/>
  <c r="AS117" i="15"/>
  <c r="AS118" i="15"/>
  <c r="AS119" i="15"/>
  <c r="AS120" i="15"/>
  <c r="AS121" i="15"/>
  <c r="AS122" i="15"/>
  <c r="AS123" i="15"/>
  <c r="AS124" i="15"/>
  <c r="AS125" i="15"/>
  <c r="AS126" i="15"/>
  <c r="AS127" i="15"/>
  <c r="AS128" i="15"/>
  <c r="AS129" i="15"/>
  <c r="AS130" i="15"/>
  <c r="AS131" i="15"/>
  <c r="AS132" i="15"/>
  <c r="AS133" i="15"/>
  <c r="AS134" i="15"/>
  <c r="AS135" i="15"/>
  <c r="AS136" i="15"/>
  <c r="AS137" i="15"/>
  <c r="AS138" i="15"/>
  <c r="AS139" i="15"/>
  <c r="AS140" i="15"/>
  <c r="AS141" i="15"/>
  <c r="AS142" i="15"/>
  <c r="AS143" i="15"/>
  <c r="AS144" i="15"/>
  <c r="AS145" i="15"/>
  <c r="AS146" i="15"/>
  <c r="AS147" i="15"/>
  <c r="AS148" i="15"/>
  <c r="AS149" i="15"/>
  <c r="AS150" i="15"/>
  <c r="AS151" i="15"/>
  <c r="AS152" i="15"/>
  <c r="AS153" i="15"/>
  <c r="AS154" i="15"/>
  <c r="AS155" i="15"/>
  <c r="AS156" i="15"/>
  <c r="AS157" i="15"/>
  <c r="AS158" i="15"/>
  <c r="AS159" i="15"/>
  <c r="AS160" i="15"/>
  <c r="AS161" i="15"/>
  <c r="AS162" i="15"/>
  <c r="AS163" i="15"/>
  <c r="AS164" i="15"/>
  <c r="AS165" i="15"/>
  <c r="AS166" i="15"/>
  <c r="AS167" i="15"/>
  <c r="AS168" i="15"/>
  <c r="AS169" i="15"/>
  <c r="AS170" i="15"/>
  <c r="AS171" i="15"/>
  <c r="AS172" i="15"/>
  <c r="AS173" i="15"/>
  <c r="AS174" i="15"/>
  <c r="AS175" i="15"/>
  <c r="AS176" i="15"/>
  <c r="AS177" i="15"/>
  <c r="AS178" i="15"/>
  <c r="AS179" i="15"/>
  <c r="AS180" i="15"/>
  <c r="AS181" i="15"/>
  <c r="AS182" i="15"/>
  <c r="AS183" i="15"/>
  <c r="AS184" i="15"/>
  <c r="AS185" i="15"/>
  <c r="AS186" i="15"/>
  <c r="AS187" i="15"/>
  <c r="AS188" i="15"/>
  <c r="AS189" i="15"/>
  <c r="AS190" i="15"/>
  <c r="AS191" i="15"/>
  <c r="AS192" i="15"/>
  <c r="AS193" i="15"/>
  <c r="AS194" i="15"/>
  <c r="AS195" i="15"/>
  <c r="AS196" i="15"/>
  <c r="AS197" i="15"/>
  <c r="AS198" i="15"/>
  <c r="AS199" i="15"/>
  <c r="AS200" i="15"/>
  <c r="AS201" i="15"/>
  <c r="AS202" i="15"/>
  <c r="AS203" i="15"/>
  <c r="AS204" i="15"/>
  <c r="AS205" i="15"/>
  <c r="AS206" i="15"/>
  <c r="AS207" i="15"/>
  <c r="AS208" i="15"/>
  <c r="AS209" i="15"/>
  <c r="AS210" i="15"/>
  <c r="AS211" i="15"/>
  <c r="AS212" i="15"/>
  <c r="AS213" i="15"/>
  <c r="AS214" i="15"/>
  <c r="AS215" i="15"/>
  <c r="AS216" i="15"/>
  <c r="AS217" i="15"/>
  <c r="AS218" i="15"/>
  <c r="AS219" i="15"/>
  <c r="AS220" i="15"/>
  <c r="AS221" i="15"/>
  <c r="AS222" i="15"/>
  <c r="AS223" i="15"/>
  <c r="AS224" i="15"/>
  <c r="AS225" i="15"/>
  <c r="AS226" i="15"/>
  <c r="AS227" i="15"/>
  <c r="AS228" i="15"/>
  <c r="AS229" i="15"/>
  <c r="AS230" i="15"/>
  <c r="AS231" i="15"/>
  <c r="AS232" i="15"/>
  <c r="AS233" i="15"/>
  <c r="AS234" i="15"/>
  <c r="AS235" i="15"/>
  <c r="AS236" i="15"/>
  <c r="AS237" i="15"/>
  <c r="AS238" i="15"/>
  <c r="AS239" i="15"/>
  <c r="AS240" i="15"/>
  <c r="AS241" i="15"/>
  <c r="AS242" i="15"/>
  <c r="AS243" i="15"/>
  <c r="AS244" i="15"/>
  <c r="AS245" i="15"/>
  <c r="AS246" i="15"/>
  <c r="AS247" i="15"/>
  <c r="AS248" i="15"/>
  <c r="AS249" i="15"/>
  <c r="AS250" i="15"/>
  <c r="AS251" i="15"/>
  <c r="AS252" i="15"/>
  <c r="AS253" i="15"/>
  <c r="AS254" i="15"/>
  <c r="AS255" i="15"/>
  <c r="AS256" i="15"/>
  <c r="AS2" i="15"/>
  <c r="A3" i="15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" i="15"/>
  <c r="L3" i="15"/>
  <c r="L4" i="15"/>
  <c r="L5" i="15"/>
  <c r="L6" i="15"/>
  <c r="L7" i="15"/>
  <c r="L8" i="15"/>
  <c r="L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" i="15"/>
  <c r="C3" i="15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" i="15"/>
  <c r="B2" i="15"/>
  <c r="J3" i="15"/>
  <c r="J4" i="15"/>
  <c r="J5" i="15"/>
  <c r="J6" i="15"/>
  <c r="J7" i="15"/>
  <c r="J8" i="15"/>
  <c r="J9" i="15"/>
  <c r="J10" i="15"/>
  <c r="J11" i="15"/>
  <c r="J12" i="15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201" i="15"/>
  <c r="J202" i="15"/>
  <c r="J203" i="15"/>
  <c r="J204" i="15"/>
  <c r="J205" i="15"/>
  <c r="J206" i="15"/>
  <c r="J207" i="15"/>
  <c r="J208" i="15"/>
  <c r="J209" i="15"/>
  <c r="J210" i="15"/>
  <c r="J211" i="15"/>
  <c r="J212" i="15"/>
  <c r="J213" i="15"/>
  <c r="J214" i="15"/>
  <c r="J215" i="15"/>
  <c r="J216" i="15"/>
  <c r="J217" i="15"/>
  <c r="J218" i="15"/>
  <c r="J219" i="15"/>
  <c r="J220" i="15"/>
  <c r="J221" i="15"/>
  <c r="J222" i="15"/>
  <c r="J223" i="15"/>
  <c r="J224" i="15"/>
  <c r="J225" i="15"/>
  <c r="J226" i="15"/>
  <c r="J227" i="15"/>
  <c r="J228" i="15"/>
  <c r="J229" i="15"/>
  <c r="J230" i="15"/>
  <c r="J231" i="15"/>
  <c r="J232" i="15"/>
  <c r="J233" i="15"/>
  <c r="J234" i="15"/>
  <c r="J235" i="15"/>
  <c r="J236" i="15"/>
  <c r="J237" i="15"/>
  <c r="J238" i="15"/>
  <c r="J239" i="15"/>
  <c r="J240" i="15"/>
  <c r="J241" i="15"/>
  <c r="J242" i="15"/>
  <c r="J243" i="15"/>
  <c r="J244" i="15"/>
  <c r="J245" i="15"/>
  <c r="J246" i="15"/>
  <c r="J247" i="15"/>
  <c r="J248" i="15"/>
  <c r="J249" i="15"/>
  <c r="J250" i="15"/>
  <c r="J251" i="15"/>
  <c r="J252" i="15"/>
  <c r="J253" i="15"/>
  <c r="J254" i="15"/>
  <c r="J255" i="15"/>
  <c r="J256" i="15"/>
  <c r="J257" i="15"/>
  <c r="J258" i="15"/>
  <c r="J259" i="15"/>
  <c r="J260" i="15"/>
  <c r="J261" i="15"/>
  <c r="J262" i="15"/>
  <c r="J263" i="15"/>
  <c r="J264" i="15"/>
  <c r="J265" i="15"/>
  <c r="J266" i="15"/>
  <c r="J267" i="15"/>
  <c r="J268" i="15"/>
  <c r="J269" i="15"/>
  <c r="J270" i="15"/>
  <c r="J271" i="15"/>
  <c r="J272" i="15"/>
  <c r="J2" i="15"/>
  <c r="I3" i="15"/>
  <c r="I4" i="15"/>
  <c r="I5" i="15"/>
  <c r="I6" i="15"/>
  <c r="I7" i="15"/>
  <c r="I8" i="15"/>
  <c r="I9" i="15"/>
  <c r="I10" i="15"/>
  <c r="I11" i="15"/>
  <c r="I12" i="15"/>
  <c r="I13" i="15"/>
  <c r="I14" i="15"/>
  <c r="I15" i="15"/>
  <c r="I16" i="15"/>
  <c r="I17" i="15"/>
  <c r="I18" i="15"/>
  <c r="I19" i="15"/>
  <c r="I20" i="15"/>
  <c r="I21" i="15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97" i="15"/>
  <c r="I98" i="15"/>
  <c r="I99" i="15"/>
  <c r="I100" i="15"/>
  <c r="I101" i="15"/>
  <c r="I102" i="15"/>
  <c r="I103" i="15"/>
  <c r="I104" i="15"/>
  <c r="I105" i="15"/>
  <c r="I106" i="15"/>
  <c r="I107" i="15"/>
  <c r="I108" i="15"/>
  <c r="I109" i="15"/>
  <c r="I110" i="15"/>
  <c r="I111" i="15"/>
  <c r="I112" i="15"/>
  <c r="I113" i="15"/>
  <c r="I114" i="15"/>
  <c r="I115" i="15"/>
  <c r="I116" i="15"/>
  <c r="I117" i="15"/>
  <c r="I118" i="15"/>
  <c r="I119" i="15"/>
  <c r="I120" i="15"/>
  <c r="I121" i="15"/>
  <c r="I122" i="15"/>
  <c r="I123" i="15"/>
  <c r="I124" i="15"/>
  <c r="I125" i="15"/>
  <c r="I126" i="15"/>
  <c r="I127" i="15"/>
  <c r="I128" i="15"/>
  <c r="I129" i="15"/>
  <c r="I130" i="15"/>
  <c r="I131" i="15"/>
  <c r="I132" i="15"/>
  <c r="I133" i="15"/>
  <c r="I134" i="15"/>
  <c r="I135" i="15"/>
  <c r="I136" i="15"/>
  <c r="I137" i="15"/>
  <c r="I138" i="15"/>
  <c r="I139" i="15"/>
  <c r="I140" i="15"/>
  <c r="I141" i="15"/>
  <c r="I142" i="15"/>
  <c r="I143" i="15"/>
  <c r="I144" i="15"/>
  <c r="I145" i="15"/>
  <c r="I146" i="15"/>
  <c r="I147" i="15"/>
  <c r="I148" i="15"/>
  <c r="I149" i="15"/>
  <c r="I150" i="15"/>
  <c r="I151" i="15"/>
  <c r="I152" i="15"/>
  <c r="I153" i="15"/>
  <c r="I154" i="15"/>
  <c r="I155" i="15"/>
  <c r="I156" i="15"/>
  <c r="I157" i="15"/>
  <c r="I158" i="15"/>
  <c r="I159" i="15"/>
  <c r="I160" i="15"/>
  <c r="I161" i="15"/>
  <c r="I162" i="15"/>
  <c r="I163" i="15"/>
  <c r="I164" i="15"/>
  <c r="I165" i="15"/>
  <c r="I166" i="15"/>
  <c r="I167" i="15"/>
  <c r="I168" i="15"/>
  <c r="I169" i="15"/>
  <c r="I170" i="15"/>
  <c r="I171" i="15"/>
  <c r="I172" i="15"/>
  <c r="I173" i="15"/>
  <c r="I174" i="15"/>
  <c r="I175" i="15"/>
  <c r="I176" i="15"/>
  <c r="I177" i="15"/>
  <c r="I178" i="15"/>
  <c r="I179" i="15"/>
  <c r="I180" i="15"/>
  <c r="I181" i="15"/>
  <c r="I182" i="15"/>
  <c r="I183" i="15"/>
  <c r="I184" i="15"/>
  <c r="I185" i="15"/>
  <c r="I186" i="15"/>
  <c r="I187" i="15"/>
  <c r="I188" i="15"/>
  <c r="I189" i="15"/>
  <c r="I190" i="15"/>
  <c r="I191" i="15"/>
  <c r="I192" i="15"/>
  <c r="I193" i="15"/>
  <c r="I194" i="15"/>
  <c r="I195" i="15"/>
  <c r="I196" i="15"/>
  <c r="I197" i="15"/>
  <c r="I198" i="15"/>
  <c r="I199" i="15"/>
  <c r="I200" i="15"/>
  <c r="I201" i="15"/>
  <c r="I202" i="15"/>
  <c r="I203" i="15"/>
  <c r="I204" i="15"/>
  <c r="I205" i="15"/>
  <c r="I206" i="15"/>
  <c r="I207" i="15"/>
  <c r="I208" i="15"/>
  <c r="I209" i="15"/>
  <c r="I210" i="15"/>
  <c r="I211" i="15"/>
  <c r="I212" i="15"/>
  <c r="I213" i="15"/>
  <c r="I214" i="15"/>
  <c r="I215" i="15"/>
  <c r="I216" i="15"/>
  <c r="I217" i="15"/>
  <c r="I218" i="15"/>
  <c r="I219" i="15"/>
  <c r="I220" i="15"/>
  <c r="I221" i="15"/>
  <c r="I222" i="15"/>
  <c r="I223" i="15"/>
  <c r="I224" i="15"/>
  <c r="I225" i="15"/>
  <c r="I226" i="15"/>
  <c r="I227" i="15"/>
  <c r="I228" i="15"/>
  <c r="I229" i="15"/>
  <c r="I230" i="15"/>
  <c r="I231" i="15"/>
  <c r="I232" i="15"/>
  <c r="I233" i="15"/>
  <c r="I234" i="15"/>
  <c r="I235" i="15"/>
  <c r="I236" i="15"/>
  <c r="I237" i="15"/>
  <c r="I238" i="15"/>
  <c r="I239" i="15"/>
  <c r="I240" i="15"/>
  <c r="I241" i="15"/>
  <c r="I242" i="15"/>
  <c r="I243" i="15"/>
  <c r="I244" i="15"/>
  <c r="I245" i="15"/>
  <c r="I246" i="15"/>
  <c r="I247" i="15"/>
  <c r="I248" i="15"/>
  <c r="I249" i="15"/>
  <c r="I250" i="15"/>
  <c r="I251" i="15"/>
  <c r="I252" i="15"/>
  <c r="I253" i="15"/>
  <c r="I254" i="15"/>
  <c r="I255" i="15"/>
  <c r="I256" i="15"/>
  <c r="I257" i="15"/>
  <c r="I258" i="15"/>
  <c r="I259" i="15"/>
  <c r="I260" i="15"/>
  <c r="I261" i="15"/>
  <c r="I262" i="15"/>
  <c r="I263" i="15"/>
  <c r="I264" i="15"/>
  <c r="I265" i="15"/>
  <c r="I266" i="15"/>
  <c r="I267" i="15"/>
  <c r="I268" i="15"/>
  <c r="I269" i="15"/>
  <c r="I270" i="15"/>
  <c r="I271" i="15"/>
  <c r="I272" i="15"/>
  <c r="I2" i="15"/>
  <c r="H3" i="15"/>
  <c r="H4" i="15"/>
  <c r="H5" i="15"/>
  <c r="H6" i="15"/>
  <c r="H7" i="15"/>
  <c r="H8" i="15"/>
  <c r="H9" i="15"/>
  <c r="H10" i="15"/>
  <c r="H11" i="15"/>
  <c r="H12" i="15"/>
  <c r="H13" i="15"/>
  <c r="H14" i="15"/>
  <c r="H15" i="15"/>
  <c r="H16" i="15"/>
  <c r="H17" i="15"/>
  <c r="H18" i="15"/>
  <c r="H19" i="15"/>
  <c r="H20" i="15"/>
  <c r="H21" i="15"/>
  <c r="H22" i="15"/>
  <c r="H23" i="15"/>
  <c r="H24" i="15"/>
  <c r="H25" i="15"/>
  <c r="H26" i="15"/>
  <c r="H27" i="15"/>
  <c r="H28" i="15"/>
  <c r="H29" i="15"/>
  <c r="H30" i="15"/>
  <c r="H31" i="15"/>
  <c r="H32" i="15"/>
  <c r="H33" i="15"/>
  <c r="H34" i="15"/>
  <c r="H35" i="15"/>
  <c r="H36" i="15"/>
  <c r="H37" i="15"/>
  <c r="H38" i="15"/>
  <c r="H39" i="15"/>
  <c r="H40" i="15"/>
  <c r="H41" i="15"/>
  <c r="H42" i="15"/>
  <c r="H43" i="15"/>
  <c r="H44" i="15"/>
  <c r="H45" i="15"/>
  <c r="H46" i="15"/>
  <c r="H47" i="15"/>
  <c r="H48" i="15"/>
  <c r="H49" i="15"/>
  <c r="H50" i="15"/>
  <c r="H51" i="15"/>
  <c r="H52" i="15"/>
  <c r="H53" i="15"/>
  <c r="H54" i="15"/>
  <c r="H55" i="15"/>
  <c r="H56" i="15"/>
  <c r="H57" i="15"/>
  <c r="H58" i="15"/>
  <c r="H59" i="15"/>
  <c r="H60" i="15"/>
  <c r="H61" i="15"/>
  <c r="H62" i="15"/>
  <c r="H63" i="15"/>
  <c r="H64" i="15"/>
  <c r="H65" i="15"/>
  <c r="H66" i="15"/>
  <c r="H67" i="15"/>
  <c r="H68" i="15"/>
  <c r="H69" i="15"/>
  <c r="H70" i="15"/>
  <c r="H71" i="15"/>
  <c r="H72" i="15"/>
  <c r="H73" i="15"/>
  <c r="H74" i="15"/>
  <c r="H75" i="15"/>
  <c r="H76" i="15"/>
  <c r="H77" i="15"/>
  <c r="H78" i="15"/>
  <c r="H79" i="15"/>
  <c r="H80" i="15"/>
  <c r="H81" i="15"/>
  <c r="H82" i="15"/>
  <c r="H83" i="15"/>
  <c r="H84" i="15"/>
  <c r="H85" i="15"/>
  <c r="H86" i="15"/>
  <c r="H87" i="15"/>
  <c r="H88" i="15"/>
  <c r="H89" i="15"/>
  <c r="H90" i="15"/>
  <c r="H91" i="15"/>
  <c r="H92" i="15"/>
  <c r="H93" i="15"/>
  <c r="H94" i="15"/>
  <c r="H95" i="15"/>
  <c r="H96" i="15"/>
  <c r="H97" i="15"/>
  <c r="H98" i="15"/>
  <c r="H99" i="15"/>
  <c r="H100" i="15"/>
  <c r="H101" i="15"/>
  <c r="H102" i="15"/>
  <c r="H103" i="15"/>
  <c r="H104" i="15"/>
  <c r="H105" i="15"/>
  <c r="H106" i="15"/>
  <c r="H107" i="15"/>
  <c r="H108" i="15"/>
  <c r="H109" i="15"/>
  <c r="H110" i="15"/>
  <c r="H111" i="15"/>
  <c r="H112" i="15"/>
  <c r="H113" i="15"/>
  <c r="H114" i="15"/>
  <c r="H115" i="15"/>
  <c r="H116" i="15"/>
  <c r="H117" i="15"/>
  <c r="H118" i="15"/>
  <c r="H119" i="15"/>
  <c r="H120" i="15"/>
  <c r="H121" i="15"/>
  <c r="H122" i="15"/>
  <c r="H123" i="15"/>
  <c r="H124" i="15"/>
  <c r="H125" i="15"/>
  <c r="H126" i="15"/>
  <c r="H127" i="15"/>
  <c r="H128" i="15"/>
  <c r="H129" i="15"/>
  <c r="H130" i="15"/>
  <c r="H131" i="15"/>
  <c r="H132" i="15"/>
  <c r="H133" i="15"/>
  <c r="H134" i="15"/>
  <c r="H135" i="15"/>
  <c r="H136" i="15"/>
  <c r="H137" i="15"/>
  <c r="H138" i="15"/>
  <c r="H139" i="15"/>
  <c r="H140" i="15"/>
  <c r="H141" i="15"/>
  <c r="H142" i="15"/>
  <c r="H143" i="15"/>
  <c r="H144" i="15"/>
  <c r="H145" i="15"/>
  <c r="H146" i="15"/>
  <c r="H147" i="15"/>
  <c r="H148" i="15"/>
  <c r="H149" i="15"/>
  <c r="H150" i="15"/>
  <c r="H151" i="15"/>
  <c r="H152" i="15"/>
  <c r="H153" i="15"/>
  <c r="H154" i="15"/>
  <c r="H155" i="15"/>
  <c r="H156" i="15"/>
  <c r="H157" i="15"/>
  <c r="H158" i="15"/>
  <c r="H159" i="15"/>
  <c r="H160" i="15"/>
  <c r="H161" i="15"/>
  <c r="H162" i="15"/>
  <c r="H163" i="15"/>
  <c r="H164" i="15"/>
  <c r="H165" i="15"/>
  <c r="H166" i="15"/>
  <c r="H167" i="15"/>
  <c r="H168" i="15"/>
  <c r="H169" i="15"/>
  <c r="H170" i="15"/>
  <c r="H171" i="15"/>
  <c r="H172" i="15"/>
  <c r="H173" i="15"/>
  <c r="H174" i="15"/>
  <c r="H175" i="15"/>
  <c r="H176" i="15"/>
  <c r="H177" i="15"/>
  <c r="H178" i="15"/>
  <c r="H179" i="15"/>
  <c r="H180" i="15"/>
  <c r="H181" i="15"/>
  <c r="H182" i="15"/>
  <c r="H183" i="15"/>
  <c r="H184" i="15"/>
  <c r="H185" i="15"/>
  <c r="H186" i="15"/>
  <c r="H187" i="15"/>
  <c r="H188" i="15"/>
  <c r="H189" i="15"/>
  <c r="H190" i="15"/>
  <c r="H191" i="15"/>
  <c r="H192" i="15"/>
  <c r="H193" i="15"/>
  <c r="H194" i="15"/>
  <c r="H195" i="15"/>
  <c r="H196" i="15"/>
  <c r="H197" i="15"/>
  <c r="H198" i="15"/>
  <c r="H199" i="15"/>
  <c r="H200" i="15"/>
  <c r="H201" i="15"/>
  <c r="H202" i="15"/>
  <c r="H203" i="15"/>
  <c r="H204" i="15"/>
  <c r="H205" i="15"/>
  <c r="H206" i="15"/>
  <c r="H207" i="15"/>
  <c r="H208" i="15"/>
  <c r="H209" i="15"/>
  <c r="H210" i="15"/>
  <c r="H211" i="15"/>
  <c r="H212" i="15"/>
  <c r="H213" i="15"/>
  <c r="H214" i="15"/>
  <c r="H215" i="15"/>
  <c r="H216" i="15"/>
  <c r="H217" i="15"/>
  <c r="H218" i="15"/>
  <c r="H219" i="15"/>
  <c r="H220" i="15"/>
  <c r="H221" i="15"/>
  <c r="H222" i="15"/>
  <c r="H223" i="15"/>
  <c r="H224" i="15"/>
  <c r="H225" i="15"/>
  <c r="H226" i="15"/>
  <c r="H227" i="15"/>
  <c r="H228" i="15"/>
  <c r="H229" i="15"/>
  <c r="H230" i="15"/>
  <c r="H231" i="15"/>
  <c r="H232" i="15"/>
  <c r="H233" i="15"/>
  <c r="H234" i="15"/>
  <c r="H235" i="15"/>
  <c r="H236" i="15"/>
  <c r="H237" i="15"/>
  <c r="H238" i="15"/>
  <c r="H239" i="15"/>
  <c r="H240" i="15"/>
  <c r="H241" i="15"/>
  <c r="H242" i="15"/>
  <c r="H243" i="15"/>
  <c r="H244" i="15"/>
  <c r="H245" i="15"/>
  <c r="H246" i="15"/>
  <c r="H247" i="15"/>
  <c r="H248" i="15"/>
  <c r="H249" i="15"/>
  <c r="H250" i="15"/>
  <c r="H251" i="15"/>
  <c r="H252" i="15"/>
  <c r="H253" i="15"/>
  <c r="H254" i="15"/>
  <c r="H255" i="15"/>
  <c r="H256" i="15"/>
  <c r="H257" i="15"/>
  <c r="H258" i="15"/>
  <c r="H259" i="15"/>
  <c r="H260" i="15"/>
  <c r="H261" i="15"/>
  <c r="H262" i="15"/>
  <c r="H263" i="15"/>
  <c r="H264" i="15"/>
  <c r="H265" i="15"/>
  <c r="H266" i="15"/>
  <c r="H267" i="15"/>
  <c r="H268" i="15"/>
  <c r="H269" i="15"/>
  <c r="H270" i="15"/>
  <c r="H271" i="15"/>
  <c r="H272" i="15"/>
  <c r="H2" i="15"/>
  <c r="G3" i="15"/>
  <c r="G4" i="15"/>
  <c r="G5" i="15"/>
  <c r="G6" i="15"/>
  <c r="G7" i="15"/>
  <c r="G8" i="15"/>
  <c r="G9" i="15"/>
  <c r="G10" i="15"/>
  <c r="G11" i="15"/>
  <c r="G12" i="15"/>
  <c r="G13" i="15"/>
  <c r="G14" i="15"/>
  <c r="G15" i="15"/>
  <c r="G16" i="15"/>
  <c r="G17" i="15"/>
  <c r="G18" i="15"/>
  <c r="G19" i="15"/>
  <c r="G20" i="15"/>
  <c r="G21" i="15"/>
  <c r="G22" i="15"/>
  <c r="G23" i="15"/>
  <c r="G24" i="15"/>
  <c r="G25" i="15"/>
  <c r="G26" i="15"/>
  <c r="G27" i="15"/>
  <c r="G28" i="15"/>
  <c r="G29" i="15"/>
  <c r="G30" i="15"/>
  <c r="G31" i="15"/>
  <c r="G32" i="15"/>
  <c r="G33" i="15"/>
  <c r="G34" i="15"/>
  <c r="G35" i="15"/>
  <c r="G36" i="15"/>
  <c r="G37" i="15"/>
  <c r="G38" i="15"/>
  <c r="G39" i="15"/>
  <c r="G40" i="15"/>
  <c r="G41" i="15"/>
  <c r="G42" i="15"/>
  <c r="G43" i="15"/>
  <c r="G44" i="15"/>
  <c r="G45" i="15"/>
  <c r="G46" i="15"/>
  <c r="G47" i="15"/>
  <c r="G48" i="15"/>
  <c r="G49" i="15"/>
  <c r="G50" i="15"/>
  <c r="G51" i="15"/>
  <c r="G52" i="15"/>
  <c r="G53" i="15"/>
  <c r="G54" i="15"/>
  <c r="G55" i="15"/>
  <c r="G56" i="15"/>
  <c r="G57" i="15"/>
  <c r="G58" i="15"/>
  <c r="G59" i="15"/>
  <c r="G60" i="15"/>
  <c r="G61" i="15"/>
  <c r="G62" i="15"/>
  <c r="G63" i="15"/>
  <c r="G64" i="15"/>
  <c r="G65" i="15"/>
  <c r="G66" i="15"/>
  <c r="G67" i="15"/>
  <c r="G68" i="15"/>
  <c r="G69" i="15"/>
  <c r="G70" i="15"/>
  <c r="G71" i="15"/>
  <c r="G72" i="15"/>
  <c r="G73" i="15"/>
  <c r="G74" i="15"/>
  <c r="G75" i="15"/>
  <c r="G76" i="15"/>
  <c r="G77" i="15"/>
  <c r="G78" i="15"/>
  <c r="G79" i="15"/>
  <c r="G80" i="15"/>
  <c r="G81" i="15"/>
  <c r="G82" i="15"/>
  <c r="G83" i="15"/>
  <c r="G84" i="15"/>
  <c r="G85" i="15"/>
  <c r="G86" i="15"/>
  <c r="G87" i="15"/>
  <c r="G88" i="15"/>
  <c r="G89" i="15"/>
  <c r="G90" i="15"/>
  <c r="G91" i="15"/>
  <c r="G92" i="15"/>
  <c r="G93" i="15"/>
  <c r="G94" i="15"/>
  <c r="G95" i="15"/>
  <c r="G96" i="15"/>
  <c r="G97" i="15"/>
  <c r="G98" i="15"/>
  <c r="G99" i="15"/>
  <c r="G100" i="15"/>
  <c r="G101" i="15"/>
  <c r="G102" i="15"/>
  <c r="G103" i="15"/>
  <c r="G104" i="15"/>
  <c r="G105" i="15"/>
  <c r="G106" i="15"/>
  <c r="G107" i="15"/>
  <c r="G108" i="15"/>
  <c r="G109" i="15"/>
  <c r="G110" i="15"/>
  <c r="G111" i="15"/>
  <c r="G112" i="15"/>
  <c r="G113" i="15"/>
  <c r="G114" i="15"/>
  <c r="G115" i="15"/>
  <c r="G116" i="15"/>
  <c r="G117" i="15"/>
  <c r="G118" i="15"/>
  <c r="G119" i="15"/>
  <c r="G120" i="15"/>
  <c r="G121" i="15"/>
  <c r="G122" i="15"/>
  <c r="G123" i="15"/>
  <c r="G124" i="15"/>
  <c r="G125" i="15"/>
  <c r="G126" i="15"/>
  <c r="G127" i="15"/>
  <c r="G128" i="15"/>
  <c r="G129" i="15"/>
  <c r="G130" i="15"/>
  <c r="G131" i="15"/>
  <c r="G132" i="15"/>
  <c r="G133" i="15"/>
  <c r="G134" i="15"/>
  <c r="G135" i="15"/>
  <c r="G136" i="15"/>
  <c r="G137" i="15"/>
  <c r="G138" i="15"/>
  <c r="G139" i="15"/>
  <c r="G140" i="15"/>
  <c r="G141" i="15"/>
  <c r="G142" i="15"/>
  <c r="G143" i="15"/>
  <c r="G144" i="15"/>
  <c r="G145" i="15"/>
  <c r="G146" i="15"/>
  <c r="G147" i="15"/>
  <c r="G148" i="15"/>
  <c r="G149" i="15"/>
  <c r="G150" i="15"/>
  <c r="G151" i="15"/>
  <c r="G152" i="15"/>
  <c r="G153" i="15"/>
  <c r="G154" i="15"/>
  <c r="G155" i="15"/>
  <c r="G156" i="15"/>
  <c r="G157" i="15"/>
  <c r="G158" i="15"/>
  <c r="G159" i="15"/>
  <c r="G160" i="15"/>
  <c r="G161" i="15"/>
  <c r="G162" i="15"/>
  <c r="G163" i="15"/>
  <c r="G164" i="15"/>
  <c r="G165" i="15"/>
  <c r="G166" i="15"/>
  <c r="G167" i="15"/>
  <c r="G168" i="15"/>
  <c r="G169" i="15"/>
  <c r="G170" i="15"/>
  <c r="G171" i="15"/>
  <c r="G172" i="15"/>
  <c r="G173" i="15"/>
  <c r="G174" i="15"/>
  <c r="G175" i="15"/>
  <c r="G176" i="15"/>
  <c r="G177" i="15"/>
  <c r="G178" i="15"/>
  <c r="G179" i="15"/>
  <c r="G180" i="15"/>
  <c r="G181" i="15"/>
  <c r="G182" i="15"/>
  <c r="G183" i="15"/>
  <c r="G184" i="15"/>
  <c r="G185" i="15"/>
  <c r="G186" i="15"/>
  <c r="G187" i="15"/>
  <c r="G188" i="15"/>
  <c r="G189" i="15"/>
  <c r="G190" i="15"/>
  <c r="G191" i="15"/>
  <c r="G192" i="15"/>
  <c r="G193" i="15"/>
  <c r="G194" i="15"/>
  <c r="G195" i="15"/>
  <c r="G196" i="15"/>
  <c r="G197" i="15"/>
  <c r="G198" i="15"/>
  <c r="G199" i="15"/>
  <c r="G200" i="15"/>
  <c r="G201" i="15"/>
  <c r="G202" i="15"/>
  <c r="G203" i="15"/>
  <c r="G204" i="15"/>
  <c r="G205" i="15"/>
  <c r="G206" i="15"/>
  <c r="G207" i="15"/>
  <c r="G208" i="15"/>
  <c r="G209" i="15"/>
  <c r="G210" i="15"/>
  <c r="G211" i="15"/>
  <c r="G212" i="15"/>
  <c r="G213" i="15"/>
  <c r="G214" i="15"/>
  <c r="G215" i="15"/>
  <c r="G216" i="15"/>
  <c r="G217" i="15"/>
  <c r="G218" i="15"/>
  <c r="G219" i="15"/>
  <c r="G220" i="15"/>
  <c r="G221" i="15"/>
  <c r="G222" i="15"/>
  <c r="G223" i="15"/>
  <c r="G224" i="15"/>
  <c r="G225" i="15"/>
  <c r="G226" i="15"/>
  <c r="G227" i="15"/>
  <c r="G228" i="15"/>
  <c r="G229" i="15"/>
  <c r="G230" i="15"/>
  <c r="G231" i="15"/>
  <c r="G232" i="15"/>
  <c r="G233" i="15"/>
  <c r="G234" i="15"/>
  <c r="G235" i="15"/>
  <c r="G236" i="15"/>
  <c r="G237" i="15"/>
  <c r="G238" i="15"/>
  <c r="G239" i="15"/>
  <c r="G240" i="15"/>
  <c r="G241" i="15"/>
  <c r="G242" i="15"/>
  <c r="G243" i="15"/>
  <c r="G244" i="15"/>
  <c r="G245" i="15"/>
  <c r="G246" i="15"/>
  <c r="G247" i="15"/>
  <c r="G248" i="15"/>
  <c r="G249" i="15"/>
  <c r="G250" i="15"/>
  <c r="G251" i="15"/>
  <c r="G252" i="15"/>
  <c r="G253" i="15"/>
  <c r="G254" i="15"/>
  <c r="G255" i="15"/>
  <c r="G256" i="15"/>
  <c r="G257" i="15"/>
  <c r="G258" i="15"/>
  <c r="G259" i="15"/>
  <c r="G260" i="15"/>
  <c r="G261" i="15"/>
  <c r="G262" i="15"/>
  <c r="G263" i="15"/>
  <c r="G264" i="15"/>
  <c r="G265" i="15"/>
  <c r="G266" i="15"/>
  <c r="G267" i="15"/>
  <c r="G268" i="15"/>
  <c r="G269" i="15"/>
  <c r="G270" i="15"/>
  <c r="G271" i="15"/>
  <c r="G272" i="15"/>
  <c r="G2" i="15"/>
  <c r="F3" i="15"/>
  <c r="F4" i="15"/>
  <c r="F5" i="15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72" i="15"/>
  <c r="F73" i="15"/>
  <c r="F74" i="15"/>
  <c r="F75" i="15"/>
  <c r="F76" i="15"/>
  <c r="F77" i="15"/>
  <c r="F78" i="15"/>
  <c r="F79" i="15"/>
  <c r="F80" i="15"/>
  <c r="F81" i="15"/>
  <c r="F82" i="15"/>
  <c r="F83" i="15"/>
  <c r="F84" i="15"/>
  <c r="F85" i="15"/>
  <c r="F86" i="15"/>
  <c r="F87" i="15"/>
  <c r="F88" i="15"/>
  <c r="F89" i="15"/>
  <c r="F90" i="15"/>
  <c r="F91" i="15"/>
  <c r="F92" i="15"/>
  <c r="F93" i="15"/>
  <c r="F94" i="15"/>
  <c r="F95" i="15"/>
  <c r="F96" i="15"/>
  <c r="F97" i="15"/>
  <c r="F98" i="15"/>
  <c r="F99" i="15"/>
  <c r="F100" i="15"/>
  <c r="F101" i="15"/>
  <c r="F102" i="15"/>
  <c r="F103" i="15"/>
  <c r="F104" i="15"/>
  <c r="F105" i="15"/>
  <c r="F106" i="15"/>
  <c r="F107" i="15"/>
  <c r="F108" i="15"/>
  <c r="F109" i="15"/>
  <c r="F110" i="15"/>
  <c r="F111" i="15"/>
  <c r="F112" i="15"/>
  <c r="F113" i="15"/>
  <c r="F114" i="15"/>
  <c r="F115" i="15"/>
  <c r="F116" i="15"/>
  <c r="F117" i="15"/>
  <c r="F118" i="15"/>
  <c r="F119" i="15"/>
  <c r="F120" i="15"/>
  <c r="F121" i="15"/>
  <c r="F122" i="15"/>
  <c r="F123" i="15"/>
  <c r="F124" i="15"/>
  <c r="F125" i="15"/>
  <c r="F126" i="15"/>
  <c r="F127" i="15"/>
  <c r="F128" i="15"/>
  <c r="F129" i="15"/>
  <c r="F130" i="15"/>
  <c r="F131" i="15"/>
  <c r="F132" i="15"/>
  <c r="F133" i="15"/>
  <c r="F134" i="15"/>
  <c r="F135" i="15"/>
  <c r="F136" i="15"/>
  <c r="F137" i="15"/>
  <c r="F138" i="15"/>
  <c r="F139" i="15"/>
  <c r="F140" i="15"/>
  <c r="F141" i="15"/>
  <c r="F142" i="15"/>
  <c r="F143" i="15"/>
  <c r="F144" i="15"/>
  <c r="F145" i="15"/>
  <c r="F146" i="15"/>
  <c r="F147" i="15"/>
  <c r="F148" i="15"/>
  <c r="F149" i="15"/>
  <c r="F150" i="15"/>
  <c r="F151" i="15"/>
  <c r="F152" i="15"/>
  <c r="F153" i="15"/>
  <c r="F154" i="15"/>
  <c r="F155" i="15"/>
  <c r="F156" i="15"/>
  <c r="F157" i="15"/>
  <c r="F158" i="15"/>
  <c r="F159" i="15"/>
  <c r="F160" i="15"/>
  <c r="F161" i="15"/>
  <c r="F162" i="15"/>
  <c r="F163" i="15"/>
  <c r="F164" i="15"/>
  <c r="F165" i="15"/>
  <c r="F166" i="15"/>
  <c r="F167" i="15"/>
  <c r="F168" i="15"/>
  <c r="F169" i="15"/>
  <c r="F170" i="15"/>
  <c r="F171" i="15"/>
  <c r="F172" i="15"/>
  <c r="F173" i="15"/>
  <c r="F174" i="15"/>
  <c r="F175" i="15"/>
  <c r="F176" i="15"/>
  <c r="F177" i="15"/>
  <c r="F178" i="15"/>
  <c r="F179" i="15"/>
  <c r="F180" i="15"/>
  <c r="F181" i="15"/>
  <c r="F182" i="15"/>
  <c r="F183" i="15"/>
  <c r="F184" i="15"/>
  <c r="F185" i="15"/>
  <c r="F186" i="15"/>
  <c r="F187" i="15"/>
  <c r="F188" i="15"/>
  <c r="F189" i="15"/>
  <c r="F190" i="15"/>
  <c r="F191" i="15"/>
  <c r="F192" i="15"/>
  <c r="F193" i="15"/>
  <c r="F194" i="15"/>
  <c r="F195" i="15"/>
  <c r="F196" i="15"/>
  <c r="F197" i="15"/>
  <c r="F198" i="15"/>
  <c r="F199" i="15"/>
  <c r="F200" i="15"/>
  <c r="F201" i="15"/>
  <c r="F202" i="15"/>
  <c r="F203" i="15"/>
  <c r="F204" i="15"/>
  <c r="F205" i="15"/>
  <c r="F206" i="15"/>
  <c r="F207" i="15"/>
  <c r="F208" i="15"/>
  <c r="F209" i="15"/>
  <c r="F210" i="15"/>
  <c r="F211" i="15"/>
  <c r="F212" i="15"/>
  <c r="F213" i="15"/>
  <c r="F214" i="15"/>
  <c r="F215" i="15"/>
  <c r="F216" i="15"/>
  <c r="F217" i="15"/>
  <c r="F218" i="15"/>
  <c r="F219" i="15"/>
  <c r="F220" i="15"/>
  <c r="F221" i="15"/>
  <c r="F222" i="15"/>
  <c r="F223" i="15"/>
  <c r="F224" i="15"/>
  <c r="F225" i="15"/>
  <c r="F226" i="15"/>
  <c r="F227" i="15"/>
  <c r="F228" i="15"/>
  <c r="F229" i="15"/>
  <c r="F230" i="15"/>
  <c r="F231" i="15"/>
  <c r="F232" i="15"/>
  <c r="F233" i="15"/>
  <c r="F234" i="15"/>
  <c r="F235" i="15"/>
  <c r="F236" i="15"/>
  <c r="F237" i="15"/>
  <c r="F238" i="15"/>
  <c r="F239" i="15"/>
  <c r="F240" i="15"/>
  <c r="F241" i="15"/>
  <c r="F242" i="15"/>
  <c r="F243" i="15"/>
  <c r="F244" i="15"/>
  <c r="F245" i="15"/>
  <c r="F246" i="15"/>
  <c r="F247" i="15"/>
  <c r="F248" i="15"/>
  <c r="F249" i="15"/>
  <c r="F250" i="15"/>
  <c r="F251" i="15"/>
  <c r="F252" i="15"/>
  <c r="F253" i="15"/>
  <c r="F254" i="15"/>
  <c r="F255" i="15"/>
  <c r="F256" i="15"/>
  <c r="F257" i="15"/>
  <c r="F258" i="15"/>
  <c r="F259" i="15"/>
  <c r="F260" i="15"/>
  <c r="F261" i="15"/>
  <c r="F262" i="15"/>
  <c r="F263" i="15"/>
  <c r="F264" i="15"/>
  <c r="F265" i="15"/>
  <c r="F266" i="15"/>
  <c r="F267" i="15"/>
  <c r="F268" i="15"/>
  <c r="F269" i="15"/>
  <c r="F270" i="15"/>
  <c r="F271" i="15"/>
  <c r="F272" i="15"/>
  <c r="F2" i="15"/>
  <c r="E3" i="15"/>
  <c r="E4" i="15"/>
  <c r="E5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" i="15"/>
  <c r="D3" i="15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6" i="15"/>
  <c r="D47" i="15"/>
  <c r="D48" i="15"/>
  <c r="D49" i="15"/>
  <c r="D50" i="15"/>
  <c r="D51" i="15"/>
  <c r="D52" i="15"/>
  <c r="D53" i="15"/>
  <c r="D54" i="15"/>
  <c r="D55" i="15"/>
  <c r="D56" i="15"/>
  <c r="D57" i="15"/>
  <c r="D58" i="15"/>
  <c r="D59" i="15"/>
  <c r="D60" i="15"/>
  <c r="D61" i="15"/>
  <c r="D62" i="15"/>
  <c r="D63" i="15"/>
  <c r="D64" i="15"/>
  <c r="D65" i="15"/>
  <c r="D66" i="15"/>
  <c r="D67" i="15"/>
  <c r="D68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3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4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3" i="15"/>
  <c r="D144" i="15"/>
  <c r="D145" i="15"/>
  <c r="D146" i="15"/>
  <c r="D147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4" i="15"/>
  <c r="D165" i="15"/>
  <c r="D166" i="15"/>
  <c r="D167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1" i="15"/>
  <c r="D272" i="15"/>
  <c r="D2" i="15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40" i="15"/>
  <c r="B41" i="15"/>
  <c r="B42" i="15"/>
  <c r="B43" i="15"/>
  <c r="B44" i="15"/>
  <c r="B45" i="15"/>
  <c r="B46" i="15"/>
  <c r="B47" i="15"/>
  <c r="B48" i="15"/>
  <c r="B49" i="15"/>
  <c r="B50" i="15"/>
  <c r="B51" i="15"/>
  <c r="B52" i="15"/>
  <c r="B53" i="15"/>
  <c r="B54" i="15"/>
  <c r="B55" i="15"/>
  <c r="B56" i="15"/>
  <c r="B57" i="15"/>
  <c r="B58" i="15"/>
  <c r="B59" i="15"/>
  <c r="B60" i="15"/>
  <c r="B61" i="15"/>
  <c r="B62" i="15"/>
  <c r="B63" i="15"/>
  <c r="B64" i="15"/>
  <c r="B65" i="15"/>
  <c r="B66" i="15"/>
  <c r="B67" i="15"/>
  <c r="B68" i="15"/>
  <c r="B69" i="15"/>
  <c r="B70" i="15"/>
  <c r="B71" i="15"/>
  <c r="B72" i="15"/>
  <c r="B73" i="15"/>
  <c r="B74" i="15"/>
  <c r="B75" i="15"/>
  <c r="B76" i="15"/>
  <c r="B77" i="15"/>
  <c r="B78" i="15"/>
  <c r="B79" i="15"/>
  <c r="B80" i="15"/>
  <c r="B81" i="15"/>
  <c r="B82" i="15"/>
  <c r="B83" i="15"/>
  <c r="B84" i="15"/>
  <c r="B85" i="15"/>
  <c r="B86" i="15"/>
  <c r="B87" i="15"/>
  <c r="B88" i="15"/>
  <c r="B89" i="15"/>
  <c r="B90" i="15"/>
  <c r="B91" i="15"/>
  <c r="B92" i="15"/>
  <c r="B93" i="15"/>
  <c r="B94" i="15"/>
  <c r="B95" i="15"/>
  <c r="B96" i="15"/>
  <c r="B97" i="15"/>
  <c r="B98" i="15"/>
  <c r="B99" i="15"/>
  <c r="B100" i="15"/>
  <c r="B101" i="15"/>
  <c r="B102" i="15"/>
  <c r="B103" i="15"/>
  <c r="B104" i="15"/>
  <c r="B105" i="15"/>
  <c r="B106" i="15"/>
  <c r="B107" i="15"/>
  <c r="B108" i="15"/>
  <c r="B109" i="15"/>
  <c r="B110" i="15"/>
  <c r="B111" i="15"/>
  <c r="B112" i="15"/>
  <c r="B113" i="15"/>
  <c r="B114" i="15"/>
  <c r="B115" i="15"/>
  <c r="B116" i="15"/>
  <c r="B117" i="15"/>
  <c r="B118" i="15"/>
  <c r="B119" i="15"/>
  <c r="B120" i="15"/>
  <c r="B121" i="15"/>
  <c r="B122" i="15"/>
  <c r="B123" i="15"/>
  <c r="B124" i="15"/>
  <c r="B125" i="15"/>
  <c r="B126" i="15"/>
  <c r="B127" i="15"/>
  <c r="B128" i="15"/>
  <c r="B129" i="15"/>
  <c r="B130" i="15"/>
  <c r="B131" i="15"/>
  <c r="B132" i="15"/>
  <c r="B133" i="15"/>
  <c r="B134" i="15"/>
  <c r="B135" i="15"/>
  <c r="B136" i="15"/>
  <c r="B137" i="15"/>
  <c r="B138" i="15"/>
  <c r="B139" i="15"/>
  <c r="B140" i="15"/>
  <c r="B141" i="15"/>
  <c r="B142" i="15"/>
  <c r="B143" i="15"/>
  <c r="B144" i="15"/>
  <c r="B145" i="15"/>
  <c r="B146" i="15"/>
  <c r="B147" i="15"/>
  <c r="B148" i="15"/>
  <c r="B149" i="15"/>
  <c r="B150" i="15"/>
  <c r="B151" i="15"/>
  <c r="B152" i="15"/>
  <c r="B153" i="15"/>
  <c r="B154" i="15"/>
  <c r="B155" i="15"/>
  <c r="B156" i="15"/>
  <c r="B157" i="15"/>
  <c r="B158" i="15"/>
  <c r="B159" i="15"/>
  <c r="B160" i="15"/>
  <c r="B161" i="15"/>
  <c r="B162" i="15"/>
  <c r="B163" i="15"/>
  <c r="B164" i="15"/>
  <c r="B165" i="15"/>
  <c r="B166" i="15"/>
  <c r="B167" i="15"/>
  <c r="B168" i="15"/>
  <c r="B169" i="15"/>
  <c r="B170" i="15"/>
  <c r="B171" i="15"/>
  <c r="B172" i="15"/>
  <c r="B173" i="15"/>
  <c r="B174" i="15"/>
  <c r="B175" i="15"/>
  <c r="B176" i="15"/>
  <c r="B177" i="15"/>
  <c r="B178" i="15"/>
  <c r="B179" i="15"/>
  <c r="B180" i="15"/>
  <c r="B181" i="15"/>
  <c r="B182" i="15"/>
  <c r="B183" i="15"/>
  <c r="B184" i="15"/>
  <c r="B185" i="15"/>
  <c r="B186" i="15"/>
  <c r="B187" i="15"/>
  <c r="B188" i="15"/>
  <c r="B189" i="15"/>
  <c r="B190" i="15"/>
  <c r="B191" i="15"/>
  <c r="B192" i="15"/>
  <c r="B193" i="15"/>
  <c r="B194" i="15"/>
  <c r="B195" i="15"/>
  <c r="B196" i="15"/>
  <c r="B197" i="15"/>
  <c r="B198" i="15"/>
  <c r="B199" i="15"/>
  <c r="B200" i="15"/>
  <c r="B201" i="15"/>
  <c r="B202" i="15"/>
  <c r="B203" i="15"/>
  <c r="B204" i="15"/>
  <c r="B205" i="15"/>
  <c r="B206" i="15"/>
  <c r="B207" i="15"/>
  <c r="B208" i="15"/>
  <c r="B209" i="15"/>
  <c r="B210" i="15"/>
  <c r="B211" i="15"/>
  <c r="B212" i="15"/>
  <c r="B213" i="15"/>
  <c r="B214" i="15"/>
  <c r="B215" i="15"/>
  <c r="B216" i="15"/>
  <c r="B217" i="15"/>
  <c r="B218" i="15"/>
  <c r="B219" i="15"/>
  <c r="B220" i="15"/>
  <c r="B221" i="15"/>
  <c r="B222" i="15"/>
  <c r="B223" i="15"/>
  <c r="B224" i="15"/>
  <c r="B225" i="15"/>
  <c r="B226" i="15"/>
  <c r="B227" i="15"/>
  <c r="B228" i="15"/>
  <c r="B229" i="15"/>
  <c r="B230" i="15"/>
  <c r="B231" i="15"/>
  <c r="B232" i="15"/>
  <c r="B233" i="15"/>
  <c r="B234" i="15"/>
  <c r="B235" i="15"/>
  <c r="B236" i="15"/>
  <c r="B237" i="15"/>
  <c r="B238" i="15"/>
  <c r="B239" i="15"/>
  <c r="B240" i="15"/>
  <c r="B241" i="15"/>
  <c r="B242" i="15"/>
  <c r="B243" i="15"/>
  <c r="B244" i="15"/>
  <c r="B245" i="15"/>
  <c r="B246" i="15"/>
  <c r="B247" i="15"/>
  <c r="B248" i="15"/>
  <c r="B249" i="15"/>
  <c r="B250" i="15"/>
  <c r="B251" i="15"/>
  <c r="B252" i="15"/>
  <c r="B253" i="15"/>
  <c r="B254" i="15"/>
  <c r="B255" i="15"/>
  <c r="B256" i="15"/>
  <c r="B257" i="15"/>
  <c r="B258" i="15"/>
  <c r="B259" i="15"/>
  <c r="B260" i="15"/>
  <c r="B261" i="15"/>
  <c r="B262" i="15"/>
  <c r="B263" i="15"/>
  <c r="B264" i="15"/>
  <c r="B265" i="15"/>
  <c r="B266" i="15"/>
  <c r="B267" i="15"/>
  <c r="B268" i="15"/>
  <c r="B269" i="15"/>
  <c r="B270" i="15"/>
  <c r="B271" i="15"/>
  <c r="B272" i="15"/>
  <c r="B15" i="16"/>
  <c r="B38" i="16"/>
  <c r="B37" i="16"/>
  <c r="B36" i="16"/>
  <c r="B35" i="16"/>
  <c r="B34" i="16"/>
  <c r="B33" i="16"/>
  <c r="B32" i="16"/>
  <c r="B20" i="16"/>
  <c r="AF272" i="15"/>
  <c r="X272" i="15"/>
  <c r="M272" i="15"/>
  <c r="V272" i="15" s="1"/>
  <c r="AF271" i="15"/>
  <c r="X271" i="15"/>
  <c r="AF270" i="15"/>
  <c r="X270" i="15"/>
  <c r="AF269" i="15"/>
  <c r="X269" i="15"/>
  <c r="AF268" i="15"/>
  <c r="X268" i="15"/>
  <c r="AF267" i="15"/>
  <c r="X267" i="15"/>
  <c r="M267" i="15" s="1"/>
  <c r="V267" i="15" s="1"/>
  <c r="AF266" i="15"/>
  <c r="X266" i="15"/>
  <c r="M266" i="15" s="1"/>
  <c r="V266" i="15" s="1"/>
  <c r="AF265" i="15"/>
  <c r="X265" i="15"/>
  <c r="M265" i="15" s="1"/>
  <c r="V265" i="15" s="1"/>
  <c r="AF264" i="15"/>
  <c r="AF263" i="15"/>
  <c r="AF262" i="15"/>
  <c r="AF261" i="15"/>
  <c r="AF260" i="15"/>
  <c r="AF259" i="15"/>
  <c r="AF258" i="15"/>
  <c r="AF257" i="15"/>
  <c r="AF256" i="15"/>
  <c r="AF255" i="15"/>
  <c r="AF254" i="15"/>
  <c r="AF253" i="15"/>
  <c r="AF252" i="15"/>
  <c r="AF251" i="15"/>
  <c r="AF250" i="15"/>
  <c r="AF249" i="15"/>
  <c r="AF248" i="15"/>
  <c r="AF247" i="15"/>
  <c r="AF246" i="15"/>
  <c r="AF245" i="15"/>
  <c r="AF244" i="15"/>
  <c r="AF243" i="15"/>
  <c r="AF242" i="15"/>
  <c r="AF241" i="15"/>
  <c r="AF240" i="15"/>
  <c r="AF239" i="15"/>
  <c r="AF238" i="15"/>
  <c r="AF237" i="15"/>
  <c r="AF236" i="15"/>
  <c r="AF235" i="15"/>
  <c r="AF234" i="15"/>
  <c r="AF233" i="15"/>
  <c r="AF232" i="15"/>
  <c r="AF231" i="15"/>
  <c r="AF230" i="15"/>
  <c r="AF229" i="15"/>
  <c r="AF228" i="15"/>
  <c r="AF227" i="15"/>
  <c r="AF226" i="15"/>
  <c r="AF225" i="15"/>
  <c r="AF224" i="15"/>
  <c r="AF223" i="15"/>
  <c r="AF222" i="15"/>
  <c r="AF221" i="15"/>
  <c r="AF220" i="15"/>
  <c r="AF219" i="15"/>
  <c r="AF218" i="15"/>
  <c r="AF217" i="15"/>
  <c r="AF216" i="15"/>
  <c r="AF215" i="15"/>
  <c r="AF214" i="15"/>
  <c r="AF213" i="15"/>
  <c r="AF212" i="15"/>
  <c r="AF211" i="15"/>
  <c r="AF210" i="15"/>
  <c r="AF209" i="15"/>
  <c r="AF208" i="15"/>
  <c r="AF207" i="15"/>
  <c r="AF206" i="15"/>
  <c r="AF205" i="15"/>
  <c r="AF204" i="15"/>
  <c r="AF203" i="15"/>
  <c r="AF202" i="15"/>
  <c r="AF201" i="15"/>
  <c r="AF200" i="15"/>
  <c r="AF199" i="15"/>
  <c r="AF198" i="15"/>
  <c r="AF197" i="15"/>
  <c r="AF196" i="15"/>
  <c r="AF195" i="15"/>
  <c r="AF194" i="15"/>
  <c r="AF193" i="15"/>
  <c r="AF192" i="15"/>
  <c r="AF191" i="15"/>
  <c r="AF190" i="15"/>
  <c r="AF189" i="15"/>
  <c r="AF188" i="15"/>
  <c r="AF187" i="15"/>
  <c r="AF186" i="15"/>
  <c r="AF185" i="15"/>
  <c r="AF184" i="15"/>
  <c r="AF183" i="15"/>
  <c r="AF182" i="15"/>
  <c r="AF181" i="15"/>
  <c r="AF180" i="15"/>
  <c r="AF179" i="15"/>
  <c r="AF178" i="15"/>
  <c r="AF177" i="15"/>
  <c r="AF176" i="15"/>
  <c r="AF175" i="15"/>
  <c r="AF174" i="15"/>
  <c r="AF173" i="15"/>
  <c r="AF172" i="15"/>
  <c r="AF171" i="15"/>
  <c r="AF170" i="15"/>
  <c r="AF169" i="15"/>
  <c r="AF168" i="15"/>
  <c r="AF167" i="15"/>
  <c r="AF166" i="15"/>
  <c r="AF165" i="15"/>
  <c r="AF164" i="15"/>
  <c r="AF163" i="15"/>
  <c r="AF162" i="15"/>
  <c r="AF161" i="15"/>
  <c r="AF160" i="15"/>
  <c r="AF159" i="15"/>
  <c r="AF158" i="15"/>
  <c r="AF157" i="15"/>
  <c r="AF156" i="15"/>
  <c r="AF155" i="15"/>
  <c r="AF154" i="15"/>
  <c r="AF153" i="15"/>
  <c r="AF152" i="15"/>
  <c r="AF151" i="15"/>
  <c r="AF150" i="15"/>
  <c r="AF149" i="15"/>
  <c r="AF148" i="15"/>
  <c r="AF147" i="15"/>
  <c r="AF146" i="15"/>
  <c r="AF145" i="15"/>
  <c r="AF144" i="15"/>
  <c r="AF143" i="15"/>
  <c r="AF142" i="15"/>
  <c r="AF141" i="15"/>
  <c r="AF140" i="15"/>
  <c r="AF139" i="15"/>
  <c r="AF138" i="15"/>
  <c r="AF137" i="15"/>
  <c r="AF136" i="15"/>
  <c r="AF135" i="15"/>
  <c r="AF134" i="15"/>
  <c r="AF133" i="15"/>
  <c r="AF132" i="15"/>
  <c r="AF131" i="15"/>
  <c r="AF130" i="15"/>
  <c r="AF129" i="15"/>
  <c r="AF128" i="15"/>
  <c r="AF127" i="15"/>
  <c r="AF126" i="15"/>
  <c r="AF125" i="15"/>
  <c r="AF124" i="15"/>
  <c r="AF123" i="15"/>
  <c r="AF122" i="15"/>
  <c r="AF121" i="15"/>
  <c r="AF120" i="15"/>
  <c r="AF119" i="15"/>
  <c r="AF118" i="15"/>
  <c r="AF117" i="15"/>
  <c r="AF116" i="15"/>
  <c r="AF115" i="15"/>
  <c r="AF114" i="15"/>
  <c r="AF113" i="15"/>
  <c r="AF112" i="15"/>
  <c r="AF111" i="15"/>
  <c r="AF110" i="15"/>
  <c r="AF109" i="15"/>
  <c r="AF108" i="15"/>
  <c r="AF107" i="15"/>
  <c r="AF106" i="15"/>
  <c r="AF105" i="15"/>
  <c r="AF104" i="15"/>
  <c r="AF103" i="15"/>
  <c r="AF102" i="15"/>
  <c r="AF101" i="15"/>
  <c r="AF100" i="15"/>
  <c r="AF99" i="15"/>
  <c r="AF98" i="15"/>
  <c r="AF97" i="15"/>
  <c r="AF96" i="15"/>
  <c r="AF95" i="15"/>
  <c r="AF94" i="15"/>
  <c r="AF93" i="15"/>
  <c r="AF92" i="15"/>
  <c r="AF91" i="15"/>
  <c r="AF90" i="15"/>
  <c r="AF89" i="15"/>
  <c r="AF88" i="15"/>
  <c r="AF87" i="15"/>
  <c r="AF86" i="15"/>
  <c r="AF85" i="15"/>
  <c r="AF84" i="15"/>
  <c r="AF83" i="15"/>
  <c r="AF82" i="15"/>
  <c r="AF81" i="15"/>
  <c r="AF80" i="15"/>
  <c r="AF79" i="15"/>
  <c r="AF78" i="15"/>
  <c r="AF77" i="15"/>
  <c r="AF76" i="15"/>
  <c r="AF75" i="15"/>
  <c r="AF74" i="15"/>
  <c r="AF73" i="15"/>
  <c r="AF72" i="15"/>
  <c r="AF71" i="15"/>
  <c r="AF70" i="15"/>
  <c r="AF69" i="15"/>
  <c r="AF68" i="15"/>
  <c r="AF67" i="15"/>
  <c r="AF66" i="15"/>
  <c r="AF65" i="15"/>
  <c r="AF64" i="15"/>
  <c r="AF63" i="15"/>
  <c r="AF62" i="15"/>
  <c r="AF61" i="15"/>
  <c r="AF60" i="15"/>
  <c r="AF59" i="15"/>
  <c r="AF58" i="15"/>
  <c r="AF57" i="15"/>
  <c r="AF56" i="15"/>
  <c r="AF55" i="15"/>
  <c r="AF54" i="15"/>
  <c r="AF53" i="15"/>
  <c r="AF52" i="15"/>
  <c r="AF51" i="15"/>
  <c r="AF50" i="15"/>
  <c r="AF49" i="15"/>
  <c r="AF48" i="15"/>
  <c r="AF47" i="15"/>
  <c r="AF46" i="15"/>
  <c r="AF45" i="15"/>
  <c r="AF44" i="15"/>
  <c r="AF43" i="15"/>
  <c r="AF42" i="15"/>
  <c r="AF41" i="15"/>
  <c r="AF40" i="15"/>
  <c r="AF39" i="15"/>
  <c r="AF38" i="15"/>
  <c r="AF37" i="15"/>
  <c r="AF36" i="15"/>
  <c r="AF35" i="15"/>
  <c r="AF34" i="15"/>
  <c r="AF33" i="15"/>
  <c r="AF32" i="15"/>
  <c r="AF31" i="15"/>
  <c r="AF30" i="15"/>
  <c r="AF29" i="15"/>
  <c r="AF28" i="15"/>
  <c r="AF27" i="15"/>
  <c r="AF26" i="15"/>
  <c r="AF25" i="15"/>
  <c r="AF24" i="15"/>
  <c r="AF23" i="15"/>
  <c r="AF22" i="15"/>
  <c r="AF21" i="15"/>
  <c r="AF20" i="15"/>
  <c r="AF19" i="15"/>
  <c r="AF18" i="15"/>
  <c r="AF17" i="15"/>
  <c r="AF16" i="15"/>
  <c r="AF15" i="15"/>
  <c r="AF14" i="15"/>
  <c r="AF13" i="15"/>
  <c r="AF12" i="15"/>
  <c r="AF11" i="15"/>
  <c r="AF10" i="15"/>
  <c r="AF9" i="15"/>
  <c r="AF8" i="15"/>
  <c r="AF7" i="15"/>
  <c r="AF6" i="15"/>
  <c r="AF5" i="15"/>
  <c r="AF4" i="15"/>
  <c r="AF3" i="15"/>
  <c r="AF2" i="15"/>
  <c r="G39" i="13"/>
  <c r="B18" i="13"/>
  <c r="B17" i="13"/>
  <c r="C23" i="13" s="1"/>
  <c r="B16" i="13"/>
  <c r="C25" i="13" s="1"/>
  <c r="B15" i="13"/>
  <c r="C26" i="13" s="1"/>
  <c r="B14" i="13"/>
  <c r="C24" i="13" s="1"/>
  <c r="B13" i="13"/>
  <c r="B12" i="13"/>
  <c r="B11" i="13"/>
  <c r="C22" i="13" s="1"/>
  <c r="B10" i="13"/>
  <c r="B4" i="13"/>
  <c r="B93" i="13" s="1"/>
  <c r="E26" i="11"/>
  <c r="D26" i="11"/>
  <c r="F26" i="11" s="1"/>
  <c r="F25" i="11"/>
  <c r="F24" i="11"/>
  <c r="F23" i="11"/>
  <c r="F22" i="11"/>
  <c r="F21" i="11"/>
  <c r="F20" i="11"/>
  <c r="G5" i="11"/>
  <c r="E5" i="11"/>
  <c r="J4" i="10"/>
  <c r="D53" i="9"/>
  <c r="E53" i="9" s="1"/>
  <c r="C53" i="9"/>
  <c r="D52" i="9"/>
  <c r="E52" i="9" s="1"/>
  <c r="C52" i="9"/>
  <c r="D51" i="9"/>
  <c r="E51" i="9" s="1"/>
  <c r="C51" i="9"/>
  <c r="D50" i="9"/>
  <c r="E50" i="9" s="1"/>
  <c r="C50" i="9"/>
  <c r="D49" i="9"/>
  <c r="E49" i="9" s="1"/>
  <c r="C49" i="9"/>
  <c r="D48" i="9"/>
  <c r="E48" i="9" s="1"/>
  <c r="C48" i="9"/>
  <c r="D47" i="9"/>
  <c r="E47" i="9" s="1"/>
  <c r="C47" i="9"/>
  <c r="D46" i="9"/>
  <c r="E46" i="9" s="1"/>
  <c r="C46" i="9"/>
  <c r="D45" i="9"/>
  <c r="E45" i="9" s="1"/>
  <c r="C45" i="9"/>
  <c r="D44" i="9"/>
  <c r="E44" i="9" s="1"/>
  <c r="C44" i="9"/>
  <c r="D43" i="9"/>
  <c r="E43" i="9" s="1"/>
  <c r="C43" i="9"/>
  <c r="D42" i="9"/>
  <c r="E42" i="9" s="1"/>
  <c r="C42" i="9"/>
  <c r="D41" i="9"/>
  <c r="E41" i="9" s="1"/>
  <c r="C41" i="9"/>
  <c r="D40" i="9"/>
  <c r="E40" i="9" s="1"/>
  <c r="C40" i="9"/>
  <c r="D39" i="9"/>
  <c r="E39" i="9" s="1"/>
  <c r="C39" i="9"/>
  <c r="D38" i="9"/>
  <c r="E38" i="9" s="1"/>
  <c r="C38" i="9"/>
  <c r="D37" i="9"/>
  <c r="E37" i="9" s="1"/>
  <c r="C37" i="9"/>
  <c r="D36" i="9"/>
  <c r="E36" i="9" s="1"/>
  <c r="C36" i="9"/>
  <c r="D35" i="9"/>
  <c r="E35" i="9" s="1"/>
  <c r="C35" i="9"/>
  <c r="D34" i="9"/>
  <c r="E34" i="9" s="1"/>
  <c r="C34" i="9"/>
  <c r="D33" i="9"/>
  <c r="E33" i="9" s="1"/>
  <c r="C33" i="9"/>
  <c r="D32" i="9"/>
  <c r="E32" i="9" s="1"/>
  <c r="C32" i="9"/>
  <c r="D31" i="9"/>
  <c r="E31" i="9" s="1"/>
  <c r="C31" i="9"/>
  <c r="D30" i="9"/>
  <c r="E30" i="9" s="1"/>
  <c r="C30" i="9"/>
  <c r="D29" i="9"/>
  <c r="E29" i="9" s="1"/>
  <c r="C29" i="9"/>
  <c r="D28" i="9"/>
  <c r="E28" i="9" s="1"/>
  <c r="C28" i="9"/>
  <c r="D27" i="9"/>
  <c r="E27" i="9" s="1"/>
  <c r="C27" i="9"/>
  <c r="D26" i="9"/>
  <c r="E26" i="9" s="1"/>
  <c r="C26" i="9"/>
  <c r="D25" i="9"/>
  <c r="E25" i="9" s="1"/>
  <c r="C25" i="9"/>
  <c r="D24" i="9"/>
  <c r="E24" i="9" s="1"/>
  <c r="C24" i="9"/>
  <c r="D23" i="9"/>
  <c r="E23" i="9" s="1"/>
  <c r="C23" i="9"/>
  <c r="D22" i="9"/>
  <c r="E22" i="9" s="1"/>
  <c r="C22" i="9"/>
  <c r="E21" i="9"/>
  <c r="D21" i="9"/>
  <c r="C21" i="9"/>
  <c r="D20" i="9"/>
  <c r="E20" i="9" s="1"/>
  <c r="C20" i="9"/>
  <c r="D19" i="9"/>
  <c r="E19" i="9" s="1"/>
  <c r="C19" i="9"/>
  <c r="D18" i="9"/>
  <c r="E18" i="9" s="1"/>
  <c r="C18" i="9"/>
  <c r="D17" i="9"/>
  <c r="E17" i="9" s="1"/>
  <c r="C17" i="9"/>
  <c r="D16" i="9"/>
  <c r="E16" i="9" s="1"/>
  <c r="C16" i="9"/>
  <c r="D15" i="9"/>
  <c r="E15" i="9" s="1"/>
  <c r="C15" i="9"/>
  <c r="D14" i="9"/>
  <c r="E14" i="9" s="1"/>
  <c r="C14" i="9"/>
  <c r="D13" i="9"/>
  <c r="E13" i="9" s="1"/>
  <c r="C13" i="9"/>
  <c r="D12" i="9"/>
  <c r="E12" i="9" s="1"/>
  <c r="C12" i="9"/>
  <c r="D11" i="9"/>
  <c r="E11" i="9" s="1"/>
  <c r="C11" i="9"/>
  <c r="D10" i="9"/>
  <c r="E10" i="9" s="1"/>
  <c r="C10" i="9"/>
  <c r="D9" i="9"/>
  <c r="E9" i="9" s="1"/>
  <c r="C9" i="9"/>
  <c r="D8" i="9"/>
  <c r="E8" i="9" s="1"/>
  <c r="C8" i="9"/>
  <c r="D7" i="9"/>
  <c r="E7" i="9" s="1"/>
  <c r="C7" i="9"/>
  <c r="D6" i="9"/>
  <c r="E6" i="9" s="1"/>
  <c r="C6" i="9"/>
  <c r="D5" i="9"/>
  <c r="E5" i="9" s="1"/>
  <c r="C5" i="9"/>
  <c r="D4" i="9"/>
  <c r="E4" i="9" s="1"/>
  <c r="C4" i="9"/>
  <c r="D3" i="9"/>
  <c r="E3" i="9" s="1"/>
  <c r="C3" i="9"/>
  <c r="M271" i="8"/>
  <c r="L271" i="8"/>
  <c r="K271" i="8"/>
  <c r="I271" i="8"/>
  <c r="F271" i="8"/>
  <c r="B271" i="8"/>
  <c r="M270" i="8"/>
  <c r="L270" i="8"/>
  <c r="K270" i="8"/>
  <c r="I270" i="8"/>
  <c r="F270" i="8"/>
  <c r="B270" i="8"/>
  <c r="M269" i="8"/>
  <c r="L269" i="8"/>
  <c r="K269" i="8"/>
  <c r="I269" i="8"/>
  <c r="F269" i="8"/>
  <c r="B269" i="8"/>
  <c r="M268" i="8"/>
  <c r="L268" i="8"/>
  <c r="K268" i="8"/>
  <c r="I268" i="8"/>
  <c r="F268" i="8"/>
  <c r="B268" i="8"/>
  <c r="M267" i="8"/>
  <c r="L267" i="8"/>
  <c r="K267" i="8"/>
  <c r="I267" i="8"/>
  <c r="F267" i="8"/>
  <c r="B267" i="8"/>
  <c r="M266" i="8"/>
  <c r="L266" i="8"/>
  <c r="K266" i="8"/>
  <c r="I266" i="8"/>
  <c r="F266" i="8"/>
  <c r="B266" i="8"/>
  <c r="F98" i="8"/>
  <c r="B33" i="8"/>
  <c r="F18" i="8"/>
  <c r="C258" i="8"/>
  <c r="C257" i="8"/>
  <c r="C242" i="8"/>
  <c r="C241" i="8"/>
  <c r="C226" i="8"/>
  <c r="C225" i="8"/>
  <c r="C210" i="8"/>
  <c r="C209" i="8"/>
  <c r="C194" i="8"/>
  <c r="C193" i="8"/>
  <c r="C178" i="8"/>
  <c r="C177" i="8"/>
  <c r="C162" i="8"/>
  <c r="C161" i="8"/>
  <c r="C146" i="8"/>
  <c r="C145" i="8"/>
  <c r="C130" i="8"/>
  <c r="C129" i="8"/>
  <c r="C114" i="8"/>
  <c r="B114" i="5" s="1"/>
  <c r="C113" i="8"/>
  <c r="C98" i="8"/>
  <c r="C97" i="8"/>
  <c r="C82" i="8"/>
  <c r="C81" i="8"/>
  <c r="C66" i="8"/>
  <c r="C65" i="8"/>
  <c r="C50" i="8"/>
  <c r="C49" i="8"/>
  <c r="C34" i="8"/>
  <c r="C33" i="8"/>
  <c r="C18" i="8"/>
  <c r="C17" i="8"/>
  <c r="C3" i="8" a="1"/>
  <c r="C255" i="8" s="1"/>
  <c r="C3" i="8"/>
  <c r="L3" i="8" s="1"/>
  <c r="B3" i="8"/>
  <c r="R20" i="7"/>
  <c r="J20" i="7"/>
  <c r="I20" i="7"/>
  <c r="H20" i="7"/>
  <c r="B20" i="7"/>
  <c r="O20" i="7" s="1"/>
  <c r="R19" i="7"/>
  <c r="O19" i="7"/>
  <c r="Q19" i="7" s="1"/>
  <c r="N19" i="7"/>
  <c r="P19" i="7" s="1"/>
  <c r="K19" i="7"/>
  <c r="J19" i="7"/>
  <c r="I19" i="7"/>
  <c r="H19" i="7"/>
  <c r="B19" i="7"/>
  <c r="I18" i="7"/>
  <c r="B18" i="7"/>
  <c r="R17" i="7"/>
  <c r="P17" i="7"/>
  <c r="N17" i="7"/>
  <c r="I17" i="7"/>
  <c r="Q17" i="7" s="1"/>
  <c r="H17" i="7"/>
  <c r="B17" i="7"/>
  <c r="O17" i="7" s="1"/>
  <c r="P16" i="7"/>
  <c r="O16" i="7"/>
  <c r="N16" i="7"/>
  <c r="J16" i="7"/>
  <c r="I16" i="7"/>
  <c r="Q16" i="7" s="1"/>
  <c r="H16" i="7"/>
  <c r="R16" i="7" s="1"/>
  <c r="B16" i="7"/>
  <c r="N15" i="7"/>
  <c r="P15" i="7" s="1"/>
  <c r="I15" i="7"/>
  <c r="Q15" i="7" s="1"/>
  <c r="H15" i="7"/>
  <c r="R15" i="7" s="1"/>
  <c r="B15" i="7"/>
  <c r="O15" i="7" s="1"/>
  <c r="P14" i="7"/>
  <c r="O14" i="7"/>
  <c r="N14" i="7"/>
  <c r="J14" i="7"/>
  <c r="I14" i="7"/>
  <c r="K14" i="7" s="1"/>
  <c r="B14" i="7"/>
  <c r="H14" i="7" s="1"/>
  <c r="R14" i="7" s="1"/>
  <c r="I13" i="7"/>
  <c r="H13" i="7"/>
  <c r="R13" i="7" s="1"/>
  <c r="B13" i="7"/>
  <c r="R12" i="7"/>
  <c r="J12" i="7"/>
  <c r="I12" i="7"/>
  <c r="Q12" i="7" s="1"/>
  <c r="H12" i="7"/>
  <c r="B12" i="7"/>
  <c r="O12" i="7" s="1"/>
  <c r="R11" i="7"/>
  <c r="O11" i="7"/>
  <c r="Q11" i="7" s="1"/>
  <c r="N11" i="7"/>
  <c r="P11" i="7" s="1"/>
  <c r="K11" i="7"/>
  <c r="J11" i="7"/>
  <c r="I11" i="7"/>
  <c r="H11" i="7"/>
  <c r="B11" i="7"/>
  <c r="I10" i="7"/>
  <c r="B10" i="7"/>
  <c r="R9" i="7"/>
  <c r="Q9" i="7"/>
  <c r="P9" i="7"/>
  <c r="N9" i="7"/>
  <c r="I9" i="7"/>
  <c r="H9" i="7"/>
  <c r="B9" i="7"/>
  <c r="O9" i="7" s="1"/>
  <c r="P8" i="7"/>
  <c r="O8" i="7"/>
  <c r="N8" i="7"/>
  <c r="J8" i="7"/>
  <c r="I8" i="7"/>
  <c r="Q8" i="7" s="1"/>
  <c r="H8" i="7"/>
  <c r="R8" i="7" s="1"/>
  <c r="B8" i="7"/>
  <c r="N7" i="7"/>
  <c r="P7" i="7" s="1"/>
  <c r="I7" i="7"/>
  <c r="H7" i="7"/>
  <c r="R7" i="7" s="1"/>
  <c r="B7" i="7"/>
  <c r="O7" i="7" s="1"/>
  <c r="P6" i="7"/>
  <c r="O6" i="7"/>
  <c r="N6" i="7"/>
  <c r="J6" i="7"/>
  <c r="I6" i="7"/>
  <c r="K6" i="7" s="1"/>
  <c r="B6" i="7"/>
  <c r="H6" i="7" s="1"/>
  <c r="R6" i="7" s="1"/>
  <c r="I5" i="7"/>
  <c r="B5" i="7"/>
  <c r="R4" i="7"/>
  <c r="J4" i="7"/>
  <c r="K4" i="7" s="1"/>
  <c r="I4" i="7"/>
  <c r="H4" i="7"/>
  <c r="B4" i="7"/>
  <c r="O4" i="7" s="1"/>
  <c r="R3" i="7"/>
  <c r="O3" i="7"/>
  <c r="Q3" i="7" s="1"/>
  <c r="N3" i="7"/>
  <c r="K3" i="7"/>
  <c r="J3" i="7"/>
  <c r="I3" i="7"/>
  <c r="H3" i="7"/>
  <c r="B3" i="7"/>
  <c r="F1" i="7"/>
  <c r="E1" i="7"/>
  <c r="D1" i="7"/>
  <c r="C1" i="7"/>
  <c r="O201" i="6"/>
  <c r="O200" i="6"/>
  <c r="O199" i="6"/>
  <c r="O198" i="6"/>
  <c r="O197" i="6"/>
  <c r="O196" i="6"/>
  <c r="O195" i="6"/>
  <c r="O194" i="6"/>
  <c r="O193" i="6"/>
  <c r="O192" i="6"/>
  <c r="O191" i="6"/>
  <c r="O190" i="6"/>
  <c r="O189" i="6"/>
  <c r="O188" i="6"/>
  <c r="O187" i="6"/>
  <c r="O186" i="6"/>
  <c r="O185" i="6"/>
  <c r="O184" i="6"/>
  <c r="O183" i="6"/>
  <c r="O182" i="6"/>
  <c r="O181" i="6"/>
  <c r="O180" i="6"/>
  <c r="O179" i="6"/>
  <c r="O178" i="6"/>
  <c r="O177" i="6"/>
  <c r="O176" i="6"/>
  <c r="O175" i="6"/>
  <c r="O174" i="6"/>
  <c r="O173" i="6"/>
  <c r="O172" i="6"/>
  <c r="O171" i="6"/>
  <c r="O170" i="6"/>
  <c r="O169" i="6"/>
  <c r="O168" i="6"/>
  <c r="O167" i="6"/>
  <c r="O166" i="6"/>
  <c r="O165" i="6"/>
  <c r="O164" i="6"/>
  <c r="O163" i="6"/>
  <c r="O162" i="6"/>
  <c r="O161" i="6"/>
  <c r="O160" i="6"/>
  <c r="O159" i="6"/>
  <c r="O158" i="6"/>
  <c r="O157" i="6"/>
  <c r="O156" i="6"/>
  <c r="O155" i="6"/>
  <c r="O154" i="6"/>
  <c r="O153" i="6"/>
  <c r="O152" i="6"/>
  <c r="O151" i="6"/>
  <c r="O150" i="6"/>
  <c r="O149" i="6"/>
  <c r="O148" i="6"/>
  <c r="O147" i="6"/>
  <c r="O146" i="6"/>
  <c r="O145" i="6"/>
  <c r="O144" i="6"/>
  <c r="O143" i="6"/>
  <c r="O142" i="6"/>
  <c r="O141" i="6"/>
  <c r="O140" i="6"/>
  <c r="O139" i="6"/>
  <c r="O138" i="6"/>
  <c r="O137" i="6"/>
  <c r="O136" i="6"/>
  <c r="O135" i="6"/>
  <c r="O134" i="6"/>
  <c r="O133" i="6"/>
  <c r="O132" i="6"/>
  <c r="O131" i="6"/>
  <c r="O130" i="6"/>
  <c r="O129" i="6"/>
  <c r="O128" i="6"/>
  <c r="O127" i="6"/>
  <c r="O126" i="6"/>
  <c r="O125" i="6"/>
  <c r="O124" i="6"/>
  <c r="O123" i="6"/>
  <c r="O122" i="6"/>
  <c r="O121" i="6"/>
  <c r="O120" i="6"/>
  <c r="O119" i="6"/>
  <c r="O118" i="6"/>
  <c r="O117" i="6"/>
  <c r="O116" i="6"/>
  <c r="O115" i="6"/>
  <c r="O114" i="6"/>
  <c r="O113" i="6"/>
  <c r="O112" i="6"/>
  <c r="O111" i="6"/>
  <c r="O110" i="6"/>
  <c r="O109" i="6"/>
  <c r="O108" i="6"/>
  <c r="O107" i="6"/>
  <c r="O106" i="6"/>
  <c r="O105" i="6"/>
  <c r="O104" i="6"/>
  <c r="O103" i="6"/>
  <c r="O102" i="6"/>
  <c r="O101" i="6"/>
  <c r="O100" i="6"/>
  <c r="O99" i="6"/>
  <c r="O98" i="6"/>
  <c r="O97" i="6"/>
  <c r="O96" i="6"/>
  <c r="O95" i="6"/>
  <c r="O94" i="6"/>
  <c r="O93" i="6"/>
  <c r="O92" i="6"/>
  <c r="O91" i="6"/>
  <c r="O90" i="6"/>
  <c r="O89" i="6"/>
  <c r="O88" i="6"/>
  <c r="O87" i="6"/>
  <c r="O86" i="6"/>
  <c r="O85" i="6"/>
  <c r="O84" i="6"/>
  <c r="O83" i="6"/>
  <c r="O82" i="6"/>
  <c r="O81" i="6"/>
  <c r="O80" i="6"/>
  <c r="O79" i="6"/>
  <c r="O78" i="6"/>
  <c r="O77" i="6"/>
  <c r="O76" i="6"/>
  <c r="O75" i="6"/>
  <c r="O74" i="6"/>
  <c r="O73" i="6"/>
  <c r="O72" i="6"/>
  <c r="O71" i="6"/>
  <c r="O70" i="6"/>
  <c r="O69" i="6"/>
  <c r="O68" i="6"/>
  <c r="O67" i="6"/>
  <c r="O66" i="6"/>
  <c r="O65" i="6"/>
  <c r="O64" i="6"/>
  <c r="O63" i="6"/>
  <c r="O62" i="6"/>
  <c r="O61" i="6"/>
  <c r="O60" i="6"/>
  <c r="O59" i="6"/>
  <c r="O58" i="6"/>
  <c r="O57" i="6"/>
  <c r="O56" i="6"/>
  <c r="O55" i="6"/>
  <c r="O54" i="6"/>
  <c r="O53" i="6"/>
  <c r="O52" i="6"/>
  <c r="O51" i="6"/>
  <c r="O50" i="6"/>
  <c r="O49" i="6"/>
  <c r="O48" i="6"/>
  <c r="O47" i="6"/>
  <c r="O46" i="6"/>
  <c r="O45" i="6"/>
  <c r="O44" i="6"/>
  <c r="O43" i="6"/>
  <c r="O42" i="6"/>
  <c r="O41" i="6"/>
  <c r="O40" i="6"/>
  <c r="O39" i="6"/>
  <c r="O38" i="6"/>
  <c r="O37" i="6"/>
  <c r="O36" i="6"/>
  <c r="L36" i="6"/>
  <c r="K36" i="6"/>
  <c r="M36" i="6" s="1"/>
  <c r="I36" i="6"/>
  <c r="N36" i="6" s="1"/>
  <c r="H36" i="6"/>
  <c r="O35" i="6"/>
  <c r="M35" i="6"/>
  <c r="L35" i="6"/>
  <c r="K35" i="6"/>
  <c r="I35" i="6"/>
  <c r="N35" i="6" s="1"/>
  <c r="H35" i="6"/>
  <c r="O34" i="6"/>
  <c r="L34" i="6"/>
  <c r="K34" i="6"/>
  <c r="M34" i="6" s="1"/>
  <c r="H34" i="6"/>
  <c r="I34" i="6" s="1"/>
  <c r="N34" i="6" s="1"/>
  <c r="O33" i="6"/>
  <c r="L33" i="6"/>
  <c r="K33" i="6"/>
  <c r="M33" i="6" s="1"/>
  <c r="H33" i="6"/>
  <c r="I33" i="6" s="1"/>
  <c r="N33" i="6" s="1"/>
  <c r="O32" i="6"/>
  <c r="M32" i="6"/>
  <c r="L32" i="6"/>
  <c r="K32" i="6"/>
  <c r="I32" i="6"/>
  <c r="H32" i="6"/>
  <c r="O31" i="6"/>
  <c r="M31" i="6"/>
  <c r="L31" i="6"/>
  <c r="K31" i="6"/>
  <c r="H31" i="6"/>
  <c r="I31" i="6" s="1"/>
  <c r="N31" i="6" s="1"/>
  <c r="O30" i="6"/>
  <c r="M30" i="6"/>
  <c r="L30" i="6"/>
  <c r="K30" i="6"/>
  <c r="I30" i="6"/>
  <c r="H30" i="6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Q226" i="5"/>
  <c r="N226" i="5"/>
  <c r="M226" i="5"/>
  <c r="B226" i="5"/>
  <c r="P226" i="5" s="1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Q210" i="5"/>
  <c r="N210" i="5"/>
  <c r="M210" i="5"/>
  <c r="B210" i="5"/>
  <c r="P210" i="5" s="1"/>
  <c r="M209" i="5"/>
  <c r="B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B194" i="5"/>
  <c r="P194" i="5" s="1"/>
  <c r="M193" i="5"/>
  <c r="B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B178" i="5"/>
  <c r="P178" i="5" s="1"/>
  <c r="M177" i="5"/>
  <c r="B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B162" i="5"/>
  <c r="P162" i="5" s="1"/>
  <c r="M161" i="5"/>
  <c r="B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Q146" i="5"/>
  <c r="N146" i="5"/>
  <c r="M146" i="5"/>
  <c r="B146" i="5"/>
  <c r="P146" i="5" s="1"/>
  <c r="M145" i="5"/>
  <c r="B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Q130" i="5"/>
  <c r="M130" i="5"/>
  <c r="R130" i="5" s="1"/>
  <c r="B130" i="5"/>
  <c r="P130" i="5" s="1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P113" i="5"/>
  <c r="M113" i="5"/>
  <c r="B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P98" i="5"/>
  <c r="M98" i="5"/>
  <c r="B98" i="5"/>
  <c r="Q98" i="5" s="1"/>
  <c r="M97" i="5"/>
  <c r="B97" i="5"/>
  <c r="P97" i="5" s="1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Q82" i="5"/>
  <c r="P82" i="5"/>
  <c r="N82" i="5"/>
  <c r="M82" i="5"/>
  <c r="R82" i="5" s="1"/>
  <c r="B82" i="5"/>
  <c r="P81" i="5"/>
  <c r="M81" i="5"/>
  <c r="B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B66" i="5"/>
  <c r="Q66" i="5" s="1"/>
  <c r="M65" i="5"/>
  <c r="B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B50" i="5"/>
  <c r="Q50" i="5" s="1"/>
  <c r="P49" i="5"/>
  <c r="M49" i="5"/>
  <c r="B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Q34" i="5"/>
  <c r="P34" i="5"/>
  <c r="N34" i="5"/>
  <c r="M34" i="5"/>
  <c r="R34" i="5" s="1"/>
  <c r="B34" i="5"/>
  <c r="M33" i="5"/>
  <c r="B33" i="5"/>
  <c r="N33" i="5" s="1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Q18" i="5"/>
  <c r="P18" i="5"/>
  <c r="N18" i="5"/>
  <c r="M18" i="5"/>
  <c r="R18" i="5" s="1"/>
  <c r="B18" i="5"/>
  <c r="M17" i="5"/>
  <c r="B17" i="5"/>
  <c r="N17" i="5" s="1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C7" i="4"/>
  <c r="J9" i="4" s="1"/>
  <c r="F6" i="4"/>
  <c r="F5" i="4"/>
  <c r="J4" i="4"/>
  <c r="F4" i="4"/>
  <c r="F7" i="4" s="1"/>
  <c r="C4" i="4" s="1"/>
  <c r="J3" i="4"/>
  <c r="B9" i="6" a="1"/>
  <c r="B4" i="6" a="1"/>
  <c r="B15" i="6" a="1"/>
  <c r="B25" i="6" a="1"/>
  <c r="B24" i="6" a="1"/>
  <c r="B23" i="6" a="1"/>
  <c r="B17" i="6" a="1"/>
  <c r="B2" i="6" a="1"/>
  <c r="B3" i="6" a="1"/>
  <c r="B7" i="6" a="1"/>
  <c r="B10" i="6" a="1"/>
  <c r="B13" i="6" a="1"/>
  <c r="B12" i="6" a="1"/>
  <c r="B29" i="6" a="1"/>
  <c r="B28" i="6" a="1"/>
  <c r="B18" i="6" a="1"/>
  <c r="B26" i="6" a="1"/>
  <c r="B21" i="6" a="1"/>
  <c r="B27" i="6" a="1"/>
  <c r="B22" i="6" a="1"/>
  <c r="B20" i="6" a="1"/>
  <c r="B5" i="6" a="1"/>
  <c r="B8" i="6" a="1"/>
  <c r="B6" i="6" a="1"/>
  <c r="B14" i="6" a="1"/>
  <c r="B11" i="6" a="1"/>
  <c r="B19" i="6" a="1"/>
  <c r="B16" i="6" a="1"/>
  <c r="B24" i="13" l="1"/>
  <c r="B23" i="13"/>
  <c r="B25" i="13"/>
  <c r="Q14" i="7"/>
  <c r="Q6" i="7"/>
  <c r="K12" i="7"/>
  <c r="N32" i="6"/>
  <c r="K2" i="15"/>
  <c r="P272" i="15"/>
  <c r="R267" i="15"/>
  <c r="O266" i="15"/>
  <c r="O272" i="15"/>
  <c r="S272" i="15"/>
  <c r="S267" i="15"/>
  <c r="T265" i="15"/>
  <c r="R272" i="15"/>
  <c r="B39" i="16"/>
  <c r="B14" i="6"/>
  <c r="B20" i="6"/>
  <c r="B9" i="6"/>
  <c r="B4" i="6"/>
  <c r="B16" i="6"/>
  <c r="B23" i="6"/>
  <c r="B7" i="6"/>
  <c r="B25" i="6"/>
  <c r="B18" i="6"/>
  <c r="B11" i="6"/>
  <c r="B27" i="6"/>
  <c r="B13" i="6"/>
  <c r="B29" i="6"/>
  <c r="B6" i="6"/>
  <c r="B22" i="6"/>
  <c r="B15" i="6"/>
  <c r="B2" i="6"/>
  <c r="H2" i="6" s="1"/>
  <c r="B8" i="6"/>
  <c r="B24" i="6"/>
  <c r="B17" i="6"/>
  <c r="B10" i="6"/>
  <c r="B26" i="6"/>
  <c r="B3" i="6"/>
  <c r="B19" i="6"/>
  <c r="B12" i="6"/>
  <c r="B28" i="6"/>
  <c r="B5" i="6"/>
  <c r="B21" i="6"/>
  <c r="P114" i="5"/>
  <c r="N114" i="5"/>
  <c r="Q114" i="5"/>
  <c r="R33" i="5"/>
  <c r="X112" i="15"/>
  <c r="M113" i="8"/>
  <c r="O113" i="5" s="1"/>
  <c r="L113" i="8"/>
  <c r="K113" i="8"/>
  <c r="I113" i="8"/>
  <c r="F113" i="8"/>
  <c r="B113" i="8"/>
  <c r="X240" i="15"/>
  <c r="L241" i="8"/>
  <c r="K241" i="8"/>
  <c r="B241" i="8"/>
  <c r="M241" i="8"/>
  <c r="O241" i="5" s="1"/>
  <c r="I241" i="8"/>
  <c r="B241" i="5"/>
  <c r="F241" i="8"/>
  <c r="N162" i="5"/>
  <c r="X254" i="15"/>
  <c r="L255" i="8"/>
  <c r="K255" i="8"/>
  <c r="F255" i="8"/>
  <c r="B255" i="8"/>
  <c r="B255" i="5"/>
  <c r="M255" i="8"/>
  <c r="O255" i="5" s="1"/>
  <c r="I255" i="8"/>
  <c r="X129" i="15"/>
  <c r="B130" i="8"/>
  <c r="M130" i="8"/>
  <c r="O130" i="5" s="1"/>
  <c r="L130" i="8"/>
  <c r="K130" i="8"/>
  <c r="I130" i="8"/>
  <c r="F130" i="8"/>
  <c r="X257" i="15"/>
  <c r="F258" i="8"/>
  <c r="B258" i="8"/>
  <c r="M258" i="8"/>
  <c r="O258" i="5" s="1"/>
  <c r="L258" i="8"/>
  <c r="K258" i="8"/>
  <c r="I258" i="8"/>
  <c r="R50" i="5"/>
  <c r="Q162" i="5"/>
  <c r="R162" i="5" s="1"/>
  <c r="X16" i="15"/>
  <c r="M17" i="8"/>
  <c r="O17" i="5" s="1"/>
  <c r="L17" i="8"/>
  <c r="K17" i="8"/>
  <c r="F17" i="8"/>
  <c r="B17" i="8"/>
  <c r="I17" i="8"/>
  <c r="X144" i="15"/>
  <c r="M145" i="8"/>
  <c r="O145" i="5" s="1"/>
  <c r="L145" i="8"/>
  <c r="K145" i="8"/>
  <c r="I145" i="8"/>
  <c r="F145" i="8"/>
  <c r="B145" i="8"/>
  <c r="K3" i="8"/>
  <c r="X128" i="15"/>
  <c r="M129" i="8"/>
  <c r="O129" i="5" s="1"/>
  <c r="L129" i="8"/>
  <c r="K129" i="8"/>
  <c r="I129" i="8"/>
  <c r="F129" i="8"/>
  <c r="B129" i="8"/>
  <c r="P17" i="5"/>
  <c r="Q17" i="5"/>
  <c r="R17" i="5" s="1"/>
  <c r="Q33" i="5"/>
  <c r="N50" i="5"/>
  <c r="Q65" i="5"/>
  <c r="R65" i="5" s="1"/>
  <c r="N65" i="5"/>
  <c r="B129" i="5"/>
  <c r="Q7" i="7"/>
  <c r="O13" i="7"/>
  <c r="N13" i="7"/>
  <c r="P13" i="7" s="1"/>
  <c r="J13" i="7"/>
  <c r="X17" i="15"/>
  <c r="B18" i="8"/>
  <c r="K18" i="8"/>
  <c r="M18" i="8"/>
  <c r="O18" i="5" s="1"/>
  <c r="L18" i="8"/>
  <c r="I18" i="8"/>
  <c r="X145" i="15"/>
  <c r="B146" i="8"/>
  <c r="M146" i="8"/>
  <c r="O146" i="5" s="1"/>
  <c r="L146" i="8"/>
  <c r="K146" i="8"/>
  <c r="I146" i="8"/>
  <c r="F146" i="8"/>
  <c r="O18" i="7"/>
  <c r="Q18" i="7" s="1"/>
  <c r="N18" i="7"/>
  <c r="P18" i="7" s="1"/>
  <c r="J18" i="7"/>
  <c r="H18" i="7"/>
  <c r="R18" i="7" s="1"/>
  <c r="J5" i="4"/>
  <c r="Q4" i="7"/>
  <c r="O10" i="7"/>
  <c r="N10" i="7"/>
  <c r="P10" i="7" s="1"/>
  <c r="J10" i="7"/>
  <c r="H10" i="7"/>
  <c r="R10" i="7" s="1"/>
  <c r="X32" i="15"/>
  <c r="M33" i="8"/>
  <c r="O33" i="5" s="1"/>
  <c r="L33" i="8"/>
  <c r="K33" i="8"/>
  <c r="I33" i="8"/>
  <c r="F33" i="8"/>
  <c r="X160" i="15"/>
  <c r="M161" i="8"/>
  <c r="O161" i="5" s="1"/>
  <c r="L161" i="8"/>
  <c r="K161" i="8"/>
  <c r="I161" i="8"/>
  <c r="F161" i="8"/>
  <c r="B161" i="8"/>
  <c r="X241" i="15"/>
  <c r="F242" i="8"/>
  <c r="B242" i="8"/>
  <c r="M242" i="8"/>
  <c r="O242" i="5" s="1"/>
  <c r="L242" i="8"/>
  <c r="K242" i="8"/>
  <c r="I242" i="8"/>
  <c r="R98" i="5"/>
  <c r="Q193" i="5"/>
  <c r="R193" i="5" s="1"/>
  <c r="P193" i="5"/>
  <c r="N193" i="5"/>
  <c r="P50" i="5"/>
  <c r="P65" i="5"/>
  <c r="N98" i="5"/>
  <c r="Q113" i="5"/>
  <c r="R113" i="5" s="1"/>
  <c r="N113" i="5"/>
  <c r="N178" i="5"/>
  <c r="Q10" i="7"/>
  <c r="Q13" i="7"/>
  <c r="K13" i="7"/>
  <c r="K16" i="7"/>
  <c r="X33" i="15"/>
  <c r="B34" i="8"/>
  <c r="K34" i="8"/>
  <c r="M34" i="8"/>
  <c r="O34" i="5" s="1"/>
  <c r="L34" i="8"/>
  <c r="I34" i="8"/>
  <c r="F34" i="8"/>
  <c r="X161" i="15"/>
  <c r="B162" i="8"/>
  <c r="M162" i="8"/>
  <c r="O162" i="5" s="1"/>
  <c r="L162" i="8"/>
  <c r="K162" i="8"/>
  <c r="I162" i="8"/>
  <c r="F162" i="8"/>
  <c r="Q97" i="5"/>
  <c r="R97" i="5" s="1"/>
  <c r="N97" i="5"/>
  <c r="J6" i="4"/>
  <c r="Q178" i="5"/>
  <c r="R178" i="5" s="1"/>
  <c r="X48" i="15"/>
  <c r="M49" i="8"/>
  <c r="O49" i="5" s="1"/>
  <c r="L49" i="8"/>
  <c r="K49" i="8"/>
  <c r="F49" i="8"/>
  <c r="I49" i="8"/>
  <c r="B49" i="8"/>
  <c r="X176" i="15"/>
  <c r="M177" i="8"/>
  <c r="O177" i="5" s="1"/>
  <c r="L177" i="8"/>
  <c r="K177" i="8"/>
  <c r="I177" i="8"/>
  <c r="F177" i="8"/>
  <c r="B177" i="8"/>
  <c r="Q177" i="5"/>
  <c r="R177" i="5" s="1"/>
  <c r="P177" i="5"/>
  <c r="N177" i="5"/>
  <c r="O5" i="7"/>
  <c r="N5" i="7"/>
  <c r="P5" i="7" s="1"/>
  <c r="J5" i="7"/>
  <c r="X49" i="15"/>
  <c r="B50" i="8"/>
  <c r="K50" i="8"/>
  <c r="M50" i="8"/>
  <c r="O50" i="5" s="1"/>
  <c r="L50" i="8"/>
  <c r="I50" i="8"/>
  <c r="F50" i="8"/>
  <c r="X177" i="15"/>
  <c r="B178" i="8"/>
  <c r="M178" i="8"/>
  <c r="O178" i="5" s="1"/>
  <c r="L178" i="8"/>
  <c r="K178" i="8"/>
  <c r="I178" i="8"/>
  <c r="F178" i="8"/>
  <c r="P33" i="5"/>
  <c r="R66" i="5"/>
  <c r="N130" i="5"/>
  <c r="Q145" i="5"/>
  <c r="R145" i="5" s="1"/>
  <c r="P145" i="5"/>
  <c r="N145" i="5"/>
  <c r="Q209" i="5"/>
  <c r="R209" i="5" s="1"/>
  <c r="P209" i="5"/>
  <c r="N209" i="5"/>
  <c r="B258" i="5"/>
  <c r="H5" i="7"/>
  <c r="R5" i="7" s="1"/>
  <c r="X64" i="15"/>
  <c r="M65" i="8"/>
  <c r="O65" i="5" s="1"/>
  <c r="L65" i="8"/>
  <c r="K65" i="8"/>
  <c r="F65" i="8"/>
  <c r="I65" i="8"/>
  <c r="B65" i="8"/>
  <c r="X192" i="15"/>
  <c r="L193" i="8"/>
  <c r="F193" i="8"/>
  <c r="B193" i="8"/>
  <c r="M193" i="8"/>
  <c r="O193" i="5" s="1"/>
  <c r="K193" i="8"/>
  <c r="I193" i="8"/>
  <c r="X256" i="15"/>
  <c r="B257" i="8"/>
  <c r="L257" i="8"/>
  <c r="K257" i="8"/>
  <c r="M257" i="8"/>
  <c r="O257" i="5" s="1"/>
  <c r="I257" i="8"/>
  <c r="F257" i="8"/>
  <c r="B257" i="5"/>
  <c r="J7" i="4"/>
  <c r="N66" i="5"/>
  <c r="Q81" i="5"/>
  <c r="R81" i="5" s="1"/>
  <c r="N81" i="5"/>
  <c r="N194" i="5"/>
  <c r="Q5" i="7"/>
  <c r="I1" i="7"/>
  <c r="K5" i="7"/>
  <c r="K8" i="7"/>
  <c r="X65" i="15"/>
  <c r="B66" i="8"/>
  <c r="K66" i="8"/>
  <c r="M66" i="8"/>
  <c r="O66" i="5" s="1"/>
  <c r="L66" i="8"/>
  <c r="I66" i="8"/>
  <c r="F66" i="8"/>
  <c r="X193" i="15"/>
  <c r="B194" i="8"/>
  <c r="M194" i="8"/>
  <c r="O194" i="5" s="1"/>
  <c r="L194" i="8"/>
  <c r="K194" i="8"/>
  <c r="I194" i="8"/>
  <c r="F194" i="8"/>
  <c r="D7" i="12"/>
  <c r="D32" i="13" s="1"/>
  <c r="D14" i="12"/>
  <c r="D10" i="12"/>
  <c r="D35" i="13" s="1"/>
  <c r="P3" i="7"/>
  <c r="X2" i="15"/>
  <c r="I3" i="8"/>
  <c r="F3" i="8"/>
  <c r="D3" i="8"/>
  <c r="N3" i="8" s="1"/>
  <c r="J3" i="8" s="1"/>
  <c r="M3" i="8"/>
  <c r="O3" i="5" s="1"/>
  <c r="R114" i="5"/>
  <c r="Q194" i="5"/>
  <c r="R194" i="5" s="1"/>
  <c r="B242" i="5"/>
  <c r="X80" i="15"/>
  <c r="M81" i="8"/>
  <c r="O81" i="5" s="1"/>
  <c r="L81" i="8"/>
  <c r="K81" i="8"/>
  <c r="F81" i="8"/>
  <c r="I81" i="8"/>
  <c r="B81" i="8"/>
  <c r="X208" i="15"/>
  <c r="L209" i="8"/>
  <c r="F209" i="8"/>
  <c r="B209" i="8"/>
  <c r="M209" i="8"/>
  <c r="O209" i="5" s="1"/>
  <c r="K209" i="8"/>
  <c r="I209" i="8"/>
  <c r="P66" i="5"/>
  <c r="X81" i="15"/>
  <c r="B82" i="8"/>
  <c r="M82" i="8"/>
  <c r="O82" i="5" s="1"/>
  <c r="K82" i="8"/>
  <c r="I82" i="8"/>
  <c r="L82" i="8"/>
  <c r="F82" i="8"/>
  <c r="X209" i="15"/>
  <c r="F210" i="8"/>
  <c r="B210" i="8"/>
  <c r="M210" i="8"/>
  <c r="O210" i="5" s="1"/>
  <c r="L210" i="8"/>
  <c r="K210" i="8"/>
  <c r="I210" i="8"/>
  <c r="X113" i="15"/>
  <c r="B114" i="8"/>
  <c r="M114" i="8"/>
  <c r="O114" i="5" s="1"/>
  <c r="K114" i="8"/>
  <c r="I114" i="8"/>
  <c r="L114" i="8"/>
  <c r="F114" i="8"/>
  <c r="B3" i="5"/>
  <c r="R146" i="5"/>
  <c r="Q161" i="5"/>
  <c r="R161" i="5" s="1"/>
  <c r="P161" i="5"/>
  <c r="N161" i="5"/>
  <c r="R210" i="5"/>
  <c r="N30" i="6"/>
  <c r="Q20" i="7"/>
  <c r="X96" i="15"/>
  <c r="M97" i="8"/>
  <c r="O97" i="5" s="1"/>
  <c r="L97" i="8"/>
  <c r="K97" i="8"/>
  <c r="I97" i="8"/>
  <c r="F97" i="8"/>
  <c r="B97" i="8"/>
  <c r="X224" i="15"/>
  <c r="L225" i="8"/>
  <c r="M225" i="8"/>
  <c r="O225" i="5" s="1"/>
  <c r="K225" i="8"/>
  <c r="I225" i="8"/>
  <c r="F225" i="8"/>
  <c r="B225" i="5"/>
  <c r="B225" i="8"/>
  <c r="J8" i="4"/>
  <c r="Q49" i="5"/>
  <c r="R49" i="5" s="1"/>
  <c r="N49" i="5"/>
  <c r="R226" i="5"/>
  <c r="X97" i="15"/>
  <c r="B98" i="8"/>
  <c r="M98" i="8"/>
  <c r="O98" i="5" s="1"/>
  <c r="K98" i="8"/>
  <c r="I98" i="8"/>
  <c r="L98" i="8"/>
  <c r="X225" i="15"/>
  <c r="F226" i="8"/>
  <c r="B226" i="8"/>
  <c r="L226" i="8"/>
  <c r="K226" i="8"/>
  <c r="I226" i="8"/>
  <c r="M226" i="8"/>
  <c r="O226" i="5" s="1"/>
  <c r="C16" i="8"/>
  <c r="C32" i="8"/>
  <c r="C48" i="8"/>
  <c r="C64" i="8"/>
  <c r="C80" i="8"/>
  <c r="C96" i="8"/>
  <c r="C112" i="8"/>
  <c r="C128" i="8"/>
  <c r="C144" i="8"/>
  <c r="C160" i="8"/>
  <c r="C176" i="8"/>
  <c r="C192" i="8"/>
  <c r="C208" i="8"/>
  <c r="C224" i="8"/>
  <c r="C240" i="8"/>
  <c r="C256" i="8"/>
  <c r="C19" i="8"/>
  <c r="C35" i="8"/>
  <c r="C51" i="8"/>
  <c r="C67" i="8"/>
  <c r="C83" i="8"/>
  <c r="C99" i="8"/>
  <c r="C115" i="8"/>
  <c r="C131" i="8"/>
  <c r="C147" i="8"/>
  <c r="C163" i="8"/>
  <c r="C179" i="8"/>
  <c r="C195" i="8"/>
  <c r="C211" i="8"/>
  <c r="C227" i="8"/>
  <c r="C243" i="8"/>
  <c r="C259" i="8"/>
  <c r="C4" i="8"/>
  <c r="C20" i="8"/>
  <c r="C36" i="8"/>
  <c r="C52" i="8"/>
  <c r="C68" i="8"/>
  <c r="C84" i="8"/>
  <c r="C100" i="8"/>
  <c r="C116" i="8"/>
  <c r="C132" i="8"/>
  <c r="C148" i="8"/>
  <c r="C164" i="8"/>
  <c r="C180" i="8"/>
  <c r="C196" i="8"/>
  <c r="C212" i="8"/>
  <c r="C228" i="8"/>
  <c r="C244" i="8"/>
  <c r="C260" i="8"/>
  <c r="C5" i="8"/>
  <c r="C21" i="8"/>
  <c r="C37" i="8"/>
  <c r="C53" i="8"/>
  <c r="C69" i="8"/>
  <c r="C85" i="8"/>
  <c r="C101" i="8"/>
  <c r="C117" i="8"/>
  <c r="C133" i="8"/>
  <c r="C149" i="8"/>
  <c r="C165" i="8"/>
  <c r="C181" i="8"/>
  <c r="C197" i="8"/>
  <c r="C213" i="8"/>
  <c r="C229" i="8"/>
  <c r="C245" i="8"/>
  <c r="C261" i="8"/>
  <c r="C6" i="8"/>
  <c r="C22" i="8"/>
  <c r="C38" i="8"/>
  <c r="C54" i="8"/>
  <c r="C70" i="8"/>
  <c r="C86" i="8"/>
  <c r="C102" i="8"/>
  <c r="C118" i="8"/>
  <c r="C134" i="8"/>
  <c r="C150" i="8"/>
  <c r="C166" i="8"/>
  <c r="C182" i="8"/>
  <c r="C198" i="8"/>
  <c r="C214" i="8"/>
  <c r="C230" i="8"/>
  <c r="C246" i="8"/>
  <c r="C262" i="8"/>
  <c r="K10" i="7"/>
  <c r="K18" i="7"/>
  <c r="C7" i="8"/>
  <c r="C23" i="8"/>
  <c r="C39" i="8"/>
  <c r="C55" i="8"/>
  <c r="C71" i="8"/>
  <c r="C87" i="8"/>
  <c r="C103" i="8"/>
  <c r="C119" i="8"/>
  <c r="C135" i="8"/>
  <c r="C151" i="8"/>
  <c r="C167" i="8"/>
  <c r="C183" i="8"/>
  <c r="C199" i="8"/>
  <c r="C215" i="8"/>
  <c r="C231" i="8"/>
  <c r="C247" i="8"/>
  <c r="C263" i="8"/>
  <c r="J7" i="7"/>
  <c r="J15" i="7"/>
  <c r="C8" i="8"/>
  <c r="C24" i="8"/>
  <c r="C40" i="8"/>
  <c r="C56" i="8"/>
  <c r="C72" i="8"/>
  <c r="C88" i="8"/>
  <c r="C104" i="8"/>
  <c r="C120" i="8"/>
  <c r="C136" i="8"/>
  <c r="C152" i="8"/>
  <c r="C168" i="8"/>
  <c r="C184" i="8"/>
  <c r="C200" i="8"/>
  <c r="C216" i="8"/>
  <c r="C232" i="8"/>
  <c r="C248" i="8"/>
  <c r="C264" i="8"/>
  <c r="K7" i="7"/>
  <c r="K15" i="7"/>
  <c r="C9" i="8"/>
  <c r="C25" i="8"/>
  <c r="C41" i="8"/>
  <c r="C57" i="8"/>
  <c r="C73" i="8"/>
  <c r="C89" i="8"/>
  <c r="C105" i="8"/>
  <c r="C121" i="8"/>
  <c r="C137" i="8"/>
  <c r="C153" i="8"/>
  <c r="C169" i="8"/>
  <c r="C185" i="8"/>
  <c r="C201" i="8"/>
  <c r="C217" i="8"/>
  <c r="C233" i="8"/>
  <c r="C249" i="8"/>
  <c r="C265" i="8"/>
  <c r="C10" i="8"/>
  <c r="C26" i="8"/>
  <c r="C42" i="8"/>
  <c r="C58" i="8"/>
  <c r="C74" i="8"/>
  <c r="C90" i="8"/>
  <c r="C106" i="8"/>
  <c r="C122" i="8"/>
  <c r="C138" i="8"/>
  <c r="C154" i="8"/>
  <c r="C170" i="8"/>
  <c r="C186" i="8"/>
  <c r="C202" i="8"/>
  <c r="C218" i="8"/>
  <c r="C234" i="8"/>
  <c r="C250" i="8"/>
  <c r="K20" i="7"/>
  <c r="C11" i="8"/>
  <c r="C27" i="8"/>
  <c r="C43" i="8"/>
  <c r="C59" i="8"/>
  <c r="C75" i="8"/>
  <c r="C91" i="8"/>
  <c r="C107" i="8"/>
  <c r="C123" i="8"/>
  <c r="C139" i="8"/>
  <c r="C155" i="8"/>
  <c r="C171" i="8"/>
  <c r="C187" i="8"/>
  <c r="C203" i="8"/>
  <c r="C219" i="8"/>
  <c r="C235" i="8"/>
  <c r="C251" i="8"/>
  <c r="N4" i="7"/>
  <c r="P4" i="7" s="1"/>
  <c r="J9" i="7"/>
  <c r="K9" i="7" s="1"/>
  <c r="N12" i="7"/>
  <c r="P12" i="7" s="1"/>
  <c r="J17" i="7"/>
  <c r="K17" i="7" s="1"/>
  <c r="N20" i="7"/>
  <c r="P20" i="7" s="1"/>
  <c r="C12" i="8"/>
  <c r="C28" i="8"/>
  <c r="C44" i="8"/>
  <c r="C60" i="8"/>
  <c r="C76" i="8"/>
  <c r="C92" i="8"/>
  <c r="C108" i="8"/>
  <c r="C124" i="8"/>
  <c r="C140" i="8"/>
  <c r="C156" i="8"/>
  <c r="C172" i="8"/>
  <c r="C188" i="8"/>
  <c r="C204" i="8"/>
  <c r="C220" i="8"/>
  <c r="C236" i="8"/>
  <c r="C252" i="8"/>
  <c r="C13" i="8"/>
  <c r="C29" i="8"/>
  <c r="C45" i="8"/>
  <c r="C61" i="8"/>
  <c r="C77" i="8"/>
  <c r="C93" i="8"/>
  <c r="C109" i="8"/>
  <c r="C125" i="8"/>
  <c r="C141" i="8"/>
  <c r="C157" i="8"/>
  <c r="C173" i="8"/>
  <c r="C189" i="8"/>
  <c r="C205" i="8"/>
  <c r="C221" i="8"/>
  <c r="C237" i="8"/>
  <c r="C253" i="8"/>
  <c r="C14" i="8"/>
  <c r="C30" i="8"/>
  <c r="C46" i="8"/>
  <c r="C62" i="8"/>
  <c r="C78" i="8"/>
  <c r="C94" i="8"/>
  <c r="C110" i="8"/>
  <c r="C126" i="8"/>
  <c r="C142" i="8"/>
  <c r="C158" i="8"/>
  <c r="C174" i="8"/>
  <c r="C190" i="8"/>
  <c r="C206" i="8"/>
  <c r="C222" i="8"/>
  <c r="C238" i="8"/>
  <c r="C254" i="8"/>
  <c r="C15" i="8"/>
  <c r="C31" i="8"/>
  <c r="C47" i="8"/>
  <c r="C63" i="8"/>
  <c r="C79" i="8"/>
  <c r="C95" i="8"/>
  <c r="C111" i="8"/>
  <c r="C127" i="8"/>
  <c r="C143" i="8"/>
  <c r="C159" i="8"/>
  <c r="C175" i="8"/>
  <c r="C191" i="8"/>
  <c r="C207" i="8"/>
  <c r="C223" i="8"/>
  <c r="C239" i="8"/>
  <c r="F32" i="13"/>
  <c r="H32" i="13" s="1"/>
  <c r="B22" i="13"/>
  <c r="F33" i="13"/>
  <c r="H33" i="13" s="1"/>
  <c r="F37" i="13"/>
  <c r="H37" i="13" s="1"/>
  <c r="F31" i="13"/>
  <c r="H31" i="13" s="1"/>
  <c r="B26" i="13"/>
  <c r="F34" i="13"/>
  <c r="H34" i="13" s="1"/>
  <c r="F36" i="13"/>
  <c r="H36" i="13" s="1"/>
  <c r="F38" i="13"/>
  <c r="H38" i="13" s="1"/>
  <c r="F35" i="13"/>
  <c r="H35" i="13" s="1"/>
  <c r="F30" i="13"/>
  <c r="R265" i="15"/>
  <c r="O265" i="15"/>
  <c r="S265" i="15"/>
  <c r="Q265" i="15"/>
  <c r="P265" i="15"/>
  <c r="R266" i="15"/>
  <c r="P266" i="15"/>
  <c r="M269" i="15"/>
  <c r="V269" i="15" s="1"/>
  <c r="Q266" i="15"/>
  <c r="S266" i="15"/>
  <c r="T266" i="15"/>
  <c r="M270" i="15"/>
  <c r="V270" i="15" s="1"/>
  <c r="M268" i="15"/>
  <c r="V268" i="15" s="1"/>
  <c r="M271" i="15"/>
  <c r="V271" i="15" s="1"/>
  <c r="Q272" i="15"/>
  <c r="T272" i="15"/>
  <c r="T267" i="15"/>
  <c r="Q267" i="15"/>
  <c r="P267" i="15"/>
  <c r="O267" i="15"/>
  <c r="Q1" i="7" l="1"/>
  <c r="K1" i="7"/>
  <c r="P271" i="15"/>
  <c r="O271" i="15"/>
  <c r="R271" i="15"/>
  <c r="Q271" i="15"/>
  <c r="T271" i="15"/>
  <c r="K271" i="15"/>
  <c r="X138" i="15"/>
  <c r="I139" i="8"/>
  <c r="F139" i="8"/>
  <c r="B139" i="8"/>
  <c r="M139" i="8"/>
  <c r="O139" i="5" s="1"/>
  <c r="L139" i="8"/>
  <c r="K139" i="8"/>
  <c r="B139" i="5"/>
  <c r="X99" i="15"/>
  <c r="M100" i="8"/>
  <c r="O100" i="5" s="1"/>
  <c r="L100" i="8"/>
  <c r="K100" i="8"/>
  <c r="I100" i="8"/>
  <c r="F100" i="8"/>
  <c r="B100" i="8"/>
  <c r="B100" i="5"/>
  <c r="M160" i="15"/>
  <c r="V160" i="15" s="1"/>
  <c r="M145" i="15"/>
  <c r="V145" i="15" s="1"/>
  <c r="M128" i="15"/>
  <c r="V128" i="15" s="1"/>
  <c r="L15" i="6"/>
  <c r="K15" i="6"/>
  <c r="M15" i="6" s="1"/>
  <c r="H15" i="6"/>
  <c r="I15" i="6" s="1"/>
  <c r="O15" i="6"/>
  <c r="N271" i="15"/>
  <c r="X14" i="15"/>
  <c r="I15" i="8"/>
  <c r="F15" i="8"/>
  <c r="B15" i="8"/>
  <c r="M15" i="8"/>
  <c r="O15" i="5" s="1"/>
  <c r="B15" i="5"/>
  <c r="L15" i="8"/>
  <c r="K15" i="8"/>
  <c r="X13" i="15"/>
  <c r="B14" i="8"/>
  <c r="M14" i="8"/>
  <c r="O14" i="5" s="1"/>
  <c r="L14" i="8"/>
  <c r="K14" i="8"/>
  <c r="I14" i="8"/>
  <c r="F14" i="8"/>
  <c r="B14" i="5"/>
  <c r="X12" i="15"/>
  <c r="M13" i="8"/>
  <c r="O13" i="5" s="1"/>
  <c r="L13" i="8"/>
  <c r="K13" i="8"/>
  <c r="I13" i="8"/>
  <c r="F13" i="8"/>
  <c r="B13" i="5"/>
  <c r="B13" i="8"/>
  <c r="X11" i="15"/>
  <c r="M12" i="8"/>
  <c r="O12" i="5" s="1"/>
  <c r="L12" i="8"/>
  <c r="K12" i="8"/>
  <c r="I12" i="8"/>
  <c r="F12" i="8"/>
  <c r="B12" i="8"/>
  <c r="B12" i="5"/>
  <c r="X90" i="15"/>
  <c r="I91" i="8"/>
  <c r="F91" i="8"/>
  <c r="B91" i="8"/>
  <c r="M91" i="8"/>
  <c r="O91" i="5" s="1"/>
  <c r="L91" i="8"/>
  <c r="K91" i="8"/>
  <c r="B91" i="5"/>
  <c r="X105" i="15"/>
  <c r="B106" i="8"/>
  <c r="M106" i="8"/>
  <c r="O106" i="5" s="1"/>
  <c r="K106" i="8"/>
  <c r="I106" i="8"/>
  <c r="B106" i="5"/>
  <c r="L106" i="8"/>
  <c r="F106" i="8"/>
  <c r="X120" i="15"/>
  <c r="M121" i="8"/>
  <c r="O121" i="5" s="1"/>
  <c r="L121" i="8"/>
  <c r="K121" i="8"/>
  <c r="I121" i="8"/>
  <c r="F121" i="8"/>
  <c r="B121" i="8"/>
  <c r="B121" i="5"/>
  <c r="X167" i="15"/>
  <c r="M168" i="8"/>
  <c r="O168" i="5" s="1"/>
  <c r="L168" i="8"/>
  <c r="K168" i="8"/>
  <c r="I168" i="8"/>
  <c r="F168" i="8"/>
  <c r="B168" i="8"/>
  <c r="B168" i="5"/>
  <c r="X230" i="15"/>
  <c r="L231" i="8"/>
  <c r="F231" i="8"/>
  <c r="M231" i="8"/>
  <c r="O231" i="5" s="1"/>
  <c r="K231" i="8"/>
  <c r="I231" i="8"/>
  <c r="B231" i="8"/>
  <c r="B231" i="5"/>
  <c r="X21" i="15"/>
  <c r="B22" i="8"/>
  <c r="K22" i="8"/>
  <c r="M22" i="8"/>
  <c r="O22" i="5" s="1"/>
  <c r="L22" i="8"/>
  <c r="I22" i="8"/>
  <c r="F22" i="8"/>
  <c r="B22" i="5"/>
  <c r="X36" i="15"/>
  <c r="M37" i="8"/>
  <c r="O37" i="5" s="1"/>
  <c r="L37" i="8"/>
  <c r="K37" i="8"/>
  <c r="I37" i="8"/>
  <c r="F37" i="8"/>
  <c r="B37" i="8"/>
  <c r="B37" i="5"/>
  <c r="X51" i="15"/>
  <c r="M52" i="8"/>
  <c r="O52" i="5" s="1"/>
  <c r="L52" i="8"/>
  <c r="K52" i="8"/>
  <c r="I52" i="8"/>
  <c r="F52" i="8"/>
  <c r="B52" i="8"/>
  <c r="B52" i="5"/>
  <c r="X66" i="15"/>
  <c r="I67" i="8"/>
  <c r="F67" i="8"/>
  <c r="B67" i="8"/>
  <c r="L67" i="8"/>
  <c r="M67" i="8"/>
  <c r="O67" i="5" s="1"/>
  <c r="K67" i="8"/>
  <c r="B67" i="5"/>
  <c r="X63" i="15"/>
  <c r="M64" i="8"/>
  <c r="O64" i="5" s="1"/>
  <c r="L64" i="8"/>
  <c r="K64" i="8"/>
  <c r="I64" i="8"/>
  <c r="F64" i="8"/>
  <c r="B64" i="8"/>
  <c r="B64" i="5"/>
  <c r="M224" i="15"/>
  <c r="V224" i="15" s="1"/>
  <c r="E3" i="8"/>
  <c r="G3" i="8" s="1"/>
  <c r="H3" i="8" s="1"/>
  <c r="D11" i="12"/>
  <c r="D36" i="13" s="1"/>
  <c r="M64" i="15"/>
  <c r="V64" i="15" s="1"/>
  <c r="M254" i="15"/>
  <c r="V254" i="15" s="1"/>
  <c r="O29" i="6"/>
  <c r="L29" i="6"/>
  <c r="K29" i="6"/>
  <c r="M29" i="6" s="1"/>
  <c r="H29" i="6"/>
  <c r="I29" i="6" s="1"/>
  <c r="N272" i="15"/>
  <c r="U272" i="15" s="1"/>
  <c r="K272" i="15"/>
  <c r="X83" i="15"/>
  <c r="M84" i="8"/>
  <c r="O84" i="5" s="1"/>
  <c r="L84" i="8"/>
  <c r="K84" i="8"/>
  <c r="I84" i="8"/>
  <c r="F84" i="8"/>
  <c r="B84" i="8"/>
  <c r="B84" i="5"/>
  <c r="O22" i="6"/>
  <c r="L22" i="6"/>
  <c r="K22" i="6"/>
  <c r="M22" i="6" s="1"/>
  <c r="H22" i="6"/>
  <c r="I22" i="6" s="1"/>
  <c r="X28" i="15"/>
  <c r="M29" i="8"/>
  <c r="O29" i="5" s="1"/>
  <c r="L29" i="8"/>
  <c r="K29" i="8"/>
  <c r="B29" i="8"/>
  <c r="F29" i="8"/>
  <c r="B29" i="5"/>
  <c r="I29" i="8"/>
  <c r="X183" i="15"/>
  <c r="M184" i="8"/>
  <c r="O184" i="5" s="1"/>
  <c r="L184" i="8"/>
  <c r="K184" i="8"/>
  <c r="I184" i="8"/>
  <c r="F184" i="8"/>
  <c r="B184" i="8"/>
  <c r="B184" i="5"/>
  <c r="X82" i="15"/>
  <c r="I83" i="8"/>
  <c r="F83" i="8"/>
  <c r="B83" i="8"/>
  <c r="M83" i="8"/>
  <c r="O83" i="5" s="1"/>
  <c r="L83" i="8"/>
  <c r="B83" i="5"/>
  <c r="K83" i="8"/>
  <c r="O6" i="6"/>
  <c r="L6" i="6"/>
  <c r="K6" i="6"/>
  <c r="M6" i="6" s="1"/>
  <c r="H6" i="6"/>
  <c r="I6" i="6" s="1"/>
  <c r="X74" i="15"/>
  <c r="I75" i="8"/>
  <c r="F75" i="8"/>
  <c r="B75" i="8"/>
  <c r="M75" i="8"/>
  <c r="O75" i="5" s="1"/>
  <c r="L75" i="8"/>
  <c r="K75" i="8"/>
  <c r="B75" i="5"/>
  <c r="X89" i="15"/>
  <c r="B90" i="8"/>
  <c r="M90" i="8"/>
  <c r="O90" i="5" s="1"/>
  <c r="K90" i="8"/>
  <c r="I90" i="8"/>
  <c r="F90" i="8"/>
  <c r="B90" i="5"/>
  <c r="L90" i="8"/>
  <c r="X104" i="15"/>
  <c r="M105" i="8"/>
  <c r="O105" i="5" s="1"/>
  <c r="L105" i="8"/>
  <c r="K105" i="8"/>
  <c r="I105" i="8"/>
  <c r="F105" i="8"/>
  <c r="B105" i="8"/>
  <c r="B105" i="5"/>
  <c r="X151" i="15"/>
  <c r="M152" i="8"/>
  <c r="O152" i="5" s="1"/>
  <c r="L152" i="8"/>
  <c r="K152" i="8"/>
  <c r="I152" i="8"/>
  <c r="F152" i="8"/>
  <c r="B152" i="8"/>
  <c r="B152" i="5"/>
  <c r="X214" i="15"/>
  <c r="L215" i="8"/>
  <c r="F215" i="8"/>
  <c r="B215" i="8"/>
  <c r="M215" i="8"/>
  <c r="O215" i="5" s="1"/>
  <c r="K215" i="8"/>
  <c r="I215" i="8"/>
  <c r="B215" i="5"/>
  <c r="X261" i="15"/>
  <c r="F262" i="8"/>
  <c r="B262" i="8"/>
  <c r="M262" i="8"/>
  <c r="O262" i="5" s="1"/>
  <c r="L262" i="8"/>
  <c r="K262" i="8"/>
  <c r="I262" i="8"/>
  <c r="B262" i="5"/>
  <c r="X5" i="15"/>
  <c r="B6" i="8"/>
  <c r="M6" i="8"/>
  <c r="O6" i="5" s="1"/>
  <c r="L6" i="8"/>
  <c r="K6" i="8"/>
  <c r="I6" i="8"/>
  <c r="F6" i="8"/>
  <c r="B6" i="5"/>
  <c r="X20" i="15"/>
  <c r="M21" i="8"/>
  <c r="O21" i="5" s="1"/>
  <c r="L21" i="8"/>
  <c r="K21" i="8"/>
  <c r="I21" i="8"/>
  <c r="F21" i="8"/>
  <c r="B21" i="8"/>
  <c r="B21" i="5"/>
  <c r="X35" i="15"/>
  <c r="M36" i="8"/>
  <c r="O36" i="5" s="1"/>
  <c r="L36" i="8"/>
  <c r="K36" i="8"/>
  <c r="I36" i="8"/>
  <c r="F36" i="8"/>
  <c r="B36" i="8"/>
  <c r="B36" i="5"/>
  <c r="X50" i="15"/>
  <c r="I51" i="8"/>
  <c r="F51" i="8"/>
  <c r="B51" i="8"/>
  <c r="M51" i="8"/>
  <c r="O51" i="5" s="1"/>
  <c r="L51" i="8"/>
  <c r="K51" i="8"/>
  <c r="B51" i="5"/>
  <c r="X47" i="15"/>
  <c r="M48" i="8"/>
  <c r="O48" i="5" s="1"/>
  <c r="L48" i="8"/>
  <c r="K48" i="8"/>
  <c r="I48" i="8"/>
  <c r="F48" i="8"/>
  <c r="B48" i="8"/>
  <c r="B48" i="5"/>
  <c r="D15" i="12"/>
  <c r="O21" i="6"/>
  <c r="L21" i="6"/>
  <c r="K21" i="6"/>
  <c r="M21" i="6" s="1"/>
  <c r="H21" i="6"/>
  <c r="I21" i="6" s="1"/>
  <c r="O13" i="6"/>
  <c r="L13" i="6"/>
  <c r="K13" i="6"/>
  <c r="M13" i="6" s="1"/>
  <c r="H13" i="6"/>
  <c r="I13" i="6" s="1"/>
  <c r="X122" i="15"/>
  <c r="I123" i="8"/>
  <c r="F123" i="8"/>
  <c r="B123" i="8"/>
  <c r="M123" i="8"/>
  <c r="O123" i="5" s="1"/>
  <c r="L123" i="8"/>
  <c r="K123" i="8"/>
  <c r="B123" i="5"/>
  <c r="X6" i="15"/>
  <c r="I7" i="8"/>
  <c r="F7" i="8"/>
  <c r="B7" i="8"/>
  <c r="M7" i="8"/>
  <c r="O7" i="5" s="1"/>
  <c r="L7" i="8"/>
  <c r="K7" i="8"/>
  <c r="B7" i="5"/>
  <c r="X95" i="15"/>
  <c r="M96" i="8"/>
  <c r="O96" i="5" s="1"/>
  <c r="L96" i="8"/>
  <c r="K96" i="8"/>
  <c r="I96" i="8"/>
  <c r="F96" i="8"/>
  <c r="B96" i="8"/>
  <c r="B96" i="5"/>
  <c r="F39" i="13"/>
  <c r="H30" i="13"/>
  <c r="H39" i="13" s="1"/>
  <c r="X253" i="15"/>
  <c r="F254" i="8"/>
  <c r="B254" i="8"/>
  <c r="M254" i="8"/>
  <c r="O254" i="5" s="1"/>
  <c r="L254" i="8"/>
  <c r="K254" i="8"/>
  <c r="I254" i="8"/>
  <c r="B254" i="5"/>
  <c r="X252" i="15"/>
  <c r="L253" i="8"/>
  <c r="K253" i="8"/>
  <c r="B253" i="8"/>
  <c r="M253" i="8"/>
  <c r="O253" i="5" s="1"/>
  <c r="I253" i="8"/>
  <c r="B253" i="5"/>
  <c r="F253" i="8"/>
  <c r="X251" i="15"/>
  <c r="L252" i="8"/>
  <c r="K252" i="8"/>
  <c r="M252" i="8"/>
  <c r="O252" i="5" s="1"/>
  <c r="I252" i="8"/>
  <c r="F252" i="8"/>
  <c r="B252" i="8"/>
  <c r="B252" i="5"/>
  <c r="S271" i="15"/>
  <c r="S269" i="15"/>
  <c r="R269" i="15"/>
  <c r="P269" i="15"/>
  <c r="T269" i="15"/>
  <c r="Q269" i="15"/>
  <c r="O269" i="15"/>
  <c r="C17" i="13"/>
  <c r="B94" i="13"/>
  <c r="C16" i="13"/>
  <c r="C15" i="13"/>
  <c r="B65" i="13" s="1"/>
  <c r="C14" i="13"/>
  <c r="C13" i="13"/>
  <c r="B56" i="13" s="1"/>
  <c r="C12" i="13"/>
  <c r="C11" i="13"/>
  <c r="C18" i="13"/>
  <c r="C10" i="13"/>
  <c r="B47" i="13" s="1"/>
  <c r="X238" i="15"/>
  <c r="L239" i="8"/>
  <c r="F239" i="8"/>
  <c r="B239" i="8"/>
  <c r="M239" i="8"/>
  <c r="O239" i="5" s="1"/>
  <c r="K239" i="8"/>
  <c r="I239" i="8"/>
  <c r="B239" i="5"/>
  <c r="X237" i="15"/>
  <c r="F238" i="8"/>
  <c r="B238" i="8"/>
  <c r="K238" i="8"/>
  <c r="I238" i="8"/>
  <c r="M238" i="8"/>
  <c r="O238" i="5" s="1"/>
  <c r="L238" i="8"/>
  <c r="B238" i="5"/>
  <c r="X236" i="15"/>
  <c r="L237" i="8"/>
  <c r="M237" i="8"/>
  <c r="O237" i="5" s="1"/>
  <c r="K237" i="8"/>
  <c r="I237" i="8"/>
  <c r="F237" i="8"/>
  <c r="B237" i="8"/>
  <c r="B237" i="5"/>
  <c r="X235" i="15"/>
  <c r="L236" i="8"/>
  <c r="K236" i="8"/>
  <c r="F236" i="8"/>
  <c r="B236" i="8"/>
  <c r="B236" i="5"/>
  <c r="M236" i="8"/>
  <c r="O236" i="5" s="1"/>
  <c r="I236" i="8"/>
  <c r="X58" i="15"/>
  <c r="I59" i="8"/>
  <c r="F59" i="8"/>
  <c r="B59" i="8"/>
  <c r="L59" i="8"/>
  <c r="K59" i="8"/>
  <c r="M59" i="8"/>
  <c r="O59" i="5" s="1"/>
  <c r="B59" i="5"/>
  <c r="X73" i="15"/>
  <c r="B74" i="8"/>
  <c r="K74" i="8"/>
  <c r="I74" i="8"/>
  <c r="B74" i="5"/>
  <c r="M74" i="8"/>
  <c r="O74" i="5" s="1"/>
  <c r="L74" i="8"/>
  <c r="F74" i="8"/>
  <c r="X88" i="15"/>
  <c r="M89" i="8"/>
  <c r="O89" i="5" s="1"/>
  <c r="L89" i="8"/>
  <c r="K89" i="8"/>
  <c r="I89" i="8"/>
  <c r="F89" i="8"/>
  <c r="B89" i="8"/>
  <c r="B89" i="5"/>
  <c r="X135" i="15"/>
  <c r="M136" i="8"/>
  <c r="O136" i="5" s="1"/>
  <c r="L136" i="8"/>
  <c r="K136" i="8"/>
  <c r="I136" i="8"/>
  <c r="F136" i="8"/>
  <c r="B136" i="8"/>
  <c r="B136" i="5"/>
  <c r="X198" i="15"/>
  <c r="F199" i="8"/>
  <c r="M199" i="8"/>
  <c r="O199" i="5" s="1"/>
  <c r="L199" i="8"/>
  <c r="K199" i="8"/>
  <c r="I199" i="8"/>
  <c r="B199" i="8"/>
  <c r="B199" i="5"/>
  <c r="X245" i="15"/>
  <c r="F246" i="8"/>
  <c r="B246" i="8"/>
  <c r="M246" i="8"/>
  <c r="O246" i="5" s="1"/>
  <c r="L246" i="8"/>
  <c r="K246" i="8"/>
  <c r="I246" i="8"/>
  <c r="B246" i="5"/>
  <c r="X260" i="15"/>
  <c r="B261" i="8"/>
  <c r="L261" i="8"/>
  <c r="K261" i="8"/>
  <c r="M261" i="8"/>
  <c r="O261" i="5" s="1"/>
  <c r="I261" i="8"/>
  <c r="F261" i="8"/>
  <c r="B261" i="5"/>
  <c r="X4" i="15"/>
  <c r="M5" i="8"/>
  <c r="O5" i="5" s="1"/>
  <c r="L5" i="8"/>
  <c r="K5" i="8"/>
  <c r="I5" i="8"/>
  <c r="F5" i="8"/>
  <c r="B5" i="5"/>
  <c r="B5" i="8"/>
  <c r="X19" i="15"/>
  <c r="M20" i="8"/>
  <c r="O20" i="5" s="1"/>
  <c r="K20" i="8"/>
  <c r="I20" i="8"/>
  <c r="F20" i="8"/>
  <c r="B20" i="8"/>
  <c r="D20" i="8"/>
  <c r="N20" i="8" s="1"/>
  <c r="J20" i="8" s="1"/>
  <c r="L20" i="8"/>
  <c r="B20" i="5"/>
  <c r="X34" i="15"/>
  <c r="I35" i="8"/>
  <c r="F35" i="8"/>
  <c r="B35" i="8"/>
  <c r="K35" i="8"/>
  <c r="B35" i="5"/>
  <c r="M35" i="8"/>
  <c r="O35" i="5" s="1"/>
  <c r="L35" i="8"/>
  <c r="X31" i="15"/>
  <c r="M32" i="8"/>
  <c r="O32" i="5" s="1"/>
  <c r="L32" i="8"/>
  <c r="K32" i="8"/>
  <c r="I32" i="8"/>
  <c r="F32" i="8"/>
  <c r="B32" i="8"/>
  <c r="B32" i="5"/>
  <c r="M113" i="15"/>
  <c r="V113" i="15" s="1"/>
  <c r="Q257" i="5"/>
  <c r="R257" i="5" s="1"/>
  <c r="P257" i="5"/>
  <c r="N257" i="5"/>
  <c r="P258" i="5"/>
  <c r="Q258" i="5"/>
  <c r="R258" i="5" s="1"/>
  <c r="N258" i="5"/>
  <c r="M48" i="15"/>
  <c r="V48" i="15" s="1"/>
  <c r="O5" i="6"/>
  <c r="L5" i="6"/>
  <c r="K5" i="6"/>
  <c r="M5" i="6" s="1"/>
  <c r="H5" i="6"/>
  <c r="I5" i="6" s="1"/>
  <c r="O27" i="6"/>
  <c r="L27" i="6"/>
  <c r="K27" i="6"/>
  <c r="M27" i="6" s="1"/>
  <c r="H27" i="6"/>
  <c r="I27" i="6" s="1"/>
  <c r="X222" i="15"/>
  <c r="L223" i="8"/>
  <c r="F223" i="8"/>
  <c r="M223" i="8"/>
  <c r="O223" i="5" s="1"/>
  <c r="K223" i="8"/>
  <c r="I223" i="8"/>
  <c r="B223" i="5"/>
  <c r="B223" i="8"/>
  <c r="X221" i="15"/>
  <c r="F222" i="8"/>
  <c r="B222" i="8"/>
  <c r="M222" i="8"/>
  <c r="O222" i="5" s="1"/>
  <c r="L222" i="8"/>
  <c r="K222" i="8"/>
  <c r="I222" i="8"/>
  <c r="B222" i="5"/>
  <c r="X220" i="15"/>
  <c r="L221" i="8"/>
  <c r="B221" i="8"/>
  <c r="M221" i="8"/>
  <c r="O221" i="5" s="1"/>
  <c r="K221" i="8"/>
  <c r="I221" i="8"/>
  <c r="B221" i="5"/>
  <c r="F221" i="8"/>
  <c r="X219" i="15"/>
  <c r="K220" i="8"/>
  <c r="M220" i="8"/>
  <c r="O220" i="5" s="1"/>
  <c r="L220" i="8"/>
  <c r="I220" i="8"/>
  <c r="F220" i="8"/>
  <c r="B220" i="8"/>
  <c r="B220" i="5"/>
  <c r="X42" i="15"/>
  <c r="I43" i="8"/>
  <c r="F43" i="8"/>
  <c r="B43" i="8"/>
  <c r="M43" i="8"/>
  <c r="O43" i="5" s="1"/>
  <c r="L43" i="8"/>
  <c r="K43" i="8"/>
  <c r="B43" i="5"/>
  <c r="X57" i="15"/>
  <c r="B58" i="8"/>
  <c r="K58" i="8"/>
  <c r="M58" i="8"/>
  <c r="O58" i="5" s="1"/>
  <c r="L58" i="8"/>
  <c r="I58" i="8"/>
  <c r="F58" i="8"/>
  <c r="B58" i="5"/>
  <c r="X72" i="15"/>
  <c r="M73" i="8"/>
  <c r="O73" i="5" s="1"/>
  <c r="L73" i="8"/>
  <c r="K73" i="8"/>
  <c r="F73" i="8"/>
  <c r="I73" i="8"/>
  <c r="B73" i="8"/>
  <c r="B73" i="5"/>
  <c r="X119" i="15"/>
  <c r="M120" i="8"/>
  <c r="O120" i="5" s="1"/>
  <c r="L120" i="8"/>
  <c r="K120" i="8"/>
  <c r="I120" i="8"/>
  <c r="F120" i="8"/>
  <c r="B120" i="8"/>
  <c r="B120" i="5"/>
  <c r="X182" i="15"/>
  <c r="I183" i="8"/>
  <c r="F183" i="8"/>
  <c r="B183" i="8"/>
  <c r="M183" i="8"/>
  <c r="O183" i="5" s="1"/>
  <c r="L183" i="8"/>
  <c r="K183" i="8"/>
  <c r="B183" i="5"/>
  <c r="X229" i="15"/>
  <c r="F230" i="8"/>
  <c r="B230" i="8"/>
  <c r="K230" i="8"/>
  <c r="I230" i="8"/>
  <c r="M230" i="8"/>
  <c r="O230" i="5" s="1"/>
  <c r="L230" i="8"/>
  <c r="B230" i="5"/>
  <c r="X244" i="15"/>
  <c r="L245" i="8"/>
  <c r="K245" i="8"/>
  <c r="I245" i="8"/>
  <c r="F245" i="8"/>
  <c r="B245" i="8"/>
  <c r="M245" i="8"/>
  <c r="O245" i="5" s="1"/>
  <c r="B245" i="5"/>
  <c r="X259" i="15"/>
  <c r="L260" i="8"/>
  <c r="K260" i="8"/>
  <c r="I260" i="8"/>
  <c r="F260" i="8"/>
  <c r="B260" i="8"/>
  <c r="B260" i="5"/>
  <c r="M260" i="8"/>
  <c r="O260" i="5" s="1"/>
  <c r="X3" i="15"/>
  <c r="M4" i="8"/>
  <c r="O4" i="5" s="1"/>
  <c r="L4" i="8"/>
  <c r="K4" i="8"/>
  <c r="I4" i="8"/>
  <c r="F4" i="8"/>
  <c r="E4" i="8"/>
  <c r="D4" i="8"/>
  <c r="N4" i="8" s="1"/>
  <c r="J4" i="8" s="1"/>
  <c r="B4" i="8"/>
  <c r="B4" i="5"/>
  <c r="D14" i="8" s="1"/>
  <c r="N14" i="8" s="1"/>
  <c r="J14" i="8" s="1"/>
  <c r="X18" i="15"/>
  <c r="I19" i="8"/>
  <c r="F19" i="8"/>
  <c r="B19" i="8"/>
  <c r="M19" i="8"/>
  <c r="O19" i="5" s="1"/>
  <c r="L19" i="8"/>
  <c r="K19" i="8"/>
  <c r="B19" i="5"/>
  <c r="X15" i="15"/>
  <c r="M16" i="8"/>
  <c r="O16" i="5" s="1"/>
  <c r="K16" i="8"/>
  <c r="I16" i="8"/>
  <c r="B16" i="8"/>
  <c r="L16" i="8"/>
  <c r="F16" i="8"/>
  <c r="B16" i="5"/>
  <c r="M80" i="15"/>
  <c r="V80" i="15" s="1"/>
  <c r="M2" i="15"/>
  <c r="V2" i="15" s="1"/>
  <c r="M33" i="15"/>
  <c r="V33" i="15" s="1"/>
  <c r="M241" i="15"/>
  <c r="V241" i="15" s="1"/>
  <c r="M16" i="15"/>
  <c r="V16" i="15" s="1"/>
  <c r="H28" i="6"/>
  <c r="I28" i="6" s="1"/>
  <c r="O28" i="6"/>
  <c r="L28" i="6"/>
  <c r="K28" i="6"/>
  <c r="M28" i="6" s="1"/>
  <c r="O11" i="6"/>
  <c r="L11" i="6"/>
  <c r="K11" i="6"/>
  <c r="M11" i="6" s="1"/>
  <c r="H11" i="6"/>
  <c r="I11" i="6" s="1"/>
  <c r="X22" i="15"/>
  <c r="I23" i="8"/>
  <c r="F23" i="8"/>
  <c r="B23" i="8"/>
  <c r="M23" i="8"/>
  <c r="O23" i="5" s="1"/>
  <c r="L23" i="8"/>
  <c r="K23" i="8"/>
  <c r="B23" i="5"/>
  <c r="E183" i="8" s="1"/>
  <c r="X29" i="15"/>
  <c r="B30" i="8"/>
  <c r="K30" i="8"/>
  <c r="M30" i="8"/>
  <c r="O30" i="5" s="1"/>
  <c r="L30" i="8"/>
  <c r="I30" i="8"/>
  <c r="F30" i="8"/>
  <c r="B30" i="5"/>
  <c r="X27" i="15"/>
  <c r="M28" i="8"/>
  <c r="O28" i="5" s="1"/>
  <c r="L28" i="8"/>
  <c r="K28" i="8"/>
  <c r="I28" i="8"/>
  <c r="F28" i="8"/>
  <c r="B28" i="8"/>
  <c r="B28" i="5"/>
  <c r="X106" i="15"/>
  <c r="I107" i="8"/>
  <c r="F107" i="8"/>
  <c r="B107" i="8"/>
  <c r="M107" i="8"/>
  <c r="O107" i="5" s="1"/>
  <c r="L107" i="8"/>
  <c r="K107" i="8"/>
  <c r="B107" i="5"/>
  <c r="X121" i="15"/>
  <c r="B122" i="8"/>
  <c r="M122" i="8"/>
  <c r="O122" i="5" s="1"/>
  <c r="K122" i="8"/>
  <c r="I122" i="8"/>
  <c r="L122" i="8"/>
  <c r="B122" i="5"/>
  <c r="F122" i="8"/>
  <c r="X136" i="15"/>
  <c r="M137" i="8"/>
  <c r="O137" i="5" s="1"/>
  <c r="L137" i="8"/>
  <c r="K137" i="8"/>
  <c r="I137" i="8"/>
  <c r="F137" i="8"/>
  <c r="B137" i="8"/>
  <c r="B137" i="5"/>
  <c r="X246" i="15"/>
  <c r="L247" i="8"/>
  <c r="F247" i="8"/>
  <c r="B247" i="8"/>
  <c r="M247" i="8"/>
  <c r="O247" i="5" s="1"/>
  <c r="K247" i="8"/>
  <c r="I247" i="8"/>
  <c r="B247" i="5"/>
  <c r="X37" i="15"/>
  <c r="B38" i="8"/>
  <c r="K38" i="8"/>
  <c r="F38" i="8"/>
  <c r="M38" i="8"/>
  <c r="O38" i="5" s="1"/>
  <c r="I38" i="8"/>
  <c r="L38" i="8"/>
  <c r="B38" i="5"/>
  <c r="X67" i="15"/>
  <c r="M68" i="8"/>
  <c r="O68" i="5" s="1"/>
  <c r="L68" i="8"/>
  <c r="K68" i="8"/>
  <c r="I68" i="8"/>
  <c r="F68" i="8"/>
  <c r="B68" i="8"/>
  <c r="B68" i="5"/>
  <c r="X79" i="15"/>
  <c r="M80" i="8"/>
  <c r="O80" i="5" s="1"/>
  <c r="L80" i="8"/>
  <c r="K80" i="8"/>
  <c r="I80" i="8"/>
  <c r="F80" i="8"/>
  <c r="B80" i="8"/>
  <c r="B80" i="5"/>
  <c r="N266" i="15"/>
  <c r="U266" i="15" s="1"/>
  <c r="K266" i="15"/>
  <c r="X206" i="15"/>
  <c r="L207" i="8"/>
  <c r="F207" i="8"/>
  <c r="B207" i="8"/>
  <c r="M207" i="8"/>
  <c r="O207" i="5" s="1"/>
  <c r="B207" i="5"/>
  <c r="K207" i="8"/>
  <c r="I207" i="8"/>
  <c r="X205" i="15"/>
  <c r="F206" i="8"/>
  <c r="B206" i="8"/>
  <c r="M206" i="8"/>
  <c r="O206" i="5" s="1"/>
  <c r="L206" i="8"/>
  <c r="K206" i="8"/>
  <c r="I206" i="8"/>
  <c r="B206" i="5"/>
  <c r="X204" i="15"/>
  <c r="L205" i="8"/>
  <c r="F205" i="8"/>
  <c r="B205" i="8"/>
  <c r="M205" i="8"/>
  <c r="O205" i="5" s="1"/>
  <c r="K205" i="8"/>
  <c r="B205" i="5"/>
  <c r="I205" i="8"/>
  <c r="X203" i="15"/>
  <c r="K204" i="8"/>
  <c r="M204" i="8"/>
  <c r="O204" i="5" s="1"/>
  <c r="L204" i="8"/>
  <c r="I204" i="8"/>
  <c r="F204" i="8"/>
  <c r="B204" i="8"/>
  <c r="B204" i="5"/>
  <c r="X26" i="15"/>
  <c r="I27" i="8"/>
  <c r="F27" i="8"/>
  <c r="B27" i="8"/>
  <c r="M27" i="8"/>
  <c r="O27" i="5" s="1"/>
  <c r="L27" i="8"/>
  <c r="K27" i="8"/>
  <c r="B27" i="5"/>
  <c r="X41" i="15"/>
  <c r="B42" i="8"/>
  <c r="K42" i="8"/>
  <c r="M42" i="8"/>
  <c r="O42" i="5" s="1"/>
  <c r="L42" i="8"/>
  <c r="I42" i="8"/>
  <c r="B42" i="5"/>
  <c r="F42" i="8"/>
  <c r="X56" i="15"/>
  <c r="M57" i="8"/>
  <c r="O57" i="5" s="1"/>
  <c r="L57" i="8"/>
  <c r="K57" i="8"/>
  <c r="F57" i="8"/>
  <c r="I57" i="8"/>
  <c r="B57" i="8"/>
  <c r="B57" i="5"/>
  <c r="X103" i="15"/>
  <c r="M104" i="8"/>
  <c r="O104" i="5" s="1"/>
  <c r="L104" i="8"/>
  <c r="K104" i="8"/>
  <c r="I104" i="8"/>
  <c r="F104" i="8"/>
  <c r="B104" i="8"/>
  <c r="B104" i="5"/>
  <c r="X166" i="15"/>
  <c r="I167" i="8"/>
  <c r="F167" i="8"/>
  <c r="B167" i="8"/>
  <c r="M167" i="8"/>
  <c r="O167" i="5" s="1"/>
  <c r="L167" i="8"/>
  <c r="B167" i="5"/>
  <c r="K167" i="8"/>
  <c r="X213" i="15"/>
  <c r="F214" i="8"/>
  <c r="B214" i="8"/>
  <c r="M214" i="8"/>
  <c r="O214" i="5" s="1"/>
  <c r="L214" i="8"/>
  <c r="K214" i="8"/>
  <c r="I214" i="8"/>
  <c r="B214" i="5"/>
  <c r="X228" i="15"/>
  <c r="L229" i="8"/>
  <c r="M229" i="8"/>
  <c r="O229" i="5" s="1"/>
  <c r="K229" i="8"/>
  <c r="I229" i="8"/>
  <c r="F229" i="8"/>
  <c r="B229" i="8"/>
  <c r="B229" i="5"/>
  <c r="X243" i="15"/>
  <c r="L244" i="8"/>
  <c r="K244" i="8"/>
  <c r="M244" i="8"/>
  <c r="O244" i="5" s="1"/>
  <c r="I244" i="8"/>
  <c r="F244" i="8"/>
  <c r="B244" i="8"/>
  <c r="B244" i="5"/>
  <c r="X258" i="15"/>
  <c r="L259" i="8"/>
  <c r="K259" i="8"/>
  <c r="F259" i="8"/>
  <c r="B259" i="8"/>
  <c r="M259" i="8"/>
  <c r="O259" i="5" s="1"/>
  <c r="I259" i="8"/>
  <c r="B259" i="5"/>
  <c r="X255" i="15"/>
  <c r="L256" i="8"/>
  <c r="K256" i="8"/>
  <c r="M256" i="8"/>
  <c r="O256" i="5" s="1"/>
  <c r="I256" i="8"/>
  <c r="F256" i="8"/>
  <c r="B256" i="8"/>
  <c r="B256" i="5"/>
  <c r="P242" i="5"/>
  <c r="Q242" i="5"/>
  <c r="R242" i="5" s="1"/>
  <c r="N242" i="5"/>
  <c r="M240" i="15"/>
  <c r="V240" i="15" s="1"/>
  <c r="H12" i="6"/>
  <c r="I12" i="6" s="1"/>
  <c r="O12" i="6"/>
  <c r="L12" i="6"/>
  <c r="K12" i="6"/>
  <c r="M12" i="6" s="1"/>
  <c r="O18" i="6"/>
  <c r="L18" i="6"/>
  <c r="K18" i="6"/>
  <c r="M18" i="6" s="1"/>
  <c r="H18" i="6"/>
  <c r="I18" i="6" s="1"/>
  <c r="X190" i="15"/>
  <c r="F191" i="8"/>
  <c r="M191" i="8"/>
  <c r="O191" i="5" s="1"/>
  <c r="L191" i="8"/>
  <c r="K191" i="8"/>
  <c r="I191" i="8"/>
  <c r="B191" i="8"/>
  <c r="B191" i="5"/>
  <c r="X189" i="15"/>
  <c r="B190" i="8"/>
  <c r="F190" i="8"/>
  <c r="M190" i="8"/>
  <c r="O190" i="5" s="1"/>
  <c r="L190" i="8"/>
  <c r="K190" i="8"/>
  <c r="I190" i="8"/>
  <c r="B190" i="5"/>
  <c r="X188" i="15"/>
  <c r="M189" i="8"/>
  <c r="O189" i="5" s="1"/>
  <c r="L189" i="8"/>
  <c r="K189" i="8"/>
  <c r="I189" i="8"/>
  <c r="F189" i="8"/>
  <c r="B189" i="5"/>
  <c r="B189" i="8"/>
  <c r="X187" i="15"/>
  <c r="M188" i="8"/>
  <c r="O188" i="5" s="1"/>
  <c r="L188" i="8"/>
  <c r="K188" i="8"/>
  <c r="I188" i="8"/>
  <c r="F188" i="8"/>
  <c r="B188" i="8"/>
  <c r="B188" i="5"/>
  <c r="X10" i="15"/>
  <c r="I11" i="8"/>
  <c r="F11" i="8"/>
  <c r="B11" i="8"/>
  <c r="M11" i="8"/>
  <c r="O11" i="5" s="1"/>
  <c r="L11" i="8"/>
  <c r="B11" i="5"/>
  <c r="K11" i="8"/>
  <c r="X25" i="15"/>
  <c r="D26" i="8"/>
  <c r="N26" i="8" s="1"/>
  <c r="J26" i="8" s="1"/>
  <c r="B26" i="8"/>
  <c r="K26" i="8"/>
  <c r="F26" i="8"/>
  <c r="M26" i="8"/>
  <c r="O26" i="5" s="1"/>
  <c r="L26" i="8"/>
  <c r="B26" i="5"/>
  <c r="I26" i="8"/>
  <c r="X40" i="15"/>
  <c r="M41" i="8"/>
  <c r="O41" i="5" s="1"/>
  <c r="L41" i="8"/>
  <c r="K41" i="8"/>
  <c r="F41" i="8"/>
  <c r="B41" i="8"/>
  <c r="I41" i="8"/>
  <c r="B41" i="5"/>
  <c r="X87" i="15"/>
  <c r="M88" i="8"/>
  <c r="O88" i="5" s="1"/>
  <c r="L88" i="8"/>
  <c r="K88" i="8"/>
  <c r="I88" i="8"/>
  <c r="F88" i="8"/>
  <c r="B88" i="8"/>
  <c r="B88" i="5"/>
  <c r="X150" i="15"/>
  <c r="I151" i="8"/>
  <c r="F151" i="8"/>
  <c r="B151" i="8"/>
  <c r="M151" i="8"/>
  <c r="O151" i="5" s="1"/>
  <c r="L151" i="8"/>
  <c r="K151" i="8"/>
  <c r="B151" i="5"/>
  <c r="X197" i="15"/>
  <c r="B198" i="8"/>
  <c r="F198" i="8"/>
  <c r="M198" i="8"/>
  <c r="O198" i="5" s="1"/>
  <c r="L198" i="8"/>
  <c r="K198" i="8"/>
  <c r="B198" i="5"/>
  <c r="I198" i="8"/>
  <c r="X212" i="15"/>
  <c r="L213" i="8"/>
  <c r="F213" i="8"/>
  <c r="B213" i="8"/>
  <c r="M213" i="8"/>
  <c r="O213" i="5" s="1"/>
  <c r="K213" i="8"/>
  <c r="I213" i="8"/>
  <c r="B213" i="5"/>
  <c r="X227" i="15"/>
  <c r="K228" i="8"/>
  <c r="L228" i="8"/>
  <c r="I228" i="8"/>
  <c r="F228" i="8"/>
  <c r="B228" i="8"/>
  <c r="B228" i="5"/>
  <c r="M228" i="8"/>
  <c r="O228" i="5" s="1"/>
  <c r="X242" i="15"/>
  <c r="L243" i="8"/>
  <c r="F243" i="8"/>
  <c r="B243" i="8"/>
  <c r="I243" i="8"/>
  <c r="M243" i="8"/>
  <c r="O243" i="5" s="1"/>
  <c r="K243" i="8"/>
  <c r="B243" i="5"/>
  <c r="X239" i="15"/>
  <c r="L240" i="8"/>
  <c r="K240" i="8"/>
  <c r="M240" i="8"/>
  <c r="O240" i="5" s="1"/>
  <c r="I240" i="8"/>
  <c r="F240" i="8"/>
  <c r="B240" i="8"/>
  <c r="B240" i="5"/>
  <c r="D8" i="12"/>
  <c r="D33" i="13" s="1"/>
  <c r="M65" i="15"/>
  <c r="V65" i="15" s="1"/>
  <c r="M17" i="15"/>
  <c r="V17" i="15" s="1"/>
  <c r="M129" i="15"/>
  <c r="V129" i="15" s="1"/>
  <c r="H19" i="6"/>
  <c r="I19" i="6" s="1"/>
  <c r="O19" i="6"/>
  <c r="K19" i="6"/>
  <c r="M19" i="6" s="1"/>
  <c r="L19" i="6"/>
  <c r="O25" i="6"/>
  <c r="L25" i="6"/>
  <c r="H25" i="6"/>
  <c r="I25" i="6" s="1"/>
  <c r="K25" i="6"/>
  <c r="M25" i="6" s="1"/>
  <c r="X46" i="15"/>
  <c r="I47" i="8"/>
  <c r="F47" i="8"/>
  <c r="B47" i="8"/>
  <c r="M47" i="8"/>
  <c r="O47" i="5" s="1"/>
  <c r="L47" i="8"/>
  <c r="K47" i="8"/>
  <c r="B47" i="5"/>
  <c r="X174" i="15"/>
  <c r="I175" i="8"/>
  <c r="F175" i="8"/>
  <c r="B175" i="8"/>
  <c r="M175" i="8"/>
  <c r="O175" i="5" s="1"/>
  <c r="L175" i="8"/>
  <c r="K175" i="8"/>
  <c r="B175" i="5"/>
  <c r="X173" i="15"/>
  <c r="B174" i="8"/>
  <c r="M174" i="8"/>
  <c r="O174" i="5" s="1"/>
  <c r="L174" i="8"/>
  <c r="K174" i="8"/>
  <c r="I174" i="8"/>
  <c r="F174" i="8"/>
  <c r="B174" i="5"/>
  <c r="X172" i="15"/>
  <c r="M173" i="8"/>
  <c r="O173" i="5" s="1"/>
  <c r="L173" i="8"/>
  <c r="K173" i="8"/>
  <c r="I173" i="8"/>
  <c r="F173" i="8"/>
  <c r="B173" i="5"/>
  <c r="B173" i="8"/>
  <c r="X171" i="15"/>
  <c r="M172" i="8"/>
  <c r="O172" i="5" s="1"/>
  <c r="L172" i="8"/>
  <c r="K172" i="8"/>
  <c r="I172" i="8"/>
  <c r="F172" i="8"/>
  <c r="B172" i="8"/>
  <c r="B172" i="5"/>
  <c r="X250" i="15"/>
  <c r="L251" i="8"/>
  <c r="F251" i="8"/>
  <c r="B251" i="8"/>
  <c r="M251" i="8"/>
  <c r="O251" i="5" s="1"/>
  <c r="K251" i="8"/>
  <c r="I251" i="8"/>
  <c r="B251" i="5"/>
  <c r="X9" i="15"/>
  <c r="B10" i="8"/>
  <c r="M10" i="8"/>
  <c r="O10" i="5" s="1"/>
  <c r="L10" i="8"/>
  <c r="K10" i="8"/>
  <c r="I10" i="8"/>
  <c r="F10" i="8"/>
  <c r="B10" i="5"/>
  <c r="X24" i="15"/>
  <c r="M25" i="8"/>
  <c r="O25" i="5" s="1"/>
  <c r="L25" i="8"/>
  <c r="K25" i="8"/>
  <c r="I25" i="8"/>
  <c r="F25" i="8"/>
  <c r="B25" i="8"/>
  <c r="B25" i="5"/>
  <c r="X71" i="15"/>
  <c r="M72" i="8"/>
  <c r="O72" i="5" s="1"/>
  <c r="L72" i="8"/>
  <c r="K72" i="8"/>
  <c r="I72" i="8"/>
  <c r="F72" i="8"/>
  <c r="B72" i="8"/>
  <c r="B72" i="5"/>
  <c r="X134" i="15"/>
  <c r="I135" i="8"/>
  <c r="F135" i="8"/>
  <c r="B135" i="8"/>
  <c r="M135" i="8"/>
  <c r="O135" i="5" s="1"/>
  <c r="L135" i="8"/>
  <c r="B135" i="5"/>
  <c r="K135" i="8"/>
  <c r="X181" i="15"/>
  <c r="B182" i="8"/>
  <c r="M182" i="8"/>
  <c r="O182" i="5" s="1"/>
  <c r="L182" i="8"/>
  <c r="K182" i="8"/>
  <c r="I182" i="8"/>
  <c r="B182" i="5"/>
  <c r="F182" i="8"/>
  <c r="X196" i="15"/>
  <c r="L197" i="8"/>
  <c r="M197" i="8"/>
  <c r="O197" i="5" s="1"/>
  <c r="K197" i="8"/>
  <c r="I197" i="8"/>
  <c r="F197" i="8"/>
  <c r="B197" i="8"/>
  <c r="B197" i="5"/>
  <c r="X211" i="15"/>
  <c r="K212" i="8"/>
  <c r="M212" i="8"/>
  <c r="O212" i="5" s="1"/>
  <c r="L212" i="8"/>
  <c r="I212" i="8"/>
  <c r="F212" i="8"/>
  <c r="B212" i="8"/>
  <c r="B212" i="5"/>
  <c r="X226" i="15"/>
  <c r="L227" i="8"/>
  <c r="F227" i="8"/>
  <c r="M227" i="8"/>
  <c r="O227" i="5" s="1"/>
  <c r="K227" i="8"/>
  <c r="I227" i="8"/>
  <c r="B227" i="8"/>
  <c r="B227" i="5"/>
  <c r="X223" i="15"/>
  <c r="K224" i="8"/>
  <c r="M224" i="8"/>
  <c r="O224" i="5" s="1"/>
  <c r="L224" i="8"/>
  <c r="I224" i="8"/>
  <c r="F224" i="8"/>
  <c r="B224" i="8"/>
  <c r="B224" i="5"/>
  <c r="M97" i="15"/>
  <c r="V97" i="15" s="1"/>
  <c r="P3" i="5"/>
  <c r="Q3" i="5"/>
  <c r="R3" i="5" s="1"/>
  <c r="N3" i="5"/>
  <c r="D12" i="12"/>
  <c r="D37" i="13" s="1"/>
  <c r="M192" i="15"/>
  <c r="V192" i="15" s="1"/>
  <c r="M49" i="15"/>
  <c r="V49" i="15" s="1"/>
  <c r="M32" i="15"/>
  <c r="V32" i="15" s="1"/>
  <c r="H3" i="6"/>
  <c r="I3" i="6" s="1"/>
  <c r="O3" i="6"/>
  <c r="K3" i="6"/>
  <c r="L3" i="6"/>
  <c r="O7" i="6"/>
  <c r="L7" i="6"/>
  <c r="K7" i="6"/>
  <c r="M7" i="6" s="1"/>
  <c r="H7" i="6"/>
  <c r="I7" i="6" s="1"/>
  <c r="X60" i="15"/>
  <c r="M61" i="8"/>
  <c r="O61" i="5" s="1"/>
  <c r="L61" i="8"/>
  <c r="K61" i="8"/>
  <c r="F61" i="8"/>
  <c r="I61" i="8"/>
  <c r="B61" i="8"/>
  <c r="B61" i="5"/>
  <c r="X168" i="15"/>
  <c r="M169" i="8"/>
  <c r="O169" i="5" s="1"/>
  <c r="L169" i="8"/>
  <c r="K169" i="8"/>
  <c r="I169" i="8"/>
  <c r="F169" i="8"/>
  <c r="B169" i="8"/>
  <c r="B169" i="5"/>
  <c r="X69" i="15"/>
  <c r="B70" i="8"/>
  <c r="K70" i="8"/>
  <c r="B70" i="5"/>
  <c r="M70" i="8"/>
  <c r="O70" i="5" s="1"/>
  <c r="L70" i="8"/>
  <c r="I70" i="8"/>
  <c r="F70" i="8"/>
  <c r="X114" i="15"/>
  <c r="I115" i="8"/>
  <c r="F115" i="8"/>
  <c r="B115" i="8"/>
  <c r="M115" i="8"/>
  <c r="O115" i="5" s="1"/>
  <c r="L115" i="8"/>
  <c r="K115" i="8"/>
  <c r="B115" i="5"/>
  <c r="N267" i="15"/>
  <c r="U267" i="15" s="1"/>
  <c r="K267" i="15"/>
  <c r="T268" i="15"/>
  <c r="R268" i="15"/>
  <c r="P268" i="15"/>
  <c r="S268" i="15"/>
  <c r="Q268" i="15"/>
  <c r="O268" i="15"/>
  <c r="X158" i="15"/>
  <c r="I159" i="8"/>
  <c r="F159" i="8"/>
  <c r="B159" i="8"/>
  <c r="M159" i="8"/>
  <c r="O159" i="5" s="1"/>
  <c r="L159" i="8"/>
  <c r="B159" i="5"/>
  <c r="K159" i="8"/>
  <c r="X157" i="15"/>
  <c r="B158" i="8"/>
  <c r="M158" i="8"/>
  <c r="O158" i="5" s="1"/>
  <c r="L158" i="8"/>
  <c r="K158" i="8"/>
  <c r="I158" i="8"/>
  <c r="B158" i="5"/>
  <c r="F158" i="8"/>
  <c r="X156" i="15"/>
  <c r="M157" i="8"/>
  <c r="O157" i="5" s="1"/>
  <c r="L157" i="8"/>
  <c r="K157" i="8"/>
  <c r="I157" i="8"/>
  <c r="F157" i="8"/>
  <c r="B157" i="5"/>
  <c r="B157" i="8"/>
  <c r="X155" i="15"/>
  <c r="M156" i="8"/>
  <c r="O156" i="5" s="1"/>
  <c r="L156" i="8"/>
  <c r="K156" i="8"/>
  <c r="I156" i="8"/>
  <c r="F156" i="8"/>
  <c r="B156" i="8"/>
  <c r="B156" i="5"/>
  <c r="X234" i="15"/>
  <c r="L235" i="8"/>
  <c r="F235" i="8"/>
  <c r="M235" i="8"/>
  <c r="O235" i="5" s="1"/>
  <c r="K235" i="8"/>
  <c r="I235" i="8"/>
  <c r="B235" i="8"/>
  <c r="B235" i="5"/>
  <c r="X249" i="15"/>
  <c r="F250" i="8"/>
  <c r="B250" i="8"/>
  <c r="I250" i="8"/>
  <c r="M250" i="8"/>
  <c r="O250" i="5" s="1"/>
  <c r="B250" i="5"/>
  <c r="K250" i="8"/>
  <c r="L250" i="8"/>
  <c r="X264" i="15"/>
  <c r="B265" i="8"/>
  <c r="L265" i="8"/>
  <c r="K265" i="8"/>
  <c r="M265" i="8"/>
  <c r="O265" i="5" s="1"/>
  <c r="I265" i="8"/>
  <c r="F265" i="8"/>
  <c r="B265" i="5"/>
  <c r="X8" i="15"/>
  <c r="M9" i="8"/>
  <c r="O9" i="5" s="1"/>
  <c r="L9" i="8"/>
  <c r="K9" i="8"/>
  <c r="I9" i="8"/>
  <c r="F9" i="8"/>
  <c r="D9" i="8"/>
  <c r="N9" i="8" s="1"/>
  <c r="J9" i="8" s="1"/>
  <c r="B9" i="8"/>
  <c r="B9" i="5"/>
  <c r="X55" i="15"/>
  <c r="M56" i="8"/>
  <c r="O56" i="5" s="1"/>
  <c r="L56" i="8"/>
  <c r="K56" i="8"/>
  <c r="I56" i="8"/>
  <c r="F56" i="8"/>
  <c r="B56" i="8"/>
  <c r="B56" i="5"/>
  <c r="X118" i="15"/>
  <c r="I119" i="8"/>
  <c r="F119" i="8"/>
  <c r="B119" i="8"/>
  <c r="M119" i="8"/>
  <c r="O119" i="5" s="1"/>
  <c r="L119" i="8"/>
  <c r="B119" i="5"/>
  <c r="K119" i="8"/>
  <c r="X165" i="15"/>
  <c r="B166" i="8"/>
  <c r="M166" i="8"/>
  <c r="O166" i="5" s="1"/>
  <c r="L166" i="8"/>
  <c r="K166" i="8"/>
  <c r="I166" i="8"/>
  <c r="F166" i="8"/>
  <c r="B166" i="5"/>
  <c r="X180" i="15"/>
  <c r="M181" i="8"/>
  <c r="O181" i="5" s="1"/>
  <c r="L181" i="8"/>
  <c r="K181" i="8"/>
  <c r="I181" i="8"/>
  <c r="F181" i="8"/>
  <c r="B181" i="8"/>
  <c r="B181" i="5"/>
  <c r="X195" i="15"/>
  <c r="K196" i="8"/>
  <c r="M196" i="8"/>
  <c r="O196" i="5" s="1"/>
  <c r="L196" i="8"/>
  <c r="I196" i="8"/>
  <c r="F196" i="8"/>
  <c r="B196" i="8"/>
  <c r="B196" i="5"/>
  <c r="X210" i="15"/>
  <c r="L211" i="8"/>
  <c r="F211" i="8"/>
  <c r="B211" i="8"/>
  <c r="M211" i="8"/>
  <c r="O211" i="5" s="1"/>
  <c r="K211" i="8"/>
  <c r="I211" i="8"/>
  <c r="B211" i="5"/>
  <c r="X207" i="15"/>
  <c r="K208" i="8"/>
  <c r="M208" i="8"/>
  <c r="O208" i="5" s="1"/>
  <c r="L208" i="8"/>
  <c r="I208" i="8"/>
  <c r="F208" i="8"/>
  <c r="B208" i="8"/>
  <c r="B208" i="5"/>
  <c r="J1" i="7"/>
  <c r="M81" i="15"/>
  <c r="V81" i="15" s="1"/>
  <c r="D16" i="12"/>
  <c r="K26" i="6"/>
  <c r="M26" i="6" s="1"/>
  <c r="H26" i="6"/>
  <c r="I26" i="6" s="1"/>
  <c r="O26" i="6"/>
  <c r="L26" i="6"/>
  <c r="O23" i="6"/>
  <c r="L23" i="6"/>
  <c r="K23" i="6"/>
  <c r="M23" i="6" s="1"/>
  <c r="H23" i="6"/>
  <c r="I23" i="6" s="1"/>
  <c r="X30" i="15"/>
  <c r="I31" i="8"/>
  <c r="F31" i="8"/>
  <c r="B31" i="8"/>
  <c r="M31" i="8"/>
  <c r="O31" i="5" s="1"/>
  <c r="L31" i="8"/>
  <c r="K31" i="8"/>
  <c r="B31" i="5"/>
  <c r="X52" i="15"/>
  <c r="M53" i="8"/>
  <c r="O53" i="5" s="1"/>
  <c r="L53" i="8"/>
  <c r="K53" i="8"/>
  <c r="F53" i="8"/>
  <c r="I53" i="8"/>
  <c r="B53" i="8"/>
  <c r="B53" i="5"/>
  <c r="X142" i="15"/>
  <c r="I143" i="8"/>
  <c r="F143" i="8"/>
  <c r="B143" i="8"/>
  <c r="M143" i="8"/>
  <c r="O143" i="5" s="1"/>
  <c r="L143" i="8"/>
  <c r="K143" i="8"/>
  <c r="B143" i="5"/>
  <c r="X141" i="15"/>
  <c r="B142" i="8"/>
  <c r="M142" i="8"/>
  <c r="O142" i="5" s="1"/>
  <c r="L142" i="8"/>
  <c r="K142" i="8"/>
  <c r="I142" i="8"/>
  <c r="F142" i="8"/>
  <c r="B142" i="5"/>
  <c r="X140" i="15"/>
  <c r="M141" i="8"/>
  <c r="O141" i="5" s="1"/>
  <c r="L141" i="8"/>
  <c r="K141" i="8"/>
  <c r="I141" i="8"/>
  <c r="F141" i="8"/>
  <c r="B141" i="5"/>
  <c r="B141" i="8"/>
  <c r="X139" i="15"/>
  <c r="M140" i="8"/>
  <c r="O140" i="5" s="1"/>
  <c r="L140" i="8"/>
  <c r="K140" i="8"/>
  <c r="I140" i="8"/>
  <c r="F140" i="8"/>
  <c r="B140" i="8"/>
  <c r="B140" i="5"/>
  <c r="X218" i="15"/>
  <c r="L219" i="8"/>
  <c r="F219" i="8"/>
  <c r="M219" i="8"/>
  <c r="O219" i="5" s="1"/>
  <c r="K219" i="8"/>
  <c r="I219" i="8"/>
  <c r="B219" i="8"/>
  <c r="B219" i="5"/>
  <c r="X233" i="15"/>
  <c r="F234" i="8"/>
  <c r="B234" i="8"/>
  <c r="I234" i="8"/>
  <c r="M234" i="8"/>
  <c r="O234" i="5" s="1"/>
  <c r="B234" i="5"/>
  <c r="L234" i="8"/>
  <c r="K234" i="8"/>
  <c r="X248" i="15"/>
  <c r="L249" i="8"/>
  <c r="K249" i="8"/>
  <c r="M249" i="8"/>
  <c r="O249" i="5" s="1"/>
  <c r="I249" i="8"/>
  <c r="F249" i="8"/>
  <c r="B249" i="8"/>
  <c r="B249" i="5"/>
  <c r="X39" i="15"/>
  <c r="M40" i="8"/>
  <c r="O40" i="5" s="1"/>
  <c r="L40" i="8"/>
  <c r="K40" i="8"/>
  <c r="I40" i="8"/>
  <c r="F40" i="8"/>
  <c r="B40" i="8"/>
  <c r="B40" i="5"/>
  <c r="X102" i="15"/>
  <c r="I103" i="8"/>
  <c r="F103" i="8"/>
  <c r="B103" i="8"/>
  <c r="M103" i="8"/>
  <c r="O103" i="5" s="1"/>
  <c r="L103" i="8"/>
  <c r="K103" i="8"/>
  <c r="B103" i="5"/>
  <c r="X149" i="15"/>
  <c r="B150" i="8"/>
  <c r="M150" i="8"/>
  <c r="O150" i="5" s="1"/>
  <c r="L150" i="8"/>
  <c r="K150" i="8"/>
  <c r="I150" i="8"/>
  <c r="B150" i="5"/>
  <c r="F150" i="8"/>
  <c r="X164" i="15"/>
  <c r="M165" i="8"/>
  <c r="O165" i="5" s="1"/>
  <c r="L165" i="8"/>
  <c r="K165" i="8"/>
  <c r="I165" i="8"/>
  <c r="F165" i="8"/>
  <c r="B165" i="8"/>
  <c r="B165" i="5"/>
  <c r="X179" i="15"/>
  <c r="M180" i="8"/>
  <c r="O180" i="5" s="1"/>
  <c r="L180" i="8"/>
  <c r="K180" i="8"/>
  <c r="I180" i="8"/>
  <c r="F180" i="8"/>
  <c r="B180" i="8"/>
  <c r="B180" i="5"/>
  <c r="X194" i="15"/>
  <c r="F195" i="8"/>
  <c r="B195" i="8"/>
  <c r="M195" i="8"/>
  <c r="O195" i="5" s="1"/>
  <c r="L195" i="8"/>
  <c r="K195" i="8"/>
  <c r="I195" i="8"/>
  <c r="B195" i="5"/>
  <c r="X191" i="15"/>
  <c r="K192" i="8"/>
  <c r="M192" i="8"/>
  <c r="O192" i="5" s="1"/>
  <c r="L192" i="8"/>
  <c r="I192" i="8"/>
  <c r="F192" i="8"/>
  <c r="B192" i="8"/>
  <c r="B192" i="5"/>
  <c r="Q225" i="5"/>
  <c r="R225" i="5" s="1"/>
  <c r="P225" i="5"/>
  <c r="N225" i="5"/>
  <c r="D5" i="12"/>
  <c r="N255" i="5"/>
  <c r="P255" i="5"/>
  <c r="Q255" i="5"/>
  <c r="R255" i="5" s="1"/>
  <c r="K10" i="6"/>
  <c r="M10" i="6" s="1"/>
  <c r="H10" i="6"/>
  <c r="I10" i="6" s="1"/>
  <c r="O10" i="6"/>
  <c r="L10" i="6"/>
  <c r="O16" i="6"/>
  <c r="K16" i="6"/>
  <c r="M16" i="6" s="1"/>
  <c r="L16" i="6"/>
  <c r="H16" i="6"/>
  <c r="I16" i="6" s="1"/>
  <c r="X45" i="15"/>
  <c r="B46" i="8"/>
  <c r="K46" i="8"/>
  <c r="M46" i="8"/>
  <c r="O46" i="5" s="1"/>
  <c r="L46" i="8"/>
  <c r="I46" i="8"/>
  <c r="F46" i="8"/>
  <c r="B46" i="5"/>
  <c r="X44" i="15"/>
  <c r="M45" i="8"/>
  <c r="O45" i="5" s="1"/>
  <c r="L45" i="8"/>
  <c r="K45" i="8"/>
  <c r="F45" i="8"/>
  <c r="B45" i="8"/>
  <c r="I45" i="8"/>
  <c r="B45" i="5"/>
  <c r="X43" i="15"/>
  <c r="M44" i="8"/>
  <c r="O44" i="5" s="1"/>
  <c r="L44" i="8"/>
  <c r="K44" i="8"/>
  <c r="I44" i="8"/>
  <c r="F44" i="8"/>
  <c r="B44" i="8"/>
  <c r="B44" i="5"/>
  <c r="X152" i="15"/>
  <c r="M153" i="8"/>
  <c r="O153" i="5" s="1"/>
  <c r="L153" i="8"/>
  <c r="K153" i="8"/>
  <c r="I153" i="8"/>
  <c r="F153" i="8"/>
  <c r="B153" i="8"/>
  <c r="B153" i="5"/>
  <c r="X199" i="15"/>
  <c r="K200" i="8"/>
  <c r="B200" i="8"/>
  <c r="M200" i="8"/>
  <c r="O200" i="5" s="1"/>
  <c r="L200" i="8"/>
  <c r="I200" i="8"/>
  <c r="F200" i="8"/>
  <c r="B200" i="5"/>
  <c r="X262" i="15"/>
  <c r="L263" i="8"/>
  <c r="K263" i="8"/>
  <c r="F263" i="8"/>
  <c r="B263" i="8"/>
  <c r="M263" i="8"/>
  <c r="O263" i="5" s="1"/>
  <c r="I263" i="8"/>
  <c r="B263" i="5"/>
  <c r="X53" i="15"/>
  <c r="B54" i="8"/>
  <c r="K54" i="8"/>
  <c r="B54" i="5"/>
  <c r="M54" i="8"/>
  <c r="O54" i="5" s="1"/>
  <c r="L54" i="8"/>
  <c r="I54" i="8"/>
  <c r="F54" i="8"/>
  <c r="X98" i="15"/>
  <c r="I99" i="8"/>
  <c r="F99" i="8"/>
  <c r="B99" i="8"/>
  <c r="M99" i="8"/>
  <c r="O99" i="5" s="1"/>
  <c r="L99" i="8"/>
  <c r="B99" i="5"/>
  <c r="K99" i="8"/>
  <c r="X126" i="15"/>
  <c r="I127" i="8"/>
  <c r="F127" i="8"/>
  <c r="B127" i="8"/>
  <c r="M127" i="8"/>
  <c r="O127" i="5" s="1"/>
  <c r="L127" i="8"/>
  <c r="B127" i="5"/>
  <c r="K127" i="8"/>
  <c r="X125" i="15"/>
  <c r="B126" i="8"/>
  <c r="M126" i="8"/>
  <c r="O126" i="5" s="1"/>
  <c r="K126" i="8"/>
  <c r="I126" i="8"/>
  <c r="B126" i="5"/>
  <c r="F126" i="8"/>
  <c r="L126" i="8"/>
  <c r="X124" i="15"/>
  <c r="M125" i="8"/>
  <c r="O125" i="5" s="1"/>
  <c r="L125" i="8"/>
  <c r="K125" i="8"/>
  <c r="I125" i="8"/>
  <c r="F125" i="8"/>
  <c r="B125" i="8"/>
  <c r="B125" i="5"/>
  <c r="X123" i="15"/>
  <c r="M124" i="8"/>
  <c r="O124" i="5" s="1"/>
  <c r="L124" i="8"/>
  <c r="K124" i="8"/>
  <c r="I124" i="8"/>
  <c r="F124" i="8"/>
  <c r="B124" i="8"/>
  <c r="B124" i="5"/>
  <c r="X202" i="15"/>
  <c r="L203" i="8"/>
  <c r="F203" i="8"/>
  <c r="I203" i="8"/>
  <c r="B203" i="8"/>
  <c r="M203" i="8"/>
  <c r="O203" i="5" s="1"/>
  <c r="K203" i="8"/>
  <c r="B203" i="5"/>
  <c r="X217" i="15"/>
  <c r="F218" i="8"/>
  <c r="B218" i="8"/>
  <c r="M218" i="8"/>
  <c r="O218" i="5" s="1"/>
  <c r="L218" i="8"/>
  <c r="K218" i="8"/>
  <c r="I218" i="8"/>
  <c r="B218" i="5"/>
  <c r="X232" i="15"/>
  <c r="L233" i="8"/>
  <c r="M233" i="8"/>
  <c r="O233" i="5" s="1"/>
  <c r="K233" i="8"/>
  <c r="I233" i="8"/>
  <c r="F233" i="8"/>
  <c r="B233" i="8"/>
  <c r="B233" i="5"/>
  <c r="X23" i="15"/>
  <c r="M24" i="8"/>
  <c r="O24" i="5" s="1"/>
  <c r="L24" i="8"/>
  <c r="K24" i="8"/>
  <c r="I24" i="8"/>
  <c r="F24" i="8"/>
  <c r="B24" i="8"/>
  <c r="B24" i="5"/>
  <c r="X86" i="15"/>
  <c r="I87" i="8"/>
  <c r="F87" i="8"/>
  <c r="B87" i="8"/>
  <c r="M87" i="8"/>
  <c r="O87" i="5" s="1"/>
  <c r="L87" i="8"/>
  <c r="K87" i="8"/>
  <c r="B87" i="5"/>
  <c r="X133" i="15"/>
  <c r="B134" i="8"/>
  <c r="M134" i="8"/>
  <c r="O134" i="5" s="1"/>
  <c r="L134" i="8"/>
  <c r="K134" i="8"/>
  <c r="I134" i="8"/>
  <c r="F134" i="8"/>
  <c r="B134" i="5"/>
  <c r="X148" i="15"/>
  <c r="M149" i="8"/>
  <c r="O149" i="5" s="1"/>
  <c r="L149" i="8"/>
  <c r="K149" i="8"/>
  <c r="I149" i="8"/>
  <c r="F149" i="8"/>
  <c r="B149" i="8"/>
  <c r="B149" i="5"/>
  <c r="X163" i="15"/>
  <c r="M164" i="8"/>
  <c r="O164" i="5" s="1"/>
  <c r="L164" i="8"/>
  <c r="K164" i="8"/>
  <c r="I164" i="8"/>
  <c r="F164" i="8"/>
  <c r="B164" i="8"/>
  <c r="B164" i="5"/>
  <c r="X178" i="15"/>
  <c r="I179" i="8"/>
  <c r="F179" i="8"/>
  <c r="B179" i="8"/>
  <c r="M179" i="8"/>
  <c r="O179" i="5" s="1"/>
  <c r="L179" i="8"/>
  <c r="B179" i="5"/>
  <c r="K179" i="8"/>
  <c r="X175" i="15"/>
  <c r="M176" i="8"/>
  <c r="O176" i="5" s="1"/>
  <c r="L176" i="8"/>
  <c r="K176" i="8"/>
  <c r="I176" i="8"/>
  <c r="F176" i="8"/>
  <c r="B176" i="8"/>
  <c r="B176" i="5"/>
  <c r="M208" i="15"/>
  <c r="V208" i="15" s="1"/>
  <c r="D9" i="12"/>
  <c r="D34" i="13" s="1"/>
  <c r="M161" i="15"/>
  <c r="V161" i="15" s="1"/>
  <c r="M144" i="15"/>
  <c r="V144" i="15" s="1"/>
  <c r="L17" i="6"/>
  <c r="K17" i="6"/>
  <c r="M17" i="6" s="1"/>
  <c r="H17" i="6"/>
  <c r="I17" i="6" s="1"/>
  <c r="O17" i="6"/>
  <c r="O4" i="6"/>
  <c r="L4" i="6"/>
  <c r="K4" i="6"/>
  <c r="M4" i="6" s="1"/>
  <c r="H4" i="6"/>
  <c r="I4" i="6" s="1"/>
  <c r="X62" i="15"/>
  <c r="I63" i="8"/>
  <c r="F63" i="8"/>
  <c r="B63" i="8"/>
  <c r="L63" i="8"/>
  <c r="M63" i="8"/>
  <c r="O63" i="5" s="1"/>
  <c r="K63" i="8"/>
  <c r="B63" i="5"/>
  <c r="X111" i="15"/>
  <c r="M112" i="8"/>
  <c r="O112" i="5" s="1"/>
  <c r="L112" i="8"/>
  <c r="K112" i="8"/>
  <c r="I112" i="8"/>
  <c r="F112" i="8"/>
  <c r="B112" i="8"/>
  <c r="B112" i="5"/>
  <c r="M209" i="15"/>
  <c r="V209" i="15" s="1"/>
  <c r="X68" i="15"/>
  <c r="M69" i="8"/>
  <c r="O69" i="5" s="1"/>
  <c r="L69" i="8"/>
  <c r="K69" i="8"/>
  <c r="F69" i="8"/>
  <c r="I69" i="8"/>
  <c r="B69" i="5"/>
  <c r="B69" i="8"/>
  <c r="X110" i="15"/>
  <c r="I111" i="8"/>
  <c r="F111" i="8"/>
  <c r="B111" i="8"/>
  <c r="M111" i="8"/>
  <c r="O111" i="5" s="1"/>
  <c r="L111" i="8"/>
  <c r="B111" i="5"/>
  <c r="K111" i="8"/>
  <c r="X109" i="15"/>
  <c r="B110" i="8"/>
  <c r="M110" i="8"/>
  <c r="O110" i="5" s="1"/>
  <c r="K110" i="8"/>
  <c r="I110" i="8"/>
  <c r="L110" i="8"/>
  <c r="F110" i="8"/>
  <c r="B110" i="5"/>
  <c r="X108" i="15"/>
  <c r="M109" i="8"/>
  <c r="O109" i="5" s="1"/>
  <c r="L109" i="8"/>
  <c r="K109" i="8"/>
  <c r="I109" i="8"/>
  <c r="F109" i="8"/>
  <c r="B109" i="8"/>
  <c r="B109" i="5"/>
  <c r="X107" i="15"/>
  <c r="M108" i="8"/>
  <c r="O108" i="5" s="1"/>
  <c r="L108" i="8"/>
  <c r="K108" i="8"/>
  <c r="I108" i="8"/>
  <c r="F108" i="8"/>
  <c r="B108" i="8"/>
  <c r="B108" i="5"/>
  <c r="X186" i="15"/>
  <c r="I187" i="8"/>
  <c r="F187" i="8"/>
  <c r="B187" i="8"/>
  <c r="M187" i="8"/>
  <c r="O187" i="5" s="1"/>
  <c r="L187" i="8"/>
  <c r="K187" i="8"/>
  <c r="B187" i="5"/>
  <c r="X201" i="15"/>
  <c r="B202" i="8"/>
  <c r="M202" i="8"/>
  <c r="O202" i="5" s="1"/>
  <c r="L202" i="8"/>
  <c r="K202" i="8"/>
  <c r="I202" i="8"/>
  <c r="F202" i="8"/>
  <c r="B202" i="5"/>
  <c r="X216" i="15"/>
  <c r="L217" i="8"/>
  <c r="B217" i="8"/>
  <c r="M217" i="8"/>
  <c r="O217" i="5" s="1"/>
  <c r="K217" i="8"/>
  <c r="I217" i="8"/>
  <c r="F217" i="8"/>
  <c r="B217" i="5"/>
  <c r="X263" i="15"/>
  <c r="M264" i="8"/>
  <c r="O264" i="5" s="1"/>
  <c r="L264" i="8"/>
  <c r="K264" i="8"/>
  <c r="I264" i="8"/>
  <c r="F264" i="8"/>
  <c r="B264" i="8"/>
  <c r="B264" i="5"/>
  <c r="X7" i="15"/>
  <c r="M8" i="8"/>
  <c r="O8" i="5" s="1"/>
  <c r="L8" i="8"/>
  <c r="K8" i="8"/>
  <c r="J8" i="8"/>
  <c r="I8" i="8"/>
  <c r="F8" i="8"/>
  <c r="D8" i="8"/>
  <c r="N8" i="8" s="1"/>
  <c r="B8" i="8"/>
  <c r="B8" i="5"/>
  <c r="D19" i="8" s="1"/>
  <c r="N19" i="8" s="1"/>
  <c r="J19" i="8" s="1"/>
  <c r="X70" i="15"/>
  <c r="I71" i="8"/>
  <c r="F71" i="8"/>
  <c r="B71" i="8"/>
  <c r="L71" i="8"/>
  <c r="M71" i="8"/>
  <c r="O71" i="5" s="1"/>
  <c r="K71" i="8"/>
  <c r="B71" i="5"/>
  <c r="X117" i="15"/>
  <c r="B118" i="8"/>
  <c r="M118" i="8"/>
  <c r="O118" i="5" s="1"/>
  <c r="K118" i="8"/>
  <c r="I118" i="8"/>
  <c r="F118" i="8"/>
  <c r="B118" i="5"/>
  <c r="L118" i="8"/>
  <c r="X132" i="15"/>
  <c r="M133" i="8"/>
  <c r="O133" i="5" s="1"/>
  <c r="L133" i="8"/>
  <c r="K133" i="8"/>
  <c r="I133" i="8"/>
  <c r="F133" i="8"/>
  <c r="B133" i="8"/>
  <c r="B133" i="5"/>
  <c r="X147" i="15"/>
  <c r="M148" i="8"/>
  <c r="O148" i="5" s="1"/>
  <c r="L148" i="8"/>
  <c r="K148" i="8"/>
  <c r="I148" i="8"/>
  <c r="F148" i="8"/>
  <c r="B148" i="8"/>
  <c r="B148" i="5"/>
  <c r="X162" i="15"/>
  <c r="I163" i="8"/>
  <c r="F163" i="8"/>
  <c r="B163" i="8"/>
  <c r="M163" i="8"/>
  <c r="O163" i="5" s="1"/>
  <c r="L163" i="8"/>
  <c r="K163" i="8"/>
  <c r="B163" i="5"/>
  <c r="X159" i="15"/>
  <c r="M160" i="8"/>
  <c r="O160" i="5" s="1"/>
  <c r="L160" i="8"/>
  <c r="K160" i="8"/>
  <c r="I160" i="8"/>
  <c r="F160" i="8"/>
  <c r="B160" i="8"/>
  <c r="B160" i="5"/>
  <c r="M96" i="15"/>
  <c r="V96" i="15" s="1"/>
  <c r="D13" i="12"/>
  <c r="D38" i="13" s="1"/>
  <c r="M176" i="15"/>
  <c r="V176" i="15" s="1"/>
  <c r="L24" i="6"/>
  <c r="K24" i="6"/>
  <c r="M24" i="6" s="1"/>
  <c r="H24" i="6"/>
  <c r="I24" i="6" s="1"/>
  <c r="O24" i="6"/>
  <c r="O9" i="6"/>
  <c r="L9" i="6"/>
  <c r="H9" i="6"/>
  <c r="I9" i="6" s="1"/>
  <c r="K9" i="6"/>
  <c r="M9" i="6" s="1"/>
  <c r="X137" i="15"/>
  <c r="B138" i="8"/>
  <c r="M138" i="8"/>
  <c r="O138" i="5" s="1"/>
  <c r="L138" i="8"/>
  <c r="K138" i="8"/>
  <c r="I138" i="8"/>
  <c r="B138" i="5"/>
  <c r="F138" i="8"/>
  <c r="D17" i="12"/>
  <c r="M193" i="15"/>
  <c r="V193" i="15" s="1"/>
  <c r="Q129" i="5"/>
  <c r="R129" i="5" s="1"/>
  <c r="P129" i="5"/>
  <c r="N129" i="5"/>
  <c r="M257" i="15"/>
  <c r="V257" i="15" s="1"/>
  <c r="Q241" i="5"/>
  <c r="R241" i="5" s="1"/>
  <c r="P241" i="5"/>
  <c r="N241" i="5"/>
  <c r="L8" i="6"/>
  <c r="K8" i="6"/>
  <c r="M8" i="6" s="1"/>
  <c r="H8" i="6"/>
  <c r="I8" i="6" s="1"/>
  <c r="O8" i="6"/>
  <c r="O20" i="6"/>
  <c r="L20" i="6"/>
  <c r="K20" i="6"/>
  <c r="M20" i="6" s="1"/>
  <c r="H20" i="6"/>
  <c r="I20" i="6" s="1"/>
  <c r="X61" i="15"/>
  <c r="B62" i="8"/>
  <c r="K62" i="8"/>
  <c r="M62" i="8"/>
  <c r="O62" i="5" s="1"/>
  <c r="L62" i="8"/>
  <c r="I62" i="8"/>
  <c r="F62" i="8"/>
  <c r="B62" i="5"/>
  <c r="X59" i="15"/>
  <c r="M60" i="8"/>
  <c r="O60" i="5" s="1"/>
  <c r="L60" i="8"/>
  <c r="K60" i="8"/>
  <c r="I60" i="8"/>
  <c r="F60" i="8"/>
  <c r="B60" i="8"/>
  <c r="B60" i="5"/>
  <c r="X153" i="15"/>
  <c r="B154" i="8"/>
  <c r="M154" i="8"/>
  <c r="O154" i="5" s="1"/>
  <c r="L154" i="8"/>
  <c r="K154" i="8"/>
  <c r="I154" i="8"/>
  <c r="F154" i="8"/>
  <c r="B154" i="5"/>
  <c r="X215" i="15"/>
  <c r="K216" i="8"/>
  <c r="M216" i="8"/>
  <c r="O216" i="5" s="1"/>
  <c r="L216" i="8"/>
  <c r="I216" i="8"/>
  <c r="F216" i="8"/>
  <c r="B216" i="8"/>
  <c r="B216" i="5"/>
  <c r="X84" i="15"/>
  <c r="M85" i="8"/>
  <c r="O85" i="5" s="1"/>
  <c r="L85" i="8"/>
  <c r="K85" i="8"/>
  <c r="I85" i="8"/>
  <c r="F85" i="8"/>
  <c r="B85" i="8"/>
  <c r="B85" i="5"/>
  <c r="M225" i="15"/>
  <c r="V225" i="15" s="1"/>
  <c r="M112" i="15"/>
  <c r="V112" i="15" s="1"/>
  <c r="X94" i="15"/>
  <c r="I95" i="8"/>
  <c r="F95" i="8"/>
  <c r="B95" i="8"/>
  <c r="M95" i="8"/>
  <c r="O95" i="5" s="1"/>
  <c r="L95" i="8"/>
  <c r="K95" i="8"/>
  <c r="B95" i="5"/>
  <c r="X93" i="15"/>
  <c r="B94" i="8"/>
  <c r="M94" i="8"/>
  <c r="O94" i="5" s="1"/>
  <c r="K94" i="8"/>
  <c r="I94" i="8"/>
  <c r="L94" i="8"/>
  <c r="F94" i="8"/>
  <c r="B94" i="5"/>
  <c r="X92" i="15"/>
  <c r="M93" i="8"/>
  <c r="O93" i="5" s="1"/>
  <c r="L93" i="8"/>
  <c r="K93" i="8"/>
  <c r="I93" i="8"/>
  <c r="F93" i="8"/>
  <c r="B93" i="8"/>
  <c r="B93" i="5"/>
  <c r="X91" i="15"/>
  <c r="M92" i="8"/>
  <c r="O92" i="5" s="1"/>
  <c r="L92" i="8"/>
  <c r="K92" i="8"/>
  <c r="I92" i="8"/>
  <c r="F92" i="8"/>
  <c r="B92" i="8"/>
  <c r="B92" i="5"/>
  <c r="X170" i="15"/>
  <c r="I171" i="8"/>
  <c r="F171" i="8"/>
  <c r="B171" i="8"/>
  <c r="M171" i="8"/>
  <c r="O171" i="5" s="1"/>
  <c r="L171" i="8"/>
  <c r="K171" i="8"/>
  <c r="B171" i="5"/>
  <c r="X185" i="15"/>
  <c r="B186" i="8"/>
  <c r="M186" i="8"/>
  <c r="O186" i="5" s="1"/>
  <c r="L186" i="8"/>
  <c r="K186" i="8"/>
  <c r="I186" i="8"/>
  <c r="F186" i="8"/>
  <c r="B186" i="5"/>
  <c r="X200" i="15"/>
  <c r="L201" i="8"/>
  <c r="K201" i="8"/>
  <c r="I201" i="8"/>
  <c r="F201" i="8"/>
  <c r="B201" i="8"/>
  <c r="M201" i="8"/>
  <c r="O201" i="5" s="1"/>
  <c r="B201" i="5"/>
  <c r="X247" i="15"/>
  <c r="L248" i="8"/>
  <c r="K248" i="8"/>
  <c r="B248" i="8"/>
  <c r="M248" i="8"/>
  <c r="O248" i="5" s="1"/>
  <c r="I248" i="8"/>
  <c r="F248" i="8"/>
  <c r="B248" i="5"/>
  <c r="X54" i="15"/>
  <c r="I55" i="8"/>
  <c r="F55" i="8"/>
  <c r="B55" i="8"/>
  <c r="L55" i="8"/>
  <c r="K55" i="8"/>
  <c r="M55" i="8"/>
  <c r="O55" i="5" s="1"/>
  <c r="B55" i="5"/>
  <c r="X101" i="15"/>
  <c r="B102" i="8"/>
  <c r="M102" i="8"/>
  <c r="O102" i="5" s="1"/>
  <c r="K102" i="8"/>
  <c r="I102" i="8"/>
  <c r="B102" i="5"/>
  <c r="L102" i="8"/>
  <c r="F102" i="8"/>
  <c r="X116" i="15"/>
  <c r="M117" i="8"/>
  <c r="O117" i="5" s="1"/>
  <c r="L117" i="8"/>
  <c r="K117" i="8"/>
  <c r="I117" i="8"/>
  <c r="F117" i="8"/>
  <c r="B117" i="8"/>
  <c r="B117" i="5"/>
  <c r="X131" i="15"/>
  <c r="M132" i="8"/>
  <c r="O132" i="5" s="1"/>
  <c r="L132" i="8"/>
  <c r="K132" i="8"/>
  <c r="I132" i="8"/>
  <c r="F132" i="8"/>
  <c r="B132" i="8"/>
  <c r="B132" i="5"/>
  <c r="X146" i="15"/>
  <c r="I147" i="8"/>
  <c r="F147" i="8"/>
  <c r="B147" i="8"/>
  <c r="M147" i="8"/>
  <c r="O147" i="5" s="1"/>
  <c r="L147" i="8"/>
  <c r="B147" i="5"/>
  <c r="K147" i="8"/>
  <c r="X143" i="15"/>
  <c r="M144" i="8"/>
  <c r="O144" i="5" s="1"/>
  <c r="L144" i="8"/>
  <c r="K144" i="8"/>
  <c r="I144" i="8"/>
  <c r="F144" i="8"/>
  <c r="B144" i="8"/>
  <c r="B144" i="5"/>
  <c r="O270" i="15"/>
  <c r="T270" i="15"/>
  <c r="R270" i="15"/>
  <c r="S270" i="15"/>
  <c r="Q270" i="15"/>
  <c r="P270" i="15"/>
  <c r="K265" i="15"/>
  <c r="N265" i="15"/>
  <c r="U265" i="15" s="1"/>
  <c r="X78" i="15"/>
  <c r="I79" i="8"/>
  <c r="F79" i="8"/>
  <c r="B79" i="8"/>
  <c r="M79" i="8"/>
  <c r="O79" i="5" s="1"/>
  <c r="L79" i="8"/>
  <c r="B79" i="5"/>
  <c r="K79" i="8"/>
  <c r="X77" i="15"/>
  <c r="B78" i="8"/>
  <c r="K78" i="8"/>
  <c r="I78" i="8"/>
  <c r="M78" i="8"/>
  <c r="O78" i="5" s="1"/>
  <c r="L78" i="8"/>
  <c r="B78" i="5"/>
  <c r="F78" i="8"/>
  <c r="X76" i="15"/>
  <c r="M77" i="8"/>
  <c r="O77" i="5" s="1"/>
  <c r="L77" i="8"/>
  <c r="K77" i="8"/>
  <c r="F77" i="8"/>
  <c r="B77" i="8"/>
  <c r="I77" i="8"/>
  <c r="B77" i="5"/>
  <c r="X75" i="15"/>
  <c r="M76" i="8"/>
  <c r="O76" i="5" s="1"/>
  <c r="L76" i="8"/>
  <c r="K76" i="8"/>
  <c r="I76" i="8"/>
  <c r="F76" i="8"/>
  <c r="B76" i="8"/>
  <c r="B76" i="5"/>
  <c r="X154" i="15"/>
  <c r="I155" i="8"/>
  <c r="F155" i="8"/>
  <c r="B155" i="8"/>
  <c r="M155" i="8"/>
  <c r="O155" i="5" s="1"/>
  <c r="L155" i="8"/>
  <c r="K155" i="8"/>
  <c r="B155" i="5"/>
  <c r="X169" i="15"/>
  <c r="B170" i="8"/>
  <c r="M170" i="8"/>
  <c r="O170" i="5" s="1"/>
  <c r="L170" i="8"/>
  <c r="K170" i="8"/>
  <c r="I170" i="8"/>
  <c r="B170" i="5"/>
  <c r="F170" i="8"/>
  <c r="X184" i="15"/>
  <c r="M185" i="8"/>
  <c r="O185" i="5" s="1"/>
  <c r="L185" i="8"/>
  <c r="K185" i="8"/>
  <c r="I185" i="8"/>
  <c r="F185" i="8"/>
  <c r="B185" i="8"/>
  <c r="B185" i="5"/>
  <c r="X231" i="15"/>
  <c r="K232" i="8"/>
  <c r="I232" i="8"/>
  <c r="F232" i="8"/>
  <c r="E232" i="8"/>
  <c r="B232" i="8"/>
  <c r="B232" i="5"/>
  <c r="L232" i="8"/>
  <c r="M232" i="8"/>
  <c r="O232" i="5" s="1"/>
  <c r="X38" i="15"/>
  <c r="I39" i="8"/>
  <c r="F39" i="8"/>
  <c r="B39" i="8"/>
  <c r="M39" i="8"/>
  <c r="O39" i="5" s="1"/>
  <c r="L39" i="8"/>
  <c r="K39" i="8"/>
  <c r="B39" i="5"/>
  <c r="E69" i="8" s="1"/>
  <c r="X85" i="15"/>
  <c r="B86" i="8"/>
  <c r="M86" i="8"/>
  <c r="O86" i="5" s="1"/>
  <c r="K86" i="8"/>
  <c r="I86" i="8"/>
  <c r="B86" i="5"/>
  <c r="L86" i="8"/>
  <c r="F86" i="8"/>
  <c r="X100" i="15"/>
  <c r="M101" i="8"/>
  <c r="O101" i="5" s="1"/>
  <c r="L101" i="8"/>
  <c r="K101" i="8"/>
  <c r="I101" i="8"/>
  <c r="F101" i="8"/>
  <c r="B101" i="8"/>
  <c r="B101" i="5"/>
  <c r="X115" i="15"/>
  <c r="M116" i="8"/>
  <c r="O116" i="5" s="1"/>
  <c r="L116" i="8"/>
  <c r="K116" i="8"/>
  <c r="I116" i="8"/>
  <c r="F116" i="8"/>
  <c r="B116" i="8"/>
  <c r="B116" i="5"/>
  <c r="X130" i="15"/>
  <c r="I131" i="8"/>
  <c r="F131" i="8"/>
  <c r="B131" i="8"/>
  <c r="M131" i="8"/>
  <c r="O131" i="5" s="1"/>
  <c r="L131" i="8"/>
  <c r="K131" i="8"/>
  <c r="B131" i="5"/>
  <c r="X127" i="15"/>
  <c r="M128" i="8"/>
  <c r="O128" i="5" s="1"/>
  <c r="L128" i="8"/>
  <c r="K128" i="8"/>
  <c r="I128" i="8"/>
  <c r="F128" i="8"/>
  <c r="B128" i="8"/>
  <c r="B128" i="5"/>
  <c r="D6" i="12"/>
  <c r="D31" i="13" s="1"/>
  <c r="M256" i="15"/>
  <c r="V256" i="15" s="1"/>
  <c r="M177" i="15"/>
  <c r="V177" i="15" s="1"/>
  <c r="D17" i="8"/>
  <c r="N17" i="8" s="1"/>
  <c r="J17" i="8" s="1"/>
  <c r="O14" i="6"/>
  <c r="L14" i="6"/>
  <c r="H14" i="6"/>
  <c r="I14" i="6" s="1"/>
  <c r="K14" i="6"/>
  <c r="M14" i="6" s="1"/>
  <c r="N4" i="6" l="1"/>
  <c r="N9" i="6"/>
  <c r="N25" i="6"/>
  <c r="N3" i="6"/>
  <c r="N11" i="6"/>
  <c r="N5" i="6"/>
  <c r="N20" i="6"/>
  <c r="N26" i="6"/>
  <c r="N7" i="6"/>
  <c r="N23" i="6"/>
  <c r="N19" i="6"/>
  <c r="N12" i="6"/>
  <c r="N29" i="6"/>
  <c r="N14" i="6"/>
  <c r="N22" i="6"/>
  <c r="N6" i="6"/>
  <c r="C9" i="12" s="1"/>
  <c r="C34" i="13" s="1"/>
  <c r="E242" i="8"/>
  <c r="Q71" i="5"/>
  <c r="R71" i="5" s="1"/>
  <c r="P71" i="5"/>
  <c r="N71" i="5"/>
  <c r="M263" i="15"/>
  <c r="V263" i="15" s="1"/>
  <c r="E109" i="8"/>
  <c r="D110" i="8"/>
  <c r="N110" i="8" s="1"/>
  <c r="J110" i="8" s="1"/>
  <c r="Q69" i="5"/>
  <c r="R69" i="5" s="1"/>
  <c r="N69" i="5"/>
  <c r="P69" i="5"/>
  <c r="M148" i="15"/>
  <c r="V148" i="15" s="1"/>
  <c r="D125" i="8"/>
  <c r="N125" i="8" s="1"/>
  <c r="J125" i="8" s="1"/>
  <c r="M262" i="15"/>
  <c r="V262" i="15" s="1"/>
  <c r="Q180" i="5"/>
  <c r="R180" i="5" s="1"/>
  <c r="P180" i="5"/>
  <c r="N180" i="5"/>
  <c r="M149" i="15"/>
  <c r="V149" i="15" s="1"/>
  <c r="D249" i="8"/>
  <c r="N249" i="8" s="1"/>
  <c r="J249" i="8" s="1"/>
  <c r="E143" i="8"/>
  <c r="Q196" i="5"/>
  <c r="R196" i="5" s="1"/>
  <c r="P196" i="5"/>
  <c r="N196" i="5"/>
  <c r="M165" i="15"/>
  <c r="V165" i="15" s="1"/>
  <c r="D157" i="8"/>
  <c r="N157" i="8" s="1"/>
  <c r="J157" i="8" s="1"/>
  <c r="K268" i="15"/>
  <c r="N268" i="15"/>
  <c r="U268" i="15" s="1"/>
  <c r="D115" i="8"/>
  <c r="N115" i="8" s="1"/>
  <c r="J115" i="8" s="1"/>
  <c r="Q169" i="5"/>
  <c r="R169" i="5" s="1"/>
  <c r="N169" i="5"/>
  <c r="P169" i="5"/>
  <c r="E269" i="8"/>
  <c r="M226" i="15"/>
  <c r="V226" i="15" s="1"/>
  <c r="E182" i="8"/>
  <c r="D175" i="8"/>
  <c r="N175" i="8" s="1"/>
  <c r="J175" i="8" s="1"/>
  <c r="N191" i="5"/>
  <c r="Q191" i="5"/>
  <c r="R191" i="5" s="1"/>
  <c r="P191" i="5"/>
  <c r="E214" i="8"/>
  <c r="E167" i="8"/>
  <c r="Q204" i="5"/>
  <c r="R204" i="5" s="1"/>
  <c r="P204" i="5"/>
  <c r="N204" i="5"/>
  <c r="M205" i="15"/>
  <c r="V205" i="15" s="1"/>
  <c r="E80" i="8"/>
  <c r="E247" i="8"/>
  <c r="P107" i="5"/>
  <c r="N107" i="5"/>
  <c r="Q107" i="5"/>
  <c r="R107" i="5" s="1"/>
  <c r="M29" i="15"/>
  <c r="V29" i="15" s="1"/>
  <c r="E257" i="8"/>
  <c r="N230" i="5"/>
  <c r="Q230" i="5"/>
  <c r="R230" i="5" s="1"/>
  <c r="P230" i="5"/>
  <c r="M119" i="15"/>
  <c r="V119" i="15" s="1"/>
  <c r="D193" i="8"/>
  <c r="E20" i="8"/>
  <c r="E246" i="8"/>
  <c r="Q89" i="5"/>
  <c r="R89" i="5" s="1"/>
  <c r="P89" i="5"/>
  <c r="N89" i="5"/>
  <c r="M58" i="15"/>
  <c r="V58" i="15" s="1"/>
  <c r="Q7" i="5"/>
  <c r="R7" i="5" s="1"/>
  <c r="N7" i="5"/>
  <c r="P7" i="5"/>
  <c r="D34" i="8"/>
  <c r="P152" i="5"/>
  <c r="N152" i="5"/>
  <c r="Q152" i="5"/>
  <c r="R152" i="5" s="1"/>
  <c r="M89" i="15"/>
  <c r="V89" i="15" s="1"/>
  <c r="M28" i="15"/>
  <c r="V28" i="15" s="1"/>
  <c r="R224" i="15"/>
  <c r="O224" i="15"/>
  <c r="T224" i="15"/>
  <c r="S224" i="15"/>
  <c r="Q224" i="15"/>
  <c r="P224" i="15"/>
  <c r="N12" i="5"/>
  <c r="Q12" i="5"/>
  <c r="R12" i="5" s="1"/>
  <c r="P12" i="5"/>
  <c r="M13" i="15"/>
  <c r="V13" i="15" s="1"/>
  <c r="T208" i="15"/>
  <c r="S208" i="15"/>
  <c r="R208" i="15"/>
  <c r="Q208" i="15"/>
  <c r="P208" i="15"/>
  <c r="O208" i="15"/>
  <c r="Q220" i="5"/>
  <c r="R220" i="5" s="1"/>
  <c r="P220" i="5"/>
  <c r="N220" i="5"/>
  <c r="M221" i="15"/>
  <c r="V221" i="15" s="1"/>
  <c r="M31" i="15"/>
  <c r="V31" i="15" s="1"/>
  <c r="D199" i="8"/>
  <c r="N199" i="8" s="1"/>
  <c r="J199" i="8" s="1"/>
  <c r="D89" i="8"/>
  <c r="N89" i="8" s="1"/>
  <c r="J89" i="8" s="1"/>
  <c r="N239" i="5"/>
  <c r="Q239" i="5"/>
  <c r="R239" i="5" s="1"/>
  <c r="P239" i="5"/>
  <c r="E123" i="8"/>
  <c r="D262" i="8"/>
  <c r="N262" i="8" s="1"/>
  <c r="J262" i="8" s="1"/>
  <c r="D152" i="8"/>
  <c r="N152" i="8" s="1"/>
  <c r="J152" i="8" s="1"/>
  <c r="Q83" i="5"/>
  <c r="R83" i="5" s="1"/>
  <c r="P83" i="5"/>
  <c r="N83" i="5"/>
  <c r="E64" i="8"/>
  <c r="M51" i="15"/>
  <c r="V51" i="15" s="1"/>
  <c r="E121" i="8"/>
  <c r="D106" i="8"/>
  <c r="N106" i="8" s="1"/>
  <c r="J106" i="8" s="1"/>
  <c r="D12" i="8"/>
  <c r="N12" i="8" s="1"/>
  <c r="J12" i="8" s="1"/>
  <c r="S128" i="15"/>
  <c r="R128" i="15"/>
  <c r="Q128" i="15"/>
  <c r="P128" i="15"/>
  <c r="O128" i="15"/>
  <c r="T128" i="15"/>
  <c r="M43" i="15"/>
  <c r="V43" i="15" s="1"/>
  <c r="Q103" i="5"/>
  <c r="R103" i="5" s="1"/>
  <c r="P103" i="5"/>
  <c r="N103" i="5"/>
  <c r="M181" i="15"/>
  <c r="V181" i="15" s="1"/>
  <c r="Q23" i="5"/>
  <c r="R23" i="5" s="1"/>
  <c r="N23" i="5"/>
  <c r="P23" i="5"/>
  <c r="D183" i="8"/>
  <c r="N183" i="8" s="1"/>
  <c r="J183" i="8" s="1"/>
  <c r="M237" i="15"/>
  <c r="V237" i="15" s="1"/>
  <c r="Q252" i="5"/>
  <c r="R252" i="5" s="1"/>
  <c r="P252" i="5"/>
  <c r="N252" i="5"/>
  <c r="D123" i="8"/>
  <c r="N123" i="8" s="1"/>
  <c r="J123" i="8" s="1"/>
  <c r="Q99" i="5"/>
  <c r="R99" i="5" s="1"/>
  <c r="P99" i="5"/>
  <c r="N99" i="5"/>
  <c r="D196" i="8"/>
  <c r="N196" i="8" s="1"/>
  <c r="J196" i="8" s="1"/>
  <c r="E158" i="8"/>
  <c r="D271" i="8"/>
  <c r="M127" i="15"/>
  <c r="V127" i="15" s="1"/>
  <c r="E155" i="8"/>
  <c r="E102" i="8"/>
  <c r="D95" i="8"/>
  <c r="N95" i="8" s="1"/>
  <c r="J95" i="8" s="1"/>
  <c r="D138" i="8"/>
  <c r="N138" i="8" s="1"/>
  <c r="J138" i="8" s="1"/>
  <c r="M159" i="15"/>
  <c r="V159" i="15" s="1"/>
  <c r="D108" i="8"/>
  <c r="N108" i="8" s="1"/>
  <c r="J108" i="8" s="1"/>
  <c r="D69" i="8"/>
  <c r="N69" i="8" s="1"/>
  <c r="J69" i="8" s="1"/>
  <c r="E87" i="8"/>
  <c r="Q124" i="5"/>
  <c r="R124" i="5" s="1"/>
  <c r="P124" i="5"/>
  <c r="N124" i="5"/>
  <c r="M125" i="15"/>
  <c r="V125" i="15" s="1"/>
  <c r="D54" i="8"/>
  <c r="N54" i="8" s="1"/>
  <c r="J54" i="8" s="1"/>
  <c r="E200" i="8"/>
  <c r="E180" i="8"/>
  <c r="D219" i="8"/>
  <c r="N219" i="8" s="1"/>
  <c r="J219" i="8" s="1"/>
  <c r="M142" i="15"/>
  <c r="V142" i="15" s="1"/>
  <c r="E196" i="8"/>
  <c r="Q119" i="5"/>
  <c r="R119" i="5" s="1"/>
  <c r="P119" i="5"/>
  <c r="N119" i="5"/>
  <c r="E265" i="8"/>
  <c r="Q156" i="5"/>
  <c r="R156" i="5" s="1"/>
  <c r="P156" i="5"/>
  <c r="N156" i="5"/>
  <c r="M157" i="15"/>
  <c r="V157" i="15" s="1"/>
  <c r="E169" i="8"/>
  <c r="T49" i="15"/>
  <c r="S49" i="15"/>
  <c r="R49" i="15"/>
  <c r="Q49" i="15"/>
  <c r="P49" i="15"/>
  <c r="O49" i="15"/>
  <c r="E271" i="8"/>
  <c r="D212" i="8"/>
  <c r="N212" i="8" s="1"/>
  <c r="J212" i="8" s="1"/>
  <c r="Q10" i="5"/>
  <c r="R10" i="5" s="1"/>
  <c r="P10" i="5"/>
  <c r="N10" i="5"/>
  <c r="M171" i="15"/>
  <c r="V171" i="15" s="1"/>
  <c r="D240" i="8"/>
  <c r="N240" i="8" s="1"/>
  <c r="J240" i="8" s="1"/>
  <c r="D198" i="8"/>
  <c r="N198" i="8" s="1"/>
  <c r="J198" i="8" s="1"/>
  <c r="P88" i="5"/>
  <c r="N88" i="5"/>
  <c r="Q88" i="5"/>
  <c r="R88" i="5" s="1"/>
  <c r="M25" i="15"/>
  <c r="V25" i="15" s="1"/>
  <c r="R240" i="15"/>
  <c r="O240" i="15"/>
  <c r="T240" i="15"/>
  <c r="S240" i="15"/>
  <c r="Q240" i="15"/>
  <c r="P240" i="15"/>
  <c r="Q229" i="5"/>
  <c r="R229" i="5" s="1"/>
  <c r="P229" i="5"/>
  <c r="N229" i="5"/>
  <c r="M166" i="15"/>
  <c r="V166" i="15" s="1"/>
  <c r="E42" i="8"/>
  <c r="G42" i="8" s="1"/>
  <c r="H42" i="8" s="1"/>
  <c r="E204" i="8"/>
  <c r="N207" i="5"/>
  <c r="Q207" i="5"/>
  <c r="R207" i="5" s="1"/>
  <c r="P207" i="5"/>
  <c r="M67" i="15"/>
  <c r="V67" i="15" s="1"/>
  <c r="N28" i="6"/>
  <c r="M15" i="15"/>
  <c r="V15" i="15" s="1"/>
  <c r="G4" i="8"/>
  <c r="H4" i="8" s="1"/>
  <c r="D230" i="8"/>
  <c r="N230" i="8" s="1"/>
  <c r="J230" i="8" s="1"/>
  <c r="G183" i="8"/>
  <c r="H183" i="8" s="1"/>
  <c r="E73" i="8"/>
  <c r="G73" i="8" s="1"/>
  <c r="H73" i="8" s="1"/>
  <c r="G20" i="8"/>
  <c r="H20" i="8" s="1"/>
  <c r="M4" i="15"/>
  <c r="V4" i="15" s="1"/>
  <c r="E89" i="8"/>
  <c r="D74" i="8"/>
  <c r="N74" i="8" s="1"/>
  <c r="J74" i="8" s="1"/>
  <c r="Q236" i="5"/>
  <c r="R236" i="5" s="1"/>
  <c r="P236" i="5"/>
  <c r="N236" i="5"/>
  <c r="E239" i="8"/>
  <c r="D252" i="8"/>
  <c r="N252" i="8" s="1"/>
  <c r="J252" i="8" s="1"/>
  <c r="Q48" i="5"/>
  <c r="R48" i="5" s="1"/>
  <c r="P48" i="5"/>
  <c r="N48" i="5"/>
  <c r="M35" i="15"/>
  <c r="V35" i="15" s="1"/>
  <c r="E152" i="8"/>
  <c r="G152" i="8" s="1"/>
  <c r="H152" i="8" s="1"/>
  <c r="Q64" i="5"/>
  <c r="R64" i="5" s="1"/>
  <c r="P64" i="5"/>
  <c r="N64" i="5"/>
  <c r="D67" i="8"/>
  <c r="N67" i="8" s="1"/>
  <c r="J67" i="8" s="1"/>
  <c r="N37" i="5"/>
  <c r="Q37" i="5"/>
  <c r="R37" i="5" s="1"/>
  <c r="P37" i="5"/>
  <c r="M230" i="15"/>
  <c r="V230" i="15" s="1"/>
  <c r="E106" i="8"/>
  <c r="G106" i="8" s="1"/>
  <c r="H106" i="8" s="1"/>
  <c r="E12" i="8"/>
  <c r="N15" i="5"/>
  <c r="Q15" i="5"/>
  <c r="R15" i="5" s="1"/>
  <c r="P15" i="5"/>
  <c r="T145" i="15"/>
  <c r="R145" i="15"/>
  <c r="O145" i="15"/>
  <c r="P145" i="15"/>
  <c r="Q145" i="15"/>
  <c r="S145" i="15"/>
  <c r="M99" i="15"/>
  <c r="V99" i="15" s="1"/>
  <c r="N134" i="5"/>
  <c r="Q134" i="5"/>
  <c r="R134" i="5" s="1"/>
  <c r="P134" i="5"/>
  <c r="D126" i="8"/>
  <c r="N126" i="8" s="1"/>
  <c r="J126" i="8" s="1"/>
  <c r="R32" i="15"/>
  <c r="Q32" i="15"/>
  <c r="P32" i="15"/>
  <c r="O32" i="15"/>
  <c r="S32" i="15"/>
  <c r="T32" i="15"/>
  <c r="Q75" i="5"/>
  <c r="R75" i="5" s="1"/>
  <c r="P75" i="5"/>
  <c r="N75" i="5"/>
  <c r="Q179" i="5"/>
  <c r="R179" i="5" s="1"/>
  <c r="P179" i="5"/>
  <c r="N179" i="5"/>
  <c r="D87" i="8"/>
  <c r="N87" i="8" s="1"/>
  <c r="J87" i="8" s="1"/>
  <c r="E126" i="8"/>
  <c r="G126" i="8" s="1"/>
  <c r="H126" i="8" s="1"/>
  <c r="M150" i="15"/>
  <c r="V150" i="15" s="1"/>
  <c r="D42" i="8"/>
  <c r="N42" i="8" s="1"/>
  <c r="J42" i="8" s="1"/>
  <c r="E194" i="8"/>
  <c r="M146" i="15"/>
  <c r="V146" i="15" s="1"/>
  <c r="Q131" i="5"/>
  <c r="R131" i="5" s="1"/>
  <c r="P131" i="5"/>
  <c r="N131" i="5"/>
  <c r="M100" i="15"/>
  <c r="V100" i="15" s="1"/>
  <c r="Q132" i="5"/>
  <c r="R132" i="5" s="1"/>
  <c r="P132" i="5"/>
  <c r="N132" i="5"/>
  <c r="M101" i="15"/>
  <c r="V101" i="15" s="1"/>
  <c r="D201" i="8"/>
  <c r="N201" i="8" s="1"/>
  <c r="J201" i="8" s="1"/>
  <c r="E95" i="8"/>
  <c r="G95" i="8" s="1"/>
  <c r="H95" i="8" s="1"/>
  <c r="D146" i="8"/>
  <c r="E138" i="8"/>
  <c r="G138" i="8" s="1"/>
  <c r="H138" i="8" s="1"/>
  <c r="D178" i="8"/>
  <c r="Q163" i="5"/>
  <c r="R163" i="5" s="1"/>
  <c r="P163" i="5"/>
  <c r="N163" i="5"/>
  <c r="M132" i="15"/>
  <c r="V132" i="15" s="1"/>
  <c r="N111" i="5"/>
  <c r="Q111" i="5"/>
  <c r="R111" i="5" s="1"/>
  <c r="P111" i="5"/>
  <c r="G69" i="8"/>
  <c r="H69" i="8" s="1"/>
  <c r="E233" i="8"/>
  <c r="D124" i="8"/>
  <c r="N124" i="8" s="1"/>
  <c r="J124" i="8" s="1"/>
  <c r="E54" i="8"/>
  <c r="E45" i="8"/>
  <c r="E162" i="8"/>
  <c r="M191" i="15"/>
  <c r="V191" i="15" s="1"/>
  <c r="Q234" i="5"/>
  <c r="R234" i="5" s="1"/>
  <c r="P234" i="5"/>
  <c r="N234" i="5"/>
  <c r="P141" i="5"/>
  <c r="N141" i="5"/>
  <c r="Q141" i="5"/>
  <c r="R141" i="5" s="1"/>
  <c r="Q53" i="5"/>
  <c r="R53" i="5" s="1"/>
  <c r="N53" i="5"/>
  <c r="P53" i="5"/>
  <c r="M207" i="15"/>
  <c r="V207" i="15" s="1"/>
  <c r="G196" i="8"/>
  <c r="H196" i="8" s="1"/>
  <c r="M114" i="15"/>
  <c r="V114" i="15" s="1"/>
  <c r="D266" i="8"/>
  <c r="E212" i="8"/>
  <c r="Q135" i="5"/>
  <c r="R135" i="5" s="1"/>
  <c r="P135" i="5"/>
  <c r="N135" i="5"/>
  <c r="D251" i="8"/>
  <c r="N251" i="8" s="1"/>
  <c r="J251" i="8" s="1"/>
  <c r="M174" i="15"/>
  <c r="V174" i="15" s="1"/>
  <c r="E240" i="8"/>
  <c r="E198" i="8"/>
  <c r="D88" i="8"/>
  <c r="N88" i="8" s="1"/>
  <c r="J88" i="8" s="1"/>
  <c r="M188" i="15"/>
  <c r="V188" i="15" s="1"/>
  <c r="D256" i="8"/>
  <c r="N256" i="8" s="1"/>
  <c r="J256" i="8" s="1"/>
  <c r="P104" i="5"/>
  <c r="N104" i="5"/>
  <c r="Q104" i="5"/>
  <c r="R104" i="5" s="1"/>
  <c r="M41" i="15"/>
  <c r="V41" i="15" s="1"/>
  <c r="D205" i="8"/>
  <c r="N205" i="8" s="1"/>
  <c r="J205" i="8" s="1"/>
  <c r="Q38" i="5"/>
  <c r="R38" i="5" s="1"/>
  <c r="P38" i="5"/>
  <c r="N38" i="5"/>
  <c r="M136" i="15"/>
  <c r="V136" i="15" s="1"/>
  <c r="D241" i="8"/>
  <c r="Q19" i="5"/>
  <c r="R19" i="5" s="1"/>
  <c r="P19" i="5"/>
  <c r="N19" i="5"/>
  <c r="M259" i="15"/>
  <c r="V259" i="15" s="1"/>
  <c r="E230" i="8"/>
  <c r="D58" i="8"/>
  <c r="N58" i="8" s="1"/>
  <c r="J58" i="8" s="1"/>
  <c r="D220" i="8"/>
  <c r="N220" i="8" s="1"/>
  <c r="J220" i="8" s="1"/>
  <c r="N223" i="5"/>
  <c r="Q223" i="5"/>
  <c r="R223" i="5" s="1"/>
  <c r="P223" i="5"/>
  <c r="D194" i="8"/>
  <c r="Q261" i="5"/>
  <c r="R261" i="5" s="1"/>
  <c r="P261" i="5"/>
  <c r="N261" i="5"/>
  <c r="M198" i="15"/>
  <c r="V198" i="15" s="1"/>
  <c r="E74" i="8"/>
  <c r="E252" i="8"/>
  <c r="G252" i="8" s="1"/>
  <c r="H252" i="8" s="1"/>
  <c r="D48" i="8"/>
  <c r="N48" i="8" s="1"/>
  <c r="J48" i="8" s="1"/>
  <c r="D51" i="8"/>
  <c r="N51" i="8" s="1"/>
  <c r="J51" i="8" s="1"/>
  <c r="N21" i="5"/>
  <c r="Q21" i="5"/>
  <c r="R21" i="5" s="1"/>
  <c r="P21" i="5"/>
  <c r="M261" i="15"/>
  <c r="V261" i="15" s="1"/>
  <c r="D64" i="8"/>
  <c r="N64" i="8" s="1"/>
  <c r="J64" i="8" s="1"/>
  <c r="E67" i="8"/>
  <c r="P168" i="5"/>
  <c r="N168" i="5"/>
  <c r="Q168" i="5"/>
  <c r="R168" i="5" s="1"/>
  <c r="M105" i="15"/>
  <c r="V105" i="15" s="1"/>
  <c r="Q139" i="5"/>
  <c r="R139" i="5" s="1"/>
  <c r="P139" i="5"/>
  <c r="N139" i="5"/>
  <c r="M186" i="15"/>
  <c r="V186" i="15" s="1"/>
  <c r="M248" i="15"/>
  <c r="V248" i="15" s="1"/>
  <c r="E205" i="8"/>
  <c r="D169" i="8"/>
  <c r="N169" i="8" s="1"/>
  <c r="J169" i="8" s="1"/>
  <c r="M24" i="15"/>
  <c r="V24" i="15" s="1"/>
  <c r="D243" i="8"/>
  <c r="N243" i="8" s="1"/>
  <c r="J243" i="8" s="1"/>
  <c r="E41" i="8"/>
  <c r="E188" i="8"/>
  <c r="E191" i="8"/>
  <c r="G191" i="8" s="1"/>
  <c r="H191" i="8" s="1"/>
  <c r="Q256" i="5"/>
  <c r="R256" i="5" s="1"/>
  <c r="P256" i="5"/>
  <c r="N256" i="5"/>
  <c r="D259" i="8"/>
  <c r="N259" i="8" s="1"/>
  <c r="J259" i="8" s="1"/>
  <c r="M231" i="15"/>
  <c r="V231" i="15" s="1"/>
  <c r="N270" i="15"/>
  <c r="U270" i="15" s="1"/>
  <c r="K270" i="15"/>
  <c r="Q55" i="5"/>
  <c r="R55" i="5" s="1"/>
  <c r="P55" i="5"/>
  <c r="N55" i="5"/>
  <c r="M200" i="15"/>
  <c r="V200" i="15" s="1"/>
  <c r="E178" i="8"/>
  <c r="M137" i="15"/>
  <c r="V137" i="15" s="1"/>
  <c r="D65" i="8"/>
  <c r="M7" i="15"/>
  <c r="V7" i="15" s="1"/>
  <c r="E108" i="8"/>
  <c r="G108" i="8" s="1"/>
  <c r="H108" i="8" s="1"/>
  <c r="Q176" i="5"/>
  <c r="R176" i="5" s="1"/>
  <c r="P176" i="5"/>
  <c r="N176" i="5"/>
  <c r="M163" i="15"/>
  <c r="V163" i="15" s="1"/>
  <c r="M53" i="15"/>
  <c r="V53" i="15" s="1"/>
  <c r="D46" i="8"/>
  <c r="N46" i="8" s="1"/>
  <c r="J46" i="8" s="1"/>
  <c r="E65" i="8"/>
  <c r="Q195" i="5"/>
  <c r="R195" i="5" s="1"/>
  <c r="P195" i="5"/>
  <c r="N195" i="5"/>
  <c r="M164" i="15"/>
  <c r="V164" i="15" s="1"/>
  <c r="D141" i="8"/>
  <c r="N141" i="8" s="1"/>
  <c r="J141" i="8" s="1"/>
  <c r="D31" i="8"/>
  <c r="N31" i="8" s="1"/>
  <c r="J31" i="8" s="1"/>
  <c r="D162" i="8"/>
  <c r="Q211" i="5"/>
  <c r="R211" i="5" s="1"/>
  <c r="P211" i="5"/>
  <c r="N211" i="5"/>
  <c r="M180" i="15"/>
  <c r="V180" i="15" s="1"/>
  <c r="D250" i="8"/>
  <c r="N250" i="8" s="1"/>
  <c r="J250" i="8" s="1"/>
  <c r="D156" i="8"/>
  <c r="N156" i="8" s="1"/>
  <c r="J156" i="8" s="1"/>
  <c r="M60" i="15"/>
  <c r="V60" i="15" s="1"/>
  <c r="D270" i="8"/>
  <c r="M223" i="15"/>
  <c r="V223" i="15" s="1"/>
  <c r="Q173" i="5"/>
  <c r="R173" i="5" s="1"/>
  <c r="P173" i="5"/>
  <c r="N173" i="5"/>
  <c r="N47" i="5"/>
  <c r="Q47" i="5"/>
  <c r="R47" i="5" s="1"/>
  <c r="P47" i="5"/>
  <c r="Q11" i="5"/>
  <c r="R11" i="5" s="1"/>
  <c r="P11" i="5"/>
  <c r="N11" i="5"/>
  <c r="P190" i="5"/>
  <c r="N190" i="5"/>
  <c r="Q190" i="5"/>
  <c r="R190" i="5" s="1"/>
  <c r="E130" i="8"/>
  <c r="E256" i="8"/>
  <c r="E229" i="8"/>
  <c r="D104" i="8"/>
  <c r="N104" i="8" s="1"/>
  <c r="J104" i="8" s="1"/>
  <c r="Q27" i="5"/>
  <c r="R27" i="5" s="1"/>
  <c r="P27" i="5"/>
  <c r="N27" i="5"/>
  <c r="M204" i="15"/>
  <c r="V204" i="15" s="1"/>
  <c r="D247" i="8"/>
  <c r="N247" i="8" s="1"/>
  <c r="J247" i="8" s="1"/>
  <c r="M27" i="15"/>
  <c r="V27" i="15" s="1"/>
  <c r="D130" i="8"/>
  <c r="Q245" i="5"/>
  <c r="R245" i="5" s="1"/>
  <c r="P245" i="5"/>
  <c r="N245" i="5"/>
  <c r="M182" i="15"/>
  <c r="V182" i="15" s="1"/>
  <c r="D73" i="8"/>
  <c r="N73" i="8" s="1"/>
  <c r="J73" i="8" s="1"/>
  <c r="E58" i="8"/>
  <c r="E220" i="8"/>
  <c r="E223" i="8"/>
  <c r="T113" i="15"/>
  <c r="S113" i="15"/>
  <c r="R113" i="15"/>
  <c r="Q113" i="15"/>
  <c r="P113" i="15"/>
  <c r="O113" i="15"/>
  <c r="Q35" i="5"/>
  <c r="R35" i="5" s="1"/>
  <c r="P35" i="5"/>
  <c r="N35" i="5"/>
  <c r="E261" i="8"/>
  <c r="P136" i="5"/>
  <c r="N136" i="5"/>
  <c r="Q136" i="5"/>
  <c r="R136" i="5" s="1"/>
  <c r="M73" i="15"/>
  <c r="V73" i="15" s="1"/>
  <c r="D236" i="8"/>
  <c r="N236" i="8" s="1"/>
  <c r="J236" i="8" s="1"/>
  <c r="D237" i="8"/>
  <c r="N237" i="8" s="1"/>
  <c r="J237" i="8" s="1"/>
  <c r="D253" i="8"/>
  <c r="N253" i="8" s="1"/>
  <c r="J253" i="8" s="1"/>
  <c r="Q96" i="5"/>
  <c r="R96" i="5" s="1"/>
  <c r="P96" i="5"/>
  <c r="N96" i="5"/>
  <c r="M122" i="15"/>
  <c r="V122" i="15" s="1"/>
  <c r="E48" i="8"/>
  <c r="G48" i="8" s="1"/>
  <c r="H48" i="8" s="1"/>
  <c r="E51" i="8"/>
  <c r="G51" i="8" s="1"/>
  <c r="H51" i="8" s="1"/>
  <c r="Q215" i="5"/>
  <c r="R215" i="5" s="1"/>
  <c r="P215" i="5"/>
  <c r="N215" i="5"/>
  <c r="M104" i="15"/>
  <c r="V104" i="15" s="1"/>
  <c r="M183" i="15"/>
  <c r="V183" i="15" s="1"/>
  <c r="D84" i="8"/>
  <c r="N84" i="8" s="1"/>
  <c r="J84" i="8" s="1"/>
  <c r="D37" i="8"/>
  <c r="N37" i="8" s="1"/>
  <c r="J37" i="8" s="1"/>
  <c r="P91" i="5"/>
  <c r="Q91" i="5"/>
  <c r="R91" i="5" s="1"/>
  <c r="N91" i="5"/>
  <c r="M12" i="15"/>
  <c r="V12" i="15" s="1"/>
  <c r="E144" i="8"/>
  <c r="M92" i="15"/>
  <c r="V92" i="15" s="1"/>
  <c r="M8" i="15"/>
  <c r="V8" i="15" s="1"/>
  <c r="D155" i="8"/>
  <c r="N155" i="8" s="1"/>
  <c r="J155" i="8" s="1"/>
  <c r="E148" i="8"/>
  <c r="M109" i="15"/>
  <c r="V109" i="15" s="1"/>
  <c r="D77" i="8"/>
  <c r="N77" i="8" s="1"/>
  <c r="J77" i="8" s="1"/>
  <c r="D78" i="8"/>
  <c r="N78" i="8" s="1"/>
  <c r="J78" i="8" s="1"/>
  <c r="D81" i="8"/>
  <c r="D39" i="8"/>
  <c r="N39" i="8" s="1"/>
  <c r="J39" i="8" s="1"/>
  <c r="Q185" i="5"/>
  <c r="R185" i="5" s="1"/>
  <c r="N185" i="5"/>
  <c r="P185" i="5"/>
  <c r="M154" i="15"/>
  <c r="V154" i="15" s="1"/>
  <c r="E77" i="8"/>
  <c r="E78" i="8"/>
  <c r="G78" i="8" s="1"/>
  <c r="H78" i="8" s="1"/>
  <c r="D132" i="8"/>
  <c r="N132" i="8" s="1"/>
  <c r="J132" i="8" s="1"/>
  <c r="D248" i="8"/>
  <c r="N248" i="8" s="1"/>
  <c r="J248" i="8" s="1"/>
  <c r="Q186" i="5"/>
  <c r="R186" i="5" s="1"/>
  <c r="P186" i="5"/>
  <c r="N186" i="5"/>
  <c r="M91" i="15"/>
  <c r="V91" i="15" s="1"/>
  <c r="M84" i="15"/>
  <c r="V84" i="15" s="1"/>
  <c r="N118" i="5"/>
  <c r="P118" i="5"/>
  <c r="Q118" i="5"/>
  <c r="R118" i="5" s="1"/>
  <c r="D71" i="8"/>
  <c r="N71" i="8" s="1"/>
  <c r="J71" i="8" s="1"/>
  <c r="P264" i="5"/>
  <c r="N264" i="5"/>
  <c r="Q264" i="5"/>
  <c r="R264" i="5" s="1"/>
  <c r="M201" i="15"/>
  <c r="V201" i="15" s="1"/>
  <c r="M111" i="15"/>
  <c r="V111" i="15" s="1"/>
  <c r="D179" i="8"/>
  <c r="N179" i="8" s="1"/>
  <c r="J179" i="8" s="1"/>
  <c r="Q149" i="5"/>
  <c r="R149" i="5" s="1"/>
  <c r="N149" i="5"/>
  <c r="P149" i="5"/>
  <c r="M86" i="15"/>
  <c r="V86" i="15" s="1"/>
  <c r="E124" i="8"/>
  <c r="G124" i="8" s="1"/>
  <c r="H124" i="8" s="1"/>
  <c r="N127" i="5"/>
  <c r="P127" i="5"/>
  <c r="Q127" i="5"/>
  <c r="R127" i="5" s="1"/>
  <c r="D99" i="8"/>
  <c r="N99" i="8" s="1"/>
  <c r="J99" i="8" s="1"/>
  <c r="Q263" i="5"/>
  <c r="R263" i="5" s="1"/>
  <c r="P263" i="5"/>
  <c r="N263" i="5"/>
  <c r="M152" i="15"/>
  <c r="V152" i="15" s="1"/>
  <c r="D45" i="8"/>
  <c r="N45" i="8" s="1"/>
  <c r="J45" i="8" s="1"/>
  <c r="E46" i="8"/>
  <c r="G46" i="8" s="1"/>
  <c r="H46" i="8" s="1"/>
  <c r="D30" i="13"/>
  <c r="D39" i="13" s="1"/>
  <c r="D18" i="12"/>
  <c r="E195" i="8"/>
  <c r="M39" i="15"/>
  <c r="V39" i="15" s="1"/>
  <c r="D234" i="8"/>
  <c r="N234" i="8" s="1"/>
  <c r="J234" i="8" s="1"/>
  <c r="E141" i="8"/>
  <c r="G141" i="8" s="1"/>
  <c r="H141" i="8" s="1"/>
  <c r="D142" i="8"/>
  <c r="N142" i="8" s="1"/>
  <c r="J142" i="8" s="1"/>
  <c r="D53" i="8"/>
  <c r="N53" i="8" s="1"/>
  <c r="J53" i="8" s="1"/>
  <c r="E31" i="8"/>
  <c r="N166" i="5"/>
  <c r="Q166" i="5"/>
  <c r="R166" i="5" s="1"/>
  <c r="P166" i="5"/>
  <c r="M55" i="15"/>
  <c r="V55" i="15" s="1"/>
  <c r="E156" i="8"/>
  <c r="N159" i="5"/>
  <c r="Q159" i="5"/>
  <c r="R159" i="5" s="1"/>
  <c r="P159" i="5"/>
  <c r="T192" i="15"/>
  <c r="S192" i="15"/>
  <c r="R192" i="15"/>
  <c r="Q192" i="15"/>
  <c r="P192" i="15"/>
  <c r="O192" i="15"/>
  <c r="E266" i="8"/>
  <c r="Q227" i="5"/>
  <c r="R227" i="5" s="1"/>
  <c r="P227" i="5"/>
  <c r="N227" i="5"/>
  <c r="M196" i="15"/>
  <c r="V196" i="15" s="1"/>
  <c r="D173" i="8"/>
  <c r="N173" i="8" s="1"/>
  <c r="J173" i="8" s="1"/>
  <c r="M242" i="15"/>
  <c r="V242" i="15" s="1"/>
  <c r="E88" i="8"/>
  <c r="G88" i="8" s="1"/>
  <c r="H88" i="8" s="1"/>
  <c r="E18" i="8"/>
  <c r="P206" i="5"/>
  <c r="N206" i="5"/>
  <c r="Q206" i="5"/>
  <c r="R206" i="5" s="1"/>
  <c r="E207" i="8"/>
  <c r="G247" i="8"/>
  <c r="H247" i="8" s="1"/>
  <c r="Q122" i="5"/>
  <c r="R122" i="5" s="1"/>
  <c r="P122" i="5"/>
  <c r="N122" i="5"/>
  <c r="D107" i="8"/>
  <c r="N107" i="8" s="1"/>
  <c r="J107" i="8" s="1"/>
  <c r="P30" i="5"/>
  <c r="N30" i="5"/>
  <c r="Q30" i="5"/>
  <c r="R30" i="5" s="1"/>
  <c r="S16" i="15"/>
  <c r="R16" i="15"/>
  <c r="Q16" i="15"/>
  <c r="P16" i="15"/>
  <c r="T16" i="15"/>
  <c r="O16" i="15"/>
  <c r="O80" i="15"/>
  <c r="T80" i="15"/>
  <c r="S80" i="15"/>
  <c r="R80" i="15"/>
  <c r="Q80" i="15"/>
  <c r="P80" i="15"/>
  <c r="D120" i="8"/>
  <c r="N120" i="8" s="1"/>
  <c r="J120" i="8" s="1"/>
  <c r="M57" i="15"/>
  <c r="V57" i="15" s="1"/>
  <c r="G220" i="8"/>
  <c r="H220" i="8" s="1"/>
  <c r="D221" i="8"/>
  <c r="N221" i="8" s="1"/>
  <c r="J221" i="8" s="1"/>
  <c r="E258" i="8"/>
  <c r="Q59" i="5"/>
  <c r="R59" i="5" s="1"/>
  <c r="P59" i="5"/>
  <c r="N59" i="5"/>
  <c r="E236" i="8"/>
  <c r="M236" i="15"/>
  <c r="V236" i="15" s="1"/>
  <c r="M252" i="15"/>
  <c r="V252" i="15" s="1"/>
  <c r="D96" i="8"/>
  <c r="N96" i="8" s="1"/>
  <c r="J96" i="8" s="1"/>
  <c r="D7" i="8"/>
  <c r="N7" i="8" s="1"/>
  <c r="J7" i="8" s="1"/>
  <c r="N13" i="6"/>
  <c r="D21" i="8"/>
  <c r="N21" i="8" s="1"/>
  <c r="J21" i="8" s="1"/>
  <c r="E215" i="8"/>
  <c r="D83" i="8"/>
  <c r="N83" i="8" s="1"/>
  <c r="J83" i="8" s="1"/>
  <c r="Q84" i="5"/>
  <c r="R84" i="5" s="1"/>
  <c r="P84" i="5"/>
  <c r="N84" i="5"/>
  <c r="E241" i="8"/>
  <c r="E37" i="8"/>
  <c r="G37" i="8" s="1"/>
  <c r="H37" i="8" s="1"/>
  <c r="D22" i="8"/>
  <c r="N22" i="8" s="1"/>
  <c r="J22" i="8" s="1"/>
  <c r="D168" i="8"/>
  <c r="N168" i="8" s="1"/>
  <c r="J168" i="8" s="1"/>
  <c r="P14" i="5"/>
  <c r="N14" i="5"/>
  <c r="Q14" i="5"/>
  <c r="R14" i="5" s="1"/>
  <c r="P160" i="15"/>
  <c r="O160" i="15"/>
  <c r="T160" i="15"/>
  <c r="Q160" i="15"/>
  <c r="S160" i="15"/>
  <c r="R160" i="15"/>
  <c r="M184" i="15"/>
  <c r="V184" i="15" s="1"/>
  <c r="M75" i="15"/>
  <c r="V75" i="15" s="1"/>
  <c r="E248" i="8"/>
  <c r="G248" i="8" s="1"/>
  <c r="H248" i="8" s="1"/>
  <c r="M215" i="15"/>
  <c r="V215" i="15" s="1"/>
  <c r="D148" i="8"/>
  <c r="N148" i="8" s="1"/>
  <c r="J148" i="8" s="1"/>
  <c r="M62" i="15"/>
  <c r="V62" i="15" s="1"/>
  <c r="D41" i="8"/>
  <c r="N41" i="8" s="1"/>
  <c r="J41" i="8" s="1"/>
  <c r="D57" i="8"/>
  <c r="N57" i="8" s="1"/>
  <c r="J57" i="8" s="1"/>
  <c r="Q154" i="5"/>
  <c r="R154" i="5" s="1"/>
  <c r="P154" i="5"/>
  <c r="N154" i="5"/>
  <c r="R176" i="15"/>
  <c r="Q176" i="15"/>
  <c r="P176" i="15"/>
  <c r="O176" i="15"/>
  <c r="S176" i="15"/>
  <c r="T176" i="15"/>
  <c r="E161" i="8"/>
  <c r="M94" i="15"/>
  <c r="V94" i="15" s="1"/>
  <c r="P216" i="5"/>
  <c r="N216" i="5"/>
  <c r="Q216" i="5"/>
  <c r="R216" i="5" s="1"/>
  <c r="M59" i="15"/>
  <c r="V59" i="15" s="1"/>
  <c r="D257" i="8"/>
  <c r="E71" i="8"/>
  <c r="G71" i="8" s="1"/>
  <c r="H71" i="8" s="1"/>
  <c r="Q187" i="5"/>
  <c r="R187" i="5" s="1"/>
  <c r="P187" i="5"/>
  <c r="N187" i="5"/>
  <c r="M108" i="15"/>
  <c r="V108" i="15" s="1"/>
  <c r="Q63" i="5"/>
  <c r="R63" i="5" s="1"/>
  <c r="P63" i="5"/>
  <c r="N63" i="5"/>
  <c r="N17" i="6"/>
  <c r="D176" i="8"/>
  <c r="N176" i="8" s="1"/>
  <c r="J176" i="8" s="1"/>
  <c r="E179" i="8"/>
  <c r="G179" i="8" s="1"/>
  <c r="H179" i="8" s="1"/>
  <c r="Q24" i="5"/>
  <c r="R24" i="5" s="1"/>
  <c r="P24" i="5"/>
  <c r="N24" i="5"/>
  <c r="M217" i="15"/>
  <c r="V217" i="15" s="1"/>
  <c r="E99" i="8"/>
  <c r="N44" i="5"/>
  <c r="Q44" i="5"/>
  <c r="R44" i="5" s="1"/>
  <c r="P44" i="5"/>
  <c r="G45" i="8"/>
  <c r="H45" i="8" s="1"/>
  <c r="M45" i="15"/>
  <c r="V45" i="15" s="1"/>
  <c r="N150" i="5"/>
  <c r="Q150" i="5"/>
  <c r="R150" i="5" s="1"/>
  <c r="P150" i="5"/>
  <c r="D103" i="8"/>
  <c r="N103" i="8" s="1"/>
  <c r="J103" i="8" s="1"/>
  <c r="Q249" i="5"/>
  <c r="R249" i="5" s="1"/>
  <c r="N249" i="5"/>
  <c r="P249" i="5"/>
  <c r="E234" i="8"/>
  <c r="G234" i="8" s="1"/>
  <c r="H234" i="8" s="1"/>
  <c r="M218" i="15"/>
  <c r="V218" i="15" s="1"/>
  <c r="E142" i="8"/>
  <c r="E53" i="8"/>
  <c r="T81" i="15"/>
  <c r="S81" i="15"/>
  <c r="R81" i="15"/>
  <c r="Q81" i="15"/>
  <c r="P81" i="15"/>
  <c r="O81" i="15"/>
  <c r="D119" i="8"/>
  <c r="N119" i="8" s="1"/>
  <c r="J119" i="8" s="1"/>
  <c r="Q9" i="5"/>
  <c r="R9" i="5" s="1"/>
  <c r="P9" i="5"/>
  <c r="N9" i="5"/>
  <c r="M249" i="15"/>
  <c r="V249" i="15" s="1"/>
  <c r="E270" i="8"/>
  <c r="M71" i="15"/>
  <c r="V71" i="15" s="1"/>
  <c r="E173" i="8"/>
  <c r="G173" i="8" s="1"/>
  <c r="H173" i="8" s="1"/>
  <c r="D174" i="8"/>
  <c r="N174" i="8" s="1"/>
  <c r="J174" i="8" s="1"/>
  <c r="M197" i="15"/>
  <c r="V197" i="15" s="1"/>
  <c r="M258" i="15"/>
  <c r="V258" i="15" s="1"/>
  <c r="E104" i="8"/>
  <c r="G104" i="8" s="1"/>
  <c r="H104" i="8" s="1"/>
  <c r="D206" i="8"/>
  <c r="N206" i="8" s="1"/>
  <c r="J206" i="8" s="1"/>
  <c r="D207" i="8"/>
  <c r="N207" i="8" s="1"/>
  <c r="J207" i="8" s="1"/>
  <c r="E107" i="8"/>
  <c r="G107" i="8" s="1"/>
  <c r="H107" i="8" s="1"/>
  <c r="D23" i="8"/>
  <c r="N23" i="8" s="1"/>
  <c r="J23" i="8" s="1"/>
  <c r="E49" i="8"/>
  <c r="P120" i="5"/>
  <c r="N120" i="5"/>
  <c r="Q120" i="5"/>
  <c r="R120" i="5" s="1"/>
  <c r="Q43" i="5"/>
  <c r="R43" i="5" s="1"/>
  <c r="P43" i="5"/>
  <c r="N43" i="5"/>
  <c r="M220" i="15"/>
  <c r="V220" i="15" s="1"/>
  <c r="E145" i="8"/>
  <c r="D97" i="8"/>
  <c r="D246" i="8"/>
  <c r="N246" i="8" s="1"/>
  <c r="J246" i="8" s="1"/>
  <c r="D136" i="8"/>
  <c r="N136" i="8" s="1"/>
  <c r="J136" i="8" s="1"/>
  <c r="G236" i="8"/>
  <c r="H236" i="8" s="1"/>
  <c r="Q238" i="5"/>
  <c r="R238" i="5" s="1"/>
  <c r="P238" i="5"/>
  <c r="N238" i="5"/>
  <c r="K269" i="15"/>
  <c r="N269" i="15"/>
  <c r="U269" i="15" s="1"/>
  <c r="Q254" i="5"/>
  <c r="R254" i="5" s="1"/>
  <c r="P254" i="5"/>
  <c r="N254" i="5"/>
  <c r="E7" i="8"/>
  <c r="E21" i="8"/>
  <c r="G21" i="8" s="1"/>
  <c r="H21" i="8" s="1"/>
  <c r="D6" i="8"/>
  <c r="N6" i="8" s="1"/>
  <c r="J6" i="8" s="1"/>
  <c r="P90" i="5"/>
  <c r="N90" i="5"/>
  <c r="Q90" i="5"/>
  <c r="R90" i="5" s="1"/>
  <c r="D75" i="8"/>
  <c r="N75" i="8" s="1"/>
  <c r="J75" i="8" s="1"/>
  <c r="E83" i="8"/>
  <c r="G83" i="8" s="1"/>
  <c r="H83" i="8" s="1"/>
  <c r="Q29" i="5"/>
  <c r="R29" i="5" s="1"/>
  <c r="P29" i="5"/>
  <c r="N29" i="5"/>
  <c r="R254" i="15"/>
  <c r="O254" i="15"/>
  <c r="Q254" i="15"/>
  <c r="P254" i="15"/>
  <c r="T254" i="15"/>
  <c r="S254" i="15"/>
  <c r="M66" i="15"/>
  <c r="V66" i="15" s="1"/>
  <c r="E22" i="8"/>
  <c r="G22" i="8" s="1"/>
  <c r="H22" i="8" s="1"/>
  <c r="E168" i="8"/>
  <c r="G168" i="8" s="1"/>
  <c r="H168" i="8" s="1"/>
  <c r="D15" i="8"/>
  <c r="N15" i="8" s="1"/>
  <c r="J15" i="8" s="1"/>
  <c r="Q171" i="5"/>
  <c r="R171" i="5" s="1"/>
  <c r="P171" i="5"/>
  <c r="N171" i="5"/>
  <c r="M227" i="15"/>
  <c r="V227" i="15" s="1"/>
  <c r="D121" i="8"/>
  <c r="N121" i="8" s="1"/>
  <c r="J121" i="8" s="1"/>
  <c r="E116" i="8"/>
  <c r="Q170" i="5"/>
  <c r="R170" i="5" s="1"/>
  <c r="P170" i="5"/>
  <c r="N170" i="5"/>
  <c r="D102" i="8"/>
  <c r="N102" i="8" s="1"/>
  <c r="J102" i="8" s="1"/>
  <c r="D185" i="8"/>
  <c r="N185" i="8" s="1"/>
  <c r="J185" i="8" s="1"/>
  <c r="D76" i="8"/>
  <c r="N76" i="8" s="1"/>
  <c r="J76" i="8" s="1"/>
  <c r="M143" i="15"/>
  <c r="V143" i="15" s="1"/>
  <c r="E171" i="8"/>
  <c r="P62" i="5"/>
  <c r="N62" i="5"/>
  <c r="Q62" i="5"/>
  <c r="R62" i="5" s="1"/>
  <c r="N8" i="6"/>
  <c r="T193" i="15"/>
  <c r="S193" i="15"/>
  <c r="R193" i="15"/>
  <c r="Q193" i="15"/>
  <c r="P193" i="15"/>
  <c r="O193" i="15"/>
  <c r="O96" i="15"/>
  <c r="T96" i="15"/>
  <c r="S96" i="15"/>
  <c r="R96" i="15"/>
  <c r="Q96" i="15"/>
  <c r="P96" i="15"/>
  <c r="D264" i="8"/>
  <c r="N264" i="8" s="1"/>
  <c r="J264" i="8" s="1"/>
  <c r="E217" i="8"/>
  <c r="P110" i="5"/>
  <c r="N110" i="5"/>
  <c r="Q110" i="5"/>
  <c r="R110" i="5" s="1"/>
  <c r="E176" i="8"/>
  <c r="G176" i="8" s="1"/>
  <c r="H176" i="8" s="1"/>
  <c r="D149" i="8"/>
  <c r="N149" i="8" s="1"/>
  <c r="J149" i="8" s="1"/>
  <c r="D24" i="8"/>
  <c r="N24" i="8" s="1"/>
  <c r="J24" i="8" s="1"/>
  <c r="Q203" i="5"/>
  <c r="R203" i="5" s="1"/>
  <c r="P203" i="5"/>
  <c r="N203" i="5"/>
  <c r="M124" i="15"/>
  <c r="V124" i="15" s="1"/>
  <c r="G99" i="8"/>
  <c r="H99" i="8" s="1"/>
  <c r="D44" i="8"/>
  <c r="N44" i="8" s="1"/>
  <c r="J44" i="8" s="1"/>
  <c r="N16" i="6"/>
  <c r="E103" i="8"/>
  <c r="G103" i="8" s="1"/>
  <c r="H103" i="8" s="1"/>
  <c r="Q140" i="5"/>
  <c r="R140" i="5" s="1"/>
  <c r="P140" i="5"/>
  <c r="N140" i="5"/>
  <c r="M141" i="15"/>
  <c r="V141" i="15" s="1"/>
  <c r="E119" i="8"/>
  <c r="Q235" i="5"/>
  <c r="R235" i="5" s="1"/>
  <c r="P235" i="5"/>
  <c r="N235" i="5"/>
  <c r="M156" i="15"/>
  <c r="V156" i="15" s="1"/>
  <c r="D269" i="8"/>
  <c r="E227" i="8"/>
  <c r="G227" i="8" s="1"/>
  <c r="H227" i="8" s="1"/>
  <c r="N182" i="5"/>
  <c r="Q182" i="5"/>
  <c r="R182" i="5" s="1"/>
  <c r="P182" i="5"/>
  <c r="D135" i="8"/>
  <c r="N135" i="8" s="1"/>
  <c r="J135" i="8" s="1"/>
  <c r="Q25" i="5"/>
  <c r="R25" i="5" s="1"/>
  <c r="P25" i="5"/>
  <c r="N25" i="5"/>
  <c r="M250" i="15"/>
  <c r="V250" i="15" s="1"/>
  <c r="E174" i="8"/>
  <c r="T129" i="15"/>
  <c r="S129" i="15"/>
  <c r="R129" i="15"/>
  <c r="Q129" i="15"/>
  <c r="O129" i="15"/>
  <c r="P129" i="15"/>
  <c r="Q228" i="5"/>
  <c r="R228" i="5" s="1"/>
  <c r="P228" i="5"/>
  <c r="N228" i="5"/>
  <c r="E213" i="8"/>
  <c r="Q151" i="5"/>
  <c r="R151" i="5" s="1"/>
  <c r="P151" i="5"/>
  <c r="N151" i="5"/>
  <c r="M40" i="15"/>
  <c r="V40" i="15" s="1"/>
  <c r="D191" i="8"/>
  <c r="N191" i="8" s="1"/>
  <c r="J191" i="8" s="1"/>
  <c r="Q244" i="5"/>
  <c r="R244" i="5" s="1"/>
  <c r="N244" i="5"/>
  <c r="P244" i="5"/>
  <c r="M213" i="15"/>
  <c r="V213" i="15" s="1"/>
  <c r="E206" i="8"/>
  <c r="G207" i="8"/>
  <c r="H207" i="8" s="1"/>
  <c r="M79" i="15"/>
  <c r="V79" i="15" s="1"/>
  <c r="E23" i="8"/>
  <c r="E97" i="8"/>
  <c r="E245" i="8"/>
  <c r="Q222" i="5"/>
  <c r="R222" i="5" s="1"/>
  <c r="P222" i="5"/>
  <c r="N222" i="5"/>
  <c r="Q32" i="5"/>
  <c r="R32" i="5" s="1"/>
  <c r="P32" i="5"/>
  <c r="N32" i="5"/>
  <c r="M19" i="15"/>
  <c r="V19" i="15" s="1"/>
  <c r="G246" i="8"/>
  <c r="H246" i="8" s="1"/>
  <c r="E136" i="8"/>
  <c r="D239" i="8"/>
  <c r="N239" i="8" s="1"/>
  <c r="J239" i="8" s="1"/>
  <c r="E254" i="8"/>
  <c r="E96" i="8"/>
  <c r="M50" i="15"/>
  <c r="V50" i="15" s="1"/>
  <c r="E6" i="8"/>
  <c r="E75" i="8"/>
  <c r="E84" i="8"/>
  <c r="G84" i="8" s="1"/>
  <c r="H84" i="8" s="1"/>
  <c r="E52" i="8"/>
  <c r="M21" i="15"/>
  <c r="V21" i="15" s="1"/>
  <c r="E15" i="8"/>
  <c r="M23" i="15"/>
  <c r="V23" i="15" s="1"/>
  <c r="R256" i="15"/>
  <c r="O256" i="15"/>
  <c r="T256" i="15"/>
  <c r="S256" i="15"/>
  <c r="Q256" i="15"/>
  <c r="P256" i="15"/>
  <c r="M78" i="15"/>
  <c r="V78" i="15" s="1"/>
  <c r="M61" i="15"/>
  <c r="V61" i="15" s="1"/>
  <c r="M202" i="15"/>
  <c r="V202" i="15" s="1"/>
  <c r="D93" i="8"/>
  <c r="N93" i="8" s="1"/>
  <c r="J93" i="8" s="1"/>
  <c r="E149" i="8"/>
  <c r="G149" i="8" s="1"/>
  <c r="H149" i="8" s="1"/>
  <c r="D134" i="8"/>
  <c r="N134" i="8" s="1"/>
  <c r="J134" i="8" s="1"/>
  <c r="E24" i="8"/>
  <c r="G24" i="8" s="1"/>
  <c r="H24" i="8" s="1"/>
  <c r="E263" i="8"/>
  <c r="G263" i="8" s="1"/>
  <c r="H263" i="8" s="1"/>
  <c r="E44" i="8"/>
  <c r="E249" i="8"/>
  <c r="N143" i="5"/>
  <c r="Q143" i="5"/>
  <c r="R143" i="5" s="1"/>
  <c r="P143" i="5"/>
  <c r="M30" i="15"/>
  <c r="V30" i="15" s="1"/>
  <c r="G119" i="8"/>
  <c r="H119" i="8" s="1"/>
  <c r="N70" i="5"/>
  <c r="Q70" i="5"/>
  <c r="R70" i="5" s="1"/>
  <c r="P70" i="5"/>
  <c r="E82" i="8"/>
  <c r="T97" i="15"/>
  <c r="S97" i="15"/>
  <c r="R97" i="15"/>
  <c r="Q97" i="15"/>
  <c r="P97" i="15"/>
  <c r="O97" i="15"/>
  <c r="E135" i="8"/>
  <c r="Q172" i="5"/>
  <c r="R172" i="5" s="1"/>
  <c r="P172" i="5"/>
  <c r="N172" i="5"/>
  <c r="M173" i="15"/>
  <c r="V173" i="15" s="1"/>
  <c r="M187" i="15"/>
  <c r="V187" i="15" s="1"/>
  <c r="D50" i="8"/>
  <c r="M56" i="15"/>
  <c r="V56" i="15" s="1"/>
  <c r="E68" i="8"/>
  <c r="M246" i="15"/>
  <c r="V246" i="15" s="1"/>
  <c r="T241" i="15"/>
  <c r="Q241" i="15"/>
  <c r="O241" i="15"/>
  <c r="S241" i="15"/>
  <c r="R241" i="15"/>
  <c r="P241" i="15"/>
  <c r="Q16" i="5"/>
  <c r="R16" i="5" s="1"/>
  <c r="P16" i="5"/>
  <c r="N16" i="5"/>
  <c r="M3" i="15"/>
  <c r="V3" i="15" s="1"/>
  <c r="G230" i="8"/>
  <c r="H230" i="8" s="1"/>
  <c r="E120" i="8"/>
  <c r="G120" i="8" s="1"/>
  <c r="H120" i="8" s="1"/>
  <c r="D222" i="8"/>
  <c r="N222" i="8" s="1"/>
  <c r="J222" i="8" s="1"/>
  <c r="D223" i="8"/>
  <c r="N223" i="8" s="1"/>
  <c r="J223" i="8" s="1"/>
  <c r="E34" i="8"/>
  <c r="E32" i="8"/>
  <c r="G32" i="8" s="1"/>
  <c r="H32" i="8" s="1"/>
  <c r="D35" i="8"/>
  <c r="N35" i="8" s="1"/>
  <c r="J35" i="8" s="1"/>
  <c r="M245" i="15"/>
  <c r="V245" i="15" s="1"/>
  <c r="P36" i="5"/>
  <c r="Q36" i="5"/>
  <c r="R36" i="5" s="1"/>
  <c r="N36" i="5"/>
  <c r="M5" i="15"/>
  <c r="V5" i="15" s="1"/>
  <c r="P52" i="5"/>
  <c r="N52" i="5"/>
  <c r="Q52" i="5"/>
  <c r="R52" i="5" s="1"/>
  <c r="Q231" i="5"/>
  <c r="R231" i="5" s="1"/>
  <c r="P231" i="5"/>
  <c r="N231" i="5"/>
  <c r="M120" i="15"/>
  <c r="V120" i="15" s="1"/>
  <c r="D100" i="8"/>
  <c r="N100" i="8" s="1"/>
  <c r="J100" i="8" s="1"/>
  <c r="T177" i="15"/>
  <c r="S177" i="15"/>
  <c r="R177" i="15"/>
  <c r="Q177" i="15"/>
  <c r="P177" i="15"/>
  <c r="O177" i="15"/>
  <c r="Q39" i="5"/>
  <c r="R39" i="5" s="1"/>
  <c r="P39" i="5"/>
  <c r="N39" i="5"/>
  <c r="E147" i="8"/>
  <c r="E117" i="8"/>
  <c r="Q233" i="5"/>
  <c r="R233" i="5" s="1"/>
  <c r="N233" i="5"/>
  <c r="P233" i="5"/>
  <c r="E26" i="8"/>
  <c r="Q76" i="5"/>
  <c r="R76" i="5" s="1"/>
  <c r="P76" i="5"/>
  <c r="N76" i="5"/>
  <c r="E132" i="8"/>
  <c r="G132" i="8" s="1"/>
  <c r="H132" i="8" s="1"/>
  <c r="P93" i="5"/>
  <c r="Q93" i="5"/>
  <c r="R93" i="5" s="1"/>
  <c r="N93" i="5"/>
  <c r="M115" i="15"/>
  <c r="V115" i="15" s="1"/>
  <c r="E185" i="8"/>
  <c r="G185" i="8" s="1"/>
  <c r="H185" i="8" s="1"/>
  <c r="E76" i="8"/>
  <c r="M147" i="15"/>
  <c r="V147" i="15" s="1"/>
  <c r="G102" i="8"/>
  <c r="H102" i="8" s="1"/>
  <c r="M247" i="15"/>
  <c r="V247" i="15" s="1"/>
  <c r="E93" i="8"/>
  <c r="G93" i="8" s="1"/>
  <c r="H93" i="8" s="1"/>
  <c r="D94" i="8"/>
  <c r="N94" i="8" s="1"/>
  <c r="J94" i="8" s="1"/>
  <c r="T225" i="15"/>
  <c r="Q225" i="15"/>
  <c r="O225" i="15"/>
  <c r="S225" i="15"/>
  <c r="R225" i="15"/>
  <c r="P225" i="15"/>
  <c r="E216" i="8"/>
  <c r="D154" i="8"/>
  <c r="N154" i="8" s="1"/>
  <c r="J154" i="8" s="1"/>
  <c r="D163" i="8"/>
  <c r="N163" i="8" s="1"/>
  <c r="J163" i="8" s="1"/>
  <c r="Q133" i="5"/>
  <c r="R133" i="5" s="1"/>
  <c r="N133" i="5"/>
  <c r="P133" i="5"/>
  <c r="M70" i="15"/>
  <c r="V70" i="15" s="1"/>
  <c r="D217" i="8"/>
  <c r="N217" i="8" s="1"/>
  <c r="J217" i="8" s="1"/>
  <c r="E111" i="8"/>
  <c r="T209" i="15"/>
  <c r="S209" i="15"/>
  <c r="R209" i="15"/>
  <c r="Q209" i="15"/>
  <c r="O209" i="15"/>
  <c r="P209" i="15"/>
  <c r="E255" i="8"/>
  <c r="M178" i="15"/>
  <c r="V178" i="15" s="1"/>
  <c r="E134" i="8"/>
  <c r="D127" i="8"/>
  <c r="N127" i="8" s="1"/>
  <c r="J127" i="8" s="1"/>
  <c r="M98" i="15"/>
  <c r="V98" i="15" s="1"/>
  <c r="Q192" i="5"/>
  <c r="R192" i="5" s="1"/>
  <c r="P192" i="5"/>
  <c r="N192" i="5"/>
  <c r="M179" i="15"/>
  <c r="V179" i="15" s="1"/>
  <c r="G249" i="8"/>
  <c r="H249" i="8" s="1"/>
  <c r="D140" i="8"/>
  <c r="N140" i="8" s="1"/>
  <c r="J140" i="8" s="1"/>
  <c r="Q208" i="5"/>
  <c r="R208" i="5" s="1"/>
  <c r="P208" i="5"/>
  <c r="N208" i="5"/>
  <c r="E211" i="8"/>
  <c r="M195" i="15"/>
  <c r="V195" i="15" s="1"/>
  <c r="E9" i="8"/>
  <c r="G9" i="8" s="1"/>
  <c r="H9" i="8" s="1"/>
  <c r="E235" i="8"/>
  <c r="G235" i="8" s="1"/>
  <c r="H235" i="8" s="1"/>
  <c r="P158" i="5"/>
  <c r="N158" i="5"/>
  <c r="Q158" i="5"/>
  <c r="R158" i="5" s="1"/>
  <c r="D159" i="8"/>
  <c r="N159" i="8" s="1"/>
  <c r="J159" i="8" s="1"/>
  <c r="Q115" i="5"/>
  <c r="R115" i="5" s="1"/>
  <c r="P115" i="5"/>
  <c r="N115" i="5"/>
  <c r="M168" i="15"/>
  <c r="V168" i="15" s="1"/>
  <c r="G135" i="8"/>
  <c r="H135" i="8" s="1"/>
  <c r="D25" i="8"/>
  <c r="N25" i="8" s="1"/>
  <c r="J25" i="8" s="1"/>
  <c r="N175" i="5"/>
  <c r="Q175" i="5"/>
  <c r="R175" i="5" s="1"/>
  <c r="P175" i="5"/>
  <c r="D228" i="8"/>
  <c r="N228" i="8" s="1"/>
  <c r="J228" i="8" s="1"/>
  <c r="N26" i="5"/>
  <c r="P26" i="5"/>
  <c r="Q26" i="5"/>
  <c r="R26" i="5" s="1"/>
  <c r="D11" i="8"/>
  <c r="N11" i="8" s="1"/>
  <c r="J11" i="8" s="1"/>
  <c r="M190" i="15"/>
  <c r="V190" i="15" s="1"/>
  <c r="D244" i="8"/>
  <c r="N244" i="8" s="1"/>
  <c r="J244" i="8" s="1"/>
  <c r="M203" i="15"/>
  <c r="V203" i="15" s="1"/>
  <c r="Q68" i="5"/>
  <c r="R68" i="5" s="1"/>
  <c r="P68" i="5"/>
  <c r="N68" i="5"/>
  <c r="Q137" i="5"/>
  <c r="R137" i="5" s="1"/>
  <c r="N137" i="5"/>
  <c r="P137" i="5"/>
  <c r="M106" i="15"/>
  <c r="V106" i="15" s="1"/>
  <c r="D16" i="8"/>
  <c r="N16" i="8" s="1"/>
  <c r="J16" i="8" s="1"/>
  <c r="M229" i="15"/>
  <c r="V229" i="15" s="1"/>
  <c r="E222" i="8"/>
  <c r="G222" i="8" s="1"/>
  <c r="H222" i="8" s="1"/>
  <c r="D32" i="8"/>
  <c r="N32" i="8" s="1"/>
  <c r="J32" i="8" s="1"/>
  <c r="E35" i="8"/>
  <c r="G35" i="8" s="1"/>
  <c r="H35" i="8" s="1"/>
  <c r="D5" i="8"/>
  <c r="N5" i="8" s="1"/>
  <c r="J5" i="8" s="1"/>
  <c r="Q199" i="5"/>
  <c r="R199" i="5" s="1"/>
  <c r="P199" i="5"/>
  <c r="N199" i="5"/>
  <c r="M88" i="15"/>
  <c r="V88" i="15" s="1"/>
  <c r="E238" i="8"/>
  <c r="M6" i="15"/>
  <c r="V6" i="15" s="1"/>
  <c r="N21" i="6"/>
  <c r="D36" i="8"/>
  <c r="N36" i="8" s="1"/>
  <c r="J36" i="8" s="1"/>
  <c r="N262" i="5"/>
  <c r="Q262" i="5"/>
  <c r="R262" i="5" s="1"/>
  <c r="P262" i="5"/>
  <c r="M151" i="15"/>
  <c r="V151" i="15" s="1"/>
  <c r="M82" i="15"/>
  <c r="V82" i="15" s="1"/>
  <c r="D29" i="8"/>
  <c r="N29" i="8" s="1"/>
  <c r="J29" i="8" s="1"/>
  <c r="D52" i="8"/>
  <c r="N52" i="8" s="1"/>
  <c r="J52" i="8" s="1"/>
  <c r="M11" i="15"/>
  <c r="V11" i="15" s="1"/>
  <c r="N100" i="5"/>
  <c r="P100" i="5"/>
  <c r="Q100" i="5"/>
  <c r="R100" i="5" s="1"/>
  <c r="D139" i="8"/>
  <c r="N139" i="8" s="1"/>
  <c r="J139" i="8" s="1"/>
  <c r="Q116" i="5"/>
  <c r="R116" i="5" s="1"/>
  <c r="P116" i="5"/>
  <c r="N116" i="5"/>
  <c r="E157" i="8"/>
  <c r="G157" i="8" s="1"/>
  <c r="H157" i="8" s="1"/>
  <c r="D267" i="8"/>
  <c r="Q212" i="5"/>
  <c r="R212" i="5" s="1"/>
  <c r="P212" i="5"/>
  <c r="N212" i="5"/>
  <c r="Q108" i="5"/>
  <c r="R108" i="5" s="1"/>
  <c r="P108" i="5"/>
  <c r="N108" i="5"/>
  <c r="M139" i="15"/>
  <c r="V139" i="15" s="1"/>
  <c r="E113" i="8"/>
  <c r="Q265" i="5"/>
  <c r="R265" i="5" s="1"/>
  <c r="N265" i="5"/>
  <c r="P265" i="5"/>
  <c r="E57" i="8"/>
  <c r="N86" i="5"/>
  <c r="Q86" i="5"/>
  <c r="R86" i="5" s="1"/>
  <c r="P86" i="5"/>
  <c r="D170" i="8"/>
  <c r="N170" i="8" s="1"/>
  <c r="J170" i="8" s="1"/>
  <c r="S112" i="15"/>
  <c r="R112" i="15"/>
  <c r="Q112" i="15"/>
  <c r="P112" i="15"/>
  <c r="O112" i="15"/>
  <c r="T112" i="15"/>
  <c r="Q147" i="5"/>
  <c r="R147" i="5" s="1"/>
  <c r="P147" i="5"/>
  <c r="N147" i="5"/>
  <c r="D55" i="8"/>
  <c r="N55" i="8" s="1"/>
  <c r="J55" i="8" s="1"/>
  <c r="Q201" i="5"/>
  <c r="R201" i="5" s="1"/>
  <c r="N201" i="5"/>
  <c r="P201" i="5"/>
  <c r="M170" i="15"/>
  <c r="V170" i="15" s="1"/>
  <c r="E94" i="8"/>
  <c r="E154" i="8"/>
  <c r="N24" i="6"/>
  <c r="D160" i="8"/>
  <c r="N160" i="8" s="1"/>
  <c r="J160" i="8" s="1"/>
  <c r="E163" i="8"/>
  <c r="P8" i="5"/>
  <c r="N8" i="5"/>
  <c r="Q8" i="5"/>
  <c r="R8" i="5" s="1"/>
  <c r="M216" i="15"/>
  <c r="V216" i="15" s="1"/>
  <c r="D258" i="8"/>
  <c r="Q164" i="5"/>
  <c r="R164" i="5" s="1"/>
  <c r="P164" i="5"/>
  <c r="N164" i="5"/>
  <c r="M133" i="15"/>
  <c r="V133" i="15" s="1"/>
  <c r="D233" i="8"/>
  <c r="N233" i="8" s="1"/>
  <c r="J233" i="8" s="1"/>
  <c r="P126" i="5"/>
  <c r="N126" i="5"/>
  <c r="Q126" i="5"/>
  <c r="R126" i="5" s="1"/>
  <c r="E127" i="8"/>
  <c r="G127" i="8" s="1"/>
  <c r="H127" i="8" s="1"/>
  <c r="G54" i="8"/>
  <c r="H54" i="8" s="1"/>
  <c r="D263" i="8"/>
  <c r="N263" i="8" s="1"/>
  <c r="J263" i="8" s="1"/>
  <c r="M199" i="15"/>
  <c r="V199" i="15" s="1"/>
  <c r="Q165" i="5"/>
  <c r="R165" i="5" s="1"/>
  <c r="N165" i="5"/>
  <c r="P165" i="5"/>
  <c r="M102" i="15"/>
  <c r="V102" i="15" s="1"/>
  <c r="E140" i="8"/>
  <c r="G140" i="8" s="1"/>
  <c r="H140" i="8" s="1"/>
  <c r="D211" i="8"/>
  <c r="N211" i="8" s="1"/>
  <c r="J211" i="8" s="1"/>
  <c r="Q181" i="5"/>
  <c r="R181" i="5" s="1"/>
  <c r="N181" i="5"/>
  <c r="P181" i="5"/>
  <c r="M118" i="15"/>
  <c r="V118" i="15" s="1"/>
  <c r="D265" i="8"/>
  <c r="N265" i="8" s="1"/>
  <c r="J265" i="8" s="1"/>
  <c r="E159" i="8"/>
  <c r="G159" i="8" s="1"/>
  <c r="H159" i="8" s="1"/>
  <c r="N61" i="5"/>
  <c r="Q61" i="5"/>
  <c r="R61" i="5" s="1"/>
  <c r="P61" i="5"/>
  <c r="C15" i="12"/>
  <c r="C7" i="12"/>
  <c r="C32" i="13" s="1"/>
  <c r="C14" i="12"/>
  <c r="C17" i="12"/>
  <c r="C5" i="12"/>
  <c r="C16" i="12"/>
  <c r="M3" i="6"/>
  <c r="Q224" i="5"/>
  <c r="R224" i="5" s="1"/>
  <c r="P224" i="5"/>
  <c r="N224" i="5"/>
  <c r="M211" i="15"/>
  <c r="V211" i="15" s="1"/>
  <c r="E25" i="8"/>
  <c r="G25" i="8" s="1"/>
  <c r="H25" i="8" s="1"/>
  <c r="D10" i="8"/>
  <c r="N10" i="8" s="1"/>
  <c r="J10" i="8" s="1"/>
  <c r="D172" i="8"/>
  <c r="N172" i="8" s="1"/>
  <c r="J172" i="8" s="1"/>
  <c r="D47" i="8"/>
  <c r="N47" i="8" s="1"/>
  <c r="J47" i="8" s="1"/>
  <c r="O17" i="15"/>
  <c r="T17" i="15"/>
  <c r="S17" i="15"/>
  <c r="P17" i="15"/>
  <c r="R17" i="15"/>
  <c r="Q17" i="15"/>
  <c r="M239" i="15"/>
  <c r="V239" i="15" s="1"/>
  <c r="E228" i="8"/>
  <c r="D213" i="8"/>
  <c r="N213" i="8" s="1"/>
  <c r="J213" i="8" s="1"/>
  <c r="E11" i="8"/>
  <c r="G11" i="8" s="1"/>
  <c r="H11" i="8" s="1"/>
  <c r="Q189" i="5"/>
  <c r="R189" i="5" s="1"/>
  <c r="P189" i="5"/>
  <c r="N189" i="5"/>
  <c r="D190" i="8"/>
  <c r="N190" i="8" s="1"/>
  <c r="J190" i="8" s="1"/>
  <c r="N18" i="6"/>
  <c r="E244" i="8"/>
  <c r="Q167" i="5"/>
  <c r="R167" i="5" s="1"/>
  <c r="P167" i="5"/>
  <c r="N167" i="5"/>
  <c r="P42" i="5"/>
  <c r="N42" i="5"/>
  <c r="Q42" i="5"/>
  <c r="R42" i="5" s="1"/>
  <c r="D27" i="8"/>
  <c r="N27" i="8" s="1"/>
  <c r="J27" i="8" s="1"/>
  <c r="M206" i="15"/>
  <c r="V206" i="15" s="1"/>
  <c r="D68" i="8"/>
  <c r="N68" i="8" s="1"/>
  <c r="J68" i="8" s="1"/>
  <c r="N28" i="5"/>
  <c r="Q28" i="5"/>
  <c r="R28" i="5" s="1"/>
  <c r="P28" i="5"/>
  <c r="M22" i="15"/>
  <c r="V22" i="15" s="1"/>
  <c r="T33" i="15"/>
  <c r="S33" i="15"/>
  <c r="R33" i="15"/>
  <c r="Q33" i="15"/>
  <c r="P33" i="15"/>
  <c r="O33" i="15"/>
  <c r="E16" i="8"/>
  <c r="E19" i="8"/>
  <c r="G19" i="8" s="1"/>
  <c r="H19" i="8" s="1"/>
  <c r="Q260" i="5"/>
  <c r="R260" i="5" s="1"/>
  <c r="P260" i="5"/>
  <c r="N260" i="5"/>
  <c r="Q183" i="5"/>
  <c r="R183" i="5" s="1"/>
  <c r="P183" i="5"/>
  <c r="N183" i="5"/>
  <c r="M72" i="15"/>
  <c r="V72" i="15" s="1"/>
  <c r="R48" i="15"/>
  <c r="Q48" i="15"/>
  <c r="P48" i="15"/>
  <c r="O48" i="15"/>
  <c r="S48" i="15"/>
  <c r="T48" i="15"/>
  <c r="N5" i="5"/>
  <c r="Q5" i="5"/>
  <c r="R5" i="5" s="1"/>
  <c r="P5" i="5"/>
  <c r="M235" i="15"/>
  <c r="V235" i="15" s="1"/>
  <c r="M251" i="15"/>
  <c r="V251" i="15" s="1"/>
  <c r="Q123" i="5"/>
  <c r="R123" i="5" s="1"/>
  <c r="P123" i="5"/>
  <c r="N123" i="5"/>
  <c r="E36" i="8"/>
  <c r="E262" i="8"/>
  <c r="G262" i="8" s="1"/>
  <c r="H262" i="8" s="1"/>
  <c r="D215" i="8"/>
  <c r="N215" i="8" s="1"/>
  <c r="J215" i="8" s="1"/>
  <c r="Q105" i="5"/>
  <c r="R105" i="5" s="1"/>
  <c r="P105" i="5"/>
  <c r="N105" i="5"/>
  <c r="M74" i="15"/>
  <c r="V74" i="15" s="1"/>
  <c r="P184" i="5"/>
  <c r="N184" i="5"/>
  <c r="Q184" i="5"/>
  <c r="R184" i="5" s="1"/>
  <c r="E29" i="8"/>
  <c r="D18" i="8"/>
  <c r="E231" i="8"/>
  <c r="D91" i="8"/>
  <c r="N91" i="8" s="1"/>
  <c r="J91" i="8" s="1"/>
  <c r="D13" i="8"/>
  <c r="N13" i="8" s="1"/>
  <c r="J13" i="8" s="1"/>
  <c r="M14" i="15"/>
  <c r="V14" i="15" s="1"/>
  <c r="E139" i="8"/>
  <c r="G139" i="8" s="1"/>
  <c r="H139" i="8" s="1"/>
  <c r="D62" i="8"/>
  <c r="N62" i="8" s="1"/>
  <c r="J62" i="8" s="1"/>
  <c r="E110" i="8"/>
  <c r="G110" i="8" s="1"/>
  <c r="H110" i="8" s="1"/>
  <c r="E250" i="8"/>
  <c r="G250" i="8" s="1"/>
  <c r="H250" i="8" s="1"/>
  <c r="D66" i="8"/>
  <c r="M253" i="15"/>
  <c r="V253" i="15" s="1"/>
  <c r="Q160" i="5"/>
  <c r="R160" i="5" s="1"/>
  <c r="P160" i="5"/>
  <c r="N160" i="5"/>
  <c r="E264" i="8"/>
  <c r="G264" i="8" s="1"/>
  <c r="H264" i="8" s="1"/>
  <c r="M68" i="15"/>
  <c r="V68" i="15" s="1"/>
  <c r="D131" i="8"/>
  <c r="N131" i="8" s="1"/>
  <c r="J131" i="8" s="1"/>
  <c r="M38" i="15"/>
  <c r="V38" i="15" s="1"/>
  <c r="Q79" i="5"/>
  <c r="R79" i="5" s="1"/>
  <c r="P79" i="5"/>
  <c r="N79" i="5"/>
  <c r="N102" i="5"/>
  <c r="Q102" i="5"/>
  <c r="R102" i="5" s="1"/>
  <c r="P102" i="5"/>
  <c r="E55" i="8"/>
  <c r="G55" i="8" s="1"/>
  <c r="H55" i="8" s="1"/>
  <c r="D92" i="8"/>
  <c r="N92" i="8" s="1"/>
  <c r="J92" i="8" s="1"/>
  <c r="M93" i="15"/>
  <c r="V93" i="15" s="1"/>
  <c r="Q85" i="5"/>
  <c r="R85" i="5" s="1"/>
  <c r="N85" i="5"/>
  <c r="P85" i="5"/>
  <c r="M153" i="15"/>
  <c r="V153" i="15" s="1"/>
  <c r="Q138" i="5"/>
  <c r="R138" i="5" s="1"/>
  <c r="P138" i="5"/>
  <c r="N138" i="5"/>
  <c r="E160" i="8"/>
  <c r="G160" i="8" s="1"/>
  <c r="H160" i="8" s="1"/>
  <c r="D133" i="8"/>
  <c r="N133" i="8" s="1"/>
  <c r="J133" i="8" s="1"/>
  <c r="D202" i="8"/>
  <c r="N202" i="8" s="1"/>
  <c r="J202" i="8" s="1"/>
  <c r="M107" i="15"/>
  <c r="V107" i="15" s="1"/>
  <c r="Q112" i="5"/>
  <c r="R112" i="5" s="1"/>
  <c r="P112" i="5"/>
  <c r="N112" i="5"/>
  <c r="Q87" i="5"/>
  <c r="R87" i="5" s="1"/>
  <c r="P87" i="5"/>
  <c r="N87" i="5"/>
  <c r="M232" i="15"/>
  <c r="V232" i="15" s="1"/>
  <c r="E203" i="8"/>
  <c r="Q153" i="5"/>
  <c r="R153" i="5" s="1"/>
  <c r="N153" i="5"/>
  <c r="P153" i="5"/>
  <c r="M44" i="15"/>
  <c r="V44" i="15" s="1"/>
  <c r="D192" i="8"/>
  <c r="N192" i="8" s="1"/>
  <c r="J192" i="8" s="1"/>
  <c r="Q40" i="5"/>
  <c r="R40" i="5" s="1"/>
  <c r="P40" i="5"/>
  <c r="N40" i="5"/>
  <c r="M233" i="15"/>
  <c r="V233" i="15" s="1"/>
  <c r="D208" i="8"/>
  <c r="N208" i="8" s="1"/>
  <c r="J208" i="8" s="1"/>
  <c r="D56" i="8"/>
  <c r="N56" i="8" s="1"/>
  <c r="J56" i="8" s="1"/>
  <c r="M264" i="15"/>
  <c r="V264" i="15" s="1"/>
  <c r="D227" i="8"/>
  <c r="N227" i="8" s="1"/>
  <c r="J227" i="8" s="1"/>
  <c r="Q197" i="5"/>
  <c r="R197" i="5" s="1"/>
  <c r="N197" i="5"/>
  <c r="P197" i="5"/>
  <c r="M134" i="15"/>
  <c r="V134" i="15" s="1"/>
  <c r="E10" i="8"/>
  <c r="E172" i="8"/>
  <c r="E47" i="8"/>
  <c r="G47" i="8" s="1"/>
  <c r="H47" i="8" s="1"/>
  <c r="D161" i="8"/>
  <c r="Q243" i="5"/>
  <c r="R243" i="5" s="1"/>
  <c r="P243" i="5"/>
  <c r="N243" i="5"/>
  <c r="M212" i="15"/>
  <c r="V212" i="15" s="1"/>
  <c r="D189" i="8"/>
  <c r="N189" i="8" s="1"/>
  <c r="J189" i="8" s="1"/>
  <c r="E190" i="8"/>
  <c r="G190" i="8" s="1"/>
  <c r="H190" i="8" s="1"/>
  <c r="E66" i="8"/>
  <c r="M255" i="15"/>
  <c r="V255" i="15" s="1"/>
  <c r="D229" i="8"/>
  <c r="N229" i="8" s="1"/>
  <c r="J229" i="8" s="1"/>
  <c r="E27" i="8"/>
  <c r="G27" i="8" s="1"/>
  <c r="H27" i="8" s="1"/>
  <c r="D38" i="8"/>
  <c r="N38" i="8" s="1"/>
  <c r="J38" i="8" s="1"/>
  <c r="D137" i="8"/>
  <c r="N137" i="8" s="1"/>
  <c r="J137" i="8" s="1"/>
  <c r="D28" i="8"/>
  <c r="N28" i="8" s="1"/>
  <c r="J28" i="8" s="1"/>
  <c r="P58" i="5"/>
  <c r="N58" i="5"/>
  <c r="Q58" i="5"/>
  <c r="R58" i="5" s="1"/>
  <c r="M219" i="15"/>
  <c r="V219" i="15" s="1"/>
  <c r="D177" i="8"/>
  <c r="E5" i="8"/>
  <c r="G5" i="8" s="1"/>
  <c r="H5" i="8" s="1"/>
  <c r="E199" i="8"/>
  <c r="G199" i="8" s="1"/>
  <c r="H199" i="8" s="1"/>
  <c r="D59" i="8"/>
  <c r="N59" i="8" s="1"/>
  <c r="J59" i="8" s="1"/>
  <c r="N237" i="5"/>
  <c r="Q237" i="5"/>
  <c r="R237" i="5" s="1"/>
  <c r="P237" i="5"/>
  <c r="M238" i="15"/>
  <c r="V238" i="15" s="1"/>
  <c r="E253" i="8"/>
  <c r="G253" i="8" s="1"/>
  <c r="H253" i="8" s="1"/>
  <c r="M63" i="15"/>
  <c r="V63" i="15" s="1"/>
  <c r="P106" i="5"/>
  <c r="N106" i="5"/>
  <c r="Q106" i="5"/>
  <c r="R106" i="5" s="1"/>
  <c r="E91" i="8"/>
  <c r="G91" i="8" s="1"/>
  <c r="H91" i="8" s="1"/>
  <c r="U271" i="15"/>
  <c r="E100" i="8"/>
  <c r="M42" i="15"/>
  <c r="V42" i="15" s="1"/>
  <c r="M243" i="15"/>
  <c r="V243" i="15" s="1"/>
  <c r="E39" i="8"/>
  <c r="G39" i="8" s="1"/>
  <c r="H39" i="8" s="1"/>
  <c r="M77" i="15"/>
  <c r="V77" i="15" s="1"/>
  <c r="Q128" i="5"/>
  <c r="R128" i="5" s="1"/>
  <c r="P128" i="5"/>
  <c r="N128" i="5"/>
  <c r="D216" i="8"/>
  <c r="N216" i="8" s="1"/>
  <c r="J216" i="8" s="1"/>
  <c r="D128" i="8"/>
  <c r="N128" i="8" s="1"/>
  <c r="J128" i="8" s="1"/>
  <c r="Q101" i="5"/>
  <c r="R101" i="5" s="1"/>
  <c r="N101" i="5"/>
  <c r="P101" i="5"/>
  <c r="E170" i="8"/>
  <c r="G170" i="8" s="1"/>
  <c r="H170" i="8" s="1"/>
  <c r="E131" i="8"/>
  <c r="G131" i="8" s="1"/>
  <c r="H131" i="8" s="1"/>
  <c r="M169" i="15"/>
  <c r="V169" i="15" s="1"/>
  <c r="E128" i="8"/>
  <c r="G128" i="8" s="1"/>
  <c r="H128" i="8" s="1"/>
  <c r="D101" i="8"/>
  <c r="N101" i="8" s="1"/>
  <c r="J101" i="8" s="1"/>
  <c r="E101" i="8"/>
  <c r="G101" i="8" s="1"/>
  <c r="H101" i="8" s="1"/>
  <c r="D86" i="8"/>
  <c r="N86" i="8" s="1"/>
  <c r="J86" i="8" s="1"/>
  <c r="P232" i="5"/>
  <c r="N232" i="5"/>
  <c r="Q232" i="5"/>
  <c r="R232" i="5" s="1"/>
  <c r="D60" i="8"/>
  <c r="N60" i="8" s="1"/>
  <c r="J60" i="8" s="1"/>
  <c r="E133" i="8"/>
  <c r="D118" i="8"/>
  <c r="N118" i="8" s="1"/>
  <c r="J118" i="8" s="1"/>
  <c r="Q202" i="5"/>
  <c r="R202" i="5" s="1"/>
  <c r="P202" i="5"/>
  <c r="N202" i="5"/>
  <c r="D187" i="8"/>
  <c r="N187" i="8" s="1"/>
  <c r="J187" i="8" s="1"/>
  <c r="Q109" i="5"/>
  <c r="R109" i="5" s="1"/>
  <c r="P109" i="5"/>
  <c r="N109" i="5"/>
  <c r="M110" i="15"/>
  <c r="V110" i="15" s="1"/>
  <c r="D112" i="8"/>
  <c r="N112" i="8" s="1"/>
  <c r="J112" i="8" s="1"/>
  <c r="D63" i="8"/>
  <c r="N63" i="8" s="1"/>
  <c r="J63" i="8" s="1"/>
  <c r="S144" i="15"/>
  <c r="R144" i="15"/>
  <c r="Q144" i="15"/>
  <c r="P144" i="15"/>
  <c r="O144" i="15"/>
  <c r="T144" i="15"/>
  <c r="D164" i="8"/>
  <c r="N164" i="8" s="1"/>
  <c r="J164" i="8" s="1"/>
  <c r="Q218" i="5"/>
  <c r="R218" i="5" s="1"/>
  <c r="P218" i="5"/>
  <c r="N218" i="5"/>
  <c r="M123" i="15"/>
  <c r="V123" i="15" s="1"/>
  <c r="P46" i="5"/>
  <c r="N46" i="5"/>
  <c r="Q46" i="5"/>
  <c r="R46" i="5" s="1"/>
  <c r="E192" i="8"/>
  <c r="D195" i="8"/>
  <c r="N195" i="8" s="1"/>
  <c r="J195" i="8" s="1"/>
  <c r="D165" i="8"/>
  <c r="N165" i="8" s="1"/>
  <c r="J165" i="8" s="1"/>
  <c r="D40" i="8"/>
  <c r="N40" i="8" s="1"/>
  <c r="J40" i="8" s="1"/>
  <c r="Q219" i="5"/>
  <c r="R219" i="5" s="1"/>
  <c r="P219" i="5"/>
  <c r="N219" i="5"/>
  <c r="M140" i="15"/>
  <c r="V140" i="15" s="1"/>
  <c r="E208" i="8"/>
  <c r="D181" i="8"/>
  <c r="N181" i="8" s="1"/>
  <c r="J181" i="8" s="1"/>
  <c r="E56" i="8"/>
  <c r="M155" i="15"/>
  <c r="V155" i="15" s="1"/>
  <c r="D70" i="8"/>
  <c r="N70" i="8" s="1"/>
  <c r="J70" i="8" s="1"/>
  <c r="E61" i="8"/>
  <c r="D268" i="8"/>
  <c r="D224" i="8"/>
  <c r="N224" i="8" s="1"/>
  <c r="J224" i="8" s="1"/>
  <c r="P72" i="5"/>
  <c r="N72" i="5"/>
  <c r="Q72" i="5"/>
  <c r="R72" i="5" s="1"/>
  <c r="M9" i="15"/>
  <c r="V9" i="15" s="1"/>
  <c r="G172" i="8"/>
  <c r="H172" i="8" s="1"/>
  <c r="E50" i="8"/>
  <c r="M87" i="15"/>
  <c r="V87" i="15" s="1"/>
  <c r="E189" i="8"/>
  <c r="Q259" i="5"/>
  <c r="R259" i="5" s="1"/>
  <c r="P259" i="5"/>
  <c r="N259" i="5"/>
  <c r="M228" i="15"/>
  <c r="V228" i="15" s="1"/>
  <c r="P205" i="5"/>
  <c r="N205" i="5"/>
  <c r="Q205" i="5"/>
  <c r="R205" i="5" s="1"/>
  <c r="E38" i="8"/>
  <c r="E137" i="8"/>
  <c r="D122" i="8"/>
  <c r="N122" i="8" s="1"/>
  <c r="J122" i="8" s="1"/>
  <c r="E28" i="8"/>
  <c r="E177" i="8"/>
  <c r="D260" i="8"/>
  <c r="N260" i="8" s="1"/>
  <c r="J260" i="8" s="1"/>
  <c r="G58" i="8"/>
  <c r="H58" i="8" s="1"/>
  <c r="D43" i="8"/>
  <c r="N43" i="8" s="1"/>
  <c r="J43" i="8" s="1"/>
  <c r="E221" i="8"/>
  <c r="M222" i="15"/>
  <c r="V222" i="15" s="1"/>
  <c r="M34" i="15"/>
  <c r="V34" i="15" s="1"/>
  <c r="D261" i="8"/>
  <c r="N261" i="8" s="1"/>
  <c r="J261" i="8" s="1"/>
  <c r="E59" i="8"/>
  <c r="G59" i="8" s="1"/>
  <c r="H59" i="8" s="1"/>
  <c r="M47" i="15"/>
  <c r="V47" i="15" s="1"/>
  <c r="D105" i="8"/>
  <c r="N105" i="8" s="1"/>
  <c r="J105" i="8" s="1"/>
  <c r="D184" i="8"/>
  <c r="N184" i="8" s="1"/>
  <c r="J184" i="8" s="1"/>
  <c r="R64" i="15"/>
  <c r="Q64" i="15"/>
  <c r="P64" i="15"/>
  <c r="O64" i="15"/>
  <c r="T64" i="15"/>
  <c r="S64" i="15"/>
  <c r="Q67" i="5"/>
  <c r="R67" i="5" s="1"/>
  <c r="P67" i="5"/>
  <c r="N67" i="5"/>
  <c r="M36" i="15"/>
  <c r="V36" i="15" s="1"/>
  <c r="Q13" i="5"/>
  <c r="R13" i="5" s="1"/>
  <c r="P13" i="5"/>
  <c r="N13" i="5"/>
  <c r="P248" i="5"/>
  <c r="N248" i="5"/>
  <c r="Q248" i="5"/>
  <c r="R248" i="5" s="1"/>
  <c r="M185" i="15"/>
  <c r="V185" i="15" s="1"/>
  <c r="E125" i="8"/>
  <c r="G125" i="8" s="1"/>
  <c r="H125" i="8" s="1"/>
  <c r="P200" i="5"/>
  <c r="N200" i="5"/>
  <c r="Q200" i="5"/>
  <c r="R200" i="5" s="1"/>
  <c r="D158" i="8"/>
  <c r="N158" i="8" s="1"/>
  <c r="J158" i="8" s="1"/>
  <c r="Q240" i="5"/>
  <c r="R240" i="5" s="1"/>
  <c r="P240" i="5"/>
  <c r="N240" i="5"/>
  <c r="D188" i="8"/>
  <c r="N188" i="8" s="1"/>
  <c r="J188" i="8" s="1"/>
  <c r="D200" i="8"/>
  <c r="N200" i="8" s="1"/>
  <c r="J200" i="8" s="1"/>
  <c r="Q45" i="5"/>
  <c r="R45" i="5" s="1"/>
  <c r="P45" i="5"/>
  <c r="N45" i="5"/>
  <c r="D180" i="8"/>
  <c r="N180" i="8" s="1"/>
  <c r="J180" i="8" s="1"/>
  <c r="M234" i="15"/>
  <c r="V234" i="15" s="1"/>
  <c r="Q213" i="5"/>
  <c r="R213" i="5" s="1"/>
  <c r="N213" i="5"/>
  <c r="P213" i="5"/>
  <c r="D171" i="8"/>
  <c r="N171" i="8" s="1"/>
  <c r="J171" i="8" s="1"/>
  <c r="D111" i="8"/>
  <c r="N111" i="8" s="1"/>
  <c r="J111" i="8" s="1"/>
  <c r="M76" i="15"/>
  <c r="V76" i="15" s="1"/>
  <c r="M130" i="15"/>
  <c r="V130" i="15" s="1"/>
  <c r="E86" i="8"/>
  <c r="P78" i="5"/>
  <c r="N78" i="5"/>
  <c r="Q78" i="5"/>
  <c r="R78" i="5" s="1"/>
  <c r="M131" i="15"/>
  <c r="V131" i="15" s="1"/>
  <c r="E201" i="8"/>
  <c r="G201" i="8" s="1"/>
  <c r="H201" i="8" s="1"/>
  <c r="D186" i="8"/>
  <c r="N186" i="8" s="1"/>
  <c r="J186" i="8" s="1"/>
  <c r="Q95" i="5"/>
  <c r="R95" i="5" s="1"/>
  <c r="P95" i="5"/>
  <c r="N95" i="5"/>
  <c r="D85" i="8"/>
  <c r="N85" i="8" s="1"/>
  <c r="J85" i="8" s="1"/>
  <c r="E60" i="8"/>
  <c r="D255" i="8"/>
  <c r="M162" i="15"/>
  <c r="V162" i="15" s="1"/>
  <c r="E118" i="8"/>
  <c r="E8" i="8"/>
  <c r="G8" i="8" s="1"/>
  <c r="H8" i="8" s="1"/>
  <c r="E202" i="8"/>
  <c r="G202" i="8" s="1"/>
  <c r="H202" i="8" s="1"/>
  <c r="E187" i="8"/>
  <c r="G187" i="8" s="1"/>
  <c r="H187" i="8" s="1"/>
  <c r="E63" i="8"/>
  <c r="G63" i="8" s="1"/>
  <c r="H63" i="8" s="1"/>
  <c r="T161" i="15"/>
  <c r="S161" i="15"/>
  <c r="Q161" i="15"/>
  <c r="P161" i="15"/>
  <c r="R161" i="15"/>
  <c r="O161" i="15"/>
  <c r="E164" i="8"/>
  <c r="D218" i="8"/>
  <c r="N218" i="8" s="1"/>
  <c r="J218" i="8" s="1"/>
  <c r="P125" i="5"/>
  <c r="Q125" i="5"/>
  <c r="R125" i="5" s="1"/>
  <c r="N125" i="5"/>
  <c r="M126" i="15"/>
  <c r="V126" i="15" s="1"/>
  <c r="D153" i="8"/>
  <c r="N153" i="8" s="1"/>
  <c r="J153" i="8" s="1"/>
  <c r="N10" i="6"/>
  <c r="G195" i="8"/>
  <c r="H195" i="8" s="1"/>
  <c r="E165" i="8"/>
  <c r="D150" i="8"/>
  <c r="N150" i="8" s="1"/>
  <c r="J150" i="8" s="1"/>
  <c r="E40" i="8"/>
  <c r="P142" i="5"/>
  <c r="N142" i="5"/>
  <c r="Q142" i="5"/>
  <c r="R142" i="5" s="1"/>
  <c r="M52" i="15"/>
  <c r="V52" i="15" s="1"/>
  <c r="G208" i="8"/>
  <c r="H208" i="8" s="1"/>
  <c r="E181" i="8"/>
  <c r="G181" i="8" s="1"/>
  <c r="H181" i="8" s="1"/>
  <c r="D166" i="8"/>
  <c r="N166" i="8" s="1"/>
  <c r="J166" i="8" s="1"/>
  <c r="P56" i="5"/>
  <c r="N56" i="5"/>
  <c r="Q56" i="5"/>
  <c r="R56" i="5" s="1"/>
  <c r="D235" i="8"/>
  <c r="N235" i="8" s="1"/>
  <c r="J235" i="8" s="1"/>
  <c r="M158" i="15"/>
  <c r="V158" i="15" s="1"/>
  <c r="E70" i="8"/>
  <c r="D113" i="8"/>
  <c r="E268" i="8"/>
  <c r="E224" i="8"/>
  <c r="G224" i="8" s="1"/>
  <c r="H224" i="8" s="1"/>
  <c r="D197" i="8"/>
  <c r="N197" i="8" s="1"/>
  <c r="J197" i="8" s="1"/>
  <c r="D72" i="8"/>
  <c r="N72" i="8" s="1"/>
  <c r="J72" i="8" s="1"/>
  <c r="Q251" i="5"/>
  <c r="R251" i="5" s="1"/>
  <c r="P251" i="5"/>
  <c r="N251" i="5"/>
  <c r="M172" i="15"/>
  <c r="V172" i="15" s="1"/>
  <c r="T65" i="15"/>
  <c r="S65" i="15"/>
  <c r="R65" i="15"/>
  <c r="P65" i="15"/>
  <c r="Q65" i="15"/>
  <c r="O65" i="15"/>
  <c r="N198" i="5"/>
  <c r="Q198" i="5"/>
  <c r="R198" i="5" s="1"/>
  <c r="P198" i="5"/>
  <c r="D151" i="8"/>
  <c r="N151" i="8" s="1"/>
  <c r="J151" i="8" s="1"/>
  <c r="Q41" i="5"/>
  <c r="R41" i="5" s="1"/>
  <c r="P41" i="5"/>
  <c r="N41" i="5"/>
  <c r="G26" i="8"/>
  <c r="H26" i="8" s="1"/>
  <c r="M10" i="15"/>
  <c r="V10" i="15" s="1"/>
  <c r="E259" i="8"/>
  <c r="N214" i="5"/>
  <c r="Q214" i="5"/>
  <c r="R214" i="5" s="1"/>
  <c r="P214" i="5"/>
  <c r="M103" i="15"/>
  <c r="V103" i="15" s="1"/>
  <c r="Q80" i="5"/>
  <c r="R80" i="5" s="1"/>
  <c r="P80" i="5"/>
  <c r="N80" i="5"/>
  <c r="M37" i="15"/>
  <c r="V37" i="15" s="1"/>
  <c r="E122" i="8"/>
  <c r="D30" i="8"/>
  <c r="N30" i="8" s="1"/>
  <c r="J30" i="8" s="1"/>
  <c r="M18" i="15"/>
  <c r="V18" i="15" s="1"/>
  <c r="E260" i="8"/>
  <c r="G260" i="8" s="1"/>
  <c r="H260" i="8" s="1"/>
  <c r="D245" i="8"/>
  <c r="N245" i="8" s="1"/>
  <c r="J245" i="8" s="1"/>
  <c r="E43" i="8"/>
  <c r="G221" i="8"/>
  <c r="H221" i="8" s="1"/>
  <c r="N27" i="6"/>
  <c r="P20" i="5"/>
  <c r="Q20" i="5"/>
  <c r="R20" i="5" s="1"/>
  <c r="N20" i="5"/>
  <c r="M260" i="15"/>
  <c r="V260" i="15" s="1"/>
  <c r="P74" i="5"/>
  <c r="N74" i="5"/>
  <c r="Q74" i="5"/>
  <c r="R74" i="5" s="1"/>
  <c r="E237" i="8"/>
  <c r="Q253" i="5"/>
  <c r="R253" i="5" s="1"/>
  <c r="P253" i="5"/>
  <c r="N253" i="5"/>
  <c r="D145" i="8"/>
  <c r="Q51" i="5"/>
  <c r="R51" i="5" s="1"/>
  <c r="P51" i="5"/>
  <c r="N51" i="5"/>
  <c r="M20" i="15"/>
  <c r="V20" i="15" s="1"/>
  <c r="E105" i="8"/>
  <c r="D90" i="8"/>
  <c r="N90" i="8" s="1"/>
  <c r="J90" i="8" s="1"/>
  <c r="E184" i="8"/>
  <c r="Q22" i="5"/>
  <c r="R22" i="5" s="1"/>
  <c r="P22" i="5"/>
  <c r="N22" i="5"/>
  <c r="M167" i="15"/>
  <c r="V167" i="15" s="1"/>
  <c r="E13" i="8"/>
  <c r="N15" i="6"/>
  <c r="M138" i="15"/>
  <c r="V138" i="15" s="1"/>
  <c r="D144" i="8"/>
  <c r="N144" i="8" s="1"/>
  <c r="J144" i="8" s="1"/>
  <c r="D117" i="8"/>
  <c r="N117" i="8" s="1"/>
  <c r="J117" i="8" s="1"/>
  <c r="E62" i="8"/>
  <c r="G62" i="8" s="1"/>
  <c r="H62" i="8" s="1"/>
  <c r="Q217" i="5"/>
  <c r="R217" i="5" s="1"/>
  <c r="N217" i="5"/>
  <c r="P217" i="5"/>
  <c r="E115" i="8"/>
  <c r="G115" i="8" s="1"/>
  <c r="H115" i="8" s="1"/>
  <c r="E175" i="8"/>
  <c r="G175" i="8" s="1"/>
  <c r="H175" i="8" s="1"/>
  <c r="Q73" i="5"/>
  <c r="R73" i="5" s="1"/>
  <c r="P73" i="5"/>
  <c r="N73" i="5"/>
  <c r="Q77" i="5"/>
  <c r="R77" i="5" s="1"/>
  <c r="P77" i="5"/>
  <c r="N77" i="5"/>
  <c r="P94" i="5"/>
  <c r="N94" i="5"/>
  <c r="Q94" i="5"/>
  <c r="R94" i="5" s="1"/>
  <c r="D204" i="8"/>
  <c r="N204" i="8" s="1"/>
  <c r="J204" i="8" s="1"/>
  <c r="M116" i="15"/>
  <c r="V116" i="15" s="1"/>
  <c r="Q155" i="5"/>
  <c r="R155" i="5" s="1"/>
  <c r="P155" i="5"/>
  <c r="N155" i="5"/>
  <c r="Q92" i="5"/>
  <c r="R92" i="5" s="1"/>
  <c r="P92" i="5"/>
  <c r="N92" i="5"/>
  <c r="D79" i="8"/>
  <c r="N79" i="8" s="1"/>
  <c r="J79" i="8" s="1"/>
  <c r="Q144" i="5"/>
  <c r="R144" i="5" s="1"/>
  <c r="P144" i="5"/>
  <c r="N144" i="5"/>
  <c r="E146" i="8"/>
  <c r="D116" i="8"/>
  <c r="N116" i="8" s="1"/>
  <c r="J116" i="8" s="1"/>
  <c r="M85" i="15"/>
  <c r="V85" i="15" s="1"/>
  <c r="D232" i="8"/>
  <c r="N232" i="8" s="1"/>
  <c r="J232" i="8" s="1"/>
  <c r="E79" i="8"/>
  <c r="D147" i="8"/>
  <c r="N147" i="8" s="1"/>
  <c r="J147" i="8" s="1"/>
  <c r="Q117" i="5"/>
  <c r="R117" i="5" s="1"/>
  <c r="N117" i="5"/>
  <c r="P117" i="5"/>
  <c r="M54" i="15"/>
  <c r="V54" i="15" s="1"/>
  <c r="E186" i="8"/>
  <c r="E92" i="8"/>
  <c r="E85" i="8"/>
  <c r="Q60" i="5"/>
  <c r="R60" i="5" s="1"/>
  <c r="P60" i="5"/>
  <c r="N60" i="5"/>
  <c r="T257" i="15"/>
  <c r="Q257" i="15"/>
  <c r="O257" i="15"/>
  <c r="S257" i="15"/>
  <c r="R257" i="15"/>
  <c r="P257" i="15"/>
  <c r="Q148" i="5"/>
  <c r="R148" i="5" s="1"/>
  <c r="P148" i="5"/>
  <c r="N148" i="5"/>
  <c r="M117" i="15"/>
  <c r="V117" i="15" s="1"/>
  <c r="D109" i="8"/>
  <c r="N109" i="8" s="1"/>
  <c r="J109" i="8" s="1"/>
  <c r="E112" i="8"/>
  <c r="M175" i="15"/>
  <c r="V175" i="15" s="1"/>
  <c r="E218" i="8"/>
  <c r="D203" i="8"/>
  <c r="N203" i="8" s="1"/>
  <c r="J203" i="8" s="1"/>
  <c r="N54" i="5"/>
  <c r="Q54" i="5"/>
  <c r="R54" i="5" s="1"/>
  <c r="P54" i="5"/>
  <c r="E153" i="8"/>
  <c r="M194" i="15"/>
  <c r="V194" i="15" s="1"/>
  <c r="G165" i="8"/>
  <c r="H165" i="8" s="1"/>
  <c r="E150" i="8"/>
  <c r="E219" i="8"/>
  <c r="G219" i="8" s="1"/>
  <c r="H219" i="8" s="1"/>
  <c r="G142" i="8"/>
  <c r="H142" i="8" s="1"/>
  <c r="D143" i="8"/>
  <c r="N143" i="8" s="1"/>
  <c r="J143" i="8" s="1"/>
  <c r="N31" i="5"/>
  <c r="Q31" i="5"/>
  <c r="R31" i="5" s="1"/>
  <c r="P31" i="5"/>
  <c r="M210" i="15"/>
  <c r="V210" i="15" s="1"/>
  <c r="E166" i="8"/>
  <c r="Q250" i="5"/>
  <c r="R250" i="5" s="1"/>
  <c r="P250" i="5"/>
  <c r="N250" i="5"/>
  <c r="Q157" i="5"/>
  <c r="R157" i="5" s="1"/>
  <c r="P157" i="5"/>
  <c r="N157" i="5"/>
  <c r="M69" i="15"/>
  <c r="V69" i="15" s="1"/>
  <c r="D61" i="8"/>
  <c r="N61" i="8" s="1"/>
  <c r="J61" i="8" s="1"/>
  <c r="E129" i="8"/>
  <c r="E267" i="8"/>
  <c r="E197" i="8"/>
  <c r="D182" i="8"/>
  <c r="N182" i="8" s="1"/>
  <c r="J182" i="8" s="1"/>
  <c r="E72" i="8"/>
  <c r="E251" i="8"/>
  <c r="G251" i="8" s="1"/>
  <c r="H251" i="8" s="1"/>
  <c r="P174" i="5"/>
  <c r="N174" i="5"/>
  <c r="Q174" i="5"/>
  <c r="R174" i="5" s="1"/>
  <c r="M46" i="15"/>
  <c r="V46" i="15" s="1"/>
  <c r="E243" i="8"/>
  <c r="E151" i="8"/>
  <c r="Q188" i="5"/>
  <c r="R188" i="5" s="1"/>
  <c r="P188" i="5"/>
  <c r="N188" i="5"/>
  <c r="M189" i="15"/>
  <c r="V189" i="15" s="1"/>
  <c r="D214" i="8"/>
  <c r="N214" i="8" s="1"/>
  <c r="J214" i="8" s="1"/>
  <c r="D167" i="8"/>
  <c r="N167" i="8" s="1"/>
  <c r="J167" i="8" s="1"/>
  <c r="Q57" i="5"/>
  <c r="R57" i="5" s="1"/>
  <c r="P57" i="5"/>
  <c r="N57" i="5"/>
  <c r="M26" i="15"/>
  <c r="V26" i="15" s="1"/>
  <c r="G206" i="8"/>
  <c r="H206" i="8" s="1"/>
  <c r="D80" i="8"/>
  <c r="N80" i="8" s="1"/>
  <c r="J80" i="8" s="1"/>
  <c r="Q247" i="5"/>
  <c r="R247" i="5" s="1"/>
  <c r="P247" i="5"/>
  <c r="N247" i="5"/>
  <c r="M121" i="15"/>
  <c r="V121" i="15" s="1"/>
  <c r="E30" i="8"/>
  <c r="E193" i="8"/>
  <c r="P4" i="5"/>
  <c r="Q4" i="5"/>
  <c r="R4" i="5" s="1"/>
  <c r="N4" i="5"/>
  <c r="D225" i="8"/>
  <c r="D33" i="8"/>
  <c r="D209" i="8"/>
  <c r="E225" i="8"/>
  <c r="D49" i="8"/>
  <c r="E226" i="8"/>
  <c r="E209" i="8"/>
  <c r="D82" i="8"/>
  <c r="E210" i="8"/>
  <c r="E98" i="8"/>
  <c r="D226" i="8"/>
  <c r="D210" i="8"/>
  <c r="D98" i="8"/>
  <c r="E81" i="8"/>
  <c r="E114" i="8"/>
  <c r="E33" i="8"/>
  <c r="D114" i="8"/>
  <c r="E17" i="8"/>
  <c r="G17" i="8" s="1"/>
  <c r="H17" i="8" s="1"/>
  <c r="M244" i="15"/>
  <c r="V244" i="15" s="1"/>
  <c r="P221" i="5"/>
  <c r="Q221" i="5"/>
  <c r="R221" i="5" s="1"/>
  <c r="N221" i="5"/>
  <c r="N246" i="5"/>
  <c r="Q246" i="5"/>
  <c r="R246" i="5" s="1"/>
  <c r="P246" i="5"/>
  <c r="M135" i="15"/>
  <c r="V135" i="15" s="1"/>
  <c r="G237" i="8"/>
  <c r="H237" i="8" s="1"/>
  <c r="D238" i="8"/>
  <c r="N238" i="8" s="1"/>
  <c r="J238" i="8" s="1"/>
  <c r="D254" i="8"/>
  <c r="N254" i="8" s="1"/>
  <c r="J254" i="8" s="1"/>
  <c r="M95" i="15"/>
  <c r="V95" i="15" s="1"/>
  <c r="D242" i="8"/>
  <c r="Q6" i="5"/>
  <c r="R6" i="5" s="1"/>
  <c r="P6" i="5"/>
  <c r="N6" i="5"/>
  <c r="M214" i="15"/>
  <c r="V214" i="15" s="1"/>
  <c r="G105" i="8"/>
  <c r="H105" i="8" s="1"/>
  <c r="E90" i="8"/>
  <c r="M83" i="15"/>
  <c r="V83" i="15" s="1"/>
  <c r="D231" i="8"/>
  <c r="N231" i="8" s="1"/>
  <c r="J231" i="8" s="1"/>
  <c r="Q121" i="5"/>
  <c r="R121" i="5" s="1"/>
  <c r="P121" i="5"/>
  <c r="N121" i="5"/>
  <c r="M90" i="15"/>
  <c r="V90" i="15" s="1"/>
  <c r="G13" i="8"/>
  <c r="H13" i="8" s="1"/>
  <c r="E14" i="8"/>
  <c r="G14" i="8" s="1"/>
  <c r="H14" i="8" s="1"/>
  <c r="D129" i="8"/>
  <c r="B12" i="12" l="1"/>
  <c r="B37" i="13" s="1"/>
  <c r="G228" i="8"/>
  <c r="H228" i="8" s="1"/>
  <c r="G7" i="8"/>
  <c r="H7" i="8" s="1"/>
  <c r="G198" i="8"/>
  <c r="H198" i="8" s="1"/>
  <c r="G96" i="8"/>
  <c r="H96" i="8" s="1"/>
  <c r="G148" i="8"/>
  <c r="H148" i="8" s="1"/>
  <c r="G137" i="8"/>
  <c r="H137" i="8" s="1"/>
  <c r="G136" i="8"/>
  <c r="H136" i="8" s="1"/>
  <c r="G156" i="8"/>
  <c r="H156" i="8" s="1"/>
  <c r="G44" i="8"/>
  <c r="H44" i="8" s="1"/>
  <c r="G87" i="8"/>
  <c r="H87" i="8" s="1"/>
  <c r="G52" i="8"/>
  <c r="H52" i="8" s="1"/>
  <c r="G16" i="8"/>
  <c r="H16" i="8" s="1"/>
  <c r="G23" i="8"/>
  <c r="H23" i="8" s="1"/>
  <c r="G76" i="8"/>
  <c r="H76" i="8" s="1"/>
  <c r="G184" i="8"/>
  <c r="H184" i="8" s="1"/>
  <c r="G212" i="8"/>
  <c r="H212" i="8" s="1"/>
  <c r="G205" i="8"/>
  <c r="H205" i="8" s="1"/>
  <c r="G36" i="8"/>
  <c r="H36" i="8" s="1"/>
  <c r="G163" i="8"/>
  <c r="H163" i="8" s="1"/>
  <c r="G256" i="8"/>
  <c r="H256" i="8" s="1"/>
  <c r="G123" i="8"/>
  <c r="H123" i="8" s="1"/>
  <c r="B5" i="12"/>
  <c r="B30" i="13" s="1"/>
  <c r="G223" i="8"/>
  <c r="H223" i="8" s="1"/>
  <c r="G77" i="8"/>
  <c r="H77" i="8" s="1"/>
  <c r="G240" i="8"/>
  <c r="H240" i="8" s="1"/>
  <c r="G41" i="8"/>
  <c r="H41" i="8" s="1"/>
  <c r="G133" i="8"/>
  <c r="H133" i="8" s="1"/>
  <c r="G192" i="8"/>
  <c r="H192" i="8" s="1"/>
  <c r="G189" i="8"/>
  <c r="H189" i="8" s="1"/>
  <c r="G74" i="8"/>
  <c r="H74" i="8" s="1"/>
  <c r="G75" i="8"/>
  <c r="H75" i="8" s="1"/>
  <c r="G53" i="8"/>
  <c r="H53" i="8" s="1"/>
  <c r="C8" i="12"/>
  <c r="C33" i="13" s="1"/>
  <c r="C12" i="12"/>
  <c r="C37" i="13" s="1"/>
  <c r="C11" i="12"/>
  <c r="C36" i="13" s="1"/>
  <c r="C10" i="12"/>
  <c r="C35" i="13" s="1"/>
  <c r="C13" i="12"/>
  <c r="C38" i="13" s="1"/>
  <c r="C6" i="12"/>
  <c r="C31" i="13" s="1"/>
  <c r="R238" i="15"/>
  <c r="O238" i="15"/>
  <c r="Q238" i="15"/>
  <c r="P238" i="15"/>
  <c r="T238" i="15"/>
  <c r="S238" i="15"/>
  <c r="B16" i="12"/>
  <c r="E16" i="12" s="1"/>
  <c r="R232" i="15"/>
  <c r="O232" i="15"/>
  <c r="T232" i="15"/>
  <c r="S232" i="15"/>
  <c r="Q232" i="15"/>
  <c r="P232" i="15"/>
  <c r="N209" i="15"/>
  <c r="U209" i="15" s="1"/>
  <c r="K209" i="15"/>
  <c r="O3" i="15"/>
  <c r="T3" i="15"/>
  <c r="P3" i="15"/>
  <c r="S3" i="15"/>
  <c r="R3" i="15"/>
  <c r="Q3" i="15"/>
  <c r="G38" i="8"/>
  <c r="H38" i="8" s="1"/>
  <c r="T61" i="15"/>
  <c r="S61" i="15"/>
  <c r="R61" i="15"/>
  <c r="Q61" i="15"/>
  <c r="P61" i="15"/>
  <c r="O61" i="15"/>
  <c r="G147" i="8"/>
  <c r="H147" i="8" s="1"/>
  <c r="G150" i="8"/>
  <c r="H150" i="8" s="1"/>
  <c r="G218" i="8"/>
  <c r="H218" i="8" s="1"/>
  <c r="S12" i="15"/>
  <c r="R12" i="15"/>
  <c r="Q12" i="15"/>
  <c r="P12" i="15"/>
  <c r="T12" i="15"/>
  <c r="O12" i="15"/>
  <c r="R182" i="15"/>
  <c r="Q182" i="15"/>
  <c r="P182" i="15"/>
  <c r="O182" i="15"/>
  <c r="T182" i="15"/>
  <c r="S182" i="15"/>
  <c r="N162" i="8"/>
  <c r="J162" i="8" s="1"/>
  <c r="G162" i="8"/>
  <c r="H162" i="8" s="1"/>
  <c r="S136" i="15"/>
  <c r="R136" i="15"/>
  <c r="Q136" i="15"/>
  <c r="P136" i="15"/>
  <c r="O136" i="15"/>
  <c r="T136" i="15"/>
  <c r="T207" i="15"/>
  <c r="S207" i="15"/>
  <c r="R207" i="15"/>
  <c r="Q207" i="15"/>
  <c r="P207" i="15"/>
  <c r="O207" i="15"/>
  <c r="P146" i="15"/>
  <c r="O146" i="15"/>
  <c r="T146" i="15"/>
  <c r="Q146" i="15"/>
  <c r="S146" i="15"/>
  <c r="R146" i="15"/>
  <c r="T2" i="15"/>
  <c r="P166" i="15"/>
  <c r="O166" i="15"/>
  <c r="T166" i="15"/>
  <c r="S166" i="15"/>
  <c r="R166" i="15"/>
  <c r="Q166" i="15"/>
  <c r="O25" i="15"/>
  <c r="T25" i="15"/>
  <c r="S25" i="15"/>
  <c r="P25" i="15"/>
  <c r="R25" i="15"/>
  <c r="Q25" i="15"/>
  <c r="N49" i="15"/>
  <c r="U49" i="15" s="1"/>
  <c r="K49" i="15"/>
  <c r="T165" i="15"/>
  <c r="S165" i="15"/>
  <c r="Q165" i="15"/>
  <c r="P165" i="15"/>
  <c r="O165" i="15"/>
  <c r="R165" i="15"/>
  <c r="N268" i="8"/>
  <c r="J268" i="8" s="1"/>
  <c r="G268" i="8"/>
  <c r="H268" i="8" s="1"/>
  <c r="R38" i="15"/>
  <c r="Q38" i="15"/>
  <c r="P38" i="15"/>
  <c r="O38" i="15"/>
  <c r="S38" i="15"/>
  <c r="T38" i="15"/>
  <c r="P179" i="15"/>
  <c r="O179" i="15"/>
  <c r="T179" i="15"/>
  <c r="R179" i="15"/>
  <c r="Q179" i="15"/>
  <c r="S179" i="15"/>
  <c r="K97" i="15"/>
  <c r="N97" i="15"/>
  <c r="U97" i="15" s="1"/>
  <c r="N193" i="15"/>
  <c r="U193" i="15" s="1"/>
  <c r="K193" i="15"/>
  <c r="T71" i="15"/>
  <c r="S71" i="15"/>
  <c r="R71" i="15"/>
  <c r="P71" i="15"/>
  <c r="Q71" i="15"/>
  <c r="O71" i="15"/>
  <c r="T196" i="15"/>
  <c r="S196" i="15"/>
  <c r="R196" i="15"/>
  <c r="Q196" i="15"/>
  <c r="P196" i="15"/>
  <c r="O196" i="15"/>
  <c r="T231" i="15"/>
  <c r="Q231" i="15"/>
  <c r="O231" i="15"/>
  <c r="P231" i="15"/>
  <c r="S231" i="15"/>
  <c r="R231" i="15"/>
  <c r="G200" i="8"/>
  <c r="H200" i="8" s="1"/>
  <c r="N146" i="8"/>
  <c r="J146" i="8" s="1"/>
  <c r="G146" i="8"/>
  <c r="H146" i="8" s="1"/>
  <c r="N2" i="15"/>
  <c r="R58" i="15"/>
  <c r="Q58" i="15"/>
  <c r="P58" i="15"/>
  <c r="O58" i="15"/>
  <c r="T58" i="15"/>
  <c r="S58" i="15"/>
  <c r="G174" i="8"/>
  <c r="H174" i="8" s="1"/>
  <c r="G203" i="8"/>
  <c r="H203" i="8" s="1"/>
  <c r="S126" i="15"/>
  <c r="R126" i="15"/>
  <c r="Q126" i="15"/>
  <c r="P126" i="15"/>
  <c r="O126" i="15"/>
  <c r="T126" i="15"/>
  <c r="T131" i="15"/>
  <c r="S131" i="15"/>
  <c r="R131" i="15"/>
  <c r="Q131" i="15"/>
  <c r="O131" i="15"/>
  <c r="P131" i="15"/>
  <c r="G80" i="8"/>
  <c r="H80" i="8" s="1"/>
  <c r="G85" i="8"/>
  <c r="H85" i="8" s="1"/>
  <c r="B9" i="12"/>
  <c r="T233" i="15"/>
  <c r="Q233" i="15"/>
  <c r="O233" i="15"/>
  <c r="S233" i="15"/>
  <c r="R233" i="15"/>
  <c r="P233" i="15"/>
  <c r="S14" i="15"/>
  <c r="R14" i="15"/>
  <c r="Q14" i="15"/>
  <c r="P14" i="15"/>
  <c r="T14" i="15"/>
  <c r="O14" i="15"/>
  <c r="T190" i="15"/>
  <c r="S190" i="15"/>
  <c r="R190" i="15"/>
  <c r="Q190" i="15"/>
  <c r="P190" i="15"/>
  <c r="O190" i="15"/>
  <c r="T147" i="15"/>
  <c r="S147" i="15"/>
  <c r="R147" i="15"/>
  <c r="Q147" i="15"/>
  <c r="P147" i="15"/>
  <c r="O147" i="15"/>
  <c r="G15" i="8"/>
  <c r="H15" i="8" s="1"/>
  <c r="O21" i="15"/>
  <c r="T21" i="15"/>
  <c r="S21" i="15"/>
  <c r="P21" i="15"/>
  <c r="R21" i="15"/>
  <c r="Q21" i="15"/>
  <c r="N80" i="15"/>
  <c r="U80" i="15" s="1"/>
  <c r="K80" i="15"/>
  <c r="O86" i="15"/>
  <c r="T86" i="15"/>
  <c r="S86" i="15"/>
  <c r="R86" i="15"/>
  <c r="Q86" i="15"/>
  <c r="P86" i="15"/>
  <c r="S122" i="15"/>
  <c r="R122" i="15"/>
  <c r="Q122" i="15"/>
  <c r="P122" i="15"/>
  <c r="O122" i="15"/>
  <c r="T122" i="15"/>
  <c r="N194" i="8"/>
  <c r="J194" i="8" s="1"/>
  <c r="G194" i="8"/>
  <c r="H194" i="8" s="1"/>
  <c r="R174" i="15"/>
  <c r="Q174" i="15"/>
  <c r="P174" i="15"/>
  <c r="O174" i="15"/>
  <c r="S174" i="15"/>
  <c r="T174" i="15"/>
  <c r="N32" i="15"/>
  <c r="U32" i="15" s="1"/>
  <c r="K32" i="15"/>
  <c r="P2" i="15"/>
  <c r="T159" i="15"/>
  <c r="S159" i="15"/>
  <c r="Q159" i="15"/>
  <c r="P159" i="15"/>
  <c r="R159" i="15"/>
  <c r="O159" i="15"/>
  <c r="N82" i="8"/>
  <c r="J82" i="8" s="1"/>
  <c r="G82" i="8"/>
  <c r="H82" i="8" s="1"/>
  <c r="T153" i="15"/>
  <c r="Q153" i="15"/>
  <c r="P153" i="15"/>
  <c r="S153" i="15"/>
  <c r="R153" i="15"/>
  <c r="O153" i="15"/>
  <c r="G43" i="8"/>
  <c r="H43" i="8" s="1"/>
  <c r="G171" i="8"/>
  <c r="H171" i="8" s="1"/>
  <c r="R260" i="15"/>
  <c r="Q260" i="15"/>
  <c r="O260" i="15"/>
  <c r="S260" i="15"/>
  <c r="P260" i="15"/>
  <c r="T260" i="15"/>
  <c r="G92" i="8"/>
  <c r="H92" i="8" s="1"/>
  <c r="N161" i="8"/>
  <c r="J161" i="8" s="1"/>
  <c r="G161" i="8"/>
  <c r="H161" i="8" s="1"/>
  <c r="B13" i="12"/>
  <c r="T206" i="15"/>
  <c r="S206" i="15"/>
  <c r="R206" i="15"/>
  <c r="P206" i="15"/>
  <c r="O206" i="15"/>
  <c r="Q206" i="15"/>
  <c r="T211" i="15"/>
  <c r="S211" i="15"/>
  <c r="R211" i="15"/>
  <c r="Q211" i="15"/>
  <c r="O211" i="15"/>
  <c r="P211" i="15"/>
  <c r="T229" i="15"/>
  <c r="Q229" i="15"/>
  <c r="O229" i="15"/>
  <c r="S229" i="15"/>
  <c r="P229" i="15"/>
  <c r="R229" i="15"/>
  <c r="N225" i="15"/>
  <c r="U225" i="15" s="1"/>
  <c r="K225" i="15"/>
  <c r="G239" i="8"/>
  <c r="H239" i="8" s="1"/>
  <c r="R56" i="15"/>
  <c r="Q56" i="15"/>
  <c r="P56" i="15"/>
  <c r="O56" i="15"/>
  <c r="T56" i="15"/>
  <c r="S56" i="15"/>
  <c r="O78" i="15"/>
  <c r="T78" i="15"/>
  <c r="S78" i="15"/>
  <c r="R78" i="15"/>
  <c r="Q78" i="15"/>
  <c r="P78" i="15"/>
  <c r="N129" i="15"/>
  <c r="U129" i="15" s="1"/>
  <c r="K129" i="15"/>
  <c r="G182" i="8"/>
  <c r="H182" i="8" s="1"/>
  <c r="G261" i="8"/>
  <c r="H261" i="8" s="1"/>
  <c r="N113" i="15"/>
  <c r="U113" i="15" s="1"/>
  <c r="K113" i="15"/>
  <c r="T223" i="15"/>
  <c r="Q223" i="15"/>
  <c r="O223" i="15"/>
  <c r="P223" i="15"/>
  <c r="R223" i="15"/>
  <c r="S223" i="15"/>
  <c r="G86" i="8"/>
  <c r="H86" i="8" s="1"/>
  <c r="R248" i="15"/>
  <c r="O248" i="15"/>
  <c r="T248" i="15"/>
  <c r="S248" i="15"/>
  <c r="Q248" i="15"/>
  <c r="P248" i="15"/>
  <c r="N145" i="15"/>
  <c r="U145" i="15" s="1"/>
  <c r="K145" i="15"/>
  <c r="Q2" i="15"/>
  <c r="T31" i="15"/>
  <c r="S31" i="15"/>
  <c r="R31" i="15"/>
  <c r="Q31" i="15"/>
  <c r="P31" i="15"/>
  <c r="O31" i="15"/>
  <c r="T28" i="15"/>
  <c r="S28" i="15"/>
  <c r="R28" i="15"/>
  <c r="Q28" i="15"/>
  <c r="P28" i="15"/>
  <c r="O28" i="15"/>
  <c r="G197" i="8"/>
  <c r="H197" i="8" s="1"/>
  <c r="P148" i="15"/>
  <c r="O148" i="15"/>
  <c r="T148" i="15"/>
  <c r="S148" i="15"/>
  <c r="R148" i="15"/>
  <c r="Q148" i="15"/>
  <c r="R244" i="15"/>
  <c r="O244" i="15"/>
  <c r="T244" i="15"/>
  <c r="P244" i="15"/>
  <c r="S244" i="15"/>
  <c r="Q244" i="15"/>
  <c r="N49" i="8"/>
  <c r="J49" i="8" s="1"/>
  <c r="G49" i="8"/>
  <c r="H49" i="8" s="1"/>
  <c r="T85" i="15"/>
  <c r="S85" i="15"/>
  <c r="R85" i="15"/>
  <c r="Q85" i="15"/>
  <c r="P85" i="15"/>
  <c r="O85" i="15"/>
  <c r="S20" i="15"/>
  <c r="R20" i="15"/>
  <c r="Q20" i="15"/>
  <c r="P20" i="15"/>
  <c r="T20" i="15"/>
  <c r="O20" i="15"/>
  <c r="T155" i="15"/>
  <c r="S155" i="15"/>
  <c r="Q155" i="15"/>
  <c r="P155" i="15"/>
  <c r="R155" i="15"/>
  <c r="O155" i="15"/>
  <c r="B17" i="12"/>
  <c r="E17" i="12" s="1"/>
  <c r="O68" i="15"/>
  <c r="T68" i="15"/>
  <c r="Q68" i="15"/>
  <c r="P68" i="15"/>
  <c r="S68" i="15"/>
  <c r="R68" i="15"/>
  <c r="N48" i="15"/>
  <c r="U48" i="15" s="1"/>
  <c r="K48" i="15"/>
  <c r="N33" i="15"/>
  <c r="U33" i="15" s="1"/>
  <c r="K33" i="15"/>
  <c r="T239" i="15"/>
  <c r="Q239" i="15"/>
  <c r="O239" i="15"/>
  <c r="P239" i="15"/>
  <c r="S239" i="15"/>
  <c r="R239" i="15"/>
  <c r="T133" i="15"/>
  <c r="S133" i="15"/>
  <c r="R133" i="15"/>
  <c r="Q133" i="15"/>
  <c r="O133" i="15"/>
  <c r="P133" i="15"/>
  <c r="T139" i="15"/>
  <c r="S139" i="15"/>
  <c r="R139" i="15"/>
  <c r="Q139" i="15"/>
  <c r="O139" i="15"/>
  <c r="P139" i="15"/>
  <c r="S120" i="15"/>
  <c r="R120" i="15"/>
  <c r="Q120" i="15"/>
  <c r="P120" i="15"/>
  <c r="O120" i="15"/>
  <c r="T120" i="15"/>
  <c r="N241" i="15"/>
  <c r="U241" i="15" s="1"/>
  <c r="K241" i="15"/>
  <c r="N50" i="8"/>
  <c r="J50" i="8" s="1"/>
  <c r="G50" i="8"/>
  <c r="H50" i="8" s="1"/>
  <c r="O19" i="15"/>
  <c r="T19" i="15"/>
  <c r="S19" i="15"/>
  <c r="P19" i="15"/>
  <c r="R19" i="15"/>
  <c r="Q19" i="15"/>
  <c r="T213" i="15"/>
  <c r="S213" i="15"/>
  <c r="R213" i="15"/>
  <c r="Q213" i="15"/>
  <c r="O213" i="15"/>
  <c r="P213" i="15"/>
  <c r="G30" i="8"/>
  <c r="H30" i="8" s="1"/>
  <c r="T45" i="15"/>
  <c r="S45" i="15"/>
  <c r="R45" i="15"/>
  <c r="Q45" i="15"/>
  <c r="P45" i="15"/>
  <c r="O45" i="15"/>
  <c r="T55" i="15"/>
  <c r="S55" i="15"/>
  <c r="R55" i="15"/>
  <c r="Q55" i="15"/>
  <c r="P55" i="15"/>
  <c r="O55" i="15"/>
  <c r="O84" i="15"/>
  <c r="T84" i="15"/>
  <c r="S84" i="15"/>
  <c r="Q84" i="15"/>
  <c r="P84" i="15"/>
  <c r="R84" i="15"/>
  <c r="N81" i="8"/>
  <c r="J81" i="8" s="1"/>
  <c r="G81" i="8"/>
  <c r="H81" i="8" s="1"/>
  <c r="P164" i="15"/>
  <c r="O164" i="15"/>
  <c r="T164" i="15"/>
  <c r="S164" i="15"/>
  <c r="R164" i="15"/>
  <c r="Q164" i="15"/>
  <c r="O7" i="15"/>
  <c r="T7" i="15"/>
  <c r="P7" i="15"/>
  <c r="S7" i="15"/>
  <c r="R7" i="15"/>
  <c r="Q7" i="15"/>
  <c r="G116" i="8"/>
  <c r="H116" i="8" s="1"/>
  <c r="S261" i="15"/>
  <c r="Q261" i="15"/>
  <c r="O261" i="15"/>
  <c r="T261" i="15"/>
  <c r="R261" i="15"/>
  <c r="P261" i="15"/>
  <c r="T101" i="15"/>
  <c r="S101" i="15"/>
  <c r="R101" i="15"/>
  <c r="Q101" i="15"/>
  <c r="P101" i="15"/>
  <c r="O101" i="15"/>
  <c r="R2" i="15"/>
  <c r="G259" i="8"/>
  <c r="H259" i="8" s="1"/>
  <c r="S142" i="15"/>
  <c r="R142" i="15"/>
  <c r="Q142" i="15"/>
  <c r="P142" i="15"/>
  <c r="O142" i="15"/>
  <c r="T142" i="15"/>
  <c r="G134" i="8"/>
  <c r="H134" i="8" s="1"/>
  <c r="T43" i="15"/>
  <c r="S43" i="15"/>
  <c r="R43" i="15"/>
  <c r="Q43" i="15"/>
  <c r="P43" i="15"/>
  <c r="O43" i="15"/>
  <c r="T51" i="15"/>
  <c r="S51" i="15"/>
  <c r="R51" i="15"/>
  <c r="Q51" i="15"/>
  <c r="P51" i="15"/>
  <c r="O51" i="15"/>
  <c r="O13" i="15"/>
  <c r="T13" i="15"/>
  <c r="P13" i="15"/>
  <c r="R13" i="15"/>
  <c r="Q13" i="15"/>
  <c r="S13" i="15"/>
  <c r="T89" i="15"/>
  <c r="S89" i="15"/>
  <c r="R89" i="15"/>
  <c r="Q89" i="15"/>
  <c r="P89" i="15"/>
  <c r="O89" i="15"/>
  <c r="R226" i="15"/>
  <c r="O226" i="15"/>
  <c r="T226" i="15"/>
  <c r="S226" i="15"/>
  <c r="P226" i="15"/>
  <c r="Q226" i="15"/>
  <c r="G112" i="8"/>
  <c r="H112" i="8" s="1"/>
  <c r="O90" i="15"/>
  <c r="T90" i="15"/>
  <c r="S90" i="15"/>
  <c r="R90" i="15"/>
  <c r="Q90" i="15"/>
  <c r="P90" i="15"/>
  <c r="N242" i="8"/>
  <c r="J242" i="8" s="1"/>
  <c r="G242" i="8"/>
  <c r="H242" i="8" s="1"/>
  <c r="R46" i="15"/>
  <c r="Q46" i="15"/>
  <c r="P46" i="15"/>
  <c r="O46" i="15"/>
  <c r="S46" i="15"/>
  <c r="T46" i="15"/>
  <c r="S116" i="15"/>
  <c r="R116" i="15"/>
  <c r="Q116" i="15"/>
  <c r="P116" i="15"/>
  <c r="O116" i="15"/>
  <c r="T116" i="15"/>
  <c r="R52" i="15"/>
  <c r="Q52" i="15"/>
  <c r="P52" i="15"/>
  <c r="O52" i="15"/>
  <c r="T52" i="15"/>
  <c r="S52" i="15"/>
  <c r="G143" i="8"/>
  <c r="H143" i="8" s="1"/>
  <c r="R36" i="15"/>
  <c r="Q36" i="15"/>
  <c r="P36" i="15"/>
  <c r="O36" i="15"/>
  <c r="S36" i="15"/>
  <c r="T36" i="15"/>
  <c r="T47" i="15"/>
  <c r="S47" i="15"/>
  <c r="R47" i="15"/>
  <c r="Q47" i="15"/>
  <c r="P47" i="15"/>
  <c r="O47" i="15"/>
  <c r="T87" i="15"/>
  <c r="S87" i="15"/>
  <c r="R87" i="15"/>
  <c r="Q87" i="15"/>
  <c r="P87" i="15"/>
  <c r="O87" i="15"/>
  <c r="T123" i="15"/>
  <c r="S123" i="15"/>
  <c r="R123" i="15"/>
  <c r="Q123" i="15"/>
  <c r="O123" i="15"/>
  <c r="P123" i="15"/>
  <c r="B6" i="12"/>
  <c r="O102" i="15"/>
  <c r="T102" i="15"/>
  <c r="S102" i="15"/>
  <c r="P102" i="15"/>
  <c r="Q102" i="15"/>
  <c r="R102" i="15"/>
  <c r="G216" i="8"/>
  <c r="H216" i="8" s="1"/>
  <c r="K112" i="15"/>
  <c r="N112" i="15"/>
  <c r="U112" i="15" s="1"/>
  <c r="S6" i="15"/>
  <c r="R6" i="15"/>
  <c r="Q6" i="15"/>
  <c r="P6" i="15"/>
  <c r="T6" i="15"/>
  <c r="O6" i="15"/>
  <c r="T245" i="15"/>
  <c r="Q245" i="15"/>
  <c r="O245" i="15"/>
  <c r="S245" i="15"/>
  <c r="P245" i="15"/>
  <c r="R245" i="15"/>
  <c r="G29" i="8"/>
  <c r="H29" i="8" s="1"/>
  <c r="O94" i="15"/>
  <c r="T94" i="15"/>
  <c r="S94" i="15"/>
  <c r="R94" i="15"/>
  <c r="Q94" i="15"/>
  <c r="P94" i="15"/>
  <c r="T91" i="15"/>
  <c r="S91" i="15"/>
  <c r="R91" i="15"/>
  <c r="Q91" i="15"/>
  <c r="P91" i="15"/>
  <c r="O91" i="15"/>
  <c r="N130" i="8"/>
  <c r="J130" i="8" s="1"/>
  <c r="G130" i="8"/>
  <c r="H130" i="8" s="1"/>
  <c r="N270" i="8"/>
  <c r="J270" i="8" s="1"/>
  <c r="G270" i="8"/>
  <c r="H270" i="8" s="1"/>
  <c r="N65" i="8"/>
  <c r="J65" i="8" s="1"/>
  <c r="G65" i="8"/>
  <c r="H65" i="8" s="1"/>
  <c r="G204" i="8"/>
  <c r="H204" i="8" s="1"/>
  <c r="G10" i="8"/>
  <c r="H10" i="8" s="1"/>
  <c r="P150" i="15"/>
  <c r="O150" i="15"/>
  <c r="Q150" i="15"/>
  <c r="R150" i="15"/>
  <c r="T150" i="15"/>
  <c r="S150" i="15"/>
  <c r="S2" i="15"/>
  <c r="G154" i="8"/>
  <c r="H154" i="8" s="1"/>
  <c r="T221" i="15"/>
  <c r="Q221" i="15"/>
  <c r="O221" i="15"/>
  <c r="S221" i="15"/>
  <c r="R221" i="15"/>
  <c r="P221" i="15"/>
  <c r="T37" i="15"/>
  <c r="S37" i="15"/>
  <c r="R37" i="15"/>
  <c r="Q37" i="15"/>
  <c r="P37" i="15"/>
  <c r="O37" i="15"/>
  <c r="T194" i="15"/>
  <c r="S194" i="15"/>
  <c r="R194" i="15"/>
  <c r="Q194" i="15"/>
  <c r="O194" i="15"/>
  <c r="P194" i="15"/>
  <c r="T103" i="15"/>
  <c r="S103" i="15"/>
  <c r="R103" i="15"/>
  <c r="Q103" i="15"/>
  <c r="P103" i="15"/>
  <c r="O103" i="15"/>
  <c r="R234" i="15"/>
  <c r="O234" i="15"/>
  <c r="T234" i="15"/>
  <c r="S234" i="15"/>
  <c r="P234" i="15"/>
  <c r="Q234" i="15"/>
  <c r="G244" i="8"/>
  <c r="H244" i="8" s="1"/>
  <c r="B10" i="12"/>
  <c r="T93" i="15"/>
  <c r="S93" i="15"/>
  <c r="R93" i="15"/>
  <c r="Q93" i="15"/>
  <c r="P93" i="15"/>
  <c r="O93" i="15"/>
  <c r="T115" i="15"/>
  <c r="S115" i="15"/>
  <c r="R115" i="15"/>
  <c r="O115" i="15"/>
  <c r="P115" i="15"/>
  <c r="Q115" i="15"/>
  <c r="Q187" i="15"/>
  <c r="P187" i="15"/>
  <c r="O187" i="15"/>
  <c r="T187" i="15"/>
  <c r="S187" i="15"/>
  <c r="R187" i="15"/>
  <c r="T249" i="15"/>
  <c r="Q249" i="15"/>
  <c r="O249" i="15"/>
  <c r="S249" i="15"/>
  <c r="R249" i="15"/>
  <c r="P249" i="15"/>
  <c r="G31" i="8"/>
  <c r="H31" i="8" s="1"/>
  <c r="N160" i="15"/>
  <c r="U160" i="15" s="1"/>
  <c r="K160" i="15"/>
  <c r="K192" i="15"/>
  <c r="N192" i="15"/>
  <c r="U192" i="15" s="1"/>
  <c r="G67" i="8"/>
  <c r="H67" i="8" s="1"/>
  <c r="T137" i="15"/>
  <c r="S137" i="15"/>
  <c r="R137" i="15"/>
  <c r="Q137" i="15"/>
  <c r="O137" i="15"/>
  <c r="P137" i="15"/>
  <c r="R186" i="15"/>
  <c r="Q186" i="15"/>
  <c r="P186" i="15"/>
  <c r="O186" i="15"/>
  <c r="T186" i="15"/>
  <c r="S186" i="15"/>
  <c r="T41" i="15"/>
  <c r="S41" i="15"/>
  <c r="R41" i="15"/>
  <c r="Q41" i="15"/>
  <c r="P41" i="15"/>
  <c r="O41" i="15"/>
  <c r="S4" i="15"/>
  <c r="R4" i="15"/>
  <c r="Q4" i="15"/>
  <c r="P4" i="15"/>
  <c r="T4" i="15"/>
  <c r="O4" i="15"/>
  <c r="G243" i="8"/>
  <c r="H243" i="8" s="1"/>
  <c r="G109" i="8"/>
  <c r="H109" i="8" s="1"/>
  <c r="O205" i="15"/>
  <c r="T205" i="15"/>
  <c r="R205" i="15"/>
  <c r="Q205" i="15"/>
  <c r="S205" i="15"/>
  <c r="P205" i="15"/>
  <c r="R214" i="15"/>
  <c r="T214" i="15"/>
  <c r="Q214" i="15"/>
  <c r="P214" i="15"/>
  <c r="O214" i="15"/>
  <c r="S214" i="15"/>
  <c r="N33" i="8"/>
  <c r="J33" i="8" s="1"/>
  <c r="G33" i="8"/>
  <c r="H33" i="8" s="1"/>
  <c r="T26" i="15"/>
  <c r="R26" i="15"/>
  <c r="Q26" i="15"/>
  <c r="P26" i="15"/>
  <c r="O26" i="15"/>
  <c r="S26" i="15"/>
  <c r="T117" i="15"/>
  <c r="S117" i="15"/>
  <c r="R117" i="15"/>
  <c r="Q117" i="15"/>
  <c r="P117" i="15"/>
  <c r="O117" i="15"/>
  <c r="P110" i="15"/>
  <c r="R110" i="15"/>
  <c r="Q110" i="15"/>
  <c r="O110" i="15"/>
  <c r="S110" i="15"/>
  <c r="T110" i="15"/>
  <c r="T255" i="15"/>
  <c r="Q255" i="15"/>
  <c r="O255" i="15"/>
  <c r="P255" i="15"/>
  <c r="S255" i="15"/>
  <c r="R255" i="15"/>
  <c r="B14" i="12"/>
  <c r="E14" i="12" s="1"/>
  <c r="N18" i="8"/>
  <c r="J18" i="8" s="1"/>
  <c r="G18" i="8"/>
  <c r="H18" i="8" s="1"/>
  <c r="T251" i="15"/>
  <c r="Q251" i="15"/>
  <c r="O251" i="15"/>
  <c r="R251" i="15"/>
  <c r="P251" i="15"/>
  <c r="S251" i="15"/>
  <c r="O106" i="15"/>
  <c r="T106" i="15"/>
  <c r="S106" i="15"/>
  <c r="R106" i="15"/>
  <c r="P106" i="15"/>
  <c r="Q106" i="15"/>
  <c r="O98" i="15"/>
  <c r="T98" i="15"/>
  <c r="S98" i="15"/>
  <c r="P98" i="15"/>
  <c r="R98" i="15"/>
  <c r="Q98" i="15"/>
  <c r="O66" i="15"/>
  <c r="T66" i="15"/>
  <c r="S66" i="15"/>
  <c r="R66" i="15"/>
  <c r="Q66" i="15"/>
  <c r="P66" i="15"/>
  <c r="G217" i="8"/>
  <c r="H217" i="8" s="1"/>
  <c r="R62" i="15"/>
  <c r="Q62" i="15"/>
  <c r="P62" i="15"/>
  <c r="O62" i="15"/>
  <c r="T62" i="15"/>
  <c r="S62" i="15"/>
  <c r="T57" i="15"/>
  <c r="S57" i="15"/>
  <c r="R57" i="15"/>
  <c r="Q57" i="15"/>
  <c r="P57" i="15"/>
  <c r="O57" i="15"/>
  <c r="K16" i="15"/>
  <c r="N16" i="15"/>
  <c r="U16" i="15" s="1"/>
  <c r="P152" i="15"/>
  <c r="O152" i="15"/>
  <c r="T152" i="15"/>
  <c r="S152" i="15"/>
  <c r="R152" i="15"/>
  <c r="Q152" i="15"/>
  <c r="T111" i="15"/>
  <c r="R111" i="15"/>
  <c r="O111" i="15"/>
  <c r="S111" i="15"/>
  <c r="P111" i="15"/>
  <c r="Q111" i="15"/>
  <c r="T109" i="15"/>
  <c r="S109" i="15"/>
  <c r="R109" i="15"/>
  <c r="Q109" i="15"/>
  <c r="P109" i="15"/>
  <c r="O109" i="15"/>
  <c r="T27" i="15"/>
  <c r="R27" i="15"/>
  <c r="Q27" i="15"/>
  <c r="P27" i="15"/>
  <c r="O27" i="15"/>
  <c r="S27" i="15"/>
  <c r="R60" i="15"/>
  <c r="Q60" i="15"/>
  <c r="P60" i="15"/>
  <c r="O60" i="15"/>
  <c r="T60" i="15"/>
  <c r="S60" i="15"/>
  <c r="T35" i="15"/>
  <c r="S35" i="15"/>
  <c r="R35" i="15"/>
  <c r="Q35" i="15"/>
  <c r="P35" i="15"/>
  <c r="O35" i="15"/>
  <c r="G94" i="8"/>
  <c r="H94" i="8" s="1"/>
  <c r="G79" i="8"/>
  <c r="H79" i="8" s="1"/>
  <c r="N193" i="8"/>
  <c r="J193" i="8" s="1"/>
  <c r="G193" i="8"/>
  <c r="H193" i="8" s="1"/>
  <c r="G61" i="8"/>
  <c r="H61" i="8" s="1"/>
  <c r="G40" i="8"/>
  <c r="H40" i="8" s="1"/>
  <c r="N114" i="8"/>
  <c r="J114" i="8" s="1"/>
  <c r="G114" i="8"/>
  <c r="H114" i="8" s="1"/>
  <c r="N225" i="8"/>
  <c r="J225" i="8" s="1"/>
  <c r="G225" i="8"/>
  <c r="H225" i="8" s="1"/>
  <c r="G186" i="8"/>
  <c r="H186" i="8" s="1"/>
  <c r="B7" i="12"/>
  <c r="T107" i="15"/>
  <c r="S107" i="15"/>
  <c r="R107" i="15"/>
  <c r="Q107" i="15"/>
  <c r="P107" i="15"/>
  <c r="O107" i="15"/>
  <c r="R170" i="15"/>
  <c r="Q170" i="15"/>
  <c r="P170" i="15"/>
  <c r="O170" i="15"/>
  <c r="T170" i="15"/>
  <c r="S170" i="15"/>
  <c r="O11" i="15"/>
  <c r="T11" i="15"/>
  <c r="P11" i="15"/>
  <c r="S11" i="15"/>
  <c r="R11" i="15"/>
  <c r="Q11" i="15"/>
  <c r="G213" i="8"/>
  <c r="H213" i="8" s="1"/>
  <c r="G90" i="8"/>
  <c r="H90" i="8" s="1"/>
  <c r="N269" i="8"/>
  <c r="J269" i="8" s="1"/>
  <c r="G269" i="8"/>
  <c r="H269" i="8" s="1"/>
  <c r="N97" i="8"/>
  <c r="J97" i="8" s="1"/>
  <c r="G97" i="8"/>
  <c r="H97" i="8" s="1"/>
  <c r="O108" i="15"/>
  <c r="T108" i="15"/>
  <c r="S108" i="15"/>
  <c r="R108" i="15"/>
  <c r="P108" i="15"/>
  <c r="Q108" i="15"/>
  <c r="T183" i="15"/>
  <c r="S183" i="15"/>
  <c r="R183" i="15"/>
  <c r="Q183" i="15"/>
  <c r="O183" i="15"/>
  <c r="P183" i="15"/>
  <c r="G122" i="8"/>
  <c r="H122" i="8" s="1"/>
  <c r="G70" i="8"/>
  <c r="H70" i="8" s="1"/>
  <c r="G57" i="8"/>
  <c r="H57" i="8" s="1"/>
  <c r="T67" i="15"/>
  <c r="S67" i="15"/>
  <c r="R67" i="15"/>
  <c r="P67" i="15"/>
  <c r="Q67" i="15"/>
  <c r="O67" i="15"/>
  <c r="T171" i="15"/>
  <c r="S171" i="15"/>
  <c r="R171" i="15"/>
  <c r="Q171" i="15"/>
  <c r="P171" i="15"/>
  <c r="O171" i="15"/>
  <c r="G231" i="8"/>
  <c r="H231" i="8" s="1"/>
  <c r="T119" i="15"/>
  <c r="S119" i="15"/>
  <c r="R119" i="15"/>
  <c r="Q119" i="15"/>
  <c r="P119" i="15"/>
  <c r="O119" i="15"/>
  <c r="T149" i="15"/>
  <c r="Q149" i="15"/>
  <c r="S149" i="15"/>
  <c r="R149" i="15"/>
  <c r="P149" i="15"/>
  <c r="O149" i="15"/>
  <c r="S138" i="15"/>
  <c r="R138" i="15"/>
  <c r="Q138" i="15"/>
  <c r="P138" i="15"/>
  <c r="O138" i="15"/>
  <c r="T138" i="15"/>
  <c r="N145" i="8"/>
  <c r="J145" i="8" s="1"/>
  <c r="G145" i="8"/>
  <c r="H145" i="8" s="1"/>
  <c r="N113" i="8"/>
  <c r="J113" i="8" s="1"/>
  <c r="G113" i="8"/>
  <c r="H113" i="8" s="1"/>
  <c r="N161" i="15"/>
  <c r="U161" i="15" s="1"/>
  <c r="K161" i="15"/>
  <c r="P162" i="15"/>
  <c r="O162" i="15"/>
  <c r="T162" i="15"/>
  <c r="S162" i="15"/>
  <c r="R162" i="15"/>
  <c r="Q162" i="15"/>
  <c r="G68" i="8"/>
  <c r="H68" i="8" s="1"/>
  <c r="T77" i="15"/>
  <c r="S77" i="15"/>
  <c r="R77" i="15"/>
  <c r="Q77" i="15"/>
  <c r="P77" i="15"/>
  <c r="O77" i="15"/>
  <c r="N177" i="8"/>
  <c r="J177" i="8" s="1"/>
  <c r="G177" i="8"/>
  <c r="H177" i="8" s="1"/>
  <c r="S134" i="15"/>
  <c r="R134" i="15"/>
  <c r="Q134" i="15"/>
  <c r="P134" i="15"/>
  <c r="O134" i="15"/>
  <c r="T134" i="15"/>
  <c r="B11" i="12"/>
  <c r="R44" i="15"/>
  <c r="Q44" i="15"/>
  <c r="P44" i="15"/>
  <c r="O44" i="15"/>
  <c r="S44" i="15"/>
  <c r="T44" i="15"/>
  <c r="T253" i="15"/>
  <c r="Q253" i="15"/>
  <c r="O253" i="15"/>
  <c r="S253" i="15"/>
  <c r="P253" i="15"/>
  <c r="R253" i="15"/>
  <c r="T235" i="15"/>
  <c r="Q235" i="15"/>
  <c r="O235" i="15"/>
  <c r="R235" i="15"/>
  <c r="P235" i="15"/>
  <c r="S235" i="15"/>
  <c r="N258" i="8"/>
  <c r="J258" i="8" s="1"/>
  <c r="G258" i="8"/>
  <c r="H258" i="8" s="1"/>
  <c r="G72" i="8"/>
  <c r="H72" i="8" s="1"/>
  <c r="O88" i="15"/>
  <c r="T88" i="15"/>
  <c r="S88" i="15"/>
  <c r="R88" i="15"/>
  <c r="Q88" i="15"/>
  <c r="P88" i="15"/>
  <c r="O173" i="15"/>
  <c r="S173" i="15"/>
  <c r="T173" i="15"/>
  <c r="R173" i="15"/>
  <c r="Q173" i="15"/>
  <c r="P173" i="15"/>
  <c r="S124" i="15"/>
  <c r="R124" i="15"/>
  <c r="Q124" i="15"/>
  <c r="P124" i="15"/>
  <c r="O124" i="15"/>
  <c r="T124" i="15"/>
  <c r="G214" i="8"/>
  <c r="H214" i="8" s="1"/>
  <c r="G229" i="8"/>
  <c r="H229" i="8" s="1"/>
  <c r="S259" i="15"/>
  <c r="Q259" i="15"/>
  <c r="O259" i="15"/>
  <c r="T259" i="15"/>
  <c r="R259" i="15"/>
  <c r="P259" i="15"/>
  <c r="G155" i="8"/>
  <c r="H155" i="8" s="1"/>
  <c r="T157" i="15"/>
  <c r="S157" i="15"/>
  <c r="Q157" i="15"/>
  <c r="P157" i="15"/>
  <c r="R157" i="15"/>
  <c r="O157" i="15"/>
  <c r="T125" i="15"/>
  <c r="S125" i="15"/>
  <c r="R125" i="15"/>
  <c r="Q125" i="15"/>
  <c r="O125" i="15"/>
  <c r="P125" i="15"/>
  <c r="G117" i="8"/>
  <c r="H117" i="8" s="1"/>
  <c r="T237" i="15"/>
  <c r="Q237" i="15"/>
  <c r="O237" i="15"/>
  <c r="S237" i="15"/>
  <c r="P237" i="15"/>
  <c r="R237" i="15"/>
  <c r="G6" i="8"/>
  <c r="H6" i="8" s="1"/>
  <c r="R172" i="15"/>
  <c r="Q172" i="15"/>
  <c r="P172" i="15"/>
  <c r="O172" i="15"/>
  <c r="T172" i="15"/>
  <c r="S172" i="15"/>
  <c r="N255" i="8"/>
  <c r="J255" i="8" s="1"/>
  <c r="G255" i="8"/>
  <c r="H255" i="8" s="1"/>
  <c r="S130" i="15"/>
  <c r="R130" i="15"/>
  <c r="Q130" i="15"/>
  <c r="P130" i="15"/>
  <c r="O130" i="15"/>
  <c r="T130" i="15"/>
  <c r="S185" i="15"/>
  <c r="R185" i="15"/>
  <c r="Q185" i="15"/>
  <c r="P185" i="15"/>
  <c r="O185" i="15"/>
  <c r="T185" i="15"/>
  <c r="S140" i="15"/>
  <c r="R140" i="15"/>
  <c r="Q140" i="15"/>
  <c r="P140" i="15"/>
  <c r="O140" i="15"/>
  <c r="T140" i="15"/>
  <c r="T219" i="15"/>
  <c r="Q219" i="15"/>
  <c r="O219" i="15"/>
  <c r="R219" i="15"/>
  <c r="P219" i="15"/>
  <c r="S219" i="15"/>
  <c r="B15" i="12"/>
  <c r="E15" i="12" s="1"/>
  <c r="O72" i="15"/>
  <c r="T72" i="15"/>
  <c r="S72" i="15"/>
  <c r="R72" i="15"/>
  <c r="Q72" i="15"/>
  <c r="P72" i="15"/>
  <c r="Q199" i="15"/>
  <c r="P199" i="15"/>
  <c r="O199" i="15"/>
  <c r="T199" i="15"/>
  <c r="S199" i="15"/>
  <c r="R199" i="15"/>
  <c r="G111" i="8"/>
  <c r="H111" i="8" s="1"/>
  <c r="P195" i="15"/>
  <c r="O195" i="15"/>
  <c r="T195" i="15"/>
  <c r="S195" i="15"/>
  <c r="R195" i="15"/>
  <c r="Q195" i="15"/>
  <c r="K256" i="15"/>
  <c r="N256" i="15"/>
  <c r="U256" i="15" s="1"/>
  <c r="P156" i="15"/>
  <c r="O156" i="15"/>
  <c r="R156" i="15"/>
  <c r="Q156" i="15"/>
  <c r="S156" i="15"/>
  <c r="T156" i="15"/>
  <c r="T227" i="15"/>
  <c r="Q227" i="15"/>
  <c r="O227" i="15"/>
  <c r="R227" i="15"/>
  <c r="P227" i="15"/>
  <c r="S227" i="15"/>
  <c r="R220" i="15"/>
  <c r="O220" i="15"/>
  <c r="T220" i="15"/>
  <c r="S220" i="15"/>
  <c r="Q220" i="15"/>
  <c r="P220" i="15"/>
  <c r="R218" i="15"/>
  <c r="O218" i="15"/>
  <c r="T218" i="15"/>
  <c r="P218" i="15"/>
  <c r="S218" i="15"/>
  <c r="Q218" i="15"/>
  <c r="N176" i="15"/>
  <c r="U176" i="15" s="1"/>
  <c r="K176" i="15"/>
  <c r="T215" i="15"/>
  <c r="R215" i="15"/>
  <c r="Q215" i="15"/>
  <c r="O215" i="15"/>
  <c r="S215" i="15"/>
  <c r="P215" i="15"/>
  <c r="T201" i="15"/>
  <c r="R201" i="15"/>
  <c r="Q201" i="15"/>
  <c r="O201" i="15"/>
  <c r="P201" i="15"/>
  <c r="S201" i="15"/>
  <c r="T73" i="15"/>
  <c r="S73" i="15"/>
  <c r="R73" i="15"/>
  <c r="P73" i="15"/>
  <c r="Q73" i="15"/>
  <c r="O73" i="15"/>
  <c r="T53" i="15"/>
  <c r="S53" i="15"/>
  <c r="R53" i="15"/>
  <c r="Q53" i="15"/>
  <c r="P53" i="15"/>
  <c r="O53" i="15"/>
  <c r="G12" i="8"/>
  <c r="H12" i="8" s="1"/>
  <c r="G266" i="8"/>
  <c r="H266" i="8" s="1"/>
  <c r="N266" i="8"/>
  <c r="J266" i="8" s="1"/>
  <c r="N34" i="8"/>
  <c r="J34" i="8" s="1"/>
  <c r="G34" i="8"/>
  <c r="H34" i="8" s="1"/>
  <c r="T69" i="15"/>
  <c r="S69" i="15"/>
  <c r="R69" i="15"/>
  <c r="P69" i="15"/>
  <c r="Q69" i="15"/>
  <c r="O69" i="15"/>
  <c r="N209" i="8"/>
  <c r="J209" i="8" s="1"/>
  <c r="G209" i="8"/>
  <c r="H209" i="8" s="1"/>
  <c r="O9" i="15"/>
  <c r="T9" i="15"/>
  <c r="P9" i="15"/>
  <c r="S9" i="15"/>
  <c r="R9" i="15"/>
  <c r="Q9" i="15"/>
  <c r="T169" i="15"/>
  <c r="R169" i="15"/>
  <c r="Q169" i="15"/>
  <c r="S169" i="15"/>
  <c r="P169" i="15"/>
  <c r="O169" i="15"/>
  <c r="R216" i="15"/>
  <c r="O216" i="15"/>
  <c r="Q216" i="15"/>
  <c r="P216" i="15"/>
  <c r="T216" i="15"/>
  <c r="S216" i="15"/>
  <c r="N177" i="15"/>
  <c r="U177" i="15" s="1"/>
  <c r="K177" i="15"/>
  <c r="R40" i="15"/>
  <c r="Q40" i="15"/>
  <c r="P40" i="15"/>
  <c r="O40" i="15"/>
  <c r="S40" i="15"/>
  <c r="T40" i="15"/>
  <c r="S258" i="15"/>
  <c r="P258" i="15"/>
  <c r="O258" i="15"/>
  <c r="T258" i="15"/>
  <c r="Q258" i="15"/>
  <c r="R258" i="15"/>
  <c r="R252" i="15"/>
  <c r="O252" i="15"/>
  <c r="T252" i="15"/>
  <c r="P252" i="15"/>
  <c r="S252" i="15"/>
  <c r="Q252" i="15"/>
  <c r="S8" i="15"/>
  <c r="R8" i="15"/>
  <c r="Q8" i="15"/>
  <c r="P8" i="15"/>
  <c r="T8" i="15"/>
  <c r="O8" i="15"/>
  <c r="O104" i="15"/>
  <c r="T104" i="15"/>
  <c r="S104" i="15"/>
  <c r="R104" i="15"/>
  <c r="P104" i="15"/>
  <c r="Q104" i="15"/>
  <c r="T204" i="15"/>
  <c r="S204" i="15"/>
  <c r="R204" i="15"/>
  <c r="Q204" i="15"/>
  <c r="P204" i="15"/>
  <c r="O204" i="15"/>
  <c r="R180" i="15"/>
  <c r="Q180" i="15"/>
  <c r="P180" i="15"/>
  <c r="O180" i="15"/>
  <c r="T180" i="15"/>
  <c r="S180" i="15"/>
  <c r="T200" i="15"/>
  <c r="S200" i="15"/>
  <c r="R200" i="15"/>
  <c r="P200" i="15"/>
  <c r="O200" i="15"/>
  <c r="Q200" i="15"/>
  <c r="T105" i="15"/>
  <c r="S105" i="15"/>
  <c r="R105" i="15"/>
  <c r="Q105" i="15"/>
  <c r="P105" i="15"/>
  <c r="O105" i="15"/>
  <c r="G169" i="8"/>
  <c r="H169" i="8" s="1"/>
  <c r="S132" i="15"/>
  <c r="R132" i="15"/>
  <c r="Q132" i="15"/>
  <c r="P132" i="15"/>
  <c r="O132" i="15"/>
  <c r="T132" i="15"/>
  <c r="O100" i="15"/>
  <c r="T100" i="15"/>
  <c r="S100" i="15"/>
  <c r="P100" i="15"/>
  <c r="R100" i="15"/>
  <c r="Q100" i="15"/>
  <c r="T99" i="15"/>
  <c r="S99" i="15"/>
  <c r="R99" i="15"/>
  <c r="Q99" i="15"/>
  <c r="P99" i="15"/>
  <c r="O99" i="15"/>
  <c r="G121" i="8"/>
  <c r="H121" i="8" s="1"/>
  <c r="K240" i="15"/>
  <c r="N240" i="15"/>
  <c r="U240" i="15" s="1"/>
  <c r="T127" i="15"/>
  <c r="S127" i="15"/>
  <c r="R127" i="15"/>
  <c r="Q127" i="15"/>
  <c r="O127" i="15"/>
  <c r="P127" i="15"/>
  <c r="N128" i="15"/>
  <c r="U128" i="15" s="1"/>
  <c r="K128" i="15"/>
  <c r="N208" i="15"/>
  <c r="U208" i="15" s="1"/>
  <c r="K208" i="15"/>
  <c r="P263" i="15"/>
  <c r="S263" i="15"/>
  <c r="T263" i="15"/>
  <c r="R263" i="15"/>
  <c r="Q263" i="15"/>
  <c r="O263" i="15"/>
  <c r="N129" i="8"/>
  <c r="J129" i="8" s="1"/>
  <c r="G129" i="8"/>
  <c r="H129" i="8" s="1"/>
  <c r="K65" i="15"/>
  <c r="N65" i="15"/>
  <c r="U65" i="15" s="1"/>
  <c r="T83" i="15"/>
  <c r="S83" i="15"/>
  <c r="R83" i="15"/>
  <c r="Q83" i="15"/>
  <c r="P83" i="15"/>
  <c r="O83" i="15"/>
  <c r="T167" i="15"/>
  <c r="S167" i="15"/>
  <c r="Q167" i="15"/>
  <c r="P167" i="15"/>
  <c r="R167" i="15"/>
  <c r="O167" i="15"/>
  <c r="S18" i="15"/>
  <c r="R18" i="15"/>
  <c r="Q18" i="15"/>
  <c r="P18" i="15"/>
  <c r="T18" i="15"/>
  <c r="O18" i="15"/>
  <c r="P158" i="15"/>
  <c r="O158" i="15"/>
  <c r="T158" i="15"/>
  <c r="S158" i="15"/>
  <c r="R158" i="15"/>
  <c r="Q158" i="15"/>
  <c r="T243" i="15"/>
  <c r="Q243" i="15"/>
  <c r="O243" i="15"/>
  <c r="R243" i="15"/>
  <c r="P243" i="15"/>
  <c r="S243" i="15"/>
  <c r="T63" i="15"/>
  <c r="S63" i="15"/>
  <c r="R63" i="15"/>
  <c r="Q63" i="15"/>
  <c r="P63" i="15"/>
  <c r="O63" i="15"/>
  <c r="S264" i="15"/>
  <c r="P264" i="15"/>
  <c r="R264" i="15"/>
  <c r="Q264" i="15"/>
  <c r="T264" i="15"/>
  <c r="O264" i="15"/>
  <c r="N66" i="8"/>
  <c r="J66" i="8" s="1"/>
  <c r="G66" i="8"/>
  <c r="H66" i="8" s="1"/>
  <c r="S22" i="15"/>
  <c r="R22" i="15"/>
  <c r="Q22" i="15"/>
  <c r="P22" i="15"/>
  <c r="T22" i="15"/>
  <c r="O22" i="15"/>
  <c r="C30" i="13"/>
  <c r="O70" i="15"/>
  <c r="T70" i="15"/>
  <c r="S70" i="15"/>
  <c r="R70" i="15"/>
  <c r="Q70" i="15"/>
  <c r="P70" i="15"/>
  <c r="G158" i="8"/>
  <c r="H158" i="8" s="1"/>
  <c r="R50" i="15"/>
  <c r="Q50" i="15"/>
  <c r="P50" i="15"/>
  <c r="O50" i="15"/>
  <c r="S50" i="15"/>
  <c r="T50" i="15"/>
  <c r="G60" i="8"/>
  <c r="H60" i="8" s="1"/>
  <c r="G166" i="8"/>
  <c r="H166" i="8" s="1"/>
  <c r="Q217" i="15"/>
  <c r="O217" i="15"/>
  <c r="T217" i="15"/>
  <c r="S217" i="15"/>
  <c r="R217" i="15"/>
  <c r="P217" i="15"/>
  <c r="T75" i="15"/>
  <c r="S75" i="15"/>
  <c r="R75" i="15"/>
  <c r="Q75" i="15"/>
  <c r="P75" i="15"/>
  <c r="O75" i="15"/>
  <c r="G233" i="8"/>
  <c r="H233" i="8" s="1"/>
  <c r="G89" i="8"/>
  <c r="H89" i="8" s="1"/>
  <c r="G180" i="8"/>
  <c r="H180" i="8" s="1"/>
  <c r="R230" i="15"/>
  <c r="O230" i="15"/>
  <c r="Q230" i="15"/>
  <c r="P230" i="15"/>
  <c r="S230" i="15"/>
  <c r="T230" i="15"/>
  <c r="T95" i="15"/>
  <c r="S95" i="15"/>
  <c r="R95" i="15"/>
  <c r="Q95" i="15"/>
  <c r="P95" i="15"/>
  <c r="O95" i="15"/>
  <c r="R54" i="15"/>
  <c r="Q54" i="15"/>
  <c r="P54" i="15"/>
  <c r="O54" i="15"/>
  <c r="T54" i="15"/>
  <c r="S54" i="15"/>
  <c r="N64" i="15"/>
  <c r="U64" i="15" s="1"/>
  <c r="K64" i="15"/>
  <c r="R34" i="15"/>
  <c r="Q34" i="15"/>
  <c r="P34" i="15"/>
  <c r="O34" i="15"/>
  <c r="S34" i="15"/>
  <c r="T34" i="15"/>
  <c r="O74" i="15"/>
  <c r="T74" i="15"/>
  <c r="Q74" i="15"/>
  <c r="P74" i="15"/>
  <c r="S74" i="15"/>
  <c r="R74" i="15"/>
  <c r="N17" i="15"/>
  <c r="U17" i="15" s="1"/>
  <c r="K17" i="15"/>
  <c r="S118" i="15"/>
  <c r="R118" i="15"/>
  <c r="Q118" i="15"/>
  <c r="P118" i="15"/>
  <c r="O118" i="15"/>
  <c r="T118" i="15"/>
  <c r="N267" i="8"/>
  <c r="J267" i="8" s="1"/>
  <c r="G267" i="8"/>
  <c r="H267" i="8" s="1"/>
  <c r="O82" i="15"/>
  <c r="T82" i="15"/>
  <c r="S82" i="15"/>
  <c r="P82" i="15"/>
  <c r="R82" i="15"/>
  <c r="Q82" i="15"/>
  <c r="R178" i="15"/>
  <c r="Q178" i="15"/>
  <c r="P178" i="15"/>
  <c r="O178" i="15"/>
  <c r="T178" i="15"/>
  <c r="S178" i="15"/>
  <c r="T197" i="15"/>
  <c r="R197" i="15"/>
  <c r="Q197" i="15"/>
  <c r="P197" i="15"/>
  <c r="S197" i="15"/>
  <c r="O197" i="15"/>
  <c r="G118" i="8"/>
  <c r="H118" i="8" s="1"/>
  <c r="R236" i="15"/>
  <c r="O236" i="15"/>
  <c r="T236" i="15"/>
  <c r="P236" i="15"/>
  <c r="S236" i="15"/>
  <c r="Q236" i="15"/>
  <c r="R242" i="15"/>
  <c r="O242" i="15"/>
  <c r="T242" i="15"/>
  <c r="S242" i="15"/>
  <c r="P242" i="15"/>
  <c r="Q242" i="15"/>
  <c r="T163" i="15"/>
  <c r="S163" i="15"/>
  <c r="Q163" i="15"/>
  <c r="P163" i="15"/>
  <c r="R163" i="15"/>
  <c r="O163" i="15"/>
  <c r="S24" i="15"/>
  <c r="R24" i="15"/>
  <c r="Q24" i="15"/>
  <c r="P24" i="15"/>
  <c r="T24" i="15"/>
  <c r="O24" i="15"/>
  <c r="S114" i="15"/>
  <c r="R114" i="15"/>
  <c r="Q114" i="15"/>
  <c r="P114" i="15"/>
  <c r="O114" i="15"/>
  <c r="T114" i="15"/>
  <c r="N271" i="8"/>
  <c r="J271" i="8" s="1"/>
  <c r="G271" i="8"/>
  <c r="H271" i="8" s="1"/>
  <c r="G153" i="8"/>
  <c r="H153" i="8" s="1"/>
  <c r="R42" i="15"/>
  <c r="Q42" i="15"/>
  <c r="P42" i="15"/>
  <c r="O42" i="15"/>
  <c r="S42" i="15"/>
  <c r="T42" i="15"/>
  <c r="T135" i="15"/>
  <c r="S135" i="15"/>
  <c r="R135" i="15"/>
  <c r="Q135" i="15"/>
  <c r="O135" i="15"/>
  <c r="P135" i="15"/>
  <c r="N257" i="15"/>
  <c r="U257" i="15" s="1"/>
  <c r="K257" i="15"/>
  <c r="N210" i="8"/>
  <c r="J210" i="8" s="1"/>
  <c r="G210" i="8"/>
  <c r="H210" i="8" s="1"/>
  <c r="S10" i="15"/>
  <c r="R10" i="15"/>
  <c r="Q10" i="15"/>
  <c r="P10" i="15"/>
  <c r="T10" i="15"/>
  <c r="O10" i="15"/>
  <c r="N226" i="8"/>
  <c r="J226" i="8" s="1"/>
  <c r="G226" i="8"/>
  <c r="H226" i="8" s="1"/>
  <c r="G28" i="8"/>
  <c r="H28" i="8" s="1"/>
  <c r="P189" i="15"/>
  <c r="O189" i="15"/>
  <c r="T189" i="15"/>
  <c r="S189" i="15"/>
  <c r="R189" i="15"/>
  <c r="Q189" i="15"/>
  <c r="G164" i="8"/>
  <c r="H164" i="8" s="1"/>
  <c r="O76" i="15"/>
  <c r="T76" i="15"/>
  <c r="P76" i="15"/>
  <c r="S76" i="15"/>
  <c r="R76" i="15"/>
  <c r="Q76" i="15"/>
  <c r="R222" i="15"/>
  <c r="O222" i="15"/>
  <c r="T222" i="15"/>
  <c r="S222" i="15"/>
  <c r="Q222" i="15"/>
  <c r="P222" i="15"/>
  <c r="R228" i="15"/>
  <c r="O228" i="15"/>
  <c r="T228" i="15"/>
  <c r="P228" i="15"/>
  <c r="Q228" i="15"/>
  <c r="S228" i="15"/>
  <c r="N144" i="15"/>
  <c r="U144" i="15" s="1"/>
  <c r="K144" i="15"/>
  <c r="G215" i="8"/>
  <c r="H215" i="8" s="1"/>
  <c r="T212" i="15"/>
  <c r="S212" i="15"/>
  <c r="R212" i="15"/>
  <c r="P212" i="15"/>
  <c r="O212" i="15"/>
  <c r="Q212" i="15"/>
  <c r="B8" i="12"/>
  <c r="T151" i="15"/>
  <c r="Q151" i="15"/>
  <c r="P151" i="15"/>
  <c r="R151" i="15"/>
  <c r="O151" i="15"/>
  <c r="S151" i="15"/>
  <c r="T247" i="15"/>
  <c r="Q247" i="15"/>
  <c r="O247" i="15"/>
  <c r="P247" i="15"/>
  <c r="S247" i="15"/>
  <c r="R247" i="15"/>
  <c r="O5" i="15"/>
  <c r="T5" i="15"/>
  <c r="P5" i="15"/>
  <c r="R5" i="15"/>
  <c r="Q5" i="15"/>
  <c r="S5" i="15"/>
  <c r="G245" i="8"/>
  <c r="H245" i="8" s="1"/>
  <c r="R246" i="15"/>
  <c r="O246" i="15"/>
  <c r="Q246" i="15"/>
  <c r="P246" i="15"/>
  <c r="T246" i="15"/>
  <c r="S246" i="15"/>
  <c r="O23" i="15"/>
  <c r="T23" i="15"/>
  <c r="S23" i="15"/>
  <c r="P23" i="15"/>
  <c r="R23" i="15"/>
  <c r="Q23" i="15"/>
  <c r="R250" i="15"/>
  <c r="O250" i="15"/>
  <c r="T250" i="15"/>
  <c r="S250" i="15"/>
  <c r="P250" i="15"/>
  <c r="Q250" i="15"/>
  <c r="N96" i="15"/>
  <c r="U96" i="15" s="1"/>
  <c r="K96" i="15"/>
  <c r="K254" i="15"/>
  <c r="N254" i="15"/>
  <c r="U254" i="15" s="1"/>
  <c r="N257" i="8"/>
  <c r="J257" i="8" s="1"/>
  <c r="G257" i="8"/>
  <c r="H257" i="8" s="1"/>
  <c r="T39" i="15"/>
  <c r="S39" i="15"/>
  <c r="R39" i="15"/>
  <c r="Q39" i="15"/>
  <c r="P39" i="15"/>
  <c r="O39" i="15"/>
  <c r="O92" i="15"/>
  <c r="T92" i="15"/>
  <c r="S92" i="15"/>
  <c r="R92" i="15"/>
  <c r="Q92" i="15"/>
  <c r="P92" i="15"/>
  <c r="T198" i="15"/>
  <c r="S198" i="15"/>
  <c r="R198" i="15"/>
  <c r="Q198" i="15"/>
  <c r="O198" i="15"/>
  <c r="P198" i="15"/>
  <c r="N241" i="8"/>
  <c r="J241" i="8" s="1"/>
  <c r="G241" i="8"/>
  <c r="H241" i="8" s="1"/>
  <c r="R188" i="15"/>
  <c r="Q188" i="15"/>
  <c r="P188" i="15"/>
  <c r="O188" i="15"/>
  <c r="S188" i="15"/>
  <c r="T188" i="15"/>
  <c r="G265" i="8"/>
  <c r="H265" i="8" s="1"/>
  <c r="R191" i="15"/>
  <c r="Q191" i="15"/>
  <c r="P191" i="15"/>
  <c r="O191" i="15"/>
  <c r="T191" i="15"/>
  <c r="S191" i="15"/>
  <c r="O15" i="15"/>
  <c r="T15" i="15"/>
  <c r="P15" i="15"/>
  <c r="S15" i="15"/>
  <c r="R15" i="15"/>
  <c r="Q15" i="15"/>
  <c r="G188" i="8"/>
  <c r="H188" i="8" s="1"/>
  <c r="G254" i="8"/>
  <c r="H254" i="8" s="1"/>
  <c r="T29" i="15"/>
  <c r="R29" i="15"/>
  <c r="Q29" i="15"/>
  <c r="P29" i="15"/>
  <c r="O29" i="15"/>
  <c r="S29" i="15"/>
  <c r="T262" i="15"/>
  <c r="S262" i="15"/>
  <c r="Q262" i="15"/>
  <c r="R262" i="15"/>
  <c r="P262" i="15"/>
  <c r="O262" i="15"/>
  <c r="N98" i="8"/>
  <c r="J98" i="8" s="1"/>
  <c r="G98" i="8"/>
  <c r="H98" i="8" s="1"/>
  <c r="T210" i="15"/>
  <c r="S210" i="15"/>
  <c r="R210" i="15"/>
  <c r="P210" i="15"/>
  <c r="O210" i="15"/>
  <c r="Q210" i="15"/>
  <c r="T121" i="15"/>
  <c r="S121" i="15"/>
  <c r="R121" i="15"/>
  <c r="Q121" i="15"/>
  <c r="P121" i="15"/>
  <c r="O121" i="15"/>
  <c r="S175" i="15"/>
  <c r="R175" i="15"/>
  <c r="T175" i="15"/>
  <c r="Q175" i="15"/>
  <c r="P175" i="15"/>
  <c r="O175" i="15"/>
  <c r="G167" i="8"/>
  <c r="H167" i="8" s="1"/>
  <c r="G100" i="8"/>
  <c r="H100" i="8" s="1"/>
  <c r="G144" i="8"/>
  <c r="H144" i="8" s="1"/>
  <c r="G211" i="8"/>
  <c r="H211" i="8" s="1"/>
  <c r="G232" i="8"/>
  <c r="H232" i="8" s="1"/>
  <c r="T203" i="15"/>
  <c r="S203" i="15"/>
  <c r="R203" i="15"/>
  <c r="P203" i="15"/>
  <c r="O203" i="15"/>
  <c r="Q203" i="15"/>
  <c r="P168" i="15"/>
  <c r="O168" i="15"/>
  <c r="T168" i="15"/>
  <c r="S168" i="15"/>
  <c r="R168" i="15"/>
  <c r="Q168" i="15"/>
  <c r="R30" i="15"/>
  <c r="Q30" i="15"/>
  <c r="P30" i="15"/>
  <c r="O30" i="15"/>
  <c r="S30" i="15"/>
  <c r="T30" i="15"/>
  <c r="T202" i="15"/>
  <c r="S202" i="15"/>
  <c r="R202" i="15"/>
  <c r="P202" i="15"/>
  <c r="Q202" i="15"/>
  <c r="O202" i="15"/>
  <c r="T79" i="15"/>
  <c r="S79" i="15"/>
  <c r="R79" i="15"/>
  <c r="Q79" i="15"/>
  <c r="P79" i="15"/>
  <c r="O79" i="15"/>
  <c r="T141" i="15"/>
  <c r="S141" i="15"/>
  <c r="R141" i="15"/>
  <c r="Q141" i="15"/>
  <c r="O141" i="15"/>
  <c r="P141" i="15"/>
  <c r="T143" i="15"/>
  <c r="S143" i="15"/>
  <c r="R143" i="15"/>
  <c r="Q143" i="15"/>
  <c r="O143" i="15"/>
  <c r="P143" i="15"/>
  <c r="K81" i="15"/>
  <c r="N81" i="15"/>
  <c r="U81" i="15" s="1"/>
  <c r="T59" i="15"/>
  <c r="S59" i="15"/>
  <c r="R59" i="15"/>
  <c r="Q59" i="15"/>
  <c r="P59" i="15"/>
  <c r="O59" i="15"/>
  <c r="R184" i="15"/>
  <c r="Q184" i="15"/>
  <c r="P184" i="15"/>
  <c r="O184" i="15"/>
  <c r="T184" i="15"/>
  <c r="S184" i="15"/>
  <c r="G64" i="8"/>
  <c r="H64" i="8" s="1"/>
  <c r="P154" i="15"/>
  <c r="O154" i="15"/>
  <c r="T154" i="15"/>
  <c r="S154" i="15"/>
  <c r="R154" i="15"/>
  <c r="Q154" i="15"/>
  <c r="N178" i="8"/>
  <c r="J178" i="8" s="1"/>
  <c r="G178" i="8"/>
  <c r="H178" i="8" s="1"/>
  <c r="O2" i="15"/>
  <c r="T181" i="15"/>
  <c r="S181" i="15"/>
  <c r="O181" i="15"/>
  <c r="R181" i="15"/>
  <c r="Q181" i="15"/>
  <c r="P181" i="15"/>
  <c r="K224" i="15"/>
  <c r="N224" i="15"/>
  <c r="U224" i="15" s="1"/>
  <c r="G238" i="8"/>
  <c r="H238" i="8" s="1"/>
  <c r="G151" i="8"/>
  <c r="H151" i="8" s="1"/>
  <c r="G56" i="8"/>
  <c r="H56" i="8" s="1"/>
  <c r="E9" i="11" l="1"/>
  <c r="E5" i="12"/>
  <c r="C18" i="12"/>
  <c r="C39" i="13"/>
  <c r="E12" i="12"/>
  <c r="E37" i="13"/>
  <c r="I37" i="13" s="1"/>
  <c r="B68" i="13" s="1"/>
  <c r="K184" i="15"/>
  <c r="N184" i="15"/>
  <c r="U184" i="15" s="1"/>
  <c r="N121" i="15"/>
  <c r="U121" i="15" s="1"/>
  <c r="K121" i="15"/>
  <c r="N212" i="15"/>
  <c r="U212" i="15" s="1"/>
  <c r="K212" i="15"/>
  <c r="N227" i="15"/>
  <c r="U227" i="15" s="1"/>
  <c r="K227" i="15"/>
  <c r="N219" i="15"/>
  <c r="U219" i="15" s="1"/>
  <c r="K219" i="15"/>
  <c r="E10" i="12"/>
  <c r="B35" i="13"/>
  <c r="E35" i="13" s="1"/>
  <c r="I35" i="13" s="1"/>
  <c r="B66" i="13" s="1"/>
  <c r="D37" i="16"/>
  <c r="K87" i="15"/>
  <c r="N87" i="15"/>
  <c r="U87" i="15" s="1"/>
  <c r="N46" i="15"/>
  <c r="U46" i="15" s="1"/>
  <c r="K46" i="15"/>
  <c r="N31" i="15"/>
  <c r="U31" i="15" s="1"/>
  <c r="K31" i="15"/>
  <c r="N233" i="15"/>
  <c r="U233" i="15" s="1"/>
  <c r="K233" i="15"/>
  <c r="C38" i="16"/>
  <c r="D33" i="16"/>
  <c r="K191" i="15"/>
  <c r="N191" i="15"/>
  <c r="U191" i="15" s="1"/>
  <c r="K228" i="15"/>
  <c r="N228" i="15"/>
  <c r="U228" i="15" s="1"/>
  <c r="N135" i="15"/>
  <c r="U135" i="15" s="1"/>
  <c r="K135" i="15"/>
  <c r="K24" i="15"/>
  <c r="N24" i="15"/>
  <c r="U24" i="15" s="1"/>
  <c r="N127" i="15"/>
  <c r="U127" i="15" s="1"/>
  <c r="K127" i="15"/>
  <c r="K199" i="15"/>
  <c r="N199" i="15"/>
  <c r="U199" i="15" s="1"/>
  <c r="N237" i="15"/>
  <c r="U237" i="15" s="1"/>
  <c r="K237" i="15"/>
  <c r="N88" i="15"/>
  <c r="U88" i="15" s="1"/>
  <c r="K88" i="15"/>
  <c r="B36" i="13"/>
  <c r="E36" i="13" s="1"/>
  <c r="E11" i="12"/>
  <c r="N98" i="15"/>
  <c r="U98" i="15" s="1"/>
  <c r="K98" i="15"/>
  <c r="N115" i="15"/>
  <c r="U115" i="15" s="1"/>
  <c r="K115" i="15"/>
  <c r="C37" i="16"/>
  <c r="K263" i="15"/>
  <c r="N263" i="15"/>
  <c r="U263" i="15" s="1"/>
  <c r="N114" i="15"/>
  <c r="U114" i="15" s="1"/>
  <c r="K114" i="15"/>
  <c r="C33" i="16"/>
  <c r="N74" i="15"/>
  <c r="U74" i="15" s="1"/>
  <c r="K74" i="15"/>
  <c r="N70" i="15"/>
  <c r="U70" i="15" s="1"/>
  <c r="K70" i="15"/>
  <c r="N158" i="15"/>
  <c r="U158" i="15" s="1"/>
  <c r="K158" i="15"/>
  <c r="N132" i="15"/>
  <c r="U132" i="15" s="1"/>
  <c r="K132" i="15"/>
  <c r="N171" i="15"/>
  <c r="U171" i="15" s="1"/>
  <c r="K171" i="15"/>
  <c r="K107" i="15"/>
  <c r="N107" i="15"/>
  <c r="U107" i="15" s="1"/>
  <c r="K109" i="15"/>
  <c r="N109" i="15"/>
  <c r="U109" i="15" s="1"/>
  <c r="K214" i="15"/>
  <c r="N214" i="15"/>
  <c r="U214" i="15" s="1"/>
  <c r="K6" i="15"/>
  <c r="N6" i="15"/>
  <c r="U6" i="15" s="1"/>
  <c r="N102" i="15"/>
  <c r="U102" i="15" s="1"/>
  <c r="K102" i="15"/>
  <c r="N142" i="15"/>
  <c r="U142" i="15" s="1"/>
  <c r="K142" i="15"/>
  <c r="N239" i="15"/>
  <c r="U239" i="15" s="1"/>
  <c r="K239" i="15"/>
  <c r="K20" i="15"/>
  <c r="N20" i="15"/>
  <c r="U20" i="15" s="1"/>
  <c r="N148" i="15"/>
  <c r="U148" i="15" s="1"/>
  <c r="K148" i="15"/>
  <c r="K248" i="15"/>
  <c r="N248" i="15"/>
  <c r="U248" i="15" s="1"/>
  <c r="N56" i="15"/>
  <c r="U56" i="15" s="1"/>
  <c r="K56" i="15"/>
  <c r="N21" i="15"/>
  <c r="U21" i="15" s="1"/>
  <c r="K21" i="15"/>
  <c r="N231" i="15"/>
  <c r="U231" i="15" s="1"/>
  <c r="K231" i="15"/>
  <c r="N143" i="15"/>
  <c r="U143" i="15" s="1"/>
  <c r="K143" i="15"/>
  <c r="K197" i="15"/>
  <c r="N197" i="15"/>
  <c r="U197" i="15" s="1"/>
  <c r="N118" i="15"/>
  <c r="U118" i="15" s="1"/>
  <c r="K118" i="15"/>
  <c r="N54" i="15"/>
  <c r="U54" i="15" s="1"/>
  <c r="K54" i="15"/>
  <c r="N243" i="15"/>
  <c r="U243" i="15" s="1"/>
  <c r="K243" i="15"/>
  <c r="K73" i="15"/>
  <c r="N73" i="15"/>
  <c r="U73" i="15" s="1"/>
  <c r="K218" i="15"/>
  <c r="N218" i="15"/>
  <c r="U218" i="15" s="1"/>
  <c r="N60" i="15"/>
  <c r="U60" i="15" s="1"/>
  <c r="K60" i="15"/>
  <c r="K26" i="15"/>
  <c r="N26" i="15"/>
  <c r="U26" i="15" s="1"/>
  <c r="N94" i="15"/>
  <c r="U94" i="15" s="1"/>
  <c r="K94" i="15"/>
  <c r="N68" i="15"/>
  <c r="U68" i="15" s="1"/>
  <c r="K68" i="15"/>
  <c r="N3" i="15"/>
  <c r="U3" i="15" s="1"/>
  <c r="K3" i="15"/>
  <c r="N76" i="15"/>
  <c r="U76" i="15" s="1"/>
  <c r="K76" i="15"/>
  <c r="N104" i="15"/>
  <c r="U104" i="15" s="1"/>
  <c r="K104" i="15"/>
  <c r="N157" i="15"/>
  <c r="U157" i="15" s="1"/>
  <c r="K157" i="15"/>
  <c r="E6" i="12"/>
  <c r="B31" i="13"/>
  <c r="E31" i="13" s="1"/>
  <c r="N36" i="15"/>
  <c r="U36" i="15" s="1"/>
  <c r="K36" i="15"/>
  <c r="N211" i="15"/>
  <c r="U211" i="15" s="1"/>
  <c r="K211" i="15"/>
  <c r="N153" i="15"/>
  <c r="U153" i="15" s="1"/>
  <c r="K153" i="15"/>
  <c r="N58" i="15"/>
  <c r="U58" i="15" s="1"/>
  <c r="K58" i="15"/>
  <c r="K71" i="15"/>
  <c r="N71" i="15"/>
  <c r="U71" i="15" s="1"/>
  <c r="N179" i="15"/>
  <c r="U179" i="15" s="1"/>
  <c r="K179" i="15"/>
  <c r="N25" i="15"/>
  <c r="U25" i="15" s="1"/>
  <c r="K25" i="15"/>
  <c r="N61" i="15"/>
  <c r="U61" i="15" s="1"/>
  <c r="K61" i="15"/>
  <c r="K204" i="15"/>
  <c r="N204" i="15"/>
  <c r="U204" i="15" s="1"/>
  <c r="K252" i="15"/>
  <c r="N252" i="15"/>
  <c r="U252" i="15" s="1"/>
  <c r="N40" i="15"/>
  <c r="U40" i="15" s="1"/>
  <c r="K40" i="15"/>
  <c r="N9" i="15"/>
  <c r="U9" i="15" s="1"/>
  <c r="K9" i="15"/>
  <c r="N185" i="15"/>
  <c r="U185" i="15" s="1"/>
  <c r="K185" i="15"/>
  <c r="N134" i="15"/>
  <c r="U134" i="15" s="1"/>
  <c r="K134" i="15"/>
  <c r="K4" i="15"/>
  <c r="N4" i="15"/>
  <c r="U4" i="15" s="1"/>
  <c r="K194" i="15"/>
  <c r="N194" i="15"/>
  <c r="U194" i="15" s="1"/>
  <c r="K91" i="15"/>
  <c r="N91" i="15"/>
  <c r="U91" i="15" s="1"/>
  <c r="N123" i="15"/>
  <c r="U123" i="15" s="1"/>
  <c r="K123" i="15"/>
  <c r="N7" i="15"/>
  <c r="U7" i="15" s="1"/>
  <c r="K7" i="15"/>
  <c r="N45" i="15"/>
  <c r="U45" i="15" s="1"/>
  <c r="K45" i="15"/>
  <c r="E13" i="12"/>
  <c r="B38" i="13"/>
  <c r="E38" i="13" s="1"/>
  <c r="I38" i="13" s="1"/>
  <c r="B72" i="13" s="1"/>
  <c r="B73" i="13" s="1"/>
  <c r="N165" i="15"/>
  <c r="U165" i="15" s="1"/>
  <c r="K165" i="15"/>
  <c r="N168" i="15"/>
  <c r="U168" i="15" s="1"/>
  <c r="K168" i="15"/>
  <c r="N92" i="15"/>
  <c r="U92" i="15" s="1"/>
  <c r="K92" i="15"/>
  <c r="N151" i="15"/>
  <c r="U151" i="15" s="1"/>
  <c r="K151" i="15"/>
  <c r="K10" i="15"/>
  <c r="N10" i="15"/>
  <c r="U10" i="15" s="1"/>
  <c r="K242" i="15"/>
  <c r="N242" i="15"/>
  <c r="U242" i="15" s="1"/>
  <c r="K264" i="15"/>
  <c r="N264" i="15"/>
  <c r="U264" i="15" s="1"/>
  <c r="N235" i="15"/>
  <c r="U235" i="15" s="1"/>
  <c r="K235" i="15"/>
  <c r="N11" i="15"/>
  <c r="U11" i="15" s="1"/>
  <c r="K11" i="15"/>
  <c r="K186" i="15"/>
  <c r="N186" i="15"/>
  <c r="U186" i="15" s="1"/>
  <c r="N116" i="15"/>
  <c r="U116" i="15" s="1"/>
  <c r="K116" i="15"/>
  <c r="N43" i="15"/>
  <c r="U43" i="15" s="1"/>
  <c r="K43" i="15"/>
  <c r="N133" i="15"/>
  <c r="U133" i="15" s="1"/>
  <c r="K133" i="15"/>
  <c r="N155" i="15"/>
  <c r="U155" i="15" s="1"/>
  <c r="K155" i="15"/>
  <c r="N136" i="15"/>
  <c r="U136" i="15" s="1"/>
  <c r="K136" i="15"/>
  <c r="K79" i="15"/>
  <c r="N79" i="15"/>
  <c r="U79" i="15" s="1"/>
  <c r="N23" i="15"/>
  <c r="U23" i="15" s="1"/>
  <c r="K23" i="15"/>
  <c r="N163" i="15"/>
  <c r="U163" i="15" s="1"/>
  <c r="K163" i="15"/>
  <c r="K230" i="15"/>
  <c r="N230" i="15"/>
  <c r="U230" i="15" s="1"/>
  <c r="N217" i="15"/>
  <c r="U217" i="15" s="1"/>
  <c r="K217" i="15"/>
  <c r="N200" i="15"/>
  <c r="U200" i="15" s="1"/>
  <c r="K200" i="15"/>
  <c r="N169" i="15"/>
  <c r="U169" i="15" s="1"/>
  <c r="K169" i="15"/>
  <c r="N108" i="15"/>
  <c r="U108" i="15" s="1"/>
  <c r="K108" i="15"/>
  <c r="N35" i="15"/>
  <c r="U35" i="15" s="1"/>
  <c r="K35" i="15"/>
  <c r="K226" i="15"/>
  <c r="N226" i="15"/>
  <c r="U226" i="15" s="1"/>
  <c r="N120" i="15"/>
  <c r="U120" i="15" s="1"/>
  <c r="K120" i="15"/>
  <c r="N86" i="15"/>
  <c r="U86" i="15" s="1"/>
  <c r="K86" i="15"/>
  <c r="N147" i="15"/>
  <c r="U147" i="15" s="1"/>
  <c r="K147" i="15"/>
  <c r="N146" i="15"/>
  <c r="U146" i="15" s="1"/>
  <c r="K146" i="15"/>
  <c r="K238" i="15"/>
  <c r="N238" i="15"/>
  <c r="U238" i="15" s="1"/>
  <c r="N50" i="15"/>
  <c r="U50" i="15" s="1"/>
  <c r="K50" i="15"/>
  <c r="K18" i="15"/>
  <c r="N18" i="15"/>
  <c r="U18" i="15" s="1"/>
  <c r="N53" i="15"/>
  <c r="U53" i="15" s="1"/>
  <c r="K53" i="15"/>
  <c r="N195" i="15"/>
  <c r="U195" i="15" s="1"/>
  <c r="K195" i="15"/>
  <c r="K172" i="15"/>
  <c r="N172" i="15"/>
  <c r="U172" i="15" s="1"/>
  <c r="N173" i="15"/>
  <c r="U173" i="15" s="1"/>
  <c r="K173" i="15"/>
  <c r="N66" i="15"/>
  <c r="U66" i="15" s="1"/>
  <c r="K66" i="15"/>
  <c r="N110" i="15"/>
  <c r="U110" i="15" s="1"/>
  <c r="K110" i="15"/>
  <c r="K234" i="15"/>
  <c r="N234" i="15"/>
  <c r="U234" i="15" s="1"/>
  <c r="N150" i="15"/>
  <c r="U150" i="15" s="1"/>
  <c r="K150" i="15"/>
  <c r="N245" i="15"/>
  <c r="U245" i="15" s="1"/>
  <c r="K245" i="15"/>
  <c r="N47" i="15"/>
  <c r="U47" i="15" s="1"/>
  <c r="K47" i="15"/>
  <c r="N28" i="15"/>
  <c r="U28" i="15" s="1"/>
  <c r="K28" i="15"/>
  <c r="D35" i="16"/>
  <c r="D34" i="16"/>
  <c r="N126" i="15"/>
  <c r="U126" i="15" s="1"/>
  <c r="K126" i="15"/>
  <c r="N59" i="15"/>
  <c r="U59" i="15" s="1"/>
  <c r="K59" i="15"/>
  <c r="K203" i="15"/>
  <c r="N203" i="15"/>
  <c r="U203" i="15" s="1"/>
  <c r="K262" i="15"/>
  <c r="N262" i="15"/>
  <c r="U262" i="15" s="1"/>
  <c r="N39" i="15"/>
  <c r="U39" i="15" s="1"/>
  <c r="K39" i="15"/>
  <c r="K22" i="15"/>
  <c r="N22" i="15"/>
  <c r="U22" i="15" s="1"/>
  <c r="K83" i="15"/>
  <c r="N83" i="15"/>
  <c r="U83" i="15" s="1"/>
  <c r="K8" i="15"/>
  <c r="N8" i="15"/>
  <c r="U8" i="15" s="1"/>
  <c r="N258" i="15"/>
  <c r="U258" i="15" s="1"/>
  <c r="K258" i="15"/>
  <c r="N138" i="15"/>
  <c r="U138" i="15" s="1"/>
  <c r="K138" i="15"/>
  <c r="N119" i="15"/>
  <c r="U119" i="15" s="1"/>
  <c r="K119" i="15"/>
  <c r="N183" i="15"/>
  <c r="U183" i="15" s="1"/>
  <c r="K183" i="15"/>
  <c r="N170" i="15"/>
  <c r="U170" i="15" s="1"/>
  <c r="K170" i="15"/>
  <c r="N152" i="15"/>
  <c r="U152" i="15" s="1"/>
  <c r="K152" i="15"/>
  <c r="K93" i="15"/>
  <c r="N93" i="15"/>
  <c r="U93" i="15" s="1"/>
  <c r="D36" i="16"/>
  <c r="N84" i="15"/>
  <c r="U84" i="15" s="1"/>
  <c r="K84" i="15"/>
  <c r="K244" i="15"/>
  <c r="N244" i="15"/>
  <c r="U244" i="15" s="1"/>
  <c r="C35" i="16"/>
  <c r="N223" i="15"/>
  <c r="U223" i="15" s="1"/>
  <c r="K223" i="15"/>
  <c r="C34" i="16"/>
  <c r="E9" i="12"/>
  <c r="B34" i="13"/>
  <c r="E34" i="13" s="1"/>
  <c r="U2" i="15"/>
  <c r="K198" i="15"/>
  <c r="N198" i="15"/>
  <c r="U198" i="15" s="1"/>
  <c r="N5" i="15"/>
  <c r="U5" i="15" s="1"/>
  <c r="K5" i="15"/>
  <c r="K222" i="15"/>
  <c r="N222" i="15"/>
  <c r="U222" i="15" s="1"/>
  <c r="K95" i="15"/>
  <c r="N95" i="15"/>
  <c r="U95" i="15" s="1"/>
  <c r="K105" i="15"/>
  <c r="N105" i="15"/>
  <c r="U105" i="15" s="1"/>
  <c r="N215" i="15"/>
  <c r="U215" i="15" s="1"/>
  <c r="K215" i="15"/>
  <c r="N125" i="15"/>
  <c r="U125" i="15" s="1"/>
  <c r="K125" i="15"/>
  <c r="B32" i="13"/>
  <c r="E32" i="13" s="1"/>
  <c r="I32" i="13" s="1"/>
  <c r="E7" i="12"/>
  <c r="N106" i="15"/>
  <c r="U106" i="15" s="1"/>
  <c r="K106" i="15"/>
  <c r="N117" i="15"/>
  <c r="U117" i="15" s="1"/>
  <c r="K117" i="15"/>
  <c r="N187" i="15"/>
  <c r="U187" i="15" s="1"/>
  <c r="K187" i="15"/>
  <c r="N221" i="15"/>
  <c r="U221" i="15" s="1"/>
  <c r="K221" i="15"/>
  <c r="N13" i="15"/>
  <c r="U13" i="15" s="1"/>
  <c r="K13" i="15"/>
  <c r="C36" i="16"/>
  <c r="K85" i="15"/>
  <c r="N85" i="15"/>
  <c r="U85" i="15" s="1"/>
  <c r="N122" i="15"/>
  <c r="U122" i="15" s="1"/>
  <c r="K122" i="15"/>
  <c r="K14" i="15"/>
  <c r="N14" i="15"/>
  <c r="U14" i="15" s="1"/>
  <c r="K207" i="15"/>
  <c r="N207" i="15"/>
  <c r="U207" i="15" s="1"/>
  <c r="K12" i="15"/>
  <c r="N12" i="15"/>
  <c r="U12" i="15" s="1"/>
  <c r="N154" i="15"/>
  <c r="U154" i="15" s="1"/>
  <c r="K154" i="15"/>
  <c r="N30" i="15"/>
  <c r="U30" i="15" s="1"/>
  <c r="K30" i="15"/>
  <c r="N175" i="15"/>
  <c r="U175" i="15" s="1"/>
  <c r="K175" i="15"/>
  <c r="N210" i="15"/>
  <c r="U210" i="15" s="1"/>
  <c r="K210" i="15"/>
  <c r="N63" i="15"/>
  <c r="U63" i="15" s="1"/>
  <c r="K63" i="15"/>
  <c r="N180" i="15"/>
  <c r="U180" i="15" s="1"/>
  <c r="K180" i="15"/>
  <c r="K201" i="15"/>
  <c r="N201" i="15"/>
  <c r="U201" i="15" s="1"/>
  <c r="N124" i="15"/>
  <c r="U124" i="15" s="1"/>
  <c r="K124" i="15"/>
  <c r="N62" i="15"/>
  <c r="U62" i="15" s="1"/>
  <c r="K62" i="15"/>
  <c r="N255" i="15"/>
  <c r="U255" i="15" s="1"/>
  <c r="K255" i="15"/>
  <c r="N229" i="15"/>
  <c r="U229" i="15" s="1"/>
  <c r="K229" i="15"/>
  <c r="C32" i="16"/>
  <c r="N38" i="15"/>
  <c r="U38" i="15" s="1"/>
  <c r="K38" i="15"/>
  <c r="N141" i="15"/>
  <c r="U141" i="15" s="1"/>
  <c r="K141" i="15"/>
  <c r="N189" i="15"/>
  <c r="U189" i="15" s="1"/>
  <c r="K189" i="15"/>
  <c r="N82" i="15"/>
  <c r="U82" i="15" s="1"/>
  <c r="K82" i="15"/>
  <c r="K69" i="15"/>
  <c r="N69" i="15"/>
  <c r="U69" i="15" s="1"/>
  <c r="K220" i="15"/>
  <c r="N220" i="15"/>
  <c r="U220" i="15" s="1"/>
  <c r="N140" i="15"/>
  <c r="U140" i="15" s="1"/>
  <c r="K140" i="15"/>
  <c r="N44" i="15"/>
  <c r="U44" i="15" s="1"/>
  <c r="K44" i="15"/>
  <c r="N27" i="15"/>
  <c r="U27" i="15" s="1"/>
  <c r="K27" i="15"/>
  <c r="N251" i="15"/>
  <c r="U251" i="15" s="1"/>
  <c r="K251" i="15"/>
  <c r="N41" i="15"/>
  <c r="U41" i="15" s="1"/>
  <c r="K41" i="15"/>
  <c r="N249" i="15"/>
  <c r="U249" i="15" s="1"/>
  <c r="K249" i="15"/>
  <c r="K89" i="15"/>
  <c r="N89" i="15"/>
  <c r="U89" i="15" s="1"/>
  <c r="N261" i="15"/>
  <c r="U261" i="15" s="1"/>
  <c r="K261" i="15"/>
  <c r="N55" i="15"/>
  <c r="U55" i="15" s="1"/>
  <c r="K55" i="15"/>
  <c r="N78" i="15"/>
  <c r="U78" i="15" s="1"/>
  <c r="K78" i="15"/>
  <c r="K260" i="15"/>
  <c r="N260" i="15"/>
  <c r="U260" i="15" s="1"/>
  <c r="N174" i="15"/>
  <c r="U174" i="15" s="1"/>
  <c r="K174" i="15"/>
  <c r="N131" i="15"/>
  <c r="U131" i="15" s="1"/>
  <c r="K131" i="15"/>
  <c r="N196" i="15"/>
  <c r="U196" i="15" s="1"/>
  <c r="K196" i="15"/>
  <c r="N166" i="15"/>
  <c r="U166" i="15" s="1"/>
  <c r="K166" i="15"/>
  <c r="N34" i="15"/>
  <c r="U34" i="15" s="1"/>
  <c r="K34" i="15"/>
  <c r="N29" i="15"/>
  <c r="U29" i="15" s="1"/>
  <c r="K29" i="15"/>
  <c r="K250" i="15"/>
  <c r="N250" i="15"/>
  <c r="U250" i="15" s="1"/>
  <c r="N42" i="15"/>
  <c r="U42" i="15" s="1"/>
  <c r="K42" i="15"/>
  <c r="N100" i="15"/>
  <c r="U100" i="15" s="1"/>
  <c r="K100" i="15"/>
  <c r="N72" i="15"/>
  <c r="U72" i="15" s="1"/>
  <c r="K72" i="15"/>
  <c r="N162" i="15"/>
  <c r="U162" i="15" s="1"/>
  <c r="K162" i="15"/>
  <c r="K205" i="15"/>
  <c r="N205" i="15"/>
  <c r="U205" i="15" s="1"/>
  <c r="N137" i="15"/>
  <c r="U137" i="15" s="1"/>
  <c r="K137" i="15"/>
  <c r="K103" i="15"/>
  <c r="N103" i="15"/>
  <c r="U103" i="15" s="1"/>
  <c r="N51" i="15"/>
  <c r="U51" i="15" s="1"/>
  <c r="K51" i="15"/>
  <c r="K101" i="15"/>
  <c r="N101" i="15"/>
  <c r="U101" i="15" s="1"/>
  <c r="N164" i="15"/>
  <c r="U164" i="15" s="1"/>
  <c r="K164" i="15"/>
  <c r="N139" i="15"/>
  <c r="U139" i="15" s="1"/>
  <c r="K139" i="15"/>
  <c r="N206" i="15"/>
  <c r="U206" i="15" s="1"/>
  <c r="K206" i="15"/>
  <c r="K232" i="15"/>
  <c r="N232" i="15"/>
  <c r="U232" i="15" s="1"/>
  <c r="B18" i="12"/>
  <c r="N202" i="15"/>
  <c r="U202" i="15" s="1"/>
  <c r="K202" i="15"/>
  <c r="N188" i="15"/>
  <c r="U188" i="15" s="1"/>
  <c r="K188" i="15"/>
  <c r="E8" i="12"/>
  <c r="B33" i="13"/>
  <c r="E33" i="13" s="1"/>
  <c r="I33" i="13" s="1"/>
  <c r="B57" i="13" s="1"/>
  <c r="K178" i="15"/>
  <c r="N178" i="15"/>
  <c r="U178" i="15" s="1"/>
  <c r="N167" i="15"/>
  <c r="U167" i="15" s="1"/>
  <c r="K167" i="15"/>
  <c r="N216" i="15"/>
  <c r="U216" i="15" s="1"/>
  <c r="K216" i="15"/>
  <c r="N156" i="15"/>
  <c r="U156" i="15" s="1"/>
  <c r="K156" i="15"/>
  <c r="K130" i="15"/>
  <c r="N130" i="15"/>
  <c r="U130" i="15" s="1"/>
  <c r="N259" i="15"/>
  <c r="U259" i="15" s="1"/>
  <c r="K259" i="15"/>
  <c r="K67" i="15"/>
  <c r="N67" i="15"/>
  <c r="U67" i="15" s="1"/>
  <c r="N111" i="15"/>
  <c r="U111" i="15" s="1"/>
  <c r="K111" i="15"/>
  <c r="N37" i="15"/>
  <c r="U37" i="15" s="1"/>
  <c r="K37" i="15"/>
  <c r="N52" i="15"/>
  <c r="U52" i="15" s="1"/>
  <c r="K52" i="15"/>
  <c r="N90" i="15"/>
  <c r="U90" i="15" s="1"/>
  <c r="K90" i="15"/>
  <c r="N19" i="15"/>
  <c r="U19" i="15" s="1"/>
  <c r="K19" i="15"/>
  <c r="N182" i="15"/>
  <c r="U182" i="15" s="1"/>
  <c r="K182" i="15"/>
  <c r="E30" i="13"/>
  <c r="N181" i="15"/>
  <c r="U181" i="15" s="1"/>
  <c r="K181" i="15"/>
  <c r="N15" i="15"/>
  <c r="U15" i="15" s="1"/>
  <c r="K15" i="15"/>
  <c r="K246" i="15"/>
  <c r="N246" i="15"/>
  <c r="U246" i="15" s="1"/>
  <c r="N247" i="15"/>
  <c r="U247" i="15" s="1"/>
  <c r="K247" i="15"/>
  <c r="K236" i="15"/>
  <c r="N236" i="15"/>
  <c r="U236" i="15" s="1"/>
  <c r="K75" i="15"/>
  <c r="N75" i="15"/>
  <c r="U75" i="15" s="1"/>
  <c r="K99" i="15"/>
  <c r="N99" i="15"/>
  <c r="U99" i="15" s="1"/>
  <c r="N253" i="15"/>
  <c r="U253" i="15" s="1"/>
  <c r="K253" i="15"/>
  <c r="K77" i="15"/>
  <c r="N77" i="15"/>
  <c r="U77" i="15" s="1"/>
  <c r="N149" i="15"/>
  <c r="U149" i="15" s="1"/>
  <c r="K149" i="15"/>
  <c r="N57" i="15"/>
  <c r="U57" i="15" s="1"/>
  <c r="K57" i="15"/>
  <c r="N213" i="15"/>
  <c r="U213" i="15" s="1"/>
  <c r="K213" i="15"/>
  <c r="N159" i="15"/>
  <c r="U159" i="15" s="1"/>
  <c r="K159" i="15"/>
  <c r="N190" i="15"/>
  <c r="U190" i="15" s="1"/>
  <c r="K190" i="15"/>
  <c r="D38" i="16"/>
  <c r="B69" i="13" l="1"/>
  <c r="B70" i="13" s="1"/>
  <c r="B71" i="13" s="1"/>
  <c r="B74" i="13" s="1"/>
  <c r="C39" i="16"/>
  <c r="E18" i="12"/>
  <c r="E34" i="16"/>
  <c r="F34" i="16"/>
  <c r="F36" i="16"/>
  <c r="E36" i="16"/>
  <c r="E35" i="16"/>
  <c r="F35" i="16"/>
  <c r="D41" i="16"/>
  <c r="F37" i="16"/>
  <c r="E37" i="16"/>
  <c r="B50" i="13"/>
  <c r="I31" i="13"/>
  <c r="B49" i="13" s="1"/>
  <c r="D32" i="16"/>
  <c r="B13" i="16" s="1"/>
  <c r="I36" i="13"/>
  <c r="B67" i="13" s="1"/>
  <c r="E33" i="16"/>
  <c r="F33" i="16"/>
  <c r="B59" i="13"/>
  <c r="B60" i="13" s="1"/>
  <c r="I34" i="13"/>
  <c r="B58" i="13" s="1"/>
  <c r="B39" i="13"/>
  <c r="E39" i="13"/>
  <c r="B95" i="13" s="1"/>
  <c r="I30" i="13"/>
  <c r="F38" i="16"/>
  <c r="E38" i="16"/>
  <c r="B61" i="13" l="1"/>
  <c r="B85" i="13" s="1"/>
  <c r="E41" i="13"/>
  <c r="B79" i="13"/>
  <c r="B80" i="13" s="1"/>
  <c r="B88" i="13" s="1"/>
  <c r="B77" i="13"/>
  <c r="B78" i="13" s="1"/>
  <c r="B87" i="13" s="1"/>
  <c r="B75" i="13"/>
  <c r="B76" i="13" s="1"/>
  <c r="B86" i="13" s="1"/>
  <c r="D40" i="16"/>
  <c r="D39" i="16"/>
  <c r="F32" i="16"/>
  <c r="F39" i="16" s="1"/>
  <c r="B14" i="16"/>
  <c r="B19" i="16" s="1"/>
  <c r="E32" i="16"/>
  <c r="E39" i="16" s="1"/>
  <c r="B48" i="13"/>
  <c r="B51" i="13" s="1"/>
  <c r="B52" i="13" s="1"/>
  <c r="B84" i="13" s="1"/>
  <c r="I39" i="13"/>
  <c r="C85" i="13" l="1"/>
  <c r="D85" i="13"/>
  <c r="D84" i="13"/>
  <c r="C84" i="13"/>
  <c r="B25" i="16"/>
  <c r="B16" i="16"/>
  <c r="B21" i="16"/>
  <c r="B22" i="16" s="1"/>
  <c r="D86" i="13"/>
  <c r="C86" i="13"/>
  <c r="C87" i="13"/>
  <c r="B96" i="13"/>
  <c r="D87" i="13"/>
  <c r="D88" i="13"/>
  <c r="C88" i="13"/>
  <c r="B26" i="16" l="1"/>
  <c r="B27" i="16" s="1"/>
  <c r="B28" i="16" l="1"/>
</calcChain>
</file>

<file path=xl/sharedStrings.xml><?xml version="1.0" encoding="utf-8"?>
<sst xmlns="http://schemas.openxmlformats.org/spreadsheetml/2006/main" count="4064" uniqueCount="847">
  <si>
    <t>Status</t>
  </si>
  <si>
    <t>Action</t>
  </si>
  <si>
    <t>Notes</t>
  </si>
  <si>
    <t>Dept</t>
  </si>
  <si>
    <t>SKU</t>
  </si>
  <si>
    <t>RAW_WIP_CODE</t>
  </si>
  <si>
    <t>Customer</t>
  </si>
  <si>
    <t>Product_Group</t>
  </si>
  <si>
    <t>Avg_Case_Weight</t>
  </si>
  <si>
    <t>Trays_Per_Case</t>
  </si>
  <si>
    <t>Tray_Type</t>
  </si>
  <si>
    <t>Tray_Size</t>
  </si>
  <si>
    <t>SKU_Desc</t>
  </si>
  <si>
    <t>Tray Pack Speed</t>
  </si>
  <si>
    <t>Package_Type</t>
  </si>
  <si>
    <t>STD</t>
  </si>
  <si>
    <t>Class</t>
  </si>
  <si>
    <t>Weight</t>
  </si>
  <si>
    <t>Active</t>
  </si>
  <si>
    <t>SortOrder</t>
  </si>
  <si>
    <t>Cut_up</t>
  </si>
  <si>
    <t>61086#2</t>
  </si>
  <si>
    <t>Bulk Pack</t>
  </si>
  <si>
    <t>ThighMeat</t>
  </si>
  <si>
    <t>MB BSTHIGH AC BG 5KG</t>
  </si>
  <si>
    <t>SILVER</t>
  </si>
  <si>
    <t>61050#2</t>
  </si>
  <si>
    <t>BSB</t>
  </si>
  <si>
    <t>MB BSHB AC RND 5KG</t>
  </si>
  <si>
    <t>BA</t>
  </si>
  <si>
    <t>MS LEG BA 18KG</t>
  </si>
  <si>
    <t>Drum</t>
  </si>
  <si>
    <t>MS DRUM 18KG</t>
  </si>
  <si>
    <t>Thigh</t>
  </si>
  <si>
    <t>MB THIGH 20KG</t>
  </si>
  <si>
    <t>MB BSHB AC RND 10KG</t>
  </si>
  <si>
    <t>THIGH 18KG</t>
  </si>
  <si>
    <t>SplitWing</t>
  </si>
  <si>
    <t>MB SPL WING 18KG</t>
  </si>
  <si>
    <t>MB DRUM AC 18KG</t>
  </si>
  <si>
    <t>GOLD</t>
  </si>
  <si>
    <t>Wing</t>
  </si>
  <si>
    <t>MB WING AC 18KG</t>
  </si>
  <si>
    <t>SplitBreast</t>
  </si>
  <si>
    <t>MB BSHB RND AC 18KG</t>
  </si>
  <si>
    <t>24839 MB COS SPL WING AC</t>
  </si>
  <si>
    <t>17219 MB COS BSHB AC</t>
  </si>
  <si>
    <t>PLATINUM</t>
  </si>
  <si>
    <t>MB HA BSTHIGH AC BG 5KG</t>
  </si>
  <si>
    <t>MB HA FB BA AC COMBO</t>
  </si>
  <si>
    <t>MB HA FB AC COMBO</t>
  </si>
  <si>
    <t>MS HA DRUM 18KG</t>
  </si>
  <si>
    <t>MS HA LEG BA 18KG</t>
  </si>
  <si>
    <t>MB HA SPL WING AC 18KG</t>
  </si>
  <si>
    <t>HA THIGH AC 18KG</t>
  </si>
  <si>
    <t>HA LEG BA AC 18KG</t>
  </si>
  <si>
    <t>MB HA WING AC 18KG</t>
  </si>
  <si>
    <t>MB HA BSHB RND AC 18KG</t>
  </si>
  <si>
    <t>MB HA BSHB RND AC 18KG FFF</t>
  </si>
  <si>
    <t>MB HA BSHB 2ND 10KG</t>
  </si>
  <si>
    <t>MB HA SPL WING AC RET 23KG</t>
  </si>
  <si>
    <t>MS HA WING RET 25KG</t>
  </si>
  <si>
    <t>MS HA SPL WING RET 25KG</t>
  </si>
  <si>
    <t>MB HA WINGLET AC 25 KG RET</t>
  </si>
  <si>
    <t>MB HA DRUMETTE AC 25 KG RET</t>
  </si>
  <si>
    <t>FAT</t>
  </si>
  <si>
    <t>MS HA FFP FAT RET 25KG</t>
  </si>
  <si>
    <t>WIP</t>
  </si>
  <si>
    <t>MS WIP AC WINGS WHOLE</t>
  </si>
  <si>
    <t>MS WIP AC WINGS SPLIT</t>
  </si>
  <si>
    <t>MS WIP AC RWA SPLIT WINGS</t>
  </si>
  <si>
    <t>MS WIP AC WINGS WHOLE CAGE</t>
  </si>
  <si>
    <t>MS WIP AC BREAST BACK OFF SPLIT</t>
  </si>
  <si>
    <t>MS WIP AC RWA BREAST BACK OFF SPLIT</t>
  </si>
  <si>
    <t>MS WIP AC BREAST BACK OFF SPLIT SKNLS</t>
  </si>
  <si>
    <t>MS WIP AC RWA BREAST BACK SKNLS OFF SPLIT</t>
  </si>
  <si>
    <t>MS WIP AC BREAST MEAT W/FILLET</t>
  </si>
  <si>
    <t>MS WIP AC RWA BREAST MEAT W/FILLET</t>
  </si>
  <si>
    <t>FILLET</t>
  </si>
  <si>
    <t>MS WIP AC FILLET</t>
  </si>
  <si>
    <t>WOF</t>
  </si>
  <si>
    <t>MS WIP AC BREAST MEAT WOF LCL</t>
  </si>
  <si>
    <t>MS WIP AC LEG BA</t>
  </si>
  <si>
    <t>MS WIP AC LEG BA CAGE</t>
  </si>
  <si>
    <t>MS WIP ACCUTLET</t>
  </si>
  <si>
    <t>MS WIP AC RWA CUTLET</t>
  </si>
  <si>
    <t>MS WIP AC DRUM TRIMMED</t>
  </si>
  <si>
    <t>MS WIP AC DRUM TRIMMED CAGE</t>
  </si>
  <si>
    <t>MS WIP AC RWA DRUM TRIMMED</t>
  </si>
  <si>
    <t>MS WIP AC RWA DRUM TRIMMED CAGE</t>
  </si>
  <si>
    <t>MS WIP AC THIGH PC TRIM</t>
  </si>
  <si>
    <t>MS WIP AC THIGH COSTCO TRIM</t>
  </si>
  <si>
    <t>MS WIP RWA THIGH TRIM - PC</t>
  </si>
  <si>
    <t>MS WIP AC THIGHS</t>
  </si>
  <si>
    <t>MS WIP AC THIGH MEAT</t>
  </si>
  <si>
    <t>MS WIP AC RWA THIGH MEAT</t>
  </si>
  <si>
    <t>MS WIP AC CHUNK MEAT</t>
  </si>
  <si>
    <t>Backbone</t>
  </si>
  <si>
    <t>MS WIP AC BACKS</t>
  </si>
  <si>
    <t>61014#2</t>
  </si>
  <si>
    <t>61014C</t>
  </si>
  <si>
    <t>61014F</t>
  </si>
  <si>
    <t>MS WIP AC WINGS SPLIT FFF</t>
  </si>
  <si>
    <t>61014B</t>
  </si>
  <si>
    <t>61040#2</t>
  </si>
  <si>
    <t>61048#2</t>
  </si>
  <si>
    <t>MS WIP AC BREAST MEAT W/FILLET SILVER</t>
  </si>
  <si>
    <t>61050C</t>
  </si>
  <si>
    <t>MS WIP AC BREAST MEAT W/FILLET COSTCO</t>
  </si>
  <si>
    <t>61050F</t>
  </si>
  <si>
    <t>MS WIP AC BREAST MEAT W/FILLET FFF</t>
  </si>
  <si>
    <t>61061F</t>
  </si>
  <si>
    <t>ZH LCL LEG BA FFF</t>
  </si>
  <si>
    <t>61072#2</t>
  </si>
  <si>
    <t>WetChill Drums</t>
  </si>
  <si>
    <t>61072C</t>
  </si>
  <si>
    <t>MS COS DRUMS</t>
  </si>
  <si>
    <t>61072F</t>
  </si>
  <si>
    <t>MS MLF DRUM AC FFF</t>
  </si>
  <si>
    <t>61077F</t>
  </si>
  <si>
    <t>MS MLF THIGH AC FFF</t>
  </si>
  <si>
    <t>MS WIP AC THIGH MEAT SILVER</t>
  </si>
  <si>
    <t>61086C</t>
  </si>
  <si>
    <t>MS WIP AC THIGH MEAT COSTCO</t>
  </si>
  <si>
    <t>61086F</t>
  </si>
  <si>
    <t>MS WIP AC THIGH MEAT FFF</t>
  </si>
  <si>
    <t>Tray_Pack</t>
  </si>
  <si>
    <t>LCL</t>
  </si>
  <si>
    <t>PET 8</t>
  </si>
  <si>
    <t>Small</t>
  </si>
  <si>
    <t>MS LCL BSHB PET8 PP</t>
  </si>
  <si>
    <t>Fast</t>
  </si>
  <si>
    <t>BOX</t>
  </si>
  <si>
    <t>Y</t>
  </si>
  <si>
    <t>METRO</t>
  </si>
  <si>
    <t>ST 3XP</t>
  </si>
  <si>
    <t>MS LEG BA ST</t>
  </si>
  <si>
    <t>6.5 BOX</t>
  </si>
  <si>
    <t>FB</t>
  </si>
  <si>
    <t>PB HB ST</t>
  </si>
  <si>
    <t>MS BACK ST PP</t>
  </si>
  <si>
    <t>LT 8XP</t>
  </si>
  <si>
    <t>Large</t>
  </si>
  <si>
    <t>MS BSC BSTHIGH LT PP</t>
  </si>
  <si>
    <t>Slow</t>
  </si>
  <si>
    <t>LT 14D</t>
  </si>
  <si>
    <t>Clubpack</t>
  </si>
  <si>
    <t>PB BSC HB FT PP 8/BOX</t>
  </si>
  <si>
    <t>PB BSC DRUM FT PP</t>
  </si>
  <si>
    <t>PB BSC THIGH FT PP</t>
  </si>
  <si>
    <t>PB BACK ST</t>
  </si>
  <si>
    <t>ST 3D</t>
  </si>
  <si>
    <t>MS BSC FFTF BSHB AC 3D PP</t>
  </si>
  <si>
    <t>Whole Bird-Small</t>
  </si>
  <si>
    <t>MS BSC FFTF FRY WOG TI AC 3XP PP</t>
  </si>
  <si>
    <t>PB WING LT PP</t>
  </si>
  <si>
    <t>MS MLF BSHB AC ST</t>
  </si>
  <si>
    <t>MS MLF FRY WOG AC TI PET</t>
  </si>
  <si>
    <t>MS MLF HB AC ST</t>
  </si>
  <si>
    <t>MS MLF SPL WING AC ST</t>
  </si>
  <si>
    <t>MS FFF 3pc Breast</t>
  </si>
  <si>
    <t>MS BSC DRUM 14D PP</t>
  </si>
  <si>
    <t>MS BSC THIGH 14D PP</t>
  </si>
  <si>
    <t>MS BSC HB FT PP 8/BOX</t>
  </si>
  <si>
    <t>ST 2HP</t>
  </si>
  <si>
    <t>MS BSHB ST</t>
  </si>
  <si>
    <t>PB BSC SKLS HB ST PP BSK</t>
  </si>
  <si>
    <t>MS BSC SKLS HB 8XP PP</t>
  </si>
  <si>
    <t>MS BSC BSHB LT PP BSK</t>
  </si>
  <si>
    <t>MS BSC BSHB AC 8XP PP</t>
  </si>
  <si>
    <t>MS BSHB CHUNK 8XP PP</t>
  </si>
  <si>
    <t>MS BSC DRUM 3XP PP</t>
  </si>
  <si>
    <t>MS BSC THIGH 3XP PP</t>
  </si>
  <si>
    <t>MS WING 14D PP</t>
  </si>
  <si>
    <t>MB MET DRUM 8XP</t>
  </si>
  <si>
    <t>MB MET THIGH 8XP</t>
  </si>
  <si>
    <t>MS MET SKLS HB 8XP</t>
  </si>
  <si>
    <t>MS MET FRY WOG TI 3XP</t>
  </si>
  <si>
    <t>MS MET LEG BA 8XP</t>
  </si>
  <si>
    <t>PB WING LT</t>
  </si>
  <si>
    <t>MS MET HB 8XP</t>
  </si>
  <si>
    <t>BONELESS SKINLESS THIGH</t>
  </si>
  <si>
    <t>MS MET BSHB 3D</t>
  </si>
  <si>
    <t>MS BSC HB 3XP PP</t>
  </si>
  <si>
    <t>MS BSC SKLS HB 3XP PP</t>
  </si>
  <si>
    <t>MS BSC BSTHIGH 3XP PP</t>
  </si>
  <si>
    <t>MS BSC BSHB 3XP PP</t>
  </si>
  <si>
    <t>MS BSC WING 3XP PP</t>
  </si>
  <si>
    <t>MS BSC LEG BA 14D PP</t>
  </si>
  <si>
    <t>MS BSC 1.38-1.58 FRY TI 3XP PP</t>
  </si>
  <si>
    <t>MS BSC BSHB 8XP PP</t>
  </si>
  <si>
    <t>MB MET BSHB 3D</t>
  </si>
  <si>
    <t>MB MET BSTHIGH 3D</t>
  </si>
  <si>
    <t>SOB</t>
  </si>
  <si>
    <t>MS SOB BSHB AC 3XP</t>
  </si>
  <si>
    <t>LT 6D</t>
  </si>
  <si>
    <t>MS SOB BSHB AC 6D</t>
  </si>
  <si>
    <t>Fillet</t>
  </si>
  <si>
    <t>MS SOB FILLET AC 3XP</t>
  </si>
  <si>
    <t>MS SOB HB AC 3XP</t>
  </si>
  <si>
    <t>MS SOB HB AC 8XP</t>
  </si>
  <si>
    <t>MS SOB LEG BA AC 8XP</t>
  </si>
  <si>
    <t>MS SOB DRUM AC 3XP</t>
  </si>
  <si>
    <t>MS SOB DRUM AC 8XP</t>
  </si>
  <si>
    <t>MS SOB THIGH AC 3XP</t>
  </si>
  <si>
    <t>MS SOB THIGH AC 8XP</t>
  </si>
  <si>
    <t>MS SOB BSTHIGH AC 3XP</t>
  </si>
  <si>
    <t>MS SOB BSTHIGH AC 6D</t>
  </si>
  <si>
    <t>MS SOB SPL WING AC 8XP</t>
  </si>
  <si>
    <t>MS SOB SPL WING AC 3XP</t>
  </si>
  <si>
    <t>FFTF 3D Thighs 8 Tray</t>
  </si>
  <si>
    <t>MS BSC DRUM FT PP</t>
  </si>
  <si>
    <t>MS BSC THIGH FT PP</t>
  </si>
  <si>
    <t>METRO BONELESS SKINLESS CHICKEN HALF BREASTS LARGE TRAY</t>
  </si>
  <si>
    <t>MS BSC FFTF BSTHIGH AC 6D PP</t>
  </si>
  <si>
    <t>MS FFTF BSTHIGH AC 6D</t>
  </si>
  <si>
    <t>MS BSC FFTF THIGH AC 6D PP</t>
  </si>
  <si>
    <t>MS FFTF THIGH AC 6D PP</t>
  </si>
  <si>
    <t>MS BSC FFTF DRUM AC 6D PP</t>
  </si>
  <si>
    <t>MS FFTF DRUM AC 6D P BSK</t>
  </si>
  <si>
    <t>MS FFTF SPL WING AC 6D PP BSK</t>
  </si>
  <si>
    <t>MS FFTF BSHB AC 6D PP</t>
  </si>
  <si>
    <t>MS BSC SPL WING 8XP PP</t>
  </si>
  <si>
    <t>MS BSC SPL WING 8XP</t>
  </si>
  <si>
    <t>IFCO</t>
  </si>
  <si>
    <t>PB LEG BA LT</t>
  </si>
  <si>
    <t>PB FRY WOG TI ST</t>
  </si>
  <si>
    <t>PB THIGH LT</t>
  </si>
  <si>
    <t>MS BSHB PET8 BSK</t>
  </si>
  <si>
    <t>PB SKLS HB LT</t>
  </si>
  <si>
    <t>MS DRUM PET8 BSK</t>
  </si>
  <si>
    <t>PB HB LT</t>
  </si>
  <si>
    <t>PB DRUM LT PP</t>
  </si>
  <si>
    <t>PB THIGH LT PP</t>
  </si>
  <si>
    <t>PB HB LT PP</t>
  </si>
  <si>
    <t>PB SKLS HB LT PP</t>
  </si>
  <si>
    <t>PB BSTHIGH LT PP</t>
  </si>
  <si>
    <t>PB GIB ST PP</t>
  </si>
  <si>
    <t>MS DRUM LT PP</t>
  </si>
  <si>
    <t>MS THIGH LT PP</t>
  </si>
  <si>
    <t>MS SKLS HB LCP BSK</t>
  </si>
  <si>
    <t>MS BSHB LT -1860</t>
  </si>
  <si>
    <t>MS BSHB LT PP</t>
  </si>
  <si>
    <t>MS SKLS HB LT PP</t>
  </si>
  <si>
    <t>MS BSHB ST BSK</t>
  </si>
  <si>
    <t>MS SKLS HB LT</t>
  </si>
  <si>
    <t>MS HB LT</t>
  </si>
  <si>
    <t>MS BSTHIGH LT</t>
  </si>
  <si>
    <t>MS THIGH LT</t>
  </si>
  <si>
    <t>MS DRUM LT</t>
  </si>
  <si>
    <t>MS LEG BA LT</t>
  </si>
  <si>
    <t>MS WING LT</t>
  </si>
  <si>
    <t>MS DRUM LCP</t>
  </si>
  <si>
    <t>Whole Bird-Large</t>
  </si>
  <si>
    <t>PET 9</t>
  </si>
  <si>
    <t>PB 1.1-1.4 FRY WOG TI 2/LT</t>
  </si>
  <si>
    <t>PB PC DRUM AC PET 8</t>
  </si>
  <si>
    <t>PB PC THIGH AC PET 8</t>
  </si>
  <si>
    <t>PB LEG BA LT PP</t>
  </si>
  <si>
    <t>RWA</t>
  </si>
  <si>
    <t>RWA FRY WOG AC TI 2/LT</t>
  </si>
  <si>
    <t>PET 3</t>
  </si>
  <si>
    <t>RWA MS MLF HB AC PET 3</t>
  </si>
  <si>
    <t>RWA PB PC BM SKLS HB AC PET 3</t>
  </si>
  <si>
    <t>RWA BSHB AC PET 3</t>
  </si>
  <si>
    <t>RWA MS MLF BSHB AC PET 3 CUTLET</t>
  </si>
  <si>
    <t>RWA MS MLF BSHB AC PET 3 PET 3RIPS</t>
  </si>
  <si>
    <t>RWA THIGH AC PET 3</t>
  </si>
  <si>
    <t>RWA BPET 3HIGH AC PET 3</t>
  </si>
  <si>
    <t>RWA DRUM AC PET 3</t>
  </si>
  <si>
    <t>RWA SKLS DRUM AC ST</t>
  </si>
  <si>
    <t>RWA SPL WING AC PET 3</t>
  </si>
  <si>
    <t>RWA FRY WOG AC TI PET</t>
  </si>
  <si>
    <t>RWA BSHB AC PET 8</t>
  </si>
  <si>
    <t>RWA BSTHIGH AC PET 8</t>
  </si>
  <si>
    <t>RWA SPL WING AC PET 8</t>
  </si>
  <si>
    <t>RWA DRUM AC ST</t>
  </si>
  <si>
    <t>RWA BSTHIGH AC CLUB</t>
  </si>
  <si>
    <t>RWA SPL WING AC CLUB</t>
  </si>
  <si>
    <t>MS PC RWA DRUM AC PET 8 PP BSK</t>
  </si>
  <si>
    <t>MS PC RWA THIGH AC PET 8 PP BSK</t>
  </si>
  <si>
    <t>RWA BSHB AC LT</t>
  </si>
  <si>
    <t>MS PC RWA THIGH AC LT PP BSK</t>
  </si>
  <si>
    <t>MS PC RWA DRUM AC LT PP BSK</t>
  </si>
  <si>
    <t>MS LCL BSHB PET8 PP BSK</t>
  </si>
  <si>
    <t>PB PC FRY WOG AC TI ST</t>
  </si>
  <si>
    <t>PB PC SPLIT WING AC PET 3</t>
  </si>
  <si>
    <t>MS PC BM SKLS HB AC PET 8 BSK</t>
  </si>
  <si>
    <t>PB BSTHIGH LT</t>
  </si>
  <si>
    <t>MS SPL WING PET8 BSK</t>
  </si>
  <si>
    <t>PB PC SPL WING AC PET 8</t>
  </si>
  <si>
    <t>PB FILLET ST BSK</t>
  </si>
  <si>
    <t>PB FILLET LT PP</t>
  </si>
  <si>
    <t>MS BSHB CHUNK LT BSK</t>
  </si>
  <si>
    <t>Industry</t>
  </si>
  <si>
    <t>MS FRY WOG TI PET3 BSK</t>
  </si>
  <si>
    <t>MS FRY WOG TI PET3 PP BSK</t>
  </si>
  <si>
    <t>MS LCL LEG BA PET8 PP BSK</t>
  </si>
  <si>
    <t>PET 6</t>
  </si>
  <si>
    <t>MS LCL BSHB PET6 PP BSK</t>
  </si>
  <si>
    <t>PB BSC DRUM ST PP BSK</t>
  </si>
  <si>
    <t>PB BSC THIGH ST PP BSK</t>
  </si>
  <si>
    <t>MS BSC 1.1-1.31KG FRY WOG TI PP BSK</t>
  </si>
  <si>
    <t>PB BSC BSTHIGH ST PP BSK</t>
  </si>
  <si>
    <t>PB BSC HB ST PP BSK</t>
  </si>
  <si>
    <t>PB BSC SKLS HB LT PP BSK</t>
  </si>
  <si>
    <t>MS BSHB WOF PET8 BSK</t>
  </si>
  <si>
    <t>MS BSHB WOF PET8 PP BSK</t>
  </si>
  <si>
    <t>MS LCL BSHB WOF PET8 PP BSK</t>
  </si>
  <si>
    <t>MS LCL BSHB AC 3D PP BSK</t>
  </si>
  <si>
    <t>MS LCL BSHB AC 6D PP BSK</t>
  </si>
  <si>
    <t>MS LCL BSHB AC 8D PP BSK</t>
  </si>
  <si>
    <t>MS LCL BTFLYB WOF AC 3XP PP BSK</t>
  </si>
  <si>
    <t>SMALL</t>
  </si>
  <si>
    <t>MS LCL FILLET AC 3XP PP BSK</t>
  </si>
  <si>
    <t>MS LCL BSTHIGH AC 6D PP BSK</t>
  </si>
  <si>
    <t>MS LCL THIGH AC 6D PP BSK</t>
  </si>
  <si>
    <t>MS LCL DRUM AC 6D PP BSK</t>
  </si>
  <si>
    <t>MS LCL SPL WING AC 6D PP BSK</t>
  </si>
  <si>
    <t>MS LCL THIGH AC PET 6 PP BSK</t>
  </si>
  <si>
    <t>MS LCL DRUM AC PET 6 PP BSK</t>
  </si>
  <si>
    <t>MS LCL SPL WING AC PET 6 PP BSK</t>
  </si>
  <si>
    <t>MS LCL BSHB AC PET 3 PP BSK</t>
  </si>
  <si>
    <t>MB LCL BSHB AC PET 8 PP BSK</t>
  </si>
  <si>
    <t>MS LCL BTFLYB WOF AC PET 3 PP BSK</t>
  </si>
  <si>
    <t>MS LCL FILLET AC PET 3 PP BSK</t>
  </si>
  <si>
    <t>MS LCL BSTHIGH AC PET6 PP BSK</t>
  </si>
  <si>
    <t>MS LCL BSHB AC PET 8 PP BSK</t>
  </si>
  <si>
    <t>PB PC FRY WOG AC TI PET 3 PP</t>
  </si>
  <si>
    <t>MS LCL BSHB 6D PP BSK</t>
  </si>
  <si>
    <t>MS LCL BSHB AC PET 6 PP BSK</t>
  </si>
  <si>
    <t>MS LCL BSTHIGH AC PET 6 PP BSK</t>
  </si>
  <si>
    <t>MS 1.3-1.8 FRY WOG TI 2/PET9 BSK</t>
  </si>
  <si>
    <t>MS THIGH PET8 BSK</t>
  </si>
  <si>
    <t>MS LEG BA PET8 BSK</t>
  </si>
  <si>
    <t>MS BSTHIGH PET8 BSK</t>
  </si>
  <si>
    <t>MS PC BM CUTLET AC PET6 BSK</t>
  </si>
  <si>
    <t>PB BSC HB LT PP BSK</t>
  </si>
  <si>
    <t>MS WING AC GF LCP PP</t>
  </si>
  <si>
    <t>PB BSC LEG BA FT PP BSK</t>
  </si>
  <si>
    <t>MS BSC BSHB ST PP BSK</t>
  </si>
  <si>
    <t>MS ZH LEG BA AC LT</t>
  </si>
  <si>
    <t>MS ZH BSHB AC ST PP</t>
  </si>
  <si>
    <t>MS ZH FRY WOG AC TI ST PP</t>
  </si>
  <si>
    <t>MS ZH DRUM AC ST PP</t>
  </si>
  <si>
    <t>MS ZH BSTHIGH AC ST PP</t>
  </si>
  <si>
    <t>MS ZH THIGH AC ST PP</t>
  </si>
  <si>
    <t>MS ZH SPL WING AC ST PP</t>
  </si>
  <si>
    <t>MS ZH BSHB AC ST</t>
  </si>
  <si>
    <t>MS ZH FRY WOG AC TI ST</t>
  </si>
  <si>
    <t>MS ZH DRUM AC ST</t>
  </si>
  <si>
    <t>MS ZH BSTHIGH AC ST</t>
  </si>
  <si>
    <t>MS ZH THIGH AC ST</t>
  </si>
  <si>
    <t>MS ZH SPL WING AC ST</t>
  </si>
  <si>
    <t>MS ZH BSHB AC LT PP</t>
  </si>
  <si>
    <t>MS ZH THIGH AC LT PP</t>
  </si>
  <si>
    <t>MS ZH DRUM AC LT PP</t>
  </si>
  <si>
    <t>MS ZH BSHB AC LT</t>
  </si>
  <si>
    <t>MS ZH THIGH AC LT</t>
  </si>
  <si>
    <t>MS ZH DRUM AC LT</t>
  </si>
  <si>
    <t>MS ZH SKLS DRUM AC 3D PP</t>
  </si>
  <si>
    <t>MS ZH BSHB AC 8XP</t>
  </si>
  <si>
    <t>MS ZH THIGH AC 8XP</t>
  </si>
  <si>
    <t>MS ZH DRUM AC 8XP</t>
  </si>
  <si>
    <t>MS ZH THIGH AC 8D PP</t>
  </si>
  <si>
    <t>MS ZH DRUM AC 8D PP</t>
  </si>
  <si>
    <t>MS ZH FRY WOG AC TI 3XP PP</t>
  </si>
  <si>
    <t>SHP</t>
  </si>
  <si>
    <t>MS HA BSHB AC 3D SHP</t>
  </si>
  <si>
    <t>MS HA THIGH AC 3D SHP</t>
  </si>
  <si>
    <t>MS HA BSTHIGH AC 3D SHP</t>
  </si>
  <si>
    <t>MS HA DRUM AC 3D SHP</t>
  </si>
  <si>
    <t>COSTCO</t>
  </si>
  <si>
    <t>MB COS HA THIGH AC</t>
  </si>
  <si>
    <t>Costco</t>
  </si>
  <si>
    <t>MB COS HA BSHB AC</t>
  </si>
  <si>
    <t>MB COS HA BSTHIGH AC</t>
  </si>
  <si>
    <t>MB COS HA DRUMS AC</t>
  </si>
  <si>
    <t>MB COS HA SPLIT WING AC</t>
  </si>
  <si>
    <t>MS ZH THIGH AC LT PP BSK</t>
  </si>
  <si>
    <t>MS ZH DRUM AC LT PP BSK</t>
  </si>
  <si>
    <t>HALAL MS ZH FRY WOG AC TI ST</t>
  </si>
  <si>
    <t>MS LCL BSHB AC 8D  BSK</t>
  </si>
  <si>
    <t>MS ZH LCL SPL WING AC 6D BSK</t>
  </si>
  <si>
    <t>MS ZH LCL FRY WOG AC TI BSK</t>
  </si>
  <si>
    <t>Bagging</t>
  </si>
  <si>
    <t>MS BSC LEG BA BG PP 10/BOX</t>
  </si>
  <si>
    <t>MS BSC DRUM BG PP BOX</t>
  </si>
  <si>
    <t>MS WINGS BG PP</t>
  </si>
  <si>
    <t>W-Chicken</t>
  </si>
  <si>
    <t>0</t>
  </si>
  <si>
    <t>MS ZH LEG BA BG PP</t>
  </si>
  <si>
    <t>MS ZH WINGS BG PP</t>
  </si>
  <si>
    <t>MS ZH DRUM BA BG PP</t>
  </si>
  <si>
    <t>MS BSC SPL WING BG PP</t>
  </si>
  <si>
    <t>MS BSC LEG BA BG PP 8/BOX</t>
  </si>
  <si>
    <t>MS CUT 4 CHICKEN BAGGED PP</t>
  </si>
  <si>
    <t>MS 1-2 FRY WOG AC BG PP BSK</t>
  </si>
  <si>
    <t>MS LEG BA BG PP BSK</t>
  </si>
  <si>
    <t>Extenl</t>
  </si>
  <si>
    <t>HA 1.55-1.75 FRY WOG AC GF COMBO</t>
  </si>
  <si>
    <t>HA 1.3-1.5 FRY WOG AC TI GF 16 RET</t>
  </si>
  <si>
    <t>HA 1.38 - 1.58 FRY WOG TI RET</t>
  </si>
  <si>
    <t>Cut up Plan</t>
  </si>
  <si>
    <t>Code</t>
  </si>
  <si>
    <t>Cages</t>
  </si>
  <si>
    <t>Flock #</t>
  </si>
  <si>
    <t>Size</t>
  </si>
  <si>
    <t>Total Cages</t>
  </si>
  <si>
    <t>Manual input (do not link orders)</t>
  </si>
  <si>
    <t>200190/191</t>
  </si>
  <si>
    <t>Flock # 1</t>
  </si>
  <si>
    <t>Big Bird</t>
  </si>
  <si>
    <t>200141/150</t>
  </si>
  <si>
    <t>1.6-2.3</t>
  </si>
  <si>
    <t>Total Cages Request</t>
  </si>
  <si>
    <t>MLF</t>
  </si>
  <si>
    <t>Flock # 2</t>
  </si>
  <si>
    <t>Small Bird</t>
  </si>
  <si>
    <t>200140/151</t>
  </si>
  <si>
    <t>1.3-1.6</t>
  </si>
  <si>
    <t>Avg Cage weight</t>
  </si>
  <si>
    <t>St. Fran</t>
  </si>
  <si>
    <t>Flock # 3</t>
  </si>
  <si>
    <t>Avg Bird weight</t>
  </si>
  <si>
    <t>EVP</t>
  </si>
  <si>
    <t>Flock # 4</t>
  </si>
  <si>
    <t>St Francois</t>
  </si>
  <si>
    <t>Cages/Hour</t>
  </si>
  <si>
    <t>Total:</t>
  </si>
  <si>
    <t>Flock # 5</t>
  </si>
  <si>
    <t>Eden Valley</t>
  </si>
  <si>
    <t>Brids/cage</t>
  </si>
  <si>
    <t>Saint Francois</t>
  </si>
  <si>
    <t>Flock # 6</t>
  </si>
  <si>
    <t>Mix Bird</t>
  </si>
  <si>
    <t>Machine Speed (BPM)</t>
  </si>
  <si>
    <t>Flock # 7</t>
  </si>
  <si>
    <t>Flock # 19</t>
  </si>
  <si>
    <t>Extra Cases Produced</t>
  </si>
  <si>
    <t>Cases Remaining To Be Produced</t>
  </si>
  <si>
    <t>Total</t>
  </si>
  <si>
    <t>Category</t>
  </si>
  <si>
    <t>WIP_kg</t>
  </si>
  <si>
    <t>For sale</t>
  </si>
  <si>
    <t>Yield_Rate</t>
  </si>
  <si>
    <t>Outside_Code</t>
  </si>
  <si>
    <t>203035 container</t>
  </si>
  <si>
    <t>203172 container</t>
  </si>
  <si>
    <t>868 Spl Wings</t>
  </si>
  <si>
    <t>200868 MB HA SPL WING AC 18KG</t>
  </si>
  <si>
    <t>40021 Spl Wings 4x10lb</t>
  </si>
  <si>
    <t>904 H. Whole wings</t>
  </si>
  <si>
    <t>200904 H. Whole wings</t>
  </si>
  <si>
    <t>895 Drums</t>
  </si>
  <si>
    <t>200095 H. Drums</t>
  </si>
  <si>
    <t>0160 Drums</t>
  </si>
  <si>
    <t>203271 DRUM 110G LESS RET 25KG</t>
  </si>
  <si>
    <t>159 BA Legs</t>
  </si>
  <si>
    <t>200903 H. BA Legs a/c</t>
  </si>
  <si>
    <t>165 Bnls breast</t>
  </si>
  <si>
    <t>201894 H. Bnls breast</t>
  </si>
  <si>
    <t>201895 H. Bnls breast</t>
  </si>
  <si>
    <t>834 Bone in Thigh</t>
  </si>
  <si>
    <t>200902 Bone in Thigh</t>
  </si>
  <si>
    <t>161 Bone in Thigh</t>
  </si>
  <si>
    <t>200064 H. bnls thighs</t>
  </si>
  <si>
    <t>Totals:</t>
  </si>
  <si>
    <t>Today's</t>
  </si>
  <si>
    <t>Completed</t>
  </si>
  <si>
    <t>Remaining</t>
  </si>
  <si>
    <t>Description</t>
  </si>
  <si>
    <t>Cases Ordered - Orginal</t>
  </si>
  <si>
    <t>Cases Added On</t>
  </si>
  <si>
    <t xml:space="preserve">Cases Completed </t>
  </si>
  <si>
    <t>Cases Remaining</t>
  </si>
  <si>
    <t>WIP_Code</t>
  </si>
  <si>
    <t>Tray/Min</t>
  </si>
  <si>
    <t>Speed</t>
  </si>
  <si>
    <t>Today's Order</t>
  </si>
  <si>
    <t>Opening_WIP_Case</t>
  </si>
  <si>
    <t xml:space="preserve">Opening_WIP_kg </t>
  </si>
  <si>
    <t>Supply#</t>
  </si>
  <si>
    <t>Cases of RAW Required</t>
  </si>
  <si>
    <t>Inventory</t>
  </si>
  <si>
    <t>Request</t>
  </si>
  <si>
    <t>203624 Fat ( 10 day )</t>
  </si>
  <si>
    <t>423002 F Skin ( 273 day )</t>
  </si>
  <si>
    <t>61064 Cutlet by Pieces</t>
  </si>
  <si>
    <t>200089 Combo ( 10 day)</t>
  </si>
  <si>
    <t>203010 Fresh skin</t>
  </si>
  <si>
    <t>Part</t>
  </si>
  <si>
    <t>Group</t>
  </si>
  <si>
    <t>Level</t>
  </si>
  <si>
    <t>Adjusted Yield (% normalized to 100%)</t>
  </si>
  <si>
    <t>WOG Basis</t>
  </si>
  <si>
    <t>Adjusted Yield (%)</t>
  </si>
  <si>
    <t>Meaning (per 1 kg WOG)</t>
  </si>
  <si>
    <t>Breast (bone-in)</t>
  </si>
  <si>
    <t>Breast</t>
  </si>
  <si>
    <t>WOG=100%</t>
  </si>
  <si>
    <t>Finished kg obtainable from 1 kg WOG (percentage)</t>
  </si>
  <si>
    <t>Boneless Skinless Breast</t>
  </si>
  <si>
    <t>Tenderloin</t>
  </si>
  <si>
    <t>BA Leg</t>
  </si>
  <si>
    <t>LegBA</t>
  </si>
  <si>
    <t>Leg Quarter</t>
  </si>
  <si>
    <t>Wleg</t>
  </si>
  <si>
    <t>Leg</t>
  </si>
  <si>
    <t>Thigh (bone-in)</t>
  </si>
  <si>
    <t>Boneless Thigh</t>
  </si>
  <si>
    <t>Drumstick</t>
  </si>
  <si>
    <t>Whole Wing</t>
  </si>
  <si>
    <t>Wing - Drumette</t>
  </si>
  <si>
    <t>Wing - Mid-joint</t>
  </si>
  <si>
    <t>Wing - Tip</t>
  </si>
  <si>
    <t>BackBone</t>
  </si>
  <si>
    <t>Back</t>
  </si>
  <si>
    <t>Skin</t>
  </si>
  <si>
    <t>Trim / Fat / Misc</t>
  </si>
  <si>
    <t>Other</t>
  </si>
  <si>
    <t>Note:</t>
  </si>
  <si>
    <t>Use: WOG_kg = Finished_kg / (Yield%/100). Total cages = MAX across Product_Groups.</t>
  </si>
  <si>
    <t>WOG</t>
  </si>
  <si>
    <t>Wings (Whole)</t>
  </si>
  <si>
    <t>split</t>
  </si>
  <si>
    <t>BSB (No Tenders)</t>
  </si>
  <si>
    <t>Tenders (Sasa)</t>
  </si>
  <si>
    <t>Breast Skin</t>
  </si>
  <si>
    <t>Breast Bone (Keel)</t>
  </si>
  <si>
    <t>Drumsticks</t>
  </si>
  <si>
    <t>BST (Boneless Skinless Thigh)</t>
  </si>
  <si>
    <t>Thigh Skin</t>
  </si>
  <si>
    <t>Thigh Bone (Femur)</t>
  </si>
  <si>
    <t>Back Skin</t>
  </si>
  <si>
    <t>Frame / Carcass</t>
  </si>
  <si>
    <t>Fat &amp; Scrap</t>
  </si>
  <si>
    <t>Moisture/Cutting Loss</t>
  </si>
  <si>
    <t>Unallocated/Other</t>
  </si>
  <si>
    <t>balance</t>
  </si>
  <si>
    <t>Cut up</t>
  </si>
  <si>
    <t>Tray pack</t>
  </si>
  <si>
    <t>Relese</t>
  </si>
  <si>
    <t>Strat</t>
  </si>
  <si>
    <t>Employees</t>
  </si>
  <si>
    <t>Cut Up / BulkPack</t>
  </si>
  <si>
    <t>Tray Pack</t>
  </si>
  <si>
    <t>Cages @ Start</t>
  </si>
  <si>
    <t>BulkPack Order</t>
  </si>
  <si>
    <t>Total Order (cases)</t>
  </si>
  <si>
    <t xml:space="preserve">BulkPack Produced </t>
  </si>
  <si>
    <t>Produced (cases)</t>
  </si>
  <si>
    <t>BulkPack Remaining</t>
  </si>
  <si>
    <t>Remaining (system)</t>
  </si>
  <si>
    <t>Remaining (calc)</t>
  </si>
  <si>
    <t>Delta (sys-calc)</t>
  </si>
  <si>
    <t>Bird Cut (#)</t>
  </si>
  <si>
    <t>Bird/Mins (calc)</t>
  </si>
  <si>
    <t>Cases/H (calc)</t>
  </si>
  <si>
    <t>Staffing (Request vs In)</t>
  </si>
  <si>
    <t>Dept Code</t>
  </si>
  <si>
    <t>In</t>
  </si>
  <si>
    <t>Att%</t>
  </si>
  <si>
    <t>Cut Crew AM</t>
  </si>
  <si>
    <t>Cone Line AM</t>
  </si>
  <si>
    <t>Tray Pack AM</t>
  </si>
  <si>
    <t>Thigh Deboning Crew</t>
  </si>
  <si>
    <t>Order Picking</t>
  </si>
  <si>
    <t>14_Demand_Aggregation</t>
  </si>
  <si>
    <t>自动汇总：TrayPack + BulkPack + Bagging 按 Product_Group</t>
  </si>
  <si>
    <t>TrayPack_WIP_kg</t>
  </si>
  <si>
    <t>BulkPack_WIP_kg</t>
  </si>
  <si>
    <t>Bagging_WIP_kg</t>
  </si>
  <si>
    <t>Total_WIP_kg</t>
  </si>
  <si>
    <t>WingTip</t>
  </si>
  <si>
    <t>GRAND TOTAL</t>
  </si>
  <si>
    <t>说明：</t>
  </si>
  <si>
    <t>本表使用 SUMIF 公式自动从三个源表汇总数据</t>
  </si>
  <si>
    <t>源表：02_TrayPack_Order (P列=Product_Group, R列=WIP_kg)</t>
  </si>
  <si>
    <t>源表：03_BulkPack_Order (K列=Product_Group, N列=WIP_kg)</t>
  </si>
  <si>
    <t>源表：04_Bagging_Order (N列=Product_Group, Q列=WIP_kg)</t>
  </si>
  <si>
    <t>14_Production_Planning — Short/Leftover 分析</t>
  </si>
  <si>
    <t>INPUT</t>
  </si>
  <si>
    <t>Cut Cages</t>
  </si>
  <si>
    <t>Cage Weight (kg)</t>
  </si>
  <si>
    <t>WOG Total (kg)</t>
  </si>
  <si>
    <t>YIELD PARAMETERS (from 00_Yield_Rates)</t>
  </si>
  <si>
    <t>Yield %</t>
  </si>
  <si>
    <t>WOG Supply (kg)</t>
  </si>
  <si>
    <t>组件</t>
  </si>
  <si>
    <t>从 SplitBreast 分解</t>
  </si>
  <si>
    <t>从 Wing 分解</t>
  </si>
  <si>
    <t>组件（整条腿）</t>
  </si>
  <si>
    <t>从 BA 分解</t>
  </si>
  <si>
    <t>从 Thigh 分解</t>
  </si>
  <si>
    <t>CONVERSION RATIOS (Yield-based approximation)</t>
  </si>
  <si>
    <t>Conversion</t>
  </si>
  <si>
    <t>Formula</t>
  </si>
  <si>
    <t>Value</t>
  </si>
  <si>
    <t>Meaning</t>
  </si>
  <si>
    <t>BSB_from_SplitBreast</t>
  </si>
  <si>
    <t>BSB kg / SplitBreast kg</t>
  </si>
  <si>
    <t>ThighMeat_from_Thigh</t>
  </si>
  <si>
    <t>ThighMeat kg / Thigh kg</t>
  </si>
  <si>
    <t>SplitWing_from_Wing</t>
  </si>
  <si>
    <t>SplitWing kg / Wing kg</t>
  </si>
  <si>
    <t>Thigh_from_BA</t>
  </si>
  <si>
    <t>BA Leg 中 Thigh 的比例</t>
  </si>
  <si>
    <t>Drum_from_BA</t>
  </si>
  <si>
    <t>BA Leg 中 Drum 的比例</t>
  </si>
  <si>
    <t>DEMAND BY PRODUCT_GROUP (TrayPack + BulkPack + Bagging)</t>
  </si>
  <si>
    <t>TrayPack (kg)</t>
  </si>
  <si>
    <t>BulkPack (kg)</t>
  </si>
  <si>
    <t>Bagging (kg)</t>
  </si>
  <si>
    <t>Total Demand (kg)</t>
  </si>
  <si>
    <t>Opening WIP (kg)</t>
  </si>
  <si>
    <t>Target End WIP (kg)</t>
  </si>
  <si>
    <t>Target Add (kg)</t>
  </si>
  <si>
    <t>Net Need (kg)</t>
  </si>
  <si>
    <t>TOTAL DEMAND</t>
  </si>
  <si>
    <t>POOL ANALYSIS (Component Conservation)</t>
  </si>
  <si>
    <t>BREAST POOL</t>
  </si>
  <si>
    <t>Item</t>
  </si>
  <si>
    <t>Value (kg)</t>
  </si>
  <si>
    <t>Supply (SplitBreast)</t>
  </si>
  <si>
    <t>WOG × Yield_SplitBreast</t>
  </si>
  <si>
    <t>组件供应</t>
  </si>
  <si>
    <t>Net Need SplitBreast</t>
  </si>
  <si>
    <t>TrayPack + BulkPack + Bagging</t>
  </si>
  <si>
    <t>最终品需求</t>
  </si>
  <si>
    <t>Net Need BSB</t>
  </si>
  <si>
    <t>BSB → SplitBreast 消耗</t>
  </si>
  <si>
    <t>BSB_demand / BSB_from_SplitBreast</t>
  </si>
  <si>
    <t>转换后消耗</t>
  </si>
  <si>
    <t>Total Consume</t>
  </si>
  <si>
    <t>SplitBreast_final + BSB_消耗</t>
  </si>
  <si>
    <t>Gap (Supply - Consume)</t>
  </si>
  <si>
    <t>正=Leftover, 负=Short</t>
  </si>
  <si>
    <t>WING POOL</t>
  </si>
  <si>
    <t>Supply (Wing)</t>
  </si>
  <si>
    <t>WOG × Yield_Wing</t>
  </si>
  <si>
    <t>Net Need Wing</t>
  </si>
  <si>
    <t>Wing + WING (alias)</t>
  </si>
  <si>
    <t>合并大小写</t>
  </si>
  <si>
    <t>Net Need SplitWing</t>
  </si>
  <si>
    <t>SplitWing → Wing 消耗</t>
  </si>
  <si>
    <t>SplitWing_demand / SplitWing_from_Wing</t>
  </si>
  <si>
    <t>Wing_final + SplitWing_消耗</t>
  </si>
  <si>
    <t>LEG/BA POOL (互斥竞争)</t>
  </si>
  <si>
    <t>Supply (BA Leg)</t>
  </si>
  <si>
    <t>WOG × Yield_BA</t>
  </si>
  <si>
    <t>整条腿供应</t>
  </si>
  <si>
    <t>Net Need BA</t>
  </si>
  <si>
    <t>BA 整条腿订单</t>
  </si>
  <si>
    <t>Net Need Thigh</t>
  </si>
  <si>
    <t>Net Need ThighMeat</t>
  </si>
  <si>
    <t>ThighMeat → Thigh 消耗</t>
  </si>
  <si>
    <t>ThighMeat_demand / ThighMeat_from_Thigh</t>
  </si>
  <si>
    <t>Thigh 系总需求</t>
  </si>
  <si>
    <t>Thigh_final + ThighMeat_消耗</t>
  </si>
  <si>
    <t>Thigh 系需要 Leg</t>
  </si>
  <si>
    <t>Thigh_demand / Thigh_from_BA</t>
  </si>
  <si>
    <t>换算成整腿</t>
  </si>
  <si>
    <t>Net Need Drum</t>
  </si>
  <si>
    <t>Drum + DRUM (alias)</t>
  </si>
  <si>
    <t>Drum 需要 Leg</t>
  </si>
  <si>
    <t>Drum_demand / Drum_from_BA</t>
  </si>
  <si>
    <t>分解消耗 Leg (瓶颈)</t>
  </si>
  <si>
    <t>MAX(Thigh_leg, Drum_leg)</t>
  </si>
  <si>
    <t>取较大值</t>
  </si>
  <si>
    <t>剩余可做 BA</t>
  </si>
  <si>
    <t>Supply - 分解消耗</t>
  </si>
  <si>
    <t>BA Gap</t>
  </si>
  <si>
    <t>剩余 - BA_demand</t>
  </si>
  <si>
    <t>正=Leftover</t>
  </si>
  <si>
    <t>Thigh 可用</t>
  </si>
  <si>
    <t>分解 Leg × Thigh_from_BA</t>
  </si>
  <si>
    <t>Thigh Gap</t>
  </si>
  <si>
    <t>Thigh_可用 - Thigh_需求</t>
  </si>
  <si>
    <t>Drum 可用</t>
  </si>
  <si>
    <t>分解 Leg × Drum_from_BA</t>
  </si>
  <si>
    <t>Drum Gap</t>
  </si>
  <si>
    <t>Drum_可用 - Drum_需求</t>
  </si>
  <si>
    <t>═══ SUMMARY: SHORT / LEFTOVER ═══</t>
  </si>
  <si>
    <t>Pool / Product</t>
  </si>
  <si>
    <t>Gap (kg)</t>
  </si>
  <si>
    <t>Breast Pool</t>
  </si>
  <si>
    <t>Wing Pool</t>
  </si>
  <si>
    <t>注：绿色背景 = LEFTOVER（供应剩余），红色背景 = SHORT（供应不足）</t>
  </si>
  <si>
    <t>═══ 快速参考 ═══</t>
  </si>
  <si>
    <t>cages</t>
  </si>
  <si>
    <t>WOG Total</t>
  </si>
  <si>
    <t>kg</t>
  </si>
  <si>
    <t>Total Demand</t>
  </si>
  <si>
    <t>瓶颈产品</t>
  </si>
  <si>
    <t>Planned</t>
  </si>
  <si>
    <t>Require</t>
  </si>
  <si>
    <t>Produced</t>
  </si>
  <si>
    <t>Diff</t>
  </si>
  <si>
    <t>Net WT</t>
  </si>
  <si>
    <t>Gross WT</t>
  </si>
  <si>
    <t>% Tare</t>
  </si>
  <si>
    <t>Under</t>
  </si>
  <si>
    <t>Over</t>
  </si>
  <si>
    <t>At Time</t>
  </si>
  <si>
    <t>Monday_WIP_kg</t>
  </si>
  <si>
    <t>Tuesday_WIP_kg</t>
  </si>
  <si>
    <t>Wednesday_WIP_kg</t>
  </si>
  <si>
    <t>Thursday_WIP_kg</t>
  </si>
  <si>
    <t>Friday_WIP_kg</t>
  </si>
  <si>
    <t>Saturday_WIP_kg</t>
  </si>
  <si>
    <t>Sunday_WIP_kg</t>
  </si>
  <si>
    <t>Monday_STD</t>
  </si>
  <si>
    <t>Tuesday_STD</t>
  </si>
  <si>
    <t>Wednesday_STD</t>
  </si>
  <si>
    <t>Thursday_STD</t>
  </si>
  <si>
    <t>Friday_STD</t>
  </si>
  <si>
    <t>Saturday_STD</t>
  </si>
  <si>
    <t>Sunday_STD</t>
  </si>
  <si>
    <t>Total_STD</t>
  </si>
  <si>
    <t>Mon_Cases</t>
  </si>
  <si>
    <t>Tuesday_Cases</t>
  </si>
  <si>
    <t>Wednesday_Cases</t>
  </si>
  <si>
    <t>Thursday_Cases</t>
  </si>
  <si>
    <t>Friday_Cases</t>
  </si>
  <si>
    <t>Saturday_Cases</t>
  </si>
  <si>
    <t>Sunday_Cases</t>
  </si>
  <si>
    <t>Total_Cases</t>
  </si>
  <si>
    <t>Monday</t>
  </si>
  <si>
    <t>Tuesday</t>
  </si>
  <si>
    <t>Wednesday</t>
  </si>
  <si>
    <t>Thursday</t>
  </si>
  <si>
    <t>Friday</t>
  </si>
  <si>
    <t>Saturday</t>
  </si>
  <si>
    <t>Sunday</t>
  </si>
  <si>
    <t xml:space="preserve">Order </t>
  </si>
  <si>
    <t>Extra</t>
  </si>
  <si>
    <t>Parameter</t>
  </si>
  <si>
    <t>Unit</t>
  </si>
  <si>
    <t>Note</t>
  </si>
  <si>
    <t>Cap per shift</t>
  </si>
  <si>
    <t>硬上限，不可超</t>
  </si>
  <si>
    <t>Shifts (weekday)</t>
  </si>
  <si>
    <t>shifts</t>
  </si>
  <si>
    <t>Mon-Fri</t>
  </si>
  <si>
    <t>Hours per shift</t>
  </si>
  <si>
    <t>hours</t>
  </si>
  <si>
    <t>含 break</t>
  </si>
  <si>
    <t>Saturday shifts</t>
  </si>
  <si>
    <t>可调: 0/1/2</t>
  </si>
  <si>
    <t>Efficiency factor</t>
  </si>
  <si>
    <t>效率系数</t>
  </si>
  <si>
    <t>days</t>
  </si>
  <si>
    <t>最多提前天数</t>
  </si>
  <si>
    <t>WEEKLY CAPACITY PLAN (周容量规划)</t>
  </si>
  <si>
    <t>周容量分析 (Mon-Fri)</t>
  </si>
  <si>
    <t>MH</t>
  </si>
  <si>
    <t>来自 15_5Day_Forecast</t>
  </si>
  <si>
    <t>原始 *Efficiency Factor</t>
  </si>
  <si>
    <t>Max Available MH (Mon-Fri)</t>
  </si>
  <si>
    <t>产能充足度</t>
  </si>
  <si>
    <t>系数</t>
  </si>
  <si>
    <t>&gt;1 = 充足，&lt;1 = 不足</t>
  </si>
  <si>
    <t>日均分析 (均分 Mon-Fri)</t>
  </si>
  <si>
    <t>日均 MH 需求（调整后）</t>
  </si>
  <si>
    <t>MH/day</t>
  </si>
  <si>
    <t>日均可用人力（实际）</t>
  </si>
  <si>
    <t>people/day</t>
  </si>
  <si>
    <t>日均所需人力（换算）</t>
  </si>
  <si>
    <t>日均MH / 小时/班</t>
  </si>
  <si>
    <t>人力充足度</t>
  </si>
  <si>
    <t>&gt;1 = 充足，&lt;1 = 短缺</t>
  </si>
  <si>
    <t>Mon-Fri 是否够产？</t>
  </si>
  <si>
    <t>YES=不需 Sat OT，NO=需要</t>
  </si>
  <si>
    <t>Sat原需求 -Prebuild贡献</t>
  </si>
  <si>
    <t>Sat需补MH / (人数 * 小时)</t>
  </si>
  <si>
    <t>people</t>
  </si>
  <si>
    <t>Sat需补MH /小时/班</t>
  </si>
  <si>
    <t>Day</t>
  </si>
  <si>
    <t>Wed</t>
  </si>
  <si>
    <t>Thu</t>
  </si>
  <si>
    <t>Fri</t>
  </si>
  <si>
    <t>【参考】逐日明细 (Mon-Sun 原始需求)</t>
  </si>
  <si>
    <t>Total Cases</t>
  </si>
  <si>
    <t>Total WIP_kg</t>
  </si>
  <si>
    <t>Total MH</t>
  </si>
  <si>
    <t>People/day</t>
  </si>
  <si>
    <t>People/shift</t>
  </si>
  <si>
    <t>Mon</t>
  </si>
  <si>
    <t>Tue</t>
  </si>
  <si>
    <t>Sat</t>
  </si>
  <si>
    <t>Sun</t>
  </si>
  <si>
    <t>TOTAL</t>
  </si>
  <si>
    <t>Weekday (Mon-Fri)</t>
  </si>
  <si>
    <t>Weekend (Sat+Sun)</t>
  </si>
  <si>
    <t>Mon-Fri 总 MH（原始需求MH）</t>
  </si>
  <si>
    <t>Mon-Fri 总 MH（调整后,Efficiency factor）</t>
  </si>
  <si>
    <t>Sun OT 决策</t>
  </si>
  <si>
    <t>Sun 需补 MH（最终）</t>
  </si>
  <si>
    <t>Sun 所需班数（1班制）</t>
  </si>
  <si>
    <t>Sun 所需人数（1班制）</t>
  </si>
  <si>
    <t>Daily Req</t>
  </si>
  <si>
    <t>Weekly MH</t>
  </si>
  <si>
    <t>% of Total</t>
  </si>
  <si>
    <t>Top SKU 1</t>
  </si>
  <si>
    <t>Top SKU 2</t>
  </si>
  <si>
    <t>Top SKU 3</t>
  </si>
  <si>
    <t>Daily left for week</t>
  </si>
  <si>
    <t>7830 (411)</t>
  </si>
  <si>
    <t>7860 (293)</t>
  </si>
  <si>
    <t>201854 (248)</t>
  </si>
  <si>
    <t>7826 (216)</t>
  </si>
  <si>
    <t>7831 (175)</t>
  </si>
  <si>
    <t>7852 (123)</t>
  </si>
  <si>
    <t>201851 (289)</t>
  </si>
  <si>
    <t>7853 (131)</t>
  </si>
  <si>
    <t>1877 (131)</t>
  </si>
  <si>
    <t>201853 (703)</t>
  </si>
  <si>
    <t>2069 (68)</t>
  </si>
  <si>
    <t>2066 (19)</t>
  </si>
  <si>
    <t>7825 (218)</t>
  </si>
  <si>
    <t>2510 (155)</t>
  </si>
  <si>
    <t>7855 (129)</t>
  </si>
  <si>
    <t>7854 (82)</t>
  </si>
  <si>
    <t>1876 (60)</t>
  </si>
  <si>
    <t>7824 (59)</t>
  </si>
  <si>
    <t>7833 (118)</t>
  </si>
  <si>
    <t>2078 (38)</t>
  </si>
  <si>
    <t>200704 (36)</t>
  </si>
  <si>
    <t>200168 (82)</t>
  </si>
  <si>
    <t>2064 (63)</t>
  </si>
  <si>
    <t>331 (13)</t>
  </si>
  <si>
    <t>7829 (49)</t>
  </si>
  <si>
    <t>7859 (18)</t>
  </si>
  <si>
    <t>484 (32)</t>
  </si>
  <si>
    <t>1023 (6)</t>
  </si>
  <si>
    <t>2047 (33)</t>
  </si>
  <si>
    <t>784 (230)</t>
  </si>
  <si>
    <t>2046 (87)</t>
  </si>
  <si>
    <t>2074 (82)</t>
  </si>
  <si>
    <t>200706 (36)</t>
  </si>
  <si>
    <t>2085 (29)</t>
  </si>
  <si>
    <t>7827 (29)</t>
  </si>
  <si>
    <t>2506 (49)</t>
  </si>
  <si>
    <t>2509 (42)</t>
  </si>
  <si>
    <t>最后更新: 2026/1/6 17:01:57</t>
  </si>
  <si>
    <t>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</si>
</sst>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"/>
    <numFmt numFmtId="165" formatCode="0.0%"/>
    <numFmt numFmtId="166" formatCode="[$-F400]h:mm:ss\ AM/PM"/>
    <numFmt numFmtId="167" formatCode="0_);[Red]\(0\)"/>
    <numFmt numFmtId="168" formatCode="0;\-0;;@"/>
    <numFmt numFmtId="169" formatCode="_(* #,##0_);_(* \(#,##0\);_(* &quot;-&quot;??_);_(@_)"/>
    <numFmt numFmtId="170" formatCode="0.000"/>
  </numFmts>
  <fonts count="4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3"/>
      <scheme val="minor"/>
    </font>
    <font>
      <sz val="10"/>
      <color theme="1"/>
      <name val="Calibri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mbria"/>
      <family val="2"/>
      <scheme val="maj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FFFF"/>
      <name val="Calibri"/>
      <family val="2"/>
    </font>
    <font>
      <sz val="10"/>
      <color rgb="FF000000"/>
      <name val="Calibri"/>
      <family val="2"/>
    </font>
    <font>
      <sz val="11"/>
      <color rgb="FF343A40"/>
      <name val="Calibri"/>
      <family val="2"/>
    </font>
    <font>
      <b/>
      <sz val="12"/>
      <name val="Calibri"/>
    </font>
    <font>
      <b/>
      <sz val="11"/>
      <color rgb="FF1F1F1F"/>
      <name val="Calibri"/>
    </font>
    <font>
      <sz val="11"/>
      <color rgb="FF1F1F1F"/>
      <name val="Calibri"/>
      <family val="2"/>
    </font>
    <font>
      <b/>
      <sz val="11"/>
      <color rgb="FF1F1F1F"/>
      <name val="Calibri"/>
      <family val="2"/>
    </font>
    <font>
      <b/>
      <sz val="11"/>
      <name val="Calibri"/>
      <family val="2"/>
    </font>
    <font>
      <b/>
      <sz val="11"/>
      <name val="Calibri"/>
    </font>
    <font>
      <b/>
      <sz val="11"/>
      <color rgb="FF000000"/>
      <name val="Calibri"/>
    </font>
    <font>
      <sz val="10"/>
      <color rgb="FF000000"/>
      <name val="Calibri"/>
    </font>
    <font>
      <b/>
      <sz val="10"/>
      <name val="Calibri"/>
    </font>
    <font>
      <sz val="11"/>
      <color rgb="FF000000"/>
      <name val="Calibri"/>
      <family val="2"/>
    </font>
    <font>
      <i/>
      <sz val="10"/>
      <color rgb="FF7F7F7F"/>
      <name val="Calibri"/>
      <family val="2"/>
    </font>
    <font>
      <sz val="10"/>
      <color rgb="FF1F1F1F"/>
      <name val="Calibri"/>
      <family val="2"/>
    </font>
    <font>
      <b/>
      <sz val="10"/>
      <color rgb="FF1F1F1F"/>
      <name val="Calibri"/>
      <family val="2"/>
    </font>
    <font>
      <b/>
      <sz val="9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  <font>
      <b/>
      <sz val="14"/>
      <name val="Calibri"/>
    </font>
    <font>
      <i/>
      <sz val="10"/>
      <name val="Calibri"/>
    </font>
    <font>
      <b/>
      <sz val="11"/>
      <name val="Calibri"/>
    </font>
    <font>
      <b/>
      <sz val="11"/>
      <name val="Calibri"/>
    </font>
    <font>
      <b/>
      <sz val="10"/>
      <color theme="1"/>
      <name val="Calibri"/>
      <family val="2"/>
    </font>
    <font>
      <sz val="11"/>
      <name val="Calibri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0"/>
      <color rgb="FF000000"/>
      <name val="Calibri"/>
      <family val="2"/>
    </font>
  </fonts>
  <fills count="3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43A40"/>
        <bgColor rgb="FF343A40"/>
      </patternFill>
    </fill>
    <fill>
      <patternFill patternType="solid">
        <fgColor rgb="FFADB5BD"/>
        <bgColor rgb="FFADB5BD"/>
      </patternFill>
    </fill>
    <fill>
      <patternFill patternType="solid">
        <fgColor rgb="FFE9ECEF"/>
        <bgColor rgb="FFE9ECEF"/>
      </patternFill>
    </fill>
    <fill>
      <patternFill patternType="solid">
        <fgColor rgb="FFF8F9FA"/>
        <bgColor rgb="FFF8F9FA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3F4F6"/>
      </patternFill>
    </fill>
    <fill>
      <patternFill patternType="solid">
        <fgColor rgb="FFD9E1F2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D9E1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  <bgColor rgb="FFADB5BD"/>
      </patternFill>
    </fill>
    <fill>
      <patternFill patternType="solid">
        <fgColor rgb="FFFFF2CC"/>
        <bgColor rgb="FFF8F9FA"/>
      </patternFill>
    </fill>
    <fill>
      <patternFill patternType="solid">
        <fgColor rgb="FFFFF2CC"/>
        <bgColor rgb="FFE9ECEF"/>
      </patternFill>
    </fill>
    <fill>
      <patternFill patternType="solid">
        <fgColor rgb="FFE2EFDA"/>
        <bgColor rgb="FFFFF2CC"/>
      </patternFill>
    </fill>
    <fill>
      <patternFill patternType="solid">
        <fgColor rgb="FFE2EFDA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CED4DA"/>
      </left>
      <right style="thin">
        <color rgb="FFCED4DA"/>
      </right>
      <top style="thin">
        <color rgb="FFCED4DA"/>
      </top>
      <bottom style="thin">
        <color rgb="FFCED4DA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 style="thin">
        <color rgb="FFCED4DA"/>
      </right>
      <top style="thin">
        <color rgb="FFCED4DA"/>
      </top>
      <bottom style="thin">
        <color rgb="FFCED4DA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1" fillId="0" borderId="0"/>
  </cellStyleXfs>
  <cellXfs count="325">
    <xf numFmtId="0" fontId="0" fillId="0" borderId="0" xfId="0"/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/>
    <xf numFmtId="15" fontId="4" fillId="0" borderId="0" xfId="0" applyNumberFormat="1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4" fontId="1" fillId="0" borderId="0" xfId="0" applyNumberFormat="1" applyFont="1"/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2" fontId="13" fillId="0" borderId="0" xfId="0" applyNumberFormat="1" applyFont="1" applyAlignment="1">
      <alignment horizontal="left"/>
    </xf>
    <xf numFmtId="9" fontId="1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166" fontId="1" fillId="0" borderId="0" xfId="0" applyNumberFormat="1" applyFont="1"/>
    <xf numFmtId="0" fontId="3" fillId="0" borderId="1" xfId="0" applyFont="1" applyBorder="1" applyAlignment="1">
      <alignment horizontal="center"/>
    </xf>
    <xf numFmtId="1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1" fillId="5" borderId="9" xfId="0" applyFont="1" applyFill="1" applyBorder="1" applyAlignment="1">
      <alignment horizontal="left" vertical="center"/>
    </xf>
    <xf numFmtId="0" fontId="0" fillId="0" borderId="5" xfId="0" applyBorder="1"/>
    <xf numFmtId="0" fontId="5" fillId="0" borderId="6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" fontId="10" fillId="0" borderId="6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9" borderId="0" xfId="0" applyFill="1"/>
    <xf numFmtId="0" fontId="23" fillId="8" borderId="0" xfId="0" applyFont="1" applyFill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0" fontId="23" fillId="8" borderId="4" xfId="0" applyFont="1" applyFill="1" applyBorder="1" applyAlignment="1">
      <alignment horizontal="center" vertical="center" wrapText="1"/>
    </xf>
    <xf numFmtId="2" fontId="23" fillId="8" borderId="1" xfId="0" applyNumberFormat="1" applyFont="1" applyFill="1" applyBorder="1" applyAlignment="1">
      <alignment horizontal="center" vertical="center" wrapText="1"/>
    </xf>
    <xf numFmtId="0" fontId="23" fillId="8" borderId="2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9" borderId="4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left" vertical="center"/>
    </xf>
    <xf numFmtId="2" fontId="10" fillId="9" borderId="1" xfId="0" applyNumberFormat="1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/>
    </xf>
    <xf numFmtId="1" fontId="10" fillId="9" borderId="1" xfId="0" applyNumberFormat="1" applyFont="1" applyFill="1" applyBorder="1" applyAlignment="1">
      <alignment horizontal="center" vertical="center"/>
    </xf>
    <xf numFmtId="1" fontId="10" fillId="9" borderId="1" xfId="0" applyNumberFormat="1" applyFont="1" applyFill="1" applyBorder="1" applyAlignment="1">
      <alignment horizontal="center"/>
    </xf>
    <xf numFmtId="2" fontId="10" fillId="9" borderId="1" xfId="0" applyNumberFormat="1" applyFont="1" applyFill="1" applyBorder="1" applyAlignment="1">
      <alignment horizontal="center"/>
    </xf>
    <xf numFmtId="0" fontId="10" fillId="9" borderId="4" xfId="0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10" fillId="9" borderId="5" xfId="0" applyFont="1" applyFill="1" applyBorder="1" applyAlignment="1">
      <alignment horizontal="center" vertical="center"/>
    </xf>
    <xf numFmtId="0" fontId="10" fillId="9" borderId="5" xfId="0" applyFont="1" applyFill="1" applyBorder="1" applyAlignment="1">
      <alignment horizontal="left" vertical="center"/>
    </xf>
    <xf numFmtId="1" fontId="10" fillId="9" borderId="5" xfId="0" applyNumberFormat="1" applyFont="1" applyFill="1" applyBorder="1" applyAlignment="1">
      <alignment horizontal="center" vertical="center"/>
    </xf>
    <xf numFmtId="2" fontId="10" fillId="9" borderId="5" xfId="0" applyNumberFormat="1" applyFont="1" applyFill="1" applyBorder="1" applyAlignment="1">
      <alignment horizontal="center" vertical="center"/>
    </xf>
    <xf numFmtId="2" fontId="10" fillId="9" borderId="2" xfId="0" applyNumberFormat="1" applyFont="1" applyFill="1" applyBorder="1" applyAlignment="1">
      <alignment horizontal="center" vertical="center"/>
    </xf>
    <xf numFmtId="0" fontId="10" fillId="9" borderId="1" xfId="0" applyFont="1" applyFill="1" applyBorder="1"/>
    <xf numFmtId="0" fontId="10" fillId="9" borderId="1" xfId="0" applyFont="1" applyFill="1" applyBorder="1" applyAlignment="1">
      <alignment horizontal="left"/>
    </xf>
    <xf numFmtId="1" fontId="10" fillId="9" borderId="1" xfId="0" applyNumberFormat="1" applyFont="1" applyFill="1" applyBorder="1"/>
    <xf numFmtId="2" fontId="10" fillId="9" borderId="1" xfId="0" applyNumberFormat="1" applyFont="1" applyFill="1" applyBorder="1"/>
    <xf numFmtId="0" fontId="13" fillId="9" borderId="1" xfId="0" applyFont="1" applyFill="1" applyBorder="1" applyAlignment="1">
      <alignment horizontal="left"/>
    </xf>
    <xf numFmtId="0" fontId="10" fillId="9" borderId="2" xfId="0" applyFont="1" applyFill="1" applyBorder="1" applyAlignment="1">
      <alignment horizontal="center"/>
    </xf>
    <xf numFmtId="0" fontId="1" fillId="9" borderId="1" xfId="0" applyFont="1" applyFill="1" applyBorder="1"/>
    <xf numFmtId="0" fontId="18" fillId="9" borderId="4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left" vertical="center"/>
    </xf>
    <xf numFmtId="168" fontId="10" fillId="9" borderId="1" xfId="0" applyNumberFormat="1" applyFont="1" applyFill="1" applyBorder="1" applyAlignment="1">
      <alignment horizontal="center" vertical="center"/>
    </xf>
    <xf numFmtId="0" fontId="13" fillId="9" borderId="0" xfId="0" applyFont="1" applyFill="1"/>
    <xf numFmtId="0" fontId="10" fillId="9" borderId="7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horizontal="left" vertical="center"/>
    </xf>
    <xf numFmtId="2" fontId="10" fillId="9" borderId="8" xfId="0" applyNumberFormat="1" applyFont="1" applyFill="1" applyBorder="1" applyAlignment="1">
      <alignment horizontal="center" vertical="center"/>
    </xf>
    <xf numFmtId="2" fontId="10" fillId="9" borderId="3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23" fillId="8" borderId="5" xfId="0" applyFont="1" applyFill="1" applyBorder="1" applyAlignment="1">
      <alignment horizontal="center" vertical="center" wrapText="1"/>
    </xf>
    <xf numFmtId="2" fontId="1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4" fontId="1" fillId="9" borderId="0" xfId="0" applyNumberFormat="1" applyFont="1" applyFill="1"/>
    <xf numFmtId="166" fontId="1" fillId="9" borderId="0" xfId="0" applyNumberFormat="1" applyFont="1" applyFill="1"/>
    <xf numFmtId="0" fontId="23" fillId="0" borderId="0" xfId="0" applyFont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left"/>
    </xf>
    <xf numFmtId="0" fontId="25" fillId="8" borderId="1" xfId="0" applyFont="1" applyFill="1" applyBorder="1" applyAlignment="1">
      <alignment horizontal="center" vertical="center" wrapText="1"/>
    </xf>
    <xf numFmtId="15" fontId="25" fillId="8" borderId="5" xfId="0" applyNumberFormat="1" applyFont="1" applyFill="1" applyBorder="1" applyAlignment="1">
      <alignment horizontal="center" vertical="center" wrapText="1"/>
    </xf>
    <xf numFmtId="0" fontId="25" fillId="8" borderId="5" xfId="0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15" fontId="25" fillId="0" borderId="0" xfId="0" applyNumberFormat="1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5" fillId="0" borderId="6" xfId="0" applyNumberFormat="1" applyFont="1" applyBorder="1" applyAlignment="1">
      <alignment horizontal="center" vertical="center"/>
    </xf>
    <xf numFmtId="1" fontId="10" fillId="0" borderId="5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28" fillId="10" borderId="10" xfId="0" applyFont="1" applyFill="1" applyBorder="1" applyAlignment="1">
      <alignment horizontal="center" vertical="center" wrapText="1"/>
    </xf>
    <xf numFmtId="164" fontId="28" fillId="10" borderId="10" xfId="1" applyNumberFormat="1" applyFont="1" applyFill="1" applyBorder="1" applyAlignment="1">
      <alignment horizontal="center" vertical="center" wrapText="1"/>
    </xf>
    <xf numFmtId="0" fontId="29" fillId="11" borderId="10" xfId="0" applyFont="1" applyFill="1" applyBorder="1" applyAlignment="1">
      <alignment horizontal="left" vertical="center" wrapText="1"/>
    </xf>
    <xf numFmtId="3" fontId="29" fillId="9" borderId="10" xfId="0" applyNumberFormat="1" applyFont="1" applyFill="1" applyBorder="1" applyAlignment="1">
      <alignment horizontal="right" vertical="center" wrapText="1"/>
    </xf>
    <xf numFmtId="9" fontId="29" fillId="12" borderId="10" xfId="0" applyNumberFormat="1" applyFont="1" applyFill="1" applyBorder="1" applyAlignment="1">
      <alignment horizontal="right" vertical="center" wrapText="1"/>
    </xf>
    <xf numFmtId="0" fontId="20" fillId="11" borderId="10" xfId="0" applyFont="1" applyFill="1" applyBorder="1" applyAlignment="1">
      <alignment horizontal="left" vertical="center"/>
    </xf>
    <xf numFmtId="0" fontId="30" fillId="11" borderId="10" xfId="0" applyFont="1" applyFill="1" applyBorder="1" applyAlignment="1">
      <alignment horizontal="left" vertical="center" wrapText="1"/>
    </xf>
    <xf numFmtId="3" fontId="30" fillId="12" borderId="10" xfId="0" applyNumberFormat="1" applyFont="1" applyFill="1" applyBorder="1" applyAlignment="1">
      <alignment horizontal="right" vertical="center" wrapText="1"/>
    </xf>
    <xf numFmtId="9" fontId="30" fillId="12" borderId="10" xfId="0" applyNumberFormat="1" applyFont="1" applyFill="1" applyBorder="1" applyAlignment="1">
      <alignment horizontal="right" vertical="center" wrapText="1"/>
    </xf>
    <xf numFmtId="0" fontId="29" fillId="11" borderId="10" xfId="0" applyFont="1" applyFill="1" applyBorder="1" applyAlignment="1">
      <alignment horizontal="left" vertical="center"/>
    </xf>
    <xf numFmtId="0" fontId="20" fillId="0" borderId="9" xfId="0" applyFont="1" applyBorder="1" applyAlignment="1">
      <alignment horizontal="left" vertical="center"/>
    </xf>
    <xf numFmtId="0" fontId="31" fillId="0" borderId="10" xfId="0" applyFont="1" applyBorder="1" applyAlignment="1">
      <alignment vertical="center" wrapText="1"/>
    </xf>
    <xf numFmtId="0" fontId="29" fillId="11" borderId="10" xfId="0" applyFont="1" applyFill="1" applyBorder="1" applyAlignment="1">
      <alignment horizontal="center" vertical="center" wrapText="1"/>
    </xf>
    <xf numFmtId="1" fontId="20" fillId="0" borderId="9" xfId="0" applyNumberFormat="1" applyFont="1" applyBorder="1" applyAlignment="1">
      <alignment horizontal="right" vertical="center"/>
    </xf>
    <xf numFmtId="0" fontId="20" fillId="0" borderId="9" xfId="0" applyFont="1" applyBorder="1" applyAlignment="1">
      <alignment horizontal="right" vertical="center"/>
    </xf>
    <xf numFmtId="0" fontId="31" fillId="6" borderId="9" xfId="0" applyFont="1" applyFill="1" applyBorder="1" applyAlignment="1">
      <alignment horizontal="left" vertical="center"/>
    </xf>
    <xf numFmtId="0" fontId="31" fillId="7" borderId="9" xfId="0" applyFont="1" applyFill="1" applyBorder="1" applyAlignment="1">
      <alignment horizontal="left" vertical="center"/>
    </xf>
    <xf numFmtId="0" fontId="31" fillId="6" borderId="9" xfId="0" applyFont="1" applyFill="1" applyBorder="1" applyAlignment="1">
      <alignment horizontal="right" vertical="center"/>
    </xf>
    <xf numFmtId="0" fontId="21" fillId="5" borderId="9" xfId="0" applyFont="1" applyFill="1" applyBorder="1" applyAlignment="1">
      <alignment horizontal="right" vertical="center"/>
    </xf>
    <xf numFmtId="3" fontId="21" fillId="5" borderId="9" xfId="0" applyNumberFormat="1" applyFont="1" applyFill="1" applyBorder="1" applyAlignment="1">
      <alignment horizontal="right" vertical="center"/>
    </xf>
    <xf numFmtId="0" fontId="3" fillId="0" borderId="5" xfId="0" applyFont="1" applyBorder="1" applyAlignment="1">
      <alignment horizontal="left"/>
    </xf>
    <xf numFmtId="164" fontId="11" fillId="0" borderId="0" xfId="0" applyNumberFormat="1" applyFont="1" applyAlignment="1">
      <alignment horizontal="center" vertic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3" fillId="0" borderId="5" xfId="0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right" vertical="center"/>
    </xf>
    <xf numFmtId="1" fontId="3" fillId="2" borderId="1" xfId="0" applyNumberFormat="1" applyFont="1" applyFill="1" applyBorder="1" applyAlignment="1">
      <alignment horizontal="center" vertical="center"/>
    </xf>
    <xf numFmtId="0" fontId="18" fillId="2" borderId="1" xfId="0" applyFont="1" applyFill="1" applyBorder="1"/>
    <xf numFmtId="0" fontId="18" fillId="2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33" fillId="0" borderId="5" xfId="0" applyFont="1" applyBorder="1" applyAlignment="1">
      <alignment horizontal="left" vertical="center" wrapText="1"/>
    </xf>
    <xf numFmtId="0" fontId="33" fillId="0" borderId="5" xfId="0" applyFont="1" applyBorder="1" applyAlignment="1">
      <alignment horizontal="right" vertical="center" wrapText="1"/>
    </xf>
    <xf numFmtId="2" fontId="33" fillId="0" borderId="5" xfId="0" applyNumberFormat="1" applyFont="1" applyBorder="1" applyAlignment="1">
      <alignment horizontal="right" vertical="center" wrapText="1"/>
    </xf>
    <xf numFmtId="0" fontId="34" fillId="0" borderId="0" xfId="0" applyFont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/>
    </xf>
    <xf numFmtId="4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5" xfId="0" applyFont="1" applyBorder="1"/>
    <xf numFmtId="0" fontId="3" fillId="0" borderId="1" xfId="0" applyFont="1" applyBorder="1"/>
    <xf numFmtId="169" fontId="3" fillId="0" borderId="1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1" fillId="0" borderId="1" xfId="0" applyFont="1" applyBorder="1" applyAlignment="1">
      <alignment horizontal="right"/>
    </xf>
    <xf numFmtId="1" fontId="5" fillId="0" borderId="5" xfId="0" applyNumberFormat="1" applyFont="1" applyBorder="1" applyAlignment="1">
      <alignment horizontal="right" vertical="center"/>
    </xf>
    <xf numFmtId="0" fontId="5" fillId="0" borderId="5" xfId="0" applyFont="1" applyBorder="1" applyAlignment="1">
      <alignment horizontal="right" vertical="center"/>
    </xf>
    <xf numFmtId="164" fontId="5" fillId="0" borderId="5" xfId="0" applyNumberFormat="1" applyFont="1" applyBorder="1" applyAlignment="1">
      <alignment horizontal="right" vertical="center"/>
    </xf>
    <xf numFmtId="1" fontId="0" fillId="0" borderId="5" xfId="0" applyNumberFormat="1" applyBorder="1" applyAlignment="1">
      <alignment horizontal="right"/>
    </xf>
    <xf numFmtId="1" fontId="7" fillId="0" borderId="0" xfId="0" applyNumberFormat="1" applyFont="1" applyAlignment="1">
      <alignment horizontal="right" vertical="center"/>
    </xf>
    <xf numFmtId="15" fontId="4" fillId="0" borderId="0" xfId="0" applyNumberFormat="1" applyFont="1" applyAlignment="1">
      <alignment horizontal="right" vertical="center"/>
    </xf>
    <xf numFmtId="0" fontId="11" fillId="0" borderId="0" xfId="0" applyFont="1" applyAlignment="1">
      <alignment horizontal="right"/>
    </xf>
    <xf numFmtId="0" fontId="37" fillId="14" borderId="0" xfId="0" applyFont="1" applyFill="1"/>
    <xf numFmtId="0" fontId="0" fillId="15" borderId="0" xfId="0" applyFill="1"/>
    <xf numFmtId="0" fontId="0" fillId="16" borderId="0" xfId="0" applyFill="1"/>
    <xf numFmtId="0" fontId="37" fillId="0" borderId="0" xfId="0" applyFont="1"/>
    <xf numFmtId="0" fontId="37" fillId="14" borderId="14" xfId="0" applyFont="1" applyFill="1" applyBorder="1"/>
    <xf numFmtId="0" fontId="0" fillId="0" borderId="14" xfId="0" applyBorder="1"/>
    <xf numFmtId="0" fontId="39" fillId="0" borderId="0" xfId="0" applyFont="1"/>
    <xf numFmtId="0" fontId="0" fillId="0" borderId="0" xfId="0" applyAlignment="1">
      <alignment horizontal="right"/>
    </xf>
    <xf numFmtId="0" fontId="4" fillId="0" borderId="1" xfId="0" applyFont="1" applyBorder="1" applyAlignment="1">
      <alignment horizontal="center" vertical="center"/>
    </xf>
    <xf numFmtId="2" fontId="1" fillId="0" borderId="5" xfId="0" applyNumberFormat="1" applyFont="1" applyBorder="1" applyAlignment="1">
      <alignment horizontal="right" vertical="center"/>
    </xf>
    <xf numFmtId="0" fontId="40" fillId="0" borderId="0" xfId="0" applyFont="1"/>
    <xf numFmtId="0" fontId="41" fillId="0" borderId="0" xfId="0" applyFont="1"/>
    <xf numFmtId="0" fontId="42" fillId="17" borderId="15" xfId="0" applyFont="1" applyFill="1" applyBorder="1" applyAlignment="1">
      <alignment horizontal="center" vertical="center"/>
    </xf>
    <xf numFmtId="0" fontId="0" fillId="0" borderId="15" xfId="0" applyBorder="1"/>
    <xf numFmtId="0" fontId="43" fillId="0" borderId="0" xfId="0" applyFont="1"/>
    <xf numFmtId="0" fontId="23" fillId="8" borderId="15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170" fontId="0" fillId="16" borderId="0" xfId="0" applyNumberFormat="1" applyFill="1"/>
    <xf numFmtId="1" fontId="0" fillId="16" borderId="0" xfId="0" applyNumberFormat="1" applyFill="1"/>
    <xf numFmtId="1" fontId="0" fillId="0" borderId="0" xfId="0" applyNumberFormat="1"/>
    <xf numFmtId="1" fontId="0" fillId="0" borderId="14" xfId="0" applyNumberFormat="1" applyBorder="1"/>
    <xf numFmtId="1" fontId="37" fillId="16" borderId="0" xfId="0" applyNumberFormat="1" applyFont="1" applyFill="1"/>
    <xf numFmtId="1" fontId="0" fillId="0" borderId="15" xfId="0" applyNumberFormat="1" applyBorder="1"/>
    <xf numFmtId="1" fontId="43" fillId="0" borderId="15" xfId="0" applyNumberFormat="1" applyFont="1" applyBorder="1"/>
    <xf numFmtId="0" fontId="25" fillId="8" borderId="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1" fontId="3" fillId="0" borderId="15" xfId="0" applyNumberFormat="1" applyFont="1" applyBorder="1" applyAlignment="1">
      <alignment horizontal="center" vertical="center"/>
    </xf>
    <xf numFmtId="1" fontId="1" fillId="0" borderId="15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left"/>
    </xf>
    <xf numFmtId="0" fontId="1" fillId="0" borderId="15" xfId="0" applyFont="1" applyBorder="1" applyAlignment="1">
      <alignment horizontal="center" vertical="center"/>
    </xf>
    <xf numFmtId="164" fontId="1" fillId="0" borderId="1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5" fillId="8" borderId="15" xfId="0" applyFont="1" applyFill="1" applyBorder="1" applyAlignment="1">
      <alignment horizontal="center" vertical="center" textRotation="163" wrapText="1"/>
    </xf>
    <xf numFmtId="0" fontId="25" fillId="8" borderId="1" xfId="0" applyFont="1" applyFill="1" applyBorder="1" applyAlignment="1">
      <alignment horizontal="center" vertical="center" textRotation="163" wrapText="1"/>
    </xf>
    <xf numFmtId="0" fontId="44" fillId="0" borderId="1" xfId="0" applyFont="1" applyBorder="1" applyAlignment="1">
      <alignment horizontal="center" textRotation="163" wrapText="1"/>
    </xf>
    <xf numFmtId="0" fontId="11" fillId="0" borderId="0" xfId="0" applyFont="1" applyAlignment="1">
      <alignment horizontal="center" textRotation="163" wrapText="1"/>
    </xf>
    <xf numFmtId="0" fontId="0" fillId="20" borderId="0" xfId="0" applyFill="1"/>
    <xf numFmtId="0" fontId="45" fillId="20" borderId="17" xfId="0" applyFont="1" applyFill="1" applyBorder="1" applyAlignment="1">
      <alignment horizontal="left" vertical="center"/>
    </xf>
    <xf numFmtId="3" fontId="45" fillId="20" borderId="17" xfId="0" applyNumberFormat="1" applyFont="1" applyFill="1" applyBorder="1" applyAlignment="1">
      <alignment horizontal="left" vertical="center"/>
    </xf>
    <xf numFmtId="1" fontId="45" fillId="20" borderId="17" xfId="0" applyNumberFormat="1" applyFont="1" applyFill="1" applyBorder="1" applyAlignment="1">
      <alignment horizontal="left" vertical="center"/>
    </xf>
    <xf numFmtId="0" fontId="13" fillId="0" borderId="0" xfId="0" applyFont="1"/>
    <xf numFmtId="0" fontId="22" fillId="0" borderId="0" xfId="0" applyFont="1"/>
    <xf numFmtId="0" fontId="27" fillId="18" borderId="16" xfId="0" applyFont="1" applyFill="1" applyBorder="1" applyAlignment="1">
      <alignment horizontal="center" vertical="center"/>
    </xf>
    <xf numFmtId="0" fontId="13" fillId="0" borderId="16" xfId="0" applyFont="1" applyBorder="1"/>
    <xf numFmtId="0" fontId="13" fillId="20" borderId="0" xfId="0" applyFont="1" applyFill="1"/>
    <xf numFmtId="0" fontId="27" fillId="21" borderId="17" xfId="0" applyFont="1" applyFill="1" applyBorder="1" applyAlignment="1">
      <alignment horizontal="center" vertical="center" wrapText="1"/>
    </xf>
    <xf numFmtId="164" fontId="13" fillId="20" borderId="17" xfId="0" applyNumberFormat="1" applyFont="1" applyFill="1" applyBorder="1" applyAlignment="1">
      <alignment horizontal="center" vertical="center"/>
    </xf>
    <xf numFmtId="4" fontId="27" fillId="21" borderId="17" xfId="0" applyNumberFormat="1" applyFont="1" applyFill="1" applyBorder="1" applyAlignment="1">
      <alignment horizontal="center" vertical="center" wrapText="1"/>
    </xf>
    <xf numFmtId="0" fontId="13" fillId="20" borderId="18" xfId="0" applyFont="1" applyFill="1" applyBorder="1"/>
    <xf numFmtId="0" fontId="13" fillId="20" borderId="17" xfId="0" applyFont="1" applyFill="1" applyBorder="1"/>
    <xf numFmtId="4" fontId="13" fillId="20" borderId="17" xfId="0" applyNumberFormat="1" applyFont="1" applyFill="1" applyBorder="1"/>
    <xf numFmtId="0" fontId="27" fillId="20" borderId="17" xfId="0" applyFont="1" applyFill="1" applyBorder="1" applyAlignment="1">
      <alignment horizontal="center" vertical="center"/>
    </xf>
    <xf numFmtId="1" fontId="13" fillId="2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Border="1" applyAlignment="1">
      <alignment horizontal="center" vertical="center"/>
    </xf>
    <xf numFmtId="1" fontId="27" fillId="20" borderId="17" xfId="0" applyNumberFormat="1" applyFont="1" applyFill="1" applyBorder="1" applyAlignment="1">
      <alignment horizontal="center" vertical="center"/>
    </xf>
    <xf numFmtId="164" fontId="46" fillId="20" borderId="17" xfId="0" applyNumberFormat="1" applyFont="1" applyFill="1" applyBorder="1" applyAlignment="1">
      <alignment horizontal="center" vertical="center"/>
    </xf>
    <xf numFmtId="0" fontId="47" fillId="0" borderId="16" xfId="0" applyFont="1" applyBorder="1"/>
    <xf numFmtId="4" fontId="13" fillId="20" borderId="18" xfId="0" applyNumberFormat="1" applyFont="1" applyFill="1" applyBorder="1"/>
    <xf numFmtId="0" fontId="26" fillId="21" borderId="17" xfId="0" applyFont="1" applyFill="1" applyBorder="1" applyAlignment="1">
      <alignment horizontal="center" vertical="center" wrapText="1"/>
    </xf>
    <xf numFmtId="0" fontId="8" fillId="20" borderId="17" xfId="0" applyFont="1" applyFill="1" applyBorder="1" applyAlignment="1">
      <alignment horizontal="left" vertical="center"/>
    </xf>
    <xf numFmtId="0" fontId="46" fillId="20" borderId="17" xfId="0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25" fillId="8" borderId="15" xfId="0" applyFont="1" applyFill="1" applyBorder="1" applyAlignment="1">
      <alignment horizontal="center" vertical="top" textRotation="163" wrapText="1"/>
    </xf>
    <xf numFmtId="0" fontId="25" fillId="8" borderId="0" xfId="0" applyFont="1" applyFill="1" applyAlignment="1">
      <alignment horizontal="center" vertical="top" textRotation="163" wrapText="1"/>
    </xf>
    <xf numFmtId="0" fontId="25" fillId="8" borderId="1" xfId="0" applyFont="1" applyFill="1" applyBorder="1" applyAlignment="1">
      <alignment horizontal="center" vertical="top" textRotation="163" wrapText="1"/>
    </xf>
    <xf numFmtId="0" fontId="46" fillId="20" borderId="0" xfId="0" applyFont="1" applyFill="1" applyAlignment="1">
      <alignment vertical="center"/>
    </xf>
    <xf numFmtId="2" fontId="47" fillId="19" borderId="16" xfId="0" applyNumberFormat="1" applyFont="1" applyFill="1" applyBorder="1" applyAlignment="1">
      <alignment horizontal="left" vertical="center"/>
    </xf>
    <xf numFmtId="0" fontId="0" fillId="22" borderId="0" xfId="0" applyFill="1"/>
    <xf numFmtId="10" fontId="0" fillId="0" borderId="0" xfId="0" applyNumberFormat="1"/>
    <xf numFmtId="0" fontId="11" fillId="8" borderId="17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center" vertical="center" wrapText="1"/>
    </xf>
    <xf numFmtId="0" fontId="17" fillId="8" borderId="17" xfId="0" applyFont="1" applyFill="1" applyBorder="1" applyAlignment="1">
      <alignment horizontal="right" vertical="center" wrapText="1"/>
    </xf>
    <xf numFmtId="167" fontId="24" fillId="0" borderId="17" xfId="0" applyNumberFormat="1" applyFont="1" applyBorder="1" applyAlignment="1">
      <alignment horizontal="center" vertical="center" wrapText="1"/>
    </xf>
    <xf numFmtId="1" fontId="23" fillId="0" borderId="17" xfId="0" applyNumberFormat="1" applyFont="1" applyBorder="1" applyAlignment="1">
      <alignment horizontal="center" vertical="center" wrapText="1"/>
    </xf>
    <xf numFmtId="0" fontId="24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horizontal="left" vertical="center" wrapText="1"/>
    </xf>
    <xf numFmtId="4" fontId="24" fillId="0" borderId="17" xfId="0" applyNumberFormat="1" applyFont="1" applyBorder="1" applyAlignment="1">
      <alignment horizontal="right" vertical="center" wrapText="1"/>
    </xf>
    <xf numFmtId="167" fontId="5" fillId="0" borderId="17" xfId="0" applyNumberFormat="1" applyFont="1" applyBorder="1" applyAlignment="1">
      <alignment horizontal="center" vertical="center"/>
    </xf>
    <xf numFmtId="0" fontId="0" fillId="9" borderId="17" xfId="0" applyFill="1" applyBorder="1"/>
    <xf numFmtId="1" fontId="5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>
      <alignment horizontal="center"/>
    </xf>
    <xf numFmtId="0" fontId="0" fillId="0" borderId="17" xfId="0" applyBorder="1" applyAlignment="1">
      <alignment horizontal="left"/>
    </xf>
    <xf numFmtId="4" fontId="0" fillId="0" borderId="17" xfId="0" applyNumberFormat="1" applyBorder="1" applyAlignment="1">
      <alignment horizontal="right"/>
    </xf>
    <xf numFmtId="0" fontId="28" fillId="0" borderId="0" xfId="0" applyFont="1" applyAlignment="1">
      <alignment horizontal="center" vertical="center" wrapText="1"/>
    </xf>
    <xf numFmtId="0" fontId="29" fillId="0" borderId="0" xfId="0" applyFont="1" applyAlignment="1">
      <alignment horizontal="left" vertical="center" wrapText="1"/>
    </xf>
    <xf numFmtId="0" fontId="1" fillId="9" borderId="17" xfId="0" applyFont="1" applyFill="1" applyBorder="1" applyAlignment="1">
      <alignment horizontal="center"/>
    </xf>
    <xf numFmtId="0" fontId="27" fillId="14" borderId="17" xfId="0" applyFont="1" applyFill="1" applyBorder="1"/>
    <xf numFmtId="0" fontId="37" fillId="14" borderId="17" xfId="0" applyFont="1" applyFill="1" applyBorder="1"/>
    <xf numFmtId="0" fontId="0" fillId="0" borderId="17" xfId="0" applyBorder="1"/>
    <xf numFmtId="1" fontId="0" fillId="0" borderId="17" xfId="0" applyNumberFormat="1" applyBorder="1"/>
    <xf numFmtId="1" fontId="0" fillId="16" borderId="17" xfId="0" applyNumberFormat="1" applyFill="1" applyBorder="1"/>
    <xf numFmtId="0" fontId="37" fillId="0" borderId="17" xfId="0" applyFont="1" applyBorder="1"/>
    <xf numFmtId="1" fontId="37" fillId="16" borderId="17" xfId="0" applyNumberFormat="1" applyFont="1" applyFill="1" applyBorder="1"/>
    <xf numFmtId="1" fontId="0" fillId="0" borderId="17" xfId="0" applyNumberFormat="1" applyBorder="1" applyAlignment="1">
      <alignment horizontal="right"/>
    </xf>
    <xf numFmtId="1" fontId="13" fillId="21" borderId="17" xfId="0" applyNumberFormat="1" applyFont="1" applyFill="1" applyBorder="1" applyAlignment="1">
      <alignment horizontal="center" vertical="center"/>
    </xf>
    <xf numFmtId="3" fontId="24" fillId="0" borderId="17" xfId="0" applyNumberFormat="1" applyFont="1" applyBorder="1" applyAlignment="1">
      <alignment horizontal="righ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17" xfId="0" applyFont="1" applyBorder="1" applyAlignment="1">
      <alignment horizontal="right" vertical="center" wrapText="1"/>
    </xf>
    <xf numFmtId="0" fontId="33" fillId="0" borderId="17" xfId="0" applyFont="1" applyBorder="1" applyAlignment="1">
      <alignment horizontal="left" vertical="center" wrapText="1"/>
    </xf>
    <xf numFmtId="1" fontId="33" fillId="0" borderId="17" xfId="0" applyNumberFormat="1" applyFont="1" applyBorder="1" applyAlignment="1">
      <alignment horizontal="right" vertical="center" wrapText="1"/>
    </xf>
    <xf numFmtId="170" fontId="33" fillId="0" borderId="17" xfId="0" applyNumberFormat="1" applyFont="1" applyBorder="1" applyAlignment="1">
      <alignment horizontal="right" vertical="center" wrapText="1"/>
    </xf>
    <xf numFmtId="1" fontId="3" fillId="0" borderId="17" xfId="0" applyNumberFormat="1" applyFont="1" applyBorder="1"/>
    <xf numFmtId="0" fontId="3" fillId="0" borderId="17" xfId="0" applyFont="1" applyBorder="1" applyAlignment="1">
      <alignment horizontal="right"/>
    </xf>
    <xf numFmtId="0" fontId="3" fillId="0" borderId="17" xfId="0" applyFont="1" applyBorder="1"/>
    <xf numFmtId="170" fontId="3" fillId="0" borderId="17" xfId="0" applyNumberFormat="1" applyFont="1" applyBorder="1"/>
    <xf numFmtId="0" fontId="35" fillId="3" borderId="17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35" fillId="3" borderId="17" xfId="0" applyFont="1" applyFill="1" applyBorder="1" applyAlignment="1">
      <alignment vertical="center" wrapText="1"/>
    </xf>
    <xf numFmtId="0" fontId="26" fillId="13" borderId="17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64" fontId="18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2" fontId="0" fillId="0" borderId="0" xfId="0" applyNumberFormat="1"/>
    <xf numFmtId="164" fontId="1" fillId="0" borderId="0" xfId="0" applyNumberFormat="1" applyFont="1"/>
    <xf numFmtId="0" fontId="24" fillId="0" borderId="17" xfId="0" applyFont="1" applyBorder="1" applyAlignment="1">
      <alignment horizontal="right" vertical="center" wrapText="1"/>
    </xf>
    <xf numFmtId="164" fontId="24" fillId="0" borderId="17" xfId="0" applyNumberFormat="1" applyFont="1" applyBorder="1" applyAlignment="1">
      <alignment horizontal="right" vertical="center" wrapText="1"/>
    </xf>
    <xf numFmtId="0" fontId="1" fillId="9" borderId="17" xfId="0" applyFont="1" applyFill="1" applyBorder="1"/>
    <xf numFmtId="164" fontId="1" fillId="9" borderId="17" xfId="0" applyNumberFormat="1" applyFont="1" applyFill="1" applyBorder="1"/>
    <xf numFmtId="0" fontId="3" fillId="0" borderId="1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0" fontId="21" fillId="25" borderId="9" xfId="0" applyNumberFormat="1" applyFont="1" applyFill="1" applyBorder="1" applyAlignment="1">
      <alignment horizontal="right" vertical="center"/>
    </xf>
    <xf numFmtId="20" fontId="31" fillId="26" borderId="9" xfId="0" applyNumberFormat="1" applyFont="1" applyFill="1" applyBorder="1" applyAlignment="1">
      <alignment horizontal="right" vertical="center"/>
    </xf>
    <xf numFmtId="20" fontId="31" fillId="27" borderId="9" xfId="0" applyNumberFormat="1" applyFont="1" applyFill="1" applyBorder="1" applyAlignment="1">
      <alignment horizontal="right" vertical="center"/>
    </xf>
    <xf numFmtId="3" fontId="48" fillId="3" borderId="10" xfId="0" applyNumberFormat="1" applyFont="1" applyFill="1" applyBorder="1" applyAlignment="1">
      <alignment horizontal="right" vertical="center" wrapText="1"/>
    </xf>
    <xf numFmtId="1" fontId="0" fillId="28" borderId="17" xfId="0" applyNumberFormat="1" applyFill="1" applyBorder="1"/>
    <xf numFmtId="1" fontId="0" fillId="29" borderId="17" xfId="0" applyNumberFormat="1" applyFill="1" applyBorder="1"/>
    <xf numFmtId="1" fontId="0" fillId="15" borderId="17" xfId="0" applyNumberFormat="1" applyFill="1" applyBorder="1" applyProtection="1">
      <protection locked="0"/>
    </xf>
    <xf numFmtId="1" fontId="1" fillId="9" borderId="1" xfId="0" applyNumberFormat="1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Alignment="1" applyProtection="1">
      <alignment horizontal="center" vertical="center"/>
      <protection locked="0"/>
    </xf>
    <xf numFmtId="1" fontId="1" fillId="9" borderId="15" xfId="0" applyNumberFormat="1" applyFont="1" applyFill="1" applyBorder="1" applyAlignment="1" applyProtection="1">
      <alignment horizontal="center" vertical="center"/>
      <protection locked="0"/>
    </xf>
    <xf numFmtId="2" fontId="47" fillId="19" borderId="16" xfId="0" applyNumberFormat="1" applyFont="1" applyFill="1" applyBorder="1" applyProtection="1">
      <protection locked="0"/>
    </xf>
    <xf numFmtId="1" fontId="47" fillId="19" borderId="16" xfId="0" applyNumberFormat="1" applyFont="1" applyFill="1" applyBorder="1" applyProtection="1">
      <protection locked="0"/>
    </xf>
    <xf numFmtId="0" fontId="1" fillId="9" borderId="5" xfId="0" applyFont="1" applyFill="1" applyBorder="1" applyAlignment="1" applyProtection="1">
      <alignment horizontal="center" vertical="center"/>
      <protection locked="0"/>
    </xf>
    <xf numFmtId="0" fontId="1" fillId="9" borderId="5" xfId="0" applyFont="1" applyFill="1" applyBorder="1" applyAlignment="1" applyProtection="1">
      <alignment horizontal="center"/>
      <protection locked="0"/>
    </xf>
    <xf numFmtId="0" fontId="1" fillId="23" borderId="5" xfId="0" applyFont="1" applyFill="1" applyBorder="1" applyAlignment="1" applyProtection="1">
      <alignment horizontal="center" vertical="center"/>
      <protection locked="0"/>
    </xf>
    <xf numFmtId="0" fontId="1" fillId="9" borderId="1" xfId="0" applyFont="1" applyFill="1" applyBorder="1" applyProtection="1">
      <protection locked="0"/>
    </xf>
    <xf numFmtId="0" fontId="5" fillId="9" borderId="1" xfId="0" applyFont="1" applyFill="1" applyBorder="1" applyAlignment="1" applyProtection="1">
      <alignment horizontal="center" vertical="center"/>
      <protection locked="0"/>
    </xf>
    <xf numFmtId="0" fontId="33" fillId="24" borderId="17" xfId="0" applyFont="1" applyFill="1" applyBorder="1" applyAlignment="1" applyProtection="1">
      <alignment horizontal="left" vertical="center" wrapText="1"/>
      <protection locked="0"/>
    </xf>
    <xf numFmtId="0" fontId="33" fillId="24" borderId="17" xfId="0" applyFont="1" applyFill="1" applyBorder="1" applyAlignment="1" applyProtection="1">
      <alignment horizontal="right" vertical="center" wrapText="1"/>
      <protection locked="0"/>
    </xf>
    <xf numFmtId="0" fontId="33" fillId="24" borderId="17" xfId="0" applyFont="1" applyFill="1" applyBorder="1" applyAlignment="1" applyProtection="1">
      <alignment horizontal="center" vertical="center" wrapText="1"/>
      <protection locked="0"/>
    </xf>
    <xf numFmtId="0" fontId="3" fillId="24" borderId="17" xfId="0" applyFont="1" applyFill="1" applyBorder="1" applyProtection="1">
      <protection locked="0"/>
    </xf>
    <xf numFmtId="0" fontId="1" fillId="9" borderId="17" xfId="0" applyFont="1" applyFill="1" applyBorder="1" applyAlignment="1" applyProtection="1">
      <alignment horizontal="center" vertical="center"/>
      <protection locked="0"/>
    </xf>
    <xf numFmtId="0" fontId="23" fillId="0" borderId="17" xfId="0" applyFont="1" applyBorder="1" applyAlignment="1" applyProtection="1">
      <alignment horizontal="center" vertical="center" wrapText="1"/>
      <protection locked="0"/>
    </xf>
    <xf numFmtId="0" fontId="1" fillId="9" borderId="17" xfId="0" applyFont="1" applyFill="1" applyBorder="1" applyAlignment="1" applyProtection="1">
      <alignment horizontal="right" vertical="center"/>
      <protection locked="0"/>
    </xf>
    <xf numFmtId="0" fontId="5" fillId="0" borderId="17" xfId="0" applyFont="1" applyBorder="1" applyAlignment="1" applyProtection="1">
      <alignment horizontal="center" vertical="center"/>
      <protection locked="0"/>
    </xf>
    <xf numFmtId="0" fontId="0" fillId="9" borderId="17" xfId="0" applyFill="1" applyBorder="1" applyProtection="1">
      <protection locked="0"/>
    </xf>
    <xf numFmtId="0" fontId="3" fillId="24" borderId="5" xfId="0" applyFont="1" applyFill="1" applyBorder="1" applyAlignment="1" applyProtection="1">
      <alignment horizontal="right"/>
      <protection locked="0"/>
    </xf>
    <xf numFmtId="0" fontId="33" fillId="24" borderId="5" xfId="0" applyFont="1" applyFill="1" applyBorder="1" applyAlignment="1" applyProtection="1">
      <alignment horizontal="right" vertical="center" wrapText="1"/>
      <protection locked="0"/>
    </xf>
    <xf numFmtId="0" fontId="3" fillId="24" borderId="5" xfId="0" applyFont="1" applyFill="1" applyBorder="1" applyAlignment="1" applyProtection="1">
      <alignment horizontal="right" vertical="center"/>
      <protection locked="0"/>
    </xf>
    <xf numFmtId="1" fontId="3" fillId="24" borderId="5" xfId="0" applyNumberFormat="1" applyFont="1" applyFill="1" applyBorder="1" applyAlignment="1" applyProtection="1">
      <alignment horizontal="right" vertical="center"/>
      <protection locked="0"/>
    </xf>
    <xf numFmtId="0" fontId="3" fillId="24" borderId="1" xfId="0" applyFont="1" applyFill="1" applyBorder="1" applyAlignment="1" applyProtection="1">
      <alignment horizontal="center" vertical="center"/>
      <protection locked="0"/>
    </xf>
    <xf numFmtId="0" fontId="28" fillId="10" borderId="10" xfId="0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1" xfId="0" applyBorder="1"/>
    <xf numFmtId="0" fontId="19" fillId="4" borderId="9" xfId="0" applyFont="1" applyFill="1" applyBorder="1" applyAlignment="1">
      <alignment horizontal="center" vertical="center"/>
    </xf>
    <xf numFmtId="0" fontId="0" fillId="0" borderId="12" xfId="0" applyBorder="1"/>
    <xf numFmtId="0" fontId="37" fillId="14" borderId="0" xfId="0" applyFont="1" applyFill="1"/>
    <xf numFmtId="0" fontId="0" fillId="0" borderId="0" xfId="0"/>
    <xf numFmtId="0" fontId="37" fillId="14" borderId="17" xfId="0" applyFont="1" applyFill="1" applyBorder="1"/>
    <xf numFmtId="0" fontId="0" fillId="0" borderId="17" xfId="0" applyBorder="1"/>
    <xf numFmtId="0" fontId="36" fillId="0" borderId="0" xfId="0" applyFont="1"/>
    <xf numFmtId="0" fontId="38" fillId="14" borderId="0" xfId="0" applyFont="1" applyFill="1"/>
    <xf numFmtId="0" fontId="36" fillId="14" borderId="0" xfId="0" applyFont="1" applyFill="1"/>
  </cellXfs>
  <cellStyles count="2">
    <cellStyle name="Normal" xfId="0" builtinId="0"/>
    <cellStyle name="Percent" xfId="1" builtinId="5"/>
  </cellStyles>
  <dxfs count="3"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  <dxf>
      <font>
        <b/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mruColors>
      <color rgb="FF808080"/>
      <color rgb="FF4472C4"/>
      <color rgb="FFE2EFDA"/>
      <color rgb="FFFFF2CC"/>
      <color rgb="FF70AD4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504825</xdr:colOff>
      <xdr:row>9</xdr:row>
      <xdr:rowOff>15875</xdr:rowOff>
    </xdr:from>
    <xdr:to>
      <xdr:col>3</xdr:col>
      <xdr:colOff>485775</xdr:colOff>
      <xdr:row>9</xdr:row>
      <xdr:rowOff>304800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51EFD6B9-E535-4114-B540-4393A11D7FDE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tYXBsZWxvZGdlZmFybXMtbXkuc2hhcmVwb2ludC5jb20vOnU6L3Avc3lpbmcvSVFEWHlPUlpHQmM3UWFGUWNkdjljQWFOQVRkT3lUUjlhdkR3LXpyam5RSVZNTTA&quot;}"/>
            </a:ext>
          </a:extLst>
        </xdr:cNvPr>
        <xdr:cNvSpPr/>
      </xdr:nvSpPr>
      <xdr:spPr>
        <a:xfrm>
          <a:off x="3200400" y="1549400"/>
          <a:ext cx="1543050" cy="28892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📊 </a:t>
          </a:r>
          <a:r>
            <a:rPr lang="zh-CN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更新周统计</a:t>
          </a:r>
          <a:endParaRPr lang="en-US">
            <a:effectLst/>
          </a:endParaRPr>
        </a:p>
        <a:p>
          <a:pPr algn="ctr"/>
          <a:endParaRPr 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KU" displayName="tblSKU" ref="A1:O379">
  <autoFilter ref="A1:O379" xr:uid="{00000000-0009-0000-0100-000001000000}">
    <filterColumn colId="0">
      <filters>
        <filter val="Tray_Pack"/>
      </filters>
    </filterColumn>
  </autoFilter>
  <tableColumns count="15">
    <tableColumn id="1" xr3:uid="{00000000-0010-0000-0000-000001000000}" name="Dept"/>
    <tableColumn id="2" xr3:uid="{00000000-0010-0000-0000-000002000000}" name="SKU"/>
    <tableColumn id="3" xr3:uid="{00000000-0010-0000-0000-000003000000}" name="RAW_WIP_CODE"/>
    <tableColumn id="4" xr3:uid="{00000000-0010-0000-0000-000004000000}" name="Customer"/>
    <tableColumn id="5" xr3:uid="{00000000-0010-0000-0000-000005000000}" name="Product_Group"/>
    <tableColumn id="6" xr3:uid="{00000000-0010-0000-0000-000006000000}" name="Avg_Case_Weight"/>
    <tableColumn id="7" xr3:uid="{00000000-0010-0000-0000-000007000000}" name="Trays_Per_Case"/>
    <tableColumn id="8" xr3:uid="{00000000-0010-0000-0000-000008000000}" name="Tray_Type"/>
    <tableColumn id="9" xr3:uid="{00000000-0010-0000-0000-000009000000}" name="Tray_Size"/>
    <tableColumn id="10" xr3:uid="{00000000-0010-0000-0000-00000A000000}" name="SKU_Desc"/>
    <tableColumn id="11" xr3:uid="{00000000-0010-0000-0000-00000B000000}" name="Tray Pack Speed"/>
    <tableColumn id="12" xr3:uid="{00000000-0010-0000-0000-00000C000000}" name="Package_Type"/>
    <tableColumn id="13" xr3:uid="{00000000-0010-0000-0000-00000D000000}" name="STD"/>
    <tableColumn id="14" xr3:uid="{00000000-0010-0000-0000-00000E000000}" name="Class"/>
    <tableColumn id="15" xr3:uid="{00000000-0010-0000-0000-00000F000000}" name="Weight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oduction_Report" displayName="Production_Report" ref="A1:L108">
  <autoFilter ref="A1:L108" xr:uid="{00000000-0009-0000-0100-000002000000}"/>
  <tableColumns count="12">
    <tableColumn id="1" xr3:uid="{00000000-0010-0000-0100-000001000000}" name="Code"/>
    <tableColumn id="2" xr3:uid="{00000000-0010-0000-0100-000002000000}" name="Description"/>
    <tableColumn id="3" xr3:uid="{00000000-0010-0000-0100-000003000000}" name="Planned"/>
    <tableColumn id="4" xr3:uid="{00000000-0010-0000-0100-000004000000}" name="Require"/>
    <tableColumn id="5" xr3:uid="{00000000-0010-0000-0100-000005000000}" name="Produced"/>
    <tableColumn id="6" xr3:uid="{00000000-0010-0000-0100-000006000000}" name="Diff"/>
    <tableColumn id="7" xr3:uid="{00000000-0010-0000-0100-000007000000}" name="Net WT"/>
    <tableColumn id="8" xr3:uid="{00000000-0010-0000-0100-000008000000}" name="Gross WT"/>
    <tableColumn id="9" xr3:uid="{00000000-0010-0000-0100-000009000000}" name="% Tare"/>
    <tableColumn id="10" xr3:uid="{00000000-0010-0000-0100-00000A000000}" name="Under"/>
    <tableColumn id="11" xr3:uid="{00000000-0010-0000-0100-00000B000000}" name="Over"/>
    <tableColumn id="12" xr3:uid="{00000000-0010-0000-0100-00000C000000}" name="At 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Q379"/>
  <sheetViews>
    <sheetView workbookViewId="0"/>
  </sheetViews>
  <sheetFormatPr defaultColWidth="8.81640625" defaultRowHeight="14.5" x14ac:dyDescent="0.35"/>
  <cols>
    <col min="1" max="1" width="8.81640625" customWidth="1"/>
    <col min="2" max="2" width="8" customWidth="1"/>
    <col min="3" max="3" width="17.1796875" customWidth="1"/>
    <col min="4" max="4" width="11.1796875" customWidth="1"/>
    <col min="5" max="5" width="19.1796875" customWidth="1"/>
    <col min="6" max="6" width="17.1796875" customWidth="1"/>
    <col min="7" max="7" width="16.1796875" customWidth="1"/>
    <col min="8" max="8" width="12.1796875" customWidth="1"/>
    <col min="9" max="9" width="11.81640625" customWidth="1"/>
    <col min="10" max="10" width="57.1796875" customWidth="1"/>
    <col min="11" max="11" width="11.81640625" customWidth="1"/>
    <col min="12" max="12" width="15" customWidth="1"/>
    <col min="13" max="13" width="8" customWidth="1"/>
    <col min="14" max="14" width="8.81640625" customWidth="1"/>
    <col min="15" max="15" width="9.453125" customWidth="1"/>
  </cols>
  <sheetData>
    <row r="1" spans="1:17" ht="25" customHeight="1" x14ac:dyDescent="0.35">
      <c r="A1" s="34" t="s">
        <v>3</v>
      </c>
      <c r="B1" s="35" t="s">
        <v>4</v>
      </c>
      <c r="C1" s="85" t="s">
        <v>5</v>
      </c>
      <c r="D1" s="85" t="s">
        <v>6</v>
      </c>
      <c r="E1" s="34" t="s">
        <v>7</v>
      </c>
      <c r="F1" s="36" t="s">
        <v>8</v>
      </c>
      <c r="G1" s="34" t="s">
        <v>9</v>
      </c>
      <c r="H1" s="85" t="s">
        <v>10</v>
      </c>
      <c r="I1" s="34" t="s">
        <v>11</v>
      </c>
      <c r="J1" s="85" t="s">
        <v>12</v>
      </c>
      <c r="K1" s="180" t="s">
        <v>13</v>
      </c>
      <c r="L1" s="37" t="s">
        <v>14</v>
      </c>
      <c r="M1" s="37" t="s">
        <v>15</v>
      </c>
      <c r="N1" s="37" t="s">
        <v>16</v>
      </c>
      <c r="O1" s="34" t="s">
        <v>17</v>
      </c>
      <c r="P1" s="33" t="s">
        <v>18</v>
      </c>
      <c r="Q1" s="33" t="s">
        <v>19</v>
      </c>
    </row>
    <row r="2" spans="1:17" hidden="1" x14ac:dyDescent="0.35">
      <c r="A2" s="38" t="s">
        <v>20</v>
      </c>
      <c r="B2" s="39">
        <v>64</v>
      </c>
      <c r="C2" s="40" t="s">
        <v>21</v>
      </c>
      <c r="D2" s="40" t="s">
        <v>22</v>
      </c>
      <c r="E2" s="40" t="s">
        <v>23</v>
      </c>
      <c r="F2" s="40">
        <v>5</v>
      </c>
      <c r="G2" s="40"/>
      <c r="H2" s="40"/>
      <c r="I2" s="40"/>
      <c r="J2" s="41" t="s">
        <v>24</v>
      </c>
      <c r="K2" s="42"/>
      <c r="L2" s="42"/>
      <c r="M2" s="42"/>
      <c r="N2" s="43" t="s">
        <v>25</v>
      </c>
      <c r="O2" s="40"/>
      <c r="P2" s="32"/>
      <c r="Q2" s="32"/>
    </row>
    <row r="3" spans="1:17" hidden="1" x14ac:dyDescent="0.35">
      <c r="A3" s="38" t="s">
        <v>20</v>
      </c>
      <c r="B3" s="39">
        <v>65</v>
      </c>
      <c r="C3" s="40" t="s">
        <v>26</v>
      </c>
      <c r="D3" s="40" t="s">
        <v>22</v>
      </c>
      <c r="E3" s="40" t="s">
        <v>27</v>
      </c>
      <c r="F3" s="40">
        <v>5</v>
      </c>
      <c r="G3" s="40"/>
      <c r="H3" s="40"/>
      <c r="I3" s="40"/>
      <c r="J3" s="41" t="s">
        <v>28</v>
      </c>
      <c r="K3" s="42"/>
      <c r="L3" s="42"/>
      <c r="M3" s="42"/>
      <c r="N3" s="43" t="s">
        <v>25</v>
      </c>
      <c r="O3" s="40"/>
      <c r="P3" s="32"/>
      <c r="Q3" s="32"/>
    </row>
    <row r="4" spans="1:17" hidden="1" x14ac:dyDescent="0.35">
      <c r="A4" s="38" t="s">
        <v>20</v>
      </c>
      <c r="B4" s="39">
        <v>159</v>
      </c>
      <c r="C4" s="40">
        <v>61061</v>
      </c>
      <c r="D4" s="40" t="s">
        <v>22</v>
      </c>
      <c r="E4" s="40" t="s">
        <v>29</v>
      </c>
      <c r="F4" s="40">
        <v>18</v>
      </c>
      <c r="G4" s="40"/>
      <c r="H4" s="40"/>
      <c r="I4" s="40"/>
      <c r="J4" s="41" t="s">
        <v>30</v>
      </c>
      <c r="K4" s="42"/>
      <c r="L4" s="42"/>
      <c r="M4" s="42"/>
      <c r="N4" s="43" t="s">
        <v>25</v>
      </c>
      <c r="O4" s="40"/>
      <c r="P4" s="32"/>
      <c r="Q4" s="32"/>
    </row>
    <row r="5" spans="1:17" hidden="1" x14ac:dyDescent="0.35">
      <c r="A5" s="38" t="s">
        <v>20</v>
      </c>
      <c r="B5" s="39">
        <v>160</v>
      </c>
      <c r="C5" s="40">
        <v>61072</v>
      </c>
      <c r="D5" s="40" t="s">
        <v>22</v>
      </c>
      <c r="E5" s="40" t="s">
        <v>31</v>
      </c>
      <c r="F5" s="40">
        <v>18</v>
      </c>
      <c r="G5" s="40"/>
      <c r="H5" s="40"/>
      <c r="I5" s="40"/>
      <c r="J5" s="41" t="s">
        <v>32</v>
      </c>
      <c r="K5" s="42"/>
      <c r="L5" s="42"/>
      <c r="M5" s="42"/>
      <c r="N5" s="43" t="s">
        <v>25</v>
      </c>
      <c r="O5" s="40"/>
      <c r="P5" s="32"/>
      <c r="Q5" s="32"/>
    </row>
    <row r="6" spans="1:17" hidden="1" x14ac:dyDescent="0.35">
      <c r="A6" s="38" t="s">
        <v>20</v>
      </c>
      <c r="B6" s="39">
        <v>161</v>
      </c>
      <c r="C6" s="40">
        <v>61082</v>
      </c>
      <c r="D6" s="40" t="s">
        <v>22</v>
      </c>
      <c r="E6" s="40" t="s">
        <v>33</v>
      </c>
      <c r="F6" s="40">
        <v>18</v>
      </c>
      <c r="G6" s="40"/>
      <c r="H6" s="40"/>
      <c r="I6" s="40"/>
      <c r="J6" s="41" t="s">
        <v>34</v>
      </c>
      <c r="K6" s="42"/>
      <c r="L6" s="42"/>
      <c r="M6" s="42"/>
      <c r="N6" s="43" t="s">
        <v>25</v>
      </c>
      <c r="O6" s="40"/>
      <c r="P6" s="32"/>
      <c r="Q6" s="32"/>
    </row>
    <row r="7" spans="1:17" hidden="1" x14ac:dyDescent="0.35">
      <c r="A7" s="38" t="s">
        <v>20</v>
      </c>
      <c r="B7" s="39">
        <v>165</v>
      </c>
      <c r="C7" s="40" t="s">
        <v>26</v>
      </c>
      <c r="D7" s="40" t="s">
        <v>22</v>
      </c>
      <c r="E7" s="40" t="s">
        <v>27</v>
      </c>
      <c r="F7" s="40">
        <v>10</v>
      </c>
      <c r="G7" s="40"/>
      <c r="H7" s="40"/>
      <c r="I7" s="40"/>
      <c r="J7" s="41" t="s">
        <v>35</v>
      </c>
      <c r="K7" s="42"/>
      <c r="L7" s="42"/>
      <c r="M7" s="42"/>
      <c r="N7" s="43" t="s">
        <v>25</v>
      </c>
      <c r="O7" s="40"/>
      <c r="P7" s="32"/>
      <c r="Q7" s="32"/>
    </row>
    <row r="8" spans="1:17" hidden="1" x14ac:dyDescent="0.35">
      <c r="A8" s="38" t="s">
        <v>20</v>
      </c>
      <c r="B8" s="39">
        <v>834</v>
      </c>
      <c r="C8" s="40">
        <v>61082</v>
      </c>
      <c r="D8" s="40" t="s">
        <v>22</v>
      </c>
      <c r="E8" s="40" t="s">
        <v>33</v>
      </c>
      <c r="F8" s="40">
        <v>18</v>
      </c>
      <c r="G8" s="40"/>
      <c r="H8" s="40"/>
      <c r="I8" s="40"/>
      <c r="J8" s="41" t="s">
        <v>36</v>
      </c>
      <c r="K8" s="44"/>
      <c r="L8" s="44"/>
      <c r="M8" s="42"/>
      <c r="N8" s="43" t="s">
        <v>25</v>
      </c>
      <c r="O8" s="40"/>
      <c r="P8" s="32"/>
      <c r="Q8" s="32"/>
    </row>
    <row r="9" spans="1:17" hidden="1" x14ac:dyDescent="0.35">
      <c r="A9" s="38" t="s">
        <v>20</v>
      </c>
      <c r="B9" s="39">
        <v>868</v>
      </c>
      <c r="C9" s="40">
        <v>61014</v>
      </c>
      <c r="D9" s="40" t="s">
        <v>22</v>
      </c>
      <c r="E9" s="40" t="s">
        <v>37</v>
      </c>
      <c r="F9" s="40">
        <v>18</v>
      </c>
      <c r="G9" s="40"/>
      <c r="H9" s="40"/>
      <c r="I9" s="40"/>
      <c r="J9" s="41" t="s">
        <v>38</v>
      </c>
      <c r="K9" s="45"/>
      <c r="L9" s="45"/>
      <c r="M9" s="46"/>
      <c r="N9" s="43" t="s">
        <v>25</v>
      </c>
      <c r="O9" s="40"/>
      <c r="P9" s="32"/>
      <c r="Q9" s="32"/>
    </row>
    <row r="10" spans="1:17" hidden="1" x14ac:dyDescent="0.35">
      <c r="A10" s="38" t="s">
        <v>20</v>
      </c>
      <c r="B10" s="39">
        <v>895</v>
      </c>
      <c r="C10" s="40">
        <v>61072</v>
      </c>
      <c r="D10" s="40" t="s">
        <v>22</v>
      </c>
      <c r="E10" s="40" t="s">
        <v>31</v>
      </c>
      <c r="F10" s="40">
        <v>18</v>
      </c>
      <c r="G10" s="40"/>
      <c r="H10" s="40"/>
      <c r="I10" s="40"/>
      <c r="J10" s="41" t="s">
        <v>39</v>
      </c>
      <c r="K10" s="44"/>
      <c r="L10" s="44"/>
      <c r="M10" s="42"/>
      <c r="N10" s="43" t="s">
        <v>40</v>
      </c>
      <c r="O10" s="40"/>
      <c r="P10" s="32"/>
      <c r="Q10" s="32"/>
    </row>
    <row r="11" spans="1:17" hidden="1" x14ac:dyDescent="0.35">
      <c r="A11" s="38" t="s">
        <v>20</v>
      </c>
      <c r="B11" s="39">
        <v>902</v>
      </c>
      <c r="C11" s="40">
        <v>61082</v>
      </c>
      <c r="D11" s="40" t="s">
        <v>22</v>
      </c>
      <c r="E11" s="40" t="s">
        <v>33</v>
      </c>
      <c r="F11" s="40"/>
      <c r="G11" s="40"/>
      <c r="H11" s="40"/>
      <c r="I11" s="40"/>
      <c r="J11" s="41"/>
      <c r="K11" s="44"/>
      <c r="L11" s="44"/>
      <c r="M11" s="42"/>
      <c r="N11" s="43" t="s">
        <v>25</v>
      </c>
      <c r="O11" s="40"/>
      <c r="P11" s="32"/>
      <c r="Q11" s="32"/>
    </row>
    <row r="12" spans="1:17" hidden="1" x14ac:dyDescent="0.35">
      <c r="A12" s="38" t="s">
        <v>20</v>
      </c>
      <c r="B12" s="47">
        <v>904</v>
      </c>
      <c r="C12" s="40">
        <v>61010</v>
      </c>
      <c r="D12" s="40" t="s">
        <v>22</v>
      </c>
      <c r="E12" s="40" t="s">
        <v>41</v>
      </c>
      <c r="F12" s="42">
        <v>18</v>
      </c>
      <c r="G12" s="40"/>
      <c r="H12" s="40"/>
      <c r="I12" s="40"/>
      <c r="J12" s="41" t="s">
        <v>42</v>
      </c>
      <c r="K12" s="44"/>
      <c r="L12" s="44"/>
      <c r="M12" s="42"/>
      <c r="N12" s="43" t="s">
        <v>25</v>
      </c>
      <c r="O12" s="40"/>
      <c r="P12" s="32"/>
      <c r="Q12" s="32"/>
    </row>
    <row r="13" spans="1:17" hidden="1" x14ac:dyDescent="0.35">
      <c r="A13" s="38" t="s">
        <v>20</v>
      </c>
      <c r="B13" s="39">
        <v>1026</v>
      </c>
      <c r="C13" s="40">
        <v>61010</v>
      </c>
      <c r="D13" s="40" t="s">
        <v>22</v>
      </c>
      <c r="E13" s="40" t="s">
        <v>41</v>
      </c>
      <c r="F13" s="40"/>
      <c r="G13" s="40"/>
      <c r="H13" s="40"/>
      <c r="I13" s="40"/>
      <c r="J13" s="41"/>
      <c r="K13" s="44"/>
      <c r="L13" s="44"/>
      <c r="M13" s="42"/>
      <c r="N13" s="43" t="s">
        <v>25</v>
      </c>
      <c r="O13" s="40"/>
      <c r="P13" s="32"/>
      <c r="Q13" s="32"/>
    </row>
    <row r="14" spans="1:17" hidden="1" x14ac:dyDescent="0.35">
      <c r="A14" s="38" t="s">
        <v>20</v>
      </c>
      <c r="B14" s="39">
        <v>1081</v>
      </c>
      <c r="C14" s="40" t="s">
        <v>26</v>
      </c>
      <c r="D14" s="40" t="s">
        <v>22</v>
      </c>
      <c r="E14" s="40" t="s">
        <v>27</v>
      </c>
      <c r="F14" s="40"/>
      <c r="G14" s="40"/>
      <c r="H14" s="40"/>
      <c r="I14" s="40"/>
      <c r="J14" s="41"/>
      <c r="K14" s="44"/>
      <c r="L14" s="44"/>
      <c r="M14" s="42"/>
      <c r="N14" s="43" t="s">
        <v>25</v>
      </c>
      <c r="O14" s="40"/>
      <c r="P14" s="32"/>
      <c r="Q14" s="32"/>
    </row>
    <row r="15" spans="1:17" hidden="1" x14ac:dyDescent="0.35">
      <c r="A15" s="38" t="s">
        <v>20</v>
      </c>
      <c r="B15" s="39">
        <v>1446</v>
      </c>
      <c r="C15" s="40" t="s">
        <v>26</v>
      </c>
      <c r="D15" s="40" t="s">
        <v>22</v>
      </c>
      <c r="E15" s="40" t="s">
        <v>27</v>
      </c>
      <c r="F15" s="40"/>
      <c r="G15" s="40"/>
      <c r="H15" s="40"/>
      <c r="I15" s="40"/>
      <c r="J15" s="41"/>
      <c r="K15" s="44"/>
      <c r="L15" s="44"/>
      <c r="M15" s="42"/>
      <c r="N15" s="43" t="s">
        <v>25</v>
      </c>
      <c r="O15" s="40"/>
      <c r="P15" s="32"/>
      <c r="Q15" s="32"/>
    </row>
    <row r="16" spans="1:17" hidden="1" x14ac:dyDescent="0.35">
      <c r="A16" s="38" t="s">
        <v>20</v>
      </c>
      <c r="B16" s="39">
        <v>1887</v>
      </c>
      <c r="C16" s="40">
        <v>61061</v>
      </c>
      <c r="D16" s="40" t="s">
        <v>22</v>
      </c>
      <c r="E16" s="40" t="s">
        <v>29</v>
      </c>
      <c r="F16" s="40"/>
      <c r="G16" s="40"/>
      <c r="H16" s="40"/>
      <c r="I16" s="40"/>
      <c r="J16" s="41"/>
      <c r="K16" s="45"/>
      <c r="L16" s="45"/>
      <c r="M16" s="46"/>
      <c r="N16" s="43" t="s">
        <v>40</v>
      </c>
      <c r="O16" s="40"/>
      <c r="P16" s="32"/>
      <c r="Q16" s="32"/>
    </row>
    <row r="17" spans="1:17" hidden="1" x14ac:dyDescent="0.35">
      <c r="A17" s="38" t="s">
        <v>20</v>
      </c>
      <c r="B17" s="39">
        <v>1888</v>
      </c>
      <c r="C17" s="40"/>
      <c r="D17" s="40" t="s">
        <v>22</v>
      </c>
      <c r="E17" s="48" t="s">
        <v>43</v>
      </c>
      <c r="F17" s="40"/>
      <c r="G17" s="40"/>
      <c r="H17" s="40"/>
      <c r="I17" s="40"/>
      <c r="J17" s="41"/>
      <c r="K17" s="44"/>
      <c r="L17" s="44"/>
      <c r="M17" s="42"/>
      <c r="N17" s="43" t="s">
        <v>40</v>
      </c>
      <c r="O17" s="40"/>
      <c r="P17" s="32"/>
      <c r="Q17" s="32"/>
    </row>
    <row r="18" spans="1:17" hidden="1" x14ac:dyDescent="0.35">
      <c r="A18" s="38" t="s">
        <v>20</v>
      </c>
      <c r="B18" s="39">
        <v>1894</v>
      </c>
      <c r="C18" s="40" t="s">
        <v>26</v>
      </c>
      <c r="D18" s="40" t="s">
        <v>22</v>
      </c>
      <c r="E18" s="40" t="s">
        <v>27</v>
      </c>
      <c r="F18" s="40"/>
      <c r="G18" s="40"/>
      <c r="H18" s="40"/>
      <c r="I18" s="40"/>
      <c r="J18" s="41" t="s">
        <v>44</v>
      </c>
      <c r="K18" s="44"/>
      <c r="L18" s="44"/>
      <c r="M18" s="42"/>
      <c r="N18" s="43" t="s">
        <v>25</v>
      </c>
      <c r="O18" s="40"/>
      <c r="P18" s="32"/>
      <c r="Q18" s="32"/>
    </row>
    <row r="19" spans="1:17" hidden="1" x14ac:dyDescent="0.35">
      <c r="A19" s="38" t="s">
        <v>20</v>
      </c>
      <c r="B19" s="39">
        <v>2233</v>
      </c>
      <c r="C19" s="40">
        <v>61014</v>
      </c>
      <c r="D19" s="40" t="s">
        <v>22</v>
      </c>
      <c r="E19" s="40" t="s">
        <v>37</v>
      </c>
      <c r="F19" s="40">
        <v>20</v>
      </c>
      <c r="G19" s="40"/>
      <c r="H19" s="40"/>
      <c r="I19" s="40"/>
      <c r="J19" s="41" t="s">
        <v>45</v>
      </c>
      <c r="K19" s="45"/>
      <c r="L19" s="45"/>
      <c r="M19" s="46"/>
      <c r="N19" s="43" t="s">
        <v>40</v>
      </c>
      <c r="O19" s="40"/>
      <c r="P19" s="32"/>
      <c r="Q19" s="32"/>
    </row>
    <row r="20" spans="1:17" hidden="1" x14ac:dyDescent="0.35">
      <c r="A20" s="38" t="s">
        <v>20</v>
      </c>
      <c r="B20" s="39">
        <v>2235</v>
      </c>
      <c r="C20" s="40">
        <v>61072</v>
      </c>
      <c r="D20" s="40" t="s">
        <v>22</v>
      </c>
      <c r="E20" s="40" t="s">
        <v>31</v>
      </c>
      <c r="F20" s="40">
        <v>20</v>
      </c>
      <c r="G20" s="40"/>
      <c r="H20" s="40"/>
      <c r="I20" s="40"/>
      <c r="J20" s="41"/>
      <c r="K20" s="44"/>
      <c r="L20" s="44"/>
      <c r="M20" s="42"/>
      <c r="N20" s="43" t="s">
        <v>40</v>
      </c>
      <c r="O20" s="40"/>
      <c r="P20" s="32"/>
      <c r="Q20" s="32"/>
    </row>
    <row r="21" spans="1:17" hidden="1" x14ac:dyDescent="0.35">
      <c r="A21" s="38" t="s">
        <v>20</v>
      </c>
      <c r="B21" s="39">
        <v>2236</v>
      </c>
      <c r="C21" s="40">
        <v>61050</v>
      </c>
      <c r="D21" s="40" t="s">
        <v>22</v>
      </c>
      <c r="E21" s="40" t="s">
        <v>27</v>
      </c>
      <c r="F21" s="40">
        <v>20</v>
      </c>
      <c r="G21" s="40"/>
      <c r="H21" s="40"/>
      <c r="I21" s="40"/>
      <c r="J21" s="41" t="s">
        <v>46</v>
      </c>
      <c r="K21" s="44"/>
      <c r="L21" s="44"/>
      <c r="M21" s="42"/>
      <c r="N21" s="43" t="s">
        <v>47</v>
      </c>
      <c r="O21" s="40"/>
      <c r="P21" s="32"/>
      <c r="Q21" s="32"/>
    </row>
    <row r="22" spans="1:17" hidden="1" x14ac:dyDescent="0.35">
      <c r="A22" s="38" t="s">
        <v>20</v>
      </c>
      <c r="B22" s="39">
        <v>200064</v>
      </c>
      <c r="C22" s="40" t="s">
        <v>21</v>
      </c>
      <c r="D22" s="40" t="s">
        <v>22</v>
      </c>
      <c r="E22" s="40" t="s">
        <v>23</v>
      </c>
      <c r="F22" s="40">
        <v>5</v>
      </c>
      <c r="G22" s="48"/>
      <c r="H22" s="48"/>
      <c r="I22" s="48"/>
      <c r="J22" s="41" t="s">
        <v>48</v>
      </c>
      <c r="K22" s="45"/>
      <c r="L22" s="45"/>
      <c r="M22" s="46"/>
      <c r="N22" s="43" t="s">
        <v>25</v>
      </c>
      <c r="O22" s="40"/>
      <c r="P22" s="32"/>
      <c r="Q22" s="32"/>
    </row>
    <row r="23" spans="1:17" hidden="1" x14ac:dyDescent="0.35">
      <c r="A23" s="38" t="s">
        <v>20</v>
      </c>
      <c r="B23" s="39">
        <v>200083</v>
      </c>
      <c r="C23" s="40"/>
      <c r="D23" s="40" t="s">
        <v>22</v>
      </c>
      <c r="E23" s="40" t="s">
        <v>43</v>
      </c>
      <c r="F23" s="40"/>
      <c r="G23" s="48"/>
      <c r="H23" s="48"/>
      <c r="I23" s="48"/>
      <c r="J23" s="41" t="s">
        <v>49</v>
      </c>
      <c r="K23" s="44"/>
      <c r="L23" s="44"/>
      <c r="M23" s="42"/>
      <c r="N23" s="43" t="s">
        <v>25</v>
      </c>
      <c r="O23" s="40"/>
      <c r="P23" s="32"/>
      <c r="Q23" s="32"/>
    </row>
    <row r="24" spans="1:17" hidden="1" x14ac:dyDescent="0.35">
      <c r="A24" s="38" t="s">
        <v>20</v>
      </c>
      <c r="B24" s="39">
        <v>200089</v>
      </c>
      <c r="C24" s="40"/>
      <c r="D24" s="40" t="s">
        <v>22</v>
      </c>
      <c r="E24" s="48" t="s">
        <v>43</v>
      </c>
      <c r="F24" s="40">
        <v>585</v>
      </c>
      <c r="G24" s="40"/>
      <c r="H24" s="40"/>
      <c r="I24" s="40"/>
      <c r="J24" s="41" t="s">
        <v>50</v>
      </c>
      <c r="K24" s="44"/>
      <c r="L24" s="44"/>
      <c r="M24" s="42"/>
      <c r="N24" s="43" t="s">
        <v>25</v>
      </c>
      <c r="O24" s="40"/>
      <c r="P24" s="32"/>
      <c r="Q24" s="32"/>
    </row>
    <row r="25" spans="1:17" hidden="1" x14ac:dyDescent="0.35">
      <c r="A25" s="38" t="s">
        <v>20</v>
      </c>
      <c r="B25" s="39">
        <v>200095</v>
      </c>
      <c r="C25" s="40">
        <v>61072</v>
      </c>
      <c r="D25" s="40" t="s">
        <v>22</v>
      </c>
      <c r="E25" s="40" t="s">
        <v>31</v>
      </c>
      <c r="F25" s="40">
        <v>18</v>
      </c>
      <c r="G25" s="40"/>
      <c r="H25" s="40"/>
      <c r="I25" s="40"/>
      <c r="J25" s="41" t="s">
        <v>51</v>
      </c>
      <c r="K25" s="44"/>
      <c r="L25" s="44"/>
      <c r="M25" s="42"/>
      <c r="N25" s="43" t="s">
        <v>25</v>
      </c>
      <c r="O25" s="40"/>
      <c r="P25" s="32"/>
      <c r="Q25" s="32"/>
    </row>
    <row r="26" spans="1:17" hidden="1" x14ac:dyDescent="0.35">
      <c r="A26" s="38" t="s">
        <v>20</v>
      </c>
      <c r="B26" s="39">
        <v>200159</v>
      </c>
      <c r="C26" s="40">
        <v>61061</v>
      </c>
      <c r="D26" s="40" t="s">
        <v>22</v>
      </c>
      <c r="E26" s="40" t="s">
        <v>29</v>
      </c>
      <c r="F26" s="40">
        <v>18</v>
      </c>
      <c r="G26" s="40"/>
      <c r="H26" s="40"/>
      <c r="I26" s="40"/>
      <c r="J26" s="41" t="s">
        <v>52</v>
      </c>
      <c r="K26" s="44"/>
      <c r="L26" s="44"/>
      <c r="M26" s="42"/>
      <c r="N26" s="43" t="s">
        <v>25</v>
      </c>
      <c r="O26" s="40"/>
      <c r="P26" s="32"/>
      <c r="Q26" s="32"/>
    </row>
    <row r="27" spans="1:17" hidden="1" x14ac:dyDescent="0.35">
      <c r="A27" s="38" t="s">
        <v>20</v>
      </c>
      <c r="B27" s="39">
        <v>200868</v>
      </c>
      <c r="C27" s="40">
        <v>61014</v>
      </c>
      <c r="D27" s="40" t="s">
        <v>22</v>
      </c>
      <c r="E27" s="49" t="s">
        <v>37</v>
      </c>
      <c r="F27" s="49">
        <v>18</v>
      </c>
      <c r="G27" s="49"/>
      <c r="H27" s="49"/>
      <c r="I27" s="49"/>
      <c r="J27" s="50" t="s">
        <v>53</v>
      </c>
      <c r="K27" s="51"/>
      <c r="L27" s="51"/>
      <c r="M27" s="52"/>
      <c r="N27" s="43" t="s">
        <v>25</v>
      </c>
      <c r="O27" s="49"/>
      <c r="P27" s="32"/>
      <c r="Q27" s="32"/>
    </row>
    <row r="28" spans="1:17" hidden="1" x14ac:dyDescent="0.35">
      <c r="A28" s="38" t="s">
        <v>20</v>
      </c>
      <c r="B28" s="39">
        <v>200902</v>
      </c>
      <c r="C28" s="40">
        <v>61082</v>
      </c>
      <c r="D28" s="40" t="s">
        <v>22</v>
      </c>
      <c r="E28" s="40" t="s">
        <v>33</v>
      </c>
      <c r="F28" s="40">
        <v>18</v>
      </c>
      <c r="G28" s="40"/>
      <c r="H28" s="40"/>
      <c r="I28" s="40"/>
      <c r="J28" s="41" t="s">
        <v>54</v>
      </c>
      <c r="K28" s="44"/>
      <c r="L28" s="44"/>
      <c r="M28" s="42"/>
      <c r="N28" s="43" t="s">
        <v>25</v>
      </c>
      <c r="O28" s="40"/>
      <c r="P28" s="32"/>
      <c r="Q28" s="32"/>
    </row>
    <row r="29" spans="1:17" hidden="1" x14ac:dyDescent="0.35">
      <c r="A29" s="38" t="s">
        <v>20</v>
      </c>
      <c r="B29" s="39">
        <v>200903</v>
      </c>
      <c r="C29" s="40">
        <v>61061</v>
      </c>
      <c r="D29" s="40" t="s">
        <v>22</v>
      </c>
      <c r="E29" s="40" t="s">
        <v>29</v>
      </c>
      <c r="F29" s="40">
        <v>18</v>
      </c>
      <c r="G29" s="40"/>
      <c r="H29" s="40"/>
      <c r="I29" s="40"/>
      <c r="J29" s="41" t="s">
        <v>55</v>
      </c>
      <c r="K29" s="44"/>
      <c r="L29" s="44"/>
      <c r="M29" s="42"/>
      <c r="N29" s="43" t="s">
        <v>25</v>
      </c>
      <c r="O29" s="40"/>
      <c r="P29" s="32"/>
      <c r="Q29" s="32"/>
    </row>
    <row r="30" spans="1:17" hidden="1" x14ac:dyDescent="0.35">
      <c r="A30" s="38" t="s">
        <v>20</v>
      </c>
      <c r="B30" s="39">
        <v>200904</v>
      </c>
      <c r="C30" s="40">
        <v>61010</v>
      </c>
      <c r="D30" s="40" t="s">
        <v>22</v>
      </c>
      <c r="E30" s="40" t="s">
        <v>41</v>
      </c>
      <c r="F30" s="40">
        <v>18</v>
      </c>
      <c r="G30" s="40"/>
      <c r="H30" s="40"/>
      <c r="I30" s="40"/>
      <c r="J30" s="41" t="s">
        <v>56</v>
      </c>
      <c r="K30" s="44"/>
      <c r="L30" s="44"/>
      <c r="M30" s="42"/>
      <c r="N30" s="43" t="s">
        <v>25</v>
      </c>
      <c r="O30" s="40"/>
      <c r="P30" s="32"/>
      <c r="Q30" s="32"/>
    </row>
    <row r="31" spans="1:17" hidden="1" x14ac:dyDescent="0.35">
      <c r="A31" s="38" t="s">
        <v>20</v>
      </c>
      <c r="B31" s="39">
        <v>201894</v>
      </c>
      <c r="C31" s="40" t="s">
        <v>26</v>
      </c>
      <c r="D31" s="40" t="s">
        <v>22</v>
      </c>
      <c r="E31" s="40" t="s">
        <v>27</v>
      </c>
      <c r="F31" s="40">
        <v>18</v>
      </c>
      <c r="G31" s="40"/>
      <c r="H31" s="40"/>
      <c r="I31" s="40"/>
      <c r="J31" s="41" t="s">
        <v>57</v>
      </c>
      <c r="K31" s="53"/>
      <c r="L31" s="53"/>
      <c r="M31" s="42"/>
      <c r="N31" s="43" t="s">
        <v>25</v>
      </c>
      <c r="O31" s="40"/>
      <c r="P31" s="32"/>
      <c r="Q31" s="32"/>
    </row>
    <row r="32" spans="1:17" hidden="1" x14ac:dyDescent="0.35">
      <c r="A32" s="38" t="s">
        <v>20</v>
      </c>
      <c r="B32" s="39">
        <v>201895</v>
      </c>
      <c r="C32" s="40" t="s">
        <v>26</v>
      </c>
      <c r="D32" s="40" t="s">
        <v>22</v>
      </c>
      <c r="E32" s="40" t="s">
        <v>27</v>
      </c>
      <c r="F32" s="40">
        <v>18</v>
      </c>
      <c r="G32" s="40"/>
      <c r="H32" s="40"/>
      <c r="I32" s="40"/>
      <c r="J32" s="41" t="s">
        <v>58</v>
      </c>
      <c r="K32" s="53"/>
      <c r="L32" s="53"/>
      <c r="M32" s="42"/>
      <c r="N32" s="43" t="s">
        <v>25</v>
      </c>
      <c r="O32" s="40"/>
      <c r="P32" s="32"/>
      <c r="Q32" s="32"/>
    </row>
    <row r="33" spans="1:17" hidden="1" x14ac:dyDescent="0.35">
      <c r="A33" s="38" t="s">
        <v>20</v>
      </c>
      <c r="B33" s="39">
        <v>201899</v>
      </c>
      <c r="C33" s="40" t="s">
        <v>26</v>
      </c>
      <c r="D33" s="40" t="s">
        <v>22</v>
      </c>
      <c r="E33" s="40" t="s">
        <v>27</v>
      </c>
      <c r="F33" s="40">
        <v>10</v>
      </c>
      <c r="G33" s="40"/>
      <c r="H33" s="40"/>
      <c r="I33" s="40"/>
      <c r="J33" s="41" t="s">
        <v>59</v>
      </c>
      <c r="K33" s="45"/>
      <c r="L33" s="45"/>
      <c r="M33" s="46"/>
      <c r="N33" s="43" t="s">
        <v>25</v>
      </c>
      <c r="O33" s="40"/>
      <c r="P33" s="32"/>
      <c r="Q33" s="32"/>
    </row>
    <row r="34" spans="1:17" hidden="1" x14ac:dyDescent="0.35">
      <c r="A34" s="38" t="s">
        <v>20</v>
      </c>
      <c r="B34" s="39">
        <v>203033</v>
      </c>
      <c r="C34" s="40">
        <v>61061</v>
      </c>
      <c r="D34" s="40" t="s">
        <v>22</v>
      </c>
      <c r="E34" s="40" t="s">
        <v>29</v>
      </c>
      <c r="F34" s="40"/>
      <c r="G34" s="40"/>
      <c r="H34" s="40"/>
      <c r="I34" s="40"/>
      <c r="J34" s="41"/>
      <c r="K34" s="44"/>
      <c r="L34" s="44"/>
      <c r="M34" s="42"/>
      <c r="N34" s="43" t="s">
        <v>25</v>
      </c>
      <c r="O34" s="40"/>
      <c r="P34" s="32"/>
      <c r="Q34" s="32"/>
    </row>
    <row r="35" spans="1:17" hidden="1" x14ac:dyDescent="0.35">
      <c r="A35" s="38" t="s">
        <v>20</v>
      </c>
      <c r="B35" s="39">
        <v>203035</v>
      </c>
      <c r="C35" s="40">
        <v>61014</v>
      </c>
      <c r="D35" s="40" t="s">
        <v>22</v>
      </c>
      <c r="E35" s="40" t="s">
        <v>37</v>
      </c>
      <c r="F35" s="40">
        <v>23</v>
      </c>
      <c r="G35" s="40"/>
      <c r="H35" s="40"/>
      <c r="I35" s="40"/>
      <c r="J35" s="41" t="s">
        <v>60</v>
      </c>
      <c r="K35" s="44"/>
      <c r="L35" s="44"/>
      <c r="M35" s="42"/>
      <c r="N35" s="43" t="s">
        <v>47</v>
      </c>
      <c r="O35" s="40"/>
      <c r="P35" s="32"/>
      <c r="Q35" s="32"/>
    </row>
    <row r="36" spans="1:17" hidden="1" x14ac:dyDescent="0.35">
      <c r="A36" s="38" t="s">
        <v>20</v>
      </c>
      <c r="B36" s="39">
        <v>203087</v>
      </c>
      <c r="C36" s="40">
        <v>61050</v>
      </c>
      <c r="D36" s="40" t="s">
        <v>22</v>
      </c>
      <c r="E36" s="40" t="s">
        <v>27</v>
      </c>
      <c r="F36" s="40"/>
      <c r="G36" s="40"/>
      <c r="H36" s="40"/>
      <c r="I36" s="40"/>
      <c r="J36" s="41"/>
      <c r="K36" s="44"/>
      <c r="L36" s="44"/>
      <c r="M36" s="42"/>
      <c r="N36" s="43" t="s">
        <v>47</v>
      </c>
      <c r="O36" s="40"/>
      <c r="P36" s="32"/>
      <c r="Q36" s="32"/>
    </row>
    <row r="37" spans="1:17" hidden="1" x14ac:dyDescent="0.35">
      <c r="A37" s="38" t="s">
        <v>20</v>
      </c>
      <c r="B37" s="39">
        <v>203169</v>
      </c>
      <c r="C37" s="40" t="s">
        <v>26</v>
      </c>
      <c r="D37" s="40" t="s">
        <v>22</v>
      </c>
      <c r="E37" s="40" t="s">
        <v>27</v>
      </c>
      <c r="F37" s="40"/>
      <c r="G37" s="40"/>
      <c r="H37" s="40"/>
      <c r="I37" s="40"/>
      <c r="J37" s="41"/>
      <c r="K37" s="45"/>
      <c r="L37" s="45"/>
      <c r="M37" s="46"/>
      <c r="N37" s="43" t="s">
        <v>25</v>
      </c>
      <c r="O37" s="40"/>
      <c r="P37" s="32"/>
      <c r="Q37" s="32"/>
    </row>
    <row r="38" spans="1:17" hidden="1" x14ac:dyDescent="0.35">
      <c r="A38" s="38" t="s">
        <v>20</v>
      </c>
      <c r="B38" s="39">
        <v>203171</v>
      </c>
      <c r="C38" s="40">
        <v>61072</v>
      </c>
      <c r="D38" s="40" t="s">
        <v>22</v>
      </c>
      <c r="E38" s="40" t="s">
        <v>31</v>
      </c>
      <c r="F38" s="40"/>
      <c r="G38" s="40"/>
      <c r="H38" s="40"/>
      <c r="I38" s="40"/>
      <c r="J38" s="41"/>
      <c r="K38" s="44"/>
      <c r="L38" s="44"/>
      <c r="M38" s="42"/>
      <c r="N38" s="43" t="s">
        <v>25</v>
      </c>
      <c r="O38" s="40"/>
      <c r="P38" s="32"/>
      <c r="Q38" s="32"/>
    </row>
    <row r="39" spans="1:17" hidden="1" x14ac:dyDescent="0.35">
      <c r="A39" s="38" t="s">
        <v>20</v>
      </c>
      <c r="B39" s="39">
        <v>203172</v>
      </c>
      <c r="C39" s="40">
        <v>61010</v>
      </c>
      <c r="D39" s="40" t="s">
        <v>22</v>
      </c>
      <c r="E39" s="40" t="s">
        <v>41</v>
      </c>
      <c r="F39" s="40">
        <v>25</v>
      </c>
      <c r="G39" s="40"/>
      <c r="H39" s="40"/>
      <c r="I39" s="40"/>
      <c r="J39" s="41" t="s">
        <v>61</v>
      </c>
      <c r="K39" s="44"/>
      <c r="L39" s="44"/>
      <c r="M39" s="42"/>
      <c r="N39" s="43" t="s">
        <v>25</v>
      </c>
      <c r="O39" s="40"/>
      <c r="P39" s="32"/>
      <c r="Q39" s="32"/>
    </row>
    <row r="40" spans="1:17" hidden="1" x14ac:dyDescent="0.35">
      <c r="A40" s="38" t="s">
        <v>20</v>
      </c>
      <c r="B40" s="39">
        <v>203173</v>
      </c>
      <c r="C40" s="40">
        <v>61014</v>
      </c>
      <c r="D40" s="40" t="s">
        <v>22</v>
      </c>
      <c r="E40" s="40" t="s">
        <v>37</v>
      </c>
      <c r="F40" s="40"/>
      <c r="G40" s="40"/>
      <c r="H40" s="40"/>
      <c r="I40" s="40"/>
      <c r="J40" s="41" t="s">
        <v>62</v>
      </c>
      <c r="K40" s="44"/>
      <c r="L40" s="44"/>
      <c r="M40" s="42"/>
      <c r="N40" s="43" t="s">
        <v>25</v>
      </c>
      <c r="O40" s="40"/>
      <c r="P40" s="32"/>
      <c r="Q40" s="32"/>
    </row>
    <row r="41" spans="1:17" hidden="1" x14ac:dyDescent="0.35">
      <c r="A41" s="38" t="s">
        <v>20</v>
      </c>
      <c r="B41" s="39">
        <v>203174</v>
      </c>
      <c r="C41" s="40" t="s">
        <v>21</v>
      </c>
      <c r="D41" s="40" t="s">
        <v>22</v>
      </c>
      <c r="E41" s="40" t="s">
        <v>23</v>
      </c>
      <c r="F41" s="40"/>
      <c r="G41" s="40"/>
      <c r="H41" s="40"/>
      <c r="I41" s="40"/>
      <c r="J41" s="41"/>
      <c r="K41" s="44"/>
      <c r="L41" s="44"/>
      <c r="M41" s="42"/>
      <c r="N41" s="43" t="s">
        <v>25</v>
      </c>
      <c r="O41" s="40"/>
      <c r="P41" s="32"/>
      <c r="Q41" s="32"/>
    </row>
    <row r="42" spans="1:17" hidden="1" x14ac:dyDescent="0.35">
      <c r="A42" s="38" t="s">
        <v>20</v>
      </c>
      <c r="B42" s="39">
        <v>203175</v>
      </c>
      <c r="C42" s="40">
        <v>61082</v>
      </c>
      <c r="D42" s="40" t="s">
        <v>22</v>
      </c>
      <c r="E42" s="40" t="s">
        <v>33</v>
      </c>
      <c r="F42" s="40"/>
      <c r="G42" s="40"/>
      <c r="H42" s="40"/>
      <c r="I42" s="40"/>
      <c r="J42" s="41"/>
      <c r="K42" s="44"/>
      <c r="L42" s="44"/>
      <c r="M42" s="42"/>
      <c r="N42" s="43" t="s">
        <v>25</v>
      </c>
      <c r="O42" s="40"/>
      <c r="P42" s="32"/>
      <c r="Q42" s="32"/>
    </row>
    <row r="43" spans="1:17" hidden="1" x14ac:dyDescent="0.35">
      <c r="A43" s="38" t="s">
        <v>20</v>
      </c>
      <c r="B43" s="47">
        <v>203193</v>
      </c>
      <c r="C43" s="40">
        <v>61014</v>
      </c>
      <c r="D43" s="40" t="s">
        <v>22</v>
      </c>
      <c r="E43" s="40" t="s">
        <v>37</v>
      </c>
      <c r="F43" s="42">
        <v>25</v>
      </c>
      <c r="G43" s="40"/>
      <c r="H43" s="40"/>
      <c r="I43" s="40"/>
      <c r="J43" s="41" t="s">
        <v>63</v>
      </c>
      <c r="K43" s="44"/>
      <c r="L43" s="44"/>
      <c r="M43" s="42"/>
      <c r="N43" s="43" t="s">
        <v>25</v>
      </c>
      <c r="O43" s="40"/>
      <c r="P43" s="32"/>
      <c r="Q43" s="32"/>
    </row>
    <row r="44" spans="1:17" hidden="1" x14ac:dyDescent="0.35">
      <c r="A44" s="38" t="s">
        <v>20</v>
      </c>
      <c r="B44" s="39">
        <v>203194</v>
      </c>
      <c r="C44" s="40">
        <v>61014</v>
      </c>
      <c r="D44" s="40" t="s">
        <v>22</v>
      </c>
      <c r="E44" s="40" t="s">
        <v>37</v>
      </c>
      <c r="F44" s="40">
        <v>25</v>
      </c>
      <c r="G44" s="40"/>
      <c r="H44" s="40"/>
      <c r="I44" s="40"/>
      <c r="J44" s="41" t="s">
        <v>64</v>
      </c>
      <c r="K44" s="44"/>
      <c r="L44" s="44"/>
      <c r="M44" s="42"/>
      <c r="N44" s="43" t="s">
        <v>25</v>
      </c>
      <c r="O44" s="40"/>
      <c r="P44" s="32"/>
      <c r="Q44" s="32"/>
    </row>
    <row r="45" spans="1:17" hidden="1" x14ac:dyDescent="0.35">
      <c r="A45" s="38" t="s">
        <v>20</v>
      </c>
      <c r="B45" s="39">
        <v>203624</v>
      </c>
      <c r="C45" s="40"/>
      <c r="D45" s="40" t="s">
        <v>22</v>
      </c>
      <c r="E45" s="48" t="s">
        <v>65</v>
      </c>
      <c r="F45" s="40">
        <v>25</v>
      </c>
      <c r="G45" s="40"/>
      <c r="H45" s="40"/>
      <c r="I45" s="40"/>
      <c r="J45" s="41" t="s">
        <v>66</v>
      </c>
      <c r="K45" s="44"/>
      <c r="L45" s="44"/>
      <c r="M45" s="42"/>
      <c r="N45" s="43" t="s">
        <v>25</v>
      </c>
      <c r="O45" s="40"/>
      <c r="P45" s="32"/>
      <c r="Q45" s="32"/>
    </row>
    <row r="46" spans="1:17" hidden="1" x14ac:dyDescent="0.35">
      <c r="A46" s="38" t="s">
        <v>20</v>
      </c>
      <c r="B46" s="39">
        <v>203839</v>
      </c>
      <c r="C46" s="40" t="s">
        <v>21</v>
      </c>
      <c r="D46" s="40" t="s">
        <v>22</v>
      </c>
      <c r="E46" s="40" t="s">
        <v>23</v>
      </c>
      <c r="F46" s="40"/>
      <c r="G46" s="40"/>
      <c r="H46" s="40"/>
      <c r="I46" s="40"/>
      <c r="J46" s="41"/>
      <c r="K46" s="44"/>
      <c r="L46" s="44"/>
      <c r="M46" s="42"/>
      <c r="N46" s="43" t="s">
        <v>25</v>
      </c>
      <c r="O46" s="40"/>
      <c r="P46" s="32"/>
      <c r="Q46" s="32"/>
    </row>
    <row r="47" spans="1:17" hidden="1" x14ac:dyDescent="0.35">
      <c r="A47" s="38" t="s">
        <v>20</v>
      </c>
      <c r="B47" s="39">
        <v>203846</v>
      </c>
      <c r="C47" s="40"/>
      <c r="D47" s="40" t="s">
        <v>22</v>
      </c>
      <c r="E47" s="40" t="s">
        <v>43</v>
      </c>
      <c r="F47" s="40"/>
      <c r="G47" s="40"/>
      <c r="H47" s="40"/>
      <c r="I47" s="40"/>
      <c r="J47" s="41"/>
      <c r="K47" s="44"/>
      <c r="L47" s="44"/>
      <c r="M47" s="42"/>
      <c r="N47" s="43" t="s">
        <v>25</v>
      </c>
      <c r="O47" s="40"/>
      <c r="P47" s="32"/>
      <c r="Q47" s="32"/>
    </row>
    <row r="48" spans="1:17" hidden="1" x14ac:dyDescent="0.35">
      <c r="A48" s="38" t="s">
        <v>20</v>
      </c>
      <c r="B48" s="39">
        <v>61010</v>
      </c>
      <c r="C48" s="40"/>
      <c r="D48" s="40" t="s">
        <v>67</v>
      </c>
      <c r="E48" s="40" t="s">
        <v>41</v>
      </c>
      <c r="F48" s="40">
        <v>25</v>
      </c>
      <c r="G48" s="40"/>
      <c r="H48" s="40"/>
      <c r="I48" s="40"/>
      <c r="J48" s="41" t="s">
        <v>68</v>
      </c>
      <c r="K48" s="45"/>
      <c r="L48" s="45"/>
      <c r="M48" s="46"/>
      <c r="N48" s="43" t="s">
        <v>25</v>
      </c>
      <c r="O48" s="40"/>
      <c r="P48" s="32"/>
      <c r="Q48" s="32"/>
    </row>
    <row r="49" spans="1:17" hidden="1" x14ac:dyDescent="0.35">
      <c r="A49" s="38" t="s">
        <v>20</v>
      </c>
      <c r="B49" s="39">
        <v>61014</v>
      </c>
      <c r="C49" s="40"/>
      <c r="D49" s="40" t="s">
        <v>67</v>
      </c>
      <c r="E49" s="40" t="s">
        <v>37</v>
      </c>
      <c r="F49" s="40">
        <v>25</v>
      </c>
      <c r="G49" s="40"/>
      <c r="H49" s="40"/>
      <c r="I49" s="40"/>
      <c r="J49" s="41" t="s">
        <v>69</v>
      </c>
      <c r="K49" s="44"/>
      <c r="L49" s="44"/>
      <c r="M49" s="42"/>
      <c r="N49" s="43" t="s">
        <v>47</v>
      </c>
      <c r="O49" s="40"/>
      <c r="P49" s="32"/>
      <c r="Q49" s="32"/>
    </row>
    <row r="50" spans="1:17" hidden="1" x14ac:dyDescent="0.35">
      <c r="A50" s="38" t="s">
        <v>20</v>
      </c>
      <c r="B50" s="39">
        <v>61016</v>
      </c>
      <c r="C50" s="40"/>
      <c r="D50" s="40" t="s">
        <v>67</v>
      </c>
      <c r="E50" s="40" t="s">
        <v>37</v>
      </c>
      <c r="F50" s="40">
        <v>25</v>
      </c>
      <c r="G50" s="40"/>
      <c r="H50" s="40"/>
      <c r="I50" s="40"/>
      <c r="J50" s="41" t="s">
        <v>70</v>
      </c>
      <c r="K50" s="44"/>
      <c r="L50" s="44"/>
      <c r="M50" s="42"/>
      <c r="N50" s="43" t="s">
        <v>47</v>
      </c>
      <c r="O50" s="40"/>
      <c r="P50" s="32"/>
      <c r="Q50" s="32"/>
    </row>
    <row r="51" spans="1:17" hidden="1" x14ac:dyDescent="0.35">
      <c r="A51" s="38" t="s">
        <v>20</v>
      </c>
      <c r="B51" s="39">
        <v>61018</v>
      </c>
      <c r="C51" s="40"/>
      <c r="D51" s="40" t="s">
        <v>67</v>
      </c>
      <c r="E51" s="40" t="s">
        <v>41</v>
      </c>
      <c r="F51" s="40">
        <v>25</v>
      </c>
      <c r="G51" s="40"/>
      <c r="H51" s="40"/>
      <c r="I51" s="40"/>
      <c r="J51" s="41" t="s">
        <v>71</v>
      </c>
      <c r="K51" s="53"/>
      <c r="L51" s="53"/>
      <c r="M51" s="42"/>
      <c r="N51" s="40" t="s">
        <v>25</v>
      </c>
      <c r="O51" s="40"/>
      <c r="P51" s="32"/>
      <c r="Q51" s="32"/>
    </row>
    <row r="52" spans="1:17" hidden="1" x14ac:dyDescent="0.35">
      <c r="A52" s="38" t="s">
        <v>20</v>
      </c>
      <c r="B52" s="39">
        <v>61040</v>
      </c>
      <c r="C52" s="40"/>
      <c r="D52" s="40" t="s">
        <v>67</v>
      </c>
      <c r="E52" s="48" t="s">
        <v>43</v>
      </c>
      <c r="F52" s="40">
        <v>25</v>
      </c>
      <c r="G52" s="40"/>
      <c r="H52" s="40"/>
      <c r="I52" s="40"/>
      <c r="J52" s="41" t="s">
        <v>72</v>
      </c>
      <c r="K52" s="44"/>
      <c r="L52" s="44"/>
      <c r="M52" s="42"/>
      <c r="N52" s="43" t="s">
        <v>25</v>
      </c>
      <c r="O52" s="40"/>
      <c r="P52" s="32"/>
      <c r="Q52" s="32"/>
    </row>
    <row r="53" spans="1:17" hidden="1" x14ac:dyDescent="0.35">
      <c r="A53" s="38" t="s">
        <v>20</v>
      </c>
      <c r="B53" s="39">
        <v>61042</v>
      </c>
      <c r="C53" s="40"/>
      <c r="D53" s="40" t="s">
        <v>67</v>
      </c>
      <c r="E53" s="48" t="s">
        <v>43</v>
      </c>
      <c r="F53" s="40">
        <v>25</v>
      </c>
      <c r="G53" s="40"/>
      <c r="H53" s="40"/>
      <c r="I53" s="40"/>
      <c r="J53" s="41" t="s">
        <v>73</v>
      </c>
      <c r="K53" s="44"/>
      <c r="L53" s="44"/>
      <c r="M53" s="42"/>
      <c r="N53" s="43" t="s">
        <v>47</v>
      </c>
      <c r="O53" s="40"/>
      <c r="P53" s="32"/>
      <c r="Q53" s="32"/>
    </row>
    <row r="54" spans="1:17" hidden="1" x14ac:dyDescent="0.35">
      <c r="A54" s="38" t="s">
        <v>20</v>
      </c>
      <c r="B54" s="39">
        <v>61048</v>
      </c>
      <c r="C54" s="40"/>
      <c r="D54" s="40" t="s">
        <v>67</v>
      </c>
      <c r="E54" s="40" t="s">
        <v>43</v>
      </c>
      <c r="F54" s="40">
        <v>25</v>
      </c>
      <c r="G54" s="40"/>
      <c r="H54" s="40"/>
      <c r="I54" s="40"/>
      <c r="J54" s="41" t="s">
        <v>74</v>
      </c>
      <c r="K54" s="44"/>
      <c r="L54" s="44"/>
      <c r="M54" s="42"/>
      <c r="N54" s="43" t="s">
        <v>25</v>
      </c>
      <c r="O54" s="40"/>
      <c r="P54" s="32"/>
      <c r="Q54" s="32"/>
    </row>
    <row r="55" spans="1:17" hidden="1" x14ac:dyDescent="0.35">
      <c r="A55" s="38" t="s">
        <v>20</v>
      </c>
      <c r="B55" s="39">
        <v>61049</v>
      </c>
      <c r="C55" s="40"/>
      <c r="D55" s="40" t="s">
        <v>67</v>
      </c>
      <c r="E55" s="48" t="s">
        <v>43</v>
      </c>
      <c r="F55" s="40">
        <v>25</v>
      </c>
      <c r="G55" s="40"/>
      <c r="H55" s="40"/>
      <c r="I55" s="40"/>
      <c r="J55" s="41" t="s">
        <v>75</v>
      </c>
      <c r="K55" s="45"/>
      <c r="L55" s="45"/>
      <c r="M55" s="46"/>
      <c r="N55" s="43" t="s">
        <v>47</v>
      </c>
      <c r="O55" s="40"/>
      <c r="P55" s="32"/>
      <c r="Q55" s="32"/>
    </row>
    <row r="56" spans="1:17" hidden="1" x14ac:dyDescent="0.35">
      <c r="A56" s="38" t="s">
        <v>20</v>
      </c>
      <c r="B56" s="39">
        <v>61050</v>
      </c>
      <c r="C56" s="40"/>
      <c r="D56" s="40" t="s">
        <v>67</v>
      </c>
      <c r="E56" s="40" t="s">
        <v>27</v>
      </c>
      <c r="F56" s="40">
        <v>25</v>
      </c>
      <c r="G56" s="40"/>
      <c r="H56" s="40"/>
      <c r="I56" s="40"/>
      <c r="J56" s="41" t="s">
        <v>76</v>
      </c>
      <c r="K56" s="45"/>
      <c r="L56" s="45"/>
      <c r="M56" s="46"/>
      <c r="N56" s="43" t="s">
        <v>47</v>
      </c>
      <c r="O56" s="40"/>
      <c r="P56" s="32"/>
      <c r="Q56" s="32"/>
    </row>
    <row r="57" spans="1:17" hidden="1" x14ac:dyDescent="0.35">
      <c r="A57" s="38" t="s">
        <v>20</v>
      </c>
      <c r="B57" s="39">
        <v>61051</v>
      </c>
      <c r="C57" s="40"/>
      <c r="D57" s="40" t="s">
        <v>67</v>
      </c>
      <c r="E57" s="40" t="s">
        <v>27</v>
      </c>
      <c r="F57" s="40">
        <v>25</v>
      </c>
      <c r="G57" s="40"/>
      <c r="H57" s="40"/>
      <c r="I57" s="40"/>
      <c r="J57" s="41" t="s">
        <v>77</v>
      </c>
      <c r="K57" s="44"/>
      <c r="L57" s="44"/>
      <c r="M57" s="42"/>
      <c r="N57" s="43" t="s">
        <v>47</v>
      </c>
      <c r="O57" s="40"/>
      <c r="P57" s="32"/>
      <c r="Q57" s="32"/>
    </row>
    <row r="58" spans="1:17" hidden="1" x14ac:dyDescent="0.35">
      <c r="A58" s="38" t="s">
        <v>20</v>
      </c>
      <c r="B58" s="39">
        <v>61054</v>
      </c>
      <c r="C58" s="40"/>
      <c r="D58" s="40" t="s">
        <v>67</v>
      </c>
      <c r="E58" s="40" t="s">
        <v>78</v>
      </c>
      <c r="F58" s="40">
        <v>25</v>
      </c>
      <c r="G58" s="40"/>
      <c r="H58" s="40"/>
      <c r="I58" s="40"/>
      <c r="J58" s="41" t="s">
        <v>79</v>
      </c>
      <c r="K58" s="44"/>
      <c r="L58" s="44"/>
      <c r="M58" s="42"/>
      <c r="N58" s="43" t="s">
        <v>47</v>
      </c>
      <c r="O58" s="40"/>
      <c r="P58" s="32"/>
      <c r="Q58" s="32"/>
    </row>
    <row r="59" spans="1:17" hidden="1" x14ac:dyDescent="0.35">
      <c r="A59" s="38" t="s">
        <v>20</v>
      </c>
      <c r="B59" s="39">
        <v>61055</v>
      </c>
      <c r="C59" s="40"/>
      <c r="D59" s="40" t="s">
        <v>67</v>
      </c>
      <c r="E59" s="40" t="s">
        <v>80</v>
      </c>
      <c r="F59" s="40">
        <v>25</v>
      </c>
      <c r="G59" s="40"/>
      <c r="H59" s="40"/>
      <c r="I59" s="40"/>
      <c r="J59" s="41" t="s">
        <v>81</v>
      </c>
      <c r="K59" s="53"/>
      <c r="L59" s="53"/>
      <c r="M59" s="42"/>
      <c r="N59" s="40" t="s">
        <v>25</v>
      </c>
      <c r="O59" s="40"/>
      <c r="P59" s="32"/>
      <c r="Q59" s="32"/>
    </row>
    <row r="60" spans="1:17" hidden="1" x14ac:dyDescent="0.35">
      <c r="A60" s="38" t="s">
        <v>20</v>
      </c>
      <c r="B60" s="39">
        <v>61061</v>
      </c>
      <c r="C60" s="40"/>
      <c r="D60" s="40" t="s">
        <v>67</v>
      </c>
      <c r="E60" s="40" t="s">
        <v>29</v>
      </c>
      <c r="F60" s="40">
        <v>25</v>
      </c>
      <c r="G60" s="40"/>
      <c r="H60" s="40"/>
      <c r="I60" s="40"/>
      <c r="J60" s="41" t="s">
        <v>82</v>
      </c>
      <c r="K60" s="45"/>
      <c r="L60" s="45"/>
      <c r="M60" s="46"/>
      <c r="N60" s="43" t="s">
        <v>25</v>
      </c>
      <c r="O60" s="40"/>
      <c r="P60" s="32"/>
      <c r="Q60" s="32"/>
    </row>
    <row r="61" spans="1:17" hidden="1" x14ac:dyDescent="0.35">
      <c r="A61" s="38" t="s">
        <v>20</v>
      </c>
      <c r="B61" s="39">
        <v>61062</v>
      </c>
      <c r="C61" s="40"/>
      <c r="D61" s="40" t="s">
        <v>67</v>
      </c>
      <c r="E61" s="40" t="s">
        <v>29</v>
      </c>
      <c r="F61" s="40">
        <v>25</v>
      </c>
      <c r="G61" s="40"/>
      <c r="H61" s="40"/>
      <c r="I61" s="40"/>
      <c r="J61" s="41" t="s">
        <v>83</v>
      </c>
      <c r="K61" s="44"/>
      <c r="L61" s="44"/>
      <c r="M61" s="42"/>
      <c r="N61" s="43" t="s">
        <v>25</v>
      </c>
      <c r="O61" s="40"/>
      <c r="P61" s="32"/>
      <c r="Q61" s="32"/>
    </row>
    <row r="62" spans="1:17" hidden="1" x14ac:dyDescent="0.35">
      <c r="A62" s="38" t="s">
        <v>20</v>
      </c>
      <c r="B62" s="39">
        <v>61064</v>
      </c>
      <c r="C62" s="40"/>
      <c r="D62" s="40" t="s">
        <v>67</v>
      </c>
      <c r="E62" s="40" t="s">
        <v>27</v>
      </c>
      <c r="F62" s="40">
        <v>25</v>
      </c>
      <c r="G62" s="40"/>
      <c r="H62" s="40"/>
      <c r="I62" s="40"/>
      <c r="J62" s="41" t="s">
        <v>84</v>
      </c>
      <c r="K62" s="44"/>
      <c r="L62" s="44"/>
      <c r="M62" s="42"/>
      <c r="N62" s="43" t="s">
        <v>47</v>
      </c>
      <c r="O62" s="40"/>
      <c r="P62" s="32"/>
      <c r="Q62" s="32"/>
    </row>
    <row r="63" spans="1:17" hidden="1" x14ac:dyDescent="0.35">
      <c r="A63" s="38" t="s">
        <v>20</v>
      </c>
      <c r="B63" s="39">
        <v>61069</v>
      </c>
      <c r="C63" s="40"/>
      <c r="D63" s="40" t="s">
        <v>67</v>
      </c>
      <c r="E63" s="40" t="s">
        <v>27</v>
      </c>
      <c r="F63" s="40">
        <v>25</v>
      </c>
      <c r="G63" s="40"/>
      <c r="H63" s="40"/>
      <c r="I63" s="40"/>
      <c r="J63" s="41" t="s">
        <v>85</v>
      </c>
      <c r="K63" s="44"/>
      <c r="L63" s="44"/>
      <c r="M63" s="42"/>
      <c r="N63" s="43" t="s">
        <v>47</v>
      </c>
      <c r="O63" s="40"/>
      <c r="P63" s="32"/>
      <c r="Q63" s="32"/>
    </row>
    <row r="64" spans="1:17" hidden="1" x14ac:dyDescent="0.35">
      <c r="A64" s="38" t="s">
        <v>20</v>
      </c>
      <c r="B64" s="39">
        <v>61070</v>
      </c>
      <c r="C64" s="40"/>
      <c r="D64" s="40" t="s">
        <v>67</v>
      </c>
      <c r="E64" s="40" t="s">
        <v>27</v>
      </c>
      <c r="F64" s="40">
        <v>25</v>
      </c>
      <c r="G64" s="40"/>
      <c r="H64" s="40"/>
      <c r="I64" s="40"/>
      <c r="J64" s="41"/>
      <c r="K64" s="44"/>
      <c r="L64" s="44"/>
      <c r="M64" s="42"/>
      <c r="N64" s="43" t="s">
        <v>47</v>
      </c>
      <c r="O64" s="40"/>
      <c r="P64" s="32"/>
      <c r="Q64" s="32"/>
    </row>
    <row r="65" spans="1:17" hidden="1" x14ac:dyDescent="0.35">
      <c r="A65" s="38" t="s">
        <v>20</v>
      </c>
      <c r="B65" s="39">
        <v>61072</v>
      </c>
      <c r="C65" s="40"/>
      <c r="D65" s="40" t="s">
        <v>67</v>
      </c>
      <c r="E65" s="40" t="s">
        <v>31</v>
      </c>
      <c r="F65" s="40">
        <v>25</v>
      </c>
      <c r="G65" s="40"/>
      <c r="H65" s="40"/>
      <c r="I65" s="40"/>
      <c r="J65" s="41" t="s">
        <v>86</v>
      </c>
      <c r="K65" s="44"/>
      <c r="L65" s="44"/>
      <c r="M65" s="42"/>
      <c r="N65" s="43" t="s">
        <v>47</v>
      </c>
      <c r="O65" s="40"/>
      <c r="P65" s="32"/>
      <c r="Q65" s="32"/>
    </row>
    <row r="66" spans="1:17" hidden="1" x14ac:dyDescent="0.35">
      <c r="A66" s="38" t="s">
        <v>20</v>
      </c>
      <c r="B66" s="39">
        <v>61073</v>
      </c>
      <c r="C66" s="40"/>
      <c r="D66" s="40" t="s">
        <v>67</v>
      </c>
      <c r="E66" s="40" t="s">
        <v>31</v>
      </c>
      <c r="F66" s="40">
        <v>25</v>
      </c>
      <c r="G66" s="40"/>
      <c r="H66" s="40"/>
      <c r="I66" s="40"/>
      <c r="J66" s="41" t="s">
        <v>87</v>
      </c>
      <c r="K66" s="44"/>
      <c r="L66" s="44"/>
      <c r="M66" s="42"/>
      <c r="N66" s="43" t="s">
        <v>25</v>
      </c>
      <c r="O66" s="40"/>
      <c r="P66" s="32"/>
      <c r="Q66" s="32"/>
    </row>
    <row r="67" spans="1:17" hidden="1" x14ac:dyDescent="0.35">
      <c r="A67" s="38" t="s">
        <v>20</v>
      </c>
      <c r="B67" s="39">
        <v>61074</v>
      </c>
      <c r="C67" s="40"/>
      <c r="D67" s="40" t="s">
        <v>67</v>
      </c>
      <c r="E67" s="40" t="s">
        <v>31</v>
      </c>
      <c r="F67" s="40">
        <v>25</v>
      </c>
      <c r="G67" s="40"/>
      <c r="H67" s="40"/>
      <c r="I67" s="40"/>
      <c r="J67" s="41" t="s">
        <v>88</v>
      </c>
      <c r="K67" s="44"/>
      <c r="L67" s="44"/>
      <c r="M67" s="42"/>
      <c r="N67" s="43" t="s">
        <v>47</v>
      </c>
      <c r="O67" s="40"/>
      <c r="P67" s="32"/>
      <c r="Q67" s="32"/>
    </row>
    <row r="68" spans="1:17" hidden="1" x14ac:dyDescent="0.35">
      <c r="A68" s="38" t="s">
        <v>20</v>
      </c>
      <c r="B68" s="39">
        <v>61075</v>
      </c>
      <c r="C68" s="40"/>
      <c r="D68" s="40" t="s">
        <v>67</v>
      </c>
      <c r="E68" s="40" t="s">
        <v>31</v>
      </c>
      <c r="F68" s="40">
        <v>25</v>
      </c>
      <c r="G68" s="40"/>
      <c r="H68" s="40"/>
      <c r="I68" s="40"/>
      <c r="J68" s="41" t="s">
        <v>89</v>
      </c>
      <c r="K68" s="44"/>
      <c r="L68" s="44"/>
      <c r="M68" s="42"/>
      <c r="N68" s="43" t="s">
        <v>25</v>
      </c>
      <c r="O68" s="40"/>
      <c r="P68" s="32"/>
      <c r="Q68" s="32"/>
    </row>
    <row r="69" spans="1:17" hidden="1" x14ac:dyDescent="0.35">
      <c r="A69" s="38" t="s">
        <v>20</v>
      </c>
      <c r="B69" s="39">
        <v>61076</v>
      </c>
      <c r="C69" s="40"/>
      <c r="D69" s="40" t="s">
        <v>67</v>
      </c>
      <c r="E69" s="40" t="s">
        <v>31</v>
      </c>
      <c r="F69" s="40">
        <v>25</v>
      </c>
      <c r="G69" s="40"/>
      <c r="H69" s="40"/>
      <c r="I69" s="40"/>
      <c r="J69" s="41"/>
      <c r="K69" s="44"/>
      <c r="L69" s="44"/>
      <c r="M69" s="42"/>
      <c r="N69" s="43" t="s">
        <v>47</v>
      </c>
      <c r="O69" s="40"/>
      <c r="P69" s="32"/>
      <c r="Q69" s="32"/>
    </row>
    <row r="70" spans="1:17" hidden="1" x14ac:dyDescent="0.35">
      <c r="A70" s="38" t="s">
        <v>20</v>
      </c>
      <c r="B70" s="39">
        <v>61077</v>
      </c>
      <c r="C70" s="40"/>
      <c r="D70" s="40" t="s">
        <v>67</v>
      </c>
      <c r="E70" s="40" t="s">
        <v>33</v>
      </c>
      <c r="F70" s="40">
        <v>25</v>
      </c>
      <c r="G70" s="40"/>
      <c r="H70" s="40"/>
      <c r="I70" s="40"/>
      <c r="J70" s="41" t="s">
        <v>90</v>
      </c>
      <c r="K70" s="44"/>
      <c r="L70" s="44"/>
      <c r="M70" s="42"/>
      <c r="N70" s="43" t="s">
        <v>47</v>
      </c>
      <c r="O70" s="40"/>
      <c r="P70" s="32"/>
      <c r="Q70" s="32"/>
    </row>
    <row r="71" spans="1:17" hidden="1" x14ac:dyDescent="0.35">
      <c r="A71" s="38" t="s">
        <v>20</v>
      </c>
      <c r="B71" s="39">
        <v>61078</v>
      </c>
      <c r="C71" s="40"/>
      <c r="D71" s="40" t="s">
        <v>67</v>
      </c>
      <c r="E71" s="40" t="s">
        <v>33</v>
      </c>
      <c r="F71" s="40">
        <v>25</v>
      </c>
      <c r="G71" s="40"/>
      <c r="H71" s="40"/>
      <c r="I71" s="40"/>
      <c r="J71" s="41" t="s">
        <v>91</v>
      </c>
      <c r="K71" s="44"/>
      <c r="L71" s="44"/>
      <c r="M71" s="42"/>
      <c r="N71" s="43" t="s">
        <v>40</v>
      </c>
      <c r="O71" s="40"/>
      <c r="P71" s="32"/>
      <c r="Q71" s="32"/>
    </row>
    <row r="72" spans="1:17" hidden="1" x14ac:dyDescent="0.35">
      <c r="A72" s="38" t="s">
        <v>20</v>
      </c>
      <c r="B72" s="39">
        <v>61079</v>
      </c>
      <c r="C72" s="40"/>
      <c r="D72" s="40" t="s">
        <v>67</v>
      </c>
      <c r="E72" s="40" t="s">
        <v>33</v>
      </c>
      <c r="F72" s="40">
        <v>25</v>
      </c>
      <c r="G72" s="40"/>
      <c r="H72" s="40"/>
      <c r="I72" s="40"/>
      <c r="J72" s="41" t="s">
        <v>92</v>
      </c>
      <c r="K72" s="44"/>
      <c r="L72" s="44"/>
      <c r="M72" s="42"/>
      <c r="N72" s="43" t="s">
        <v>47</v>
      </c>
      <c r="O72" s="40"/>
      <c r="P72" s="32"/>
      <c r="Q72" s="32"/>
    </row>
    <row r="73" spans="1:17" hidden="1" x14ac:dyDescent="0.35">
      <c r="A73" s="38" t="s">
        <v>20</v>
      </c>
      <c r="B73" s="39">
        <v>61082</v>
      </c>
      <c r="C73" s="40"/>
      <c r="D73" s="40" t="s">
        <v>67</v>
      </c>
      <c r="E73" s="40" t="s">
        <v>33</v>
      </c>
      <c r="F73" s="40">
        <v>25</v>
      </c>
      <c r="G73" s="40"/>
      <c r="H73" s="40"/>
      <c r="I73" s="40"/>
      <c r="J73" s="41" t="s">
        <v>93</v>
      </c>
      <c r="K73" s="44"/>
      <c r="L73" s="44"/>
      <c r="M73" s="42"/>
      <c r="N73" s="43" t="s">
        <v>25</v>
      </c>
      <c r="O73" s="40"/>
      <c r="P73" s="32"/>
      <c r="Q73" s="32"/>
    </row>
    <row r="74" spans="1:17" hidden="1" x14ac:dyDescent="0.35">
      <c r="A74" s="38" t="s">
        <v>20</v>
      </c>
      <c r="B74" s="39">
        <v>61086</v>
      </c>
      <c r="C74" s="40"/>
      <c r="D74" s="40" t="s">
        <v>67</v>
      </c>
      <c r="E74" s="40" t="s">
        <v>23</v>
      </c>
      <c r="F74" s="40">
        <v>25</v>
      </c>
      <c r="G74" s="40"/>
      <c r="H74" s="40"/>
      <c r="I74" s="40"/>
      <c r="J74" s="41" t="s">
        <v>94</v>
      </c>
      <c r="K74" s="44"/>
      <c r="L74" s="44"/>
      <c r="M74" s="42"/>
      <c r="N74" s="43" t="s">
        <v>47</v>
      </c>
      <c r="O74" s="40"/>
      <c r="P74" s="32"/>
      <c r="Q74" s="32"/>
    </row>
    <row r="75" spans="1:17" hidden="1" x14ac:dyDescent="0.35">
      <c r="A75" s="38" t="s">
        <v>20</v>
      </c>
      <c r="B75" s="39">
        <v>61087</v>
      </c>
      <c r="C75" s="40"/>
      <c r="D75" s="40" t="s">
        <v>67</v>
      </c>
      <c r="E75" s="40" t="s">
        <v>23</v>
      </c>
      <c r="F75" s="40">
        <v>25</v>
      </c>
      <c r="G75" s="40"/>
      <c r="H75" s="40"/>
      <c r="I75" s="40"/>
      <c r="J75" s="41" t="s">
        <v>95</v>
      </c>
      <c r="K75" s="44"/>
      <c r="L75" s="44"/>
      <c r="M75" s="42"/>
      <c r="N75" s="43" t="s">
        <v>47</v>
      </c>
      <c r="O75" s="40"/>
      <c r="P75" s="32"/>
      <c r="Q75" s="32"/>
    </row>
    <row r="76" spans="1:17" hidden="1" x14ac:dyDescent="0.35">
      <c r="A76" s="38" t="s">
        <v>20</v>
      </c>
      <c r="B76" s="39">
        <v>61104</v>
      </c>
      <c r="C76" s="40"/>
      <c r="D76" s="40" t="s">
        <v>67</v>
      </c>
      <c r="E76" s="40" t="s">
        <v>27</v>
      </c>
      <c r="F76" s="40">
        <v>25</v>
      </c>
      <c r="G76" s="40"/>
      <c r="H76" s="40"/>
      <c r="I76" s="40"/>
      <c r="J76" s="41" t="s">
        <v>96</v>
      </c>
      <c r="K76" s="44"/>
      <c r="L76" s="44"/>
      <c r="M76" s="42"/>
      <c r="N76" s="43" t="s">
        <v>25</v>
      </c>
      <c r="O76" s="40"/>
      <c r="P76" s="32"/>
      <c r="Q76" s="32"/>
    </row>
    <row r="77" spans="1:17" hidden="1" x14ac:dyDescent="0.35">
      <c r="A77" s="38" t="s">
        <v>20</v>
      </c>
      <c r="B77" s="39">
        <v>61121</v>
      </c>
      <c r="C77" s="40"/>
      <c r="D77" s="40" t="s">
        <v>67</v>
      </c>
      <c r="E77" s="40" t="s">
        <v>97</v>
      </c>
      <c r="F77" s="40">
        <v>25</v>
      </c>
      <c r="G77" s="40"/>
      <c r="H77" s="40"/>
      <c r="I77" s="40"/>
      <c r="J77" s="41" t="s">
        <v>98</v>
      </c>
      <c r="K77" s="44"/>
      <c r="L77" s="44"/>
      <c r="M77" s="42"/>
      <c r="N77" s="43" t="s">
        <v>25</v>
      </c>
      <c r="O77" s="40"/>
      <c r="P77" s="32"/>
      <c r="Q77" s="32"/>
    </row>
    <row r="78" spans="1:17" hidden="1" x14ac:dyDescent="0.35">
      <c r="A78" s="38" t="s">
        <v>20</v>
      </c>
      <c r="B78" s="39" t="s">
        <v>99</v>
      </c>
      <c r="C78" s="40"/>
      <c r="D78" s="40" t="s">
        <v>67</v>
      </c>
      <c r="E78" s="40" t="s">
        <v>37</v>
      </c>
      <c r="F78" s="40">
        <v>25</v>
      </c>
      <c r="G78" s="40"/>
      <c r="H78" s="40"/>
      <c r="I78" s="40"/>
      <c r="J78" s="41" t="s">
        <v>69</v>
      </c>
      <c r="K78" s="44"/>
      <c r="L78" s="44"/>
      <c r="M78" s="42"/>
      <c r="N78" s="43" t="s">
        <v>25</v>
      </c>
      <c r="O78" s="40"/>
      <c r="P78" s="32"/>
      <c r="Q78" s="32"/>
    </row>
    <row r="79" spans="1:17" hidden="1" x14ac:dyDescent="0.35">
      <c r="A79" s="38" t="s">
        <v>20</v>
      </c>
      <c r="B79" s="39" t="s">
        <v>100</v>
      </c>
      <c r="C79" s="40"/>
      <c r="D79" s="40" t="s">
        <v>67</v>
      </c>
      <c r="E79" s="40" t="s">
        <v>37</v>
      </c>
      <c r="F79" s="40">
        <v>25</v>
      </c>
      <c r="G79" s="40"/>
      <c r="H79" s="40"/>
      <c r="I79" s="40"/>
      <c r="J79" s="41" t="s">
        <v>69</v>
      </c>
      <c r="K79" s="44"/>
      <c r="L79" s="44"/>
      <c r="M79" s="42"/>
      <c r="N79" s="43" t="s">
        <v>40</v>
      </c>
      <c r="O79" s="40"/>
      <c r="P79" s="32"/>
      <c r="Q79" s="32"/>
    </row>
    <row r="80" spans="1:17" hidden="1" x14ac:dyDescent="0.35">
      <c r="A80" s="38" t="s">
        <v>20</v>
      </c>
      <c r="B80" s="39" t="s">
        <v>101</v>
      </c>
      <c r="C80" s="40"/>
      <c r="D80" s="40" t="s">
        <v>67</v>
      </c>
      <c r="E80" s="40" t="s">
        <v>37</v>
      </c>
      <c r="F80" s="40">
        <v>25</v>
      </c>
      <c r="G80" s="40"/>
      <c r="H80" s="40"/>
      <c r="I80" s="40"/>
      <c r="J80" s="41" t="s">
        <v>102</v>
      </c>
      <c r="K80" s="45"/>
      <c r="L80" s="45"/>
      <c r="M80" s="46"/>
      <c r="N80" s="43" t="s">
        <v>47</v>
      </c>
      <c r="O80" s="40"/>
      <c r="P80" s="32"/>
      <c r="Q80" s="32"/>
    </row>
    <row r="81" spans="1:17" hidden="1" x14ac:dyDescent="0.35">
      <c r="A81" s="38" t="s">
        <v>20</v>
      </c>
      <c r="B81" s="39" t="s">
        <v>103</v>
      </c>
      <c r="C81" s="40"/>
      <c r="D81" s="40" t="s">
        <v>67</v>
      </c>
      <c r="E81" s="40" t="s">
        <v>37</v>
      </c>
      <c r="F81" s="40">
        <v>25</v>
      </c>
      <c r="G81" s="40"/>
      <c r="H81" s="40"/>
      <c r="I81" s="40"/>
      <c r="J81" s="41" t="s">
        <v>69</v>
      </c>
      <c r="K81" s="53"/>
      <c r="L81" s="53"/>
      <c r="M81" s="42"/>
      <c r="N81" s="40" t="s">
        <v>25</v>
      </c>
      <c r="O81" s="40"/>
      <c r="P81" s="32"/>
      <c r="Q81" s="32"/>
    </row>
    <row r="82" spans="1:17" hidden="1" x14ac:dyDescent="0.35">
      <c r="A82" s="38" t="s">
        <v>20</v>
      </c>
      <c r="B82" s="39" t="s">
        <v>104</v>
      </c>
      <c r="C82" s="40"/>
      <c r="D82" s="40" t="s">
        <v>67</v>
      </c>
      <c r="E82" s="48" t="s">
        <v>43</v>
      </c>
      <c r="F82" s="40">
        <v>25</v>
      </c>
      <c r="G82" s="40"/>
      <c r="H82" s="40"/>
      <c r="I82" s="40"/>
      <c r="J82" s="41" t="s">
        <v>72</v>
      </c>
      <c r="K82" s="44"/>
      <c r="L82" s="44"/>
      <c r="M82" s="42"/>
      <c r="N82" s="43" t="s">
        <v>25</v>
      </c>
      <c r="O82" s="40"/>
      <c r="P82" s="32"/>
      <c r="Q82" s="32"/>
    </row>
    <row r="83" spans="1:17" hidden="1" x14ac:dyDescent="0.35">
      <c r="A83" s="38" t="s">
        <v>20</v>
      </c>
      <c r="B83" s="39" t="s">
        <v>105</v>
      </c>
      <c r="C83" s="40"/>
      <c r="D83" s="40" t="s">
        <v>67</v>
      </c>
      <c r="E83" s="40" t="s">
        <v>43</v>
      </c>
      <c r="F83" s="40">
        <v>25</v>
      </c>
      <c r="G83" s="40"/>
      <c r="H83" s="40"/>
      <c r="I83" s="40"/>
      <c r="J83" s="41" t="s">
        <v>74</v>
      </c>
      <c r="K83" s="44"/>
      <c r="L83" s="44"/>
      <c r="M83" s="42"/>
      <c r="N83" s="43" t="s">
        <v>25</v>
      </c>
      <c r="O83" s="40"/>
      <c r="P83" s="32"/>
      <c r="Q83" s="32"/>
    </row>
    <row r="84" spans="1:17" hidden="1" x14ac:dyDescent="0.35">
      <c r="A84" s="38" t="s">
        <v>20</v>
      </c>
      <c r="B84" s="47" t="s">
        <v>26</v>
      </c>
      <c r="C84" s="40"/>
      <c r="D84" s="40" t="s">
        <v>67</v>
      </c>
      <c r="E84" s="40" t="s">
        <v>27</v>
      </c>
      <c r="F84" s="40">
        <v>25</v>
      </c>
      <c r="G84" s="40"/>
      <c r="H84" s="40"/>
      <c r="I84" s="40"/>
      <c r="J84" s="41" t="s">
        <v>106</v>
      </c>
      <c r="K84" s="44"/>
      <c r="L84" s="44"/>
      <c r="M84" s="42"/>
      <c r="N84" s="43" t="s">
        <v>25</v>
      </c>
      <c r="O84" s="40"/>
      <c r="P84" s="32"/>
      <c r="Q84" s="32"/>
    </row>
    <row r="85" spans="1:17" hidden="1" x14ac:dyDescent="0.35">
      <c r="A85" s="38" t="s">
        <v>20</v>
      </c>
      <c r="B85" s="39" t="s">
        <v>107</v>
      </c>
      <c r="C85" s="40"/>
      <c r="D85" s="40" t="s">
        <v>67</v>
      </c>
      <c r="E85" s="40" t="s">
        <v>27</v>
      </c>
      <c r="F85" s="40">
        <v>25</v>
      </c>
      <c r="G85" s="40"/>
      <c r="H85" s="40"/>
      <c r="I85" s="40"/>
      <c r="J85" s="41" t="s">
        <v>108</v>
      </c>
      <c r="K85" s="44"/>
      <c r="L85" s="44"/>
      <c r="M85" s="42"/>
      <c r="N85" s="43" t="s">
        <v>47</v>
      </c>
      <c r="O85" s="40"/>
      <c r="P85" s="32"/>
      <c r="Q85" s="32"/>
    </row>
    <row r="86" spans="1:17" hidden="1" x14ac:dyDescent="0.35">
      <c r="A86" s="38" t="s">
        <v>20</v>
      </c>
      <c r="B86" s="39" t="s">
        <v>109</v>
      </c>
      <c r="C86" s="40"/>
      <c r="D86" s="40" t="s">
        <v>67</v>
      </c>
      <c r="E86" s="40" t="s">
        <v>27</v>
      </c>
      <c r="F86" s="40">
        <v>25</v>
      </c>
      <c r="G86" s="40"/>
      <c r="H86" s="40"/>
      <c r="I86" s="40"/>
      <c r="J86" s="41" t="s">
        <v>110</v>
      </c>
      <c r="K86" s="44"/>
      <c r="L86" s="44"/>
      <c r="M86" s="42"/>
      <c r="N86" s="43" t="s">
        <v>47</v>
      </c>
      <c r="O86" s="40"/>
      <c r="P86" s="32"/>
      <c r="Q86" s="32"/>
    </row>
    <row r="87" spans="1:17" hidden="1" x14ac:dyDescent="0.35">
      <c r="A87" s="38" t="s">
        <v>20</v>
      </c>
      <c r="B87" s="39" t="s">
        <v>111</v>
      </c>
      <c r="C87" s="40"/>
      <c r="D87" s="40" t="s">
        <v>67</v>
      </c>
      <c r="E87" s="40" t="s">
        <v>29</v>
      </c>
      <c r="F87" s="40">
        <v>25</v>
      </c>
      <c r="G87" s="40"/>
      <c r="H87" s="40"/>
      <c r="I87" s="40"/>
      <c r="J87" s="41" t="s">
        <v>112</v>
      </c>
      <c r="K87" s="40"/>
      <c r="L87" s="40"/>
      <c r="M87" s="42"/>
      <c r="N87" s="43" t="s">
        <v>47</v>
      </c>
      <c r="O87" s="40"/>
      <c r="P87" s="32"/>
      <c r="Q87" s="32"/>
    </row>
    <row r="88" spans="1:17" hidden="1" x14ac:dyDescent="0.35">
      <c r="A88" s="38" t="s">
        <v>20</v>
      </c>
      <c r="B88" s="39" t="s">
        <v>113</v>
      </c>
      <c r="C88" s="40"/>
      <c r="D88" s="40" t="s">
        <v>67</v>
      </c>
      <c r="E88" s="40" t="s">
        <v>31</v>
      </c>
      <c r="F88" s="40">
        <v>25</v>
      </c>
      <c r="G88" s="40"/>
      <c r="H88" s="40"/>
      <c r="I88" s="40"/>
      <c r="J88" s="41" t="s">
        <v>114</v>
      </c>
      <c r="K88" s="40"/>
      <c r="L88" s="40"/>
      <c r="M88" s="42"/>
      <c r="N88" s="43" t="s">
        <v>25</v>
      </c>
      <c r="O88" s="40"/>
      <c r="P88" s="32"/>
      <c r="Q88" s="32"/>
    </row>
    <row r="89" spans="1:17" hidden="1" x14ac:dyDescent="0.35">
      <c r="A89" s="38" t="s">
        <v>20</v>
      </c>
      <c r="B89" s="39" t="s">
        <v>115</v>
      </c>
      <c r="C89" s="40"/>
      <c r="D89" s="40" t="s">
        <v>67</v>
      </c>
      <c r="E89" s="40" t="s">
        <v>31</v>
      </c>
      <c r="F89" s="40">
        <v>25</v>
      </c>
      <c r="G89" s="40"/>
      <c r="H89" s="40"/>
      <c r="I89" s="40"/>
      <c r="J89" s="41" t="s">
        <v>116</v>
      </c>
      <c r="K89" s="44"/>
      <c r="L89" s="44"/>
      <c r="M89" s="42"/>
      <c r="N89" s="43" t="s">
        <v>40</v>
      </c>
      <c r="O89" s="40"/>
      <c r="P89" s="32"/>
      <c r="Q89" s="32"/>
    </row>
    <row r="90" spans="1:17" hidden="1" x14ac:dyDescent="0.35">
      <c r="A90" s="38" t="s">
        <v>20</v>
      </c>
      <c r="B90" s="39" t="s">
        <v>117</v>
      </c>
      <c r="C90" s="40"/>
      <c r="D90" s="40" t="s">
        <v>67</v>
      </c>
      <c r="E90" s="40" t="s">
        <v>31</v>
      </c>
      <c r="F90" s="40">
        <v>25</v>
      </c>
      <c r="G90" s="40"/>
      <c r="H90" s="40"/>
      <c r="I90" s="40"/>
      <c r="J90" s="41" t="s">
        <v>118</v>
      </c>
      <c r="K90" s="44"/>
      <c r="L90" s="44"/>
      <c r="M90" s="42"/>
      <c r="N90" s="43" t="s">
        <v>47</v>
      </c>
      <c r="O90" s="40"/>
      <c r="P90" s="32"/>
      <c r="Q90" s="32"/>
    </row>
    <row r="91" spans="1:17" hidden="1" x14ac:dyDescent="0.35">
      <c r="A91" s="38" t="s">
        <v>20</v>
      </c>
      <c r="B91" s="39" t="s">
        <v>119</v>
      </c>
      <c r="C91" s="40"/>
      <c r="D91" s="40" t="s">
        <v>67</v>
      </c>
      <c r="E91" s="40" t="s">
        <v>33</v>
      </c>
      <c r="F91" s="40">
        <v>25</v>
      </c>
      <c r="G91" s="40"/>
      <c r="H91" s="40"/>
      <c r="I91" s="40"/>
      <c r="J91" s="41" t="s">
        <v>120</v>
      </c>
      <c r="K91" s="44"/>
      <c r="L91" s="44"/>
      <c r="M91" s="42"/>
      <c r="N91" s="43" t="s">
        <v>47</v>
      </c>
      <c r="O91" s="40"/>
      <c r="P91" s="32"/>
      <c r="Q91" s="32"/>
    </row>
    <row r="92" spans="1:17" hidden="1" x14ac:dyDescent="0.35">
      <c r="A92" s="38" t="s">
        <v>20</v>
      </c>
      <c r="B92" s="39" t="s">
        <v>21</v>
      </c>
      <c r="C92" s="40"/>
      <c r="D92" s="40" t="s">
        <v>67</v>
      </c>
      <c r="E92" s="40" t="s">
        <v>23</v>
      </c>
      <c r="F92" s="40">
        <v>25</v>
      </c>
      <c r="G92" s="40"/>
      <c r="H92" s="40"/>
      <c r="I92" s="40"/>
      <c r="J92" s="41" t="s">
        <v>121</v>
      </c>
      <c r="K92" s="44"/>
      <c r="L92" s="44"/>
      <c r="M92" s="42"/>
      <c r="N92" s="43" t="s">
        <v>25</v>
      </c>
      <c r="O92" s="40"/>
      <c r="P92" s="32"/>
      <c r="Q92" s="32"/>
    </row>
    <row r="93" spans="1:17" hidden="1" x14ac:dyDescent="0.35">
      <c r="A93" s="38" t="s">
        <v>20</v>
      </c>
      <c r="B93" s="39" t="s">
        <v>122</v>
      </c>
      <c r="C93" s="40"/>
      <c r="D93" s="40" t="s">
        <v>67</v>
      </c>
      <c r="E93" s="40" t="s">
        <v>23</v>
      </c>
      <c r="F93" s="40">
        <v>25</v>
      </c>
      <c r="G93" s="40"/>
      <c r="H93" s="40"/>
      <c r="I93" s="40"/>
      <c r="J93" s="41" t="s">
        <v>123</v>
      </c>
      <c r="K93" s="45"/>
      <c r="L93" s="45"/>
      <c r="M93" s="46"/>
      <c r="N93" s="43" t="s">
        <v>40</v>
      </c>
      <c r="O93" s="40"/>
      <c r="P93" s="32"/>
      <c r="Q93" s="32"/>
    </row>
    <row r="94" spans="1:17" hidden="1" x14ac:dyDescent="0.35">
      <c r="A94" s="38" t="s">
        <v>20</v>
      </c>
      <c r="B94" s="47" t="s">
        <v>124</v>
      </c>
      <c r="C94" s="40"/>
      <c r="D94" s="40" t="s">
        <v>67</v>
      </c>
      <c r="E94" s="40" t="s">
        <v>23</v>
      </c>
      <c r="F94" s="40">
        <v>25</v>
      </c>
      <c r="G94" s="40"/>
      <c r="H94" s="40"/>
      <c r="I94" s="40"/>
      <c r="J94" s="41" t="s">
        <v>125</v>
      </c>
      <c r="K94" s="44"/>
      <c r="L94" s="44"/>
      <c r="M94" s="42"/>
      <c r="N94" s="43" t="s">
        <v>47</v>
      </c>
      <c r="O94" s="40"/>
      <c r="P94" s="32"/>
      <c r="Q94" s="32"/>
    </row>
    <row r="95" spans="1:17" x14ac:dyDescent="0.35">
      <c r="A95" s="54" t="s">
        <v>126</v>
      </c>
      <c r="B95" s="39">
        <v>260</v>
      </c>
      <c r="C95" s="40" t="s">
        <v>26</v>
      </c>
      <c r="D95" s="40" t="s">
        <v>127</v>
      </c>
      <c r="E95" s="40" t="s">
        <v>27</v>
      </c>
      <c r="F95" s="40"/>
      <c r="G95" s="40">
        <v>8</v>
      </c>
      <c r="H95" s="40" t="s">
        <v>128</v>
      </c>
      <c r="I95" s="40" t="s">
        <v>129</v>
      </c>
      <c r="J95" s="41" t="s">
        <v>130</v>
      </c>
      <c r="K95" s="44" t="s">
        <v>131</v>
      </c>
      <c r="L95" s="44" t="s">
        <v>132</v>
      </c>
      <c r="M95" s="42">
        <v>109.6</v>
      </c>
      <c r="N95" s="43" t="s">
        <v>25</v>
      </c>
      <c r="O95" s="40">
        <v>25</v>
      </c>
      <c r="P95" s="32" t="s">
        <v>133</v>
      </c>
      <c r="Q95" s="32">
        <v>260</v>
      </c>
    </row>
    <row r="96" spans="1:17" x14ac:dyDescent="0.35">
      <c r="A96" s="54" t="s">
        <v>126</v>
      </c>
      <c r="B96" s="39">
        <v>331</v>
      </c>
      <c r="C96" s="40">
        <v>61061</v>
      </c>
      <c r="D96" s="40" t="s">
        <v>134</v>
      </c>
      <c r="E96" s="40" t="s">
        <v>29</v>
      </c>
      <c r="F96" s="40">
        <v>10.0088994565217</v>
      </c>
      <c r="G96" s="40">
        <v>16</v>
      </c>
      <c r="H96" s="40" t="s">
        <v>135</v>
      </c>
      <c r="I96" s="40" t="s">
        <v>129</v>
      </c>
      <c r="J96" s="41" t="s">
        <v>136</v>
      </c>
      <c r="K96" s="44" t="s">
        <v>131</v>
      </c>
      <c r="L96" s="44" t="s">
        <v>137</v>
      </c>
      <c r="M96" s="42">
        <v>32.31</v>
      </c>
      <c r="N96" s="43" t="s">
        <v>25</v>
      </c>
      <c r="O96" s="40">
        <v>25</v>
      </c>
      <c r="P96" s="32" t="s">
        <v>133</v>
      </c>
      <c r="Q96" s="32">
        <v>331</v>
      </c>
    </row>
    <row r="97" spans="1:17" x14ac:dyDescent="0.35">
      <c r="A97" s="54" t="s">
        <v>126</v>
      </c>
      <c r="B97" s="39">
        <v>349</v>
      </c>
      <c r="C97" s="40" t="s">
        <v>104</v>
      </c>
      <c r="D97" s="40" t="s">
        <v>138</v>
      </c>
      <c r="E97" s="40" t="s">
        <v>43</v>
      </c>
      <c r="F97" s="40"/>
      <c r="G97" s="40">
        <v>16</v>
      </c>
      <c r="H97" s="40" t="s">
        <v>135</v>
      </c>
      <c r="I97" s="40" t="s">
        <v>129</v>
      </c>
      <c r="J97" s="41" t="s">
        <v>139</v>
      </c>
      <c r="K97" s="44" t="s">
        <v>131</v>
      </c>
      <c r="L97" s="44" t="s">
        <v>137</v>
      </c>
      <c r="M97" s="42">
        <v>48.8</v>
      </c>
      <c r="N97" s="43" t="s">
        <v>25</v>
      </c>
      <c r="O97" s="40">
        <v>25</v>
      </c>
      <c r="P97" s="32" t="s">
        <v>133</v>
      </c>
      <c r="Q97" s="32">
        <v>349</v>
      </c>
    </row>
    <row r="98" spans="1:17" x14ac:dyDescent="0.35">
      <c r="A98" s="54" t="s">
        <v>126</v>
      </c>
      <c r="B98" s="39">
        <v>484</v>
      </c>
      <c r="C98" s="40">
        <v>61121</v>
      </c>
      <c r="D98" s="40" t="s">
        <v>138</v>
      </c>
      <c r="E98" s="40" t="s">
        <v>97</v>
      </c>
      <c r="F98" s="40">
        <v>9.4150184653262201</v>
      </c>
      <c r="G98" s="40">
        <v>16</v>
      </c>
      <c r="H98" s="40" t="s">
        <v>135</v>
      </c>
      <c r="I98" s="40" t="s">
        <v>129</v>
      </c>
      <c r="J98" s="41" t="s">
        <v>140</v>
      </c>
      <c r="K98" s="45" t="s">
        <v>131</v>
      </c>
      <c r="L98" s="45" t="s">
        <v>137</v>
      </c>
      <c r="M98" s="46">
        <v>47.38</v>
      </c>
      <c r="N98" s="43" t="s">
        <v>25</v>
      </c>
      <c r="O98" s="40">
        <v>25</v>
      </c>
      <c r="P98" s="32" t="s">
        <v>133</v>
      </c>
      <c r="Q98" s="32">
        <v>484</v>
      </c>
    </row>
    <row r="99" spans="1:17" x14ac:dyDescent="0.35">
      <c r="A99" s="54" t="s">
        <v>126</v>
      </c>
      <c r="B99" s="39">
        <v>784</v>
      </c>
      <c r="C99" s="40" t="s">
        <v>21</v>
      </c>
      <c r="D99" s="40" t="s">
        <v>138</v>
      </c>
      <c r="E99" s="40" t="s">
        <v>23</v>
      </c>
      <c r="F99" s="40">
        <v>8.2634387451454998</v>
      </c>
      <c r="G99" s="40">
        <v>8</v>
      </c>
      <c r="H99" s="40" t="s">
        <v>141</v>
      </c>
      <c r="I99" s="40" t="s">
        <v>142</v>
      </c>
      <c r="J99" s="41" t="s">
        <v>143</v>
      </c>
      <c r="K99" s="44" t="s">
        <v>144</v>
      </c>
      <c r="L99" s="44" t="s">
        <v>132</v>
      </c>
      <c r="M99" s="42">
        <v>17.920000000000002</v>
      </c>
      <c r="N99" s="43" t="s">
        <v>25</v>
      </c>
      <c r="O99" s="40">
        <v>25</v>
      </c>
      <c r="P99" s="32" t="s">
        <v>133</v>
      </c>
      <c r="Q99" s="32">
        <v>784</v>
      </c>
    </row>
    <row r="100" spans="1:17" x14ac:dyDescent="0.35">
      <c r="A100" s="54" t="s">
        <v>126</v>
      </c>
      <c r="B100" s="39">
        <v>946</v>
      </c>
      <c r="C100" s="40" t="s">
        <v>104</v>
      </c>
      <c r="D100" s="40" t="s">
        <v>138</v>
      </c>
      <c r="E100" s="40" t="s">
        <v>43</v>
      </c>
      <c r="F100" s="40"/>
      <c r="G100" s="40">
        <v>6</v>
      </c>
      <c r="H100" s="40" t="s">
        <v>145</v>
      </c>
      <c r="I100" s="40" t="s">
        <v>146</v>
      </c>
      <c r="J100" s="41" t="s">
        <v>147</v>
      </c>
      <c r="K100" s="44" t="s">
        <v>131</v>
      </c>
      <c r="L100" s="44" t="s">
        <v>137</v>
      </c>
      <c r="M100" s="42">
        <v>55.73</v>
      </c>
      <c r="N100" s="43" t="s">
        <v>25</v>
      </c>
      <c r="O100" s="40">
        <v>25</v>
      </c>
      <c r="P100" s="32" t="s">
        <v>133</v>
      </c>
      <c r="Q100" s="32">
        <v>946</v>
      </c>
    </row>
    <row r="101" spans="1:17" x14ac:dyDescent="0.35">
      <c r="A101" s="54" t="s">
        <v>126</v>
      </c>
      <c r="B101" s="39">
        <v>956</v>
      </c>
      <c r="C101" s="40" t="s">
        <v>113</v>
      </c>
      <c r="D101" s="40" t="s">
        <v>138</v>
      </c>
      <c r="E101" s="40" t="s">
        <v>31</v>
      </c>
      <c r="F101" s="40"/>
      <c r="G101" s="40">
        <v>6</v>
      </c>
      <c r="H101" s="40" t="s">
        <v>145</v>
      </c>
      <c r="I101" s="40" t="s">
        <v>146</v>
      </c>
      <c r="J101" s="41" t="s">
        <v>148</v>
      </c>
      <c r="K101" s="44" t="s">
        <v>131</v>
      </c>
      <c r="L101" s="44" t="s">
        <v>137</v>
      </c>
      <c r="M101" s="42">
        <v>72.73</v>
      </c>
      <c r="N101" s="43"/>
      <c r="O101" s="40">
        <v>25</v>
      </c>
      <c r="P101" s="32" t="s">
        <v>133</v>
      </c>
      <c r="Q101" s="32">
        <v>956</v>
      </c>
    </row>
    <row r="102" spans="1:17" x14ac:dyDescent="0.35">
      <c r="A102" s="54" t="s">
        <v>126</v>
      </c>
      <c r="B102" s="39">
        <v>957</v>
      </c>
      <c r="C102" s="40">
        <v>61082</v>
      </c>
      <c r="D102" s="40" t="s">
        <v>138</v>
      </c>
      <c r="E102" s="40" t="s">
        <v>33</v>
      </c>
      <c r="F102" s="40"/>
      <c r="G102" s="40">
        <v>6</v>
      </c>
      <c r="H102" s="40" t="s">
        <v>145</v>
      </c>
      <c r="I102" s="40" t="s">
        <v>146</v>
      </c>
      <c r="J102" s="41" t="s">
        <v>149</v>
      </c>
      <c r="K102" s="44" t="s">
        <v>131</v>
      </c>
      <c r="L102" s="45" t="s">
        <v>137</v>
      </c>
      <c r="M102" s="46">
        <v>57.23</v>
      </c>
      <c r="N102" s="43"/>
      <c r="O102" s="40">
        <v>25</v>
      </c>
      <c r="P102" s="32" t="s">
        <v>133</v>
      </c>
      <c r="Q102" s="32">
        <v>957</v>
      </c>
    </row>
    <row r="103" spans="1:17" x14ac:dyDescent="0.35">
      <c r="A103" s="54" t="s">
        <v>126</v>
      </c>
      <c r="B103" s="39">
        <v>1023</v>
      </c>
      <c r="C103" s="40">
        <v>61121</v>
      </c>
      <c r="D103" s="40" t="s">
        <v>134</v>
      </c>
      <c r="E103" s="40" t="s">
        <v>97</v>
      </c>
      <c r="F103" s="40">
        <v>9.3701255940257901</v>
      </c>
      <c r="G103" s="40">
        <v>16</v>
      </c>
      <c r="H103" s="40" t="s">
        <v>135</v>
      </c>
      <c r="I103" s="40" t="s">
        <v>129</v>
      </c>
      <c r="J103" s="41" t="s">
        <v>150</v>
      </c>
      <c r="K103" s="45" t="s">
        <v>131</v>
      </c>
      <c r="L103" s="45" t="s">
        <v>137</v>
      </c>
      <c r="M103" s="46">
        <v>47.38</v>
      </c>
      <c r="N103" s="43" t="s">
        <v>25</v>
      </c>
      <c r="O103" s="40">
        <v>25</v>
      </c>
      <c r="P103" s="32" t="s">
        <v>133</v>
      </c>
      <c r="Q103" s="32">
        <v>1023</v>
      </c>
    </row>
    <row r="104" spans="1:17" x14ac:dyDescent="0.35">
      <c r="A104" s="54" t="s">
        <v>126</v>
      </c>
      <c r="B104" s="39">
        <v>1830</v>
      </c>
      <c r="C104" s="40" t="s">
        <v>109</v>
      </c>
      <c r="D104" s="40" t="s">
        <v>138</v>
      </c>
      <c r="E104" s="40" t="s">
        <v>27</v>
      </c>
      <c r="F104" s="40">
        <v>3.5867373511904699</v>
      </c>
      <c r="G104" s="40">
        <v>8</v>
      </c>
      <c r="H104" s="40" t="s">
        <v>151</v>
      </c>
      <c r="I104" s="40" t="s">
        <v>129</v>
      </c>
      <c r="J104" s="41" t="s">
        <v>152</v>
      </c>
      <c r="K104" s="44" t="s">
        <v>131</v>
      </c>
      <c r="L104" s="44" t="s">
        <v>132</v>
      </c>
      <c r="M104" s="42">
        <v>56.51</v>
      </c>
      <c r="N104" s="43" t="s">
        <v>47</v>
      </c>
      <c r="O104" s="40">
        <v>25</v>
      </c>
      <c r="P104" s="32" t="s">
        <v>133</v>
      </c>
      <c r="Q104" s="32">
        <v>1830</v>
      </c>
    </row>
    <row r="105" spans="1:17" x14ac:dyDescent="0.35">
      <c r="A105" s="54" t="s">
        <v>126</v>
      </c>
      <c r="B105" s="47">
        <v>1831</v>
      </c>
      <c r="C105" s="40">
        <v>203021</v>
      </c>
      <c r="D105" s="40" t="s">
        <v>138</v>
      </c>
      <c r="E105" s="40" t="s">
        <v>153</v>
      </c>
      <c r="F105" s="42">
        <v>7.2381955626574799</v>
      </c>
      <c r="G105" s="40">
        <v>5</v>
      </c>
      <c r="H105" s="40" t="s">
        <v>135</v>
      </c>
      <c r="I105" s="40" t="s">
        <v>129</v>
      </c>
      <c r="J105" s="41" t="s">
        <v>154</v>
      </c>
      <c r="K105" s="45" t="s">
        <v>131</v>
      </c>
      <c r="L105" s="44" t="s">
        <v>132</v>
      </c>
      <c r="M105" s="42">
        <v>131.16999999999999</v>
      </c>
      <c r="N105" s="43"/>
      <c r="O105" s="40">
        <v>25</v>
      </c>
      <c r="P105" s="32" t="s">
        <v>133</v>
      </c>
      <c r="Q105" s="32">
        <v>1831</v>
      </c>
    </row>
    <row r="106" spans="1:17" x14ac:dyDescent="0.35">
      <c r="A106" s="54" t="s">
        <v>126</v>
      </c>
      <c r="B106" s="39">
        <v>1837</v>
      </c>
      <c r="C106" s="40">
        <v>61010</v>
      </c>
      <c r="D106" s="40" t="s">
        <v>138</v>
      </c>
      <c r="E106" s="40" t="s">
        <v>41</v>
      </c>
      <c r="F106" s="40"/>
      <c r="G106" s="40">
        <v>6</v>
      </c>
      <c r="H106" s="40" t="s">
        <v>141</v>
      </c>
      <c r="I106" s="40" t="s">
        <v>142</v>
      </c>
      <c r="J106" s="41" t="s">
        <v>155</v>
      </c>
      <c r="K106" s="44" t="s">
        <v>131</v>
      </c>
      <c r="L106" s="42" t="s">
        <v>132</v>
      </c>
      <c r="M106" s="42">
        <v>38.69</v>
      </c>
      <c r="N106" s="43" t="s">
        <v>25</v>
      </c>
      <c r="O106" s="40">
        <v>25</v>
      </c>
      <c r="P106" s="32" t="s">
        <v>133</v>
      </c>
      <c r="Q106" s="32">
        <v>1837</v>
      </c>
    </row>
    <row r="107" spans="1:17" x14ac:dyDescent="0.35">
      <c r="A107" s="54" t="s">
        <v>126</v>
      </c>
      <c r="B107" s="39">
        <v>1838</v>
      </c>
      <c r="C107" s="40" t="s">
        <v>109</v>
      </c>
      <c r="D107" s="40" t="s">
        <v>138</v>
      </c>
      <c r="E107" s="40" t="s">
        <v>27</v>
      </c>
      <c r="F107" s="40"/>
      <c r="G107" s="40">
        <v>8</v>
      </c>
      <c r="H107" s="40" t="s">
        <v>151</v>
      </c>
      <c r="I107" s="40" t="s">
        <v>129</v>
      </c>
      <c r="J107" s="41" t="s">
        <v>156</v>
      </c>
      <c r="K107" s="44" t="s">
        <v>131</v>
      </c>
      <c r="L107" s="42" t="s">
        <v>132</v>
      </c>
      <c r="M107" s="42">
        <v>56.51</v>
      </c>
      <c r="N107" s="43" t="s">
        <v>47</v>
      </c>
      <c r="O107" s="40">
        <v>25</v>
      </c>
      <c r="P107" s="32" t="s">
        <v>133</v>
      </c>
      <c r="Q107" s="32">
        <v>1838</v>
      </c>
    </row>
    <row r="108" spans="1:17" x14ac:dyDescent="0.35">
      <c r="A108" s="54" t="s">
        <v>126</v>
      </c>
      <c r="B108" s="39">
        <v>1839</v>
      </c>
      <c r="C108" s="40">
        <v>203021</v>
      </c>
      <c r="D108" s="40" t="s">
        <v>138</v>
      </c>
      <c r="E108" s="40" t="s">
        <v>153</v>
      </c>
      <c r="F108" s="40"/>
      <c r="G108" s="40">
        <v>5</v>
      </c>
      <c r="H108" s="40" t="s">
        <v>135</v>
      </c>
      <c r="I108" s="40" t="s">
        <v>129</v>
      </c>
      <c r="J108" s="41" t="s">
        <v>157</v>
      </c>
      <c r="K108" s="45" t="s">
        <v>131</v>
      </c>
      <c r="L108" s="42" t="s">
        <v>132</v>
      </c>
      <c r="M108" s="42">
        <v>131.16999999999999</v>
      </c>
      <c r="N108" s="43"/>
      <c r="O108" s="40">
        <v>20</v>
      </c>
      <c r="P108" s="32" t="s">
        <v>133</v>
      </c>
      <c r="Q108" s="32">
        <v>1839</v>
      </c>
    </row>
    <row r="109" spans="1:17" x14ac:dyDescent="0.35">
      <c r="A109" s="54" t="s">
        <v>126</v>
      </c>
      <c r="B109" s="39">
        <v>1842</v>
      </c>
      <c r="C109" s="40">
        <v>61040</v>
      </c>
      <c r="D109" s="40" t="s">
        <v>138</v>
      </c>
      <c r="E109" s="40" t="s">
        <v>43</v>
      </c>
      <c r="F109" s="40"/>
      <c r="G109" s="40">
        <v>8</v>
      </c>
      <c r="H109" s="40" t="s">
        <v>151</v>
      </c>
      <c r="I109" s="40" t="s">
        <v>129</v>
      </c>
      <c r="J109" s="41" t="s">
        <v>158</v>
      </c>
      <c r="K109" s="44" t="s">
        <v>131</v>
      </c>
      <c r="L109" s="42" t="s">
        <v>132</v>
      </c>
      <c r="M109" s="42">
        <v>51.65</v>
      </c>
      <c r="N109" s="43" t="s">
        <v>47</v>
      </c>
      <c r="O109" s="40">
        <v>25</v>
      </c>
      <c r="P109" s="32" t="s">
        <v>133</v>
      </c>
      <c r="Q109" s="32">
        <v>1842</v>
      </c>
    </row>
    <row r="110" spans="1:17" x14ac:dyDescent="0.35">
      <c r="A110" s="54" t="s">
        <v>126</v>
      </c>
      <c r="B110" s="39">
        <v>1843</v>
      </c>
      <c r="C110" s="40">
        <v>61014</v>
      </c>
      <c r="D110" s="40" t="s">
        <v>138</v>
      </c>
      <c r="E110" s="40" t="s">
        <v>37</v>
      </c>
      <c r="F110" s="40"/>
      <c r="G110" s="40">
        <v>8</v>
      </c>
      <c r="H110" s="40" t="s">
        <v>151</v>
      </c>
      <c r="I110" s="40" t="s">
        <v>129</v>
      </c>
      <c r="J110" s="41" t="s">
        <v>159</v>
      </c>
      <c r="K110" s="44" t="s">
        <v>144</v>
      </c>
      <c r="L110" s="42" t="s">
        <v>132</v>
      </c>
      <c r="M110" s="42">
        <v>27.65</v>
      </c>
      <c r="N110" s="43" t="s">
        <v>47</v>
      </c>
      <c r="O110" s="40">
        <v>25</v>
      </c>
      <c r="P110" s="32" t="s">
        <v>133</v>
      </c>
      <c r="Q110" s="32">
        <v>1843</v>
      </c>
    </row>
    <row r="111" spans="1:17" x14ac:dyDescent="0.35">
      <c r="A111" s="54" t="s">
        <v>126</v>
      </c>
      <c r="B111" s="39">
        <v>1874</v>
      </c>
      <c r="C111" s="40">
        <v>61050</v>
      </c>
      <c r="D111" s="40" t="s">
        <v>138</v>
      </c>
      <c r="E111" s="40" t="s">
        <v>27</v>
      </c>
      <c r="F111" s="40"/>
      <c r="G111" s="40">
        <v>8</v>
      </c>
      <c r="H111" s="40" t="s">
        <v>151</v>
      </c>
      <c r="I111" s="40" t="s">
        <v>129</v>
      </c>
      <c r="J111" s="41" t="s">
        <v>160</v>
      </c>
      <c r="K111" s="44" t="s">
        <v>131</v>
      </c>
      <c r="L111" s="45" t="s">
        <v>132</v>
      </c>
      <c r="M111" s="46">
        <v>74.400000000000006</v>
      </c>
      <c r="N111" s="43" t="s">
        <v>47</v>
      </c>
      <c r="O111" s="40">
        <v>25</v>
      </c>
      <c r="P111" s="32" t="s">
        <v>133</v>
      </c>
      <c r="Q111" s="32">
        <v>1874</v>
      </c>
    </row>
    <row r="112" spans="1:17" x14ac:dyDescent="0.35">
      <c r="A112" s="54" t="s">
        <v>126</v>
      </c>
      <c r="B112" s="39">
        <v>1876</v>
      </c>
      <c r="C112" s="40" t="s">
        <v>113</v>
      </c>
      <c r="D112" s="40" t="s">
        <v>138</v>
      </c>
      <c r="E112" s="40" t="s">
        <v>31</v>
      </c>
      <c r="F112" s="40">
        <v>10.624118517364799</v>
      </c>
      <c r="G112" s="40">
        <v>6</v>
      </c>
      <c r="H112" s="40" t="s">
        <v>145</v>
      </c>
      <c r="I112" s="40" t="s">
        <v>146</v>
      </c>
      <c r="J112" s="41" t="s">
        <v>161</v>
      </c>
      <c r="K112" s="44" t="s">
        <v>131</v>
      </c>
      <c r="L112" s="45" t="s">
        <v>132</v>
      </c>
      <c r="M112" s="46">
        <v>72.73</v>
      </c>
      <c r="N112" s="43" t="s">
        <v>25</v>
      </c>
      <c r="O112" s="40">
        <v>20</v>
      </c>
      <c r="P112" s="32" t="s">
        <v>133</v>
      </c>
      <c r="Q112" s="32">
        <v>1876</v>
      </c>
    </row>
    <row r="113" spans="1:17" x14ac:dyDescent="0.35">
      <c r="A113" s="54" t="s">
        <v>126</v>
      </c>
      <c r="B113" s="39">
        <v>1877</v>
      </c>
      <c r="C113" s="40">
        <v>61082</v>
      </c>
      <c r="D113" s="40" t="s">
        <v>138</v>
      </c>
      <c r="E113" s="40" t="s">
        <v>33</v>
      </c>
      <c r="F113" s="40">
        <v>12.432757646172201</v>
      </c>
      <c r="G113" s="40">
        <v>6</v>
      </c>
      <c r="H113" s="40" t="s">
        <v>145</v>
      </c>
      <c r="I113" s="40" t="s">
        <v>146</v>
      </c>
      <c r="J113" s="41" t="s">
        <v>162</v>
      </c>
      <c r="K113" s="44" t="s">
        <v>131</v>
      </c>
      <c r="L113" s="45" t="s">
        <v>132</v>
      </c>
      <c r="M113" s="46">
        <v>57.23</v>
      </c>
      <c r="N113" s="43" t="s">
        <v>25</v>
      </c>
      <c r="O113" s="40">
        <v>25</v>
      </c>
      <c r="P113" s="32" t="s">
        <v>133</v>
      </c>
      <c r="Q113" s="32">
        <v>1877</v>
      </c>
    </row>
    <row r="114" spans="1:17" x14ac:dyDescent="0.35">
      <c r="A114" s="54" t="s">
        <v>126</v>
      </c>
      <c r="B114" s="39">
        <v>1878</v>
      </c>
      <c r="C114" s="40" t="s">
        <v>104</v>
      </c>
      <c r="D114" s="40" t="s">
        <v>138</v>
      </c>
      <c r="E114" s="40" t="s">
        <v>43</v>
      </c>
      <c r="F114" s="40"/>
      <c r="G114" s="40">
        <v>8</v>
      </c>
      <c r="H114" s="40" t="s">
        <v>145</v>
      </c>
      <c r="I114" s="40" t="s">
        <v>146</v>
      </c>
      <c r="J114" s="41" t="s">
        <v>163</v>
      </c>
      <c r="K114" s="44" t="s">
        <v>131</v>
      </c>
      <c r="L114" s="44" t="s">
        <v>137</v>
      </c>
      <c r="M114" s="42">
        <v>55.73</v>
      </c>
      <c r="N114" s="43" t="s">
        <v>25</v>
      </c>
      <c r="O114" s="40">
        <v>25</v>
      </c>
      <c r="P114" s="32" t="s">
        <v>133</v>
      </c>
      <c r="Q114" s="32">
        <v>1878</v>
      </c>
    </row>
    <row r="115" spans="1:17" x14ac:dyDescent="0.35">
      <c r="A115" s="54" t="s">
        <v>126</v>
      </c>
      <c r="B115" s="39">
        <v>1881</v>
      </c>
      <c r="C115" s="40" t="s">
        <v>26</v>
      </c>
      <c r="D115" s="40" t="s">
        <v>138</v>
      </c>
      <c r="E115" s="40" t="s">
        <v>27</v>
      </c>
      <c r="F115" s="40"/>
      <c r="G115" s="40">
        <v>16</v>
      </c>
      <c r="H115" s="40" t="s">
        <v>164</v>
      </c>
      <c r="I115" s="40" t="s">
        <v>129</v>
      </c>
      <c r="J115" s="41" t="s">
        <v>165</v>
      </c>
      <c r="K115" s="44" t="s">
        <v>131</v>
      </c>
      <c r="L115" s="44" t="s">
        <v>132</v>
      </c>
      <c r="M115" s="42">
        <v>96.55</v>
      </c>
      <c r="N115" s="43" t="s">
        <v>25</v>
      </c>
      <c r="O115" s="40">
        <v>25</v>
      </c>
      <c r="P115" s="32" t="s">
        <v>133</v>
      </c>
      <c r="Q115" s="32">
        <v>1881</v>
      </c>
    </row>
    <row r="116" spans="1:17" x14ac:dyDescent="0.35">
      <c r="A116" s="54" t="s">
        <v>126</v>
      </c>
      <c r="B116" s="39">
        <v>2030</v>
      </c>
      <c r="C116" s="40" t="s">
        <v>105</v>
      </c>
      <c r="D116" s="40" t="s">
        <v>138</v>
      </c>
      <c r="E116" s="40" t="s">
        <v>43</v>
      </c>
      <c r="F116" s="40"/>
      <c r="G116" s="40">
        <v>18</v>
      </c>
      <c r="H116" s="40" t="s">
        <v>135</v>
      </c>
      <c r="I116" s="40" t="s">
        <v>129</v>
      </c>
      <c r="J116" s="41" t="s">
        <v>166</v>
      </c>
      <c r="K116" s="44" t="s">
        <v>131</v>
      </c>
      <c r="L116" s="44" t="s">
        <v>137</v>
      </c>
      <c r="M116" s="42">
        <v>45.49</v>
      </c>
      <c r="N116" s="43" t="s">
        <v>25</v>
      </c>
      <c r="O116" s="40">
        <v>25</v>
      </c>
      <c r="P116" s="32" t="s">
        <v>133</v>
      </c>
      <c r="Q116" s="32">
        <v>2030</v>
      </c>
    </row>
    <row r="117" spans="1:17" x14ac:dyDescent="0.35">
      <c r="A117" s="54" t="s">
        <v>126</v>
      </c>
      <c r="B117" s="39">
        <v>2031</v>
      </c>
      <c r="C117" s="40" t="s">
        <v>105</v>
      </c>
      <c r="D117" s="40" t="s">
        <v>138</v>
      </c>
      <c r="E117" s="40" t="s">
        <v>43</v>
      </c>
      <c r="F117" s="40">
        <v>7.7189243027888397</v>
      </c>
      <c r="G117" s="40">
        <v>6</v>
      </c>
      <c r="H117" s="40" t="s">
        <v>141</v>
      </c>
      <c r="I117" s="40" t="s">
        <v>142</v>
      </c>
      <c r="J117" s="41" t="s">
        <v>167</v>
      </c>
      <c r="K117" s="44" t="s">
        <v>131</v>
      </c>
      <c r="L117" s="44" t="s">
        <v>132</v>
      </c>
      <c r="M117" s="42">
        <v>92.77</v>
      </c>
      <c r="N117" s="43" t="s">
        <v>25</v>
      </c>
      <c r="O117" s="40">
        <v>25</v>
      </c>
      <c r="P117" s="32" t="s">
        <v>133</v>
      </c>
      <c r="Q117" s="32">
        <v>2031</v>
      </c>
    </row>
    <row r="118" spans="1:17" x14ac:dyDescent="0.35">
      <c r="A118" s="54" t="s">
        <v>126</v>
      </c>
      <c r="B118" s="39">
        <v>2042</v>
      </c>
      <c r="C118" s="40" t="s">
        <v>26</v>
      </c>
      <c r="D118" s="40" t="s">
        <v>138</v>
      </c>
      <c r="E118" s="40" t="s">
        <v>27</v>
      </c>
      <c r="F118" s="40"/>
      <c r="G118" s="40">
        <v>8</v>
      </c>
      <c r="H118" s="40" t="s">
        <v>141</v>
      </c>
      <c r="I118" s="40" t="s">
        <v>142</v>
      </c>
      <c r="J118" s="41" t="s">
        <v>168</v>
      </c>
      <c r="K118" s="44" t="s">
        <v>131</v>
      </c>
      <c r="L118" s="45" t="s">
        <v>132</v>
      </c>
      <c r="M118" s="46">
        <v>0</v>
      </c>
      <c r="N118" s="43" t="s">
        <v>25</v>
      </c>
      <c r="O118" s="40">
        <v>25</v>
      </c>
      <c r="P118" s="32" t="s">
        <v>133</v>
      </c>
      <c r="Q118" s="32">
        <v>2042</v>
      </c>
    </row>
    <row r="119" spans="1:17" x14ac:dyDescent="0.35">
      <c r="A119" s="54" t="s">
        <v>126</v>
      </c>
      <c r="B119" s="39">
        <v>2043</v>
      </c>
      <c r="C119" s="40" t="s">
        <v>26</v>
      </c>
      <c r="D119" s="40" t="s">
        <v>138</v>
      </c>
      <c r="E119" s="40" t="s">
        <v>27</v>
      </c>
      <c r="F119" s="40">
        <v>9.2752309945413298</v>
      </c>
      <c r="G119" s="40">
        <v>8</v>
      </c>
      <c r="H119" s="40" t="s">
        <v>141</v>
      </c>
      <c r="I119" s="40" t="s">
        <v>142</v>
      </c>
      <c r="J119" s="41" t="s">
        <v>169</v>
      </c>
      <c r="K119" s="44" t="s">
        <v>131</v>
      </c>
      <c r="L119" s="44" t="s">
        <v>132</v>
      </c>
      <c r="M119" s="42">
        <v>134.32</v>
      </c>
      <c r="N119" s="43" t="s">
        <v>25</v>
      </c>
      <c r="O119" s="40">
        <v>25</v>
      </c>
      <c r="P119" s="32" t="s">
        <v>133</v>
      </c>
      <c r="Q119" s="32">
        <v>2043</v>
      </c>
    </row>
    <row r="120" spans="1:17" x14ac:dyDescent="0.35">
      <c r="A120" s="54" t="s">
        <v>126</v>
      </c>
      <c r="B120" s="39">
        <v>2044</v>
      </c>
      <c r="C120" s="40">
        <v>61104</v>
      </c>
      <c r="D120" s="40" t="s">
        <v>138</v>
      </c>
      <c r="E120" s="40" t="s">
        <v>27</v>
      </c>
      <c r="F120" s="40">
        <v>7.4353913966206804</v>
      </c>
      <c r="G120" s="40">
        <v>8</v>
      </c>
      <c r="H120" s="40" t="s">
        <v>141</v>
      </c>
      <c r="I120" s="40" t="s">
        <v>142</v>
      </c>
      <c r="J120" s="41" t="s">
        <v>170</v>
      </c>
      <c r="K120" s="44" t="s">
        <v>131</v>
      </c>
      <c r="L120" s="44" t="s">
        <v>132</v>
      </c>
      <c r="M120" s="42">
        <v>56.92</v>
      </c>
      <c r="N120" s="43" t="s">
        <v>25</v>
      </c>
      <c r="O120" s="40">
        <v>25</v>
      </c>
      <c r="P120" s="32" t="s">
        <v>133</v>
      </c>
      <c r="Q120" s="32">
        <v>2044</v>
      </c>
    </row>
    <row r="121" spans="1:17" x14ac:dyDescent="0.35">
      <c r="A121" s="54" t="s">
        <v>126</v>
      </c>
      <c r="B121" s="39">
        <v>2045</v>
      </c>
      <c r="C121" s="40" t="s">
        <v>113</v>
      </c>
      <c r="D121" s="40" t="s">
        <v>138</v>
      </c>
      <c r="E121" s="40" t="s">
        <v>31</v>
      </c>
      <c r="F121" s="40">
        <v>4.8573898916967497</v>
      </c>
      <c r="G121" s="40">
        <v>8</v>
      </c>
      <c r="H121" s="40" t="s">
        <v>135</v>
      </c>
      <c r="I121" s="40" t="s">
        <v>129</v>
      </c>
      <c r="J121" s="41" t="s">
        <v>171</v>
      </c>
      <c r="K121" s="44" t="s">
        <v>131</v>
      </c>
      <c r="L121" s="44" t="s">
        <v>132</v>
      </c>
      <c r="M121" s="42">
        <v>53.8</v>
      </c>
      <c r="N121" s="43" t="s">
        <v>25</v>
      </c>
      <c r="O121" s="40">
        <v>25</v>
      </c>
      <c r="P121" s="32" t="s">
        <v>133</v>
      </c>
      <c r="Q121" s="32">
        <v>2045</v>
      </c>
    </row>
    <row r="122" spans="1:17" x14ac:dyDescent="0.35">
      <c r="A122" s="54" t="s">
        <v>126</v>
      </c>
      <c r="B122" s="39">
        <v>2046</v>
      </c>
      <c r="C122" s="40">
        <v>61082</v>
      </c>
      <c r="D122" s="40" t="s">
        <v>138</v>
      </c>
      <c r="E122" s="40" t="s">
        <v>33</v>
      </c>
      <c r="F122" s="40">
        <v>4.9940774570697801</v>
      </c>
      <c r="G122" s="40">
        <v>8</v>
      </c>
      <c r="H122" s="40" t="s">
        <v>135</v>
      </c>
      <c r="I122" s="40" t="s">
        <v>129</v>
      </c>
      <c r="J122" s="41" t="s">
        <v>172</v>
      </c>
      <c r="K122" s="45" t="s">
        <v>131</v>
      </c>
      <c r="L122" s="44" t="s">
        <v>132</v>
      </c>
      <c r="M122" s="42">
        <v>37.92</v>
      </c>
      <c r="N122" s="43" t="s">
        <v>25</v>
      </c>
      <c r="O122" s="40">
        <v>25</v>
      </c>
      <c r="P122" s="32" t="s">
        <v>133</v>
      </c>
      <c r="Q122" s="32">
        <v>2046</v>
      </c>
    </row>
    <row r="123" spans="1:17" x14ac:dyDescent="0.35">
      <c r="A123" s="54" t="s">
        <v>126</v>
      </c>
      <c r="B123" s="39">
        <v>2047</v>
      </c>
      <c r="C123" s="40">
        <v>61010</v>
      </c>
      <c r="D123" s="40" t="s">
        <v>138</v>
      </c>
      <c r="E123" s="40" t="s">
        <v>41</v>
      </c>
      <c r="F123" s="40">
        <v>9.7596119336025104</v>
      </c>
      <c r="G123" s="40">
        <v>6</v>
      </c>
      <c r="H123" s="40" t="s">
        <v>145</v>
      </c>
      <c r="I123" s="40" t="s">
        <v>142</v>
      </c>
      <c r="J123" s="41" t="s">
        <v>173</v>
      </c>
      <c r="K123" s="44" t="s">
        <v>131</v>
      </c>
      <c r="L123" s="44" t="s">
        <v>132</v>
      </c>
      <c r="M123" s="42">
        <v>35.1</v>
      </c>
      <c r="N123" s="43" t="s">
        <v>25</v>
      </c>
      <c r="O123" s="40">
        <v>25</v>
      </c>
      <c r="P123" s="32" t="s">
        <v>133</v>
      </c>
      <c r="Q123" s="32">
        <v>2047</v>
      </c>
    </row>
    <row r="124" spans="1:17" x14ac:dyDescent="0.35">
      <c r="A124" s="54" t="s">
        <v>126</v>
      </c>
      <c r="B124" s="39">
        <v>2060</v>
      </c>
      <c r="C124" s="40" t="s">
        <v>113</v>
      </c>
      <c r="D124" s="40" t="s">
        <v>134</v>
      </c>
      <c r="E124" s="40" t="s">
        <v>31</v>
      </c>
      <c r="F124" s="40">
        <v>8.0399191303195003</v>
      </c>
      <c r="G124" s="40">
        <v>8</v>
      </c>
      <c r="H124" s="40" t="s">
        <v>141</v>
      </c>
      <c r="I124" s="40" t="s">
        <v>142</v>
      </c>
      <c r="J124" s="41" t="s">
        <v>174</v>
      </c>
      <c r="K124" s="45" t="s">
        <v>131</v>
      </c>
      <c r="L124" s="44" t="s">
        <v>132</v>
      </c>
      <c r="M124" s="42">
        <v>44.6</v>
      </c>
      <c r="N124" s="43" t="s">
        <v>25</v>
      </c>
      <c r="O124" s="40">
        <v>20</v>
      </c>
      <c r="P124" s="32" t="s">
        <v>133</v>
      </c>
      <c r="Q124" s="32">
        <v>2060</v>
      </c>
    </row>
    <row r="125" spans="1:17" x14ac:dyDescent="0.35">
      <c r="A125" s="54" t="s">
        <v>126</v>
      </c>
      <c r="B125" s="39">
        <v>2061</v>
      </c>
      <c r="C125" s="40">
        <v>61082</v>
      </c>
      <c r="D125" s="40" t="s">
        <v>134</v>
      </c>
      <c r="E125" s="40" t="s">
        <v>33</v>
      </c>
      <c r="F125" s="40">
        <v>9.9633748355096596</v>
      </c>
      <c r="G125" s="40">
        <v>8</v>
      </c>
      <c r="H125" s="40" t="s">
        <v>141</v>
      </c>
      <c r="I125" s="40" t="s">
        <v>142</v>
      </c>
      <c r="J125" s="41" t="s">
        <v>175</v>
      </c>
      <c r="K125" s="45" t="s">
        <v>131</v>
      </c>
      <c r="L125" s="44" t="s">
        <v>132</v>
      </c>
      <c r="M125" s="42">
        <v>52.81</v>
      </c>
      <c r="N125" s="43" t="s">
        <v>25</v>
      </c>
      <c r="O125" s="40">
        <v>25</v>
      </c>
      <c r="P125" s="32" t="s">
        <v>133</v>
      </c>
      <c r="Q125" s="32">
        <v>2061</v>
      </c>
    </row>
    <row r="126" spans="1:17" x14ac:dyDescent="0.35">
      <c r="A126" s="54" t="s">
        <v>126</v>
      </c>
      <c r="B126" s="39">
        <v>2062</v>
      </c>
      <c r="C126" s="40" t="s">
        <v>105</v>
      </c>
      <c r="D126" s="40" t="s">
        <v>134</v>
      </c>
      <c r="E126" s="40" t="s">
        <v>43</v>
      </c>
      <c r="F126" s="40">
        <v>7.8332457786116301</v>
      </c>
      <c r="G126" s="40">
        <v>6</v>
      </c>
      <c r="H126" s="40" t="s">
        <v>141</v>
      </c>
      <c r="I126" s="40" t="s">
        <v>142</v>
      </c>
      <c r="J126" s="41" t="s">
        <v>176</v>
      </c>
      <c r="K126" s="44" t="s">
        <v>131</v>
      </c>
      <c r="L126" s="44" t="s">
        <v>132</v>
      </c>
      <c r="M126" s="42">
        <v>92.66</v>
      </c>
      <c r="N126" s="43" t="s">
        <v>25</v>
      </c>
      <c r="O126" s="40">
        <v>25</v>
      </c>
      <c r="P126" s="32" t="s">
        <v>133</v>
      </c>
      <c r="Q126" s="32">
        <v>2062</v>
      </c>
    </row>
    <row r="127" spans="1:17" x14ac:dyDescent="0.35">
      <c r="A127" s="54" t="s">
        <v>126</v>
      </c>
      <c r="B127" s="39">
        <v>2063</v>
      </c>
      <c r="C127" s="40">
        <v>203891</v>
      </c>
      <c r="D127" s="40" t="s">
        <v>134</v>
      </c>
      <c r="E127" s="40" t="s">
        <v>153</v>
      </c>
      <c r="F127" s="40">
        <v>8.9851691445808992</v>
      </c>
      <c r="G127" s="40">
        <v>6</v>
      </c>
      <c r="H127" s="40" t="s">
        <v>135</v>
      </c>
      <c r="I127" s="40" t="s">
        <v>129</v>
      </c>
      <c r="J127" s="41" t="s">
        <v>177</v>
      </c>
      <c r="K127" s="45" t="s">
        <v>131</v>
      </c>
      <c r="L127" s="45" t="s">
        <v>132</v>
      </c>
      <c r="M127" s="46">
        <v>131.02000000000001</v>
      </c>
      <c r="N127" s="43" t="s">
        <v>25</v>
      </c>
      <c r="O127" s="40">
        <v>25</v>
      </c>
      <c r="P127" s="32" t="s">
        <v>133</v>
      </c>
      <c r="Q127" s="32">
        <v>2063</v>
      </c>
    </row>
    <row r="128" spans="1:17" x14ac:dyDescent="0.35">
      <c r="A128" s="54" t="s">
        <v>126</v>
      </c>
      <c r="B128" s="39">
        <v>2064</v>
      </c>
      <c r="C128" s="40">
        <v>61061</v>
      </c>
      <c r="D128" s="40" t="s">
        <v>134</v>
      </c>
      <c r="E128" s="40" t="s">
        <v>29</v>
      </c>
      <c r="F128" s="40">
        <v>9.9259971035481502</v>
      </c>
      <c r="G128" s="40">
        <v>8</v>
      </c>
      <c r="H128" s="40" t="s">
        <v>141</v>
      </c>
      <c r="I128" s="40" t="s">
        <v>142</v>
      </c>
      <c r="J128" s="41" t="s">
        <v>178</v>
      </c>
      <c r="K128" s="45" t="s">
        <v>131</v>
      </c>
      <c r="L128" s="44" t="s">
        <v>132</v>
      </c>
      <c r="M128" s="42">
        <v>61.57</v>
      </c>
      <c r="N128" s="43" t="s">
        <v>25</v>
      </c>
      <c r="O128" s="40">
        <v>25</v>
      </c>
      <c r="P128" s="32" t="s">
        <v>133</v>
      </c>
      <c r="Q128" s="32">
        <v>2064</v>
      </c>
    </row>
    <row r="129" spans="1:17" x14ac:dyDescent="0.35">
      <c r="A129" s="54" t="s">
        <v>126</v>
      </c>
      <c r="B129" s="39">
        <v>2065</v>
      </c>
      <c r="C129" s="40">
        <v>61010</v>
      </c>
      <c r="D129" s="40" t="s">
        <v>134</v>
      </c>
      <c r="E129" s="40" t="s">
        <v>41</v>
      </c>
      <c r="F129" s="40"/>
      <c r="G129" s="40">
        <v>8</v>
      </c>
      <c r="H129" s="40" t="s">
        <v>141</v>
      </c>
      <c r="I129" s="40" t="s">
        <v>142</v>
      </c>
      <c r="J129" s="41" t="s">
        <v>179</v>
      </c>
      <c r="K129" s="44" t="s">
        <v>131</v>
      </c>
      <c r="L129" s="44" t="s">
        <v>132</v>
      </c>
      <c r="M129" s="42">
        <v>26.74</v>
      </c>
      <c r="N129" s="43" t="s">
        <v>25</v>
      </c>
      <c r="O129" s="40">
        <v>25</v>
      </c>
      <c r="P129" s="32" t="s">
        <v>133</v>
      </c>
      <c r="Q129" s="32">
        <v>2065</v>
      </c>
    </row>
    <row r="130" spans="1:17" x14ac:dyDescent="0.35">
      <c r="A130" s="54" t="s">
        <v>126</v>
      </c>
      <c r="B130" s="39">
        <v>2066</v>
      </c>
      <c r="C130" s="40" t="s">
        <v>104</v>
      </c>
      <c r="D130" s="40" t="s">
        <v>134</v>
      </c>
      <c r="E130" s="40" t="s">
        <v>43</v>
      </c>
      <c r="F130" s="40">
        <v>7.6016657922350399</v>
      </c>
      <c r="G130" s="40">
        <v>6</v>
      </c>
      <c r="H130" s="40" t="s">
        <v>141</v>
      </c>
      <c r="I130" s="40" t="s">
        <v>142</v>
      </c>
      <c r="J130" s="41" t="s">
        <v>180</v>
      </c>
      <c r="K130" s="44" t="s">
        <v>131</v>
      </c>
      <c r="L130" s="44" t="s">
        <v>132</v>
      </c>
      <c r="M130" s="42">
        <v>87.06</v>
      </c>
      <c r="N130" s="43" t="s">
        <v>25</v>
      </c>
      <c r="O130" s="40">
        <v>25</v>
      </c>
      <c r="P130" s="32" t="s">
        <v>133</v>
      </c>
      <c r="Q130" s="32">
        <v>2066</v>
      </c>
    </row>
    <row r="131" spans="1:17" x14ac:dyDescent="0.35">
      <c r="A131" s="54" t="s">
        <v>126</v>
      </c>
      <c r="B131" s="39">
        <v>2067</v>
      </c>
      <c r="C131" s="40" t="s">
        <v>21</v>
      </c>
      <c r="D131" s="40" t="s">
        <v>134</v>
      </c>
      <c r="E131" s="40" t="s">
        <v>23</v>
      </c>
      <c r="F131" s="40">
        <v>7.2794202898550697</v>
      </c>
      <c r="G131" s="40">
        <v>8</v>
      </c>
      <c r="H131" s="40" t="s">
        <v>141</v>
      </c>
      <c r="I131" s="40" t="s">
        <v>142</v>
      </c>
      <c r="J131" s="41" t="s">
        <v>181</v>
      </c>
      <c r="K131" s="44" t="s">
        <v>144</v>
      </c>
      <c r="L131" s="44" t="s">
        <v>132</v>
      </c>
      <c r="M131" s="42">
        <v>16.82</v>
      </c>
      <c r="N131" s="43" t="s">
        <v>25</v>
      </c>
      <c r="O131" s="40">
        <v>25</v>
      </c>
      <c r="P131" s="32" t="s">
        <v>133</v>
      </c>
      <c r="Q131" s="32">
        <v>2067</v>
      </c>
    </row>
    <row r="132" spans="1:17" x14ac:dyDescent="0.35">
      <c r="A132" s="54" t="s">
        <v>126</v>
      </c>
      <c r="B132" s="39">
        <v>2068</v>
      </c>
      <c r="C132" s="40" t="s">
        <v>26</v>
      </c>
      <c r="D132" s="40" t="s">
        <v>134</v>
      </c>
      <c r="E132" s="40" t="s">
        <v>27</v>
      </c>
      <c r="F132" s="40"/>
      <c r="G132" s="40">
        <v>12</v>
      </c>
      <c r="H132" s="40" t="s">
        <v>151</v>
      </c>
      <c r="I132" s="40" t="s">
        <v>129</v>
      </c>
      <c r="J132" s="41" t="s">
        <v>182</v>
      </c>
      <c r="K132" s="44" t="s">
        <v>131</v>
      </c>
      <c r="L132" s="44" t="s">
        <v>132</v>
      </c>
      <c r="M132" s="42">
        <v>121.26</v>
      </c>
      <c r="N132" s="43" t="s">
        <v>25</v>
      </c>
      <c r="O132" s="40">
        <v>25</v>
      </c>
      <c r="P132" s="32" t="s">
        <v>133</v>
      </c>
      <c r="Q132" s="32">
        <v>2068</v>
      </c>
    </row>
    <row r="133" spans="1:17" x14ac:dyDescent="0.35">
      <c r="A133" s="54" t="s">
        <v>126</v>
      </c>
      <c r="B133" s="39">
        <v>2069</v>
      </c>
      <c r="C133" s="40" t="s">
        <v>104</v>
      </c>
      <c r="D133" s="40" t="s">
        <v>138</v>
      </c>
      <c r="E133" s="40" t="s">
        <v>43</v>
      </c>
      <c r="F133" s="40">
        <v>9.0616734693877508</v>
      </c>
      <c r="G133" s="40">
        <v>12</v>
      </c>
      <c r="H133" s="40" t="s">
        <v>135</v>
      </c>
      <c r="I133" s="40" t="s">
        <v>129</v>
      </c>
      <c r="J133" s="41" t="s">
        <v>183</v>
      </c>
      <c r="K133" s="44" t="s">
        <v>131</v>
      </c>
      <c r="L133" s="45" t="s">
        <v>132</v>
      </c>
      <c r="M133" s="46">
        <v>16.71</v>
      </c>
      <c r="N133" s="43" t="s">
        <v>25</v>
      </c>
      <c r="O133" s="40">
        <v>25</v>
      </c>
      <c r="P133" s="32" t="s">
        <v>133</v>
      </c>
      <c r="Q133" s="32">
        <v>2069</v>
      </c>
    </row>
    <row r="134" spans="1:17" x14ac:dyDescent="0.35">
      <c r="A134" s="54" t="s">
        <v>126</v>
      </c>
      <c r="B134" s="47">
        <v>2070</v>
      </c>
      <c r="C134" s="40" t="s">
        <v>105</v>
      </c>
      <c r="D134" s="40" t="s">
        <v>138</v>
      </c>
      <c r="E134" s="40" t="s">
        <v>43</v>
      </c>
      <c r="F134" s="42">
        <v>9.2275391600453993</v>
      </c>
      <c r="G134" s="40">
        <v>12</v>
      </c>
      <c r="H134" s="40" t="s">
        <v>135</v>
      </c>
      <c r="I134" s="40" t="s">
        <v>129</v>
      </c>
      <c r="J134" s="41" t="s">
        <v>184</v>
      </c>
      <c r="K134" s="44" t="s">
        <v>131</v>
      </c>
      <c r="L134" s="44" t="s">
        <v>132</v>
      </c>
      <c r="M134" s="42">
        <v>116.71</v>
      </c>
      <c r="N134" s="43" t="s">
        <v>25</v>
      </c>
      <c r="O134" s="40">
        <v>25</v>
      </c>
      <c r="P134" s="32" t="s">
        <v>133</v>
      </c>
      <c r="Q134" s="32">
        <v>2070</v>
      </c>
    </row>
    <row r="135" spans="1:17" x14ac:dyDescent="0.35">
      <c r="A135" s="54" t="s">
        <v>126</v>
      </c>
      <c r="B135" s="39">
        <v>2071</v>
      </c>
      <c r="C135" s="40" t="s">
        <v>105</v>
      </c>
      <c r="D135" s="40" t="s">
        <v>138</v>
      </c>
      <c r="E135" s="40" t="s">
        <v>43</v>
      </c>
      <c r="F135" s="40">
        <v>8.2634039829302992</v>
      </c>
      <c r="G135" s="40">
        <v>6</v>
      </c>
      <c r="H135" s="40" t="s">
        <v>141</v>
      </c>
      <c r="I135" s="40" t="s">
        <v>142</v>
      </c>
      <c r="J135" s="41" t="s">
        <v>167</v>
      </c>
      <c r="K135" s="45" t="s">
        <v>131</v>
      </c>
      <c r="L135" s="44" t="s">
        <v>132</v>
      </c>
      <c r="M135" s="42">
        <v>105.01</v>
      </c>
      <c r="N135" s="43" t="s">
        <v>25</v>
      </c>
      <c r="O135" s="40">
        <v>25</v>
      </c>
      <c r="P135" s="32" t="s">
        <v>133</v>
      </c>
      <c r="Q135" s="32">
        <v>2071</v>
      </c>
    </row>
    <row r="136" spans="1:17" x14ac:dyDescent="0.35">
      <c r="A136" s="54" t="s">
        <v>126</v>
      </c>
      <c r="B136" s="47">
        <v>2072</v>
      </c>
      <c r="C136" s="40" t="s">
        <v>113</v>
      </c>
      <c r="D136" s="40" t="s">
        <v>138</v>
      </c>
      <c r="E136" s="40" t="s">
        <v>31</v>
      </c>
      <c r="F136" s="42"/>
      <c r="G136" s="40">
        <v>12</v>
      </c>
      <c r="H136" s="40" t="s">
        <v>135</v>
      </c>
      <c r="I136" s="40" t="s">
        <v>129</v>
      </c>
      <c r="J136" s="41" t="s">
        <v>171</v>
      </c>
      <c r="K136" s="44" t="s">
        <v>131</v>
      </c>
      <c r="L136" s="44" t="s">
        <v>132</v>
      </c>
      <c r="M136" s="42">
        <v>63.93</v>
      </c>
      <c r="N136" s="43" t="s">
        <v>25</v>
      </c>
      <c r="O136" s="40">
        <v>25</v>
      </c>
      <c r="P136" s="32" t="s">
        <v>133</v>
      </c>
      <c r="Q136" s="32">
        <v>2072</v>
      </c>
    </row>
    <row r="137" spans="1:17" x14ac:dyDescent="0.35">
      <c r="A137" s="54" t="s">
        <v>126</v>
      </c>
      <c r="B137" s="47">
        <v>2073</v>
      </c>
      <c r="C137" s="40">
        <v>61082</v>
      </c>
      <c r="D137" s="40" t="s">
        <v>138</v>
      </c>
      <c r="E137" s="40" t="s">
        <v>33</v>
      </c>
      <c r="F137" s="42"/>
      <c r="G137" s="40">
        <v>12</v>
      </c>
      <c r="H137" s="40" t="s">
        <v>135</v>
      </c>
      <c r="I137" s="40" t="s">
        <v>129</v>
      </c>
      <c r="J137" s="41" t="s">
        <v>172</v>
      </c>
      <c r="K137" s="44" t="s">
        <v>131</v>
      </c>
      <c r="L137" s="44" t="s">
        <v>132</v>
      </c>
      <c r="M137" s="42">
        <v>26.79</v>
      </c>
      <c r="N137" s="43" t="s">
        <v>25</v>
      </c>
      <c r="O137" s="40">
        <v>25</v>
      </c>
      <c r="P137" s="32" t="s">
        <v>133</v>
      </c>
      <c r="Q137" s="32">
        <v>2073</v>
      </c>
    </row>
    <row r="138" spans="1:17" x14ac:dyDescent="0.35">
      <c r="A138" s="54" t="s">
        <v>126</v>
      </c>
      <c r="B138" s="39">
        <v>2074</v>
      </c>
      <c r="C138" s="40" t="s">
        <v>21</v>
      </c>
      <c r="D138" s="40" t="s">
        <v>138</v>
      </c>
      <c r="E138" s="40" t="s">
        <v>23</v>
      </c>
      <c r="F138" s="40">
        <v>7.3256159703240904</v>
      </c>
      <c r="G138" s="40">
        <v>12</v>
      </c>
      <c r="H138" s="40" t="s">
        <v>135</v>
      </c>
      <c r="I138" s="40" t="s">
        <v>129</v>
      </c>
      <c r="J138" s="41" t="s">
        <v>185</v>
      </c>
      <c r="K138" s="45" t="s">
        <v>144</v>
      </c>
      <c r="L138" s="44" t="s">
        <v>132</v>
      </c>
      <c r="M138" s="42">
        <v>33.61</v>
      </c>
      <c r="N138" s="43" t="s">
        <v>25</v>
      </c>
      <c r="O138" s="40">
        <v>25</v>
      </c>
      <c r="P138" s="32" t="s">
        <v>133</v>
      </c>
      <c r="Q138" s="32">
        <v>2074</v>
      </c>
    </row>
    <row r="139" spans="1:17" x14ac:dyDescent="0.35">
      <c r="A139" s="54" t="s">
        <v>126</v>
      </c>
      <c r="B139" s="39">
        <v>2075</v>
      </c>
      <c r="C139" s="40" t="s">
        <v>26</v>
      </c>
      <c r="D139" s="40" t="s">
        <v>138</v>
      </c>
      <c r="E139" s="40" t="s">
        <v>27</v>
      </c>
      <c r="F139" s="40">
        <v>7.8209931170108096</v>
      </c>
      <c r="G139" s="48">
        <v>12</v>
      </c>
      <c r="H139" s="48" t="s">
        <v>135</v>
      </c>
      <c r="I139" s="48" t="s">
        <v>129</v>
      </c>
      <c r="J139" s="55" t="s">
        <v>186</v>
      </c>
      <c r="K139" s="44" t="s">
        <v>131</v>
      </c>
      <c r="L139" s="44" t="s">
        <v>132</v>
      </c>
      <c r="M139" s="42">
        <v>113.84</v>
      </c>
      <c r="N139" s="43" t="s">
        <v>25</v>
      </c>
      <c r="O139" s="40">
        <v>25</v>
      </c>
      <c r="P139" s="32" t="s">
        <v>133</v>
      </c>
      <c r="Q139" s="32">
        <v>2075</v>
      </c>
    </row>
    <row r="140" spans="1:17" x14ac:dyDescent="0.35">
      <c r="A140" s="54" t="s">
        <v>126</v>
      </c>
      <c r="B140" s="39">
        <v>2076</v>
      </c>
      <c r="C140" s="40">
        <v>61010</v>
      </c>
      <c r="D140" s="40" t="s">
        <v>138</v>
      </c>
      <c r="E140" s="40" t="s">
        <v>41</v>
      </c>
      <c r="F140" s="40">
        <v>0</v>
      </c>
      <c r="G140" s="48">
        <v>12</v>
      </c>
      <c r="H140" s="48" t="s">
        <v>135</v>
      </c>
      <c r="I140" s="48" t="s">
        <v>129</v>
      </c>
      <c r="J140" s="55" t="s">
        <v>187</v>
      </c>
      <c r="K140" s="45" t="s">
        <v>131</v>
      </c>
      <c r="L140" s="45" t="s">
        <v>132</v>
      </c>
      <c r="M140" s="46">
        <v>25.87</v>
      </c>
      <c r="N140" s="43" t="s">
        <v>25</v>
      </c>
      <c r="O140" s="40">
        <v>25</v>
      </c>
      <c r="P140" s="32" t="s">
        <v>133</v>
      </c>
      <c r="Q140" s="32">
        <v>2076</v>
      </c>
    </row>
    <row r="141" spans="1:17" x14ac:dyDescent="0.35">
      <c r="A141" s="54" t="s">
        <v>126</v>
      </c>
      <c r="B141" s="39">
        <v>2077</v>
      </c>
      <c r="C141" s="40">
        <v>61061</v>
      </c>
      <c r="D141" s="40" t="s">
        <v>138</v>
      </c>
      <c r="E141" s="40" t="s">
        <v>29</v>
      </c>
      <c r="F141" s="40">
        <v>9.7515820734341201</v>
      </c>
      <c r="G141" s="48">
        <v>6</v>
      </c>
      <c r="H141" s="48" t="s">
        <v>145</v>
      </c>
      <c r="I141" s="48" t="s">
        <v>142</v>
      </c>
      <c r="J141" s="55" t="s">
        <v>188</v>
      </c>
      <c r="K141" s="45" t="s">
        <v>131</v>
      </c>
      <c r="L141" s="45" t="s">
        <v>132</v>
      </c>
      <c r="M141" s="46">
        <v>77.92</v>
      </c>
      <c r="N141" s="43" t="s">
        <v>25</v>
      </c>
      <c r="O141" s="40">
        <v>25</v>
      </c>
      <c r="P141" s="32" t="s">
        <v>133</v>
      </c>
      <c r="Q141" s="32">
        <v>2077</v>
      </c>
    </row>
    <row r="142" spans="1:17" x14ac:dyDescent="0.35">
      <c r="A142" s="54" t="s">
        <v>126</v>
      </c>
      <c r="B142" s="39">
        <v>2078</v>
      </c>
      <c r="C142" s="40">
        <v>203891</v>
      </c>
      <c r="D142" s="40" t="s">
        <v>138</v>
      </c>
      <c r="E142" s="40" t="s">
        <v>153</v>
      </c>
      <c r="F142" s="40">
        <v>8.9391652470187299</v>
      </c>
      <c r="G142" s="48">
        <v>6</v>
      </c>
      <c r="H142" s="48" t="s">
        <v>135</v>
      </c>
      <c r="I142" s="48" t="s">
        <v>129</v>
      </c>
      <c r="J142" s="55" t="s">
        <v>189</v>
      </c>
      <c r="K142" s="44" t="s">
        <v>131</v>
      </c>
      <c r="L142" s="45" t="s">
        <v>132</v>
      </c>
      <c r="M142" s="46">
        <v>160.44999999999999</v>
      </c>
      <c r="N142" s="43" t="s">
        <v>25</v>
      </c>
      <c r="O142" s="40">
        <v>25</v>
      </c>
      <c r="P142" s="32" t="s">
        <v>133</v>
      </c>
      <c r="Q142" s="32">
        <v>2078</v>
      </c>
    </row>
    <row r="143" spans="1:17" x14ac:dyDescent="0.35">
      <c r="A143" s="54" t="s">
        <v>126</v>
      </c>
      <c r="B143" s="39">
        <v>2082</v>
      </c>
      <c r="C143" s="40" t="s">
        <v>26</v>
      </c>
      <c r="D143" s="40" t="s">
        <v>138</v>
      </c>
      <c r="E143" s="40" t="s">
        <v>27</v>
      </c>
      <c r="F143" s="40">
        <v>8.5800315075133202</v>
      </c>
      <c r="G143" s="48">
        <v>8</v>
      </c>
      <c r="H143" s="48" t="s">
        <v>141</v>
      </c>
      <c r="I143" s="48" t="s">
        <v>142</v>
      </c>
      <c r="J143" s="55" t="s">
        <v>190</v>
      </c>
      <c r="K143" s="44" t="s">
        <v>131</v>
      </c>
      <c r="L143" s="45" t="s">
        <v>132</v>
      </c>
      <c r="M143" s="46">
        <v>107.06</v>
      </c>
      <c r="N143" s="43" t="s">
        <v>25</v>
      </c>
      <c r="O143" s="40">
        <v>25</v>
      </c>
      <c r="P143" s="32" t="s">
        <v>133</v>
      </c>
      <c r="Q143" s="32">
        <v>2082</v>
      </c>
    </row>
    <row r="144" spans="1:17" x14ac:dyDescent="0.35">
      <c r="A144" s="54" t="s">
        <v>126</v>
      </c>
      <c r="B144" s="39">
        <v>2084</v>
      </c>
      <c r="C144" s="40" t="s">
        <v>109</v>
      </c>
      <c r="D144" s="40" t="s">
        <v>134</v>
      </c>
      <c r="E144" s="40" t="s">
        <v>27</v>
      </c>
      <c r="F144" s="40">
        <v>5.9302396021699799</v>
      </c>
      <c r="G144" s="48">
        <v>8</v>
      </c>
      <c r="H144" s="48" t="s">
        <v>151</v>
      </c>
      <c r="I144" s="48" t="s">
        <v>129</v>
      </c>
      <c r="J144" s="55" t="s">
        <v>191</v>
      </c>
      <c r="K144" s="44" t="s">
        <v>131</v>
      </c>
      <c r="L144" s="45" t="s">
        <v>132</v>
      </c>
      <c r="M144" s="46">
        <v>91.74</v>
      </c>
      <c r="N144" s="43" t="s">
        <v>47</v>
      </c>
      <c r="O144" s="40">
        <v>25</v>
      </c>
      <c r="P144" s="32" t="s">
        <v>133</v>
      </c>
      <c r="Q144" s="32">
        <v>2084</v>
      </c>
    </row>
    <row r="145" spans="1:17" x14ac:dyDescent="0.35">
      <c r="A145" s="54" t="s">
        <v>126</v>
      </c>
      <c r="B145" s="39">
        <v>2085</v>
      </c>
      <c r="C145" s="40" t="s">
        <v>21</v>
      </c>
      <c r="D145" s="40" t="s">
        <v>134</v>
      </c>
      <c r="E145" s="40" t="s">
        <v>23</v>
      </c>
      <c r="F145" s="40">
        <v>4.8638857522417798</v>
      </c>
      <c r="G145" s="48"/>
      <c r="H145" s="48" t="s">
        <v>151</v>
      </c>
      <c r="I145" s="48" t="s">
        <v>129</v>
      </c>
      <c r="J145" s="55" t="s">
        <v>192</v>
      </c>
      <c r="K145" s="45" t="s">
        <v>144</v>
      </c>
      <c r="L145" s="45" t="s">
        <v>132</v>
      </c>
      <c r="M145" s="46">
        <v>37.380000000000003</v>
      </c>
      <c r="N145" s="43" t="s">
        <v>25</v>
      </c>
      <c r="O145" s="40">
        <v>25</v>
      </c>
      <c r="P145" s="32" t="s">
        <v>133</v>
      </c>
      <c r="Q145" s="32">
        <v>2085</v>
      </c>
    </row>
    <row r="146" spans="1:17" x14ac:dyDescent="0.35">
      <c r="A146" s="54" t="s">
        <v>126</v>
      </c>
      <c r="B146" s="39">
        <v>2086</v>
      </c>
      <c r="C146" s="40">
        <v>61050</v>
      </c>
      <c r="D146" s="40" t="s">
        <v>193</v>
      </c>
      <c r="E146" s="40" t="s">
        <v>27</v>
      </c>
      <c r="F146" s="40"/>
      <c r="G146" s="48">
        <v>12</v>
      </c>
      <c r="H146" s="48" t="s">
        <v>135</v>
      </c>
      <c r="I146" s="48" t="s">
        <v>129</v>
      </c>
      <c r="J146" s="55" t="s">
        <v>194</v>
      </c>
      <c r="K146" s="44" t="s">
        <v>131</v>
      </c>
      <c r="L146" s="45" t="s">
        <v>132</v>
      </c>
      <c r="M146" s="46">
        <v>85.37</v>
      </c>
      <c r="N146" s="43" t="s">
        <v>40</v>
      </c>
      <c r="O146" s="40">
        <v>25</v>
      </c>
      <c r="P146" s="32" t="s">
        <v>133</v>
      </c>
      <c r="Q146" s="32">
        <v>2086</v>
      </c>
    </row>
    <row r="147" spans="1:17" x14ac:dyDescent="0.35">
      <c r="A147" s="54" t="s">
        <v>126</v>
      </c>
      <c r="B147" s="39">
        <v>2087</v>
      </c>
      <c r="C147" s="40">
        <v>61050</v>
      </c>
      <c r="D147" s="40" t="s">
        <v>193</v>
      </c>
      <c r="E147" s="48" t="s">
        <v>27</v>
      </c>
      <c r="F147" s="40"/>
      <c r="G147" s="48">
        <v>8</v>
      </c>
      <c r="H147" s="48" t="s">
        <v>195</v>
      </c>
      <c r="I147" s="48" t="s">
        <v>129</v>
      </c>
      <c r="J147" s="55" t="s">
        <v>196</v>
      </c>
      <c r="K147" s="44" t="s">
        <v>131</v>
      </c>
      <c r="L147" s="45" t="s">
        <v>132</v>
      </c>
      <c r="M147" s="46">
        <v>142.94</v>
      </c>
      <c r="N147" s="43" t="s">
        <v>40</v>
      </c>
      <c r="O147" s="40">
        <v>25</v>
      </c>
      <c r="P147" s="32" t="s">
        <v>133</v>
      </c>
      <c r="Q147" s="32">
        <v>2087</v>
      </c>
    </row>
    <row r="148" spans="1:17" x14ac:dyDescent="0.35">
      <c r="A148" s="54" t="s">
        <v>126</v>
      </c>
      <c r="B148" s="39">
        <v>2088</v>
      </c>
      <c r="C148" s="40">
        <v>61054</v>
      </c>
      <c r="D148" s="40" t="s">
        <v>193</v>
      </c>
      <c r="E148" s="48" t="s">
        <v>197</v>
      </c>
      <c r="F148" s="40"/>
      <c r="G148" s="48">
        <v>12</v>
      </c>
      <c r="H148" s="48" t="s">
        <v>135</v>
      </c>
      <c r="I148" s="48" t="s">
        <v>129</v>
      </c>
      <c r="J148" s="55" t="s">
        <v>198</v>
      </c>
      <c r="K148" s="44" t="s">
        <v>144</v>
      </c>
      <c r="L148" s="56" t="s">
        <v>132</v>
      </c>
      <c r="M148" s="57">
        <v>36.86</v>
      </c>
      <c r="N148" s="43" t="s">
        <v>40</v>
      </c>
      <c r="O148" s="40">
        <v>25</v>
      </c>
      <c r="P148" s="32" t="s">
        <v>133</v>
      </c>
      <c r="Q148" s="32">
        <v>2088</v>
      </c>
    </row>
    <row r="149" spans="1:17" x14ac:dyDescent="0.35">
      <c r="A149" s="54" t="s">
        <v>126</v>
      </c>
      <c r="B149" s="39">
        <v>2089</v>
      </c>
      <c r="C149" s="40">
        <v>61040</v>
      </c>
      <c r="D149" s="40" t="s">
        <v>193</v>
      </c>
      <c r="E149" s="40" t="s">
        <v>43</v>
      </c>
      <c r="F149" s="40"/>
      <c r="G149" s="48">
        <v>12</v>
      </c>
      <c r="H149" s="48" t="s">
        <v>135</v>
      </c>
      <c r="I149" s="48" t="s">
        <v>129</v>
      </c>
      <c r="J149" s="55" t="s">
        <v>199</v>
      </c>
      <c r="K149" s="44" t="s">
        <v>131</v>
      </c>
      <c r="L149" s="45" t="s">
        <v>132</v>
      </c>
      <c r="M149" s="46">
        <v>97.33</v>
      </c>
      <c r="N149" s="43" t="s">
        <v>40</v>
      </c>
      <c r="O149" s="40">
        <v>25</v>
      </c>
      <c r="P149" s="32" t="s">
        <v>133</v>
      </c>
      <c r="Q149" s="32">
        <v>2089</v>
      </c>
    </row>
    <row r="150" spans="1:17" x14ac:dyDescent="0.35">
      <c r="A150" s="54" t="s">
        <v>126</v>
      </c>
      <c r="B150" s="39">
        <v>2090</v>
      </c>
      <c r="C150" s="40">
        <v>61040</v>
      </c>
      <c r="D150" s="40" t="s">
        <v>193</v>
      </c>
      <c r="E150" s="40" t="s">
        <v>43</v>
      </c>
      <c r="F150" s="40"/>
      <c r="G150" s="48">
        <v>8</v>
      </c>
      <c r="H150" s="48" t="s">
        <v>141</v>
      </c>
      <c r="I150" s="48" t="s">
        <v>142</v>
      </c>
      <c r="J150" s="55" t="s">
        <v>200</v>
      </c>
      <c r="K150" s="44" t="s">
        <v>131</v>
      </c>
      <c r="L150" s="45" t="s">
        <v>132</v>
      </c>
      <c r="M150" s="46">
        <v>150.72</v>
      </c>
      <c r="N150" s="43" t="s">
        <v>40</v>
      </c>
      <c r="O150" s="40">
        <v>25</v>
      </c>
      <c r="P150" s="32" t="s">
        <v>133</v>
      </c>
      <c r="Q150" s="32">
        <v>2090</v>
      </c>
    </row>
    <row r="151" spans="1:17" x14ac:dyDescent="0.35">
      <c r="A151" s="54" t="s">
        <v>126</v>
      </c>
      <c r="B151" s="39">
        <v>2091</v>
      </c>
      <c r="C151" s="40">
        <v>61061</v>
      </c>
      <c r="D151" s="40" t="s">
        <v>193</v>
      </c>
      <c r="E151" s="40" t="s">
        <v>29</v>
      </c>
      <c r="F151" s="40"/>
      <c r="G151" s="40">
        <v>8</v>
      </c>
      <c r="H151" s="40" t="s">
        <v>141</v>
      </c>
      <c r="I151" s="40" t="s">
        <v>142</v>
      </c>
      <c r="J151" s="41" t="s">
        <v>201</v>
      </c>
      <c r="K151" s="45" t="s">
        <v>131</v>
      </c>
      <c r="L151" s="44" t="s">
        <v>132</v>
      </c>
      <c r="M151" s="42">
        <v>79.64</v>
      </c>
      <c r="N151" s="43" t="s">
        <v>40</v>
      </c>
      <c r="O151" s="40">
        <v>25</v>
      </c>
      <c r="P151" s="32" t="s">
        <v>133</v>
      </c>
      <c r="Q151" s="32">
        <v>2091</v>
      </c>
    </row>
    <row r="152" spans="1:17" x14ac:dyDescent="0.35">
      <c r="A152" s="54" t="s">
        <v>126</v>
      </c>
      <c r="B152" s="39">
        <v>2092</v>
      </c>
      <c r="C152" s="40">
        <v>61072</v>
      </c>
      <c r="D152" s="40" t="s">
        <v>193</v>
      </c>
      <c r="E152" s="40" t="s">
        <v>31</v>
      </c>
      <c r="F152" s="40"/>
      <c r="G152" s="40">
        <v>12</v>
      </c>
      <c r="H152" s="40" t="s">
        <v>135</v>
      </c>
      <c r="I152" s="40" t="s">
        <v>129</v>
      </c>
      <c r="J152" s="41" t="s">
        <v>202</v>
      </c>
      <c r="K152" s="44" t="s">
        <v>131</v>
      </c>
      <c r="L152" s="44" t="s">
        <v>132</v>
      </c>
      <c r="M152" s="42">
        <v>87.67</v>
      </c>
      <c r="N152" s="43" t="s">
        <v>40</v>
      </c>
      <c r="O152" s="40">
        <v>25</v>
      </c>
      <c r="P152" s="32" t="s">
        <v>133</v>
      </c>
      <c r="Q152" s="32">
        <v>2092</v>
      </c>
    </row>
    <row r="153" spans="1:17" x14ac:dyDescent="0.35">
      <c r="A153" s="54" t="s">
        <v>126</v>
      </c>
      <c r="B153" s="39">
        <v>2093</v>
      </c>
      <c r="C153" s="40">
        <v>61072</v>
      </c>
      <c r="D153" s="40" t="s">
        <v>193</v>
      </c>
      <c r="E153" s="40" t="s">
        <v>31</v>
      </c>
      <c r="F153" s="40"/>
      <c r="G153" s="40">
        <v>8</v>
      </c>
      <c r="H153" s="40" t="s">
        <v>141</v>
      </c>
      <c r="I153" s="40" t="s">
        <v>142</v>
      </c>
      <c r="J153" s="41" t="s">
        <v>203</v>
      </c>
      <c r="K153" s="45" t="s">
        <v>131</v>
      </c>
      <c r="L153" s="44" t="s">
        <v>132</v>
      </c>
      <c r="M153" s="42">
        <v>70.47</v>
      </c>
      <c r="N153" s="43" t="s">
        <v>40</v>
      </c>
      <c r="O153" s="40">
        <v>25</v>
      </c>
      <c r="P153" s="32" t="s">
        <v>133</v>
      </c>
      <c r="Q153" s="32">
        <v>2093</v>
      </c>
    </row>
    <row r="154" spans="1:17" x14ac:dyDescent="0.35">
      <c r="A154" s="54" t="s">
        <v>126</v>
      </c>
      <c r="B154" s="39">
        <v>2094</v>
      </c>
      <c r="C154" s="40">
        <v>61077</v>
      </c>
      <c r="D154" s="40" t="s">
        <v>193</v>
      </c>
      <c r="E154" s="40" t="s">
        <v>33</v>
      </c>
      <c r="F154" s="40"/>
      <c r="G154" s="40">
        <v>12</v>
      </c>
      <c r="H154" s="40" t="s">
        <v>135</v>
      </c>
      <c r="I154" s="40" t="s">
        <v>129</v>
      </c>
      <c r="J154" s="41" t="s">
        <v>204</v>
      </c>
      <c r="K154" s="45" t="s">
        <v>131</v>
      </c>
      <c r="L154" s="44" t="s">
        <v>132</v>
      </c>
      <c r="M154" s="42">
        <v>30.44</v>
      </c>
      <c r="N154" s="43" t="s">
        <v>40</v>
      </c>
      <c r="O154" s="40">
        <v>25</v>
      </c>
      <c r="P154" s="32" t="s">
        <v>133</v>
      </c>
      <c r="Q154" s="32">
        <v>2094</v>
      </c>
    </row>
    <row r="155" spans="1:17" x14ac:dyDescent="0.35">
      <c r="A155" s="54" t="s">
        <v>126</v>
      </c>
      <c r="B155" s="39">
        <v>2095</v>
      </c>
      <c r="C155" s="40">
        <v>61077</v>
      </c>
      <c r="D155" s="40" t="s">
        <v>193</v>
      </c>
      <c r="E155" s="40" t="s">
        <v>33</v>
      </c>
      <c r="F155" s="40"/>
      <c r="G155" s="40">
        <v>8</v>
      </c>
      <c r="H155" s="40" t="s">
        <v>141</v>
      </c>
      <c r="I155" s="40" t="s">
        <v>142</v>
      </c>
      <c r="J155" s="41" t="s">
        <v>205</v>
      </c>
      <c r="K155" s="45" t="s">
        <v>131</v>
      </c>
      <c r="L155" s="44" t="s">
        <v>132</v>
      </c>
      <c r="M155" s="42">
        <v>68.760000000000005</v>
      </c>
      <c r="N155" s="43" t="s">
        <v>40</v>
      </c>
      <c r="O155" s="40">
        <v>25</v>
      </c>
      <c r="P155" s="32" t="s">
        <v>133</v>
      </c>
      <c r="Q155" s="32">
        <v>2095</v>
      </c>
    </row>
    <row r="156" spans="1:17" x14ac:dyDescent="0.35">
      <c r="A156" s="54" t="s">
        <v>126</v>
      </c>
      <c r="B156" s="39">
        <v>2096</v>
      </c>
      <c r="C156" s="40">
        <v>61086</v>
      </c>
      <c r="D156" s="40" t="s">
        <v>193</v>
      </c>
      <c r="E156" s="40" t="s">
        <v>23</v>
      </c>
      <c r="F156" s="40"/>
      <c r="G156" s="40">
        <v>12</v>
      </c>
      <c r="H156" s="40" t="s">
        <v>135</v>
      </c>
      <c r="I156" s="40" t="s">
        <v>129</v>
      </c>
      <c r="J156" s="41" t="s">
        <v>206</v>
      </c>
      <c r="K156" s="45" t="s">
        <v>144</v>
      </c>
      <c r="L156" s="44" t="s">
        <v>132</v>
      </c>
      <c r="M156" s="42">
        <v>42.29</v>
      </c>
      <c r="N156" s="43" t="s">
        <v>40</v>
      </c>
      <c r="O156" s="40">
        <v>25</v>
      </c>
      <c r="P156" s="32" t="s">
        <v>133</v>
      </c>
      <c r="Q156" s="32">
        <v>2096</v>
      </c>
    </row>
    <row r="157" spans="1:17" x14ac:dyDescent="0.35">
      <c r="A157" s="54" t="s">
        <v>126</v>
      </c>
      <c r="B157" s="39">
        <v>2097</v>
      </c>
      <c r="C157" s="40">
        <v>61086</v>
      </c>
      <c r="D157" s="40" t="s">
        <v>193</v>
      </c>
      <c r="E157" s="40" t="s">
        <v>23</v>
      </c>
      <c r="F157" s="40"/>
      <c r="G157" s="40">
        <v>8</v>
      </c>
      <c r="H157" s="40" t="s">
        <v>195</v>
      </c>
      <c r="I157" s="40" t="s">
        <v>142</v>
      </c>
      <c r="J157" s="41" t="s">
        <v>207</v>
      </c>
      <c r="K157" s="44" t="s">
        <v>144</v>
      </c>
      <c r="L157" s="44" t="s">
        <v>132</v>
      </c>
      <c r="M157" s="42">
        <v>50.41</v>
      </c>
      <c r="N157" s="43" t="s">
        <v>40</v>
      </c>
      <c r="O157" s="40">
        <v>25</v>
      </c>
      <c r="P157" s="32" t="s">
        <v>133</v>
      </c>
      <c r="Q157" s="32">
        <v>2097</v>
      </c>
    </row>
    <row r="158" spans="1:17" x14ac:dyDescent="0.35">
      <c r="A158" s="54" t="s">
        <v>126</v>
      </c>
      <c r="B158" s="39">
        <v>2098</v>
      </c>
      <c r="C158" s="40">
        <v>61014</v>
      </c>
      <c r="D158" s="40" t="s">
        <v>193</v>
      </c>
      <c r="E158" s="40" t="s">
        <v>37</v>
      </c>
      <c r="F158" s="40"/>
      <c r="G158" s="40">
        <v>8</v>
      </c>
      <c r="H158" s="40" t="s">
        <v>141</v>
      </c>
      <c r="I158" s="40" t="s">
        <v>129</v>
      </c>
      <c r="J158" s="41" t="s">
        <v>208</v>
      </c>
      <c r="K158" s="44" t="s">
        <v>144</v>
      </c>
      <c r="L158" s="44" t="s">
        <v>132</v>
      </c>
      <c r="M158" s="42">
        <v>35.950000000000003</v>
      </c>
      <c r="N158" s="43" t="s">
        <v>40</v>
      </c>
      <c r="O158" s="40">
        <v>25</v>
      </c>
      <c r="P158" s="32" t="s">
        <v>133</v>
      </c>
      <c r="Q158" s="32">
        <v>2098</v>
      </c>
    </row>
    <row r="159" spans="1:17" x14ac:dyDescent="0.35">
      <c r="A159" s="54" t="s">
        <v>126</v>
      </c>
      <c r="B159" s="47">
        <v>2099</v>
      </c>
      <c r="C159" s="40">
        <v>61014</v>
      </c>
      <c r="D159" s="40" t="s">
        <v>193</v>
      </c>
      <c r="E159" s="40" t="s">
        <v>37</v>
      </c>
      <c r="F159" s="42"/>
      <c r="G159" s="40">
        <v>12</v>
      </c>
      <c r="H159" s="40" t="s">
        <v>135</v>
      </c>
      <c r="I159" s="40" t="s">
        <v>142</v>
      </c>
      <c r="J159" s="41" t="s">
        <v>209</v>
      </c>
      <c r="K159" s="44" t="s">
        <v>144</v>
      </c>
      <c r="L159" s="44" t="s">
        <v>132</v>
      </c>
      <c r="M159" s="42">
        <v>40.89</v>
      </c>
      <c r="N159" s="43" t="s">
        <v>40</v>
      </c>
      <c r="O159" s="40">
        <v>25</v>
      </c>
      <c r="P159" s="32" t="s">
        <v>133</v>
      </c>
      <c r="Q159" s="32">
        <v>2099</v>
      </c>
    </row>
    <row r="160" spans="1:17" x14ac:dyDescent="0.35">
      <c r="A160" s="54" t="s">
        <v>126</v>
      </c>
      <c r="B160" s="39">
        <v>2102</v>
      </c>
      <c r="C160" s="40" t="s">
        <v>119</v>
      </c>
      <c r="D160" s="40" t="s">
        <v>138</v>
      </c>
      <c r="E160" s="40" t="s">
        <v>33</v>
      </c>
      <c r="F160" s="40"/>
      <c r="G160" s="40">
        <v>8</v>
      </c>
      <c r="H160" s="40" t="s">
        <v>151</v>
      </c>
      <c r="I160" s="40" t="s">
        <v>129</v>
      </c>
      <c r="J160" s="41" t="s">
        <v>210</v>
      </c>
      <c r="K160" s="45" t="s">
        <v>131</v>
      </c>
      <c r="L160" s="45" t="s">
        <v>132</v>
      </c>
      <c r="M160" s="46">
        <v>56.62</v>
      </c>
      <c r="N160" s="43" t="s">
        <v>47</v>
      </c>
      <c r="O160" s="40">
        <v>25</v>
      </c>
      <c r="P160" s="32" t="s">
        <v>133</v>
      </c>
      <c r="Q160" s="32">
        <v>2102</v>
      </c>
    </row>
    <row r="161" spans="1:17" x14ac:dyDescent="0.35">
      <c r="A161" s="54" t="s">
        <v>126</v>
      </c>
      <c r="B161" s="39">
        <v>2121</v>
      </c>
      <c r="C161" s="40">
        <v>203021</v>
      </c>
      <c r="D161" s="40" t="s">
        <v>138</v>
      </c>
      <c r="E161" s="40" t="s">
        <v>153</v>
      </c>
      <c r="F161" s="40"/>
      <c r="G161" s="48">
        <v>5</v>
      </c>
      <c r="H161" s="48" t="s">
        <v>151</v>
      </c>
      <c r="I161" s="48" t="s">
        <v>129</v>
      </c>
      <c r="J161" s="55" t="s">
        <v>157</v>
      </c>
      <c r="K161" s="45" t="s">
        <v>131</v>
      </c>
      <c r="L161" s="45" t="s">
        <v>132</v>
      </c>
      <c r="M161" s="46">
        <v>0</v>
      </c>
      <c r="N161" s="43"/>
      <c r="O161" s="40">
        <v>25</v>
      </c>
      <c r="P161" s="32" t="s">
        <v>133</v>
      </c>
      <c r="Q161" s="32">
        <v>2121</v>
      </c>
    </row>
    <row r="162" spans="1:17" x14ac:dyDescent="0.35">
      <c r="A162" s="54" t="s">
        <v>126</v>
      </c>
      <c r="B162" s="39">
        <v>2124</v>
      </c>
      <c r="C162" s="40" t="s">
        <v>113</v>
      </c>
      <c r="D162" s="40" t="s">
        <v>138</v>
      </c>
      <c r="E162" s="40" t="s">
        <v>31</v>
      </c>
      <c r="F162" s="40">
        <v>10.547740092823901</v>
      </c>
      <c r="G162" s="40">
        <v>6</v>
      </c>
      <c r="H162" s="40" t="s">
        <v>145</v>
      </c>
      <c r="I162" s="40" t="s">
        <v>146</v>
      </c>
      <c r="J162" s="41" t="s">
        <v>211</v>
      </c>
      <c r="K162" s="44" t="s">
        <v>131</v>
      </c>
      <c r="L162" s="42" t="s">
        <v>132</v>
      </c>
      <c r="M162" s="42">
        <v>72.73</v>
      </c>
      <c r="N162" s="43" t="s">
        <v>25</v>
      </c>
      <c r="O162" s="40">
        <v>25</v>
      </c>
      <c r="P162" s="32" t="s">
        <v>133</v>
      </c>
      <c r="Q162" s="32">
        <v>2124</v>
      </c>
    </row>
    <row r="163" spans="1:17" x14ac:dyDescent="0.35">
      <c r="A163" s="54" t="s">
        <v>126</v>
      </c>
      <c r="B163" s="39">
        <v>2125</v>
      </c>
      <c r="C163" s="40">
        <v>61082</v>
      </c>
      <c r="D163" s="40" t="s">
        <v>138</v>
      </c>
      <c r="E163" s="40" t="s">
        <v>33</v>
      </c>
      <c r="F163" s="40"/>
      <c r="G163" s="48">
        <v>6</v>
      </c>
      <c r="H163" s="40" t="s">
        <v>145</v>
      </c>
      <c r="I163" s="48" t="s">
        <v>146</v>
      </c>
      <c r="J163" s="55" t="s">
        <v>212</v>
      </c>
      <c r="K163" s="44" t="s">
        <v>131</v>
      </c>
      <c r="L163" s="45" t="s">
        <v>132</v>
      </c>
      <c r="M163" s="46">
        <v>57.23</v>
      </c>
      <c r="N163" s="43" t="s">
        <v>25</v>
      </c>
      <c r="O163" s="40">
        <v>25</v>
      </c>
      <c r="P163" s="32" t="s">
        <v>133</v>
      </c>
      <c r="Q163" s="32">
        <v>2125</v>
      </c>
    </row>
    <row r="164" spans="1:17" x14ac:dyDescent="0.35">
      <c r="A164" s="54" t="s">
        <v>126</v>
      </c>
      <c r="B164" s="39">
        <v>2237</v>
      </c>
      <c r="C164" s="40" t="s">
        <v>26</v>
      </c>
      <c r="D164" s="40" t="s">
        <v>138</v>
      </c>
      <c r="E164" s="40" t="s">
        <v>27</v>
      </c>
      <c r="F164" s="40"/>
      <c r="G164" s="48">
        <v>8</v>
      </c>
      <c r="H164" s="48" t="s">
        <v>141</v>
      </c>
      <c r="I164" s="48" t="s">
        <v>142</v>
      </c>
      <c r="J164" s="55" t="s">
        <v>213</v>
      </c>
      <c r="K164" s="44" t="s">
        <v>131</v>
      </c>
      <c r="L164" s="45" t="s">
        <v>132</v>
      </c>
      <c r="M164" s="46">
        <v>134.34</v>
      </c>
      <c r="N164" s="43" t="s">
        <v>25</v>
      </c>
      <c r="O164" s="40">
        <v>25</v>
      </c>
      <c r="P164" s="32" t="s">
        <v>133</v>
      </c>
      <c r="Q164" s="32">
        <v>2237</v>
      </c>
    </row>
    <row r="165" spans="1:17" x14ac:dyDescent="0.35">
      <c r="A165" s="54" t="s">
        <v>126</v>
      </c>
      <c r="B165" s="39">
        <v>2500</v>
      </c>
      <c r="C165" s="40" t="s">
        <v>124</v>
      </c>
      <c r="D165" s="40" t="s">
        <v>138</v>
      </c>
      <c r="E165" s="40" t="s">
        <v>23</v>
      </c>
      <c r="F165" s="40">
        <v>5.5547131672597798</v>
      </c>
      <c r="G165" s="48">
        <v>8</v>
      </c>
      <c r="H165" s="48" t="s">
        <v>195</v>
      </c>
      <c r="I165" s="48" t="s">
        <v>129</v>
      </c>
      <c r="J165" s="55" t="s">
        <v>214</v>
      </c>
      <c r="K165" s="44" t="s">
        <v>144</v>
      </c>
      <c r="L165" s="45" t="s">
        <v>132</v>
      </c>
      <c r="M165" s="46">
        <v>31.19</v>
      </c>
      <c r="N165" s="43" t="s">
        <v>47</v>
      </c>
      <c r="O165" s="40">
        <v>25</v>
      </c>
      <c r="P165" s="32" t="s">
        <v>133</v>
      </c>
      <c r="Q165" s="32">
        <v>2500</v>
      </c>
    </row>
    <row r="166" spans="1:17" x14ac:dyDescent="0.35">
      <c r="A166" s="54" t="s">
        <v>126</v>
      </c>
      <c r="B166" s="39">
        <v>2501</v>
      </c>
      <c r="C166" s="40" t="s">
        <v>124</v>
      </c>
      <c r="D166" s="40" t="s">
        <v>138</v>
      </c>
      <c r="E166" s="40" t="s">
        <v>23</v>
      </c>
      <c r="F166" s="40"/>
      <c r="G166" s="48">
        <v>8</v>
      </c>
      <c r="H166" s="48" t="s">
        <v>195</v>
      </c>
      <c r="I166" s="48" t="s">
        <v>129</v>
      </c>
      <c r="J166" s="55" t="s">
        <v>215</v>
      </c>
      <c r="K166" s="44" t="s">
        <v>144</v>
      </c>
      <c r="L166" s="45" t="s">
        <v>132</v>
      </c>
      <c r="M166" s="46">
        <v>31.19</v>
      </c>
      <c r="N166" s="43" t="s">
        <v>47</v>
      </c>
      <c r="O166" s="40">
        <v>25</v>
      </c>
      <c r="P166" s="32" t="s">
        <v>133</v>
      </c>
      <c r="Q166" s="32">
        <v>2501</v>
      </c>
    </row>
    <row r="167" spans="1:17" x14ac:dyDescent="0.35">
      <c r="A167" s="54" t="s">
        <v>126</v>
      </c>
      <c r="B167" s="39">
        <v>2502</v>
      </c>
      <c r="C167" s="40" t="s">
        <v>119</v>
      </c>
      <c r="D167" s="40" t="s">
        <v>138</v>
      </c>
      <c r="E167" s="40" t="s">
        <v>33</v>
      </c>
      <c r="F167" s="40">
        <v>6.34339030023094</v>
      </c>
      <c r="G167" s="40">
        <v>8</v>
      </c>
      <c r="H167" s="40" t="s">
        <v>195</v>
      </c>
      <c r="I167" s="40" t="s">
        <v>129</v>
      </c>
      <c r="J167" s="41" t="s">
        <v>216</v>
      </c>
      <c r="K167" s="45" t="s">
        <v>131</v>
      </c>
      <c r="L167" s="42" t="s">
        <v>132</v>
      </c>
      <c r="M167" s="42">
        <v>50.84</v>
      </c>
      <c r="N167" s="43" t="s">
        <v>47</v>
      </c>
      <c r="O167" s="40">
        <v>25</v>
      </c>
      <c r="P167" s="32" t="s">
        <v>133</v>
      </c>
      <c r="Q167" s="32">
        <v>2502</v>
      </c>
    </row>
    <row r="168" spans="1:17" x14ac:dyDescent="0.35">
      <c r="A168" s="54" t="s">
        <v>126</v>
      </c>
      <c r="B168" s="39">
        <v>2503</v>
      </c>
      <c r="C168" s="40" t="s">
        <v>119</v>
      </c>
      <c r="D168" s="40" t="s">
        <v>138</v>
      </c>
      <c r="E168" s="40" t="s">
        <v>33</v>
      </c>
      <c r="F168" s="40"/>
      <c r="G168" s="40">
        <v>8</v>
      </c>
      <c r="H168" s="40" t="s">
        <v>195</v>
      </c>
      <c r="I168" s="40" t="s">
        <v>129</v>
      </c>
      <c r="J168" s="58" t="s">
        <v>217</v>
      </c>
      <c r="K168" s="45" t="s">
        <v>131</v>
      </c>
      <c r="L168" s="42" t="s">
        <v>132</v>
      </c>
      <c r="M168" s="42">
        <v>50.84</v>
      </c>
      <c r="N168" s="43" t="s">
        <v>47</v>
      </c>
      <c r="O168" s="40">
        <v>25</v>
      </c>
      <c r="P168" s="32" t="s">
        <v>133</v>
      </c>
      <c r="Q168" s="32">
        <v>2503</v>
      </c>
    </row>
    <row r="169" spans="1:17" x14ac:dyDescent="0.35">
      <c r="A169" s="54" t="s">
        <v>126</v>
      </c>
      <c r="B169" s="39">
        <v>2504</v>
      </c>
      <c r="C169" s="40" t="s">
        <v>117</v>
      </c>
      <c r="D169" s="40" t="s">
        <v>138</v>
      </c>
      <c r="E169" s="40" t="s">
        <v>31</v>
      </c>
      <c r="F169" s="40">
        <v>6.0274686520376104</v>
      </c>
      <c r="G169" s="40">
        <v>8</v>
      </c>
      <c r="H169" s="40" t="s">
        <v>195</v>
      </c>
      <c r="I169" s="40" t="s">
        <v>129</v>
      </c>
      <c r="J169" s="41" t="s">
        <v>218</v>
      </c>
      <c r="K169" s="45" t="s">
        <v>131</v>
      </c>
      <c r="L169" s="45" t="s">
        <v>132</v>
      </c>
      <c r="M169" s="46">
        <v>51.39</v>
      </c>
      <c r="N169" s="43" t="s">
        <v>47</v>
      </c>
      <c r="O169" s="40">
        <v>25</v>
      </c>
      <c r="P169" s="32" t="s">
        <v>133</v>
      </c>
      <c r="Q169" s="32">
        <v>2504</v>
      </c>
    </row>
    <row r="170" spans="1:17" x14ac:dyDescent="0.35">
      <c r="A170" s="54" t="s">
        <v>126</v>
      </c>
      <c r="B170" s="39">
        <v>2505</v>
      </c>
      <c r="C170" s="40" t="s">
        <v>117</v>
      </c>
      <c r="D170" s="40" t="s">
        <v>138</v>
      </c>
      <c r="E170" s="40" t="s">
        <v>31</v>
      </c>
      <c r="F170" s="40"/>
      <c r="G170" s="40">
        <v>8</v>
      </c>
      <c r="H170" s="40" t="s">
        <v>195</v>
      </c>
      <c r="I170" s="40" t="s">
        <v>129</v>
      </c>
      <c r="J170" s="41" t="s">
        <v>219</v>
      </c>
      <c r="K170" s="45" t="s">
        <v>131</v>
      </c>
      <c r="L170" s="44" t="s">
        <v>132</v>
      </c>
      <c r="M170" s="42">
        <v>51.39</v>
      </c>
      <c r="N170" s="43" t="s">
        <v>47</v>
      </c>
      <c r="O170" s="40">
        <v>25</v>
      </c>
      <c r="P170" s="32" t="s">
        <v>133</v>
      </c>
      <c r="Q170" s="32">
        <v>2505</v>
      </c>
    </row>
    <row r="171" spans="1:17" x14ac:dyDescent="0.35">
      <c r="A171" s="54" t="s">
        <v>126</v>
      </c>
      <c r="B171" s="39">
        <v>2506</v>
      </c>
      <c r="C171" s="40" t="s">
        <v>101</v>
      </c>
      <c r="D171" s="40" t="s">
        <v>138</v>
      </c>
      <c r="E171" s="40" t="s">
        <v>37</v>
      </c>
      <c r="F171" s="40">
        <v>6.0352861072902302</v>
      </c>
      <c r="G171" s="40">
        <v>8</v>
      </c>
      <c r="H171" s="40" t="s">
        <v>195</v>
      </c>
      <c r="I171" s="40" t="s">
        <v>142</v>
      </c>
      <c r="J171" s="41" t="s">
        <v>220</v>
      </c>
      <c r="K171" s="44" t="s">
        <v>144</v>
      </c>
      <c r="L171" s="44" t="s">
        <v>132</v>
      </c>
      <c r="M171" s="42">
        <v>27.07</v>
      </c>
      <c r="N171" s="43" t="s">
        <v>47</v>
      </c>
      <c r="O171" s="40">
        <v>25</v>
      </c>
      <c r="P171" s="32" t="s">
        <v>133</v>
      </c>
      <c r="Q171" s="32">
        <v>2506</v>
      </c>
    </row>
    <row r="172" spans="1:17" x14ac:dyDescent="0.35">
      <c r="A172" s="54" t="s">
        <v>126</v>
      </c>
      <c r="B172" s="39">
        <v>2508</v>
      </c>
      <c r="C172" s="40" t="s">
        <v>109</v>
      </c>
      <c r="D172" s="40" t="s">
        <v>138</v>
      </c>
      <c r="E172" s="40" t="s">
        <v>27</v>
      </c>
      <c r="F172" s="40">
        <v>7.0664191705984596</v>
      </c>
      <c r="G172" s="40">
        <v>8</v>
      </c>
      <c r="H172" s="40" t="s">
        <v>195</v>
      </c>
      <c r="I172" s="40" t="s">
        <v>129</v>
      </c>
      <c r="J172" s="41" t="s">
        <v>221</v>
      </c>
      <c r="K172" s="44" t="s">
        <v>131</v>
      </c>
      <c r="L172" s="44" t="s">
        <v>132</v>
      </c>
      <c r="M172" s="42">
        <v>114</v>
      </c>
      <c r="N172" s="43" t="s">
        <v>47</v>
      </c>
      <c r="O172" s="40">
        <v>25</v>
      </c>
      <c r="P172" s="32" t="s">
        <v>133</v>
      </c>
      <c r="Q172" s="32">
        <v>2508</v>
      </c>
    </row>
    <row r="173" spans="1:17" x14ac:dyDescent="0.35">
      <c r="A173" s="54" t="s">
        <v>126</v>
      </c>
      <c r="B173" s="39">
        <v>2509</v>
      </c>
      <c r="C173" s="40">
        <v>61050</v>
      </c>
      <c r="D173" s="40" t="s">
        <v>138</v>
      </c>
      <c r="E173" s="40" t="s">
        <v>27</v>
      </c>
      <c r="F173" s="40">
        <v>7.6328908051277304</v>
      </c>
      <c r="G173" s="40">
        <v>8</v>
      </c>
      <c r="H173" s="40" t="s">
        <v>195</v>
      </c>
      <c r="I173" s="40" t="s">
        <v>129</v>
      </c>
      <c r="J173" s="41" t="s">
        <v>221</v>
      </c>
      <c r="K173" s="44" t="s">
        <v>131</v>
      </c>
      <c r="L173" s="44" t="s">
        <v>132</v>
      </c>
      <c r="M173" s="42">
        <v>126.19</v>
      </c>
      <c r="N173" s="43" t="s">
        <v>47</v>
      </c>
      <c r="O173" s="40">
        <v>25</v>
      </c>
      <c r="P173" s="32" t="s">
        <v>133</v>
      </c>
      <c r="Q173" s="32">
        <v>2509</v>
      </c>
    </row>
    <row r="174" spans="1:17" x14ac:dyDescent="0.35">
      <c r="A174" s="54" t="s">
        <v>126</v>
      </c>
      <c r="B174" s="39">
        <v>2510</v>
      </c>
      <c r="C174" s="40" t="s">
        <v>101</v>
      </c>
      <c r="D174" s="40" t="s">
        <v>138</v>
      </c>
      <c r="E174" s="40" t="s">
        <v>37</v>
      </c>
      <c r="F174" s="40">
        <v>8.2152039737898903</v>
      </c>
      <c r="G174" s="40">
        <v>8</v>
      </c>
      <c r="H174" s="40" t="s">
        <v>141</v>
      </c>
      <c r="I174" s="40" t="s">
        <v>142</v>
      </c>
      <c r="J174" s="41" t="s">
        <v>222</v>
      </c>
      <c r="K174" s="44" t="s">
        <v>144</v>
      </c>
      <c r="L174" s="44" t="s">
        <v>132</v>
      </c>
      <c r="M174" s="42">
        <v>30.7</v>
      </c>
      <c r="N174" s="43" t="s">
        <v>47</v>
      </c>
      <c r="O174" s="40">
        <v>25</v>
      </c>
      <c r="P174" s="32" t="s">
        <v>133</v>
      </c>
      <c r="Q174" s="32">
        <v>2510</v>
      </c>
    </row>
    <row r="175" spans="1:17" x14ac:dyDescent="0.35">
      <c r="A175" s="54" t="s">
        <v>126</v>
      </c>
      <c r="B175" s="39">
        <v>2512</v>
      </c>
      <c r="C175" s="40">
        <v>61014</v>
      </c>
      <c r="D175" s="40" t="s">
        <v>134</v>
      </c>
      <c r="E175" s="40" t="s">
        <v>37</v>
      </c>
      <c r="F175" s="40">
        <v>8.2115199306759106</v>
      </c>
      <c r="G175" s="40">
        <v>8</v>
      </c>
      <c r="H175" s="40" t="s">
        <v>141</v>
      </c>
      <c r="I175" s="40" t="s">
        <v>142</v>
      </c>
      <c r="J175" s="41" t="s">
        <v>223</v>
      </c>
      <c r="K175" s="44" t="s">
        <v>144</v>
      </c>
      <c r="L175" s="44" t="s">
        <v>132</v>
      </c>
      <c r="M175" s="42">
        <v>31.7</v>
      </c>
      <c r="N175" s="43" t="s">
        <v>47</v>
      </c>
      <c r="O175" s="40">
        <v>25</v>
      </c>
      <c r="P175" s="32" t="s">
        <v>133</v>
      </c>
      <c r="Q175" s="32">
        <v>2512</v>
      </c>
    </row>
    <row r="176" spans="1:17" x14ac:dyDescent="0.35">
      <c r="A176" s="54" t="s">
        <v>126</v>
      </c>
      <c r="B176" s="39">
        <v>7018</v>
      </c>
      <c r="C176" s="40">
        <v>61010</v>
      </c>
      <c r="D176" s="40" t="s">
        <v>127</v>
      </c>
      <c r="E176" s="40" t="s">
        <v>41</v>
      </c>
      <c r="F176" s="40">
        <v>7.42</v>
      </c>
      <c r="G176" s="40">
        <v>8</v>
      </c>
      <c r="H176" s="40" t="s">
        <v>128</v>
      </c>
      <c r="I176" s="40" t="s">
        <v>142</v>
      </c>
      <c r="J176" s="41" t="s">
        <v>179</v>
      </c>
      <c r="K176" s="44" t="s">
        <v>131</v>
      </c>
      <c r="L176" s="44" t="s">
        <v>224</v>
      </c>
      <c r="M176" s="42">
        <v>26.78</v>
      </c>
      <c r="N176" s="43" t="s">
        <v>25</v>
      </c>
      <c r="O176" s="40">
        <v>25</v>
      </c>
      <c r="P176" s="32" t="s">
        <v>133</v>
      </c>
      <c r="Q176" s="32">
        <v>7018</v>
      </c>
    </row>
    <row r="177" spans="1:17" x14ac:dyDescent="0.35">
      <c r="A177" s="54" t="s">
        <v>126</v>
      </c>
      <c r="B177" s="39">
        <v>7091</v>
      </c>
      <c r="C177" s="40">
        <v>61061</v>
      </c>
      <c r="D177" s="40" t="s">
        <v>127</v>
      </c>
      <c r="E177" s="40" t="s">
        <v>29</v>
      </c>
      <c r="F177" s="40">
        <v>0</v>
      </c>
      <c r="G177" s="40">
        <v>8</v>
      </c>
      <c r="H177" s="40" t="s">
        <v>128</v>
      </c>
      <c r="I177" s="40" t="s">
        <v>142</v>
      </c>
      <c r="J177" s="41" t="s">
        <v>225</v>
      </c>
      <c r="K177" s="45" t="s">
        <v>131</v>
      </c>
      <c r="L177" s="44" t="s">
        <v>224</v>
      </c>
      <c r="M177" s="42">
        <v>82.96</v>
      </c>
      <c r="N177" s="43" t="s">
        <v>25</v>
      </c>
      <c r="O177" s="40">
        <v>25</v>
      </c>
      <c r="P177" s="32" t="s">
        <v>133</v>
      </c>
      <c r="Q177" s="32">
        <v>7091</v>
      </c>
    </row>
    <row r="178" spans="1:17" x14ac:dyDescent="0.35">
      <c r="A178" s="54" t="s">
        <v>126</v>
      </c>
      <c r="B178" s="39">
        <v>7103</v>
      </c>
      <c r="C178" s="40">
        <v>203891</v>
      </c>
      <c r="D178" s="40" t="s">
        <v>127</v>
      </c>
      <c r="E178" s="40" t="s">
        <v>153</v>
      </c>
      <c r="F178" s="40"/>
      <c r="G178" s="40">
        <v>6</v>
      </c>
      <c r="H178" s="40" t="s">
        <v>135</v>
      </c>
      <c r="I178" s="40" t="s">
        <v>129</v>
      </c>
      <c r="J178" s="41" t="s">
        <v>226</v>
      </c>
      <c r="K178" s="45" t="s">
        <v>131</v>
      </c>
      <c r="L178" s="45" t="s">
        <v>224</v>
      </c>
      <c r="M178" s="46">
        <v>131.38999999999999</v>
      </c>
      <c r="N178" s="43"/>
      <c r="O178" s="40">
        <v>25</v>
      </c>
      <c r="P178" s="32" t="s">
        <v>133</v>
      </c>
      <c r="Q178" s="32">
        <v>7103</v>
      </c>
    </row>
    <row r="179" spans="1:17" x14ac:dyDescent="0.35">
      <c r="A179" s="54" t="s">
        <v>126</v>
      </c>
      <c r="B179" s="39">
        <v>7104</v>
      </c>
      <c r="C179" s="40">
        <v>61082</v>
      </c>
      <c r="D179" s="40" t="s">
        <v>127</v>
      </c>
      <c r="E179" s="40" t="s">
        <v>33</v>
      </c>
      <c r="F179" s="40">
        <v>10.533333333333299</v>
      </c>
      <c r="G179" s="40">
        <v>8</v>
      </c>
      <c r="H179" s="40" t="s">
        <v>128</v>
      </c>
      <c r="I179" s="40" t="s">
        <v>142</v>
      </c>
      <c r="J179" s="41" t="s">
        <v>227</v>
      </c>
      <c r="K179" s="45" t="s">
        <v>131</v>
      </c>
      <c r="L179" s="45" t="s">
        <v>224</v>
      </c>
      <c r="M179" s="46">
        <v>45.72</v>
      </c>
      <c r="N179" s="43" t="s">
        <v>25</v>
      </c>
      <c r="O179" s="40">
        <v>25</v>
      </c>
      <c r="P179" s="32" t="s">
        <v>133</v>
      </c>
      <c r="Q179" s="32">
        <v>7104</v>
      </c>
    </row>
    <row r="180" spans="1:17" x14ac:dyDescent="0.35">
      <c r="A180" s="54" t="s">
        <v>126</v>
      </c>
      <c r="B180" s="39">
        <v>7105</v>
      </c>
      <c r="C180" s="40" t="s">
        <v>26</v>
      </c>
      <c r="D180" s="40" t="s">
        <v>127</v>
      </c>
      <c r="E180" s="40" t="s">
        <v>27</v>
      </c>
      <c r="F180" s="40">
        <v>9.7704409432707493</v>
      </c>
      <c r="G180" s="40">
        <v>8</v>
      </c>
      <c r="H180" s="40" t="s">
        <v>128</v>
      </c>
      <c r="I180" s="40" t="s">
        <v>142</v>
      </c>
      <c r="J180" s="41" t="s">
        <v>228</v>
      </c>
      <c r="K180" s="44" t="s">
        <v>131</v>
      </c>
      <c r="L180" s="44" t="s">
        <v>224</v>
      </c>
      <c r="M180" s="42">
        <v>107.39</v>
      </c>
      <c r="N180" s="43" t="s">
        <v>25</v>
      </c>
      <c r="O180" s="40">
        <v>25</v>
      </c>
      <c r="P180" s="32" t="s">
        <v>133</v>
      </c>
      <c r="Q180" s="32">
        <v>7105</v>
      </c>
    </row>
    <row r="181" spans="1:17" x14ac:dyDescent="0.35">
      <c r="A181" s="54" t="s">
        <v>126</v>
      </c>
      <c r="B181" s="39">
        <v>7107</v>
      </c>
      <c r="C181" s="40" t="s">
        <v>105</v>
      </c>
      <c r="D181" s="40" t="s">
        <v>127</v>
      </c>
      <c r="E181" s="40" t="s">
        <v>43</v>
      </c>
      <c r="F181" s="40">
        <v>10.5304894500172</v>
      </c>
      <c r="G181" s="40">
        <v>8</v>
      </c>
      <c r="H181" s="40" t="s">
        <v>128</v>
      </c>
      <c r="I181" s="40" t="s">
        <v>142</v>
      </c>
      <c r="J181" s="41" t="s">
        <v>229</v>
      </c>
      <c r="K181" s="44" t="s">
        <v>131</v>
      </c>
      <c r="L181" s="44" t="s">
        <v>224</v>
      </c>
      <c r="M181" s="42">
        <v>70.010000000000005</v>
      </c>
      <c r="N181" s="43" t="s">
        <v>25</v>
      </c>
      <c r="O181" s="40">
        <v>25</v>
      </c>
      <c r="P181" s="32" t="s">
        <v>133</v>
      </c>
      <c r="Q181" s="32">
        <v>7107</v>
      </c>
    </row>
    <row r="182" spans="1:17" x14ac:dyDescent="0.35">
      <c r="A182" s="54" t="s">
        <v>126</v>
      </c>
      <c r="B182" s="39">
        <v>7108</v>
      </c>
      <c r="C182" s="40" t="s">
        <v>113</v>
      </c>
      <c r="D182" s="40" t="s">
        <v>127</v>
      </c>
      <c r="E182" s="40" t="s">
        <v>31</v>
      </c>
      <c r="F182" s="40">
        <v>8.2584084680086907</v>
      </c>
      <c r="G182" s="40">
        <v>8</v>
      </c>
      <c r="H182" s="40" t="s">
        <v>128</v>
      </c>
      <c r="I182" s="40" t="s">
        <v>142</v>
      </c>
      <c r="J182" s="41" t="s">
        <v>230</v>
      </c>
      <c r="K182" s="45" t="s">
        <v>131</v>
      </c>
      <c r="L182" s="45" t="s">
        <v>224</v>
      </c>
      <c r="M182" s="46">
        <v>67.900000000000006</v>
      </c>
      <c r="N182" s="43" t="s">
        <v>25</v>
      </c>
      <c r="O182" s="40">
        <v>15</v>
      </c>
      <c r="P182" s="32" t="s">
        <v>133</v>
      </c>
      <c r="Q182" s="32">
        <v>7108</v>
      </c>
    </row>
    <row r="183" spans="1:17" x14ac:dyDescent="0.35">
      <c r="A183" s="54" t="s">
        <v>126</v>
      </c>
      <c r="B183" s="39">
        <v>7109</v>
      </c>
      <c r="C183" s="40" t="s">
        <v>104</v>
      </c>
      <c r="D183" s="40" t="s">
        <v>127</v>
      </c>
      <c r="E183" s="40" t="s">
        <v>43</v>
      </c>
      <c r="F183" s="40">
        <v>0</v>
      </c>
      <c r="G183" s="40">
        <v>8</v>
      </c>
      <c r="H183" s="40" t="s">
        <v>128</v>
      </c>
      <c r="I183" s="40" t="s">
        <v>142</v>
      </c>
      <c r="J183" s="41" t="s">
        <v>231</v>
      </c>
      <c r="K183" s="44" t="s">
        <v>131</v>
      </c>
      <c r="L183" s="45" t="s">
        <v>224</v>
      </c>
      <c r="M183" s="46">
        <v>96.02</v>
      </c>
      <c r="N183" s="43" t="s">
        <v>25</v>
      </c>
      <c r="O183" s="40">
        <v>15</v>
      </c>
      <c r="P183" s="32" t="s">
        <v>133</v>
      </c>
      <c r="Q183" s="32">
        <v>7109</v>
      </c>
    </row>
    <row r="184" spans="1:17" x14ac:dyDescent="0.35">
      <c r="A184" s="54" t="s">
        <v>126</v>
      </c>
      <c r="B184" s="39">
        <v>7115</v>
      </c>
      <c r="C184" s="40" t="s">
        <v>113</v>
      </c>
      <c r="D184" s="40" t="s">
        <v>127</v>
      </c>
      <c r="E184" s="40" t="s">
        <v>31</v>
      </c>
      <c r="F184" s="40">
        <v>8.0768612235717399</v>
      </c>
      <c r="G184" s="40">
        <v>8</v>
      </c>
      <c r="H184" s="40" t="s">
        <v>128</v>
      </c>
      <c r="I184" s="40" t="s">
        <v>142</v>
      </c>
      <c r="J184" s="41" t="s">
        <v>232</v>
      </c>
      <c r="K184" s="45" t="s">
        <v>131</v>
      </c>
      <c r="L184" s="44" t="s">
        <v>224</v>
      </c>
      <c r="M184" s="42">
        <v>67.900000000000006</v>
      </c>
      <c r="N184" s="43" t="s">
        <v>25</v>
      </c>
      <c r="O184" s="40">
        <v>25</v>
      </c>
      <c r="P184" s="32" t="s">
        <v>133</v>
      </c>
      <c r="Q184" s="32">
        <v>7115</v>
      </c>
    </row>
    <row r="185" spans="1:17" x14ac:dyDescent="0.35">
      <c r="A185" s="54" t="s">
        <v>126</v>
      </c>
      <c r="B185" s="39">
        <v>7116</v>
      </c>
      <c r="C185" s="40">
        <v>61082</v>
      </c>
      <c r="D185" s="40" t="s">
        <v>127</v>
      </c>
      <c r="E185" s="40" t="s">
        <v>33</v>
      </c>
      <c r="F185" s="40">
        <v>0</v>
      </c>
      <c r="G185" s="40">
        <v>8</v>
      </c>
      <c r="H185" s="40" t="s">
        <v>128</v>
      </c>
      <c r="I185" s="40" t="s">
        <v>142</v>
      </c>
      <c r="J185" s="41" t="s">
        <v>233</v>
      </c>
      <c r="K185" s="45" t="s">
        <v>131</v>
      </c>
      <c r="L185" s="44" t="s">
        <v>224</v>
      </c>
      <c r="M185" s="42">
        <v>45.72</v>
      </c>
      <c r="N185" s="43" t="s">
        <v>25</v>
      </c>
      <c r="O185" s="40">
        <v>25</v>
      </c>
      <c r="P185" s="32" t="s">
        <v>133</v>
      </c>
      <c r="Q185" s="32">
        <v>7116</v>
      </c>
    </row>
    <row r="186" spans="1:17" x14ac:dyDescent="0.35">
      <c r="A186" s="54" t="s">
        <v>126</v>
      </c>
      <c r="B186" s="39">
        <v>7117</v>
      </c>
      <c r="C186" s="40" t="s">
        <v>104</v>
      </c>
      <c r="D186" s="40" t="s">
        <v>127</v>
      </c>
      <c r="E186" s="40" t="s">
        <v>43</v>
      </c>
      <c r="F186" s="40">
        <v>0</v>
      </c>
      <c r="G186" s="40">
        <v>8</v>
      </c>
      <c r="H186" s="40" t="s">
        <v>128</v>
      </c>
      <c r="I186" s="40" t="s">
        <v>142</v>
      </c>
      <c r="J186" s="41" t="s">
        <v>234</v>
      </c>
      <c r="K186" s="44" t="s">
        <v>131</v>
      </c>
      <c r="L186" s="44" t="s">
        <v>224</v>
      </c>
      <c r="M186" s="42">
        <v>96.02</v>
      </c>
      <c r="N186" s="43" t="s">
        <v>25</v>
      </c>
      <c r="O186" s="40">
        <v>25</v>
      </c>
      <c r="P186" s="32" t="s">
        <v>133</v>
      </c>
      <c r="Q186" s="32">
        <v>7117</v>
      </c>
    </row>
    <row r="187" spans="1:17" x14ac:dyDescent="0.35">
      <c r="A187" s="54" t="s">
        <v>126</v>
      </c>
      <c r="B187" s="39">
        <v>7118</v>
      </c>
      <c r="C187" s="40" t="s">
        <v>105</v>
      </c>
      <c r="D187" s="40" t="s">
        <v>127</v>
      </c>
      <c r="E187" s="40" t="s">
        <v>43</v>
      </c>
      <c r="F187" s="40">
        <v>0</v>
      </c>
      <c r="G187" s="40">
        <v>8</v>
      </c>
      <c r="H187" s="40" t="s">
        <v>128</v>
      </c>
      <c r="I187" s="40" t="s">
        <v>142</v>
      </c>
      <c r="J187" s="41" t="s">
        <v>235</v>
      </c>
      <c r="K187" s="44" t="s">
        <v>131</v>
      </c>
      <c r="L187" s="44" t="s">
        <v>224</v>
      </c>
      <c r="M187" s="42">
        <v>70.010000000000005</v>
      </c>
      <c r="N187" s="43" t="s">
        <v>25</v>
      </c>
      <c r="O187" s="40">
        <v>25</v>
      </c>
      <c r="P187" s="32" t="s">
        <v>133</v>
      </c>
      <c r="Q187" s="32">
        <v>7118</v>
      </c>
    </row>
    <row r="188" spans="1:17" x14ac:dyDescent="0.35">
      <c r="A188" s="54" t="s">
        <v>126</v>
      </c>
      <c r="B188" s="39">
        <v>7119</v>
      </c>
      <c r="C188" s="40" t="s">
        <v>105</v>
      </c>
      <c r="D188" s="40" t="s">
        <v>127</v>
      </c>
      <c r="E188" s="40" t="s">
        <v>43</v>
      </c>
      <c r="F188" s="40">
        <v>0</v>
      </c>
      <c r="G188" s="40">
        <v>8</v>
      </c>
      <c r="H188" s="40" t="s">
        <v>128</v>
      </c>
      <c r="I188" s="40" t="s">
        <v>142</v>
      </c>
      <c r="J188" s="41" t="s">
        <v>235</v>
      </c>
      <c r="K188" s="44" t="s">
        <v>131</v>
      </c>
      <c r="L188" s="44" t="s">
        <v>224</v>
      </c>
      <c r="M188" s="42">
        <v>70.010000000000005</v>
      </c>
      <c r="N188" s="43" t="s">
        <v>25</v>
      </c>
      <c r="O188" s="40">
        <v>25</v>
      </c>
      <c r="P188" s="32" t="s">
        <v>133</v>
      </c>
      <c r="Q188" s="32">
        <v>7119</v>
      </c>
    </row>
    <row r="189" spans="1:17" x14ac:dyDescent="0.35">
      <c r="A189" s="54" t="s">
        <v>126</v>
      </c>
      <c r="B189" s="39">
        <v>7120</v>
      </c>
      <c r="C189" s="40" t="s">
        <v>21</v>
      </c>
      <c r="D189" s="40" t="s">
        <v>127</v>
      </c>
      <c r="E189" s="40" t="s">
        <v>23</v>
      </c>
      <c r="F189" s="40">
        <v>8.1490624999999994</v>
      </c>
      <c r="G189" s="40">
        <v>8</v>
      </c>
      <c r="H189" s="40" t="s">
        <v>128</v>
      </c>
      <c r="I189" s="40" t="s">
        <v>142</v>
      </c>
      <c r="J189" s="41" t="s">
        <v>236</v>
      </c>
      <c r="K189" s="44" t="s">
        <v>144</v>
      </c>
      <c r="L189" s="44" t="s">
        <v>224</v>
      </c>
      <c r="M189" s="42">
        <v>20.8</v>
      </c>
      <c r="N189" s="43" t="s">
        <v>25</v>
      </c>
      <c r="O189" s="40">
        <v>25</v>
      </c>
      <c r="P189" s="32" t="s">
        <v>133</v>
      </c>
      <c r="Q189" s="32">
        <v>7120</v>
      </c>
    </row>
    <row r="190" spans="1:17" x14ac:dyDescent="0.35">
      <c r="A190" s="54" t="s">
        <v>126</v>
      </c>
      <c r="B190" s="39">
        <v>7121</v>
      </c>
      <c r="C190" s="40">
        <v>203041</v>
      </c>
      <c r="D190" s="40" t="s">
        <v>127</v>
      </c>
      <c r="E190" s="40" t="s">
        <v>43</v>
      </c>
      <c r="F190" s="40"/>
      <c r="G190" s="40">
        <v>8</v>
      </c>
      <c r="H190" s="40" t="s">
        <v>128</v>
      </c>
      <c r="I190" s="40" t="s">
        <v>142</v>
      </c>
      <c r="J190" s="41" t="s">
        <v>237</v>
      </c>
      <c r="K190" s="44" t="s">
        <v>131</v>
      </c>
      <c r="L190" s="44" t="s">
        <v>224</v>
      </c>
      <c r="M190" s="42">
        <v>0</v>
      </c>
      <c r="N190" s="43" t="s">
        <v>47</v>
      </c>
      <c r="O190" s="40">
        <v>25</v>
      </c>
      <c r="P190" s="32" t="s">
        <v>133</v>
      </c>
      <c r="Q190" s="32">
        <v>7121</v>
      </c>
    </row>
    <row r="191" spans="1:17" x14ac:dyDescent="0.35">
      <c r="A191" s="54" t="s">
        <v>126</v>
      </c>
      <c r="B191" s="39">
        <v>7136</v>
      </c>
      <c r="C191" s="40" t="s">
        <v>113</v>
      </c>
      <c r="D191" s="40" t="s">
        <v>127</v>
      </c>
      <c r="E191" s="40" t="s">
        <v>31</v>
      </c>
      <c r="F191" s="40"/>
      <c r="G191" s="40">
        <v>8</v>
      </c>
      <c r="H191" s="40" t="s">
        <v>128</v>
      </c>
      <c r="I191" s="40" t="s">
        <v>142</v>
      </c>
      <c r="J191" s="41" t="s">
        <v>238</v>
      </c>
      <c r="K191" s="45" t="s">
        <v>131</v>
      </c>
      <c r="L191" s="44" t="s">
        <v>224</v>
      </c>
      <c r="M191" s="42">
        <v>54.87</v>
      </c>
      <c r="N191" s="43" t="s">
        <v>25</v>
      </c>
      <c r="O191" s="40">
        <v>25</v>
      </c>
      <c r="P191" s="32" t="s">
        <v>133</v>
      </c>
      <c r="Q191" s="32">
        <v>7136</v>
      </c>
    </row>
    <row r="192" spans="1:17" x14ac:dyDescent="0.35">
      <c r="A192" s="54" t="s">
        <v>126</v>
      </c>
      <c r="B192" s="39">
        <v>7137</v>
      </c>
      <c r="C192" s="40">
        <v>61082</v>
      </c>
      <c r="D192" s="40" t="s">
        <v>127</v>
      </c>
      <c r="E192" s="40" t="s">
        <v>33</v>
      </c>
      <c r="F192" s="40"/>
      <c r="G192" s="40"/>
      <c r="H192" s="40" t="s">
        <v>128</v>
      </c>
      <c r="I192" s="40" t="s">
        <v>142</v>
      </c>
      <c r="J192" s="41" t="s">
        <v>239</v>
      </c>
      <c r="K192" s="45" t="s">
        <v>131</v>
      </c>
      <c r="L192" s="44" t="s">
        <v>224</v>
      </c>
      <c r="M192" s="42">
        <v>34.75</v>
      </c>
      <c r="N192" s="43" t="s">
        <v>25</v>
      </c>
      <c r="O192" s="40">
        <v>25</v>
      </c>
      <c r="P192" s="32" t="s">
        <v>133</v>
      </c>
      <c r="Q192" s="32">
        <v>7137</v>
      </c>
    </row>
    <row r="193" spans="1:17" x14ac:dyDescent="0.35">
      <c r="A193" s="54" t="s">
        <v>126</v>
      </c>
      <c r="B193" s="39">
        <v>7145</v>
      </c>
      <c r="C193" s="40" t="s">
        <v>105</v>
      </c>
      <c r="D193" s="40" t="s">
        <v>127</v>
      </c>
      <c r="E193" s="40" t="s">
        <v>43</v>
      </c>
      <c r="F193" s="40">
        <v>0</v>
      </c>
      <c r="G193" s="40">
        <v>6</v>
      </c>
      <c r="H193" s="40" t="s">
        <v>145</v>
      </c>
      <c r="I193" s="40" t="s">
        <v>142</v>
      </c>
      <c r="J193" s="41" t="s">
        <v>240</v>
      </c>
      <c r="K193" s="44" t="s">
        <v>131</v>
      </c>
      <c r="L193" s="44" t="s">
        <v>224</v>
      </c>
      <c r="M193" s="42">
        <v>89.97</v>
      </c>
      <c r="N193" s="43" t="s">
        <v>25</v>
      </c>
      <c r="O193" s="40">
        <v>25</v>
      </c>
      <c r="P193" s="32" t="s">
        <v>133</v>
      </c>
      <c r="Q193" s="32">
        <v>7145</v>
      </c>
    </row>
    <row r="194" spans="1:17" x14ac:dyDescent="0.35">
      <c r="A194" s="54" t="s">
        <v>126</v>
      </c>
      <c r="B194" s="39">
        <v>7146</v>
      </c>
      <c r="C194" s="40" t="s">
        <v>26</v>
      </c>
      <c r="D194" s="40" t="s">
        <v>127</v>
      </c>
      <c r="E194" s="40" t="s">
        <v>27</v>
      </c>
      <c r="F194" s="40">
        <v>7.8289293184803199</v>
      </c>
      <c r="G194" s="40">
        <v>8</v>
      </c>
      <c r="H194" s="40" t="s">
        <v>128</v>
      </c>
      <c r="I194" s="40" t="s">
        <v>142</v>
      </c>
      <c r="J194" s="41" t="s">
        <v>241</v>
      </c>
      <c r="K194" s="44" t="s">
        <v>131</v>
      </c>
      <c r="L194" s="44" t="s">
        <v>224</v>
      </c>
      <c r="M194" s="42">
        <v>92.35</v>
      </c>
      <c r="N194" s="43" t="s">
        <v>25</v>
      </c>
      <c r="O194" s="40">
        <v>25</v>
      </c>
      <c r="P194" s="32" t="s">
        <v>133</v>
      </c>
      <c r="Q194" s="32">
        <v>7146</v>
      </c>
    </row>
    <row r="195" spans="1:17" x14ac:dyDescent="0.35">
      <c r="A195" s="54" t="s">
        <v>126</v>
      </c>
      <c r="B195" s="39">
        <v>7149</v>
      </c>
      <c r="C195" s="40" t="s">
        <v>26</v>
      </c>
      <c r="D195" s="40" t="s">
        <v>127</v>
      </c>
      <c r="E195" s="40" t="s">
        <v>27</v>
      </c>
      <c r="F195" s="40">
        <v>0</v>
      </c>
      <c r="G195" s="40">
        <v>8</v>
      </c>
      <c r="H195" s="40" t="s">
        <v>128</v>
      </c>
      <c r="I195" s="40" t="s">
        <v>142</v>
      </c>
      <c r="J195" s="41" t="s">
        <v>242</v>
      </c>
      <c r="K195" s="44" t="s">
        <v>131</v>
      </c>
      <c r="L195" s="45" t="s">
        <v>224</v>
      </c>
      <c r="M195" s="46">
        <v>92.35</v>
      </c>
      <c r="N195" s="43" t="s">
        <v>25</v>
      </c>
      <c r="O195" s="40">
        <v>25</v>
      </c>
      <c r="P195" s="32" t="s">
        <v>133</v>
      </c>
      <c r="Q195" s="32">
        <v>7149</v>
      </c>
    </row>
    <row r="196" spans="1:17" x14ac:dyDescent="0.35">
      <c r="A196" s="54" t="s">
        <v>126</v>
      </c>
      <c r="B196" s="39">
        <v>7150</v>
      </c>
      <c r="C196" s="40" t="s">
        <v>26</v>
      </c>
      <c r="D196" s="40" t="s">
        <v>127</v>
      </c>
      <c r="E196" s="40" t="s">
        <v>27</v>
      </c>
      <c r="F196" s="40">
        <v>10.094750749731199</v>
      </c>
      <c r="G196" s="40">
        <v>8</v>
      </c>
      <c r="H196" s="40" t="s">
        <v>128</v>
      </c>
      <c r="I196" s="40" t="s">
        <v>142</v>
      </c>
      <c r="J196" s="41" t="s">
        <v>242</v>
      </c>
      <c r="K196" s="44" t="s">
        <v>131</v>
      </c>
      <c r="L196" s="45" t="s">
        <v>224</v>
      </c>
      <c r="M196" s="46">
        <v>113.7</v>
      </c>
      <c r="N196" s="43" t="s">
        <v>25</v>
      </c>
      <c r="O196" s="40">
        <v>25</v>
      </c>
      <c r="P196" s="32" t="s">
        <v>133</v>
      </c>
      <c r="Q196" s="32">
        <v>7150</v>
      </c>
    </row>
    <row r="197" spans="1:17" x14ac:dyDescent="0.35">
      <c r="A197" s="54" t="s">
        <v>126</v>
      </c>
      <c r="B197" s="39">
        <v>7153</v>
      </c>
      <c r="C197" s="40" t="s">
        <v>105</v>
      </c>
      <c r="D197" s="40" t="s">
        <v>127</v>
      </c>
      <c r="E197" s="40" t="s">
        <v>43</v>
      </c>
      <c r="F197" s="40">
        <v>0</v>
      </c>
      <c r="G197" s="40">
        <v>8</v>
      </c>
      <c r="H197" s="40" t="s">
        <v>128</v>
      </c>
      <c r="I197" s="40" t="s">
        <v>142</v>
      </c>
      <c r="J197" s="41" t="s">
        <v>243</v>
      </c>
      <c r="K197" s="44" t="s">
        <v>131</v>
      </c>
      <c r="L197" s="44" t="s">
        <v>224</v>
      </c>
      <c r="M197" s="42">
        <v>70.010000000000005</v>
      </c>
      <c r="N197" s="43" t="s">
        <v>25</v>
      </c>
      <c r="O197" s="40">
        <v>25</v>
      </c>
      <c r="P197" s="32" t="s">
        <v>133</v>
      </c>
      <c r="Q197" s="32">
        <v>7153</v>
      </c>
    </row>
    <row r="198" spans="1:17" x14ac:dyDescent="0.35">
      <c r="A198" s="54" t="s">
        <v>126</v>
      </c>
      <c r="B198" s="39">
        <v>7155</v>
      </c>
      <c r="C198" s="40" t="s">
        <v>26</v>
      </c>
      <c r="D198" s="40" t="s">
        <v>127</v>
      </c>
      <c r="E198" s="40" t="s">
        <v>27</v>
      </c>
      <c r="F198" s="40">
        <v>0</v>
      </c>
      <c r="G198" s="40">
        <v>12</v>
      </c>
      <c r="H198" s="40" t="s">
        <v>164</v>
      </c>
      <c r="I198" s="40" t="s">
        <v>129</v>
      </c>
      <c r="J198" s="41" t="s">
        <v>165</v>
      </c>
      <c r="K198" s="44" t="s">
        <v>131</v>
      </c>
      <c r="L198" s="44" t="s">
        <v>224</v>
      </c>
      <c r="M198" s="42">
        <v>88.44</v>
      </c>
      <c r="N198" s="43" t="s">
        <v>25</v>
      </c>
      <c r="O198" s="40">
        <v>23</v>
      </c>
      <c r="P198" s="32" t="s">
        <v>133</v>
      </c>
      <c r="Q198" s="32">
        <v>7155</v>
      </c>
    </row>
    <row r="199" spans="1:17" x14ac:dyDescent="0.35">
      <c r="A199" s="54" t="s">
        <v>126</v>
      </c>
      <c r="B199" s="39">
        <v>7159</v>
      </c>
      <c r="C199" s="40" t="s">
        <v>26</v>
      </c>
      <c r="D199" s="40" t="s">
        <v>127</v>
      </c>
      <c r="E199" s="40" t="s">
        <v>27</v>
      </c>
      <c r="F199" s="40"/>
      <c r="G199" s="40">
        <v>12</v>
      </c>
      <c r="H199" s="40" t="s">
        <v>164</v>
      </c>
      <c r="I199" s="40" t="s">
        <v>129</v>
      </c>
      <c r="J199" s="41" t="s">
        <v>244</v>
      </c>
      <c r="K199" s="44" t="s">
        <v>131</v>
      </c>
      <c r="L199" s="44" t="s">
        <v>224</v>
      </c>
      <c r="M199" s="42">
        <v>67.900000000000006</v>
      </c>
      <c r="N199" s="43" t="s">
        <v>25</v>
      </c>
      <c r="O199" s="40">
        <v>25</v>
      </c>
      <c r="P199" s="32" t="s">
        <v>133</v>
      </c>
      <c r="Q199" s="32">
        <v>7159</v>
      </c>
    </row>
    <row r="200" spans="1:17" x14ac:dyDescent="0.35">
      <c r="A200" s="54" t="s">
        <v>126</v>
      </c>
      <c r="B200" s="39">
        <v>7160</v>
      </c>
      <c r="C200" s="40" t="s">
        <v>105</v>
      </c>
      <c r="D200" s="40" t="s">
        <v>127</v>
      </c>
      <c r="E200" s="40" t="s">
        <v>43</v>
      </c>
      <c r="F200" s="40"/>
      <c r="G200" s="40">
        <v>8</v>
      </c>
      <c r="H200" s="40" t="s">
        <v>128</v>
      </c>
      <c r="I200" s="40" t="s">
        <v>142</v>
      </c>
      <c r="J200" s="41" t="s">
        <v>245</v>
      </c>
      <c r="K200" s="44" t="s">
        <v>131</v>
      </c>
      <c r="L200" s="44" t="s">
        <v>224</v>
      </c>
      <c r="M200" s="42">
        <v>45.72</v>
      </c>
      <c r="N200" s="43" t="s">
        <v>25</v>
      </c>
      <c r="O200" s="40">
        <v>25</v>
      </c>
      <c r="P200" s="32" t="s">
        <v>133</v>
      </c>
      <c r="Q200" s="32">
        <v>7160</v>
      </c>
    </row>
    <row r="201" spans="1:17" x14ac:dyDescent="0.35">
      <c r="A201" s="54" t="s">
        <v>126</v>
      </c>
      <c r="B201" s="39">
        <v>7161</v>
      </c>
      <c r="C201" s="40" t="s">
        <v>104</v>
      </c>
      <c r="D201" s="40" t="s">
        <v>127</v>
      </c>
      <c r="E201" s="40" t="s">
        <v>43</v>
      </c>
      <c r="F201" s="40"/>
      <c r="G201" s="40">
        <v>8</v>
      </c>
      <c r="H201" s="40" t="s">
        <v>128</v>
      </c>
      <c r="I201" s="40" t="s">
        <v>142</v>
      </c>
      <c r="J201" s="41" t="s">
        <v>246</v>
      </c>
      <c r="K201" s="44" t="s">
        <v>131</v>
      </c>
      <c r="L201" s="44" t="s">
        <v>224</v>
      </c>
      <c r="M201" s="42">
        <v>0</v>
      </c>
      <c r="N201" s="43" t="s">
        <v>25</v>
      </c>
      <c r="O201" s="40">
        <v>25</v>
      </c>
      <c r="P201" s="32" t="s">
        <v>133</v>
      </c>
      <c r="Q201" s="32">
        <v>7161</v>
      </c>
    </row>
    <row r="202" spans="1:17" x14ac:dyDescent="0.35">
      <c r="A202" s="54" t="s">
        <v>126</v>
      </c>
      <c r="B202" s="39">
        <v>7162</v>
      </c>
      <c r="C202" s="40" t="s">
        <v>21</v>
      </c>
      <c r="D202" s="40" t="s">
        <v>127</v>
      </c>
      <c r="E202" s="40" t="s">
        <v>23</v>
      </c>
      <c r="F202" s="40"/>
      <c r="G202" s="40">
        <v>8</v>
      </c>
      <c r="H202" s="40" t="s">
        <v>128</v>
      </c>
      <c r="I202" s="40" t="s">
        <v>142</v>
      </c>
      <c r="J202" s="41" t="s">
        <v>247</v>
      </c>
      <c r="K202" s="44" t="s">
        <v>144</v>
      </c>
      <c r="L202" s="44" t="s">
        <v>224</v>
      </c>
      <c r="M202" s="42">
        <v>0</v>
      </c>
      <c r="N202" s="43" t="s">
        <v>25</v>
      </c>
      <c r="O202" s="40">
        <v>25</v>
      </c>
      <c r="P202" s="32" t="s">
        <v>133</v>
      </c>
      <c r="Q202" s="32">
        <v>7162</v>
      </c>
    </row>
    <row r="203" spans="1:17" x14ac:dyDescent="0.35">
      <c r="A203" s="54" t="s">
        <v>126</v>
      </c>
      <c r="B203" s="39">
        <v>7163</v>
      </c>
      <c r="C203" s="40">
        <v>61082</v>
      </c>
      <c r="D203" s="40" t="s">
        <v>127</v>
      </c>
      <c r="E203" s="40" t="s">
        <v>33</v>
      </c>
      <c r="F203" s="40"/>
      <c r="G203" s="40">
        <v>8</v>
      </c>
      <c r="H203" s="40" t="s">
        <v>128</v>
      </c>
      <c r="I203" s="40" t="s">
        <v>142</v>
      </c>
      <c r="J203" s="41" t="s">
        <v>248</v>
      </c>
      <c r="K203" s="45" t="s">
        <v>131</v>
      </c>
      <c r="L203" s="44" t="s">
        <v>224</v>
      </c>
      <c r="M203" s="42">
        <v>0</v>
      </c>
      <c r="N203" s="43" t="s">
        <v>25</v>
      </c>
      <c r="O203" s="40">
        <v>25</v>
      </c>
      <c r="P203" s="32" t="s">
        <v>133</v>
      </c>
      <c r="Q203" s="32">
        <v>7163</v>
      </c>
    </row>
    <row r="204" spans="1:17" x14ac:dyDescent="0.35">
      <c r="A204" s="54" t="s">
        <v>126</v>
      </c>
      <c r="B204" s="39">
        <v>7164</v>
      </c>
      <c r="C204" s="40" t="s">
        <v>113</v>
      </c>
      <c r="D204" s="40" t="s">
        <v>127</v>
      </c>
      <c r="E204" s="40" t="s">
        <v>31</v>
      </c>
      <c r="F204" s="40"/>
      <c r="G204" s="40">
        <v>8</v>
      </c>
      <c r="H204" s="40" t="s">
        <v>128</v>
      </c>
      <c r="I204" s="40" t="s">
        <v>142</v>
      </c>
      <c r="J204" s="41" t="s">
        <v>249</v>
      </c>
      <c r="K204" s="45" t="s">
        <v>131</v>
      </c>
      <c r="L204" s="44" t="s">
        <v>224</v>
      </c>
      <c r="M204" s="42">
        <v>0</v>
      </c>
      <c r="N204" s="43" t="s">
        <v>25</v>
      </c>
      <c r="O204" s="40">
        <v>25</v>
      </c>
      <c r="P204" s="32" t="s">
        <v>133</v>
      </c>
      <c r="Q204" s="32">
        <v>7164</v>
      </c>
    </row>
    <row r="205" spans="1:17" x14ac:dyDescent="0.35">
      <c r="A205" s="54" t="s">
        <v>126</v>
      </c>
      <c r="B205" s="39">
        <v>7165</v>
      </c>
      <c r="C205" s="40">
        <v>61061</v>
      </c>
      <c r="D205" s="40" t="s">
        <v>127</v>
      </c>
      <c r="E205" s="40" t="s">
        <v>29</v>
      </c>
      <c r="F205" s="40"/>
      <c r="G205" s="40">
        <v>8</v>
      </c>
      <c r="H205" s="40" t="s">
        <v>128</v>
      </c>
      <c r="I205" s="40" t="s">
        <v>142</v>
      </c>
      <c r="J205" s="41" t="s">
        <v>250</v>
      </c>
      <c r="K205" s="45" t="s">
        <v>131</v>
      </c>
      <c r="L205" s="45" t="s">
        <v>224</v>
      </c>
      <c r="M205" s="46">
        <v>0</v>
      </c>
      <c r="N205" s="43" t="s">
        <v>25</v>
      </c>
      <c r="O205" s="40">
        <v>25</v>
      </c>
      <c r="P205" s="32" t="s">
        <v>133</v>
      </c>
      <c r="Q205" s="32">
        <v>7165</v>
      </c>
    </row>
    <row r="206" spans="1:17" x14ac:dyDescent="0.35">
      <c r="A206" s="54" t="s">
        <v>126</v>
      </c>
      <c r="B206" s="39">
        <v>7166</v>
      </c>
      <c r="C206" s="40">
        <v>61010</v>
      </c>
      <c r="D206" s="40" t="s">
        <v>127</v>
      </c>
      <c r="E206" s="40" t="s">
        <v>41</v>
      </c>
      <c r="F206" s="40"/>
      <c r="G206" s="40">
        <v>8</v>
      </c>
      <c r="H206" s="40" t="s">
        <v>128</v>
      </c>
      <c r="I206" s="40" t="s">
        <v>142</v>
      </c>
      <c r="J206" s="41" t="s">
        <v>251</v>
      </c>
      <c r="K206" s="44" t="s">
        <v>131</v>
      </c>
      <c r="L206" s="44" t="s">
        <v>224</v>
      </c>
      <c r="M206" s="42">
        <v>0</v>
      </c>
      <c r="N206" s="43" t="s">
        <v>25</v>
      </c>
      <c r="O206" s="40">
        <v>25</v>
      </c>
      <c r="P206" s="32" t="s">
        <v>133</v>
      </c>
      <c r="Q206" s="32">
        <v>7166</v>
      </c>
    </row>
    <row r="207" spans="1:17" x14ac:dyDescent="0.35">
      <c r="A207" s="54" t="s">
        <v>126</v>
      </c>
      <c r="B207" s="39">
        <v>7168</v>
      </c>
      <c r="C207" s="40" t="s">
        <v>113</v>
      </c>
      <c r="D207" s="40" t="s">
        <v>127</v>
      </c>
      <c r="E207" s="40" t="s">
        <v>31</v>
      </c>
      <c r="F207" s="40">
        <v>0</v>
      </c>
      <c r="G207" s="40">
        <v>8</v>
      </c>
      <c r="H207" s="40" t="s">
        <v>128</v>
      </c>
      <c r="I207" s="40" t="s">
        <v>142</v>
      </c>
      <c r="J207" s="41" t="s">
        <v>232</v>
      </c>
      <c r="K207" s="45" t="s">
        <v>131</v>
      </c>
      <c r="L207" s="45" t="s">
        <v>224</v>
      </c>
      <c r="M207" s="46">
        <v>42.33</v>
      </c>
      <c r="N207" s="43" t="s">
        <v>25</v>
      </c>
      <c r="O207" s="40">
        <v>25</v>
      </c>
      <c r="P207" s="32" t="s">
        <v>133</v>
      </c>
      <c r="Q207" s="32">
        <v>7168</v>
      </c>
    </row>
    <row r="208" spans="1:17" x14ac:dyDescent="0.35">
      <c r="A208" s="54" t="s">
        <v>126</v>
      </c>
      <c r="B208" s="39">
        <v>7169</v>
      </c>
      <c r="C208" s="40">
        <v>61082</v>
      </c>
      <c r="D208" s="40" t="s">
        <v>127</v>
      </c>
      <c r="E208" s="40" t="s">
        <v>33</v>
      </c>
      <c r="F208" s="40"/>
      <c r="G208" s="40">
        <v>8</v>
      </c>
      <c r="H208" s="40" t="s">
        <v>128</v>
      </c>
      <c r="I208" s="40" t="s">
        <v>142</v>
      </c>
      <c r="J208" s="41" t="s">
        <v>233</v>
      </c>
      <c r="K208" s="45" t="s">
        <v>131</v>
      </c>
      <c r="L208" s="44" t="s">
        <v>224</v>
      </c>
      <c r="M208" s="42">
        <v>45.72</v>
      </c>
      <c r="N208" s="43" t="s">
        <v>25</v>
      </c>
      <c r="O208" s="40">
        <v>25</v>
      </c>
      <c r="P208" s="32" t="s">
        <v>133</v>
      </c>
      <c r="Q208" s="32">
        <v>7169</v>
      </c>
    </row>
    <row r="209" spans="1:17" x14ac:dyDescent="0.35">
      <c r="A209" s="54" t="s">
        <v>126</v>
      </c>
      <c r="B209" s="39">
        <v>7171</v>
      </c>
      <c r="C209" s="40" t="s">
        <v>21</v>
      </c>
      <c r="D209" s="40" t="s">
        <v>127</v>
      </c>
      <c r="E209" s="40" t="s">
        <v>23</v>
      </c>
      <c r="F209" s="40"/>
      <c r="G209" s="40">
        <v>8</v>
      </c>
      <c r="H209" s="40" t="s">
        <v>128</v>
      </c>
      <c r="I209" s="40" t="s">
        <v>142</v>
      </c>
      <c r="J209" s="41" t="s">
        <v>236</v>
      </c>
      <c r="K209" s="44" t="s">
        <v>144</v>
      </c>
      <c r="L209" s="44" t="s">
        <v>224</v>
      </c>
      <c r="M209" s="42">
        <v>0</v>
      </c>
      <c r="N209" s="43" t="s">
        <v>25</v>
      </c>
      <c r="O209" s="40">
        <v>25</v>
      </c>
      <c r="P209" s="32" t="s">
        <v>133</v>
      </c>
      <c r="Q209" s="32">
        <v>7171</v>
      </c>
    </row>
    <row r="210" spans="1:17" x14ac:dyDescent="0.35">
      <c r="A210" s="54" t="s">
        <v>126</v>
      </c>
      <c r="B210" s="39">
        <v>7173</v>
      </c>
      <c r="C210" s="40" t="s">
        <v>113</v>
      </c>
      <c r="D210" s="40" t="s">
        <v>127</v>
      </c>
      <c r="E210" s="40" t="s">
        <v>31</v>
      </c>
      <c r="F210" s="40"/>
      <c r="G210" s="40">
        <v>6</v>
      </c>
      <c r="H210" s="40" t="s">
        <v>145</v>
      </c>
      <c r="I210" s="40" t="s">
        <v>146</v>
      </c>
      <c r="J210" s="41" t="s">
        <v>252</v>
      </c>
      <c r="K210" s="44" t="s">
        <v>131</v>
      </c>
      <c r="L210" s="44" t="s">
        <v>224</v>
      </c>
      <c r="M210" s="42">
        <v>79.25</v>
      </c>
      <c r="N210" s="43" t="s">
        <v>25</v>
      </c>
      <c r="O210" s="40">
        <v>25</v>
      </c>
      <c r="P210" s="32" t="s">
        <v>133</v>
      </c>
      <c r="Q210" s="32">
        <v>7173</v>
      </c>
    </row>
    <row r="211" spans="1:17" x14ac:dyDescent="0.35">
      <c r="A211" s="54" t="s">
        <v>126</v>
      </c>
      <c r="B211" s="39">
        <v>7178</v>
      </c>
      <c r="C211" s="40">
        <v>203891</v>
      </c>
      <c r="D211" s="40" t="s">
        <v>127</v>
      </c>
      <c r="E211" s="40" t="s">
        <v>253</v>
      </c>
      <c r="F211" s="40">
        <v>0</v>
      </c>
      <c r="G211" s="40">
        <v>3</v>
      </c>
      <c r="H211" s="40" t="s">
        <v>254</v>
      </c>
      <c r="I211" s="40" t="s">
        <v>142</v>
      </c>
      <c r="J211" s="41" t="s">
        <v>255</v>
      </c>
      <c r="K211" s="45" t="s">
        <v>131</v>
      </c>
      <c r="L211" s="44" t="s">
        <v>224</v>
      </c>
      <c r="M211" s="42">
        <v>133.08000000000001</v>
      </c>
      <c r="N211" s="43"/>
      <c r="O211" s="40">
        <v>25</v>
      </c>
      <c r="P211" s="32" t="s">
        <v>133</v>
      </c>
      <c r="Q211" s="32">
        <v>7178</v>
      </c>
    </row>
    <row r="212" spans="1:17" x14ac:dyDescent="0.35">
      <c r="A212" s="54" t="s">
        <v>126</v>
      </c>
      <c r="B212" s="39">
        <v>7179</v>
      </c>
      <c r="C212" s="40" t="s">
        <v>26</v>
      </c>
      <c r="D212" s="40" t="s">
        <v>127</v>
      </c>
      <c r="E212" s="40" t="s">
        <v>27</v>
      </c>
      <c r="F212" s="40">
        <v>10.020709951800301</v>
      </c>
      <c r="G212" s="40">
        <v>8</v>
      </c>
      <c r="H212" s="40" t="s">
        <v>128</v>
      </c>
      <c r="I212" s="40" t="s">
        <v>142</v>
      </c>
      <c r="J212" s="41" t="s">
        <v>242</v>
      </c>
      <c r="K212" s="44" t="s">
        <v>131</v>
      </c>
      <c r="L212" s="45" t="s">
        <v>224</v>
      </c>
      <c r="M212" s="46">
        <v>113.7</v>
      </c>
      <c r="N212" s="43" t="s">
        <v>25</v>
      </c>
      <c r="O212" s="40">
        <v>25</v>
      </c>
      <c r="P212" s="32" t="s">
        <v>133</v>
      </c>
      <c r="Q212" s="32">
        <v>7179</v>
      </c>
    </row>
    <row r="213" spans="1:17" x14ac:dyDescent="0.35">
      <c r="A213" s="54" t="s">
        <v>126</v>
      </c>
      <c r="B213" s="39">
        <v>7188</v>
      </c>
      <c r="C213" s="40">
        <v>61072</v>
      </c>
      <c r="D213" s="40" t="s">
        <v>127</v>
      </c>
      <c r="E213" s="40" t="s">
        <v>31</v>
      </c>
      <c r="F213" s="40">
        <v>0</v>
      </c>
      <c r="G213" s="40">
        <v>8</v>
      </c>
      <c r="H213" s="40" t="s">
        <v>128</v>
      </c>
      <c r="I213" s="40" t="s">
        <v>142</v>
      </c>
      <c r="J213" s="41" t="s">
        <v>256</v>
      </c>
      <c r="K213" s="45" t="s">
        <v>131</v>
      </c>
      <c r="L213" s="44" t="s">
        <v>224</v>
      </c>
      <c r="M213" s="42">
        <v>52.6</v>
      </c>
      <c r="N213" s="43" t="s">
        <v>47</v>
      </c>
      <c r="O213" s="40">
        <v>25</v>
      </c>
      <c r="P213" s="32" t="s">
        <v>133</v>
      </c>
      <c r="Q213" s="32">
        <v>7188</v>
      </c>
    </row>
    <row r="214" spans="1:17" x14ac:dyDescent="0.35">
      <c r="A214" s="54" t="s">
        <v>126</v>
      </c>
      <c r="B214" s="39">
        <v>7189</v>
      </c>
      <c r="C214" s="40">
        <v>61077</v>
      </c>
      <c r="D214" s="40" t="s">
        <v>127</v>
      </c>
      <c r="E214" s="40" t="s">
        <v>33</v>
      </c>
      <c r="F214" s="40">
        <v>0</v>
      </c>
      <c r="G214" s="40">
        <v>8</v>
      </c>
      <c r="H214" s="40" t="s">
        <v>128</v>
      </c>
      <c r="I214" s="40" t="s">
        <v>142</v>
      </c>
      <c r="J214" s="41" t="s">
        <v>257</v>
      </c>
      <c r="K214" s="45" t="s">
        <v>131</v>
      </c>
      <c r="L214" s="44" t="s">
        <v>224</v>
      </c>
      <c r="M214" s="42">
        <v>60.11</v>
      </c>
      <c r="N214" s="43" t="s">
        <v>47</v>
      </c>
      <c r="O214" s="40">
        <v>25</v>
      </c>
      <c r="P214" s="32" t="s">
        <v>133</v>
      </c>
      <c r="Q214" s="32">
        <v>7189</v>
      </c>
    </row>
    <row r="215" spans="1:17" x14ac:dyDescent="0.35">
      <c r="A215" s="54" t="s">
        <v>126</v>
      </c>
      <c r="B215" s="39">
        <v>7191</v>
      </c>
      <c r="C215" s="40">
        <v>61061</v>
      </c>
      <c r="D215" s="40" t="s">
        <v>127</v>
      </c>
      <c r="E215" s="40" t="s">
        <v>29</v>
      </c>
      <c r="F215" s="40">
        <v>0</v>
      </c>
      <c r="G215" s="40">
        <v>8</v>
      </c>
      <c r="H215" s="40" t="s">
        <v>128</v>
      </c>
      <c r="I215" s="40" t="s">
        <v>142</v>
      </c>
      <c r="J215" s="41" t="s">
        <v>258</v>
      </c>
      <c r="K215" s="45" t="s">
        <v>131</v>
      </c>
      <c r="L215" s="44" t="s">
        <v>224</v>
      </c>
      <c r="M215" s="42">
        <v>82.96</v>
      </c>
      <c r="N215" s="43" t="s">
        <v>25</v>
      </c>
      <c r="O215" s="40">
        <v>25</v>
      </c>
      <c r="P215" s="32" t="s">
        <v>133</v>
      </c>
      <c r="Q215" s="32">
        <v>7191</v>
      </c>
    </row>
    <row r="216" spans="1:17" x14ac:dyDescent="0.35">
      <c r="A216" s="54" t="s">
        <v>126</v>
      </c>
      <c r="B216" s="39">
        <v>7192</v>
      </c>
      <c r="C216" s="40">
        <v>203152</v>
      </c>
      <c r="D216" s="40" t="s">
        <v>259</v>
      </c>
      <c r="E216" s="40" t="s">
        <v>253</v>
      </c>
      <c r="F216" s="40"/>
      <c r="G216" s="40">
        <v>4</v>
      </c>
      <c r="H216" s="40" t="s">
        <v>254</v>
      </c>
      <c r="I216" s="40" t="s">
        <v>142</v>
      </c>
      <c r="J216" s="41" t="s">
        <v>260</v>
      </c>
      <c r="K216" s="45" t="s">
        <v>131</v>
      </c>
      <c r="L216" s="45" t="s">
        <v>224</v>
      </c>
      <c r="M216" s="46">
        <v>288.67</v>
      </c>
      <c r="N216" s="43"/>
      <c r="O216" s="40">
        <v>25</v>
      </c>
      <c r="P216" s="32" t="s">
        <v>133</v>
      </c>
      <c r="Q216" s="32">
        <v>7192</v>
      </c>
    </row>
    <row r="217" spans="1:17" x14ac:dyDescent="0.35">
      <c r="A217" s="54" t="s">
        <v>126</v>
      </c>
      <c r="B217" s="39">
        <v>7193</v>
      </c>
      <c r="C217" s="40" t="s">
        <v>113</v>
      </c>
      <c r="D217" s="40" t="s">
        <v>127</v>
      </c>
      <c r="E217" s="40" t="s">
        <v>31</v>
      </c>
      <c r="F217" s="40"/>
      <c r="G217" s="40">
        <v>6</v>
      </c>
      <c r="H217" s="40" t="s">
        <v>145</v>
      </c>
      <c r="I217" s="40" t="s">
        <v>142</v>
      </c>
      <c r="J217" s="41" t="s">
        <v>252</v>
      </c>
      <c r="K217" s="44" t="s">
        <v>131</v>
      </c>
      <c r="L217" s="44" t="s">
        <v>224</v>
      </c>
      <c r="M217" s="42">
        <v>35.31</v>
      </c>
      <c r="N217" s="43" t="s">
        <v>25</v>
      </c>
      <c r="O217" s="40">
        <v>25</v>
      </c>
      <c r="P217" s="32" t="s">
        <v>133</v>
      </c>
      <c r="Q217" s="32">
        <v>7193</v>
      </c>
    </row>
    <row r="218" spans="1:17" x14ac:dyDescent="0.35">
      <c r="A218" s="54" t="s">
        <v>126</v>
      </c>
      <c r="B218" s="39">
        <v>7229</v>
      </c>
      <c r="C218" s="40">
        <v>61042</v>
      </c>
      <c r="D218" s="40" t="s">
        <v>259</v>
      </c>
      <c r="E218" s="40" t="s">
        <v>43</v>
      </c>
      <c r="F218" s="40">
        <v>7.9639242722696402</v>
      </c>
      <c r="G218" s="48">
        <v>12</v>
      </c>
      <c r="H218" s="40" t="s">
        <v>261</v>
      </c>
      <c r="I218" s="48" t="s">
        <v>129</v>
      </c>
      <c r="J218" s="55" t="s">
        <v>262</v>
      </c>
      <c r="K218" s="44" t="s">
        <v>131</v>
      </c>
      <c r="L218" s="44" t="s">
        <v>224</v>
      </c>
      <c r="M218" s="42">
        <v>95.34</v>
      </c>
      <c r="N218" s="43" t="s">
        <v>47</v>
      </c>
      <c r="O218" s="40">
        <v>25</v>
      </c>
      <c r="P218" s="32" t="s">
        <v>133</v>
      </c>
      <c r="Q218" s="32">
        <v>7229</v>
      </c>
    </row>
    <row r="219" spans="1:17" x14ac:dyDescent="0.35">
      <c r="A219" s="54" t="s">
        <v>126</v>
      </c>
      <c r="B219" s="39">
        <v>7230</v>
      </c>
      <c r="C219" s="40">
        <v>61049</v>
      </c>
      <c r="D219" s="40" t="s">
        <v>259</v>
      </c>
      <c r="E219" s="40" t="s">
        <v>43</v>
      </c>
      <c r="F219" s="40">
        <v>7.1660573476702503</v>
      </c>
      <c r="G219" s="40">
        <v>12</v>
      </c>
      <c r="H219" s="40" t="s">
        <v>261</v>
      </c>
      <c r="I219" s="40" t="s">
        <v>129</v>
      </c>
      <c r="J219" s="41" t="s">
        <v>263</v>
      </c>
      <c r="K219" s="44" t="s">
        <v>131</v>
      </c>
      <c r="L219" s="44" t="s">
        <v>224</v>
      </c>
      <c r="M219" s="42">
        <v>79.099999999999994</v>
      </c>
      <c r="N219" s="43" t="s">
        <v>47</v>
      </c>
      <c r="O219" s="40">
        <v>25</v>
      </c>
      <c r="P219" s="32" t="s">
        <v>133</v>
      </c>
      <c r="Q219" s="32">
        <v>7230</v>
      </c>
    </row>
    <row r="220" spans="1:17" x14ac:dyDescent="0.35">
      <c r="A220" s="54" t="s">
        <v>126</v>
      </c>
      <c r="B220" s="39">
        <v>7231</v>
      </c>
      <c r="C220" s="40">
        <v>61051</v>
      </c>
      <c r="D220" s="40" t="s">
        <v>259</v>
      </c>
      <c r="E220" s="40" t="s">
        <v>27</v>
      </c>
      <c r="F220" s="40">
        <v>6.5826365969930301</v>
      </c>
      <c r="G220" s="48">
        <v>12</v>
      </c>
      <c r="H220" s="48" t="s">
        <v>261</v>
      </c>
      <c r="I220" s="48" t="s">
        <v>129</v>
      </c>
      <c r="J220" s="55" t="s">
        <v>264</v>
      </c>
      <c r="K220" s="44" t="s">
        <v>131</v>
      </c>
      <c r="L220" s="44" t="s">
        <v>224</v>
      </c>
      <c r="M220" s="42">
        <v>72.03</v>
      </c>
      <c r="N220" s="43" t="s">
        <v>47</v>
      </c>
      <c r="O220" s="40">
        <v>25</v>
      </c>
      <c r="P220" s="32" t="s">
        <v>133</v>
      </c>
      <c r="Q220" s="32">
        <v>7231</v>
      </c>
    </row>
    <row r="221" spans="1:17" x14ac:dyDescent="0.35">
      <c r="A221" s="54" t="s">
        <v>126</v>
      </c>
      <c r="B221" s="39">
        <v>7232</v>
      </c>
      <c r="C221" s="40">
        <v>61069</v>
      </c>
      <c r="D221" s="40" t="s">
        <v>259</v>
      </c>
      <c r="E221" s="48" t="s">
        <v>27</v>
      </c>
      <c r="F221" s="40">
        <v>4.3684388055082701</v>
      </c>
      <c r="G221" s="48">
        <v>12</v>
      </c>
      <c r="H221" s="48" t="s">
        <v>261</v>
      </c>
      <c r="I221" s="48" t="s">
        <v>129</v>
      </c>
      <c r="J221" s="55" t="s">
        <v>265</v>
      </c>
      <c r="K221" s="44" t="s">
        <v>131</v>
      </c>
      <c r="L221" s="45" t="s">
        <v>224</v>
      </c>
      <c r="M221" s="46">
        <v>31.1</v>
      </c>
      <c r="N221" s="43" t="s">
        <v>47</v>
      </c>
      <c r="O221" s="40">
        <v>25</v>
      </c>
      <c r="P221" s="32" t="s">
        <v>133</v>
      </c>
      <c r="Q221" s="32">
        <v>7232</v>
      </c>
    </row>
    <row r="222" spans="1:17" x14ac:dyDescent="0.35">
      <c r="A222" s="54" t="s">
        <v>126</v>
      </c>
      <c r="B222" s="39">
        <v>7233</v>
      </c>
      <c r="C222" s="40">
        <v>61070</v>
      </c>
      <c r="D222" s="40" t="s">
        <v>259</v>
      </c>
      <c r="E222" s="40" t="s">
        <v>27</v>
      </c>
      <c r="F222" s="40">
        <v>0</v>
      </c>
      <c r="G222" s="48">
        <v>12</v>
      </c>
      <c r="H222" s="48" t="s">
        <v>261</v>
      </c>
      <c r="I222" s="48" t="s">
        <v>129</v>
      </c>
      <c r="J222" s="55" t="s">
        <v>266</v>
      </c>
      <c r="K222" s="44" t="s">
        <v>131</v>
      </c>
      <c r="L222" s="45" t="s">
        <v>224</v>
      </c>
      <c r="M222" s="46">
        <v>36.17</v>
      </c>
      <c r="N222" s="43" t="s">
        <v>47</v>
      </c>
      <c r="O222" s="40">
        <v>25</v>
      </c>
      <c r="P222" s="32" t="s">
        <v>133</v>
      </c>
      <c r="Q222" s="32">
        <v>7233</v>
      </c>
    </row>
    <row r="223" spans="1:17" x14ac:dyDescent="0.35">
      <c r="A223" s="54" t="s">
        <v>126</v>
      </c>
      <c r="B223" s="39">
        <v>7234</v>
      </c>
      <c r="C223" s="40">
        <v>61079</v>
      </c>
      <c r="D223" s="40" t="s">
        <v>259</v>
      </c>
      <c r="E223" s="40" t="s">
        <v>33</v>
      </c>
      <c r="F223" s="40">
        <v>7.0179593134138498</v>
      </c>
      <c r="G223" s="48">
        <v>12</v>
      </c>
      <c r="H223" s="40" t="s">
        <v>261</v>
      </c>
      <c r="I223" s="48" t="s">
        <v>129</v>
      </c>
      <c r="J223" s="55" t="s">
        <v>267</v>
      </c>
      <c r="K223" s="45" t="s">
        <v>131</v>
      </c>
      <c r="L223" s="45" t="s">
        <v>224</v>
      </c>
      <c r="M223" s="46">
        <v>37.58</v>
      </c>
      <c r="N223" s="43" t="s">
        <v>47</v>
      </c>
      <c r="O223" s="40">
        <v>20</v>
      </c>
      <c r="P223" s="32" t="s">
        <v>133</v>
      </c>
      <c r="Q223" s="32">
        <v>7234</v>
      </c>
    </row>
    <row r="224" spans="1:17" x14ac:dyDescent="0.35">
      <c r="A224" s="54" t="s">
        <v>126</v>
      </c>
      <c r="B224" s="39">
        <v>7235</v>
      </c>
      <c r="C224" s="40">
        <v>61087</v>
      </c>
      <c r="D224" s="40" t="s">
        <v>259</v>
      </c>
      <c r="E224" s="40" t="s">
        <v>23</v>
      </c>
      <c r="F224" s="40">
        <v>6.3224613555291302</v>
      </c>
      <c r="G224" s="40">
        <v>12</v>
      </c>
      <c r="H224" s="40" t="s">
        <v>261</v>
      </c>
      <c r="I224" s="40" t="s">
        <v>129</v>
      </c>
      <c r="J224" s="41" t="s">
        <v>268</v>
      </c>
      <c r="K224" s="45" t="s">
        <v>144</v>
      </c>
      <c r="L224" s="45" t="s">
        <v>224</v>
      </c>
      <c r="M224" s="46">
        <v>29.8</v>
      </c>
      <c r="N224" s="43" t="s">
        <v>47</v>
      </c>
      <c r="O224" s="40">
        <v>20</v>
      </c>
      <c r="P224" s="32" t="s">
        <v>133</v>
      </c>
      <c r="Q224" s="32">
        <v>7235</v>
      </c>
    </row>
    <row r="225" spans="1:17" x14ac:dyDescent="0.35">
      <c r="A225" s="54" t="s">
        <v>126</v>
      </c>
      <c r="B225" s="39">
        <v>7236</v>
      </c>
      <c r="C225" s="40">
        <v>61074</v>
      </c>
      <c r="D225" s="40" t="s">
        <v>259</v>
      </c>
      <c r="E225" s="40" t="s">
        <v>31</v>
      </c>
      <c r="F225" s="40">
        <v>6.0213182811361898</v>
      </c>
      <c r="G225" s="48">
        <v>12</v>
      </c>
      <c r="H225" s="48" t="s">
        <v>261</v>
      </c>
      <c r="I225" s="48" t="s">
        <v>129</v>
      </c>
      <c r="J225" s="55" t="s">
        <v>269</v>
      </c>
      <c r="K225" s="45" t="s">
        <v>131</v>
      </c>
      <c r="L225" s="45" t="s">
        <v>224</v>
      </c>
      <c r="M225" s="46">
        <v>62.64</v>
      </c>
      <c r="N225" s="43" t="s">
        <v>47</v>
      </c>
      <c r="O225" s="40">
        <v>25</v>
      </c>
      <c r="P225" s="32" t="s">
        <v>133</v>
      </c>
      <c r="Q225" s="32">
        <v>7236</v>
      </c>
    </row>
    <row r="226" spans="1:17" x14ac:dyDescent="0.35">
      <c r="A226" s="54" t="s">
        <v>126</v>
      </c>
      <c r="B226" s="39">
        <v>7237</v>
      </c>
      <c r="C226" s="40">
        <v>61071</v>
      </c>
      <c r="D226" s="40" t="s">
        <v>259</v>
      </c>
      <c r="E226" s="40" t="s">
        <v>31</v>
      </c>
      <c r="F226" s="40"/>
      <c r="G226" s="48">
        <v>12</v>
      </c>
      <c r="H226" s="48" t="s">
        <v>164</v>
      </c>
      <c r="I226" s="48" t="s">
        <v>129</v>
      </c>
      <c r="J226" s="55" t="s">
        <v>270</v>
      </c>
      <c r="K226" s="45" t="s">
        <v>131</v>
      </c>
      <c r="L226" s="45" t="s">
        <v>224</v>
      </c>
      <c r="M226" s="46">
        <v>21.13</v>
      </c>
      <c r="N226" s="43" t="s">
        <v>47</v>
      </c>
      <c r="O226" s="40">
        <v>20</v>
      </c>
      <c r="P226" s="32" t="s">
        <v>133</v>
      </c>
      <c r="Q226" s="32">
        <v>7237</v>
      </c>
    </row>
    <row r="227" spans="1:17" x14ac:dyDescent="0.35">
      <c r="A227" s="54" t="s">
        <v>126</v>
      </c>
      <c r="B227" s="39">
        <v>7238</v>
      </c>
      <c r="C227" s="40">
        <v>61016</v>
      </c>
      <c r="D227" s="40" t="s">
        <v>259</v>
      </c>
      <c r="E227" s="40" t="s">
        <v>37</v>
      </c>
      <c r="F227" s="40">
        <v>0</v>
      </c>
      <c r="G227" s="48">
        <v>12</v>
      </c>
      <c r="H227" s="40" t="s">
        <v>261</v>
      </c>
      <c r="I227" s="48" t="s">
        <v>129</v>
      </c>
      <c r="J227" s="55" t="s">
        <v>271</v>
      </c>
      <c r="K227" s="44" t="s">
        <v>144</v>
      </c>
      <c r="L227" s="44" t="s">
        <v>224</v>
      </c>
      <c r="M227" s="42">
        <v>22.35</v>
      </c>
      <c r="N227" s="43" t="s">
        <v>47</v>
      </c>
      <c r="O227" s="40">
        <v>25</v>
      </c>
      <c r="P227" s="32" t="s">
        <v>133</v>
      </c>
      <c r="Q227" s="32">
        <v>7238</v>
      </c>
    </row>
    <row r="228" spans="1:17" x14ac:dyDescent="0.35">
      <c r="A228" s="54" t="s">
        <v>126</v>
      </c>
      <c r="B228" s="39">
        <v>7239</v>
      </c>
      <c r="C228" s="40">
        <v>203151</v>
      </c>
      <c r="D228" s="40" t="s">
        <v>259</v>
      </c>
      <c r="E228" s="40" t="s">
        <v>153</v>
      </c>
      <c r="F228" s="40">
        <v>8.7825141015310209</v>
      </c>
      <c r="G228" s="48">
        <v>6</v>
      </c>
      <c r="H228" s="40" t="s">
        <v>261</v>
      </c>
      <c r="I228" s="48" t="s">
        <v>129</v>
      </c>
      <c r="J228" s="55" t="s">
        <v>272</v>
      </c>
      <c r="K228" s="45" t="s">
        <v>131</v>
      </c>
      <c r="L228" s="45" t="s">
        <v>224</v>
      </c>
      <c r="M228" s="46">
        <v>132.63</v>
      </c>
      <c r="N228" s="43"/>
      <c r="O228" s="40">
        <v>25</v>
      </c>
      <c r="P228" s="32" t="s">
        <v>133</v>
      </c>
      <c r="Q228" s="32">
        <v>7239</v>
      </c>
    </row>
    <row r="229" spans="1:17" x14ac:dyDescent="0.35">
      <c r="A229" s="54" t="s">
        <v>126</v>
      </c>
      <c r="B229" s="39">
        <v>7240</v>
      </c>
      <c r="C229" s="40">
        <v>61051</v>
      </c>
      <c r="D229" s="40" t="s">
        <v>259</v>
      </c>
      <c r="E229" s="40" t="s">
        <v>27</v>
      </c>
      <c r="F229" s="40">
        <v>8.5324096692111908</v>
      </c>
      <c r="G229" s="48">
        <v>8</v>
      </c>
      <c r="H229" s="40" t="s">
        <v>128</v>
      </c>
      <c r="I229" s="48" t="s">
        <v>142</v>
      </c>
      <c r="J229" s="55" t="s">
        <v>273</v>
      </c>
      <c r="K229" s="44" t="s">
        <v>131</v>
      </c>
      <c r="L229" s="44" t="s">
        <v>224</v>
      </c>
      <c r="M229" s="42">
        <v>114.34</v>
      </c>
      <c r="N229" s="43" t="s">
        <v>47</v>
      </c>
      <c r="O229" s="40">
        <v>25</v>
      </c>
      <c r="P229" s="32" t="s">
        <v>133</v>
      </c>
      <c r="Q229" s="32">
        <v>7240</v>
      </c>
    </row>
    <row r="230" spans="1:17" x14ac:dyDescent="0.35">
      <c r="A230" s="54" t="s">
        <v>126</v>
      </c>
      <c r="B230" s="39">
        <v>7241</v>
      </c>
      <c r="C230" s="40">
        <v>61087</v>
      </c>
      <c r="D230" s="40" t="s">
        <v>259</v>
      </c>
      <c r="E230" s="40" t="s">
        <v>23</v>
      </c>
      <c r="F230" s="40">
        <v>9.6722420115243501</v>
      </c>
      <c r="G230" s="48">
        <v>8</v>
      </c>
      <c r="H230" s="48" t="s">
        <v>128</v>
      </c>
      <c r="I230" s="48" t="s">
        <v>142</v>
      </c>
      <c r="J230" s="55" t="s">
        <v>274</v>
      </c>
      <c r="K230" s="44" t="s">
        <v>144</v>
      </c>
      <c r="L230" s="45" t="s">
        <v>224</v>
      </c>
      <c r="M230" s="46">
        <v>22.85</v>
      </c>
      <c r="N230" s="43" t="s">
        <v>47</v>
      </c>
      <c r="O230" s="40">
        <v>25</v>
      </c>
      <c r="P230" s="32" t="s">
        <v>133</v>
      </c>
      <c r="Q230" s="32">
        <v>7241</v>
      </c>
    </row>
    <row r="231" spans="1:17" x14ac:dyDescent="0.35">
      <c r="A231" s="54" t="s">
        <v>126</v>
      </c>
      <c r="B231" s="39">
        <v>7242</v>
      </c>
      <c r="C231" s="40">
        <v>61016</v>
      </c>
      <c r="D231" s="40" t="s">
        <v>259</v>
      </c>
      <c r="E231" s="40" t="s">
        <v>37</v>
      </c>
      <c r="F231" s="40">
        <v>8.3301528551151804</v>
      </c>
      <c r="G231" s="48">
        <v>8</v>
      </c>
      <c r="H231" s="48" t="s">
        <v>128</v>
      </c>
      <c r="I231" s="48" t="s">
        <v>142</v>
      </c>
      <c r="J231" s="55" t="s">
        <v>275</v>
      </c>
      <c r="K231" s="44" t="s">
        <v>144</v>
      </c>
      <c r="L231" s="45" t="s">
        <v>224</v>
      </c>
      <c r="M231" s="46">
        <v>25.17</v>
      </c>
      <c r="N231" s="43" t="s">
        <v>47</v>
      </c>
      <c r="O231" s="40">
        <v>25</v>
      </c>
      <c r="P231" s="32" t="s">
        <v>133</v>
      </c>
      <c r="Q231" s="32">
        <v>7242</v>
      </c>
    </row>
    <row r="232" spans="1:17" x14ac:dyDescent="0.35">
      <c r="A232" s="54" t="s">
        <v>126</v>
      </c>
      <c r="B232" s="39">
        <v>7245</v>
      </c>
      <c r="C232" s="40">
        <v>61074</v>
      </c>
      <c r="D232" s="40" t="s">
        <v>259</v>
      </c>
      <c r="E232" s="40" t="s">
        <v>31</v>
      </c>
      <c r="F232" s="40"/>
      <c r="G232" s="48">
        <v>12</v>
      </c>
      <c r="H232" s="48" t="s">
        <v>164</v>
      </c>
      <c r="I232" s="48" t="s">
        <v>129</v>
      </c>
      <c r="J232" s="55" t="s">
        <v>276</v>
      </c>
      <c r="K232" s="45" t="s">
        <v>131</v>
      </c>
      <c r="L232" s="45" t="s">
        <v>224</v>
      </c>
      <c r="M232" s="46">
        <v>62.89</v>
      </c>
      <c r="N232" s="43" t="s">
        <v>47</v>
      </c>
      <c r="O232" s="40">
        <v>25</v>
      </c>
      <c r="P232" s="32" t="s">
        <v>133</v>
      </c>
      <c r="Q232" s="32">
        <v>7245</v>
      </c>
    </row>
    <row r="233" spans="1:17" x14ac:dyDescent="0.35">
      <c r="A233" s="54" t="s">
        <v>126</v>
      </c>
      <c r="B233" s="39">
        <v>7246</v>
      </c>
      <c r="C233" s="40">
        <v>61051</v>
      </c>
      <c r="D233" s="40" t="s">
        <v>259</v>
      </c>
      <c r="E233" s="40" t="s">
        <v>31</v>
      </c>
      <c r="F233" s="40"/>
      <c r="G233" s="48">
        <v>12</v>
      </c>
      <c r="H233" s="48" t="s">
        <v>164</v>
      </c>
      <c r="I233" s="48" t="s">
        <v>129</v>
      </c>
      <c r="J233" s="55" t="s">
        <v>276</v>
      </c>
      <c r="K233" s="45" t="s">
        <v>131</v>
      </c>
      <c r="L233" s="45" t="s">
        <v>224</v>
      </c>
      <c r="M233" s="46">
        <v>79.62</v>
      </c>
      <c r="N233" s="43" t="s">
        <v>47</v>
      </c>
      <c r="O233" s="40">
        <v>25</v>
      </c>
      <c r="P233" s="32" t="s">
        <v>133</v>
      </c>
      <c r="Q233" s="32">
        <v>7246</v>
      </c>
    </row>
    <row r="234" spans="1:17" x14ac:dyDescent="0.35">
      <c r="A234" s="54" t="s">
        <v>126</v>
      </c>
      <c r="B234" s="39">
        <v>7247</v>
      </c>
      <c r="C234" s="40">
        <v>203151</v>
      </c>
      <c r="D234" s="40" t="s">
        <v>259</v>
      </c>
      <c r="E234" s="48" t="s">
        <v>153</v>
      </c>
      <c r="F234" s="40"/>
      <c r="G234" s="48">
        <v>6</v>
      </c>
      <c r="H234" s="48" t="s">
        <v>135</v>
      </c>
      <c r="I234" s="48" t="s">
        <v>129</v>
      </c>
      <c r="J234" s="55" t="s">
        <v>272</v>
      </c>
      <c r="K234" s="45" t="s">
        <v>131</v>
      </c>
      <c r="L234" s="45" t="s">
        <v>224</v>
      </c>
      <c r="M234" s="46">
        <v>146.6</v>
      </c>
      <c r="N234" s="43"/>
      <c r="O234" s="40">
        <v>25</v>
      </c>
      <c r="P234" s="32" t="s">
        <v>133</v>
      </c>
      <c r="Q234" s="32">
        <v>7247</v>
      </c>
    </row>
    <row r="235" spans="1:17" x14ac:dyDescent="0.35">
      <c r="A235" s="54" t="s">
        <v>126</v>
      </c>
      <c r="B235" s="39">
        <v>7248</v>
      </c>
      <c r="C235" s="40">
        <v>61087</v>
      </c>
      <c r="D235" s="40" t="s">
        <v>259</v>
      </c>
      <c r="E235" s="40" t="s">
        <v>23</v>
      </c>
      <c r="F235" s="40"/>
      <c r="G235" s="48">
        <v>8</v>
      </c>
      <c r="H235" s="48" t="s">
        <v>141</v>
      </c>
      <c r="I235" s="48" t="s">
        <v>142</v>
      </c>
      <c r="J235" s="55" t="s">
        <v>277</v>
      </c>
      <c r="K235" s="44" t="s">
        <v>144</v>
      </c>
      <c r="L235" s="45" t="s">
        <v>224</v>
      </c>
      <c r="M235" s="46">
        <v>24.54</v>
      </c>
      <c r="N235" s="43" t="s">
        <v>47</v>
      </c>
      <c r="O235" s="40">
        <v>25</v>
      </c>
      <c r="P235" s="32" t="s">
        <v>133</v>
      </c>
      <c r="Q235" s="32">
        <v>7248</v>
      </c>
    </row>
    <row r="236" spans="1:17" x14ac:dyDescent="0.35">
      <c r="A236" s="54" t="s">
        <v>126</v>
      </c>
      <c r="B236" s="39">
        <v>7249</v>
      </c>
      <c r="C236" s="40">
        <v>61016</v>
      </c>
      <c r="D236" s="40" t="s">
        <v>259</v>
      </c>
      <c r="E236" s="40" t="s">
        <v>37</v>
      </c>
      <c r="F236" s="40"/>
      <c r="G236" s="48">
        <v>8</v>
      </c>
      <c r="H236" s="48" t="s">
        <v>141</v>
      </c>
      <c r="I236" s="48" t="s">
        <v>142</v>
      </c>
      <c r="J236" s="55" t="s">
        <v>278</v>
      </c>
      <c r="K236" s="44" t="s">
        <v>144</v>
      </c>
      <c r="L236" s="45" t="s">
        <v>224</v>
      </c>
      <c r="M236" s="46">
        <v>27.03</v>
      </c>
      <c r="N236" s="43" t="s">
        <v>47</v>
      </c>
      <c r="O236" s="40">
        <v>25</v>
      </c>
      <c r="P236" s="32" t="s">
        <v>133</v>
      </c>
      <c r="Q236" s="32">
        <v>7249</v>
      </c>
    </row>
    <row r="237" spans="1:17" x14ac:dyDescent="0.35">
      <c r="A237" s="54" t="s">
        <v>126</v>
      </c>
      <c r="B237" s="39">
        <v>7250</v>
      </c>
      <c r="C237" s="40">
        <v>61074</v>
      </c>
      <c r="D237" s="40" t="s">
        <v>259</v>
      </c>
      <c r="E237" s="40" t="s">
        <v>31</v>
      </c>
      <c r="F237" s="40">
        <v>8.0602723735408492</v>
      </c>
      <c r="G237" s="48">
        <v>8</v>
      </c>
      <c r="H237" s="48" t="s">
        <v>128</v>
      </c>
      <c r="I237" s="48" t="s">
        <v>142</v>
      </c>
      <c r="J237" s="55" t="s">
        <v>279</v>
      </c>
      <c r="K237" s="45" t="s">
        <v>131</v>
      </c>
      <c r="L237" s="45" t="s">
        <v>224</v>
      </c>
      <c r="M237" s="46">
        <v>48.4</v>
      </c>
      <c r="N237" s="43" t="s">
        <v>47</v>
      </c>
      <c r="O237" s="40">
        <v>25</v>
      </c>
      <c r="P237" s="32" t="s">
        <v>133</v>
      </c>
      <c r="Q237" s="32">
        <v>7250</v>
      </c>
    </row>
    <row r="238" spans="1:17" x14ac:dyDescent="0.35">
      <c r="A238" s="54" t="s">
        <v>126</v>
      </c>
      <c r="B238" s="39">
        <v>7251</v>
      </c>
      <c r="C238" s="40">
        <v>61079</v>
      </c>
      <c r="D238" s="40" t="s">
        <v>259</v>
      </c>
      <c r="E238" s="40" t="s">
        <v>33</v>
      </c>
      <c r="F238" s="40">
        <v>9.2566197882197194</v>
      </c>
      <c r="G238" s="48">
        <v>8</v>
      </c>
      <c r="H238" s="48" t="s">
        <v>128</v>
      </c>
      <c r="I238" s="48" t="s">
        <v>142</v>
      </c>
      <c r="J238" s="55" t="s">
        <v>280</v>
      </c>
      <c r="K238" s="45" t="s">
        <v>131</v>
      </c>
      <c r="L238" s="45" t="s">
        <v>224</v>
      </c>
      <c r="M238" s="46">
        <v>55.32</v>
      </c>
      <c r="N238" s="43" t="s">
        <v>47</v>
      </c>
      <c r="O238" s="40">
        <v>25</v>
      </c>
      <c r="P238" s="32" t="s">
        <v>133</v>
      </c>
      <c r="Q238" s="32">
        <v>7251</v>
      </c>
    </row>
    <row r="239" spans="1:17" x14ac:dyDescent="0.35">
      <c r="A239" s="54" t="s">
        <v>126</v>
      </c>
      <c r="B239" s="39">
        <v>7252</v>
      </c>
      <c r="C239" s="40">
        <v>61051</v>
      </c>
      <c r="D239" s="40" t="s">
        <v>259</v>
      </c>
      <c r="E239" s="40" t="s">
        <v>27</v>
      </c>
      <c r="F239" s="40">
        <v>0</v>
      </c>
      <c r="G239" s="48">
        <v>8</v>
      </c>
      <c r="H239" s="48" t="s">
        <v>141</v>
      </c>
      <c r="I239" s="48" t="s">
        <v>142</v>
      </c>
      <c r="J239" s="55" t="s">
        <v>281</v>
      </c>
      <c r="K239" s="44" t="s">
        <v>131</v>
      </c>
      <c r="L239" s="45" t="s">
        <v>224</v>
      </c>
      <c r="M239" s="46">
        <v>126.38</v>
      </c>
      <c r="N239" s="43" t="s">
        <v>47</v>
      </c>
      <c r="O239" s="40">
        <v>25</v>
      </c>
      <c r="P239" s="32" t="s">
        <v>133</v>
      </c>
      <c r="Q239" s="32">
        <v>7252</v>
      </c>
    </row>
    <row r="240" spans="1:17" x14ac:dyDescent="0.35">
      <c r="A240" s="54" t="s">
        <v>126</v>
      </c>
      <c r="B240" s="39">
        <v>7253</v>
      </c>
      <c r="C240" s="40">
        <v>61079</v>
      </c>
      <c r="D240" s="40" t="s">
        <v>259</v>
      </c>
      <c r="E240" s="40" t="s">
        <v>33</v>
      </c>
      <c r="F240" s="40"/>
      <c r="G240" s="48">
        <v>8</v>
      </c>
      <c r="H240" s="48" t="s">
        <v>141</v>
      </c>
      <c r="I240" s="48" t="s">
        <v>142</v>
      </c>
      <c r="J240" s="55" t="s">
        <v>282</v>
      </c>
      <c r="K240" s="45" t="s">
        <v>131</v>
      </c>
      <c r="L240" s="44" t="s">
        <v>224</v>
      </c>
      <c r="M240" s="42">
        <v>58.45</v>
      </c>
      <c r="N240" s="43" t="s">
        <v>47</v>
      </c>
      <c r="O240" s="40">
        <v>25</v>
      </c>
      <c r="P240" s="32" t="s">
        <v>133</v>
      </c>
      <c r="Q240" s="32">
        <v>7253</v>
      </c>
    </row>
    <row r="241" spans="1:17" x14ac:dyDescent="0.35">
      <c r="A241" s="54" t="s">
        <v>126</v>
      </c>
      <c r="B241" s="39">
        <v>7254</v>
      </c>
      <c r="C241" s="40">
        <v>61074</v>
      </c>
      <c r="D241" s="40" t="s">
        <v>259</v>
      </c>
      <c r="E241" s="40" t="s">
        <v>31</v>
      </c>
      <c r="F241" s="40"/>
      <c r="G241" s="48">
        <v>8</v>
      </c>
      <c r="H241" s="48" t="s">
        <v>141</v>
      </c>
      <c r="I241" s="48" t="s">
        <v>142</v>
      </c>
      <c r="J241" s="55" t="s">
        <v>283</v>
      </c>
      <c r="K241" s="45" t="s">
        <v>131</v>
      </c>
      <c r="L241" s="45" t="s">
        <v>224</v>
      </c>
      <c r="M241" s="46">
        <v>52.69</v>
      </c>
      <c r="N241" s="43" t="s">
        <v>47</v>
      </c>
      <c r="O241" s="40">
        <v>25</v>
      </c>
      <c r="P241" s="32" t="s">
        <v>133</v>
      </c>
      <c r="Q241" s="32">
        <v>7254</v>
      </c>
    </row>
    <row r="242" spans="1:17" x14ac:dyDescent="0.35">
      <c r="A242" s="54" t="s">
        <v>126</v>
      </c>
      <c r="B242" s="39">
        <v>7260</v>
      </c>
      <c r="C242" s="40" t="s">
        <v>26</v>
      </c>
      <c r="D242" s="40" t="s">
        <v>127</v>
      </c>
      <c r="E242" s="40" t="s">
        <v>27</v>
      </c>
      <c r="F242" s="40">
        <v>0</v>
      </c>
      <c r="G242" s="48">
        <v>8</v>
      </c>
      <c r="H242" s="48" t="s">
        <v>128</v>
      </c>
      <c r="I242" s="48" t="s">
        <v>129</v>
      </c>
      <c r="J242" s="55" t="s">
        <v>284</v>
      </c>
      <c r="K242" s="44" t="s">
        <v>131</v>
      </c>
      <c r="L242" s="45" t="s">
        <v>224</v>
      </c>
      <c r="M242" s="46">
        <v>102.86</v>
      </c>
      <c r="N242" s="43" t="s">
        <v>25</v>
      </c>
      <c r="O242" s="40">
        <v>20</v>
      </c>
      <c r="P242" s="32" t="s">
        <v>133</v>
      </c>
      <c r="Q242" s="32">
        <v>7260</v>
      </c>
    </row>
    <row r="243" spans="1:17" x14ac:dyDescent="0.35">
      <c r="A243" s="54" t="s">
        <v>126</v>
      </c>
      <c r="B243" s="39">
        <v>7268</v>
      </c>
      <c r="C243" s="40">
        <v>203136</v>
      </c>
      <c r="D243" s="40" t="s">
        <v>127</v>
      </c>
      <c r="E243" s="48" t="s">
        <v>153</v>
      </c>
      <c r="F243" s="40"/>
      <c r="G243" s="48">
        <v>6</v>
      </c>
      <c r="H243" s="48" t="s">
        <v>135</v>
      </c>
      <c r="I243" s="48"/>
      <c r="J243" s="55" t="s">
        <v>285</v>
      </c>
      <c r="K243" s="45" t="s">
        <v>131</v>
      </c>
      <c r="L243" s="45" t="s">
        <v>224</v>
      </c>
      <c r="M243" s="46">
        <v>137.96</v>
      </c>
      <c r="N243" s="43"/>
      <c r="O243" s="40">
        <v>25</v>
      </c>
      <c r="P243" s="32" t="s">
        <v>133</v>
      </c>
      <c r="Q243" s="32">
        <v>7268</v>
      </c>
    </row>
    <row r="244" spans="1:17" x14ac:dyDescent="0.35">
      <c r="A244" s="54" t="s">
        <v>126</v>
      </c>
      <c r="B244" s="47">
        <v>7269</v>
      </c>
      <c r="C244" s="40">
        <v>61014</v>
      </c>
      <c r="D244" s="40" t="s">
        <v>127</v>
      </c>
      <c r="E244" s="40" t="s">
        <v>37</v>
      </c>
      <c r="F244" s="42"/>
      <c r="G244" s="48">
        <v>12</v>
      </c>
      <c r="H244" s="48" t="s">
        <v>261</v>
      </c>
      <c r="I244" s="48"/>
      <c r="J244" s="55" t="s">
        <v>286</v>
      </c>
      <c r="K244" s="44" t="s">
        <v>144</v>
      </c>
      <c r="L244" s="45" t="s">
        <v>224</v>
      </c>
      <c r="M244" s="46">
        <v>26.99</v>
      </c>
      <c r="N244" s="59" t="s">
        <v>47</v>
      </c>
      <c r="O244" s="40">
        <v>20</v>
      </c>
      <c r="P244" s="32" t="s">
        <v>133</v>
      </c>
      <c r="Q244" s="32">
        <v>7269</v>
      </c>
    </row>
    <row r="245" spans="1:17" x14ac:dyDescent="0.35">
      <c r="A245" s="54" t="s">
        <v>126</v>
      </c>
      <c r="B245" s="47">
        <v>7275</v>
      </c>
      <c r="C245" s="40">
        <v>61048</v>
      </c>
      <c r="D245" s="40" t="s">
        <v>127</v>
      </c>
      <c r="E245" s="40" t="s">
        <v>43</v>
      </c>
      <c r="F245" s="42">
        <v>0</v>
      </c>
      <c r="G245" s="48">
        <v>8</v>
      </c>
      <c r="H245" s="48" t="s">
        <v>128</v>
      </c>
      <c r="I245" s="48" t="s">
        <v>142</v>
      </c>
      <c r="J245" s="55" t="s">
        <v>287</v>
      </c>
      <c r="K245" s="44" t="s">
        <v>131</v>
      </c>
      <c r="L245" s="45" t="s">
        <v>224</v>
      </c>
      <c r="M245" s="46">
        <v>180.03</v>
      </c>
      <c r="N245" s="59" t="s">
        <v>25</v>
      </c>
      <c r="O245" s="40">
        <v>25</v>
      </c>
      <c r="P245" s="32" t="s">
        <v>133</v>
      </c>
      <c r="Q245" s="32">
        <v>7275</v>
      </c>
    </row>
    <row r="246" spans="1:17" x14ac:dyDescent="0.35">
      <c r="A246" s="54" t="s">
        <v>126</v>
      </c>
      <c r="B246" s="47">
        <v>7278</v>
      </c>
      <c r="C246" s="40" t="s">
        <v>21</v>
      </c>
      <c r="D246" s="40" t="s">
        <v>127</v>
      </c>
      <c r="E246" s="40" t="s">
        <v>23</v>
      </c>
      <c r="F246" s="42">
        <v>7.70174545454545</v>
      </c>
      <c r="G246" s="48">
        <v>8</v>
      </c>
      <c r="H246" s="48" t="s">
        <v>128</v>
      </c>
      <c r="I246" s="48"/>
      <c r="J246" s="55" t="s">
        <v>288</v>
      </c>
      <c r="K246" s="44" t="s">
        <v>144</v>
      </c>
      <c r="L246" s="45" t="s">
        <v>224</v>
      </c>
      <c r="M246" s="46">
        <v>20.8</v>
      </c>
      <c r="N246" s="59" t="s">
        <v>25</v>
      </c>
      <c r="O246" s="40">
        <v>20</v>
      </c>
      <c r="P246" s="32" t="s">
        <v>133</v>
      </c>
      <c r="Q246" s="32">
        <v>7278</v>
      </c>
    </row>
    <row r="247" spans="1:17" x14ac:dyDescent="0.35">
      <c r="A247" s="54" t="s">
        <v>126</v>
      </c>
      <c r="B247" s="47">
        <v>7287</v>
      </c>
      <c r="C247" s="40" t="s">
        <v>99</v>
      </c>
      <c r="D247" s="40" t="s">
        <v>127</v>
      </c>
      <c r="E247" s="40" t="s">
        <v>37</v>
      </c>
      <c r="F247" s="42">
        <v>8.4242865349772398</v>
      </c>
      <c r="G247" s="48">
        <v>8</v>
      </c>
      <c r="H247" s="48" t="s">
        <v>128</v>
      </c>
      <c r="I247" s="48"/>
      <c r="J247" s="55" t="s">
        <v>289</v>
      </c>
      <c r="K247" s="44" t="s">
        <v>144</v>
      </c>
      <c r="L247" s="44" t="s">
        <v>224</v>
      </c>
      <c r="M247" s="42">
        <v>31.29</v>
      </c>
      <c r="N247" s="59" t="s">
        <v>25</v>
      </c>
      <c r="O247" s="40">
        <v>25</v>
      </c>
      <c r="P247" s="32" t="s">
        <v>133</v>
      </c>
      <c r="Q247" s="32">
        <v>7287</v>
      </c>
    </row>
    <row r="248" spans="1:17" x14ac:dyDescent="0.35">
      <c r="A248" s="54" t="s">
        <v>126</v>
      </c>
      <c r="B248" s="39">
        <v>7289</v>
      </c>
      <c r="C248" s="40">
        <v>61014</v>
      </c>
      <c r="D248" s="40" t="s">
        <v>127</v>
      </c>
      <c r="E248" s="40" t="s">
        <v>37</v>
      </c>
      <c r="F248" s="42">
        <v>0</v>
      </c>
      <c r="G248" s="48">
        <v>8</v>
      </c>
      <c r="H248" s="48" t="s">
        <v>128</v>
      </c>
      <c r="I248" s="48"/>
      <c r="J248" s="55" t="s">
        <v>290</v>
      </c>
      <c r="K248" s="44" t="s">
        <v>144</v>
      </c>
      <c r="L248" s="45" t="s">
        <v>224</v>
      </c>
      <c r="M248" s="46">
        <v>30.46</v>
      </c>
      <c r="N248" s="43" t="s">
        <v>47</v>
      </c>
      <c r="O248" s="40">
        <v>25</v>
      </c>
      <c r="P248" s="32" t="s">
        <v>133</v>
      </c>
      <c r="Q248" s="32">
        <v>7289</v>
      </c>
    </row>
    <row r="249" spans="1:17" x14ac:dyDescent="0.35">
      <c r="A249" s="54" t="s">
        <v>126</v>
      </c>
      <c r="B249" s="39">
        <v>7300</v>
      </c>
      <c r="C249" s="40">
        <v>61054</v>
      </c>
      <c r="D249" s="40" t="s">
        <v>127</v>
      </c>
      <c r="E249" s="48" t="s">
        <v>197</v>
      </c>
      <c r="F249" s="42">
        <v>0</v>
      </c>
      <c r="G249" s="48">
        <v>12</v>
      </c>
      <c r="H249" s="48" t="s">
        <v>135</v>
      </c>
      <c r="I249" s="48" t="s">
        <v>129</v>
      </c>
      <c r="J249" s="55" t="s">
        <v>291</v>
      </c>
      <c r="K249" s="44" t="s">
        <v>144</v>
      </c>
      <c r="L249" s="45" t="s">
        <v>224</v>
      </c>
      <c r="M249" s="46">
        <v>18.96</v>
      </c>
      <c r="N249" s="43" t="s">
        <v>47</v>
      </c>
      <c r="O249" s="40">
        <v>25</v>
      </c>
      <c r="P249" s="32" t="s">
        <v>133</v>
      </c>
      <c r="Q249" s="32">
        <v>7300</v>
      </c>
    </row>
    <row r="250" spans="1:17" x14ac:dyDescent="0.35">
      <c r="A250" s="54" t="s">
        <v>126</v>
      </c>
      <c r="B250" s="47">
        <v>7303</v>
      </c>
      <c r="C250" s="40">
        <v>61054</v>
      </c>
      <c r="D250" s="40" t="s">
        <v>127</v>
      </c>
      <c r="E250" s="48" t="s">
        <v>197</v>
      </c>
      <c r="F250" s="42">
        <v>0</v>
      </c>
      <c r="G250" s="48">
        <v>8</v>
      </c>
      <c r="H250" s="40" t="s">
        <v>128</v>
      </c>
      <c r="I250" s="48" t="s">
        <v>142</v>
      </c>
      <c r="J250" s="55" t="s">
        <v>292</v>
      </c>
      <c r="K250" s="44" t="s">
        <v>144</v>
      </c>
      <c r="L250" s="45" t="s">
        <v>224</v>
      </c>
      <c r="M250" s="46">
        <v>36.33</v>
      </c>
      <c r="N250" s="43" t="s">
        <v>47</v>
      </c>
      <c r="O250" s="40">
        <v>25</v>
      </c>
      <c r="P250" s="32" t="s">
        <v>133</v>
      </c>
      <c r="Q250" s="32">
        <v>7303</v>
      </c>
    </row>
    <row r="251" spans="1:17" x14ac:dyDescent="0.35">
      <c r="A251" s="54" t="s">
        <v>126</v>
      </c>
      <c r="B251" s="47">
        <v>7304</v>
      </c>
      <c r="C251" s="40">
        <v>61054</v>
      </c>
      <c r="D251" s="40" t="s">
        <v>127</v>
      </c>
      <c r="E251" s="48" t="s">
        <v>197</v>
      </c>
      <c r="F251" s="42">
        <v>0</v>
      </c>
      <c r="G251" s="48">
        <v>8</v>
      </c>
      <c r="H251" s="48" t="s">
        <v>128</v>
      </c>
      <c r="I251" s="48" t="s">
        <v>142</v>
      </c>
      <c r="J251" s="55" t="s">
        <v>292</v>
      </c>
      <c r="K251" s="44" t="s">
        <v>144</v>
      </c>
      <c r="L251" s="45" t="s">
        <v>224</v>
      </c>
      <c r="M251" s="46">
        <v>40.25</v>
      </c>
      <c r="N251" s="59" t="s">
        <v>47</v>
      </c>
      <c r="O251" s="40">
        <v>25</v>
      </c>
      <c r="P251" s="32" t="s">
        <v>133</v>
      </c>
      <c r="Q251" s="32">
        <v>7304</v>
      </c>
    </row>
    <row r="252" spans="1:17" x14ac:dyDescent="0.35">
      <c r="A252" s="54" t="s">
        <v>126</v>
      </c>
      <c r="B252" s="47">
        <v>7310</v>
      </c>
      <c r="C252" s="40">
        <v>61104</v>
      </c>
      <c r="D252" s="40" t="s">
        <v>127</v>
      </c>
      <c r="E252" s="48" t="s">
        <v>27</v>
      </c>
      <c r="F252" s="42"/>
      <c r="G252" s="48">
        <v>8</v>
      </c>
      <c r="H252" s="48" t="s">
        <v>141</v>
      </c>
      <c r="I252" s="48" t="s">
        <v>142</v>
      </c>
      <c r="J252" s="55" t="s">
        <v>293</v>
      </c>
      <c r="K252" s="44" t="s">
        <v>131</v>
      </c>
      <c r="L252" s="45" t="s">
        <v>294</v>
      </c>
      <c r="M252" s="46">
        <v>74.010000000000005</v>
      </c>
      <c r="N252" s="59" t="s">
        <v>25</v>
      </c>
      <c r="O252" s="40">
        <v>25</v>
      </c>
      <c r="P252" s="32" t="s">
        <v>133</v>
      </c>
      <c r="Q252" s="32">
        <v>7310</v>
      </c>
    </row>
    <row r="253" spans="1:17" x14ac:dyDescent="0.35">
      <c r="A253" s="54" t="s">
        <v>126</v>
      </c>
      <c r="B253" s="47">
        <v>7340</v>
      </c>
      <c r="C253" s="40">
        <v>203891</v>
      </c>
      <c r="D253" s="40" t="s">
        <v>127</v>
      </c>
      <c r="E253" s="48" t="s">
        <v>153</v>
      </c>
      <c r="F253" s="42">
        <v>8.8899999999999899</v>
      </c>
      <c r="G253" s="48">
        <v>6</v>
      </c>
      <c r="H253" s="48" t="s">
        <v>261</v>
      </c>
      <c r="I253" s="48" t="s">
        <v>142</v>
      </c>
      <c r="J253" s="55" t="s">
        <v>295</v>
      </c>
      <c r="K253" s="45" t="s">
        <v>131</v>
      </c>
      <c r="L253" s="45" t="s">
        <v>224</v>
      </c>
      <c r="M253" s="46">
        <v>141.76</v>
      </c>
      <c r="N253" s="59"/>
      <c r="O253" s="40">
        <v>25</v>
      </c>
      <c r="P253" s="32" t="s">
        <v>133</v>
      </c>
      <c r="Q253" s="32">
        <v>7340</v>
      </c>
    </row>
    <row r="254" spans="1:17" x14ac:dyDescent="0.35">
      <c r="A254" s="54" t="s">
        <v>126</v>
      </c>
      <c r="B254" s="47">
        <v>7341</v>
      </c>
      <c r="C254" s="40">
        <v>203891</v>
      </c>
      <c r="D254" s="40" t="s">
        <v>127</v>
      </c>
      <c r="E254" s="48" t="s">
        <v>153</v>
      </c>
      <c r="F254" s="42"/>
      <c r="G254" s="48">
        <v>6</v>
      </c>
      <c r="H254" s="48" t="s">
        <v>261</v>
      </c>
      <c r="I254" s="48" t="s">
        <v>129</v>
      </c>
      <c r="J254" s="55" t="s">
        <v>296</v>
      </c>
      <c r="K254" s="45" t="s">
        <v>131</v>
      </c>
      <c r="L254" s="44" t="s">
        <v>224</v>
      </c>
      <c r="M254" s="42">
        <v>141.76</v>
      </c>
      <c r="N254" s="59"/>
      <c r="O254" s="40">
        <v>25</v>
      </c>
      <c r="P254" s="32" t="s">
        <v>133</v>
      </c>
      <c r="Q254" s="32">
        <v>7341</v>
      </c>
    </row>
    <row r="255" spans="1:17" x14ac:dyDescent="0.35">
      <c r="A255" s="54" t="s">
        <v>126</v>
      </c>
      <c r="B255" s="47">
        <v>7342</v>
      </c>
      <c r="C255" s="40">
        <v>61061</v>
      </c>
      <c r="D255" s="40" t="s">
        <v>127</v>
      </c>
      <c r="E255" s="40" t="s">
        <v>29</v>
      </c>
      <c r="F255" s="42"/>
      <c r="G255" s="48">
        <v>8</v>
      </c>
      <c r="H255" s="48" t="s">
        <v>128</v>
      </c>
      <c r="I255" s="48" t="s">
        <v>142</v>
      </c>
      <c r="J255" s="55" t="s">
        <v>297</v>
      </c>
      <c r="K255" s="45" t="s">
        <v>131</v>
      </c>
      <c r="L255" s="45" t="s">
        <v>224</v>
      </c>
      <c r="M255" s="46">
        <v>78.319999999999993</v>
      </c>
      <c r="N255" s="59" t="s">
        <v>25</v>
      </c>
      <c r="O255" s="40">
        <v>25</v>
      </c>
      <c r="P255" s="32" t="s">
        <v>133</v>
      </c>
      <c r="Q255" s="32">
        <v>7342</v>
      </c>
    </row>
    <row r="256" spans="1:17" x14ac:dyDescent="0.35">
      <c r="A256" s="54" t="s">
        <v>126</v>
      </c>
      <c r="B256" s="47">
        <v>7343</v>
      </c>
      <c r="C256" s="40" t="s">
        <v>26</v>
      </c>
      <c r="D256" s="40" t="s">
        <v>127</v>
      </c>
      <c r="E256" s="40" t="s">
        <v>27</v>
      </c>
      <c r="F256" s="42"/>
      <c r="G256" s="48"/>
      <c r="H256" s="48" t="s">
        <v>298</v>
      </c>
      <c r="I256" s="48" t="s">
        <v>129</v>
      </c>
      <c r="J256" s="55" t="s">
        <v>299</v>
      </c>
      <c r="K256" s="44" t="s">
        <v>131</v>
      </c>
      <c r="L256" s="45" t="s">
        <v>224</v>
      </c>
      <c r="M256" s="46">
        <v>102.9</v>
      </c>
      <c r="N256" s="59" t="s">
        <v>25</v>
      </c>
      <c r="O256" s="40">
        <v>25</v>
      </c>
      <c r="P256" s="32" t="s">
        <v>133</v>
      </c>
      <c r="Q256" s="32">
        <v>7343</v>
      </c>
    </row>
    <row r="257" spans="1:17" x14ac:dyDescent="0.35">
      <c r="A257" s="54" t="s">
        <v>126</v>
      </c>
      <c r="B257" s="47">
        <v>7378</v>
      </c>
      <c r="C257" s="40">
        <v>61061</v>
      </c>
      <c r="D257" s="40" t="s">
        <v>127</v>
      </c>
      <c r="E257" s="40" t="s">
        <v>29</v>
      </c>
      <c r="F257" s="42">
        <v>0</v>
      </c>
      <c r="G257" s="48">
        <v>8</v>
      </c>
      <c r="H257" s="48" t="s">
        <v>128</v>
      </c>
      <c r="I257" s="48"/>
      <c r="J257" s="55" t="s">
        <v>225</v>
      </c>
      <c r="K257" s="45" t="s">
        <v>131</v>
      </c>
      <c r="L257" s="45" t="s">
        <v>224</v>
      </c>
      <c r="M257" s="46">
        <v>82.96</v>
      </c>
      <c r="N257" s="59" t="s">
        <v>25</v>
      </c>
      <c r="O257" s="40">
        <v>25</v>
      </c>
      <c r="P257" s="32" t="s">
        <v>133</v>
      </c>
      <c r="Q257" s="32">
        <v>7378</v>
      </c>
    </row>
    <row r="258" spans="1:17" x14ac:dyDescent="0.35">
      <c r="A258" s="54" t="s">
        <v>126</v>
      </c>
      <c r="B258" s="47">
        <v>7396</v>
      </c>
      <c r="C258" s="40" t="s">
        <v>113</v>
      </c>
      <c r="D258" s="40" t="s">
        <v>138</v>
      </c>
      <c r="E258" s="40" t="s">
        <v>31</v>
      </c>
      <c r="F258" s="42"/>
      <c r="G258" s="48">
        <v>12</v>
      </c>
      <c r="H258" s="48" t="s">
        <v>135</v>
      </c>
      <c r="I258" s="48" t="s">
        <v>129</v>
      </c>
      <c r="J258" s="55" t="s">
        <v>300</v>
      </c>
      <c r="K258" s="44" t="s">
        <v>131</v>
      </c>
      <c r="L258" s="45" t="s">
        <v>294</v>
      </c>
      <c r="M258" s="46">
        <v>62.01</v>
      </c>
      <c r="N258" s="59" t="s">
        <v>25</v>
      </c>
      <c r="O258" s="40">
        <v>25</v>
      </c>
      <c r="P258" s="32" t="s">
        <v>133</v>
      </c>
      <c r="Q258" s="32">
        <v>7396</v>
      </c>
    </row>
    <row r="259" spans="1:17" x14ac:dyDescent="0.35">
      <c r="A259" s="54" t="s">
        <v>126</v>
      </c>
      <c r="B259" s="39">
        <v>7397</v>
      </c>
      <c r="C259" s="40">
        <v>61082</v>
      </c>
      <c r="D259" s="40" t="s">
        <v>138</v>
      </c>
      <c r="E259" s="40" t="s">
        <v>33</v>
      </c>
      <c r="F259" s="42"/>
      <c r="G259" s="48">
        <v>12</v>
      </c>
      <c r="H259" s="48" t="s">
        <v>135</v>
      </c>
      <c r="I259" s="48" t="s">
        <v>129</v>
      </c>
      <c r="J259" s="55" t="s">
        <v>301</v>
      </c>
      <c r="K259" s="45" t="s">
        <v>131</v>
      </c>
      <c r="L259" s="45" t="s">
        <v>294</v>
      </c>
      <c r="M259" s="46">
        <v>29.61</v>
      </c>
      <c r="N259" s="43" t="s">
        <v>25</v>
      </c>
      <c r="O259" s="40">
        <v>25</v>
      </c>
      <c r="P259" s="32" t="s">
        <v>133</v>
      </c>
      <c r="Q259" s="32">
        <v>7397</v>
      </c>
    </row>
    <row r="260" spans="1:17" x14ac:dyDescent="0.35">
      <c r="A260" s="54" t="s">
        <v>126</v>
      </c>
      <c r="B260" s="39">
        <v>7398</v>
      </c>
      <c r="C260" s="40" t="s">
        <v>26</v>
      </c>
      <c r="D260" s="40" t="s">
        <v>138</v>
      </c>
      <c r="E260" s="40" t="s">
        <v>27</v>
      </c>
      <c r="F260" s="42"/>
      <c r="G260" s="48">
        <v>8</v>
      </c>
      <c r="H260" s="48" t="s">
        <v>141</v>
      </c>
      <c r="I260" s="48" t="s">
        <v>142</v>
      </c>
      <c r="J260" s="55" t="s">
        <v>168</v>
      </c>
      <c r="K260" s="44" t="s">
        <v>131</v>
      </c>
      <c r="L260" s="45" t="s">
        <v>132</v>
      </c>
      <c r="M260" s="46">
        <v>128.02000000000001</v>
      </c>
      <c r="N260" s="43" t="s">
        <v>25</v>
      </c>
      <c r="O260" s="40">
        <v>25</v>
      </c>
      <c r="P260" s="32" t="s">
        <v>133</v>
      </c>
      <c r="Q260" s="32">
        <v>7398</v>
      </c>
    </row>
    <row r="261" spans="1:17" x14ac:dyDescent="0.35">
      <c r="A261" s="54" t="s">
        <v>126</v>
      </c>
      <c r="B261" s="47">
        <v>7416</v>
      </c>
      <c r="C261" s="40">
        <v>203891</v>
      </c>
      <c r="D261" s="40" t="s">
        <v>138</v>
      </c>
      <c r="E261" s="48" t="s">
        <v>153</v>
      </c>
      <c r="F261" s="42"/>
      <c r="G261" s="48">
        <v>6</v>
      </c>
      <c r="H261" s="48" t="s">
        <v>135</v>
      </c>
      <c r="I261" s="48" t="s">
        <v>129</v>
      </c>
      <c r="J261" s="55" t="s">
        <v>302</v>
      </c>
      <c r="K261" s="45" t="s">
        <v>131</v>
      </c>
      <c r="L261" s="45" t="s">
        <v>137</v>
      </c>
      <c r="M261" s="46">
        <v>128.02000000000001</v>
      </c>
      <c r="N261" s="43"/>
      <c r="O261" s="40">
        <v>25</v>
      </c>
      <c r="P261" s="32" t="s">
        <v>133</v>
      </c>
      <c r="Q261" s="32">
        <v>7416</v>
      </c>
    </row>
    <row r="262" spans="1:17" x14ac:dyDescent="0.35">
      <c r="A262" s="54" t="s">
        <v>126</v>
      </c>
      <c r="B262" s="39">
        <v>7522</v>
      </c>
      <c r="C262" s="40" t="s">
        <v>21</v>
      </c>
      <c r="D262" s="40" t="s">
        <v>138</v>
      </c>
      <c r="E262" s="40" t="s">
        <v>23</v>
      </c>
      <c r="F262" s="42"/>
      <c r="G262" s="48">
        <v>12</v>
      </c>
      <c r="H262" s="48" t="s">
        <v>135</v>
      </c>
      <c r="I262" s="48" t="s">
        <v>129</v>
      </c>
      <c r="J262" s="55" t="s">
        <v>303</v>
      </c>
      <c r="K262" s="44" t="s">
        <v>144</v>
      </c>
      <c r="L262" s="45" t="s">
        <v>132</v>
      </c>
      <c r="M262" s="46">
        <v>29.24</v>
      </c>
      <c r="N262" s="43" t="s">
        <v>25</v>
      </c>
      <c r="O262" s="40">
        <v>25</v>
      </c>
      <c r="P262" s="32" t="s">
        <v>133</v>
      </c>
      <c r="Q262" s="32">
        <v>7522</v>
      </c>
    </row>
    <row r="263" spans="1:17" x14ac:dyDescent="0.35">
      <c r="A263" s="54" t="s">
        <v>126</v>
      </c>
      <c r="B263" s="47">
        <v>7553</v>
      </c>
      <c r="C263" s="40" t="s">
        <v>104</v>
      </c>
      <c r="D263" s="40" t="s">
        <v>138</v>
      </c>
      <c r="E263" s="40" t="s">
        <v>43</v>
      </c>
      <c r="F263" s="42"/>
      <c r="G263" s="48">
        <v>18</v>
      </c>
      <c r="H263" s="48" t="s">
        <v>135</v>
      </c>
      <c r="I263" s="48" t="s">
        <v>129</v>
      </c>
      <c r="J263" s="55" t="s">
        <v>304</v>
      </c>
      <c r="K263" s="44" t="s">
        <v>131</v>
      </c>
      <c r="L263" s="45" t="s">
        <v>137</v>
      </c>
      <c r="M263" s="46">
        <v>87.63</v>
      </c>
      <c r="N263" s="59" t="s">
        <v>25</v>
      </c>
      <c r="O263" s="40">
        <v>25</v>
      </c>
      <c r="P263" s="32" t="s">
        <v>133</v>
      </c>
      <c r="Q263" s="32">
        <v>7553</v>
      </c>
    </row>
    <row r="264" spans="1:17" x14ac:dyDescent="0.35">
      <c r="A264" s="54" t="s">
        <v>126</v>
      </c>
      <c r="B264" s="47">
        <v>7554</v>
      </c>
      <c r="C264" s="40" t="s">
        <v>105</v>
      </c>
      <c r="D264" s="40" t="s">
        <v>138</v>
      </c>
      <c r="E264" s="40" t="s">
        <v>43</v>
      </c>
      <c r="F264" s="42"/>
      <c r="G264" s="48">
        <v>18</v>
      </c>
      <c r="H264" s="48" t="s">
        <v>135</v>
      </c>
      <c r="I264" s="48" t="s">
        <v>129</v>
      </c>
      <c r="J264" s="55" t="s">
        <v>166</v>
      </c>
      <c r="K264" s="44" t="s">
        <v>131</v>
      </c>
      <c r="L264" s="45" t="s">
        <v>137</v>
      </c>
      <c r="M264" s="46">
        <v>83.82</v>
      </c>
      <c r="N264" s="43" t="s">
        <v>25</v>
      </c>
      <c r="O264" s="40">
        <v>25</v>
      </c>
      <c r="P264" s="32" t="s">
        <v>133</v>
      </c>
      <c r="Q264" s="32">
        <v>7554</v>
      </c>
    </row>
    <row r="265" spans="1:17" x14ac:dyDescent="0.35">
      <c r="A265" s="54" t="s">
        <v>126</v>
      </c>
      <c r="B265" s="47">
        <v>7557</v>
      </c>
      <c r="C265" s="40" t="s">
        <v>105</v>
      </c>
      <c r="D265" s="40" t="s">
        <v>138</v>
      </c>
      <c r="E265" s="40" t="s">
        <v>43</v>
      </c>
      <c r="F265" s="42"/>
      <c r="G265" s="48">
        <v>6</v>
      </c>
      <c r="H265" s="48" t="s">
        <v>141</v>
      </c>
      <c r="I265" s="48" t="s">
        <v>142</v>
      </c>
      <c r="J265" s="55" t="s">
        <v>305</v>
      </c>
      <c r="K265" s="44" t="s">
        <v>131</v>
      </c>
      <c r="L265" s="45" t="s">
        <v>132</v>
      </c>
      <c r="M265" s="46">
        <v>90.87</v>
      </c>
      <c r="N265" s="43" t="s">
        <v>25</v>
      </c>
      <c r="O265" s="40">
        <v>25</v>
      </c>
      <c r="P265" s="32" t="s">
        <v>133</v>
      </c>
      <c r="Q265" s="32">
        <v>7557</v>
      </c>
    </row>
    <row r="266" spans="1:17" x14ac:dyDescent="0.35">
      <c r="A266" s="54" t="s">
        <v>126</v>
      </c>
      <c r="B266" s="40">
        <v>7605</v>
      </c>
      <c r="C266" s="40">
        <v>61055</v>
      </c>
      <c r="D266" s="40" t="s">
        <v>127</v>
      </c>
      <c r="E266" s="40" t="s">
        <v>27</v>
      </c>
      <c r="F266" s="40">
        <v>9.2949999999999999</v>
      </c>
      <c r="G266" s="40">
        <v>8</v>
      </c>
      <c r="H266" s="40" t="s">
        <v>128</v>
      </c>
      <c r="I266" s="48" t="s">
        <v>142</v>
      </c>
      <c r="J266" s="41" t="s">
        <v>306</v>
      </c>
      <c r="K266" s="44" t="s">
        <v>131</v>
      </c>
      <c r="L266" s="42" t="s">
        <v>224</v>
      </c>
      <c r="M266" s="42">
        <v>135.13</v>
      </c>
      <c r="N266" s="43" t="s">
        <v>47</v>
      </c>
      <c r="O266" s="40">
        <v>25</v>
      </c>
      <c r="P266" s="32" t="s">
        <v>133</v>
      </c>
      <c r="Q266" s="32">
        <v>7605</v>
      </c>
    </row>
    <row r="267" spans="1:17" x14ac:dyDescent="0.35">
      <c r="A267" s="54" t="s">
        <v>126</v>
      </c>
      <c r="B267" s="40">
        <v>7606</v>
      </c>
      <c r="C267" s="40">
        <v>61055</v>
      </c>
      <c r="D267" s="40" t="s">
        <v>127</v>
      </c>
      <c r="E267" s="40" t="s">
        <v>27</v>
      </c>
      <c r="F267" s="40">
        <v>9.2949999999999999</v>
      </c>
      <c r="G267" s="40">
        <v>8</v>
      </c>
      <c r="H267" s="40" t="s">
        <v>128</v>
      </c>
      <c r="I267" s="48" t="s">
        <v>142</v>
      </c>
      <c r="J267" s="60" t="s">
        <v>307</v>
      </c>
      <c r="K267" s="44" t="s">
        <v>131</v>
      </c>
      <c r="L267" s="42" t="s">
        <v>224</v>
      </c>
      <c r="M267" s="42">
        <v>135.13</v>
      </c>
      <c r="N267" s="43" t="s">
        <v>47</v>
      </c>
      <c r="O267" s="40">
        <v>25</v>
      </c>
      <c r="P267" s="32" t="s">
        <v>133</v>
      </c>
      <c r="Q267" s="32">
        <v>7606</v>
      </c>
    </row>
    <row r="268" spans="1:17" x14ac:dyDescent="0.35">
      <c r="A268" s="54" t="s">
        <v>126</v>
      </c>
      <c r="B268" s="40">
        <v>7607</v>
      </c>
      <c r="C268" s="40">
        <v>61055</v>
      </c>
      <c r="D268" s="40" t="s">
        <v>127</v>
      </c>
      <c r="E268" s="40" t="s">
        <v>27</v>
      </c>
      <c r="F268" s="40">
        <v>9.2949999999999999</v>
      </c>
      <c r="G268" s="40">
        <v>8</v>
      </c>
      <c r="H268" s="40" t="s">
        <v>128</v>
      </c>
      <c r="I268" s="48" t="s">
        <v>142</v>
      </c>
      <c r="J268" s="60" t="s">
        <v>307</v>
      </c>
      <c r="K268" s="44" t="s">
        <v>131</v>
      </c>
      <c r="L268" s="42" t="s">
        <v>224</v>
      </c>
      <c r="M268" s="42">
        <v>135.13</v>
      </c>
      <c r="N268" s="43" t="s">
        <v>47</v>
      </c>
      <c r="O268" s="40">
        <v>25</v>
      </c>
      <c r="P268" s="32" t="s">
        <v>133</v>
      </c>
      <c r="Q268" s="32">
        <v>7607</v>
      </c>
    </row>
    <row r="269" spans="1:17" x14ac:dyDescent="0.35">
      <c r="A269" s="54" t="s">
        <v>126</v>
      </c>
      <c r="B269" s="40">
        <v>7608</v>
      </c>
      <c r="C269" s="40">
        <v>61055</v>
      </c>
      <c r="D269" s="40" t="s">
        <v>127</v>
      </c>
      <c r="E269" s="40" t="s">
        <v>27</v>
      </c>
      <c r="F269" s="40">
        <v>9.2949999999999999</v>
      </c>
      <c r="G269" s="40">
        <v>8</v>
      </c>
      <c r="H269" s="40" t="s">
        <v>128</v>
      </c>
      <c r="I269" s="48" t="s">
        <v>142</v>
      </c>
      <c r="J269" s="60" t="s">
        <v>308</v>
      </c>
      <c r="K269" s="44" t="s">
        <v>131</v>
      </c>
      <c r="L269" s="42" t="s">
        <v>224</v>
      </c>
      <c r="M269" s="42">
        <v>91.73</v>
      </c>
      <c r="N269" s="43" t="s">
        <v>47</v>
      </c>
      <c r="O269" s="40">
        <v>25</v>
      </c>
      <c r="P269" s="32" t="s">
        <v>133</v>
      </c>
      <c r="Q269" s="32">
        <v>7608</v>
      </c>
    </row>
    <row r="270" spans="1:17" x14ac:dyDescent="0.35">
      <c r="A270" s="54" t="s">
        <v>126</v>
      </c>
      <c r="B270" s="47">
        <v>7811</v>
      </c>
      <c r="C270" s="40">
        <v>61050</v>
      </c>
      <c r="D270" s="40" t="s">
        <v>127</v>
      </c>
      <c r="E270" s="40" t="s">
        <v>27</v>
      </c>
      <c r="F270" s="42"/>
      <c r="G270" s="48">
        <v>12</v>
      </c>
      <c r="H270" s="48" t="s">
        <v>151</v>
      </c>
      <c r="I270" s="48" t="s">
        <v>129</v>
      </c>
      <c r="J270" s="55" t="s">
        <v>309</v>
      </c>
      <c r="K270" s="44" t="s">
        <v>131</v>
      </c>
      <c r="L270" s="45" t="s">
        <v>224</v>
      </c>
      <c r="M270" s="46">
        <v>102.94</v>
      </c>
      <c r="N270" s="43" t="s">
        <v>47</v>
      </c>
      <c r="O270" s="40">
        <v>25</v>
      </c>
      <c r="P270" s="32" t="s">
        <v>133</v>
      </c>
      <c r="Q270" s="32">
        <v>7811</v>
      </c>
    </row>
    <row r="271" spans="1:17" x14ac:dyDescent="0.35">
      <c r="A271" s="54" t="s">
        <v>126</v>
      </c>
      <c r="B271" s="39">
        <v>7812</v>
      </c>
      <c r="C271" s="40">
        <v>61050</v>
      </c>
      <c r="D271" s="40" t="s">
        <v>127</v>
      </c>
      <c r="E271" s="40" t="s">
        <v>27</v>
      </c>
      <c r="F271" s="42"/>
      <c r="G271" s="48">
        <v>8</v>
      </c>
      <c r="H271" s="48" t="s">
        <v>195</v>
      </c>
      <c r="I271" s="48" t="s">
        <v>129</v>
      </c>
      <c r="J271" s="55" t="s">
        <v>310</v>
      </c>
      <c r="K271" s="44" t="s">
        <v>131</v>
      </c>
      <c r="L271" s="44" t="s">
        <v>224</v>
      </c>
      <c r="M271" s="42">
        <v>96.16</v>
      </c>
      <c r="N271" s="43" t="s">
        <v>47</v>
      </c>
      <c r="O271" s="40">
        <v>23</v>
      </c>
      <c r="P271" s="32" t="s">
        <v>133</v>
      </c>
      <c r="Q271" s="32">
        <v>7812</v>
      </c>
    </row>
    <row r="272" spans="1:17" x14ac:dyDescent="0.35">
      <c r="A272" s="54" t="s">
        <v>126</v>
      </c>
      <c r="B272" s="39">
        <v>7813</v>
      </c>
      <c r="C272" s="40">
        <v>61050</v>
      </c>
      <c r="D272" s="40" t="s">
        <v>127</v>
      </c>
      <c r="E272" s="40" t="s">
        <v>27</v>
      </c>
      <c r="F272" s="42"/>
      <c r="G272" s="48">
        <v>8</v>
      </c>
      <c r="H272" s="48" t="s">
        <v>128</v>
      </c>
      <c r="I272" s="48" t="s">
        <v>142</v>
      </c>
      <c r="J272" s="55" t="s">
        <v>311</v>
      </c>
      <c r="K272" s="44" t="s">
        <v>131</v>
      </c>
      <c r="L272" s="44" t="s">
        <v>224</v>
      </c>
      <c r="M272" s="42">
        <v>147.01</v>
      </c>
      <c r="N272" s="43" t="s">
        <v>47</v>
      </c>
      <c r="O272" s="40">
        <v>25</v>
      </c>
      <c r="P272" s="32" t="s">
        <v>133</v>
      </c>
      <c r="Q272" s="32">
        <v>7813</v>
      </c>
    </row>
    <row r="273" spans="1:17" x14ac:dyDescent="0.35">
      <c r="A273" s="54" t="s">
        <v>126</v>
      </c>
      <c r="B273" s="39">
        <v>7814</v>
      </c>
      <c r="C273" s="40">
        <v>61069</v>
      </c>
      <c r="D273" s="40" t="s">
        <v>127</v>
      </c>
      <c r="E273" s="48" t="s">
        <v>27</v>
      </c>
      <c r="F273" s="42"/>
      <c r="G273" s="48">
        <v>12</v>
      </c>
      <c r="H273" s="48" t="s">
        <v>135</v>
      </c>
      <c r="I273" s="48" t="s">
        <v>129</v>
      </c>
      <c r="J273" s="55" t="s">
        <v>312</v>
      </c>
      <c r="K273" s="44" t="s">
        <v>131</v>
      </c>
      <c r="L273" s="44" t="s">
        <v>224</v>
      </c>
      <c r="M273" s="42">
        <v>4.51</v>
      </c>
      <c r="N273" s="43" t="s">
        <v>47</v>
      </c>
      <c r="O273" s="40">
        <v>25</v>
      </c>
      <c r="P273" s="32" t="s">
        <v>133</v>
      </c>
      <c r="Q273" s="32">
        <v>7814</v>
      </c>
    </row>
    <row r="274" spans="1:17" x14ac:dyDescent="0.35">
      <c r="A274" s="54" t="s">
        <v>126</v>
      </c>
      <c r="B274" s="39">
        <v>7815</v>
      </c>
      <c r="C274" s="40">
        <v>61054</v>
      </c>
      <c r="D274" s="40" t="s">
        <v>127</v>
      </c>
      <c r="E274" s="48" t="s">
        <v>197</v>
      </c>
      <c r="F274" s="42"/>
      <c r="G274" s="48">
        <v>12</v>
      </c>
      <c r="H274" s="40" t="s">
        <v>135</v>
      </c>
      <c r="I274" s="48" t="s">
        <v>313</v>
      </c>
      <c r="J274" s="55" t="s">
        <v>314</v>
      </c>
      <c r="K274" s="44" t="s">
        <v>144</v>
      </c>
      <c r="L274" s="44" t="s">
        <v>224</v>
      </c>
      <c r="M274" s="42">
        <v>16.32</v>
      </c>
      <c r="N274" s="43" t="s">
        <v>47</v>
      </c>
      <c r="O274" s="40">
        <v>25</v>
      </c>
      <c r="P274" s="32" t="s">
        <v>133</v>
      </c>
      <c r="Q274" s="32">
        <v>7815</v>
      </c>
    </row>
    <row r="275" spans="1:17" x14ac:dyDescent="0.35">
      <c r="A275" s="54" t="s">
        <v>126</v>
      </c>
      <c r="B275" s="47">
        <v>7816</v>
      </c>
      <c r="C275" s="40">
        <v>61086</v>
      </c>
      <c r="D275" s="40" t="s">
        <v>127</v>
      </c>
      <c r="E275" s="40" t="s">
        <v>23</v>
      </c>
      <c r="F275" s="42"/>
      <c r="G275" s="48">
        <v>8</v>
      </c>
      <c r="H275" s="48" t="s">
        <v>195</v>
      </c>
      <c r="I275" s="48" t="s">
        <v>313</v>
      </c>
      <c r="J275" s="55" t="s">
        <v>315</v>
      </c>
      <c r="K275" s="44" t="s">
        <v>144</v>
      </c>
      <c r="L275" s="45" t="s">
        <v>224</v>
      </c>
      <c r="M275" s="46">
        <v>27.66</v>
      </c>
      <c r="N275" s="59" t="s">
        <v>47</v>
      </c>
      <c r="O275" s="40">
        <v>25</v>
      </c>
      <c r="P275" s="32" t="s">
        <v>133</v>
      </c>
      <c r="Q275" s="32">
        <v>7816</v>
      </c>
    </row>
    <row r="276" spans="1:17" x14ac:dyDescent="0.35">
      <c r="A276" s="54" t="s">
        <v>126</v>
      </c>
      <c r="B276" s="47">
        <v>7817</v>
      </c>
      <c r="C276" s="40">
        <v>61077</v>
      </c>
      <c r="D276" s="40" t="s">
        <v>127</v>
      </c>
      <c r="E276" s="40" t="s">
        <v>33</v>
      </c>
      <c r="F276" s="42"/>
      <c r="G276" s="40">
        <v>8</v>
      </c>
      <c r="H276" s="40" t="s">
        <v>195</v>
      </c>
      <c r="I276" s="40" t="s">
        <v>129</v>
      </c>
      <c r="J276" s="41" t="s">
        <v>316</v>
      </c>
      <c r="K276" s="45" t="s">
        <v>131</v>
      </c>
      <c r="L276" s="44" t="s">
        <v>224</v>
      </c>
      <c r="M276" s="42">
        <v>44.44</v>
      </c>
      <c r="N276" s="43" t="s">
        <v>47</v>
      </c>
      <c r="O276" s="40">
        <v>20</v>
      </c>
      <c r="P276" s="32" t="s">
        <v>133</v>
      </c>
      <c r="Q276" s="32">
        <v>7817</v>
      </c>
    </row>
    <row r="277" spans="1:17" x14ac:dyDescent="0.35">
      <c r="A277" s="54" t="s">
        <v>126</v>
      </c>
      <c r="B277" s="47">
        <v>7818</v>
      </c>
      <c r="C277" s="40" t="s">
        <v>117</v>
      </c>
      <c r="D277" s="40" t="s">
        <v>127</v>
      </c>
      <c r="E277" s="40" t="s">
        <v>31</v>
      </c>
      <c r="F277" s="42"/>
      <c r="G277" s="40">
        <v>8</v>
      </c>
      <c r="H277" s="40" t="s">
        <v>195</v>
      </c>
      <c r="I277" s="40" t="s">
        <v>129</v>
      </c>
      <c r="J277" s="41" t="s">
        <v>317</v>
      </c>
      <c r="K277" s="45" t="s">
        <v>131</v>
      </c>
      <c r="L277" s="44" t="s">
        <v>224</v>
      </c>
      <c r="M277" s="42">
        <v>44.92</v>
      </c>
      <c r="N277" s="43" t="s">
        <v>47</v>
      </c>
      <c r="O277" s="40">
        <v>25</v>
      </c>
      <c r="P277" s="32" t="s">
        <v>133</v>
      </c>
      <c r="Q277" s="32">
        <v>7818</v>
      </c>
    </row>
    <row r="278" spans="1:17" x14ac:dyDescent="0.35">
      <c r="A278" s="54" t="s">
        <v>126</v>
      </c>
      <c r="B278" s="47">
        <v>7819</v>
      </c>
      <c r="C278" s="40" t="s">
        <v>101</v>
      </c>
      <c r="D278" s="40" t="s">
        <v>127</v>
      </c>
      <c r="E278" s="40" t="s">
        <v>37</v>
      </c>
      <c r="F278" s="42"/>
      <c r="G278" s="48">
        <v>8</v>
      </c>
      <c r="H278" s="40" t="s">
        <v>195</v>
      </c>
      <c r="I278" s="48" t="s">
        <v>142</v>
      </c>
      <c r="J278" s="55" t="s">
        <v>318</v>
      </c>
      <c r="K278" s="44" t="s">
        <v>144</v>
      </c>
      <c r="L278" s="45" t="s">
        <v>224</v>
      </c>
      <c r="M278" s="46">
        <v>24.48</v>
      </c>
      <c r="N278" s="43" t="s">
        <v>47</v>
      </c>
      <c r="O278" s="40">
        <v>25</v>
      </c>
      <c r="P278" s="32" t="s">
        <v>133</v>
      </c>
      <c r="Q278" s="32">
        <v>7819</v>
      </c>
    </row>
    <row r="279" spans="1:17" x14ac:dyDescent="0.35">
      <c r="A279" s="54" t="s">
        <v>126</v>
      </c>
      <c r="B279" s="47">
        <v>7821</v>
      </c>
      <c r="C279" s="40">
        <v>61050</v>
      </c>
      <c r="D279" s="40" t="s">
        <v>127</v>
      </c>
      <c r="E279" s="40" t="s">
        <v>27</v>
      </c>
      <c r="F279" s="42"/>
      <c r="G279" s="48">
        <v>8</v>
      </c>
      <c r="H279" s="40" t="s">
        <v>128</v>
      </c>
      <c r="I279" s="48" t="s">
        <v>142</v>
      </c>
      <c r="J279" s="55" t="s">
        <v>311</v>
      </c>
      <c r="K279" s="44" t="s">
        <v>131</v>
      </c>
      <c r="L279" s="44" t="s">
        <v>224</v>
      </c>
      <c r="M279" s="42">
        <v>111.22</v>
      </c>
      <c r="N279" s="43" t="s">
        <v>47</v>
      </c>
      <c r="O279" s="40">
        <v>25</v>
      </c>
      <c r="P279" s="32" t="s">
        <v>133</v>
      </c>
      <c r="Q279" s="32">
        <v>7821</v>
      </c>
    </row>
    <row r="280" spans="1:17" x14ac:dyDescent="0.35">
      <c r="A280" s="54" t="s">
        <v>126</v>
      </c>
      <c r="B280" s="47">
        <v>7823</v>
      </c>
      <c r="C280" s="40">
        <v>61077</v>
      </c>
      <c r="D280" s="40" t="s">
        <v>127</v>
      </c>
      <c r="E280" s="40" t="s">
        <v>33</v>
      </c>
      <c r="F280" s="42">
        <v>6.4512988560533797</v>
      </c>
      <c r="G280" s="48">
        <v>8</v>
      </c>
      <c r="H280" s="48" t="s">
        <v>298</v>
      </c>
      <c r="I280" s="48" t="s">
        <v>129</v>
      </c>
      <c r="J280" s="55" t="s">
        <v>319</v>
      </c>
      <c r="K280" s="45" t="s">
        <v>131</v>
      </c>
      <c r="L280" s="44" t="s">
        <v>224</v>
      </c>
      <c r="M280" s="42">
        <v>36.840000000000003</v>
      </c>
      <c r="N280" s="43" t="s">
        <v>47</v>
      </c>
      <c r="O280" s="40">
        <v>25</v>
      </c>
      <c r="P280" s="32" t="s">
        <v>133</v>
      </c>
      <c r="Q280" s="32">
        <v>7823</v>
      </c>
    </row>
    <row r="281" spans="1:17" x14ac:dyDescent="0.35">
      <c r="A281" s="54" t="s">
        <v>126</v>
      </c>
      <c r="B281" s="39">
        <v>7824</v>
      </c>
      <c r="C281" s="40" t="s">
        <v>117</v>
      </c>
      <c r="D281" s="40" t="s">
        <v>127</v>
      </c>
      <c r="E281" s="40" t="s">
        <v>31</v>
      </c>
      <c r="F281" s="42">
        <v>6.0889089775561098</v>
      </c>
      <c r="G281" s="48">
        <v>8</v>
      </c>
      <c r="H281" s="48" t="s">
        <v>298</v>
      </c>
      <c r="I281" s="48" t="s">
        <v>129</v>
      </c>
      <c r="J281" s="55" t="s">
        <v>320</v>
      </c>
      <c r="K281" s="45" t="s">
        <v>131</v>
      </c>
      <c r="L281" s="44" t="s">
        <v>224</v>
      </c>
      <c r="M281" s="42">
        <v>43.35</v>
      </c>
      <c r="N281" s="43" t="s">
        <v>47</v>
      </c>
      <c r="O281" s="40">
        <v>25</v>
      </c>
      <c r="P281" s="32" t="s">
        <v>133</v>
      </c>
      <c r="Q281" s="32">
        <v>7824</v>
      </c>
    </row>
    <row r="282" spans="1:17" x14ac:dyDescent="0.35">
      <c r="A282" s="54" t="s">
        <v>126</v>
      </c>
      <c r="B282" s="39">
        <v>7825</v>
      </c>
      <c r="C282" s="40" t="s">
        <v>101</v>
      </c>
      <c r="D282" s="40" t="s">
        <v>127</v>
      </c>
      <c r="E282" s="40" t="s">
        <v>37</v>
      </c>
      <c r="F282" s="42">
        <v>6.14130255722631</v>
      </c>
      <c r="G282" s="48">
        <v>8</v>
      </c>
      <c r="H282" s="48" t="s">
        <v>298</v>
      </c>
      <c r="I282" s="48" t="s">
        <v>142</v>
      </c>
      <c r="J282" s="55" t="s">
        <v>321</v>
      </c>
      <c r="K282" s="44" t="s">
        <v>144</v>
      </c>
      <c r="L282" s="44" t="s">
        <v>224</v>
      </c>
      <c r="M282" s="42">
        <v>24</v>
      </c>
      <c r="N282" s="43" t="s">
        <v>47</v>
      </c>
      <c r="O282" s="40">
        <v>25</v>
      </c>
      <c r="P282" s="32" t="s">
        <v>133</v>
      </c>
      <c r="Q282" s="32">
        <v>7825</v>
      </c>
    </row>
    <row r="283" spans="1:17" x14ac:dyDescent="0.35">
      <c r="A283" s="54" t="s">
        <v>126</v>
      </c>
      <c r="B283" s="39">
        <v>7826</v>
      </c>
      <c r="C283" s="40" t="s">
        <v>109</v>
      </c>
      <c r="D283" s="40" t="s">
        <v>127</v>
      </c>
      <c r="E283" s="40" t="s">
        <v>27</v>
      </c>
      <c r="F283" s="42">
        <v>8.2729787507634907</v>
      </c>
      <c r="G283" s="48">
        <v>12</v>
      </c>
      <c r="H283" s="48" t="s">
        <v>261</v>
      </c>
      <c r="I283" s="48" t="s">
        <v>129</v>
      </c>
      <c r="J283" s="55" t="s">
        <v>322</v>
      </c>
      <c r="K283" s="44" t="s">
        <v>131</v>
      </c>
      <c r="L283" s="44" t="s">
        <v>224</v>
      </c>
      <c r="M283" s="42">
        <v>98.5</v>
      </c>
      <c r="N283" s="43" t="s">
        <v>47</v>
      </c>
      <c r="O283" s="40">
        <v>20</v>
      </c>
      <c r="P283" s="32" t="s">
        <v>133</v>
      </c>
      <c r="Q283" s="32">
        <v>7826</v>
      </c>
    </row>
    <row r="284" spans="1:17" x14ac:dyDescent="0.35">
      <c r="A284" s="54" t="s">
        <v>126</v>
      </c>
      <c r="B284" s="39">
        <v>7827</v>
      </c>
      <c r="C284" s="40">
        <v>61050</v>
      </c>
      <c r="D284" s="40" t="s">
        <v>127</v>
      </c>
      <c r="E284" s="40" t="s">
        <v>27</v>
      </c>
      <c r="F284" s="42">
        <v>10.902292276861401</v>
      </c>
      <c r="G284" s="48">
        <v>8</v>
      </c>
      <c r="H284" s="48" t="s">
        <v>128</v>
      </c>
      <c r="I284" s="48" t="s">
        <v>142</v>
      </c>
      <c r="J284" s="55" t="s">
        <v>323</v>
      </c>
      <c r="K284" s="44" t="s">
        <v>131</v>
      </c>
      <c r="L284" s="44" t="s">
        <v>224</v>
      </c>
      <c r="M284" s="42">
        <v>140.76</v>
      </c>
      <c r="N284" s="43" t="s">
        <v>47</v>
      </c>
      <c r="O284" s="40">
        <v>25</v>
      </c>
      <c r="P284" s="32" t="s">
        <v>133</v>
      </c>
      <c r="Q284" s="32">
        <v>7827</v>
      </c>
    </row>
    <row r="285" spans="1:17" x14ac:dyDescent="0.35">
      <c r="A285" s="54" t="s">
        <v>126</v>
      </c>
      <c r="B285" s="39">
        <v>7828</v>
      </c>
      <c r="C285" s="40">
        <v>61052</v>
      </c>
      <c r="D285" s="40" t="s">
        <v>127</v>
      </c>
      <c r="E285" s="48" t="s">
        <v>197</v>
      </c>
      <c r="F285" s="42">
        <v>4.3051513266998302</v>
      </c>
      <c r="G285" s="40">
        <v>12</v>
      </c>
      <c r="H285" s="40" t="s">
        <v>261</v>
      </c>
      <c r="I285" s="40" t="s">
        <v>313</v>
      </c>
      <c r="J285" s="41" t="s">
        <v>324</v>
      </c>
      <c r="K285" s="44" t="s">
        <v>144</v>
      </c>
      <c r="L285" s="42" t="s">
        <v>224</v>
      </c>
      <c r="M285" s="42">
        <v>4.54</v>
      </c>
      <c r="N285" s="43" t="s">
        <v>47</v>
      </c>
      <c r="O285" s="40">
        <v>25</v>
      </c>
      <c r="P285" s="32" t="s">
        <v>133</v>
      </c>
      <c r="Q285" s="32">
        <v>7828</v>
      </c>
    </row>
    <row r="286" spans="1:17" x14ac:dyDescent="0.35">
      <c r="A286" s="54" t="s">
        <v>126</v>
      </c>
      <c r="B286" s="39">
        <v>7829</v>
      </c>
      <c r="C286" s="40">
        <v>61054</v>
      </c>
      <c r="D286" s="40" t="s">
        <v>127</v>
      </c>
      <c r="E286" s="48" t="s">
        <v>197</v>
      </c>
      <c r="F286" s="42">
        <v>4.4159971487406899</v>
      </c>
      <c r="G286" s="40">
        <v>12</v>
      </c>
      <c r="H286" s="40" t="s">
        <v>261</v>
      </c>
      <c r="I286" s="40" t="s">
        <v>313</v>
      </c>
      <c r="J286" s="41" t="s">
        <v>325</v>
      </c>
      <c r="K286" s="44" t="s">
        <v>144</v>
      </c>
      <c r="L286" s="42" t="s">
        <v>224</v>
      </c>
      <c r="M286" s="42">
        <v>14.61</v>
      </c>
      <c r="N286" s="43" t="s">
        <v>47</v>
      </c>
      <c r="O286" s="40">
        <v>25</v>
      </c>
      <c r="P286" s="32" t="s">
        <v>133</v>
      </c>
      <c r="Q286" s="32">
        <v>7829</v>
      </c>
    </row>
    <row r="287" spans="1:17" x14ac:dyDescent="0.35">
      <c r="A287" s="54" t="s">
        <v>126</v>
      </c>
      <c r="B287" s="39">
        <v>7830</v>
      </c>
      <c r="C287" s="40" t="s">
        <v>124</v>
      </c>
      <c r="D287" s="40" t="s">
        <v>127</v>
      </c>
      <c r="E287" s="40" t="s">
        <v>23</v>
      </c>
      <c r="F287" s="42">
        <v>5.8150162967561601</v>
      </c>
      <c r="G287" s="48">
        <v>8</v>
      </c>
      <c r="H287" s="48" t="s">
        <v>298</v>
      </c>
      <c r="I287" s="48" t="s">
        <v>142</v>
      </c>
      <c r="J287" s="55" t="s">
        <v>326</v>
      </c>
      <c r="K287" s="44" t="s">
        <v>144</v>
      </c>
      <c r="L287" s="45" t="s">
        <v>224</v>
      </c>
      <c r="M287" s="46">
        <v>25.37</v>
      </c>
      <c r="N287" s="43" t="s">
        <v>47</v>
      </c>
      <c r="O287" s="40">
        <v>25</v>
      </c>
      <c r="P287" s="32" t="s">
        <v>133</v>
      </c>
      <c r="Q287" s="32">
        <v>7830</v>
      </c>
    </row>
    <row r="288" spans="1:17" x14ac:dyDescent="0.35">
      <c r="A288" s="54" t="s">
        <v>126</v>
      </c>
      <c r="B288" s="39">
        <v>7831</v>
      </c>
      <c r="C288" s="40" t="s">
        <v>109</v>
      </c>
      <c r="D288" s="40" t="s">
        <v>127</v>
      </c>
      <c r="E288" s="40" t="s">
        <v>27</v>
      </c>
      <c r="F288" s="42">
        <v>9.3727030913012204</v>
      </c>
      <c r="G288" s="48">
        <v>8</v>
      </c>
      <c r="H288" s="48" t="s">
        <v>128</v>
      </c>
      <c r="I288" s="48" t="s">
        <v>142</v>
      </c>
      <c r="J288" s="55" t="s">
        <v>327</v>
      </c>
      <c r="K288" s="44" t="s">
        <v>131</v>
      </c>
      <c r="L288" s="45" t="s">
        <v>224</v>
      </c>
      <c r="M288" s="46">
        <v>109.26</v>
      </c>
      <c r="N288" s="43" t="s">
        <v>47</v>
      </c>
      <c r="O288" s="40">
        <v>25</v>
      </c>
      <c r="P288" s="32" t="s">
        <v>133</v>
      </c>
      <c r="Q288" s="32">
        <v>7831</v>
      </c>
    </row>
    <row r="289" spans="1:17" x14ac:dyDescent="0.35">
      <c r="A289" s="54" t="s">
        <v>126</v>
      </c>
      <c r="B289" s="39">
        <v>7833</v>
      </c>
      <c r="C289" s="40">
        <v>203135</v>
      </c>
      <c r="D289" s="40" t="s">
        <v>127</v>
      </c>
      <c r="E289" s="48" t="s">
        <v>153</v>
      </c>
      <c r="F289" s="42">
        <v>9.83239310477658</v>
      </c>
      <c r="G289" s="48">
        <v>6</v>
      </c>
      <c r="H289" s="48" t="s">
        <v>261</v>
      </c>
      <c r="I289" s="48"/>
      <c r="J289" s="55" t="s">
        <v>328</v>
      </c>
      <c r="K289" s="45" t="s">
        <v>131</v>
      </c>
      <c r="L289" s="44" t="s">
        <v>224</v>
      </c>
      <c r="M289" s="42">
        <v>155.46</v>
      </c>
      <c r="N289" s="43"/>
      <c r="O289" s="40">
        <v>25</v>
      </c>
      <c r="P289" s="32" t="s">
        <v>133</v>
      </c>
      <c r="Q289" s="32">
        <v>7833</v>
      </c>
    </row>
    <row r="290" spans="1:17" x14ac:dyDescent="0.35">
      <c r="A290" s="54" t="s">
        <v>126</v>
      </c>
      <c r="B290" s="39">
        <v>7834</v>
      </c>
      <c r="C290" s="40">
        <v>203135</v>
      </c>
      <c r="D290" s="40" t="s">
        <v>127</v>
      </c>
      <c r="E290" s="48" t="s">
        <v>153</v>
      </c>
      <c r="F290" s="42">
        <v>9.83239310477658</v>
      </c>
      <c r="G290" s="48">
        <v>6</v>
      </c>
      <c r="H290" s="48" t="s">
        <v>261</v>
      </c>
      <c r="I290" s="48"/>
      <c r="J290" s="55" t="s">
        <v>328</v>
      </c>
      <c r="K290" s="45" t="s">
        <v>131</v>
      </c>
      <c r="L290" s="44" t="s">
        <v>224</v>
      </c>
      <c r="M290" s="42">
        <v>155.46</v>
      </c>
      <c r="N290" s="43"/>
      <c r="O290" s="40">
        <v>25</v>
      </c>
      <c r="P290" s="32" t="s">
        <v>133</v>
      </c>
      <c r="Q290" s="32">
        <v>7834</v>
      </c>
    </row>
    <row r="291" spans="1:17" x14ac:dyDescent="0.35">
      <c r="A291" s="54" t="s">
        <v>126</v>
      </c>
      <c r="B291" s="39">
        <v>7840</v>
      </c>
      <c r="C291" s="40" t="s">
        <v>109</v>
      </c>
      <c r="D291" s="40" t="s">
        <v>127</v>
      </c>
      <c r="E291" s="40" t="s">
        <v>27</v>
      </c>
      <c r="F291" s="42">
        <v>0</v>
      </c>
      <c r="G291" s="48">
        <v>8</v>
      </c>
      <c r="H291" s="48" t="s">
        <v>151</v>
      </c>
      <c r="I291" s="48" t="s">
        <v>129</v>
      </c>
      <c r="J291" s="55" t="s">
        <v>309</v>
      </c>
      <c r="K291" s="44" t="s">
        <v>131</v>
      </c>
      <c r="L291" s="44" t="s">
        <v>224</v>
      </c>
      <c r="M291" s="42">
        <v>100.95</v>
      </c>
      <c r="N291" s="43" t="s">
        <v>47</v>
      </c>
      <c r="O291" s="40">
        <v>25</v>
      </c>
      <c r="P291" s="32" t="s">
        <v>133</v>
      </c>
      <c r="Q291" s="32">
        <v>7840</v>
      </c>
    </row>
    <row r="292" spans="1:17" x14ac:dyDescent="0.35">
      <c r="A292" s="54" t="s">
        <v>126</v>
      </c>
      <c r="B292" s="39">
        <v>7841</v>
      </c>
      <c r="C292" s="40" t="s">
        <v>109</v>
      </c>
      <c r="D292" s="40" t="s">
        <v>127</v>
      </c>
      <c r="E292" s="40" t="s">
        <v>27</v>
      </c>
      <c r="F292" s="42"/>
      <c r="G292" s="40">
        <v>8</v>
      </c>
      <c r="H292" s="40" t="s">
        <v>195</v>
      </c>
      <c r="I292" s="40" t="s">
        <v>129</v>
      </c>
      <c r="J292" s="41" t="s">
        <v>310</v>
      </c>
      <c r="K292" s="44" t="s">
        <v>131</v>
      </c>
      <c r="L292" s="42" t="s">
        <v>224</v>
      </c>
      <c r="M292" s="42">
        <v>96.16</v>
      </c>
      <c r="N292" s="43" t="s">
        <v>47</v>
      </c>
      <c r="O292" s="40">
        <v>25</v>
      </c>
      <c r="P292" s="32" t="s">
        <v>133</v>
      </c>
      <c r="Q292" s="32">
        <v>7841</v>
      </c>
    </row>
    <row r="293" spans="1:17" x14ac:dyDescent="0.35">
      <c r="A293" s="54" t="s">
        <v>126</v>
      </c>
      <c r="B293" s="39">
        <v>7842</v>
      </c>
      <c r="C293" s="40" t="s">
        <v>109</v>
      </c>
      <c r="D293" s="40" t="s">
        <v>127</v>
      </c>
      <c r="E293" s="40" t="s">
        <v>27</v>
      </c>
      <c r="F293" s="42"/>
      <c r="G293" s="48">
        <v>8</v>
      </c>
      <c r="H293" s="48" t="s">
        <v>128</v>
      </c>
      <c r="I293" s="48" t="s">
        <v>142</v>
      </c>
      <c r="J293" s="55" t="s">
        <v>311</v>
      </c>
      <c r="K293" s="44" t="s">
        <v>131</v>
      </c>
      <c r="L293" s="44" t="s">
        <v>224</v>
      </c>
      <c r="M293" s="42">
        <v>144.16999999999999</v>
      </c>
      <c r="N293" s="43" t="s">
        <v>47</v>
      </c>
      <c r="O293" s="40">
        <v>25</v>
      </c>
      <c r="P293" s="32" t="s">
        <v>133</v>
      </c>
      <c r="Q293" s="32">
        <v>7842</v>
      </c>
    </row>
    <row r="294" spans="1:17" x14ac:dyDescent="0.35">
      <c r="A294" s="54" t="s">
        <v>126</v>
      </c>
      <c r="B294" s="39">
        <v>7843</v>
      </c>
      <c r="C294" s="40" t="s">
        <v>26</v>
      </c>
      <c r="D294" s="40" t="s">
        <v>127</v>
      </c>
      <c r="E294" s="40" t="s">
        <v>27</v>
      </c>
      <c r="F294" s="42"/>
      <c r="G294" s="48">
        <v>8</v>
      </c>
      <c r="H294" s="48" t="s">
        <v>195</v>
      </c>
      <c r="I294" s="48" t="s">
        <v>129</v>
      </c>
      <c r="J294" s="41" t="s">
        <v>329</v>
      </c>
      <c r="K294" s="44" t="s">
        <v>131</v>
      </c>
      <c r="L294" s="45" t="s">
        <v>224</v>
      </c>
      <c r="M294" s="46">
        <v>106.28</v>
      </c>
      <c r="N294" s="43" t="s">
        <v>25</v>
      </c>
      <c r="O294" s="40">
        <v>25</v>
      </c>
      <c r="P294" s="32" t="s">
        <v>133</v>
      </c>
      <c r="Q294" s="32">
        <v>7843</v>
      </c>
    </row>
    <row r="295" spans="1:17" x14ac:dyDescent="0.35">
      <c r="A295" s="54" t="s">
        <v>126</v>
      </c>
      <c r="B295" s="39">
        <v>7851</v>
      </c>
      <c r="C295" s="40">
        <v>61050</v>
      </c>
      <c r="D295" s="40" t="s">
        <v>127</v>
      </c>
      <c r="E295" s="40" t="s">
        <v>27</v>
      </c>
      <c r="F295" s="42">
        <v>5.4179964013547801</v>
      </c>
      <c r="G295" s="48">
        <v>12</v>
      </c>
      <c r="H295" s="48" t="s">
        <v>261</v>
      </c>
      <c r="I295" s="48" t="s">
        <v>129</v>
      </c>
      <c r="J295" s="41" t="s">
        <v>322</v>
      </c>
      <c r="K295" s="44" t="s">
        <v>131</v>
      </c>
      <c r="L295" s="45" t="s">
        <v>224</v>
      </c>
      <c r="M295" s="46">
        <v>46.88</v>
      </c>
      <c r="N295" s="43" t="s">
        <v>47</v>
      </c>
      <c r="O295" s="40">
        <v>25</v>
      </c>
      <c r="P295" s="32" t="s">
        <v>133</v>
      </c>
      <c r="Q295" s="32">
        <v>7851</v>
      </c>
    </row>
    <row r="296" spans="1:17" x14ac:dyDescent="0.35">
      <c r="A296" s="54" t="s">
        <v>126</v>
      </c>
      <c r="B296" s="39">
        <v>7852</v>
      </c>
      <c r="C296" s="40">
        <v>61050</v>
      </c>
      <c r="D296" s="40" t="s">
        <v>127</v>
      </c>
      <c r="E296" s="40" t="s">
        <v>27</v>
      </c>
      <c r="F296" s="42">
        <v>7.1096843935164697</v>
      </c>
      <c r="G296" s="40">
        <v>8</v>
      </c>
      <c r="H296" s="40" t="s">
        <v>298</v>
      </c>
      <c r="I296" s="40" t="s">
        <v>142</v>
      </c>
      <c r="J296" s="41" t="s">
        <v>330</v>
      </c>
      <c r="K296" s="44" t="s">
        <v>131</v>
      </c>
      <c r="L296" s="45" t="s">
        <v>224</v>
      </c>
      <c r="M296" s="46">
        <v>102.6</v>
      </c>
      <c r="N296" s="43" t="s">
        <v>47</v>
      </c>
      <c r="O296" s="40">
        <v>25</v>
      </c>
      <c r="P296" s="32" t="s">
        <v>133</v>
      </c>
      <c r="Q296" s="32">
        <v>7852</v>
      </c>
    </row>
    <row r="297" spans="1:17" x14ac:dyDescent="0.35">
      <c r="A297" s="54" t="s">
        <v>126</v>
      </c>
      <c r="B297" s="47">
        <v>7853</v>
      </c>
      <c r="C297" s="40">
        <v>61077</v>
      </c>
      <c r="D297" s="40" t="s">
        <v>127</v>
      </c>
      <c r="E297" s="40" t="s">
        <v>33</v>
      </c>
      <c r="F297" s="42">
        <v>6.4518882343575799</v>
      </c>
      <c r="G297" s="40">
        <v>8</v>
      </c>
      <c r="H297" s="40" t="s">
        <v>298</v>
      </c>
      <c r="I297" s="40" t="s">
        <v>142</v>
      </c>
      <c r="J297" s="41" t="s">
        <v>319</v>
      </c>
      <c r="K297" s="45" t="s">
        <v>131</v>
      </c>
      <c r="L297" s="44" t="s">
        <v>224</v>
      </c>
      <c r="M297" s="42">
        <v>36.840000000000003</v>
      </c>
      <c r="N297" s="43" t="s">
        <v>47</v>
      </c>
      <c r="O297" s="40">
        <v>25</v>
      </c>
      <c r="P297" s="32" t="s">
        <v>133</v>
      </c>
      <c r="Q297" s="32">
        <v>7853</v>
      </c>
    </row>
    <row r="298" spans="1:17" x14ac:dyDescent="0.35">
      <c r="A298" s="54" t="s">
        <v>126</v>
      </c>
      <c r="B298" s="47">
        <v>7854</v>
      </c>
      <c r="C298" s="40" t="s">
        <v>117</v>
      </c>
      <c r="D298" s="40" t="s">
        <v>127</v>
      </c>
      <c r="E298" s="40" t="s">
        <v>31</v>
      </c>
      <c r="F298" s="42">
        <v>6.1087076211823996</v>
      </c>
      <c r="G298" s="40">
        <v>8</v>
      </c>
      <c r="H298" s="40" t="s">
        <v>298</v>
      </c>
      <c r="I298" s="40" t="s">
        <v>142</v>
      </c>
      <c r="J298" s="41" t="s">
        <v>320</v>
      </c>
      <c r="K298" s="45" t="s">
        <v>131</v>
      </c>
      <c r="L298" s="44" t="s">
        <v>224</v>
      </c>
      <c r="M298" s="42">
        <v>43.35</v>
      </c>
      <c r="N298" s="43" t="s">
        <v>47</v>
      </c>
      <c r="O298" s="40">
        <v>25</v>
      </c>
      <c r="P298" s="32" t="s">
        <v>133</v>
      </c>
      <c r="Q298" s="32">
        <v>7854</v>
      </c>
    </row>
    <row r="299" spans="1:17" x14ac:dyDescent="0.35">
      <c r="A299" s="54" t="s">
        <v>126</v>
      </c>
      <c r="B299" s="47">
        <v>7855</v>
      </c>
      <c r="C299" s="40" t="s">
        <v>101</v>
      </c>
      <c r="D299" s="40" t="s">
        <v>127</v>
      </c>
      <c r="E299" s="40" t="s">
        <v>37</v>
      </c>
      <c r="F299" s="42">
        <v>6.1274308623793097</v>
      </c>
      <c r="G299" s="48">
        <v>8</v>
      </c>
      <c r="H299" s="40" t="s">
        <v>298</v>
      </c>
      <c r="I299" s="48" t="s">
        <v>142</v>
      </c>
      <c r="J299" s="55" t="s">
        <v>321</v>
      </c>
      <c r="K299" s="44" t="s">
        <v>144</v>
      </c>
      <c r="L299" s="45" t="s">
        <v>224</v>
      </c>
      <c r="M299" s="46">
        <v>24</v>
      </c>
      <c r="N299" s="43" t="s">
        <v>47</v>
      </c>
      <c r="O299" s="40">
        <v>25</v>
      </c>
      <c r="P299" s="32" t="s">
        <v>133</v>
      </c>
      <c r="Q299" s="32">
        <v>7855</v>
      </c>
    </row>
    <row r="300" spans="1:17" x14ac:dyDescent="0.35">
      <c r="A300" s="54" t="s">
        <v>126</v>
      </c>
      <c r="B300" s="47">
        <v>7858</v>
      </c>
      <c r="C300" s="40">
        <v>61052</v>
      </c>
      <c r="D300" s="40" t="s">
        <v>127</v>
      </c>
      <c r="E300" s="48" t="s">
        <v>27</v>
      </c>
      <c r="F300" s="42">
        <v>4.3108975834292202</v>
      </c>
      <c r="G300" s="48">
        <v>12</v>
      </c>
      <c r="H300" s="48" t="s">
        <v>261</v>
      </c>
      <c r="I300" s="48" t="s">
        <v>129</v>
      </c>
      <c r="J300" s="55" t="s">
        <v>324</v>
      </c>
      <c r="K300" s="44" t="s">
        <v>131</v>
      </c>
      <c r="L300" s="44" t="s">
        <v>224</v>
      </c>
      <c r="M300" s="42">
        <v>4.3099999999999996</v>
      </c>
      <c r="N300" s="43" t="s">
        <v>47</v>
      </c>
      <c r="O300" s="40">
        <v>25</v>
      </c>
      <c r="P300" s="32" t="s">
        <v>133</v>
      </c>
      <c r="Q300" s="32">
        <v>7858</v>
      </c>
    </row>
    <row r="301" spans="1:17" x14ac:dyDescent="0.35">
      <c r="A301" s="54" t="s">
        <v>126</v>
      </c>
      <c r="B301" s="47">
        <v>7859</v>
      </c>
      <c r="C301" s="40">
        <v>61054</v>
      </c>
      <c r="D301" s="40" t="s">
        <v>127</v>
      </c>
      <c r="E301" s="48" t="s">
        <v>197</v>
      </c>
      <c r="F301" s="42">
        <v>4.0924554455445499</v>
      </c>
      <c r="G301" s="48">
        <v>12</v>
      </c>
      <c r="H301" s="48" t="s">
        <v>261</v>
      </c>
      <c r="I301" s="48" t="s">
        <v>313</v>
      </c>
      <c r="J301" s="55" t="s">
        <v>325</v>
      </c>
      <c r="K301" s="44" t="s">
        <v>144</v>
      </c>
      <c r="L301" s="44" t="s">
        <v>224</v>
      </c>
      <c r="M301" s="42">
        <v>14.61</v>
      </c>
      <c r="N301" s="43" t="s">
        <v>47</v>
      </c>
      <c r="O301" s="40">
        <v>25</v>
      </c>
      <c r="P301" s="32" t="s">
        <v>133</v>
      </c>
      <c r="Q301" s="32">
        <v>7859</v>
      </c>
    </row>
    <row r="302" spans="1:17" x14ac:dyDescent="0.35">
      <c r="A302" s="54" t="s">
        <v>126</v>
      </c>
      <c r="B302" s="47">
        <v>7860</v>
      </c>
      <c r="C302" s="40">
        <v>61086</v>
      </c>
      <c r="D302" s="40" t="s">
        <v>127</v>
      </c>
      <c r="E302" s="40" t="s">
        <v>23</v>
      </c>
      <c r="F302" s="42">
        <v>5.7773160073597003</v>
      </c>
      <c r="G302" s="48">
        <v>8</v>
      </c>
      <c r="H302" s="40" t="s">
        <v>298</v>
      </c>
      <c r="I302" s="48" t="s">
        <v>142</v>
      </c>
      <c r="J302" s="55" t="s">
        <v>331</v>
      </c>
      <c r="K302" s="44" t="s">
        <v>144</v>
      </c>
      <c r="L302" s="45" t="s">
        <v>224</v>
      </c>
      <c r="M302" s="46">
        <v>25.37</v>
      </c>
      <c r="N302" s="43" t="s">
        <v>47</v>
      </c>
      <c r="O302" s="40">
        <v>25</v>
      </c>
      <c r="P302" s="32" t="s">
        <v>133</v>
      </c>
      <c r="Q302" s="32">
        <v>7860</v>
      </c>
    </row>
    <row r="303" spans="1:17" x14ac:dyDescent="0.35">
      <c r="A303" s="54" t="s">
        <v>126</v>
      </c>
      <c r="B303" s="47">
        <v>7862</v>
      </c>
      <c r="C303" s="40" t="s">
        <v>113</v>
      </c>
      <c r="D303" s="40" t="s">
        <v>127</v>
      </c>
      <c r="E303" s="40" t="s">
        <v>31</v>
      </c>
      <c r="F303" s="42"/>
      <c r="G303" s="40">
        <v>8</v>
      </c>
      <c r="H303" s="40" t="s">
        <v>128</v>
      </c>
      <c r="I303" s="40" t="s">
        <v>142</v>
      </c>
      <c r="J303" s="41" t="s">
        <v>230</v>
      </c>
      <c r="K303" s="45" t="s">
        <v>131</v>
      </c>
      <c r="L303" s="44" t="s">
        <v>224</v>
      </c>
      <c r="M303" s="42">
        <v>55.11</v>
      </c>
      <c r="N303" s="43" t="s">
        <v>25</v>
      </c>
      <c r="O303" s="40">
        <v>25</v>
      </c>
      <c r="P303" s="32" t="s">
        <v>133</v>
      </c>
      <c r="Q303" s="32">
        <v>7862</v>
      </c>
    </row>
    <row r="304" spans="1:17" x14ac:dyDescent="0.35">
      <c r="A304" s="54" t="s">
        <v>126</v>
      </c>
      <c r="B304" s="47">
        <v>7863</v>
      </c>
      <c r="C304" s="40" t="s">
        <v>26</v>
      </c>
      <c r="D304" s="40" t="s">
        <v>127</v>
      </c>
      <c r="E304" s="40" t="s">
        <v>27</v>
      </c>
      <c r="F304" s="42"/>
      <c r="G304" s="40">
        <v>8</v>
      </c>
      <c r="H304" s="40" t="s">
        <v>128</v>
      </c>
      <c r="I304" s="40" t="s">
        <v>142</v>
      </c>
      <c r="J304" s="41" t="s">
        <v>228</v>
      </c>
      <c r="K304" s="45" t="s">
        <v>131</v>
      </c>
      <c r="L304" s="44" t="s">
        <v>224</v>
      </c>
      <c r="M304" s="42">
        <v>99.75</v>
      </c>
      <c r="N304" s="43" t="s">
        <v>25</v>
      </c>
      <c r="O304" s="40">
        <v>25</v>
      </c>
      <c r="P304" s="32" t="s">
        <v>133</v>
      </c>
      <c r="Q304" s="32">
        <v>7863</v>
      </c>
    </row>
    <row r="305" spans="1:17" x14ac:dyDescent="0.35">
      <c r="A305" s="54" t="s">
        <v>126</v>
      </c>
      <c r="B305" s="47">
        <v>7864</v>
      </c>
      <c r="C305" s="40">
        <v>203891</v>
      </c>
      <c r="D305" s="40" t="s">
        <v>127</v>
      </c>
      <c r="E305" s="40" t="s">
        <v>253</v>
      </c>
      <c r="F305" s="42"/>
      <c r="G305" s="40">
        <v>3</v>
      </c>
      <c r="H305" s="40" t="s">
        <v>254</v>
      </c>
      <c r="I305" s="40" t="s">
        <v>142</v>
      </c>
      <c r="J305" s="41" t="s">
        <v>332</v>
      </c>
      <c r="K305" s="45" t="s">
        <v>131</v>
      </c>
      <c r="L305" s="42" t="s">
        <v>224</v>
      </c>
      <c r="M305" s="42">
        <v>141.76</v>
      </c>
      <c r="N305" s="43" t="s">
        <v>25</v>
      </c>
      <c r="O305" s="40">
        <v>25</v>
      </c>
      <c r="P305" s="32" t="s">
        <v>133</v>
      </c>
      <c r="Q305" s="32">
        <v>7864</v>
      </c>
    </row>
    <row r="306" spans="1:17" x14ac:dyDescent="0.35">
      <c r="A306" s="54" t="s">
        <v>126</v>
      </c>
      <c r="B306" s="61">
        <v>7865</v>
      </c>
      <c r="C306" s="40">
        <v>61082</v>
      </c>
      <c r="D306" s="40" t="s">
        <v>127</v>
      </c>
      <c r="E306" s="40" t="s">
        <v>33</v>
      </c>
      <c r="F306" s="42"/>
      <c r="G306" s="48">
        <v>8</v>
      </c>
      <c r="H306" s="48" t="s">
        <v>128</v>
      </c>
      <c r="I306" s="48" t="s">
        <v>142</v>
      </c>
      <c r="J306" s="55" t="s">
        <v>333</v>
      </c>
      <c r="K306" s="45" t="s">
        <v>131</v>
      </c>
      <c r="L306" s="45" t="s">
        <v>224</v>
      </c>
      <c r="M306" s="46">
        <v>41.37</v>
      </c>
      <c r="N306" s="59" t="s">
        <v>25</v>
      </c>
      <c r="O306" s="40">
        <v>25</v>
      </c>
      <c r="P306" s="32" t="s">
        <v>133</v>
      </c>
      <c r="Q306" s="32">
        <v>7865</v>
      </c>
    </row>
    <row r="307" spans="1:17" x14ac:dyDescent="0.35">
      <c r="A307" s="54" t="s">
        <v>126</v>
      </c>
      <c r="B307" s="61">
        <v>7866</v>
      </c>
      <c r="C307" s="40">
        <v>61061</v>
      </c>
      <c r="D307" s="40" t="s">
        <v>127</v>
      </c>
      <c r="E307" s="40" t="s">
        <v>29</v>
      </c>
      <c r="F307" s="42"/>
      <c r="G307" s="48">
        <v>8</v>
      </c>
      <c r="H307" s="48" t="s">
        <v>128</v>
      </c>
      <c r="I307" s="48" t="s">
        <v>142</v>
      </c>
      <c r="J307" s="55" t="s">
        <v>334</v>
      </c>
      <c r="K307" s="45" t="s">
        <v>131</v>
      </c>
      <c r="L307" s="45" t="s">
        <v>224</v>
      </c>
      <c r="M307" s="46">
        <v>69.13</v>
      </c>
      <c r="N307" s="59" t="s">
        <v>25</v>
      </c>
      <c r="O307" s="40">
        <v>25</v>
      </c>
      <c r="P307" s="32" t="s">
        <v>133</v>
      </c>
      <c r="Q307" s="32">
        <v>7866</v>
      </c>
    </row>
    <row r="308" spans="1:17" x14ac:dyDescent="0.35">
      <c r="A308" s="54" t="s">
        <v>126</v>
      </c>
      <c r="B308" s="47">
        <v>7867</v>
      </c>
      <c r="C308" s="40" t="s">
        <v>21</v>
      </c>
      <c r="D308" s="40" t="s">
        <v>127</v>
      </c>
      <c r="E308" s="40" t="s">
        <v>23</v>
      </c>
      <c r="F308" s="42"/>
      <c r="G308" s="40">
        <v>8</v>
      </c>
      <c r="H308" s="40" t="s">
        <v>128</v>
      </c>
      <c r="I308" s="40" t="s">
        <v>142</v>
      </c>
      <c r="J308" s="41" t="s">
        <v>335</v>
      </c>
      <c r="K308" s="45" t="s">
        <v>144</v>
      </c>
      <c r="L308" s="44" t="s">
        <v>224</v>
      </c>
      <c r="M308" s="42">
        <v>16.25</v>
      </c>
      <c r="N308" s="43" t="s">
        <v>25</v>
      </c>
      <c r="O308" s="40">
        <v>25</v>
      </c>
      <c r="P308" s="32" t="s">
        <v>133</v>
      </c>
      <c r="Q308" s="32">
        <v>7867</v>
      </c>
    </row>
    <row r="309" spans="1:17" x14ac:dyDescent="0.35">
      <c r="A309" s="54" t="s">
        <v>126</v>
      </c>
      <c r="B309" s="39">
        <v>7868</v>
      </c>
      <c r="C309" s="40">
        <v>61064</v>
      </c>
      <c r="D309" s="40" t="s">
        <v>127</v>
      </c>
      <c r="E309" s="40" t="s">
        <v>27</v>
      </c>
      <c r="F309" s="40">
        <v>3.73</v>
      </c>
      <c r="G309" s="40">
        <v>8</v>
      </c>
      <c r="H309" s="40" t="s">
        <v>298</v>
      </c>
      <c r="I309" s="40" t="s">
        <v>142</v>
      </c>
      <c r="J309" s="41" t="s">
        <v>336</v>
      </c>
      <c r="K309" s="53" t="s">
        <v>131</v>
      </c>
      <c r="L309" s="53" t="s">
        <v>224</v>
      </c>
      <c r="M309" s="42">
        <v>60.61</v>
      </c>
      <c r="N309" s="43" t="s">
        <v>47</v>
      </c>
      <c r="O309" s="40">
        <v>25</v>
      </c>
      <c r="P309" s="32" t="s">
        <v>133</v>
      </c>
      <c r="Q309" s="32">
        <v>7868</v>
      </c>
    </row>
    <row r="310" spans="1:17" x14ac:dyDescent="0.35">
      <c r="A310" s="54" t="s">
        <v>126</v>
      </c>
      <c r="B310" s="39">
        <v>7869</v>
      </c>
      <c r="C310" s="40">
        <v>61064</v>
      </c>
      <c r="D310" s="40" t="s">
        <v>127</v>
      </c>
      <c r="E310" s="40" t="s">
        <v>27</v>
      </c>
      <c r="F310" s="40">
        <v>3.73</v>
      </c>
      <c r="G310" s="40">
        <v>8</v>
      </c>
      <c r="H310" s="40" t="s">
        <v>298</v>
      </c>
      <c r="I310" s="40" t="s">
        <v>142</v>
      </c>
      <c r="J310" s="41" t="s">
        <v>336</v>
      </c>
      <c r="K310" s="53" t="s">
        <v>131</v>
      </c>
      <c r="L310" s="53" t="s">
        <v>224</v>
      </c>
      <c r="M310" s="42">
        <v>60.61</v>
      </c>
      <c r="N310" s="43" t="s">
        <v>47</v>
      </c>
      <c r="O310" s="40">
        <v>25</v>
      </c>
      <c r="P310" s="32" t="s">
        <v>133</v>
      </c>
      <c r="Q310" s="32">
        <v>7869</v>
      </c>
    </row>
    <row r="311" spans="1:17" x14ac:dyDescent="0.35">
      <c r="A311" s="54" t="s">
        <v>126</v>
      </c>
      <c r="B311" s="61">
        <v>7912</v>
      </c>
      <c r="C311" s="40" t="s">
        <v>104</v>
      </c>
      <c r="D311" s="40" t="s">
        <v>138</v>
      </c>
      <c r="E311" s="40" t="s">
        <v>43</v>
      </c>
      <c r="F311" s="42"/>
      <c r="G311" s="48">
        <v>8</v>
      </c>
      <c r="H311" s="48" t="s">
        <v>141</v>
      </c>
      <c r="I311" s="48" t="s">
        <v>142</v>
      </c>
      <c r="J311" s="55" t="s">
        <v>337</v>
      </c>
      <c r="K311" s="44" t="s">
        <v>131</v>
      </c>
      <c r="L311" s="45" t="s">
        <v>294</v>
      </c>
      <c r="M311" s="46">
        <v>58.98</v>
      </c>
      <c r="N311" s="43" t="s">
        <v>25</v>
      </c>
      <c r="O311" s="40">
        <v>25</v>
      </c>
      <c r="P311" s="32" t="s">
        <v>133</v>
      </c>
      <c r="Q311" s="32">
        <v>7912</v>
      </c>
    </row>
    <row r="312" spans="1:17" x14ac:dyDescent="0.35">
      <c r="A312" s="54" t="s">
        <v>126</v>
      </c>
      <c r="B312" s="47">
        <v>7939</v>
      </c>
      <c r="C312" s="40">
        <v>61010</v>
      </c>
      <c r="D312" s="40" t="s">
        <v>138</v>
      </c>
      <c r="E312" s="40" t="s">
        <v>41</v>
      </c>
      <c r="F312" s="42"/>
      <c r="G312" s="40">
        <v>6</v>
      </c>
      <c r="H312" s="40" t="s">
        <v>145</v>
      </c>
      <c r="I312" s="40"/>
      <c r="J312" s="41" t="s">
        <v>338</v>
      </c>
      <c r="K312" s="44" t="s">
        <v>131</v>
      </c>
      <c r="L312" s="44" t="s">
        <v>294</v>
      </c>
      <c r="M312" s="42">
        <v>32.770000000000003</v>
      </c>
      <c r="N312" s="43" t="s">
        <v>25</v>
      </c>
      <c r="O312" s="40">
        <v>25</v>
      </c>
      <c r="P312" s="32" t="s">
        <v>133</v>
      </c>
      <c r="Q312" s="32">
        <v>7939</v>
      </c>
    </row>
    <row r="313" spans="1:17" x14ac:dyDescent="0.35">
      <c r="A313" s="54" t="s">
        <v>126</v>
      </c>
      <c r="B313" s="47">
        <v>7976</v>
      </c>
      <c r="C313" s="40">
        <v>61061</v>
      </c>
      <c r="D313" s="40" t="s">
        <v>138</v>
      </c>
      <c r="E313" s="40" t="s">
        <v>29</v>
      </c>
      <c r="F313" s="42"/>
      <c r="G313" s="48">
        <v>6</v>
      </c>
      <c r="H313" s="40" t="s">
        <v>145</v>
      </c>
      <c r="I313" s="48" t="s">
        <v>146</v>
      </c>
      <c r="J313" s="55" t="s">
        <v>339</v>
      </c>
      <c r="K313" s="45" t="s">
        <v>131</v>
      </c>
      <c r="L313" s="45" t="s">
        <v>132</v>
      </c>
      <c r="M313" s="46">
        <v>92.02</v>
      </c>
      <c r="N313" s="43" t="s">
        <v>25</v>
      </c>
      <c r="O313" s="40">
        <v>25</v>
      </c>
      <c r="P313" s="32" t="s">
        <v>133</v>
      </c>
      <c r="Q313" s="32">
        <v>7976</v>
      </c>
    </row>
    <row r="314" spans="1:17" x14ac:dyDescent="0.35">
      <c r="A314" s="54" t="s">
        <v>126</v>
      </c>
      <c r="B314" s="47">
        <v>7978</v>
      </c>
      <c r="C314" s="40" t="s">
        <v>26</v>
      </c>
      <c r="D314" s="40" t="s">
        <v>138</v>
      </c>
      <c r="E314" s="40" t="s">
        <v>27</v>
      </c>
      <c r="F314" s="42"/>
      <c r="G314" s="48">
        <v>18</v>
      </c>
      <c r="H314" s="40" t="s">
        <v>135</v>
      </c>
      <c r="I314" s="48" t="s">
        <v>129</v>
      </c>
      <c r="J314" s="55" t="s">
        <v>340</v>
      </c>
      <c r="K314" s="44" t="s">
        <v>131</v>
      </c>
      <c r="L314" s="44" t="s">
        <v>137</v>
      </c>
      <c r="M314" s="42">
        <v>88.9</v>
      </c>
      <c r="N314" s="43" t="s">
        <v>25</v>
      </c>
      <c r="O314" s="40">
        <v>25</v>
      </c>
      <c r="P314" s="32" t="s">
        <v>133</v>
      </c>
      <c r="Q314" s="32">
        <v>7978</v>
      </c>
    </row>
    <row r="315" spans="1:17" x14ac:dyDescent="0.35">
      <c r="A315" s="54" t="s">
        <v>126</v>
      </c>
      <c r="B315" s="47">
        <v>7979</v>
      </c>
      <c r="C315" s="40" t="s">
        <v>26</v>
      </c>
      <c r="D315" s="40" t="s">
        <v>138</v>
      </c>
      <c r="E315" s="40" t="s">
        <v>27</v>
      </c>
      <c r="F315" s="42"/>
      <c r="G315" s="40">
        <v>8</v>
      </c>
      <c r="H315" s="40" t="s">
        <v>141</v>
      </c>
      <c r="I315" s="48" t="s">
        <v>142</v>
      </c>
      <c r="J315" s="58" t="s">
        <v>168</v>
      </c>
      <c r="K315" s="44" t="s">
        <v>131</v>
      </c>
      <c r="L315" s="44" t="s">
        <v>294</v>
      </c>
      <c r="M315" s="42">
        <v>128.02000000000001</v>
      </c>
      <c r="N315" s="43" t="s">
        <v>25</v>
      </c>
      <c r="O315" s="40">
        <v>25</v>
      </c>
      <c r="P315" s="32" t="s">
        <v>133</v>
      </c>
      <c r="Q315" s="32">
        <v>7979</v>
      </c>
    </row>
    <row r="316" spans="1:17" x14ac:dyDescent="0.35">
      <c r="A316" s="54" t="s">
        <v>126</v>
      </c>
      <c r="B316" s="47">
        <v>200168</v>
      </c>
      <c r="C316" s="40">
        <v>61061</v>
      </c>
      <c r="D316" s="40" t="s">
        <v>138</v>
      </c>
      <c r="E316" s="40" t="s">
        <v>29</v>
      </c>
      <c r="F316" s="42">
        <v>9.1657597549607104</v>
      </c>
      <c r="G316" s="48">
        <v>8</v>
      </c>
      <c r="H316" s="40" t="s">
        <v>141</v>
      </c>
      <c r="I316" s="48" t="s">
        <v>142</v>
      </c>
      <c r="J316" s="62" t="s">
        <v>341</v>
      </c>
      <c r="K316" s="45" t="s">
        <v>131</v>
      </c>
      <c r="L316" s="44" t="s">
        <v>132</v>
      </c>
      <c r="M316" s="42">
        <v>89.74</v>
      </c>
      <c r="N316" s="43" t="s">
        <v>25</v>
      </c>
      <c r="O316" s="40">
        <v>25</v>
      </c>
      <c r="P316" s="32" t="s">
        <v>133</v>
      </c>
      <c r="Q316" s="32">
        <v>200168</v>
      </c>
    </row>
    <row r="317" spans="1:17" x14ac:dyDescent="0.35">
      <c r="A317" s="54" t="s">
        <v>126</v>
      </c>
      <c r="B317" s="47">
        <v>200703</v>
      </c>
      <c r="C317" s="63" t="s">
        <v>109</v>
      </c>
      <c r="D317" s="40" t="s">
        <v>138</v>
      </c>
      <c r="E317" s="40" t="s">
        <v>27</v>
      </c>
      <c r="F317" s="42">
        <v>3.6839776525642201</v>
      </c>
      <c r="G317" s="40">
        <v>8</v>
      </c>
      <c r="H317" s="40" t="s">
        <v>151</v>
      </c>
      <c r="I317" s="40" t="s">
        <v>129</v>
      </c>
      <c r="J317" s="41" t="s">
        <v>342</v>
      </c>
      <c r="K317" s="44" t="s">
        <v>131</v>
      </c>
      <c r="L317" s="44" t="s">
        <v>132</v>
      </c>
      <c r="M317" s="53">
        <v>75.650000000000006</v>
      </c>
      <c r="N317" s="43" t="s">
        <v>47</v>
      </c>
      <c r="O317" s="40">
        <v>25</v>
      </c>
      <c r="P317" s="32" t="s">
        <v>133</v>
      </c>
      <c r="Q317" s="32">
        <v>200703</v>
      </c>
    </row>
    <row r="318" spans="1:17" x14ac:dyDescent="0.35">
      <c r="A318" s="54" t="s">
        <v>126</v>
      </c>
      <c r="B318" s="47">
        <v>200704</v>
      </c>
      <c r="C318" s="63">
        <v>203021</v>
      </c>
      <c r="D318" s="40" t="s">
        <v>138</v>
      </c>
      <c r="E318" s="40" t="s">
        <v>153</v>
      </c>
      <c r="F318" s="42">
        <v>8.6019644137391609</v>
      </c>
      <c r="G318" s="40">
        <v>6</v>
      </c>
      <c r="H318" s="40" t="s">
        <v>135</v>
      </c>
      <c r="I318" s="40" t="s">
        <v>129</v>
      </c>
      <c r="J318" s="41" t="s">
        <v>343</v>
      </c>
      <c r="K318" s="45" t="s">
        <v>131</v>
      </c>
      <c r="L318" s="44" t="s">
        <v>132</v>
      </c>
      <c r="M318" s="53">
        <v>130.09</v>
      </c>
      <c r="N318" s="43" t="s">
        <v>47</v>
      </c>
      <c r="O318" s="40">
        <v>25</v>
      </c>
      <c r="P318" s="32" t="s">
        <v>133</v>
      </c>
      <c r="Q318" s="32">
        <v>200704</v>
      </c>
    </row>
    <row r="319" spans="1:17" x14ac:dyDescent="0.35">
      <c r="A319" s="54" t="s">
        <v>126</v>
      </c>
      <c r="B319" s="47">
        <v>200705</v>
      </c>
      <c r="C319" s="63">
        <v>61072</v>
      </c>
      <c r="D319" s="40" t="s">
        <v>138</v>
      </c>
      <c r="E319" s="40" t="s">
        <v>31</v>
      </c>
      <c r="F319" s="42">
        <v>3.84381518404907</v>
      </c>
      <c r="G319" s="40">
        <v>8</v>
      </c>
      <c r="H319" s="48" t="s">
        <v>151</v>
      </c>
      <c r="I319" s="40" t="s">
        <v>129</v>
      </c>
      <c r="J319" s="41" t="s">
        <v>344</v>
      </c>
      <c r="K319" s="45" t="s">
        <v>131</v>
      </c>
      <c r="L319" s="44" t="s">
        <v>132</v>
      </c>
      <c r="M319" s="53">
        <v>70.319999999999993</v>
      </c>
      <c r="N319" s="43" t="s">
        <v>47</v>
      </c>
      <c r="O319" s="40">
        <v>25</v>
      </c>
      <c r="P319" s="32" t="s">
        <v>133</v>
      </c>
      <c r="Q319" s="32">
        <v>200705</v>
      </c>
    </row>
    <row r="320" spans="1:17" x14ac:dyDescent="0.35">
      <c r="A320" s="54" t="s">
        <v>126</v>
      </c>
      <c r="B320" s="47">
        <v>200706</v>
      </c>
      <c r="C320" s="63" t="s">
        <v>124</v>
      </c>
      <c r="D320" s="40" t="s">
        <v>138</v>
      </c>
      <c r="E320" s="40" t="s">
        <v>23</v>
      </c>
      <c r="F320" s="42">
        <v>4.13464986498649</v>
      </c>
      <c r="G320" s="40">
        <v>8</v>
      </c>
      <c r="H320" s="40" t="s">
        <v>151</v>
      </c>
      <c r="I320" s="40" t="s">
        <v>129</v>
      </c>
      <c r="J320" s="41" t="s">
        <v>345</v>
      </c>
      <c r="K320" s="44" t="s">
        <v>144</v>
      </c>
      <c r="L320" s="44" t="s">
        <v>132</v>
      </c>
      <c r="M320" s="53">
        <v>25.34</v>
      </c>
      <c r="N320" s="43" t="s">
        <v>47</v>
      </c>
      <c r="O320" s="40">
        <v>25</v>
      </c>
      <c r="P320" s="32" t="s">
        <v>133</v>
      </c>
      <c r="Q320" s="32">
        <v>200706</v>
      </c>
    </row>
    <row r="321" spans="1:17" x14ac:dyDescent="0.35">
      <c r="A321" s="54" t="s">
        <v>126</v>
      </c>
      <c r="B321" s="47">
        <v>200707</v>
      </c>
      <c r="C321" s="63">
        <v>61077</v>
      </c>
      <c r="D321" s="40" t="s">
        <v>138</v>
      </c>
      <c r="E321" s="40" t="s">
        <v>33</v>
      </c>
      <c r="F321" s="42">
        <v>4.2676022972002796</v>
      </c>
      <c r="G321" s="40">
        <v>8</v>
      </c>
      <c r="H321" s="40" t="s">
        <v>151</v>
      </c>
      <c r="I321" s="40" t="s">
        <v>129</v>
      </c>
      <c r="J321" s="41" t="s">
        <v>346</v>
      </c>
      <c r="K321" s="45" t="s">
        <v>131</v>
      </c>
      <c r="L321" s="44" t="s">
        <v>132</v>
      </c>
      <c r="M321" s="53">
        <v>51.14</v>
      </c>
      <c r="N321" s="43" t="s">
        <v>47</v>
      </c>
      <c r="O321" s="40">
        <v>25</v>
      </c>
      <c r="P321" s="32" t="s">
        <v>133</v>
      </c>
      <c r="Q321" s="32">
        <v>200707</v>
      </c>
    </row>
    <row r="322" spans="1:17" x14ac:dyDescent="0.35">
      <c r="A322" s="54" t="s">
        <v>126</v>
      </c>
      <c r="B322" s="47">
        <v>200708</v>
      </c>
      <c r="C322" s="63">
        <v>61014</v>
      </c>
      <c r="D322" s="40" t="s">
        <v>138</v>
      </c>
      <c r="E322" s="40" t="s">
        <v>37</v>
      </c>
      <c r="F322" s="42"/>
      <c r="G322" s="40">
        <v>8</v>
      </c>
      <c r="H322" s="40" t="s">
        <v>151</v>
      </c>
      <c r="I322" s="40" t="s">
        <v>129</v>
      </c>
      <c r="J322" s="41" t="s">
        <v>347</v>
      </c>
      <c r="K322" s="44" t="s">
        <v>144</v>
      </c>
      <c r="L322" s="44" t="s">
        <v>132</v>
      </c>
      <c r="M322" s="53">
        <v>29.13</v>
      </c>
      <c r="N322" s="43" t="s">
        <v>47</v>
      </c>
      <c r="O322" s="40">
        <v>25</v>
      </c>
      <c r="P322" s="32" t="s">
        <v>133</v>
      </c>
      <c r="Q322" s="32">
        <v>200708</v>
      </c>
    </row>
    <row r="323" spans="1:17" x14ac:dyDescent="0.35">
      <c r="A323" s="54" t="s">
        <v>126</v>
      </c>
      <c r="B323" s="47">
        <v>200709</v>
      </c>
      <c r="C323" s="63" t="s">
        <v>109</v>
      </c>
      <c r="D323" s="40" t="s">
        <v>134</v>
      </c>
      <c r="E323" s="40" t="s">
        <v>27</v>
      </c>
      <c r="F323" s="42">
        <v>3.7843751633303699</v>
      </c>
      <c r="G323" s="40">
        <v>8</v>
      </c>
      <c r="H323" s="40" t="s">
        <v>151</v>
      </c>
      <c r="I323" s="40" t="s">
        <v>129</v>
      </c>
      <c r="J323" s="41" t="s">
        <v>348</v>
      </c>
      <c r="K323" s="44" t="s">
        <v>131</v>
      </c>
      <c r="L323" s="44" t="s">
        <v>132</v>
      </c>
      <c r="M323" s="53">
        <v>75.650000000000006</v>
      </c>
      <c r="N323" s="43" t="s">
        <v>47</v>
      </c>
      <c r="O323" s="40">
        <v>25</v>
      </c>
      <c r="P323" s="32" t="s">
        <v>133</v>
      </c>
      <c r="Q323" s="32">
        <v>200709</v>
      </c>
    </row>
    <row r="324" spans="1:17" x14ac:dyDescent="0.35">
      <c r="A324" s="54" t="s">
        <v>126</v>
      </c>
      <c r="B324" s="47">
        <v>200710</v>
      </c>
      <c r="C324" s="63">
        <v>203021</v>
      </c>
      <c r="D324" s="40" t="s">
        <v>134</v>
      </c>
      <c r="E324" s="40" t="s">
        <v>153</v>
      </c>
      <c r="F324" s="42">
        <v>8.5554342813220607</v>
      </c>
      <c r="G324" s="40">
        <v>6</v>
      </c>
      <c r="H324" s="40" t="s">
        <v>135</v>
      </c>
      <c r="I324" s="40" t="s">
        <v>129</v>
      </c>
      <c r="J324" s="41" t="s">
        <v>349</v>
      </c>
      <c r="K324" s="45" t="s">
        <v>131</v>
      </c>
      <c r="L324" s="44" t="s">
        <v>132</v>
      </c>
      <c r="M324" s="53">
        <v>130.09</v>
      </c>
      <c r="N324" s="43"/>
      <c r="O324" s="40">
        <v>25</v>
      </c>
      <c r="P324" s="32" t="s">
        <v>133</v>
      </c>
      <c r="Q324" s="32">
        <v>200710</v>
      </c>
    </row>
    <row r="325" spans="1:17" x14ac:dyDescent="0.35">
      <c r="A325" s="54" t="s">
        <v>126</v>
      </c>
      <c r="B325" s="47">
        <v>200711</v>
      </c>
      <c r="C325" s="63">
        <v>61072</v>
      </c>
      <c r="D325" s="40" t="s">
        <v>134</v>
      </c>
      <c r="E325" s="40" t="s">
        <v>31</v>
      </c>
      <c r="F325" s="42">
        <v>3.88366227596631</v>
      </c>
      <c r="G325" s="40">
        <v>8</v>
      </c>
      <c r="H325" s="40" t="s">
        <v>151</v>
      </c>
      <c r="I325" s="40" t="s">
        <v>129</v>
      </c>
      <c r="J325" s="41" t="s">
        <v>350</v>
      </c>
      <c r="K325" s="45" t="s">
        <v>131</v>
      </c>
      <c r="L325" s="44" t="s">
        <v>132</v>
      </c>
      <c r="M325" s="53">
        <v>70.319999999999993</v>
      </c>
      <c r="N325" s="43" t="s">
        <v>47</v>
      </c>
      <c r="O325" s="40">
        <v>25</v>
      </c>
      <c r="P325" s="32" t="s">
        <v>133</v>
      </c>
      <c r="Q325" s="32">
        <v>200711</v>
      </c>
    </row>
    <row r="326" spans="1:17" x14ac:dyDescent="0.35">
      <c r="A326" s="54" t="s">
        <v>126</v>
      </c>
      <c r="B326" s="47">
        <v>200712</v>
      </c>
      <c r="C326" s="40" t="s">
        <v>124</v>
      </c>
      <c r="D326" s="40" t="s">
        <v>134</v>
      </c>
      <c r="E326" s="40" t="s">
        <v>23</v>
      </c>
      <c r="F326" s="42">
        <v>4.2083100203458796</v>
      </c>
      <c r="G326" s="40">
        <v>8</v>
      </c>
      <c r="H326" s="40" t="s">
        <v>151</v>
      </c>
      <c r="I326" s="40" t="s">
        <v>129</v>
      </c>
      <c r="J326" s="41" t="s">
        <v>351</v>
      </c>
      <c r="K326" s="44" t="s">
        <v>144</v>
      </c>
      <c r="L326" s="44" t="s">
        <v>132</v>
      </c>
      <c r="M326" s="53">
        <v>25.34</v>
      </c>
      <c r="N326" s="43" t="s">
        <v>47</v>
      </c>
      <c r="O326" s="40">
        <v>25</v>
      </c>
      <c r="P326" s="32" t="s">
        <v>133</v>
      </c>
      <c r="Q326" s="32">
        <v>200712</v>
      </c>
    </row>
    <row r="327" spans="1:17" x14ac:dyDescent="0.35">
      <c r="A327" s="54" t="s">
        <v>126</v>
      </c>
      <c r="B327" s="47">
        <v>200713</v>
      </c>
      <c r="C327" s="40">
        <v>61077</v>
      </c>
      <c r="D327" s="40" t="s">
        <v>134</v>
      </c>
      <c r="E327" s="40" t="s">
        <v>33</v>
      </c>
      <c r="F327" s="42">
        <v>4.2918690909090902</v>
      </c>
      <c r="G327" s="40">
        <v>8</v>
      </c>
      <c r="H327" s="48" t="s">
        <v>151</v>
      </c>
      <c r="I327" s="40" t="s">
        <v>129</v>
      </c>
      <c r="J327" s="41" t="s">
        <v>352</v>
      </c>
      <c r="K327" s="45" t="s">
        <v>131</v>
      </c>
      <c r="L327" s="44" t="s">
        <v>132</v>
      </c>
      <c r="M327" s="53">
        <v>51.14</v>
      </c>
      <c r="N327" s="43" t="s">
        <v>47</v>
      </c>
      <c r="O327" s="40">
        <v>25</v>
      </c>
      <c r="P327" s="32" t="s">
        <v>133</v>
      </c>
      <c r="Q327" s="32">
        <v>200713</v>
      </c>
    </row>
    <row r="328" spans="1:17" x14ac:dyDescent="0.35">
      <c r="A328" s="54" t="s">
        <v>126</v>
      </c>
      <c r="B328" s="47">
        <v>200714</v>
      </c>
      <c r="C328" s="40">
        <v>61014</v>
      </c>
      <c r="D328" s="40" t="s">
        <v>134</v>
      </c>
      <c r="E328" s="40" t="s">
        <v>37</v>
      </c>
      <c r="F328" s="42">
        <v>3.7048650269946002</v>
      </c>
      <c r="G328" s="40">
        <v>8</v>
      </c>
      <c r="H328" s="40" t="s">
        <v>151</v>
      </c>
      <c r="I328" s="40" t="s">
        <v>129</v>
      </c>
      <c r="J328" s="41" t="s">
        <v>353</v>
      </c>
      <c r="K328" s="44" t="s">
        <v>144</v>
      </c>
      <c r="L328" s="53" t="s">
        <v>132</v>
      </c>
      <c r="M328" s="53">
        <v>29.13</v>
      </c>
      <c r="N328" s="43" t="s">
        <v>47</v>
      </c>
      <c r="O328" s="40">
        <v>25</v>
      </c>
      <c r="P328" s="32" t="s">
        <v>133</v>
      </c>
      <c r="Q328" s="32">
        <v>200714</v>
      </c>
    </row>
    <row r="329" spans="1:17" x14ac:dyDescent="0.35">
      <c r="A329" s="54" t="s">
        <v>126</v>
      </c>
      <c r="B329" s="47">
        <v>200715</v>
      </c>
      <c r="C329" s="40" t="s">
        <v>109</v>
      </c>
      <c r="D329" s="40" t="s">
        <v>138</v>
      </c>
      <c r="E329" s="40" t="s">
        <v>27</v>
      </c>
      <c r="F329" s="42">
        <v>8.9776693730866501</v>
      </c>
      <c r="G329" s="40">
        <v>8</v>
      </c>
      <c r="H329" s="40" t="s">
        <v>141</v>
      </c>
      <c r="I329" s="40" t="s">
        <v>142</v>
      </c>
      <c r="J329" s="41" t="s">
        <v>354</v>
      </c>
      <c r="K329" s="44" t="s">
        <v>131</v>
      </c>
      <c r="L329" s="44" t="s">
        <v>132</v>
      </c>
      <c r="M329" s="53">
        <v>144.32</v>
      </c>
      <c r="N329" s="43" t="s">
        <v>47</v>
      </c>
      <c r="O329" s="40">
        <v>25</v>
      </c>
      <c r="P329" s="32" t="s">
        <v>133</v>
      </c>
      <c r="Q329" s="32">
        <v>200715</v>
      </c>
    </row>
    <row r="330" spans="1:17" x14ac:dyDescent="0.35">
      <c r="A330" s="54" t="s">
        <v>126</v>
      </c>
      <c r="B330" s="39">
        <v>200716</v>
      </c>
      <c r="C330" s="40">
        <v>61077</v>
      </c>
      <c r="D330" s="40" t="s">
        <v>138</v>
      </c>
      <c r="E330" s="40" t="s">
        <v>33</v>
      </c>
      <c r="F330" s="42">
        <v>8.5537448737319206</v>
      </c>
      <c r="G330" s="40">
        <v>8</v>
      </c>
      <c r="H330" s="40" t="s">
        <v>141</v>
      </c>
      <c r="I330" s="40" t="s">
        <v>142</v>
      </c>
      <c r="J330" s="41" t="s">
        <v>355</v>
      </c>
      <c r="K330" s="45" t="s">
        <v>131</v>
      </c>
      <c r="L330" s="53" t="s">
        <v>132</v>
      </c>
      <c r="M330" s="42">
        <v>72.03</v>
      </c>
      <c r="N330" s="40" t="s">
        <v>47</v>
      </c>
      <c r="O330" s="40">
        <v>25</v>
      </c>
      <c r="P330" s="32" t="s">
        <v>133</v>
      </c>
      <c r="Q330" s="32">
        <v>200716</v>
      </c>
    </row>
    <row r="331" spans="1:17" x14ac:dyDescent="0.35">
      <c r="A331" s="54" t="s">
        <v>126</v>
      </c>
      <c r="B331" s="39">
        <v>200717</v>
      </c>
      <c r="C331" s="40">
        <v>61072</v>
      </c>
      <c r="D331" s="40" t="s">
        <v>138</v>
      </c>
      <c r="E331" s="40" t="s">
        <v>31</v>
      </c>
      <c r="F331" s="42">
        <v>7.7917399080224801</v>
      </c>
      <c r="G331" s="40">
        <v>8</v>
      </c>
      <c r="H331" s="40" t="s">
        <v>141</v>
      </c>
      <c r="I331" s="40" t="s">
        <v>142</v>
      </c>
      <c r="J331" s="41" t="s">
        <v>356</v>
      </c>
      <c r="K331" s="45" t="s">
        <v>131</v>
      </c>
      <c r="L331" s="53" t="s">
        <v>132</v>
      </c>
      <c r="M331" s="42">
        <v>58.08</v>
      </c>
      <c r="N331" s="40" t="s">
        <v>47</v>
      </c>
      <c r="O331" s="40">
        <v>25</v>
      </c>
      <c r="P331" s="32" t="s">
        <v>133</v>
      </c>
      <c r="Q331" s="32">
        <v>200717</v>
      </c>
    </row>
    <row r="332" spans="1:17" x14ac:dyDescent="0.35">
      <c r="A332" s="54" t="s">
        <v>126</v>
      </c>
      <c r="B332" s="39">
        <v>200718</v>
      </c>
      <c r="C332" s="40">
        <v>61050</v>
      </c>
      <c r="D332" s="40" t="s">
        <v>138</v>
      </c>
      <c r="E332" s="40" t="s">
        <v>27</v>
      </c>
      <c r="F332" s="42"/>
      <c r="G332" s="40">
        <v>8</v>
      </c>
      <c r="H332" s="40" t="s">
        <v>141</v>
      </c>
      <c r="I332" s="40" t="s">
        <v>142</v>
      </c>
      <c r="J332" s="41" t="s">
        <v>357</v>
      </c>
      <c r="K332" s="44" t="s">
        <v>131</v>
      </c>
      <c r="L332" s="53" t="s">
        <v>132</v>
      </c>
      <c r="M332" s="42">
        <v>83.42</v>
      </c>
      <c r="N332" s="40" t="s">
        <v>47</v>
      </c>
      <c r="O332" s="40">
        <v>25</v>
      </c>
      <c r="P332" s="32" t="s">
        <v>133</v>
      </c>
      <c r="Q332" s="32">
        <v>200718</v>
      </c>
    </row>
    <row r="333" spans="1:17" x14ac:dyDescent="0.35">
      <c r="A333" s="54" t="s">
        <v>126</v>
      </c>
      <c r="B333" s="39">
        <v>200721</v>
      </c>
      <c r="C333" s="40">
        <v>61077</v>
      </c>
      <c r="D333" s="40" t="s">
        <v>138</v>
      </c>
      <c r="E333" s="40" t="s">
        <v>33</v>
      </c>
      <c r="F333" s="40"/>
      <c r="G333" s="40">
        <v>8</v>
      </c>
      <c r="H333" s="40" t="s">
        <v>141</v>
      </c>
      <c r="I333" s="40" t="s">
        <v>142</v>
      </c>
      <c r="J333" s="41" t="s">
        <v>358</v>
      </c>
      <c r="K333" s="45" t="s">
        <v>131</v>
      </c>
      <c r="L333" s="53" t="s">
        <v>132</v>
      </c>
      <c r="M333" s="42">
        <v>65.81</v>
      </c>
      <c r="N333" s="40" t="s">
        <v>47</v>
      </c>
      <c r="O333" s="40">
        <v>25</v>
      </c>
      <c r="P333" s="32" t="s">
        <v>133</v>
      </c>
      <c r="Q333" s="32">
        <v>200721</v>
      </c>
    </row>
    <row r="334" spans="1:17" x14ac:dyDescent="0.35">
      <c r="A334" s="54" t="s">
        <v>126</v>
      </c>
      <c r="B334" s="39">
        <v>200722</v>
      </c>
      <c r="C334" s="40">
        <v>61072</v>
      </c>
      <c r="D334" s="40" t="s">
        <v>138</v>
      </c>
      <c r="E334" s="40" t="s">
        <v>31</v>
      </c>
      <c r="F334" s="40"/>
      <c r="G334" s="40">
        <v>8</v>
      </c>
      <c r="H334" s="40" t="s">
        <v>141</v>
      </c>
      <c r="I334" s="40" t="s">
        <v>142</v>
      </c>
      <c r="J334" s="41" t="s">
        <v>359</v>
      </c>
      <c r="K334" s="45" t="s">
        <v>131</v>
      </c>
      <c r="L334" s="53" t="s">
        <v>132</v>
      </c>
      <c r="M334" s="42">
        <v>69.39</v>
      </c>
      <c r="N334" s="40" t="s">
        <v>47</v>
      </c>
      <c r="O334" s="40">
        <v>25</v>
      </c>
      <c r="P334" s="32" t="s">
        <v>133</v>
      </c>
      <c r="Q334" s="32">
        <v>200722</v>
      </c>
    </row>
    <row r="335" spans="1:17" x14ac:dyDescent="0.35">
      <c r="A335" s="54" t="s">
        <v>126</v>
      </c>
      <c r="B335" s="39">
        <v>200723</v>
      </c>
      <c r="C335" s="40" t="s">
        <v>109</v>
      </c>
      <c r="D335" s="40" t="s">
        <v>138</v>
      </c>
      <c r="E335" s="40" t="s">
        <v>27</v>
      </c>
      <c r="F335" s="40">
        <v>9.3194408602150496</v>
      </c>
      <c r="G335" s="40">
        <v>8</v>
      </c>
      <c r="H335" s="40" t="s">
        <v>141</v>
      </c>
      <c r="I335" s="40" t="s">
        <v>142</v>
      </c>
      <c r="J335" s="41" t="s">
        <v>354</v>
      </c>
      <c r="K335" s="44" t="s">
        <v>131</v>
      </c>
      <c r="L335" s="53" t="s">
        <v>132</v>
      </c>
      <c r="M335" s="42">
        <v>144.32</v>
      </c>
      <c r="N335" s="40" t="s">
        <v>47</v>
      </c>
      <c r="O335" s="40">
        <v>25</v>
      </c>
      <c r="P335" s="32" t="s">
        <v>133</v>
      </c>
      <c r="Q335" s="32">
        <v>200723</v>
      </c>
    </row>
    <row r="336" spans="1:17" x14ac:dyDescent="0.35">
      <c r="A336" s="54" t="s">
        <v>126</v>
      </c>
      <c r="B336" s="39">
        <v>200724</v>
      </c>
      <c r="C336" s="40">
        <v>61071</v>
      </c>
      <c r="D336" s="40" t="s">
        <v>138</v>
      </c>
      <c r="E336" s="40" t="s">
        <v>31</v>
      </c>
      <c r="F336" s="42">
        <v>3.70871594281089</v>
      </c>
      <c r="G336" s="40">
        <v>8</v>
      </c>
      <c r="H336" s="40" t="s">
        <v>151</v>
      </c>
      <c r="I336" s="40" t="s">
        <v>129</v>
      </c>
      <c r="J336" s="41" t="s">
        <v>360</v>
      </c>
      <c r="K336" s="45" t="s">
        <v>131</v>
      </c>
      <c r="L336" s="53" t="s">
        <v>132</v>
      </c>
      <c r="M336" s="42">
        <v>51.47</v>
      </c>
      <c r="N336" s="40" t="s">
        <v>47</v>
      </c>
      <c r="O336" s="40">
        <v>25</v>
      </c>
      <c r="P336" s="32" t="s">
        <v>133</v>
      </c>
      <c r="Q336" s="32">
        <v>200724</v>
      </c>
    </row>
    <row r="337" spans="1:17" x14ac:dyDescent="0.35">
      <c r="A337" s="54" t="s">
        <v>126</v>
      </c>
      <c r="B337" s="39">
        <v>200725</v>
      </c>
      <c r="C337" s="40">
        <v>61050</v>
      </c>
      <c r="D337" s="40" t="s">
        <v>134</v>
      </c>
      <c r="E337" s="40" t="s">
        <v>27</v>
      </c>
      <c r="F337" s="40">
        <v>9.3194408602150496</v>
      </c>
      <c r="G337" s="40">
        <v>8</v>
      </c>
      <c r="H337" s="40" t="s">
        <v>141</v>
      </c>
      <c r="I337" s="40" t="s">
        <v>142</v>
      </c>
      <c r="J337" s="41" t="s">
        <v>361</v>
      </c>
      <c r="K337" s="53" t="s">
        <v>131</v>
      </c>
      <c r="L337" s="53" t="s">
        <v>132</v>
      </c>
      <c r="M337" s="42">
        <v>107.9</v>
      </c>
      <c r="N337" s="40" t="s">
        <v>47</v>
      </c>
      <c r="O337" s="40">
        <v>25</v>
      </c>
      <c r="P337" s="32" t="s">
        <v>133</v>
      </c>
      <c r="Q337" s="32">
        <v>200725</v>
      </c>
    </row>
    <row r="338" spans="1:17" x14ac:dyDescent="0.35">
      <c r="A338" s="54" t="s">
        <v>126</v>
      </c>
      <c r="B338" s="39">
        <v>200726</v>
      </c>
      <c r="C338" s="40">
        <v>61077</v>
      </c>
      <c r="D338" s="40" t="s">
        <v>134</v>
      </c>
      <c r="E338" s="40" t="s">
        <v>33</v>
      </c>
      <c r="F338" s="42">
        <v>8.5537448737319206</v>
      </c>
      <c r="G338" s="40">
        <v>8</v>
      </c>
      <c r="H338" s="40" t="s">
        <v>141</v>
      </c>
      <c r="I338" s="40" t="s">
        <v>142</v>
      </c>
      <c r="J338" s="41" t="s">
        <v>362</v>
      </c>
      <c r="K338" s="53" t="s">
        <v>131</v>
      </c>
      <c r="L338" s="53" t="s">
        <v>132</v>
      </c>
      <c r="M338" s="42">
        <v>71.430000000000007</v>
      </c>
      <c r="N338" s="40" t="s">
        <v>47</v>
      </c>
      <c r="O338" s="40">
        <v>25</v>
      </c>
      <c r="P338" s="32" t="s">
        <v>133</v>
      </c>
      <c r="Q338" s="32">
        <v>200726</v>
      </c>
    </row>
    <row r="339" spans="1:17" x14ac:dyDescent="0.35">
      <c r="A339" s="54" t="s">
        <v>126</v>
      </c>
      <c r="B339" s="39">
        <v>200727</v>
      </c>
      <c r="C339" s="40">
        <v>61072</v>
      </c>
      <c r="D339" s="40" t="s">
        <v>134</v>
      </c>
      <c r="E339" s="40" t="s">
        <v>31</v>
      </c>
      <c r="F339" s="40">
        <v>8.0399191303195003</v>
      </c>
      <c r="G339" s="40">
        <v>8</v>
      </c>
      <c r="H339" s="40" t="s">
        <v>141</v>
      </c>
      <c r="I339" s="40" t="s">
        <v>142</v>
      </c>
      <c r="J339" s="41" t="s">
        <v>363</v>
      </c>
      <c r="K339" s="53" t="s">
        <v>131</v>
      </c>
      <c r="L339" s="53" t="s">
        <v>132</v>
      </c>
      <c r="M339" s="42">
        <v>68.64</v>
      </c>
      <c r="N339" s="40" t="s">
        <v>47</v>
      </c>
      <c r="O339" s="40">
        <v>25</v>
      </c>
      <c r="P339" s="32" t="s">
        <v>133</v>
      </c>
      <c r="Q339" s="32">
        <v>200727</v>
      </c>
    </row>
    <row r="340" spans="1:17" x14ac:dyDescent="0.35">
      <c r="A340" s="54" t="s">
        <v>126</v>
      </c>
      <c r="B340" s="39">
        <v>200736</v>
      </c>
      <c r="C340" s="40">
        <v>61077</v>
      </c>
      <c r="D340" s="40" t="s">
        <v>138</v>
      </c>
      <c r="E340" s="40" t="s">
        <v>33</v>
      </c>
      <c r="F340" s="40"/>
      <c r="G340" s="40">
        <v>8</v>
      </c>
      <c r="H340" s="48" t="s">
        <v>141</v>
      </c>
      <c r="I340" s="48" t="s">
        <v>142</v>
      </c>
      <c r="J340" s="41" t="s">
        <v>364</v>
      </c>
      <c r="K340" s="45" t="s">
        <v>131</v>
      </c>
      <c r="L340" s="53" t="s">
        <v>132</v>
      </c>
      <c r="M340" s="42">
        <v>72.03</v>
      </c>
      <c r="N340" s="40" t="s">
        <v>47</v>
      </c>
      <c r="O340" s="40">
        <v>25</v>
      </c>
      <c r="P340" s="32" t="s">
        <v>133</v>
      </c>
      <c r="Q340" s="32">
        <v>200736</v>
      </c>
    </row>
    <row r="341" spans="1:17" x14ac:dyDescent="0.35">
      <c r="A341" s="54" t="s">
        <v>126</v>
      </c>
      <c r="B341" s="39">
        <v>200737</v>
      </c>
      <c r="C341" s="40">
        <v>61072</v>
      </c>
      <c r="D341" s="40" t="s">
        <v>138</v>
      </c>
      <c r="E341" s="40" t="s">
        <v>31</v>
      </c>
      <c r="F341" s="42"/>
      <c r="G341" s="40">
        <v>8</v>
      </c>
      <c r="H341" s="48" t="s">
        <v>141</v>
      </c>
      <c r="I341" s="40" t="s">
        <v>142</v>
      </c>
      <c r="J341" s="64" t="s">
        <v>365</v>
      </c>
      <c r="K341" s="45" t="s">
        <v>131</v>
      </c>
      <c r="L341" s="53" t="s">
        <v>132</v>
      </c>
      <c r="M341" s="42">
        <v>58.08</v>
      </c>
      <c r="N341" s="40" t="s">
        <v>47</v>
      </c>
      <c r="O341" s="40">
        <v>25</v>
      </c>
      <c r="P341" s="32" t="s">
        <v>133</v>
      </c>
      <c r="Q341" s="32">
        <v>200737</v>
      </c>
    </row>
    <row r="342" spans="1:17" x14ac:dyDescent="0.35">
      <c r="A342" s="54" t="s">
        <v>126</v>
      </c>
      <c r="B342" s="39">
        <v>200738</v>
      </c>
      <c r="C342" s="40">
        <v>203021</v>
      </c>
      <c r="D342" s="40" t="s">
        <v>138</v>
      </c>
      <c r="E342" s="40" t="s">
        <v>153</v>
      </c>
      <c r="F342" s="40"/>
      <c r="G342" s="40">
        <v>6</v>
      </c>
      <c r="H342" s="40" t="s">
        <v>135</v>
      </c>
      <c r="I342" s="40" t="s">
        <v>129</v>
      </c>
      <c r="J342" s="41" t="s">
        <v>366</v>
      </c>
      <c r="K342" s="45" t="s">
        <v>131</v>
      </c>
      <c r="L342" s="53" t="s">
        <v>132</v>
      </c>
      <c r="M342" s="42">
        <v>130.09</v>
      </c>
      <c r="N342" s="40" t="s">
        <v>47</v>
      </c>
      <c r="O342" s="40">
        <v>25</v>
      </c>
      <c r="P342" s="32" t="s">
        <v>133</v>
      </c>
      <c r="Q342" s="32">
        <v>200738</v>
      </c>
    </row>
    <row r="343" spans="1:17" x14ac:dyDescent="0.35">
      <c r="A343" s="54" t="s">
        <v>126</v>
      </c>
      <c r="B343" s="39">
        <v>200745</v>
      </c>
      <c r="C343" s="40" t="s">
        <v>109</v>
      </c>
      <c r="D343" s="40" t="s">
        <v>367</v>
      </c>
      <c r="E343" s="40" t="s">
        <v>27</v>
      </c>
      <c r="F343" s="40">
        <v>3.2316666666666669</v>
      </c>
      <c r="G343" s="40">
        <v>8</v>
      </c>
      <c r="H343" s="40" t="s">
        <v>151</v>
      </c>
      <c r="I343" s="40" t="s">
        <v>129</v>
      </c>
      <c r="J343" s="41" t="s">
        <v>368</v>
      </c>
      <c r="K343" s="53" t="s">
        <v>131</v>
      </c>
      <c r="L343" s="53" t="s">
        <v>132</v>
      </c>
      <c r="M343" s="42">
        <v>49.32</v>
      </c>
      <c r="N343" s="40" t="s">
        <v>47</v>
      </c>
      <c r="O343" s="40">
        <v>25</v>
      </c>
      <c r="P343" s="32" t="s">
        <v>133</v>
      </c>
      <c r="Q343" s="32">
        <v>200745</v>
      </c>
    </row>
    <row r="344" spans="1:17" x14ac:dyDescent="0.35">
      <c r="A344" s="54" t="s">
        <v>126</v>
      </c>
      <c r="B344" s="39">
        <v>200746</v>
      </c>
      <c r="C344" s="40">
        <v>61077</v>
      </c>
      <c r="D344" s="40" t="s">
        <v>367</v>
      </c>
      <c r="E344" s="40" t="s">
        <v>33</v>
      </c>
      <c r="F344" s="40">
        <v>4.1749999999999998</v>
      </c>
      <c r="G344" s="40">
        <v>8</v>
      </c>
      <c r="H344" s="40" t="s">
        <v>151</v>
      </c>
      <c r="I344" s="40" t="s">
        <v>129</v>
      </c>
      <c r="J344" s="41" t="s">
        <v>369</v>
      </c>
      <c r="K344" s="53" t="s">
        <v>131</v>
      </c>
      <c r="L344" s="53" t="s">
        <v>132</v>
      </c>
      <c r="M344" s="42">
        <v>41.88</v>
      </c>
      <c r="N344" s="40" t="s">
        <v>47</v>
      </c>
      <c r="O344" s="40">
        <v>25</v>
      </c>
      <c r="P344" s="32" t="s">
        <v>133</v>
      </c>
      <c r="Q344" s="32">
        <v>200746</v>
      </c>
    </row>
    <row r="345" spans="1:17" x14ac:dyDescent="0.35">
      <c r="A345" s="54" t="s">
        <v>126</v>
      </c>
      <c r="B345" s="39">
        <v>200747</v>
      </c>
      <c r="C345" s="40" t="s">
        <v>124</v>
      </c>
      <c r="D345" s="40" t="s">
        <v>367</v>
      </c>
      <c r="E345" s="40" t="s">
        <v>23</v>
      </c>
      <c r="F345" s="40">
        <v>3.4783333333333331</v>
      </c>
      <c r="G345" s="40">
        <v>8</v>
      </c>
      <c r="H345" s="40" t="s">
        <v>151</v>
      </c>
      <c r="I345" s="40" t="s">
        <v>129</v>
      </c>
      <c r="J345" s="41" t="s">
        <v>370</v>
      </c>
      <c r="K345" s="53" t="s">
        <v>144</v>
      </c>
      <c r="L345" s="53" t="s">
        <v>132</v>
      </c>
      <c r="M345" s="42">
        <v>21.95</v>
      </c>
      <c r="N345" s="40" t="s">
        <v>47</v>
      </c>
      <c r="O345" s="40">
        <v>25</v>
      </c>
      <c r="P345" s="32" t="s">
        <v>133</v>
      </c>
      <c r="Q345" s="32">
        <v>200747</v>
      </c>
    </row>
    <row r="346" spans="1:17" x14ac:dyDescent="0.35">
      <c r="A346" s="54" t="s">
        <v>126</v>
      </c>
      <c r="B346" s="39">
        <v>200748</v>
      </c>
      <c r="C346" s="40">
        <v>61072</v>
      </c>
      <c r="D346" s="40" t="s">
        <v>367</v>
      </c>
      <c r="E346" s="40" t="s">
        <v>31</v>
      </c>
      <c r="F346" s="40">
        <v>3.6074999999999999</v>
      </c>
      <c r="G346" s="40">
        <v>8</v>
      </c>
      <c r="H346" s="40" t="s">
        <v>151</v>
      </c>
      <c r="I346" s="40" t="s">
        <v>129</v>
      </c>
      <c r="J346" s="41" t="s">
        <v>371</v>
      </c>
      <c r="K346" s="53" t="s">
        <v>131</v>
      </c>
      <c r="L346" s="53" t="s">
        <v>132</v>
      </c>
      <c r="M346" s="42">
        <v>42.34</v>
      </c>
      <c r="N346" s="40" t="s">
        <v>47</v>
      </c>
      <c r="O346" s="40">
        <v>25</v>
      </c>
      <c r="P346" s="32" t="s">
        <v>133</v>
      </c>
      <c r="Q346" s="32">
        <v>200748</v>
      </c>
    </row>
    <row r="347" spans="1:17" x14ac:dyDescent="0.35">
      <c r="A347" s="54" t="s">
        <v>126</v>
      </c>
      <c r="B347" s="39">
        <v>201851</v>
      </c>
      <c r="C347" s="40">
        <v>61078</v>
      </c>
      <c r="D347" s="40" t="s">
        <v>372</v>
      </c>
      <c r="E347" s="40" t="s">
        <v>33</v>
      </c>
      <c r="F347" s="42">
        <v>20.395613023255802</v>
      </c>
      <c r="G347" s="40">
        <v>6</v>
      </c>
      <c r="H347" s="40" t="s">
        <v>145</v>
      </c>
      <c r="I347" s="40" t="s">
        <v>142</v>
      </c>
      <c r="J347" s="41" t="s">
        <v>373</v>
      </c>
      <c r="K347" s="44" t="s">
        <v>131</v>
      </c>
      <c r="L347" s="53" t="s">
        <v>374</v>
      </c>
      <c r="M347" s="42">
        <v>42.09</v>
      </c>
      <c r="N347" s="40" t="s">
        <v>40</v>
      </c>
      <c r="O347" s="40">
        <v>25</v>
      </c>
      <c r="P347" s="32" t="s">
        <v>133</v>
      </c>
      <c r="Q347" s="32">
        <v>201851</v>
      </c>
    </row>
    <row r="348" spans="1:17" x14ac:dyDescent="0.35">
      <c r="A348" s="54" t="s">
        <v>126</v>
      </c>
      <c r="B348" s="39">
        <v>201853</v>
      </c>
      <c r="C348" s="40" t="s">
        <v>107</v>
      </c>
      <c r="D348" s="40" t="s">
        <v>372</v>
      </c>
      <c r="E348" s="40" t="s">
        <v>43</v>
      </c>
      <c r="F348" s="42">
        <v>12.9150411673895</v>
      </c>
      <c r="G348" s="40">
        <v>6</v>
      </c>
      <c r="H348" s="40" t="s">
        <v>145</v>
      </c>
      <c r="I348" s="48" t="s">
        <v>142</v>
      </c>
      <c r="J348" s="64" t="s">
        <v>375</v>
      </c>
      <c r="K348" s="44" t="s">
        <v>131</v>
      </c>
      <c r="L348" s="53" t="s">
        <v>374</v>
      </c>
      <c r="M348" s="42">
        <v>62.66</v>
      </c>
      <c r="N348" s="40" t="s">
        <v>47</v>
      </c>
      <c r="O348" s="40">
        <v>25</v>
      </c>
      <c r="P348" s="32" t="s">
        <v>133</v>
      </c>
      <c r="Q348" s="32">
        <v>201853</v>
      </c>
    </row>
    <row r="349" spans="1:17" x14ac:dyDescent="0.35">
      <c r="A349" s="54" t="s">
        <v>126</v>
      </c>
      <c r="B349" s="39">
        <v>201854</v>
      </c>
      <c r="C349" s="40" t="s">
        <v>122</v>
      </c>
      <c r="D349" s="40" t="s">
        <v>372</v>
      </c>
      <c r="E349" s="40" t="s">
        <v>23</v>
      </c>
      <c r="F349" s="40">
        <v>11.996411544824999</v>
      </c>
      <c r="G349" s="40">
        <v>6</v>
      </c>
      <c r="H349" s="40" t="s">
        <v>145</v>
      </c>
      <c r="I349" s="40" t="s">
        <v>142</v>
      </c>
      <c r="J349" s="64" t="s">
        <v>376</v>
      </c>
      <c r="K349" s="44" t="s">
        <v>144</v>
      </c>
      <c r="L349" s="53" t="s">
        <v>374</v>
      </c>
      <c r="M349" s="42">
        <v>22.76</v>
      </c>
      <c r="N349" s="40" t="s">
        <v>40</v>
      </c>
      <c r="O349" s="40">
        <v>25</v>
      </c>
      <c r="P349" s="32" t="s">
        <v>133</v>
      </c>
      <c r="Q349" s="32">
        <v>201854</v>
      </c>
    </row>
    <row r="350" spans="1:17" x14ac:dyDescent="0.35">
      <c r="A350" s="54" t="s">
        <v>126</v>
      </c>
      <c r="B350" s="39">
        <v>201855</v>
      </c>
      <c r="C350" s="40">
        <v>61072</v>
      </c>
      <c r="D350" s="40" t="s">
        <v>372</v>
      </c>
      <c r="E350" s="40" t="s">
        <v>31</v>
      </c>
      <c r="F350" s="40">
        <v>16.608195976638498</v>
      </c>
      <c r="G350" s="40">
        <v>6</v>
      </c>
      <c r="H350" s="40" t="s">
        <v>145</v>
      </c>
      <c r="I350" s="40" t="s">
        <v>142</v>
      </c>
      <c r="J350" s="41" t="s">
        <v>377</v>
      </c>
      <c r="K350" s="44" t="s">
        <v>131</v>
      </c>
      <c r="L350" s="53" t="s">
        <v>374</v>
      </c>
      <c r="M350" s="42">
        <v>45.6</v>
      </c>
      <c r="N350" s="40" t="s">
        <v>40</v>
      </c>
      <c r="O350" s="40">
        <v>25</v>
      </c>
      <c r="P350" s="32" t="s">
        <v>133</v>
      </c>
      <c r="Q350" s="32">
        <v>201855</v>
      </c>
    </row>
    <row r="351" spans="1:17" x14ac:dyDescent="0.35">
      <c r="A351" s="54" t="s">
        <v>126</v>
      </c>
      <c r="B351" s="47">
        <v>201856</v>
      </c>
      <c r="C351" s="40">
        <v>61014</v>
      </c>
      <c r="D351" s="40" t="s">
        <v>372</v>
      </c>
      <c r="E351" s="40" t="s">
        <v>37</v>
      </c>
      <c r="F351" s="42">
        <v>13.193755725190799</v>
      </c>
      <c r="G351" s="48">
        <v>6</v>
      </c>
      <c r="H351" s="40" t="s">
        <v>145</v>
      </c>
      <c r="I351" s="48" t="s">
        <v>142</v>
      </c>
      <c r="J351" s="55" t="s">
        <v>378</v>
      </c>
      <c r="K351" s="44" t="s">
        <v>144</v>
      </c>
      <c r="L351" s="45" t="s">
        <v>374</v>
      </c>
      <c r="M351" s="46">
        <v>28.42</v>
      </c>
      <c r="N351" s="59" t="s">
        <v>40</v>
      </c>
      <c r="O351" s="40">
        <v>25</v>
      </c>
      <c r="P351" s="32" t="s">
        <v>133</v>
      </c>
      <c r="Q351" s="32">
        <v>201856</v>
      </c>
    </row>
    <row r="352" spans="1:17" x14ac:dyDescent="0.35">
      <c r="A352" s="54" t="s">
        <v>126</v>
      </c>
      <c r="B352" s="47">
        <v>207101</v>
      </c>
      <c r="C352" s="40">
        <v>61077</v>
      </c>
      <c r="D352" s="40" t="s">
        <v>127</v>
      </c>
      <c r="E352" s="40" t="s">
        <v>33</v>
      </c>
      <c r="F352" s="42"/>
      <c r="G352" s="48">
        <v>8</v>
      </c>
      <c r="H352" s="40" t="s">
        <v>141</v>
      </c>
      <c r="I352" s="48" t="s">
        <v>146</v>
      </c>
      <c r="J352" s="55" t="s">
        <v>379</v>
      </c>
      <c r="K352" s="45" t="s">
        <v>131</v>
      </c>
      <c r="L352" s="45" t="s">
        <v>224</v>
      </c>
      <c r="M352" s="46">
        <v>68.58</v>
      </c>
      <c r="N352" s="59" t="s">
        <v>47</v>
      </c>
      <c r="O352" s="40">
        <v>25</v>
      </c>
      <c r="P352" s="32" t="s">
        <v>133</v>
      </c>
      <c r="Q352" s="32">
        <v>207101</v>
      </c>
    </row>
    <row r="353" spans="1:17" x14ac:dyDescent="0.35">
      <c r="A353" s="54" t="s">
        <v>126</v>
      </c>
      <c r="B353" s="39">
        <v>207102</v>
      </c>
      <c r="C353" s="40">
        <v>61072</v>
      </c>
      <c r="D353" s="40" t="s">
        <v>127</v>
      </c>
      <c r="E353" s="40" t="s">
        <v>31</v>
      </c>
      <c r="F353" s="42"/>
      <c r="G353" s="48">
        <v>8</v>
      </c>
      <c r="H353" s="40" t="s">
        <v>141</v>
      </c>
      <c r="I353" s="48" t="s">
        <v>146</v>
      </c>
      <c r="J353" s="55" t="s">
        <v>380</v>
      </c>
      <c r="K353" s="45" t="s">
        <v>131</v>
      </c>
      <c r="L353" s="45" t="s">
        <v>224</v>
      </c>
      <c r="M353" s="46">
        <v>67.900000000000006</v>
      </c>
      <c r="N353" s="43" t="s">
        <v>47</v>
      </c>
      <c r="O353" s="40">
        <v>25</v>
      </c>
      <c r="P353" s="32" t="s">
        <v>133</v>
      </c>
      <c r="Q353" s="32">
        <v>207102</v>
      </c>
    </row>
    <row r="354" spans="1:17" x14ac:dyDescent="0.35">
      <c r="A354" s="54" t="s">
        <v>126</v>
      </c>
      <c r="B354" s="39">
        <v>207103</v>
      </c>
      <c r="C354" s="40">
        <v>203136</v>
      </c>
      <c r="D354" s="40" t="s">
        <v>127</v>
      </c>
      <c r="E354" s="40" t="s">
        <v>153</v>
      </c>
      <c r="F354" s="42"/>
      <c r="G354" s="48">
        <v>6</v>
      </c>
      <c r="H354" s="40" t="s">
        <v>135</v>
      </c>
      <c r="I354" s="48" t="s">
        <v>129</v>
      </c>
      <c r="J354" s="55" t="s">
        <v>381</v>
      </c>
      <c r="K354" s="45" t="s">
        <v>131</v>
      </c>
      <c r="L354" s="45" t="s">
        <v>224</v>
      </c>
      <c r="M354" s="46">
        <v>133.91999999999999</v>
      </c>
      <c r="N354" s="43" t="s">
        <v>47</v>
      </c>
      <c r="O354" s="40">
        <v>25</v>
      </c>
      <c r="P354" s="32" t="s">
        <v>133</v>
      </c>
      <c r="Q354" s="32">
        <v>207103</v>
      </c>
    </row>
    <row r="355" spans="1:17" x14ac:dyDescent="0.35">
      <c r="A355" s="54" t="s">
        <v>126</v>
      </c>
      <c r="B355" s="39">
        <v>207104</v>
      </c>
      <c r="C355" s="40">
        <v>61050</v>
      </c>
      <c r="D355" s="40" t="s">
        <v>127</v>
      </c>
      <c r="E355" s="40" t="s">
        <v>27</v>
      </c>
      <c r="F355" s="42"/>
      <c r="G355" s="48">
        <v>8</v>
      </c>
      <c r="H355" s="40" t="s">
        <v>128</v>
      </c>
      <c r="I355" s="48" t="s">
        <v>142</v>
      </c>
      <c r="J355" s="55" t="s">
        <v>382</v>
      </c>
      <c r="K355" s="44" t="s">
        <v>131</v>
      </c>
      <c r="L355" s="44" t="s">
        <v>132</v>
      </c>
      <c r="M355" s="42">
        <v>97.91</v>
      </c>
      <c r="N355" s="43" t="s">
        <v>47</v>
      </c>
      <c r="O355" s="40">
        <v>25</v>
      </c>
      <c r="P355" s="32" t="s">
        <v>133</v>
      </c>
      <c r="Q355" s="32">
        <v>207104</v>
      </c>
    </row>
    <row r="356" spans="1:17" x14ac:dyDescent="0.35">
      <c r="A356" s="54" t="s">
        <v>126</v>
      </c>
      <c r="B356" s="39">
        <v>207127</v>
      </c>
      <c r="C356" s="40">
        <v>61014</v>
      </c>
      <c r="D356" s="40" t="s">
        <v>127</v>
      </c>
      <c r="E356" s="40" t="s">
        <v>37</v>
      </c>
      <c r="F356" s="42"/>
      <c r="G356" s="48">
        <v>8</v>
      </c>
      <c r="H356" s="40" t="s">
        <v>195</v>
      </c>
      <c r="I356" s="48" t="s">
        <v>142</v>
      </c>
      <c r="J356" s="55" t="s">
        <v>383</v>
      </c>
      <c r="K356" s="44" t="s">
        <v>144</v>
      </c>
      <c r="L356" s="44" t="s">
        <v>132</v>
      </c>
      <c r="M356" s="42">
        <v>29.34</v>
      </c>
      <c r="N356" s="43" t="s">
        <v>47</v>
      </c>
      <c r="O356" s="40">
        <v>25</v>
      </c>
      <c r="P356" s="32" t="s">
        <v>133</v>
      </c>
      <c r="Q356" s="32">
        <v>207127</v>
      </c>
    </row>
    <row r="357" spans="1:17" x14ac:dyDescent="0.35">
      <c r="A357" s="54" t="s">
        <v>126</v>
      </c>
      <c r="B357" s="39">
        <v>207128</v>
      </c>
      <c r="C357" s="40">
        <v>203021</v>
      </c>
      <c r="D357" s="40" t="s">
        <v>127</v>
      </c>
      <c r="E357" s="40" t="s">
        <v>153</v>
      </c>
      <c r="F357" s="42"/>
      <c r="G357" s="48">
        <v>6</v>
      </c>
      <c r="H357" s="40" t="s">
        <v>135</v>
      </c>
      <c r="I357" s="48" t="s">
        <v>129</v>
      </c>
      <c r="J357" s="55" t="s">
        <v>384</v>
      </c>
      <c r="K357" s="45" t="s">
        <v>131</v>
      </c>
      <c r="L357" s="44" t="s">
        <v>132</v>
      </c>
      <c r="M357" s="42">
        <v>146.55000000000001</v>
      </c>
      <c r="N357" s="43"/>
      <c r="O357" s="40">
        <v>25</v>
      </c>
      <c r="P357" s="32" t="s">
        <v>133</v>
      </c>
      <c r="Q357" s="32">
        <v>207128</v>
      </c>
    </row>
    <row r="358" spans="1:17" hidden="1" x14ac:dyDescent="0.35">
      <c r="A358" s="54" t="s">
        <v>385</v>
      </c>
      <c r="B358" s="39">
        <v>2050</v>
      </c>
      <c r="C358" s="40">
        <v>61062</v>
      </c>
      <c r="D358" s="40" t="s">
        <v>138</v>
      </c>
      <c r="E358" s="40" t="s">
        <v>29</v>
      </c>
      <c r="F358" s="40">
        <v>11.33334516415262</v>
      </c>
      <c r="G358" s="40"/>
      <c r="H358" s="40"/>
      <c r="I358" s="40"/>
      <c r="J358" s="41" t="s">
        <v>386</v>
      </c>
      <c r="K358" s="53"/>
      <c r="L358" s="53" t="s">
        <v>132</v>
      </c>
      <c r="M358" s="42"/>
      <c r="N358" s="40"/>
      <c r="O358" s="40">
        <v>600</v>
      </c>
      <c r="P358" s="32"/>
      <c r="Q358" s="32"/>
    </row>
    <row r="359" spans="1:17" hidden="1" x14ac:dyDescent="0.35">
      <c r="A359" s="54" t="s">
        <v>385</v>
      </c>
      <c r="B359" s="39">
        <v>2051</v>
      </c>
      <c r="C359" s="40">
        <v>61073</v>
      </c>
      <c r="D359" s="40" t="s">
        <v>138</v>
      </c>
      <c r="E359" s="40" t="s">
        <v>31</v>
      </c>
      <c r="F359" s="40">
        <v>10.945225477707011</v>
      </c>
      <c r="G359" s="40"/>
      <c r="H359" s="40"/>
      <c r="I359" s="40"/>
      <c r="J359" s="41" t="s">
        <v>387</v>
      </c>
      <c r="K359" s="53"/>
      <c r="L359" s="53" t="s">
        <v>132</v>
      </c>
      <c r="M359" s="42"/>
      <c r="N359" s="40"/>
      <c r="O359" s="40">
        <v>800</v>
      </c>
      <c r="P359" s="32"/>
      <c r="Q359" s="32"/>
    </row>
    <row r="360" spans="1:17" hidden="1" x14ac:dyDescent="0.35">
      <c r="A360" s="54" t="s">
        <v>385</v>
      </c>
      <c r="B360" s="39">
        <v>2081</v>
      </c>
      <c r="C360" s="40">
        <v>61018</v>
      </c>
      <c r="D360" s="40" t="s">
        <v>138</v>
      </c>
      <c r="E360" s="40" t="s">
        <v>41</v>
      </c>
      <c r="F360" s="40">
        <v>11.2445375</v>
      </c>
      <c r="G360" s="40"/>
      <c r="H360" s="40"/>
      <c r="I360" s="40"/>
      <c r="J360" s="41" t="s">
        <v>388</v>
      </c>
      <c r="K360" s="53"/>
      <c r="L360" s="53" t="s">
        <v>132</v>
      </c>
      <c r="M360" s="42"/>
      <c r="N360" s="40"/>
      <c r="O360" s="40">
        <v>600</v>
      </c>
      <c r="P360" s="32"/>
      <c r="Q360" s="32"/>
    </row>
    <row r="361" spans="1:17" hidden="1" x14ac:dyDescent="0.35">
      <c r="A361" s="54" t="s">
        <v>385</v>
      </c>
      <c r="B361" s="39">
        <v>7113</v>
      </c>
      <c r="C361" s="40" t="s">
        <v>389</v>
      </c>
      <c r="D361" s="40" t="s">
        <v>127</v>
      </c>
      <c r="E361" s="40"/>
      <c r="F361" s="40">
        <v>12.853</v>
      </c>
      <c r="G361" s="40"/>
      <c r="H361" s="40"/>
      <c r="I361" s="40"/>
      <c r="J361" s="41"/>
      <c r="K361" s="53"/>
      <c r="L361" s="53" t="s">
        <v>224</v>
      </c>
      <c r="M361" s="42"/>
      <c r="N361" s="40"/>
      <c r="O361" s="40">
        <v>600</v>
      </c>
      <c r="P361" s="32"/>
      <c r="Q361" s="32"/>
    </row>
    <row r="362" spans="1:17" hidden="1" x14ac:dyDescent="0.35">
      <c r="A362" s="54" t="s">
        <v>385</v>
      </c>
      <c r="B362" s="39">
        <v>200179</v>
      </c>
      <c r="C362" s="40">
        <v>61062</v>
      </c>
      <c r="D362" s="40" t="s">
        <v>138</v>
      </c>
      <c r="E362" s="40" t="s">
        <v>29</v>
      </c>
      <c r="F362" s="40" t="s">
        <v>390</v>
      </c>
      <c r="G362" s="40"/>
      <c r="H362" s="40"/>
      <c r="I362" s="40"/>
      <c r="J362" s="41" t="s">
        <v>391</v>
      </c>
      <c r="K362" s="53"/>
      <c r="L362" s="53" t="s">
        <v>132</v>
      </c>
      <c r="M362" s="42"/>
      <c r="N362" s="40"/>
      <c r="O362" s="40" t="s">
        <v>390</v>
      </c>
      <c r="P362" s="32"/>
      <c r="Q362" s="32"/>
    </row>
    <row r="363" spans="1:17" hidden="1" x14ac:dyDescent="0.35">
      <c r="A363" s="54" t="s">
        <v>385</v>
      </c>
      <c r="B363" s="39">
        <v>200182</v>
      </c>
      <c r="C363" s="40">
        <v>61018</v>
      </c>
      <c r="D363" s="40" t="s">
        <v>138</v>
      </c>
      <c r="E363" s="40" t="s">
        <v>41</v>
      </c>
      <c r="F363" s="40">
        <v>9.9302222222222234</v>
      </c>
      <c r="G363" s="40"/>
      <c r="H363" s="40"/>
      <c r="I363" s="40"/>
      <c r="J363" s="41" t="s">
        <v>392</v>
      </c>
      <c r="K363" s="53"/>
      <c r="L363" s="53" t="s">
        <v>132</v>
      </c>
      <c r="M363" s="42"/>
      <c r="N363" s="40"/>
      <c r="O363" s="40">
        <v>600</v>
      </c>
      <c r="P363" s="32"/>
      <c r="Q363" s="32"/>
    </row>
    <row r="364" spans="1:17" hidden="1" x14ac:dyDescent="0.35">
      <c r="A364" s="54" t="s">
        <v>385</v>
      </c>
      <c r="B364" s="39">
        <v>200183</v>
      </c>
      <c r="C364" s="40">
        <v>61062</v>
      </c>
      <c r="D364" s="40" t="s">
        <v>138</v>
      </c>
      <c r="E364" s="40" t="s">
        <v>29</v>
      </c>
      <c r="F364" s="40">
        <v>9.0926639344262306</v>
      </c>
      <c r="G364" s="40"/>
      <c r="H364" s="40"/>
      <c r="I364" s="40"/>
      <c r="J364" s="41" t="s">
        <v>391</v>
      </c>
      <c r="K364" s="53"/>
      <c r="L364" s="53" t="s">
        <v>132</v>
      </c>
      <c r="M364" s="42"/>
      <c r="N364" s="40"/>
      <c r="O364" s="40">
        <v>800</v>
      </c>
      <c r="P364" s="32"/>
      <c r="Q364" s="32"/>
    </row>
    <row r="365" spans="1:17" hidden="1" x14ac:dyDescent="0.35">
      <c r="A365" s="54" t="s">
        <v>385</v>
      </c>
      <c r="B365" s="39">
        <v>200184</v>
      </c>
      <c r="C365" s="40">
        <v>61073</v>
      </c>
      <c r="D365" s="40" t="s">
        <v>138</v>
      </c>
      <c r="E365" s="40"/>
      <c r="F365" s="40">
        <v>8.982093023255814</v>
      </c>
      <c r="G365" s="40"/>
      <c r="H365" s="40"/>
      <c r="I365" s="40"/>
      <c r="J365" s="41" t="s">
        <v>393</v>
      </c>
      <c r="K365" s="53"/>
      <c r="L365" s="53" t="s">
        <v>132</v>
      </c>
      <c r="M365" s="42"/>
      <c r="N365" s="40"/>
      <c r="O365" s="40">
        <v>800</v>
      </c>
      <c r="P365" s="32"/>
      <c r="Q365" s="32"/>
    </row>
    <row r="366" spans="1:17" hidden="1" x14ac:dyDescent="0.35">
      <c r="A366" s="54" t="s">
        <v>385</v>
      </c>
      <c r="B366" s="39">
        <v>2511</v>
      </c>
      <c r="C366" s="40" t="s">
        <v>103</v>
      </c>
      <c r="D366" s="40" t="s">
        <v>138</v>
      </c>
      <c r="E366" s="40" t="s">
        <v>41</v>
      </c>
      <c r="F366" s="40">
        <v>14</v>
      </c>
      <c r="G366" s="40"/>
      <c r="H366" s="40"/>
      <c r="I366" s="40"/>
      <c r="J366" s="41" t="s">
        <v>394</v>
      </c>
      <c r="K366" s="53"/>
      <c r="L366" s="53" t="s">
        <v>132</v>
      </c>
      <c r="M366" s="42"/>
      <c r="N366" s="40"/>
      <c r="O366" s="40">
        <v>600</v>
      </c>
      <c r="P366" s="32"/>
      <c r="Q366" s="32"/>
    </row>
    <row r="367" spans="1:17" hidden="1" x14ac:dyDescent="0.35">
      <c r="A367" s="54" t="s">
        <v>385</v>
      </c>
      <c r="B367" s="39">
        <v>1077</v>
      </c>
      <c r="C367" s="40" t="s">
        <v>390</v>
      </c>
      <c r="D367" s="40" t="s">
        <v>138</v>
      </c>
      <c r="E367" s="40"/>
      <c r="F367" s="40" t="s">
        <v>390</v>
      </c>
      <c r="G367" s="40"/>
      <c r="H367" s="40"/>
      <c r="I367" s="40"/>
      <c r="J367" s="41"/>
      <c r="K367" s="53"/>
      <c r="L367" s="53" t="s">
        <v>132</v>
      </c>
      <c r="M367" s="42"/>
      <c r="N367" s="40"/>
      <c r="O367" s="40" t="s">
        <v>390</v>
      </c>
      <c r="P367" s="32"/>
      <c r="Q367" s="32"/>
    </row>
    <row r="368" spans="1:17" hidden="1" x14ac:dyDescent="0.35">
      <c r="A368" s="54" t="s">
        <v>385</v>
      </c>
      <c r="B368" s="39">
        <v>1078</v>
      </c>
      <c r="C368" s="40" t="s">
        <v>390</v>
      </c>
      <c r="D368" s="40" t="s">
        <v>138</v>
      </c>
      <c r="E368" s="40"/>
      <c r="F368" s="40" t="s">
        <v>390</v>
      </c>
      <c r="G368" s="40"/>
      <c r="H368" s="40"/>
      <c r="I368" s="40"/>
      <c r="J368" s="41"/>
      <c r="K368" s="53"/>
      <c r="L368" s="53" t="s">
        <v>132</v>
      </c>
      <c r="M368" s="42"/>
      <c r="N368" s="40"/>
      <c r="O368" s="40" t="s">
        <v>390</v>
      </c>
      <c r="P368" s="32"/>
      <c r="Q368" s="32"/>
    </row>
    <row r="369" spans="1:17" hidden="1" x14ac:dyDescent="0.35">
      <c r="A369" s="54" t="s">
        <v>385</v>
      </c>
      <c r="B369" s="39">
        <v>1080</v>
      </c>
      <c r="C369" s="40" t="s">
        <v>390</v>
      </c>
      <c r="D369" s="40" t="s">
        <v>138</v>
      </c>
      <c r="E369" s="40"/>
      <c r="F369" s="40" t="s">
        <v>390</v>
      </c>
      <c r="G369" s="40"/>
      <c r="H369" s="40"/>
      <c r="I369" s="40"/>
      <c r="J369" s="41"/>
      <c r="K369" s="53"/>
      <c r="L369" s="53" t="s">
        <v>132</v>
      </c>
      <c r="M369" s="42"/>
      <c r="N369" s="40"/>
      <c r="O369" s="40" t="s">
        <v>390</v>
      </c>
      <c r="P369" s="32"/>
      <c r="Q369" s="32"/>
    </row>
    <row r="370" spans="1:17" hidden="1" x14ac:dyDescent="0.35">
      <c r="A370" s="54" t="s">
        <v>385</v>
      </c>
      <c r="B370" s="39">
        <v>1574</v>
      </c>
      <c r="C370" s="40" t="s">
        <v>390</v>
      </c>
      <c r="D370" s="40" t="s">
        <v>138</v>
      </c>
      <c r="E370" s="40"/>
      <c r="F370" s="40" t="s">
        <v>390</v>
      </c>
      <c r="G370" s="40"/>
      <c r="H370" s="40"/>
      <c r="I370" s="40"/>
      <c r="J370" s="41"/>
      <c r="K370" s="53"/>
      <c r="L370" s="53" t="s">
        <v>132</v>
      </c>
      <c r="M370" s="42"/>
      <c r="N370" s="40"/>
      <c r="O370" s="40" t="s">
        <v>390</v>
      </c>
      <c r="P370" s="32"/>
      <c r="Q370" s="32"/>
    </row>
    <row r="371" spans="1:17" hidden="1" x14ac:dyDescent="0.35">
      <c r="A371" s="54" t="s">
        <v>385</v>
      </c>
      <c r="B371" s="39">
        <v>2112</v>
      </c>
      <c r="C371" s="40">
        <v>61062</v>
      </c>
      <c r="D371" s="40" t="s">
        <v>138</v>
      </c>
      <c r="E371" s="40" t="s">
        <v>29</v>
      </c>
      <c r="F371" s="40">
        <v>13.5</v>
      </c>
      <c r="G371" s="40"/>
      <c r="H371" s="40"/>
      <c r="I371" s="40"/>
      <c r="J371" s="41" t="s">
        <v>395</v>
      </c>
      <c r="K371" s="53"/>
      <c r="L371" s="53" t="s">
        <v>132</v>
      </c>
      <c r="M371" s="42"/>
      <c r="N371" s="40"/>
      <c r="O371" s="40">
        <v>800</v>
      </c>
      <c r="P371" s="32"/>
      <c r="Q371" s="32"/>
    </row>
    <row r="372" spans="1:17" hidden="1" x14ac:dyDescent="0.35">
      <c r="A372" s="54" t="s">
        <v>385</v>
      </c>
      <c r="B372" s="39">
        <v>2513</v>
      </c>
      <c r="C372" s="40">
        <v>0</v>
      </c>
      <c r="D372" s="40" t="s">
        <v>138</v>
      </c>
      <c r="E372" s="40"/>
      <c r="F372" s="40">
        <v>0</v>
      </c>
      <c r="G372" s="40"/>
      <c r="H372" s="40"/>
      <c r="I372" s="40"/>
      <c r="J372" s="41" t="s">
        <v>396</v>
      </c>
      <c r="K372" s="53"/>
      <c r="L372" s="53" t="s">
        <v>132</v>
      </c>
      <c r="M372" s="42"/>
      <c r="N372" s="40"/>
      <c r="O372" s="40">
        <v>0</v>
      </c>
      <c r="P372" s="32"/>
      <c r="Q372" s="32"/>
    </row>
    <row r="373" spans="1:17" hidden="1" x14ac:dyDescent="0.35">
      <c r="A373" s="54" t="s">
        <v>385</v>
      </c>
      <c r="B373" s="39">
        <v>7011</v>
      </c>
      <c r="C373" s="40" t="s">
        <v>389</v>
      </c>
      <c r="D373" s="40" t="s">
        <v>138</v>
      </c>
      <c r="E373" s="40"/>
      <c r="F373" s="40">
        <v>9.6</v>
      </c>
      <c r="G373" s="40"/>
      <c r="H373" s="40"/>
      <c r="I373" s="40"/>
      <c r="J373" s="41" t="s">
        <v>397</v>
      </c>
      <c r="K373" s="53"/>
      <c r="L373" s="53" t="s">
        <v>132</v>
      </c>
      <c r="M373" s="42"/>
      <c r="N373" s="40"/>
      <c r="O373" s="40">
        <v>600</v>
      </c>
      <c r="P373" s="32"/>
      <c r="Q373" s="32"/>
    </row>
    <row r="374" spans="1:17" hidden="1" x14ac:dyDescent="0.35">
      <c r="A374" s="54" t="s">
        <v>385</v>
      </c>
      <c r="B374" s="39">
        <v>7170</v>
      </c>
      <c r="C374" s="40" t="s">
        <v>390</v>
      </c>
      <c r="D374" s="40" t="s">
        <v>138</v>
      </c>
      <c r="E374" s="40"/>
      <c r="F374" s="40" t="s">
        <v>390</v>
      </c>
      <c r="G374" s="40"/>
      <c r="H374" s="40"/>
      <c r="I374" s="40"/>
      <c r="J374" s="41"/>
      <c r="K374" s="53"/>
      <c r="L374" s="53" t="s">
        <v>132</v>
      </c>
      <c r="M374" s="42"/>
      <c r="N374" s="40"/>
      <c r="O374" s="40" t="s">
        <v>390</v>
      </c>
      <c r="P374" s="32"/>
      <c r="Q374" s="32"/>
    </row>
    <row r="375" spans="1:17" hidden="1" x14ac:dyDescent="0.35">
      <c r="A375" s="54" t="s">
        <v>385</v>
      </c>
      <c r="B375" s="65">
        <v>7176</v>
      </c>
      <c r="C375" s="40">
        <v>61062</v>
      </c>
      <c r="D375" s="40" t="s">
        <v>138</v>
      </c>
      <c r="E375" s="66" t="s">
        <v>29</v>
      </c>
      <c r="F375" s="66" t="s">
        <v>390</v>
      </c>
      <c r="G375" s="66"/>
      <c r="H375" s="66"/>
      <c r="I375" s="66"/>
      <c r="J375" s="67" t="s">
        <v>398</v>
      </c>
      <c r="K375" s="68"/>
      <c r="L375" s="53" t="s">
        <v>132</v>
      </c>
      <c r="M375" s="69"/>
      <c r="N375" s="66"/>
      <c r="O375" s="66" t="s">
        <v>390</v>
      </c>
      <c r="P375" s="32"/>
      <c r="Q375" s="32"/>
    </row>
    <row r="376" spans="1:17" hidden="1" x14ac:dyDescent="0.35">
      <c r="A376" s="54" t="s">
        <v>399</v>
      </c>
      <c r="B376" s="65">
        <v>200157</v>
      </c>
      <c r="C376" s="66"/>
      <c r="D376" s="66"/>
      <c r="E376" s="66"/>
      <c r="F376" s="66">
        <v>550</v>
      </c>
      <c r="G376" s="66"/>
      <c r="H376" s="66"/>
      <c r="I376" s="66"/>
      <c r="J376" s="67" t="s">
        <v>400</v>
      </c>
      <c r="K376" s="68"/>
      <c r="L376" s="68"/>
      <c r="M376" s="69"/>
      <c r="N376" s="66"/>
      <c r="O376" s="66"/>
      <c r="P376" s="32"/>
      <c r="Q376" s="32"/>
    </row>
    <row r="377" spans="1:17" hidden="1" x14ac:dyDescent="0.35">
      <c r="A377" s="54" t="s">
        <v>399</v>
      </c>
      <c r="B377" s="39">
        <v>203043</v>
      </c>
      <c r="C377" s="40"/>
      <c r="D377" s="40"/>
      <c r="E377" s="40"/>
      <c r="F377" s="40">
        <v>23</v>
      </c>
      <c r="G377" s="40"/>
      <c r="H377" s="40"/>
      <c r="I377" s="40"/>
      <c r="J377" s="41" t="s">
        <v>401</v>
      </c>
      <c r="K377" s="53"/>
      <c r="L377" s="53"/>
      <c r="M377" s="42"/>
      <c r="N377" s="40"/>
      <c r="O377" s="40"/>
      <c r="P377" s="32"/>
      <c r="Q377" s="32"/>
    </row>
    <row r="378" spans="1:17" hidden="1" x14ac:dyDescent="0.35">
      <c r="A378" s="54" t="s">
        <v>399</v>
      </c>
      <c r="B378" s="65">
        <v>203044</v>
      </c>
      <c r="C378" s="66"/>
      <c r="D378" s="66"/>
      <c r="E378" s="66"/>
      <c r="F378" s="66"/>
      <c r="G378" s="66"/>
      <c r="H378" s="66"/>
      <c r="I378" s="66"/>
      <c r="J378" s="67"/>
      <c r="K378" s="68"/>
      <c r="L378" s="68"/>
      <c r="M378" s="69"/>
      <c r="N378" s="66"/>
      <c r="O378" s="66"/>
      <c r="P378" s="32"/>
      <c r="Q378" s="32"/>
    </row>
    <row r="379" spans="1:17" hidden="1" x14ac:dyDescent="0.35">
      <c r="A379" s="54" t="s">
        <v>399</v>
      </c>
      <c r="B379" s="39">
        <v>203891</v>
      </c>
      <c r="C379" s="40"/>
      <c r="D379" s="40"/>
      <c r="E379" s="40"/>
      <c r="F379" s="40">
        <v>31</v>
      </c>
      <c r="G379" s="40"/>
      <c r="H379" s="40"/>
      <c r="I379" s="40"/>
      <c r="J379" s="41" t="s">
        <v>402</v>
      </c>
      <c r="K379" s="53"/>
      <c r="L379" s="53"/>
      <c r="M379" s="42"/>
      <c r="N379" s="40"/>
      <c r="O379" s="40"/>
      <c r="P379" s="32"/>
      <c r="Q379" s="32"/>
    </row>
  </sheetData>
  <sheetProtection sheet="1" objects="1" scenarios="1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472C4"/>
  </sheetPr>
  <dimension ref="A1:U34"/>
  <sheetViews>
    <sheetView workbookViewId="0"/>
  </sheetViews>
  <sheetFormatPr defaultColWidth="8.81640625" defaultRowHeight="14.5" x14ac:dyDescent="0.35"/>
  <cols>
    <col min="1" max="1" width="21.453125" customWidth="1"/>
    <col min="2" max="2" width="26.1796875" bestFit="1" customWidth="1"/>
    <col min="4" max="4" width="5.81640625" customWidth="1"/>
    <col min="5" max="5" width="15.6328125" customWidth="1"/>
    <col min="7" max="7" width="10.6328125" bestFit="1" customWidth="1"/>
    <col min="9" max="9" width="13.81640625" bestFit="1" customWidth="1"/>
  </cols>
  <sheetData>
    <row r="1" spans="1:20" ht="58" customHeight="1" x14ac:dyDescent="0.35">
      <c r="A1" s="21" t="s">
        <v>491</v>
      </c>
      <c r="B1" s="21" t="s">
        <v>7</v>
      </c>
      <c r="C1" s="21" t="s">
        <v>492</v>
      </c>
      <c r="D1" s="21" t="s">
        <v>493</v>
      </c>
      <c r="E1" s="21" t="s">
        <v>494</v>
      </c>
      <c r="G1" s="33" t="s">
        <v>495</v>
      </c>
      <c r="H1" s="33" t="s">
        <v>492</v>
      </c>
      <c r="I1" s="33" t="s">
        <v>7</v>
      </c>
      <c r="J1" s="33" t="s">
        <v>496</v>
      </c>
      <c r="K1" s="33" t="s">
        <v>497</v>
      </c>
    </row>
    <row r="2" spans="1:20" ht="17" customHeight="1" x14ac:dyDescent="0.35">
      <c r="A2" s="233" t="s">
        <v>498</v>
      </c>
      <c r="B2" s="233" t="s">
        <v>43</v>
      </c>
      <c r="C2" s="233" t="s">
        <v>499</v>
      </c>
      <c r="D2" s="276">
        <v>1</v>
      </c>
      <c r="E2" s="277">
        <v>35.5</v>
      </c>
      <c r="F2" s="77"/>
      <c r="G2" t="s">
        <v>500</v>
      </c>
      <c r="H2" t="s">
        <v>499</v>
      </c>
      <c r="I2" t="s">
        <v>43</v>
      </c>
      <c r="J2">
        <v>43</v>
      </c>
      <c r="K2" t="s">
        <v>501</v>
      </c>
    </row>
    <row r="3" spans="1:20" x14ac:dyDescent="0.35">
      <c r="A3" s="278" t="s">
        <v>502</v>
      </c>
      <c r="B3" s="278" t="s">
        <v>27</v>
      </c>
      <c r="C3" s="278" t="s">
        <v>499</v>
      </c>
      <c r="D3" s="278">
        <v>2</v>
      </c>
      <c r="E3" s="279">
        <v>23.5</v>
      </c>
      <c r="F3" s="275"/>
      <c r="G3" t="s">
        <v>500</v>
      </c>
      <c r="H3" t="s">
        <v>499</v>
      </c>
      <c r="I3" t="s">
        <v>27</v>
      </c>
      <c r="J3">
        <v>31</v>
      </c>
      <c r="K3" t="s">
        <v>501</v>
      </c>
    </row>
    <row r="4" spans="1:20" x14ac:dyDescent="0.35">
      <c r="A4" s="278" t="s">
        <v>502</v>
      </c>
      <c r="B4" s="278" t="s">
        <v>80</v>
      </c>
      <c r="C4" s="278" t="s">
        <v>499</v>
      </c>
      <c r="D4" s="278">
        <v>2</v>
      </c>
      <c r="E4" s="279">
        <v>19</v>
      </c>
      <c r="G4" t="s">
        <v>500</v>
      </c>
      <c r="H4" t="s">
        <v>499</v>
      </c>
      <c r="I4" t="s">
        <v>80</v>
      </c>
      <c r="J4">
        <f>E3-E5</f>
        <v>19</v>
      </c>
      <c r="K4" t="s">
        <v>501</v>
      </c>
    </row>
    <row r="5" spans="1:20" x14ac:dyDescent="0.35">
      <c r="A5" s="278" t="s">
        <v>503</v>
      </c>
      <c r="B5" s="278" t="s">
        <v>197</v>
      </c>
      <c r="C5" s="278" t="s">
        <v>499</v>
      </c>
      <c r="D5" s="278">
        <v>2</v>
      </c>
      <c r="E5" s="279">
        <v>4.5</v>
      </c>
      <c r="G5" t="s">
        <v>500</v>
      </c>
      <c r="H5" t="s">
        <v>499</v>
      </c>
      <c r="I5" t="s">
        <v>197</v>
      </c>
      <c r="J5">
        <v>4.12</v>
      </c>
      <c r="K5" t="s">
        <v>501</v>
      </c>
    </row>
    <row r="6" spans="1:20" x14ac:dyDescent="0.35">
      <c r="A6" s="278" t="s">
        <v>504</v>
      </c>
      <c r="B6" s="278" t="s">
        <v>29</v>
      </c>
      <c r="C6" s="278" t="s">
        <v>505</v>
      </c>
      <c r="D6" s="278">
        <v>1</v>
      </c>
      <c r="E6" s="279">
        <v>47</v>
      </c>
      <c r="G6" t="s">
        <v>500</v>
      </c>
      <c r="H6" t="s">
        <v>505</v>
      </c>
      <c r="I6" t="s">
        <v>29</v>
      </c>
      <c r="J6">
        <v>42</v>
      </c>
      <c r="K6" t="s">
        <v>501</v>
      </c>
    </row>
    <row r="7" spans="1:20" x14ac:dyDescent="0.35">
      <c r="A7" s="278" t="s">
        <v>506</v>
      </c>
      <c r="B7" s="278" t="s">
        <v>507</v>
      </c>
      <c r="C7" s="278" t="s">
        <v>508</v>
      </c>
      <c r="D7" s="278">
        <v>2</v>
      </c>
      <c r="E7" s="279">
        <v>32</v>
      </c>
      <c r="G7" t="s">
        <v>500</v>
      </c>
      <c r="H7" t="s">
        <v>508</v>
      </c>
      <c r="I7" t="s">
        <v>507</v>
      </c>
      <c r="J7">
        <v>38.82</v>
      </c>
      <c r="K7" t="s">
        <v>501</v>
      </c>
    </row>
    <row r="8" spans="1:20" x14ac:dyDescent="0.35">
      <c r="A8" s="278" t="s">
        <v>509</v>
      </c>
      <c r="B8" s="278" t="s">
        <v>33</v>
      </c>
      <c r="C8" s="278" t="s">
        <v>508</v>
      </c>
      <c r="D8" s="278">
        <v>2</v>
      </c>
      <c r="E8" s="279">
        <v>17.5</v>
      </c>
      <c r="G8" t="s">
        <v>500</v>
      </c>
      <c r="H8" t="s">
        <v>508</v>
      </c>
      <c r="I8" t="s">
        <v>33</v>
      </c>
      <c r="J8">
        <v>19.100000000000001</v>
      </c>
      <c r="K8" t="s">
        <v>501</v>
      </c>
    </row>
    <row r="9" spans="1:20" x14ac:dyDescent="0.35">
      <c r="A9" s="278" t="s">
        <v>510</v>
      </c>
      <c r="B9" s="278" t="s">
        <v>23</v>
      </c>
      <c r="C9" s="278" t="s">
        <v>508</v>
      </c>
      <c r="D9" s="278">
        <v>3</v>
      </c>
      <c r="E9" s="279">
        <v>11.5</v>
      </c>
      <c r="G9" t="s">
        <v>500</v>
      </c>
      <c r="H9" t="s">
        <v>508</v>
      </c>
      <c r="I9" t="s">
        <v>23</v>
      </c>
      <c r="J9">
        <v>10.5</v>
      </c>
      <c r="K9" t="s">
        <v>501</v>
      </c>
      <c r="Q9" s="9"/>
    </row>
    <row r="10" spans="1:20" x14ac:dyDescent="0.35">
      <c r="A10" s="278" t="s">
        <v>511</v>
      </c>
      <c r="B10" s="278" t="s">
        <v>31</v>
      </c>
      <c r="C10" s="278" t="s">
        <v>508</v>
      </c>
      <c r="D10" s="278">
        <v>2</v>
      </c>
      <c r="E10" s="279">
        <v>14.3</v>
      </c>
      <c r="G10" t="s">
        <v>500</v>
      </c>
      <c r="H10" t="s">
        <v>508</v>
      </c>
      <c r="I10" t="s">
        <v>31</v>
      </c>
      <c r="J10">
        <v>12.8</v>
      </c>
      <c r="K10" t="s">
        <v>501</v>
      </c>
      <c r="Q10" s="9"/>
    </row>
    <row r="11" spans="1:20" x14ac:dyDescent="0.35">
      <c r="A11" s="278" t="s">
        <v>512</v>
      </c>
      <c r="B11" s="278" t="s">
        <v>41</v>
      </c>
      <c r="C11" s="278" t="s">
        <v>41</v>
      </c>
      <c r="D11" s="278">
        <v>1</v>
      </c>
      <c r="E11" s="279">
        <v>10.8</v>
      </c>
      <c r="G11" t="s">
        <v>500</v>
      </c>
      <c r="H11" t="s">
        <v>41</v>
      </c>
      <c r="I11" t="s">
        <v>41</v>
      </c>
      <c r="J11">
        <v>11</v>
      </c>
      <c r="K11" t="s">
        <v>501</v>
      </c>
      <c r="Q11" s="9"/>
    </row>
    <row r="12" spans="1:20" x14ac:dyDescent="0.35">
      <c r="A12" s="278" t="s">
        <v>513</v>
      </c>
      <c r="B12" s="278" t="s">
        <v>37</v>
      </c>
      <c r="C12" s="278" t="s">
        <v>41</v>
      </c>
      <c r="D12" s="278">
        <v>2</v>
      </c>
      <c r="E12" s="279">
        <v>9.5</v>
      </c>
      <c r="G12" t="s">
        <v>500</v>
      </c>
      <c r="H12" t="s">
        <v>41</v>
      </c>
      <c r="I12" t="s">
        <v>37</v>
      </c>
      <c r="J12">
        <v>9.6</v>
      </c>
      <c r="K12" t="s">
        <v>501</v>
      </c>
      <c r="Q12" s="9"/>
    </row>
    <row r="13" spans="1:20" x14ac:dyDescent="0.35">
      <c r="A13" s="278" t="s">
        <v>514</v>
      </c>
      <c r="B13" s="278" t="s">
        <v>37</v>
      </c>
      <c r="C13" s="278" t="s">
        <v>41</v>
      </c>
      <c r="D13" s="278">
        <v>2</v>
      </c>
      <c r="E13" s="279">
        <v>9.5</v>
      </c>
      <c r="G13" t="s">
        <v>500</v>
      </c>
      <c r="H13" t="s">
        <v>41</v>
      </c>
      <c r="I13" t="s">
        <v>37</v>
      </c>
      <c r="J13">
        <v>9.6</v>
      </c>
      <c r="K13" t="s">
        <v>501</v>
      </c>
      <c r="Q13" s="9"/>
    </row>
    <row r="14" spans="1:20" x14ac:dyDescent="0.35">
      <c r="A14" s="278" t="s">
        <v>515</v>
      </c>
      <c r="B14" s="278" t="s">
        <v>515</v>
      </c>
      <c r="C14" s="278" t="s">
        <v>41</v>
      </c>
      <c r="D14" s="278">
        <v>2</v>
      </c>
      <c r="E14" s="279">
        <v>2.5</v>
      </c>
      <c r="G14" t="s">
        <v>500</v>
      </c>
      <c r="H14" t="s">
        <v>516</v>
      </c>
      <c r="I14" t="s">
        <v>517</v>
      </c>
      <c r="J14">
        <v>9.41</v>
      </c>
      <c r="K14" t="s">
        <v>501</v>
      </c>
      <c r="Q14" s="9"/>
      <c r="S14" s="9"/>
    </row>
    <row r="15" spans="1:20" x14ac:dyDescent="0.35">
      <c r="A15" s="278" t="s">
        <v>517</v>
      </c>
      <c r="B15" s="278" t="s">
        <v>517</v>
      </c>
      <c r="C15" s="278" t="s">
        <v>516</v>
      </c>
      <c r="D15" s="278">
        <v>2</v>
      </c>
      <c r="E15" s="279">
        <v>0</v>
      </c>
      <c r="Q15" s="9"/>
      <c r="S15" s="9"/>
      <c r="T15" s="9"/>
    </row>
    <row r="16" spans="1:20" x14ac:dyDescent="0.35">
      <c r="A16" s="278" t="s">
        <v>518</v>
      </c>
      <c r="B16" s="278"/>
      <c r="C16" s="278" t="s">
        <v>518</v>
      </c>
      <c r="D16" s="278">
        <v>1</v>
      </c>
      <c r="E16" s="279">
        <v>0</v>
      </c>
      <c r="G16">
        <v>0</v>
      </c>
      <c r="S16" s="9"/>
      <c r="T16" s="9"/>
    </row>
    <row r="17" spans="1:21" x14ac:dyDescent="0.35">
      <c r="A17" s="278" t="s">
        <v>519</v>
      </c>
      <c r="B17" s="278"/>
      <c r="C17" s="278" t="s">
        <v>520</v>
      </c>
      <c r="D17" s="278">
        <v>1</v>
      </c>
      <c r="E17" s="279">
        <v>0</v>
      </c>
      <c r="G17" t="s">
        <v>521</v>
      </c>
      <c r="H17" t="s">
        <v>522</v>
      </c>
      <c r="S17" s="9"/>
      <c r="T17" s="9"/>
    </row>
    <row r="18" spans="1:21" x14ac:dyDescent="0.35">
      <c r="A18" s="32"/>
      <c r="B18" s="32"/>
      <c r="C18" s="32"/>
      <c r="D18" s="32"/>
      <c r="E18" s="32"/>
      <c r="S18" s="9"/>
      <c r="T18" s="9"/>
      <c r="U18" s="20"/>
    </row>
    <row r="19" spans="1:21" x14ac:dyDescent="0.35">
      <c r="A19" s="32"/>
      <c r="B19" s="32"/>
      <c r="C19" s="32"/>
      <c r="D19" s="32"/>
      <c r="E19" s="32"/>
      <c r="S19" s="9"/>
      <c r="T19" s="9"/>
      <c r="U19" s="9"/>
    </row>
    <row r="20" spans="1:21" x14ac:dyDescent="0.35">
      <c r="A20" s="32"/>
      <c r="B20" s="32"/>
      <c r="C20" s="32"/>
      <c r="D20" s="32"/>
      <c r="E20" s="32"/>
      <c r="S20" s="9"/>
      <c r="T20" s="9"/>
    </row>
    <row r="21" spans="1:21" x14ac:dyDescent="0.35">
      <c r="A21" s="32" t="s">
        <v>523</v>
      </c>
      <c r="B21" s="32" t="s">
        <v>524</v>
      </c>
      <c r="C21" s="32">
        <v>10.8</v>
      </c>
      <c r="D21" s="32" t="s">
        <v>525</v>
      </c>
      <c r="E21" s="32"/>
      <c r="Q21" s="9"/>
      <c r="R21" s="9"/>
      <c r="S21" s="9"/>
      <c r="T21" s="9"/>
    </row>
    <row r="22" spans="1:21" x14ac:dyDescent="0.35">
      <c r="A22" s="32" t="s">
        <v>523</v>
      </c>
      <c r="B22" s="32" t="s">
        <v>526</v>
      </c>
      <c r="C22" s="32">
        <v>19</v>
      </c>
      <c r="D22" s="32" t="s">
        <v>525</v>
      </c>
      <c r="E22" s="32"/>
      <c r="Q22" s="9"/>
      <c r="R22" s="9"/>
      <c r="S22" s="9"/>
      <c r="T22" s="9"/>
    </row>
    <row r="23" spans="1:21" x14ac:dyDescent="0.35">
      <c r="A23" s="32" t="s">
        <v>523</v>
      </c>
      <c r="B23" s="32" t="s">
        <v>527</v>
      </c>
      <c r="C23" s="32">
        <v>4.5</v>
      </c>
      <c r="D23" s="32" t="s">
        <v>525</v>
      </c>
      <c r="E23" s="32"/>
      <c r="Q23" s="9"/>
      <c r="R23" s="9"/>
      <c r="S23" s="9"/>
    </row>
    <row r="24" spans="1:21" x14ac:dyDescent="0.35">
      <c r="A24" s="32" t="s">
        <v>523</v>
      </c>
      <c r="B24" s="32" t="s">
        <v>528</v>
      </c>
      <c r="C24" s="32">
        <v>3</v>
      </c>
      <c r="D24" s="32" t="s">
        <v>525</v>
      </c>
      <c r="E24" s="32"/>
      <c r="S24" s="9"/>
    </row>
    <row r="25" spans="1:21" x14ac:dyDescent="0.35">
      <c r="A25" s="32" t="s">
        <v>523</v>
      </c>
      <c r="B25" s="32" t="s">
        <v>529</v>
      </c>
      <c r="C25" s="32">
        <v>4.5</v>
      </c>
      <c r="D25" s="32" t="s">
        <v>525</v>
      </c>
      <c r="E25" s="32"/>
      <c r="S25" s="9"/>
    </row>
    <row r="26" spans="1:21" x14ac:dyDescent="0.35">
      <c r="A26" s="32" t="s">
        <v>523</v>
      </c>
      <c r="B26" s="32" t="s">
        <v>530</v>
      </c>
      <c r="C26" s="32">
        <v>14.5</v>
      </c>
      <c r="D26" s="32" t="s">
        <v>525</v>
      </c>
      <c r="E26" s="32"/>
    </row>
    <row r="27" spans="1:21" x14ac:dyDescent="0.35">
      <c r="A27" s="32" t="s">
        <v>523</v>
      </c>
      <c r="B27" s="32" t="s">
        <v>531</v>
      </c>
      <c r="C27" s="32">
        <v>11.5</v>
      </c>
      <c r="D27" s="32" t="s">
        <v>525</v>
      </c>
      <c r="E27" s="32"/>
    </row>
    <row r="28" spans="1:21" x14ac:dyDescent="0.35">
      <c r="A28" s="32" t="s">
        <v>523</v>
      </c>
      <c r="B28" s="32" t="s">
        <v>532</v>
      </c>
      <c r="C28" s="32">
        <v>2.5</v>
      </c>
      <c r="D28" s="32" t="s">
        <v>525</v>
      </c>
      <c r="E28" s="32"/>
    </row>
    <row r="29" spans="1:21" x14ac:dyDescent="0.35">
      <c r="A29" s="32" t="s">
        <v>523</v>
      </c>
      <c r="B29" s="32" t="s">
        <v>533</v>
      </c>
      <c r="C29" s="32">
        <v>3.5</v>
      </c>
      <c r="D29" s="32" t="s">
        <v>525</v>
      </c>
      <c r="E29" s="32"/>
    </row>
    <row r="30" spans="1:21" x14ac:dyDescent="0.35">
      <c r="A30" s="32" t="s">
        <v>523</v>
      </c>
      <c r="B30" s="32" t="s">
        <v>534</v>
      </c>
      <c r="C30" s="32">
        <v>1.5</v>
      </c>
      <c r="D30" s="32" t="s">
        <v>525</v>
      </c>
      <c r="E30" s="32"/>
    </row>
    <row r="31" spans="1:21" x14ac:dyDescent="0.35">
      <c r="A31" s="32" t="s">
        <v>523</v>
      </c>
      <c r="B31" s="32" t="s">
        <v>535</v>
      </c>
      <c r="C31" s="32">
        <v>20</v>
      </c>
      <c r="D31" s="32" t="s">
        <v>525</v>
      </c>
      <c r="E31" s="32"/>
    </row>
    <row r="32" spans="1:21" x14ac:dyDescent="0.35">
      <c r="A32" s="32" t="s">
        <v>523</v>
      </c>
      <c r="B32" s="32" t="s">
        <v>536</v>
      </c>
      <c r="C32" s="32">
        <v>1.5</v>
      </c>
      <c r="D32" s="32" t="s">
        <v>525</v>
      </c>
      <c r="E32" s="32"/>
    </row>
    <row r="33" spans="1:5" x14ac:dyDescent="0.35">
      <c r="A33" s="32" t="s">
        <v>523</v>
      </c>
      <c r="B33" s="32" t="s">
        <v>537</v>
      </c>
      <c r="C33" s="32">
        <v>1.2</v>
      </c>
      <c r="D33" s="32" t="s">
        <v>525</v>
      </c>
      <c r="E33" s="32"/>
    </row>
    <row r="34" spans="1:5" x14ac:dyDescent="0.35">
      <c r="A34" s="32" t="s">
        <v>523</v>
      </c>
      <c r="B34" s="32" t="s">
        <v>538</v>
      </c>
      <c r="C34" s="32">
        <v>2</v>
      </c>
      <c r="D34" s="32" t="s">
        <v>539</v>
      </c>
      <c r="E34" s="32"/>
    </row>
  </sheetData>
  <sheetProtection sheet="1" objects="1" scenarios="1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2:O13"/>
  <sheetViews>
    <sheetView workbookViewId="0"/>
  </sheetViews>
  <sheetFormatPr defaultColWidth="8.81640625" defaultRowHeight="14.5" x14ac:dyDescent="0.35"/>
  <cols>
    <col min="1" max="1" width="2.7265625" customWidth="1"/>
    <col min="2" max="2" width="18.1796875" customWidth="1"/>
    <col min="3" max="3" width="9.1796875" customWidth="1"/>
    <col min="4" max="4" width="7.1796875" customWidth="1"/>
    <col min="6" max="6" width="8.1796875" customWidth="1"/>
    <col min="7" max="7" width="2.6328125" customWidth="1"/>
    <col min="8" max="8" width="11.7265625" bestFit="1" customWidth="1"/>
    <col min="9" max="10" width="5.26953125" customWidth="1"/>
    <col min="11" max="11" width="3.26953125" customWidth="1"/>
    <col min="12" max="12" width="8.453125" bestFit="1" customWidth="1"/>
    <col min="13" max="13" width="8.7265625" bestFit="1" customWidth="1"/>
    <col min="14" max="14" width="10.1796875" bestFit="1" customWidth="1"/>
    <col min="15" max="15" width="6.08984375" bestFit="1" customWidth="1"/>
  </cols>
  <sheetData>
    <row r="2" spans="1:15" ht="18.5" customHeight="1" x14ac:dyDescent="0.35">
      <c r="B2" s="271" t="s">
        <v>403</v>
      </c>
      <c r="C2" s="271"/>
      <c r="D2" s="271"/>
      <c r="E2" s="271"/>
      <c r="F2" s="271"/>
      <c r="G2" s="123"/>
      <c r="H2" s="272" t="s">
        <v>404</v>
      </c>
      <c r="I2" s="272" t="s">
        <v>405</v>
      </c>
      <c r="J2" s="272" t="s">
        <v>846</v>
      </c>
      <c r="K2" s="273"/>
      <c r="L2" s="272" t="s">
        <v>406</v>
      </c>
      <c r="M2" s="272" t="s">
        <v>407</v>
      </c>
      <c r="N2" s="272" t="s">
        <v>404</v>
      </c>
      <c r="O2" s="272" t="s">
        <v>407</v>
      </c>
    </row>
    <row r="3" spans="1:15" x14ac:dyDescent="0.35">
      <c r="B3" s="124" t="s">
        <v>408</v>
      </c>
      <c r="C3" s="312">
        <v>265</v>
      </c>
      <c r="D3" s="268" t="s">
        <v>409</v>
      </c>
      <c r="E3" s="126" t="s">
        <v>259</v>
      </c>
      <c r="F3" s="24"/>
      <c r="G3" s="127"/>
      <c r="H3" s="146" t="s">
        <v>410</v>
      </c>
      <c r="I3" s="308">
        <v>4</v>
      </c>
      <c r="J3" s="129">
        <f t="shared" ref="J3:J9" si="0">I3/$C$7</f>
        <v>0.24637681159420291</v>
      </c>
      <c r="K3" s="127"/>
      <c r="L3" s="122" t="s">
        <v>411</v>
      </c>
      <c r="M3" s="130" t="s">
        <v>412</v>
      </c>
      <c r="N3" s="130" t="s">
        <v>413</v>
      </c>
      <c r="O3" s="130" t="s">
        <v>414</v>
      </c>
    </row>
    <row r="4" spans="1:15" x14ac:dyDescent="0.35">
      <c r="B4" s="124" t="s">
        <v>415</v>
      </c>
      <c r="C4" s="131">
        <f>C3-F7</f>
        <v>198</v>
      </c>
      <c r="D4" s="126"/>
      <c r="E4" s="126" t="s">
        <v>416</v>
      </c>
      <c r="F4" s="24">
        <f>SUM(I3:I7)</f>
        <v>67</v>
      </c>
      <c r="G4" s="127"/>
      <c r="H4" s="146">
        <v>200140</v>
      </c>
      <c r="I4" s="308">
        <v>42</v>
      </c>
      <c r="J4" s="129">
        <f t="shared" si="0"/>
        <v>2.5869565217391304</v>
      </c>
      <c r="K4" s="127"/>
      <c r="L4" s="122" t="s">
        <v>417</v>
      </c>
      <c r="M4" s="130" t="s">
        <v>418</v>
      </c>
      <c r="N4" s="130" t="s">
        <v>419</v>
      </c>
      <c r="O4" s="130" t="s">
        <v>420</v>
      </c>
    </row>
    <row r="5" spans="1:15" x14ac:dyDescent="0.35">
      <c r="B5" s="132" t="s">
        <v>421</v>
      </c>
      <c r="C5" s="133">
        <v>680</v>
      </c>
      <c r="D5" s="269"/>
      <c r="E5" s="126" t="s">
        <v>422</v>
      </c>
      <c r="F5" s="134">
        <f>I8</f>
        <v>0</v>
      </c>
      <c r="G5" s="127"/>
      <c r="H5" s="146">
        <v>200141</v>
      </c>
      <c r="I5" s="308">
        <v>21</v>
      </c>
      <c r="J5" s="129">
        <f t="shared" si="0"/>
        <v>1.2934782608695652</v>
      </c>
      <c r="K5" s="127"/>
      <c r="L5" s="122" t="s">
        <v>423</v>
      </c>
      <c r="M5" s="130" t="s">
        <v>418</v>
      </c>
      <c r="N5" s="130">
        <v>200015</v>
      </c>
      <c r="O5" s="130"/>
    </row>
    <row r="6" spans="1:15" x14ac:dyDescent="0.35">
      <c r="B6" s="132" t="s">
        <v>424</v>
      </c>
      <c r="C6" s="133">
        <v>1.6</v>
      </c>
      <c r="D6" s="270"/>
      <c r="E6" s="126" t="s">
        <v>425</v>
      </c>
      <c r="F6" s="134">
        <f>I9</f>
        <v>0</v>
      </c>
      <c r="G6" s="127"/>
      <c r="H6" s="135">
        <v>200150</v>
      </c>
      <c r="I6" s="309"/>
      <c r="J6" s="137">
        <f t="shared" si="0"/>
        <v>0</v>
      </c>
      <c r="K6" s="127"/>
      <c r="L6" s="122" t="s">
        <v>426</v>
      </c>
      <c r="M6" s="130"/>
      <c r="N6" s="130" t="s">
        <v>427</v>
      </c>
      <c r="O6" s="130">
        <v>1.8</v>
      </c>
    </row>
    <row r="7" spans="1:15" x14ac:dyDescent="0.35">
      <c r="B7" s="124" t="s">
        <v>428</v>
      </c>
      <c r="C7" s="131">
        <f>60/(C5/C6/C9)</f>
        <v>16.235294117647058</v>
      </c>
      <c r="D7" s="126"/>
      <c r="E7" s="126" t="s">
        <v>429</v>
      </c>
      <c r="F7" s="134">
        <f>SUM(F3:F6)</f>
        <v>67</v>
      </c>
      <c r="G7" s="127"/>
      <c r="H7" s="146">
        <v>200151</v>
      </c>
      <c r="I7" s="308"/>
      <c r="J7" s="129">
        <f t="shared" si="0"/>
        <v>0</v>
      </c>
      <c r="K7" s="127"/>
      <c r="L7" s="122" t="s">
        <v>430</v>
      </c>
      <c r="M7" s="130"/>
      <c r="N7" s="130" t="s">
        <v>431</v>
      </c>
      <c r="O7" s="130"/>
    </row>
    <row r="8" spans="1:15" x14ac:dyDescent="0.35">
      <c r="B8" s="124" t="s">
        <v>432</v>
      </c>
      <c r="C8" s="125">
        <f>C5/C6</f>
        <v>425</v>
      </c>
      <c r="D8" s="126"/>
      <c r="E8" s="126"/>
      <c r="F8" s="23"/>
      <c r="G8" s="127"/>
      <c r="H8" s="122" t="s">
        <v>433</v>
      </c>
      <c r="I8" s="310"/>
      <c r="J8" s="129">
        <f t="shared" si="0"/>
        <v>0</v>
      </c>
      <c r="K8" s="127"/>
      <c r="L8" s="122" t="s">
        <v>434</v>
      </c>
      <c r="M8" s="130" t="s">
        <v>435</v>
      </c>
      <c r="N8" s="130">
        <v>200023</v>
      </c>
      <c r="O8" s="130"/>
    </row>
    <row r="9" spans="1:15" x14ac:dyDescent="0.35">
      <c r="B9" s="124" t="s">
        <v>436</v>
      </c>
      <c r="C9" s="125">
        <v>115</v>
      </c>
      <c r="D9" s="126"/>
      <c r="E9" s="126"/>
      <c r="F9" s="23"/>
      <c r="G9" s="127"/>
      <c r="H9" s="146" t="s">
        <v>431</v>
      </c>
      <c r="I9" s="311"/>
      <c r="J9" s="129">
        <f t="shared" si="0"/>
        <v>0</v>
      </c>
      <c r="K9" s="138"/>
      <c r="L9" s="122" t="s">
        <v>437</v>
      </c>
      <c r="M9" s="130" t="s">
        <v>412</v>
      </c>
      <c r="N9" s="130">
        <v>200017</v>
      </c>
      <c r="O9" s="130"/>
    </row>
    <row r="10" spans="1:15" x14ac:dyDescent="0.35">
      <c r="A10" s="77"/>
      <c r="B10" s="139"/>
      <c r="C10" s="139"/>
      <c r="D10" s="139"/>
      <c r="E10" s="139"/>
      <c r="F10" s="139"/>
      <c r="G10" s="138"/>
      <c r="H10" s="122"/>
      <c r="I10" s="308"/>
      <c r="J10" s="128"/>
      <c r="K10" s="127"/>
      <c r="L10" s="135" t="s">
        <v>438</v>
      </c>
      <c r="M10" s="136" t="s">
        <v>435</v>
      </c>
      <c r="N10" s="130">
        <v>200190</v>
      </c>
      <c r="O10" s="130"/>
    </row>
    <row r="11" spans="1:15" x14ac:dyDescent="0.35">
      <c r="B11" s="140"/>
      <c r="C11" s="141"/>
      <c r="D11" s="141"/>
      <c r="E11" s="141"/>
      <c r="F11" s="141"/>
      <c r="G11" s="127"/>
      <c r="H11" s="122"/>
      <c r="I11" s="308"/>
      <c r="J11" s="128"/>
      <c r="K11" s="142"/>
      <c r="L11" s="143"/>
      <c r="M11" s="130"/>
      <c r="N11" s="130"/>
      <c r="O11" s="130"/>
    </row>
    <row r="12" spans="1:15" x14ac:dyDescent="0.35">
      <c r="B12" s="144"/>
      <c r="C12" s="145"/>
      <c r="D12" s="145"/>
      <c r="E12" s="145"/>
      <c r="F12" s="145"/>
      <c r="G12" s="127"/>
      <c r="H12" s="122"/>
      <c r="I12" s="308"/>
      <c r="J12" s="128"/>
      <c r="K12" s="127"/>
      <c r="L12" s="143"/>
      <c r="M12" s="130"/>
      <c r="N12" s="130"/>
      <c r="O12" s="130"/>
    </row>
    <row r="13" spans="1:15" x14ac:dyDescent="0.35">
      <c r="B13" s="83"/>
      <c r="C13" s="4"/>
      <c r="D13" s="4"/>
      <c r="E13" s="4"/>
      <c r="F13" s="5"/>
      <c r="G13" s="6"/>
    </row>
  </sheetData>
  <sheetProtection sheet="1" objects="1" scenarios="1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</sheetPr>
  <dimension ref="B2:R265"/>
  <sheetViews>
    <sheetView workbookViewId="0"/>
  </sheetViews>
  <sheetFormatPr defaultColWidth="8.81640625" defaultRowHeight="14.5" x14ac:dyDescent="0.35"/>
  <cols>
    <col min="1" max="1" width="2.26953125" customWidth="1"/>
    <col min="2" max="2" width="10.1796875" customWidth="1"/>
    <col min="3" max="15" width="7.6328125" customWidth="1"/>
    <col min="16" max="18" width="7.6328125" style="162" customWidth="1"/>
  </cols>
  <sheetData>
    <row r="2" spans="2:18" ht="40" customHeight="1" x14ac:dyDescent="0.35">
      <c r="B2" s="227" t="s">
        <v>404</v>
      </c>
      <c r="C2" s="228" t="s">
        <v>439</v>
      </c>
      <c r="D2" s="228" t="s">
        <v>440</v>
      </c>
      <c r="E2" s="228"/>
      <c r="F2" s="228" t="s">
        <v>133</v>
      </c>
      <c r="G2" s="228"/>
      <c r="H2" s="228"/>
      <c r="I2" s="228"/>
      <c r="J2" s="228"/>
      <c r="K2" s="228"/>
      <c r="L2" s="228"/>
      <c r="M2" s="228" t="s">
        <v>441</v>
      </c>
      <c r="N2" s="228" t="s">
        <v>5</v>
      </c>
      <c r="O2" s="228" t="s">
        <v>442</v>
      </c>
      <c r="P2" s="229" t="s">
        <v>7</v>
      </c>
      <c r="Q2" s="229" t="s">
        <v>8</v>
      </c>
      <c r="R2" s="229" t="s">
        <v>443</v>
      </c>
    </row>
    <row r="3" spans="2:18" ht="15" customHeight="1" x14ac:dyDescent="0.35">
      <c r="B3" s="230">
        <f>'05_Daily_Orders'!C3</f>
        <v>260</v>
      </c>
      <c r="C3" s="303">
        <v>0</v>
      </c>
      <c r="D3" s="303">
        <v>0</v>
      </c>
      <c r="E3" s="304"/>
      <c r="F3" s="304"/>
      <c r="G3" s="305">
        <v>0</v>
      </c>
      <c r="H3" s="305"/>
      <c r="I3" s="305"/>
      <c r="J3" s="305"/>
      <c r="K3" s="305"/>
      <c r="L3" s="305"/>
      <c r="M3" s="231">
        <f t="shared" ref="M3:M66" si="0">IF($F$2="n",0,(SUM(G3:L3)-C3))</f>
        <v>0</v>
      </c>
      <c r="N3" s="232" t="str">
        <f>_xlfn.IFNA(_xlfn.XLOOKUP(B3,'00_SKU_Master'!$B$2:$B$379,'00_SKU_Master'!$C$2:$C$379,0),"")</f>
        <v>61050#2</v>
      </c>
      <c r="O3" s="233" t="str">
        <f>'05_Daily_Orders'!M3</f>
        <v>LCL</v>
      </c>
      <c r="P3" s="233" t="str">
        <f>_xlfn.IFNA(_xlfn.XLOOKUP(B3,'00_SKU_Master'!$B$2:$B$379,'00_SKU_Master'!$E$2:$E$379,""),"")</f>
        <v>BSB</v>
      </c>
      <c r="Q3" s="234">
        <f>_xlfn.IFNA(_xlfn.XLOOKUP(B3,'00_SKU_Master'!$B$2:$B$379,'00_SKU_Master'!$F$2:$F$379,0),0)</f>
        <v>0</v>
      </c>
      <c r="R3" s="253">
        <f t="shared" ref="R3:R66" si="1">IF($M3="",0,$M3*Q3)</f>
        <v>0</v>
      </c>
    </row>
    <row r="4" spans="2:18" x14ac:dyDescent="0.35">
      <c r="B4" s="235">
        <f>'05_Daily_Orders'!C4</f>
        <v>331</v>
      </c>
      <c r="C4" s="303">
        <v>0</v>
      </c>
      <c r="D4" s="303">
        <v>10</v>
      </c>
      <c r="E4" s="306"/>
      <c r="F4" s="306"/>
      <c r="G4" s="307">
        <v>0</v>
      </c>
      <c r="H4" s="307"/>
      <c r="I4" s="307"/>
      <c r="J4" s="307"/>
      <c r="K4" s="307"/>
      <c r="L4" s="307"/>
      <c r="M4" s="237">
        <f t="shared" si="0"/>
        <v>0</v>
      </c>
      <c r="N4" s="238">
        <f>_xlfn.IFNA(_xlfn.XLOOKUP(B4,'00_SKU_Master'!$B$2:$B$379,'00_SKU_Master'!$C$2:$C$379,0),"")</f>
        <v>61061</v>
      </c>
      <c r="O4" s="233" t="str">
        <f>'05_Daily_Orders'!M4</f>
        <v>METRO</v>
      </c>
      <c r="P4" s="239" t="str">
        <f>_xlfn.IFNA(_xlfn.XLOOKUP(B4,'00_SKU_Master'!$B$2:$B$379,'00_SKU_Master'!$E$2:$E$379,""),"")</f>
        <v>BA</v>
      </c>
      <c r="Q4" s="240">
        <f>_xlfn.IFNA(_xlfn.XLOOKUP(B4,'00_SKU_Master'!$B$2:$B$379,'00_SKU_Master'!$F$2:$F$379,0),0)</f>
        <v>10.0088994565217</v>
      </c>
      <c r="R4" s="253">
        <f t="shared" si="1"/>
        <v>0</v>
      </c>
    </row>
    <row r="5" spans="2:18" x14ac:dyDescent="0.35">
      <c r="B5" s="235">
        <f>'05_Daily_Orders'!C5</f>
        <v>349</v>
      </c>
      <c r="C5" s="303">
        <v>0</v>
      </c>
      <c r="D5" s="303">
        <v>0</v>
      </c>
      <c r="E5" s="306"/>
      <c r="F5" s="306"/>
      <c r="G5" s="307">
        <v>0</v>
      </c>
      <c r="H5" s="307"/>
      <c r="I5" s="307"/>
      <c r="J5" s="307"/>
      <c r="K5" s="307"/>
      <c r="L5" s="307"/>
      <c r="M5" s="237">
        <f t="shared" si="0"/>
        <v>0</v>
      </c>
      <c r="N5" s="238" t="str">
        <f>_xlfn.IFNA(_xlfn.XLOOKUP(B5,'00_SKU_Master'!$B$2:$B$379,'00_SKU_Master'!$C$2:$C$379,0),"")</f>
        <v>61040#2</v>
      </c>
      <c r="O5" s="233" t="str">
        <f>'05_Daily_Orders'!M5</f>
        <v>FB</v>
      </c>
      <c r="P5" s="239" t="str">
        <f>_xlfn.IFNA(_xlfn.XLOOKUP(B5,'00_SKU_Master'!$B$2:$B$379,'00_SKU_Master'!$E$2:$E$379,""),"")</f>
        <v>SplitBreast</v>
      </c>
      <c r="Q5" s="240">
        <f>_xlfn.IFNA(_xlfn.XLOOKUP(B5,'00_SKU_Master'!$B$2:$B$379,'00_SKU_Master'!$F$2:$F$379,0),0)</f>
        <v>0</v>
      </c>
      <c r="R5" s="253">
        <f t="shared" si="1"/>
        <v>0</v>
      </c>
    </row>
    <row r="6" spans="2:18" x14ac:dyDescent="0.35">
      <c r="B6" s="235">
        <f>'05_Daily_Orders'!C6</f>
        <v>484</v>
      </c>
      <c r="C6" s="303">
        <v>0</v>
      </c>
      <c r="D6" s="303">
        <v>0</v>
      </c>
      <c r="E6" s="306"/>
      <c r="F6" s="306"/>
      <c r="G6" s="307">
        <v>28</v>
      </c>
      <c r="H6" s="307"/>
      <c r="I6" s="307"/>
      <c r="J6" s="307"/>
      <c r="K6" s="307"/>
      <c r="L6" s="307"/>
      <c r="M6" s="237">
        <f t="shared" si="0"/>
        <v>28</v>
      </c>
      <c r="N6" s="238">
        <f>_xlfn.IFNA(_xlfn.XLOOKUP(B6,'00_SKU_Master'!$B$2:$B$379,'00_SKU_Master'!$C$2:$C$379,0),"")</f>
        <v>61121</v>
      </c>
      <c r="O6" s="233" t="str">
        <f>'05_Daily_Orders'!M6</f>
        <v>FB</v>
      </c>
      <c r="P6" s="239" t="str">
        <f>_xlfn.IFNA(_xlfn.XLOOKUP(B6,'00_SKU_Master'!$B$2:$B$379,'00_SKU_Master'!$E$2:$E$379,""),"")</f>
        <v>Backbone</v>
      </c>
      <c r="Q6" s="240">
        <f>_xlfn.IFNA(_xlfn.XLOOKUP(B6,'00_SKU_Master'!$B$2:$B$379,'00_SKU_Master'!$F$2:$F$379,0),0)</f>
        <v>9.4150184653262201</v>
      </c>
      <c r="R6" s="253">
        <f t="shared" si="1"/>
        <v>263.62051702913413</v>
      </c>
    </row>
    <row r="7" spans="2:18" x14ac:dyDescent="0.35">
      <c r="B7" s="235">
        <f>'05_Daily_Orders'!C7</f>
        <v>784</v>
      </c>
      <c r="C7" s="303">
        <v>1</v>
      </c>
      <c r="D7" s="303">
        <v>0</v>
      </c>
      <c r="E7" s="306"/>
      <c r="F7" s="306"/>
      <c r="G7" s="307">
        <v>86</v>
      </c>
      <c r="H7" s="307"/>
      <c r="I7" s="307"/>
      <c r="J7" s="307"/>
      <c r="K7" s="307"/>
      <c r="L7" s="307"/>
      <c r="M7" s="237">
        <f t="shared" si="0"/>
        <v>85</v>
      </c>
      <c r="N7" s="238" t="str">
        <f>_xlfn.IFNA(_xlfn.XLOOKUP(B7,'00_SKU_Master'!$B$2:$B$379,'00_SKU_Master'!$C$2:$C$379,0),"")</f>
        <v>61086#2</v>
      </c>
      <c r="O7" s="233" t="str">
        <f>'05_Daily_Orders'!M7</f>
        <v>FB</v>
      </c>
      <c r="P7" s="239" t="str">
        <f>_xlfn.IFNA(_xlfn.XLOOKUP(B7,'00_SKU_Master'!$B$2:$B$379,'00_SKU_Master'!$E$2:$E$379,""),"")</f>
        <v>ThighMeat</v>
      </c>
      <c r="Q7" s="240">
        <f>_xlfn.IFNA(_xlfn.XLOOKUP(B7,'00_SKU_Master'!$B$2:$B$379,'00_SKU_Master'!$F$2:$F$379,0),0)</f>
        <v>8.2634387451454998</v>
      </c>
      <c r="R7" s="253">
        <f t="shared" si="1"/>
        <v>702.39229333736751</v>
      </c>
    </row>
    <row r="8" spans="2:18" x14ac:dyDescent="0.35">
      <c r="B8" s="235">
        <f>'05_Daily_Orders'!C8</f>
        <v>946</v>
      </c>
      <c r="C8" s="303">
        <v>0</v>
      </c>
      <c r="D8" s="303">
        <v>0</v>
      </c>
      <c r="E8" s="306"/>
      <c r="F8" s="306"/>
      <c r="G8" s="307">
        <v>0</v>
      </c>
      <c r="H8" s="307"/>
      <c r="I8" s="307"/>
      <c r="J8" s="307"/>
      <c r="K8" s="307"/>
      <c r="L8" s="307"/>
      <c r="M8" s="237">
        <f t="shared" si="0"/>
        <v>0</v>
      </c>
      <c r="N8" s="238" t="str">
        <f>_xlfn.IFNA(_xlfn.XLOOKUP(B8,'00_SKU_Master'!$B$2:$B$379,'00_SKU_Master'!$C$2:$C$379,0),"")</f>
        <v>61040#2</v>
      </c>
      <c r="O8" s="233" t="str">
        <f>'05_Daily_Orders'!M8</f>
        <v>FB</v>
      </c>
      <c r="P8" s="239" t="str">
        <f>_xlfn.IFNA(_xlfn.XLOOKUP(B8,'00_SKU_Master'!$B$2:$B$379,'00_SKU_Master'!$E$2:$E$379,""),"")</f>
        <v>SplitBreast</v>
      </c>
      <c r="Q8" s="240">
        <f>_xlfn.IFNA(_xlfn.XLOOKUP(B8,'00_SKU_Master'!$B$2:$B$379,'00_SKU_Master'!$F$2:$F$379,0),0)</f>
        <v>0</v>
      </c>
      <c r="R8" s="253">
        <f t="shared" si="1"/>
        <v>0</v>
      </c>
    </row>
    <row r="9" spans="2:18" x14ac:dyDescent="0.35">
      <c r="B9" s="235">
        <f>'05_Daily_Orders'!C9</f>
        <v>956</v>
      </c>
      <c r="C9" s="303">
        <v>0</v>
      </c>
      <c r="D9" s="303">
        <v>0</v>
      </c>
      <c r="E9" s="306"/>
      <c r="F9" s="306"/>
      <c r="G9" s="307">
        <v>0</v>
      </c>
      <c r="H9" s="307"/>
      <c r="I9" s="307"/>
      <c r="J9" s="307"/>
      <c r="K9" s="307"/>
      <c r="L9" s="307"/>
      <c r="M9" s="237">
        <f t="shared" si="0"/>
        <v>0</v>
      </c>
      <c r="N9" s="238" t="str">
        <f>_xlfn.IFNA(_xlfn.XLOOKUP(B9,'00_SKU_Master'!$B$2:$B$379,'00_SKU_Master'!$C$2:$C$379,0),"")</f>
        <v>61072#2</v>
      </c>
      <c r="O9" s="233" t="str">
        <f>'05_Daily_Orders'!M9</f>
        <v>FB</v>
      </c>
      <c r="P9" s="239" t="str">
        <f>_xlfn.IFNA(_xlfn.XLOOKUP(B9,'00_SKU_Master'!$B$2:$B$379,'00_SKU_Master'!$E$2:$E$379,""),"")</f>
        <v>Drum</v>
      </c>
      <c r="Q9" s="240">
        <f>_xlfn.IFNA(_xlfn.XLOOKUP(B9,'00_SKU_Master'!$B$2:$B$379,'00_SKU_Master'!$F$2:$F$379,0),0)</f>
        <v>0</v>
      </c>
      <c r="R9" s="253">
        <f t="shared" si="1"/>
        <v>0</v>
      </c>
    </row>
    <row r="10" spans="2:18" x14ac:dyDescent="0.35">
      <c r="B10" s="235">
        <f>'05_Daily_Orders'!C10</f>
        <v>957</v>
      </c>
      <c r="C10" s="303">
        <v>0</v>
      </c>
      <c r="D10" s="303">
        <v>0</v>
      </c>
      <c r="E10" s="306"/>
      <c r="F10" s="306"/>
      <c r="G10" s="307">
        <v>0</v>
      </c>
      <c r="H10" s="307"/>
      <c r="I10" s="307"/>
      <c r="J10" s="307"/>
      <c r="K10" s="307"/>
      <c r="L10" s="307"/>
      <c r="M10" s="237">
        <f t="shared" si="0"/>
        <v>0</v>
      </c>
      <c r="N10" s="238">
        <f>_xlfn.IFNA(_xlfn.XLOOKUP(B10,'00_SKU_Master'!$B$2:$B$379,'00_SKU_Master'!$C$2:$C$379,0),"")</f>
        <v>61082</v>
      </c>
      <c r="O10" s="233" t="str">
        <f>'05_Daily_Orders'!M10</f>
        <v>FB</v>
      </c>
      <c r="P10" s="239" t="str">
        <f>_xlfn.IFNA(_xlfn.XLOOKUP(B10,'00_SKU_Master'!$B$2:$B$379,'00_SKU_Master'!$E$2:$E$379,""),"")</f>
        <v>Thigh</v>
      </c>
      <c r="Q10" s="240">
        <f>_xlfn.IFNA(_xlfn.XLOOKUP(B10,'00_SKU_Master'!$B$2:$B$379,'00_SKU_Master'!$F$2:$F$379,0),0)</f>
        <v>0</v>
      </c>
      <c r="R10" s="253">
        <f t="shared" si="1"/>
        <v>0</v>
      </c>
    </row>
    <row r="11" spans="2:18" x14ac:dyDescent="0.35">
      <c r="B11" s="235">
        <f>'05_Daily_Orders'!C11</f>
        <v>1023</v>
      </c>
      <c r="C11" s="303">
        <v>0</v>
      </c>
      <c r="D11" s="303">
        <v>5</v>
      </c>
      <c r="E11" s="306"/>
      <c r="F11" s="306"/>
      <c r="G11" s="307">
        <v>0</v>
      </c>
      <c r="H11" s="307"/>
      <c r="I11" s="307"/>
      <c r="J11" s="307"/>
      <c r="K11" s="307"/>
      <c r="L11" s="307"/>
      <c r="M11" s="237">
        <f t="shared" si="0"/>
        <v>0</v>
      </c>
      <c r="N11" s="238">
        <f>_xlfn.IFNA(_xlfn.XLOOKUP(B11,'00_SKU_Master'!$B$2:$B$379,'00_SKU_Master'!$C$2:$C$379,0),"")</f>
        <v>61121</v>
      </c>
      <c r="O11" s="233" t="str">
        <f>'05_Daily_Orders'!M11</f>
        <v>METRO</v>
      </c>
      <c r="P11" s="239" t="str">
        <f>_xlfn.IFNA(_xlfn.XLOOKUP(B11,'00_SKU_Master'!$B$2:$B$379,'00_SKU_Master'!$E$2:$E$379,""),"")</f>
        <v>Backbone</v>
      </c>
      <c r="Q11" s="240">
        <f>_xlfn.IFNA(_xlfn.XLOOKUP(B11,'00_SKU_Master'!$B$2:$B$379,'00_SKU_Master'!$F$2:$F$379,0),0)</f>
        <v>9.3701255940257901</v>
      </c>
      <c r="R11" s="253">
        <f t="shared" si="1"/>
        <v>0</v>
      </c>
    </row>
    <row r="12" spans="2:18" x14ac:dyDescent="0.35">
      <c r="B12" s="235">
        <f>'05_Daily_Orders'!C12</f>
        <v>1830</v>
      </c>
      <c r="C12" s="303">
        <v>0</v>
      </c>
      <c r="D12" s="303">
        <v>59</v>
      </c>
      <c r="E12" s="306"/>
      <c r="F12" s="306"/>
      <c r="G12" s="307">
        <v>52</v>
      </c>
      <c r="H12" s="307"/>
      <c r="I12" s="307"/>
      <c r="J12" s="307"/>
      <c r="K12" s="307"/>
      <c r="L12" s="307"/>
      <c r="M12" s="237">
        <f t="shared" si="0"/>
        <v>52</v>
      </c>
      <c r="N12" s="238" t="str">
        <f>_xlfn.IFNA(_xlfn.XLOOKUP(B12,'00_SKU_Master'!$B$2:$B$379,'00_SKU_Master'!$C$2:$C$379,0),"")</f>
        <v>61050F</v>
      </c>
      <c r="O12" s="233" t="str">
        <f>'05_Daily_Orders'!M12</f>
        <v>FB</v>
      </c>
      <c r="P12" s="239" t="str">
        <f>_xlfn.IFNA(_xlfn.XLOOKUP(B12,'00_SKU_Master'!$B$2:$B$379,'00_SKU_Master'!$E$2:$E$379,""),"")</f>
        <v>BSB</v>
      </c>
      <c r="Q12" s="240">
        <f>_xlfn.IFNA(_xlfn.XLOOKUP(B12,'00_SKU_Master'!$B$2:$B$379,'00_SKU_Master'!$F$2:$F$379,0),0)</f>
        <v>3.5867373511904699</v>
      </c>
      <c r="R12" s="253">
        <f t="shared" si="1"/>
        <v>186.51034226190444</v>
      </c>
    </row>
    <row r="13" spans="2:18" x14ac:dyDescent="0.35">
      <c r="B13" s="235">
        <f>'05_Daily_Orders'!C13</f>
        <v>1831</v>
      </c>
      <c r="C13" s="303">
        <v>0</v>
      </c>
      <c r="D13" s="303">
        <v>110</v>
      </c>
      <c r="E13" s="306"/>
      <c r="F13" s="306"/>
      <c r="G13" s="307">
        <v>75</v>
      </c>
      <c r="H13" s="307"/>
      <c r="I13" s="307"/>
      <c r="J13" s="307"/>
      <c r="K13" s="307"/>
      <c r="L13" s="307"/>
      <c r="M13" s="237">
        <f t="shared" si="0"/>
        <v>75</v>
      </c>
      <c r="N13" s="238">
        <f>_xlfn.IFNA(_xlfn.XLOOKUP(B13,'00_SKU_Master'!$B$2:$B$379,'00_SKU_Master'!$C$2:$C$379,0),"")</f>
        <v>203021</v>
      </c>
      <c r="O13" s="233" t="str">
        <f>'05_Daily_Orders'!M13</f>
        <v>FB</v>
      </c>
      <c r="P13" s="239" t="str">
        <f>_xlfn.IFNA(_xlfn.XLOOKUP(B13,'00_SKU_Master'!$B$2:$B$379,'00_SKU_Master'!$E$2:$E$379,""),"")</f>
        <v>Whole Bird-Small</v>
      </c>
      <c r="Q13" s="240">
        <f>_xlfn.IFNA(_xlfn.XLOOKUP(B13,'00_SKU_Master'!$B$2:$B$379,'00_SKU_Master'!$F$2:$F$379,0),0)</f>
        <v>7.2381955626574799</v>
      </c>
      <c r="R13" s="253">
        <f t="shared" si="1"/>
        <v>542.86466719931104</v>
      </c>
    </row>
    <row r="14" spans="2:18" x14ac:dyDescent="0.35">
      <c r="B14" s="235">
        <f>'05_Daily_Orders'!C14</f>
        <v>1837</v>
      </c>
      <c r="C14" s="303">
        <v>0</v>
      </c>
      <c r="D14" s="303">
        <v>0</v>
      </c>
      <c r="E14" s="306"/>
      <c r="F14" s="306"/>
      <c r="G14" s="307">
        <v>0</v>
      </c>
      <c r="H14" s="307"/>
      <c r="I14" s="307"/>
      <c r="J14" s="307"/>
      <c r="K14" s="307"/>
      <c r="L14" s="307"/>
      <c r="M14" s="237">
        <f t="shared" si="0"/>
        <v>0</v>
      </c>
      <c r="N14" s="238">
        <f>_xlfn.IFNA(_xlfn.XLOOKUP(B14,'00_SKU_Master'!$B$2:$B$379,'00_SKU_Master'!$C$2:$C$379,0),"")</f>
        <v>61010</v>
      </c>
      <c r="O14" s="233" t="str">
        <f>'05_Daily_Orders'!M14</f>
        <v>FB</v>
      </c>
      <c r="P14" s="239" t="str">
        <f>_xlfn.IFNA(_xlfn.XLOOKUP(B14,'00_SKU_Master'!$B$2:$B$379,'00_SKU_Master'!$E$2:$E$379,""),"")</f>
        <v>Wing</v>
      </c>
      <c r="Q14" s="240">
        <f>_xlfn.IFNA(_xlfn.XLOOKUP(B14,'00_SKU_Master'!$B$2:$B$379,'00_SKU_Master'!$F$2:$F$379,0),0)</f>
        <v>0</v>
      </c>
      <c r="R14" s="253">
        <f t="shared" si="1"/>
        <v>0</v>
      </c>
    </row>
    <row r="15" spans="2:18" x14ac:dyDescent="0.35">
      <c r="B15" s="235">
        <f>'05_Daily_Orders'!C15</f>
        <v>1838</v>
      </c>
      <c r="C15" s="303">
        <v>0</v>
      </c>
      <c r="D15" s="303">
        <v>0</v>
      </c>
      <c r="E15" s="306"/>
      <c r="F15" s="306"/>
      <c r="G15" s="307">
        <v>0</v>
      </c>
      <c r="H15" s="307"/>
      <c r="I15" s="307"/>
      <c r="J15" s="307"/>
      <c r="K15" s="307"/>
      <c r="L15" s="307"/>
      <c r="M15" s="237">
        <f t="shared" si="0"/>
        <v>0</v>
      </c>
      <c r="N15" s="238" t="str">
        <f>_xlfn.IFNA(_xlfn.XLOOKUP(B15,'00_SKU_Master'!$B$2:$B$379,'00_SKU_Master'!$C$2:$C$379,0),"")</f>
        <v>61050F</v>
      </c>
      <c r="O15" s="233" t="str">
        <f>'05_Daily_Orders'!M15</f>
        <v>FB</v>
      </c>
      <c r="P15" s="239" t="str">
        <f>_xlfn.IFNA(_xlfn.XLOOKUP(B15,'00_SKU_Master'!$B$2:$B$379,'00_SKU_Master'!$E$2:$E$379,""),"")</f>
        <v>BSB</v>
      </c>
      <c r="Q15" s="240">
        <f>_xlfn.IFNA(_xlfn.XLOOKUP(B15,'00_SKU_Master'!$B$2:$B$379,'00_SKU_Master'!$F$2:$F$379,0),0)</f>
        <v>0</v>
      </c>
      <c r="R15" s="253">
        <f t="shared" si="1"/>
        <v>0</v>
      </c>
    </row>
    <row r="16" spans="2:18" x14ac:dyDescent="0.35">
      <c r="B16" s="235">
        <f>'05_Daily_Orders'!C16</f>
        <v>1839</v>
      </c>
      <c r="C16" s="303">
        <v>0</v>
      </c>
      <c r="D16" s="303">
        <v>0</v>
      </c>
      <c r="E16" s="306"/>
      <c r="F16" s="306"/>
      <c r="G16" s="307">
        <v>0</v>
      </c>
      <c r="H16" s="307"/>
      <c r="I16" s="307"/>
      <c r="J16" s="307"/>
      <c r="K16" s="307"/>
      <c r="L16" s="307"/>
      <c r="M16" s="237">
        <f t="shared" si="0"/>
        <v>0</v>
      </c>
      <c r="N16" s="238">
        <f>_xlfn.IFNA(_xlfn.XLOOKUP(B16,'00_SKU_Master'!$B$2:$B$379,'00_SKU_Master'!$C$2:$C$379,0),"")</f>
        <v>203021</v>
      </c>
      <c r="O16" s="233" t="str">
        <f>'05_Daily_Orders'!M16</f>
        <v>FB</v>
      </c>
      <c r="P16" s="239" t="str">
        <f>_xlfn.IFNA(_xlfn.XLOOKUP(B16,'00_SKU_Master'!$B$2:$B$379,'00_SKU_Master'!$E$2:$E$379,""),"")</f>
        <v>Whole Bird-Small</v>
      </c>
      <c r="Q16" s="240">
        <f>_xlfn.IFNA(_xlfn.XLOOKUP(B16,'00_SKU_Master'!$B$2:$B$379,'00_SKU_Master'!$F$2:$F$379,0),0)</f>
        <v>0</v>
      </c>
      <c r="R16" s="253">
        <f t="shared" si="1"/>
        <v>0</v>
      </c>
    </row>
    <row r="17" spans="2:18" x14ac:dyDescent="0.35">
      <c r="B17" s="235">
        <f>'05_Daily_Orders'!C17</f>
        <v>1842</v>
      </c>
      <c r="C17" s="303">
        <v>0</v>
      </c>
      <c r="D17" s="303">
        <v>0</v>
      </c>
      <c r="E17" s="306"/>
      <c r="F17" s="306"/>
      <c r="G17" s="307">
        <v>0</v>
      </c>
      <c r="H17" s="307"/>
      <c r="I17" s="307"/>
      <c r="J17" s="307"/>
      <c r="K17" s="307"/>
      <c r="L17" s="307"/>
      <c r="M17" s="237">
        <f t="shared" si="0"/>
        <v>0</v>
      </c>
      <c r="N17" s="238">
        <f>_xlfn.IFNA(_xlfn.XLOOKUP(B17,'00_SKU_Master'!$B$2:$B$379,'00_SKU_Master'!$C$2:$C$379,0),"")</f>
        <v>61040</v>
      </c>
      <c r="O17" s="233" t="str">
        <f>'05_Daily_Orders'!M17</f>
        <v>FB</v>
      </c>
      <c r="P17" s="239" t="str">
        <f>_xlfn.IFNA(_xlfn.XLOOKUP(B17,'00_SKU_Master'!$B$2:$B$379,'00_SKU_Master'!$E$2:$E$379,""),"")</f>
        <v>SplitBreast</v>
      </c>
      <c r="Q17" s="240">
        <f>_xlfn.IFNA(_xlfn.XLOOKUP(B17,'00_SKU_Master'!$B$2:$B$379,'00_SKU_Master'!$F$2:$F$379,0),0)</f>
        <v>0</v>
      </c>
      <c r="R17" s="253">
        <f t="shared" si="1"/>
        <v>0</v>
      </c>
    </row>
    <row r="18" spans="2:18" x14ac:dyDescent="0.35">
      <c r="B18" s="235">
        <f>'05_Daily_Orders'!C18</f>
        <v>1843</v>
      </c>
      <c r="C18" s="303">
        <v>0</v>
      </c>
      <c r="D18" s="303">
        <v>0</v>
      </c>
      <c r="E18" s="306"/>
      <c r="F18" s="306"/>
      <c r="G18" s="307">
        <v>0</v>
      </c>
      <c r="H18" s="307"/>
      <c r="I18" s="307"/>
      <c r="J18" s="307"/>
      <c r="K18" s="307"/>
      <c r="L18" s="307"/>
      <c r="M18" s="237">
        <f t="shared" si="0"/>
        <v>0</v>
      </c>
      <c r="N18" s="238">
        <f>_xlfn.IFNA(_xlfn.XLOOKUP(B18,'00_SKU_Master'!$B$2:$B$379,'00_SKU_Master'!$C$2:$C$379,0),"")</f>
        <v>61014</v>
      </c>
      <c r="O18" s="233" t="str">
        <f>'05_Daily_Orders'!M18</f>
        <v>FB</v>
      </c>
      <c r="P18" s="239" t="str">
        <f>_xlfn.IFNA(_xlfn.XLOOKUP(B18,'00_SKU_Master'!$B$2:$B$379,'00_SKU_Master'!$E$2:$E$379,""),"")</f>
        <v>SplitWing</v>
      </c>
      <c r="Q18" s="240">
        <f>_xlfn.IFNA(_xlfn.XLOOKUP(B18,'00_SKU_Master'!$B$2:$B$379,'00_SKU_Master'!$F$2:$F$379,0),0)</f>
        <v>0</v>
      </c>
      <c r="R18" s="253">
        <f t="shared" si="1"/>
        <v>0</v>
      </c>
    </row>
    <row r="19" spans="2:18" x14ac:dyDescent="0.35">
      <c r="B19" s="235">
        <f>'05_Daily_Orders'!C19</f>
        <v>1874</v>
      </c>
      <c r="C19" s="303">
        <v>0</v>
      </c>
      <c r="D19" s="303">
        <v>0</v>
      </c>
      <c r="E19" s="306"/>
      <c r="F19" s="306"/>
      <c r="G19" s="307">
        <v>0</v>
      </c>
      <c r="H19" s="307"/>
      <c r="I19" s="307"/>
      <c r="J19" s="307"/>
      <c r="K19" s="307"/>
      <c r="L19" s="307"/>
      <c r="M19" s="237">
        <f t="shared" si="0"/>
        <v>0</v>
      </c>
      <c r="N19" s="238">
        <f>_xlfn.IFNA(_xlfn.XLOOKUP(B19,'00_SKU_Master'!$B$2:$B$379,'00_SKU_Master'!$C$2:$C$379,0),"")</f>
        <v>61050</v>
      </c>
      <c r="O19" s="233" t="str">
        <f>'05_Daily_Orders'!M19</f>
        <v>FB</v>
      </c>
      <c r="P19" s="239" t="str">
        <f>_xlfn.IFNA(_xlfn.XLOOKUP(B19,'00_SKU_Master'!$B$2:$B$379,'00_SKU_Master'!$E$2:$E$379,""),"")</f>
        <v>BSB</v>
      </c>
      <c r="Q19" s="240">
        <f>_xlfn.IFNA(_xlfn.XLOOKUP(B19,'00_SKU_Master'!$B$2:$B$379,'00_SKU_Master'!$F$2:$F$379,0),0)</f>
        <v>0</v>
      </c>
      <c r="R19" s="253">
        <f t="shared" si="1"/>
        <v>0</v>
      </c>
    </row>
    <row r="20" spans="2:18" x14ac:dyDescent="0.35">
      <c r="B20" s="235">
        <f>'05_Daily_Orders'!C20</f>
        <v>1876</v>
      </c>
      <c r="C20" s="303">
        <v>0</v>
      </c>
      <c r="D20" s="303">
        <v>0</v>
      </c>
      <c r="E20" s="306"/>
      <c r="F20" s="306"/>
      <c r="G20" s="307">
        <v>77</v>
      </c>
      <c r="H20" s="307"/>
      <c r="I20" s="307"/>
      <c r="J20" s="307"/>
      <c r="K20" s="307"/>
      <c r="L20" s="307"/>
      <c r="M20" s="237">
        <f t="shared" si="0"/>
        <v>77</v>
      </c>
      <c r="N20" s="238" t="str">
        <f>_xlfn.IFNA(_xlfn.XLOOKUP(B20,'00_SKU_Master'!$B$2:$B$379,'00_SKU_Master'!$C$2:$C$379,0),"")</f>
        <v>61072#2</v>
      </c>
      <c r="O20" s="233" t="str">
        <f>'05_Daily_Orders'!M20</f>
        <v>FB</v>
      </c>
      <c r="P20" s="239" t="str">
        <f>_xlfn.IFNA(_xlfn.XLOOKUP(B20,'00_SKU_Master'!$B$2:$B$379,'00_SKU_Master'!$E$2:$E$379,""),"")</f>
        <v>Drum</v>
      </c>
      <c r="Q20" s="240">
        <f>_xlfn.IFNA(_xlfn.XLOOKUP(B20,'00_SKU_Master'!$B$2:$B$379,'00_SKU_Master'!$F$2:$F$379,0),0)</f>
        <v>10.624118517364799</v>
      </c>
      <c r="R20" s="253">
        <f t="shared" si="1"/>
        <v>818.05712583708953</v>
      </c>
    </row>
    <row r="21" spans="2:18" x14ac:dyDescent="0.35">
      <c r="B21" s="235">
        <f>'05_Daily_Orders'!C21</f>
        <v>1877</v>
      </c>
      <c r="C21" s="303">
        <v>0</v>
      </c>
      <c r="D21" s="303">
        <v>92</v>
      </c>
      <c r="E21" s="306"/>
      <c r="F21" s="306"/>
      <c r="G21" s="307">
        <v>81</v>
      </c>
      <c r="H21" s="307"/>
      <c r="I21" s="307"/>
      <c r="J21" s="307"/>
      <c r="K21" s="307"/>
      <c r="L21" s="307"/>
      <c r="M21" s="237">
        <f t="shared" si="0"/>
        <v>81</v>
      </c>
      <c r="N21" s="238">
        <f>_xlfn.IFNA(_xlfn.XLOOKUP(B21,'00_SKU_Master'!$B$2:$B$379,'00_SKU_Master'!$C$2:$C$379,0),"")</f>
        <v>61082</v>
      </c>
      <c r="O21" s="233" t="str">
        <f>'05_Daily_Orders'!M21</f>
        <v>FB</v>
      </c>
      <c r="P21" s="239" t="str">
        <f>_xlfn.IFNA(_xlfn.XLOOKUP(B21,'00_SKU_Master'!$B$2:$B$379,'00_SKU_Master'!$E$2:$E$379,""),"")</f>
        <v>Thigh</v>
      </c>
      <c r="Q21" s="240">
        <f>_xlfn.IFNA(_xlfn.XLOOKUP(B21,'00_SKU_Master'!$B$2:$B$379,'00_SKU_Master'!$F$2:$F$379,0),0)</f>
        <v>12.432757646172201</v>
      </c>
      <c r="R21" s="253">
        <f t="shared" si="1"/>
        <v>1007.0533693399483</v>
      </c>
    </row>
    <row r="22" spans="2:18" x14ac:dyDescent="0.35">
      <c r="B22" s="235">
        <f>'05_Daily_Orders'!C22</f>
        <v>1878</v>
      </c>
      <c r="C22" s="303">
        <v>1</v>
      </c>
      <c r="D22" s="303">
        <v>0</v>
      </c>
      <c r="E22" s="306"/>
      <c r="F22" s="306"/>
      <c r="G22" s="307">
        <v>50</v>
      </c>
      <c r="H22" s="307"/>
      <c r="I22" s="307"/>
      <c r="J22" s="307"/>
      <c r="K22" s="307"/>
      <c r="L22" s="307"/>
      <c r="M22" s="237">
        <f t="shared" si="0"/>
        <v>49</v>
      </c>
      <c r="N22" s="238" t="str">
        <f>_xlfn.IFNA(_xlfn.XLOOKUP(B22,'00_SKU_Master'!$B$2:$B$379,'00_SKU_Master'!$C$2:$C$379,0),"")</f>
        <v>61040#2</v>
      </c>
      <c r="O22" s="233" t="str">
        <f>'05_Daily_Orders'!M22</f>
        <v>FB</v>
      </c>
      <c r="P22" s="239" t="str">
        <f>_xlfn.IFNA(_xlfn.XLOOKUP(B22,'00_SKU_Master'!$B$2:$B$379,'00_SKU_Master'!$E$2:$E$379,""),"")</f>
        <v>SplitBreast</v>
      </c>
      <c r="Q22" s="240">
        <f>_xlfn.IFNA(_xlfn.XLOOKUP(B22,'00_SKU_Master'!$B$2:$B$379,'00_SKU_Master'!$F$2:$F$379,0),0)</f>
        <v>0</v>
      </c>
      <c r="R22" s="253">
        <f t="shared" si="1"/>
        <v>0</v>
      </c>
    </row>
    <row r="23" spans="2:18" x14ac:dyDescent="0.35">
      <c r="B23" s="235">
        <f>'05_Daily_Orders'!C23</f>
        <v>1881</v>
      </c>
      <c r="C23" s="303">
        <v>0</v>
      </c>
      <c r="D23" s="303">
        <v>0</v>
      </c>
      <c r="E23" s="306"/>
      <c r="F23" s="306"/>
      <c r="G23" s="307">
        <v>0</v>
      </c>
      <c r="H23" s="307"/>
      <c r="I23" s="307"/>
      <c r="J23" s="307"/>
      <c r="K23" s="307"/>
      <c r="L23" s="307"/>
      <c r="M23" s="237">
        <f t="shared" si="0"/>
        <v>0</v>
      </c>
      <c r="N23" s="238" t="str">
        <f>_xlfn.IFNA(_xlfn.XLOOKUP(B23,'00_SKU_Master'!$B$2:$B$379,'00_SKU_Master'!$C$2:$C$379,0),"")</f>
        <v>61050#2</v>
      </c>
      <c r="O23" s="233" t="str">
        <f>'05_Daily_Orders'!M23</f>
        <v>FB</v>
      </c>
      <c r="P23" s="239" t="str">
        <f>_xlfn.IFNA(_xlfn.XLOOKUP(B23,'00_SKU_Master'!$B$2:$B$379,'00_SKU_Master'!$E$2:$E$379,""),"")</f>
        <v>BSB</v>
      </c>
      <c r="Q23" s="240">
        <f>_xlfn.IFNA(_xlfn.XLOOKUP(B23,'00_SKU_Master'!$B$2:$B$379,'00_SKU_Master'!$F$2:$F$379,0),0)</f>
        <v>0</v>
      </c>
      <c r="R23" s="253">
        <f t="shared" si="1"/>
        <v>0</v>
      </c>
    </row>
    <row r="24" spans="2:18" x14ac:dyDescent="0.35">
      <c r="B24" s="235">
        <f>'05_Daily_Orders'!C24</f>
        <v>2030</v>
      </c>
      <c r="C24" s="303">
        <v>0</v>
      </c>
      <c r="D24" s="303">
        <v>0</v>
      </c>
      <c r="E24" s="306"/>
      <c r="F24" s="306"/>
      <c r="G24" s="307">
        <v>0</v>
      </c>
      <c r="H24" s="307"/>
      <c r="I24" s="307"/>
      <c r="J24" s="307"/>
      <c r="K24" s="307"/>
      <c r="L24" s="307"/>
      <c r="M24" s="237">
        <f t="shared" si="0"/>
        <v>0</v>
      </c>
      <c r="N24" s="238" t="str">
        <f>_xlfn.IFNA(_xlfn.XLOOKUP(B24,'00_SKU_Master'!$B$2:$B$379,'00_SKU_Master'!$C$2:$C$379,0),"")</f>
        <v>61048#2</v>
      </c>
      <c r="O24" s="233" t="str">
        <f>'05_Daily_Orders'!M24</f>
        <v>FB</v>
      </c>
      <c r="P24" s="239" t="str">
        <f>_xlfn.IFNA(_xlfn.XLOOKUP(B24,'00_SKU_Master'!$B$2:$B$379,'00_SKU_Master'!$E$2:$E$379,""),"")</f>
        <v>SplitBreast</v>
      </c>
      <c r="Q24" s="240">
        <f>_xlfn.IFNA(_xlfn.XLOOKUP(B24,'00_SKU_Master'!$B$2:$B$379,'00_SKU_Master'!$F$2:$F$379,0),0)</f>
        <v>0</v>
      </c>
      <c r="R24" s="253">
        <f t="shared" si="1"/>
        <v>0</v>
      </c>
    </row>
    <row r="25" spans="2:18" x14ac:dyDescent="0.35">
      <c r="B25" s="235">
        <f>'05_Daily_Orders'!C25</f>
        <v>2031</v>
      </c>
      <c r="C25" s="303">
        <v>0</v>
      </c>
      <c r="D25" s="303">
        <v>0</v>
      </c>
      <c r="E25" s="306"/>
      <c r="F25" s="306"/>
      <c r="G25" s="307">
        <v>0</v>
      </c>
      <c r="H25" s="307"/>
      <c r="I25" s="307"/>
      <c r="J25" s="307"/>
      <c r="K25" s="307"/>
      <c r="L25" s="307"/>
      <c r="M25" s="237">
        <f t="shared" si="0"/>
        <v>0</v>
      </c>
      <c r="N25" s="238" t="str">
        <f>_xlfn.IFNA(_xlfn.XLOOKUP(B25,'00_SKU_Master'!$B$2:$B$379,'00_SKU_Master'!$C$2:$C$379,0),"")</f>
        <v>61048#2</v>
      </c>
      <c r="O25" s="233" t="str">
        <f>'05_Daily_Orders'!M25</f>
        <v>FB</v>
      </c>
      <c r="P25" s="239" t="str">
        <f>_xlfn.IFNA(_xlfn.XLOOKUP(B25,'00_SKU_Master'!$B$2:$B$379,'00_SKU_Master'!$E$2:$E$379,""),"")</f>
        <v>SplitBreast</v>
      </c>
      <c r="Q25" s="240">
        <f>_xlfn.IFNA(_xlfn.XLOOKUP(B25,'00_SKU_Master'!$B$2:$B$379,'00_SKU_Master'!$F$2:$F$379,0),0)</f>
        <v>7.7189243027888397</v>
      </c>
      <c r="R25" s="253">
        <f t="shared" si="1"/>
        <v>0</v>
      </c>
    </row>
    <row r="26" spans="2:18" x14ac:dyDescent="0.35">
      <c r="B26" s="235">
        <f>'05_Daily_Orders'!C26</f>
        <v>2042</v>
      </c>
      <c r="C26" s="303">
        <v>0</v>
      </c>
      <c r="D26" s="303">
        <v>0</v>
      </c>
      <c r="E26" s="306"/>
      <c r="F26" s="306"/>
      <c r="G26" s="307">
        <v>0</v>
      </c>
      <c r="H26" s="307"/>
      <c r="I26" s="307"/>
      <c r="J26" s="307"/>
      <c r="K26" s="307"/>
      <c r="L26" s="307"/>
      <c r="M26" s="237">
        <f t="shared" si="0"/>
        <v>0</v>
      </c>
      <c r="N26" s="238" t="str">
        <f>_xlfn.IFNA(_xlfn.XLOOKUP(B26,'00_SKU_Master'!$B$2:$B$379,'00_SKU_Master'!$C$2:$C$379,0),"")</f>
        <v>61050#2</v>
      </c>
      <c r="O26" s="233" t="str">
        <f>'05_Daily_Orders'!M26</f>
        <v>FB</v>
      </c>
      <c r="P26" s="239" t="str">
        <f>_xlfn.IFNA(_xlfn.XLOOKUP(B26,'00_SKU_Master'!$B$2:$B$379,'00_SKU_Master'!$E$2:$E$379,""),"")</f>
        <v>BSB</v>
      </c>
      <c r="Q26" s="240">
        <f>_xlfn.IFNA(_xlfn.XLOOKUP(B26,'00_SKU_Master'!$B$2:$B$379,'00_SKU_Master'!$F$2:$F$379,0),0)</f>
        <v>0</v>
      </c>
      <c r="R26" s="253">
        <f t="shared" si="1"/>
        <v>0</v>
      </c>
    </row>
    <row r="27" spans="2:18" x14ac:dyDescent="0.35">
      <c r="B27" s="235">
        <f>'05_Daily_Orders'!C27</f>
        <v>2043</v>
      </c>
      <c r="C27" s="303">
        <v>0</v>
      </c>
      <c r="D27" s="303">
        <v>0</v>
      </c>
      <c r="E27" s="306"/>
      <c r="F27" s="306"/>
      <c r="G27" s="307">
        <v>220</v>
      </c>
      <c r="H27" s="307"/>
      <c r="I27" s="307"/>
      <c r="J27" s="307"/>
      <c r="K27" s="307"/>
      <c r="L27" s="307"/>
      <c r="M27" s="237">
        <f t="shared" si="0"/>
        <v>220</v>
      </c>
      <c r="N27" s="238" t="str">
        <f>_xlfn.IFNA(_xlfn.XLOOKUP(B27,'00_SKU_Master'!$B$2:$B$379,'00_SKU_Master'!$C$2:$C$379,0),"")</f>
        <v>61050#2</v>
      </c>
      <c r="O27" s="233" t="str">
        <f>'05_Daily_Orders'!M27</f>
        <v>FB</v>
      </c>
      <c r="P27" s="239" t="str">
        <f>_xlfn.IFNA(_xlfn.XLOOKUP(B27,'00_SKU_Master'!$B$2:$B$379,'00_SKU_Master'!$E$2:$E$379,""),"")</f>
        <v>BSB</v>
      </c>
      <c r="Q27" s="240">
        <f>_xlfn.IFNA(_xlfn.XLOOKUP(B27,'00_SKU_Master'!$B$2:$B$379,'00_SKU_Master'!$F$2:$F$379,0),0)</f>
        <v>9.2752309945413298</v>
      </c>
      <c r="R27" s="253">
        <f t="shared" si="1"/>
        <v>2040.5508187990927</v>
      </c>
    </row>
    <row r="28" spans="2:18" x14ac:dyDescent="0.35">
      <c r="B28" s="235">
        <f>'05_Daily_Orders'!C28</f>
        <v>2044</v>
      </c>
      <c r="C28" s="303">
        <v>0</v>
      </c>
      <c r="D28" s="303">
        <v>24</v>
      </c>
      <c r="E28" s="306"/>
      <c r="F28" s="306"/>
      <c r="G28" s="307">
        <v>54</v>
      </c>
      <c r="H28" s="307"/>
      <c r="I28" s="307"/>
      <c r="J28" s="307"/>
      <c r="K28" s="307"/>
      <c r="L28" s="307"/>
      <c r="M28" s="237">
        <f t="shared" si="0"/>
        <v>54</v>
      </c>
      <c r="N28" s="238">
        <f>_xlfn.IFNA(_xlfn.XLOOKUP(B28,'00_SKU_Master'!$B$2:$B$379,'00_SKU_Master'!$C$2:$C$379,0),"")</f>
        <v>61104</v>
      </c>
      <c r="O28" s="233" t="str">
        <f>'05_Daily_Orders'!M28</f>
        <v>FB</v>
      </c>
      <c r="P28" s="239" t="str">
        <f>_xlfn.IFNA(_xlfn.XLOOKUP(B28,'00_SKU_Master'!$B$2:$B$379,'00_SKU_Master'!$E$2:$E$379,""),"")</f>
        <v>BSB</v>
      </c>
      <c r="Q28" s="240">
        <f>_xlfn.IFNA(_xlfn.XLOOKUP(B28,'00_SKU_Master'!$B$2:$B$379,'00_SKU_Master'!$F$2:$F$379,0),0)</f>
        <v>7.4353913966206804</v>
      </c>
      <c r="R28" s="253">
        <f t="shared" si="1"/>
        <v>401.51113541751675</v>
      </c>
    </row>
    <row r="29" spans="2:18" x14ac:dyDescent="0.35">
      <c r="B29" s="235">
        <f>'05_Daily_Orders'!C29</f>
        <v>2045</v>
      </c>
      <c r="C29" s="303">
        <v>2</v>
      </c>
      <c r="D29" s="303">
        <v>0</v>
      </c>
      <c r="E29" s="306"/>
      <c r="F29" s="306"/>
      <c r="G29" s="307">
        <v>55</v>
      </c>
      <c r="H29" s="307"/>
      <c r="I29" s="307"/>
      <c r="J29" s="307"/>
      <c r="K29" s="307"/>
      <c r="L29" s="307"/>
      <c r="M29" s="237">
        <f t="shared" si="0"/>
        <v>53</v>
      </c>
      <c r="N29" s="238" t="str">
        <f>_xlfn.IFNA(_xlfn.XLOOKUP(B29,'00_SKU_Master'!$B$2:$B$379,'00_SKU_Master'!$C$2:$C$379,0),"")</f>
        <v>61072#2</v>
      </c>
      <c r="O29" s="233" t="str">
        <f>'05_Daily_Orders'!M29</f>
        <v>FB</v>
      </c>
      <c r="P29" s="239" t="str">
        <f>_xlfn.IFNA(_xlfn.XLOOKUP(B29,'00_SKU_Master'!$B$2:$B$379,'00_SKU_Master'!$E$2:$E$379,""),"")</f>
        <v>Drum</v>
      </c>
      <c r="Q29" s="240">
        <f>_xlfn.IFNA(_xlfn.XLOOKUP(B29,'00_SKU_Master'!$B$2:$B$379,'00_SKU_Master'!$F$2:$F$379,0),0)</f>
        <v>4.8573898916967497</v>
      </c>
      <c r="R29" s="253">
        <f t="shared" si="1"/>
        <v>257.44166425992773</v>
      </c>
    </row>
    <row r="30" spans="2:18" x14ac:dyDescent="0.35">
      <c r="B30" s="235">
        <f>'05_Daily_Orders'!C30</f>
        <v>2046</v>
      </c>
      <c r="C30" s="303">
        <v>0</v>
      </c>
      <c r="D30" s="303">
        <v>132</v>
      </c>
      <c r="E30" s="306"/>
      <c r="F30" s="306"/>
      <c r="G30" s="307">
        <v>88</v>
      </c>
      <c r="H30" s="307"/>
      <c r="I30" s="307"/>
      <c r="J30" s="307"/>
      <c r="K30" s="307"/>
      <c r="L30" s="307"/>
      <c r="M30" s="237">
        <f t="shared" si="0"/>
        <v>88</v>
      </c>
      <c r="N30" s="238">
        <f>_xlfn.IFNA(_xlfn.XLOOKUP(B30,'00_SKU_Master'!$B$2:$B$379,'00_SKU_Master'!$C$2:$C$379,0),"")</f>
        <v>61082</v>
      </c>
      <c r="O30" s="233" t="str">
        <f>'05_Daily_Orders'!M30</f>
        <v>FB</v>
      </c>
      <c r="P30" s="239" t="str">
        <f>_xlfn.IFNA(_xlfn.XLOOKUP(B30,'00_SKU_Master'!$B$2:$B$379,'00_SKU_Master'!$E$2:$E$379,""),"")</f>
        <v>Thigh</v>
      </c>
      <c r="Q30" s="240">
        <f>_xlfn.IFNA(_xlfn.XLOOKUP(B30,'00_SKU_Master'!$B$2:$B$379,'00_SKU_Master'!$F$2:$F$379,0),0)</f>
        <v>4.9940774570697801</v>
      </c>
      <c r="R30" s="253">
        <f t="shared" si="1"/>
        <v>439.47881622214067</v>
      </c>
    </row>
    <row r="31" spans="2:18" x14ac:dyDescent="0.35">
      <c r="B31" s="235">
        <f>'05_Daily_Orders'!C31</f>
        <v>2047</v>
      </c>
      <c r="C31" s="303">
        <v>0</v>
      </c>
      <c r="D31" s="303">
        <v>22</v>
      </c>
      <c r="E31" s="306"/>
      <c r="F31" s="306"/>
      <c r="G31" s="307">
        <v>0</v>
      </c>
      <c r="H31" s="307"/>
      <c r="I31" s="307"/>
      <c r="J31" s="307"/>
      <c r="K31" s="307"/>
      <c r="L31" s="307"/>
      <c r="M31" s="237">
        <f t="shared" si="0"/>
        <v>0</v>
      </c>
      <c r="N31" s="238">
        <f>_xlfn.IFNA(_xlfn.XLOOKUP(B31,'00_SKU_Master'!$B$2:$B$379,'00_SKU_Master'!$C$2:$C$379,0),"")</f>
        <v>61010</v>
      </c>
      <c r="O31" s="233" t="str">
        <f>'05_Daily_Orders'!M31</f>
        <v>FB</v>
      </c>
      <c r="P31" s="239" t="str">
        <f>_xlfn.IFNA(_xlfn.XLOOKUP(B31,'00_SKU_Master'!$B$2:$B$379,'00_SKU_Master'!$E$2:$E$379,""),"")</f>
        <v>Wing</v>
      </c>
      <c r="Q31" s="240">
        <f>_xlfn.IFNA(_xlfn.XLOOKUP(B31,'00_SKU_Master'!$B$2:$B$379,'00_SKU_Master'!$F$2:$F$379,0),0)</f>
        <v>9.7596119336025104</v>
      </c>
      <c r="R31" s="253">
        <f t="shared" si="1"/>
        <v>0</v>
      </c>
    </row>
    <row r="32" spans="2:18" x14ac:dyDescent="0.35">
      <c r="B32" s="235">
        <f>'05_Daily_Orders'!C32</f>
        <v>2060</v>
      </c>
      <c r="C32" s="303">
        <v>0</v>
      </c>
      <c r="D32" s="303">
        <v>0</v>
      </c>
      <c r="E32" s="306"/>
      <c r="F32" s="306"/>
      <c r="G32" s="307">
        <v>50</v>
      </c>
      <c r="H32" s="307"/>
      <c r="I32" s="307"/>
      <c r="J32" s="307"/>
      <c r="K32" s="307"/>
      <c r="L32" s="307"/>
      <c r="M32" s="237">
        <f t="shared" si="0"/>
        <v>50</v>
      </c>
      <c r="N32" s="238" t="str">
        <f>_xlfn.IFNA(_xlfn.XLOOKUP(B32,'00_SKU_Master'!$B$2:$B$379,'00_SKU_Master'!$C$2:$C$379,0),"")</f>
        <v>61072#2</v>
      </c>
      <c r="O32" s="233" t="str">
        <f>'05_Daily_Orders'!M32</f>
        <v>METRO</v>
      </c>
      <c r="P32" s="239" t="str">
        <f>_xlfn.IFNA(_xlfn.XLOOKUP(B32,'00_SKU_Master'!$B$2:$B$379,'00_SKU_Master'!$E$2:$E$379,""),"")</f>
        <v>Drum</v>
      </c>
      <c r="Q32" s="240">
        <f>_xlfn.IFNA(_xlfn.XLOOKUP(B32,'00_SKU_Master'!$B$2:$B$379,'00_SKU_Master'!$F$2:$F$379,0),0)</f>
        <v>8.0399191303195003</v>
      </c>
      <c r="R32" s="253">
        <f t="shared" si="1"/>
        <v>401.99595651597502</v>
      </c>
    </row>
    <row r="33" spans="2:18" x14ac:dyDescent="0.35">
      <c r="B33" s="235">
        <f>'05_Daily_Orders'!C33</f>
        <v>2061</v>
      </c>
      <c r="C33" s="303">
        <v>0</v>
      </c>
      <c r="D33" s="303">
        <v>40</v>
      </c>
      <c r="E33" s="306"/>
      <c r="F33" s="306"/>
      <c r="G33" s="307">
        <v>40</v>
      </c>
      <c r="H33" s="307"/>
      <c r="I33" s="307"/>
      <c r="J33" s="307"/>
      <c r="K33" s="307"/>
      <c r="L33" s="307"/>
      <c r="M33" s="237">
        <f t="shared" si="0"/>
        <v>40</v>
      </c>
      <c r="N33" s="238">
        <f>_xlfn.IFNA(_xlfn.XLOOKUP(B33,'00_SKU_Master'!$B$2:$B$379,'00_SKU_Master'!$C$2:$C$379,0),"")</f>
        <v>61082</v>
      </c>
      <c r="O33" s="233" t="str">
        <f>'05_Daily_Orders'!M33</f>
        <v>METRO</v>
      </c>
      <c r="P33" s="239" t="str">
        <f>_xlfn.IFNA(_xlfn.XLOOKUP(B33,'00_SKU_Master'!$B$2:$B$379,'00_SKU_Master'!$E$2:$E$379,""),"")</f>
        <v>Thigh</v>
      </c>
      <c r="Q33" s="240">
        <f>_xlfn.IFNA(_xlfn.XLOOKUP(B33,'00_SKU_Master'!$B$2:$B$379,'00_SKU_Master'!$F$2:$F$379,0),0)</f>
        <v>9.9633748355096596</v>
      </c>
      <c r="R33" s="253">
        <f t="shared" si="1"/>
        <v>398.5349934203864</v>
      </c>
    </row>
    <row r="34" spans="2:18" x14ac:dyDescent="0.35">
      <c r="B34" s="235">
        <f>'05_Daily_Orders'!C34</f>
        <v>2062</v>
      </c>
      <c r="C34" s="303">
        <v>0</v>
      </c>
      <c r="D34" s="303">
        <v>0</v>
      </c>
      <c r="E34" s="306"/>
      <c r="F34" s="306"/>
      <c r="G34" s="307">
        <v>0</v>
      </c>
      <c r="H34" s="307"/>
      <c r="I34" s="307"/>
      <c r="J34" s="307"/>
      <c r="K34" s="307"/>
      <c r="L34" s="307"/>
      <c r="M34" s="237">
        <f t="shared" si="0"/>
        <v>0</v>
      </c>
      <c r="N34" s="238" t="str">
        <f>_xlfn.IFNA(_xlfn.XLOOKUP(B34,'00_SKU_Master'!$B$2:$B$379,'00_SKU_Master'!$C$2:$C$379,0),"")</f>
        <v>61048#2</v>
      </c>
      <c r="O34" s="233" t="str">
        <f>'05_Daily_Orders'!M34</f>
        <v>METRO</v>
      </c>
      <c r="P34" s="239" t="str">
        <f>_xlfn.IFNA(_xlfn.XLOOKUP(B34,'00_SKU_Master'!$B$2:$B$379,'00_SKU_Master'!$E$2:$E$379,""),"")</f>
        <v>SplitBreast</v>
      </c>
      <c r="Q34" s="240">
        <f>_xlfn.IFNA(_xlfn.XLOOKUP(B34,'00_SKU_Master'!$B$2:$B$379,'00_SKU_Master'!$F$2:$F$379,0),0)</f>
        <v>7.8332457786116301</v>
      </c>
      <c r="R34" s="253">
        <f t="shared" si="1"/>
        <v>0</v>
      </c>
    </row>
    <row r="35" spans="2:18" x14ac:dyDescent="0.35">
      <c r="B35" s="235">
        <f>'05_Daily_Orders'!C35</f>
        <v>2063</v>
      </c>
      <c r="C35" s="303">
        <v>0</v>
      </c>
      <c r="D35" s="303">
        <v>40</v>
      </c>
      <c r="E35" s="306"/>
      <c r="F35" s="306"/>
      <c r="G35" s="307">
        <v>0</v>
      </c>
      <c r="H35" s="307"/>
      <c r="I35" s="307"/>
      <c r="J35" s="307"/>
      <c r="K35" s="307"/>
      <c r="L35" s="307"/>
      <c r="M35" s="237">
        <f t="shared" si="0"/>
        <v>0</v>
      </c>
      <c r="N35" s="238">
        <f>_xlfn.IFNA(_xlfn.XLOOKUP(B35,'00_SKU_Master'!$B$2:$B$379,'00_SKU_Master'!$C$2:$C$379,0),"")</f>
        <v>203891</v>
      </c>
      <c r="O35" s="233" t="str">
        <f>'05_Daily_Orders'!M35</f>
        <v>METRO</v>
      </c>
      <c r="P35" s="239" t="str">
        <f>_xlfn.IFNA(_xlfn.XLOOKUP(B35,'00_SKU_Master'!$B$2:$B$379,'00_SKU_Master'!$E$2:$E$379,""),"")</f>
        <v>Whole Bird-Small</v>
      </c>
      <c r="Q35" s="240">
        <f>_xlfn.IFNA(_xlfn.XLOOKUP(B35,'00_SKU_Master'!$B$2:$B$379,'00_SKU_Master'!$F$2:$F$379,0),0)</f>
        <v>8.9851691445808992</v>
      </c>
      <c r="R35" s="253">
        <f t="shared" si="1"/>
        <v>0</v>
      </c>
    </row>
    <row r="36" spans="2:18" x14ac:dyDescent="0.35">
      <c r="B36" s="235">
        <f>'05_Daily_Orders'!C36</f>
        <v>2064</v>
      </c>
      <c r="C36" s="303">
        <v>0</v>
      </c>
      <c r="D36" s="303">
        <v>50</v>
      </c>
      <c r="E36" s="306"/>
      <c r="F36" s="306"/>
      <c r="G36" s="307">
        <v>80</v>
      </c>
      <c r="H36" s="307"/>
      <c r="I36" s="307"/>
      <c r="J36" s="307"/>
      <c r="K36" s="307"/>
      <c r="L36" s="307"/>
      <c r="M36" s="237">
        <f t="shared" si="0"/>
        <v>80</v>
      </c>
      <c r="N36" s="238">
        <f>_xlfn.IFNA(_xlfn.XLOOKUP(B36,'00_SKU_Master'!$B$2:$B$379,'00_SKU_Master'!$C$2:$C$379,0),"")</f>
        <v>61061</v>
      </c>
      <c r="O36" s="233" t="str">
        <f>'05_Daily_Orders'!M36</f>
        <v>METRO</v>
      </c>
      <c r="P36" s="239" t="str">
        <f>_xlfn.IFNA(_xlfn.XLOOKUP(B36,'00_SKU_Master'!$B$2:$B$379,'00_SKU_Master'!$E$2:$E$379,""),"")</f>
        <v>BA</v>
      </c>
      <c r="Q36" s="240">
        <f>_xlfn.IFNA(_xlfn.XLOOKUP(B36,'00_SKU_Master'!$B$2:$B$379,'00_SKU_Master'!$F$2:$F$379,0),0)</f>
        <v>9.9259971035481502</v>
      </c>
      <c r="R36" s="253">
        <f t="shared" si="1"/>
        <v>794.07976828385199</v>
      </c>
    </row>
    <row r="37" spans="2:18" x14ac:dyDescent="0.35">
      <c r="B37" s="235">
        <f>'05_Daily_Orders'!C37</f>
        <v>2065</v>
      </c>
      <c r="C37" s="303">
        <v>0</v>
      </c>
      <c r="D37" s="303">
        <v>0</v>
      </c>
      <c r="E37" s="306"/>
      <c r="F37" s="306"/>
      <c r="G37" s="307">
        <v>0</v>
      </c>
      <c r="H37" s="307"/>
      <c r="I37" s="307"/>
      <c r="J37" s="307"/>
      <c r="K37" s="307"/>
      <c r="L37" s="307"/>
      <c r="M37" s="237">
        <f t="shared" si="0"/>
        <v>0</v>
      </c>
      <c r="N37" s="238">
        <f>_xlfn.IFNA(_xlfn.XLOOKUP(B37,'00_SKU_Master'!$B$2:$B$379,'00_SKU_Master'!$C$2:$C$379,0),"")</f>
        <v>61010</v>
      </c>
      <c r="O37" s="233" t="str">
        <f>'05_Daily_Orders'!M37</f>
        <v>METRO</v>
      </c>
      <c r="P37" s="239" t="str">
        <f>_xlfn.IFNA(_xlfn.XLOOKUP(B37,'00_SKU_Master'!$B$2:$B$379,'00_SKU_Master'!$E$2:$E$379,""),"")</f>
        <v>Wing</v>
      </c>
      <c r="Q37" s="240">
        <f>_xlfn.IFNA(_xlfn.XLOOKUP(B37,'00_SKU_Master'!$B$2:$B$379,'00_SKU_Master'!$F$2:$F$379,0),0)</f>
        <v>0</v>
      </c>
      <c r="R37" s="253">
        <f t="shared" si="1"/>
        <v>0</v>
      </c>
    </row>
    <row r="38" spans="2:18" x14ac:dyDescent="0.35">
      <c r="B38" s="235">
        <f>'05_Daily_Orders'!C38</f>
        <v>2066</v>
      </c>
      <c r="C38" s="303">
        <v>0</v>
      </c>
      <c r="D38" s="303">
        <v>0</v>
      </c>
      <c r="E38" s="306"/>
      <c r="F38" s="306"/>
      <c r="G38" s="307">
        <v>60</v>
      </c>
      <c r="H38" s="307"/>
      <c r="I38" s="307"/>
      <c r="J38" s="307"/>
      <c r="K38" s="307"/>
      <c r="L38" s="307"/>
      <c r="M38" s="237">
        <f t="shared" si="0"/>
        <v>60</v>
      </c>
      <c r="N38" s="238" t="str">
        <f>_xlfn.IFNA(_xlfn.XLOOKUP(B38,'00_SKU_Master'!$B$2:$B$379,'00_SKU_Master'!$C$2:$C$379,0),"")</f>
        <v>61040#2</v>
      </c>
      <c r="O38" s="233" t="str">
        <f>'05_Daily_Orders'!M38</f>
        <v>METRO</v>
      </c>
      <c r="P38" s="239" t="str">
        <f>_xlfn.IFNA(_xlfn.XLOOKUP(B38,'00_SKU_Master'!$B$2:$B$379,'00_SKU_Master'!$E$2:$E$379,""),"")</f>
        <v>SplitBreast</v>
      </c>
      <c r="Q38" s="240">
        <f>_xlfn.IFNA(_xlfn.XLOOKUP(B38,'00_SKU_Master'!$B$2:$B$379,'00_SKU_Master'!$F$2:$F$379,0),0)</f>
        <v>7.6016657922350399</v>
      </c>
      <c r="R38" s="253">
        <f t="shared" si="1"/>
        <v>456.0999475341024</v>
      </c>
    </row>
    <row r="39" spans="2:18" x14ac:dyDescent="0.35">
      <c r="B39" s="235">
        <f>'05_Daily_Orders'!C39</f>
        <v>2067</v>
      </c>
      <c r="C39" s="303">
        <v>0</v>
      </c>
      <c r="D39" s="303">
        <v>0</v>
      </c>
      <c r="E39" s="306"/>
      <c r="F39" s="306"/>
      <c r="G39" s="307">
        <v>0</v>
      </c>
      <c r="H39" s="307"/>
      <c r="I39" s="307"/>
      <c r="J39" s="307"/>
      <c r="K39" s="307"/>
      <c r="L39" s="307"/>
      <c r="M39" s="237">
        <f t="shared" si="0"/>
        <v>0</v>
      </c>
      <c r="N39" s="238" t="str">
        <f>_xlfn.IFNA(_xlfn.XLOOKUP(B39,'00_SKU_Master'!$B$2:$B$379,'00_SKU_Master'!$C$2:$C$379,0),"")</f>
        <v>61086#2</v>
      </c>
      <c r="O39" s="233" t="str">
        <f>'05_Daily_Orders'!M39</f>
        <v>METRO</v>
      </c>
      <c r="P39" s="239" t="str">
        <f>_xlfn.IFNA(_xlfn.XLOOKUP(B39,'00_SKU_Master'!$B$2:$B$379,'00_SKU_Master'!$E$2:$E$379,""),"")</f>
        <v>ThighMeat</v>
      </c>
      <c r="Q39" s="240">
        <f>_xlfn.IFNA(_xlfn.XLOOKUP(B39,'00_SKU_Master'!$B$2:$B$379,'00_SKU_Master'!$F$2:$F$379,0),0)</f>
        <v>7.2794202898550697</v>
      </c>
      <c r="R39" s="253">
        <f t="shared" si="1"/>
        <v>0</v>
      </c>
    </row>
    <row r="40" spans="2:18" x14ac:dyDescent="0.35">
      <c r="B40" s="235">
        <f>'05_Daily_Orders'!C40</f>
        <v>2068</v>
      </c>
      <c r="C40" s="303">
        <v>0</v>
      </c>
      <c r="D40" s="303">
        <v>0</v>
      </c>
      <c r="E40" s="306"/>
      <c r="F40" s="306"/>
      <c r="G40" s="307">
        <v>0</v>
      </c>
      <c r="H40" s="307"/>
      <c r="I40" s="307"/>
      <c r="J40" s="307"/>
      <c r="K40" s="307"/>
      <c r="L40" s="307"/>
      <c r="M40" s="237">
        <f t="shared" si="0"/>
        <v>0</v>
      </c>
      <c r="N40" s="238" t="str">
        <f>_xlfn.IFNA(_xlfn.XLOOKUP(B40,'00_SKU_Master'!$B$2:$B$379,'00_SKU_Master'!$C$2:$C$379,0),"")</f>
        <v>61050#2</v>
      </c>
      <c r="O40" s="233" t="str">
        <f>'05_Daily_Orders'!M40</f>
        <v>METRO</v>
      </c>
      <c r="P40" s="239" t="str">
        <f>_xlfn.IFNA(_xlfn.XLOOKUP(B40,'00_SKU_Master'!$B$2:$B$379,'00_SKU_Master'!$E$2:$E$379,""),"")</f>
        <v>BSB</v>
      </c>
      <c r="Q40" s="240">
        <f>_xlfn.IFNA(_xlfn.XLOOKUP(B40,'00_SKU_Master'!$B$2:$B$379,'00_SKU_Master'!$F$2:$F$379,0),0)</f>
        <v>0</v>
      </c>
      <c r="R40" s="253">
        <f t="shared" si="1"/>
        <v>0</v>
      </c>
    </row>
    <row r="41" spans="2:18" x14ac:dyDescent="0.35">
      <c r="B41" s="235">
        <f>'05_Daily_Orders'!C41</f>
        <v>2069</v>
      </c>
      <c r="C41" s="303">
        <v>0</v>
      </c>
      <c r="D41" s="303">
        <v>0</v>
      </c>
      <c r="E41" s="306"/>
      <c r="F41" s="306"/>
      <c r="G41" s="307">
        <v>0</v>
      </c>
      <c r="H41" s="307"/>
      <c r="I41" s="307"/>
      <c r="J41" s="307"/>
      <c r="K41" s="307"/>
      <c r="L41" s="307"/>
      <c r="M41" s="237">
        <f t="shared" si="0"/>
        <v>0</v>
      </c>
      <c r="N41" s="238" t="str">
        <f>_xlfn.IFNA(_xlfn.XLOOKUP(B41,'00_SKU_Master'!$B$2:$B$379,'00_SKU_Master'!$C$2:$C$379,0),"")</f>
        <v>61040#2</v>
      </c>
      <c r="O41" s="233" t="str">
        <f>'05_Daily_Orders'!M41</f>
        <v>FB</v>
      </c>
      <c r="P41" s="239" t="str">
        <f>_xlfn.IFNA(_xlfn.XLOOKUP(B41,'00_SKU_Master'!$B$2:$B$379,'00_SKU_Master'!$E$2:$E$379,""),"")</f>
        <v>SplitBreast</v>
      </c>
      <c r="Q41" s="240">
        <f>_xlfn.IFNA(_xlfn.XLOOKUP(B41,'00_SKU_Master'!$B$2:$B$379,'00_SKU_Master'!$F$2:$F$379,0),0)</f>
        <v>9.0616734693877508</v>
      </c>
      <c r="R41" s="253">
        <f t="shared" si="1"/>
        <v>0</v>
      </c>
    </row>
    <row r="42" spans="2:18" x14ac:dyDescent="0.35">
      <c r="B42" s="235">
        <f>'05_Daily_Orders'!C42</f>
        <v>2070</v>
      </c>
      <c r="C42" s="303">
        <v>0</v>
      </c>
      <c r="D42" s="303">
        <v>0</v>
      </c>
      <c r="E42" s="306"/>
      <c r="F42" s="306"/>
      <c r="G42" s="307">
        <v>0</v>
      </c>
      <c r="H42" s="307"/>
      <c r="I42" s="307"/>
      <c r="J42" s="307"/>
      <c r="K42" s="307"/>
      <c r="L42" s="307"/>
      <c r="M42" s="237">
        <f t="shared" si="0"/>
        <v>0</v>
      </c>
      <c r="N42" s="238" t="str">
        <f>_xlfn.IFNA(_xlfn.XLOOKUP(B42,'00_SKU_Master'!$B$2:$B$379,'00_SKU_Master'!$C$2:$C$379,0),"")</f>
        <v>61048#2</v>
      </c>
      <c r="O42" s="233" t="str">
        <f>'05_Daily_Orders'!M42</f>
        <v>FB</v>
      </c>
      <c r="P42" s="239" t="str">
        <f>_xlfn.IFNA(_xlfn.XLOOKUP(B42,'00_SKU_Master'!$B$2:$B$379,'00_SKU_Master'!$E$2:$E$379,""),"")</f>
        <v>SplitBreast</v>
      </c>
      <c r="Q42" s="240">
        <f>_xlfn.IFNA(_xlfn.XLOOKUP(B42,'00_SKU_Master'!$B$2:$B$379,'00_SKU_Master'!$F$2:$F$379,0),0)</f>
        <v>9.2275391600453993</v>
      </c>
      <c r="R42" s="253">
        <f t="shared" si="1"/>
        <v>0</v>
      </c>
    </row>
    <row r="43" spans="2:18" x14ac:dyDescent="0.35">
      <c r="B43" s="235">
        <f>'05_Daily_Orders'!C43</f>
        <v>2071</v>
      </c>
      <c r="C43" s="303">
        <v>0</v>
      </c>
      <c r="D43" s="303">
        <v>0</v>
      </c>
      <c r="E43" s="306"/>
      <c r="F43" s="306"/>
      <c r="G43" s="307">
        <v>44</v>
      </c>
      <c r="H43" s="307"/>
      <c r="I43" s="307"/>
      <c r="J43" s="307"/>
      <c r="K43" s="307"/>
      <c r="L43" s="307"/>
      <c r="M43" s="237">
        <f t="shared" si="0"/>
        <v>44</v>
      </c>
      <c r="N43" s="238" t="str">
        <f>_xlfn.IFNA(_xlfn.XLOOKUP(B43,'00_SKU_Master'!$B$2:$B$379,'00_SKU_Master'!$C$2:$C$379,0),"")</f>
        <v>61048#2</v>
      </c>
      <c r="O43" s="233" t="str">
        <f>'05_Daily_Orders'!M43</f>
        <v>FB</v>
      </c>
      <c r="P43" s="239" t="str">
        <f>_xlfn.IFNA(_xlfn.XLOOKUP(B43,'00_SKU_Master'!$B$2:$B$379,'00_SKU_Master'!$E$2:$E$379,""),"")</f>
        <v>SplitBreast</v>
      </c>
      <c r="Q43" s="240">
        <f>_xlfn.IFNA(_xlfn.XLOOKUP(B43,'00_SKU_Master'!$B$2:$B$379,'00_SKU_Master'!$F$2:$F$379,0),0)</f>
        <v>8.2634039829302992</v>
      </c>
      <c r="R43" s="253">
        <f t="shared" si="1"/>
        <v>363.58977524893317</v>
      </c>
    </row>
    <row r="44" spans="2:18" x14ac:dyDescent="0.35">
      <c r="B44" s="235">
        <f>'05_Daily_Orders'!C44</f>
        <v>2072</v>
      </c>
      <c r="C44" s="303">
        <v>0</v>
      </c>
      <c r="D44" s="303">
        <v>0</v>
      </c>
      <c r="E44" s="306"/>
      <c r="F44" s="306"/>
      <c r="G44" s="307">
        <v>0</v>
      </c>
      <c r="H44" s="307"/>
      <c r="I44" s="307"/>
      <c r="J44" s="307"/>
      <c r="K44" s="307"/>
      <c r="L44" s="307"/>
      <c r="M44" s="237">
        <f t="shared" si="0"/>
        <v>0</v>
      </c>
      <c r="N44" s="238" t="str">
        <f>_xlfn.IFNA(_xlfn.XLOOKUP(B44,'00_SKU_Master'!$B$2:$B$379,'00_SKU_Master'!$C$2:$C$379,0),"")</f>
        <v>61072#2</v>
      </c>
      <c r="O44" s="233" t="str">
        <f>'05_Daily_Orders'!M44</f>
        <v>FB</v>
      </c>
      <c r="P44" s="239" t="str">
        <f>_xlfn.IFNA(_xlfn.XLOOKUP(B44,'00_SKU_Master'!$B$2:$B$379,'00_SKU_Master'!$E$2:$E$379,""),"")</f>
        <v>Drum</v>
      </c>
      <c r="Q44" s="240">
        <f>_xlfn.IFNA(_xlfn.XLOOKUP(B44,'00_SKU_Master'!$B$2:$B$379,'00_SKU_Master'!$F$2:$F$379,0),0)</f>
        <v>0</v>
      </c>
      <c r="R44" s="253">
        <f t="shared" si="1"/>
        <v>0</v>
      </c>
    </row>
    <row r="45" spans="2:18" x14ac:dyDescent="0.35">
      <c r="B45" s="235">
        <f>'05_Daily_Orders'!C45</f>
        <v>2073</v>
      </c>
      <c r="C45" s="303">
        <v>0</v>
      </c>
      <c r="D45" s="303">
        <v>0</v>
      </c>
      <c r="E45" s="306"/>
      <c r="F45" s="306"/>
      <c r="G45" s="307">
        <v>0</v>
      </c>
      <c r="H45" s="307"/>
      <c r="I45" s="307"/>
      <c r="J45" s="307"/>
      <c r="K45" s="307"/>
      <c r="L45" s="307"/>
      <c r="M45" s="237">
        <f t="shared" si="0"/>
        <v>0</v>
      </c>
      <c r="N45" s="238">
        <f>_xlfn.IFNA(_xlfn.XLOOKUP(B45,'00_SKU_Master'!$B$2:$B$379,'00_SKU_Master'!$C$2:$C$379,0),"")</f>
        <v>61082</v>
      </c>
      <c r="O45" s="233" t="str">
        <f>'05_Daily_Orders'!M45</f>
        <v>FB</v>
      </c>
      <c r="P45" s="239" t="str">
        <f>_xlfn.IFNA(_xlfn.XLOOKUP(B45,'00_SKU_Master'!$B$2:$B$379,'00_SKU_Master'!$E$2:$E$379,""),"")</f>
        <v>Thigh</v>
      </c>
      <c r="Q45" s="240">
        <f>_xlfn.IFNA(_xlfn.XLOOKUP(B45,'00_SKU_Master'!$B$2:$B$379,'00_SKU_Master'!$F$2:$F$379,0),0)</f>
        <v>0</v>
      </c>
      <c r="R45" s="253">
        <f t="shared" si="1"/>
        <v>0</v>
      </c>
    </row>
    <row r="46" spans="2:18" x14ac:dyDescent="0.35">
      <c r="B46" s="235">
        <f>'05_Daily_Orders'!C46</f>
        <v>2074</v>
      </c>
      <c r="C46" s="303">
        <v>0</v>
      </c>
      <c r="D46" s="303">
        <v>29</v>
      </c>
      <c r="E46" s="306"/>
      <c r="F46" s="306"/>
      <c r="G46" s="307">
        <v>59</v>
      </c>
      <c r="H46" s="307"/>
      <c r="I46" s="307"/>
      <c r="J46" s="307"/>
      <c r="K46" s="307"/>
      <c r="L46" s="307"/>
      <c r="M46" s="237">
        <f t="shared" si="0"/>
        <v>59</v>
      </c>
      <c r="N46" s="238" t="str">
        <f>_xlfn.IFNA(_xlfn.XLOOKUP(B46,'00_SKU_Master'!$B$2:$B$379,'00_SKU_Master'!$C$2:$C$379,0),"")</f>
        <v>61086#2</v>
      </c>
      <c r="O46" s="233" t="str">
        <f>'05_Daily_Orders'!M46</f>
        <v>FB</v>
      </c>
      <c r="P46" s="239" t="str">
        <f>_xlfn.IFNA(_xlfn.XLOOKUP(B46,'00_SKU_Master'!$B$2:$B$379,'00_SKU_Master'!$E$2:$E$379,""),"")</f>
        <v>ThighMeat</v>
      </c>
      <c r="Q46" s="240">
        <f>_xlfn.IFNA(_xlfn.XLOOKUP(B46,'00_SKU_Master'!$B$2:$B$379,'00_SKU_Master'!$F$2:$F$379,0),0)</f>
        <v>7.3256159703240904</v>
      </c>
      <c r="R46" s="253">
        <f t="shared" si="1"/>
        <v>432.21134224912134</v>
      </c>
    </row>
    <row r="47" spans="2:18" x14ac:dyDescent="0.35">
      <c r="B47" s="235">
        <f>'05_Daily_Orders'!C47</f>
        <v>2075</v>
      </c>
      <c r="C47" s="303">
        <v>0</v>
      </c>
      <c r="D47" s="303">
        <v>29</v>
      </c>
      <c r="E47" s="306"/>
      <c r="F47" s="306"/>
      <c r="G47" s="307">
        <v>182</v>
      </c>
      <c r="H47" s="307"/>
      <c r="I47" s="307"/>
      <c r="J47" s="307"/>
      <c r="K47" s="307"/>
      <c r="L47" s="307"/>
      <c r="M47" s="237">
        <f t="shared" si="0"/>
        <v>182</v>
      </c>
      <c r="N47" s="238" t="str">
        <f>_xlfn.IFNA(_xlfn.XLOOKUP(B47,'00_SKU_Master'!$B$2:$B$379,'00_SKU_Master'!$C$2:$C$379,0),"")</f>
        <v>61050#2</v>
      </c>
      <c r="O47" s="233" t="str">
        <f>'05_Daily_Orders'!M47</f>
        <v>FB</v>
      </c>
      <c r="P47" s="239" t="str">
        <f>_xlfn.IFNA(_xlfn.XLOOKUP(B47,'00_SKU_Master'!$B$2:$B$379,'00_SKU_Master'!$E$2:$E$379,""),"")</f>
        <v>BSB</v>
      </c>
      <c r="Q47" s="240">
        <f>_xlfn.IFNA(_xlfn.XLOOKUP(B47,'00_SKU_Master'!$B$2:$B$379,'00_SKU_Master'!$F$2:$F$379,0),0)</f>
        <v>7.8209931170108096</v>
      </c>
      <c r="R47" s="253">
        <f t="shared" si="1"/>
        <v>1423.4207472959674</v>
      </c>
    </row>
    <row r="48" spans="2:18" x14ac:dyDescent="0.35">
      <c r="B48" s="235">
        <f>'05_Daily_Orders'!C48</f>
        <v>2076</v>
      </c>
      <c r="C48" s="303">
        <v>0</v>
      </c>
      <c r="D48" s="303">
        <v>0</v>
      </c>
      <c r="E48" s="306"/>
      <c r="F48" s="306"/>
      <c r="G48" s="307">
        <v>0</v>
      </c>
      <c r="H48" s="307"/>
      <c r="I48" s="307"/>
      <c r="J48" s="307"/>
      <c r="K48" s="307"/>
      <c r="L48" s="307"/>
      <c r="M48" s="237">
        <f t="shared" si="0"/>
        <v>0</v>
      </c>
      <c r="N48" s="238">
        <f>_xlfn.IFNA(_xlfn.XLOOKUP(B48,'00_SKU_Master'!$B$2:$B$379,'00_SKU_Master'!$C$2:$C$379,0),"")</f>
        <v>61010</v>
      </c>
      <c r="O48" s="233" t="str">
        <f>'05_Daily_Orders'!M48</f>
        <v>FB</v>
      </c>
      <c r="P48" s="239" t="str">
        <f>_xlfn.IFNA(_xlfn.XLOOKUP(B48,'00_SKU_Master'!$B$2:$B$379,'00_SKU_Master'!$E$2:$E$379,""),"")</f>
        <v>Wing</v>
      </c>
      <c r="Q48" s="240">
        <f>_xlfn.IFNA(_xlfn.XLOOKUP(B48,'00_SKU_Master'!$B$2:$B$379,'00_SKU_Master'!$F$2:$F$379,0),0)</f>
        <v>0</v>
      </c>
      <c r="R48" s="253">
        <f t="shared" si="1"/>
        <v>0</v>
      </c>
    </row>
    <row r="49" spans="2:18" x14ac:dyDescent="0.35">
      <c r="B49" s="235">
        <f>'05_Daily_Orders'!C49</f>
        <v>2077</v>
      </c>
      <c r="C49" s="303">
        <v>0</v>
      </c>
      <c r="D49" s="303">
        <v>20</v>
      </c>
      <c r="E49" s="306"/>
      <c r="F49" s="306"/>
      <c r="G49" s="307">
        <v>18</v>
      </c>
      <c r="H49" s="307"/>
      <c r="I49" s="307"/>
      <c r="J49" s="307"/>
      <c r="K49" s="307"/>
      <c r="L49" s="307"/>
      <c r="M49" s="237">
        <f t="shared" si="0"/>
        <v>18</v>
      </c>
      <c r="N49" s="238">
        <f>_xlfn.IFNA(_xlfn.XLOOKUP(B49,'00_SKU_Master'!$B$2:$B$379,'00_SKU_Master'!$C$2:$C$379,0),"")</f>
        <v>61061</v>
      </c>
      <c r="O49" s="233" t="str">
        <f>'05_Daily_Orders'!M49</f>
        <v>FB</v>
      </c>
      <c r="P49" s="239" t="str">
        <f>_xlfn.IFNA(_xlfn.XLOOKUP(B49,'00_SKU_Master'!$B$2:$B$379,'00_SKU_Master'!$E$2:$E$379,""),"")</f>
        <v>BA</v>
      </c>
      <c r="Q49" s="240">
        <f>_xlfn.IFNA(_xlfn.XLOOKUP(B49,'00_SKU_Master'!$B$2:$B$379,'00_SKU_Master'!$F$2:$F$379,0),0)</f>
        <v>9.7515820734341201</v>
      </c>
      <c r="R49" s="253">
        <f t="shared" si="1"/>
        <v>175.52847732181417</v>
      </c>
    </row>
    <row r="50" spans="2:18" x14ac:dyDescent="0.35">
      <c r="B50" s="235">
        <f>'05_Daily_Orders'!C50</f>
        <v>2078</v>
      </c>
      <c r="C50" s="303">
        <v>0</v>
      </c>
      <c r="D50" s="303">
        <v>141</v>
      </c>
      <c r="E50" s="306"/>
      <c r="F50" s="306"/>
      <c r="G50" s="307">
        <v>98</v>
      </c>
      <c r="H50" s="307"/>
      <c r="I50" s="307"/>
      <c r="J50" s="307"/>
      <c r="K50" s="307"/>
      <c r="L50" s="307"/>
      <c r="M50" s="237">
        <f t="shared" si="0"/>
        <v>98</v>
      </c>
      <c r="N50" s="238">
        <f>_xlfn.IFNA(_xlfn.XLOOKUP(B50,'00_SKU_Master'!$B$2:$B$379,'00_SKU_Master'!$C$2:$C$379,0),"")</f>
        <v>203891</v>
      </c>
      <c r="O50" s="233" t="str">
        <f>'05_Daily_Orders'!M50</f>
        <v>FB</v>
      </c>
      <c r="P50" s="239" t="str">
        <f>_xlfn.IFNA(_xlfn.XLOOKUP(B50,'00_SKU_Master'!$B$2:$B$379,'00_SKU_Master'!$E$2:$E$379,""),"")</f>
        <v>Whole Bird-Small</v>
      </c>
      <c r="Q50" s="240">
        <f>_xlfn.IFNA(_xlfn.XLOOKUP(B50,'00_SKU_Master'!$B$2:$B$379,'00_SKU_Master'!$F$2:$F$379,0),0)</f>
        <v>8.9391652470187299</v>
      </c>
      <c r="R50" s="253">
        <f t="shared" si="1"/>
        <v>876.03819420783555</v>
      </c>
    </row>
    <row r="51" spans="2:18" x14ac:dyDescent="0.35">
      <c r="B51" s="235">
        <f>'05_Daily_Orders'!C51</f>
        <v>2082</v>
      </c>
      <c r="C51" s="303">
        <v>0</v>
      </c>
      <c r="D51" s="303">
        <v>0</v>
      </c>
      <c r="E51" s="306"/>
      <c r="F51" s="306"/>
      <c r="G51" s="307">
        <v>0</v>
      </c>
      <c r="H51" s="307"/>
      <c r="I51" s="307"/>
      <c r="J51" s="307"/>
      <c r="K51" s="307"/>
      <c r="L51" s="307"/>
      <c r="M51" s="237">
        <f t="shared" si="0"/>
        <v>0</v>
      </c>
      <c r="N51" s="238" t="str">
        <f>_xlfn.IFNA(_xlfn.XLOOKUP(B51,'00_SKU_Master'!$B$2:$B$379,'00_SKU_Master'!$C$2:$C$379,0),"")</f>
        <v>61050#2</v>
      </c>
      <c r="O51" s="233" t="str">
        <f>'05_Daily_Orders'!M51</f>
        <v>FB</v>
      </c>
      <c r="P51" s="239" t="str">
        <f>_xlfn.IFNA(_xlfn.XLOOKUP(B51,'00_SKU_Master'!$B$2:$B$379,'00_SKU_Master'!$E$2:$E$379,""),"")</f>
        <v>BSB</v>
      </c>
      <c r="Q51" s="240">
        <f>_xlfn.IFNA(_xlfn.XLOOKUP(B51,'00_SKU_Master'!$B$2:$B$379,'00_SKU_Master'!$F$2:$F$379,0),0)</f>
        <v>8.5800315075133202</v>
      </c>
      <c r="R51" s="253">
        <f t="shared" si="1"/>
        <v>0</v>
      </c>
    </row>
    <row r="52" spans="2:18" x14ac:dyDescent="0.35">
      <c r="B52" s="235">
        <f>'05_Daily_Orders'!C52</f>
        <v>2084</v>
      </c>
      <c r="C52" s="303">
        <v>1</v>
      </c>
      <c r="D52" s="303">
        <v>0</v>
      </c>
      <c r="E52" s="306"/>
      <c r="F52" s="306"/>
      <c r="G52" s="307">
        <v>60</v>
      </c>
      <c r="H52" s="307"/>
      <c r="I52" s="307"/>
      <c r="J52" s="307"/>
      <c r="K52" s="307"/>
      <c r="L52" s="307"/>
      <c r="M52" s="237">
        <f t="shared" si="0"/>
        <v>59</v>
      </c>
      <c r="N52" s="238" t="str">
        <f>_xlfn.IFNA(_xlfn.XLOOKUP(B52,'00_SKU_Master'!$B$2:$B$379,'00_SKU_Master'!$C$2:$C$379,0),"")</f>
        <v>61050F</v>
      </c>
      <c r="O52" s="233" t="str">
        <f>'05_Daily_Orders'!M52</f>
        <v>METRO</v>
      </c>
      <c r="P52" s="239" t="str">
        <f>_xlfn.IFNA(_xlfn.XLOOKUP(B52,'00_SKU_Master'!$B$2:$B$379,'00_SKU_Master'!$E$2:$E$379,""),"")</f>
        <v>BSB</v>
      </c>
      <c r="Q52" s="240">
        <f>_xlfn.IFNA(_xlfn.XLOOKUP(B52,'00_SKU_Master'!$B$2:$B$379,'00_SKU_Master'!$F$2:$F$379,0),0)</f>
        <v>5.9302396021699799</v>
      </c>
      <c r="R52" s="253">
        <f t="shared" si="1"/>
        <v>349.88413652802882</v>
      </c>
    </row>
    <row r="53" spans="2:18" x14ac:dyDescent="0.35">
      <c r="B53" s="235">
        <f>'05_Daily_Orders'!C53</f>
        <v>2085</v>
      </c>
      <c r="C53" s="303">
        <v>0</v>
      </c>
      <c r="D53" s="303">
        <v>14</v>
      </c>
      <c r="E53" s="306"/>
      <c r="F53" s="306"/>
      <c r="G53" s="307">
        <v>30</v>
      </c>
      <c r="H53" s="307"/>
      <c r="I53" s="307"/>
      <c r="J53" s="307"/>
      <c r="K53" s="307"/>
      <c r="L53" s="307"/>
      <c r="M53" s="237">
        <f t="shared" si="0"/>
        <v>30</v>
      </c>
      <c r="N53" s="238" t="str">
        <f>_xlfn.IFNA(_xlfn.XLOOKUP(B53,'00_SKU_Master'!$B$2:$B$379,'00_SKU_Master'!$C$2:$C$379,0),"")</f>
        <v>61086#2</v>
      </c>
      <c r="O53" s="233" t="str">
        <f>'05_Daily_Orders'!M53</f>
        <v>METRO</v>
      </c>
      <c r="P53" s="239" t="str">
        <f>_xlfn.IFNA(_xlfn.XLOOKUP(B53,'00_SKU_Master'!$B$2:$B$379,'00_SKU_Master'!$E$2:$E$379,""),"")</f>
        <v>ThighMeat</v>
      </c>
      <c r="Q53" s="240">
        <f>_xlfn.IFNA(_xlfn.XLOOKUP(B53,'00_SKU_Master'!$B$2:$B$379,'00_SKU_Master'!$F$2:$F$379,0),0)</f>
        <v>4.8638857522417798</v>
      </c>
      <c r="R53" s="253">
        <f t="shared" si="1"/>
        <v>145.91657256725338</v>
      </c>
    </row>
    <row r="54" spans="2:18" x14ac:dyDescent="0.35">
      <c r="B54" s="235">
        <f>'05_Daily_Orders'!C54</f>
        <v>2086</v>
      </c>
      <c r="C54" s="303">
        <v>0</v>
      </c>
      <c r="D54" s="303">
        <v>0</v>
      </c>
      <c r="E54" s="306"/>
      <c r="F54" s="306"/>
      <c r="G54" s="307">
        <v>0</v>
      </c>
      <c r="H54" s="307"/>
      <c r="I54" s="307"/>
      <c r="J54" s="307"/>
      <c r="K54" s="307"/>
      <c r="L54" s="307"/>
      <c r="M54" s="237">
        <f t="shared" si="0"/>
        <v>0</v>
      </c>
      <c r="N54" s="238">
        <f>_xlfn.IFNA(_xlfn.XLOOKUP(B54,'00_SKU_Master'!$B$2:$B$379,'00_SKU_Master'!$C$2:$C$379,0),"")</f>
        <v>61050</v>
      </c>
      <c r="O54" s="233" t="str">
        <f>'05_Daily_Orders'!M54</f>
        <v>SOB</v>
      </c>
      <c r="P54" s="239" t="str">
        <f>_xlfn.IFNA(_xlfn.XLOOKUP(B54,'00_SKU_Master'!$B$2:$B$379,'00_SKU_Master'!$E$2:$E$379,""),"")</f>
        <v>BSB</v>
      </c>
      <c r="Q54" s="240">
        <f>_xlfn.IFNA(_xlfn.XLOOKUP(B54,'00_SKU_Master'!$B$2:$B$379,'00_SKU_Master'!$F$2:$F$379,0),0)</f>
        <v>0</v>
      </c>
      <c r="R54" s="253">
        <f t="shared" si="1"/>
        <v>0</v>
      </c>
    </row>
    <row r="55" spans="2:18" x14ac:dyDescent="0.35">
      <c r="B55" s="235">
        <f>'05_Daily_Orders'!C55</f>
        <v>2087</v>
      </c>
      <c r="C55" s="303">
        <v>0</v>
      </c>
      <c r="D55" s="303">
        <v>0</v>
      </c>
      <c r="E55" s="306"/>
      <c r="F55" s="306"/>
      <c r="G55" s="307">
        <v>0</v>
      </c>
      <c r="H55" s="307"/>
      <c r="I55" s="307"/>
      <c r="J55" s="307"/>
      <c r="K55" s="307"/>
      <c r="L55" s="307"/>
      <c r="M55" s="237">
        <f t="shared" si="0"/>
        <v>0</v>
      </c>
      <c r="N55" s="238">
        <f>_xlfn.IFNA(_xlfn.XLOOKUP(B55,'00_SKU_Master'!$B$2:$B$379,'00_SKU_Master'!$C$2:$C$379,0),"")</f>
        <v>61050</v>
      </c>
      <c r="O55" s="233" t="str">
        <f>'05_Daily_Orders'!M55</f>
        <v>SOB</v>
      </c>
      <c r="P55" s="239" t="str">
        <f>_xlfn.IFNA(_xlfn.XLOOKUP(B55,'00_SKU_Master'!$B$2:$B$379,'00_SKU_Master'!$E$2:$E$379,""),"")</f>
        <v>BSB</v>
      </c>
      <c r="Q55" s="240">
        <f>_xlfn.IFNA(_xlfn.XLOOKUP(B55,'00_SKU_Master'!$B$2:$B$379,'00_SKU_Master'!$F$2:$F$379,0),0)</f>
        <v>0</v>
      </c>
      <c r="R55" s="253">
        <f t="shared" si="1"/>
        <v>0</v>
      </c>
    </row>
    <row r="56" spans="2:18" x14ac:dyDescent="0.35">
      <c r="B56" s="235">
        <f>'05_Daily_Orders'!C56</f>
        <v>2088</v>
      </c>
      <c r="C56" s="303">
        <v>0</v>
      </c>
      <c r="D56" s="303">
        <v>0</v>
      </c>
      <c r="E56" s="306"/>
      <c r="F56" s="306"/>
      <c r="G56" s="307">
        <v>0</v>
      </c>
      <c r="H56" s="307"/>
      <c r="I56" s="307"/>
      <c r="J56" s="307"/>
      <c r="K56" s="307"/>
      <c r="L56" s="307"/>
      <c r="M56" s="237">
        <f t="shared" si="0"/>
        <v>0</v>
      </c>
      <c r="N56" s="238">
        <f>_xlfn.IFNA(_xlfn.XLOOKUP(B56,'00_SKU_Master'!$B$2:$B$379,'00_SKU_Master'!$C$2:$C$379,0),"")</f>
        <v>61054</v>
      </c>
      <c r="O56" s="233" t="str">
        <f>'05_Daily_Orders'!M56</f>
        <v>SOB</v>
      </c>
      <c r="P56" s="239" t="str">
        <f>_xlfn.IFNA(_xlfn.XLOOKUP(B56,'00_SKU_Master'!$B$2:$B$379,'00_SKU_Master'!$E$2:$E$379,""),"")</f>
        <v>Fillet</v>
      </c>
      <c r="Q56" s="240">
        <f>_xlfn.IFNA(_xlfn.XLOOKUP(B56,'00_SKU_Master'!$B$2:$B$379,'00_SKU_Master'!$F$2:$F$379,0),0)</f>
        <v>0</v>
      </c>
      <c r="R56" s="253">
        <f t="shared" si="1"/>
        <v>0</v>
      </c>
    </row>
    <row r="57" spans="2:18" x14ac:dyDescent="0.35">
      <c r="B57" s="235">
        <f>'05_Daily_Orders'!C57</f>
        <v>2089</v>
      </c>
      <c r="C57" s="303">
        <v>0</v>
      </c>
      <c r="D57" s="303">
        <v>0</v>
      </c>
      <c r="E57" s="306"/>
      <c r="F57" s="306"/>
      <c r="G57" s="307">
        <v>0</v>
      </c>
      <c r="H57" s="307"/>
      <c r="I57" s="307"/>
      <c r="J57" s="307"/>
      <c r="K57" s="307"/>
      <c r="L57" s="307"/>
      <c r="M57" s="237">
        <f t="shared" si="0"/>
        <v>0</v>
      </c>
      <c r="N57" s="238">
        <f>_xlfn.IFNA(_xlfn.XLOOKUP(B57,'00_SKU_Master'!$B$2:$B$379,'00_SKU_Master'!$C$2:$C$379,0),"")</f>
        <v>61040</v>
      </c>
      <c r="O57" s="233" t="str">
        <f>'05_Daily_Orders'!M57</f>
        <v>SOB</v>
      </c>
      <c r="P57" s="239" t="str">
        <f>_xlfn.IFNA(_xlfn.XLOOKUP(B57,'00_SKU_Master'!$B$2:$B$379,'00_SKU_Master'!$E$2:$E$379,""),"")</f>
        <v>SplitBreast</v>
      </c>
      <c r="Q57" s="240">
        <f>_xlfn.IFNA(_xlfn.XLOOKUP(B57,'00_SKU_Master'!$B$2:$B$379,'00_SKU_Master'!$F$2:$F$379,0),0)</f>
        <v>0</v>
      </c>
      <c r="R57" s="253">
        <f t="shared" si="1"/>
        <v>0</v>
      </c>
    </row>
    <row r="58" spans="2:18" x14ac:dyDescent="0.35">
      <c r="B58" s="235">
        <f>'05_Daily_Orders'!C58</f>
        <v>2090</v>
      </c>
      <c r="C58" s="303">
        <v>0</v>
      </c>
      <c r="D58" s="303">
        <v>0</v>
      </c>
      <c r="E58" s="306"/>
      <c r="F58" s="306"/>
      <c r="G58" s="307">
        <v>0</v>
      </c>
      <c r="H58" s="307"/>
      <c r="I58" s="307"/>
      <c r="J58" s="307"/>
      <c r="K58" s="307"/>
      <c r="L58" s="307"/>
      <c r="M58" s="237">
        <f t="shared" si="0"/>
        <v>0</v>
      </c>
      <c r="N58" s="238">
        <f>_xlfn.IFNA(_xlfn.XLOOKUP(B58,'00_SKU_Master'!$B$2:$B$379,'00_SKU_Master'!$C$2:$C$379,0),"")</f>
        <v>61040</v>
      </c>
      <c r="O58" s="233" t="str">
        <f>'05_Daily_Orders'!M58</f>
        <v>SOB</v>
      </c>
      <c r="P58" s="239" t="str">
        <f>_xlfn.IFNA(_xlfn.XLOOKUP(B58,'00_SKU_Master'!$B$2:$B$379,'00_SKU_Master'!$E$2:$E$379,""),"")</f>
        <v>SplitBreast</v>
      </c>
      <c r="Q58" s="240">
        <f>_xlfn.IFNA(_xlfn.XLOOKUP(B58,'00_SKU_Master'!$B$2:$B$379,'00_SKU_Master'!$F$2:$F$379,0),0)</f>
        <v>0</v>
      </c>
      <c r="R58" s="253">
        <f t="shared" si="1"/>
        <v>0</v>
      </c>
    </row>
    <row r="59" spans="2:18" x14ac:dyDescent="0.35">
      <c r="B59" s="235">
        <f>'05_Daily_Orders'!C59</f>
        <v>2091</v>
      </c>
      <c r="C59" s="303">
        <v>0</v>
      </c>
      <c r="D59" s="303">
        <v>0</v>
      </c>
      <c r="E59" s="306"/>
      <c r="F59" s="306"/>
      <c r="G59" s="307">
        <v>0</v>
      </c>
      <c r="H59" s="307"/>
      <c r="I59" s="307"/>
      <c r="J59" s="307"/>
      <c r="K59" s="307"/>
      <c r="L59" s="307"/>
      <c r="M59" s="237">
        <f t="shared" si="0"/>
        <v>0</v>
      </c>
      <c r="N59" s="238">
        <f>_xlfn.IFNA(_xlfn.XLOOKUP(B59,'00_SKU_Master'!$B$2:$B$379,'00_SKU_Master'!$C$2:$C$379,0),"")</f>
        <v>61061</v>
      </c>
      <c r="O59" s="233" t="str">
        <f>'05_Daily_Orders'!M59</f>
        <v>SOB</v>
      </c>
      <c r="P59" s="239" t="str">
        <f>_xlfn.IFNA(_xlfn.XLOOKUP(B59,'00_SKU_Master'!$B$2:$B$379,'00_SKU_Master'!$E$2:$E$379,""),"")</f>
        <v>BA</v>
      </c>
      <c r="Q59" s="240">
        <f>_xlfn.IFNA(_xlfn.XLOOKUP(B59,'00_SKU_Master'!$B$2:$B$379,'00_SKU_Master'!$F$2:$F$379,0),0)</f>
        <v>0</v>
      </c>
      <c r="R59" s="253">
        <f t="shared" si="1"/>
        <v>0</v>
      </c>
    </row>
    <row r="60" spans="2:18" x14ac:dyDescent="0.35">
      <c r="B60" s="235">
        <f>'05_Daily_Orders'!C60</f>
        <v>2092</v>
      </c>
      <c r="C60" s="303">
        <v>0</v>
      </c>
      <c r="D60" s="303">
        <v>0</v>
      </c>
      <c r="E60" s="306"/>
      <c r="F60" s="306"/>
      <c r="G60" s="307">
        <v>0</v>
      </c>
      <c r="H60" s="307"/>
      <c r="I60" s="307"/>
      <c r="J60" s="307"/>
      <c r="K60" s="307"/>
      <c r="L60" s="307"/>
      <c r="M60" s="237">
        <f t="shared" si="0"/>
        <v>0</v>
      </c>
      <c r="N60" s="238">
        <f>_xlfn.IFNA(_xlfn.XLOOKUP(B60,'00_SKU_Master'!$B$2:$B$379,'00_SKU_Master'!$C$2:$C$379,0),"")</f>
        <v>61072</v>
      </c>
      <c r="O60" s="233" t="str">
        <f>'05_Daily_Orders'!M60</f>
        <v>SOB</v>
      </c>
      <c r="P60" s="239" t="str">
        <f>_xlfn.IFNA(_xlfn.XLOOKUP(B60,'00_SKU_Master'!$B$2:$B$379,'00_SKU_Master'!$E$2:$E$379,""),"")</f>
        <v>Drum</v>
      </c>
      <c r="Q60" s="240">
        <f>_xlfn.IFNA(_xlfn.XLOOKUP(B60,'00_SKU_Master'!$B$2:$B$379,'00_SKU_Master'!$F$2:$F$379,0),0)</f>
        <v>0</v>
      </c>
      <c r="R60" s="253">
        <f t="shared" si="1"/>
        <v>0</v>
      </c>
    </row>
    <row r="61" spans="2:18" x14ac:dyDescent="0.35">
      <c r="B61" s="235">
        <f>'05_Daily_Orders'!C61</f>
        <v>2093</v>
      </c>
      <c r="C61" s="303">
        <v>0</v>
      </c>
      <c r="D61" s="303">
        <v>0</v>
      </c>
      <c r="E61" s="306"/>
      <c r="F61" s="306"/>
      <c r="G61" s="307">
        <v>0</v>
      </c>
      <c r="H61" s="307"/>
      <c r="I61" s="307"/>
      <c r="J61" s="307"/>
      <c r="K61" s="307"/>
      <c r="L61" s="307"/>
      <c r="M61" s="237">
        <f t="shared" si="0"/>
        <v>0</v>
      </c>
      <c r="N61" s="238">
        <f>_xlfn.IFNA(_xlfn.XLOOKUP(B61,'00_SKU_Master'!$B$2:$B$379,'00_SKU_Master'!$C$2:$C$379,0),"")</f>
        <v>61072</v>
      </c>
      <c r="O61" s="233" t="str">
        <f>'05_Daily_Orders'!M61</f>
        <v>SOB</v>
      </c>
      <c r="P61" s="239" t="str">
        <f>_xlfn.IFNA(_xlfn.XLOOKUP(B61,'00_SKU_Master'!$B$2:$B$379,'00_SKU_Master'!$E$2:$E$379,""),"")</f>
        <v>Drum</v>
      </c>
      <c r="Q61" s="240">
        <f>_xlfn.IFNA(_xlfn.XLOOKUP(B61,'00_SKU_Master'!$B$2:$B$379,'00_SKU_Master'!$F$2:$F$379,0),0)</f>
        <v>0</v>
      </c>
      <c r="R61" s="253">
        <f t="shared" si="1"/>
        <v>0</v>
      </c>
    </row>
    <row r="62" spans="2:18" x14ac:dyDescent="0.35">
      <c r="B62" s="235">
        <f>'05_Daily_Orders'!C62</f>
        <v>2094</v>
      </c>
      <c r="C62" s="303">
        <v>0</v>
      </c>
      <c r="D62" s="303">
        <v>0</v>
      </c>
      <c r="E62" s="306"/>
      <c r="F62" s="306"/>
      <c r="G62" s="307">
        <v>0</v>
      </c>
      <c r="H62" s="307"/>
      <c r="I62" s="307"/>
      <c r="J62" s="307"/>
      <c r="K62" s="307"/>
      <c r="L62" s="307"/>
      <c r="M62" s="237">
        <f t="shared" si="0"/>
        <v>0</v>
      </c>
      <c r="N62" s="238">
        <f>_xlfn.IFNA(_xlfn.XLOOKUP(B62,'00_SKU_Master'!$B$2:$B$379,'00_SKU_Master'!$C$2:$C$379,0),"")</f>
        <v>61077</v>
      </c>
      <c r="O62" s="233" t="str">
        <f>'05_Daily_Orders'!M62</f>
        <v>SOB</v>
      </c>
      <c r="P62" s="239" t="str">
        <f>_xlfn.IFNA(_xlfn.XLOOKUP(B62,'00_SKU_Master'!$B$2:$B$379,'00_SKU_Master'!$E$2:$E$379,""),"")</f>
        <v>Thigh</v>
      </c>
      <c r="Q62" s="240">
        <f>_xlfn.IFNA(_xlfn.XLOOKUP(B62,'00_SKU_Master'!$B$2:$B$379,'00_SKU_Master'!$F$2:$F$379,0),0)</f>
        <v>0</v>
      </c>
      <c r="R62" s="253">
        <f t="shared" si="1"/>
        <v>0</v>
      </c>
    </row>
    <row r="63" spans="2:18" x14ac:dyDescent="0.35">
      <c r="B63" s="235">
        <f>'05_Daily_Orders'!C63</f>
        <v>2095</v>
      </c>
      <c r="C63" s="303">
        <v>0</v>
      </c>
      <c r="D63" s="303">
        <v>0</v>
      </c>
      <c r="E63" s="306"/>
      <c r="F63" s="306"/>
      <c r="G63" s="307">
        <v>0</v>
      </c>
      <c r="H63" s="307"/>
      <c r="I63" s="307"/>
      <c r="J63" s="307"/>
      <c r="K63" s="307"/>
      <c r="L63" s="307"/>
      <c r="M63" s="237">
        <f t="shared" si="0"/>
        <v>0</v>
      </c>
      <c r="N63" s="238">
        <f>_xlfn.IFNA(_xlfn.XLOOKUP(B63,'00_SKU_Master'!$B$2:$B$379,'00_SKU_Master'!$C$2:$C$379,0),"")</f>
        <v>61077</v>
      </c>
      <c r="O63" s="233" t="str">
        <f>'05_Daily_Orders'!M63</f>
        <v>SOB</v>
      </c>
      <c r="P63" s="239" t="str">
        <f>_xlfn.IFNA(_xlfn.XLOOKUP(B63,'00_SKU_Master'!$B$2:$B$379,'00_SKU_Master'!$E$2:$E$379,""),"")</f>
        <v>Thigh</v>
      </c>
      <c r="Q63" s="240">
        <f>_xlfn.IFNA(_xlfn.XLOOKUP(B63,'00_SKU_Master'!$B$2:$B$379,'00_SKU_Master'!$F$2:$F$379,0),0)</f>
        <v>0</v>
      </c>
      <c r="R63" s="253">
        <f t="shared" si="1"/>
        <v>0</v>
      </c>
    </row>
    <row r="64" spans="2:18" x14ac:dyDescent="0.35">
      <c r="B64" s="235">
        <f>'05_Daily_Orders'!C64</f>
        <v>2096</v>
      </c>
      <c r="C64" s="303">
        <v>0</v>
      </c>
      <c r="D64" s="303">
        <v>0</v>
      </c>
      <c r="E64" s="306"/>
      <c r="F64" s="306"/>
      <c r="G64" s="307">
        <v>0</v>
      </c>
      <c r="H64" s="307"/>
      <c r="I64" s="307"/>
      <c r="J64" s="307"/>
      <c r="K64" s="307"/>
      <c r="L64" s="307"/>
      <c r="M64" s="237">
        <f t="shared" si="0"/>
        <v>0</v>
      </c>
      <c r="N64" s="238">
        <f>_xlfn.IFNA(_xlfn.XLOOKUP(B64,'00_SKU_Master'!$B$2:$B$379,'00_SKU_Master'!$C$2:$C$379,0),"")</f>
        <v>61086</v>
      </c>
      <c r="O64" s="233" t="str">
        <f>'05_Daily_Orders'!M64</f>
        <v>SOB</v>
      </c>
      <c r="P64" s="239" t="str">
        <f>_xlfn.IFNA(_xlfn.XLOOKUP(B64,'00_SKU_Master'!$B$2:$B$379,'00_SKU_Master'!$E$2:$E$379,""),"")</f>
        <v>ThighMeat</v>
      </c>
      <c r="Q64" s="240">
        <f>_xlfn.IFNA(_xlfn.XLOOKUP(B64,'00_SKU_Master'!$B$2:$B$379,'00_SKU_Master'!$F$2:$F$379,0),0)</f>
        <v>0</v>
      </c>
      <c r="R64" s="253">
        <f t="shared" si="1"/>
        <v>0</v>
      </c>
    </row>
    <row r="65" spans="2:18" x14ac:dyDescent="0.35">
      <c r="B65" s="235">
        <f>'05_Daily_Orders'!C65</f>
        <v>2097</v>
      </c>
      <c r="C65" s="303">
        <v>0</v>
      </c>
      <c r="D65" s="303">
        <v>0</v>
      </c>
      <c r="E65" s="306"/>
      <c r="F65" s="306"/>
      <c r="G65" s="307">
        <v>0</v>
      </c>
      <c r="H65" s="307"/>
      <c r="I65" s="307"/>
      <c r="J65" s="307"/>
      <c r="K65" s="307"/>
      <c r="L65" s="307"/>
      <c r="M65" s="237">
        <f t="shared" si="0"/>
        <v>0</v>
      </c>
      <c r="N65" s="238">
        <f>_xlfn.IFNA(_xlfn.XLOOKUP(B65,'00_SKU_Master'!$B$2:$B$379,'00_SKU_Master'!$C$2:$C$379,0),"")</f>
        <v>61086</v>
      </c>
      <c r="O65" s="233" t="str">
        <f>'05_Daily_Orders'!M65</f>
        <v>SOB</v>
      </c>
      <c r="P65" s="239" t="str">
        <f>_xlfn.IFNA(_xlfn.XLOOKUP(B65,'00_SKU_Master'!$B$2:$B$379,'00_SKU_Master'!$E$2:$E$379,""),"")</f>
        <v>ThighMeat</v>
      </c>
      <c r="Q65" s="240">
        <f>_xlfn.IFNA(_xlfn.XLOOKUP(B65,'00_SKU_Master'!$B$2:$B$379,'00_SKU_Master'!$F$2:$F$379,0),0)</f>
        <v>0</v>
      </c>
      <c r="R65" s="253">
        <f t="shared" si="1"/>
        <v>0</v>
      </c>
    </row>
    <row r="66" spans="2:18" x14ac:dyDescent="0.35">
      <c r="B66" s="235">
        <f>'05_Daily_Orders'!C66</f>
        <v>2098</v>
      </c>
      <c r="C66" s="303">
        <v>0</v>
      </c>
      <c r="D66" s="303">
        <v>0</v>
      </c>
      <c r="E66" s="306"/>
      <c r="F66" s="306"/>
      <c r="G66" s="307">
        <v>0</v>
      </c>
      <c r="H66" s="307"/>
      <c r="I66" s="307"/>
      <c r="J66" s="307"/>
      <c r="K66" s="307"/>
      <c r="L66" s="307"/>
      <c r="M66" s="237">
        <f t="shared" si="0"/>
        <v>0</v>
      </c>
      <c r="N66" s="238">
        <f>_xlfn.IFNA(_xlfn.XLOOKUP(B66,'00_SKU_Master'!$B$2:$B$379,'00_SKU_Master'!$C$2:$C$379,0),"")</f>
        <v>61014</v>
      </c>
      <c r="O66" s="233" t="str">
        <f>'05_Daily_Orders'!M66</f>
        <v>SOB</v>
      </c>
      <c r="P66" s="239" t="str">
        <f>_xlfn.IFNA(_xlfn.XLOOKUP(B66,'00_SKU_Master'!$B$2:$B$379,'00_SKU_Master'!$E$2:$E$379,""),"")</f>
        <v>SplitWing</v>
      </c>
      <c r="Q66" s="240">
        <f>_xlfn.IFNA(_xlfn.XLOOKUP(B66,'00_SKU_Master'!$B$2:$B$379,'00_SKU_Master'!$F$2:$F$379,0),0)</f>
        <v>0</v>
      </c>
      <c r="R66" s="253">
        <f t="shared" si="1"/>
        <v>0</v>
      </c>
    </row>
    <row r="67" spans="2:18" x14ac:dyDescent="0.35">
      <c r="B67" s="235">
        <f>'05_Daily_Orders'!C67</f>
        <v>2099</v>
      </c>
      <c r="C67" s="303">
        <v>0</v>
      </c>
      <c r="D67" s="303">
        <v>0</v>
      </c>
      <c r="E67" s="306"/>
      <c r="F67" s="306"/>
      <c r="G67" s="307">
        <v>0</v>
      </c>
      <c r="H67" s="307"/>
      <c r="I67" s="307"/>
      <c r="J67" s="307"/>
      <c r="K67" s="307"/>
      <c r="L67" s="307"/>
      <c r="M67" s="237">
        <f t="shared" ref="M67:M130" si="2">IF($F$2="n",0,(SUM(G67:L67)-C67))</f>
        <v>0</v>
      </c>
      <c r="N67" s="238">
        <f>_xlfn.IFNA(_xlfn.XLOOKUP(B67,'00_SKU_Master'!$B$2:$B$379,'00_SKU_Master'!$C$2:$C$379,0),"")</f>
        <v>61014</v>
      </c>
      <c r="O67" s="233" t="str">
        <f>'05_Daily_Orders'!M67</f>
        <v>SOB</v>
      </c>
      <c r="P67" s="239" t="str">
        <f>_xlfn.IFNA(_xlfn.XLOOKUP(B67,'00_SKU_Master'!$B$2:$B$379,'00_SKU_Master'!$E$2:$E$379,""),"")</f>
        <v>SplitWing</v>
      </c>
      <c r="Q67" s="240">
        <f>_xlfn.IFNA(_xlfn.XLOOKUP(B67,'00_SKU_Master'!$B$2:$B$379,'00_SKU_Master'!$F$2:$F$379,0),0)</f>
        <v>0</v>
      </c>
      <c r="R67" s="253">
        <f t="shared" ref="R67:R130" si="3">IF($M67="",0,$M67*Q67)</f>
        <v>0</v>
      </c>
    </row>
    <row r="68" spans="2:18" x14ac:dyDescent="0.35">
      <c r="B68" s="235">
        <f>'05_Daily_Orders'!C68</f>
        <v>2102</v>
      </c>
      <c r="C68" s="303">
        <v>0</v>
      </c>
      <c r="D68" s="303">
        <v>0</v>
      </c>
      <c r="E68" s="306"/>
      <c r="F68" s="306"/>
      <c r="G68" s="307">
        <v>0</v>
      </c>
      <c r="H68" s="307"/>
      <c r="I68" s="307"/>
      <c r="J68" s="307"/>
      <c r="K68" s="307"/>
      <c r="L68" s="307"/>
      <c r="M68" s="237">
        <f t="shared" si="2"/>
        <v>0</v>
      </c>
      <c r="N68" s="238" t="str">
        <f>_xlfn.IFNA(_xlfn.XLOOKUP(B68,'00_SKU_Master'!$B$2:$B$379,'00_SKU_Master'!$C$2:$C$379,0),"")</f>
        <v>61077F</v>
      </c>
      <c r="O68" s="233" t="str">
        <f>'05_Daily_Orders'!M68</f>
        <v>FB</v>
      </c>
      <c r="P68" s="239" t="str">
        <f>_xlfn.IFNA(_xlfn.XLOOKUP(B68,'00_SKU_Master'!$B$2:$B$379,'00_SKU_Master'!$E$2:$E$379,""),"")</f>
        <v>Thigh</v>
      </c>
      <c r="Q68" s="240">
        <f>_xlfn.IFNA(_xlfn.XLOOKUP(B68,'00_SKU_Master'!$B$2:$B$379,'00_SKU_Master'!$F$2:$F$379,0),0)</f>
        <v>0</v>
      </c>
      <c r="R68" s="253">
        <f t="shared" si="3"/>
        <v>0</v>
      </c>
    </row>
    <row r="69" spans="2:18" x14ac:dyDescent="0.35">
      <c r="B69" s="235">
        <f>'05_Daily_Orders'!C69</f>
        <v>2121</v>
      </c>
      <c r="C69" s="303">
        <v>0</v>
      </c>
      <c r="D69" s="303">
        <v>0</v>
      </c>
      <c r="E69" s="306"/>
      <c r="F69" s="306"/>
      <c r="G69" s="307">
        <v>0</v>
      </c>
      <c r="H69" s="307"/>
      <c r="I69" s="307"/>
      <c r="J69" s="307"/>
      <c r="K69" s="307"/>
      <c r="L69" s="307"/>
      <c r="M69" s="237">
        <f t="shared" si="2"/>
        <v>0</v>
      </c>
      <c r="N69" s="238">
        <f>_xlfn.IFNA(_xlfn.XLOOKUP(B69,'00_SKU_Master'!$B$2:$B$379,'00_SKU_Master'!$C$2:$C$379,0),"")</f>
        <v>203021</v>
      </c>
      <c r="O69" s="233" t="str">
        <f>'05_Daily_Orders'!M69</f>
        <v>FB</v>
      </c>
      <c r="P69" s="239" t="str">
        <f>_xlfn.IFNA(_xlfn.XLOOKUP(B69,'00_SKU_Master'!$B$2:$B$379,'00_SKU_Master'!$E$2:$E$379,""),"")</f>
        <v>Whole Bird-Small</v>
      </c>
      <c r="Q69" s="240">
        <f>_xlfn.IFNA(_xlfn.XLOOKUP(B69,'00_SKU_Master'!$B$2:$B$379,'00_SKU_Master'!$F$2:$F$379,0),0)</f>
        <v>0</v>
      </c>
      <c r="R69" s="253">
        <f t="shared" si="3"/>
        <v>0</v>
      </c>
    </row>
    <row r="70" spans="2:18" x14ac:dyDescent="0.35">
      <c r="B70" s="235">
        <f>'05_Daily_Orders'!C70</f>
        <v>2124</v>
      </c>
      <c r="C70" s="303">
        <v>0</v>
      </c>
      <c r="D70" s="303">
        <v>0</v>
      </c>
      <c r="E70" s="306"/>
      <c r="F70" s="306"/>
      <c r="G70" s="307">
        <v>0</v>
      </c>
      <c r="H70" s="307"/>
      <c r="I70" s="307"/>
      <c r="J70" s="307"/>
      <c r="K70" s="307"/>
      <c r="L70" s="307"/>
      <c r="M70" s="237">
        <f t="shared" si="2"/>
        <v>0</v>
      </c>
      <c r="N70" s="238" t="str">
        <f>_xlfn.IFNA(_xlfn.XLOOKUP(B70,'00_SKU_Master'!$B$2:$B$379,'00_SKU_Master'!$C$2:$C$379,0),"")</f>
        <v>61072#2</v>
      </c>
      <c r="O70" s="233" t="str">
        <f>'05_Daily_Orders'!M70</f>
        <v>FB</v>
      </c>
      <c r="P70" s="239" t="str">
        <f>_xlfn.IFNA(_xlfn.XLOOKUP(B70,'00_SKU_Master'!$B$2:$B$379,'00_SKU_Master'!$E$2:$E$379,""),"")</f>
        <v>Drum</v>
      </c>
      <c r="Q70" s="240">
        <f>_xlfn.IFNA(_xlfn.XLOOKUP(B70,'00_SKU_Master'!$B$2:$B$379,'00_SKU_Master'!$F$2:$F$379,0),0)</f>
        <v>10.547740092823901</v>
      </c>
      <c r="R70" s="253">
        <f t="shared" si="3"/>
        <v>0</v>
      </c>
    </row>
    <row r="71" spans="2:18" x14ac:dyDescent="0.35">
      <c r="B71" s="235">
        <f>'05_Daily_Orders'!C71</f>
        <v>2125</v>
      </c>
      <c r="C71" s="303">
        <v>0</v>
      </c>
      <c r="D71" s="303">
        <v>0</v>
      </c>
      <c r="E71" s="306"/>
      <c r="F71" s="306"/>
      <c r="G71" s="307">
        <v>0</v>
      </c>
      <c r="H71" s="307"/>
      <c r="I71" s="307"/>
      <c r="J71" s="307"/>
      <c r="K71" s="307"/>
      <c r="L71" s="307"/>
      <c r="M71" s="237">
        <f t="shared" si="2"/>
        <v>0</v>
      </c>
      <c r="N71" s="238">
        <f>_xlfn.IFNA(_xlfn.XLOOKUP(B71,'00_SKU_Master'!$B$2:$B$379,'00_SKU_Master'!$C$2:$C$379,0),"")</f>
        <v>61082</v>
      </c>
      <c r="O71" s="233" t="str">
        <f>'05_Daily_Orders'!M71</f>
        <v>FB</v>
      </c>
      <c r="P71" s="239" t="str">
        <f>_xlfn.IFNA(_xlfn.XLOOKUP(B71,'00_SKU_Master'!$B$2:$B$379,'00_SKU_Master'!$E$2:$E$379,""),"")</f>
        <v>Thigh</v>
      </c>
      <c r="Q71" s="240">
        <f>_xlfn.IFNA(_xlfn.XLOOKUP(B71,'00_SKU_Master'!$B$2:$B$379,'00_SKU_Master'!$F$2:$F$379,0),0)</f>
        <v>0</v>
      </c>
      <c r="R71" s="253">
        <f t="shared" si="3"/>
        <v>0</v>
      </c>
    </row>
    <row r="72" spans="2:18" x14ac:dyDescent="0.35">
      <c r="B72" s="235">
        <f>'05_Daily_Orders'!C72</f>
        <v>2237</v>
      </c>
      <c r="C72" s="303">
        <v>0</v>
      </c>
      <c r="D72" s="303">
        <v>0</v>
      </c>
      <c r="E72" s="306"/>
      <c r="F72" s="306"/>
      <c r="G72" s="307">
        <v>0</v>
      </c>
      <c r="H72" s="307"/>
      <c r="I72" s="307"/>
      <c r="J72" s="307"/>
      <c r="K72" s="307"/>
      <c r="L72" s="307"/>
      <c r="M72" s="237">
        <f t="shared" si="2"/>
        <v>0</v>
      </c>
      <c r="N72" s="238" t="str">
        <f>_xlfn.IFNA(_xlfn.XLOOKUP(B72,'00_SKU_Master'!$B$2:$B$379,'00_SKU_Master'!$C$2:$C$379,0),"")</f>
        <v>61050#2</v>
      </c>
      <c r="O72" s="233" t="str">
        <f>'05_Daily_Orders'!M72</f>
        <v>FB</v>
      </c>
      <c r="P72" s="239" t="str">
        <f>_xlfn.IFNA(_xlfn.XLOOKUP(B72,'00_SKU_Master'!$B$2:$B$379,'00_SKU_Master'!$E$2:$E$379,""),"")</f>
        <v>BSB</v>
      </c>
      <c r="Q72" s="240">
        <f>_xlfn.IFNA(_xlfn.XLOOKUP(B72,'00_SKU_Master'!$B$2:$B$379,'00_SKU_Master'!$F$2:$F$379,0),0)</f>
        <v>0</v>
      </c>
      <c r="R72" s="253">
        <f t="shared" si="3"/>
        <v>0</v>
      </c>
    </row>
    <row r="73" spans="2:18" x14ac:dyDescent="0.35">
      <c r="B73" s="235">
        <f>'05_Daily_Orders'!C73</f>
        <v>2500</v>
      </c>
      <c r="C73" s="303">
        <v>0</v>
      </c>
      <c r="D73" s="303">
        <v>0</v>
      </c>
      <c r="E73" s="306"/>
      <c r="F73" s="306"/>
      <c r="G73" s="307">
        <v>40</v>
      </c>
      <c r="H73" s="307"/>
      <c r="I73" s="307"/>
      <c r="J73" s="307"/>
      <c r="K73" s="307"/>
      <c r="L73" s="307"/>
      <c r="M73" s="237">
        <f t="shared" si="2"/>
        <v>40</v>
      </c>
      <c r="N73" s="238" t="str">
        <f>_xlfn.IFNA(_xlfn.XLOOKUP(B73,'00_SKU_Master'!$B$2:$B$379,'00_SKU_Master'!$C$2:$C$379,0),"")</f>
        <v>61086F</v>
      </c>
      <c r="O73" s="233" t="str">
        <f>'05_Daily_Orders'!M73</f>
        <v>FB</v>
      </c>
      <c r="P73" s="239" t="str">
        <f>_xlfn.IFNA(_xlfn.XLOOKUP(B73,'00_SKU_Master'!$B$2:$B$379,'00_SKU_Master'!$E$2:$E$379,""),"")</f>
        <v>ThighMeat</v>
      </c>
      <c r="Q73" s="240">
        <f>_xlfn.IFNA(_xlfn.XLOOKUP(B73,'00_SKU_Master'!$B$2:$B$379,'00_SKU_Master'!$F$2:$F$379,0),0)</f>
        <v>5.5547131672597798</v>
      </c>
      <c r="R73" s="253">
        <f t="shared" si="3"/>
        <v>222.1885266903912</v>
      </c>
    </row>
    <row r="74" spans="2:18" x14ac:dyDescent="0.35">
      <c r="B74" s="235">
        <f>'05_Daily_Orders'!C74</f>
        <v>2501</v>
      </c>
      <c r="C74" s="303">
        <v>0</v>
      </c>
      <c r="D74" s="303">
        <v>0</v>
      </c>
      <c r="E74" s="306"/>
      <c r="F74" s="306"/>
      <c r="G74" s="307">
        <v>0</v>
      </c>
      <c r="H74" s="307"/>
      <c r="I74" s="307"/>
      <c r="J74" s="307"/>
      <c r="K74" s="307"/>
      <c r="L74" s="307"/>
      <c r="M74" s="237">
        <f t="shared" si="2"/>
        <v>0</v>
      </c>
      <c r="N74" s="238" t="str">
        <f>_xlfn.IFNA(_xlfn.XLOOKUP(B74,'00_SKU_Master'!$B$2:$B$379,'00_SKU_Master'!$C$2:$C$379,0),"")</f>
        <v>61086F</v>
      </c>
      <c r="O74" s="233" t="str">
        <f>'05_Daily_Orders'!M74</f>
        <v>FB</v>
      </c>
      <c r="P74" s="239" t="str">
        <f>_xlfn.IFNA(_xlfn.XLOOKUP(B74,'00_SKU_Master'!$B$2:$B$379,'00_SKU_Master'!$E$2:$E$379,""),"")</f>
        <v>ThighMeat</v>
      </c>
      <c r="Q74" s="240">
        <f>_xlfn.IFNA(_xlfn.XLOOKUP(B74,'00_SKU_Master'!$B$2:$B$379,'00_SKU_Master'!$F$2:$F$379,0),0)</f>
        <v>0</v>
      </c>
      <c r="R74" s="253">
        <f t="shared" si="3"/>
        <v>0</v>
      </c>
    </row>
    <row r="75" spans="2:18" x14ac:dyDescent="0.35">
      <c r="B75" s="235">
        <f>'05_Daily_Orders'!C75</f>
        <v>2502</v>
      </c>
      <c r="C75" s="303">
        <v>0</v>
      </c>
      <c r="D75" s="303">
        <v>0</v>
      </c>
      <c r="E75" s="306"/>
      <c r="F75" s="306"/>
      <c r="G75" s="307">
        <v>42</v>
      </c>
      <c r="H75" s="307"/>
      <c r="I75" s="307"/>
      <c r="J75" s="307"/>
      <c r="K75" s="307"/>
      <c r="L75" s="307"/>
      <c r="M75" s="237">
        <f t="shared" si="2"/>
        <v>42</v>
      </c>
      <c r="N75" s="238" t="str">
        <f>_xlfn.IFNA(_xlfn.XLOOKUP(B75,'00_SKU_Master'!$B$2:$B$379,'00_SKU_Master'!$C$2:$C$379,0),"")</f>
        <v>61077F</v>
      </c>
      <c r="O75" s="233" t="str">
        <f>'05_Daily_Orders'!M75</f>
        <v>FB</v>
      </c>
      <c r="P75" s="239" t="str">
        <f>_xlfn.IFNA(_xlfn.XLOOKUP(B75,'00_SKU_Master'!$B$2:$B$379,'00_SKU_Master'!$E$2:$E$379,""),"")</f>
        <v>Thigh</v>
      </c>
      <c r="Q75" s="240">
        <f>_xlfn.IFNA(_xlfn.XLOOKUP(B75,'00_SKU_Master'!$B$2:$B$379,'00_SKU_Master'!$F$2:$F$379,0),0)</f>
        <v>6.34339030023094</v>
      </c>
      <c r="R75" s="253">
        <f t="shared" si="3"/>
        <v>266.4223926096995</v>
      </c>
    </row>
    <row r="76" spans="2:18" x14ac:dyDescent="0.35">
      <c r="B76" s="235">
        <f>'05_Daily_Orders'!C76</f>
        <v>2503</v>
      </c>
      <c r="C76" s="303">
        <v>0</v>
      </c>
      <c r="D76" s="303">
        <v>0</v>
      </c>
      <c r="E76" s="306"/>
      <c r="F76" s="306"/>
      <c r="G76" s="307">
        <v>0</v>
      </c>
      <c r="H76" s="307"/>
      <c r="I76" s="307"/>
      <c r="J76" s="307"/>
      <c r="K76" s="307"/>
      <c r="L76" s="307"/>
      <c r="M76" s="237">
        <f t="shared" si="2"/>
        <v>0</v>
      </c>
      <c r="N76" s="238" t="str">
        <f>_xlfn.IFNA(_xlfn.XLOOKUP(B76,'00_SKU_Master'!$B$2:$B$379,'00_SKU_Master'!$C$2:$C$379,0),"")</f>
        <v>61077F</v>
      </c>
      <c r="O76" s="233" t="str">
        <f>'05_Daily_Orders'!M76</f>
        <v>FB</v>
      </c>
      <c r="P76" s="239" t="str">
        <f>_xlfn.IFNA(_xlfn.XLOOKUP(B76,'00_SKU_Master'!$B$2:$B$379,'00_SKU_Master'!$E$2:$E$379,""),"")</f>
        <v>Thigh</v>
      </c>
      <c r="Q76" s="240">
        <f>_xlfn.IFNA(_xlfn.XLOOKUP(B76,'00_SKU_Master'!$B$2:$B$379,'00_SKU_Master'!$F$2:$F$379,0),0)</f>
        <v>0</v>
      </c>
      <c r="R76" s="253">
        <f t="shared" si="3"/>
        <v>0</v>
      </c>
    </row>
    <row r="77" spans="2:18" x14ac:dyDescent="0.35">
      <c r="B77" s="235">
        <f>'05_Daily_Orders'!C77</f>
        <v>2504</v>
      </c>
      <c r="C77" s="303">
        <v>0</v>
      </c>
      <c r="D77" s="303">
        <v>0</v>
      </c>
      <c r="E77" s="306"/>
      <c r="F77" s="306"/>
      <c r="G77" s="307">
        <v>50</v>
      </c>
      <c r="H77" s="307"/>
      <c r="I77" s="307"/>
      <c r="J77" s="307"/>
      <c r="K77" s="307"/>
      <c r="L77" s="307"/>
      <c r="M77" s="237">
        <f t="shared" si="2"/>
        <v>50</v>
      </c>
      <c r="N77" s="238" t="str">
        <f>_xlfn.IFNA(_xlfn.XLOOKUP(B77,'00_SKU_Master'!$B$2:$B$379,'00_SKU_Master'!$C$2:$C$379,0),"")</f>
        <v>61072F</v>
      </c>
      <c r="O77" s="233" t="str">
        <f>'05_Daily_Orders'!M77</f>
        <v>FB</v>
      </c>
      <c r="P77" s="239" t="str">
        <f>_xlfn.IFNA(_xlfn.XLOOKUP(B77,'00_SKU_Master'!$B$2:$B$379,'00_SKU_Master'!$E$2:$E$379,""),"")</f>
        <v>Drum</v>
      </c>
      <c r="Q77" s="240">
        <f>_xlfn.IFNA(_xlfn.XLOOKUP(B77,'00_SKU_Master'!$B$2:$B$379,'00_SKU_Master'!$F$2:$F$379,0),0)</f>
        <v>6.0274686520376104</v>
      </c>
      <c r="R77" s="253">
        <f t="shared" si="3"/>
        <v>301.37343260188049</v>
      </c>
    </row>
    <row r="78" spans="2:18" x14ac:dyDescent="0.35">
      <c r="B78" s="235">
        <f>'05_Daily_Orders'!C78</f>
        <v>2505</v>
      </c>
      <c r="C78" s="303">
        <v>0</v>
      </c>
      <c r="D78" s="303">
        <v>0</v>
      </c>
      <c r="E78" s="306"/>
      <c r="F78" s="306"/>
      <c r="G78" s="307">
        <v>0</v>
      </c>
      <c r="H78" s="307"/>
      <c r="I78" s="307"/>
      <c r="J78" s="307"/>
      <c r="K78" s="307"/>
      <c r="L78" s="307"/>
      <c r="M78" s="237">
        <f t="shared" si="2"/>
        <v>0</v>
      </c>
      <c r="N78" s="238" t="str">
        <f>_xlfn.IFNA(_xlfn.XLOOKUP(B78,'00_SKU_Master'!$B$2:$B$379,'00_SKU_Master'!$C$2:$C$379,0),"")</f>
        <v>61072F</v>
      </c>
      <c r="O78" s="233" t="str">
        <f>'05_Daily_Orders'!M78</f>
        <v>FB</v>
      </c>
      <c r="P78" s="239" t="str">
        <f>_xlfn.IFNA(_xlfn.XLOOKUP(B78,'00_SKU_Master'!$B$2:$B$379,'00_SKU_Master'!$E$2:$E$379,""),"")</f>
        <v>Drum</v>
      </c>
      <c r="Q78" s="240">
        <f>_xlfn.IFNA(_xlfn.XLOOKUP(B78,'00_SKU_Master'!$B$2:$B$379,'00_SKU_Master'!$F$2:$F$379,0),0)</f>
        <v>0</v>
      </c>
      <c r="R78" s="253">
        <f t="shared" si="3"/>
        <v>0</v>
      </c>
    </row>
    <row r="79" spans="2:18" x14ac:dyDescent="0.35">
      <c r="B79" s="235">
        <f>'05_Daily_Orders'!C79</f>
        <v>2506</v>
      </c>
      <c r="C79" s="303">
        <v>0</v>
      </c>
      <c r="D79" s="303">
        <v>0</v>
      </c>
      <c r="E79" s="306"/>
      <c r="F79" s="306"/>
      <c r="G79" s="307">
        <v>38</v>
      </c>
      <c r="H79" s="307"/>
      <c r="I79" s="307"/>
      <c r="J79" s="307"/>
      <c r="K79" s="307"/>
      <c r="L79" s="307"/>
      <c r="M79" s="237">
        <f t="shared" si="2"/>
        <v>38</v>
      </c>
      <c r="N79" s="238" t="str">
        <f>_xlfn.IFNA(_xlfn.XLOOKUP(B79,'00_SKU_Master'!$B$2:$B$379,'00_SKU_Master'!$C$2:$C$379,0),"")</f>
        <v>61014F</v>
      </c>
      <c r="O79" s="233" t="str">
        <f>'05_Daily_Orders'!M79</f>
        <v>FB</v>
      </c>
      <c r="P79" s="239" t="str">
        <f>_xlfn.IFNA(_xlfn.XLOOKUP(B79,'00_SKU_Master'!$B$2:$B$379,'00_SKU_Master'!$E$2:$E$379,""),"")</f>
        <v>SplitWing</v>
      </c>
      <c r="Q79" s="240">
        <f>_xlfn.IFNA(_xlfn.XLOOKUP(B79,'00_SKU_Master'!$B$2:$B$379,'00_SKU_Master'!$F$2:$F$379,0),0)</f>
        <v>6.0352861072902302</v>
      </c>
      <c r="R79" s="253">
        <f t="shared" si="3"/>
        <v>229.34087207702873</v>
      </c>
    </row>
    <row r="80" spans="2:18" x14ac:dyDescent="0.35">
      <c r="B80" s="235">
        <f>'05_Daily_Orders'!C80</f>
        <v>2508</v>
      </c>
      <c r="C80" s="303">
        <v>0</v>
      </c>
      <c r="D80" s="303">
        <v>0</v>
      </c>
      <c r="E80" s="306"/>
      <c r="F80" s="306"/>
      <c r="G80" s="307">
        <v>0</v>
      </c>
      <c r="H80" s="307"/>
      <c r="I80" s="307"/>
      <c r="J80" s="307"/>
      <c r="K80" s="307"/>
      <c r="L80" s="307"/>
      <c r="M80" s="237">
        <f t="shared" si="2"/>
        <v>0</v>
      </c>
      <c r="N80" s="238" t="str">
        <f>_xlfn.IFNA(_xlfn.XLOOKUP(B80,'00_SKU_Master'!$B$2:$B$379,'00_SKU_Master'!$C$2:$C$379,0),"")</f>
        <v>61050F</v>
      </c>
      <c r="O80" s="233" t="str">
        <f>'05_Daily_Orders'!M80</f>
        <v>FB</v>
      </c>
      <c r="P80" s="239" t="str">
        <f>_xlfn.IFNA(_xlfn.XLOOKUP(B80,'00_SKU_Master'!$B$2:$B$379,'00_SKU_Master'!$E$2:$E$379,""),"")</f>
        <v>BSB</v>
      </c>
      <c r="Q80" s="240">
        <f>_xlfn.IFNA(_xlfn.XLOOKUP(B80,'00_SKU_Master'!$B$2:$B$379,'00_SKU_Master'!$F$2:$F$379,0),0)</f>
        <v>7.0664191705984596</v>
      </c>
      <c r="R80" s="253">
        <f t="shared" si="3"/>
        <v>0</v>
      </c>
    </row>
    <row r="81" spans="2:18" x14ac:dyDescent="0.35">
      <c r="B81" s="235">
        <f>'05_Daily_Orders'!C81</f>
        <v>2509</v>
      </c>
      <c r="C81" s="303">
        <v>0</v>
      </c>
      <c r="D81" s="303">
        <v>0</v>
      </c>
      <c r="E81" s="306"/>
      <c r="F81" s="306"/>
      <c r="G81" s="307">
        <v>110</v>
      </c>
      <c r="H81" s="307"/>
      <c r="I81" s="307"/>
      <c r="J81" s="307"/>
      <c r="K81" s="307"/>
      <c r="L81" s="307"/>
      <c r="M81" s="237">
        <f t="shared" si="2"/>
        <v>110</v>
      </c>
      <c r="N81" s="238">
        <f>_xlfn.IFNA(_xlfn.XLOOKUP(B81,'00_SKU_Master'!$B$2:$B$379,'00_SKU_Master'!$C$2:$C$379,0),"")</f>
        <v>61050</v>
      </c>
      <c r="O81" s="233" t="str">
        <f>'05_Daily_Orders'!M81</f>
        <v>FB</v>
      </c>
      <c r="P81" s="239" t="str">
        <f>_xlfn.IFNA(_xlfn.XLOOKUP(B81,'00_SKU_Master'!$B$2:$B$379,'00_SKU_Master'!$E$2:$E$379,""),"")</f>
        <v>BSB</v>
      </c>
      <c r="Q81" s="240">
        <f>_xlfn.IFNA(_xlfn.XLOOKUP(B81,'00_SKU_Master'!$B$2:$B$379,'00_SKU_Master'!$F$2:$F$379,0),0)</f>
        <v>7.6328908051277304</v>
      </c>
      <c r="R81" s="253">
        <f t="shared" si="3"/>
        <v>839.61798856405039</v>
      </c>
    </row>
    <row r="82" spans="2:18" x14ac:dyDescent="0.35">
      <c r="B82" s="235">
        <f>'05_Daily_Orders'!C82</f>
        <v>2510</v>
      </c>
      <c r="C82" s="303">
        <v>0</v>
      </c>
      <c r="D82" s="303">
        <v>0</v>
      </c>
      <c r="E82" s="306"/>
      <c r="F82" s="306"/>
      <c r="G82" s="307">
        <v>108</v>
      </c>
      <c r="H82" s="307"/>
      <c r="I82" s="307"/>
      <c r="J82" s="307"/>
      <c r="K82" s="307"/>
      <c r="L82" s="307"/>
      <c r="M82" s="237">
        <f t="shared" si="2"/>
        <v>108</v>
      </c>
      <c r="N82" s="238" t="str">
        <f>_xlfn.IFNA(_xlfn.XLOOKUP(B82,'00_SKU_Master'!$B$2:$B$379,'00_SKU_Master'!$C$2:$C$379,0),"")</f>
        <v>61014F</v>
      </c>
      <c r="O82" s="233" t="str">
        <f>'05_Daily_Orders'!M82</f>
        <v>FB</v>
      </c>
      <c r="P82" s="239" t="str">
        <f>_xlfn.IFNA(_xlfn.XLOOKUP(B82,'00_SKU_Master'!$B$2:$B$379,'00_SKU_Master'!$E$2:$E$379,""),"")</f>
        <v>SplitWing</v>
      </c>
      <c r="Q82" s="240">
        <f>_xlfn.IFNA(_xlfn.XLOOKUP(B82,'00_SKU_Master'!$B$2:$B$379,'00_SKU_Master'!$F$2:$F$379,0),0)</f>
        <v>8.2152039737898903</v>
      </c>
      <c r="R82" s="253">
        <f t="shared" si="3"/>
        <v>887.24202916930813</v>
      </c>
    </row>
    <row r="83" spans="2:18" x14ac:dyDescent="0.35">
      <c r="B83" s="235">
        <f>'05_Daily_Orders'!C83</f>
        <v>2512</v>
      </c>
      <c r="C83" s="303">
        <v>0</v>
      </c>
      <c r="D83" s="303">
        <v>0</v>
      </c>
      <c r="E83" s="306"/>
      <c r="F83" s="306"/>
      <c r="G83" s="307">
        <v>30</v>
      </c>
      <c r="H83" s="307"/>
      <c r="I83" s="307"/>
      <c r="J83" s="307"/>
      <c r="K83" s="307"/>
      <c r="L83" s="307"/>
      <c r="M83" s="237">
        <f t="shared" si="2"/>
        <v>30</v>
      </c>
      <c r="N83" s="238">
        <f>_xlfn.IFNA(_xlfn.XLOOKUP(B83,'00_SKU_Master'!$B$2:$B$379,'00_SKU_Master'!$C$2:$C$379,0),"")</f>
        <v>61014</v>
      </c>
      <c r="O83" s="233" t="str">
        <f>'05_Daily_Orders'!M83</f>
        <v>METRO</v>
      </c>
      <c r="P83" s="239" t="str">
        <f>_xlfn.IFNA(_xlfn.XLOOKUP(B83,'00_SKU_Master'!$B$2:$B$379,'00_SKU_Master'!$E$2:$E$379,""),"")</f>
        <v>SplitWing</v>
      </c>
      <c r="Q83" s="240">
        <f>_xlfn.IFNA(_xlfn.XLOOKUP(B83,'00_SKU_Master'!$B$2:$B$379,'00_SKU_Master'!$F$2:$F$379,0),0)</f>
        <v>8.2115199306759106</v>
      </c>
      <c r="R83" s="253">
        <f t="shared" si="3"/>
        <v>246.34559792027733</v>
      </c>
    </row>
    <row r="84" spans="2:18" x14ac:dyDescent="0.35">
      <c r="B84" s="235">
        <f>'05_Daily_Orders'!C84</f>
        <v>7018</v>
      </c>
      <c r="C84" s="303">
        <v>0</v>
      </c>
      <c r="D84" s="303">
        <v>0</v>
      </c>
      <c r="E84" s="306"/>
      <c r="F84" s="306"/>
      <c r="G84" s="307">
        <v>0</v>
      </c>
      <c r="H84" s="307"/>
      <c r="I84" s="307"/>
      <c r="J84" s="307"/>
      <c r="K84" s="307"/>
      <c r="L84" s="307"/>
      <c r="M84" s="237">
        <f t="shared" si="2"/>
        <v>0</v>
      </c>
      <c r="N84" s="238">
        <f>_xlfn.IFNA(_xlfn.XLOOKUP(B84,'00_SKU_Master'!$B$2:$B$379,'00_SKU_Master'!$C$2:$C$379,0),"")</f>
        <v>61010</v>
      </c>
      <c r="O84" s="233" t="str">
        <f>'05_Daily_Orders'!M84</f>
        <v>LCL</v>
      </c>
      <c r="P84" s="239" t="str">
        <f>_xlfn.IFNA(_xlfn.XLOOKUP(B84,'00_SKU_Master'!$B$2:$B$379,'00_SKU_Master'!$E$2:$E$379,""),"")</f>
        <v>Wing</v>
      </c>
      <c r="Q84" s="240">
        <f>_xlfn.IFNA(_xlfn.XLOOKUP(B84,'00_SKU_Master'!$B$2:$B$379,'00_SKU_Master'!$F$2:$F$379,0),0)</f>
        <v>7.42</v>
      </c>
      <c r="R84" s="253">
        <f t="shared" si="3"/>
        <v>0</v>
      </c>
    </row>
    <row r="85" spans="2:18" x14ac:dyDescent="0.35">
      <c r="B85" s="235">
        <f>'05_Daily_Orders'!C85</f>
        <v>7091</v>
      </c>
      <c r="C85" s="303">
        <v>0</v>
      </c>
      <c r="D85" s="303">
        <v>0</v>
      </c>
      <c r="E85" s="306"/>
      <c r="F85" s="306"/>
      <c r="G85" s="307">
        <v>0</v>
      </c>
      <c r="H85" s="307"/>
      <c r="I85" s="307"/>
      <c r="J85" s="307"/>
      <c r="K85" s="307"/>
      <c r="L85" s="307"/>
      <c r="M85" s="237">
        <f t="shared" si="2"/>
        <v>0</v>
      </c>
      <c r="N85" s="238">
        <f>_xlfn.IFNA(_xlfn.XLOOKUP(B85,'00_SKU_Master'!$B$2:$B$379,'00_SKU_Master'!$C$2:$C$379,0),"")</f>
        <v>61061</v>
      </c>
      <c r="O85" s="233" t="str">
        <f>'05_Daily_Orders'!M85</f>
        <v>LCL</v>
      </c>
      <c r="P85" s="239" t="str">
        <f>_xlfn.IFNA(_xlfn.XLOOKUP(B85,'00_SKU_Master'!$B$2:$B$379,'00_SKU_Master'!$E$2:$E$379,""),"")</f>
        <v>BA</v>
      </c>
      <c r="Q85" s="240">
        <f>_xlfn.IFNA(_xlfn.XLOOKUP(B85,'00_SKU_Master'!$B$2:$B$379,'00_SKU_Master'!$F$2:$F$379,0),0)</f>
        <v>0</v>
      </c>
      <c r="R85" s="253">
        <f t="shared" si="3"/>
        <v>0</v>
      </c>
    </row>
    <row r="86" spans="2:18" x14ac:dyDescent="0.35">
      <c r="B86" s="235">
        <f>'05_Daily_Orders'!C86</f>
        <v>7103</v>
      </c>
      <c r="C86" s="303">
        <v>0</v>
      </c>
      <c r="D86" s="303">
        <v>0</v>
      </c>
      <c r="E86" s="306"/>
      <c r="F86" s="306"/>
      <c r="G86" s="307">
        <v>0</v>
      </c>
      <c r="H86" s="307"/>
      <c r="I86" s="307"/>
      <c r="J86" s="307"/>
      <c r="K86" s="307"/>
      <c r="L86" s="307"/>
      <c r="M86" s="237">
        <f t="shared" si="2"/>
        <v>0</v>
      </c>
      <c r="N86" s="238">
        <f>_xlfn.IFNA(_xlfn.XLOOKUP(B86,'00_SKU_Master'!$B$2:$B$379,'00_SKU_Master'!$C$2:$C$379,0),"")</f>
        <v>203891</v>
      </c>
      <c r="O86" s="233" t="str">
        <f>'05_Daily_Orders'!M86</f>
        <v>LCL</v>
      </c>
      <c r="P86" s="239" t="str">
        <f>_xlfn.IFNA(_xlfn.XLOOKUP(B86,'00_SKU_Master'!$B$2:$B$379,'00_SKU_Master'!$E$2:$E$379,""),"")</f>
        <v>Whole Bird-Small</v>
      </c>
      <c r="Q86" s="240">
        <f>_xlfn.IFNA(_xlfn.XLOOKUP(B86,'00_SKU_Master'!$B$2:$B$379,'00_SKU_Master'!$F$2:$F$379,0),0)</f>
        <v>0</v>
      </c>
      <c r="R86" s="253">
        <f t="shared" si="3"/>
        <v>0</v>
      </c>
    </row>
    <row r="87" spans="2:18" x14ac:dyDescent="0.35">
      <c r="B87" s="235">
        <f>'05_Daily_Orders'!C87</f>
        <v>7104</v>
      </c>
      <c r="C87" s="303">
        <v>0</v>
      </c>
      <c r="D87" s="303">
        <v>0</v>
      </c>
      <c r="E87" s="306"/>
      <c r="F87" s="306"/>
      <c r="G87" s="307">
        <v>0</v>
      </c>
      <c r="H87" s="307"/>
      <c r="I87" s="307"/>
      <c r="J87" s="307"/>
      <c r="K87" s="307"/>
      <c r="L87" s="307"/>
      <c r="M87" s="237">
        <f t="shared" si="2"/>
        <v>0</v>
      </c>
      <c r="N87" s="238">
        <f>_xlfn.IFNA(_xlfn.XLOOKUP(B87,'00_SKU_Master'!$B$2:$B$379,'00_SKU_Master'!$C$2:$C$379,0),"")</f>
        <v>61082</v>
      </c>
      <c r="O87" s="233" t="str">
        <f>'05_Daily_Orders'!M87</f>
        <v>LCL</v>
      </c>
      <c r="P87" s="239" t="str">
        <f>_xlfn.IFNA(_xlfn.XLOOKUP(B87,'00_SKU_Master'!$B$2:$B$379,'00_SKU_Master'!$E$2:$E$379,""),"")</f>
        <v>Thigh</v>
      </c>
      <c r="Q87" s="240">
        <f>_xlfn.IFNA(_xlfn.XLOOKUP(B87,'00_SKU_Master'!$B$2:$B$379,'00_SKU_Master'!$F$2:$F$379,0),0)</f>
        <v>10.533333333333299</v>
      </c>
      <c r="R87" s="253">
        <f t="shared" si="3"/>
        <v>0</v>
      </c>
    </row>
    <row r="88" spans="2:18" x14ac:dyDescent="0.35">
      <c r="B88" s="235">
        <f>'05_Daily_Orders'!C88</f>
        <v>7105</v>
      </c>
      <c r="C88" s="303">
        <v>0</v>
      </c>
      <c r="D88" s="303">
        <v>0</v>
      </c>
      <c r="E88" s="306"/>
      <c r="F88" s="306"/>
      <c r="G88" s="307">
        <v>0</v>
      </c>
      <c r="H88" s="307"/>
      <c r="I88" s="307"/>
      <c r="J88" s="307"/>
      <c r="K88" s="307"/>
      <c r="L88" s="307"/>
      <c r="M88" s="237">
        <f t="shared" si="2"/>
        <v>0</v>
      </c>
      <c r="N88" s="238" t="str">
        <f>_xlfn.IFNA(_xlfn.XLOOKUP(B88,'00_SKU_Master'!$B$2:$B$379,'00_SKU_Master'!$C$2:$C$379,0),"")</f>
        <v>61050#2</v>
      </c>
      <c r="O88" s="233" t="str">
        <f>'05_Daily_Orders'!M88</f>
        <v>LCL</v>
      </c>
      <c r="P88" s="239" t="str">
        <f>_xlfn.IFNA(_xlfn.XLOOKUP(B88,'00_SKU_Master'!$B$2:$B$379,'00_SKU_Master'!$E$2:$E$379,""),"")</f>
        <v>BSB</v>
      </c>
      <c r="Q88" s="240">
        <f>_xlfn.IFNA(_xlfn.XLOOKUP(B88,'00_SKU_Master'!$B$2:$B$379,'00_SKU_Master'!$F$2:$F$379,0),0)</f>
        <v>9.7704409432707493</v>
      </c>
      <c r="R88" s="253">
        <f t="shared" si="3"/>
        <v>0</v>
      </c>
    </row>
    <row r="89" spans="2:18" x14ac:dyDescent="0.35">
      <c r="B89" s="235">
        <f>'05_Daily_Orders'!C89</f>
        <v>7107</v>
      </c>
      <c r="C89" s="303">
        <v>0</v>
      </c>
      <c r="D89" s="303">
        <v>0</v>
      </c>
      <c r="E89" s="306"/>
      <c r="F89" s="306"/>
      <c r="G89" s="307">
        <v>0</v>
      </c>
      <c r="H89" s="307"/>
      <c r="I89" s="307"/>
      <c r="J89" s="307"/>
      <c r="K89" s="307"/>
      <c r="L89" s="307"/>
      <c r="M89" s="237">
        <f t="shared" si="2"/>
        <v>0</v>
      </c>
      <c r="N89" s="238" t="str">
        <f>_xlfn.IFNA(_xlfn.XLOOKUP(B89,'00_SKU_Master'!$B$2:$B$379,'00_SKU_Master'!$C$2:$C$379,0),"")</f>
        <v>61048#2</v>
      </c>
      <c r="O89" s="233" t="str">
        <f>'05_Daily_Orders'!M89</f>
        <v>LCL</v>
      </c>
      <c r="P89" s="239" t="str">
        <f>_xlfn.IFNA(_xlfn.XLOOKUP(B89,'00_SKU_Master'!$B$2:$B$379,'00_SKU_Master'!$E$2:$E$379,""),"")</f>
        <v>SplitBreast</v>
      </c>
      <c r="Q89" s="240">
        <f>_xlfn.IFNA(_xlfn.XLOOKUP(B89,'00_SKU_Master'!$B$2:$B$379,'00_SKU_Master'!$F$2:$F$379,0),0)</f>
        <v>10.5304894500172</v>
      </c>
      <c r="R89" s="253">
        <f t="shared" si="3"/>
        <v>0</v>
      </c>
    </row>
    <row r="90" spans="2:18" x14ac:dyDescent="0.35">
      <c r="B90" s="235">
        <f>'05_Daily_Orders'!C90</f>
        <v>7108</v>
      </c>
      <c r="C90" s="303">
        <v>0</v>
      </c>
      <c r="D90" s="303">
        <v>0</v>
      </c>
      <c r="E90" s="306"/>
      <c r="F90" s="306"/>
      <c r="G90" s="307">
        <v>0</v>
      </c>
      <c r="H90" s="307"/>
      <c r="I90" s="307"/>
      <c r="J90" s="307"/>
      <c r="K90" s="307"/>
      <c r="L90" s="307"/>
      <c r="M90" s="237">
        <f t="shared" si="2"/>
        <v>0</v>
      </c>
      <c r="N90" s="238" t="str">
        <f>_xlfn.IFNA(_xlfn.XLOOKUP(B90,'00_SKU_Master'!$B$2:$B$379,'00_SKU_Master'!$C$2:$C$379,0),"")</f>
        <v>61072#2</v>
      </c>
      <c r="O90" s="233" t="str">
        <f>'05_Daily_Orders'!M90</f>
        <v>LCL</v>
      </c>
      <c r="P90" s="239" t="str">
        <f>_xlfn.IFNA(_xlfn.XLOOKUP(B90,'00_SKU_Master'!$B$2:$B$379,'00_SKU_Master'!$E$2:$E$379,""),"")</f>
        <v>Drum</v>
      </c>
      <c r="Q90" s="240">
        <f>_xlfn.IFNA(_xlfn.XLOOKUP(B90,'00_SKU_Master'!$B$2:$B$379,'00_SKU_Master'!$F$2:$F$379,0),0)</f>
        <v>8.2584084680086907</v>
      </c>
      <c r="R90" s="253">
        <f t="shared" si="3"/>
        <v>0</v>
      </c>
    </row>
    <row r="91" spans="2:18" x14ac:dyDescent="0.35">
      <c r="B91" s="235">
        <f>'05_Daily_Orders'!C91</f>
        <v>7109</v>
      </c>
      <c r="C91" s="303">
        <v>0</v>
      </c>
      <c r="D91" s="303">
        <v>0</v>
      </c>
      <c r="E91" s="306"/>
      <c r="F91" s="306"/>
      <c r="G91" s="307">
        <v>0</v>
      </c>
      <c r="H91" s="307"/>
      <c r="I91" s="307"/>
      <c r="J91" s="307"/>
      <c r="K91" s="307"/>
      <c r="L91" s="307"/>
      <c r="M91" s="237">
        <f t="shared" si="2"/>
        <v>0</v>
      </c>
      <c r="N91" s="238" t="str">
        <f>_xlfn.IFNA(_xlfn.XLOOKUP(B91,'00_SKU_Master'!$B$2:$B$379,'00_SKU_Master'!$C$2:$C$379,0),"")</f>
        <v>61040#2</v>
      </c>
      <c r="O91" s="233" t="str">
        <f>'05_Daily_Orders'!M91</f>
        <v>LCL</v>
      </c>
      <c r="P91" s="239" t="str">
        <f>_xlfn.IFNA(_xlfn.XLOOKUP(B91,'00_SKU_Master'!$B$2:$B$379,'00_SKU_Master'!$E$2:$E$379,""),"")</f>
        <v>SplitBreast</v>
      </c>
      <c r="Q91" s="240">
        <f>_xlfn.IFNA(_xlfn.XLOOKUP(B91,'00_SKU_Master'!$B$2:$B$379,'00_SKU_Master'!$F$2:$F$379,0),0)</f>
        <v>0</v>
      </c>
      <c r="R91" s="253">
        <f t="shared" si="3"/>
        <v>0</v>
      </c>
    </row>
    <row r="92" spans="2:18" x14ac:dyDescent="0.35">
      <c r="B92" s="235">
        <f>'05_Daily_Orders'!C92</f>
        <v>7115</v>
      </c>
      <c r="C92" s="303">
        <v>0</v>
      </c>
      <c r="D92" s="303">
        <v>0</v>
      </c>
      <c r="E92" s="306"/>
      <c r="F92" s="306"/>
      <c r="G92" s="307">
        <v>0</v>
      </c>
      <c r="H92" s="307"/>
      <c r="I92" s="307"/>
      <c r="J92" s="307"/>
      <c r="K92" s="307"/>
      <c r="L92" s="307"/>
      <c r="M92" s="237">
        <f t="shared" si="2"/>
        <v>0</v>
      </c>
      <c r="N92" s="238" t="str">
        <f>_xlfn.IFNA(_xlfn.XLOOKUP(B92,'00_SKU_Master'!$B$2:$B$379,'00_SKU_Master'!$C$2:$C$379,0),"")</f>
        <v>61072#2</v>
      </c>
      <c r="O92" s="233" t="str">
        <f>'05_Daily_Orders'!M92</f>
        <v>LCL</v>
      </c>
      <c r="P92" s="239" t="str">
        <f>_xlfn.IFNA(_xlfn.XLOOKUP(B92,'00_SKU_Master'!$B$2:$B$379,'00_SKU_Master'!$E$2:$E$379,""),"")</f>
        <v>Drum</v>
      </c>
      <c r="Q92" s="240">
        <f>_xlfn.IFNA(_xlfn.XLOOKUP(B92,'00_SKU_Master'!$B$2:$B$379,'00_SKU_Master'!$F$2:$F$379,0),0)</f>
        <v>8.0768612235717399</v>
      </c>
      <c r="R92" s="253">
        <f t="shared" si="3"/>
        <v>0</v>
      </c>
    </row>
    <row r="93" spans="2:18" x14ac:dyDescent="0.35">
      <c r="B93" s="235">
        <f>'05_Daily_Orders'!C93</f>
        <v>7116</v>
      </c>
      <c r="C93" s="303">
        <v>0</v>
      </c>
      <c r="D93" s="303">
        <v>0</v>
      </c>
      <c r="E93" s="306"/>
      <c r="F93" s="306"/>
      <c r="G93" s="307">
        <v>0</v>
      </c>
      <c r="H93" s="307"/>
      <c r="I93" s="307"/>
      <c r="J93" s="307"/>
      <c r="K93" s="307"/>
      <c r="L93" s="307"/>
      <c r="M93" s="237">
        <f t="shared" si="2"/>
        <v>0</v>
      </c>
      <c r="N93" s="238">
        <f>_xlfn.IFNA(_xlfn.XLOOKUP(B93,'00_SKU_Master'!$B$2:$B$379,'00_SKU_Master'!$C$2:$C$379,0),"")</f>
        <v>61082</v>
      </c>
      <c r="O93" s="233" t="str">
        <f>'05_Daily_Orders'!M93</f>
        <v>LCL</v>
      </c>
      <c r="P93" s="239" t="str">
        <f>_xlfn.IFNA(_xlfn.XLOOKUP(B93,'00_SKU_Master'!$B$2:$B$379,'00_SKU_Master'!$E$2:$E$379,""),"")</f>
        <v>Thigh</v>
      </c>
      <c r="Q93" s="240">
        <f>_xlfn.IFNA(_xlfn.XLOOKUP(B93,'00_SKU_Master'!$B$2:$B$379,'00_SKU_Master'!$F$2:$F$379,0),0)</f>
        <v>0</v>
      </c>
      <c r="R93" s="253">
        <f t="shared" si="3"/>
        <v>0</v>
      </c>
    </row>
    <row r="94" spans="2:18" x14ac:dyDescent="0.35">
      <c r="B94" s="235">
        <f>'05_Daily_Orders'!C94</f>
        <v>7117</v>
      </c>
      <c r="C94" s="303">
        <v>0</v>
      </c>
      <c r="D94" s="303">
        <v>0</v>
      </c>
      <c r="E94" s="306"/>
      <c r="F94" s="306"/>
      <c r="G94" s="307">
        <v>0</v>
      </c>
      <c r="H94" s="307"/>
      <c r="I94" s="307"/>
      <c r="J94" s="307"/>
      <c r="K94" s="307"/>
      <c r="L94" s="307"/>
      <c r="M94" s="237">
        <f t="shared" si="2"/>
        <v>0</v>
      </c>
      <c r="N94" s="238" t="str">
        <f>_xlfn.IFNA(_xlfn.XLOOKUP(B94,'00_SKU_Master'!$B$2:$B$379,'00_SKU_Master'!$C$2:$C$379,0),"")</f>
        <v>61040#2</v>
      </c>
      <c r="O94" s="233" t="str">
        <f>'05_Daily_Orders'!M94</f>
        <v>LCL</v>
      </c>
      <c r="P94" s="239" t="str">
        <f>_xlfn.IFNA(_xlfn.XLOOKUP(B94,'00_SKU_Master'!$B$2:$B$379,'00_SKU_Master'!$E$2:$E$379,""),"")</f>
        <v>SplitBreast</v>
      </c>
      <c r="Q94" s="240">
        <f>_xlfn.IFNA(_xlfn.XLOOKUP(B94,'00_SKU_Master'!$B$2:$B$379,'00_SKU_Master'!$F$2:$F$379,0),0)</f>
        <v>0</v>
      </c>
      <c r="R94" s="253">
        <f t="shared" si="3"/>
        <v>0</v>
      </c>
    </row>
    <row r="95" spans="2:18" x14ac:dyDescent="0.35">
      <c r="B95" s="235">
        <f>'05_Daily_Orders'!C95</f>
        <v>7118</v>
      </c>
      <c r="C95" s="303">
        <v>0</v>
      </c>
      <c r="D95" s="303">
        <v>0</v>
      </c>
      <c r="E95" s="306"/>
      <c r="F95" s="306"/>
      <c r="G95" s="307">
        <v>0</v>
      </c>
      <c r="H95" s="307"/>
      <c r="I95" s="307"/>
      <c r="J95" s="307"/>
      <c r="K95" s="307"/>
      <c r="L95" s="307"/>
      <c r="M95" s="237">
        <f t="shared" si="2"/>
        <v>0</v>
      </c>
      <c r="N95" s="238" t="str">
        <f>_xlfn.IFNA(_xlfn.XLOOKUP(B95,'00_SKU_Master'!$B$2:$B$379,'00_SKU_Master'!$C$2:$C$379,0),"")</f>
        <v>61048#2</v>
      </c>
      <c r="O95" s="233" t="str">
        <f>'05_Daily_Orders'!M95</f>
        <v>LCL</v>
      </c>
      <c r="P95" s="239" t="str">
        <f>_xlfn.IFNA(_xlfn.XLOOKUP(B95,'00_SKU_Master'!$B$2:$B$379,'00_SKU_Master'!$E$2:$E$379,""),"")</f>
        <v>SplitBreast</v>
      </c>
      <c r="Q95" s="240">
        <f>_xlfn.IFNA(_xlfn.XLOOKUP(B95,'00_SKU_Master'!$B$2:$B$379,'00_SKU_Master'!$F$2:$F$379,0),0)</f>
        <v>0</v>
      </c>
      <c r="R95" s="253">
        <f t="shared" si="3"/>
        <v>0</v>
      </c>
    </row>
    <row r="96" spans="2:18" x14ac:dyDescent="0.35">
      <c r="B96" s="235">
        <f>'05_Daily_Orders'!C96</f>
        <v>7119</v>
      </c>
      <c r="C96" s="303">
        <v>0</v>
      </c>
      <c r="D96" s="303">
        <v>0</v>
      </c>
      <c r="E96" s="306"/>
      <c r="F96" s="306"/>
      <c r="G96" s="307">
        <v>0</v>
      </c>
      <c r="H96" s="307"/>
      <c r="I96" s="307"/>
      <c r="J96" s="307"/>
      <c r="K96" s="307"/>
      <c r="L96" s="307"/>
      <c r="M96" s="237">
        <f t="shared" si="2"/>
        <v>0</v>
      </c>
      <c r="N96" s="238" t="str">
        <f>_xlfn.IFNA(_xlfn.XLOOKUP(B96,'00_SKU_Master'!$B$2:$B$379,'00_SKU_Master'!$C$2:$C$379,0),"")</f>
        <v>61048#2</v>
      </c>
      <c r="O96" s="233" t="str">
        <f>'05_Daily_Orders'!M96</f>
        <v>LCL</v>
      </c>
      <c r="P96" s="239" t="str">
        <f>_xlfn.IFNA(_xlfn.XLOOKUP(B96,'00_SKU_Master'!$B$2:$B$379,'00_SKU_Master'!$E$2:$E$379,""),"")</f>
        <v>SplitBreast</v>
      </c>
      <c r="Q96" s="240">
        <f>_xlfn.IFNA(_xlfn.XLOOKUP(B96,'00_SKU_Master'!$B$2:$B$379,'00_SKU_Master'!$F$2:$F$379,0),0)</f>
        <v>0</v>
      </c>
      <c r="R96" s="253">
        <f t="shared" si="3"/>
        <v>0</v>
      </c>
    </row>
    <row r="97" spans="2:18" x14ac:dyDescent="0.35">
      <c r="B97" s="235">
        <f>'05_Daily_Orders'!C97</f>
        <v>7120</v>
      </c>
      <c r="C97" s="303">
        <v>0</v>
      </c>
      <c r="D97" s="303">
        <v>0</v>
      </c>
      <c r="E97" s="306"/>
      <c r="F97" s="306"/>
      <c r="G97" s="307">
        <v>0</v>
      </c>
      <c r="H97" s="307"/>
      <c r="I97" s="307"/>
      <c r="J97" s="307"/>
      <c r="K97" s="307"/>
      <c r="L97" s="307"/>
      <c r="M97" s="237">
        <f t="shared" si="2"/>
        <v>0</v>
      </c>
      <c r="N97" s="238" t="str">
        <f>_xlfn.IFNA(_xlfn.XLOOKUP(B97,'00_SKU_Master'!$B$2:$B$379,'00_SKU_Master'!$C$2:$C$379,0),"")</f>
        <v>61086#2</v>
      </c>
      <c r="O97" s="233" t="str">
        <f>'05_Daily_Orders'!M97</f>
        <v>LCL</v>
      </c>
      <c r="P97" s="239" t="str">
        <f>_xlfn.IFNA(_xlfn.XLOOKUP(B97,'00_SKU_Master'!$B$2:$B$379,'00_SKU_Master'!$E$2:$E$379,""),"")</f>
        <v>ThighMeat</v>
      </c>
      <c r="Q97" s="240">
        <f>_xlfn.IFNA(_xlfn.XLOOKUP(B97,'00_SKU_Master'!$B$2:$B$379,'00_SKU_Master'!$F$2:$F$379,0),0)</f>
        <v>8.1490624999999994</v>
      </c>
      <c r="R97" s="253">
        <f t="shared" si="3"/>
        <v>0</v>
      </c>
    </row>
    <row r="98" spans="2:18" x14ac:dyDescent="0.35">
      <c r="B98" s="235">
        <f>'05_Daily_Orders'!C98</f>
        <v>7121</v>
      </c>
      <c r="C98" s="303">
        <v>0</v>
      </c>
      <c r="D98" s="303">
        <v>0</v>
      </c>
      <c r="E98" s="306"/>
      <c r="F98" s="306"/>
      <c r="G98" s="307">
        <v>0</v>
      </c>
      <c r="H98" s="307"/>
      <c r="I98" s="307"/>
      <c r="J98" s="307"/>
      <c r="K98" s="307"/>
      <c r="L98" s="307"/>
      <c r="M98" s="237">
        <f t="shared" si="2"/>
        <v>0</v>
      </c>
      <c r="N98" s="238">
        <f>_xlfn.IFNA(_xlfn.XLOOKUP(B98,'00_SKU_Master'!$B$2:$B$379,'00_SKU_Master'!$C$2:$C$379,0),"")</f>
        <v>203041</v>
      </c>
      <c r="O98" s="233" t="str">
        <f>'05_Daily_Orders'!M98</f>
        <v>LCL</v>
      </c>
      <c r="P98" s="239" t="str">
        <f>_xlfn.IFNA(_xlfn.XLOOKUP(B98,'00_SKU_Master'!$B$2:$B$379,'00_SKU_Master'!$E$2:$E$379,""),"")</f>
        <v>SplitBreast</v>
      </c>
      <c r="Q98" s="240">
        <f>_xlfn.IFNA(_xlfn.XLOOKUP(B98,'00_SKU_Master'!$B$2:$B$379,'00_SKU_Master'!$F$2:$F$379,0),0)</f>
        <v>0</v>
      </c>
      <c r="R98" s="253">
        <f t="shared" si="3"/>
        <v>0</v>
      </c>
    </row>
    <row r="99" spans="2:18" x14ac:dyDescent="0.35">
      <c r="B99" s="235">
        <f>'05_Daily_Orders'!C99</f>
        <v>7136</v>
      </c>
      <c r="C99" s="303">
        <v>0</v>
      </c>
      <c r="D99" s="303">
        <v>0</v>
      </c>
      <c r="E99" s="306"/>
      <c r="F99" s="306"/>
      <c r="G99" s="307">
        <v>0</v>
      </c>
      <c r="H99" s="307"/>
      <c r="I99" s="307"/>
      <c r="J99" s="307"/>
      <c r="K99" s="307"/>
      <c r="L99" s="307"/>
      <c r="M99" s="237">
        <f t="shared" si="2"/>
        <v>0</v>
      </c>
      <c r="N99" s="238" t="str">
        <f>_xlfn.IFNA(_xlfn.XLOOKUP(B99,'00_SKU_Master'!$B$2:$B$379,'00_SKU_Master'!$C$2:$C$379,0),"")</f>
        <v>61072#2</v>
      </c>
      <c r="O99" s="233" t="str">
        <f>'05_Daily_Orders'!M99</f>
        <v>LCL</v>
      </c>
      <c r="P99" s="239" t="str">
        <f>_xlfn.IFNA(_xlfn.XLOOKUP(B99,'00_SKU_Master'!$B$2:$B$379,'00_SKU_Master'!$E$2:$E$379,""),"")</f>
        <v>Drum</v>
      </c>
      <c r="Q99" s="240">
        <f>_xlfn.IFNA(_xlfn.XLOOKUP(B99,'00_SKU_Master'!$B$2:$B$379,'00_SKU_Master'!$F$2:$F$379,0),0)</f>
        <v>0</v>
      </c>
      <c r="R99" s="253">
        <f t="shared" si="3"/>
        <v>0</v>
      </c>
    </row>
    <row r="100" spans="2:18" x14ac:dyDescent="0.35">
      <c r="B100" s="235">
        <f>'05_Daily_Orders'!C100</f>
        <v>7137</v>
      </c>
      <c r="C100" s="303">
        <v>0</v>
      </c>
      <c r="D100" s="303">
        <v>0</v>
      </c>
      <c r="E100" s="306"/>
      <c r="F100" s="306"/>
      <c r="G100" s="307">
        <v>0</v>
      </c>
      <c r="H100" s="307"/>
      <c r="I100" s="307"/>
      <c r="J100" s="307"/>
      <c r="K100" s="307"/>
      <c r="L100" s="307"/>
      <c r="M100" s="237">
        <f t="shared" si="2"/>
        <v>0</v>
      </c>
      <c r="N100" s="238">
        <f>_xlfn.IFNA(_xlfn.XLOOKUP(B100,'00_SKU_Master'!$B$2:$B$379,'00_SKU_Master'!$C$2:$C$379,0),"")</f>
        <v>61082</v>
      </c>
      <c r="O100" s="233" t="str">
        <f>'05_Daily_Orders'!M100</f>
        <v>LCL</v>
      </c>
      <c r="P100" s="239" t="str">
        <f>_xlfn.IFNA(_xlfn.XLOOKUP(B100,'00_SKU_Master'!$B$2:$B$379,'00_SKU_Master'!$E$2:$E$379,""),"")</f>
        <v>Thigh</v>
      </c>
      <c r="Q100" s="240">
        <f>_xlfn.IFNA(_xlfn.XLOOKUP(B100,'00_SKU_Master'!$B$2:$B$379,'00_SKU_Master'!$F$2:$F$379,0),0)</f>
        <v>0</v>
      </c>
      <c r="R100" s="253">
        <f t="shared" si="3"/>
        <v>0</v>
      </c>
    </row>
    <row r="101" spans="2:18" x14ac:dyDescent="0.35">
      <c r="B101" s="235">
        <f>'05_Daily_Orders'!C101</f>
        <v>7145</v>
      </c>
      <c r="C101" s="303">
        <v>0</v>
      </c>
      <c r="D101" s="303">
        <v>0</v>
      </c>
      <c r="E101" s="306"/>
      <c r="F101" s="306"/>
      <c r="G101" s="307">
        <v>0</v>
      </c>
      <c r="H101" s="307"/>
      <c r="I101" s="307"/>
      <c r="J101" s="307"/>
      <c r="K101" s="307"/>
      <c r="L101" s="307"/>
      <c r="M101" s="237">
        <f t="shared" si="2"/>
        <v>0</v>
      </c>
      <c r="N101" s="238" t="str">
        <f>_xlfn.IFNA(_xlfn.XLOOKUP(B101,'00_SKU_Master'!$B$2:$B$379,'00_SKU_Master'!$C$2:$C$379,0),"")</f>
        <v>61048#2</v>
      </c>
      <c r="O101" s="233" t="str">
        <f>'05_Daily_Orders'!M101</f>
        <v>LCL</v>
      </c>
      <c r="P101" s="239" t="str">
        <f>_xlfn.IFNA(_xlfn.XLOOKUP(B101,'00_SKU_Master'!$B$2:$B$379,'00_SKU_Master'!$E$2:$E$379,""),"")</f>
        <v>SplitBreast</v>
      </c>
      <c r="Q101" s="240">
        <f>_xlfn.IFNA(_xlfn.XLOOKUP(B101,'00_SKU_Master'!$B$2:$B$379,'00_SKU_Master'!$F$2:$F$379,0),0)</f>
        <v>0</v>
      </c>
      <c r="R101" s="253">
        <f t="shared" si="3"/>
        <v>0</v>
      </c>
    </row>
    <row r="102" spans="2:18" x14ac:dyDescent="0.35">
      <c r="B102" s="235">
        <f>'05_Daily_Orders'!C102</f>
        <v>7146</v>
      </c>
      <c r="C102" s="303">
        <v>0</v>
      </c>
      <c r="D102" s="303">
        <v>0</v>
      </c>
      <c r="E102" s="306"/>
      <c r="F102" s="306"/>
      <c r="G102" s="307">
        <v>0</v>
      </c>
      <c r="H102" s="307"/>
      <c r="I102" s="307"/>
      <c r="J102" s="307"/>
      <c r="K102" s="307"/>
      <c r="L102" s="307"/>
      <c r="M102" s="237">
        <f t="shared" si="2"/>
        <v>0</v>
      </c>
      <c r="N102" s="238" t="str">
        <f>_xlfn.IFNA(_xlfn.XLOOKUP(B102,'00_SKU_Master'!$B$2:$B$379,'00_SKU_Master'!$C$2:$C$379,0),"")</f>
        <v>61050#2</v>
      </c>
      <c r="O102" s="233" t="str">
        <f>'05_Daily_Orders'!M102</f>
        <v>LCL</v>
      </c>
      <c r="P102" s="239" t="str">
        <f>_xlfn.IFNA(_xlfn.XLOOKUP(B102,'00_SKU_Master'!$B$2:$B$379,'00_SKU_Master'!$E$2:$E$379,""),"")</f>
        <v>BSB</v>
      </c>
      <c r="Q102" s="240">
        <f>_xlfn.IFNA(_xlfn.XLOOKUP(B102,'00_SKU_Master'!$B$2:$B$379,'00_SKU_Master'!$F$2:$F$379,0),0)</f>
        <v>7.8289293184803199</v>
      </c>
      <c r="R102" s="253">
        <f t="shared" si="3"/>
        <v>0</v>
      </c>
    </row>
    <row r="103" spans="2:18" x14ac:dyDescent="0.35">
      <c r="B103" s="235">
        <f>'05_Daily_Orders'!C103</f>
        <v>7149</v>
      </c>
      <c r="C103" s="303">
        <v>0</v>
      </c>
      <c r="D103" s="303">
        <v>0</v>
      </c>
      <c r="E103" s="306"/>
      <c r="F103" s="306"/>
      <c r="G103" s="307">
        <v>0</v>
      </c>
      <c r="H103" s="307"/>
      <c r="I103" s="307"/>
      <c r="J103" s="307"/>
      <c r="K103" s="307"/>
      <c r="L103" s="307"/>
      <c r="M103" s="237">
        <f t="shared" si="2"/>
        <v>0</v>
      </c>
      <c r="N103" s="238" t="str">
        <f>_xlfn.IFNA(_xlfn.XLOOKUP(B103,'00_SKU_Master'!$B$2:$B$379,'00_SKU_Master'!$C$2:$C$379,0),"")</f>
        <v>61050#2</v>
      </c>
      <c r="O103" s="233" t="str">
        <f>'05_Daily_Orders'!M103</f>
        <v>LCL</v>
      </c>
      <c r="P103" s="239" t="str">
        <f>_xlfn.IFNA(_xlfn.XLOOKUP(B103,'00_SKU_Master'!$B$2:$B$379,'00_SKU_Master'!$E$2:$E$379,""),"")</f>
        <v>BSB</v>
      </c>
      <c r="Q103" s="240">
        <f>_xlfn.IFNA(_xlfn.XLOOKUP(B103,'00_SKU_Master'!$B$2:$B$379,'00_SKU_Master'!$F$2:$F$379,0),0)</f>
        <v>0</v>
      </c>
      <c r="R103" s="253">
        <f t="shared" si="3"/>
        <v>0</v>
      </c>
    </row>
    <row r="104" spans="2:18" x14ac:dyDescent="0.35">
      <c r="B104" s="235">
        <f>'05_Daily_Orders'!C104</f>
        <v>7150</v>
      </c>
      <c r="C104" s="303">
        <v>0</v>
      </c>
      <c r="D104" s="303">
        <v>0</v>
      </c>
      <c r="E104" s="306"/>
      <c r="F104" s="306"/>
      <c r="G104" s="307">
        <v>0</v>
      </c>
      <c r="H104" s="307"/>
      <c r="I104" s="307"/>
      <c r="J104" s="307"/>
      <c r="K104" s="307"/>
      <c r="L104" s="307"/>
      <c r="M104" s="237">
        <f t="shared" si="2"/>
        <v>0</v>
      </c>
      <c r="N104" s="238" t="str">
        <f>_xlfn.IFNA(_xlfn.XLOOKUP(B104,'00_SKU_Master'!$B$2:$B$379,'00_SKU_Master'!$C$2:$C$379,0),"")</f>
        <v>61050#2</v>
      </c>
      <c r="O104" s="233" t="str">
        <f>'05_Daily_Orders'!M104</f>
        <v>LCL</v>
      </c>
      <c r="P104" s="239" t="str">
        <f>_xlfn.IFNA(_xlfn.XLOOKUP(B104,'00_SKU_Master'!$B$2:$B$379,'00_SKU_Master'!$E$2:$E$379,""),"")</f>
        <v>BSB</v>
      </c>
      <c r="Q104" s="240">
        <f>_xlfn.IFNA(_xlfn.XLOOKUP(B104,'00_SKU_Master'!$B$2:$B$379,'00_SKU_Master'!$F$2:$F$379,0),0)</f>
        <v>10.094750749731199</v>
      </c>
      <c r="R104" s="253">
        <f t="shared" si="3"/>
        <v>0</v>
      </c>
    </row>
    <row r="105" spans="2:18" x14ac:dyDescent="0.35">
      <c r="B105" s="235">
        <f>'05_Daily_Orders'!C105</f>
        <v>7153</v>
      </c>
      <c r="C105" s="303">
        <v>0</v>
      </c>
      <c r="D105" s="303">
        <v>0</v>
      </c>
      <c r="E105" s="306"/>
      <c r="F105" s="306"/>
      <c r="G105" s="307">
        <v>0</v>
      </c>
      <c r="H105" s="307"/>
      <c r="I105" s="307"/>
      <c r="J105" s="307"/>
      <c r="K105" s="307"/>
      <c r="L105" s="307"/>
      <c r="M105" s="237">
        <f t="shared" si="2"/>
        <v>0</v>
      </c>
      <c r="N105" s="238" t="str">
        <f>_xlfn.IFNA(_xlfn.XLOOKUP(B105,'00_SKU_Master'!$B$2:$B$379,'00_SKU_Master'!$C$2:$C$379,0),"")</f>
        <v>61048#2</v>
      </c>
      <c r="O105" s="233" t="str">
        <f>'05_Daily_Orders'!M105</f>
        <v>LCL</v>
      </c>
      <c r="P105" s="239" t="str">
        <f>_xlfn.IFNA(_xlfn.XLOOKUP(B105,'00_SKU_Master'!$B$2:$B$379,'00_SKU_Master'!$E$2:$E$379,""),"")</f>
        <v>SplitBreast</v>
      </c>
      <c r="Q105" s="240">
        <f>_xlfn.IFNA(_xlfn.XLOOKUP(B105,'00_SKU_Master'!$B$2:$B$379,'00_SKU_Master'!$F$2:$F$379,0),0)</f>
        <v>0</v>
      </c>
      <c r="R105" s="253">
        <f t="shared" si="3"/>
        <v>0</v>
      </c>
    </row>
    <row r="106" spans="2:18" x14ac:dyDescent="0.35">
      <c r="B106" s="235">
        <f>'05_Daily_Orders'!C106</f>
        <v>7155</v>
      </c>
      <c r="C106" s="303">
        <v>0</v>
      </c>
      <c r="D106" s="303">
        <v>0</v>
      </c>
      <c r="E106" s="306"/>
      <c r="F106" s="306"/>
      <c r="G106" s="307">
        <v>0</v>
      </c>
      <c r="H106" s="307"/>
      <c r="I106" s="307"/>
      <c r="J106" s="307"/>
      <c r="K106" s="307"/>
      <c r="L106" s="307"/>
      <c r="M106" s="237">
        <f t="shared" si="2"/>
        <v>0</v>
      </c>
      <c r="N106" s="238" t="str">
        <f>_xlfn.IFNA(_xlfn.XLOOKUP(B106,'00_SKU_Master'!$B$2:$B$379,'00_SKU_Master'!$C$2:$C$379,0),"")</f>
        <v>61050#2</v>
      </c>
      <c r="O106" s="233" t="str">
        <f>'05_Daily_Orders'!M106</f>
        <v>LCL</v>
      </c>
      <c r="P106" s="239" t="str">
        <f>_xlfn.IFNA(_xlfn.XLOOKUP(B106,'00_SKU_Master'!$B$2:$B$379,'00_SKU_Master'!$E$2:$E$379,""),"")</f>
        <v>BSB</v>
      </c>
      <c r="Q106" s="240">
        <f>_xlfn.IFNA(_xlfn.XLOOKUP(B106,'00_SKU_Master'!$B$2:$B$379,'00_SKU_Master'!$F$2:$F$379,0),0)</f>
        <v>0</v>
      </c>
      <c r="R106" s="253">
        <f t="shared" si="3"/>
        <v>0</v>
      </c>
    </row>
    <row r="107" spans="2:18" x14ac:dyDescent="0.35">
      <c r="B107" s="235">
        <f>'05_Daily_Orders'!C107</f>
        <v>7159</v>
      </c>
      <c r="C107" s="303">
        <v>0</v>
      </c>
      <c r="D107" s="303">
        <v>0</v>
      </c>
      <c r="E107" s="306"/>
      <c r="F107" s="306"/>
      <c r="G107" s="307">
        <v>0</v>
      </c>
      <c r="H107" s="307"/>
      <c r="I107" s="307"/>
      <c r="J107" s="307"/>
      <c r="K107" s="307"/>
      <c r="L107" s="307"/>
      <c r="M107" s="237">
        <f t="shared" si="2"/>
        <v>0</v>
      </c>
      <c r="N107" s="238" t="str">
        <f>_xlfn.IFNA(_xlfn.XLOOKUP(B107,'00_SKU_Master'!$B$2:$B$379,'00_SKU_Master'!$C$2:$C$379,0),"")</f>
        <v>61050#2</v>
      </c>
      <c r="O107" s="233" t="str">
        <f>'05_Daily_Orders'!M107</f>
        <v>LCL</v>
      </c>
      <c r="P107" s="239" t="str">
        <f>_xlfn.IFNA(_xlfn.XLOOKUP(B107,'00_SKU_Master'!$B$2:$B$379,'00_SKU_Master'!$E$2:$E$379,""),"")</f>
        <v>BSB</v>
      </c>
      <c r="Q107" s="240">
        <f>_xlfn.IFNA(_xlfn.XLOOKUP(B107,'00_SKU_Master'!$B$2:$B$379,'00_SKU_Master'!$F$2:$F$379,0),0)</f>
        <v>0</v>
      </c>
      <c r="R107" s="253">
        <f t="shared" si="3"/>
        <v>0</v>
      </c>
    </row>
    <row r="108" spans="2:18" x14ac:dyDescent="0.35">
      <c r="B108" s="235">
        <f>'05_Daily_Orders'!C108</f>
        <v>7160</v>
      </c>
      <c r="C108" s="303">
        <v>0</v>
      </c>
      <c r="D108" s="303">
        <v>0</v>
      </c>
      <c r="E108" s="306"/>
      <c r="F108" s="306"/>
      <c r="G108" s="307">
        <v>0</v>
      </c>
      <c r="H108" s="307"/>
      <c r="I108" s="307"/>
      <c r="J108" s="307"/>
      <c r="K108" s="307"/>
      <c r="L108" s="307"/>
      <c r="M108" s="237">
        <f t="shared" si="2"/>
        <v>0</v>
      </c>
      <c r="N108" s="238" t="str">
        <f>_xlfn.IFNA(_xlfn.XLOOKUP(B108,'00_SKU_Master'!$B$2:$B$379,'00_SKU_Master'!$C$2:$C$379,0),"")</f>
        <v>61048#2</v>
      </c>
      <c r="O108" s="233" t="str">
        <f>'05_Daily_Orders'!M108</f>
        <v>LCL</v>
      </c>
      <c r="P108" s="239" t="str">
        <f>_xlfn.IFNA(_xlfn.XLOOKUP(B108,'00_SKU_Master'!$B$2:$B$379,'00_SKU_Master'!$E$2:$E$379,""),"")</f>
        <v>SplitBreast</v>
      </c>
      <c r="Q108" s="240">
        <f>_xlfn.IFNA(_xlfn.XLOOKUP(B108,'00_SKU_Master'!$B$2:$B$379,'00_SKU_Master'!$F$2:$F$379,0),0)</f>
        <v>0</v>
      </c>
      <c r="R108" s="253">
        <f t="shared" si="3"/>
        <v>0</v>
      </c>
    </row>
    <row r="109" spans="2:18" x14ac:dyDescent="0.35">
      <c r="B109" s="235">
        <f>'05_Daily_Orders'!C109</f>
        <v>7161</v>
      </c>
      <c r="C109" s="303">
        <v>0</v>
      </c>
      <c r="D109" s="303">
        <v>0</v>
      </c>
      <c r="E109" s="306"/>
      <c r="F109" s="306"/>
      <c r="G109" s="307">
        <v>0</v>
      </c>
      <c r="H109" s="307"/>
      <c r="I109" s="307"/>
      <c r="J109" s="307"/>
      <c r="K109" s="307"/>
      <c r="L109" s="307"/>
      <c r="M109" s="237">
        <f t="shared" si="2"/>
        <v>0</v>
      </c>
      <c r="N109" s="238" t="str">
        <f>_xlfn.IFNA(_xlfn.XLOOKUP(B109,'00_SKU_Master'!$B$2:$B$379,'00_SKU_Master'!$C$2:$C$379,0),"")</f>
        <v>61040#2</v>
      </c>
      <c r="O109" s="233" t="str">
        <f>'05_Daily_Orders'!M109</f>
        <v>LCL</v>
      </c>
      <c r="P109" s="239" t="str">
        <f>_xlfn.IFNA(_xlfn.XLOOKUP(B109,'00_SKU_Master'!$B$2:$B$379,'00_SKU_Master'!$E$2:$E$379,""),"")</f>
        <v>SplitBreast</v>
      </c>
      <c r="Q109" s="240">
        <f>_xlfn.IFNA(_xlfn.XLOOKUP(B109,'00_SKU_Master'!$B$2:$B$379,'00_SKU_Master'!$F$2:$F$379,0),0)</f>
        <v>0</v>
      </c>
      <c r="R109" s="253">
        <f t="shared" si="3"/>
        <v>0</v>
      </c>
    </row>
    <row r="110" spans="2:18" x14ac:dyDescent="0.35">
      <c r="B110" s="235">
        <f>'05_Daily_Orders'!C110</f>
        <v>7162</v>
      </c>
      <c r="C110" s="303">
        <v>0</v>
      </c>
      <c r="D110" s="303">
        <v>0</v>
      </c>
      <c r="E110" s="306"/>
      <c r="F110" s="306"/>
      <c r="G110" s="307">
        <v>0</v>
      </c>
      <c r="H110" s="307"/>
      <c r="I110" s="307"/>
      <c r="J110" s="307"/>
      <c r="K110" s="307"/>
      <c r="L110" s="307"/>
      <c r="M110" s="237">
        <f t="shared" si="2"/>
        <v>0</v>
      </c>
      <c r="N110" s="238" t="str">
        <f>_xlfn.IFNA(_xlfn.XLOOKUP(B110,'00_SKU_Master'!$B$2:$B$379,'00_SKU_Master'!$C$2:$C$379,0),"")</f>
        <v>61086#2</v>
      </c>
      <c r="O110" s="233" t="str">
        <f>'05_Daily_Orders'!M110</f>
        <v>LCL</v>
      </c>
      <c r="P110" s="239" t="str">
        <f>_xlfn.IFNA(_xlfn.XLOOKUP(B110,'00_SKU_Master'!$B$2:$B$379,'00_SKU_Master'!$E$2:$E$379,""),"")</f>
        <v>ThighMeat</v>
      </c>
      <c r="Q110" s="240">
        <f>_xlfn.IFNA(_xlfn.XLOOKUP(B110,'00_SKU_Master'!$B$2:$B$379,'00_SKU_Master'!$F$2:$F$379,0),0)</f>
        <v>0</v>
      </c>
      <c r="R110" s="253">
        <f t="shared" si="3"/>
        <v>0</v>
      </c>
    </row>
    <row r="111" spans="2:18" x14ac:dyDescent="0.35">
      <c r="B111" s="235">
        <f>'05_Daily_Orders'!C111</f>
        <v>7163</v>
      </c>
      <c r="C111" s="303">
        <v>0</v>
      </c>
      <c r="D111" s="303">
        <v>0</v>
      </c>
      <c r="E111" s="306"/>
      <c r="F111" s="306"/>
      <c r="G111" s="307">
        <v>0</v>
      </c>
      <c r="H111" s="307"/>
      <c r="I111" s="307"/>
      <c r="J111" s="307"/>
      <c r="K111" s="307"/>
      <c r="L111" s="307"/>
      <c r="M111" s="237">
        <f t="shared" si="2"/>
        <v>0</v>
      </c>
      <c r="N111" s="238">
        <f>_xlfn.IFNA(_xlfn.XLOOKUP(B111,'00_SKU_Master'!$B$2:$B$379,'00_SKU_Master'!$C$2:$C$379,0),"")</f>
        <v>61082</v>
      </c>
      <c r="O111" s="233" t="str">
        <f>'05_Daily_Orders'!M111</f>
        <v>LCL</v>
      </c>
      <c r="P111" s="239" t="str">
        <f>_xlfn.IFNA(_xlfn.XLOOKUP(B111,'00_SKU_Master'!$B$2:$B$379,'00_SKU_Master'!$E$2:$E$379,""),"")</f>
        <v>Thigh</v>
      </c>
      <c r="Q111" s="240">
        <f>_xlfn.IFNA(_xlfn.XLOOKUP(B111,'00_SKU_Master'!$B$2:$B$379,'00_SKU_Master'!$F$2:$F$379,0),0)</f>
        <v>0</v>
      </c>
      <c r="R111" s="253">
        <f t="shared" si="3"/>
        <v>0</v>
      </c>
    </row>
    <row r="112" spans="2:18" x14ac:dyDescent="0.35">
      <c r="B112" s="235">
        <f>'05_Daily_Orders'!C112</f>
        <v>7164</v>
      </c>
      <c r="C112" s="303">
        <v>0</v>
      </c>
      <c r="D112" s="303">
        <v>0</v>
      </c>
      <c r="E112" s="306"/>
      <c r="F112" s="306"/>
      <c r="G112" s="307">
        <v>0</v>
      </c>
      <c r="H112" s="307"/>
      <c r="I112" s="307"/>
      <c r="J112" s="307"/>
      <c r="K112" s="307"/>
      <c r="L112" s="307"/>
      <c r="M112" s="237">
        <f t="shared" si="2"/>
        <v>0</v>
      </c>
      <c r="N112" s="238" t="str">
        <f>_xlfn.IFNA(_xlfn.XLOOKUP(B112,'00_SKU_Master'!$B$2:$B$379,'00_SKU_Master'!$C$2:$C$379,0),"")</f>
        <v>61072#2</v>
      </c>
      <c r="O112" s="233" t="str">
        <f>'05_Daily_Orders'!M112</f>
        <v>LCL</v>
      </c>
      <c r="P112" s="239" t="str">
        <f>_xlfn.IFNA(_xlfn.XLOOKUP(B112,'00_SKU_Master'!$B$2:$B$379,'00_SKU_Master'!$E$2:$E$379,""),"")</f>
        <v>Drum</v>
      </c>
      <c r="Q112" s="240">
        <f>_xlfn.IFNA(_xlfn.XLOOKUP(B112,'00_SKU_Master'!$B$2:$B$379,'00_SKU_Master'!$F$2:$F$379,0),0)</f>
        <v>0</v>
      </c>
      <c r="R112" s="253">
        <f t="shared" si="3"/>
        <v>0</v>
      </c>
    </row>
    <row r="113" spans="2:18" x14ac:dyDescent="0.35">
      <c r="B113" s="235">
        <f>'05_Daily_Orders'!C113</f>
        <v>7165</v>
      </c>
      <c r="C113" s="303">
        <v>0</v>
      </c>
      <c r="D113" s="303">
        <v>0</v>
      </c>
      <c r="E113" s="306"/>
      <c r="F113" s="306"/>
      <c r="G113" s="307">
        <v>0</v>
      </c>
      <c r="H113" s="307"/>
      <c r="I113" s="307"/>
      <c r="J113" s="307"/>
      <c r="K113" s="307"/>
      <c r="L113" s="307"/>
      <c r="M113" s="237">
        <f t="shared" si="2"/>
        <v>0</v>
      </c>
      <c r="N113" s="238">
        <f>_xlfn.IFNA(_xlfn.XLOOKUP(B113,'00_SKU_Master'!$B$2:$B$379,'00_SKU_Master'!$C$2:$C$379,0),"")</f>
        <v>61061</v>
      </c>
      <c r="O113" s="233" t="str">
        <f>'05_Daily_Orders'!M113</f>
        <v>LCL</v>
      </c>
      <c r="P113" s="239" t="str">
        <f>_xlfn.IFNA(_xlfn.XLOOKUP(B113,'00_SKU_Master'!$B$2:$B$379,'00_SKU_Master'!$E$2:$E$379,""),"")</f>
        <v>BA</v>
      </c>
      <c r="Q113" s="240">
        <f>_xlfn.IFNA(_xlfn.XLOOKUP(B113,'00_SKU_Master'!$B$2:$B$379,'00_SKU_Master'!$F$2:$F$379,0),0)</f>
        <v>0</v>
      </c>
      <c r="R113" s="253">
        <f t="shared" si="3"/>
        <v>0</v>
      </c>
    </row>
    <row r="114" spans="2:18" x14ac:dyDescent="0.35">
      <c r="B114" s="235">
        <f>'05_Daily_Orders'!C114</f>
        <v>7166</v>
      </c>
      <c r="C114" s="303">
        <v>0</v>
      </c>
      <c r="D114" s="303">
        <v>0</v>
      </c>
      <c r="E114" s="306"/>
      <c r="F114" s="306"/>
      <c r="G114" s="307">
        <v>0</v>
      </c>
      <c r="H114" s="307"/>
      <c r="I114" s="307"/>
      <c r="J114" s="307"/>
      <c r="K114" s="307"/>
      <c r="L114" s="307"/>
      <c r="M114" s="237">
        <f t="shared" si="2"/>
        <v>0</v>
      </c>
      <c r="N114" s="238">
        <f>_xlfn.IFNA(_xlfn.XLOOKUP(B114,'00_SKU_Master'!$B$2:$B$379,'00_SKU_Master'!$C$2:$C$379,0),"")</f>
        <v>61010</v>
      </c>
      <c r="O114" s="233" t="str">
        <f>'05_Daily_Orders'!M114</f>
        <v>LCL</v>
      </c>
      <c r="P114" s="239" t="str">
        <f>_xlfn.IFNA(_xlfn.XLOOKUP(B114,'00_SKU_Master'!$B$2:$B$379,'00_SKU_Master'!$E$2:$E$379,""),"")</f>
        <v>Wing</v>
      </c>
      <c r="Q114" s="240">
        <f>_xlfn.IFNA(_xlfn.XLOOKUP(B114,'00_SKU_Master'!$B$2:$B$379,'00_SKU_Master'!$F$2:$F$379,0),0)</f>
        <v>0</v>
      </c>
      <c r="R114" s="253">
        <f t="shared" si="3"/>
        <v>0</v>
      </c>
    </row>
    <row r="115" spans="2:18" x14ac:dyDescent="0.35">
      <c r="B115" s="235">
        <f>'05_Daily_Orders'!C115</f>
        <v>7168</v>
      </c>
      <c r="C115" s="303">
        <v>0</v>
      </c>
      <c r="D115" s="303">
        <v>0</v>
      </c>
      <c r="E115" s="306"/>
      <c r="F115" s="306"/>
      <c r="G115" s="307">
        <v>0</v>
      </c>
      <c r="H115" s="307"/>
      <c r="I115" s="307"/>
      <c r="J115" s="307"/>
      <c r="K115" s="307"/>
      <c r="L115" s="307"/>
      <c r="M115" s="237">
        <f t="shared" si="2"/>
        <v>0</v>
      </c>
      <c r="N115" s="238" t="str">
        <f>_xlfn.IFNA(_xlfn.XLOOKUP(B115,'00_SKU_Master'!$B$2:$B$379,'00_SKU_Master'!$C$2:$C$379,0),"")</f>
        <v>61072#2</v>
      </c>
      <c r="O115" s="233" t="str">
        <f>'05_Daily_Orders'!M115</f>
        <v>LCL</v>
      </c>
      <c r="P115" s="239" t="str">
        <f>_xlfn.IFNA(_xlfn.XLOOKUP(B115,'00_SKU_Master'!$B$2:$B$379,'00_SKU_Master'!$E$2:$E$379,""),"")</f>
        <v>Drum</v>
      </c>
      <c r="Q115" s="240">
        <f>_xlfn.IFNA(_xlfn.XLOOKUP(B115,'00_SKU_Master'!$B$2:$B$379,'00_SKU_Master'!$F$2:$F$379,0),0)</f>
        <v>0</v>
      </c>
      <c r="R115" s="253">
        <f t="shared" si="3"/>
        <v>0</v>
      </c>
    </row>
    <row r="116" spans="2:18" x14ac:dyDescent="0.35">
      <c r="B116" s="235">
        <f>'05_Daily_Orders'!C116</f>
        <v>7169</v>
      </c>
      <c r="C116" s="303">
        <v>0</v>
      </c>
      <c r="D116" s="303">
        <v>0</v>
      </c>
      <c r="E116" s="306"/>
      <c r="F116" s="306"/>
      <c r="G116" s="307">
        <v>0</v>
      </c>
      <c r="H116" s="307"/>
      <c r="I116" s="307"/>
      <c r="J116" s="307"/>
      <c r="K116" s="307"/>
      <c r="L116" s="307"/>
      <c r="M116" s="237">
        <f t="shared" si="2"/>
        <v>0</v>
      </c>
      <c r="N116" s="238">
        <f>_xlfn.IFNA(_xlfn.XLOOKUP(B116,'00_SKU_Master'!$B$2:$B$379,'00_SKU_Master'!$C$2:$C$379,0),"")</f>
        <v>61082</v>
      </c>
      <c r="O116" s="233" t="str">
        <f>'05_Daily_Orders'!M116</f>
        <v>LCL</v>
      </c>
      <c r="P116" s="239" t="str">
        <f>_xlfn.IFNA(_xlfn.XLOOKUP(B116,'00_SKU_Master'!$B$2:$B$379,'00_SKU_Master'!$E$2:$E$379,""),"")</f>
        <v>Thigh</v>
      </c>
      <c r="Q116" s="240">
        <f>_xlfn.IFNA(_xlfn.XLOOKUP(B116,'00_SKU_Master'!$B$2:$B$379,'00_SKU_Master'!$F$2:$F$379,0),0)</f>
        <v>0</v>
      </c>
      <c r="R116" s="253">
        <f t="shared" si="3"/>
        <v>0</v>
      </c>
    </row>
    <row r="117" spans="2:18" x14ac:dyDescent="0.35">
      <c r="B117" s="235">
        <f>'05_Daily_Orders'!C117</f>
        <v>7171</v>
      </c>
      <c r="C117" s="303">
        <v>0</v>
      </c>
      <c r="D117" s="303">
        <v>0</v>
      </c>
      <c r="E117" s="306"/>
      <c r="F117" s="306"/>
      <c r="G117" s="307">
        <v>0</v>
      </c>
      <c r="H117" s="307"/>
      <c r="I117" s="307"/>
      <c r="J117" s="307"/>
      <c r="K117" s="307"/>
      <c r="L117" s="307"/>
      <c r="M117" s="237">
        <f t="shared" si="2"/>
        <v>0</v>
      </c>
      <c r="N117" s="238" t="str">
        <f>_xlfn.IFNA(_xlfn.XLOOKUP(B117,'00_SKU_Master'!$B$2:$B$379,'00_SKU_Master'!$C$2:$C$379,0),"")</f>
        <v>61086#2</v>
      </c>
      <c r="O117" s="233" t="str">
        <f>'05_Daily_Orders'!M117</f>
        <v>LCL</v>
      </c>
      <c r="P117" s="239" t="str">
        <f>_xlfn.IFNA(_xlfn.XLOOKUP(B117,'00_SKU_Master'!$B$2:$B$379,'00_SKU_Master'!$E$2:$E$379,""),"")</f>
        <v>ThighMeat</v>
      </c>
      <c r="Q117" s="240">
        <f>_xlfn.IFNA(_xlfn.XLOOKUP(B117,'00_SKU_Master'!$B$2:$B$379,'00_SKU_Master'!$F$2:$F$379,0),0)</f>
        <v>0</v>
      </c>
      <c r="R117" s="253">
        <f t="shared" si="3"/>
        <v>0</v>
      </c>
    </row>
    <row r="118" spans="2:18" x14ac:dyDescent="0.35">
      <c r="B118" s="235">
        <f>'05_Daily_Orders'!C118</f>
        <v>7173</v>
      </c>
      <c r="C118" s="303">
        <v>0</v>
      </c>
      <c r="D118" s="303">
        <v>0</v>
      </c>
      <c r="E118" s="306"/>
      <c r="F118" s="306"/>
      <c r="G118" s="307">
        <v>0</v>
      </c>
      <c r="H118" s="307"/>
      <c r="I118" s="307"/>
      <c r="J118" s="307"/>
      <c r="K118" s="307"/>
      <c r="L118" s="307"/>
      <c r="M118" s="237">
        <f t="shared" si="2"/>
        <v>0</v>
      </c>
      <c r="N118" s="238" t="str">
        <f>_xlfn.IFNA(_xlfn.XLOOKUP(B118,'00_SKU_Master'!$B$2:$B$379,'00_SKU_Master'!$C$2:$C$379,0),"")</f>
        <v>61072#2</v>
      </c>
      <c r="O118" s="233" t="str">
        <f>'05_Daily_Orders'!M118</f>
        <v>LCL</v>
      </c>
      <c r="P118" s="239" t="str">
        <f>_xlfn.IFNA(_xlfn.XLOOKUP(B118,'00_SKU_Master'!$B$2:$B$379,'00_SKU_Master'!$E$2:$E$379,""),"")</f>
        <v>Drum</v>
      </c>
      <c r="Q118" s="240">
        <f>_xlfn.IFNA(_xlfn.XLOOKUP(B118,'00_SKU_Master'!$B$2:$B$379,'00_SKU_Master'!$F$2:$F$379,0),0)</f>
        <v>0</v>
      </c>
      <c r="R118" s="253">
        <f t="shared" si="3"/>
        <v>0</v>
      </c>
    </row>
    <row r="119" spans="2:18" x14ac:dyDescent="0.35">
      <c r="B119" s="235">
        <f>'05_Daily_Orders'!C119</f>
        <v>7178</v>
      </c>
      <c r="C119" s="303">
        <v>0</v>
      </c>
      <c r="D119" s="303">
        <v>0</v>
      </c>
      <c r="E119" s="306"/>
      <c r="F119" s="306"/>
      <c r="G119" s="307">
        <v>0</v>
      </c>
      <c r="H119" s="307"/>
      <c r="I119" s="307"/>
      <c r="J119" s="307"/>
      <c r="K119" s="307"/>
      <c r="L119" s="307"/>
      <c r="M119" s="237">
        <f t="shared" si="2"/>
        <v>0</v>
      </c>
      <c r="N119" s="238">
        <f>_xlfn.IFNA(_xlfn.XLOOKUP(B119,'00_SKU_Master'!$B$2:$B$379,'00_SKU_Master'!$C$2:$C$379,0),"")</f>
        <v>203891</v>
      </c>
      <c r="O119" s="233" t="str">
        <f>'05_Daily_Orders'!M119</f>
        <v>LCL</v>
      </c>
      <c r="P119" s="239" t="str">
        <f>_xlfn.IFNA(_xlfn.XLOOKUP(B119,'00_SKU_Master'!$B$2:$B$379,'00_SKU_Master'!$E$2:$E$379,""),"")</f>
        <v>Whole Bird-Large</v>
      </c>
      <c r="Q119" s="240">
        <f>_xlfn.IFNA(_xlfn.XLOOKUP(B119,'00_SKU_Master'!$B$2:$B$379,'00_SKU_Master'!$F$2:$F$379,0),0)</f>
        <v>0</v>
      </c>
      <c r="R119" s="253">
        <f t="shared" si="3"/>
        <v>0</v>
      </c>
    </row>
    <row r="120" spans="2:18" x14ac:dyDescent="0.35">
      <c r="B120" s="235">
        <f>'05_Daily_Orders'!C120</f>
        <v>7179</v>
      </c>
      <c r="C120" s="303">
        <v>0</v>
      </c>
      <c r="D120" s="303">
        <v>0</v>
      </c>
      <c r="E120" s="306"/>
      <c r="F120" s="306"/>
      <c r="G120" s="307">
        <v>0</v>
      </c>
      <c r="H120" s="307"/>
      <c r="I120" s="307"/>
      <c r="J120" s="307"/>
      <c r="K120" s="307"/>
      <c r="L120" s="307"/>
      <c r="M120" s="237">
        <f t="shared" si="2"/>
        <v>0</v>
      </c>
      <c r="N120" s="238" t="str">
        <f>_xlfn.IFNA(_xlfn.XLOOKUP(B120,'00_SKU_Master'!$B$2:$B$379,'00_SKU_Master'!$C$2:$C$379,0),"")</f>
        <v>61050#2</v>
      </c>
      <c r="O120" s="233" t="str">
        <f>'05_Daily_Orders'!M120</f>
        <v>LCL</v>
      </c>
      <c r="P120" s="239" t="str">
        <f>_xlfn.IFNA(_xlfn.XLOOKUP(B120,'00_SKU_Master'!$B$2:$B$379,'00_SKU_Master'!$E$2:$E$379,""),"")</f>
        <v>BSB</v>
      </c>
      <c r="Q120" s="240">
        <f>_xlfn.IFNA(_xlfn.XLOOKUP(B120,'00_SKU_Master'!$B$2:$B$379,'00_SKU_Master'!$F$2:$F$379,0),0)</f>
        <v>10.020709951800301</v>
      </c>
      <c r="R120" s="253">
        <f t="shared" si="3"/>
        <v>0</v>
      </c>
    </row>
    <row r="121" spans="2:18" x14ac:dyDescent="0.35">
      <c r="B121" s="235">
        <f>'05_Daily_Orders'!C121</f>
        <v>7188</v>
      </c>
      <c r="C121" s="303">
        <v>0</v>
      </c>
      <c r="D121" s="303">
        <v>0</v>
      </c>
      <c r="E121" s="306"/>
      <c r="F121" s="306"/>
      <c r="G121" s="307">
        <v>0</v>
      </c>
      <c r="H121" s="307"/>
      <c r="I121" s="307"/>
      <c r="J121" s="307"/>
      <c r="K121" s="307"/>
      <c r="L121" s="307"/>
      <c r="M121" s="237">
        <f t="shared" si="2"/>
        <v>0</v>
      </c>
      <c r="N121" s="238">
        <f>_xlfn.IFNA(_xlfn.XLOOKUP(B121,'00_SKU_Master'!$B$2:$B$379,'00_SKU_Master'!$C$2:$C$379,0),"")</f>
        <v>61072</v>
      </c>
      <c r="O121" s="233" t="str">
        <f>'05_Daily_Orders'!M121</f>
        <v>LCL</v>
      </c>
      <c r="P121" s="239" t="str">
        <f>_xlfn.IFNA(_xlfn.XLOOKUP(B121,'00_SKU_Master'!$B$2:$B$379,'00_SKU_Master'!$E$2:$E$379,""),"")</f>
        <v>Drum</v>
      </c>
      <c r="Q121" s="240">
        <f>_xlfn.IFNA(_xlfn.XLOOKUP(B121,'00_SKU_Master'!$B$2:$B$379,'00_SKU_Master'!$F$2:$F$379,0),0)</f>
        <v>0</v>
      </c>
      <c r="R121" s="253">
        <f t="shared" si="3"/>
        <v>0</v>
      </c>
    </row>
    <row r="122" spans="2:18" x14ac:dyDescent="0.35">
      <c r="B122" s="235">
        <f>'05_Daily_Orders'!C122</f>
        <v>7189</v>
      </c>
      <c r="C122" s="303">
        <v>0</v>
      </c>
      <c r="D122" s="303">
        <v>0</v>
      </c>
      <c r="E122" s="306"/>
      <c r="F122" s="306"/>
      <c r="G122" s="307">
        <v>0</v>
      </c>
      <c r="H122" s="307"/>
      <c r="I122" s="307"/>
      <c r="J122" s="307"/>
      <c r="K122" s="307"/>
      <c r="L122" s="307"/>
      <c r="M122" s="237">
        <f t="shared" si="2"/>
        <v>0</v>
      </c>
      <c r="N122" s="238">
        <f>_xlfn.IFNA(_xlfn.XLOOKUP(B122,'00_SKU_Master'!$B$2:$B$379,'00_SKU_Master'!$C$2:$C$379,0),"")</f>
        <v>61077</v>
      </c>
      <c r="O122" s="233" t="str">
        <f>'05_Daily_Orders'!M122</f>
        <v>LCL</v>
      </c>
      <c r="P122" s="239" t="str">
        <f>_xlfn.IFNA(_xlfn.XLOOKUP(B122,'00_SKU_Master'!$B$2:$B$379,'00_SKU_Master'!$E$2:$E$379,""),"")</f>
        <v>Thigh</v>
      </c>
      <c r="Q122" s="240">
        <f>_xlfn.IFNA(_xlfn.XLOOKUP(B122,'00_SKU_Master'!$B$2:$B$379,'00_SKU_Master'!$F$2:$F$379,0),0)</f>
        <v>0</v>
      </c>
      <c r="R122" s="253">
        <f t="shared" si="3"/>
        <v>0</v>
      </c>
    </row>
    <row r="123" spans="2:18" x14ac:dyDescent="0.35">
      <c r="B123" s="235">
        <f>'05_Daily_Orders'!C123</f>
        <v>7191</v>
      </c>
      <c r="C123" s="303">
        <v>0</v>
      </c>
      <c r="D123" s="303">
        <v>0</v>
      </c>
      <c r="E123" s="306"/>
      <c r="F123" s="306"/>
      <c r="G123" s="307">
        <v>0</v>
      </c>
      <c r="H123" s="307"/>
      <c r="I123" s="307"/>
      <c r="J123" s="307"/>
      <c r="K123" s="307"/>
      <c r="L123" s="307"/>
      <c r="M123" s="237">
        <f t="shared" si="2"/>
        <v>0</v>
      </c>
      <c r="N123" s="238">
        <f>_xlfn.IFNA(_xlfn.XLOOKUP(B123,'00_SKU_Master'!$B$2:$B$379,'00_SKU_Master'!$C$2:$C$379,0),"")</f>
        <v>61061</v>
      </c>
      <c r="O123" s="233" t="str">
        <f>'05_Daily_Orders'!M123</f>
        <v>LCL</v>
      </c>
      <c r="P123" s="239" t="str">
        <f>_xlfn.IFNA(_xlfn.XLOOKUP(B123,'00_SKU_Master'!$B$2:$B$379,'00_SKU_Master'!$E$2:$E$379,""),"")</f>
        <v>BA</v>
      </c>
      <c r="Q123" s="240">
        <f>_xlfn.IFNA(_xlfn.XLOOKUP(B123,'00_SKU_Master'!$B$2:$B$379,'00_SKU_Master'!$F$2:$F$379,0),0)</f>
        <v>0</v>
      </c>
      <c r="R123" s="253">
        <f t="shared" si="3"/>
        <v>0</v>
      </c>
    </row>
    <row r="124" spans="2:18" x14ac:dyDescent="0.35">
      <c r="B124" s="235">
        <f>'05_Daily_Orders'!C124</f>
        <v>7192</v>
      </c>
      <c r="C124" s="303">
        <v>0</v>
      </c>
      <c r="D124" s="303">
        <v>0</v>
      </c>
      <c r="E124" s="306"/>
      <c r="F124" s="306"/>
      <c r="G124" s="307">
        <v>0</v>
      </c>
      <c r="H124" s="307"/>
      <c r="I124" s="307"/>
      <c r="J124" s="307"/>
      <c r="K124" s="307"/>
      <c r="L124" s="307"/>
      <c r="M124" s="237">
        <f t="shared" si="2"/>
        <v>0</v>
      </c>
      <c r="N124" s="238">
        <f>_xlfn.IFNA(_xlfn.XLOOKUP(B124,'00_SKU_Master'!$B$2:$B$379,'00_SKU_Master'!$C$2:$C$379,0),"")</f>
        <v>203152</v>
      </c>
      <c r="O124" s="233" t="str">
        <f>'05_Daily_Orders'!M124</f>
        <v>RWA</v>
      </c>
      <c r="P124" s="239" t="str">
        <f>_xlfn.IFNA(_xlfn.XLOOKUP(B124,'00_SKU_Master'!$B$2:$B$379,'00_SKU_Master'!$E$2:$E$379,""),"")</f>
        <v>Whole Bird-Large</v>
      </c>
      <c r="Q124" s="240">
        <f>_xlfn.IFNA(_xlfn.XLOOKUP(B124,'00_SKU_Master'!$B$2:$B$379,'00_SKU_Master'!$F$2:$F$379,0),0)</f>
        <v>0</v>
      </c>
      <c r="R124" s="253">
        <f t="shared" si="3"/>
        <v>0</v>
      </c>
    </row>
    <row r="125" spans="2:18" x14ac:dyDescent="0.35">
      <c r="B125" s="235">
        <f>'05_Daily_Orders'!C125</f>
        <v>7193</v>
      </c>
      <c r="C125" s="303">
        <v>0</v>
      </c>
      <c r="D125" s="303">
        <v>0</v>
      </c>
      <c r="E125" s="306"/>
      <c r="F125" s="306"/>
      <c r="G125" s="307">
        <v>0</v>
      </c>
      <c r="H125" s="307"/>
      <c r="I125" s="307"/>
      <c r="J125" s="307"/>
      <c r="K125" s="307"/>
      <c r="L125" s="307"/>
      <c r="M125" s="237">
        <f t="shared" si="2"/>
        <v>0</v>
      </c>
      <c r="N125" s="238" t="str">
        <f>_xlfn.IFNA(_xlfn.XLOOKUP(B125,'00_SKU_Master'!$B$2:$B$379,'00_SKU_Master'!$C$2:$C$379,0),"")</f>
        <v>61072#2</v>
      </c>
      <c r="O125" s="233" t="str">
        <f>'05_Daily_Orders'!M125</f>
        <v>LCL</v>
      </c>
      <c r="P125" s="239" t="str">
        <f>_xlfn.IFNA(_xlfn.XLOOKUP(B125,'00_SKU_Master'!$B$2:$B$379,'00_SKU_Master'!$E$2:$E$379,""),"")</f>
        <v>Drum</v>
      </c>
      <c r="Q125" s="240">
        <f>_xlfn.IFNA(_xlfn.XLOOKUP(B125,'00_SKU_Master'!$B$2:$B$379,'00_SKU_Master'!$F$2:$F$379,0),0)</f>
        <v>0</v>
      </c>
      <c r="R125" s="253">
        <f t="shared" si="3"/>
        <v>0</v>
      </c>
    </row>
    <row r="126" spans="2:18" x14ac:dyDescent="0.35">
      <c r="B126" s="235">
        <f>'05_Daily_Orders'!C126</f>
        <v>7229</v>
      </c>
      <c r="C126" s="303">
        <v>0</v>
      </c>
      <c r="D126" s="303">
        <v>0</v>
      </c>
      <c r="E126" s="306"/>
      <c r="F126" s="306"/>
      <c r="G126" s="307">
        <v>0</v>
      </c>
      <c r="H126" s="307"/>
      <c r="I126" s="307"/>
      <c r="J126" s="307"/>
      <c r="K126" s="307"/>
      <c r="L126" s="307"/>
      <c r="M126" s="237">
        <f t="shared" si="2"/>
        <v>0</v>
      </c>
      <c r="N126" s="238">
        <f>_xlfn.IFNA(_xlfn.XLOOKUP(B126,'00_SKU_Master'!$B$2:$B$379,'00_SKU_Master'!$C$2:$C$379,0),"")</f>
        <v>61042</v>
      </c>
      <c r="O126" s="233" t="str">
        <f>'05_Daily_Orders'!M126</f>
        <v>RWA</v>
      </c>
      <c r="P126" s="239" t="str">
        <f>_xlfn.IFNA(_xlfn.XLOOKUP(B126,'00_SKU_Master'!$B$2:$B$379,'00_SKU_Master'!$E$2:$E$379,""),"")</f>
        <v>SplitBreast</v>
      </c>
      <c r="Q126" s="240">
        <f>_xlfn.IFNA(_xlfn.XLOOKUP(B126,'00_SKU_Master'!$B$2:$B$379,'00_SKU_Master'!$F$2:$F$379,0),0)</f>
        <v>7.9639242722696402</v>
      </c>
      <c r="R126" s="253">
        <f t="shared" si="3"/>
        <v>0</v>
      </c>
    </row>
    <row r="127" spans="2:18" x14ac:dyDescent="0.35">
      <c r="B127" s="235">
        <f>'05_Daily_Orders'!C127</f>
        <v>7230</v>
      </c>
      <c r="C127" s="303">
        <v>0</v>
      </c>
      <c r="D127" s="303">
        <v>0</v>
      </c>
      <c r="E127" s="306"/>
      <c r="F127" s="306"/>
      <c r="G127" s="307">
        <v>0</v>
      </c>
      <c r="H127" s="307"/>
      <c r="I127" s="307"/>
      <c r="J127" s="307"/>
      <c r="K127" s="307"/>
      <c r="L127" s="307"/>
      <c r="M127" s="237">
        <f t="shared" si="2"/>
        <v>0</v>
      </c>
      <c r="N127" s="238">
        <f>_xlfn.IFNA(_xlfn.XLOOKUP(B127,'00_SKU_Master'!$B$2:$B$379,'00_SKU_Master'!$C$2:$C$379,0),"")</f>
        <v>61049</v>
      </c>
      <c r="O127" s="233" t="str">
        <f>'05_Daily_Orders'!M127</f>
        <v>RWA</v>
      </c>
      <c r="P127" s="239" t="str">
        <f>_xlfn.IFNA(_xlfn.XLOOKUP(B127,'00_SKU_Master'!$B$2:$B$379,'00_SKU_Master'!$E$2:$E$379,""),"")</f>
        <v>SplitBreast</v>
      </c>
      <c r="Q127" s="240">
        <f>_xlfn.IFNA(_xlfn.XLOOKUP(B127,'00_SKU_Master'!$B$2:$B$379,'00_SKU_Master'!$F$2:$F$379,0),0)</f>
        <v>7.1660573476702503</v>
      </c>
      <c r="R127" s="253">
        <f t="shared" si="3"/>
        <v>0</v>
      </c>
    </row>
    <row r="128" spans="2:18" x14ac:dyDescent="0.35">
      <c r="B128" s="235">
        <f>'05_Daily_Orders'!C128</f>
        <v>7231</v>
      </c>
      <c r="C128" s="303">
        <v>0</v>
      </c>
      <c r="D128" s="303">
        <v>0</v>
      </c>
      <c r="E128" s="306"/>
      <c r="F128" s="306"/>
      <c r="G128" s="307">
        <v>0</v>
      </c>
      <c r="H128" s="307"/>
      <c r="I128" s="307"/>
      <c r="J128" s="307"/>
      <c r="K128" s="307"/>
      <c r="L128" s="307"/>
      <c r="M128" s="237">
        <f t="shared" si="2"/>
        <v>0</v>
      </c>
      <c r="N128" s="238">
        <f>_xlfn.IFNA(_xlfn.XLOOKUP(B128,'00_SKU_Master'!$B$2:$B$379,'00_SKU_Master'!$C$2:$C$379,0),"")</f>
        <v>61051</v>
      </c>
      <c r="O128" s="233" t="str">
        <f>'05_Daily_Orders'!M128</f>
        <v>RWA</v>
      </c>
      <c r="P128" s="239" t="str">
        <f>_xlfn.IFNA(_xlfn.XLOOKUP(B128,'00_SKU_Master'!$B$2:$B$379,'00_SKU_Master'!$E$2:$E$379,""),"")</f>
        <v>BSB</v>
      </c>
      <c r="Q128" s="240">
        <f>_xlfn.IFNA(_xlfn.XLOOKUP(B128,'00_SKU_Master'!$B$2:$B$379,'00_SKU_Master'!$F$2:$F$379,0),0)</f>
        <v>6.5826365969930301</v>
      </c>
      <c r="R128" s="253">
        <f t="shared" si="3"/>
        <v>0</v>
      </c>
    </row>
    <row r="129" spans="2:18" x14ac:dyDescent="0.35">
      <c r="B129" s="235">
        <f>'05_Daily_Orders'!C129</f>
        <v>7232</v>
      </c>
      <c r="C129" s="303">
        <v>0</v>
      </c>
      <c r="D129" s="303">
        <v>0</v>
      </c>
      <c r="E129" s="306"/>
      <c r="F129" s="306"/>
      <c r="G129" s="307">
        <v>0</v>
      </c>
      <c r="H129" s="307"/>
      <c r="I129" s="307"/>
      <c r="J129" s="307"/>
      <c r="K129" s="307"/>
      <c r="L129" s="307"/>
      <c r="M129" s="237">
        <f t="shared" si="2"/>
        <v>0</v>
      </c>
      <c r="N129" s="238">
        <f>_xlfn.IFNA(_xlfn.XLOOKUP(B129,'00_SKU_Master'!$B$2:$B$379,'00_SKU_Master'!$C$2:$C$379,0),"")</f>
        <v>61069</v>
      </c>
      <c r="O129" s="233" t="str">
        <f>'05_Daily_Orders'!M129</f>
        <v>RWA</v>
      </c>
      <c r="P129" s="239" t="str">
        <f>_xlfn.IFNA(_xlfn.XLOOKUP(B129,'00_SKU_Master'!$B$2:$B$379,'00_SKU_Master'!$E$2:$E$379,""),"")</f>
        <v>BSB</v>
      </c>
      <c r="Q129" s="240">
        <f>_xlfn.IFNA(_xlfn.XLOOKUP(B129,'00_SKU_Master'!$B$2:$B$379,'00_SKU_Master'!$F$2:$F$379,0),0)</f>
        <v>4.3684388055082701</v>
      </c>
      <c r="R129" s="253">
        <f t="shared" si="3"/>
        <v>0</v>
      </c>
    </row>
    <row r="130" spans="2:18" x14ac:dyDescent="0.35">
      <c r="B130" s="235">
        <f>'05_Daily_Orders'!C130</f>
        <v>7233</v>
      </c>
      <c r="C130" s="303">
        <v>0</v>
      </c>
      <c r="D130" s="303">
        <v>0</v>
      </c>
      <c r="E130" s="306"/>
      <c r="F130" s="306"/>
      <c r="G130" s="307">
        <v>0</v>
      </c>
      <c r="H130" s="307"/>
      <c r="I130" s="307"/>
      <c r="J130" s="307"/>
      <c r="K130" s="307"/>
      <c r="L130" s="307"/>
      <c r="M130" s="237">
        <f t="shared" si="2"/>
        <v>0</v>
      </c>
      <c r="N130" s="238">
        <f>_xlfn.IFNA(_xlfn.XLOOKUP(B130,'00_SKU_Master'!$B$2:$B$379,'00_SKU_Master'!$C$2:$C$379,0),"")</f>
        <v>61070</v>
      </c>
      <c r="O130" s="233" t="str">
        <f>'05_Daily_Orders'!M130</f>
        <v>RWA</v>
      </c>
      <c r="P130" s="239" t="str">
        <f>_xlfn.IFNA(_xlfn.XLOOKUP(B130,'00_SKU_Master'!$B$2:$B$379,'00_SKU_Master'!$E$2:$E$379,""),"")</f>
        <v>BSB</v>
      </c>
      <c r="Q130" s="240">
        <f>_xlfn.IFNA(_xlfn.XLOOKUP(B130,'00_SKU_Master'!$B$2:$B$379,'00_SKU_Master'!$F$2:$F$379,0),0)</f>
        <v>0</v>
      </c>
      <c r="R130" s="253">
        <f t="shared" si="3"/>
        <v>0</v>
      </c>
    </row>
    <row r="131" spans="2:18" x14ac:dyDescent="0.35">
      <c r="B131" s="235">
        <f>'05_Daily_Orders'!C131</f>
        <v>7234</v>
      </c>
      <c r="C131" s="303">
        <v>0</v>
      </c>
      <c r="D131" s="303">
        <v>0</v>
      </c>
      <c r="E131" s="306"/>
      <c r="F131" s="306"/>
      <c r="G131" s="307">
        <v>0</v>
      </c>
      <c r="H131" s="307"/>
      <c r="I131" s="307"/>
      <c r="J131" s="307"/>
      <c r="K131" s="307"/>
      <c r="L131" s="307"/>
      <c r="M131" s="237">
        <f t="shared" ref="M131:M194" si="4">IF($F$2="n",0,(SUM(G131:L131)-C131))</f>
        <v>0</v>
      </c>
      <c r="N131" s="238">
        <f>_xlfn.IFNA(_xlfn.XLOOKUP(B131,'00_SKU_Master'!$B$2:$B$379,'00_SKU_Master'!$C$2:$C$379,0),"")</f>
        <v>61079</v>
      </c>
      <c r="O131" s="233" t="str">
        <f>'05_Daily_Orders'!M131</f>
        <v>RWA</v>
      </c>
      <c r="P131" s="239" t="str">
        <f>_xlfn.IFNA(_xlfn.XLOOKUP(B131,'00_SKU_Master'!$B$2:$B$379,'00_SKU_Master'!$E$2:$E$379,""),"")</f>
        <v>Thigh</v>
      </c>
      <c r="Q131" s="240">
        <f>_xlfn.IFNA(_xlfn.XLOOKUP(B131,'00_SKU_Master'!$B$2:$B$379,'00_SKU_Master'!$F$2:$F$379,0),0)</f>
        <v>7.0179593134138498</v>
      </c>
      <c r="R131" s="253">
        <f t="shared" ref="R131:R194" si="5">IF($M131="",0,$M131*Q131)</f>
        <v>0</v>
      </c>
    </row>
    <row r="132" spans="2:18" x14ac:dyDescent="0.35">
      <c r="B132" s="235">
        <f>'05_Daily_Orders'!C132</f>
        <v>7235</v>
      </c>
      <c r="C132" s="303">
        <v>0</v>
      </c>
      <c r="D132" s="303">
        <v>0</v>
      </c>
      <c r="E132" s="306"/>
      <c r="F132" s="306"/>
      <c r="G132" s="307">
        <v>0</v>
      </c>
      <c r="H132" s="307"/>
      <c r="I132" s="307"/>
      <c r="J132" s="307"/>
      <c r="K132" s="307"/>
      <c r="L132" s="307"/>
      <c r="M132" s="237">
        <f t="shared" si="4"/>
        <v>0</v>
      </c>
      <c r="N132" s="238">
        <f>_xlfn.IFNA(_xlfn.XLOOKUP(B132,'00_SKU_Master'!$B$2:$B$379,'00_SKU_Master'!$C$2:$C$379,0),"")</f>
        <v>61087</v>
      </c>
      <c r="O132" s="233" t="str">
        <f>'05_Daily_Orders'!M132</f>
        <v>RWA</v>
      </c>
      <c r="P132" s="239" t="str">
        <f>_xlfn.IFNA(_xlfn.XLOOKUP(B132,'00_SKU_Master'!$B$2:$B$379,'00_SKU_Master'!$E$2:$E$379,""),"")</f>
        <v>ThighMeat</v>
      </c>
      <c r="Q132" s="240">
        <f>_xlfn.IFNA(_xlfn.XLOOKUP(B132,'00_SKU_Master'!$B$2:$B$379,'00_SKU_Master'!$F$2:$F$379,0),0)</f>
        <v>6.3224613555291302</v>
      </c>
      <c r="R132" s="253">
        <f t="shared" si="5"/>
        <v>0</v>
      </c>
    </row>
    <row r="133" spans="2:18" x14ac:dyDescent="0.35">
      <c r="B133" s="235">
        <f>'05_Daily_Orders'!C133</f>
        <v>7236</v>
      </c>
      <c r="C133" s="303">
        <v>0</v>
      </c>
      <c r="D133" s="303">
        <v>0</v>
      </c>
      <c r="E133" s="306"/>
      <c r="F133" s="306"/>
      <c r="G133" s="307">
        <v>0</v>
      </c>
      <c r="H133" s="307"/>
      <c r="I133" s="307"/>
      <c r="J133" s="307"/>
      <c r="K133" s="307"/>
      <c r="L133" s="307"/>
      <c r="M133" s="237">
        <f t="shared" si="4"/>
        <v>0</v>
      </c>
      <c r="N133" s="238">
        <f>_xlfn.IFNA(_xlfn.XLOOKUP(B133,'00_SKU_Master'!$B$2:$B$379,'00_SKU_Master'!$C$2:$C$379,0),"")</f>
        <v>61074</v>
      </c>
      <c r="O133" s="233" t="str">
        <f>'05_Daily_Orders'!M133</f>
        <v>RWA</v>
      </c>
      <c r="P133" s="239" t="str">
        <f>_xlfn.IFNA(_xlfn.XLOOKUP(B133,'00_SKU_Master'!$B$2:$B$379,'00_SKU_Master'!$E$2:$E$379,""),"")</f>
        <v>Drum</v>
      </c>
      <c r="Q133" s="240">
        <f>_xlfn.IFNA(_xlfn.XLOOKUP(B133,'00_SKU_Master'!$B$2:$B$379,'00_SKU_Master'!$F$2:$F$379,0),0)</f>
        <v>6.0213182811361898</v>
      </c>
      <c r="R133" s="253">
        <f t="shared" si="5"/>
        <v>0</v>
      </c>
    </row>
    <row r="134" spans="2:18" x14ac:dyDescent="0.35">
      <c r="B134" s="235">
        <f>'05_Daily_Orders'!C134</f>
        <v>7237</v>
      </c>
      <c r="C134" s="303">
        <v>0</v>
      </c>
      <c r="D134" s="303">
        <v>0</v>
      </c>
      <c r="E134" s="306"/>
      <c r="F134" s="306"/>
      <c r="G134" s="307">
        <v>0</v>
      </c>
      <c r="H134" s="307"/>
      <c r="I134" s="307"/>
      <c r="J134" s="307"/>
      <c r="K134" s="307"/>
      <c r="L134" s="307"/>
      <c r="M134" s="237">
        <f t="shared" si="4"/>
        <v>0</v>
      </c>
      <c r="N134" s="238">
        <f>_xlfn.IFNA(_xlfn.XLOOKUP(B134,'00_SKU_Master'!$B$2:$B$379,'00_SKU_Master'!$C$2:$C$379,0),"")</f>
        <v>61071</v>
      </c>
      <c r="O134" s="233" t="str">
        <f>'05_Daily_Orders'!M134</f>
        <v>RWA</v>
      </c>
      <c r="P134" s="239" t="str">
        <f>_xlfn.IFNA(_xlfn.XLOOKUP(B134,'00_SKU_Master'!$B$2:$B$379,'00_SKU_Master'!$E$2:$E$379,""),"")</f>
        <v>Drum</v>
      </c>
      <c r="Q134" s="240">
        <f>_xlfn.IFNA(_xlfn.XLOOKUP(B134,'00_SKU_Master'!$B$2:$B$379,'00_SKU_Master'!$F$2:$F$379,0),0)</f>
        <v>0</v>
      </c>
      <c r="R134" s="253">
        <f t="shared" si="5"/>
        <v>0</v>
      </c>
    </row>
    <row r="135" spans="2:18" x14ac:dyDescent="0.35">
      <c r="B135" s="235">
        <f>'05_Daily_Orders'!C135</f>
        <v>7238</v>
      </c>
      <c r="C135" s="303">
        <v>0</v>
      </c>
      <c r="D135" s="303">
        <v>0</v>
      </c>
      <c r="E135" s="306"/>
      <c r="F135" s="306"/>
      <c r="G135" s="307">
        <v>0</v>
      </c>
      <c r="H135" s="307"/>
      <c r="I135" s="307"/>
      <c r="J135" s="307"/>
      <c r="K135" s="307"/>
      <c r="L135" s="307"/>
      <c r="M135" s="237">
        <f t="shared" si="4"/>
        <v>0</v>
      </c>
      <c r="N135" s="238">
        <f>_xlfn.IFNA(_xlfn.XLOOKUP(B135,'00_SKU_Master'!$B$2:$B$379,'00_SKU_Master'!$C$2:$C$379,0),"")</f>
        <v>61016</v>
      </c>
      <c r="O135" s="233" t="str">
        <f>'05_Daily_Orders'!M135</f>
        <v>RWA</v>
      </c>
      <c r="P135" s="239" t="str">
        <f>_xlfn.IFNA(_xlfn.XLOOKUP(B135,'00_SKU_Master'!$B$2:$B$379,'00_SKU_Master'!$E$2:$E$379,""),"")</f>
        <v>SplitWing</v>
      </c>
      <c r="Q135" s="240">
        <f>_xlfn.IFNA(_xlfn.XLOOKUP(B135,'00_SKU_Master'!$B$2:$B$379,'00_SKU_Master'!$F$2:$F$379,0),0)</f>
        <v>0</v>
      </c>
      <c r="R135" s="253">
        <f t="shared" si="5"/>
        <v>0</v>
      </c>
    </row>
    <row r="136" spans="2:18" x14ac:dyDescent="0.35">
      <c r="B136" s="235">
        <f>'05_Daily_Orders'!C136</f>
        <v>7239</v>
      </c>
      <c r="C136" s="303">
        <v>0</v>
      </c>
      <c r="D136" s="303">
        <v>0</v>
      </c>
      <c r="E136" s="306"/>
      <c r="F136" s="306"/>
      <c r="G136" s="307">
        <v>0</v>
      </c>
      <c r="H136" s="307"/>
      <c r="I136" s="307"/>
      <c r="J136" s="307"/>
      <c r="K136" s="307"/>
      <c r="L136" s="307"/>
      <c r="M136" s="237">
        <f t="shared" si="4"/>
        <v>0</v>
      </c>
      <c r="N136" s="238">
        <f>_xlfn.IFNA(_xlfn.XLOOKUP(B136,'00_SKU_Master'!$B$2:$B$379,'00_SKU_Master'!$C$2:$C$379,0),"")</f>
        <v>203151</v>
      </c>
      <c r="O136" s="233" t="str">
        <f>'05_Daily_Orders'!M136</f>
        <v>RWA</v>
      </c>
      <c r="P136" s="239" t="str">
        <f>_xlfn.IFNA(_xlfn.XLOOKUP(B136,'00_SKU_Master'!$B$2:$B$379,'00_SKU_Master'!$E$2:$E$379,""),"")</f>
        <v>Whole Bird-Small</v>
      </c>
      <c r="Q136" s="240">
        <f>_xlfn.IFNA(_xlfn.XLOOKUP(B136,'00_SKU_Master'!$B$2:$B$379,'00_SKU_Master'!$F$2:$F$379,0),0)</f>
        <v>8.7825141015310209</v>
      </c>
      <c r="R136" s="253">
        <f t="shared" si="5"/>
        <v>0</v>
      </c>
    </row>
    <row r="137" spans="2:18" x14ac:dyDescent="0.35">
      <c r="B137" s="235">
        <f>'05_Daily_Orders'!C137</f>
        <v>7240</v>
      </c>
      <c r="C137" s="303">
        <v>0</v>
      </c>
      <c r="D137" s="303">
        <v>0</v>
      </c>
      <c r="E137" s="306"/>
      <c r="F137" s="306"/>
      <c r="G137" s="307">
        <v>0</v>
      </c>
      <c r="H137" s="307"/>
      <c r="I137" s="307"/>
      <c r="J137" s="307"/>
      <c r="K137" s="307"/>
      <c r="L137" s="307"/>
      <c r="M137" s="237">
        <f t="shared" si="4"/>
        <v>0</v>
      </c>
      <c r="N137" s="238">
        <f>_xlfn.IFNA(_xlfn.XLOOKUP(B137,'00_SKU_Master'!$B$2:$B$379,'00_SKU_Master'!$C$2:$C$379,0),"")</f>
        <v>61051</v>
      </c>
      <c r="O137" s="233" t="str">
        <f>'05_Daily_Orders'!M137</f>
        <v>RWA</v>
      </c>
      <c r="P137" s="239" t="str">
        <f>_xlfn.IFNA(_xlfn.XLOOKUP(B137,'00_SKU_Master'!$B$2:$B$379,'00_SKU_Master'!$E$2:$E$379,""),"")</f>
        <v>BSB</v>
      </c>
      <c r="Q137" s="240">
        <f>_xlfn.IFNA(_xlfn.XLOOKUP(B137,'00_SKU_Master'!$B$2:$B$379,'00_SKU_Master'!$F$2:$F$379,0),0)</f>
        <v>8.5324096692111908</v>
      </c>
      <c r="R137" s="253">
        <f t="shared" si="5"/>
        <v>0</v>
      </c>
    </row>
    <row r="138" spans="2:18" x14ac:dyDescent="0.35">
      <c r="B138" s="235">
        <f>'05_Daily_Orders'!C138</f>
        <v>7241</v>
      </c>
      <c r="C138" s="303">
        <v>0</v>
      </c>
      <c r="D138" s="303">
        <v>0</v>
      </c>
      <c r="E138" s="306"/>
      <c r="F138" s="306"/>
      <c r="G138" s="307">
        <v>0</v>
      </c>
      <c r="H138" s="307"/>
      <c r="I138" s="307"/>
      <c r="J138" s="307"/>
      <c r="K138" s="307"/>
      <c r="L138" s="307"/>
      <c r="M138" s="237">
        <f t="shared" si="4"/>
        <v>0</v>
      </c>
      <c r="N138" s="238">
        <f>_xlfn.IFNA(_xlfn.XLOOKUP(B138,'00_SKU_Master'!$B$2:$B$379,'00_SKU_Master'!$C$2:$C$379,0),"")</f>
        <v>61087</v>
      </c>
      <c r="O138" s="233" t="str">
        <f>'05_Daily_Orders'!M138</f>
        <v>RWA</v>
      </c>
      <c r="P138" s="239" t="str">
        <f>_xlfn.IFNA(_xlfn.XLOOKUP(B138,'00_SKU_Master'!$B$2:$B$379,'00_SKU_Master'!$E$2:$E$379,""),"")</f>
        <v>ThighMeat</v>
      </c>
      <c r="Q138" s="240">
        <f>_xlfn.IFNA(_xlfn.XLOOKUP(B138,'00_SKU_Master'!$B$2:$B$379,'00_SKU_Master'!$F$2:$F$379,0),0)</f>
        <v>9.6722420115243501</v>
      </c>
      <c r="R138" s="253">
        <f t="shared" si="5"/>
        <v>0</v>
      </c>
    </row>
    <row r="139" spans="2:18" x14ac:dyDescent="0.35">
      <c r="B139" s="235">
        <f>'05_Daily_Orders'!C139</f>
        <v>7242</v>
      </c>
      <c r="C139" s="303">
        <v>0</v>
      </c>
      <c r="D139" s="303">
        <v>0</v>
      </c>
      <c r="E139" s="306"/>
      <c r="F139" s="306"/>
      <c r="G139" s="307">
        <v>0</v>
      </c>
      <c r="H139" s="307"/>
      <c r="I139" s="307"/>
      <c r="J139" s="307"/>
      <c r="K139" s="307"/>
      <c r="L139" s="307"/>
      <c r="M139" s="237">
        <f t="shared" si="4"/>
        <v>0</v>
      </c>
      <c r="N139" s="238">
        <f>_xlfn.IFNA(_xlfn.XLOOKUP(B139,'00_SKU_Master'!$B$2:$B$379,'00_SKU_Master'!$C$2:$C$379,0),"")</f>
        <v>61016</v>
      </c>
      <c r="O139" s="233" t="str">
        <f>'05_Daily_Orders'!M139</f>
        <v>RWA</v>
      </c>
      <c r="P139" s="239" t="str">
        <f>_xlfn.IFNA(_xlfn.XLOOKUP(B139,'00_SKU_Master'!$B$2:$B$379,'00_SKU_Master'!$E$2:$E$379,""),"")</f>
        <v>SplitWing</v>
      </c>
      <c r="Q139" s="240">
        <f>_xlfn.IFNA(_xlfn.XLOOKUP(B139,'00_SKU_Master'!$B$2:$B$379,'00_SKU_Master'!$F$2:$F$379,0),0)</f>
        <v>8.3301528551151804</v>
      </c>
      <c r="R139" s="253">
        <f t="shared" si="5"/>
        <v>0</v>
      </c>
    </row>
    <row r="140" spans="2:18" x14ac:dyDescent="0.35">
      <c r="B140" s="235">
        <f>'05_Daily_Orders'!C140</f>
        <v>7245</v>
      </c>
      <c r="C140" s="303">
        <v>0</v>
      </c>
      <c r="D140" s="303">
        <v>0</v>
      </c>
      <c r="E140" s="306"/>
      <c r="F140" s="306"/>
      <c r="G140" s="307">
        <v>0</v>
      </c>
      <c r="H140" s="307"/>
      <c r="I140" s="307"/>
      <c r="J140" s="307"/>
      <c r="K140" s="307"/>
      <c r="L140" s="307"/>
      <c r="M140" s="237">
        <f t="shared" si="4"/>
        <v>0</v>
      </c>
      <c r="N140" s="238">
        <f>_xlfn.IFNA(_xlfn.XLOOKUP(B140,'00_SKU_Master'!$B$2:$B$379,'00_SKU_Master'!$C$2:$C$379,0),"")</f>
        <v>61074</v>
      </c>
      <c r="O140" s="233" t="str">
        <f>'05_Daily_Orders'!M140</f>
        <v>RWA</v>
      </c>
      <c r="P140" s="239" t="str">
        <f>_xlfn.IFNA(_xlfn.XLOOKUP(B140,'00_SKU_Master'!$B$2:$B$379,'00_SKU_Master'!$E$2:$E$379,""),"")</f>
        <v>Drum</v>
      </c>
      <c r="Q140" s="240">
        <f>_xlfn.IFNA(_xlfn.XLOOKUP(B140,'00_SKU_Master'!$B$2:$B$379,'00_SKU_Master'!$F$2:$F$379,0),0)</f>
        <v>0</v>
      </c>
      <c r="R140" s="253">
        <f t="shared" si="5"/>
        <v>0</v>
      </c>
    </row>
    <row r="141" spans="2:18" x14ac:dyDescent="0.35">
      <c r="B141" s="235">
        <f>'05_Daily_Orders'!C141</f>
        <v>7246</v>
      </c>
      <c r="C141" s="303">
        <v>0</v>
      </c>
      <c r="D141" s="303">
        <v>0</v>
      </c>
      <c r="E141" s="306"/>
      <c r="F141" s="306"/>
      <c r="G141" s="307">
        <v>0</v>
      </c>
      <c r="H141" s="307"/>
      <c r="I141" s="307"/>
      <c r="J141" s="307"/>
      <c r="K141" s="307"/>
      <c r="L141" s="307"/>
      <c r="M141" s="237">
        <f t="shared" si="4"/>
        <v>0</v>
      </c>
      <c r="N141" s="238">
        <f>_xlfn.IFNA(_xlfn.XLOOKUP(B141,'00_SKU_Master'!$B$2:$B$379,'00_SKU_Master'!$C$2:$C$379,0),"")</f>
        <v>61051</v>
      </c>
      <c r="O141" s="233" t="str">
        <f>'05_Daily_Orders'!M141</f>
        <v>RWA</v>
      </c>
      <c r="P141" s="239" t="str">
        <f>_xlfn.IFNA(_xlfn.XLOOKUP(B141,'00_SKU_Master'!$B$2:$B$379,'00_SKU_Master'!$E$2:$E$379,""),"")</f>
        <v>Drum</v>
      </c>
      <c r="Q141" s="240">
        <f>_xlfn.IFNA(_xlfn.XLOOKUP(B141,'00_SKU_Master'!$B$2:$B$379,'00_SKU_Master'!$F$2:$F$379,0),0)</f>
        <v>0</v>
      </c>
      <c r="R141" s="253">
        <f t="shared" si="5"/>
        <v>0</v>
      </c>
    </row>
    <row r="142" spans="2:18" x14ac:dyDescent="0.35">
      <c r="B142" s="235">
        <f>'05_Daily_Orders'!C142</f>
        <v>7247</v>
      </c>
      <c r="C142" s="303">
        <v>0</v>
      </c>
      <c r="D142" s="303">
        <v>0</v>
      </c>
      <c r="E142" s="306"/>
      <c r="F142" s="306"/>
      <c r="G142" s="307">
        <v>0</v>
      </c>
      <c r="H142" s="307"/>
      <c r="I142" s="307"/>
      <c r="J142" s="307"/>
      <c r="K142" s="307"/>
      <c r="L142" s="307"/>
      <c r="M142" s="237">
        <f t="shared" si="4"/>
        <v>0</v>
      </c>
      <c r="N142" s="238">
        <f>_xlfn.IFNA(_xlfn.XLOOKUP(B142,'00_SKU_Master'!$B$2:$B$379,'00_SKU_Master'!$C$2:$C$379,0),"")</f>
        <v>203151</v>
      </c>
      <c r="O142" s="233" t="str">
        <f>'05_Daily_Orders'!M142</f>
        <v>RWA</v>
      </c>
      <c r="P142" s="239" t="str">
        <f>_xlfn.IFNA(_xlfn.XLOOKUP(B142,'00_SKU_Master'!$B$2:$B$379,'00_SKU_Master'!$E$2:$E$379,""),"")</f>
        <v>Whole Bird-Small</v>
      </c>
      <c r="Q142" s="240">
        <f>_xlfn.IFNA(_xlfn.XLOOKUP(B142,'00_SKU_Master'!$B$2:$B$379,'00_SKU_Master'!$F$2:$F$379,0),0)</f>
        <v>0</v>
      </c>
      <c r="R142" s="253">
        <f t="shared" si="5"/>
        <v>0</v>
      </c>
    </row>
    <row r="143" spans="2:18" x14ac:dyDescent="0.35">
      <c r="B143" s="235">
        <f>'05_Daily_Orders'!C143</f>
        <v>7248</v>
      </c>
      <c r="C143" s="303">
        <v>0</v>
      </c>
      <c r="D143" s="303">
        <v>0</v>
      </c>
      <c r="E143" s="306"/>
      <c r="F143" s="306"/>
      <c r="G143" s="307">
        <v>0</v>
      </c>
      <c r="H143" s="307"/>
      <c r="I143" s="307"/>
      <c r="J143" s="307"/>
      <c r="K143" s="307"/>
      <c r="L143" s="307"/>
      <c r="M143" s="237">
        <f t="shared" si="4"/>
        <v>0</v>
      </c>
      <c r="N143" s="238">
        <f>_xlfn.IFNA(_xlfn.XLOOKUP(B143,'00_SKU_Master'!$B$2:$B$379,'00_SKU_Master'!$C$2:$C$379,0),"")</f>
        <v>61087</v>
      </c>
      <c r="O143" s="233" t="str">
        <f>'05_Daily_Orders'!M143</f>
        <v>RWA</v>
      </c>
      <c r="P143" s="239" t="str">
        <f>_xlfn.IFNA(_xlfn.XLOOKUP(B143,'00_SKU_Master'!$B$2:$B$379,'00_SKU_Master'!$E$2:$E$379,""),"")</f>
        <v>ThighMeat</v>
      </c>
      <c r="Q143" s="240">
        <f>_xlfn.IFNA(_xlfn.XLOOKUP(B143,'00_SKU_Master'!$B$2:$B$379,'00_SKU_Master'!$F$2:$F$379,0),0)</f>
        <v>0</v>
      </c>
      <c r="R143" s="253">
        <f t="shared" si="5"/>
        <v>0</v>
      </c>
    </row>
    <row r="144" spans="2:18" x14ac:dyDescent="0.35">
      <c r="B144" s="235">
        <f>'05_Daily_Orders'!C144</f>
        <v>7249</v>
      </c>
      <c r="C144" s="303">
        <v>0</v>
      </c>
      <c r="D144" s="303">
        <v>0</v>
      </c>
      <c r="E144" s="306"/>
      <c r="F144" s="306"/>
      <c r="G144" s="307">
        <v>0</v>
      </c>
      <c r="H144" s="307"/>
      <c r="I144" s="307"/>
      <c r="J144" s="307"/>
      <c r="K144" s="307"/>
      <c r="L144" s="307"/>
      <c r="M144" s="237">
        <f t="shared" si="4"/>
        <v>0</v>
      </c>
      <c r="N144" s="238">
        <f>_xlfn.IFNA(_xlfn.XLOOKUP(B144,'00_SKU_Master'!$B$2:$B$379,'00_SKU_Master'!$C$2:$C$379,0),"")</f>
        <v>61016</v>
      </c>
      <c r="O144" s="233" t="str">
        <f>'05_Daily_Orders'!M144</f>
        <v>RWA</v>
      </c>
      <c r="P144" s="239" t="str">
        <f>_xlfn.IFNA(_xlfn.XLOOKUP(B144,'00_SKU_Master'!$B$2:$B$379,'00_SKU_Master'!$E$2:$E$379,""),"")</f>
        <v>SplitWing</v>
      </c>
      <c r="Q144" s="240">
        <f>_xlfn.IFNA(_xlfn.XLOOKUP(B144,'00_SKU_Master'!$B$2:$B$379,'00_SKU_Master'!$F$2:$F$379,0),0)</f>
        <v>0</v>
      </c>
      <c r="R144" s="253">
        <f t="shared" si="5"/>
        <v>0</v>
      </c>
    </row>
    <row r="145" spans="2:18" x14ac:dyDescent="0.35">
      <c r="B145" s="235">
        <f>'05_Daily_Orders'!C145</f>
        <v>7250</v>
      </c>
      <c r="C145" s="303">
        <v>0</v>
      </c>
      <c r="D145" s="303">
        <v>0</v>
      </c>
      <c r="E145" s="306"/>
      <c r="F145" s="306"/>
      <c r="G145" s="307">
        <v>0</v>
      </c>
      <c r="H145" s="307"/>
      <c r="I145" s="307"/>
      <c r="J145" s="307"/>
      <c r="K145" s="307"/>
      <c r="L145" s="307"/>
      <c r="M145" s="237">
        <f t="shared" si="4"/>
        <v>0</v>
      </c>
      <c r="N145" s="238">
        <f>_xlfn.IFNA(_xlfn.XLOOKUP(B145,'00_SKU_Master'!$B$2:$B$379,'00_SKU_Master'!$C$2:$C$379,0),"")</f>
        <v>61074</v>
      </c>
      <c r="O145" s="233" t="str">
        <f>'05_Daily_Orders'!M145</f>
        <v>RWA</v>
      </c>
      <c r="P145" s="239" t="str">
        <f>_xlfn.IFNA(_xlfn.XLOOKUP(B145,'00_SKU_Master'!$B$2:$B$379,'00_SKU_Master'!$E$2:$E$379,""),"")</f>
        <v>Drum</v>
      </c>
      <c r="Q145" s="240">
        <f>_xlfn.IFNA(_xlfn.XLOOKUP(B145,'00_SKU_Master'!$B$2:$B$379,'00_SKU_Master'!$F$2:$F$379,0),0)</f>
        <v>8.0602723735408492</v>
      </c>
      <c r="R145" s="253">
        <f t="shared" si="5"/>
        <v>0</v>
      </c>
    </row>
    <row r="146" spans="2:18" x14ac:dyDescent="0.35">
      <c r="B146" s="235">
        <f>'05_Daily_Orders'!C146</f>
        <v>7251</v>
      </c>
      <c r="C146" s="303">
        <v>0</v>
      </c>
      <c r="D146" s="303">
        <v>0</v>
      </c>
      <c r="E146" s="306"/>
      <c r="F146" s="306"/>
      <c r="G146" s="307">
        <v>0</v>
      </c>
      <c r="H146" s="307"/>
      <c r="I146" s="307"/>
      <c r="J146" s="307"/>
      <c r="K146" s="307"/>
      <c r="L146" s="307"/>
      <c r="M146" s="237">
        <f t="shared" si="4"/>
        <v>0</v>
      </c>
      <c r="N146" s="238">
        <f>_xlfn.IFNA(_xlfn.XLOOKUP(B146,'00_SKU_Master'!$B$2:$B$379,'00_SKU_Master'!$C$2:$C$379,0),"")</f>
        <v>61079</v>
      </c>
      <c r="O146" s="233" t="str">
        <f>'05_Daily_Orders'!M146</f>
        <v>RWA</v>
      </c>
      <c r="P146" s="239" t="str">
        <f>_xlfn.IFNA(_xlfn.XLOOKUP(B146,'00_SKU_Master'!$B$2:$B$379,'00_SKU_Master'!$E$2:$E$379,""),"")</f>
        <v>Thigh</v>
      </c>
      <c r="Q146" s="240">
        <f>_xlfn.IFNA(_xlfn.XLOOKUP(B146,'00_SKU_Master'!$B$2:$B$379,'00_SKU_Master'!$F$2:$F$379,0),0)</f>
        <v>9.2566197882197194</v>
      </c>
      <c r="R146" s="253">
        <f t="shared" si="5"/>
        <v>0</v>
      </c>
    </row>
    <row r="147" spans="2:18" x14ac:dyDescent="0.35">
      <c r="B147" s="235">
        <f>'05_Daily_Orders'!C147</f>
        <v>7252</v>
      </c>
      <c r="C147" s="303">
        <v>0</v>
      </c>
      <c r="D147" s="303">
        <v>0</v>
      </c>
      <c r="E147" s="306"/>
      <c r="F147" s="306"/>
      <c r="G147" s="307">
        <v>0</v>
      </c>
      <c r="H147" s="307"/>
      <c r="I147" s="307"/>
      <c r="J147" s="307"/>
      <c r="K147" s="307"/>
      <c r="L147" s="307"/>
      <c r="M147" s="237">
        <f t="shared" si="4"/>
        <v>0</v>
      </c>
      <c r="N147" s="238">
        <f>_xlfn.IFNA(_xlfn.XLOOKUP(B147,'00_SKU_Master'!$B$2:$B$379,'00_SKU_Master'!$C$2:$C$379,0),"")</f>
        <v>61051</v>
      </c>
      <c r="O147" s="233" t="str">
        <f>'05_Daily_Orders'!M147</f>
        <v>RWA</v>
      </c>
      <c r="P147" s="239" t="str">
        <f>_xlfn.IFNA(_xlfn.XLOOKUP(B147,'00_SKU_Master'!$B$2:$B$379,'00_SKU_Master'!$E$2:$E$379,""),"")</f>
        <v>BSB</v>
      </c>
      <c r="Q147" s="240">
        <f>_xlfn.IFNA(_xlfn.XLOOKUP(B147,'00_SKU_Master'!$B$2:$B$379,'00_SKU_Master'!$F$2:$F$379,0),0)</f>
        <v>0</v>
      </c>
      <c r="R147" s="253">
        <f t="shared" si="5"/>
        <v>0</v>
      </c>
    </row>
    <row r="148" spans="2:18" x14ac:dyDescent="0.35">
      <c r="B148" s="235">
        <f>'05_Daily_Orders'!C148</f>
        <v>7253</v>
      </c>
      <c r="C148" s="303">
        <v>0</v>
      </c>
      <c r="D148" s="303">
        <v>0</v>
      </c>
      <c r="E148" s="306"/>
      <c r="F148" s="306"/>
      <c r="G148" s="307">
        <v>0</v>
      </c>
      <c r="H148" s="307"/>
      <c r="I148" s="307"/>
      <c r="J148" s="307"/>
      <c r="K148" s="307"/>
      <c r="L148" s="307"/>
      <c r="M148" s="237">
        <f t="shared" si="4"/>
        <v>0</v>
      </c>
      <c r="N148" s="238">
        <f>_xlfn.IFNA(_xlfn.XLOOKUP(B148,'00_SKU_Master'!$B$2:$B$379,'00_SKU_Master'!$C$2:$C$379,0),"")</f>
        <v>61079</v>
      </c>
      <c r="O148" s="233" t="str">
        <f>'05_Daily_Orders'!M148</f>
        <v>RWA</v>
      </c>
      <c r="P148" s="239" t="str">
        <f>_xlfn.IFNA(_xlfn.XLOOKUP(B148,'00_SKU_Master'!$B$2:$B$379,'00_SKU_Master'!$E$2:$E$379,""),"")</f>
        <v>Thigh</v>
      </c>
      <c r="Q148" s="240">
        <f>_xlfn.IFNA(_xlfn.XLOOKUP(B148,'00_SKU_Master'!$B$2:$B$379,'00_SKU_Master'!$F$2:$F$379,0),0)</f>
        <v>0</v>
      </c>
      <c r="R148" s="253">
        <f t="shared" si="5"/>
        <v>0</v>
      </c>
    </row>
    <row r="149" spans="2:18" x14ac:dyDescent="0.35">
      <c r="B149" s="235">
        <f>'05_Daily_Orders'!C149</f>
        <v>7254</v>
      </c>
      <c r="C149" s="303">
        <v>0</v>
      </c>
      <c r="D149" s="303">
        <v>0</v>
      </c>
      <c r="E149" s="306"/>
      <c r="F149" s="306"/>
      <c r="G149" s="307">
        <v>0</v>
      </c>
      <c r="H149" s="307"/>
      <c r="I149" s="307"/>
      <c r="J149" s="307"/>
      <c r="K149" s="307"/>
      <c r="L149" s="307"/>
      <c r="M149" s="237">
        <f t="shared" si="4"/>
        <v>0</v>
      </c>
      <c r="N149" s="238">
        <f>_xlfn.IFNA(_xlfn.XLOOKUP(B149,'00_SKU_Master'!$B$2:$B$379,'00_SKU_Master'!$C$2:$C$379,0),"")</f>
        <v>61074</v>
      </c>
      <c r="O149" s="233" t="str">
        <f>'05_Daily_Orders'!M149</f>
        <v>RWA</v>
      </c>
      <c r="P149" s="239" t="str">
        <f>_xlfn.IFNA(_xlfn.XLOOKUP(B149,'00_SKU_Master'!$B$2:$B$379,'00_SKU_Master'!$E$2:$E$379,""),"")</f>
        <v>Drum</v>
      </c>
      <c r="Q149" s="240">
        <f>_xlfn.IFNA(_xlfn.XLOOKUP(B149,'00_SKU_Master'!$B$2:$B$379,'00_SKU_Master'!$F$2:$F$379,0),0)</f>
        <v>0</v>
      </c>
      <c r="R149" s="253">
        <f t="shared" si="5"/>
        <v>0</v>
      </c>
    </row>
    <row r="150" spans="2:18" x14ac:dyDescent="0.35">
      <c r="B150" s="235">
        <f>'05_Daily_Orders'!C150</f>
        <v>7260</v>
      </c>
      <c r="C150" s="303">
        <v>0</v>
      </c>
      <c r="D150" s="303">
        <v>0</v>
      </c>
      <c r="E150" s="306"/>
      <c r="F150" s="306"/>
      <c r="G150" s="307">
        <v>0</v>
      </c>
      <c r="H150" s="307"/>
      <c r="I150" s="307"/>
      <c r="J150" s="307"/>
      <c r="K150" s="307"/>
      <c r="L150" s="307"/>
      <c r="M150" s="237">
        <f t="shared" si="4"/>
        <v>0</v>
      </c>
      <c r="N150" s="238" t="str">
        <f>_xlfn.IFNA(_xlfn.XLOOKUP(B150,'00_SKU_Master'!$B$2:$B$379,'00_SKU_Master'!$C$2:$C$379,0),"")</f>
        <v>61050#2</v>
      </c>
      <c r="O150" s="233" t="str">
        <f>'05_Daily_Orders'!M150</f>
        <v>LCL</v>
      </c>
      <c r="P150" s="239" t="str">
        <f>_xlfn.IFNA(_xlfn.XLOOKUP(B150,'00_SKU_Master'!$B$2:$B$379,'00_SKU_Master'!$E$2:$E$379,""),"")</f>
        <v>BSB</v>
      </c>
      <c r="Q150" s="240">
        <f>_xlfn.IFNA(_xlfn.XLOOKUP(B150,'00_SKU_Master'!$B$2:$B$379,'00_SKU_Master'!$F$2:$F$379,0),0)</f>
        <v>0</v>
      </c>
      <c r="R150" s="253">
        <f t="shared" si="5"/>
        <v>0</v>
      </c>
    </row>
    <row r="151" spans="2:18" x14ac:dyDescent="0.35">
      <c r="B151" s="235">
        <f>'05_Daily_Orders'!C151</f>
        <v>7268</v>
      </c>
      <c r="C151" s="303">
        <v>0</v>
      </c>
      <c r="D151" s="303">
        <v>0</v>
      </c>
      <c r="E151" s="306"/>
      <c r="F151" s="306"/>
      <c r="G151" s="307">
        <v>0</v>
      </c>
      <c r="H151" s="307"/>
      <c r="I151" s="307"/>
      <c r="J151" s="307"/>
      <c r="K151" s="307"/>
      <c r="L151" s="307"/>
      <c r="M151" s="237">
        <f t="shared" si="4"/>
        <v>0</v>
      </c>
      <c r="N151" s="238">
        <f>_xlfn.IFNA(_xlfn.XLOOKUP(B151,'00_SKU_Master'!$B$2:$B$379,'00_SKU_Master'!$C$2:$C$379,0),"")</f>
        <v>203136</v>
      </c>
      <c r="O151" s="233" t="str">
        <f>'05_Daily_Orders'!M151</f>
        <v>LCL</v>
      </c>
      <c r="P151" s="239" t="str">
        <f>_xlfn.IFNA(_xlfn.XLOOKUP(B151,'00_SKU_Master'!$B$2:$B$379,'00_SKU_Master'!$E$2:$E$379,""),"")</f>
        <v>Whole Bird-Small</v>
      </c>
      <c r="Q151" s="240">
        <f>_xlfn.IFNA(_xlfn.XLOOKUP(B151,'00_SKU_Master'!$B$2:$B$379,'00_SKU_Master'!$F$2:$F$379,0),0)</f>
        <v>0</v>
      </c>
      <c r="R151" s="253">
        <f t="shared" si="5"/>
        <v>0</v>
      </c>
    </row>
    <row r="152" spans="2:18" x14ac:dyDescent="0.35">
      <c r="B152" s="235">
        <f>'05_Daily_Orders'!C152</f>
        <v>7269</v>
      </c>
      <c r="C152" s="303">
        <v>0</v>
      </c>
      <c r="D152" s="303">
        <v>0</v>
      </c>
      <c r="E152" s="306"/>
      <c r="F152" s="306"/>
      <c r="G152" s="307">
        <v>0</v>
      </c>
      <c r="H152" s="307"/>
      <c r="I152" s="307"/>
      <c r="J152" s="307"/>
      <c r="K152" s="307"/>
      <c r="L152" s="307"/>
      <c r="M152" s="237">
        <f t="shared" si="4"/>
        <v>0</v>
      </c>
      <c r="N152" s="238">
        <f>_xlfn.IFNA(_xlfn.XLOOKUP(B152,'00_SKU_Master'!$B$2:$B$379,'00_SKU_Master'!$C$2:$C$379,0),"")</f>
        <v>61014</v>
      </c>
      <c r="O152" s="233" t="str">
        <f>'05_Daily_Orders'!M152</f>
        <v>LCL</v>
      </c>
      <c r="P152" s="239" t="str">
        <f>_xlfn.IFNA(_xlfn.XLOOKUP(B152,'00_SKU_Master'!$B$2:$B$379,'00_SKU_Master'!$E$2:$E$379,""),"")</f>
        <v>SplitWing</v>
      </c>
      <c r="Q152" s="240">
        <f>_xlfn.IFNA(_xlfn.XLOOKUP(B152,'00_SKU_Master'!$B$2:$B$379,'00_SKU_Master'!$F$2:$F$379,0),0)</f>
        <v>0</v>
      </c>
      <c r="R152" s="253">
        <f t="shared" si="5"/>
        <v>0</v>
      </c>
    </row>
    <row r="153" spans="2:18" x14ac:dyDescent="0.35">
      <c r="B153" s="235">
        <f>'05_Daily_Orders'!C153</f>
        <v>7275</v>
      </c>
      <c r="C153" s="303">
        <v>0</v>
      </c>
      <c r="D153" s="303">
        <v>0</v>
      </c>
      <c r="E153" s="306"/>
      <c r="F153" s="306"/>
      <c r="G153" s="307">
        <v>0</v>
      </c>
      <c r="H153" s="307"/>
      <c r="I153" s="307"/>
      <c r="J153" s="307"/>
      <c r="K153" s="307"/>
      <c r="L153" s="307"/>
      <c r="M153" s="237">
        <f t="shared" si="4"/>
        <v>0</v>
      </c>
      <c r="N153" s="238">
        <f>_xlfn.IFNA(_xlfn.XLOOKUP(B153,'00_SKU_Master'!$B$2:$B$379,'00_SKU_Master'!$C$2:$C$379,0),"")</f>
        <v>61048</v>
      </c>
      <c r="O153" s="233" t="str">
        <f>'05_Daily_Orders'!M153</f>
        <v>LCL</v>
      </c>
      <c r="P153" s="239" t="str">
        <f>_xlfn.IFNA(_xlfn.XLOOKUP(B153,'00_SKU_Master'!$B$2:$B$379,'00_SKU_Master'!$E$2:$E$379,""),"")</f>
        <v>SplitBreast</v>
      </c>
      <c r="Q153" s="240">
        <f>_xlfn.IFNA(_xlfn.XLOOKUP(B153,'00_SKU_Master'!$B$2:$B$379,'00_SKU_Master'!$F$2:$F$379,0),0)</f>
        <v>0</v>
      </c>
      <c r="R153" s="253">
        <f t="shared" si="5"/>
        <v>0</v>
      </c>
    </row>
    <row r="154" spans="2:18" x14ac:dyDescent="0.35">
      <c r="B154" s="235">
        <f>'05_Daily_Orders'!C154</f>
        <v>7278</v>
      </c>
      <c r="C154" s="303">
        <v>0</v>
      </c>
      <c r="D154" s="303">
        <v>0</v>
      </c>
      <c r="E154" s="306"/>
      <c r="F154" s="306"/>
      <c r="G154" s="307">
        <v>0</v>
      </c>
      <c r="H154" s="307"/>
      <c r="I154" s="307"/>
      <c r="J154" s="307"/>
      <c r="K154" s="307"/>
      <c r="L154" s="307"/>
      <c r="M154" s="237">
        <f t="shared" si="4"/>
        <v>0</v>
      </c>
      <c r="N154" s="238" t="str">
        <f>_xlfn.IFNA(_xlfn.XLOOKUP(B154,'00_SKU_Master'!$B$2:$B$379,'00_SKU_Master'!$C$2:$C$379,0),"")</f>
        <v>61086#2</v>
      </c>
      <c r="O154" s="233" t="str">
        <f>'05_Daily_Orders'!M154</f>
        <v>LCL</v>
      </c>
      <c r="P154" s="239" t="str">
        <f>_xlfn.IFNA(_xlfn.XLOOKUP(B154,'00_SKU_Master'!$B$2:$B$379,'00_SKU_Master'!$E$2:$E$379,""),"")</f>
        <v>ThighMeat</v>
      </c>
      <c r="Q154" s="240">
        <f>_xlfn.IFNA(_xlfn.XLOOKUP(B154,'00_SKU_Master'!$B$2:$B$379,'00_SKU_Master'!$F$2:$F$379,0),0)</f>
        <v>7.70174545454545</v>
      </c>
      <c r="R154" s="253">
        <f t="shared" si="5"/>
        <v>0</v>
      </c>
    </row>
    <row r="155" spans="2:18" x14ac:dyDescent="0.35">
      <c r="B155" s="235">
        <f>'05_Daily_Orders'!C155</f>
        <v>7287</v>
      </c>
      <c r="C155" s="303">
        <v>0</v>
      </c>
      <c r="D155" s="303">
        <v>0</v>
      </c>
      <c r="E155" s="306"/>
      <c r="F155" s="306"/>
      <c r="G155" s="307">
        <v>0</v>
      </c>
      <c r="H155" s="307"/>
      <c r="I155" s="307"/>
      <c r="J155" s="307"/>
      <c r="K155" s="307"/>
      <c r="L155" s="307"/>
      <c r="M155" s="237">
        <f t="shared" si="4"/>
        <v>0</v>
      </c>
      <c r="N155" s="238" t="str">
        <f>_xlfn.IFNA(_xlfn.XLOOKUP(B155,'00_SKU_Master'!$B$2:$B$379,'00_SKU_Master'!$C$2:$C$379,0),"")</f>
        <v>61014#2</v>
      </c>
      <c r="O155" s="233" t="str">
        <f>'05_Daily_Orders'!M155</f>
        <v>LCL</v>
      </c>
      <c r="P155" s="239" t="str">
        <f>_xlfn.IFNA(_xlfn.XLOOKUP(B155,'00_SKU_Master'!$B$2:$B$379,'00_SKU_Master'!$E$2:$E$379,""),"")</f>
        <v>SplitWing</v>
      </c>
      <c r="Q155" s="240">
        <f>_xlfn.IFNA(_xlfn.XLOOKUP(B155,'00_SKU_Master'!$B$2:$B$379,'00_SKU_Master'!$F$2:$F$379,0),0)</f>
        <v>8.4242865349772398</v>
      </c>
      <c r="R155" s="253">
        <f t="shared" si="5"/>
        <v>0</v>
      </c>
    </row>
    <row r="156" spans="2:18" x14ac:dyDescent="0.35">
      <c r="B156" s="235">
        <f>'05_Daily_Orders'!C156</f>
        <v>7289</v>
      </c>
      <c r="C156" s="303">
        <v>0</v>
      </c>
      <c r="D156" s="303">
        <v>0</v>
      </c>
      <c r="E156" s="306"/>
      <c r="F156" s="306"/>
      <c r="G156" s="307">
        <v>0</v>
      </c>
      <c r="H156" s="307"/>
      <c r="I156" s="307"/>
      <c r="J156" s="307"/>
      <c r="K156" s="307"/>
      <c r="L156" s="307"/>
      <c r="M156" s="237">
        <f t="shared" si="4"/>
        <v>0</v>
      </c>
      <c r="N156" s="238">
        <f>_xlfn.IFNA(_xlfn.XLOOKUP(B156,'00_SKU_Master'!$B$2:$B$379,'00_SKU_Master'!$C$2:$C$379,0),"")</f>
        <v>61014</v>
      </c>
      <c r="O156" s="233" t="str">
        <f>'05_Daily_Orders'!M156</f>
        <v>LCL</v>
      </c>
      <c r="P156" s="239" t="str">
        <f>_xlfn.IFNA(_xlfn.XLOOKUP(B156,'00_SKU_Master'!$B$2:$B$379,'00_SKU_Master'!$E$2:$E$379,""),"")</f>
        <v>SplitWing</v>
      </c>
      <c r="Q156" s="240">
        <f>_xlfn.IFNA(_xlfn.XLOOKUP(B156,'00_SKU_Master'!$B$2:$B$379,'00_SKU_Master'!$F$2:$F$379,0),0)</f>
        <v>0</v>
      </c>
      <c r="R156" s="253">
        <f t="shared" si="5"/>
        <v>0</v>
      </c>
    </row>
    <row r="157" spans="2:18" x14ac:dyDescent="0.35">
      <c r="B157" s="235">
        <f>'05_Daily_Orders'!C157</f>
        <v>7300</v>
      </c>
      <c r="C157" s="303">
        <v>0</v>
      </c>
      <c r="D157" s="303">
        <v>0</v>
      </c>
      <c r="E157" s="306"/>
      <c r="F157" s="306"/>
      <c r="G157" s="307">
        <v>0</v>
      </c>
      <c r="H157" s="307"/>
      <c r="I157" s="307"/>
      <c r="J157" s="307"/>
      <c r="K157" s="307"/>
      <c r="L157" s="307"/>
      <c r="M157" s="237">
        <f t="shared" si="4"/>
        <v>0</v>
      </c>
      <c r="N157" s="238">
        <f>_xlfn.IFNA(_xlfn.XLOOKUP(B157,'00_SKU_Master'!$B$2:$B$379,'00_SKU_Master'!$C$2:$C$379,0),"")</f>
        <v>61054</v>
      </c>
      <c r="O157" s="233" t="str">
        <f>'05_Daily_Orders'!M157</f>
        <v>LCL</v>
      </c>
      <c r="P157" s="239" t="str">
        <f>_xlfn.IFNA(_xlfn.XLOOKUP(B157,'00_SKU_Master'!$B$2:$B$379,'00_SKU_Master'!$E$2:$E$379,""),"")</f>
        <v>Fillet</v>
      </c>
      <c r="Q157" s="240">
        <f>_xlfn.IFNA(_xlfn.XLOOKUP(B157,'00_SKU_Master'!$B$2:$B$379,'00_SKU_Master'!$F$2:$F$379,0),0)</f>
        <v>0</v>
      </c>
      <c r="R157" s="253">
        <f t="shared" si="5"/>
        <v>0</v>
      </c>
    </row>
    <row r="158" spans="2:18" x14ac:dyDescent="0.35">
      <c r="B158" s="235">
        <f>'05_Daily_Orders'!C158</f>
        <v>7303</v>
      </c>
      <c r="C158" s="303">
        <v>0</v>
      </c>
      <c r="D158" s="303">
        <v>0</v>
      </c>
      <c r="E158" s="306"/>
      <c r="F158" s="306"/>
      <c r="G158" s="307">
        <v>0</v>
      </c>
      <c r="H158" s="307"/>
      <c r="I158" s="307"/>
      <c r="J158" s="307"/>
      <c r="K158" s="307"/>
      <c r="L158" s="307"/>
      <c r="M158" s="237">
        <f t="shared" si="4"/>
        <v>0</v>
      </c>
      <c r="N158" s="238">
        <f>_xlfn.IFNA(_xlfn.XLOOKUP(B158,'00_SKU_Master'!$B$2:$B$379,'00_SKU_Master'!$C$2:$C$379,0),"")</f>
        <v>61054</v>
      </c>
      <c r="O158" s="233" t="str">
        <f>'05_Daily_Orders'!M158</f>
        <v>LCL</v>
      </c>
      <c r="P158" s="239" t="str">
        <f>_xlfn.IFNA(_xlfn.XLOOKUP(B158,'00_SKU_Master'!$B$2:$B$379,'00_SKU_Master'!$E$2:$E$379,""),"")</f>
        <v>Fillet</v>
      </c>
      <c r="Q158" s="240">
        <f>_xlfn.IFNA(_xlfn.XLOOKUP(B158,'00_SKU_Master'!$B$2:$B$379,'00_SKU_Master'!$F$2:$F$379,0),0)</f>
        <v>0</v>
      </c>
      <c r="R158" s="253">
        <f t="shared" si="5"/>
        <v>0</v>
      </c>
    </row>
    <row r="159" spans="2:18" x14ac:dyDescent="0.35">
      <c r="B159" s="235">
        <f>'05_Daily_Orders'!C159</f>
        <v>7304</v>
      </c>
      <c r="C159" s="303">
        <v>0</v>
      </c>
      <c r="D159" s="303">
        <v>0</v>
      </c>
      <c r="E159" s="306"/>
      <c r="F159" s="306"/>
      <c r="G159" s="307">
        <v>0</v>
      </c>
      <c r="H159" s="307"/>
      <c r="I159" s="307"/>
      <c r="J159" s="307"/>
      <c r="K159" s="307"/>
      <c r="L159" s="307"/>
      <c r="M159" s="237">
        <f t="shared" si="4"/>
        <v>0</v>
      </c>
      <c r="N159" s="238">
        <f>_xlfn.IFNA(_xlfn.XLOOKUP(B159,'00_SKU_Master'!$B$2:$B$379,'00_SKU_Master'!$C$2:$C$379,0),"")</f>
        <v>61054</v>
      </c>
      <c r="O159" s="233" t="str">
        <f>'05_Daily_Orders'!M159</f>
        <v>LCL</v>
      </c>
      <c r="P159" s="239" t="str">
        <f>_xlfn.IFNA(_xlfn.XLOOKUP(B159,'00_SKU_Master'!$B$2:$B$379,'00_SKU_Master'!$E$2:$E$379,""),"")</f>
        <v>Fillet</v>
      </c>
      <c r="Q159" s="240">
        <f>_xlfn.IFNA(_xlfn.XLOOKUP(B159,'00_SKU_Master'!$B$2:$B$379,'00_SKU_Master'!$F$2:$F$379,0),0)</f>
        <v>0</v>
      </c>
      <c r="R159" s="253">
        <f t="shared" si="5"/>
        <v>0</v>
      </c>
    </row>
    <row r="160" spans="2:18" x14ac:dyDescent="0.35">
      <c r="B160" s="235">
        <f>'05_Daily_Orders'!C160</f>
        <v>7310</v>
      </c>
      <c r="C160" s="303">
        <v>0</v>
      </c>
      <c r="D160" s="303">
        <v>0</v>
      </c>
      <c r="E160" s="306"/>
      <c r="F160" s="306"/>
      <c r="G160" s="307">
        <v>0</v>
      </c>
      <c r="H160" s="307"/>
      <c r="I160" s="307"/>
      <c r="J160" s="307"/>
      <c r="K160" s="307"/>
      <c r="L160" s="307"/>
      <c r="M160" s="237">
        <f t="shared" si="4"/>
        <v>0</v>
      </c>
      <c r="N160" s="238">
        <f>_xlfn.IFNA(_xlfn.XLOOKUP(B160,'00_SKU_Master'!$B$2:$B$379,'00_SKU_Master'!$C$2:$C$379,0),"")</f>
        <v>61104</v>
      </c>
      <c r="O160" s="233" t="str">
        <f>'05_Daily_Orders'!M160</f>
        <v>LCL</v>
      </c>
      <c r="P160" s="239" t="str">
        <f>_xlfn.IFNA(_xlfn.XLOOKUP(B160,'00_SKU_Master'!$B$2:$B$379,'00_SKU_Master'!$E$2:$E$379,""),"")</f>
        <v>BSB</v>
      </c>
      <c r="Q160" s="240">
        <f>_xlfn.IFNA(_xlfn.XLOOKUP(B160,'00_SKU_Master'!$B$2:$B$379,'00_SKU_Master'!$F$2:$F$379,0),0)</f>
        <v>0</v>
      </c>
      <c r="R160" s="253">
        <f t="shared" si="5"/>
        <v>0</v>
      </c>
    </row>
    <row r="161" spans="2:18" x14ac:dyDescent="0.35">
      <c r="B161" s="235">
        <f>'05_Daily_Orders'!C161</f>
        <v>7340</v>
      </c>
      <c r="C161" s="303">
        <v>0</v>
      </c>
      <c r="D161" s="303">
        <v>0</v>
      </c>
      <c r="E161" s="306"/>
      <c r="F161" s="306"/>
      <c r="G161" s="307">
        <v>0</v>
      </c>
      <c r="H161" s="307"/>
      <c r="I161" s="307"/>
      <c r="J161" s="307"/>
      <c r="K161" s="307"/>
      <c r="L161" s="307"/>
      <c r="M161" s="237">
        <f t="shared" si="4"/>
        <v>0</v>
      </c>
      <c r="N161" s="238">
        <f>_xlfn.IFNA(_xlfn.XLOOKUP(B161,'00_SKU_Master'!$B$2:$B$379,'00_SKU_Master'!$C$2:$C$379,0),"")</f>
        <v>203891</v>
      </c>
      <c r="O161" s="233" t="str">
        <f>'05_Daily_Orders'!M161</f>
        <v>LCL</v>
      </c>
      <c r="P161" s="239" t="str">
        <f>_xlfn.IFNA(_xlfn.XLOOKUP(B161,'00_SKU_Master'!$B$2:$B$379,'00_SKU_Master'!$E$2:$E$379,""),"")</f>
        <v>Whole Bird-Small</v>
      </c>
      <c r="Q161" s="240">
        <f>_xlfn.IFNA(_xlfn.XLOOKUP(B161,'00_SKU_Master'!$B$2:$B$379,'00_SKU_Master'!$F$2:$F$379,0),0)</f>
        <v>8.8899999999999899</v>
      </c>
      <c r="R161" s="253">
        <f t="shared" si="5"/>
        <v>0</v>
      </c>
    </row>
    <row r="162" spans="2:18" x14ac:dyDescent="0.35">
      <c r="B162" s="235">
        <f>'05_Daily_Orders'!C162</f>
        <v>7341</v>
      </c>
      <c r="C162" s="303">
        <v>0</v>
      </c>
      <c r="D162" s="303">
        <v>0</v>
      </c>
      <c r="E162" s="306"/>
      <c r="F162" s="306"/>
      <c r="G162" s="307">
        <v>0</v>
      </c>
      <c r="H162" s="307"/>
      <c r="I162" s="307"/>
      <c r="J162" s="307"/>
      <c r="K162" s="307"/>
      <c r="L162" s="307"/>
      <c r="M162" s="237">
        <f t="shared" si="4"/>
        <v>0</v>
      </c>
      <c r="N162" s="238">
        <f>_xlfn.IFNA(_xlfn.XLOOKUP(B162,'00_SKU_Master'!$B$2:$B$379,'00_SKU_Master'!$C$2:$C$379,0),"")</f>
        <v>203891</v>
      </c>
      <c r="O162" s="233" t="str">
        <f>'05_Daily_Orders'!M162</f>
        <v>LCL</v>
      </c>
      <c r="P162" s="239" t="str">
        <f>_xlfn.IFNA(_xlfn.XLOOKUP(B162,'00_SKU_Master'!$B$2:$B$379,'00_SKU_Master'!$E$2:$E$379,""),"")</f>
        <v>Whole Bird-Small</v>
      </c>
      <c r="Q162" s="240">
        <f>_xlfn.IFNA(_xlfn.XLOOKUP(B162,'00_SKU_Master'!$B$2:$B$379,'00_SKU_Master'!$F$2:$F$379,0),0)</f>
        <v>0</v>
      </c>
      <c r="R162" s="253">
        <f t="shared" si="5"/>
        <v>0</v>
      </c>
    </row>
    <row r="163" spans="2:18" x14ac:dyDescent="0.35">
      <c r="B163" s="235">
        <f>'05_Daily_Orders'!C163</f>
        <v>7342</v>
      </c>
      <c r="C163" s="303">
        <v>0</v>
      </c>
      <c r="D163" s="303">
        <v>0</v>
      </c>
      <c r="E163" s="306"/>
      <c r="F163" s="306"/>
      <c r="G163" s="307">
        <v>0</v>
      </c>
      <c r="H163" s="307"/>
      <c r="I163" s="307"/>
      <c r="J163" s="307"/>
      <c r="K163" s="307"/>
      <c r="L163" s="307"/>
      <c r="M163" s="237">
        <f t="shared" si="4"/>
        <v>0</v>
      </c>
      <c r="N163" s="238">
        <f>_xlfn.IFNA(_xlfn.XLOOKUP(B163,'00_SKU_Master'!$B$2:$B$379,'00_SKU_Master'!$C$2:$C$379,0),"")</f>
        <v>61061</v>
      </c>
      <c r="O163" s="233" t="str">
        <f>'05_Daily_Orders'!M163</f>
        <v>LCL</v>
      </c>
      <c r="P163" s="239" t="str">
        <f>_xlfn.IFNA(_xlfn.XLOOKUP(B163,'00_SKU_Master'!$B$2:$B$379,'00_SKU_Master'!$E$2:$E$379,""),"")</f>
        <v>BA</v>
      </c>
      <c r="Q163" s="240">
        <f>_xlfn.IFNA(_xlfn.XLOOKUP(B163,'00_SKU_Master'!$B$2:$B$379,'00_SKU_Master'!$F$2:$F$379,0),0)</f>
        <v>0</v>
      </c>
      <c r="R163" s="253">
        <f t="shared" si="5"/>
        <v>0</v>
      </c>
    </row>
    <row r="164" spans="2:18" x14ac:dyDescent="0.35">
      <c r="B164" s="235">
        <f>'05_Daily_Orders'!C164</f>
        <v>7343</v>
      </c>
      <c r="C164" s="303">
        <v>0</v>
      </c>
      <c r="D164" s="303">
        <v>0</v>
      </c>
      <c r="E164" s="306"/>
      <c r="F164" s="306"/>
      <c r="G164" s="307">
        <v>0</v>
      </c>
      <c r="H164" s="307"/>
      <c r="I164" s="307"/>
      <c r="J164" s="307"/>
      <c r="K164" s="307"/>
      <c r="L164" s="307"/>
      <c r="M164" s="237">
        <f t="shared" si="4"/>
        <v>0</v>
      </c>
      <c r="N164" s="238" t="str">
        <f>_xlfn.IFNA(_xlfn.XLOOKUP(B164,'00_SKU_Master'!$B$2:$B$379,'00_SKU_Master'!$C$2:$C$379,0),"")</f>
        <v>61050#2</v>
      </c>
      <c r="O164" s="233" t="str">
        <f>'05_Daily_Orders'!M164</f>
        <v>LCL</v>
      </c>
      <c r="P164" s="239" t="str">
        <f>_xlfn.IFNA(_xlfn.XLOOKUP(B164,'00_SKU_Master'!$B$2:$B$379,'00_SKU_Master'!$E$2:$E$379,""),"")</f>
        <v>BSB</v>
      </c>
      <c r="Q164" s="240">
        <f>_xlfn.IFNA(_xlfn.XLOOKUP(B164,'00_SKU_Master'!$B$2:$B$379,'00_SKU_Master'!$F$2:$F$379,0),0)</f>
        <v>0</v>
      </c>
      <c r="R164" s="253">
        <f t="shared" si="5"/>
        <v>0</v>
      </c>
    </row>
    <row r="165" spans="2:18" x14ac:dyDescent="0.35">
      <c r="B165" s="235">
        <f>'05_Daily_Orders'!C165</f>
        <v>7378</v>
      </c>
      <c r="C165" s="303">
        <v>0</v>
      </c>
      <c r="D165" s="303">
        <v>0</v>
      </c>
      <c r="E165" s="306"/>
      <c r="F165" s="306"/>
      <c r="G165" s="307">
        <v>0</v>
      </c>
      <c r="H165" s="307"/>
      <c r="I165" s="307"/>
      <c r="J165" s="307"/>
      <c r="K165" s="307"/>
      <c r="L165" s="307"/>
      <c r="M165" s="237">
        <f t="shared" si="4"/>
        <v>0</v>
      </c>
      <c r="N165" s="238">
        <f>_xlfn.IFNA(_xlfn.XLOOKUP(B165,'00_SKU_Master'!$B$2:$B$379,'00_SKU_Master'!$C$2:$C$379,0),"")</f>
        <v>61061</v>
      </c>
      <c r="O165" s="233" t="str">
        <f>'05_Daily_Orders'!M165</f>
        <v>LCL</v>
      </c>
      <c r="P165" s="239" t="str">
        <f>_xlfn.IFNA(_xlfn.XLOOKUP(B165,'00_SKU_Master'!$B$2:$B$379,'00_SKU_Master'!$E$2:$E$379,""),"")</f>
        <v>BA</v>
      </c>
      <c r="Q165" s="240">
        <f>_xlfn.IFNA(_xlfn.XLOOKUP(B165,'00_SKU_Master'!$B$2:$B$379,'00_SKU_Master'!$F$2:$F$379,0),0)</f>
        <v>0</v>
      </c>
      <c r="R165" s="253">
        <f t="shared" si="5"/>
        <v>0</v>
      </c>
    </row>
    <row r="166" spans="2:18" x14ac:dyDescent="0.35">
      <c r="B166" s="235">
        <f>'05_Daily_Orders'!C166</f>
        <v>7396</v>
      </c>
      <c r="C166" s="303">
        <v>0</v>
      </c>
      <c r="D166" s="303">
        <v>0</v>
      </c>
      <c r="E166" s="306"/>
      <c r="F166" s="306"/>
      <c r="G166" s="307">
        <v>0</v>
      </c>
      <c r="H166" s="307"/>
      <c r="I166" s="307"/>
      <c r="J166" s="307"/>
      <c r="K166" s="307"/>
      <c r="L166" s="307"/>
      <c r="M166" s="237">
        <f t="shared" si="4"/>
        <v>0</v>
      </c>
      <c r="N166" s="238" t="str">
        <f>_xlfn.IFNA(_xlfn.XLOOKUP(B166,'00_SKU_Master'!$B$2:$B$379,'00_SKU_Master'!$C$2:$C$379,0),"")</f>
        <v>61072#2</v>
      </c>
      <c r="O166" s="233" t="str">
        <f>'05_Daily_Orders'!M166</f>
        <v>FB</v>
      </c>
      <c r="P166" s="239" t="str">
        <f>_xlfn.IFNA(_xlfn.XLOOKUP(B166,'00_SKU_Master'!$B$2:$B$379,'00_SKU_Master'!$E$2:$E$379,""),"")</f>
        <v>Drum</v>
      </c>
      <c r="Q166" s="240">
        <f>_xlfn.IFNA(_xlfn.XLOOKUP(B166,'00_SKU_Master'!$B$2:$B$379,'00_SKU_Master'!$F$2:$F$379,0),0)</f>
        <v>0</v>
      </c>
      <c r="R166" s="253">
        <f t="shared" si="5"/>
        <v>0</v>
      </c>
    </row>
    <row r="167" spans="2:18" x14ac:dyDescent="0.35">
      <c r="B167" s="235">
        <f>'05_Daily_Orders'!C167</f>
        <v>7397</v>
      </c>
      <c r="C167" s="303">
        <v>0</v>
      </c>
      <c r="D167" s="303">
        <v>0</v>
      </c>
      <c r="E167" s="306"/>
      <c r="F167" s="306"/>
      <c r="G167" s="307">
        <v>0</v>
      </c>
      <c r="H167" s="307"/>
      <c r="I167" s="307"/>
      <c r="J167" s="307"/>
      <c r="K167" s="307"/>
      <c r="L167" s="307"/>
      <c r="M167" s="237">
        <f t="shared" si="4"/>
        <v>0</v>
      </c>
      <c r="N167" s="238">
        <f>_xlfn.IFNA(_xlfn.XLOOKUP(B167,'00_SKU_Master'!$B$2:$B$379,'00_SKU_Master'!$C$2:$C$379,0),"")</f>
        <v>61082</v>
      </c>
      <c r="O167" s="233" t="str">
        <f>'05_Daily_Orders'!M167</f>
        <v>FB</v>
      </c>
      <c r="P167" s="239" t="str">
        <f>_xlfn.IFNA(_xlfn.XLOOKUP(B167,'00_SKU_Master'!$B$2:$B$379,'00_SKU_Master'!$E$2:$E$379,""),"")</f>
        <v>Thigh</v>
      </c>
      <c r="Q167" s="240">
        <f>_xlfn.IFNA(_xlfn.XLOOKUP(B167,'00_SKU_Master'!$B$2:$B$379,'00_SKU_Master'!$F$2:$F$379,0),0)</f>
        <v>0</v>
      </c>
      <c r="R167" s="253">
        <f t="shared" si="5"/>
        <v>0</v>
      </c>
    </row>
    <row r="168" spans="2:18" x14ac:dyDescent="0.35">
      <c r="B168" s="235">
        <f>'05_Daily_Orders'!C168</f>
        <v>7398</v>
      </c>
      <c r="C168" s="303">
        <v>0</v>
      </c>
      <c r="D168" s="303">
        <v>0</v>
      </c>
      <c r="E168" s="306"/>
      <c r="F168" s="306"/>
      <c r="G168" s="307">
        <v>0</v>
      </c>
      <c r="H168" s="307"/>
      <c r="I168" s="307"/>
      <c r="J168" s="307"/>
      <c r="K168" s="307"/>
      <c r="L168" s="307"/>
      <c r="M168" s="237">
        <f t="shared" si="4"/>
        <v>0</v>
      </c>
      <c r="N168" s="238" t="str">
        <f>_xlfn.IFNA(_xlfn.XLOOKUP(B168,'00_SKU_Master'!$B$2:$B$379,'00_SKU_Master'!$C$2:$C$379,0),"")</f>
        <v>61050#2</v>
      </c>
      <c r="O168" s="233" t="str">
        <f>'05_Daily_Orders'!M168</f>
        <v>FB</v>
      </c>
      <c r="P168" s="239" t="str">
        <f>_xlfn.IFNA(_xlfn.XLOOKUP(B168,'00_SKU_Master'!$B$2:$B$379,'00_SKU_Master'!$E$2:$E$379,""),"")</f>
        <v>BSB</v>
      </c>
      <c r="Q168" s="240">
        <f>_xlfn.IFNA(_xlfn.XLOOKUP(B168,'00_SKU_Master'!$B$2:$B$379,'00_SKU_Master'!$F$2:$F$379,0),0)</f>
        <v>0</v>
      </c>
      <c r="R168" s="253">
        <f t="shared" si="5"/>
        <v>0</v>
      </c>
    </row>
    <row r="169" spans="2:18" x14ac:dyDescent="0.35">
      <c r="B169" s="235">
        <f>'05_Daily_Orders'!C169</f>
        <v>7416</v>
      </c>
      <c r="C169" s="303">
        <v>0</v>
      </c>
      <c r="D169" s="303">
        <v>0</v>
      </c>
      <c r="E169" s="306"/>
      <c r="F169" s="306"/>
      <c r="G169" s="307">
        <v>0</v>
      </c>
      <c r="H169" s="307"/>
      <c r="I169" s="307"/>
      <c r="J169" s="307"/>
      <c r="K169" s="307"/>
      <c r="L169" s="307"/>
      <c r="M169" s="237">
        <f t="shared" si="4"/>
        <v>0</v>
      </c>
      <c r="N169" s="238">
        <f>_xlfn.IFNA(_xlfn.XLOOKUP(B169,'00_SKU_Master'!$B$2:$B$379,'00_SKU_Master'!$C$2:$C$379,0),"")</f>
        <v>203891</v>
      </c>
      <c r="O169" s="233" t="str">
        <f>'05_Daily_Orders'!M169</f>
        <v>FB</v>
      </c>
      <c r="P169" s="239" t="str">
        <f>_xlfn.IFNA(_xlfn.XLOOKUP(B169,'00_SKU_Master'!$B$2:$B$379,'00_SKU_Master'!$E$2:$E$379,""),"")</f>
        <v>Whole Bird-Small</v>
      </c>
      <c r="Q169" s="240">
        <f>_xlfn.IFNA(_xlfn.XLOOKUP(B169,'00_SKU_Master'!$B$2:$B$379,'00_SKU_Master'!$F$2:$F$379,0),0)</f>
        <v>0</v>
      </c>
      <c r="R169" s="253">
        <f t="shared" si="5"/>
        <v>0</v>
      </c>
    </row>
    <row r="170" spans="2:18" x14ac:dyDescent="0.35">
      <c r="B170" s="235">
        <f>'05_Daily_Orders'!C170</f>
        <v>7522</v>
      </c>
      <c r="C170" s="303">
        <v>0</v>
      </c>
      <c r="D170" s="303">
        <v>0</v>
      </c>
      <c r="E170" s="306"/>
      <c r="F170" s="306"/>
      <c r="G170" s="307">
        <v>0</v>
      </c>
      <c r="H170" s="307"/>
      <c r="I170" s="307"/>
      <c r="J170" s="307"/>
      <c r="K170" s="307"/>
      <c r="L170" s="307"/>
      <c r="M170" s="237">
        <f t="shared" si="4"/>
        <v>0</v>
      </c>
      <c r="N170" s="238" t="str">
        <f>_xlfn.IFNA(_xlfn.XLOOKUP(B170,'00_SKU_Master'!$B$2:$B$379,'00_SKU_Master'!$C$2:$C$379,0),"")</f>
        <v>61086#2</v>
      </c>
      <c r="O170" s="233" t="str">
        <f>'05_Daily_Orders'!M170</f>
        <v>FB</v>
      </c>
      <c r="P170" s="239" t="str">
        <f>_xlfn.IFNA(_xlfn.XLOOKUP(B170,'00_SKU_Master'!$B$2:$B$379,'00_SKU_Master'!$E$2:$E$379,""),"")</f>
        <v>ThighMeat</v>
      </c>
      <c r="Q170" s="240">
        <f>_xlfn.IFNA(_xlfn.XLOOKUP(B170,'00_SKU_Master'!$B$2:$B$379,'00_SKU_Master'!$F$2:$F$379,0),0)</f>
        <v>0</v>
      </c>
      <c r="R170" s="253">
        <f t="shared" si="5"/>
        <v>0</v>
      </c>
    </row>
    <row r="171" spans="2:18" x14ac:dyDescent="0.35">
      <c r="B171" s="235">
        <f>'05_Daily_Orders'!C171</f>
        <v>7553</v>
      </c>
      <c r="C171" s="303">
        <v>0</v>
      </c>
      <c r="D171" s="303">
        <v>0</v>
      </c>
      <c r="E171" s="306"/>
      <c r="F171" s="306"/>
      <c r="G171" s="307">
        <v>0</v>
      </c>
      <c r="H171" s="307"/>
      <c r="I171" s="307"/>
      <c r="J171" s="307"/>
      <c r="K171" s="307"/>
      <c r="L171" s="307"/>
      <c r="M171" s="237">
        <f t="shared" si="4"/>
        <v>0</v>
      </c>
      <c r="N171" s="238" t="str">
        <f>_xlfn.IFNA(_xlfn.XLOOKUP(B171,'00_SKU_Master'!$B$2:$B$379,'00_SKU_Master'!$C$2:$C$379,0),"")</f>
        <v>61040#2</v>
      </c>
      <c r="O171" s="233" t="str">
        <f>'05_Daily_Orders'!M171</f>
        <v>FB</v>
      </c>
      <c r="P171" s="239" t="str">
        <f>_xlfn.IFNA(_xlfn.XLOOKUP(B171,'00_SKU_Master'!$B$2:$B$379,'00_SKU_Master'!$E$2:$E$379,""),"")</f>
        <v>SplitBreast</v>
      </c>
      <c r="Q171" s="240">
        <f>_xlfn.IFNA(_xlfn.XLOOKUP(B171,'00_SKU_Master'!$B$2:$B$379,'00_SKU_Master'!$F$2:$F$379,0),0)</f>
        <v>0</v>
      </c>
      <c r="R171" s="253">
        <f t="shared" si="5"/>
        <v>0</v>
      </c>
    </row>
    <row r="172" spans="2:18" x14ac:dyDescent="0.35">
      <c r="B172" s="235">
        <f>'05_Daily_Orders'!C172</f>
        <v>7554</v>
      </c>
      <c r="C172" s="303">
        <v>0</v>
      </c>
      <c r="D172" s="303">
        <v>0</v>
      </c>
      <c r="E172" s="306"/>
      <c r="F172" s="306"/>
      <c r="G172" s="307">
        <v>0</v>
      </c>
      <c r="H172" s="307"/>
      <c r="I172" s="307"/>
      <c r="J172" s="307"/>
      <c r="K172" s="307"/>
      <c r="L172" s="307"/>
      <c r="M172" s="237">
        <f t="shared" si="4"/>
        <v>0</v>
      </c>
      <c r="N172" s="238" t="str">
        <f>_xlfn.IFNA(_xlfn.XLOOKUP(B172,'00_SKU_Master'!$B$2:$B$379,'00_SKU_Master'!$C$2:$C$379,0),"")</f>
        <v>61048#2</v>
      </c>
      <c r="O172" s="233" t="str">
        <f>'05_Daily_Orders'!M172</f>
        <v>FB</v>
      </c>
      <c r="P172" s="239" t="str">
        <f>_xlfn.IFNA(_xlfn.XLOOKUP(B172,'00_SKU_Master'!$B$2:$B$379,'00_SKU_Master'!$E$2:$E$379,""),"")</f>
        <v>SplitBreast</v>
      </c>
      <c r="Q172" s="240">
        <f>_xlfn.IFNA(_xlfn.XLOOKUP(B172,'00_SKU_Master'!$B$2:$B$379,'00_SKU_Master'!$F$2:$F$379,0),0)</f>
        <v>0</v>
      </c>
      <c r="R172" s="253">
        <f t="shared" si="5"/>
        <v>0</v>
      </c>
    </row>
    <row r="173" spans="2:18" x14ac:dyDescent="0.35">
      <c r="B173" s="235">
        <f>'05_Daily_Orders'!C173</f>
        <v>7557</v>
      </c>
      <c r="C173" s="303">
        <v>0</v>
      </c>
      <c r="D173" s="303">
        <v>0</v>
      </c>
      <c r="E173" s="306"/>
      <c r="F173" s="306"/>
      <c r="G173" s="307">
        <v>0</v>
      </c>
      <c r="H173" s="307"/>
      <c r="I173" s="307"/>
      <c r="J173" s="307"/>
      <c r="K173" s="307"/>
      <c r="L173" s="307"/>
      <c r="M173" s="237">
        <f t="shared" si="4"/>
        <v>0</v>
      </c>
      <c r="N173" s="238" t="str">
        <f>_xlfn.IFNA(_xlfn.XLOOKUP(B173,'00_SKU_Master'!$B$2:$B$379,'00_SKU_Master'!$C$2:$C$379,0),"")</f>
        <v>61048#2</v>
      </c>
      <c r="O173" s="233" t="str">
        <f>'05_Daily_Orders'!M173</f>
        <v>FB</v>
      </c>
      <c r="P173" s="239" t="str">
        <f>_xlfn.IFNA(_xlfn.XLOOKUP(B173,'00_SKU_Master'!$B$2:$B$379,'00_SKU_Master'!$E$2:$E$379,""),"")</f>
        <v>SplitBreast</v>
      </c>
      <c r="Q173" s="240">
        <f>_xlfn.IFNA(_xlfn.XLOOKUP(B173,'00_SKU_Master'!$B$2:$B$379,'00_SKU_Master'!$F$2:$F$379,0),0)</f>
        <v>0</v>
      </c>
      <c r="R173" s="253">
        <f t="shared" si="5"/>
        <v>0</v>
      </c>
    </row>
    <row r="174" spans="2:18" x14ac:dyDescent="0.35">
      <c r="B174" s="235">
        <f>'05_Daily_Orders'!C174</f>
        <v>7605</v>
      </c>
      <c r="C174" s="303">
        <v>0</v>
      </c>
      <c r="D174" s="303">
        <v>0</v>
      </c>
      <c r="E174" s="306"/>
      <c r="F174" s="306"/>
      <c r="G174" s="307">
        <v>0</v>
      </c>
      <c r="H174" s="307"/>
      <c r="I174" s="307"/>
      <c r="J174" s="307"/>
      <c r="K174" s="307"/>
      <c r="L174" s="307"/>
      <c r="M174" s="237">
        <f t="shared" si="4"/>
        <v>0</v>
      </c>
      <c r="N174" s="238">
        <f>_xlfn.IFNA(_xlfn.XLOOKUP(B174,'00_SKU_Master'!$B$2:$B$379,'00_SKU_Master'!$C$2:$C$379,0),"")</f>
        <v>61055</v>
      </c>
      <c r="O174" s="233" t="str">
        <f>'05_Daily_Orders'!M174</f>
        <v>LCL</v>
      </c>
      <c r="P174" s="239" t="str">
        <f>_xlfn.IFNA(_xlfn.XLOOKUP(B174,'00_SKU_Master'!$B$2:$B$379,'00_SKU_Master'!$E$2:$E$379,""),"")</f>
        <v>BSB</v>
      </c>
      <c r="Q174" s="240">
        <f>_xlfn.IFNA(_xlfn.XLOOKUP(B174,'00_SKU_Master'!$B$2:$B$379,'00_SKU_Master'!$F$2:$F$379,0),0)</f>
        <v>9.2949999999999999</v>
      </c>
      <c r="R174" s="253">
        <f t="shared" si="5"/>
        <v>0</v>
      </c>
    </row>
    <row r="175" spans="2:18" x14ac:dyDescent="0.35">
      <c r="B175" s="235">
        <f>'05_Daily_Orders'!C175</f>
        <v>7606</v>
      </c>
      <c r="C175" s="303">
        <v>0</v>
      </c>
      <c r="D175" s="303">
        <v>0</v>
      </c>
      <c r="E175" s="306"/>
      <c r="F175" s="306"/>
      <c r="G175" s="307">
        <v>0</v>
      </c>
      <c r="H175" s="307"/>
      <c r="I175" s="307"/>
      <c r="J175" s="307"/>
      <c r="K175" s="307"/>
      <c r="L175" s="307"/>
      <c r="M175" s="237">
        <f t="shared" si="4"/>
        <v>0</v>
      </c>
      <c r="N175" s="238">
        <f>_xlfn.IFNA(_xlfn.XLOOKUP(B175,'00_SKU_Master'!$B$2:$B$379,'00_SKU_Master'!$C$2:$C$379,0),"")</f>
        <v>61055</v>
      </c>
      <c r="O175" s="233" t="str">
        <f>'05_Daily_Orders'!M175</f>
        <v>LCL</v>
      </c>
      <c r="P175" s="239" t="str">
        <f>_xlfn.IFNA(_xlfn.XLOOKUP(B175,'00_SKU_Master'!$B$2:$B$379,'00_SKU_Master'!$E$2:$E$379,""),"")</f>
        <v>BSB</v>
      </c>
      <c r="Q175" s="240">
        <f>_xlfn.IFNA(_xlfn.XLOOKUP(B175,'00_SKU_Master'!$B$2:$B$379,'00_SKU_Master'!$F$2:$F$379,0),0)</f>
        <v>9.2949999999999999</v>
      </c>
      <c r="R175" s="253">
        <f t="shared" si="5"/>
        <v>0</v>
      </c>
    </row>
    <row r="176" spans="2:18" x14ac:dyDescent="0.35">
      <c r="B176" s="235">
        <f>'05_Daily_Orders'!C176</f>
        <v>7607</v>
      </c>
      <c r="C176" s="303">
        <v>0</v>
      </c>
      <c r="D176" s="303">
        <v>0</v>
      </c>
      <c r="E176" s="306"/>
      <c r="F176" s="306"/>
      <c r="G176" s="307">
        <v>0</v>
      </c>
      <c r="H176" s="307"/>
      <c r="I176" s="307"/>
      <c r="J176" s="307"/>
      <c r="K176" s="307"/>
      <c r="L176" s="307"/>
      <c r="M176" s="237">
        <f t="shared" si="4"/>
        <v>0</v>
      </c>
      <c r="N176" s="238">
        <f>_xlfn.IFNA(_xlfn.XLOOKUP(B176,'00_SKU_Master'!$B$2:$B$379,'00_SKU_Master'!$C$2:$C$379,0),"")</f>
        <v>61055</v>
      </c>
      <c r="O176" s="233" t="str">
        <f>'05_Daily_Orders'!M176</f>
        <v>LCL</v>
      </c>
      <c r="P176" s="239" t="str">
        <f>_xlfn.IFNA(_xlfn.XLOOKUP(B176,'00_SKU_Master'!$B$2:$B$379,'00_SKU_Master'!$E$2:$E$379,""),"")</f>
        <v>BSB</v>
      </c>
      <c r="Q176" s="240">
        <f>_xlfn.IFNA(_xlfn.XLOOKUP(B176,'00_SKU_Master'!$B$2:$B$379,'00_SKU_Master'!$F$2:$F$379,0),0)</f>
        <v>9.2949999999999999</v>
      </c>
      <c r="R176" s="253">
        <f t="shared" si="5"/>
        <v>0</v>
      </c>
    </row>
    <row r="177" spans="2:18" x14ac:dyDescent="0.35">
      <c r="B177" s="235">
        <f>'05_Daily_Orders'!C177</f>
        <v>7608</v>
      </c>
      <c r="C177" s="303">
        <v>0</v>
      </c>
      <c r="D177" s="303">
        <v>0</v>
      </c>
      <c r="E177" s="306"/>
      <c r="F177" s="306"/>
      <c r="G177" s="307">
        <v>0</v>
      </c>
      <c r="H177" s="307"/>
      <c r="I177" s="307"/>
      <c r="J177" s="307"/>
      <c r="K177" s="307"/>
      <c r="L177" s="307"/>
      <c r="M177" s="237">
        <f t="shared" si="4"/>
        <v>0</v>
      </c>
      <c r="N177" s="238">
        <f>_xlfn.IFNA(_xlfn.XLOOKUP(B177,'00_SKU_Master'!$B$2:$B$379,'00_SKU_Master'!$C$2:$C$379,0),"")</f>
        <v>61055</v>
      </c>
      <c r="O177" s="233" t="str">
        <f>'05_Daily_Orders'!M177</f>
        <v>LCL</v>
      </c>
      <c r="P177" s="239" t="str">
        <f>_xlfn.IFNA(_xlfn.XLOOKUP(B177,'00_SKU_Master'!$B$2:$B$379,'00_SKU_Master'!$E$2:$E$379,""),"")</f>
        <v>BSB</v>
      </c>
      <c r="Q177" s="240">
        <f>_xlfn.IFNA(_xlfn.XLOOKUP(B177,'00_SKU_Master'!$B$2:$B$379,'00_SKU_Master'!$F$2:$F$379,0),0)</f>
        <v>9.2949999999999999</v>
      </c>
      <c r="R177" s="253">
        <f t="shared" si="5"/>
        <v>0</v>
      </c>
    </row>
    <row r="178" spans="2:18" x14ac:dyDescent="0.35">
      <c r="B178" s="235">
        <f>'05_Daily_Orders'!C178</f>
        <v>7811</v>
      </c>
      <c r="C178" s="303">
        <v>0</v>
      </c>
      <c r="D178" s="303">
        <v>0</v>
      </c>
      <c r="E178" s="306"/>
      <c r="F178" s="306"/>
      <c r="G178" s="307">
        <v>0</v>
      </c>
      <c r="H178" s="307"/>
      <c r="I178" s="307"/>
      <c r="J178" s="307"/>
      <c r="K178" s="307"/>
      <c r="L178" s="307"/>
      <c r="M178" s="237">
        <f t="shared" si="4"/>
        <v>0</v>
      </c>
      <c r="N178" s="238">
        <f>_xlfn.IFNA(_xlfn.XLOOKUP(B178,'00_SKU_Master'!$B$2:$B$379,'00_SKU_Master'!$C$2:$C$379,0),"")</f>
        <v>61050</v>
      </c>
      <c r="O178" s="233" t="str">
        <f>'05_Daily_Orders'!M178</f>
        <v>LCL</v>
      </c>
      <c r="P178" s="239" t="str">
        <f>_xlfn.IFNA(_xlfn.XLOOKUP(B178,'00_SKU_Master'!$B$2:$B$379,'00_SKU_Master'!$E$2:$E$379,""),"")</f>
        <v>BSB</v>
      </c>
      <c r="Q178" s="240">
        <f>_xlfn.IFNA(_xlfn.XLOOKUP(B178,'00_SKU_Master'!$B$2:$B$379,'00_SKU_Master'!$F$2:$F$379,0),0)</f>
        <v>0</v>
      </c>
      <c r="R178" s="253">
        <f t="shared" si="5"/>
        <v>0</v>
      </c>
    </row>
    <row r="179" spans="2:18" x14ac:dyDescent="0.35">
      <c r="B179" s="235">
        <f>'05_Daily_Orders'!C179</f>
        <v>7812</v>
      </c>
      <c r="C179" s="303">
        <v>0</v>
      </c>
      <c r="D179" s="303">
        <v>0</v>
      </c>
      <c r="E179" s="306"/>
      <c r="F179" s="306"/>
      <c r="G179" s="307">
        <v>0</v>
      </c>
      <c r="H179" s="307"/>
      <c r="I179" s="307"/>
      <c r="J179" s="307"/>
      <c r="K179" s="307"/>
      <c r="L179" s="307"/>
      <c r="M179" s="237">
        <f t="shared" si="4"/>
        <v>0</v>
      </c>
      <c r="N179" s="238">
        <f>_xlfn.IFNA(_xlfn.XLOOKUP(B179,'00_SKU_Master'!$B$2:$B$379,'00_SKU_Master'!$C$2:$C$379,0),"")</f>
        <v>61050</v>
      </c>
      <c r="O179" s="233" t="str">
        <f>'05_Daily_Orders'!M179</f>
        <v>LCL</v>
      </c>
      <c r="P179" s="239" t="str">
        <f>_xlfn.IFNA(_xlfn.XLOOKUP(B179,'00_SKU_Master'!$B$2:$B$379,'00_SKU_Master'!$E$2:$E$379,""),"")</f>
        <v>BSB</v>
      </c>
      <c r="Q179" s="240">
        <f>_xlfn.IFNA(_xlfn.XLOOKUP(B179,'00_SKU_Master'!$B$2:$B$379,'00_SKU_Master'!$F$2:$F$379,0),0)</f>
        <v>0</v>
      </c>
      <c r="R179" s="253">
        <f t="shared" si="5"/>
        <v>0</v>
      </c>
    </row>
    <row r="180" spans="2:18" x14ac:dyDescent="0.35">
      <c r="B180" s="235">
        <f>'05_Daily_Orders'!C180</f>
        <v>7813</v>
      </c>
      <c r="C180" s="303">
        <v>0</v>
      </c>
      <c r="D180" s="303">
        <v>0</v>
      </c>
      <c r="E180" s="306"/>
      <c r="F180" s="306"/>
      <c r="G180" s="307">
        <v>0</v>
      </c>
      <c r="H180" s="307"/>
      <c r="I180" s="307"/>
      <c r="J180" s="307"/>
      <c r="K180" s="307"/>
      <c r="L180" s="307"/>
      <c r="M180" s="237">
        <f t="shared" si="4"/>
        <v>0</v>
      </c>
      <c r="N180" s="238">
        <f>_xlfn.IFNA(_xlfn.XLOOKUP(B180,'00_SKU_Master'!$B$2:$B$379,'00_SKU_Master'!$C$2:$C$379,0),"")</f>
        <v>61050</v>
      </c>
      <c r="O180" s="233" t="str">
        <f>'05_Daily_Orders'!M180</f>
        <v>LCL</v>
      </c>
      <c r="P180" s="239" t="str">
        <f>_xlfn.IFNA(_xlfn.XLOOKUP(B180,'00_SKU_Master'!$B$2:$B$379,'00_SKU_Master'!$E$2:$E$379,""),"")</f>
        <v>BSB</v>
      </c>
      <c r="Q180" s="240">
        <f>_xlfn.IFNA(_xlfn.XLOOKUP(B180,'00_SKU_Master'!$B$2:$B$379,'00_SKU_Master'!$F$2:$F$379,0),0)</f>
        <v>0</v>
      </c>
      <c r="R180" s="253">
        <f t="shared" si="5"/>
        <v>0</v>
      </c>
    </row>
    <row r="181" spans="2:18" x14ac:dyDescent="0.35">
      <c r="B181" s="235">
        <f>'05_Daily_Orders'!C181</f>
        <v>7814</v>
      </c>
      <c r="C181" s="303">
        <v>0</v>
      </c>
      <c r="D181" s="303">
        <v>0</v>
      </c>
      <c r="E181" s="306"/>
      <c r="F181" s="306"/>
      <c r="G181" s="307">
        <v>0</v>
      </c>
      <c r="H181" s="307"/>
      <c r="I181" s="307"/>
      <c r="J181" s="307"/>
      <c r="K181" s="307"/>
      <c r="L181" s="307"/>
      <c r="M181" s="237">
        <f t="shared" si="4"/>
        <v>0</v>
      </c>
      <c r="N181" s="238">
        <f>_xlfn.IFNA(_xlfn.XLOOKUP(B181,'00_SKU_Master'!$B$2:$B$379,'00_SKU_Master'!$C$2:$C$379,0),"")</f>
        <v>61069</v>
      </c>
      <c r="O181" s="233" t="str">
        <f>'05_Daily_Orders'!M181</f>
        <v>LCL</v>
      </c>
      <c r="P181" s="239" t="str">
        <f>_xlfn.IFNA(_xlfn.XLOOKUP(B181,'00_SKU_Master'!$B$2:$B$379,'00_SKU_Master'!$E$2:$E$379,""),"")</f>
        <v>BSB</v>
      </c>
      <c r="Q181" s="240">
        <f>_xlfn.IFNA(_xlfn.XLOOKUP(B181,'00_SKU_Master'!$B$2:$B$379,'00_SKU_Master'!$F$2:$F$379,0),0)</f>
        <v>0</v>
      </c>
      <c r="R181" s="253">
        <f t="shared" si="5"/>
        <v>0</v>
      </c>
    </row>
    <row r="182" spans="2:18" x14ac:dyDescent="0.35">
      <c r="B182" s="235">
        <f>'05_Daily_Orders'!C182</f>
        <v>7815</v>
      </c>
      <c r="C182" s="303">
        <v>0</v>
      </c>
      <c r="D182" s="303">
        <v>0</v>
      </c>
      <c r="E182" s="306"/>
      <c r="F182" s="306"/>
      <c r="G182" s="307">
        <v>0</v>
      </c>
      <c r="H182" s="307"/>
      <c r="I182" s="307"/>
      <c r="J182" s="307"/>
      <c r="K182" s="307"/>
      <c r="L182" s="307"/>
      <c r="M182" s="237">
        <f t="shared" si="4"/>
        <v>0</v>
      </c>
      <c r="N182" s="238">
        <f>_xlfn.IFNA(_xlfn.XLOOKUP(B182,'00_SKU_Master'!$B$2:$B$379,'00_SKU_Master'!$C$2:$C$379,0),"")</f>
        <v>61054</v>
      </c>
      <c r="O182" s="233" t="str">
        <f>'05_Daily_Orders'!M182</f>
        <v>LCL</v>
      </c>
      <c r="P182" s="239" t="str">
        <f>_xlfn.IFNA(_xlfn.XLOOKUP(B182,'00_SKU_Master'!$B$2:$B$379,'00_SKU_Master'!$E$2:$E$379,""),"")</f>
        <v>Fillet</v>
      </c>
      <c r="Q182" s="240">
        <f>_xlfn.IFNA(_xlfn.XLOOKUP(B182,'00_SKU_Master'!$B$2:$B$379,'00_SKU_Master'!$F$2:$F$379,0),0)</f>
        <v>0</v>
      </c>
      <c r="R182" s="253">
        <f t="shared" si="5"/>
        <v>0</v>
      </c>
    </row>
    <row r="183" spans="2:18" x14ac:dyDescent="0.35">
      <c r="B183" s="235">
        <f>'05_Daily_Orders'!C183</f>
        <v>7816</v>
      </c>
      <c r="C183" s="303">
        <v>0</v>
      </c>
      <c r="D183" s="303">
        <v>0</v>
      </c>
      <c r="E183" s="306"/>
      <c r="F183" s="306"/>
      <c r="G183" s="307">
        <v>0</v>
      </c>
      <c r="H183" s="307"/>
      <c r="I183" s="307"/>
      <c r="J183" s="307"/>
      <c r="K183" s="307"/>
      <c r="L183" s="307"/>
      <c r="M183" s="237">
        <f t="shared" si="4"/>
        <v>0</v>
      </c>
      <c r="N183" s="238">
        <f>_xlfn.IFNA(_xlfn.XLOOKUP(B183,'00_SKU_Master'!$B$2:$B$379,'00_SKU_Master'!$C$2:$C$379,0),"")</f>
        <v>61086</v>
      </c>
      <c r="O183" s="233" t="str">
        <f>'05_Daily_Orders'!M183</f>
        <v>LCL</v>
      </c>
      <c r="P183" s="239" t="str">
        <f>_xlfn.IFNA(_xlfn.XLOOKUP(B183,'00_SKU_Master'!$B$2:$B$379,'00_SKU_Master'!$E$2:$E$379,""),"")</f>
        <v>ThighMeat</v>
      </c>
      <c r="Q183" s="240">
        <f>_xlfn.IFNA(_xlfn.XLOOKUP(B183,'00_SKU_Master'!$B$2:$B$379,'00_SKU_Master'!$F$2:$F$379,0),0)</f>
        <v>0</v>
      </c>
      <c r="R183" s="253">
        <f t="shared" si="5"/>
        <v>0</v>
      </c>
    </row>
    <row r="184" spans="2:18" x14ac:dyDescent="0.35">
      <c r="B184" s="235">
        <f>'05_Daily_Orders'!C184</f>
        <v>7817</v>
      </c>
      <c r="C184" s="303">
        <v>0</v>
      </c>
      <c r="D184" s="303">
        <v>0</v>
      </c>
      <c r="E184" s="306"/>
      <c r="F184" s="306"/>
      <c r="G184" s="307">
        <v>0</v>
      </c>
      <c r="H184" s="307"/>
      <c r="I184" s="307"/>
      <c r="J184" s="307"/>
      <c r="K184" s="307"/>
      <c r="L184" s="307"/>
      <c r="M184" s="237">
        <f t="shared" si="4"/>
        <v>0</v>
      </c>
      <c r="N184" s="238">
        <f>_xlfn.IFNA(_xlfn.XLOOKUP(B184,'00_SKU_Master'!$B$2:$B$379,'00_SKU_Master'!$C$2:$C$379,0),"")</f>
        <v>61077</v>
      </c>
      <c r="O184" s="233" t="str">
        <f>'05_Daily_Orders'!M184</f>
        <v>LCL</v>
      </c>
      <c r="P184" s="239" t="str">
        <f>_xlfn.IFNA(_xlfn.XLOOKUP(B184,'00_SKU_Master'!$B$2:$B$379,'00_SKU_Master'!$E$2:$E$379,""),"")</f>
        <v>Thigh</v>
      </c>
      <c r="Q184" s="240">
        <f>_xlfn.IFNA(_xlfn.XLOOKUP(B184,'00_SKU_Master'!$B$2:$B$379,'00_SKU_Master'!$F$2:$F$379,0),0)</f>
        <v>0</v>
      </c>
      <c r="R184" s="253">
        <f t="shared" si="5"/>
        <v>0</v>
      </c>
    </row>
    <row r="185" spans="2:18" x14ac:dyDescent="0.35">
      <c r="B185" s="235">
        <f>'05_Daily_Orders'!C185</f>
        <v>7818</v>
      </c>
      <c r="C185" s="303">
        <v>0</v>
      </c>
      <c r="D185" s="303">
        <v>0</v>
      </c>
      <c r="E185" s="306"/>
      <c r="F185" s="306"/>
      <c r="G185" s="307">
        <v>0</v>
      </c>
      <c r="H185" s="307"/>
      <c r="I185" s="307"/>
      <c r="J185" s="307"/>
      <c r="K185" s="307"/>
      <c r="L185" s="307"/>
      <c r="M185" s="237">
        <f t="shared" si="4"/>
        <v>0</v>
      </c>
      <c r="N185" s="238" t="str">
        <f>_xlfn.IFNA(_xlfn.XLOOKUP(B185,'00_SKU_Master'!$B$2:$B$379,'00_SKU_Master'!$C$2:$C$379,0),"")</f>
        <v>61072F</v>
      </c>
      <c r="O185" s="233" t="str">
        <f>'05_Daily_Orders'!M185</f>
        <v>LCL</v>
      </c>
      <c r="P185" s="239" t="str">
        <f>_xlfn.IFNA(_xlfn.XLOOKUP(B185,'00_SKU_Master'!$B$2:$B$379,'00_SKU_Master'!$E$2:$E$379,""),"")</f>
        <v>Drum</v>
      </c>
      <c r="Q185" s="240">
        <f>_xlfn.IFNA(_xlfn.XLOOKUP(B185,'00_SKU_Master'!$B$2:$B$379,'00_SKU_Master'!$F$2:$F$379,0),0)</f>
        <v>0</v>
      </c>
      <c r="R185" s="253">
        <f t="shared" si="5"/>
        <v>0</v>
      </c>
    </row>
    <row r="186" spans="2:18" x14ac:dyDescent="0.35">
      <c r="B186" s="235">
        <f>'05_Daily_Orders'!C186</f>
        <v>7819</v>
      </c>
      <c r="C186" s="303">
        <v>0</v>
      </c>
      <c r="D186" s="303">
        <v>0</v>
      </c>
      <c r="E186" s="306"/>
      <c r="F186" s="306"/>
      <c r="G186" s="307">
        <v>0</v>
      </c>
      <c r="H186" s="307"/>
      <c r="I186" s="307"/>
      <c r="J186" s="307"/>
      <c r="K186" s="307"/>
      <c r="L186" s="307"/>
      <c r="M186" s="237">
        <f t="shared" si="4"/>
        <v>0</v>
      </c>
      <c r="N186" s="238" t="str">
        <f>_xlfn.IFNA(_xlfn.XLOOKUP(B186,'00_SKU_Master'!$B$2:$B$379,'00_SKU_Master'!$C$2:$C$379,0),"")</f>
        <v>61014F</v>
      </c>
      <c r="O186" s="233" t="str">
        <f>'05_Daily_Orders'!M186</f>
        <v>LCL</v>
      </c>
      <c r="P186" s="239" t="str">
        <f>_xlfn.IFNA(_xlfn.XLOOKUP(B186,'00_SKU_Master'!$B$2:$B$379,'00_SKU_Master'!$E$2:$E$379,""),"")</f>
        <v>SplitWing</v>
      </c>
      <c r="Q186" s="240">
        <f>_xlfn.IFNA(_xlfn.XLOOKUP(B186,'00_SKU_Master'!$B$2:$B$379,'00_SKU_Master'!$F$2:$F$379,0),0)</f>
        <v>0</v>
      </c>
      <c r="R186" s="253">
        <f t="shared" si="5"/>
        <v>0</v>
      </c>
    </row>
    <row r="187" spans="2:18" x14ac:dyDescent="0.35">
      <c r="B187" s="235">
        <f>'05_Daily_Orders'!C187</f>
        <v>7821</v>
      </c>
      <c r="C187" s="303">
        <v>0</v>
      </c>
      <c r="D187" s="303">
        <v>0</v>
      </c>
      <c r="E187" s="306"/>
      <c r="F187" s="306"/>
      <c r="G187" s="307">
        <v>0</v>
      </c>
      <c r="H187" s="307"/>
      <c r="I187" s="307"/>
      <c r="J187" s="307"/>
      <c r="K187" s="307"/>
      <c r="L187" s="307"/>
      <c r="M187" s="237">
        <f t="shared" si="4"/>
        <v>0</v>
      </c>
      <c r="N187" s="238">
        <f>_xlfn.IFNA(_xlfn.XLOOKUP(B187,'00_SKU_Master'!$B$2:$B$379,'00_SKU_Master'!$C$2:$C$379,0),"")</f>
        <v>61050</v>
      </c>
      <c r="O187" s="233" t="str">
        <f>'05_Daily_Orders'!M187</f>
        <v>LCL</v>
      </c>
      <c r="P187" s="239" t="str">
        <f>_xlfn.IFNA(_xlfn.XLOOKUP(B187,'00_SKU_Master'!$B$2:$B$379,'00_SKU_Master'!$E$2:$E$379,""),"")</f>
        <v>BSB</v>
      </c>
      <c r="Q187" s="240">
        <f>_xlfn.IFNA(_xlfn.XLOOKUP(B187,'00_SKU_Master'!$B$2:$B$379,'00_SKU_Master'!$F$2:$F$379,0),0)</f>
        <v>0</v>
      </c>
      <c r="R187" s="253">
        <f t="shared" si="5"/>
        <v>0</v>
      </c>
    </row>
    <row r="188" spans="2:18" x14ac:dyDescent="0.35">
      <c r="B188" s="235">
        <f>'05_Daily_Orders'!C188</f>
        <v>7823</v>
      </c>
      <c r="C188" s="303">
        <v>1</v>
      </c>
      <c r="D188" s="303">
        <v>0</v>
      </c>
      <c r="E188" s="306"/>
      <c r="F188" s="306"/>
      <c r="G188" s="307">
        <v>156</v>
      </c>
      <c r="H188" s="307"/>
      <c r="I188" s="307"/>
      <c r="J188" s="307"/>
      <c r="K188" s="307"/>
      <c r="L188" s="307"/>
      <c r="M188" s="237">
        <f t="shared" si="4"/>
        <v>155</v>
      </c>
      <c r="N188" s="238">
        <f>_xlfn.IFNA(_xlfn.XLOOKUP(B188,'00_SKU_Master'!$B$2:$B$379,'00_SKU_Master'!$C$2:$C$379,0),"")</f>
        <v>61077</v>
      </c>
      <c r="O188" s="233" t="str">
        <f>'05_Daily_Orders'!M188</f>
        <v>LCL</v>
      </c>
      <c r="P188" s="239" t="str">
        <f>_xlfn.IFNA(_xlfn.XLOOKUP(B188,'00_SKU_Master'!$B$2:$B$379,'00_SKU_Master'!$E$2:$E$379,""),"")</f>
        <v>Thigh</v>
      </c>
      <c r="Q188" s="240">
        <f>_xlfn.IFNA(_xlfn.XLOOKUP(B188,'00_SKU_Master'!$B$2:$B$379,'00_SKU_Master'!$F$2:$F$379,0),0)</f>
        <v>6.4512988560533797</v>
      </c>
      <c r="R188" s="253">
        <f t="shared" si="5"/>
        <v>999.95132268827388</v>
      </c>
    </row>
    <row r="189" spans="2:18" x14ac:dyDescent="0.35">
      <c r="B189" s="235">
        <f>'05_Daily_Orders'!C189</f>
        <v>7824</v>
      </c>
      <c r="C189" s="303">
        <v>0</v>
      </c>
      <c r="D189" s="303">
        <v>0</v>
      </c>
      <c r="E189" s="306"/>
      <c r="F189" s="306"/>
      <c r="G189" s="307">
        <v>113</v>
      </c>
      <c r="H189" s="307"/>
      <c r="I189" s="307"/>
      <c r="J189" s="307"/>
      <c r="K189" s="307"/>
      <c r="L189" s="307"/>
      <c r="M189" s="237">
        <f t="shared" si="4"/>
        <v>113</v>
      </c>
      <c r="N189" s="238" t="str">
        <f>_xlfn.IFNA(_xlfn.XLOOKUP(B189,'00_SKU_Master'!$B$2:$B$379,'00_SKU_Master'!$C$2:$C$379,0),"")</f>
        <v>61072F</v>
      </c>
      <c r="O189" s="233" t="str">
        <f>'05_Daily_Orders'!M189</f>
        <v>LCL</v>
      </c>
      <c r="P189" s="239" t="str">
        <f>_xlfn.IFNA(_xlfn.XLOOKUP(B189,'00_SKU_Master'!$B$2:$B$379,'00_SKU_Master'!$E$2:$E$379,""),"")</f>
        <v>Drum</v>
      </c>
      <c r="Q189" s="240">
        <f>_xlfn.IFNA(_xlfn.XLOOKUP(B189,'00_SKU_Master'!$B$2:$B$379,'00_SKU_Master'!$F$2:$F$379,0),0)</f>
        <v>6.0889089775561098</v>
      </c>
      <c r="R189" s="253">
        <f t="shared" si="5"/>
        <v>688.04671446384043</v>
      </c>
    </row>
    <row r="190" spans="2:18" x14ac:dyDescent="0.35">
      <c r="B190" s="235">
        <f>'05_Daily_Orders'!C190</f>
        <v>7825</v>
      </c>
      <c r="C190" s="303">
        <v>0</v>
      </c>
      <c r="D190" s="303">
        <v>0</v>
      </c>
      <c r="E190" s="306"/>
      <c r="F190" s="306"/>
      <c r="G190" s="307">
        <v>229</v>
      </c>
      <c r="H190" s="307"/>
      <c r="I190" s="307"/>
      <c r="J190" s="307"/>
      <c r="K190" s="307"/>
      <c r="L190" s="307"/>
      <c r="M190" s="237">
        <f t="shared" si="4"/>
        <v>229</v>
      </c>
      <c r="N190" s="238" t="str">
        <f>_xlfn.IFNA(_xlfn.XLOOKUP(B190,'00_SKU_Master'!$B$2:$B$379,'00_SKU_Master'!$C$2:$C$379,0),"")</f>
        <v>61014F</v>
      </c>
      <c r="O190" s="233" t="str">
        <f>'05_Daily_Orders'!M190</f>
        <v>LCL</v>
      </c>
      <c r="P190" s="239" t="str">
        <f>_xlfn.IFNA(_xlfn.XLOOKUP(B190,'00_SKU_Master'!$B$2:$B$379,'00_SKU_Master'!$E$2:$E$379,""),"")</f>
        <v>SplitWing</v>
      </c>
      <c r="Q190" s="240">
        <f>_xlfn.IFNA(_xlfn.XLOOKUP(B190,'00_SKU_Master'!$B$2:$B$379,'00_SKU_Master'!$F$2:$F$379,0),0)</f>
        <v>6.14130255722631</v>
      </c>
      <c r="R190" s="253">
        <f t="shared" si="5"/>
        <v>1406.3582856048249</v>
      </c>
    </row>
    <row r="191" spans="2:18" x14ac:dyDescent="0.35">
      <c r="B191" s="235">
        <f>'05_Daily_Orders'!C191</f>
        <v>7826</v>
      </c>
      <c r="C191" s="303">
        <v>0</v>
      </c>
      <c r="D191" s="303">
        <v>0</v>
      </c>
      <c r="E191" s="306"/>
      <c r="F191" s="306"/>
      <c r="G191" s="307">
        <v>718</v>
      </c>
      <c r="H191" s="307"/>
      <c r="I191" s="307"/>
      <c r="J191" s="307"/>
      <c r="K191" s="307"/>
      <c r="L191" s="307"/>
      <c r="M191" s="237">
        <f t="shared" si="4"/>
        <v>718</v>
      </c>
      <c r="N191" s="238" t="str">
        <f>_xlfn.IFNA(_xlfn.XLOOKUP(B191,'00_SKU_Master'!$B$2:$B$379,'00_SKU_Master'!$C$2:$C$379,0),"")</f>
        <v>61050F</v>
      </c>
      <c r="O191" s="233" t="str">
        <f>'05_Daily_Orders'!M191</f>
        <v>LCL</v>
      </c>
      <c r="P191" s="239" t="str">
        <f>_xlfn.IFNA(_xlfn.XLOOKUP(B191,'00_SKU_Master'!$B$2:$B$379,'00_SKU_Master'!$E$2:$E$379,""),"")</f>
        <v>BSB</v>
      </c>
      <c r="Q191" s="240">
        <f>_xlfn.IFNA(_xlfn.XLOOKUP(B191,'00_SKU_Master'!$B$2:$B$379,'00_SKU_Master'!$F$2:$F$379,0),0)</f>
        <v>8.2729787507634907</v>
      </c>
      <c r="R191" s="253">
        <f t="shared" si="5"/>
        <v>5939.998743048186</v>
      </c>
    </row>
    <row r="192" spans="2:18" x14ac:dyDescent="0.35">
      <c r="B192" s="235">
        <f>'05_Daily_Orders'!C192</f>
        <v>7827</v>
      </c>
      <c r="C192" s="303">
        <v>0</v>
      </c>
      <c r="D192" s="303">
        <v>2</v>
      </c>
      <c r="E192" s="306"/>
      <c r="F192" s="306"/>
      <c r="G192" s="307">
        <v>80</v>
      </c>
      <c r="H192" s="307"/>
      <c r="I192" s="307"/>
      <c r="J192" s="307"/>
      <c r="K192" s="307"/>
      <c r="L192" s="307"/>
      <c r="M192" s="237">
        <f t="shared" si="4"/>
        <v>80</v>
      </c>
      <c r="N192" s="238">
        <f>_xlfn.IFNA(_xlfn.XLOOKUP(B192,'00_SKU_Master'!$B$2:$B$379,'00_SKU_Master'!$C$2:$C$379,0),"")</f>
        <v>61050</v>
      </c>
      <c r="O192" s="233" t="str">
        <f>'05_Daily_Orders'!M192</f>
        <v>LCL</v>
      </c>
      <c r="P192" s="239" t="str">
        <f>_xlfn.IFNA(_xlfn.XLOOKUP(B192,'00_SKU_Master'!$B$2:$B$379,'00_SKU_Master'!$E$2:$E$379,""),"")</f>
        <v>BSB</v>
      </c>
      <c r="Q192" s="240">
        <f>_xlfn.IFNA(_xlfn.XLOOKUP(B192,'00_SKU_Master'!$B$2:$B$379,'00_SKU_Master'!$F$2:$F$379,0),0)</f>
        <v>10.902292276861401</v>
      </c>
      <c r="R192" s="253">
        <f t="shared" si="5"/>
        <v>872.18338214891207</v>
      </c>
    </row>
    <row r="193" spans="2:18" x14ac:dyDescent="0.35">
      <c r="B193" s="235">
        <f>'05_Daily_Orders'!C193</f>
        <v>7828</v>
      </c>
      <c r="C193" s="303">
        <v>0</v>
      </c>
      <c r="D193" s="303">
        <v>0</v>
      </c>
      <c r="E193" s="306"/>
      <c r="F193" s="306"/>
      <c r="G193" s="307">
        <v>0</v>
      </c>
      <c r="H193" s="307"/>
      <c r="I193" s="307"/>
      <c r="J193" s="307"/>
      <c r="K193" s="307"/>
      <c r="L193" s="307"/>
      <c r="M193" s="237">
        <f t="shared" si="4"/>
        <v>0</v>
      </c>
      <c r="N193" s="238">
        <f>_xlfn.IFNA(_xlfn.XLOOKUP(B193,'00_SKU_Master'!$B$2:$B$379,'00_SKU_Master'!$C$2:$C$379,0),"")</f>
        <v>61052</v>
      </c>
      <c r="O193" s="233" t="str">
        <f>'05_Daily_Orders'!M193</f>
        <v>LCL</v>
      </c>
      <c r="P193" s="239" t="str">
        <f>_xlfn.IFNA(_xlfn.XLOOKUP(B193,'00_SKU_Master'!$B$2:$B$379,'00_SKU_Master'!$E$2:$E$379,""),"")</f>
        <v>Fillet</v>
      </c>
      <c r="Q193" s="240">
        <f>_xlfn.IFNA(_xlfn.XLOOKUP(B193,'00_SKU_Master'!$B$2:$B$379,'00_SKU_Master'!$F$2:$F$379,0),0)</f>
        <v>4.3051513266998302</v>
      </c>
      <c r="R193" s="253">
        <f t="shared" si="5"/>
        <v>0</v>
      </c>
    </row>
    <row r="194" spans="2:18" x14ac:dyDescent="0.35">
      <c r="B194" s="235">
        <f>'05_Daily_Orders'!C194</f>
        <v>7829</v>
      </c>
      <c r="C194" s="303">
        <v>0</v>
      </c>
      <c r="D194" s="303">
        <v>30</v>
      </c>
      <c r="E194" s="306"/>
      <c r="F194" s="306"/>
      <c r="G194" s="307">
        <v>28</v>
      </c>
      <c r="H194" s="307"/>
      <c r="I194" s="307"/>
      <c r="J194" s="307"/>
      <c r="K194" s="307"/>
      <c r="L194" s="307"/>
      <c r="M194" s="237">
        <f t="shared" si="4"/>
        <v>28</v>
      </c>
      <c r="N194" s="238">
        <f>_xlfn.IFNA(_xlfn.XLOOKUP(B194,'00_SKU_Master'!$B$2:$B$379,'00_SKU_Master'!$C$2:$C$379,0),"")</f>
        <v>61054</v>
      </c>
      <c r="O194" s="233" t="str">
        <f>'05_Daily_Orders'!M194</f>
        <v>LCL</v>
      </c>
      <c r="P194" s="239" t="str">
        <f>_xlfn.IFNA(_xlfn.XLOOKUP(B194,'00_SKU_Master'!$B$2:$B$379,'00_SKU_Master'!$E$2:$E$379,""),"")</f>
        <v>Fillet</v>
      </c>
      <c r="Q194" s="240">
        <f>_xlfn.IFNA(_xlfn.XLOOKUP(B194,'00_SKU_Master'!$B$2:$B$379,'00_SKU_Master'!$F$2:$F$379,0),0)</f>
        <v>4.4159971487406899</v>
      </c>
      <c r="R194" s="253">
        <f t="shared" si="5"/>
        <v>123.64792016473932</v>
      </c>
    </row>
    <row r="195" spans="2:18" x14ac:dyDescent="0.35">
      <c r="B195" s="235">
        <f>'05_Daily_Orders'!C195</f>
        <v>7830</v>
      </c>
      <c r="C195" s="303">
        <v>0</v>
      </c>
      <c r="D195" s="303">
        <v>197</v>
      </c>
      <c r="E195" s="306"/>
      <c r="F195" s="306"/>
      <c r="G195" s="307">
        <v>385</v>
      </c>
      <c r="H195" s="307"/>
      <c r="I195" s="307"/>
      <c r="J195" s="307"/>
      <c r="K195" s="307"/>
      <c r="L195" s="307"/>
      <c r="M195" s="237">
        <f t="shared" ref="M195:M258" si="6">IF($F$2="n",0,(SUM(G195:L195)-C195))</f>
        <v>385</v>
      </c>
      <c r="N195" s="238" t="str">
        <f>_xlfn.IFNA(_xlfn.XLOOKUP(B195,'00_SKU_Master'!$B$2:$B$379,'00_SKU_Master'!$C$2:$C$379,0),"")</f>
        <v>61086F</v>
      </c>
      <c r="O195" s="233" t="str">
        <f>'05_Daily_Orders'!M195</f>
        <v>LCL</v>
      </c>
      <c r="P195" s="239" t="str">
        <f>_xlfn.IFNA(_xlfn.XLOOKUP(B195,'00_SKU_Master'!$B$2:$B$379,'00_SKU_Master'!$E$2:$E$379,""),"")</f>
        <v>ThighMeat</v>
      </c>
      <c r="Q195" s="240">
        <f>_xlfn.IFNA(_xlfn.XLOOKUP(B195,'00_SKU_Master'!$B$2:$B$379,'00_SKU_Master'!$F$2:$F$379,0),0)</f>
        <v>5.8150162967561601</v>
      </c>
      <c r="R195" s="253">
        <f t="shared" ref="R195:R258" si="7">IF($M195="",0,$M195*Q195)</f>
        <v>2238.7812742511214</v>
      </c>
    </row>
    <row r="196" spans="2:18" x14ac:dyDescent="0.35">
      <c r="B196" s="235">
        <f>'05_Daily_Orders'!C196</f>
        <v>7831</v>
      </c>
      <c r="C196" s="303">
        <v>1</v>
      </c>
      <c r="D196" s="303">
        <v>0</v>
      </c>
      <c r="E196" s="306"/>
      <c r="F196" s="306"/>
      <c r="G196" s="307">
        <v>537</v>
      </c>
      <c r="H196" s="307"/>
      <c r="I196" s="307"/>
      <c r="J196" s="307"/>
      <c r="K196" s="307"/>
      <c r="L196" s="307"/>
      <c r="M196" s="237">
        <f t="shared" si="6"/>
        <v>536</v>
      </c>
      <c r="N196" s="238" t="str">
        <f>_xlfn.IFNA(_xlfn.XLOOKUP(B196,'00_SKU_Master'!$B$2:$B$379,'00_SKU_Master'!$C$2:$C$379,0),"")</f>
        <v>61050F</v>
      </c>
      <c r="O196" s="233" t="str">
        <f>'05_Daily_Orders'!M196</f>
        <v>LCL</v>
      </c>
      <c r="P196" s="239" t="str">
        <f>_xlfn.IFNA(_xlfn.XLOOKUP(B196,'00_SKU_Master'!$B$2:$B$379,'00_SKU_Master'!$E$2:$E$379,""),"")</f>
        <v>BSB</v>
      </c>
      <c r="Q196" s="240">
        <f>_xlfn.IFNA(_xlfn.XLOOKUP(B196,'00_SKU_Master'!$B$2:$B$379,'00_SKU_Master'!$F$2:$F$379,0),0)</f>
        <v>9.3727030913012204</v>
      </c>
      <c r="R196" s="253">
        <f t="shared" si="7"/>
        <v>5023.7688569374541</v>
      </c>
    </row>
    <row r="197" spans="2:18" x14ac:dyDescent="0.35">
      <c r="B197" s="235">
        <f>'05_Daily_Orders'!C197</f>
        <v>7833</v>
      </c>
      <c r="C197" s="303">
        <v>0</v>
      </c>
      <c r="D197" s="303">
        <v>448</v>
      </c>
      <c r="E197" s="306"/>
      <c r="F197" s="306"/>
      <c r="G197" s="307">
        <v>536</v>
      </c>
      <c r="H197" s="307"/>
      <c r="I197" s="307"/>
      <c r="J197" s="307"/>
      <c r="K197" s="307"/>
      <c r="L197" s="307"/>
      <c r="M197" s="237">
        <f t="shared" si="6"/>
        <v>536</v>
      </c>
      <c r="N197" s="238">
        <f>_xlfn.IFNA(_xlfn.XLOOKUP(B197,'00_SKU_Master'!$B$2:$B$379,'00_SKU_Master'!$C$2:$C$379,0),"")</f>
        <v>203135</v>
      </c>
      <c r="O197" s="233" t="str">
        <f>'05_Daily_Orders'!M197</f>
        <v>LCL</v>
      </c>
      <c r="P197" s="239" t="str">
        <f>_xlfn.IFNA(_xlfn.XLOOKUP(B197,'00_SKU_Master'!$B$2:$B$379,'00_SKU_Master'!$E$2:$E$379,""),"")</f>
        <v>Whole Bird-Small</v>
      </c>
      <c r="Q197" s="240">
        <f>_xlfn.IFNA(_xlfn.XLOOKUP(B197,'00_SKU_Master'!$B$2:$B$379,'00_SKU_Master'!$F$2:$F$379,0),0)</f>
        <v>9.83239310477658</v>
      </c>
      <c r="R197" s="253">
        <f t="shared" si="7"/>
        <v>5270.1627041602469</v>
      </c>
    </row>
    <row r="198" spans="2:18" x14ac:dyDescent="0.35">
      <c r="B198" s="235">
        <f>'05_Daily_Orders'!C198</f>
        <v>7834</v>
      </c>
      <c r="C198" s="303">
        <v>0</v>
      </c>
      <c r="D198" s="303">
        <v>0</v>
      </c>
      <c r="E198" s="306"/>
      <c r="F198" s="306"/>
      <c r="G198" s="307">
        <v>0</v>
      </c>
      <c r="H198" s="307"/>
      <c r="I198" s="307"/>
      <c r="J198" s="307"/>
      <c r="K198" s="307"/>
      <c r="L198" s="307"/>
      <c r="M198" s="237">
        <f t="shared" si="6"/>
        <v>0</v>
      </c>
      <c r="N198" s="238">
        <f>_xlfn.IFNA(_xlfn.XLOOKUP(B198,'00_SKU_Master'!$B$2:$B$379,'00_SKU_Master'!$C$2:$C$379,0),"")</f>
        <v>203135</v>
      </c>
      <c r="O198" s="233" t="str">
        <f>'05_Daily_Orders'!M198</f>
        <v>LCL</v>
      </c>
      <c r="P198" s="239" t="str">
        <f>_xlfn.IFNA(_xlfn.XLOOKUP(B198,'00_SKU_Master'!$B$2:$B$379,'00_SKU_Master'!$E$2:$E$379,""),"")</f>
        <v>Whole Bird-Small</v>
      </c>
      <c r="Q198" s="240">
        <f>_xlfn.IFNA(_xlfn.XLOOKUP(B198,'00_SKU_Master'!$B$2:$B$379,'00_SKU_Master'!$F$2:$F$379,0),0)</f>
        <v>9.83239310477658</v>
      </c>
      <c r="R198" s="253">
        <f t="shared" si="7"/>
        <v>0</v>
      </c>
    </row>
    <row r="199" spans="2:18" x14ac:dyDescent="0.35">
      <c r="B199" s="235">
        <f>'05_Daily_Orders'!C199</f>
        <v>7840</v>
      </c>
      <c r="C199" s="303">
        <v>0</v>
      </c>
      <c r="D199" s="303">
        <v>0</v>
      </c>
      <c r="E199" s="306"/>
      <c r="F199" s="306"/>
      <c r="G199" s="307">
        <v>0</v>
      </c>
      <c r="H199" s="307"/>
      <c r="I199" s="307"/>
      <c r="J199" s="307"/>
      <c r="K199" s="307"/>
      <c r="L199" s="307"/>
      <c r="M199" s="237">
        <f t="shared" si="6"/>
        <v>0</v>
      </c>
      <c r="N199" s="238" t="str">
        <f>_xlfn.IFNA(_xlfn.XLOOKUP(B199,'00_SKU_Master'!$B$2:$B$379,'00_SKU_Master'!$C$2:$C$379,0),"")</f>
        <v>61050F</v>
      </c>
      <c r="O199" s="233" t="str">
        <f>'05_Daily_Orders'!M199</f>
        <v>LCL</v>
      </c>
      <c r="P199" s="239" t="str">
        <f>_xlfn.IFNA(_xlfn.XLOOKUP(B199,'00_SKU_Master'!$B$2:$B$379,'00_SKU_Master'!$E$2:$E$379,""),"")</f>
        <v>BSB</v>
      </c>
      <c r="Q199" s="240">
        <f>_xlfn.IFNA(_xlfn.XLOOKUP(B199,'00_SKU_Master'!$B$2:$B$379,'00_SKU_Master'!$F$2:$F$379,0),0)</f>
        <v>0</v>
      </c>
      <c r="R199" s="253">
        <f t="shared" si="7"/>
        <v>0</v>
      </c>
    </row>
    <row r="200" spans="2:18" x14ac:dyDescent="0.35">
      <c r="B200" s="235">
        <f>'05_Daily_Orders'!C200</f>
        <v>7841</v>
      </c>
      <c r="C200" s="303">
        <v>0</v>
      </c>
      <c r="D200" s="303">
        <v>0</v>
      </c>
      <c r="E200" s="306"/>
      <c r="F200" s="306"/>
      <c r="G200" s="307">
        <v>0</v>
      </c>
      <c r="H200" s="307"/>
      <c r="I200" s="307"/>
      <c r="J200" s="307"/>
      <c r="K200" s="307"/>
      <c r="L200" s="307"/>
      <c r="M200" s="237">
        <f t="shared" si="6"/>
        <v>0</v>
      </c>
      <c r="N200" s="238" t="str">
        <f>_xlfn.IFNA(_xlfn.XLOOKUP(B200,'00_SKU_Master'!$B$2:$B$379,'00_SKU_Master'!$C$2:$C$379,0),"")</f>
        <v>61050F</v>
      </c>
      <c r="O200" s="233" t="str">
        <f>'05_Daily_Orders'!M200</f>
        <v>LCL</v>
      </c>
      <c r="P200" s="239" t="str">
        <f>_xlfn.IFNA(_xlfn.XLOOKUP(B200,'00_SKU_Master'!$B$2:$B$379,'00_SKU_Master'!$E$2:$E$379,""),"")</f>
        <v>BSB</v>
      </c>
      <c r="Q200" s="240">
        <f>_xlfn.IFNA(_xlfn.XLOOKUP(B200,'00_SKU_Master'!$B$2:$B$379,'00_SKU_Master'!$F$2:$F$379,0),0)</f>
        <v>0</v>
      </c>
      <c r="R200" s="253">
        <f t="shared" si="7"/>
        <v>0</v>
      </c>
    </row>
    <row r="201" spans="2:18" x14ac:dyDescent="0.35">
      <c r="B201" s="235">
        <f>'05_Daily_Orders'!C201</f>
        <v>7842</v>
      </c>
      <c r="C201" s="303">
        <v>0</v>
      </c>
      <c r="D201" s="303">
        <v>0</v>
      </c>
      <c r="E201" s="306"/>
      <c r="F201" s="306"/>
      <c r="G201" s="307">
        <v>0</v>
      </c>
      <c r="H201" s="307"/>
      <c r="I201" s="307"/>
      <c r="J201" s="307"/>
      <c r="K201" s="307"/>
      <c r="L201" s="307"/>
      <c r="M201" s="237">
        <f t="shared" si="6"/>
        <v>0</v>
      </c>
      <c r="N201" s="238" t="str">
        <f>_xlfn.IFNA(_xlfn.XLOOKUP(B201,'00_SKU_Master'!$B$2:$B$379,'00_SKU_Master'!$C$2:$C$379,0),"")</f>
        <v>61050F</v>
      </c>
      <c r="O201" s="233" t="str">
        <f>'05_Daily_Orders'!M201</f>
        <v>LCL</v>
      </c>
      <c r="P201" s="239" t="str">
        <f>_xlfn.IFNA(_xlfn.XLOOKUP(B201,'00_SKU_Master'!$B$2:$B$379,'00_SKU_Master'!$E$2:$E$379,""),"")</f>
        <v>BSB</v>
      </c>
      <c r="Q201" s="240">
        <f>_xlfn.IFNA(_xlfn.XLOOKUP(B201,'00_SKU_Master'!$B$2:$B$379,'00_SKU_Master'!$F$2:$F$379,0),0)</f>
        <v>0</v>
      </c>
      <c r="R201" s="253">
        <f t="shared" si="7"/>
        <v>0</v>
      </c>
    </row>
    <row r="202" spans="2:18" x14ac:dyDescent="0.35">
      <c r="B202" s="235">
        <f>'05_Daily_Orders'!C202</f>
        <v>7843</v>
      </c>
      <c r="C202" s="303">
        <v>0</v>
      </c>
      <c r="D202" s="303">
        <v>0</v>
      </c>
      <c r="E202" s="306"/>
      <c r="F202" s="306"/>
      <c r="G202" s="307">
        <v>0</v>
      </c>
      <c r="H202" s="307"/>
      <c r="I202" s="307"/>
      <c r="J202" s="307"/>
      <c r="K202" s="307"/>
      <c r="L202" s="307"/>
      <c r="M202" s="237">
        <f t="shared" si="6"/>
        <v>0</v>
      </c>
      <c r="N202" s="238" t="str">
        <f>_xlfn.IFNA(_xlfn.XLOOKUP(B202,'00_SKU_Master'!$B$2:$B$379,'00_SKU_Master'!$C$2:$C$379,0),"")</f>
        <v>61050#2</v>
      </c>
      <c r="O202" s="233" t="str">
        <f>'05_Daily_Orders'!M202</f>
        <v>LCL</v>
      </c>
      <c r="P202" s="239" t="str">
        <f>_xlfn.IFNA(_xlfn.XLOOKUP(B202,'00_SKU_Master'!$B$2:$B$379,'00_SKU_Master'!$E$2:$E$379,""),"")</f>
        <v>BSB</v>
      </c>
      <c r="Q202" s="240">
        <f>_xlfn.IFNA(_xlfn.XLOOKUP(B202,'00_SKU_Master'!$B$2:$B$379,'00_SKU_Master'!$F$2:$F$379,0),0)</f>
        <v>0</v>
      </c>
      <c r="R202" s="253">
        <f t="shared" si="7"/>
        <v>0</v>
      </c>
    </row>
    <row r="203" spans="2:18" x14ac:dyDescent="0.35">
      <c r="B203" s="235">
        <f>'05_Daily_Orders'!C203</f>
        <v>7851</v>
      </c>
      <c r="C203" s="303">
        <v>2</v>
      </c>
      <c r="D203" s="303">
        <v>0</v>
      </c>
      <c r="E203" s="306"/>
      <c r="F203" s="306"/>
      <c r="G203" s="307">
        <v>170</v>
      </c>
      <c r="H203" s="307"/>
      <c r="I203" s="307"/>
      <c r="J203" s="307"/>
      <c r="K203" s="307"/>
      <c r="L203" s="307"/>
      <c r="M203" s="237">
        <f t="shared" si="6"/>
        <v>168</v>
      </c>
      <c r="N203" s="238">
        <f>_xlfn.IFNA(_xlfn.XLOOKUP(B203,'00_SKU_Master'!$B$2:$B$379,'00_SKU_Master'!$C$2:$C$379,0),"")</f>
        <v>61050</v>
      </c>
      <c r="O203" s="233" t="str">
        <f>'05_Daily_Orders'!M203</f>
        <v>LCL</v>
      </c>
      <c r="P203" s="239" t="str">
        <f>_xlfn.IFNA(_xlfn.XLOOKUP(B203,'00_SKU_Master'!$B$2:$B$379,'00_SKU_Master'!$E$2:$E$379,""),"")</f>
        <v>BSB</v>
      </c>
      <c r="Q203" s="240">
        <f>_xlfn.IFNA(_xlfn.XLOOKUP(B203,'00_SKU_Master'!$B$2:$B$379,'00_SKU_Master'!$F$2:$F$379,0),0)</f>
        <v>5.4179964013547801</v>
      </c>
      <c r="R203" s="253">
        <f t="shared" si="7"/>
        <v>910.22339542760301</v>
      </c>
    </row>
    <row r="204" spans="2:18" x14ac:dyDescent="0.35">
      <c r="B204" s="235">
        <f>'05_Daily_Orders'!C204</f>
        <v>7852</v>
      </c>
      <c r="C204" s="303">
        <v>1</v>
      </c>
      <c r="D204" s="303">
        <v>0</v>
      </c>
      <c r="E204" s="306"/>
      <c r="F204" s="306"/>
      <c r="G204" s="307">
        <v>396</v>
      </c>
      <c r="H204" s="307"/>
      <c r="I204" s="307"/>
      <c r="J204" s="307"/>
      <c r="K204" s="307"/>
      <c r="L204" s="307"/>
      <c r="M204" s="237">
        <f t="shared" si="6"/>
        <v>395</v>
      </c>
      <c r="N204" s="238">
        <f>_xlfn.IFNA(_xlfn.XLOOKUP(B204,'00_SKU_Master'!$B$2:$B$379,'00_SKU_Master'!$C$2:$C$379,0),"")</f>
        <v>61050</v>
      </c>
      <c r="O204" s="233" t="str">
        <f>'05_Daily_Orders'!M204</f>
        <v>LCL</v>
      </c>
      <c r="P204" s="239" t="str">
        <f>_xlfn.IFNA(_xlfn.XLOOKUP(B204,'00_SKU_Master'!$B$2:$B$379,'00_SKU_Master'!$E$2:$E$379,""),"")</f>
        <v>BSB</v>
      </c>
      <c r="Q204" s="240">
        <f>_xlfn.IFNA(_xlfn.XLOOKUP(B204,'00_SKU_Master'!$B$2:$B$379,'00_SKU_Master'!$F$2:$F$379,0),0)</f>
        <v>7.1096843935164697</v>
      </c>
      <c r="R204" s="253">
        <f t="shared" si="7"/>
        <v>2808.3253354390054</v>
      </c>
    </row>
    <row r="205" spans="2:18" x14ac:dyDescent="0.35">
      <c r="B205" s="235">
        <f>'05_Daily_Orders'!C205</f>
        <v>7853</v>
      </c>
      <c r="C205" s="303">
        <v>0</v>
      </c>
      <c r="D205" s="303">
        <v>19</v>
      </c>
      <c r="E205" s="306"/>
      <c r="F205" s="306"/>
      <c r="G205" s="307">
        <v>209</v>
      </c>
      <c r="H205" s="307"/>
      <c r="I205" s="307"/>
      <c r="J205" s="307"/>
      <c r="K205" s="307"/>
      <c r="L205" s="307"/>
      <c r="M205" s="237">
        <f t="shared" si="6"/>
        <v>209</v>
      </c>
      <c r="N205" s="238">
        <f>_xlfn.IFNA(_xlfn.XLOOKUP(B205,'00_SKU_Master'!$B$2:$B$379,'00_SKU_Master'!$C$2:$C$379,0),"")</f>
        <v>61077</v>
      </c>
      <c r="O205" s="233" t="str">
        <f>'05_Daily_Orders'!M205</f>
        <v>LCL</v>
      </c>
      <c r="P205" s="239" t="str">
        <f>_xlfn.IFNA(_xlfn.XLOOKUP(B205,'00_SKU_Master'!$B$2:$B$379,'00_SKU_Master'!$E$2:$E$379,""),"")</f>
        <v>Thigh</v>
      </c>
      <c r="Q205" s="240">
        <f>_xlfn.IFNA(_xlfn.XLOOKUP(B205,'00_SKU_Master'!$B$2:$B$379,'00_SKU_Master'!$F$2:$F$379,0),0)</f>
        <v>6.4518882343575799</v>
      </c>
      <c r="R205" s="253">
        <f t="shared" si="7"/>
        <v>1348.4446409807342</v>
      </c>
    </row>
    <row r="206" spans="2:18" x14ac:dyDescent="0.35">
      <c r="B206" s="235">
        <f>'05_Daily_Orders'!C206</f>
        <v>7854</v>
      </c>
      <c r="C206" s="303">
        <v>0</v>
      </c>
      <c r="D206" s="303">
        <v>0</v>
      </c>
      <c r="E206" s="306"/>
      <c r="F206" s="306"/>
      <c r="G206" s="307">
        <v>174</v>
      </c>
      <c r="H206" s="307"/>
      <c r="I206" s="307"/>
      <c r="J206" s="307"/>
      <c r="K206" s="307"/>
      <c r="L206" s="307"/>
      <c r="M206" s="237">
        <f t="shared" si="6"/>
        <v>174</v>
      </c>
      <c r="N206" s="238" t="str">
        <f>_xlfn.IFNA(_xlfn.XLOOKUP(B206,'00_SKU_Master'!$B$2:$B$379,'00_SKU_Master'!$C$2:$C$379,0),"")</f>
        <v>61072F</v>
      </c>
      <c r="O206" s="233" t="str">
        <f>'05_Daily_Orders'!M206</f>
        <v>LCL</v>
      </c>
      <c r="P206" s="239" t="str">
        <f>_xlfn.IFNA(_xlfn.XLOOKUP(B206,'00_SKU_Master'!$B$2:$B$379,'00_SKU_Master'!$E$2:$E$379,""),"")</f>
        <v>Drum</v>
      </c>
      <c r="Q206" s="240">
        <f>_xlfn.IFNA(_xlfn.XLOOKUP(B206,'00_SKU_Master'!$B$2:$B$379,'00_SKU_Master'!$F$2:$F$379,0),0)</f>
        <v>6.1087076211823996</v>
      </c>
      <c r="R206" s="253">
        <f t="shared" si="7"/>
        <v>1062.9151260857375</v>
      </c>
    </row>
    <row r="207" spans="2:18" x14ac:dyDescent="0.35">
      <c r="B207" s="235">
        <f>'05_Daily_Orders'!C207</f>
        <v>7855</v>
      </c>
      <c r="C207" s="303">
        <v>0</v>
      </c>
      <c r="D207" s="303">
        <v>0</v>
      </c>
      <c r="E207" s="306"/>
      <c r="F207" s="306"/>
      <c r="G207" s="307">
        <v>118</v>
      </c>
      <c r="H207" s="307"/>
      <c r="I207" s="307"/>
      <c r="J207" s="307"/>
      <c r="K207" s="307"/>
      <c r="L207" s="307"/>
      <c r="M207" s="237">
        <f t="shared" si="6"/>
        <v>118</v>
      </c>
      <c r="N207" s="238" t="str">
        <f>_xlfn.IFNA(_xlfn.XLOOKUP(B207,'00_SKU_Master'!$B$2:$B$379,'00_SKU_Master'!$C$2:$C$379,0),"")</f>
        <v>61014F</v>
      </c>
      <c r="O207" s="233" t="str">
        <f>'05_Daily_Orders'!M207</f>
        <v>LCL</v>
      </c>
      <c r="P207" s="239" t="str">
        <f>_xlfn.IFNA(_xlfn.XLOOKUP(B207,'00_SKU_Master'!$B$2:$B$379,'00_SKU_Master'!$E$2:$E$379,""),"")</f>
        <v>SplitWing</v>
      </c>
      <c r="Q207" s="240">
        <f>_xlfn.IFNA(_xlfn.XLOOKUP(B207,'00_SKU_Master'!$B$2:$B$379,'00_SKU_Master'!$F$2:$F$379,0),0)</f>
        <v>6.1274308623793097</v>
      </c>
      <c r="R207" s="253">
        <f t="shared" si="7"/>
        <v>723.03684176075853</v>
      </c>
    </row>
    <row r="208" spans="2:18" x14ac:dyDescent="0.35">
      <c r="B208" s="235">
        <f>'05_Daily_Orders'!C208</f>
        <v>7858</v>
      </c>
      <c r="C208" s="303">
        <v>0</v>
      </c>
      <c r="D208" s="303">
        <v>0</v>
      </c>
      <c r="E208" s="306"/>
      <c r="F208" s="306"/>
      <c r="G208" s="307">
        <v>0</v>
      </c>
      <c r="H208" s="307"/>
      <c r="I208" s="307"/>
      <c r="J208" s="307"/>
      <c r="K208" s="307"/>
      <c r="L208" s="307"/>
      <c r="M208" s="237">
        <f t="shared" si="6"/>
        <v>0</v>
      </c>
      <c r="N208" s="238">
        <f>_xlfn.IFNA(_xlfn.XLOOKUP(B208,'00_SKU_Master'!$B$2:$B$379,'00_SKU_Master'!$C$2:$C$379,0),"")</f>
        <v>61052</v>
      </c>
      <c r="O208" s="233" t="str">
        <f>'05_Daily_Orders'!M208</f>
        <v>LCL</v>
      </c>
      <c r="P208" s="239" t="str">
        <f>_xlfn.IFNA(_xlfn.XLOOKUP(B208,'00_SKU_Master'!$B$2:$B$379,'00_SKU_Master'!$E$2:$E$379,""),"")</f>
        <v>BSB</v>
      </c>
      <c r="Q208" s="240">
        <f>_xlfn.IFNA(_xlfn.XLOOKUP(B208,'00_SKU_Master'!$B$2:$B$379,'00_SKU_Master'!$F$2:$F$379,0),0)</f>
        <v>4.3108975834292202</v>
      </c>
      <c r="R208" s="253">
        <f t="shared" si="7"/>
        <v>0</v>
      </c>
    </row>
    <row r="209" spans="2:18" x14ac:dyDescent="0.35">
      <c r="B209" s="235">
        <f>'05_Daily_Orders'!C209</f>
        <v>7859</v>
      </c>
      <c r="C209" s="303">
        <v>0</v>
      </c>
      <c r="D209" s="303">
        <v>11</v>
      </c>
      <c r="E209" s="306"/>
      <c r="F209" s="306"/>
      <c r="G209" s="307">
        <v>11</v>
      </c>
      <c r="H209" s="307"/>
      <c r="I209" s="307"/>
      <c r="J209" s="307"/>
      <c r="K209" s="307"/>
      <c r="L209" s="307"/>
      <c r="M209" s="237">
        <f t="shared" si="6"/>
        <v>11</v>
      </c>
      <c r="N209" s="238">
        <f>_xlfn.IFNA(_xlfn.XLOOKUP(B209,'00_SKU_Master'!$B$2:$B$379,'00_SKU_Master'!$C$2:$C$379,0),"")</f>
        <v>61054</v>
      </c>
      <c r="O209" s="233" t="str">
        <f>'05_Daily_Orders'!M209</f>
        <v>LCL</v>
      </c>
      <c r="P209" s="239" t="str">
        <f>_xlfn.IFNA(_xlfn.XLOOKUP(B209,'00_SKU_Master'!$B$2:$B$379,'00_SKU_Master'!$E$2:$E$379,""),"")</f>
        <v>Fillet</v>
      </c>
      <c r="Q209" s="240">
        <f>_xlfn.IFNA(_xlfn.XLOOKUP(B209,'00_SKU_Master'!$B$2:$B$379,'00_SKU_Master'!$F$2:$F$379,0),0)</f>
        <v>4.0924554455445499</v>
      </c>
      <c r="R209" s="253">
        <f t="shared" si="7"/>
        <v>45.017009900990047</v>
      </c>
    </row>
    <row r="210" spans="2:18" x14ac:dyDescent="0.35">
      <c r="B210" s="235">
        <f>'05_Daily_Orders'!C210</f>
        <v>7860</v>
      </c>
      <c r="C210" s="303">
        <v>0</v>
      </c>
      <c r="D210" s="303">
        <v>154</v>
      </c>
      <c r="E210" s="306"/>
      <c r="F210" s="306"/>
      <c r="G210" s="307">
        <v>254</v>
      </c>
      <c r="H210" s="307"/>
      <c r="I210" s="307"/>
      <c r="J210" s="307"/>
      <c r="K210" s="307"/>
      <c r="L210" s="307"/>
      <c r="M210" s="237">
        <f t="shared" si="6"/>
        <v>254</v>
      </c>
      <c r="N210" s="238">
        <f>_xlfn.IFNA(_xlfn.XLOOKUP(B210,'00_SKU_Master'!$B$2:$B$379,'00_SKU_Master'!$C$2:$C$379,0),"")</f>
        <v>61086</v>
      </c>
      <c r="O210" s="233" t="str">
        <f>'05_Daily_Orders'!M210</f>
        <v>LCL</v>
      </c>
      <c r="P210" s="239" t="str">
        <f>_xlfn.IFNA(_xlfn.XLOOKUP(B210,'00_SKU_Master'!$B$2:$B$379,'00_SKU_Master'!$E$2:$E$379,""),"")</f>
        <v>ThighMeat</v>
      </c>
      <c r="Q210" s="240">
        <f>_xlfn.IFNA(_xlfn.XLOOKUP(B210,'00_SKU_Master'!$B$2:$B$379,'00_SKU_Master'!$F$2:$F$379,0),0)</f>
        <v>5.7773160073597003</v>
      </c>
      <c r="R210" s="253">
        <f t="shared" si="7"/>
        <v>1467.4382658693639</v>
      </c>
    </row>
    <row r="211" spans="2:18" x14ac:dyDescent="0.35">
      <c r="B211" s="235">
        <f>'05_Daily_Orders'!C211</f>
        <v>7862</v>
      </c>
      <c r="C211" s="303">
        <v>0</v>
      </c>
      <c r="D211" s="303">
        <v>0</v>
      </c>
      <c r="E211" s="306"/>
      <c r="F211" s="306"/>
      <c r="G211" s="307">
        <v>0</v>
      </c>
      <c r="H211" s="307"/>
      <c r="I211" s="307"/>
      <c r="J211" s="307"/>
      <c r="K211" s="307"/>
      <c r="L211" s="307"/>
      <c r="M211" s="237">
        <f t="shared" si="6"/>
        <v>0</v>
      </c>
      <c r="N211" s="238" t="str">
        <f>_xlfn.IFNA(_xlfn.XLOOKUP(B211,'00_SKU_Master'!$B$2:$B$379,'00_SKU_Master'!$C$2:$C$379,0),"")</f>
        <v>61072#2</v>
      </c>
      <c r="O211" s="233" t="str">
        <f>'05_Daily_Orders'!M211</f>
        <v>LCL</v>
      </c>
      <c r="P211" s="239" t="str">
        <f>_xlfn.IFNA(_xlfn.XLOOKUP(B211,'00_SKU_Master'!$B$2:$B$379,'00_SKU_Master'!$E$2:$E$379,""),"")</f>
        <v>Drum</v>
      </c>
      <c r="Q211" s="240">
        <f>_xlfn.IFNA(_xlfn.XLOOKUP(B211,'00_SKU_Master'!$B$2:$B$379,'00_SKU_Master'!$F$2:$F$379,0),0)</f>
        <v>0</v>
      </c>
      <c r="R211" s="253">
        <f t="shared" si="7"/>
        <v>0</v>
      </c>
    </row>
    <row r="212" spans="2:18" x14ac:dyDescent="0.35">
      <c r="B212" s="235">
        <f>'05_Daily_Orders'!C212</f>
        <v>7863</v>
      </c>
      <c r="C212" s="303">
        <v>0</v>
      </c>
      <c r="D212" s="303">
        <v>0</v>
      </c>
      <c r="E212" s="306"/>
      <c r="F212" s="306"/>
      <c r="G212" s="307">
        <v>0</v>
      </c>
      <c r="H212" s="307"/>
      <c r="I212" s="307"/>
      <c r="J212" s="307"/>
      <c r="K212" s="307"/>
      <c r="L212" s="307"/>
      <c r="M212" s="237">
        <f t="shared" si="6"/>
        <v>0</v>
      </c>
      <c r="N212" s="238" t="str">
        <f>_xlfn.IFNA(_xlfn.XLOOKUP(B212,'00_SKU_Master'!$B$2:$B$379,'00_SKU_Master'!$C$2:$C$379,0),"")</f>
        <v>61050#2</v>
      </c>
      <c r="O212" s="233" t="str">
        <f>'05_Daily_Orders'!M212</f>
        <v>LCL</v>
      </c>
      <c r="P212" s="239" t="str">
        <f>_xlfn.IFNA(_xlfn.XLOOKUP(B212,'00_SKU_Master'!$B$2:$B$379,'00_SKU_Master'!$E$2:$E$379,""),"")</f>
        <v>BSB</v>
      </c>
      <c r="Q212" s="240">
        <f>_xlfn.IFNA(_xlfn.XLOOKUP(B212,'00_SKU_Master'!$B$2:$B$379,'00_SKU_Master'!$F$2:$F$379,0),0)</f>
        <v>0</v>
      </c>
      <c r="R212" s="253">
        <f t="shared" si="7"/>
        <v>0</v>
      </c>
    </row>
    <row r="213" spans="2:18" x14ac:dyDescent="0.35">
      <c r="B213" s="235">
        <f>'05_Daily_Orders'!C213</f>
        <v>7864</v>
      </c>
      <c r="C213" s="303">
        <v>0</v>
      </c>
      <c r="D213" s="303">
        <v>0</v>
      </c>
      <c r="E213" s="306"/>
      <c r="F213" s="306"/>
      <c r="G213" s="307">
        <v>0</v>
      </c>
      <c r="H213" s="307"/>
      <c r="I213" s="307"/>
      <c r="J213" s="307"/>
      <c r="K213" s="307"/>
      <c r="L213" s="307"/>
      <c r="M213" s="237">
        <f t="shared" si="6"/>
        <v>0</v>
      </c>
      <c r="N213" s="238">
        <f>_xlfn.IFNA(_xlfn.XLOOKUP(B213,'00_SKU_Master'!$B$2:$B$379,'00_SKU_Master'!$C$2:$C$379,0),"")</f>
        <v>203891</v>
      </c>
      <c r="O213" s="233" t="str">
        <f>'05_Daily_Orders'!M213</f>
        <v>LCL</v>
      </c>
      <c r="P213" s="239" t="str">
        <f>_xlfn.IFNA(_xlfn.XLOOKUP(B213,'00_SKU_Master'!$B$2:$B$379,'00_SKU_Master'!$E$2:$E$379,""),"")</f>
        <v>Whole Bird-Large</v>
      </c>
      <c r="Q213" s="240">
        <f>_xlfn.IFNA(_xlfn.XLOOKUP(B213,'00_SKU_Master'!$B$2:$B$379,'00_SKU_Master'!$F$2:$F$379,0),0)</f>
        <v>0</v>
      </c>
      <c r="R213" s="253">
        <f t="shared" si="7"/>
        <v>0</v>
      </c>
    </row>
    <row r="214" spans="2:18" x14ac:dyDescent="0.35">
      <c r="B214" s="235">
        <f>'05_Daily_Orders'!C214</f>
        <v>7865</v>
      </c>
      <c r="C214" s="303">
        <v>0</v>
      </c>
      <c r="D214" s="303">
        <v>0</v>
      </c>
      <c r="E214" s="306"/>
      <c r="F214" s="306"/>
      <c r="G214" s="307">
        <v>0</v>
      </c>
      <c r="H214" s="307"/>
      <c r="I214" s="307"/>
      <c r="J214" s="307"/>
      <c r="K214" s="307"/>
      <c r="L214" s="307"/>
      <c r="M214" s="237">
        <f t="shared" si="6"/>
        <v>0</v>
      </c>
      <c r="N214" s="238">
        <f>_xlfn.IFNA(_xlfn.XLOOKUP(B214,'00_SKU_Master'!$B$2:$B$379,'00_SKU_Master'!$C$2:$C$379,0),"")</f>
        <v>61082</v>
      </c>
      <c r="O214" s="233" t="str">
        <f>'05_Daily_Orders'!M214</f>
        <v>LCL</v>
      </c>
      <c r="P214" s="239" t="str">
        <f>_xlfn.IFNA(_xlfn.XLOOKUP(B214,'00_SKU_Master'!$B$2:$B$379,'00_SKU_Master'!$E$2:$E$379,""),"")</f>
        <v>Thigh</v>
      </c>
      <c r="Q214" s="240">
        <f>_xlfn.IFNA(_xlfn.XLOOKUP(B214,'00_SKU_Master'!$B$2:$B$379,'00_SKU_Master'!$F$2:$F$379,0),0)</f>
        <v>0</v>
      </c>
      <c r="R214" s="253">
        <f t="shared" si="7"/>
        <v>0</v>
      </c>
    </row>
    <row r="215" spans="2:18" x14ac:dyDescent="0.35">
      <c r="B215" s="235">
        <f>'05_Daily_Orders'!C215</f>
        <v>7866</v>
      </c>
      <c r="C215" s="303">
        <v>0</v>
      </c>
      <c r="D215" s="303">
        <v>0</v>
      </c>
      <c r="E215" s="306"/>
      <c r="F215" s="306"/>
      <c r="G215" s="307">
        <v>0</v>
      </c>
      <c r="H215" s="307"/>
      <c r="I215" s="307"/>
      <c r="J215" s="307"/>
      <c r="K215" s="307"/>
      <c r="L215" s="307"/>
      <c r="M215" s="237">
        <f t="shared" si="6"/>
        <v>0</v>
      </c>
      <c r="N215" s="238">
        <f>_xlfn.IFNA(_xlfn.XLOOKUP(B215,'00_SKU_Master'!$B$2:$B$379,'00_SKU_Master'!$C$2:$C$379,0),"")</f>
        <v>61061</v>
      </c>
      <c r="O215" s="233" t="str">
        <f>'05_Daily_Orders'!M215</f>
        <v>LCL</v>
      </c>
      <c r="P215" s="239" t="str">
        <f>_xlfn.IFNA(_xlfn.XLOOKUP(B215,'00_SKU_Master'!$B$2:$B$379,'00_SKU_Master'!$E$2:$E$379,""),"")</f>
        <v>BA</v>
      </c>
      <c r="Q215" s="240">
        <f>_xlfn.IFNA(_xlfn.XLOOKUP(B215,'00_SKU_Master'!$B$2:$B$379,'00_SKU_Master'!$F$2:$F$379,0),0)</f>
        <v>0</v>
      </c>
      <c r="R215" s="253">
        <f t="shared" si="7"/>
        <v>0</v>
      </c>
    </row>
    <row r="216" spans="2:18" x14ac:dyDescent="0.35">
      <c r="B216" s="235">
        <f>'05_Daily_Orders'!C216</f>
        <v>7867</v>
      </c>
      <c r="C216" s="303">
        <v>0</v>
      </c>
      <c r="D216" s="303">
        <v>0</v>
      </c>
      <c r="E216" s="306"/>
      <c r="F216" s="306"/>
      <c r="G216" s="307">
        <v>0</v>
      </c>
      <c r="H216" s="307"/>
      <c r="I216" s="307"/>
      <c r="J216" s="307"/>
      <c r="K216" s="307"/>
      <c r="L216" s="307"/>
      <c r="M216" s="237">
        <f t="shared" si="6"/>
        <v>0</v>
      </c>
      <c r="N216" s="238" t="str">
        <f>_xlfn.IFNA(_xlfn.XLOOKUP(B216,'00_SKU_Master'!$B$2:$B$379,'00_SKU_Master'!$C$2:$C$379,0),"")</f>
        <v>61086#2</v>
      </c>
      <c r="O216" s="233" t="str">
        <f>'05_Daily_Orders'!M216</f>
        <v>LCL</v>
      </c>
      <c r="P216" s="239" t="str">
        <f>_xlfn.IFNA(_xlfn.XLOOKUP(B216,'00_SKU_Master'!$B$2:$B$379,'00_SKU_Master'!$E$2:$E$379,""),"")</f>
        <v>ThighMeat</v>
      </c>
      <c r="Q216" s="240">
        <f>_xlfn.IFNA(_xlfn.XLOOKUP(B216,'00_SKU_Master'!$B$2:$B$379,'00_SKU_Master'!$F$2:$F$379,0),0)</f>
        <v>0</v>
      </c>
      <c r="R216" s="253">
        <f t="shared" si="7"/>
        <v>0</v>
      </c>
    </row>
    <row r="217" spans="2:18" x14ac:dyDescent="0.35">
      <c r="B217" s="235">
        <f>'05_Daily_Orders'!C217</f>
        <v>7868</v>
      </c>
      <c r="C217" s="303">
        <v>0</v>
      </c>
      <c r="D217" s="303">
        <v>0</v>
      </c>
      <c r="E217" s="306"/>
      <c r="F217" s="306"/>
      <c r="G217" s="307">
        <v>0</v>
      </c>
      <c r="H217" s="307"/>
      <c r="I217" s="307"/>
      <c r="J217" s="307"/>
      <c r="K217" s="307"/>
      <c r="L217" s="307"/>
      <c r="M217" s="237">
        <f t="shared" si="6"/>
        <v>0</v>
      </c>
      <c r="N217" s="238">
        <f>_xlfn.IFNA(_xlfn.XLOOKUP(B217,'00_SKU_Master'!$B$2:$B$379,'00_SKU_Master'!$C$2:$C$379,0),"")</f>
        <v>61064</v>
      </c>
      <c r="O217" s="233" t="str">
        <f>'05_Daily_Orders'!M217</f>
        <v>LCL</v>
      </c>
      <c r="P217" s="239" t="str">
        <f>_xlfn.IFNA(_xlfn.XLOOKUP(B217,'00_SKU_Master'!$B$2:$B$379,'00_SKU_Master'!$E$2:$E$379,""),"")</f>
        <v>BSB</v>
      </c>
      <c r="Q217" s="240">
        <f>_xlfn.IFNA(_xlfn.XLOOKUP(B217,'00_SKU_Master'!$B$2:$B$379,'00_SKU_Master'!$F$2:$F$379,0),0)</f>
        <v>3.73</v>
      </c>
      <c r="R217" s="253">
        <f t="shared" si="7"/>
        <v>0</v>
      </c>
    </row>
    <row r="218" spans="2:18" x14ac:dyDescent="0.35">
      <c r="B218" s="235">
        <f>'05_Daily_Orders'!C218</f>
        <v>7869</v>
      </c>
      <c r="C218" s="303">
        <v>0</v>
      </c>
      <c r="D218" s="303">
        <v>6</v>
      </c>
      <c r="E218" s="306"/>
      <c r="F218" s="306"/>
      <c r="G218" s="307">
        <v>31</v>
      </c>
      <c r="H218" s="307"/>
      <c r="I218" s="307"/>
      <c r="J218" s="307"/>
      <c r="K218" s="307"/>
      <c r="L218" s="307"/>
      <c r="M218" s="237">
        <f t="shared" si="6"/>
        <v>31</v>
      </c>
      <c r="N218" s="238">
        <f>_xlfn.IFNA(_xlfn.XLOOKUP(B218,'00_SKU_Master'!$B$2:$B$379,'00_SKU_Master'!$C$2:$C$379,0),"")</f>
        <v>61064</v>
      </c>
      <c r="O218" s="233" t="str">
        <f>'05_Daily_Orders'!M218</f>
        <v>LCL</v>
      </c>
      <c r="P218" s="239" t="str">
        <f>_xlfn.IFNA(_xlfn.XLOOKUP(B218,'00_SKU_Master'!$B$2:$B$379,'00_SKU_Master'!$E$2:$E$379,""),"")</f>
        <v>BSB</v>
      </c>
      <c r="Q218" s="240">
        <f>_xlfn.IFNA(_xlfn.XLOOKUP(B218,'00_SKU_Master'!$B$2:$B$379,'00_SKU_Master'!$F$2:$F$379,0),0)</f>
        <v>3.73</v>
      </c>
      <c r="R218" s="253">
        <f t="shared" si="7"/>
        <v>115.63</v>
      </c>
    </row>
    <row r="219" spans="2:18" x14ac:dyDescent="0.35">
      <c r="B219" s="235">
        <f>'05_Daily_Orders'!C219</f>
        <v>7912</v>
      </c>
      <c r="C219" s="303">
        <v>0</v>
      </c>
      <c r="D219" s="303">
        <v>0</v>
      </c>
      <c r="E219" s="306"/>
      <c r="F219" s="306"/>
      <c r="G219" s="307">
        <v>0</v>
      </c>
      <c r="H219" s="307"/>
      <c r="I219" s="307"/>
      <c r="J219" s="307"/>
      <c r="K219" s="307"/>
      <c r="L219" s="307"/>
      <c r="M219" s="237">
        <f t="shared" si="6"/>
        <v>0</v>
      </c>
      <c r="N219" s="238" t="str">
        <f>_xlfn.IFNA(_xlfn.XLOOKUP(B219,'00_SKU_Master'!$B$2:$B$379,'00_SKU_Master'!$C$2:$C$379,0),"")</f>
        <v>61040#2</v>
      </c>
      <c r="O219" s="233" t="str">
        <f>'05_Daily_Orders'!M219</f>
        <v>FB</v>
      </c>
      <c r="P219" s="239" t="str">
        <f>_xlfn.IFNA(_xlfn.XLOOKUP(B219,'00_SKU_Master'!$B$2:$B$379,'00_SKU_Master'!$E$2:$E$379,""),"")</f>
        <v>SplitBreast</v>
      </c>
      <c r="Q219" s="240">
        <f>_xlfn.IFNA(_xlfn.XLOOKUP(B219,'00_SKU_Master'!$B$2:$B$379,'00_SKU_Master'!$F$2:$F$379,0),0)</f>
        <v>0</v>
      </c>
      <c r="R219" s="253">
        <f t="shared" si="7"/>
        <v>0</v>
      </c>
    </row>
    <row r="220" spans="2:18" x14ac:dyDescent="0.35">
      <c r="B220" s="235">
        <f>'05_Daily_Orders'!C220</f>
        <v>7939</v>
      </c>
      <c r="C220" s="303">
        <v>0</v>
      </c>
      <c r="D220" s="303">
        <v>0</v>
      </c>
      <c r="E220" s="306"/>
      <c r="F220" s="306"/>
      <c r="G220" s="307">
        <v>0</v>
      </c>
      <c r="H220" s="307"/>
      <c r="I220" s="307"/>
      <c r="J220" s="307"/>
      <c r="K220" s="307"/>
      <c r="L220" s="307"/>
      <c r="M220" s="237">
        <f t="shared" si="6"/>
        <v>0</v>
      </c>
      <c r="N220" s="238">
        <f>_xlfn.IFNA(_xlfn.XLOOKUP(B220,'00_SKU_Master'!$B$2:$B$379,'00_SKU_Master'!$C$2:$C$379,0),"")</f>
        <v>61010</v>
      </c>
      <c r="O220" s="233" t="str">
        <f>'05_Daily_Orders'!M220</f>
        <v>FB</v>
      </c>
      <c r="P220" s="239" t="str">
        <f>_xlfn.IFNA(_xlfn.XLOOKUP(B220,'00_SKU_Master'!$B$2:$B$379,'00_SKU_Master'!$E$2:$E$379,""),"")</f>
        <v>Wing</v>
      </c>
      <c r="Q220" s="240">
        <f>_xlfn.IFNA(_xlfn.XLOOKUP(B220,'00_SKU_Master'!$B$2:$B$379,'00_SKU_Master'!$F$2:$F$379,0),0)</f>
        <v>0</v>
      </c>
      <c r="R220" s="253">
        <f t="shared" si="7"/>
        <v>0</v>
      </c>
    </row>
    <row r="221" spans="2:18" x14ac:dyDescent="0.35">
      <c r="B221" s="235">
        <f>'05_Daily_Orders'!C221</f>
        <v>7976</v>
      </c>
      <c r="C221" s="303">
        <v>0</v>
      </c>
      <c r="D221" s="303">
        <v>0</v>
      </c>
      <c r="E221" s="306"/>
      <c r="F221" s="306"/>
      <c r="G221" s="307">
        <v>0</v>
      </c>
      <c r="H221" s="307"/>
      <c r="I221" s="307"/>
      <c r="J221" s="307"/>
      <c r="K221" s="307"/>
      <c r="L221" s="307"/>
      <c r="M221" s="237">
        <f t="shared" si="6"/>
        <v>0</v>
      </c>
      <c r="N221" s="238">
        <f>_xlfn.IFNA(_xlfn.XLOOKUP(B221,'00_SKU_Master'!$B$2:$B$379,'00_SKU_Master'!$C$2:$C$379,0),"")</f>
        <v>61061</v>
      </c>
      <c r="O221" s="233" t="str">
        <f>'05_Daily_Orders'!M221</f>
        <v>FB</v>
      </c>
      <c r="P221" s="239" t="str">
        <f>_xlfn.IFNA(_xlfn.XLOOKUP(B221,'00_SKU_Master'!$B$2:$B$379,'00_SKU_Master'!$E$2:$E$379,""),"")</f>
        <v>BA</v>
      </c>
      <c r="Q221" s="240">
        <f>_xlfn.IFNA(_xlfn.XLOOKUP(B221,'00_SKU_Master'!$B$2:$B$379,'00_SKU_Master'!$F$2:$F$379,0),0)</f>
        <v>0</v>
      </c>
      <c r="R221" s="253">
        <f t="shared" si="7"/>
        <v>0</v>
      </c>
    </row>
    <row r="222" spans="2:18" x14ac:dyDescent="0.35">
      <c r="B222" s="235">
        <f>'05_Daily_Orders'!C222</f>
        <v>7978</v>
      </c>
      <c r="C222" s="303">
        <v>0</v>
      </c>
      <c r="D222" s="303">
        <v>0</v>
      </c>
      <c r="E222" s="306"/>
      <c r="F222" s="306"/>
      <c r="G222" s="307">
        <v>0</v>
      </c>
      <c r="H222" s="307"/>
      <c r="I222" s="307"/>
      <c r="J222" s="307"/>
      <c r="K222" s="307"/>
      <c r="L222" s="307"/>
      <c r="M222" s="237">
        <f t="shared" si="6"/>
        <v>0</v>
      </c>
      <c r="N222" s="238" t="str">
        <f>_xlfn.IFNA(_xlfn.XLOOKUP(B222,'00_SKU_Master'!$B$2:$B$379,'00_SKU_Master'!$C$2:$C$379,0),"")</f>
        <v>61050#2</v>
      </c>
      <c r="O222" s="233" t="str">
        <f>'05_Daily_Orders'!M222</f>
        <v>FB</v>
      </c>
      <c r="P222" s="239" t="str">
        <f>_xlfn.IFNA(_xlfn.XLOOKUP(B222,'00_SKU_Master'!$B$2:$B$379,'00_SKU_Master'!$E$2:$E$379,""),"")</f>
        <v>BSB</v>
      </c>
      <c r="Q222" s="240">
        <f>_xlfn.IFNA(_xlfn.XLOOKUP(B222,'00_SKU_Master'!$B$2:$B$379,'00_SKU_Master'!$F$2:$F$379,0),0)</f>
        <v>0</v>
      </c>
      <c r="R222" s="253">
        <f t="shared" si="7"/>
        <v>0</v>
      </c>
    </row>
    <row r="223" spans="2:18" x14ac:dyDescent="0.35">
      <c r="B223" s="235">
        <f>'05_Daily_Orders'!C223</f>
        <v>7979</v>
      </c>
      <c r="C223" s="303">
        <v>0</v>
      </c>
      <c r="D223" s="303">
        <v>0</v>
      </c>
      <c r="E223" s="306"/>
      <c r="F223" s="306"/>
      <c r="G223" s="307">
        <v>0</v>
      </c>
      <c r="H223" s="307"/>
      <c r="I223" s="307"/>
      <c r="J223" s="307"/>
      <c r="K223" s="307"/>
      <c r="L223" s="307"/>
      <c r="M223" s="237">
        <f t="shared" si="6"/>
        <v>0</v>
      </c>
      <c r="N223" s="238" t="str">
        <f>_xlfn.IFNA(_xlfn.XLOOKUP(B223,'00_SKU_Master'!$B$2:$B$379,'00_SKU_Master'!$C$2:$C$379,0),"")</f>
        <v>61050#2</v>
      </c>
      <c r="O223" s="233" t="str">
        <f>'05_Daily_Orders'!M223</f>
        <v>FB</v>
      </c>
      <c r="P223" s="239" t="str">
        <f>_xlfn.IFNA(_xlfn.XLOOKUP(B223,'00_SKU_Master'!$B$2:$B$379,'00_SKU_Master'!$E$2:$E$379,""),"")</f>
        <v>BSB</v>
      </c>
      <c r="Q223" s="240">
        <f>_xlfn.IFNA(_xlfn.XLOOKUP(B223,'00_SKU_Master'!$B$2:$B$379,'00_SKU_Master'!$F$2:$F$379,0),0)</f>
        <v>0</v>
      </c>
      <c r="R223" s="253">
        <f t="shared" si="7"/>
        <v>0</v>
      </c>
    </row>
    <row r="224" spans="2:18" x14ac:dyDescent="0.35">
      <c r="B224" s="235">
        <f>'05_Daily_Orders'!C224</f>
        <v>200168</v>
      </c>
      <c r="C224" s="303">
        <v>0</v>
      </c>
      <c r="D224" s="303">
        <v>305</v>
      </c>
      <c r="E224" s="306"/>
      <c r="F224" s="306"/>
      <c r="G224" s="307">
        <v>375</v>
      </c>
      <c r="H224" s="307"/>
      <c r="I224" s="307"/>
      <c r="J224" s="307"/>
      <c r="K224" s="307"/>
      <c r="L224" s="307"/>
      <c r="M224" s="237">
        <f t="shared" si="6"/>
        <v>375</v>
      </c>
      <c r="N224" s="238">
        <f>_xlfn.IFNA(_xlfn.XLOOKUP(B224,'00_SKU_Master'!$B$2:$B$379,'00_SKU_Master'!$C$2:$C$379,0),"")</f>
        <v>61061</v>
      </c>
      <c r="O224" s="233" t="str">
        <f>'05_Daily_Orders'!M224</f>
        <v>FB</v>
      </c>
      <c r="P224" s="239" t="str">
        <f>_xlfn.IFNA(_xlfn.XLOOKUP(B224,'00_SKU_Master'!$B$2:$B$379,'00_SKU_Master'!$E$2:$E$379,""),"")</f>
        <v>BA</v>
      </c>
      <c r="Q224" s="240">
        <f>_xlfn.IFNA(_xlfn.XLOOKUP(B224,'00_SKU_Master'!$B$2:$B$379,'00_SKU_Master'!$F$2:$F$379,0),0)</f>
        <v>9.1657597549607104</v>
      </c>
      <c r="R224" s="253">
        <f t="shared" si="7"/>
        <v>3437.1599081102663</v>
      </c>
    </row>
    <row r="225" spans="2:18" x14ac:dyDescent="0.35">
      <c r="B225" s="235">
        <f>'05_Daily_Orders'!C225</f>
        <v>200703</v>
      </c>
      <c r="C225" s="303">
        <v>0</v>
      </c>
      <c r="D225" s="303">
        <v>1</v>
      </c>
      <c r="E225" s="306"/>
      <c r="F225" s="306"/>
      <c r="G225" s="307">
        <v>55</v>
      </c>
      <c r="H225" s="307"/>
      <c r="I225" s="307"/>
      <c r="J225" s="307"/>
      <c r="K225" s="307"/>
      <c r="L225" s="307"/>
      <c r="M225" s="237">
        <f t="shared" si="6"/>
        <v>55</v>
      </c>
      <c r="N225" s="238" t="str">
        <f>_xlfn.IFNA(_xlfn.XLOOKUP(B225,'00_SKU_Master'!$B$2:$B$379,'00_SKU_Master'!$C$2:$C$379,0),"")</f>
        <v>61050F</v>
      </c>
      <c r="O225" s="233" t="str">
        <f>'05_Daily_Orders'!M225</f>
        <v>FB</v>
      </c>
      <c r="P225" s="239" t="str">
        <f>_xlfn.IFNA(_xlfn.XLOOKUP(B225,'00_SKU_Master'!$B$2:$B$379,'00_SKU_Master'!$E$2:$E$379,""),"")</f>
        <v>BSB</v>
      </c>
      <c r="Q225" s="240">
        <f>_xlfn.IFNA(_xlfn.XLOOKUP(B225,'00_SKU_Master'!$B$2:$B$379,'00_SKU_Master'!$F$2:$F$379,0),0)</f>
        <v>3.6839776525642201</v>
      </c>
      <c r="R225" s="253">
        <f t="shared" si="7"/>
        <v>202.61877089103211</v>
      </c>
    </row>
    <row r="226" spans="2:18" x14ac:dyDescent="0.35">
      <c r="B226" s="235">
        <f>'05_Daily_Orders'!C226</f>
        <v>200704</v>
      </c>
      <c r="C226" s="303">
        <v>0</v>
      </c>
      <c r="D226" s="303">
        <v>105</v>
      </c>
      <c r="E226" s="306"/>
      <c r="F226" s="306"/>
      <c r="G226" s="307">
        <v>86</v>
      </c>
      <c r="H226" s="307"/>
      <c r="I226" s="307"/>
      <c r="J226" s="307"/>
      <c r="K226" s="307"/>
      <c r="L226" s="307"/>
      <c r="M226" s="237">
        <f t="shared" si="6"/>
        <v>86</v>
      </c>
      <c r="N226" s="238">
        <f>_xlfn.IFNA(_xlfn.XLOOKUP(B226,'00_SKU_Master'!$B$2:$B$379,'00_SKU_Master'!$C$2:$C$379,0),"")</f>
        <v>203021</v>
      </c>
      <c r="O226" s="233" t="str">
        <f>'05_Daily_Orders'!M226</f>
        <v>FB</v>
      </c>
      <c r="P226" s="239" t="str">
        <f>_xlfn.IFNA(_xlfn.XLOOKUP(B226,'00_SKU_Master'!$B$2:$B$379,'00_SKU_Master'!$E$2:$E$379,""),"")</f>
        <v>Whole Bird-Small</v>
      </c>
      <c r="Q226" s="240">
        <f>_xlfn.IFNA(_xlfn.XLOOKUP(B226,'00_SKU_Master'!$B$2:$B$379,'00_SKU_Master'!$F$2:$F$379,0),0)</f>
        <v>8.6019644137391609</v>
      </c>
      <c r="R226" s="253">
        <f t="shared" si="7"/>
        <v>739.76893958156779</v>
      </c>
    </row>
    <row r="227" spans="2:18" x14ac:dyDescent="0.35">
      <c r="B227" s="235">
        <f>'05_Daily_Orders'!C227</f>
        <v>200705</v>
      </c>
      <c r="C227" s="303">
        <v>2</v>
      </c>
      <c r="D227" s="303">
        <v>0</v>
      </c>
      <c r="E227" s="306"/>
      <c r="F227" s="306"/>
      <c r="G227" s="307">
        <v>12</v>
      </c>
      <c r="H227" s="307"/>
      <c r="I227" s="307"/>
      <c r="J227" s="307"/>
      <c r="K227" s="307"/>
      <c r="L227" s="307"/>
      <c r="M227" s="237">
        <f t="shared" si="6"/>
        <v>10</v>
      </c>
      <c r="N227" s="238">
        <f>_xlfn.IFNA(_xlfn.XLOOKUP(B227,'00_SKU_Master'!$B$2:$B$379,'00_SKU_Master'!$C$2:$C$379,0),"")</f>
        <v>61072</v>
      </c>
      <c r="O227" s="233" t="str">
        <f>'05_Daily_Orders'!M227</f>
        <v>FB</v>
      </c>
      <c r="P227" s="239" t="str">
        <f>_xlfn.IFNA(_xlfn.XLOOKUP(B227,'00_SKU_Master'!$B$2:$B$379,'00_SKU_Master'!$E$2:$E$379,""),"")</f>
        <v>Drum</v>
      </c>
      <c r="Q227" s="240">
        <f>_xlfn.IFNA(_xlfn.XLOOKUP(B227,'00_SKU_Master'!$B$2:$B$379,'00_SKU_Master'!$F$2:$F$379,0),0)</f>
        <v>3.84381518404907</v>
      </c>
      <c r="R227" s="253">
        <f t="shared" si="7"/>
        <v>38.438151840490697</v>
      </c>
    </row>
    <row r="228" spans="2:18" x14ac:dyDescent="0.35">
      <c r="B228" s="235">
        <f>'05_Daily_Orders'!C228</f>
        <v>200706</v>
      </c>
      <c r="C228" s="303">
        <v>0</v>
      </c>
      <c r="D228" s="303">
        <v>6</v>
      </c>
      <c r="E228" s="306"/>
      <c r="F228" s="306"/>
      <c r="G228" s="307">
        <v>42</v>
      </c>
      <c r="H228" s="307"/>
      <c r="I228" s="307"/>
      <c r="J228" s="307"/>
      <c r="K228" s="307"/>
      <c r="L228" s="307"/>
      <c r="M228" s="237">
        <f t="shared" si="6"/>
        <v>42</v>
      </c>
      <c r="N228" s="238" t="str">
        <f>_xlfn.IFNA(_xlfn.XLOOKUP(B228,'00_SKU_Master'!$B$2:$B$379,'00_SKU_Master'!$C$2:$C$379,0),"")</f>
        <v>61086F</v>
      </c>
      <c r="O228" s="233" t="str">
        <f>'05_Daily_Orders'!M228</f>
        <v>FB</v>
      </c>
      <c r="P228" s="239" t="str">
        <f>_xlfn.IFNA(_xlfn.XLOOKUP(B228,'00_SKU_Master'!$B$2:$B$379,'00_SKU_Master'!$E$2:$E$379,""),"")</f>
        <v>ThighMeat</v>
      </c>
      <c r="Q228" s="240">
        <f>_xlfn.IFNA(_xlfn.XLOOKUP(B228,'00_SKU_Master'!$B$2:$B$379,'00_SKU_Master'!$F$2:$F$379,0),0)</f>
        <v>4.13464986498649</v>
      </c>
      <c r="R228" s="253">
        <f t="shared" si="7"/>
        <v>173.65529432943259</v>
      </c>
    </row>
    <row r="229" spans="2:18" x14ac:dyDescent="0.35">
      <c r="B229" s="235">
        <f>'05_Daily_Orders'!C229</f>
        <v>200707</v>
      </c>
      <c r="C229" s="303">
        <v>0</v>
      </c>
      <c r="D229" s="303">
        <v>25</v>
      </c>
      <c r="E229" s="306"/>
      <c r="F229" s="306"/>
      <c r="G229" s="307">
        <v>13</v>
      </c>
      <c r="H229" s="307"/>
      <c r="I229" s="307"/>
      <c r="J229" s="307"/>
      <c r="K229" s="307"/>
      <c r="L229" s="307"/>
      <c r="M229" s="237">
        <f t="shared" si="6"/>
        <v>13</v>
      </c>
      <c r="N229" s="238">
        <f>_xlfn.IFNA(_xlfn.XLOOKUP(B229,'00_SKU_Master'!$B$2:$B$379,'00_SKU_Master'!$C$2:$C$379,0),"")</f>
        <v>61077</v>
      </c>
      <c r="O229" s="233" t="str">
        <f>'05_Daily_Orders'!M229</f>
        <v>FB</v>
      </c>
      <c r="P229" s="239" t="str">
        <f>_xlfn.IFNA(_xlfn.XLOOKUP(B229,'00_SKU_Master'!$B$2:$B$379,'00_SKU_Master'!$E$2:$E$379,""),"")</f>
        <v>Thigh</v>
      </c>
      <c r="Q229" s="240">
        <f>_xlfn.IFNA(_xlfn.XLOOKUP(B229,'00_SKU_Master'!$B$2:$B$379,'00_SKU_Master'!$F$2:$F$379,0),0)</f>
        <v>4.2676022972002796</v>
      </c>
      <c r="R229" s="253">
        <f t="shared" si="7"/>
        <v>55.478829863603636</v>
      </c>
    </row>
    <row r="230" spans="2:18" x14ac:dyDescent="0.35">
      <c r="B230" s="235">
        <f>'05_Daily_Orders'!C230</f>
        <v>200708</v>
      </c>
      <c r="C230" s="303">
        <v>0</v>
      </c>
      <c r="D230" s="303">
        <v>0</v>
      </c>
      <c r="E230" s="306"/>
      <c r="F230" s="306"/>
      <c r="G230" s="307">
        <v>0</v>
      </c>
      <c r="H230" s="307"/>
      <c r="I230" s="307"/>
      <c r="J230" s="307"/>
      <c r="K230" s="307"/>
      <c r="L230" s="307"/>
      <c r="M230" s="237">
        <f t="shared" si="6"/>
        <v>0</v>
      </c>
      <c r="N230" s="238">
        <f>_xlfn.IFNA(_xlfn.XLOOKUP(B230,'00_SKU_Master'!$B$2:$B$379,'00_SKU_Master'!$C$2:$C$379,0),"")</f>
        <v>61014</v>
      </c>
      <c r="O230" s="233" t="str">
        <f>'05_Daily_Orders'!M230</f>
        <v>FB</v>
      </c>
      <c r="P230" s="239" t="str">
        <f>_xlfn.IFNA(_xlfn.XLOOKUP(B230,'00_SKU_Master'!$B$2:$B$379,'00_SKU_Master'!$E$2:$E$379,""),"")</f>
        <v>SplitWing</v>
      </c>
      <c r="Q230" s="240">
        <f>_xlfn.IFNA(_xlfn.XLOOKUP(B230,'00_SKU_Master'!$B$2:$B$379,'00_SKU_Master'!$F$2:$F$379,0),0)</f>
        <v>0</v>
      </c>
      <c r="R230" s="253">
        <f t="shared" si="7"/>
        <v>0</v>
      </c>
    </row>
    <row r="231" spans="2:18" x14ac:dyDescent="0.35">
      <c r="B231" s="235">
        <f>'05_Daily_Orders'!C231</f>
        <v>200709</v>
      </c>
      <c r="C231" s="303">
        <v>0</v>
      </c>
      <c r="D231" s="303">
        <v>2</v>
      </c>
      <c r="E231" s="306"/>
      <c r="F231" s="306"/>
      <c r="G231" s="307">
        <v>175</v>
      </c>
      <c r="H231" s="307"/>
      <c r="I231" s="307"/>
      <c r="J231" s="307"/>
      <c r="K231" s="307"/>
      <c r="L231" s="307"/>
      <c r="M231" s="237">
        <f t="shared" si="6"/>
        <v>175</v>
      </c>
      <c r="N231" s="238" t="str">
        <f>_xlfn.IFNA(_xlfn.XLOOKUP(B231,'00_SKU_Master'!$B$2:$B$379,'00_SKU_Master'!$C$2:$C$379,0),"")</f>
        <v>61050F</v>
      </c>
      <c r="O231" s="233" t="str">
        <f>'05_Daily_Orders'!M231</f>
        <v>METRO</v>
      </c>
      <c r="P231" s="239" t="str">
        <f>_xlfn.IFNA(_xlfn.XLOOKUP(B231,'00_SKU_Master'!$B$2:$B$379,'00_SKU_Master'!$E$2:$E$379,""),"")</f>
        <v>BSB</v>
      </c>
      <c r="Q231" s="240">
        <f>_xlfn.IFNA(_xlfn.XLOOKUP(B231,'00_SKU_Master'!$B$2:$B$379,'00_SKU_Master'!$F$2:$F$379,0),0)</f>
        <v>3.7843751633303699</v>
      </c>
      <c r="R231" s="253">
        <f t="shared" si="7"/>
        <v>662.26565358281471</v>
      </c>
    </row>
    <row r="232" spans="2:18" x14ac:dyDescent="0.35">
      <c r="B232" s="235">
        <f>'05_Daily_Orders'!C232</f>
        <v>200710</v>
      </c>
      <c r="C232" s="303">
        <v>0</v>
      </c>
      <c r="D232" s="303">
        <v>50</v>
      </c>
      <c r="E232" s="306"/>
      <c r="F232" s="306"/>
      <c r="G232" s="307">
        <v>50</v>
      </c>
      <c r="H232" s="307"/>
      <c r="I232" s="307"/>
      <c r="J232" s="307"/>
      <c r="K232" s="307"/>
      <c r="L232" s="307"/>
      <c r="M232" s="237">
        <f t="shared" si="6"/>
        <v>50</v>
      </c>
      <c r="N232" s="238">
        <f>_xlfn.IFNA(_xlfn.XLOOKUP(B232,'00_SKU_Master'!$B$2:$B$379,'00_SKU_Master'!$C$2:$C$379,0),"")</f>
        <v>203021</v>
      </c>
      <c r="O232" s="233" t="str">
        <f>'05_Daily_Orders'!M232</f>
        <v>METRO</v>
      </c>
      <c r="P232" s="239" t="str">
        <f>_xlfn.IFNA(_xlfn.XLOOKUP(B232,'00_SKU_Master'!$B$2:$B$379,'00_SKU_Master'!$E$2:$E$379,""),"")</f>
        <v>Whole Bird-Small</v>
      </c>
      <c r="Q232" s="240">
        <f>_xlfn.IFNA(_xlfn.XLOOKUP(B232,'00_SKU_Master'!$B$2:$B$379,'00_SKU_Master'!$F$2:$F$379,0),0)</f>
        <v>8.5554342813220607</v>
      </c>
      <c r="R232" s="253">
        <f t="shared" si="7"/>
        <v>427.77171406610302</v>
      </c>
    </row>
    <row r="233" spans="2:18" x14ac:dyDescent="0.35">
      <c r="B233" s="235">
        <f>'05_Daily_Orders'!C233</f>
        <v>200711</v>
      </c>
      <c r="C233" s="303">
        <v>0</v>
      </c>
      <c r="D233" s="303">
        <v>0</v>
      </c>
      <c r="E233" s="306"/>
      <c r="F233" s="306"/>
      <c r="G233" s="307">
        <v>60</v>
      </c>
      <c r="H233" s="307"/>
      <c r="I233" s="307"/>
      <c r="J233" s="307"/>
      <c r="K233" s="307"/>
      <c r="L233" s="307"/>
      <c r="M233" s="237">
        <f t="shared" si="6"/>
        <v>60</v>
      </c>
      <c r="N233" s="238">
        <f>_xlfn.IFNA(_xlfn.XLOOKUP(B233,'00_SKU_Master'!$B$2:$B$379,'00_SKU_Master'!$C$2:$C$379,0),"")</f>
        <v>61072</v>
      </c>
      <c r="O233" s="233" t="str">
        <f>'05_Daily_Orders'!M233</f>
        <v>METRO</v>
      </c>
      <c r="P233" s="239" t="str">
        <f>_xlfn.IFNA(_xlfn.XLOOKUP(B233,'00_SKU_Master'!$B$2:$B$379,'00_SKU_Master'!$E$2:$E$379,""),"")</f>
        <v>Drum</v>
      </c>
      <c r="Q233" s="240">
        <f>_xlfn.IFNA(_xlfn.XLOOKUP(B233,'00_SKU_Master'!$B$2:$B$379,'00_SKU_Master'!$F$2:$F$379,0),0)</f>
        <v>3.88366227596631</v>
      </c>
      <c r="R233" s="253">
        <f t="shared" si="7"/>
        <v>233.0197365579786</v>
      </c>
    </row>
    <row r="234" spans="2:18" x14ac:dyDescent="0.35">
      <c r="B234" s="235">
        <f>'05_Daily_Orders'!C234</f>
        <v>200712</v>
      </c>
      <c r="C234" s="303">
        <v>0</v>
      </c>
      <c r="D234" s="303">
        <v>47</v>
      </c>
      <c r="E234" s="306"/>
      <c r="F234" s="306"/>
      <c r="G234" s="307">
        <v>60</v>
      </c>
      <c r="H234" s="307"/>
      <c r="I234" s="307"/>
      <c r="J234" s="307"/>
      <c r="K234" s="307"/>
      <c r="L234" s="307"/>
      <c r="M234" s="237">
        <f t="shared" si="6"/>
        <v>60</v>
      </c>
      <c r="N234" s="238" t="str">
        <f>_xlfn.IFNA(_xlfn.XLOOKUP(B234,'00_SKU_Master'!$B$2:$B$379,'00_SKU_Master'!$C$2:$C$379,0),"")</f>
        <v>61086F</v>
      </c>
      <c r="O234" s="233" t="str">
        <f>'05_Daily_Orders'!M234</f>
        <v>METRO</v>
      </c>
      <c r="P234" s="239" t="str">
        <f>_xlfn.IFNA(_xlfn.XLOOKUP(B234,'00_SKU_Master'!$B$2:$B$379,'00_SKU_Master'!$E$2:$E$379,""),"")</f>
        <v>ThighMeat</v>
      </c>
      <c r="Q234" s="240">
        <f>_xlfn.IFNA(_xlfn.XLOOKUP(B234,'00_SKU_Master'!$B$2:$B$379,'00_SKU_Master'!$F$2:$F$379,0),0)</f>
        <v>4.2083100203458796</v>
      </c>
      <c r="R234" s="253">
        <f t="shared" si="7"/>
        <v>252.49860122075279</v>
      </c>
    </row>
    <row r="235" spans="2:18" x14ac:dyDescent="0.35">
      <c r="B235" s="235">
        <f>'05_Daily_Orders'!C235</f>
        <v>200713</v>
      </c>
      <c r="C235" s="303">
        <v>0</v>
      </c>
      <c r="D235" s="303">
        <v>46</v>
      </c>
      <c r="E235" s="306"/>
      <c r="F235" s="306"/>
      <c r="G235" s="307">
        <v>50</v>
      </c>
      <c r="H235" s="307"/>
      <c r="I235" s="307"/>
      <c r="J235" s="307"/>
      <c r="K235" s="307"/>
      <c r="L235" s="307"/>
      <c r="M235" s="237">
        <f t="shared" si="6"/>
        <v>50</v>
      </c>
      <c r="N235" s="238">
        <f>_xlfn.IFNA(_xlfn.XLOOKUP(B235,'00_SKU_Master'!$B$2:$B$379,'00_SKU_Master'!$C$2:$C$379,0),"")</f>
        <v>61077</v>
      </c>
      <c r="O235" s="233" t="str">
        <f>'05_Daily_Orders'!M235</f>
        <v>METRO</v>
      </c>
      <c r="P235" s="239" t="str">
        <f>_xlfn.IFNA(_xlfn.XLOOKUP(B235,'00_SKU_Master'!$B$2:$B$379,'00_SKU_Master'!$E$2:$E$379,""),"")</f>
        <v>Thigh</v>
      </c>
      <c r="Q235" s="240">
        <f>_xlfn.IFNA(_xlfn.XLOOKUP(B235,'00_SKU_Master'!$B$2:$B$379,'00_SKU_Master'!$F$2:$F$379,0),0)</f>
        <v>4.2918690909090902</v>
      </c>
      <c r="R235" s="253">
        <f t="shared" si="7"/>
        <v>214.59345454545451</v>
      </c>
    </row>
    <row r="236" spans="2:18" x14ac:dyDescent="0.35">
      <c r="B236" s="235">
        <f>'05_Daily_Orders'!C236</f>
        <v>200714</v>
      </c>
      <c r="C236" s="303">
        <v>0</v>
      </c>
      <c r="D236" s="303">
        <v>21</v>
      </c>
      <c r="E236" s="306"/>
      <c r="F236" s="306"/>
      <c r="G236" s="307">
        <v>30</v>
      </c>
      <c r="H236" s="307"/>
      <c r="I236" s="307"/>
      <c r="J236" s="307"/>
      <c r="K236" s="307"/>
      <c r="L236" s="307"/>
      <c r="M236" s="237">
        <f t="shared" si="6"/>
        <v>30</v>
      </c>
      <c r="N236" s="238">
        <f>_xlfn.IFNA(_xlfn.XLOOKUP(B236,'00_SKU_Master'!$B$2:$B$379,'00_SKU_Master'!$C$2:$C$379,0),"")</f>
        <v>61014</v>
      </c>
      <c r="O236" s="233" t="str">
        <f>'05_Daily_Orders'!M236</f>
        <v>METRO</v>
      </c>
      <c r="P236" s="239" t="str">
        <f>_xlfn.IFNA(_xlfn.XLOOKUP(B236,'00_SKU_Master'!$B$2:$B$379,'00_SKU_Master'!$E$2:$E$379,""),"")</f>
        <v>SplitWing</v>
      </c>
      <c r="Q236" s="240">
        <f>_xlfn.IFNA(_xlfn.XLOOKUP(B236,'00_SKU_Master'!$B$2:$B$379,'00_SKU_Master'!$F$2:$F$379,0),0)</f>
        <v>3.7048650269946002</v>
      </c>
      <c r="R236" s="253">
        <f t="shared" si="7"/>
        <v>111.14595080983801</v>
      </c>
    </row>
    <row r="237" spans="2:18" x14ac:dyDescent="0.35">
      <c r="B237" s="235">
        <f>'05_Daily_Orders'!C237</f>
        <v>200715</v>
      </c>
      <c r="C237" s="303">
        <v>0</v>
      </c>
      <c r="D237" s="303">
        <v>0</v>
      </c>
      <c r="E237" s="306"/>
      <c r="F237" s="306"/>
      <c r="G237" s="307">
        <v>0</v>
      </c>
      <c r="H237" s="307"/>
      <c r="I237" s="307"/>
      <c r="J237" s="307"/>
      <c r="K237" s="307"/>
      <c r="L237" s="307"/>
      <c r="M237" s="237">
        <f t="shared" si="6"/>
        <v>0</v>
      </c>
      <c r="N237" s="238" t="str">
        <f>_xlfn.IFNA(_xlfn.XLOOKUP(B237,'00_SKU_Master'!$B$2:$B$379,'00_SKU_Master'!$C$2:$C$379,0),"")</f>
        <v>61050F</v>
      </c>
      <c r="O237" s="233" t="str">
        <f>'05_Daily_Orders'!M237</f>
        <v>FB</v>
      </c>
      <c r="P237" s="239" t="str">
        <f>_xlfn.IFNA(_xlfn.XLOOKUP(B237,'00_SKU_Master'!$B$2:$B$379,'00_SKU_Master'!$E$2:$E$379,""),"")</f>
        <v>BSB</v>
      </c>
      <c r="Q237" s="240">
        <f>_xlfn.IFNA(_xlfn.XLOOKUP(B237,'00_SKU_Master'!$B$2:$B$379,'00_SKU_Master'!$F$2:$F$379,0),0)</f>
        <v>8.9776693730866501</v>
      </c>
      <c r="R237" s="253">
        <f t="shared" si="7"/>
        <v>0</v>
      </c>
    </row>
    <row r="238" spans="2:18" x14ac:dyDescent="0.35">
      <c r="B238" s="235">
        <f>'05_Daily_Orders'!C238</f>
        <v>200716</v>
      </c>
      <c r="C238" s="303">
        <v>0</v>
      </c>
      <c r="D238" s="303">
        <v>75</v>
      </c>
      <c r="E238" s="306"/>
      <c r="F238" s="306"/>
      <c r="G238" s="307">
        <v>49</v>
      </c>
      <c r="H238" s="307"/>
      <c r="I238" s="307"/>
      <c r="J238" s="307"/>
      <c r="K238" s="307"/>
      <c r="L238" s="307"/>
      <c r="M238" s="237">
        <f t="shared" si="6"/>
        <v>49</v>
      </c>
      <c r="N238" s="238">
        <f>_xlfn.IFNA(_xlfn.XLOOKUP(B238,'00_SKU_Master'!$B$2:$B$379,'00_SKU_Master'!$C$2:$C$379,0),"")</f>
        <v>61077</v>
      </c>
      <c r="O238" s="233" t="str">
        <f>'05_Daily_Orders'!M238</f>
        <v>FB</v>
      </c>
      <c r="P238" s="239" t="str">
        <f>_xlfn.IFNA(_xlfn.XLOOKUP(B238,'00_SKU_Master'!$B$2:$B$379,'00_SKU_Master'!$E$2:$E$379,""),"")</f>
        <v>Thigh</v>
      </c>
      <c r="Q238" s="240">
        <f>_xlfn.IFNA(_xlfn.XLOOKUP(B238,'00_SKU_Master'!$B$2:$B$379,'00_SKU_Master'!$F$2:$F$379,0),0)</f>
        <v>8.5537448737319206</v>
      </c>
      <c r="R238" s="253">
        <f t="shared" si="7"/>
        <v>419.1334988128641</v>
      </c>
    </row>
    <row r="239" spans="2:18" x14ac:dyDescent="0.35">
      <c r="B239" s="235">
        <f>'05_Daily_Orders'!C239</f>
        <v>200717</v>
      </c>
      <c r="C239" s="303">
        <v>0</v>
      </c>
      <c r="D239" s="303">
        <v>17</v>
      </c>
      <c r="E239" s="306"/>
      <c r="F239" s="306"/>
      <c r="G239" s="307">
        <v>29</v>
      </c>
      <c r="H239" s="307"/>
      <c r="I239" s="307"/>
      <c r="J239" s="307"/>
      <c r="K239" s="307"/>
      <c r="L239" s="307"/>
      <c r="M239" s="237">
        <f t="shared" si="6"/>
        <v>29</v>
      </c>
      <c r="N239" s="238">
        <f>_xlfn.IFNA(_xlfn.XLOOKUP(B239,'00_SKU_Master'!$B$2:$B$379,'00_SKU_Master'!$C$2:$C$379,0),"")</f>
        <v>61072</v>
      </c>
      <c r="O239" s="233" t="str">
        <f>'05_Daily_Orders'!M239</f>
        <v>FB</v>
      </c>
      <c r="P239" s="239" t="str">
        <f>_xlfn.IFNA(_xlfn.XLOOKUP(B239,'00_SKU_Master'!$B$2:$B$379,'00_SKU_Master'!$E$2:$E$379,""),"")</f>
        <v>Drum</v>
      </c>
      <c r="Q239" s="240">
        <f>_xlfn.IFNA(_xlfn.XLOOKUP(B239,'00_SKU_Master'!$B$2:$B$379,'00_SKU_Master'!$F$2:$F$379,0),0)</f>
        <v>7.7917399080224801</v>
      </c>
      <c r="R239" s="253">
        <f t="shared" si="7"/>
        <v>225.96045733265191</v>
      </c>
    </row>
    <row r="240" spans="2:18" x14ac:dyDescent="0.35">
      <c r="B240" s="235">
        <f>'05_Daily_Orders'!C240</f>
        <v>200718</v>
      </c>
      <c r="C240" s="303">
        <v>0</v>
      </c>
      <c r="D240" s="303">
        <v>0</v>
      </c>
      <c r="E240" s="306"/>
      <c r="F240" s="306"/>
      <c r="G240" s="307">
        <v>0</v>
      </c>
      <c r="H240" s="307"/>
      <c r="I240" s="307"/>
      <c r="J240" s="307"/>
      <c r="K240" s="307"/>
      <c r="L240" s="307"/>
      <c r="M240" s="237">
        <f t="shared" si="6"/>
        <v>0</v>
      </c>
      <c r="N240" s="238">
        <f>_xlfn.IFNA(_xlfn.XLOOKUP(B240,'00_SKU_Master'!$B$2:$B$379,'00_SKU_Master'!$C$2:$C$379,0),"")</f>
        <v>61050</v>
      </c>
      <c r="O240" s="233" t="str">
        <f>'05_Daily_Orders'!M240</f>
        <v>FB</v>
      </c>
      <c r="P240" s="239" t="str">
        <f>_xlfn.IFNA(_xlfn.XLOOKUP(B240,'00_SKU_Master'!$B$2:$B$379,'00_SKU_Master'!$E$2:$E$379,""),"")</f>
        <v>BSB</v>
      </c>
      <c r="Q240" s="240">
        <f>_xlfn.IFNA(_xlfn.XLOOKUP(B240,'00_SKU_Master'!$B$2:$B$379,'00_SKU_Master'!$F$2:$F$379,0),0)</f>
        <v>0</v>
      </c>
      <c r="R240" s="253">
        <f t="shared" si="7"/>
        <v>0</v>
      </c>
    </row>
    <row r="241" spans="2:18" x14ac:dyDescent="0.35">
      <c r="B241" s="235">
        <f>'05_Daily_Orders'!C241</f>
        <v>200721</v>
      </c>
      <c r="C241" s="303">
        <v>0</v>
      </c>
      <c r="D241" s="303">
        <v>0</v>
      </c>
      <c r="E241" s="306"/>
      <c r="F241" s="306"/>
      <c r="G241" s="307">
        <v>0</v>
      </c>
      <c r="H241" s="307"/>
      <c r="I241" s="307"/>
      <c r="J241" s="307"/>
      <c r="K241" s="307"/>
      <c r="L241" s="307"/>
      <c r="M241" s="237">
        <f t="shared" si="6"/>
        <v>0</v>
      </c>
      <c r="N241" s="238">
        <f>_xlfn.IFNA(_xlfn.XLOOKUP(B241,'00_SKU_Master'!$B$2:$B$379,'00_SKU_Master'!$C$2:$C$379,0),"")</f>
        <v>61077</v>
      </c>
      <c r="O241" s="233" t="str">
        <f>'05_Daily_Orders'!M241</f>
        <v>FB</v>
      </c>
      <c r="P241" s="239" t="str">
        <f>_xlfn.IFNA(_xlfn.XLOOKUP(B241,'00_SKU_Master'!$B$2:$B$379,'00_SKU_Master'!$E$2:$E$379,""),"")</f>
        <v>Thigh</v>
      </c>
      <c r="Q241" s="240">
        <f>_xlfn.IFNA(_xlfn.XLOOKUP(B241,'00_SKU_Master'!$B$2:$B$379,'00_SKU_Master'!$F$2:$F$379,0),0)</f>
        <v>0</v>
      </c>
      <c r="R241" s="253">
        <f t="shared" si="7"/>
        <v>0</v>
      </c>
    </row>
    <row r="242" spans="2:18" x14ac:dyDescent="0.35">
      <c r="B242" s="235">
        <f>'05_Daily_Orders'!C242</f>
        <v>200722</v>
      </c>
      <c r="C242" s="303">
        <v>0</v>
      </c>
      <c r="D242" s="303">
        <v>0</v>
      </c>
      <c r="E242" s="306"/>
      <c r="F242" s="306"/>
      <c r="G242" s="307">
        <v>0</v>
      </c>
      <c r="H242" s="307"/>
      <c r="I242" s="307"/>
      <c r="J242" s="307"/>
      <c r="K242" s="307"/>
      <c r="L242" s="307"/>
      <c r="M242" s="237">
        <f t="shared" si="6"/>
        <v>0</v>
      </c>
      <c r="N242" s="238">
        <f>_xlfn.IFNA(_xlfn.XLOOKUP(B242,'00_SKU_Master'!$B$2:$B$379,'00_SKU_Master'!$C$2:$C$379,0),"")</f>
        <v>61072</v>
      </c>
      <c r="O242" s="233" t="str">
        <f>'05_Daily_Orders'!M242</f>
        <v>FB</v>
      </c>
      <c r="P242" s="239" t="str">
        <f>_xlfn.IFNA(_xlfn.XLOOKUP(B242,'00_SKU_Master'!$B$2:$B$379,'00_SKU_Master'!$E$2:$E$379,""),"")</f>
        <v>Drum</v>
      </c>
      <c r="Q242" s="240">
        <f>_xlfn.IFNA(_xlfn.XLOOKUP(B242,'00_SKU_Master'!$B$2:$B$379,'00_SKU_Master'!$F$2:$F$379,0),0)</f>
        <v>0</v>
      </c>
      <c r="R242" s="253">
        <f t="shared" si="7"/>
        <v>0</v>
      </c>
    </row>
    <row r="243" spans="2:18" x14ac:dyDescent="0.35">
      <c r="B243" s="235">
        <f>'05_Daily_Orders'!C243</f>
        <v>200723</v>
      </c>
      <c r="C243" s="303">
        <v>0</v>
      </c>
      <c r="D243" s="303">
        <v>51</v>
      </c>
      <c r="E243" s="306"/>
      <c r="F243" s="306"/>
      <c r="G243" s="307">
        <v>75</v>
      </c>
      <c r="H243" s="307"/>
      <c r="I243" s="307"/>
      <c r="J243" s="307"/>
      <c r="K243" s="307"/>
      <c r="L243" s="307"/>
      <c r="M243" s="237">
        <f t="shared" si="6"/>
        <v>75</v>
      </c>
      <c r="N243" s="238" t="str">
        <f>_xlfn.IFNA(_xlfn.XLOOKUP(B243,'00_SKU_Master'!$B$2:$B$379,'00_SKU_Master'!$C$2:$C$379,0),"")</f>
        <v>61050F</v>
      </c>
      <c r="O243" s="233" t="str">
        <f>'05_Daily_Orders'!M243</f>
        <v>FB</v>
      </c>
      <c r="P243" s="239" t="str">
        <f>_xlfn.IFNA(_xlfn.XLOOKUP(B243,'00_SKU_Master'!$B$2:$B$379,'00_SKU_Master'!$E$2:$E$379,""),"")</f>
        <v>BSB</v>
      </c>
      <c r="Q243" s="240">
        <f>_xlfn.IFNA(_xlfn.XLOOKUP(B243,'00_SKU_Master'!$B$2:$B$379,'00_SKU_Master'!$F$2:$F$379,0),0)</f>
        <v>9.3194408602150496</v>
      </c>
      <c r="R243" s="253">
        <f t="shared" si="7"/>
        <v>698.95806451612873</v>
      </c>
    </row>
    <row r="244" spans="2:18" x14ac:dyDescent="0.35">
      <c r="B244" s="235">
        <f>'05_Daily_Orders'!C244</f>
        <v>200724</v>
      </c>
      <c r="C244" s="303">
        <v>0</v>
      </c>
      <c r="D244" s="303">
        <v>34</v>
      </c>
      <c r="E244" s="306"/>
      <c r="F244" s="306"/>
      <c r="G244" s="307">
        <v>0</v>
      </c>
      <c r="H244" s="307"/>
      <c r="I244" s="307"/>
      <c r="J244" s="307"/>
      <c r="K244" s="307"/>
      <c r="L244" s="307"/>
      <c r="M244" s="237">
        <f t="shared" si="6"/>
        <v>0</v>
      </c>
      <c r="N244" s="238">
        <f>_xlfn.IFNA(_xlfn.XLOOKUP(B244,'00_SKU_Master'!$B$2:$B$379,'00_SKU_Master'!$C$2:$C$379,0),"")</f>
        <v>61071</v>
      </c>
      <c r="O244" s="233" t="str">
        <f>'05_Daily_Orders'!M244</f>
        <v>FB</v>
      </c>
      <c r="P244" s="239" t="str">
        <f>_xlfn.IFNA(_xlfn.XLOOKUP(B244,'00_SKU_Master'!$B$2:$B$379,'00_SKU_Master'!$E$2:$E$379,""),"")</f>
        <v>Drum</v>
      </c>
      <c r="Q244" s="240">
        <f>_xlfn.IFNA(_xlfn.XLOOKUP(B244,'00_SKU_Master'!$B$2:$B$379,'00_SKU_Master'!$F$2:$F$379,0),0)</f>
        <v>3.70871594281089</v>
      </c>
      <c r="R244" s="253">
        <f t="shared" si="7"/>
        <v>0</v>
      </c>
    </row>
    <row r="245" spans="2:18" x14ac:dyDescent="0.35">
      <c r="B245" s="235">
        <f>'05_Daily_Orders'!C245</f>
        <v>200725</v>
      </c>
      <c r="C245" s="303">
        <v>0</v>
      </c>
      <c r="D245" s="303">
        <v>0</v>
      </c>
      <c r="E245" s="306"/>
      <c r="F245" s="306"/>
      <c r="G245" s="307">
        <v>0</v>
      </c>
      <c r="H245" s="307"/>
      <c r="I245" s="307"/>
      <c r="J245" s="307"/>
      <c r="K245" s="307"/>
      <c r="L245" s="307"/>
      <c r="M245" s="237">
        <f t="shared" si="6"/>
        <v>0</v>
      </c>
      <c r="N245" s="238">
        <f>_xlfn.IFNA(_xlfn.XLOOKUP(B245,'00_SKU_Master'!$B$2:$B$379,'00_SKU_Master'!$C$2:$C$379,0),"")</f>
        <v>61050</v>
      </c>
      <c r="O245" s="233" t="str">
        <f>'05_Daily_Orders'!M245</f>
        <v>METRO</v>
      </c>
      <c r="P245" s="239" t="str">
        <f>_xlfn.IFNA(_xlfn.XLOOKUP(B245,'00_SKU_Master'!$B$2:$B$379,'00_SKU_Master'!$E$2:$E$379,""),"")</f>
        <v>BSB</v>
      </c>
      <c r="Q245" s="240">
        <f>_xlfn.IFNA(_xlfn.XLOOKUP(B245,'00_SKU_Master'!$B$2:$B$379,'00_SKU_Master'!$F$2:$F$379,0),0)</f>
        <v>9.3194408602150496</v>
      </c>
      <c r="R245" s="253">
        <f t="shared" si="7"/>
        <v>0</v>
      </c>
    </row>
    <row r="246" spans="2:18" x14ac:dyDescent="0.35">
      <c r="B246" s="235">
        <f>'05_Daily_Orders'!C246</f>
        <v>200726</v>
      </c>
      <c r="C246" s="303">
        <v>0</v>
      </c>
      <c r="D246" s="303">
        <v>0</v>
      </c>
      <c r="E246" s="306"/>
      <c r="F246" s="306"/>
      <c r="G246" s="307">
        <v>0</v>
      </c>
      <c r="H246" s="307"/>
      <c r="I246" s="307"/>
      <c r="J246" s="307"/>
      <c r="K246" s="307"/>
      <c r="L246" s="307"/>
      <c r="M246" s="237">
        <f t="shared" si="6"/>
        <v>0</v>
      </c>
      <c r="N246" s="238">
        <f>_xlfn.IFNA(_xlfn.XLOOKUP(B246,'00_SKU_Master'!$B$2:$B$379,'00_SKU_Master'!$C$2:$C$379,0),"")</f>
        <v>61077</v>
      </c>
      <c r="O246" s="233" t="str">
        <f>'05_Daily_Orders'!M246</f>
        <v>METRO</v>
      </c>
      <c r="P246" s="239" t="str">
        <f>_xlfn.IFNA(_xlfn.XLOOKUP(B246,'00_SKU_Master'!$B$2:$B$379,'00_SKU_Master'!$E$2:$E$379,""),"")</f>
        <v>Thigh</v>
      </c>
      <c r="Q246" s="240">
        <f>_xlfn.IFNA(_xlfn.XLOOKUP(B246,'00_SKU_Master'!$B$2:$B$379,'00_SKU_Master'!$F$2:$F$379,0),0)</f>
        <v>8.5537448737319206</v>
      </c>
      <c r="R246" s="253">
        <f t="shared" si="7"/>
        <v>0</v>
      </c>
    </row>
    <row r="247" spans="2:18" x14ac:dyDescent="0.35">
      <c r="B247" s="235">
        <f>'05_Daily_Orders'!C247</f>
        <v>200727</v>
      </c>
      <c r="C247" s="303">
        <v>0</v>
      </c>
      <c r="D247" s="303">
        <v>0</v>
      </c>
      <c r="E247" s="306"/>
      <c r="F247" s="306"/>
      <c r="G247" s="307">
        <v>0</v>
      </c>
      <c r="H247" s="307"/>
      <c r="I247" s="307"/>
      <c r="J247" s="307"/>
      <c r="K247" s="307"/>
      <c r="L247" s="307"/>
      <c r="M247" s="237">
        <f t="shared" si="6"/>
        <v>0</v>
      </c>
      <c r="N247" s="238">
        <f>_xlfn.IFNA(_xlfn.XLOOKUP(B247,'00_SKU_Master'!$B$2:$B$379,'00_SKU_Master'!$C$2:$C$379,0),"")</f>
        <v>61072</v>
      </c>
      <c r="O247" s="233" t="str">
        <f>'05_Daily_Orders'!M247</f>
        <v>METRO</v>
      </c>
      <c r="P247" s="239" t="str">
        <f>_xlfn.IFNA(_xlfn.XLOOKUP(B247,'00_SKU_Master'!$B$2:$B$379,'00_SKU_Master'!$E$2:$E$379,""),"")</f>
        <v>Drum</v>
      </c>
      <c r="Q247" s="240">
        <f>_xlfn.IFNA(_xlfn.XLOOKUP(B247,'00_SKU_Master'!$B$2:$B$379,'00_SKU_Master'!$F$2:$F$379,0),0)</f>
        <v>8.0399191303195003</v>
      </c>
      <c r="R247" s="253">
        <f t="shared" si="7"/>
        <v>0</v>
      </c>
    </row>
    <row r="248" spans="2:18" x14ac:dyDescent="0.35">
      <c r="B248" s="235">
        <f>'05_Daily_Orders'!C248</f>
        <v>200736</v>
      </c>
      <c r="C248" s="303">
        <v>0</v>
      </c>
      <c r="D248" s="303">
        <v>0</v>
      </c>
      <c r="E248" s="306"/>
      <c r="F248" s="306"/>
      <c r="G248" s="307">
        <v>0</v>
      </c>
      <c r="H248" s="307"/>
      <c r="I248" s="307"/>
      <c r="J248" s="307"/>
      <c r="K248" s="307"/>
      <c r="L248" s="307"/>
      <c r="M248" s="237">
        <f t="shared" si="6"/>
        <v>0</v>
      </c>
      <c r="N248" s="238">
        <f>_xlfn.IFNA(_xlfn.XLOOKUP(B248,'00_SKU_Master'!$B$2:$B$379,'00_SKU_Master'!$C$2:$C$379,0),"")</f>
        <v>61077</v>
      </c>
      <c r="O248" s="233" t="str">
        <f>'05_Daily_Orders'!M248</f>
        <v>FB</v>
      </c>
      <c r="P248" s="239" t="str">
        <f>_xlfn.IFNA(_xlfn.XLOOKUP(B248,'00_SKU_Master'!$B$2:$B$379,'00_SKU_Master'!$E$2:$E$379,""),"")</f>
        <v>Thigh</v>
      </c>
      <c r="Q248" s="240">
        <f>_xlfn.IFNA(_xlfn.XLOOKUP(B248,'00_SKU_Master'!$B$2:$B$379,'00_SKU_Master'!$F$2:$F$379,0),0)</f>
        <v>0</v>
      </c>
      <c r="R248" s="253">
        <f t="shared" si="7"/>
        <v>0</v>
      </c>
    </row>
    <row r="249" spans="2:18" x14ac:dyDescent="0.35">
      <c r="B249" s="235">
        <f>'05_Daily_Orders'!C249</f>
        <v>200737</v>
      </c>
      <c r="C249" s="303">
        <v>0</v>
      </c>
      <c r="D249" s="303">
        <v>0</v>
      </c>
      <c r="E249" s="306"/>
      <c r="F249" s="306"/>
      <c r="G249" s="307">
        <v>0</v>
      </c>
      <c r="H249" s="307"/>
      <c r="I249" s="307"/>
      <c r="J249" s="307"/>
      <c r="K249" s="307"/>
      <c r="L249" s="307"/>
      <c r="M249" s="237">
        <f t="shared" si="6"/>
        <v>0</v>
      </c>
      <c r="N249" s="238">
        <f>_xlfn.IFNA(_xlfn.XLOOKUP(B249,'00_SKU_Master'!$B$2:$B$379,'00_SKU_Master'!$C$2:$C$379,0),"")</f>
        <v>61072</v>
      </c>
      <c r="O249" s="233" t="str">
        <f>'05_Daily_Orders'!M249</f>
        <v>FB</v>
      </c>
      <c r="P249" s="239" t="str">
        <f>_xlfn.IFNA(_xlfn.XLOOKUP(B249,'00_SKU_Master'!$B$2:$B$379,'00_SKU_Master'!$E$2:$E$379,""),"")</f>
        <v>Drum</v>
      </c>
      <c r="Q249" s="240">
        <f>_xlfn.IFNA(_xlfn.XLOOKUP(B249,'00_SKU_Master'!$B$2:$B$379,'00_SKU_Master'!$F$2:$F$379,0),0)</f>
        <v>0</v>
      </c>
      <c r="R249" s="253">
        <f t="shared" si="7"/>
        <v>0</v>
      </c>
    </row>
    <row r="250" spans="2:18" x14ac:dyDescent="0.35">
      <c r="B250" s="235">
        <f>'05_Daily_Orders'!C250</f>
        <v>200738</v>
      </c>
      <c r="C250" s="303">
        <v>0</v>
      </c>
      <c r="D250" s="303">
        <v>0</v>
      </c>
      <c r="E250" s="306"/>
      <c r="F250" s="306"/>
      <c r="G250" s="307">
        <v>0</v>
      </c>
      <c r="H250" s="307"/>
      <c r="I250" s="307"/>
      <c r="J250" s="307"/>
      <c r="K250" s="307"/>
      <c r="L250" s="307"/>
      <c r="M250" s="237">
        <f t="shared" si="6"/>
        <v>0</v>
      </c>
      <c r="N250" s="238">
        <f>_xlfn.IFNA(_xlfn.XLOOKUP(B250,'00_SKU_Master'!$B$2:$B$379,'00_SKU_Master'!$C$2:$C$379,0),"")</f>
        <v>203021</v>
      </c>
      <c r="O250" s="233" t="str">
        <f>'05_Daily_Orders'!M250</f>
        <v>FB</v>
      </c>
      <c r="P250" s="239" t="str">
        <f>_xlfn.IFNA(_xlfn.XLOOKUP(B250,'00_SKU_Master'!$B$2:$B$379,'00_SKU_Master'!$E$2:$E$379,""),"")</f>
        <v>Whole Bird-Small</v>
      </c>
      <c r="Q250" s="240">
        <f>_xlfn.IFNA(_xlfn.XLOOKUP(B250,'00_SKU_Master'!$B$2:$B$379,'00_SKU_Master'!$F$2:$F$379,0),0)</f>
        <v>0</v>
      </c>
      <c r="R250" s="253">
        <f t="shared" si="7"/>
        <v>0</v>
      </c>
    </row>
    <row r="251" spans="2:18" x14ac:dyDescent="0.35">
      <c r="B251" s="235">
        <f>'05_Daily_Orders'!C251</f>
        <v>200745</v>
      </c>
      <c r="C251" s="303">
        <v>0</v>
      </c>
      <c r="D251" s="303">
        <v>0</v>
      </c>
      <c r="E251" s="306"/>
      <c r="F251" s="306"/>
      <c r="G251" s="307">
        <v>0</v>
      </c>
      <c r="H251" s="307"/>
      <c r="I251" s="307"/>
      <c r="J251" s="307"/>
      <c r="K251" s="307"/>
      <c r="L251" s="307"/>
      <c r="M251" s="237">
        <f t="shared" si="6"/>
        <v>0</v>
      </c>
      <c r="N251" s="238" t="str">
        <f>_xlfn.IFNA(_xlfn.XLOOKUP(B251,'00_SKU_Master'!$B$2:$B$379,'00_SKU_Master'!$C$2:$C$379,0),"")</f>
        <v>61050F</v>
      </c>
      <c r="O251" s="233" t="str">
        <f>'05_Daily_Orders'!M251</f>
        <v>SHP</v>
      </c>
      <c r="P251" s="239" t="str">
        <f>_xlfn.IFNA(_xlfn.XLOOKUP(B251,'00_SKU_Master'!$B$2:$B$379,'00_SKU_Master'!$E$2:$E$379,""),"")</f>
        <v>BSB</v>
      </c>
      <c r="Q251" s="240">
        <f>_xlfn.IFNA(_xlfn.XLOOKUP(B251,'00_SKU_Master'!$B$2:$B$379,'00_SKU_Master'!$F$2:$F$379,0),0)</f>
        <v>3.2316666666666669</v>
      </c>
      <c r="R251" s="253">
        <f t="shared" si="7"/>
        <v>0</v>
      </c>
    </row>
    <row r="252" spans="2:18" x14ac:dyDescent="0.35">
      <c r="B252" s="235">
        <f>'05_Daily_Orders'!C252</f>
        <v>200746</v>
      </c>
      <c r="C252" s="303">
        <v>0</v>
      </c>
      <c r="D252" s="303">
        <v>0</v>
      </c>
      <c r="E252" s="306"/>
      <c r="F252" s="306"/>
      <c r="G252" s="307">
        <v>0</v>
      </c>
      <c r="H252" s="307"/>
      <c r="I252" s="307"/>
      <c r="J252" s="307"/>
      <c r="K252" s="307"/>
      <c r="L252" s="307"/>
      <c r="M252" s="237">
        <f t="shared" si="6"/>
        <v>0</v>
      </c>
      <c r="N252" s="238">
        <f>_xlfn.IFNA(_xlfn.XLOOKUP(B252,'00_SKU_Master'!$B$2:$B$379,'00_SKU_Master'!$C$2:$C$379,0),"")</f>
        <v>61077</v>
      </c>
      <c r="O252" s="233" t="str">
        <f>'05_Daily_Orders'!M252</f>
        <v>SHP</v>
      </c>
      <c r="P252" s="239" t="str">
        <f>_xlfn.IFNA(_xlfn.XLOOKUP(B252,'00_SKU_Master'!$B$2:$B$379,'00_SKU_Master'!$E$2:$E$379,""),"")</f>
        <v>Thigh</v>
      </c>
      <c r="Q252" s="240">
        <f>_xlfn.IFNA(_xlfn.XLOOKUP(B252,'00_SKU_Master'!$B$2:$B$379,'00_SKU_Master'!$F$2:$F$379,0),0)</f>
        <v>4.1749999999999998</v>
      </c>
      <c r="R252" s="253">
        <f t="shared" si="7"/>
        <v>0</v>
      </c>
    </row>
    <row r="253" spans="2:18" x14ac:dyDescent="0.35">
      <c r="B253" s="235">
        <f>'05_Daily_Orders'!C253</f>
        <v>200747</v>
      </c>
      <c r="C253" s="303">
        <v>0</v>
      </c>
      <c r="D253" s="303">
        <v>0</v>
      </c>
      <c r="E253" s="306"/>
      <c r="F253" s="306"/>
      <c r="G253" s="307">
        <v>0</v>
      </c>
      <c r="H253" s="307"/>
      <c r="I253" s="307"/>
      <c r="J253" s="307"/>
      <c r="K253" s="307"/>
      <c r="L253" s="307"/>
      <c r="M253" s="237">
        <f t="shared" si="6"/>
        <v>0</v>
      </c>
      <c r="N253" s="238" t="str">
        <f>_xlfn.IFNA(_xlfn.XLOOKUP(B253,'00_SKU_Master'!$B$2:$B$379,'00_SKU_Master'!$C$2:$C$379,0),"")</f>
        <v>61086F</v>
      </c>
      <c r="O253" s="233" t="str">
        <f>'05_Daily_Orders'!M253</f>
        <v>SHP</v>
      </c>
      <c r="P253" s="239" t="str">
        <f>_xlfn.IFNA(_xlfn.XLOOKUP(B253,'00_SKU_Master'!$B$2:$B$379,'00_SKU_Master'!$E$2:$E$379,""),"")</f>
        <v>ThighMeat</v>
      </c>
      <c r="Q253" s="240">
        <f>_xlfn.IFNA(_xlfn.XLOOKUP(B253,'00_SKU_Master'!$B$2:$B$379,'00_SKU_Master'!$F$2:$F$379,0),0)</f>
        <v>3.4783333333333331</v>
      </c>
      <c r="R253" s="253">
        <f t="shared" si="7"/>
        <v>0</v>
      </c>
    </row>
    <row r="254" spans="2:18" x14ac:dyDescent="0.35">
      <c r="B254" s="235">
        <f>'05_Daily_Orders'!C254</f>
        <v>200748</v>
      </c>
      <c r="C254" s="303">
        <v>0</v>
      </c>
      <c r="D254" s="303">
        <v>0</v>
      </c>
      <c r="E254" s="306"/>
      <c r="F254" s="306"/>
      <c r="G254" s="307">
        <v>0</v>
      </c>
      <c r="H254" s="307"/>
      <c r="I254" s="307"/>
      <c r="J254" s="307"/>
      <c r="K254" s="307"/>
      <c r="L254" s="307"/>
      <c r="M254" s="237">
        <f t="shared" si="6"/>
        <v>0</v>
      </c>
      <c r="N254" s="238">
        <f>_xlfn.IFNA(_xlfn.XLOOKUP(B254,'00_SKU_Master'!$B$2:$B$379,'00_SKU_Master'!$C$2:$C$379,0),"")</f>
        <v>61072</v>
      </c>
      <c r="O254" s="233" t="str">
        <f>'05_Daily_Orders'!M254</f>
        <v>SHP</v>
      </c>
      <c r="P254" s="239" t="str">
        <f>_xlfn.IFNA(_xlfn.XLOOKUP(B254,'00_SKU_Master'!$B$2:$B$379,'00_SKU_Master'!$E$2:$E$379,""),"")</f>
        <v>Drum</v>
      </c>
      <c r="Q254" s="240">
        <f>_xlfn.IFNA(_xlfn.XLOOKUP(B254,'00_SKU_Master'!$B$2:$B$379,'00_SKU_Master'!$F$2:$F$379,0),0)</f>
        <v>3.6074999999999999</v>
      </c>
      <c r="R254" s="253">
        <f t="shared" si="7"/>
        <v>0</v>
      </c>
    </row>
    <row r="255" spans="2:18" x14ac:dyDescent="0.35">
      <c r="B255" s="235">
        <f>'05_Daily_Orders'!C255</f>
        <v>201851</v>
      </c>
      <c r="C255" s="303">
        <v>0</v>
      </c>
      <c r="D255" s="303">
        <v>146</v>
      </c>
      <c r="E255" s="306"/>
      <c r="F255" s="306"/>
      <c r="G255" s="307">
        <v>150</v>
      </c>
      <c r="H255" s="307"/>
      <c r="I255" s="307"/>
      <c r="J255" s="307"/>
      <c r="K255" s="307"/>
      <c r="L255" s="307"/>
      <c r="M255" s="237">
        <f t="shared" si="6"/>
        <v>150</v>
      </c>
      <c r="N255" s="238">
        <f>_xlfn.IFNA(_xlfn.XLOOKUP(B255,'00_SKU_Master'!$B$2:$B$379,'00_SKU_Master'!$C$2:$C$379,0),"")</f>
        <v>61078</v>
      </c>
      <c r="O255" s="233" t="str">
        <f>'05_Daily_Orders'!M255</f>
        <v>COSTCO</v>
      </c>
      <c r="P255" s="239" t="str">
        <f>_xlfn.IFNA(_xlfn.XLOOKUP(B255,'00_SKU_Master'!$B$2:$B$379,'00_SKU_Master'!$E$2:$E$379,""),"")</f>
        <v>Thigh</v>
      </c>
      <c r="Q255" s="240">
        <f>_xlfn.IFNA(_xlfn.XLOOKUP(B255,'00_SKU_Master'!$B$2:$B$379,'00_SKU_Master'!$F$2:$F$379,0),0)</f>
        <v>20.395613023255802</v>
      </c>
      <c r="R255" s="253">
        <f t="shared" si="7"/>
        <v>3059.3419534883701</v>
      </c>
    </row>
    <row r="256" spans="2:18" x14ac:dyDescent="0.35">
      <c r="B256" s="235">
        <f>'05_Daily_Orders'!C256</f>
        <v>201853</v>
      </c>
      <c r="C256" s="303">
        <v>0</v>
      </c>
      <c r="D256" s="303">
        <v>711</v>
      </c>
      <c r="E256" s="306"/>
      <c r="F256" s="306"/>
      <c r="G256" s="307">
        <v>900</v>
      </c>
      <c r="H256" s="307"/>
      <c r="I256" s="307"/>
      <c r="J256" s="307"/>
      <c r="K256" s="307"/>
      <c r="L256" s="307"/>
      <c r="M256" s="237">
        <f t="shared" si="6"/>
        <v>900</v>
      </c>
      <c r="N256" s="238" t="str">
        <f>_xlfn.IFNA(_xlfn.XLOOKUP(B256,'00_SKU_Master'!$B$2:$B$379,'00_SKU_Master'!$C$2:$C$379,0),"")</f>
        <v>61050C</v>
      </c>
      <c r="O256" s="233" t="str">
        <f>'05_Daily_Orders'!M256</f>
        <v>COSTCO</v>
      </c>
      <c r="P256" s="239" t="str">
        <f>_xlfn.IFNA(_xlfn.XLOOKUP(B256,'00_SKU_Master'!$B$2:$B$379,'00_SKU_Master'!$E$2:$E$379,""),"")</f>
        <v>SplitBreast</v>
      </c>
      <c r="Q256" s="240">
        <f>_xlfn.IFNA(_xlfn.XLOOKUP(B256,'00_SKU_Master'!$B$2:$B$379,'00_SKU_Master'!$F$2:$F$379,0),0)</f>
        <v>12.9150411673895</v>
      </c>
      <c r="R256" s="253">
        <f t="shared" si="7"/>
        <v>11623.53705065055</v>
      </c>
    </row>
    <row r="257" spans="2:18" x14ac:dyDescent="0.35">
      <c r="B257" s="235">
        <f>'05_Daily_Orders'!C257</f>
        <v>201854</v>
      </c>
      <c r="C257" s="303">
        <v>0</v>
      </c>
      <c r="D257" s="303">
        <v>110</v>
      </c>
      <c r="E257" s="306"/>
      <c r="F257" s="306"/>
      <c r="G257" s="307">
        <v>120</v>
      </c>
      <c r="H257" s="307"/>
      <c r="I257" s="307"/>
      <c r="J257" s="307"/>
      <c r="K257" s="307"/>
      <c r="L257" s="307"/>
      <c r="M257" s="237">
        <f t="shared" si="6"/>
        <v>120</v>
      </c>
      <c r="N257" s="238" t="str">
        <f>_xlfn.IFNA(_xlfn.XLOOKUP(B257,'00_SKU_Master'!$B$2:$B$379,'00_SKU_Master'!$C$2:$C$379,0),"")</f>
        <v>61086C</v>
      </c>
      <c r="O257" s="233" t="str">
        <f>'05_Daily_Orders'!M257</f>
        <v>COSTCO</v>
      </c>
      <c r="P257" s="239" t="str">
        <f>_xlfn.IFNA(_xlfn.XLOOKUP(B257,'00_SKU_Master'!$B$2:$B$379,'00_SKU_Master'!$E$2:$E$379,""),"")</f>
        <v>ThighMeat</v>
      </c>
      <c r="Q257" s="240">
        <f>_xlfn.IFNA(_xlfn.XLOOKUP(B257,'00_SKU_Master'!$B$2:$B$379,'00_SKU_Master'!$F$2:$F$379,0),0)</f>
        <v>11.996411544824999</v>
      </c>
      <c r="R257" s="253">
        <f t="shared" si="7"/>
        <v>1439.5693853789999</v>
      </c>
    </row>
    <row r="258" spans="2:18" x14ac:dyDescent="0.35">
      <c r="B258" s="235">
        <f>'05_Daily_Orders'!C258</f>
        <v>201855</v>
      </c>
      <c r="C258" s="303">
        <v>1</v>
      </c>
      <c r="D258" s="303">
        <v>0</v>
      </c>
      <c r="E258" s="306"/>
      <c r="F258" s="306"/>
      <c r="G258" s="307">
        <v>0</v>
      </c>
      <c r="H258" s="307"/>
      <c r="I258" s="307"/>
      <c r="J258" s="307"/>
      <c r="K258" s="307"/>
      <c r="L258" s="307"/>
      <c r="M258" s="237">
        <f t="shared" si="6"/>
        <v>-1</v>
      </c>
      <c r="N258" s="238">
        <f>_xlfn.IFNA(_xlfn.XLOOKUP(B258,'00_SKU_Master'!$B$2:$B$379,'00_SKU_Master'!$C$2:$C$379,0),"")</f>
        <v>61072</v>
      </c>
      <c r="O258" s="233" t="str">
        <f>'05_Daily_Orders'!M258</f>
        <v>COSTCO</v>
      </c>
      <c r="P258" s="239" t="str">
        <f>_xlfn.IFNA(_xlfn.XLOOKUP(B258,'00_SKU_Master'!$B$2:$B$379,'00_SKU_Master'!$E$2:$E$379,""),"")</f>
        <v>Drum</v>
      </c>
      <c r="Q258" s="240">
        <f>_xlfn.IFNA(_xlfn.XLOOKUP(B258,'00_SKU_Master'!$B$2:$B$379,'00_SKU_Master'!$F$2:$F$379,0),0)</f>
        <v>16.608195976638498</v>
      </c>
      <c r="R258" s="253">
        <f t="shared" si="7"/>
        <v>-16.608195976638498</v>
      </c>
    </row>
    <row r="259" spans="2:18" x14ac:dyDescent="0.35">
      <c r="B259" s="235">
        <f>'05_Daily_Orders'!C259</f>
        <v>201856</v>
      </c>
      <c r="C259" s="303">
        <v>0</v>
      </c>
      <c r="D259" s="303">
        <v>0</v>
      </c>
      <c r="E259" s="306"/>
      <c r="F259" s="306"/>
      <c r="G259" s="307">
        <v>0</v>
      </c>
      <c r="H259" s="307"/>
      <c r="I259" s="307"/>
      <c r="J259" s="307"/>
      <c r="K259" s="307"/>
      <c r="L259" s="307"/>
      <c r="M259" s="237">
        <f t="shared" ref="M259:M265" si="8">IF($F$2="n",0,(SUM(G259:L259)-C259))</f>
        <v>0</v>
      </c>
      <c r="N259" s="238">
        <f>_xlfn.IFNA(_xlfn.XLOOKUP(B259,'00_SKU_Master'!$B$2:$B$379,'00_SKU_Master'!$C$2:$C$379,0),"")</f>
        <v>61014</v>
      </c>
      <c r="O259" s="233" t="str">
        <f>'05_Daily_Orders'!M259</f>
        <v>COSTCO</v>
      </c>
      <c r="P259" s="239" t="str">
        <f>_xlfn.IFNA(_xlfn.XLOOKUP(B259,'00_SKU_Master'!$B$2:$B$379,'00_SKU_Master'!$E$2:$E$379,""),"")</f>
        <v>SplitWing</v>
      </c>
      <c r="Q259" s="240">
        <f>_xlfn.IFNA(_xlfn.XLOOKUP(B259,'00_SKU_Master'!$B$2:$B$379,'00_SKU_Master'!$F$2:$F$379,0),0)</f>
        <v>13.193755725190799</v>
      </c>
      <c r="R259" s="253">
        <f t="shared" ref="R259:R265" si="9">IF($M259="",0,$M259*Q259)</f>
        <v>0</v>
      </c>
    </row>
    <row r="260" spans="2:18" x14ac:dyDescent="0.35">
      <c r="B260" s="235">
        <f>'05_Daily_Orders'!C260</f>
        <v>207101</v>
      </c>
      <c r="C260" s="303">
        <v>0</v>
      </c>
      <c r="D260" s="303">
        <v>0</v>
      </c>
      <c r="E260" s="306"/>
      <c r="F260" s="306"/>
      <c r="G260" s="307">
        <v>0</v>
      </c>
      <c r="H260" s="307"/>
      <c r="I260" s="307"/>
      <c r="J260" s="307"/>
      <c r="K260" s="307"/>
      <c r="L260" s="307"/>
      <c r="M260" s="237">
        <f t="shared" si="8"/>
        <v>0</v>
      </c>
      <c r="N260" s="238">
        <f>_xlfn.IFNA(_xlfn.XLOOKUP(B260,'00_SKU_Master'!$B$2:$B$379,'00_SKU_Master'!$C$2:$C$379,0),"")</f>
        <v>61077</v>
      </c>
      <c r="O260" s="233" t="str">
        <f>'05_Daily_Orders'!M260</f>
        <v>LCL</v>
      </c>
      <c r="P260" s="239" t="str">
        <f>_xlfn.IFNA(_xlfn.XLOOKUP(B260,'00_SKU_Master'!$B$2:$B$379,'00_SKU_Master'!$E$2:$E$379,""),"")</f>
        <v>Thigh</v>
      </c>
      <c r="Q260" s="240">
        <f>_xlfn.IFNA(_xlfn.XLOOKUP(B260,'00_SKU_Master'!$B$2:$B$379,'00_SKU_Master'!$F$2:$F$379,0),0)</f>
        <v>0</v>
      </c>
      <c r="R260" s="253">
        <f t="shared" si="9"/>
        <v>0</v>
      </c>
    </row>
    <row r="261" spans="2:18" x14ac:dyDescent="0.35">
      <c r="B261" s="235">
        <f>'05_Daily_Orders'!C261</f>
        <v>207102</v>
      </c>
      <c r="C261" s="303">
        <v>0</v>
      </c>
      <c r="D261" s="303">
        <v>0</v>
      </c>
      <c r="E261" s="306"/>
      <c r="F261" s="306"/>
      <c r="G261" s="307">
        <v>0</v>
      </c>
      <c r="H261" s="307"/>
      <c r="I261" s="307"/>
      <c r="J261" s="307"/>
      <c r="K261" s="307"/>
      <c r="L261" s="307"/>
      <c r="M261" s="237">
        <f t="shared" si="8"/>
        <v>0</v>
      </c>
      <c r="N261" s="238">
        <f>_xlfn.IFNA(_xlfn.XLOOKUP(B261,'00_SKU_Master'!$B$2:$B$379,'00_SKU_Master'!$C$2:$C$379,0),"")</f>
        <v>61072</v>
      </c>
      <c r="O261" s="233" t="str">
        <f>'05_Daily_Orders'!M261</f>
        <v>LCL</v>
      </c>
      <c r="P261" s="239" t="str">
        <f>_xlfn.IFNA(_xlfn.XLOOKUP(B261,'00_SKU_Master'!$B$2:$B$379,'00_SKU_Master'!$E$2:$E$379,""),"")</f>
        <v>Drum</v>
      </c>
      <c r="Q261" s="240">
        <f>_xlfn.IFNA(_xlfn.XLOOKUP(B261,'00_SKU_Master'!$B$2:$B$379,'00_SKU_Master'!$F$2:$F$379,0),0)</f>
        <v>0</v>
      </c>
      <c r="R261" s="253">
        <f t="shared" si="9"/>
        <v>0</v>
      </c>
    </row>
    <row r="262" spans="2:18" x14ac:dyDescent="0.35">
      <c r="B262" s="235">
        <f>'05_Daily_Orders'!C262</f>
        <v>207103</v>
      </c>
      <c r="C262" s="303">
        <v>0</v>
      </c>
      <c r="D262" s="303">
        <v>0</v>
      </c>
      <c r="E262" s="306"/>
      <c r="F262" s="306"/>
      <c r="G262" s="307">
        <v>0</v>
      </c>
      <c r="H262" s="307"/>
      <c r="I262" s="307"/>
      <c r="J262" s="307"/>
      <c r="K262" s="307"/>
      <c r="L262" s="307"/>
      <c r="M262" s="237">
        <f t="shared" si="8"/>
        <v>0</v>
      </c>
      <c r="N262" s="238">
        <f>_xlfn.IFNA(_xlfn.XLOOKUP(B262,'00_SKU_Master'!$B$2:$B$379,'00_SKU_Master'!$C$2:$C$379,0),"")</f>
        <v>203136</v>
      </c>
      <c r="O262" s="233" t="str">
        <f>'05_Daily_Orders'!M262</f>
        <v>LCL</v>
      </c>
      <c r="P262" s="239" t="str">
        <f>_xlfn.IFNA(_xlfn.XLOOKUP(B262,'00_SKU_Master'!$B$2:$B$379,'00_SKU_Master'!$E$2:$E$379,""),"")</f>
        <v>Whole Bird-Small</v>
      </c>
      <c r="Q262" s="240">
        <f>_xlfn.IFNA(_xlfn.XLOOKUP(B262,'00_SKU_Master'!$B$2:$B$379,'00_SKU_Master'!$F$2:$F$379,0),0)</f>
        <v>0</v>
      </c>
      <c r="R262" s="253">
        <f t="shared" si="9"/>
        <v>0</v>
      </c>
    </row>
    <row r="263" spans="2:18" x14ac:dyDescent="0.35">
      <c r="B263" s="235">
        <f>'05_Daily_Orders'!C263</f>
        <v>207104</v>
      </c>
      <c r="C263" s="303">
        <v>0</v>
      </c>
      <c r="D263" s="303">
        <v>0</v>
      </c>
      <c r="E263" s="306"/>
      <c r="F263" s="306"/>
      <c r="G263" s="307">
        <v>0</v>
      </c>
      <c r="H263" s="307"/>
      <c r="I263" s="307"/>
      <c r="J263" s="307"/>
      <c r="K263" s="307"/>
      <c r="L263" s="307"/>
      <c r="M263" s="237">
        <f t="shared" si="8"/>
        <v>0</v>
      </c>
      <c r="N263" s="238">
        <f>_xlfn.IFNA(_xlfn.XLOOKUP(B263,'00_SKU_Master'!$B$2:$B$379,'00_SKU_Master'!$C$2:$C$379,0),"")</f>
        <v>61050</v>
      </c>
      <c r="O263" s="233" t="str">
        <f>'05_Daily_Orders'!M263</f>
        <v>LCL</v>
      </c>
      <c r="P263" s="239" t="str">
        <f>_xlfn.IFNA(_xlfn.XLOOKUP(B263,'00_SKU_Master'!$B$2:$B$379,'00_SKU_Master'!$E$2:$E$379,""),"")</f>
        <v>BSB</v>
      </c>
      <c r="Q263" s="240">
        <f>_xlfn.IFNA(_xlfn.XLOOKUP(B263,'00_SKU_Master'!$B$2:$B$379,'00_SKU_Master'!$F$2:$F$379,0),0)</f>
        <v>0</v>
      </c>
      <c r="R263" s="253">
        <f t="shared" si="9"/>
        <v>0</v>
      </c>
    </row>
    <row r="264" spans="2:18" x14ac:dyDescent="0.35">
      <c r="B264" s="235">
        <f>'05_Daily_Orders'!C264</f>
        <v>207127</v>
      </c>
      <c r="C264" s="303">
        <v>0</v>
      </c>
      <c r="D264" s="303">
        <v>0</v>
      </c>
      <c r="E264" s="306"/>
      <c r="F264" s="306"/>
      <c r="G264" s="307">
        <v>0</v>
      </c>
      <c r="H264" s="307"/>
      <c r="I264" s="307"/>
      <c r="J264" s="307"/>
      <c r="K264" s="307"/>
      <c r="L264" s="307"/>
      <c r="M264" s="237">
        <f t="shared" si="8"/>
        <v>0</v>
      </c>
      <c r="N264" s="238">
        <f>_xlfn.IFNA(_xlfn.XLOOKUP(B264,'00_SKU_Master'!$B$2:$B$379,'00_SKU_Master'!$C$2:$C$379,0),"")</f>
        <v>61014</v>
      </c>
      <c r="O264" s="233" t="str">
        <f>'05_Daily_Orders'!M264</f>
        <v>LCL</v>
      </c>
      <c r="P264" s="239" t="str">
        <f>_xlfn.IFNA(_xlfn.XLOOKUP(B264,'00_SKU_Master'!$B$2:$B$379,'00_SKU_Master'!$E$2:$E$379,""),"")</f>
        <v>SplitWing</v>
      </c>
      <c r="Q264" s="240">
        <f>_xlfn.IFNA(_xlfn.XLOOKUP(B264,'00_SKU_Master'!$B$2:$B$379,'00_SKU_Master'!$F$2:$F$379,0),0)</f>
        <v>0</v>
      </c>
      <c r="R264" s="253">
        <f t="shared" si="9"/>
        <v>0</v>
      </c>
    </row>
    <row r="265" spans="2:18" x14ac:dyDescent="0.35">
      <c r="B265" s="235">
        <f>'05_Daily_Orders'!C265</f>
        <v>207128</v>
      </c>
      <c r="C265" s="303">
        <v>0</v>
      </c>
      <c r="D265" s="303">
        <v>0</v>
      </c>
      <c r="E265" s="306"/>
      <c r="F265" s="306"/>
      <c r="G265" s="307">
        <v>0</v>
      </c>
      <c r="H265" s="307"/>
      <c r="I265" s="307"/>
      <c r="J265" s="307"/>
      <c r="K265" s="307"/>
      <c r="L265" s="307"/>
      <c r="M265" s="237">
        <f t="shared" si="8"/>
        <v>0</v>
      </c>
      <c r="N265" s="238">
        <f>_xlfn.IFNA(_xlfn.XLOOKUP(B265,'00_SKU_Master'!$B$2:$B$379,'00_SKU_Master'!$C$2:$C$379,0),"")</f>
        <v>203021</v>
      </c>
      <c r="O265" s="233" t="str">
        <f>'05_Daily_Orders'!M265</f>
        <v>LCL</v>
      </c>
      <c r="P265" s="239" t="str">
        <f>_xlfn.IFNA(_xlfn.XLOOKUP(B265,'00_SKU_Master'!$B$2:$B$379,'00_SKU_Master'!$E$2:$E$379,""),"")</f>
        <v>Whole Bird-Small</v>
      </c>
      <c r="Q265" s="240">
        <f>_xlfn.IFNA(_xlfn.XLOOKUP(B265,'00_SKU_Master'!$B$2:$B$379,'00_SKU_Master'!$F$2:$F$379,0),0)</f>
        <v>0</v>
      </c>
      <c r="R265" s="253">
        <f t="shared" si="9"/>
        <v>0</v>
      </c>
    </row>
  </sheetData>
  <sheetProtection sheet="1" objects="1" scenarios="1"/>
  <autoFilter ref="B2:R2" xr:uid="{00000000-0001-0000-0400-000000000000}"/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AD47"/>
  </sheetPr>
  <dimension ref="B2:O201"/>
  <sheetViews>
    <sheetView workbookViewId="0">
      <selection activeCell="D3" sqref="D3:D36"/>
    </sheetView>
  </sheetViews>
  <sheetFormatPr defaultColWidth="8.81640625" defaultRowHeight="14.5" x14ac:dyDescent="0.35"/>
  <cols>
    <col min="1" max="1" width="2.36328125" customWidth="1"/>
    <col min="2" max="2" width="11.90625" customWidth="1"/>
    <col min="3" max="3" width="30.1796875" bestFit="1" customWidth="1"/>
    <col min="4" max="6" width="11.90625" customWidth="1"/>
    <col min="7" max="7" width="2.36328125" customWidth="1"/>
    <col min="8" max="15" width="7.6328125" customWidth="1"/>
  </cols>
  <sheetData>
    <row r="2" spans="2:15" ht="27" customHeight="1" x14ac:dyDescent="0.35">
      <c r="B2" s="263" t="str">
        <f t="array" aca="1" ref="B2" ca="1">IFERROR(VALUE(LEFT(C2, MATCH(FALSE, ISNUMBER(MID(C2, ROW(INDIRECT("1:"&amp;LEN(C2)+1)), 1) *1), 0) -1)),"")</f>
        <v/>
      </c>
      <c r="C2" s="264" t="s">
        <v>444</v>
      </c>
      <c r="D2" s="264"/>
      <c r="E2" s="264"/>
      <c r="F2" s="264"/>
      <c r="G2" s="265"/>
      <c r="H2" s="266">
        <f ca="1">IFERROR(SUMIF('13_Progress_Track'!$A$2:$A$108,B2,'13_Progress_Track'!$E$2:$E$108),"0")</f>
        <v>0</v>
      </c>
      <c r="I2" s="266"/>
      <c r="J2" s="264"/>
      <c r="K2" s="264" t="s">
        <v>7</v>
      </c>
      <c r="L2" s="264" t="s">
        <v>8</v>
      </c>
      <c r="M2" s="264" t="s">
        <v>445</v>
      </c>
      <c r="N2" s="264" t="s">
        <v>443</v>
      </c>
      <c r="O2" s="267" t="s">
        <v>446</v>
      </c>
    </row>
    <row r="3" spans="2:15" ht="15" customHeight="1" x14ac:dyDescent="0.35">
      <c r="B3" s="280">
        <f t="array" aca="1" ref="B3" ca="1">IFERROR(VALUE(LEFT(C3, MATCH(FALSE, ISNUMBER(MID(C3, ROW(INDIRECT("1:"&amp;LEN(C3)+1)), 1) *1), 0) -1)),"")</f>
        <v>203035</v>
      </c>
      <c r="C3" s="299" t="s">
        <v>447</v>
      </c>
      <c r="D3" s="300">
        <v>261</v>
      </c>
      <c r="E3" s="301"/>
      <c r="F3" s="301"/>
      <c r="G3" s="254"/>
      <c r="H3" s="255">
        <f ca="1">IFERROR(SUMIF('13_Progress_Track'!$A$2:$A$108,B3,'13_Progress_Track'!$E$2:$E$108),"0")</f>
        <v>0</v>
      </c>
      <c r="I3" s="255">
        <f t="shared" ref="I3:I36" ca="1" si="0">IFERROR(D3-H3,"")</f>
        <v>261</v>
      </c>
      <c r="J3" s="255"/>
      <c r="K3" s="256" t="str">
        <f ca="1">IFERROR(_xlfn.XLOOKUP(B3,'00_SKU_Master'!$B$2:$B$379,'00_SKU_Master'!$E$2:$E$379,""),"")</f>
        <v>SplitWing</v>
      </c>
      <c r="L3" s="257">
        <f ca="1">IFERROR(_xlfn.XLOOKUP(B3,'00_SKU_Master'!$B$2:$B$379,'00_SKU_Master'!$F$2:$F$379,0),0)</f>
        <v>23</v>
      </c>
      <c r="M3" s="258">
        <f ca="1">IFERROR(_xlfn.XLOOKUP(K3,'00_Yield_Rates'!$B$2:$B$33,'00_Yield_Rates'!$E$2:$E$33,0)/100,0)</f>
        <v>9.5000000000000001E-2</v>
      </c>
      <c r="N3" s="257">
        <f t="shared" ref="N3:N36" ca="1" si="1">IF(AND(ISNUMBER(I3),ISNUMBER(L3)),I3*L3,0)</f>
        <v>6003</v>
      </c>
      <c r="O3" s="259">
        <f t="shared" ref="O3:O34" ca="1" si="2">IF($B3="","",$B3)</f>
        <v>203035</v>
      </c>
    </row>
    <row r="4" spans="2:15" ht="15" customHeight="1" x14ac:dyDescent="0.35">
      <c r="B4" s="280">
        <f t="array" aca="1" ref="B4" ca="1">IFERROR(VALUE(LEFT(C4, MATCH(FALSE, ISNUMBER(MID(C4, ROW(INDIRECT("1:"&amp;LEN(C4)+1)), 1) *1), 0) -1)),"")</f>
        <v>203172</v>
      </c>
      <c r="C4" s="302" t="s">
        <v>448</v>
      </c>
      <c r="D4" s="302"/>
      <c r="E4" s="302"/>
      <c r="F4" s="302"/>
      <c r="G4" s="127"/>
      <c r="H4" s="260">
        <f ca="1">IFERROR(SUMIF('13_Progress_Track'!$A$2:$A$108,B4,'13_Progress_Track'!$E$2:$E$108),"0")</f>
        <v>0</v>
      </c>
      <c r="I4" s="261">
        <f t="shared" ca="1" si="0"/>
        <v>0</v>
      </c>
      <c r="J4" s="261"/>
      <c r="K4" s="261" t="str">
        <f ca="1">IFERROR(_xlfn.XLOOKUP(B4,'00_SKU_Master'!$B$2:$B$379,'00_SKU_Master'!$E$2:$E$379,""),"")</f>
        <v>Wing</v>
      </c>
      <c r="L4" s="259">
        <f ca="1">IFERROR(_xlfn.XLOOKUP(B4,'00_SKU_Master'!$B$2:$B$379,'00_SKU_Master'!$F$2:$F$379,0),0)</f>
        <v>25</v>
      </c>
      <c r="M4" s="262">
        <f ca="1">IFERROR(_xlfn.XLOOKUP(K4,'00_Yield_Rates'!$B$2:$B$33,'00_Yield_Rates'!$E$2:$E$33,0)/100,0)</f>
        <v>0.10800000000000001</v>
      </c>
      <c r="N4" s="259">
        <f t="shared" ca="1" si="1"/>
        <v>0</v>
      </c>
      <c r="O4" s="259">
        <f t="shared" ca="1" si="2"/>
        <v>203172</v>
      </c>
    </row>
    <row r="5" spans="2:15" ht="15" customHeight="1" x14ac:dyDescent="0.35">
      <c r="B5" s="280">
        <f t="array" aca="1" ref="B5" ca="1">IFERROR(VALUE(LEFT(C5, MATCH(FALSE, ISNUMBER(MID(C5, ROW(INDIRECT("1:"&amp;LEN(C5)+1)), 1) *1), 0) -1)),"")</f>
        <v>868</v>
      </c>
      <c r="C5" s="302" t="s">
        <v>449</v>
      </c>
      <c r="D5" s="302">
        <v>40</v>
      </c>
      <c r="E5" s="302"/>
      <c r="F5" s="302"/>
      <c r="G5" s="127"/>
      <c r="H5" s="260">
        <f ca="1">IFERROR(SUMIF('13_Progress_Track'!$A$2:$A$108,B5,'13_Progress_Track'!$E$2:$E$108),"0")</f>
        <v>0</v>
      </c>
      <c r="I5" s="261">
        <f t="shared" ca="1" si="0"/>
        <v>40</v>
      </c>
      <c r="J5" s="261"/>
      <c r="K5" s="261" t="str">
        <f ca="1">IFERROR(_xlfn.XLOOKUP(B5,'00_SKU_Master'!$B$2:$B$379,'00_SKU_Master'!$E$2:$E$379,""),"")</f>
        <v>SplitWing</v>
      </c>
      <c r="L5" s="259">
        <f ca="1">IFERROR(_xlfn.XLOOKUP(B5,'00_SKU_Master'!$B$2:$B$379,'00_SKU_Master'!$F$2:$F$379,0),0)</f>
        <v>18</v>
      </c>
      <c r="M5" s="262">
        <f ca="1">IFERROR(_xlfn.XLOOKUP(K5,'00_Yield_Rates'!$B$2:$B$33,'00_Yield_Rates'!$E$2:$E$33,0)/100,0)</f>
        <v>9.5000000000000001E-2</v>
      </c>
      <c r="N5" s="259">
        <f t="shared" ca="1" si="1"/>
        <v>720</v>
      </c>
      <c r="O5" s="259">
        <f t="shared" ca="1" si="2"/>
        <v>868</v>
      </c>
    </row>
    <row r="6" spans="2:15" ht="15" customHeight="1" x14ac:dyDescent="0.35">
      <c r="B6" s="280">
        <f t="array" aca="1" ref="B6" ca="1">IFERROR(VALUE(LEFT(C6, MATCH(FALSE, ISNUMBER(MID(C6, ROW(INDIRECT("1:"&amp;LEN(C6)+1)), 1) *1), 0) -1)),"")</f>
        <v>200868</v>
      </c>
      <c r="C6" s="302" t="s">
        <v>450</v>
      </c>
      <c r="D6" s="302">
        <v>120</v>
      </c>
      <c r="E6" s="302"/>
      <c r="F6" s="302"/>
      <c r="G6" s="127"/>
      <c r="H6" s="260">
        <f ca="1">IFERROR(SUMIF('13_Progress_Track'!$A$2:$A$108,B6,'13_Progress_Track'!$E$2:$E$108),"0")</f>
        <v>0</v>
      </c>
      <c r="I6" s="261">
        <f t="shared" ca="1" si="0"/>
        <v>120</v>
      </c>
      <c r="J6" s="261"/>
      <c r="K6" s="261" t="str">
        <f ca="1">IFERROR(_xlfn.XLOOKUP(B6,'00_SKU_Master'!$B$2:$B$379,'00_SKU_Master'!$E$2:$E$379,""),"")</f>
        <v>SplitWing</v>
      </c>
      <c r="L6" s="259">
        <f ca="1">IFERROR(_xlfn.XLOOKUP(B6,'00_SKU_Master'!$B$2:$B$379,'00_SKU_Master'!$F$2:$F$379,0),0)</f>
        <v>18</v>
      </c>
      <c r="M6" s="262">
        <f ca="1">IFERROR(_xlfn.XLOOKUP(K6,'00_Yield_Rates'!$B$2:$B$33,'00_Yield_Rates'!$E$2:$E$33,0)/100,0)</f>
        <v>9.5000000000000001E-2</v>
      </c>
      <c r="N6" s="259">
        <f t="shared" ca="1" si="1"/>
        <v>2160</v>
      </c>
      <c r="O6" s="259">
        <f t="shared" ca="1" si="2"/>
        <v>200868</v>
      </c>
    </row>
    <row r="7" spans="2:15" ht="15" customHeight="1" x14ac:dyDescent="0.35">
      <c r="B7" s="280">
        <f t="array" aca="1" ref="B7" ca="1">IFERROR(VALUE(LEFT(C7, MATCH(FALSE, ISNUMBER(MID(C7, ROW(INDIRECT("1:"&amp;LEN(C7)+1)), 1) *1), 0) -1)),"")</f>
        <v>40021</v>
      </c>
      <c r="C7" s="302" t="s">
        <v>451</v>
      </c>
      <c r="D7" s="302"/>
      <c r="E7" s="302"/>
      <c r="F7" s="302"/>
      <c r="G7" s="127"/>
      <c r="H7" s="260">
        <f ca="1">IFERROR(SUMIF('13_Progress_Track'!$A$2:$A$108,B7,'13_Progress_Track'!$E$2:$E$108),"0")</f>
        <v>0</v>
      </c>
      <c r="I7" s="261">
        <f t="shared" ca="1" si="0"/>
        <v>0</v>
      </c>
      <c r="J7" s="261"/>
      <c r="K7" s="261" t="str">
        <f ca="1">IFERROR(_xlfn.XLOOKUP(B7,'00_SKU_Master'!$B$2:$B$379,'00_SKU_Master'!$E$2:$E$379,""),"")</f>
        <v/>
      </c>
      <c r="L7" s="259">
        <f ca="1">IFERROR(_xlfn.XLOOKUP(B7,'00_SKU_Master'!$B$2:$B$379,'00_SKU_Master'!$F$2:$F$379,0),0)</f>
        <v>0</v>
      </c>
      <c r="M7" s="262">
        <f ca="1">IFERROR(_xlfn.XLOOKUP(K7,'00_Yield_Rates'!$B$2:$B$33,'00_Yield_Rates'!$E$2:$E$33,0)/100,0)</f>
        <v>0</v>
      </c>
      <c r="N7" s="259">
        <f t="shared" ca="1" si="1"/>
        <v>0</v>
      </c>
      <c r="O7" s="259">
        <f t="shared" ca="1" si="2"/>
        <v>40021</v>
      </c>
    </row>
    <row r="8" spans="2:15" ht="15" customHeight="1" x14ac:dyDescent="0.35">
      <c r="B8" s="280">
        <f t="array" aca="1" ref="B8" ca="1">IFERROR(VALUE(LEFT(C8, MATCH(FALSE, ISNUMBER(MID(C8, ROW(INDIRECT("1:"&amp;LEN(C8)+1)), 1) *1), 0) -1)),"")</f>
        <v>904</v>
      </c>
      <c r="C8" s="302" t="s">
        <v>452</v>
      </c>
      <c r="D8" s="302"/>
      <c r="E8" s="302"/>
      <c r="F8" s="302"/>
      <c r="G8" s="127"/>
      <c r="H8" s="260">
        <f ca="1">IFERROR(SUMIF('13_Progress_Track'!$A$2:$A$108,B8,'13_Progress_Track'!$E$2:$E$108),"0")</f>
        <v>0</v>
      </c>
      <c r="I8" s="261">
        <f t="shared" ca="1" si="0"/>
        <v>0</v>
      </c>
      <c r="J8" s="261"/>
      <c r="K8" s="261" t="str">
        <f ca="1">IFERROR(_xlfn.XLOOKUP(B8,'00_SKU_Master'!$B$2:$B$379,'00_SKU_Master'!$E$2:$E$379,""),"")</f>
        <v>Wing</v>
      </c>
      <c r="L8" s="259">
        <f ca="1">IFERROR(_xlfn.XLOOKUP(B8,'00_SKU_Master'!$B$2:$B$379,'00_SKU_Master'!$F$2:$F$379,0),0)</f>
        <v>18</v>
      </c>
      <c r="M8" s="262">
        <f ca="1">IFERROR(_xlfn.XLOOKUP(K8,'00_Yield_Rates'!$B$2:$B$33,'00_Yield_Rates'!$E$2:$E$33,0)/100,0)</f>
        <v>0.10800000000000001</v>
      </c>
      <c r="N8" s="259">
        <f t="shared" ca="1" si="1"/>
        <v>0</v>
      </c>
      <c r="O8" s="259">
        <f t="shared" ca="1" si="2"/>
        <v>904</v>
      </c>
    </row>
    <row r="9" spans="2:15" ht="15" customHeight="1" x14ac:dyDescent="0.35">
      <c r="B9" s="280">
        <f t="array" aca="1" ref="B9" ca="1">IFERROR(VALUE(LEFT(C9, MATCH(FALSE, ISNUMBER(MID(C9, ROW(INDIRECT("1:"&amp;LEN(C9)+1)), 1) *1), 0) -1)),"")</f>
        <v>200904</v>
      </c>
      <c r="C9" s="302" t="s">
        <v>453</v>
      </c>
      <c r="D9" s="302"/>
      <c r="E9" s="302"/>
      <c r="F9" s="302"/>
      <c r="G9" s="127"/>
      <c r="H9" s="260">
        <f ca="1">IFERROR(SUMIF('13_Progress_Track'!$A$2:$A$108,B9,'13_Progress_Track'!$E$2:$E$108),"0")</f>
        <v>0</v>
      </c>
      <c r="I9" s="261">
        <f t="shared" ca="1" si="0"/>
        <v>0</v>
      </c>
      <c r="J9" s="261"/>
      <c r="K9" s="261" t="str">
        <f ca="1">IFERROR(_xlfn.XLOOKUP(B9,'00_SKU_Master'!$B$2:$B$379,'00_SKU_Master'!$E$2:$E$379,""),"")</f>
        <v>Wing</v>
      </c>
      <c r="L9" s="259">
        <f ca="1">IFERROR(_xlfn.XLOOKUP(B9,'00_SKU_Master'!$B$2:$B$379,'00_SKU_Master'!$F$2:$F$379,0),0)</f>
        <v>18</v>
      </c>
      <c r="M9" s="262">
        <f ca="1">IFERROR(_xlfn.XLOOKUP(K9,'00_Yield_Rates'!$B$2:$B$33,'00_Yield_Rates'!$E$2:$E$33,0)/100,0)</f>
        <v>0.10800000000000001</v>
      </c>
      <c r="N9" s="259">
        <f t="shared" ca="1" si="1"/>
        <v>0</v>
      </c>
      <c r="O9" s="259">
        <f t="shared" ca="1" si="2"/>
        <v>200904</v>
      </c>
    </row>
    <row r="10" spans="2:15" ht="15" customHeight="1" x14ac:dyDescent="0.35">
      <c r="B10" s="280">
        <f t="array" aca="1" ref="B10" ca="1">IFERROR(VALUE(LEFT(C10, MATCH(FALSE, ISNUMBER(MID(C10, ROW(INDIRECT("1:"&amp;LEN(C10)+1)), 1) *1), 0) -1)),"")</f>
        <v>895</v>
      </c>
      <c r="C10" s="302" t="s">
        <v>454</v>
      </c>
      <c r="D10" s="302"/>
      <c r="E10" s="302"/>
      <c r="F10" s="302"/>
      <c r="G10" s="127"/>
      <c r="H10" s="260">
        <f ca="1">IFERROR(SUMIF('13_Progress_Track'!$A$2:$A$108,B10,'13_Progress_Track'!$E$2:$E$108),"0")</f>
        <v>0</v>
      </c>
      <c r="I10" s="261">
        <f t="shared" ca="1" si="0"/>
        <v>0</v>
      </c>
      <c r="J10" s="261"/>
      <c r="K10" s="261" t="str">
        <f ca="1">IFERROR(_xlfn.XLOOKUP(B10,'00_SKU_Master'!$B$2:$B$379,'00_SKU_Master'!$E$2:$E$379,""),"")</f>
        <v>Drum</v>
      </c>
      <c r="L10" s="259">
        <f ca="1">IFERROR(_xlfn.XLOOKUP(B10,'00_SKU_Master'!$B$2:$B$379,'00_SKU_Master'!$F$2:$F$379,0),0)</f>
        <v>18</v>
      </c>
      <c r="M10" s="262">
        <f ca="1">IFERROR(_xlfn.XLOOKUP(K10,'00_Yield_Rates'!$B$2:$B$33,'00_Yield_Rates'!$E$2:$E$33,0)/100,0)</f>
        <v>0.14300000000000002</v>
      </c>
      <c r="N10" s="259">
        <f t="shared" ca="1" si="1"/>
        <v>0</v>
      </c>
      <c r="O10" s="259">
        <f t="shared" ca="1" si="2"/>
        <v>895</v>
      </c>
    </row>
    <row r="11" spans="2:15" ht="15" customHeight="1" x14ac:dyDescent="0.35">
      <c r="B11" s="280">
        <f t="array" aca="1" ref="B11" ca="1">IFERROR(VALUE(LEFT(C11, MATCH(FALSE, ISNUMBER(MID(C11, ROW(INDIRECT("1:"&amp;LEN(C11)+1)), 1) *1), 0) -1)),"")</f>
        <v>200095</v>
      </c>
      <c r="C11" s="302" t="s">
        <v>455</v>
      </c>
      <c r="D11" s="302">
        <v>735</v>
      </c>
      <c r="E11" s="302"/>
      <c r="F11" s="302"/>
      <c r="G11" s="127"/>
      <c r="H11" s="260">
        <f ca="1">IFERROR(SUMIF('13_Progress_Track'!$A$2:$A$108,B11,'13_Progress_Track'!$E$2:$E$108),"0")</f>
        <v>0</v>
      </c>
      <c r="I11" s="261">
        <f t="shared" ca="1" si="0"/>
        <v>735</v>
      </c>
      <c r="J11" s="261"/>
      <c r="K11" s="261" t="str">
        <f ca="1">IFERROR(_xlfn.XLOOKUP(B11,'00_SKU_Master'!$B$2:$B$379,'00_SKU_Master'!$E$2:$E$379,""),"")</f>
        <v>Drum</v>
      </c>
      <c r="L11" s="259">
        <f ca="1">IFERROR(_xlfn.XLOOKUP(B11,'00_SKU_Master'!$B$2:$B$379,'00_SKU_Master'!$F$2:$F$379,0),0)</f>
        <v>18</v>
      </c>
      <c r="M11" s="262">
        <f ca="1">IFERROR(_xlfn.XLOOKUP(K11,'00_Yield_Rates'!$B$2:$B$33,'00_Yield_Rates'!$E$2:$E$33,0)/100,0)</f>
        <v>0.14300000000000002</v>
      </c>
      <c r="N11" s="259">
        <f t="shared" ca="1" si="1"/>
        <v>13230</v>
      </c>
      <c r="O11" s="259">
        <f t="shared" ca="1" si="2"/>
        <v>200095</v>
      </c>
    </row>
    <row r="12" spans="2:15" ht="15" customHeight="1" x14ac:dyDescent="0.35">
      <c r="B12" s="280">
        <f t="array" aca="1" ref="B12" ca="1">IFERROR(VALUE(LEFT(C12, MATCH(FALSE, ISNUMBER(MID(C12, ROW(INDIRECT("1:"&amp;LEN(C12)+1)), 1) *1), 0) -1)),"")</f>
        <v>160</v>
      </c>
      <c r="C12" s="302" t="s">
        <v>456</v>
      </c>
      <c r="D12" s="302"/>
      <c r="E12" s="302"/>
      <c r="F12" s="302"/>
      <c r="G12" s="127"/>
      <c r="H12" s="260">
        <f ca="1">IFERROR(SUMIF('13_Progress_Track'!$A$2:$A$108,B12,'13_Progress_Track'!$E$2:$E$108),"0")</f>
        <v>0</v>
      </c>
      <c r="I12" s="261">
        <f t="shared" ca="1" si="0"/>
        <v>0</v>
      </c>
      <c r="J12" s="261"/>
      <c r="K12" s="261" t="str">
        <f ca="1">IFERROR(_xlfn.XLOOKUP(B12,'00_SKU_Master'!$B$2:$B$379,'00_SKU_Master'!$E$2:$E$379,""),"")</f>
        <v>Drum</v>
      </c>
      <c r="L12" s="259">
        <f ca="1">IFERROR(_xlfn.XLOOKUP(B12,'00_SKU_Master'!$B$2:$B$379,'00_SKU_Master'!$F$2:$F$379,0),0)</f>
        <v>18</v>
      </c>
      <c r="M12" s="262">
        <f ca="1">IFERROR(_xlfn.XLOOKUP(K12,'00_Yield_Rates'!$B$2:$B$33,'00_Yield_Rates'!$E$2:$E$33,0)/100,0)</f>
        <v>0.14300000000000002</v>
      </c>
      <c r="N12" s="259">
        <f t="shared" ca="1" si="1"/>
        <v>0</v>
      </c>
      <c r="O12" s="259">
        <f t="shared" ca="1" si="2"/>
        <v>160</v>
      </c>
    </row>
    <row r="13" spans="2:15" ht="15" customHeight="1" x14ac:dyDescent="0.35">
      <c r="B13" s="280">
        <f t="array" aca="1" ref="B13" ca="1">IFERROR(VALUE(LEFT(C13, MATCH(FALSE, ISNUMBER(MID(C13, ROW(INDIRECT("1:"&amp;LEN(C13)+1)), 1) *1), 0) -1)),"")</f>
        <v>203271</v>
      </c>
      <c r="C13" s="302" t="s">
        <v>457</v>
      </c>
      <c r="D13" s="302"/>
      <c r="E13" s="302"/>
      <c r="F13" s="302"/>
      <c r="G13" s="127"/>
      <c r="H13" s="260">
        <f ca="1">IFERROR(SUMIF('13_Progress_Track'!$A$2:$A$108,B13,'13_Progress_Track'!$E$2:$E$108),"0")</f>
        <v>0</v>
      </c>
      <c r="I13" s="261">
        <f t="shared" ca="1" si="0"/>
        <v>0</v>
      </c>
      <c r="J13" s="261"/>
      <c r="K13" s="261" t="str">
        <f ca="1">IFERROR(_xlfn.XLOOKUP(B13,'00_SKU_Master'!$B$2:$B$379,'00_SKU_Master'!$E$2:$E$379,""),"")</f>
        <v/>
      </c>
      <c r="L13" s="259">
        <f ca="1">IFERROR(_xlfn.XLOOKUP(B13,'00_SKU_Master'!$B$2:$B$379,'00_SKU_Master'!$F$2:$F$379,0),0)</f>
        <v>0</v>
      </c>
      <c r="M13" s="262">
        <f ca="1">IFERROR(_xlfn.XLOOKUP(K13,'00_Yield_Rates'!$B$2:$B$33,'00_Yield_Rates'!$E$2:$E$33,0)/100,0)</f>
        <v>0</v>
      </c>
      <c r="N13" s="259">
        <f t="shared" ca="1" si="1"/>
        <v>0</v>
      </c>
      <c r="O13" s="259">
        <f t="shared" ca="1" si="2"/>
        <v>203271</v>
      </c>
    </row>
    <row r="14" spans="2:15" ht="15" customHeight="1" x14ac:dyDescent="0.35">
      <c r="B14" s="280">
        <f t="array" aca="1" ref="B14" ca="1">IFERROR(VALUE(LEFT(C14, MATCH(FALSE, ISNUMBER(MID(C14, ROW(INDIRECT("1:"&amp;LEN(C14)+1)), 1) *1), 0) -1)),"")</f>
        <v>159</v>
      </c>
      <c r="C14" s="302" t="s">
        <v>458</v>
      </c>
      <c r="D14" s="302">
        <v>250</v>
      </c>
      <c r="E14" s="302"/>
      <c r="F14" s="302"/>
      <c r="G14" s="127"/>
      <c r="H14" s="260">
        <f ca="1">IFERROR(SUMIF('13_Progress_Track'!$A$2:$A$108,B14,'13_Progress_Track'!$E$2:$E$108),"0")</f>
        <v>0</v>
      </c>
      <c r="I14" s="261">
        <f t="shared" ca="1" si="0"/>
        <v>250</v>
      </c>
      <c r="J14" s="261"/>
      <c r="K14" s="261" t="str">
        <f ca="1">IFERROR(_xlfn.XLOOKUP(B14,'00_SKU_Master'!$B$2:$B$379,'00_SKU_Master'!$E$2:$E$379,""),"")</f>
        <v>BA</v>
      </c>
      <c r="L14" s="259">
        <f ca="1">IFERROR(_xlfn.XLOOKUP(B14,'00_SKU_Master'!$B$2:$B$379,'00_SKU_Master'!$F$2:$F$379,0),0)</f>
        <v>18</v>
      </c>
      <c r="M14" s="262">
        <f ca="1">IFERROR(_xlfn.XLOOKUP(K14,'00_Yield_Rates'!$B$2:$B$33,'00_Yield_Rates'!$E$2:$E$33,0)/100,0)</f>
        <v>0.47</v>
      </c>
      <c r="N14" s="259">
        <f t="shared" ca="1" si="1"/>
        <v>4500</v>
      </c>
      <c r="O14" s="259">
        <f t="shared" ca="1" si="2"/>
        <v>159</v>
      </c>
    </row>
    <row r="15" spans="2:15" ht="15" customHeight="1" x14ac:dyDescent="0.35">
      <c r="B15" s="280">
        <f t="array" aca="1" ref="B15" ca="1">IFERROR(VALUE(LEFT(C15, MATCH(FALSE, ISNUMBER(MID(C15, ROW(INDIRECT("1:"&amp;LEN(C15)+1)), 1) *1), 0) -1)),"")</f>
        <v>200903</v>
      </c>
      <c r="C15" s="302" t="s">
        <v>459</v>
      </c>
      <c r="D15" s="302">
        <v>150</v>
      </c>
      <c r="E15" s="302"/>
      <c r="F15" s="302"/>
      <c r="G15" s="127"/>
      <c r="H15" s="260">
        <f ca="1">IFERROR(SUMIF('13_Progress_Track'!$A$2:$A$108,B15,'13_Progress_Track'!$E$2:$E$108),"0")</f>
        <v>0</v>
      </c>
      <c r="I15" s="261">
        <f t="shared" ca="1" si="0"/>
        <v>150</v>
      </c>
      <c r="J15" s="261"/>
      <c r="K15" s="261" t="str">
        <f ca="1">IFERROR(_xlfn.XLOOKUP(B15,'00_SKU_Master'!$B$2:$B$379,'00_SKU_Master'!$E$2:$E$379,""),"")</f>
        <v>BA</v>
      </c>
      <c r="L15" s="259">
        <f ca="1">IFERROR(_xlfn.XLOOKUP(B15,'00_SKU_Master'!$B$2:$B$379,'00_SKU_Master'!$F$2:$F$379,0),0)</f>
        <v>18</v>
      </c>
      <c r="M15" s="262">
        <f ca="1">IFERROR(_xlfn.XLOOKUP(K15,'00_Yield_Rates'!$B$2:$B$33,'00_Yield_Rates'!$E$2:$E$33,0)/100,0)</f>
        <v>0.47</v>
      </c>
      <c r="N15" s="259">
        <f t="shared" ca="1" si="1"/>
        <v>2700</v>
      </c>
      <c r="O15" s="259">
        <f t="shared" ca="1" si="2"/>
        <v>200903</v>
      </c>
    </row>
    <row r="16" spans="2:15" ht="15" customHeight="1" x14ac:dyDescent="0.35">
      <c r="B16" s="280">
        <f t="array" aca="1" ref="B16" ca="1">IFERROR(VALUE(LEFT(C16, MATCH(FALSE, ISNUMBER(MID(C16, ROW(INDIRECT("1:"&amp;LEN(C16)+1)), 1) *1), 0) -1)),"")</f>
        <v>165</v>
      </c>
      <c r="C16" s="302" t="s">
        <v>460</v>
      </c>
      <c r="D16" s="302"/>
      <c r="E16" s="302"/>
      <c r="F16" s="302"/>
      <c r="G16" s="127"/>
      <c r="H16" s="260">
        <f ca="1">IFERROR(SUMIF('13_Progress_Track'!$A$2:$A$108,B16,'13_Progress_Track'!$E$2:$E$108),"0")</f>
        <v>0</v>
      </c>
      <c r="I16" s="261">
        <f t="shared" ca="1" si="0"/>
        <v>0</v>
      </c>
      <c r="J16" s="261"/>
      <c r="K16" s="261" t="str">
        <f ca="1">IFERROR(_xlfn.XLOOKUP(B16,'00_SKU_Master'!$B$2:$B$379,'00_SKU_Master'!$E$2:$E$379,""),"")</f>
        <v>BSB</v>
      </c>
      <c r="L16" s="259">
        <f ca="1">IFERROR(_xlfn.XLOOKUP(B16,'00_SKU_Master'!$B$2:$B$379,'00_SKU_Master'!$F$2:$F$379,0),0)</f>
        <v>10</v>
      </c>
      <c r="M16" s="262">
        <f ca="1">IFERROR(_xlfn.XLOOKUP(K16,'00_Yield_Rates'!$B$2:$B$33,'00_Yield_Rates'!$E$2:$E$33,0)/100,0)</f>
        <v>0.23499999999999999</v>
      </c>
      <c r="N16" s="259">
        <f t="shared" ca="1" si="1"/>
        <v>0</v>
      </c>
      <c r="O16" s="259">
        <f t="shared" ca="1" si="2"/>
        <v>165</v>
      </c>
    </row>
    <row r="17" spans="2:15" ht="15" customHeight="1" x14ac:dyDescent="0.35">
      <c r="B17" s="280">
        <f t="array" aca="1" ref="B17" ca="1">IFERROR(VALUE(LEFT(C17, MATCH(FALSE, ISNUMBER(MID(C17, ROW(INDIRECT("1:"&amp;LEN(C17)+1)), 1) *1), 0) -1)),"")</f>
        <v>201894</v>
      </c>
      <c r="C17" s="302" t="s">
        <v>461</v>
      </c>
      <c r="D17" s="302"/>
      <c r="E17" s="302"/>
      <c r="F17" s="302"/>
      <c r="G17" s="127"/>
      <c r="H17" s="260">
        <f ca="1">IFERROR(SUMIF('13_Progress_Track'!$A$2:$A$108,B17,'13_Progress_Track'!$E$2:$E$108),"0")</f>
        <v>0</v>
      </c>
      <c r="I17" s="261">
        <f t="shared" ca="1" si="0"/>
        <v>0</v>
      </c>
      <c r="J17" s="261"/>
      <c r="K17" s="261" t="str">
        <f ca="1">IFERROR(_xlfn.XLOOKUP(B17,'00_SKU_Master'!$B$2:$B$379,'00_SKU_Master'!$E$2:$E$379,""),"")</f>
        <v>BSB</v>
      </c>
      <c r="L17" s="259">
        <f ca="1">IFERROR(_xlfn.XLOOKUP(B17,'00_SKU_Master'!$B$2:$B$379,'00_SKU_Master'!$F$2:$F$379,0),0)</f>
        <v>18</v>
      </c>
      <c r="M17" s="262">
        <f ca="1">IFERROR(_xlfn.XLOOKUP(K17,'00_Yield_Rates'!$B$2:$B$33,'00_Yield_Rates'!$E$2:$E$33,0)/100,0)</f>
        <v>0.23499999999999999</v>
      </c>
      <c r="N17" s="259">
        <f t="shared" ca="1" si="1"/>
        <v>0</v>
      </c>
      <c r="O17" s="259">
        <f t="shared" ca="1" si="2"/>
        <v>201894</v>
      </c>
    </row>
    <row r="18" spans="2:15" ht="15" customHeight="1" x14ac:dyDescent="0.35">
      <c r="B18" s="280">
        <f t="array" aca="1" ref="B18" ca="1">IFERROR(VALUE(LEFT(C18, MATCH(FALSE, ISNUMBER(MID(C18, ROW(INDIRECT("1:"&amp;LEN(C18)+1)), 1) *1), 0) -1)),"")</f>
        <v>201895</v>
      </c>
      <c r="C18" s="302" t="s">
        <v>462</v>
      </c>
      <c r="D18" s="302"/>
      <c r="E18" s="302"/>
      <c r="F18" s="302"/>
      <c r="G18" s="127"/>
      <c r="H18" s="260">
        <f ca="1">IFERROR(SUMIF('13_Progress_Track'!$A$2:$A$108,B18,'13_Progress_Track'!$E$2:$E$108),"0")</f>
        <v>0</v>
      </c>
      <c r="I18" s="261">
        <f t="shared" ca="1" si="0"/>
        <v>0</v>
      </c>
      <c r="J18" s="261"/>
      <c r="K18" s="261" t="str">
        <f ca="1">IFERROR(_xlfn.XLOOKUP(B18,'00_SKU_Master'!$B$2:$B$379,'00_SKU_Master'!$E$2:$E$379,""),"")</f>
        <v>BSB</v>
      </c>
      <c r="L18" s="259">
        <f ca="1">IFERROR(_xlfn.XLOOKUP(B18,'00_SKU_Master'!$B$2:$B$379,'00_SKU_Master'!$F$2:$F$379,0),0)</f>
        <v>18</v>
      </c>
      <c r="M18" s="262">
        <f ca="1">IFERROR(_xlfn.XLOOKUP(K18,'00_Yield_Rates'!$B$2:$B$33,'00_Yield_Rates'!$E$2:$E$33,0)/100,0)</f>
        <v>0.23499999999999999</v>
      </c>
      <c r="N18" s="259">
        <f t="shared" ca="1" si="1"/>
        <v>0</v>
      </c>
      <c r="O18" s="259">
        <f t="shared" ca="1" si="2"/>
        <v>201895</v>
      </c>
    </row>
    <row r="19" spans="2:15" ht="15" customHeight="1" x14ac:dyDescent="0.35">
      <c r="B19" s="280">
        <f t="array" aca="1" ref="B19" ca="1">IFERROR(VALUE(LEFT(C19, MATCH(FALSE, ISNUMBER(MID(C19, ROW(INDIRECT("1:"&amp;LEN(C19)+1)), 1) *1), 0) -1)),"")</f>
        <v>834</v>
      </c>
      <c r="C19" s="302" t="s">
        <v>463</v>
      </c>
      <c r="D19" s="302"/>
      <c r="E19" s="302"/>
      <c r="F19" s="302"/>
      <c r="G19" s="127"/>
      <c r="H19" s="260">
        <f ca="1">IFERROR(SUMIF('13_Progress_Track'!$A$2:$A$108,B19,'13_Progress_Track'!$E$2:$E$108),"0")</f>
        <v>0</v>
      </c>
      <c r="I19" s="261">
        <f t="shared" ca="1" si="0"/>
        <v>0</v>
      </c>
      <c r="J19" s="261"/>
      <c r="K19" s="261" t="str">
        <f ca="1">IFERROR(_xlfn.XLOOKUP(B19,'00_SKU_Master'!$B$2:$B$379,'00_SKU_Master'!$E$2:$E$379,""),"")</f>
        <v>Thigh</v>
      </c>
      <c r="L19" s="259">
        <f ca="1">IFERROR(_xlfn.XLOOKUP(B19,'00_SKU_Master'!$B$2:$B$379,'00_SKU_Master'!$F$2:$F$379,0),0)</f>
        <v>18</v>
      </c>
      <c r="M19" s="262">
        <f ca="1">IFERROR(_xlfn.XLOOKUP(K19,'00_Yield_Rates'!$B$2:$B$33,'00_Yield_Rates'!$E$2:$E$33,0)/100,0)</f>
        <v>0.17499999999999999</v>
      </c>
      <c r="N19" s="259">
        <f t="shared" ca="1" si="1"/>
        <v>0</v>
      </c>
      <c r="O19" s="259">
        <f t="shared" ca="1" si="2"/>
        <v>834</v>
      </c>
    </row>
    <row r="20" spans="2:15" ht="15" customHeight="1" x14ac:dyDescent="0.35">
      <c r="B20" s="280">
        <f t="array" aca="1" ref="B20" ca="1">IFERROR(VALUE(LEFT(C20, MATCH(FALSE, ISNUMBER(MID(C20, ROW(INDIRECT("1:"&amp;LEN(C20)+1)), 1) *1), 0) -1)),"")</f>
        <v>200902</v>
      </c>
      <c r="C20" s="302" t="s">
        <v>464</v>
      </c>
      <c r="D20" s="302">
        <v>65</v>
      </c>
      <c r="E20" s="302"/>
      <c r="F20" s="302"/>
      <c r="G20" s="127"/>
      <c r="H20" s="260">
        <f ca="1">IFERROR(SUMIF('13_Progress_Track'!$A$2:$A$108,B20,'13_Progress_Track'!$E$2:$E$108),"0")</f>
        <v>0</v>
      </c>
      <c r="I20" s="261">
        <f t="shared" ca="1" si="0"/>
        <v>65</v>
      </c>
      <c r="J20" s="261"/>
      <c r="K20" s="261" t="str">
        <f ca="1">IFERROR(_xlfn.XLOOKUP(B20,'00_SKU_Master'!$B$2:$B$379,'00_SKU_Master'!$E$2:$E$379,""),"")</f>
        <v>Thigh</v>
      </c>
      <c r="L20" s="259">
        <f ca="1">IFERROR(_xlfn.XLOOKUP(B20,'00_SKU_Master'!$B$2:$B$379,'00_SKU_Master'!$F$2:$F$379,0),0)</f>
        <v>18</v>
      </c>
      <c r="M20" s="262">
        <f ca="1">IFERROR(_xlfn.XLOOKUP(K20,'00_Yield_Rates'!$B$2:$B$33,'00_Yield_Rates'!$E$2:$E$33,0)/100,0)</f>
        <v>0.17499999999999999</v>
      </c>
      <c r="N20" s="259">
        <f t="shared" ca="1" si="1"/>
        <v>1170</v>
      </c>
      <c r="O20" s="259">
        <f t="shared" ca="1" si="2"/>
        <v>200902</v>
      </c>
    </row>
    <row r="21" spans="2:15" ht="15" customHeight="1" x14ac:dyDescent="0.35">
      <c r="B21" s="280">
        <f t="array" aca="1" ref="B21" ca="1">IFERROR(VALUE(LEFT(C21, MATCH(FALSE, ISNUMBER(MID(C21, ROW(INDIRECT("1:"&amp;LEN(C21)+1)), 1) *1), 0) -1)),"")</f>
        <v>161</v>
      </c>
      <c r="C21" s="302" t="s">
        <v>465</v>
      </c>
      <c r="D21" s="302"/>
      <c r="E21" s="302"/>
      <c r="F21" s="302"/>
      <c r="G21" s="127"/>
      <c r="H21" s="260">
        <f ca="1">IFERROR(SUMIF('13_Progress_Track'!$A$2:$A$108,B21,'13_Progress_Track'!$E$2:$E$108),"0")</f>
        <v>0</v>
      </c>
      <c r="I21" s="261">
        <f t="shared" ca="1" si="0"/>
        <v>0</v>
      </c>
      <c r="J21" s="261"/>
      <c r="K21" s="261" t="str">
        <f ca="1">IFERROR(_xlfn.XLOOKUP(B21,'00_SKU_Master'!$B$2:$B$379,'00_SKU_Master'!$E$2:$E$379,""),"")</f>
        <v>Thigh</v>
      </c>
      <c r="L21" s="259">
        <f ca="1">IFERROR(_xlfn.XLOOKUP(B21,'00_SKU_Master'!$B$2:$B$379,'00_SKU_Master'!$F$2:$F$379,0),0)</f>
        <v>18</v>
      </c>
      <c r="M21" s="262">
        <f ca="1">IFERROR(_xlfn.XLOOKUP(K21,'00_Yield_Rates'!$B$2:$B$33,'00_Yield_Rates'!$E$2:$E$33,0)/100,0)</f>
        <v>0.17499999999999999</v>
      </c>
      <c r="N21" s="259">
        <f t="shared" ca="1" si="1"/>
        <v>0</v>
      </c>
      <c r="O21" s="259">
        <f t="shared" ca="1" si="2"/>
        <v>161</v>
      </c>
    </row>
    <row r="22" spans="2:15" ht="15" customHeight="1" x14ac:dyDescent="0.35">
      <c r="B22" s="280">
        <f t="array" aca="1" ref="B22" ca="1">IFERROR(VALUE(LEFT(C22, MATCH(FALSE, ISNUMBER(MID(C22, ROW(INDIRECT("1:"&amp;LEN(C22)+1)), 1) *1), 0) -1)),"")</f>
        <v>200064</v>
      </c>
      <c r="C22" s="302" t="s">
        <v>466</v>
      </c>
      <c r="D22" s="302">
        <v>60</v>
      </c>
      <c r="E22" s="302"/>
      <c r="F22" s="302"/>
      <c r="G22" s="127"/>
      <c r="H22" s="260">
        <f ca="1">IFERROR(SUMIF('13_Progress_Track'!$A$2:$A$108,B22,'13_Progress_Track'!$E$2:$E$108),"0")</f>
        <v>0</v>
      </c>
      <c r="I22" s="261">
        <f t="shared" ca="1" si="0"/>
        <v>60</v>
      </c>
      <c r="J22" s="261"/>
      <c r="K22" s="261" t="str">
        <f ca="1">IFERROR(_xlfn.XLOOKUP(B22,'00_SKU_Master'!$B$2:$B$379,'00_SKU_Master'!$E$2:$E$379,""),"")</f>
        <v>ThighMeat</v>
      </c>
      <c r="L22" s="259">
        <f ca="1">IFERROR(_xlfn.XLOOKUP(B22,'00_SKU_Master'!$B$2:$B$379,'00_SKU_Master'!$F$2:$F$379,0),0)</f>
        <v>5</v>
      </c>
      <c r="M22" s="262">
        <f ca="1">IFERROR(_xlfn.XLOOKUP(K22,'00_Yield_Rates'!$B$2:$B$33,'00_Yield_Rates'!$E$2:$E$33,0)/100,0)</f>
        <v>0.115</v>
      </c>
      <c r="N22" s="259">
        <f t="shared" ca="1" si="1"/>
        <v>300</v>
      </c>
      <c r="O22" s="259">
        <f t="shared" ca="1" si="2"/>
        <v>200064</v>
      </c>
    </row>
    <row r="23" spans="2:15" ht="15" customHeight="1" x14ac:dyDescent="0.35">
      <c r="B23" s="280" t="str">
        <f t="array" aca="1" ref="B23" ca="1">IFERROR(VALUE(LEFT(C23, MATCH(FALSE, ISNUMBER(MID(C23, ROW(INDIRECT("1:"&amp;LEN(C23)+1)), 1) *1), 0) -1)),"")</f>
        <v/>
      </c>
      <c r="C23" s="302"/>
      <c r="D23" s="302"/>
      <c r="E23" s="302"/>
      <c r="F23" s="302"/>
      <c r="G23" s="127"/>
      <c r="H23" s="260">
        <f ca="1">IFERROR(SUMIF('13_Progress_Track'!$A$2:$A$108,B23,'13_Progress_Track'!$E$2:$E$108),"0")</f>
        <v>0</v>
      </c>
      <c r="I23" s="261">
        <f t="shared" ca="1" si="0"/>
        <v>0</v>
      </c>
      <c r="J23" s="261"/>
      <c r="K23" s="261" t="str">
        <f ca="1">IFERROR(_xlfn.XLOOKUP(B23,'00_SKU_Master'!$B$2:$B$379,'00_SKU_Master'!$E$2:$E$379,""),"")</f>
        <v/>
      </c>
      <c r="L23" s="259">
        <f ca="1">IFERROR(_xlfn.XLOOKUP(B23,'00_SKU_Master'!$B$2:$B$379,'00_SKU_Master'!$F$2:$F$379,0),0)</f>
        <v>0</v>
      </c>
      <c r="M23" s="262">
        <f ca="1">IFERROR(_xlfn.XLOOKUP(K23,'00_Yield_Rates'!$B$2:$B$33,'00_Yield_Rates'!$E$2:$E$33,0)/100,0)</f>
        <v>0</v>
      </c>
      <c r="N23" s="259">
        <f t="shared" ca="1" si="1"/>
        <v>0</v>
      </c>
      <c r="O23" s="259" t="str">
        <f t="shared" ca="1" si="2"/>
        <v/>
      </c>
    </row>
    <row r="24" spans="2:15" ht="15" customHeight="1" x14ac:dyDescent="0.35">
      <c r="B24" s="280" t="str">
        <f t="array" aca="1" ref="B24" ca="1">IFERROR(VALUE(LEFT(C24, MATCH(FALSE, ISNUMBER(MID(C24, ROW(INDIRECT("1:"&amp;LEN(C24)+1)), 1) *1), 0) -1)),"")</f>
        <v/>
      </c>
      <c r="C24" s="302"/>
      <c r="D24" s="302"/>
      <c r="E24" s="302"/>
      <c r="F24" s="302"/>
      <c r="G24" s="127"/>
      <c r="H24" s="260">
        <f ca="1">IFERROR(SUMIF('13_Progress_Track'!$A$2:$A$108,B24,'13_Progress_Track'!$E$2:$E$108),"0")</f>
        <v>0</v>
      </c>
      <c r="I24" s="261">
        <f t="shared" ca="1" si="0"/>
        <v>0</v>
      </c>
      <c r="J24" s="261"/>
      <c r="K24" s="261" t="str">
        <f ca="1">IFERROR(_xlfn.XLOOKUP(B24,'00_SKU_Master'!$B$2:$B$379,'00_SKU_Master'!$E$2:$E$379,""),"")</f>
        <v/>
      </c>
      <c r="L24" s="259">
        <f ca="1">IFERROR(_xlfn.XLOOKUP(B24,'00_SKU_Master'!$B$2:$B$379,'00_SKU_Master'!$F$2:$F$379,0),0)</f>
        <v>0</v>
      </c>
      <c r="M24" s="262">
        <f ca="1">IFERROR(_xlfn.XLOOKUP(K24,'00_Yield_Rates'!$B$2:$B$33,'00_Yield_Rates'!$E$2:$E$33,0)/100,0)</f>
        <v>0</v>
      </c>
      <c r="N24" s="259">
        <f t="shared" ca="1" si="1"/>
        <v>0</v>
      </c>
      <c r="O24" s="259" t="str">
        <f t="shared" ca="1" si="2"/>
        <v/>
      </c>
    </row>
    <row r="25" spans="2:15" ht="15" customHeight="1" x14ac:dyDescent="0.35">
      <c r="B25" s="280" t="str">
        <f t="array" aca="1" ref="B25" ca="1">IFERROR(VALUE(LEFT(C25, MATCH(FALSE, ISNUMBER(MID(C25, ROW(INDIRECT("1:"&amp;LEN(C25)+1)), 1) *1), 0) -1)),"")</f>
        <v/>
      </c>
      <c r="C25" s="302"/>
      <c r="D25" s="302"/>
      <c r="E25" s="302"/>
      <c r="F25" s="302"/>
      <c r="G25" s="127"/>
      <c r="H25" s="260">
        <f ca="1">IFERROR(SUMIF('13_Progress_Track'!$A$2:$A$108,B25,'13_Progress_Track'!$E$2:$E$108),"0")</f>
        <v>0</v>
      </c>
      <c r="I25" s="261">
        <f t="shared" ca="1" si="0"/>
        <v>0</v>
      </c>
      <c r="J25" s="261"/>
      <c r="K25" s="261" t="str">
        <f ca="1">IFERROR(_xlfn.XLOOKUP(B25,'00_SKU_Master'!$B$2:$B$379,'00_SKU_Master'!$E$2:$E$379,""),"")</f>
        <v/>
      </c>
      <c r="L25" s="259">
        <f ca="1">IFERROR(_xlfn.XLOOKUP(B25,'00_SKU_Master'!$B$2:$B$379,'00_SKU_Master'!$F$2:$F$379,0),0)</f>
        <v>0</v>
      </c>
      <c r="M25" s="262">
        <f ca="1">IFERROR(_xlfn.XLOOKUP(K25,'00_Yield_Rates'!$B$2:$B$33,'00_Yield_Rates'!$E$2:$E$33,0)/100,0)</f>
        <v>0</v>
      </c>
      <c r="N25" s="259">
        <f t="shared" ca="1" si="1"/>
        <v>0</v>
      </c>
      <c r="O25" s="259" t="str">
        <f t="shared" ca="1" si="2"/>
        <v/>
      </c>
    </row>
    <row r="26" spans="2:15" ht="15" customHeight="1" x14ac:dyDescent="0.35">
      <c r="B26" s="280" t="str">
        <f t="array" aca="1" ref="B26" ca="1">IFERROR(VALUE(LEFT(C26, MATCH(FALSE, ISNUMBER(MID(C26, ROW(INDIRECT("1:"&amp;LEN(C26)+1)), 1) *1), 0) -1)),"")</f>
        <v/>
      </c>
      <c r="C26" s="302"/>
      <c r="D26" s="302"/>
      <c r="E26" s="302"/>
      <c r="F26" s="302"/>
      <c r="G26" s="127"/>
      <c r="H26" s="260">
        <f ca="1">IFERROR(SUMIF('13_Progress_Track'!$A$2:$A$108,B26,'13_Progress_Track'!$E$2:$E$108),"0")</f>
        <v>0</v>
      </c>
      <c r="I26" s="261">
        <f t="shared" ca="1" si="0"/>
        <v>0</v>
      </c>
      <c r="J26" s="261"/>
      <c r="K26" s="261" t="str">
        <f ca="1">IFERROR(_xlfn.XLOOKUP(B26,'00_SKU_Master'!$B$2:$B$379,'00_SKU_Master'!$E$2:$E$379,""),"")</f>
        <v/>
      </c>
      <c r="L26" s="259">
        <f ca="1">IFERROR(_xlfn.XLOOKUP(B26,'00_SKU_Master'!$B$2:$B$379,'00_SKU_Master'!$F$2:$F$379,0),0)</f>
        <v>0</v>
      </c>
      <c r="M26" s="262">
        <f ca="1">IFERROR(_xlfn.XLOOKUP(K26,'00_Yield_Rates'!$B$2:$B$33,'00_Yield_Rates'!$E$2:$E$33,0)/100,0)</f>
        <v>0</v>
      </c>
      <c r="N26" s="259">
        <f t="shared" ca="1" si="1"/>
        <v>0</v>
      </c>
      <c r="O26" s="259" t="str">
        <f t="shared" ca="1" si="2"/>
        <v/>
      </c>
    </row>
    <row r="27" spans="2:15" ht="15" customHeight="1" x14ac:dyDescent="0.35">
      <c r="B27" s="280" t="str">
        <f t="array" aca="1" ref="B27" ca="1">IFERROR(VALUE(LEFT(C27, MATCH(FALSE, ISNUMBER(MID(C27, ROW(INDIRECT("1:"&amp;LEN(C27)+1)), 1) *1), 0) -1)),"")</f>
        <v/>
      </c>
      <c r="C27" s="302"/>
      <c r="D27" s="302"/>
      <c r="E27" s="302"/>
      <c r="F27" s="302"/>
      <c r="G27" s="127"/>
      <c r="H27" s="260">
        <f ca="1">IFERROR(SUMIF('13_Progress_Track'!$A$2:$A$108,B27,'13_Progress_Track'!$E$2:$E$108),"0")</f>
        <v>0</v>
      </c>
      <c r="I27" s="261">
        <f t="shared" ca="1" si="0"/>
        <v>0</v>
      </c>
      <c r="J27" s="261"/>
      <c r="K27" s="261" t="str">
        <f ca="1">IFERROR(_xlfn.XLOOKUP(B27,'00_SKU_Master'!$B$2:$B$379,'00_SKU_Master'!$E$2:$E$379,""),"")</f>
        <v/>
      </c>
      <c r="L27" s="259">
        <f ca="1">IFERROR(_xlfn.XLOOKUP(B27,'00_SKU_Master'!$B$2:$B$379,'00_SKU_Master'!$F$2:$F$379,0),0)</f>
        <v>0</v>
      </c>
      <c r="M27" s="262">
        <f ca="1">IFERROR(_xlfn.XLOOKUP(K27,'00_Yield_Rates'!$B$2:$B$33,'00_Yield_Rates'!$E$2:$E$33,0)/100,0)</f>
        <v>0</v>
      </c>
      <c r="N27" s="259">
        <f t="shared" ca="1" si="1"/>
        <v>0</v>
      </c>
      <c r="O27" s="259" t="str">
        <f t="shared" ca="1" si="2"/>
        <v/>
      </c>
    </row>
    <row r="28" spans="2:15" ht="15" customHeight="1" x14ac:dyDescent="0.35">
      <c r="B28" s="280" t="str">
        <f t="array" aca="1" ref="B28" ca="1">IFERROR(VALUE(LEFT(C28, MATCH(FALSE, ISNUMBER(MID(C28, ROW(INDIRECT("1:"&amp;LEN(C28)+1)), 1) *1), 0) -1)),"")</f>
        <v/>
      </c>
      <c r="C28" s="302"/>
      <c r="D28" s="302"/>
      <c r="E28" s="302"/>
      <c r="F28" s="302"/>
      <c r="G28" s="127"/>
      <c r="H28" s="260">
        <f ca="1">IFERROR(SUMIF('13_Progress_Track'!$A$2:$A$108,B28,'13_Progress_Track'!$E$2:$E$108),"0")</f>
        <v>0</v>
      </c>
      <c r="I28" s="261">
        <f t="shared" ca="1" si="0"/>
        <v>0</v>
      </c>
      <c r="J28" s="261"/>
      <c r="K28" s="261" t="str">
        <f ca="1">IFERROR(_xlfn.XLOOKUP(B28,'00_SKU_Master'!$B$2:$B$379,'00_SKU_Master'!$E$2:$E$379,""),"")</f>
        <v/>
      </c>
      <c r="L28" s="259">
        <f ca="1">IFERROR(_xlfn.XLOOKUP(B28,'00_SKU_Master'!$B$2:$B$379,'00_SKU_Master'!$F$2:$F$379,0),0)</f>
        <v>0</v>
      </c>
      <c r="M28" s="262">
        <f ca="1">IFERROR(_xlfn.XLOOKUP(K28,'00_Yield_Rates'!$B$2:$B$33,'00_Yield_Rates'!$E$2:$E$33,0)/100,0)</f>
        <v>0</v>
      </c>
      <c r="N28" s="259">
        <f t="shared" ca="1" si="1"/>
        <v>0</v>
      </c>
      <c r="O28" s="259" t="str">
        <f t="shared" ca="1" si="2"/>
        <v/>
      </c>
    </row>
    <row r="29" spans="2:15" ht="15" customHeight="1" x14ac:dyDescent="0.35">
      <c r="B29" s="280" t="str">
        <f t="array" aca="1" ref="B29" ca="1">IFERROR(VALUE(LEFT(C29, MATCH(FALSE, ISNUMBER(MID(C29, ROW(INDIRECT("1:"&amp;LEN(C29)+1)), 1) *1), 0) -1)),"")</f>
        <v/>
      </c>
      <c r="C29" s="302"/>
      <c r="D29" s="302"/>
      <c r="E29" s="302"/>
      <c r="F29" s="302"/>
      <c r="G29" s="127"/>
      <c r="H29" s="260">
        <f ca="1">IFERROR(SUMIF('13_Progress_Track'!$A$2:$A$108,B29,'13_Progress_Track'!$E$2:$E$108),"0")</f>
        <v>0</v>
      </c>
      <c r="I29" s="261">
        <f t="shared" ca="1" si="0"/>
        <v>0</v>
      </c>
      <c r="J29" s="261"/>
      <c r="K29" s="261" t="str">
        <f ca="1">IFERROR(_xlfn.XLOOKUP(B29,'00_SKU_Master'!$B$2:$B$379,'00_SKU_Master'!$E$2:$E$379,""),"")</f>
        <v/>
      </c>
      <c r="L29" s="259">
        <f ca="1">IFERROR(_xlfn.XLOOKUP(B29,'00_SKU_Master'!$B$2:$B$379,'00_SKU_Master'!$F$2:$F$379,0),0)</f>
        <v>0</v>
      </c>
      <c r="M29" s="262">
        <f ca="1">IFERROR(_xlfn.XLOOKUP(K29,'00_Yield_Rates'!$B$2:$B$33,'00_Yield_Rates'!$E$2:$E$33,0)/100,0)</f>
        <v>0</v>
      </c>
      <c r="N29" s="259">
        <f t="shared" ca="1" si="1"/>
        <v>0</v>
      </c>
      <c r="O29" s="259" t="str">
        <f t="shared" ca="1" si="2"/>
        <v/>
      </c>
    </row>
    <row r="30" spans="2:15" ht="15" customHeight="1" x14ac:dyDescent="0.35">
      <c r="B30" s="280">
        <v>2233</v>
      </c>
      <c r="C30" s="302"/>
      <c r="D30" s="302"/>
      <c r="E30" s="302"/>
      <c r="F30" s="302"/>
      <c r="G30" s="127"/>
      <c r="H30" s="260">
        <f>IFERROR(SUMIF('13_Progress_Track'!$A$2:$A$108,B30,'13_Progress_Track'!$E$2:$E$108),"0")</f>
        <v>0</v>
      </c>
      <c r="I30" s="261">
        <f t="shared" si="0"/>
        <v>0</v>
      </c>
      <c r="J30" s="261"/>
      <c r="K30" s="261" t="str">
        <f>IFERROR(_xlfn.XLOOKUP(B30,'00_SKU_Master'!$B$2:$B$379,'00_SKU_Master'!$E$2:$E$379,""),"")</f>
        <v>SplitWing</v>
      </c>
      <c r="L30" s="259">
        <f>IFERROR(_xlfn.XLOOKUP(B30,'00_SKU_Master'!$B$2:$B$379,'00_SKU_Master'!$F$2:$F$379,0),0)</f>
        <v>20</v>
      </c>
      <c r="M30" s="262">
        <f>IFERROR(_xlfn.XLOOKUP(K30,'00_Yield_Rates'!$B$2:$B$33,'00_Yield_Rates'!$E$2:$E$33,0)/100,0)</f>
        <v>9.5000000000000001E-2</v>
      </c>
      <c r="N30" s="259">
        <f t="shared" si="1"/>
        <v>0</v>
      </c>
      <c r="O30" s="259">
        <f t="shared" si="2"/>
        <v>2233</v>
      </c>
    </row>
    <row r="31" spans="2:15" ht="15" customHeight="1" x14ac:dyDescent="0.35">
      <c r="B31" s="280">
        <v>2235</v>
      </c>
      <c r="C31" s="302"/>
      <c r="D31" s="302">
        <v>180</v>
      </c>
      <c r="E31" s="302"/>
      <c r="F31" s="302"/>
      <c r="G31" s="127"/>
      <c r="H31" s="260">
        <f>IFERROR(SUMIF('13_Progress_Track'!$A$2:$A$108,B31,'13_Progress_Track'!$E$2:$E$108),"0")</f>
        <v>0</v>
      </c>
      <c r="I31" s="261">
        <f t="shared" si="0"/>
        <v>180</v>
      </c>
      <c r="J31" s="261"/>
      <c r="K31" s="261" t="str">
        <f>IFERROR(_xlfn.XLOOKUP(B31,'00_SKU_Master'!$B$2:$B$379,'00_SKU_Master'!$E$2:$E$379,""),"")</f>
        <v>Drum</v>
      </c>
      <c r="L31" s="259">
        <f>IFERROR(_xlfn.XLOOKUP(B31,'00_SKU_Master'!$B$2:$B$379,'00_SKU_Master'!$F$2:$F$379,0),0)</f>
        <v>20</v>
      </c>
      <c r="M31" s="262">
        <f>IFERROR(_xlfn.XLOOKUP(K31,'00_Yield_Rates'!$B$2:$B$33,'00_Yield_Rates'!$E$2:$E$33,0)/100,0)</f>
        <v>0.14300000000000002</v>
      </c>
      <c r="N31" s="259">
        <f t="shared" si="1"/>
        <v>3600</v>
      </c>
      <c r="O31" s="259">
        <f t="shared" si="2"/>
        <v>2235</v>
      </c>
    </row>
    <row r="32" spans="2:15" ht="15" customHeight="1" x14ac:dyDescent="0.35">
      <c r="B32" s="280">
        <v>2236</v>
      </c>
      <c r="C32" s="302"/>
      <c r="D32" s="302"/>
      <c r="E32" s="302"/>
      <c r="F32" s="302"/>
      <c r="G32" s="127"/>
      <c r="H32" s="260">
        <f>IFERROR(SUMIF('13_Progress_Track'!$A$2:$A$108,B32,'13_Progress_Track'!$E$2:$E$108),"0")</f>
        <v>0</v>
      </c>
      <c r="I32" s="261">
        <f t="shared" si="0"/>
        <v>0</v>
      </c>
      <c r="J32" s="261"/>
      <c r="K32" s="261" t="str">
        <f>IFERROR(_xlfn.XLOOKUP(B32,'00_SKU_Master'!$B$2:$B$379,'00_SKU_Master'!$E$2:$E$379,""),"")</f>
        <v>BSB</v>
      </c>
      <c r="L32" s="259">
        <f>IFERROR(_xlfn.XLOOKUP(B32,'00_SKU_Master'!$B$2:$B$379,'00_SKU_Master'!$F$2:$F$379,0),0)</f>
        <v>20</v>
      </c>
      <c r="M32" s="262">
        <f>IFERROR(_xlfn.XLOOKUP(K32,'00_Yield_Rates'!$B$2:$B$33,'00_Yield_Rates'!$E$2:$E$33,0)/100,0)</f>
        <v>0.23499999999999999</v>
      </c>
      <c r="N32" s="259">
        <f t="shared" si="1"/>
        <v>0</v>
      </c>
      <c r="O32" s="259">
        <f t="shared" si="2"/>
        <v>2236</v>
      </c>
    </row>
    <row r="33" spans="2:15" ht="15" customHeight="1" x14ac:dyDescent="0.35">
      <c r="B33" s="280">
        <v>423002</v>
      </c>
      <c r="C33" s="302"/>
      <c r="D33" s="302"/>
      <c r="E33" s="302"/>
      <c r="F33" s="302"/>
      <c r="G33" s="127"/>
      <c r="H33" s="260">
        <f>IFERROR(SUMIF('13_Progress_Track'!$A$2:$A$108,B33,'13_Progress_Track'!$E$2:$E$108),"0")</f>
        <v>0</v>
      </c>
      <c r="I33" s="261">
        <f t="shared" si="0"/>
        <v>0</v>
      </c>
      <c r="J33" s="261"/>
      <c r="K33" s="261" t="str">
        <f>IFERROR(_xlfn.XLOOKUP(B33,'00_SKU_Master'!$B$2:$B$379,'00_SKU_Master'!$E$2:$E$379,""),"")</f>
        <v/>
      </c>
      <c r="L33" s="259">
        <f>IFERROR(_xlfn.XLOOKUP(B33,'00_SKU_Master'!$B$2:$B$379,'00_SKU_Master'!$F$2:$F$379,0),0)</f>
        <v>0</v>
      </c>
      <c r="M33" s="262">
        <f>IFERROR(_xlfn.XLOOKUP(K33,'00_Yield_Rates'!$B$2:$B$33,'00_Yield_Rates'!$E$2:$E$33,0)/100,0)</f>
        <v>0</v>
      </c>
      <c r="N33" s="259">
        <f t="shared" si="1"/>
        <v>0</v>
      </c>
      <c r="O33" s="259">
        <f t="shared" si="2"/>
        <v>423002</v>
      </c>
    </row>
    <row r="34" spans="2:15" ht="15" customHeight="1" x14ac:dyDescent="0.35">
      <c r="B34" s="280">
        <v>203010</v>
      </c>
      <c r="C34" s="302"/>
      <c r="D34" s="302"/>
      <c r="E34" s="302"/>
      <c r="F34" s="302"/>
      <c r="G34" s="127"/>
      <c r="H34" s="260">
        <f>IFERROR(SUMIF('13_Progress_Track'!$A$2:$A$108,B34,'13_Progress_Track'!$E$2:$E$108),"0")</f>
        <v>0</v>
      </c>
      <c r="I34" s="261">
        <f t="shared" si="0"/>
        <v>0</v>
      </c>
      <c r="J34" s="261"/>
      <c r="K34" s="261" t="str">
        <f>IFERROR(_xlfn.XLOOKUP(B34,'00_SKU_Master'!$B$2:$B$379,'00_SKU_Master'!$E$2:$E$379,""),"")</f>
        <v/>
      </c>
      <c r="L34" s="259">
        <f>IFERROR(_xlfn.XLOOKUP(B34,'00_SKU_Master'!$B$2:$B$379,'00_SKU_Master'!$F$2:$F$379,0),0)</f>
        <v>0</v>
      </c>
      <c r="M34" s="262">
        <f>IFERROR(_xlfn.XLOOKUP(K34,'00_Yield_Rates'!$B$2:$B$33,'00_Yield_Rates'!$E$2:$E$33,0)/100,0)</f>
        <v>0</v>
      </c>
      <c r="N34" s="259">
        <f t="shared" si="1"/>
        <v>0</v>
      </c>
      <c r="O34" s="259">
        <f t="shared" si="2"/>
        <v>203010</v>
      </c>
    </row>
    <row r="35" spans="2:15" ht="15" customHeight="1" x14ac:dyDescent="0.35">
      <c r="B35" s="280">
        <v>423625</v>
      </c>
      <c r="C35" s="302"/>
      <c r="D35" s="302"/>
      <c r="E35" s="302"/>
      <c r="F35" s="302"/>
      <c r="G35" s="127"/>
      <c r="H35" s="260">
        <f>IFERROR(SUMIF('13_Progress_Track'!$A$2:$A$108,B35,'13_Progress_Track'!$E$2:$E$108),"0")</f>
        <v>0</v>
      </c>
      <c r="I35" s="261">
        <f t="shared" si="0"/>
        <v>0</v>
      </c>
      <c r="J35" s="261"/>
      <c r="K35" s="261" t="str">
        <f>IFERROR(_xlfn.XLOOKUP(B35,'00_SKU_Master'!$B$2:$B$379,'00_SKU_Master'!$E$2:$E$379,""),"")</f>
        <v/>
      </c>
      <c r="L35" s="259">
        <f>IFERROR(_xlfn.XLOOKUP(B35,'00_SKU_Master'!$B$2:$B$379,'00_SKU_Master'!$F$2:$F$379,0),0)</f>
        <v>0</v>
      </c>
      <c r="M35" s="262">
        <f>IFERROR(_xlfn.XLOOKUP(K35,'00_Yield_Rates'!$B$2:$B$33,'00_Yield_Rates'!$E$2:$E$33,0)/100,0)</f>
        <v>0</v>
      </c>
      <c r="N35" s="259">
        <f t="shared" si="1"/>
        <v>0</v>
      </c>
      <c r="O35" s="259">
        <f t="shared" ref="O35:O66" si="3">IF($B35="","",$B35)</f>
        <v>423625</v>
      </c>
    </row>
    <row r="36" spans="2:15" ht="15" customHeight="1" x14ac:dyDescent="0.35">
      <c r="B36" s="280">
        <v>203624</v>
      </c>
      <c r="C36" s="302"/>
      <c r="D36" s="302"/>
      <c r="E36" s="302"/>
      <c r="F36" s="302"/>
      <c r="G36" s="127"/>
      <c r="H36" s="260">
        <f>IFERROR(SUMIF('13_Progress_Track'!$A$2:$A$108,B36,'13_Progress_Track'!$E$2:$E$108),"0")</f>
        <v>0</v>
      </c>
      <c r="I36" s="261">
        <f t="shared" si="0"/>
        <v>0</v>
      </c>
      <c r="J36" s="261"/>
      <c r="K36" s="261" t="str">
        <f>IFERROR(_xlfn.XLOOKUP(B36,'00_SKU_Master'!$B$2:$B$379,'00_SKU_Master'!$E$2:$E$379,""),"")</f>
        <v>FAT</v>
      </c>
      <c r="L36" s="259">
        <f>IFERROR(_xlfn.XLOOKUP(B36,'00_SKU_Master'!$B$2:$B$379,'00_SKU_Master'!$F$2:$F$379,0),0)</f>
        <v>25</v>
      </c>
      <c r="M36" s="262">
        <f>IFERROR(_xlfn.XLOOKUP(K36,'00_Yield_Rates'!$B$2:$B$33,'00_Yield_Rates'!$E$2:$E$33,0)/100,0)</f>
        <v>0</v>
      </c>
      <c r="N36" s="259">
        <f t="shared" si="1"/>
        <v>0</v>
      </c>
      <c r="O36" s="259">
        <f t="shared" si="3"/>
        <v>203624</v>
      </c>
    </row>
    <row r="37" spans="2:15" x14ac:dyDescent="0.35">
      <c r="O37" t="str">
        <f t="shared" si="3"/>
        <v/>
      </c>
    </row>
    <row r="38" spans="2:15" x14ac:dyDescent="0.35">
      <c r="O38" t="str">
        <f t="shared" si="3"/>
        <v/>
      </c>
    </row>
    <row r="39" spans="2:15" x14ac:dyDescent="0.35">
      <c r="O39" t="str">
        <f t="shared" si="3"/>
        <v/>
      </c>
    </row>
    <row r="40" spans="2:15" x14ac:dyDescent="0.35">
      <c r="O40" t="str">
        <f t="shared" si="3"/>
        <v/>
      </c>
    </row>
    <row r="41" spans="2:15" x14ac:dyDescent="0.35">
      <c r="O41" t="str">
        <f t="shared" si="3"/>
        <v/>
      </c>
    </row>
    <row r="42" spans="2:15" x14ac:dyDescent="0.35">
      <c r="O42" t="str">
        <f t="shared" si="3"/>
        <v/>
      </c>
    </row>
    <row r="43" spans="2:15" x14ac:dyDescent="0.35">
      <c r="O43" t="str">
        <f t="shared" si="3"/>
        <v/>
      </c>
    </row>
    <row r="44" spans="2:15" x14ac:dyDescent="0.35">
      <c r="O44" t="str">
        <f t="shared" si="3"/>
        <v/>
      </c>
    </row>
    <row r="45" spans="2:15" x14ac:dyDescent="0.35">
      <c r="O45" t="str">
        <f t="shared" si="3"/>
        <v/>
      </c>
    </row>
    <row r="46" spans="2:15" x14ac:dyDescent="0.35">
      <c r="O46" t="str">
        <f t="shared" si="3"/>
        <v/>
      </c>
    </row>
    <row r="47" spans="2:15" x14ac:dyDescent="0.35">
      <c r="O47" t="str">
        <f t="shared" si="3"/>
        <v/>
      </c>
    </row>
    <row r="48" spans="2:15" x14ac:dyDescent="0.35">
      <c r="O48" t="str">
        <f t="shared" si="3"/>
        <v/>
      </c>
    </row>
    <row r="49" spans="15:15" x14ac:dyDescent="0.35">
      <c r="O49" t="str">
        <f t="shared" si="3"/>
        <v/>
      </c>
    </row>
    <row r="50" spans="15:15" x14ac:dyDescent="0.35">
      <c r="O50" t="str">
        <f t="shared" si="3"/>
        <v/>
      </c>
    </row>
    <row r="51" spans="15:15" x14ac:dyDescent="0.35">
      <c r="O51" t="str">
        <f t="shared" si="3"/>
        <v/>
      </c>
    </row>
    <row r="52" spans="15:15" x14ac:dyDescent="0.35">
      <c r="O52" t="str">
        <f t="shared" si="3"/>
        <v/>
      </c>
    </row>
    <row r="53" spans="15:15" x14ac:dyDescent="0.35">
      <c r="O53" t="str">
        <f t="shared" si="3"/>
        <v/>
      </c>
    </row>
    <row r="54" spans="15:15" x14ac:dyDescent="0.35">
      <c r="O54" t="str">
        <f t="shared" si="3"/>
        <v/>
      </c>
    </row>
    <row r="55" spans="15:15" x14ac:dyDescent="0.35">
      <c r="O55" t="str">
        <f t="shared" si="3"/>
        <v/>
      </c>
    </row>
    <row r="56" spans="15:15" x14ac:dyDescent="0.35">
      <c r="O56" t="str">
        <f t="shared" si="3"/>
        <v/>
      </c>
    </row>
    <row r="57" spans="15:15" x14ac:dyDescent="0.35">
      <c r="O57" t="str">
        <f t="shared" si="3"/>
        <v/>
      </c>
    </row>
    <row r="58" spans="15:15" x14ac:dyDescent="0.35">
      <c r="O58" t="str">
        <f t="shared" si="3"/>
        <v/>
      </c>
    </row>
    <row r="59" spans="15:15" x14ac:dyDescent="0.35">
      <c r="O59" t="str">
        <f t="shared" si="3"/>
        <v/>
      </c>
    </row>
    <row r="60" spans="15:15" x14ac:dyDescent="0.35">
      <c r="O60" t="str">
        <f t="shared" si="3"/>
        <v/>
      </c>
    </row>
    <row r="61" spans="15:15" x14ac:dyDescent="0.35">
      <c r="O61" t="str">
        <f t="shared" si="3"/>
        <v/>
      </c>
    </row>
    <row r="62" spans="15:15" x14ac:dyDescent="0.35">
      <c r="O62" t="str">
        <f t="shared" si="3"/>
        <v/>
      </c>
    </row>
    <row r="63" spans="15:15" x14ac:dyDescent="0.35">
      <c r="O63" t="str">
        <f t="shared" si="3"/>
        <v/>
      </c>
    </row>
    <row r="64" spans="15:15" x14ac:dyDescent="0.35">
      <c r="O64" t="str">
        <f t="shared" si="3"/>
        <v/>
      </c>
    </row>
    <row r="65" spans="15:15" x14ac:dyDescent="0.35">
      <c r="O65" t="str">
        <f t="shared" si="3"/>
        <v/>
      </c>
    </row>
    <row r="66" spans="15:15" x14ac:dyDescent="0.35">
      <c r="O66" t="str">
        <f t="shared" si="3"/>
        <v/>
      </c>
    </row>
    <row r="67" spans="15:15" x14ac:dyDescent="0.35">
      <c r="O67" t="str">
        <f t="shared" ref="O67:O98" si="4">IF($B67="","",$B67)</f>
        <v/>
      </c>
    </row>
    <row r="68" spans="15:15" x14ac:dyDescent="0.35">
      <c r="O68" t="str">
        <f t="shared" si="4"/>
        <v/>
      </c>
    </row>
    <row r="69" spans="15:15" x14ac:dyDescent="0.35">
      <c r="O69" t="str">
        <f t="shared" si="4"/>
        <v/>
      </c>
    </row>
    <row r="70" spans="15:15" x14ac:dyDescent="0.35">
      <c r="O70" t="str">
        <f t="shared" si="4"/>
        <v/>
      </c>
    </row>
    <row r="71" spans="15:15" x14ac:dyDescent="0.35">
      <c r="O71" t="str">
        <f t="shared" si="4"/>
        <v/>
      </c>
    </row>
    <row r="72" spans="15:15" x14ac:dyDescent="0.35">
      <c r="O72" t="str">
        <f t="shared" si="4"/>
        <v/>
      </c>
    </row>
    <row r="73" spans="15:15" x14ac:dyDescent="0.35">
      <c r="O73" t="str">
        <f t="shared" si="4"/>
        <v/>
      </c>
    </row>
    <row r="74" spans="15:15" x14ac:dyDescent="0.35">
      <c r="O74" t="str">
        <f t="shared" si="4"/>
        <v/>
      </c>
    </row>
    <row r="75" spans="15:15" x14ac:dyDescent="0.35">
      <c r="O75" t="str">
        <f t="shared" si="4"/>
        <v/>
      </c>
    </row>
    <row r="76" spans="15:15" x14ac:dyDescent="0.35">
      <c r="O76" t="str">
        <f t="shared" si="4"/>
        <v/>
      </c>
    </row>
    <row r="77" spans="15:15" x14ac:dyDescent="0.35">
      <c r="O77" t="str">
        <f t="shared" si="4"/>
        <v/>
      </c>
    </row>
    <row r="78" spans="15:15" x14ac:dyDescent="0.35">
      <c r="O78" t="str">
        <f t="shared" si="4"/>
        <v/>
      </c>
    </row>
    <row r="79" spans="15:15" x14ac:dyDescent="0.35">
      <c r="O79" t="str">
        <f t="shared" si="4"/>
        <v/>
      </c>
    </row>
    <row r="80" spans="15:15" x14ac:dyDescent="0.35">
      <c r="O80" t="str">
        <f t="shared" si="4"/>
        <v/>
      </c>
    </row>
    <row r="81" spans="15:15" x14ac:dyDescent="0.35">
      <c r="O81" t="str">
        <f t="shared" si="4"/>
        <v/>
      </c>
    </row>
    <row r="82" spans="15:15" x14ac:dyDescent="0.35">
      <c r="O82" t="str">
        <f t="shared" si="4"/>
        <v/>
      </c>
    </row>
    <row r="83" spans="15:15" x14ac:dyDescent="0.35">
      <c r="O83" t="str">
        <f t="shared" si="4"/>
        <v/>
      </c>
    </row>
    <row r="84" spans="15:15" x14ac:dyDescent="0.35">
      <c r="O84" t="str">
        <f t="shared" si="4"/>
        <v/>
      </c>
    </row>
    <row r="85" spans="15:15" x14ac:dyDescent="0.35">
      <c r="O85" t="str">
        <f t="shared" si="4"/>
        <v/>
      </c>
    </row>
    <row r="86" spans="15:15" x14ac:dyDescent="0.35">
      <c r="O86" t="str">
        <f t="shared" si="4"/>
        <v/>
      </c>
    </row>
    <row r="87" spans="15:15" x14ac:dyDescent="0.35">
      <c r="O87" t="str">
        <f t="shared" si="4"/>
        <v/>
      </c>
    </row>
    <row r="88" spans="15:15" x14ac:dyDescent="0.35">
      <c r="O88" t="str">
        <f t="shared" si="4"/>
        <v/>
      </c>
    </row>
    <row r="89" spans="15:15" x14ac:dyDescent="0.35">
      <c r="O89" t="str">
        <f t="shared" si="4"/>
        <v/>
      </c>
    </row>
    <row r="90" spans="15:15" x14ac:dyDescent="0.35">
      <c r="O90" t="str">
        <f t="shared" si="4"/>
        <v/>
      </c>
    </row>
    <row r="91" spans="15:15" x14ac:dyDescent="0.35">
      <c r="O91" t="str">
        <f t="shared" si="4"/>
        <v/>
      </c>
    </row>
    <row r="92" spans="15:15" x14ac:dyDescent="0.35">
      <c r="O92" t="str">
        <f t="shared" si="4"/>
        <v/>
      </c>
    </row>
    <row r="93" spans="15:15" x14ac:dyDescent="0.35">
      <c r="O93" t="str">
        <f t="shared" si="4"/>
        <v/>
      </c>
    </row>
    <row r="94" spans="15:15" x14ac:dyDescent="0.35">
      <c r="O94" t="str">
        <f t="shared" si="4"/>
        <v/>
      </c>
    </row>
    <row r="95" spans="15:15" x14ac:dyDescent="0.35">
      <c r="O95" t="str">
        <f t="shared" si="4"/>
        <v/>
      </c>
    </row>
    <row r="96" spans="15:15" x14ac:dyDescent="0.35">
      <c r="O96" t="str">
        <f t="shared" si="4"/>
        <v/>
      </c>
    </row>
    <row r="97" spans="15:15" x14ac:dyDescent="0.35">
      <c r="O97" t="str">
        <f t="shared" si="4"/>
        <v/>
      </c>
    </row>
    <row r="98" spans="15:15" x14ac:dyDescent="0.35">
      <c r="O98" t="str">
        <f t="shared" si="4"/>
        <v/>
      </c>
    </row>
    <row r="99" spans="15:15" x14ac:dyDescent="0.35">
      <c r="O99" t="str">
        <f t="shared" ref="O99:O130" si="5">IF($B99="","",$B99)</f>
        <v/>
      </c>
    </row>
    <row r="100" spans="15:15" x14ac:dyDescent="0.35">
      <c r="O100" t="str">
        <f t="shared" si="5"/>
        <v/>
      </c>
    </row>
    <row r="101" spans="15:15" x14ac:dyDescent="0.35">
      <c r="O101" t="str">
        <f t="shared" si="5"/>
        <v/>
      </c>
    </row>
    <row r="102" spans="15:15" x14ac:dyDescent="0.35">
      <c r="O102" t="str">
        <f t="shared" si="5"/>
        <v/>
      </c>
    </row>
    <row r="103" spans="15:15" x14ac:dyDescent="0.35">
      <c r="O103" t="str">
        <f t="shared" si="5"/>
        <v/>
      </c>
    </row>
    <row r="104" spans="15:15" x14ac:dyDescent="0.35">
      <c r="O104" t="str">
        <f t="shared" si="5"/>
        <v/>
      </c>
    </row>
    <row r="105" spans="15:15" x14ac:dyDescent="0.35">
      <c r="O105" t="str">
        <f t="shared" si="5"/>
        <v/>
      </c>
    </row>
    <row r="106" spans="15:15" x14ac:dyDescent="0.35">
      <c r="O106" t="str">
        <f t="shared" si="5"/>
        <v/>
      </c>
    </row>
    <row r="107" spans="15:15" x14ac:dyDescent="0.35">
      <c r="O107" t="str">
        <f t="shared" si="5"/>
        <v/>
      </c>
    </row>
    <row r="108" spans="15:15" x14ac:dyDescent="0.35">
      <c r="O108" t="str">
        <f t="shared" si="5"/>
        <v/>
      </c>
    </row>
    <row r="109" spans="15:15" x14ac:dyDescent="0.35">
      <c r="O109" t="str">
        <f t="shared" si="5"/>
        <v/>
      </c>
    </row>
    <row r="110" spans="15:15" x14ac:dyDescent="0.35">
      <c r="O110" t="str">
        <f t="shared" si="5"/>
        <v/>
      </c>
    </row>
    <row r="111" spans="15:15" x14ac:dyDescent="0.35">
      <c r="O111" t="str">
        <f t="shared" si="5"/>
        <v/>
      </c>
    </row>
    <row r="112" spans="15:15" x14ac:dyDescent="0.35">
      <c r="O112" t="str">
        <f t="shared" si="5"/>
        <v/>
      </c>
    </row>
    <row r="113" spans="15:15" x14ac:dyDescent="0.35">
      <c r="O113" t="str">
        <f t="shared" si="5"/>
        <v/>
      </c>
    </row>
    <row r="114" spans="15:15" x14ac:dyDescent="0.35">
      <c r="O114" t="str">
        <f t="shared" si="5"/>
        <v/>
      </c>
    </row>
    <row r="115" spans="15:15" x14ac:dyDescent="0.35">
      <c r="O115" t="str">
        <f t="shared" si="5"/>
        <v/>
      </c>
    </row>
    <row r="116" spans="15:15" x14ac:dyDescent="0.35">
      <c r="O116" t="str">
        <f t="shared" si="5"/>
        <v/>
      </c>
    </row>
    <row r="117" spans="15:15" x14ac:dyDescent="0.35">
      <c r="O117" t="str">
        <f t="shared" si="5"/>
        <v/>
      </c>
    </row>
    <row r="118" spans="15:15" x14ac:dyDescent="0.35">
      <c r="O118" t="str">
        <f t="shared" si="5"/>
        <v/>
      </c>
    </row>
    <row r="119" spans="15:15" x14ac:dyDescent="0.35">
      <c r="O119" t="str">
        <f t="shared" si="5"/>
        <v/>
      </c>
    </row>
    <row r="120" spans="15:15" x14ac:dyDescent="0.35">
      <c r="O120" t="str">
        <f t="shared" si="5"/>
        <v/>
      </c>
    </row>
    <row r="121" spans="15:15" x14ac:dyDescent="0.35">
      <c r="O121" t="str">
        <f t="shared" si="5"/>
        <v/>
      </c>
    </row>
    <row r="122" spans="15:15" x14ac:dyDescent="0.35">
      <c r="O122" t="str">
        <f t="shared" si="5"/>
        <v/>
      </c>
    </row>
    <row r="123" spans="15:15" x14ac:dyDescent="0.35">
      <c r="O123" t="str">
        <f t="shared" si="5"/>
        <v/>
      </c>
    </row>
    <row r="124" spans="15:15" x14ac:dyDescent="0.35">
      <c r="O124" t="str">
        <f t="shared" si="5"/>
        <v/>
      </c>
    </row>
    <row r="125" spans="15:15" x14ac:dyDescent="0.35">
      <c r="O125" t="str">
        <f t="shared" si="5"/>
        <v/>
      </c>
    </row>
    <row r="126" spans="15:15" x14ac:dyDescent="0.35">
      <c r="O126" t="str">
        <f t="shared" si="5"/>
        <v/>
      </c>
    </row>
    <row r="127" spans="15:15" x14ac:dyDescent="0.35">
      <c r="O127" t="str">
        <f t="shared" si="5"/>
        <v/>
      </c>
    </row>
    <row r="128" spans="15:15" x14ac:dyDescent="0.35">
      <c r="O128" t="str">
        <f t="shared" si="5"/>
        <v/>
      </c>
    </row>
    <row r="129" spans="15:15" x14ac:dyDescent="0.35">
      <c r="O129" t="str">
        <f t="shared" si="5"/>
        <v/>
      </c>
    </row>
    <row r="130" spans="15:15" x14ac:dyDescent="0.35">
      <c r="O130" t="str">
        <f t="shared" si="5"/>
        <v/>
      </c>
    </row>
    <row r="131" spans="15:15" x14ac:dyDescent="0.35">
      <c r="O131" t="str">
        <f t="shared" ref="O131:O162" si="6">IF($B131="","",$B131)</f>
        <v/>
      </c>
    </row>
    <row r="132" spans="15:15" x14ac:dyDescent="0.35">
      <c r="O132" t="str">
        <f t="shared" si="6"/>
        <v/>
      </c>
    </row>
    <row r="133" spans="15:15" x14ac:dyDescent="0.35">
      <c r="O133" t="str">
        <f t="shared" si="6"/>
        <v/>
      </c>
    </row>
    <row r="134" spans="15:15" x14ac:dyDescent="0.35">
      <c r="O134" t="str">
        <f t="shared" si="6"/>
        <v/>
      </c>
    </row>
    <row r="135" spans="15:15" x14ac:dyDescent="0.35">
      <c r="O135" t="str">
        <f t="shared" si="6"/>
        <v/>
      </c>
    </row>
    <row r="136" spans="15:15" x14ac:dyDescent="0.35">
      <c r="O136" t="str">
        <f t="shared" si="6"/>
        <v/>
      </c>
    </row>
    <row r="137" spans="15:15" x14ac:dyDescent="0.35">
      <c r="O137" t="str">
        <f t="shared" si="6"/>
        <v/>
      </c>
    </row>
    <row r="138" spans="15:15" x14ac:dyDescent="0.35">
      <c r="O138" t="str">
        <f t="shared" si="6"/>
        <v/>
      </c>
    </row>
    <row r="139" spans="15:15" x14ac:dyDescent="0.35">
      <c r="O139" t="str">
        <f t="shared" si="6"/>
        <v/>
      </c>
    </row>
    <row r="140" spans="15:15" x14ac:dyDescent="0.35">
      <c r="O140" t="str">
        <f t="shared" si="6"/>
        <v/>
      </c>
    </row>
    <row r="141" spans="15:15" x14ac:dyDescent="0.35">
      <c r="O141" t="str">
        <f t="shared" si="6"/>
        <v/>
      </c>
    </row>
    <row r="142" spans="15:15" x14ac:dyDescent="0.35">
      <c r="O142" t="str">
        <f t="shared" si="6"/>
        <v/>
      </c>
    </row>
    <row r="143" spans="15:15" x14ac:dyDescent="0.35">
      <c r="O143" t="str">
        <f t="shared" si="6"/>
        <v/>
      </c>
    </row>
    <row r="144" spans="15:15" x14ac:dyDescent="0.35">
      <c r="O144" t="str">
        <f t="shared" si="6"/>
        <v/>
      </c>
    </row>
    <row r="145" spans="15:15" x14ac:dyDescent="0.35">
      <c r="O145" t="str">
        <f t="shared" si="6"/>
        <v/>
      </c>
    </row>
    <row r="146" spans="15:15" x14ac:dyDescent="0.35">
      <c r="O146" t="str">
        <f t="shared" si="6"/>
        <v/>
      </c>
    </row>
    <row r="147" spans="15:15" x14ac:dyDescent="0.35">
      <c r="O147" t="str">
        <f t="shared" si="6"/>
        <v/>
      </c>
    </row>
    <row r="148" spans="15:15" x14ac:dyDescent="0.35">
      <c r="O148" t="str">
        <f t="shared" si="6"/>
        <v/>
      </c>
    </row>
    <row r="149" spans="15:15" x14ac:dyDescent="0.35">
      <c r="O149" t="str">
        <f t="shared" si="6"/>
        <v/>
      </c>
    </row>
    <row r="150" spans="15:15" x14ac:dyDescent="0.35">
      <c r="O150" t="str">
        <f t="shared" si="6"/>
        <v/>
      </c>
    </row>
    <row r="151" spans="15:15" x14ac:dyDescent="0.35">
      <c r="O151" t="str">
        <f t="shared" si="6"/>
        <v/>
      </c>
    </row>
    <row r="152" spans="15:15" x14ac:dyDescent="0.35">
      <c r="O152" t="str">
        <f t="shared" si="6"/>
        <v/>
      </c>
    </row>
    <row r="153" spans="15:15" x14ac:dyDescent="0.35">
      <c r="O153" t="str">
        <f t="shared" si="6"/>
        <v/>
      </c>
    </row>
    <row r="154" spans="15:15" x14ac:dyDescent="0.35">
      <c r="O154" t="str">
        <f t="shared" si="6"/>
        <v/>
      </c>
    </row>
    <row r="155" spans="15:15" x14ac:dyDescent="0.35">
      <c r="O155" t="str">
        <f t="shared" si="6"/>
        <v/>
      </c>
    </row>
    <row r="156" spans="15:15" x14ac:dyDescent="0.35">
      <c r="O156" t="str">
        <f t="shared" si="6"/>
        <v/>
      </c>
    </row>
    <row r="157" spans="15:15" x14ac:dyDescent="0.35">
      <c r="O157" t="str">
        <f t="shared" si="6"/>
        <v/>
      </c>
    </row>
    <row r="158" spans="15:15" x14ac:dyDescent="0.35">
      <c r="O158" t="str">
        <f t="shared" si="6"/>
        <v/>
      </c>
    </row>
    <row r="159" spans="15:15" x14ac:dyDescent="0.35">
      <c r="O159" t="str">
        <f t="shared" si="6"/>
        <v/>
      </c>
    </row>
    <row r="160" spans="15:15" x14ac:dyDescent="0.35">
      <c r="O160" t="str">
        <f t="shared" si="6"/>
        <v/>
      </c>
    </row>
    <row r="161" spans="15:15" x14ac:dyDescent="0.35">
      <c r="O161" t="str">
        <f t="shared" si="6"/>
        <v/>
      </c>
    </row>
    <row r="162" spans="15:15" x14ac:dyDescent="0.35">
      <c r="O162" t="str">
        <f t="shared" si="6"/>
        <v/>
      </c>
    </row>
    <row r="163" spans="15:15" x14ac:dyDescent="0.35">
      <c r="O163" t="str">
        <f t="shared" ref="O163:O194" si="7">IF($B163="","",$B163)</f>
        <v/>
      </c>
    </row>
    <row r="164" spans="15:15" x14ac:dyDescent="0.35">
      <c r="O164" t="str">
        <f t="shared" si="7"/>
        <v/>
      </c>
    </row>
    <row r="165" spans="15:15" x14ac:dyDescent="0.35">
      <c r="O165" t="str">
        <f t="shared" si="7"/>
        <v/>
      </c>
    </row>
    <row r="166" spans="15:15" x14ac:dyDescent="0.35">
      <c r="O166" t="str">
        <f t="shared" si="7"/>
        <v/>
      </c>
    </row>
    <row r="167" spans="15:15" x14ac:dyDescent="0.35">
      <c r="O167" t="str">
        <f t="shared" si="7"/>
        <v/>
      </c>
    </row>
    <row r="168" spans="15:15" x14ac:dyDescent="0.35">
      <c r="O168" t="str">
        <f t="shared" si="7"/>
        <v/>
      </c>
    </row>
    <row r="169" spans="15:15" x14ac:dyDescent="0.35">
      <c r="O169" t="str">
        <f t="shared" si="7"/>
        <v/>
      </c>
    </row>
    <row r="170" spans="15:15" x14ac:dyDescent="0.35">
      <c r="O170" t="str">
        <f t="shared" si="7"/>
        <v/>
      </c>
    </row>
    <row r="171" spans="15:15" x14ac:dyDescent="0.35">
      <c r="O171" t="str">
        <f t="shared" si="7"/>
        <v/>
      </c>
    </row>
    <row r="172" spans="15:15" x14ac:dyDescent="0.35">
      <c r="O172" t="str">
        <f t="shared" si="7"/>
        <v/>
      </c>
    </row>
    <row r="173" spans="15:15" x14ac:dyDescent="0.35">
      <c r="O173" t="str">
        <f t="shared" si="7"/>
        <v/>
      </c>
    </row>
    <row r="174" spans="15:15" x14ac:dyDescent="0.35">
      <c r="O174" t="str">
        <f t="shared" si="7"/>
        <v/>
      </c>
    </row>
    <row r="175" spans="15:15" x14ac:dyDescent="0.35">
      <c r="O175" t="str">
        <f t="shared" si="7"/>
        <v/>
      </c>
    </row>
    <row r="176" spans="15:15" x14ac:dyDescent="0.35">
      <c r="O176" t="str">
        <f t="shared" si="7"/>
        <v/>
      </c>
    </row>
    <row r="177" spans="15:15" x14ac:dyDescent="0.35">
      <c r="O177" t="str">
        <f t="shared" si="7"/>
        <v/>
      </c>
    </row>
    <row r="178" spans="15:15" x14ac:dyDescent="0.35">
      <c r="O178" t="str">
        <f t="shared" si="7"/>
        <v/>
      </c>
    </row>
    <row r="179" spans="15:15" x14ac:dyDescent="0.35">
      <c r="O179" t="str">
        <f t="shared" si="7"/>
        <v/>
      </c>
    </row>
    <row r="180" spans="15:15" x14ac:dyDescent="0.35">
      <c r="O180" t="str">
        <f t="shared" si="7"/>
        <v/>
      </c>
    </row>
    <row r="181" spans="15:15" x14ac:dyDescent="0.35">
      <c r="O181" t="str">
        <f t="shared" si="7"/>
        <v/>
      </c>
    </row>
    <row r="182" spans="15:15" x14ac:dyDescent="0.35">
      <c r="O182" t="str">
        <f t="shared" si="7"/>
        <v/>
      </c>
    </row>
    <row r="183" spans="15:15" x14ac:dyDescent="0.35">
      <c r="O183" t="str">
        <f t="shared" si="7"/>
        <v/>
      </c>
    </row>
    <row r="184" spans="15:15" x14ac:dyDescent="0.35">
      <c r="O184" t="str">
        <f t="shared" si="7"/>
        <v/>
      </c>
    </row>
    <row r="185" spans="15:15" x14ac:dyDescent="0.35">
      <c r="O185" t="str">
        <f t="shared" si="7"/>
        <v/>
      </c>
    </row>
    <row r="186" spans="15:15" x14ac:dyDescent="0.35">
      <c r="O186" t="str">
        <f t="shared" si="7"/>
        <v/>
      </c>
    </row>
    <row r="187" spans="15:15" x14ac:dyDescent="0.35">
      <c r="O187" t="str">
        <f t="shared" si="7"/>
        <v/>
      </c>
    </row>
    <row r="188" spans="15:15" x14ac:dyDescent="0.35">
      <c r="O188" t="str">
        <f t="shared" si="7"/>
        <v/>
      </c>
    </row>
    <row r="189" spans="15:15" x14ac:dyDescent="0.35">
      <c r="O189" t="str">
        <f t="shared" si="7"/>
        <v/>
      </c>
    </row>
    <row r="190" spans="15:15" x14ac:dyDescent="0.35">
      <c r="O190" t="str">
        <f t="shared" si="7"/>
        <v/>
      </c>
    </row>
    <row r="191" spans="15:15" x14ac:dyDescent="0.35">
      <c r="O191" t="str">
        <f t="shared" si="7"/>
        <v/>
      </c>
    </row>
    <row r="192" spans="15:15" x14ac:dyDescent="0.35">
      <c r="O192" t="str">
        <f t="shared" si="7"/>
        <v/>
      </c>
    </row>
    <row r="193" spans="15:15" x14ac:dyDescent="0.35">
      <c r="O193" t="str">
        <f t="shared" si="7"/>
        <v/>
      </c>
    </row>
    <row r="194" spans="15:15" x14ac:dyDescent="0.35">
      <c r="O194" t="str">
        <f t="shared" si="7"/>
        <v/>
      </c>
    </row>
    <row r="195" spans="15:15" x14ac:dyDescent="0.35">
      <c r="O195" t="str">
        <f t="shared" ref="O195:O201" si="8">IF($B195="","",$B195)</f>
        <v/>
      </c>
    </row>
    <row r="196" spans="15:15" x14ac:dyDescent="0.35">
      <c r="O196" t="str">
        <f t="shared" si="8"/>
        <v/>
      </c>
    </row>
    <row r="197" spans="15:15" x14ac:dyDescent="0.35">
      <c r="O197" t="str">
        <f t="shared" si="8"/>
        <v/>
      </c>
    </row>
    <row r="198" spans="15:15" x14ac:dyDescent="0.35">
      <c r="O198" t="str">
        <f t="shared" si="8"/>
        <v/>
      </c>
    </row>
    <row r="199" spans="15:15" x14ac:dyDescent="0.35">
      <c r="O199" t="str">
        <f t="shared" si="8"/>
        <v/>
      </c>
    </row>
    <row r="200" spans="15:15" x14ac:dyDescent="0.35">
      <c r="O200" t="str">
        <f t="shared" si="8"/>
        <v/>
      </c>
    </row>
    <row r="201" spans="15:15" x14ac:dyDescent="0.35">
      <c r="O201" t="str">
        <f t="shared" si="8"/>
        <v/>
      </c>
    </row>
  </sheetData>
  <sheetProtection sheet="1" objects="1" scenarios="1"/>
  <autoFilter ref="B2:N36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AD47"/>
  </sheetPr>
  <dimension ref="A1:R25"/>
  <sheetViews>
    <sheetView workbookViewId="0">
      <selection activeCell="N30" sqref="N30"/>
    </sheetView>
  </sheetViews>
  <sheetFormatPr defaultColWidth="8.81640625" defaultRowHeight="14.5" x14ac:dyDescent="0.35"/>
  <cols>
    <col min="1" max="1" width="2.453125" customWidth="1"/>
    <col min="2" max="2" width="13.81640625" customWidth="1"/>
    <col min="3" max="6" width="8.90625" customWidth="1"/>
    <col min="7" max="7" width="3.1796875" customWidth="1"/>
    <col min="8" max="18" width="7.36328125" customWidth="1"/>
  </cols>
  <sheetData>
    <row r="1" spans="1:18" x14ac:dyDescent="0.35">
      <c r="B1" s="163"/>
      <c r="C1" s="147">
        <f>SUM(C3:C20)</f>
        <v>570</v>
      </c>
      <c r="D1" s="147">
        <f>SUM(D3:D20)</f>
        <v>0</v>
      </c>
      <c r="E1" s="147">
        <f>SUM(E3:E20)</f>
        <v>0</v>
      </c>
      <c r="F1" s="147">
        <f>SUM(F3:F20)</f>
        <v>0</v>
      </c>
      <c r="G1" s="10"/>
      <c r="H1" s="10"/>
      <c r="I1" s="152">
        <f>SUMIF(I3:I23,"&gt;0")</f>
        <v>570</v>
      </c>
      <c r="J1" s="152">
        <f>SUM(J3:J20)</f>
        <v>0</v>
      </c>
      <c r="K1" s="152">
        <f>SUMIF(K3:K21,"&gt;0")</f>
        <v>570</v>
      </c>
      <c r="L1" s="153"/>
      <c r="M1" s="153"/>
      <c r="N1" s="153" t="s">
        <v>467</v>
      </c>
      <c r="O1" s="153"/>
      <c r="P1" s="154"/>
      <c r="Q1" s="154">
        <f>SUM(Q3:Q20)</f>
        <v>5264.4495522894731</v>
      </c>
      <c r="R1" s="154"/>
    </row>
    <row r="2" spans="1:18" ht="29" customHeight="1" x14ac:dyDescent="0.35">
      <c r="A2" s="77"/>
      <c r="B2" s="85" t="s">
        <v>4</v>
      </c>
      <c r="C2" s="85"/>
      <c r="D2" s="85"/>
      <c r="E2" s="85"/>
      <c r="F2" s="85"/>
      <c r="G2" s="94"/>
      <c r="H2" s="86" t="s">
        <v>4</v>
      </c>
      <c r="I2" s="86" t="s">
        <v>468</v>
      </c>
      <c r="J2" s="86" t="s">
        <v>469</v>
      </c>
      <c r="K2" s="86" t="s">
        <v>470</v>
      </c>
      <c r="L2" s="86"/>
      <c r="M2" s="86"/>
      <c r="N2" s="86" t="s">
        <v>7</v>
      </c>
      <c r="O2" s="86" t="s">
        <v>8</v>
      </c>
      <c r="P2" s="86" t="s">
        <v>445</v>
      </c>
      <c r="Q2" s="87" t="s">
        <v>443</v>
      </c>
      <c r="R2" s="87" t="s">
        <v>5</v>
      </c>
    </row>
    <row r="3" spans="1:18" x14ac:dyDescent="0.35">
      <c r="B3" s="11">
        <f>'00_SKU_Master'!B358</f>
        <v>2050</v>
      </c>
      <c r="C3" s="297">
        <v>117</v>
      </c>
      <c r="D3" s="297"/>
      <c r="E3" s="297"/>
      <c r="F3" s="297"/>
      <c r="G3" s="12"/>
      <c r="H3" s="78">
        <f t="shared" ref="H3:H20" si="0">B3</f>
        <v>2050</v>
      </c>
      <c r="I3" s="148">
        <f t="shared" ref="I3:I20" si="1">SUM(C3:F3)</f>
        <v>117</v>
      </c>
      <c r="J3" s="149">
        <f>SUMIF('13_Progress_Track'!$A$2:$A$108,B3,'13_Progress_Track'!$E$2:$E$108)</f>
        <v>0</v>
      </c>
      <c r="K3" s="149">
        <f t="shared" ref="K3:K20" si="2">I3-J3</f>
        <v>117</v>
      </c>
      <c r="L3" s="148"/>
      <c r="M3" s="150"/>
      <c r="N3" s="150" t="str">
        <f>IFERROR(_xlfn.XLOOKUP(B3,'00_SKU_Master'!$B$2:$B$379,'00_SKU_Master'!$E$2:$E$379,""),"")</f>
        <v>BA</v>
      </c>
      <c r="O3" s="148">
        <f>IFERROR(_xlfn.SINGLE(_xlfn.XLOOKUP(B3,'00_SKU_Master'!$B$2:$B$379,'00_SKU_Master'!$F$2:$F$379,0)),0)</f>
        <v>11.33334516415262</v>
      </c>
      <c r="P3" s="164">
        <f>IFERROR(_xlfn.XLOOKUP(N3,'00_Yield_Rates'!$B$2:$B$33,'00_Yield_Rates'!$E$2:$E$33,0)/100,0)</f>
        <v>0.47</v>
      </c>
      <c r="Q3" s="151">
        <f t="shared" ref="Q3:Q20" si="3">IF(AND(ISNUMBER(I3),ISNUMBER(O3)),I3*O3,0)</f>
        <v>1326.0013842058565</v>
      </c>
      <c r="R3" s="151">
        <f>IFERROR(_xlfn.XLOOKUP($H3,'00_SKU_Master'!$B$2:$B$379,'00_SKU_Master'!$C$2:$C$379,""),"")</f>
        <v>61062</v>
      </c>
    </row>
    <row r="4" spans="1:18" x14ac:dyDescent="0.35">
      <c r="B4" s="11">
        <f>'00_SKU_Master'!B359</f>
        <v>2051</v>
      </c>
      <c r="C4" s="297">
        <v>185</v>
      </c>
      <c r="D4" s="297"/>
      <c r="E4" s="297"/>
      <c r="F4" s="297"/>
      <c r="G4" s="12"/>
      <c r="H4" s="78">
        <f t="shared" si="0"/>
        <v>2051</v>
      </c>
      <c r="I4" s="148">
        <f t="shared" si="1"/>
        <v>185</v>
      </c>
      <c r="J4" s="149">
        <f>SUMIF('13_Progress_Track'!$A$2:$A$108,B4,'13_Progress_Track'!$E$2:$E$108)</f>
        <v>0</v>
      </c>
      <c r="K4" s="149">
        <f t="shared" si="2"/>
        <v>185</v>
      </c>
      <c r="L4" s="148"/>
      <c r="M4" s="150"/>
      <c r="N4" s="150" t="str">
        <f>IFERROR(_xlfn.XLOOKUP(B4,'00_SKU_Master'!$B$2:$B$379,'00_SKU_Master'!$E$2:$E$379,""),"")</f>
        <v>Drum</v>
      </c>
      <c r="O4" s="148">
        <f>IFERROR(_xlfn.SINGLE(_xlfn.XLOOKUP(B4,'00_SKU_Master'!$B$2:$B$379,'00_SKU_Master'!$F$2:$F$379,0)),0)</f>
        <v>10.945225477707011</v>
      </c>
      <c r="P4" s="164">
        <f>IFERROR(_xlfn.XLOOKUP(N4,'00_Yield_Rates'!$B$2:$B$33,'00_Yield_Rates'!$E$2:$E$33,0)/100,0)</f>
        <v>0.14300000000000002</v>
      </c>
      <c r="Q4" s="151">
        <f t="shared" si="3"/>
        <v>2024.866713375797</v>
      </c>
      <c r="R4" s="151">
        <f>IFERROR(_xlfn.XLOOKUP($H4,'00_SKU_Master'!$B$2:$B$379,'00_SKU_Master'!$C$2:$C$379,""),"")</f>
        <v>61073</v>
      </c>
    </row>
    <row r="5" spans="1:18" x14ac:dyDescent="0.35">
      <c r="B5" s="11">
        <f>'00_SKU_Master'!B360</f>
        <v>2081</v>
      </c>
      <c r="C5" s="297">
        <v>83</v>
      </c>
      <c r="D5" s="297"/>
      <c r="E5" s="297"/>
      <c r="F5" s="297"/>
      <c r="G5" s="12"/>
      <c r="H5" s="78">
        <f t="shared" si="0"/>
        <v>2081</v>
      </c>
      <c r="I5" s="148">
        <f t="shared" si="1"/>
        <v>83</v>
      </c>
      <c r="J5" s="149">
        <f>SUMIF('13_Progress_Track'!$A$2:$A$108,B5,'13_Progress_Track'!$E$2:$E$108)</f>
        <v>0</v>
      </c>
      <c r="K5" s="149">
        <f t="shared" si="2"/>
        <v>83</v>
      </c>
      <c r="L5" s="148"/>
      <c r="M5" s="150"/>
      <c r="N5" s="150" t="str">
        <f>IFERROR(_xlfn.XLOOKUP(B5,'00_SKU_Master'!$B$2:$B$379,'00_SKU_Master'!$E$2:$E$379,""),"")</f>
        <v>Wing</v>
      </c>
      <c r="O5" s="148">
        <f>IFERROR(_xlfn.SINGLE(_xlfn.XLOOKUP(B5,'00_SKU_Master'!$B$2:$B$379,'00_SKU_Master'!$F$2:$F$379,0)),0)</f>
        <v>11.2445375</v>
      </c>
      <c r="P5" s="164">
        <f>IFERROR(_xlfn.XLOOKUP(N5,'00_Yield_Rates'!$B$2:$B$33,'00_Yield_Rates'!$E$2:$E$33,0)/100,0)</f>
        <v>0.10800000000000001</v>
      </c>
      <c r="Q5" s="151">
        <f t="shared" si="3"/>
        <v>933.29661250000004</v>
      </c>
      <c r="R5" s="151">
        <f>IFERROR(_xlfn.XLOOKUP($H5,'00_SKU_Master'!$B$2:$B$379,'00_SKU_Master'!$C$2:$C$379,""),"")</f>
        <v>61018</v>
      </c>
    </row>
    <row r="6" spans="1:18" x14ac:dyDescent="0.35">
      <c r="B6" s="11">
        <f>'00_SKU_Master'!B361</f>
        <v>7113</v>
      </c>
      <c r="C6" s="297">
        <v>0</v>
      </c>
      <c r="D6" s="297"/>
      <c r="E6" s="297"/>
      <c r="F6" s="297"/>
      <c r="G6" s="12"/>
      <c r="H6" s="78">
        <f t="shared" si="0"/>
        <v>7113</v>
      </c>
      <c r="I6" s="148">
        <f t="shared" si="1"/>
        <v>0</v>
      </c>
      <c r="J6" s="149">
        <f>SUMIF('13_Progress_Track'!$A$2:$A$108,B6,'13_Progress_Track'!$E$2:$E$108)</f>
        <v>0</v>
      </c>
      <c r="K6" s="149">
        <f t="shared" si="2"/>
        <v>0</v>
      </c>
      <c r="L6" s="148"/>
      <c r="M6" s="150"/>
      <c r="N6" s="150">
        <f>IFERROR(_xlfn.XLOOKUP(B6,'00_SKU_Master'!$B$2:$B$379,'00_SKU_Master'!$E$2:$E$379,""),"")</f>
        <v>0</v>
      </c>
      <c r="O6" s="148">
        <f>IFERROR(_xlfn.SINGLE(_xlfn.XLOOKUP(B6,'00_SKU_Master'!$B$2:$B$379,'00_SKU_Master'!$F$2:$F$379,0)),0)</f>
        <v>12.853</v>
      </c>
      <c r="P6" s="164">
        <f>IFERROR(_xlfn.XLOOKUP(N6,'00_Yield_Rates'!$B$2:$B$33,'00_Yield_Rates'!$E$2:$E$33,0)/100,0)</f>
        <v>0</v>
      </c>
      <c r="Q6" s="151">
        <f t="shared" si="3"/>
        <v>0</v>
      </c>
      <c r="R6" s="151" t="str">
        <f>IFERROR(_xlfn.XLOOKUP($H6,'00_SKU_Master'!$B$2:$B$379,'00_SKU_Master'!$C$2:$C$379,""),"")</f>
        <v>W-Chicken</v>
      </c>
    </row>
    <row r="7" spans="1:18" x14ac:dyDescent="0.35">
      <c r="B7" s="11">
        <f>'00_SKU_Master'!B362</f>
        <v>200179</v>
      </c>
      <c r="C7" s="297">
        <v>0</v>
      </c>
      <c r="D7" s="297"/>
      <c r="E7" s="297"/>
      <c r="F7" s="297"/>
      <c r="G7" s="12"/>
      <c r="H7" s="78">
        <f t="shared" si="0"/>
        <v>200179</v>
      </c>
      <c r="I7" s="148">
        <f t="shared" si="1"/>
        <v>0</v>
      </c>
      <c r="J7" s="149">
        <f>SUMIF('13_Progress_Track'!$A$2:$A$108,B7,'13_Progress_Track'!$E$2:$E$108)</f>
        <v>0</v>
      </c>
      <c r="K7" s="149">
        <f t="shared" si="2"/>
        <v>0</v>
      </c>
      <c r="L7" s="148"/>
      <c r="M7" s="150"/>
      <c r="N7" s="150" t="str">
        <f>IFERROR(_xlfn.XLOOKUP(B7,'00_SKU_Master'!$B$2:$B$379,'00_SKU_Master'!$E$2:$E$379,""),"")</f>
        <v>BA</v>
      </c>
      <c r="O7" s="148" t="str">
        <f>IFERROR(_xlfn.SINGLE(_xlfn.XLOOKUP(B7,'00_SKU_Master'!$B$2:$B$379,'00_SKU_Master'!$F$2:$F$379,0)),0)</f>
        <v>0</v>
      </c>
      <c r="P7" s="164">
        <f>IFERROR(_xlfn.XLOOKUP(N7,'00_Yield_Rates'!$B$2:$B$33,'00_Yield_Rates'!$E$2:$E$33,0)/100,0)</f>
        <v>0.47</v>
      </c>
      <c r="Q7" s="151">
        <f t="shared" si="3"/>
        <v>0</v>
      </c>
      <c r="R7" s="151">
        <f>IFERROR(_xlfn.XLOOKUP($H7,'00_SKU_Master'!$B$2:$B$379,'00_SKU_Master'!$C$2:$C$379,""),"")</f>
        <v>61062</v>
      </c>
    </row>
    <row r="8" spans="1:18" x14ac:dyDescent="0.35">
      <c r="B8" s="11">
        <f>'00_SKU_Master'!B363</f>
        <v>200182</v>
      </c>
      <c r="C8" s="297">
        <v>35</v>
      </c>
      <c r="D8" s="297"/>
      <c r="E8" s="297"/>
      <c r="F8" s="297"/>
      <c r="G8" s="12"/>
      <c r="H8" s="78">
        <f t="shared" si="0"/>
        <v>200182</v>
      </c>
      <c r="I8" s="148">
        <f t="shared" si="1"/>
        <v>35</v>
      </c>
      <c r="J8" s="149">
        <f>SUMIF('13_Progress_Track'!$A$2:$A$108,B8,'13_Progress_Track'!$E$2:$E$108)</f>
        <v>0</v>
      </c>
      <c r="K8" s="149">
        <f t="shared" si="2"/>
        <v>35</v>
      </c>
      <c r="L8" s="148"/>
      <c r="M8" s="150"/>
      <c r="N8" s="150" t="str">
        <f>IFERROR(_xlfn.XLOOKUP(B8,'00_SKU_Master'!$B$2:$B$379,'00_SKU_Master'!$E$2:$E$379,""),"")</f>
        <v>Wing</v>
      </c>
      <c r="O8" s="148">
        <f>IFERROR(_xlfn.SINGLE(_xlfn.XLOOKUP(B8,'00_SKU_Master'!$B$2:$B$379,'00_SKU_Master'!$F$2:$F$379,0)),0)</f>
        <v>9.9302222222222234</v>
      </c>
      <c r="P8" s="164">
        <f>IFERROR(_xlfn.XLOOKUP(N8,'00_Yield_Rates'!$B$2:$B$33,'00_Yield_Rates'!$E$2:$E$33,0)/100,0)</f>
        <v>0.10800000000000001</v>
      </c>
      <c r="Q8" s="151">
        <f t="shared" si="3"/>
        <v>347.5577777777778</v>
      </c>
      <c r="R8" s="151">
        <f>IFERROR(_xlfn.XLOOKUP($H8,'00_SKU_Master'!$B$2:$B$379,'00_SKU_Master'!$C$2:$C$379,""),"")</f>
        <v>61018</v>
      </c>
    </row>
    <row r="9" spans="1:18" x14ac:dyDescent="0.35">
      <c r="B9" s="11">
        <f>'00_SKU_Master'!B364</f>
        <v>200183</v>
      </c>
      <c r="C9" s="297">
        <v>36</v>
      </c>
      <c r="D9" s="297"/>
      <c r="E9" s="297"/>
      <c r="F9" s="297"/>
      <c r="G9" s="12"/>
      <c r="H9" s="78">
        <f t="shared" si="0"/>
        <v>200183</v>
      </c>
      <c r="I9" s="148">
        <f t="shared" si="1"/>
        <v>36</v>
      </c>
      <c r="J9" s="149">
        <f>SUMIF('13_Progress_Track'!$A$2:$A$108,B9,'13_Progress_Track'!$E$2:$E$108)</f>
        <v>0</v>
      </c>
      <c r="K9" s="149">
        <f t="shared" si="2"/>
        <v>36</v>
      </c>
      <c r="L9" s="148"/>
      <c r="M9" s="150"/>
      <c r="N9" s="150" t="str">
        <f>IFERROR(_xlfn.XLOOKUP(B9,'00_SKU_Master'!$B$2:$B$379,'00_SKU_Master'!$E$2:$E$379,""),"")</f>
        <v>BA</v>
      </c>
      <c r="O9" s="148">
        <f>IFERROR(_xlfn.SINGLE(_xlfn.XLOOKUP(B9,'00_SKU_Master'!$B$2:$B$379,'00_SKU_Master'!$F$2:$F$379,0)),0)</f>
        <v>9.0926639344262306</v>
      </c>
      <c r="P9" s="164">
        <f>IFERROR(_xlfn.XLOOKUP(N9,'00_Yield_Rates'!$B$2:$B$33,'00_Yield_Rates'!$E$2:$E$33,0)/100,0)</f>
        <v>0.47</v>
      </c>
      <c r="Q9" s="151">
        <f t="shared" si="3"/>
        <v>327.33590163934429</v>
      </c>
      <c r="R9" s="151">
        <f>IFERROR(_xlfn.XLOOKUP($H9,'00_SKU_Master'!$B$2:$B$379,'00_SKU_Master'!$C$2:$C$379,""),"")</f>
        <v>61062</v>
      </c>
    </row>
    <row r="10" spans="1:18" x14ac:dyDescent="0.35">
      <c r="B10" s="11">
        <f>'00_SKU_Master'!B365</f>
        <v>200184</v>
      </c>
      <c r="C10" s="297">
        <v>34</v>
      </c>
      <c r="D10" s="297"/>
      <c r="E10" s="297"/>
      <c r="F10" s="297"/>
      <c r="G10" s="12"/>
      <c r="H10" s="78">
        <f t="shared" si="0"/>
        <v>200184</v>
      </c>
      <c r="I10" s="148">
        <f t="shared" si="1"/>
        <v>34</v>
      </c>
      <c r="J10" s="149">
        <f>SUMIF('13_Progress_Track'!$A$2:$A$108,B10,'13_Progress_Track'!$E$2:$E$108)</f>
        <v>0</v>
      </c>
      <c r="K10" s="149">
        <f t="shared" si="2"/>
        <v>34</v>
      </c>
      <c r="L10" s="148"/>
      <c r="M10" s="150"/>
      <c r="N10" s="150">
        <f>IFERROR(_xlfn.XLOOKUP(B10,'00_SKU_Master'!$B$2:$B$379,'00_SKU_Master'!$E$2:$E$379,""),"")</f>
        <v>0</v>
      </c>
      <c r="O10" s="148">
        <f>IFERROR(_xlfn.SINGLE(_xlfn.XLOOKUP(B10,'00_SKU_Master'!$B$2:$B$379,'00_SKU_Master'!$F$2:$F$379,0)),0)</f>
        <v>8.982093023255814</v>
      </c>
      <c r="P10" s="164">
        <f>IFERROR(_xlfn.XLOOKUP(N10,'00_Yield_Rates'!$B$2:$B$33,'00_Yield_Rates'!$E$2:$E$33,0)/100,0)</f>
        <v>0</v>
      </c>
      <c r="Q10" s="151">
        <f t="shared" si="3"/>
        <v>305.39116279069765</v>
      </c>
      <c r="R10" s="151">
        <f>IFERROR(_xlfn.XLOOKUP($H10,'00_SKU_Master'!$B$2:$B$379,'00_SKU_Master'!$C$2:$C$379,""),"")</f>
        <v>61073</v>
      </c>
    </row>
    <row r="11" spans="1:18" x14ac:dyDescent="0.35">
      <c r="B11" s="11">
        <f>'00_SKU_Master'!B366</f>
        <v>2511</v>
      </c>
      <c r="C11" s="297">
        <v>0</v>
      </c>
      <c r="D11" s="297"/>
      <c r="E11" s="297"/>
      <c r="F11" s="297"/>
      <c r="G11" s="12"/>
      <c r="H11" s="78">
        <f t="shared" si="0"/>
        <v>2511</v>
      </c>
      <c r="I11" s="148">
        <f t="shared" si="1"/>
        <v>0</v>
      </c>
      <c r="J11" s="149">
        <f>SUMIF('13_Progress_Track'!$A$2:$A$108,B11,'13_Progress_Track'!$E$2:$E$108)</f>
        <v>0</v>
      </c>
      <c r="K11" s="149">
        <f t="shared" si="2"/>
        <v>0</v>
      </c>
      <c r="L11" s="148"/>
      <c r="M11" s="150"/>
      <c r="N11" s="150" t="str">
        <f>IFERROR(_xlfn.XLOOKUP(B11,'00_SKU_Master'!$B$2:$B$379,'00_SKU_Master'!$E$2:$E$379,""),"")</f>
        <v>Wing</v>
      </c>
      <c r="O11" s="148">
        <f>IFERROR(_xlfn.SINGLE(_xlfn.XLOOKUP(B11,'00_SKU_Master'!$B$2:$B$379,'00_SKU_Master'!$F$2:$F$379,0)),0)</f>
        <v>14</v>
      </c>
      <c r="P11" s="164">
        <f>IFERROR(_xlfn.XLOOKUP(N11,'00_Yield_Rates'!$B$2:$B$33,'00_Yield_Rates'!$E$2:$E$33,0)/100,0)</f>
        <v>0.10800000000000001</v>
      </c>
      <c r="Q11" s="151">
        <f t="shared" si="3"/>
        <v>0</v>
      </c>
      <c r="R11" s="151" t="str">
        <f>IFERROR(_xlfn.XLOOKUP($H11,'00_SKU_Master'!$B$2:$B$379,'00_SKU_Master'!$C$2:$C$379,""),"")</f>
        <v>61014B</v>
      </c>
    </row>
    <row r="12" spans="1:18" x14ac:dyDescent="0.35">
      <c r="B12" s="11">
        <f>'00_SKU_Master'!B367</f>
        <v>1077</v>
      </c>
      <c r="C12" s="297">
        <v>0</v>
      </c>
      <c r="D12" s="297"/>
      <c r="E12" s="297"/>
      <c r="F12" s="297"/>
      <c r="G12" s="12"/>
      <c r="H12" s="78">
        <f t="shared" si="0"/>
        <v>1077</v>
      </c>
      <c r="I12" s="148">
        <f t="shared" si="1"/>
        <v>0</v>
      </c>
      <c r="J12" s="149">
        <f>SUMIF('13_Progress_Track'!$A$2:$A$108,B12,'13_Progress_Track'!$E$2:$E$108)</f>
        <v>0</v>
      </c>
      <c r="K12" s="149">
        <f t="shared" si="2"/>
        <v>0</v>
      </c>
      <c r="L12" s="148"/>
      <c r="M12" s="150"/>
      <c r="N12" s="150">
        <f>IFERROR(_xlfn.XLOOKUP(B12,'00_SKU_Master'!$B$2:$B$379,'00_SKU_Master'!$E$2:$E$379,""),"")</f>
        <v>0</v>
      </c>
      <c r="O12" s="148" t="str">
        <f>IFERROR(_xlfn.SINGLE(_xlfn.XLOOKUP(B12,'00_SKU_Master'!$B$2:$B$379,'00_SKU_Master'!$F$2:$F$379,0)),0)</f>
        <v>0</v>
      </c>
      <c r="P12" s="164">
        <f>IFERROR(_xlfn.XLOOKUP(N12,'00_Yield_Rates'!$B$2:$B$33,'00_Yield_Rates'!$E$2:$E$33,0)/100,0)</f>
        <v>0</v>
      </c>
      <c r="Q12" s="151">
        <f t="shared" si="3"/>
        <v>0</v>
      </c>
      <c r="R12" s="151" t="str">
        <f>IFERROR(_xlfn.XLOOKUP($H12,'00_SKU_Master'!$B$2:$B$379,'00_SKU_Master'!$C$2:$C$379,""),"")</f>
        <v>0</v>
      </c>
    </row>
    <row r="13" spans="1:18" x14ac:dyDescent="0.35">
      <c r="B13" s="11">
        <f>'00_SKU_Master'!B368</f>
        <v>1078</v>
      </c>
      <c r="C13" s="297">
        <v>0</v>
      </c>
      <c r="D13" s="297"/>
      <c r="E13" s="297"/>
      <c r="F13" s="297"/>
      <c r="G13" s="12"/>
      <c r="H13" s="78">
        <f t="shared" si="0"/>
        <v>1078</v>
      </c>
      <c r="I13" s="148">
        <f t="shared" si="1"/>
        <v>0</v>
      </c>
      <c r="J13" s="149">
        <f>SUMIF('13_Progress_Track'!$A$2:$A$108,B13,'13_Progress_Track'!$E$2:$E$108)</f>
        <v>0</v>
      </c>
      <c r="K13" s="149">
        <f t="shared" si="2"/>
        <v>0</v>
      </c>
      <c r="L13" s="148"/>
      <c r="M13" s="150"/>
      <c r="N13" s="150">
        <f>IFERROR(_xlfn.XLOOKUP(B13,'00_SKU_Master'!$B$2:$B$379,'00_SKU_Master'!$E$2:$E$379,""),"")</f>
        <v>0</v>
      </c>
      <c r="O13" s="148" t="str">
        <f>IFERROR(_xlfn.SINGLE(_xlfn.XLOOKUP(B13,'00_SKU_Master'!$B$2:$B$379,'00_SKU_Master'!$F$2:$F$379,0)),0)</f>
        <v>0</v>
      </c>
      <c r="P13" s="164">
        <f>IFERROR(_xlfn.XLOOKUP(N13,'00_Yield_Rates'!$B$2:$B$33,'00_Yield_Rates'!$E$2:$E$33,0)/100,0)</f>
        <v>0</v>
      </c>
      <c r="Q13" s="151">
        <f t="shared" si="3"/>
        <v>0</v>
      </c>
      <c r="R13" s="151" t="str">
        <f>IFERROR(_xlfn.XLOOKUP($H13,'00_SKU_Master'!$B$2:$B$379,'00_SKU_Master'!$C$2:$C$379,""),"")</f>
        <v>0</v>
      </c>
    </row>
    <row r="14" spans="1:18" x14ac:dyDescent="0.35">
      <c r="B14" s="11">
        <f>'00_SKU_Master'!B369</f>
        <v>1080</v>
      </c>
      <c r="C14" s="297">
        <v>0</v>
      </c>
      <c r="D14" s="297"/>
      <c r="E14" s="297"/>
      <c r="F14" s="297"/>
      <c r="G14" s="12"/>
      <c r="H14" s="78">
        <f t="shared" si="0"/>
        <v>1080</v>
      </c>
      <c r="I14" s="148">
        <f t="shared" si="1"/>
        <v>0</v>
      </c>
      <c r="J14" s="149">
        <f>SUMIF('13_Progress_Track'!$A$2:$A$108,B14,'13_Progress_Track'!$E$2:$E$108)</f>
        <v>0</v>
      </c>
      <c r="K14" s="149">
        <f t="shared" si="2"/>
        <v>0</v>
      </c>
      <c r="L14" s="148"/>
      <c r="M14" s="150"/>
      <c r="N14" s="150">
        <f>IFERROR(_xlfn.XLOOKUP(B14,'00_SKU_Master'!$B$2:$B$379,'00_SKU_Master'!$E$2:$E$379,""),"")</f>
        <v>0</v>
      </c>
      <c r="O14" s="148" t="str">
        <f>IFERROR(_xlfn.SINGLE(_xlfn.XLOOKUP(B14,'00_SKU_Master'!$B$2:$B$379,'00_SKU_Master'!$F$2:$F$379,0)),0)</f>
        <v>0</v>
      </c>
      <c r="P14" s="164">
        <f>IFERROR(_xlfn.XLOOKUP(N14,'00_Yield_Rates'!$B$2:$B$33,'00_Yield_Rates'!$E$2:$E$33,0)/100,0)</f>
        <v>0</v>
      </c>
      <c r="Q14" s="151">
        <f t="shared" si="3"/>
        <v>0</v>
      </c>
      <c r="R14" s="151" t="str">
        <f>IFERROR(_xlfn.XLOOKUP($H14,'00_SKU_Master'!$B$2:$B$379,'00_SKU_Master'!$C$2:$C$379,""),"")</f>
        <v>0</v>
      </c>
    </row>
    <row r="15" spans="1:18" x14ac:dyDescent="0.35">
      <c r="B15" s="11">
        <f>'00_SKU_Master'!B370</f>
        <v>1574</v>
      </c>
      <c r="C15" s="297">
        <v>0</v>
      </c>
      <c r="D15" s="297"/>
      <c r="E15" s="297"/>
      <c r="F15" s="297"/>
      <c r="G15" s="12"/>
      <c r="H15" s="78">
        <f t="shared" si="0"/>
        <v>1574</v>
      </c>
      <c r="I15" s="148">
        <f t="shared" si="1"/>
        <v>0</v>
      </c>
      <c r="J15" s="149">
        <f>SUMIF('13_Progress_Track'!$A$2:$A$108,B15,'13_Progress_Track'!$E$2:$E$108)</f>
        <v>0</v>
      </c>
      <c r="K15" s="149">
        <f t="shared" si="2"/>
        <v>0</v>
      </c>
      <c r="L15" s="148"/>
      <c r="M15" s="150"/>
      <c r="N15" s="150">
        <f>IFERROR(_xlfn.XLOOKUP(B15,'00_SKU_Master'!$B$2:$B$379,'00_SKU_Master'!$E$2:$E$379,""),"")</f>
        <v>0</v>
      </c>
      <c r="O15" s="148" t="str">
        <f>IFERROR(_xlfn.SINGLE(_xlfn.XLOOKUP(B15,'00_SKU_Master'!$B$2:$B$379,'00_SKU_Master'!$F$2:$F$379,0)),0)</f>
        <v>0</v>
      </c>
      <c r="P15" s="164">
        <f>IFERROR(_xlfn.XLOOKUP(N15,'00_Yield_Rates'!$B$2:$B$33,'00_Yield_Rates'!$E$2:$E$33,0)/100,0)</f>
        <v>0</v>
      </c>
      <c r="Q15" s="151">
        <f t="shared" si="3"/>
        <v>0</v>
      </c>
      <c r="R15" s="151" t="str">
        <f>IFERROR(_xlfn.XLOOKUP($H15,'00_SKU_Master'!$B$2:$B$379,'00_SKU_Master'!$C$2:$C$379,""),"")</f>
        <v>0</v>
      </c>
    </row>
    <row r="16" spans="1:18" x14ac:dyDescent="0.35">
      <c r="B16" s="11">
        <f>'00_SKU_Master'!B371</f>
        <v>2112</v>
      </c>
      <c r="C16" s="297">
        <v>0</v>
      </c>
      <c r="D16" s="297"/>
      <c r="E16" s="297"/>
      <c r="F16" s="297"/>
      <c r="G16" s="13"/>
      <c r="H16" s="78">
        <f t="shared" si="0"/>
        <v>2112</v>
      </c>
      <c r="I16" s="148">
        <f t="shared" si="1"/>
        <v>0</v>
      </c>
      <c r="J16" s="149">
        <f>SUMIF('13_Progress_Track'!$A$2:$A$108,B16,'13_Progress_Track'!$E$2:$E$108)</f>
        <v>0</v>
      </c>
      <c r="K16" s="149">
        <f t="shared" si="2"/>
        <v>0</v>
      </c>
      <c r="L16" s="148"/>
      <c r="M16" s="150"/>
      <c r="N16" s="150" t="str">
        <f>IFERROR(_xlfn.XLOOKUP(B16,'00_SKU_Master'!$B$2:$B$379,'00_SKU_Master'!$E$2:$E$379,""),"")</f>
        <v>BA</v>
      </c>
      <c r="O16" s="148">
        <f>IFERROR(_xlfn.SINGLE(_xlfn.XLOOKUP(B16,'00_SKU_Master'!$B$2:$B$379,'00_SKU_Master'!$F$2:$F$379,0)),0)</f>
        <v>13.5</v>
      </c>
      <c r="P16" s="164">
        <f>IFERROR(_xlfn.XLOOKUP(N16,'00_Yield_Rates'!$B$2:$B$33,'00_Yield_Rates'!$E$2:$E$33,0)/100,0)</f>
        <v>0.47</v>
      </c>
      <c r="Q16" s="151">
        <f t="shared" si="3"/>
        <v>0</v>
      </c>
      <c r="R16" s="151">
        <f>IFERROR(_xlfn.XLOOKUP($H16,'00_SKU_Master'!$B$2:$B$379,'00_SKU_Master'!$C$2:$C$379,""),"")</f>
        <v>61062</v>
      </c>
    </row>
    <row r="17" spans="2:18" x14ac:dyDescent="0.35">
      <c r="B17" s="11">
        <f>'00_SKU_Master'!B372</f>
        <v>2513</v>
      </c>
      <c r="C17" s="297">
        <v>80</v>
      </c>
      <c r="D17" s="297"/>
      <c r="E17" s="297"/>
      <c r="F17" s="297"/>
      <c r="G17" s="13"/>
      <c r="H17" s="78">
        <f t="shared" si="0"/>
        <v>2513</v>
      </c>
      <c r="I17" s="148">
        <f t="shared" si="1"/>
        <v>80</v>
      </c>
      <c r="J17" s="149">
        <f>SUMIF('13_Progress_Track'!$A$2:$A$108,B17,'13_Progress_Track'!$E$2:$E$108)</f>
        <v>0</v>
      </c>
      <c r="K17" s="149">
        <f t="shared" si="2"/>
        <v>80</v>
      </c>
      <c r="L17" s="148"/>
      <c r="M17" s="150"/>
      <c r="N17" s="150">
        <f>IFERROR(_xlfn.XLOOKUP(B17,'00_SKU_Master'!$B$2:$B$379,'00_SKU_Master'!$E$2:$E$379,""),"")</f>
        <v>0</v>
      </c>
      <c r="O17" s="148">
        <f>IFERROR(_xlfn.SINGLE(_xlfn.XLOOKUP(B17,'00_SKU_Master'!$B$2:$B$379,'00_SKU_Master'!$F$2:$F$379,0)),0)</f>
        <v>0</v>
      </c>
      <c r="P17" s="164">
        <f>IFERROR(_xlfn.XLOOKUP(N17,'00_Yield_Rates'!$B$2:$B$33,'00_Yield_Rates'!$E$2:$E$33,0)/100,0)</f>
        <v>0</v>
      </c>
      <c r="Q17" s="151">
        <f t="shared" si="3"/>
        <v>0</v>
      </c>
      <c r="R17" s="151">
        <f>IFERROR(_xlfn.XLOOKUP($H17,'00_SKU_Master'!$B$2:$B$379,'00_SKU_Master'!$C$2:$C$379,""),"")</f>
        <v>0</v>
      </c>
    </row>
    <row r="18" spans="2:18" x14ac:dyDescent="0.35">
      <c r="B18" s="11">
        <f>'00_SKU_Master'!B373</f>
        <v>7011</v>
      </c>
      <c r="C18" s="297">
        <v>0</v>
      </c>
      <c r="D18" s="297"/>
      <c r="E18" s="297"/>
      <c r="F18" s="297"/>
      <c r="G18" s="13"/>
      <c r="H18" s="78">
        <f t="shared" si="0"/>
        <v>7011</v>
      </c>
      <c r="I18" s="148">
        <f t="shared" si="1"/>
        <v>0</v>
      </c>
      <c r="J18" s="149">
        <f>SUMIF('13_Progress_Track'!$A$2:$A$108,B18,'13_Progress_Track'!$E$2:$E$108)</f>
        <v>0</v>
      </c>
      <c r="K18" s="149">
        <f t="shared" si="2"/>
        <v>0</v>
      </c>
      <c r="L18" s="148"/>
      <c r="M18" s="150"/>
      <c r="N18" s="150">
        <f>IFERROR(_xlfn.XLOOKUP(B18,'00_SKU_Master'!$B$2:$B$379,'00_SKU_Master'!$E$2:$E$379,""),"")</f>
        <v>0</v>
      </c>
      <c r="O18" s="148">
        <f>IFERROR(_xlfn.SINGLE(_xlfn.XLOOKUP(B18,'00_SKU_Master'!$B$2:$B$379,'00_SKU_Master'!$F$2:$F$379,0)),0)</f>
        <v>9.6</v>
      </c>
      <c r="P18" s="164">
        <f>IFERROR(_xlfn.XLOOKUP(N18,'00_Yield_Rates'!$B$2:$B$33,'00_Yield_Rates'!$E$2:$E$33,0)/100,0)</f>
        <v>0</v>
      </c>
      <c r="Q18" s="151">
        <f t="shared" si="3"/>
        <v>0</v>
      </c>
      <c r="R18" s="151" t="str">
        <f>IFERROR(_xlfn.XLOOKUP($H18,'00_SKU_Master'!$B$2:$B$379,'00_SKU_Master'!$C$2:$C$379,""),"")</f>
        <v>W-Chicken</v>
      </c>
    </row>
    <row r="19" spans="2:18" x14ac:dyDescent="0.35">
      <c r="B19" s="11">
        <f>'00_SKU_Master'!B374</f>
        <v>7170</v>
      </c>
      <c r="C19" s="297">
        <v>0</v>
      </c>
      <c r="D19" s="297"/>
      <c r="E19" s="297"/>
      <c r="F19" s="297"/>
      <c r="G19" s="14"/>
      <c r="H19" s="78">
        <f t="shared" si="0"/>
        <v>7170</v>
      </c>
      <c r="I19" s="148">
        <f t="shared" si="1"/>
        <v>0</v>
      </c>
      <c r="J19" s="149">
        <f>SUMIF('13_Progress_Track'!$A$2:$A$108,B19,'13_Progress_Track'!$E$2:$E$108)</f>
        <v>0</v>
      </c>
      <c r="K19" s="149">
        <f t="shared" si="2"/>
        <v>0</v>
      </c>
      <c r="L19" s="148"/>
      <c r="M19" s="150"/>
      <c r="N19" s="150">
        <f>IFERROR(_xlfn.XLOOKUP(B19,'00_SKU_Master'!$B$2:$B$379,'00_SKU_Master'!$E$2:$E$379,""),"")</f>
        <v>0</v>
      </c>
      <c r="O19" s="148" t="str">
        <f>IFERROR(_xlfn.SINGLE(_xlfn.XLOOKUP(B19,'00_SKU_Master'!$B$2:$B$379,'00_SKU_Master'!$F$2:$F$379,0)),0)</f>
        <v>0</v>
      </c>
      <c r="P19" s="164">
        <f>IFERROR(_xlfn.XLOOKUP(N19,'00_Yield_Rates'!$B$2:$B$33,'00_Yield_Rates'!$E$2:$E$33,0)/100,0)</f>
        <v>0</v>
      </c>
      <c r="Q19" s="151">
        <f t="shared" si="3"/>
        <v>0</v>
      </c>
      <c r="R19" s="151" t="str">
        <f>IFERROR(_xlfn.XLOOKUP($H19,'00_SKU_Master'!$B$2:$B$379,'00_SKU_Master'!$C$2:$C$379,""),"")</f>
        <v>0</v>
      </c>
    </row>
    <row r="20" spans="2:18" x14ac:dyDescent="0.35">
      <c r="B20" s="11">
        <f>'00_SKU_Master'!B375</f>
        <v>7176</v>
      </c>
      <c r="C20" s="297">
        <v>0</v>
      </c>
      <c r="D20" s="297"/>
      <c r="E20" s="297"/>
      <c r="F20" s="297"/>
      <c r="G20" s="14"/>
      <c r="H20" s="78">
        <f t="shared" si="0"/>
        <v>7176</v>
      </c>
      <c r="I20" s="148">
        <f t="shared" si="1"/>
        <v>0</v>
      </c>
      <c r="J20" s="149">
        <f>SUMIF('13_Progress_Track'!$A$2:$A$108,B20,'13_Progress_Track'!$E$2:$E$108)</f>
        <v>0</v>
      </c>
      <c r="K20" s="149">
        <f t="shared" si="2"/>
        <v>0</v>
      </c>
      <c r="L20" s="148"/>
      <c r="M20" s="150"/>
      <c r="N20" s="150" t="str">
        <f>IFERROR(_xlfn.XLOOKUP(B20,'00_SKU_Master'!$B$2:$B$379,'00_SKU_Master'!$E$2:$E$379,""),"")</f>
        <v>BA</v>
      </c>
      <c r="O20" s="148" t="str">
        <f>IFERROR(_xlfn.SINGLE(_xlfn.XLOOKUP(B20,'00_SKU_Master'!$B$2:$B$379,'00_SKU_Master'!$F$2:$F$379,0)),0)</f>
        <v>0</v>
      </c>
      <c r="P20" s="164">
        <f>IFERROR(_xlfn.XLOOKUP(N20,'00_Yield_Rates'!$B$2:$B$33,'00_Yield_Rates'!$E$2:$E$33,0)/100,0)</f>
        <v>0.47</v>
      </c>
      <c r="Q20" s="151">
        <f t="shared" si="3"/>
        <v>0</v>
      </c>
      <c r="R20" s="151">
        <f>IFERROR(_xlfn.XLOOKUP($H20,'00_SKU_Master'!$B$2:$B$379,'00_SKU_Master'!$C$2:$C$379,""),"")</f>
        <v>61062</v>
      </c>
    </row>
    <row r="21" spans="2:18" x14ac:dyDescent="0.35">
      <c r="B21" s="11"/>
      <c r="C21" s="297"/>
      <c r="D21" s="297"/>
      <c r="E21" s="297"/>
      <c r="F21" s="297"/>
      <c r="G21" s="14"/>
      <c r="H21" s="78"/>
      <c r="I21" s="79"/>
      <c r="J21" s="78"/>
      <c r="K21" s="78"/>
      <c r="L21" s="79"/>
      <c r="M21" s="80"/>
      <c r="N21" s="80"/>
      <c r="O21" s="78"/>
      <c r="P21" s="81"/>
      <c r="Q21" s="82"/>
      <c r="R21" s="27"/>
    </row>
    <row r="22" spans="2:18" x14ac:dyDescent="0.35">
      <c r="B22" s="11"/>
      <c r="C22" s="298"/>
      <c r="D22" s="298"/>
      <c r="E22" s="298"/>
      <c r="F22" s="298"/>
      <c r="G22" s="14"/>
      <c r="H22" s="78"/>
      <c r="I22" s="78"/>
      <c r="J22" s="78"/>
      <c r="K22" s="78"/>
      <c r="L22" s="79"/>
      <c r="M22" s="78"/>
      <c r="N22" s="80"/>
      <c r="O22" s="78"/>
      <c r="P22" s="81"/>
      <c r="Q22" s="82"/>
      <c r="R22" s="27"/>
    </row>
    <row r="23" spans="2:18" x14ac:dyDescent="0.35">
      <c r="B23" s="11"/>
      <c r="C23" s="290"/>
      <c r="D23" s="298"/>
      <c r="E23" s="290"/>
      <c r="F23" s="290"/>
      <c r="G23" s="8"/>
      <c r="H23" s="78"/>
      <c r="I23" s="78"/>
      <c r="J23" s="78"/>
      <c r="K23" s="78"/>
      <c r="L23" s="79"/>
      <c r="M23" s="31"/>
      <c r="N23" s="80"/>
      <c r="O23" s="78"/>
      <c r="P23" s="81"/>
      <c r="Q23" s="82"/>
      <c r="R23" s="27"/>
    </row>
    <row r="24" spans="2:18" x14ac:dyDescent="0.35">
      <c r="P24" s="15"/>
    </row>
    <row r="25" spans="2:18" x14ac:dyDescent="0.35">
      <c r="O25" s="15"/>
      <c r="P25" s="15"/>
    </row>
  </sheetData>
  <sheetProtection sheet="1" objects="1" scenarios="1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AD47"/>
  </sheetPr>
  <dimension ref="B1:N271"/>
  <sheetViews>
    <sheetView workbookViewId="0"/>
  </sheetViews>
  <sheetFormatPr defaultColWidth="8.81640625" defaultRowHeight="14.5" x14ac:dyDescent="0.35"/>
  <cols>
    <col min="1" max="1" width="2.26953125" customWidth="1"/>
    <col min="2" max="2" width="39.81640625" customWidth="1"/>
    <col min="3" max="14" width="8.26953125" customWidth="1"/>
  </cols>
  <sheetData>
    <row r="1" spans="2:14" ht="13" customHeight="1" x14ac:dyDescent="0.35"/>
    <row r="2" spans="2:14" ht="52" customHeight="1" x14ac:dyDescent="0.35">
      <c r="B2" s="71" t="s">
        <v>471</v>
      </c>
      <c r="C2" s="71" t="s">
        <v>4</v>
      </c>
      <c r="D2" s="71" t="s">
        <v>472</v>
      </c>
      <c r="E2" s="71" t="s">
        <v>473</v>
      </c>
      <c r="F2" s="71" t="s">
        <v>474</v>
      </c>
      <c r="G2" s="71" t="s">
        <v>439</v>
      </c>
      <c r="H2" s="71" t="s">
        <v>475</v>
      </c>
      <c r="I2" s="71" t="s">
        <v>476</v>
      </c>
      <c r="J2" s="71" t="s">
        <v>443</v>
      </c>
      <c r="K2" s="71" t="s">
        <v>477</v>
      </c>
      <c r="L2" s="71" t="s">
        <v>478</v>
      </c>
      <c r="M2" s="71" t="s">
        <v>442</v>
      </c>
      <c r="N2" s="71" t="s">
        <v>479</v>
      </c>
    </row>
    <row r="3" spans="2:14" x14ac:dyDescent="0.35">
      <c r="B3" s="28" t="str">
        <f>IF(C3="","",_xlfn.XLOOKUP(C3,'00_SKU_Master'!$B$2:$B$2000,'00_SKU_Master'!$J$2:$J$2000,""))</f>
        <v>MS LCL BSHB PET8 PP</v>
      </c>
      <c r="C3" s="28">
        <f t="array" ref="C3:C265">_xlfn.SORTBY(_xlfn._xlws.FILTER('00_SKU_Master'!$B$2:$B$2000,('00_SKU_Master'!$A$2:$A$2000="Tray_Pack")*('00_SKU_Master'!$P$2:$P$2000="Y")),_xlfn._xlws.FILTER('00_SKU_Master'!$Q$2:$Q$2000,('00_SKU_Master'!$A$2:$A$2000="Tray_Pack")*('00_SKU_Master'!$P$2:$P$2000="Y")),1)</f>
        <v>260</v>
      </c>
      <c r="D3" s="29">
        <f>_xlfn.XLOOKUP(C3,'02_TrayPack_Order'!$B$3:$B$265,'02_TrayPack_Order'!$D$3:$D$265)</f>
        <v>0</v>
      </c>
      <c r="E3" s="30">
        <f>_xlfn.XLOOKUP(C3,'02_TrayPack_Order'!$B$3:$B$265,'02_TrayPack_Order'!$M$3:$M$265,0)</f>
        <v>0</v>
      </c>
      <c r="F3" s="29">
        <f>SUMIF('13_Progress_Track'!$A$2:$A$108,C3,'13_Progress_Track'!$E$2:$E$108)</f>
        <v>0</v>
      </c>
      <c r="G3" s="29">
        <f t="shared" ref="G3:G66" si="0">IF(F3&gt;(D3+E3),(F3-(D3+E3)),0)</f>
        <v>0</v>
      </c>
      <c r="H3" s="29">
        <f t="shared" ref="H3:H66" si="1">IF(G3&gt;0,0,D3+E3-F3)</f>
        <v>0</v>
      </c>
      <c r="I3" s="28" t="str">
        <f>_xlfn.IFNA(_xlfn.XLOOKUP(C3,'00_SKU_Master'!$B$2:$B$2000,'00_SKU_Master'!$C$2:$C$2000),"")</f>
        <v>61050#2</v>
      </c>
      <c r="J3" s="97">
        <f>IFERROR(_xlfn.XLOOKUP(C3,'00_SKU_Master'!$B$2:$B$2000,'00_SKU_Master'!$F$2:$F$2000,0)*N3,0)</f>
        <v>0</v>
      </c>
      <c r="K3" s="95" t="str">
        <f>_xlfn.IFNA(_xlfn.XLOOKUP(C3,'00_SKU_Master'!$B$2:$B$2000,'00_SKU_Master'!$H$2:$H$2000,0),"")</f>
        <v>PET 8</v>
      </c>
      <c r="L3" s="95" t="str">
        <f>_xlfn.IFNA(_xlfn.XLOOKUP(C3,'00_SKU_Master'!$B$2:$B$2000,'00_SKU_Master'!$K$2:$K$2000,0),"")</f>
        <v>Fast</v>
      </c>
      <c r="M3" s="28" t="str">
        <f>_xlfn.XLOOKUP(C3,'00_SKU_Master'!$B$2:$B$2000,'00_SKU_Master'!$D$2:$D$2000)</f>
        <v>LCL</v>
      </c>
      <c r="N3" s="28">
        <f t="shared" ref="N3:N66" si="2">IF((D3-F3)&lt;0,0,D3-F3)</f>
        <v>0</v>
      </c>
    </row>
    <row r="4" spans="2:14" x14ac:dyDescent="0.35">
      <c r="B4" s="25" t="str">
        <f>IF(C4="","",_xlfn.XLOOKUP(C4,'00_SKU_Master'!$B$2:$B$2000,'00_SKU_Master'!$J$2:$J$2000,""))</f>
        <v>MS LEG BA ST</v>
      </c>
      <c r="C4" s="25">
        <v>331</v>
      </c>
      <c r="D4" s="16">
        <f>_xlfn.XLOOKUP(C4,'02_TrayPack_Order'!$B$3:$B$265,'02_TrayPack_Order'!$D$3:$D$265)</f>
        <v>10</v>
      </c>
      <c r="E4" s="17">
        <f>_xlfn.XLOOKUP(C4,'02_TrayPack_Order'!$B$3:$B$265,'02_TrayPack_Order'!$M$3:$M$265,0)</f>
        <v>0</v>
      </c>
      <c r="F4" s="16">
        <f>SUMIF('13_Progress_Track'!$A$2:$A$108,C4,'13_Progress_Track'!$E$2:$E$108)</f>
        <v>0</v>
      </c>
      <c r="G4" s="16">
        <f t="shared" si="0"/>
        <v>0</v>
      </c>
      <c r="H4" s="16">
        <f t="shared" si="1"/>
        <v>10</v>
      </c>
      <c r="I4" s="25">
        <f>_xlfn.IFNA(_xlfn.XLOOKUP(C4,'00_SKU_Master'!$B$2:$B$2000,'00_SKU_Master'!$C$2:$C$2000),"")</f>
        <v>61061</v>
      </c>
      <c r="J4" s="97">
        <f>IFERROR(_xlfn.XLOOKUP(C4,'00_SKU_Master'!$B$2:$B$2000,'00_SKU_Master'!$F$2:$F$2000,0)*N4,0)</f>
        <v>100.08899456521701</v>
      </c>
      <c r="K4" s="96" t="str">
        <f>_xlfn.IFNA(_xlfn.XLOOKUP(C4,'00_SKU_Master'!$B$2:$B$2000,'00_SKU_Master'!$H$2:$H$2000,0),"")</f>
        <v>ST 3XP</v>
      </c>
      <c r="L4" s="96" t="str">
        <f>_xlfn.IFNA(_xlfn.XLOOKUP(C4,'00_SKU_Master'!$B$2:$B$2000,'00_SKU_Master'!$K$2:$K$2000,0),"")</f>
        <v>Fast</v>
      </c>
      <c r="M4" s="25" t="str">
        <f>_xlfn.XLOOKUP(C4,'00_SKU_Master'!$B$2:$B$2000,'00_SKU_Master'!$D$2:$D$2000)</f>
        <v>METRO</v>
      </c>
      <c r="N4" s="25">
        <f t="shared" si="2"/>
        <v>10</v>
      </c>
    </row>
    <row r="5" spans="2:14" x14ac:dyDescent="0.35">
      <c r="B5" s="25" t="str">
        <f>IF(C5="","",_xlfn.XLOOKUP(C5,'00_SKU_Master'!$B$2:$B$2000,'00_SKU_Master'!$J$2:$J$2000,""))</f>
        <v>PB HB ST</v>
      </c>
      <c r="C5" s="25">
        <v>349</v>
      </c>
      <c r="D5" s="16">
        <f>_xlfn.XLOOKUP(C5,'02_TrayPack_Order'!$B$3:$B$265,'02_TrayPack_Order'!$D$3:$D$265)</f>
        <v>0</v>
      </c>
      <c r="E5" s="17">
        <f>_xlfn.XLOOKUP(C5,'02_TrayPack_Order'!$B$3:$B$265,'02_TrayPack_Order'!$M$3:$M$265,0)</f>
        <v>0</v>
      </c>
      <c r="F5" s="16">
        <f>SUMIF('13_Progress_Track'!$A$2:$A$108,C5,'13_Progress_Track'!$E$2:$E$108)</f>
        <v>0</v>
      </c>
      <c r="G5" s="16">
        <f t="shared" si="0"/>
        <v>0</v>
      </c>
      <c r="H5" s="16">
        <f t="shared" si="1"/>
        <v>0</v>
      </c>
      <c r="I5" s="25" t="str">
        <f>_xlfn.IFNA(_xlfn.XLOOKUP(C5,'00_SKU_Master'!$B$2:$B$2000,'00_SKU_Master'!$C$2:$C$2000),"")</f>
        <v>61040#2</v>
      </c>
      <c r="J5" s="97">
        <f>IFERROR(_xlfn.XLOOKUP(C5,'00_SKU_Master'!$B$2:$B$2000,'00_SKU_Master'!$F$2:$F$2000,0)*N5,0)</f>
        <v>0</v>
      </c>
      <c r="K5" s="96" t="str">
        <f>_xlfn.IFNA(_xlfn.XLOOKUP(C5,'00_SKU_Master'!$B$2:$B$2000,'00_SKU_Master'!$H$2:$H$2000,0),"")</f>
        <v>ST 3XP</v>
      </c>
      <c r="L5" s="96" t="str">
        <f>_xlfn.IFNA(_xlfn.XLOOKUP(C5,'00_SKU_Master'!$B$2:$B$2000,'00_SKU_Master'!$K$2:$K$2000,0),"")</f>
        <v>Fast</v>
      </c>
      <c r="M5" s="25" t="str">
        <f>_xlfn.XLOOKUP(C5,'00_SKU_Master'!$B$2:$B$2000,'00_SKU_Master'!$D$2:$D$2000)</f>
        <v>FB</v>
      </c>
      <c r="N5" s="25">
        <f t="shared" si="2"/>
        <v>0</v>
      </c>
    </row>
    <row r="6" spans="2:14" x14ac:dyDescent="0.35">
      <c r="B6" s="25" t="str">
        <f>IF(C6="","",_xlfn.XLOOKUP(C6,'00_SKU_Master'!$B$2:$B$2000,'00_SKU_Master'!$J$2:$J$2000,""))</f>
        <v>MS BACK ST PP</v>
      </c>
      <c r="C6" s="25">
        <v>484</v>
      </c>
      <c r="D6" s="16">
        <f>_xlfn.XLOOKUP(C6,'02_TrayPack_Order'!$B$3:$B$265,'02_TrayPack_Order'!$D$3:$D$265)</f>
        <v>0</v>
      </c>
      <c r="E6" s="17">
        <f>_xlfn.XLOOKUP(C6,'02_TrayPack_Order'!$B$3:$B$265,'02_TrayPack_Order'!$M$3:$M$265,0)</f>
        <v>28</v>
      </c>
      <c r="F6" s="16">
        <f>SUMIF('13_Progress_Track'!$A$2:$A$108,C6,'13_Progress_Track'!$E$2:$E$108)</f>
        <v>0</v>
      </c>
      <c r="G6" s="16">
        <f t="shared" si="0"/>
        <v>0</v>
      </c>
      <c r="H6" s="16">
        <f t="shared" si="1"/>
        <v>28</v>
      </c>
      <c r="I6" s="25">
        <f>_xlfn.IFNA(_xlfn.XLOOKUP(C6,'00_SKU_Master'!$B$2:$B$2000,'00_SKU_Master'!$C$2:$C$2000),"")</f>
        <v>61121</v>
      </c>
      <c r="J6" s="97">
        <f>IFERROR(_xlfn.XLOOKUP(C6,'00_SKU_Master'!$B$2:$B$2000,'00_SKU_Master'!$F$2:$F$2000,0)*N6,0)</f>
        <v>0</v>
      </c>
      <c r="K6" s="96" t="str">
        <f>_xlfn.IFNA(_xlfn.XLOOKUP(C6,'00_SKU_Master'!$B$2:$B$2000,'00_SKU_Master'!$H$2:$H$2000,0),"")</f>
        <v>ST 3XP</v>
      </c>
      <c r="L6" s="96" t="str">
        <f>_xlfn.IFNA(_xlfn.XLOOKUP(C6,'00_SKU_Master'!$B$2:$B$2000,'00_SKU_Master'!$K$2:$K$2000,0),"")</f>
        <v>Fast</v>
      </c>
      <c r="M6" s="25" t="str">
        <f>_xlfn.XLOOKUP(C6,'00_SKU_Master'!$B$2:$B$2000,'00_SKU_Master'!$D$2:$D$2000)</f>
        <v>FB</v>
      </c>
      <c r="N6" s="25">
        <f t="shared" si="2"/>
        <v>0</v>
      </c>
    </row>
    <row r="7" spans="2:14" x14ac:dyDescent="0.35">
      <c r="B7" s="25" t="str">
        <f>IF(C7="","",_xlfn.XLOOKUP(C7,'00_SKU_Master'!$B$2:$B$2000,'00_SKU_Master'!$J$2:$J$2000,""))</f>
        <v>MS BSC BSTHIGH LT PP</v>
      </c>
      <c r="C7" s="25">
        <v>784</v>
      </c>
      <c r="D7" s="16">
        <f>_xlfn.XLOOKUP(C7,'02_TrayPack_Order'!$B$3:$B$265,'02_TrayPack_Order'!$D$3:$D$265)</f>
        <v>0</v>
      </c>
      <c r="E7" s="17">
        <f>_xlfn.XLOOKUP(C7,'02_TrayPack_Order'!$B$3:$B$265,'02_TrayPack_Order'!$M$3:$M$265,0)</f>
        <v>85</v>
      </c>
      <c r="F7" s="16">
        <f>SUMIF('13_Progress_Track'!$A$2:$A$108,C7,'13_Progress_Track'!$E$2:$E$108)</f>
        <v>0</v>
      </c>
      <c r="G7" s="16">
        <f t="shared" si="0"/>
        <v>0</v>
      </c>
      <c r="H7" s="16">
        <f t="shared" si="1"/>
        <v>85</v>
      </c>
      <c r="I7" s="25" t="str">
        <f>_xlfn.IFNA(_xlfn.XLOOKUP(C7,'00_SKU_Master'!$B$2:$B$2000,'00_SKU_Master'!$C$2:$C$2000),"")</f>
        <v>61086#2</v>
      </c>
      <c r="J7" s="97">
        <f>IFERROR(_xlfn.XLOOKUP(C7,'00_SKU_Master'!$B$2:$B$2000,'00_SKU_Master'!$F$2:$F$2000,0)*N7,0)</f>
        <v>0</v>
      </c>
      <c r="K7" s="96" t="str">
        <f>_xlfn.IFNA(_xlfn.XLOOKUP(C7,'00_SKU_Master'!$B$2:$B$2000,'00_SKU_Master'!$H$2:$H$2000,0),"")</f>
        <v>LT 8XP</v>
      </c>
      <c r="L7" s="96" t="str">
        <f>_xlfn.IFNA(_xlfn.XLOOKUP(C7,'00_SKU_Master'!$B$2:$B$2000,'00_SKU_Master'!$K$2:$K$2000,0),"")</f>
        <v>Slow</v>
      </c>
      <c r="M7" s="25" t="str">
        <f>_xlfn.XLOOKUP(C7,'00_SKU_Master'!$B$2:$B$2000,'00_SKU_Master'!$D$2:$D$2000)</f>
        <v>FB</v>
      </c>
      <c r="N7" s="25">
        <f t="shared" si="2"/>
        <v>0</v>
      </c>
    </row>
    <row r="8" spans="2:14" x14ac:dyDescent="0.35">
      <c r="B8" s="25" t="str">
        <f>IF(C8="","",_xlfn.XLOOKUP(C8,'00_SKU_Master'!$B$2:$B$2000,'00_SKU_Master'!$J$2:$J$2000,""))</f>
        <v>PB BSC HB FT PP 8/BOX</v>
      </c>
      <c r="C8" s="25">
        <v>946</v>
      </c>
      <c r="D8" s="16">
        <f>_xlfn.XLOOKUP(C8,'02_TrayPack_Order'!$B$3:$B$265,'02_TrayPack_Order'!$D$3:$D$265)</f>
        <v>0</v>
      </c>
      <c r="E8" s="17">
        <f>_xlfn.XLOOKUP(C8,'02_TrayPack_Order'!$B$3:$B$265,'02_TrayPack_Order'!$M$3:$M$265,0)</f>
        <v>0</v>
      </c>
      <c r="F8" s="16">
        <f>SUMIF('13_Progress_Track'!$A$2:$A$108,C8,'13_Progress_Track'!$E$2:$E$108)</f>
        <v>0</v>
      </c>
      <c r="G8" s="16">
        <f t="shared" si="0"/>
        <v>0</v>
      </c>
      <c r="H8" s="16">
        <f t="shared" si="1"/>
        <v>0</v>
      </c>
      <c r="I8" s="25" t="str">
        <f>_xlfn.IFNA(_xlfn.XLOOKUP(C8,'00_SKU_Master'!$B$2:$B$2000,'00_SKU_Master'!$C$2:$C$2000),"")</f>
        <v>61040#2</v>
      </c>
      <c r="J8" s="97">
        <f>IFERROR(_xlfn.XLOOKUP(C8,'00_SKU_Master'!$B$2:$B$2000,'00_SKU_Master'!$F$2:$F$2000,0)*N8,0)</f>
        <v>0</v>
      </c>
      <c r="K8" s="96" t="str">
        <f>_xlfn.IFNA(_xlfn.XLOOKUP(C8,'00_SKU_Master'!$B$2:$B$2000,'00_SKU_Master'!$H$2:$H$2000,0),"")</f>
        <v>LT 14D</v>
      </c>
      <c r="L8" s="96" t="str">
        <f>_xlfn.IFNA(_xlfn.XLOOKUP(C8,'00_SKU_Master'!$B$2:$B$2000,'00_SKU_Master'!$K$2:$K$2000,0),"")</f>
        <v>Fast</v>
      </c>
      <c r="M8" s="25" t="str">
        <f>_xlfn.XLOOKUP(C8,'00_SKU_Master'!$B$2:$B$2000,'00_SKU_Master'!$D$2:$D$2000)</f>
        <v>FB</v>
      </c>
      <c r="N8" s="25">
        <f t="shared" si="2"/>
        <v>0</v>
      </c>
    </row>
    <row r="9" spans="2:14" x14ac:dyDescent="0.35">
      <c r="B9" s="25" t="str">
        <f>IF(C9="","",_xlfn.XLOOKUP(C9,'00_SKU_Master'!$B$2:$B$2000,'00_SKU_Master'!$J$2:$J$2000,""))</f>
        <v>PB BSC DRUM FT PP</v>
      </c>
      <c r="C9" s="25">
        <v>956</v>
      </c>
      <c r="D9" s="16">
        <f>_xlfn.XLOOKUP(C9,'02_TrayPack_Order'!$B$3:$B$265,'02_TrayPack_Order'!$D$3:$D$265)</f>
        <v>0</v>
      </c>
      <c r="E9" s="17">
        <f>_xlfn.XLOOKUP(C9,'02_TrayPack_Order'!$B$3:$B$265,'02_TrayPack_Order'!$M$3:$M$265,0)</f>
        <v>0</v>
      </c>
      <c r="F9" s="16">
        <f>SUMIF('13_Progress_Track'!$A$2:$A$108,C9,'13_Progress_Track'!$E$2:$E$108)</f>
        <v>0</v>
      </c>
      <c r="G9" s="16">
        <f t="shared" si="0"/>
        <v>0</v>
      </c>
      <c r="H9" s="16">
        <f t="shared" si="1"/>
        <v>0</v>
      </c>
      <c r="I9" s="25" t="str">
        <f>_xlfn.IFNA(_xlfn.XLOOKUP(C9,'00_SKU_Master'!$B$2:$B$2000,'00_SKU_Master'!$C$2:$C$2000),"")</f>
        <v>61072#2</v>
      </c>
      <c r="J9" s="97">
        <f>IFERROR(_xlfn.XLOOKUP(C9,'00_SKU_Master'!$B$2:$B$2000,'00_SKU_Master'!$F$2:$F$2000,0)*N9,0)</f>
        <v>0</v>
      </c>
      <c r="K9" s="96" t="str">
        <f>_xlfn.IFNA(_xlfn.XLOOKUP(C9,'00_SKU_Master'!$B$2:$B$2000,'00_SKU_Master'!$H$2:$H$2000,0),"")</f>
        <v>LT 14D</v>
      </c>
      <c r="L9" s="96" t="str">
        <f>_xlfn.IFNA(_xlfn.XLOOKUP(C9,'00_SKU_Master'!$B$2:$B$2000,'00_SKU_Master'!$K$2:$K$2000,0),"")</f>
        <v>Fast</v>
      </c>
      <c r="M9" s="25" t="str">
        <f>_xlfn.XLOOKUP(C9,'00_SKU_Master'!$B$2:$B$2000,'00_SKU_Master'!$D$2:$D$2000)</f>
        <v>FB</v>
      </c>
      <c r="N9" s="25">
        <f t="shared" si="2"/>
        <v>0</v>
      </c>
    </row>
    <row r="10" spans="2:14" x14ac:dyDescent="0.35">
      <c r="B10" s="25" t="str">
        <f>IF(C10="","",_xlfn.XLOOKUP(C10,'00_SKU_Master'!$B$2:$B$2000,'00_SKU_Master'!$J$2:$J$2000,""))</f>
        <v>PB BSC THIGH FT PP</v>
      </c>
      <c r="C10" s="25">
        <v>957</v>
      </c>
      <c r="D10" s="16">
        <f>_xlfn.XLOOKUP(C10,'02_TrayPack_Order'!$B$3:$B$265,'02_TrayPack_Order'!$D$3:$D$265)</f>
        <v>0</v>
      </c>
      <c r="E10" s="17">
        <f>_xlfn.XLOOKUP(C10,'02_TrayPack_Order'!$B$3:$B$265,'02_TrayPack_Order'!$M$3:$M$265,0)</f>
        <v>0</v>
      </c>
      <c r="F10" s="16">
        <f>SUMIF('13_Progress_Track'!$A$2:$A$108,C10,'13_Progress_Track'!$E$2:$E$108)</f>
        <v>0</v>
      </c>
      <c r="G10" s="16">
        <f t="shared" si="0"/>
        <v>0</v>
      </c>
      <c r="H10" s="16">
        <f t="shared" si="1"/>
        <v>0</v>
      </c>
      <c r="I10" s="25">
        <f>_xlfn.IFNA(_xlfn.XLOOKUP(C10,'00_SKU_Master'!$B$2:$B$2000,'00_SKU_Master'!$C$2:$C$2000),"")</f>
        <v>61082</v>
      </c>
      <c r="J10" s="97">
        <f>IFERROR(_xlfn.XLOOKUP(C10,'00_SKU_Master'!$B$2:$B$2000,'00_SKU_Master'!$F$2:$F$2000,0)*N10,0)</f>
        <v>0</v>
      </c>
      <c r="K10" s="96" t="str">
        <f>_xlfn.IFNA(_xlfn.XLOOKUP(C10,'00_SKU_Master'!$B$2:$B$2000,'00_SKU_Master'!$H$2:$H$2000,0),"")</f>
        <v>LT 14D</v>
      </c>
      <c r="L10" s="96" t="str">
        <f>_xlfn.IFNA(_xlfn.XLOOKUP(C10,'00_SKU_Master'!$B$2:$B$2000,'00_SKU_Master'!$K$2:$K$2000,0),"")</f>
        <v>Fast</v>
      </c>
      <c r="M10" s="25" t="str">
        <f>_xlfn.XLOOKUP(C10,'00_SKU_Master'!$B$2:$B$2000,'00_SKU_Master'!$D$2:$D$2000)</f>
        <v>FB</v>
      </c>
      <c r="N10" s="25">
        <f t="shared" si="2"/>
        <v>0</v>
      </c>
    </row>
    <row r="11" spans="2:14" x14ac:dyDescent="0.35">
      <c r="B11" s="25" t="str">
        <f>IF(C11="","",_xlfn.XLOOKUP(C11,'00_SKU_Master'!$B$2:$B$2000,'00_SKU_Master'!$J$2:$J$2000,""))</f>
        <v>PB BACK ST</v>
      </c>
      <c r="C11" s="25">
        <v>1023</v>
      </c>
      <c r="D11" s="16">
        <f>_xlfn.XLOOKUP(C11,'02_TrayPack_Order'!$B$3:$B$265,'02_TrayPack_Order'!$D$3:$D$265)</f>
        <v>5</v>
      </c>
      <c r="E11" s="17">
        <f>_xlfn.XLOOKUP(C11,'02_TrayPack_Order'!$B$3:$B$265,'02_TrayPack_Order'!$M$3:$M$265,0)</f>
        <v>0</v>
      </c>
      <c r="F11" s="16">
        <f>SUMIF('13_Progress_Track'!$A$2:$A$108,C11,'13_Progress_Track'!$E$2:$E$108)</f>
        <v>0</v>
      </c>
      <c r="G11" s="16">
        <f t="shared" si="0"/>
        <v>0</v>
      </c>
      <c r="H11" s="16">
        <f t="shared" si="1"/>
        <v>5</v>
      </c>
      <c r="I11" s="25">
        <f>_xlfn.IFNA(_xlfn.XLOOKUP(C11,'00_SKU_Master'!$B$2:$B$2000,'00_SKU_Master'!$C$2:$C$2000),"")</f>
        <v>61121</v>
      </c>
      <c r="J11" s="97">
        <f>IFERROR(_xlfn.XLOOKUP(C11,'00_SKU_Master'!$B$2:$B$2000,'00_SKU_Master'!$F$2:$F$2000,0)*N11,0)</f>
        <v>46.850627970128954</v>
      </c>
      <c r="K11" s="96" t="str">
        <f>_xlfn.IFNA(_xlfn.XLOOKUP(C11,'00_SKU_Master'!$B$2:$B$2000,'00_SKU_Master'!$H$2:$H$2000,0),"")</f>
        <v>ST 3XP</v>
      </c>
      <c r="L11" s="96" t="str">
        <f>_xlfn.IFNA(_xlfn.XLOOKUP(C11,'00_SKU_Master'!$B$2:$B$2000,'00_SKU_Master'!$K$2:$K$2000,0),"")</f>
        <v>Fast</v>
      </c>
      <c r="M11" s="25" t="str">
        <f>_xlfn.XLOOKUP(C11,'00_SKU_Master'!$B$2:$B$2000,'00_SKU_Master'!$D$2:$D$2000)</f>
        <v>METRO</v>
      </c>
      <c r="N11" s="25">
        <f t="shared" si="2"/>
        <v>5</v>
      </c>
    </row>
    <row r="12" spans="2:14" x14ac:dyDescent="0.35">
      <c r="B12" s="25" t="str">
        <f>IF(C12="","",_xlfn.XLOOKUP(C12,'00_SKU_Master'!$B$2:$B$2000,'00_SKU_Master'!$J$2:$J$2000,""))</f>
        <v>MS BSC FFTF BSHB AC 3D PP</v>
      </c>
      <c r="C12" s="25">
        <v>1830</v>
      </c>
      <c r="D12" s="16">
        <f>_xlfn.XLOOKUP(C12,'02_TrayPack_Order'!$B$3:$B$265,'02_TrayPack_Order'!$D$3:$D$265)</f>
        <v>59</v>
      </c>
      <c r="E12" s="17">
        <f>_xlfn.XLOOKUP(C12,'02_TrayPack_Order'!$B$3:$B$265,'02_TrayPack_Order'!$M$3:$M$265,0)</f>
        <v>52</v>
      </c>
      <c r="F12" s="16">
        <f>SUMIF('13_Progress_Track'!$A$2:$A$108,C12,'13_Progress_Track'!$E$2:$E$108)</f>
        <v>0</v>
      </c>
      <c r="G12" s="16">
        <f t="shared" si="0"/>
        <v>0</v>
      </c>
      <c r="H12" s="16">
        <f t="shared" si="1"/>
        <v>111</v>
      </c>
      <c r="I12" s="25" t="str">
        <f>_xlfn.IFNA(_xlfn.XLOOKUP(C12,'00_SKU_Master'!$B$2:$B$2000,'00_SKU_Master'!$C$2:$C$2000),"")</f>
        <v>61050F</v>
      </c>
      <c r="J12" s="97">
        <f>IFERROR(_xlfn.XLOOKUP(C12,'00_SKU_Master'!$B$2:$B$2000,'00_SKU_Master'!$F$2:$F$2000,0)*N12,0)</f>
        <v>211.61750372023772</v>
      </c>
      <c r="K12" s="96" t="str">
        <f>_xlfn.IFNA(_xlfn.XLOOKUP(C12,'00_SKU_Master'!$B$2:$B$2000,'00_SKU_Master'!$H$2:$H$2000,0),"")</f>
        <v>ST 3D</v>
      </c>
      <c r="L12" s="96" t="str">
        <f>_xlfn.IFNA(_xlfn.XLOOKUP(C12,'00_SKU_Master'!$B$2:$B$2000,'00_SKU_Master'!$K$2:$K$2000,0),"")</f>
        <v>Fast</v>
      </c>
      <c r="M12" s="25" t="str">
        <f>_xlfn.XLOOKUP(C12,'00_SKU_Master'!$B$2:$B$2000,'00_SKU_Master'!$D$2:$D$2000)</f>
        <v>FB</v>
      </c>
      <c r="N12" s="25">
        <f t="shared" si="2"/>
        <v>59</v>
      </c>
    </row>
    <row r="13" spans="2:14" x14ac:dyDescent="0.35">
      <c r="B13" s="25" t="str">
        <f>IF(C13="","",_xlfn.XLOOKUP(C13,'00_SKU_Master'!$B$2:$B$2000,'00_SKU_Master'!$J$2:$J$2000,""))</f>
        <v>MS BSC FFTF FRY WOG TI AC 3XP PP</v>
      </c>
      <c r="C13" s="25">
        <v>1831</v>
      </c>
      <c r="D13" s="16">
        <f>_xlfn.XLOOKUP(C13,'02_TrayPack_Order'!$B$3:$B$265,'02_TrayPack_Order'!$D$3:$D$265)</f>
        <v>110</v>
      </c>
      <c r="E13" s="17">
        <f>_xlfn.XLOOKUP(C13,'02_TrayPack_Order'!$B$3:$B$265,'02_TrayPack_Order'!$M$3:$M$265,0)</f>
        <v>75</v>
      </c>
      <c r="F13" s="16">
        <f>SUMIF('13_Progress_Track'!$A$2:$A$108,C13,'13_Progress_Track'!$E$2:$E$108)</f>
        <v>0</v>
      </c>
      <c r="G13" s="16">
        <f t="shared" si="0"/>
        <v>0</v>
      </c>
      <c r="H13" s="16">
        <f t="shared" si="1"/>
        <v>185</v>
      </c>
      <c r="I13" s="25">
        <f>_xlfn.IFNA(_xlfn.XLOOKUP(C13,'00_SKU_Master'!$B$2:$B$2000,'00_SKU_Master'!$C$2:$C$2000),"")</f>
        <v>203021</v>
      </c>
      <c r="J13" s="97">
        <f>IFERROR(_xlfn.XLOOKUP(C13,'00_SKU_Master'!$B$2:$B$2000,'00_SKU_Master'!$F$2:$F$2000,0)*N13,0)</f>
        <v>796.20151189232274</v>
      </c>
      <c r="K13" s="96" t="str">
        <f>_xlfn.IFNA(_xlfn.XLOOKUP(C13,'00_SKU_Master'!$B$2:$B$2000,'00_SKU_Master'!$H$2:$H$2000,0),"")</f>
        <v>ST 3XP</v>
      </c>
      <c r="L13" s="96" t="str">
        <f>_xlfn.IFNA(_xlfn.XLOOKUP(C13,'00_SKU_Master'!$B$2:$B$2000,'00_SKU_Master'!$K$2:$K$2000,0),"")</f>
        <v>Fast</v>
      </c>
      <c r="M13" s="25" t="str">
        <f>_xlfn.XLOOKUP(C13,'00_SKU_Master'!$B$2:$B$2000,'00_SKU_Master'!$D$2:$D$2000)</f>
        <v>FB</v>
      </c>
      <c r="N13" s="25">
        <f t="shared" si="2"/>
        <v>110</v>
      </c>
    </row>
    <row r="14" spans="2:14" x14ac:dyDescent="0.35">
      <c r="B14" s="25" t="str">
        <f>IF(C14="","",_xlfn.XLOOKUP(C14,'00_SKU_Master'!$B$2:$B$2000,'00_SKU_Master'!$J$2:$J$2000,""))</f>
        <v>PB WING LT PP</v>
      </c>
      <c r="C14" s="25">
        <v>1837</v>
      </c>
      <c r="D14" s="16">
        <f>_xlfn.XLOOKUP(C14,'02_TrayPack_Order'!$B$3:$B$265,'02_TrayPack_Order'!$D$3:$D$265)</f>
        <v>0</v>
      </c>
      <c r="E14" s="17">
        <f>_xlfn.XLOOKUP(C14,'02_TrayPack_Order'!$B$3:$B$265,'02_TrayPack_Order'!$M$3:$M$265,0)</f>
        <v>0</v>
      </c>
      <c r="F14" s="16">
        <f>SUMIF('13_Progress_Track'!$A$2:$A$108,C14,'13_Progress_Track'!$E$2:$E$108)</f>
        <v>0</v>
      </c>
      <c r="G14" s="16">
        <f t="shared" si="0"/>
        <v>0</v>
      </c>
      <c r="H14" s="16">
        <f t="shared" si="1"/>
        <v>0</v>
      </c>
      <c r="I14" s="25">
        <f>_xlfn.IFNA(_xlfn.XLOOKUP(C14,'00_SKU_Master'!$B$2:$B$2000,'00_SKU_Master'!$C$2:$C$2000),"")</f>
        <v>61010</v>
      </c>
      <c r="J14" s="97">
        <f>IFERROR(_xlfn.XLOOKUP(C14,'00_SKU_Master'!$B$2:$B$2000,'00_SKU_Master'!$F$2:$F$2000,0)*N14,0)</f>
        <v>0</v>
      </c>
      <c r="K14" s="96" t="str">
        <f>_xlfn.IFNA(_xlfn.XLOOKUP(C14,'00_SKU_Master'!$B$2:$B$2000,'00_SKU_Master'!$H$2:$H$2000,0),"")</f>
        <v>LT 8XP</v>
      </c>
      <c r="L14" s="96" t="str">
        <f>_xlfn.IFNA(_xlfn.XLOOKUP(C14,'00_SKU_Master'!$B$2:$B$2000,'00_SKU_Master'!$K$2:$K$2000,0),"")</f>
        <v>Fast</v>
      </c>
      <c r="M14" s="25" t="str">
        <f>_xlfn.XLOOKUP(C14,'00_SKU_Master'!$B$2:$B$2000,'00_SKU_Master'!$D$2:$D$2000)</f>
        <v>FB</v>
      </c>
      <c r="N14" s="25">
        <f t="shared" si="2"/>
        <v>0</v>
      </c>
    </row>
    <row r="15" spans="2:14" x14ac:dyDescent="0.35">
      <c r="B15" s="25" t="str">
        <f>IF(C15="","",_xlfn.XLOOKUP(C15,'00_SKU_Master'!$B$2:$B$2000,'00_SKU_Master'!$J$2:$J$2000,""))</f>
        <v>MS MLF BSHB AC ST</v>
      </c>
      <c r="C15" s="25">
        <v>1838</v>
      </c>
      <c r="D15" s="16">
        <f>_xlfn.XLOOKUP(C15,'02_TrayPack_Order'!$B$3:$B$265,'02_TrayPack_Order'!$D$3:$D$265)</f>
        <v>0</v>
      </c>
      <c r="E15" s="17">
        <f>_xlfn.XLOOKUP(C15,'02_TrayPack_Order'!$B$3:$B$265,'02_TrayPack_Order'!$M$3:$M$265,0)</f>
        <v>0</v>
      </c>
      <c r="F15" s="16">
        <f>SUMIF('13_Progress_Track'!$A$2:$A$108,C15,'13_Progress_Track'!$E$2:$E$108)</f>
        <v>0</v>
      </c>
      <c r="G15" s="16">
        <f t="shared" si="0"/>
        <v>0</v>
      </c>
      <c r="H15" s="16">
        <f t="shared" si="1"/>
        <v>0</v>
      </c>
      <c r="I15" s="25" t="str">
        <f>_xlfn.IFNA(_xlfn.XLOOKUP(C15,'00_SKU_Master'!$B$2:$B$2000,'00_SKU_Master'!$C$2:$C$2000),"")</f>
        <v>61050F</v>
      </c>
      <c r="J15" s="97">
        <f>IFERROR(_xlfn.XLOOKUP(C15,'00_SKU_Master'!$B$2:$B$2000,'00_SKU_Master'!$F$2:$F$2000,0)*N15,0)</f>
        <v>0</v>
      </c>
      <c r="K15" s="96" t="str">
        <f>_xlfn.IFNA(_xlfn.XLOOKUP(C15,'00_SKU_Master'!$B$2:$B$2000,'00_SKU_Master'!$H$2:$H$2000,0),"")</f>
        <v>ST 3D</v>
      </c>
      <c r="L15" s="96" t="str">
        <f>_xlfn.IFNA(_xlfn.XLOOKUP(C15,'00_SKU_Master'!$B$2:$B$2000,'00_SKU_Master'!$K$2:$K$2000,0),"")</f>
        <v>Fast</v>
      </c>
      <c r="M15" s="25" t="str">
        <f>_xlfn.XLOOKUP(C15,'00_SKU_Master'!$B$2:$B$2000,'00_SKU_Master'!$D$2:$D$2000)</f>
        <v>FB</v>
      </c>
      <c r="N15" s="25">
        <f t="shared" si="2"/>
        <v>0</v>
      </c>
    </row>
    <row r="16" spans="2:14" x14ac:dyDescent="0.35">
      <c r="B16" s="25" t="str">
        <f>IF(C16="","",_xlfn.XLOOKUP(C16,'00_SKU_Master'!$B$2:$B$2000,'00_SKU_Master'!$J$2:$J$2000,""))</f>
        <v>MS MLF FRY WOG AC TI PET</v>
      </c>
      <c r="C16" s="25">
        <v>1839</v>
      </c>
      <c r="D16" s="16">
        <f>_xlfn.XLOOKUP(C16,'02_TrayPack_Order'!$B$3:$B$265,'02_TrayPack_Order'!$D$3:$D$265)</f>
        <v>0</v>
      </c>
      <c r="E16" s="17">
        <f>_xlfn.XLOOKUP(C16,'02_TrayPack_Order'!$B$3:$B$265,'02_TrayPack_Order'!$M$3:$M$265,0)</f>
        <v>0</v>
      </c>
      <c r="F16" s="16">
        <f>SUMIF('13_Progress_Track'!$A$2:$A$108,C16,'13_Progress_Track'!$E$2:$E$108)</f>
        <v>0</v>
      </c>
      <c r="G16" s="16">
        <f t="shared" si="0"/>
        <v>0</v>
      </c>
      <c r="H16" s="16">
        <f t="shared" si="1"/>
        <v>0</v>
      </c>
      <c r="I16" s="25">
        <f>_xlfn.IFNA(_xlfn.XLOOKUP(C16,'00_SKU_Master'!$B$2:$B$2000,'00_SKU_Master'!$C$2:$C$2000),"")</f>
        <v>203021</v>
      </c>
      <c r="J16" s="97">
        <f>IFERROR(_xlfn.XLOOKUP(C16,'00_SKU_Master'!$B$2:$B$2000,'00_SKU_Master'!$F$2:$F$2000,0)*N16,0)</f>
        <v>0</v>
      </c>
      <c r="K16" s="96" t="str">
        <f>_xlfn.IFNA(_xlfn.XLOOKUP(C16,'00_SKU_Master'!$B$2:$B$2000,'00_SKU_Master'!$H$2:$H$2000,0),"")</f>
        <v>ST 3XP</v>
      </c>
      <c r="L16" s="96" t="str">
        <f>_xlfn.IFNA(_xlfn.XLOOKUP(C16,'00_SKU_Master'!$B$2:$B$2000,'00_SKU_Master'!$K$2:$K$2000,0),"")</f>
        <v>Fast</v>
      </c>
      <c r="M16" s="25" t="str">
        <f>_xlfn.XLOOKUP(C16,'00_SKU_Master'!$B$2:$B$2000,'00_SKU_Master'!$D$2:$D$2000)</f>
        <v>FB</v>
      </c>
      <c r="N16" s="25">
        <f t="shared" si="2"/>
        <v>0</v>
      </c>
    </row>
    <row r="17" spans="2:14" x14ac:dyDescent="0.35">
      <c r="B17" s="25" t="str">
        <f>IF(C17="","",_xlfn.XLOOKUP(C17,'00_SKU_Master'!$B$2:$B$2000,'00_SKU_Master'!$J$2:$J$2000,""))</f>
        <v>MS MLF HB AC ST</v>
      </c>
      <c r="C17" s="25">
        <v>1842</v>
      </c>
      <c r="D17" s="16">
        <f>_xlfn.XLOOKUP(C17,'02_TrayPack_Order'!$B$3:$B$265,'02_TrayPack_Order'!$D$3:$D$265)</f>
        <v>0</v>
      </c>
      <c r="E17" s="17">
        <f>_xlfn.XLOOKUP(C17,'02_TrayPack_Order'!$B$3:$B$265,'02_TrayPack_Order'!$M$3:$M$265,0)</f>
        <v>0</v>
      </c>
      <c r="F17" s="16">
        <f>SUMIF('13_Progress_Track'!$A$2:$A$108,C17,'13_Progress_Track'!$E$2:$E$108)</f>
        <v>0</v>
      </c>
      <c r="G17" s="16">
        <f t="shared" si="0"/>
        <v>0</v>
      </c>
      <c r="H17" s="16">
        <f t="shared" si="1"/>
        <v>0</v>
      </c>
      <c r="I17" s="25">
        <f>_xlfn.IFNA(_xlfn.XLOOKUP(C17,'00_SKU_Master'!$B$2:$B$2000,'00_SKU_Master'!$C$2:$C$2000),"")</f>
        <v>61040</v>
      </c>
      <c r="J17" s="97">
        <f>IFERROR(_xlfn.XLOOKUP(C17,'00_SKU_Master'!$B$2:$B$2000,'00_SKU_Master'!$F$2:$F$2000,0)*N17,0)</f>
        <v>0</v>
      </c>
      <c r="K17" s="96" t="str">
        <f>_xlfn.IFNA(_xlfn.XLOOKUP(C17,'00_SKU_Master'!$B$2:$B$2000,'00_SKU_Master'!$H$2:$H$2000,0),"")</f>
        <v>ST 3D</v>
      </c>
      <c r="L17" s="96" t="str">
        <f>_xlfn.IFNA(_xlfn.XLOOKUP(C17,'00_SKU_Master'!$B$2:$B$2000,'00_SKU_Master'!$K$2:$K$2000,0),"")</f>
        <v>Fast</v>
      </c>
      <c r="M17" s="25" t="str">
        <f>_xlfn.XLOOKUP(C17,'00_SKU_Master'!$B$2:$B$2000,'00_SKU_Master'!$D$2:$D$2000)</f>
        <v>FB</v>
      </c>
      <c r="N17" s="25">
        <f t="shared" si="2"/>
        <v>0</v>
      </c>
    </row>
    <row r="18" spans="2:14" x14ac:dyDescent="0.35">
      <c r="B18" s="25" t="str">
        <f>IF(C18="","",_xlfn.XLOOKUP(C18,'00_SKU_Master'!$B$2:$B$2000,'00_SKU_Master'!$J$2:$J$2000,""))</f>
        <v>MS MLF SPL WING AC ST</v>
      </c>
      <c r="C18" s="25">
        <v>1843</v>
      </c>
      <c r="D18" s="16">
        <f>_xlfn.XLOOKUP(C18,'02_TrayPack_Order'!$B$3:$B$265,'02_TrayPack_Order'!$D$3:$D$265)</f>
        <v>0</v>
      </c>
      <c r="E18" s="17">
        <f>_xlfn.XLOOKUP(C18,'02_TrayPack_Order'!$B$3:$B$265,'02_TrayPack_Order'!$M$3:$M$265,0)</f>
        <v>0</v>
      </c>
      <c r="F18" s="16">
        <f>SUMIF('13_Progress_Track'!$A$2:$A$108,C18,'13_Progress_Track'!$E$2:$E$108)</f>
        <v>0</v>
      </c>
      <c r="G18" s="16">
        <f t="shared" si="0"/>
        <v>0</v>
      </c>
      <c r="H18" s="16">
        <f t="shared" si="1"/>
        <v>0</v>
      </c>
      <c r="I18" s="25">
        <f>_xlfn.IFNA(_xlfn.XLOOKUP(C18,'00_SKU_Master'!$B$2:$B$2000,'00_SKU_Master'!$C$2:$C$2000),"")</f>
        <v>61014</v>
      </c>
      <c r="J18" s="97">
        <f>IFERROR(_xlfn.XLOOKUP(C18,'00_SKU_Master'!$B$2:$B$2000,'00_SKU_Master'!$F$2:$F$2000,0)*N18,0)</f>
        <v>0</v>
      </c>
      <c r="K18" s="96" t="str">
        <f>_xlfn.IFNA(_xlfn.XLOOKUP(C18,'00_SKU_Master'!$B$2:$B$2000,'00_SKU_Master'!$H$2:$H$2000,0),"")</f>
        <v>ST 3D</v>
      </c>
      <c r="L18" s="96" t="str">
        <f>_xlfn.IFNA(_xlfn.XLOOKUP(C18,'00_SKU_Master'!$B$2:$B$2000,'00_SKU_Master'!$K$2:$K$2000,0),"")</f>
        <v>Slow</v>
      </c>
      <c r="M18" s="25" t="str">
        <f>_xlfn.XLOOKUP(C18,'00_SKU_Master'!$B$2:$B$2000,'00_SKU_Master'!$D$2:$D$2000)</f>
        <v>FB</v>
      </c>
      <c r="N18" s="25">
        <f t="shared" si="2"/>
        <v>0</v>
      </c>
    </row>
    <row r="19" spans="2:14" x14ac:dyDescent="0.35">
      <c r="B19" s="25" t="str">
        <f>IF(C19="","",_xlfn.XLOOKUP(C19,'00_SKU_Master'!$B$2:$B$2000,'00_SKU_Master'!$J$2:$J$2000,""))</f>
        <v>MS FFF 3pc Breast</v>
      </c>
      <c r="C19" s="25">
        <v>1874</v>
      </c>
      <c r="D19" s="16">
        <f>_xlfn.XLOOKUP(C19,'02_TrayPack_Order'!$B$3:$B$265,'02_TrayPack_Order'!$D$3:$D$265)</f>
        <v>0</v>
      </c>
      <c r="E19" s="17">
        <f>_xlfn.XLOOKUP(C19,'02_TrayPack_Order'!$B$3:$B$265,'02_TrayPack_Order'!$M$3:$M$265,0)</f>
        <v>0</v>
      </c>
      <c r="F19" s="16">
        <f>SUMIF('13_Progress_Track'!$A$2:$A$108,C19,'13_Progress_Track'!$E$2:$E$108)</f>
        <v>0</v>
      </c>
      <c r="G19" s="16">
        <f t="shared" si="0"/>
        <v>0</v>
      </c>
      <c r="H19" s="16">
        <f t="shared" si="1"/>
        <v>0</v>
      </c>
      <c r="I19" s="25">
        <f>_xlfn.IFNA(_xlfn.XLOOKUP(C19,'00_SKU_Master'!$B$2:$B$2000,'00_SKU_Master'!$C$2:$C$2000),"")</f>
        <v>61050</v>
      </c>
      <c r="J19" s="97">
        <f>IFERROR(_xlfn.XLOOKUP(C19,'00_SKU_Master'!$B$2:$B$2000,'00_SKU_Master'!$F$2:$F$2000,0)*N19,0)</f>
        <v>0</v>
      </c>
      <c r="K19" s="96" t="str">
        <f>_xlfn.IFNA(_xlfn.XLOOKUP(C19,'00_SKU_Master'!$B$2:$B$2000,'00_SKU_Master'!$H$2:$H$2000,0),"")</f>
        <v>ST 3D</v>
      </c>
      <c r="L19" s="96" t="str">
        <f>_xlfn.IFNA(_xlfn.XLOOKUP(C19,'00_SKU_Master'!$B$2:$B$2000,'00_SKU_Master'!$K$2:$K$2000,0),"")</f>
        <v>Fast</v>
      </c>
      <c r="M19" s="25" t="str">
        <f>_xlfn.XLOOKUP(C19,'00_SKU_Master'!$B$2:$B$2000,'00_SKU_Master'!$D$2:$D$2000)</f>
        <v>FB</v>
      </c>
      <c r="N19" s="25">
        <f t="shared" si="2"/>
        <v>0</v>
      </c>
    </row>
    <row r="20" spans="2:14" x14ac:dyDescent="0.35">
      <c r="B20" s="25" t="str">
        <f>IF(C20="","",_xlfn.XLOOKUP(C20,'00_SKU_Master'!$B$2:$B$2000,'00_SKU_Master'!$J$2:$J$2000,""))</f>
        <v>MS BSC DRUM 14D PP</v>
      </c>
      <c r="C20" s="25">
        <v>1876</v>
      </c>
      <c r="D20" s="16">
        <f>_xlfn.XLOOKUP(C20,'02_TrayPack_Order'!$B$3:$B$265,'02_TrayPack_Order'!$D$3:$D$265)</f>
        <v>0</v>
      </c>
      <c r="E20" s="17">
        <f>_xlfn.XLOOKUP(C20,'02_TrayPack_Order'!$B$3:$B$265,'02_TrayPack_Order'!$M$3:$M$265,0)</f>
        <v>77</v>
      </c>
      <c r="F20" s="16">
        <f>SUMIF('13_Progress_Track'!$A$2:$A$108,C20,'13_Progress_Track'!$E$2:$E$108)</f>
        <v>0</v>
      </c>
      <c r="G20" s="16">
        <f t="shared" si="0"/>
        <v>0</v>
      </c>
      <c r="H20" s="16">
        <f t="shared" si="1"/>
        <v>77</v>
      </c>
      <c r="I20" s="25" t="str">
        <f>_xlfn.IFNA(_xlfn.XLOOKUP(C20,'00_SKU_Master'!$B$2:$B$2000,'00_SKU_Master'!$C$2:$C$2000),"")</f>
        <v>61072#2</v>
      </c>
      <c r="J20" s="97">
        <f>IFERROR(_xlfn.XLOOKUP(C20,'00_SKU_Master'!$B$2:$B$2000,'00_SKU_Master'!$F$2:$F$2000,0)*N20,0)</f>
        <v>0</v>
      </c>
      <c r="K20" s="96" t="str">
        <f>_xlfn.IFNA(_xlfn.XLOOKUP(C20,'00_SKU_Master'!$B$2:$B$2000,'00_SKU_Master'!$H$2:$H$2000,0),"")</f>
        <v>LT 14D</v>
      </c>
      <c r="L20" s="96" t="str">
        <f>_xlfn.IFNA(_xlfn.XLOOKUP(C20,'00_SKU_Master'!$B$2:$B$2000,'00_SKU_Master'!$K$2:$K$2000,0),"")</f>
        <v>Fast</v>
      </c>
      <c r="M20" s="25" t="str">
        <f>_xlfn.XLOOKUP(C20,'00_SKU_Master'!$B$2:$B$2000,'00_SKU_Master'!$D$2:$D$2000)</f>
        <v>FB</v>
      </c>
      <c r="N20" s="25">
        <f t="shared" si="2"/>
        <v>0</v>
      </c>
    </row>
    <row r="21" spans="2:14" x14ac:dyDescent="0.35">
      <c r="B21" s="25" t="str">
        <f>IF(C21="","",_xlfn.XLOOKUP(C21,'00_SKU_Master'!$B$2:$B$2000,'00_SKU_Master'!$J$2:$J$2000,""))</f>
        <v>MS BSC THIGH 14D PP</v>
      </c>
      <c r="C21" s="25">
        <v>1877</v>
      </c>
      <c r="D21" s="16">
        <f>_xlfn.XLOOKUP(C21,'02_TrayPack_Order'!$B$3:$B$265,'02_TrayPack_Order'!$D$3:$D$265)</f>
        <v>92</v>
      </c>
      <c r="E21" s="17">
        <f>_xlfn.XLOOKUP(C21,'02_TrayPack_Order'!$B$3:$B$265,'02_TrayPack_Order'!$M$3:$M$265,0)</f>
        <v>81</v>
      </c>
      <c r="F21" s="16">
        <f>SUMIF('13_Progress_Track'!$A$2:$A$108,C21,'13_Progress_Track'!$E$2:$E$108)</f>
        <v>0</v>
      </c>
      <c r="G21" s="16">
        <f t="shared" si="0"/>
        <v>0</v>
      </c>
      <c r="H21" s="16">
        <f t="shared" si="1"/>
        <v>173</v>
      </c>
      <c r="I21" s="25">
        <f>_xlfn.IFNA(_xlfn.XLOOKUP(C21,'00_SKU_Master'!$B$2:$B$2000,'00_SKU_Master'!$C$2:$C$2000),"")</f>
        <v>61082</v>
      </c>
      <c r="J21" s="97">
        <f>IFERROR(_xlfn.XLOOKUP(C21,'00_SKU_Master'!$B$2:$B$2000,'00_SKU_Master'!$F$2:$F$2000,0)*N21,0)</f>
        <v>1143.8137034478425</v>
      </c>
      <c r="K21" s="96" t="str">
        <f>_xlfn.IFNA(_xlfn.XLOOKUP(C21,'00_SKU_Master'!$B$2:$B$2000,'00_SKU_Master'!$H$2:$H$2000,0),"")</f>
        <v>LT 14D</v>
      </c>
      <c r="L21" s="96" t="str">
        <f>_xlfn.IFNA(_xlfn.XLOOKUP(C21,'00_SKU_Master'!$B$2:$B$2000,'00_SKU_Master'!$K$2:$K$2000,0),"")</f>
        <v>Fast</v>
      </c>
      <c r="M21" s="25" t="str">
        <f>_xlfn.XLOOKUP(C21,'00_SKU_Master'!$B$2:$B$2000,'00_SKU_Master'!$D$2:$D$2000)</f>
        <v>FB</v>
      </c>
      <c r="N21" s="25">
        <f t="shared" si="2"/>
        <v>92</v>
      </c>
    </row>
    <row r="22" spans="2:14" x14ac:dyDescent="0.35">
      <c r="B22" s="25" t="str">
        <f>IF(C22="","",_xlfn.XLOOKUP(C22,'00_SKU_Master'!$B$2:$B$2000,'00_SKU_Master'!$J$2:$J$2000,""))</f>
        <v>MS BSC HB FT PP 8/BOX</v>
      </c>
      <c r="C22" s="25">
        <v>1878</v>
      </c>
      <c r="D22" s="16">
        <f>_xlfn.XLOOKUP(C22,'02_TrayPack_Order'!$B$3:$B$265,'02_TrayPack_Order'!$D$3:$D$265)</f>
        <v>0</v>
      </c>
      <c r="E22" s="17">
        <f>_xlfn.XLOOKUP(C22,'02_TrayPack_Order'!$B$3:$B$265,'02_TrayPack_Order'!$M$3:$M$265,0)</f>
        <v>49</v>
      </c>
      <c r="F22" s="16">
        <f>SUMIF('13_Progress_Track'!$A$2:$A$108,C22,'13_Progress_Track'!$E$2:$E$108)</f>
        <v>0</v>
      </c>
      <c r="G22" s="16">
        <f t="shared" si="0"/>
        <v>0</v>
      </c>
      <c r="H22" s="16">
        <f t="shared" si="1"/>
        <v>49</v>
      </c>
      <c r="I22" s="25" t="str">
        <f>_xlfn.IFNA(_xlfn.XLOOKUP(C22,'00_SKU_Master'!$B$2:$B$2000,'00_SKU_Master'!$C$2:$C$2000),"")</f>
        <v>61040#2</v>
      </c>
      <c r="J22" s="97">
        <f>IFERROR(_xlfn.XLOOKUP(C22,'00_SKU_Master'!$B$2:$B$2000,'00_SKU_Master'!$F$2:$F$2000,0)*N22,0)</f>
        <v>0</v>
      </c>
      <c r="K22" s="96" t="str">
        <f>_xlfn.IFNA(_xlfn.XLOOKUP(C22,'00_SKU_Master'!$B$2:$B$2000,'00_SKU_Master'!$H$2:$H$2000,0),"")</f>
        <v>LT 14D</v>
      </c>
      <c r="L22" s="96" t="str">
        <f>_xlfn.IFNA(_xlfn.XLOOKUP(C22,'00_SKU_Master'!$B$2:$B$2000,'00_SKU_Master'!$K$2:$K$2000,0),"")</f>
        <v>Fast</v>
      </c>
      <c r="M22" s="25" t="str">
        <f>_xlfn.XLOOKUP(C22,'00_SKU_Master'!$B$2:$B$2000,'00_SKU_Master'!$D$2:$D$2000)</f>
        <v>FB</v>
      </c>
      <c r="N22" s="25">
        <f t="shared" si="2"/>
        <v>0</v>
      </c>
    </row>
    <row r="23" spans="2:14" x14ac:dyDescent="0.35">
      <c r="B23" s="25" t="str">
        <f>IF(C23="","",_xlfn.XLOOKUP(C23,'00_SKU_Master'!$B$2:$B$2000,'00_SKU_Master'!$J$2:$J$2000,""))</f>
        <v>MS BSHB ST</v>
      </c>
      <c r="C23" s="25">
        <v>1881</v>
      </c>
      <c r="D23" s="16">
        <f>_xlfn.XLOOKUP(C23,'02_TrayPack_Order'!$B$3:$B$265,'02_TrayPack_Order'!$D$3:$D$265)</f>
        <v>0</v>
      </c>
      <c r="E23" s="17">
        <f>_xlfn.XLOOKUP(C23,'02_TrayPack_Order'!$B$3:$B$265,'02_TrayPack_Order'!$M$3:$M$265,0)</f>
        <v>0</v>
      </c>
      <c r="F23" s="16">
        <f>SUMIF('13_Progress_Track'!$A$2:$A$108,C23,'13_Progress_Track'!$E$2:$E$108)</f>
        <v>0</v>
      </c>
      <c r="G23" s="16">
        <f t="shared" si="0"/>
        <v>0</v>
      </c>
      <c r="H23" s="16">
        <f t="shared" si="1"/>
        <v>0</v>
      </c>
      <c r="I23" s="25" t="str">
        <f>_xlfn.IFNA(_xlfn.XLOOKUP(C23,'00_SKU_Master'!$B$2:$B$2000,'00_SKU_Master'!$C$2:$C$2000),"")</f>
        <v>61050#2</v>
      </c>
      <c r="J23" s="97">
        <f>IFERROR(_xlfn.XLOOKUP(C23,'00_SKU_Master'!$B$2:$B$2000,'00_SKU_Master'!$F$2:$F$2000,0)*N23,0)</f>
        <v>0</v>
      </c>
      <c r="K23" s="96" t="str">
        <f>_xlfn.IFNA(_xlfn.XLOOKUP(C23,'00_SKU_Master'!$B$2:$B$2000,'00_SKU_Master'!$H$2:$H$2000,0),"")</f>
        <v>ST 2HP</v>
      </c>
      <c r="L23" s="96" t="str">
        <f>_xlfn.IFNA(_xlfn.XLOOKUP(C23,'00_SKU_Master'!$B$2:$B$2000,'00_SKU_Master'!$K$2:$K$2000,0),"")</f>
        <v>Fast</v>
      </c>
      <c r="M23" s="25" t="str">
        <f>_xlfn.XLOOKUP(C23,'00_SKU_Master'!$B$2:$B$2000,'00_SKU_Master'!$D$2:$D$2000)</f>
        <v>FB</v>
      </c>
      <c r="N23" s="25">
        <f t="shared" si="2"/>
        <v>0</v>
      </c>
    </row>
    <row r="24" spans="2:14" x14ac:dyDescent="0.35">
      <c r="B24" s="25" t="str">
        <f>IF(C24="","",_xlfn.XLOOKUP(C24,'00_SKU_Master'!$B$2:$B$2000,'00_SKU_Master'!$J$2:$J$2000,""))</f>
        <v>PB BSC SKLS HB ST PP BSK</v>
      </c>
      <c r="C24" s="25">
        <v>2030</v>
      </c>
      <c r="D24" s="16">
        <f>_xlfn.XLOOKUP(C24,'02_TrayPack_Order'!$B$3:$B$265,'02_TrayPack_Order'!$D$3:$D$265)</f>
        <v>0</v>
      </c>
      <c r="E24" s="17">
        <f>_xlfn.XLOOKUP(C24,'02_TrayPack_Order'!$B$3:$B$265,'02_TrayPack_Order'!$M$3:$M$265,0)</f>
        <v>0</v>
      </c>
      <c r="F24" s="16">
        <f>SUMIF('13_Progress_Track'!$A$2:$A$108,C24,'13_Progress_Track'!$E$2:$E$108)</f>
        <v>0</v>
      </c>
      <c r="G24" s="16">
        <f t="shared" si="0"/>
        <v>0</v>
      </c>
      <c r="H24" s="16">
        <f t="shared" si="1"/>
        <v>0</v>
      </c>
      <c r="I24" s="25" t="str">
        <f>_xlfn.IFNA(_xlfn.XLOOKUP(C24,'00_SKU_Master'!$B$2:$B$2000,'00_SKU_Master'!$C$2:$C$2000),"")</f>
        <v>61048#2</v>
      </c>
      <c r="J24" s="97">
        <f>IFERROR(_xlfn.XLOOKUP(C24,'00_SKU_Master'!$B$2:$B$2000,'00_SKU_Master'!$F$2:$F$2000,0)*N24,0)</f>
        <v>0</v>
      </c>
      <c r="K24" s="96" t="str">
        <f>_xlfn.IFNA(_xlfn.XLOOKUP(C24,'00_SKU_Master'!$B$2:$B$2000,'00_SKU_Master'!$H$2:$H$2000,0),"")</f>
        <v>ST 3XP</v>
      </c>
      <c r="L24" s="96" t="str">
        <f>_xlfn.IFNA(_xlfn.XLOOKUP(C24,'00_SKU_Master'!$B$2:$B$2000,'00_SKU_Master'!$K$2:$K$2000,0),"")</f>
        <v>Fast</v>
      </c>
      <c r="M24" s="25" t="str">
        <f>_xlfn.XLOOKUP(C24,'00_SKU_Master'!$B$2:$B$2000,'00_SKU_Master'!$D$2:$D$2000)</f>
        <v>FB</v>
      </c>
      <c r="N24" s="25">
        <f t="shared" si="2"/>
        <v>0</v>
      </c>
    </row>
    <row r="25" spans="2:14" x14ac:dyDescent="0.35">
      <c r="B25" s="25" t="str">
        <f>IF(C25="","",_xlfn.XLOOKUP(C25,'00_SKU_Master'!$B$2:$B$2000,'00_SKU_Master'!$J$2:$J$2000,""))</f>
        <v>MS BSC SKLS HB 8XP PP</v>
      </c>
      <c r="C25" s="25">
        <v>2031</v>
      </c>
      <c r="D25" s="16">
        <f>_xlfn.XLOOKUP(C25,'02_TrayPack_Order'!$B$3:$B$265,'02_TrayPack_Order'!$D$3:$D$265)</f>
        <v>0</v>
      </c>
      <c r="E25" s="17">
        <f>_xlfn.XLOOKUP(C25,'02_TrayPack_Order'!$B$3:$B$265,'02_TrayPack_Order'!$M$3:$M$265,0)</f>
        <v>0</v>
      </c>
      <c r="F25" s="16">
        <f>SUMIF('13_Progress_Track'!$A$2:$A$108,C25,'13_Progress_Track'!$E$2:$E$108)</f>
        <v>0</v>
      </c>
      <c r="G25" s="16">
        <f t="shared" si="0"/>
        <v>0</v>
      </c>
      <c r="H25" s="16">
        <f t="shared" si="1"/>
        <v>0</v>
      </c>
      <c r="I25" s="25" t="str">
        <f>_xlfn.IFNA(_xlfn.XLOOKUP(C25,'00_SKU_Master'!$B$2:$B$2000,'00_SKU_Master'!$C$2:$C$2000),"")</f>
        <v>61048#2</v>
      </c>
      <c r="J25" s="97">
        <f>IFERROR(_xlfn.XLOOKUP(C25,'00_SKU_Master'!$B$2:$B$2000,'00_SKU_Master'!$F$2:$F$2000,0)*N25,0)</f>
        <v>0</v>
      </c>
      <c r="K25" s="96" t="str">
        <f>_xlfn.IFNA(_xlfn.XLOOKUP(C25,'00_SKU_Master'!$B$2:$B$2000,'00_SKU_Master'!$H$2:$H$2000,0),"")</f>
        <v>LT 8XP</v>
      </c>
      <c r="L25" s="96" t="str">
        <f>_xlfn.IFNA(_xlfn.XLOOKUP(C25,'00_SKU_Master'!$B$2:$B$2000,'00_SKU_Master'!$K$2:$K$2000,0),"")</f>
        <v>Fast</v>
      </c>
      <c r="M25" s="25" t="str">
        <f>_xlfn.XLOOKUP(C25,'00_SKU_Master'!$B$2:$B$2000,'00_SKU_Master'!$D$2:$D$2000)</f>
        <v>FB</v>
      </c>
      <c r="N25" s="25">
        <f t="shared" si="2"/>
        <v>0</v>
      </c>
    </row>
    <row r="26" spans="2:14" x14ac:dyDescent="0.35">
      <c r="B26" s="25" t="str">
        <f>IF(C26="","",_xlfn.XLOOKUP(C26,'00_SKU_Master'!$B$2:$B$2000,'00_SKU_Master'!$J$2:$J$2000,""))</f>
        <v>MS BSC BSHB LT PP BSK</v>
      </c>
      <c r="C26" s="25">
        <v>2042</v>
      </c>
      <c r="D26" s="16">
        <f>_xlfn.XLOOKUP(C26,'02_TrayPack_Order'!$B$3:$B$265,'02_TrayPack_Order'!$D$3:$D$265)</f>
        <v>0</v>
      </c>
      <c r="E26" s="17">
        <f>_xlfn.XLOOKUP(C26,'02_TrayPack_Order'!$B$3:$B$265,'02_TrayPack_Order'!$M$3:$M$265,0)</f>
        <v>0</v>
      </c>
      <c r="F26" s="16">
        <f>SUMIF('13_Progress_Track'!$A$2:$A$108,C26,'13_Progress_Track'!$E$2:$E$108)</f>
        <v>0</v>
      </c>
      <c r="G26" s="16">
        <f t="shared" si="0"/>
        <v>0</v>
      </c>
      <c r="H26" s="16">
        <f t="shared" si="1"/>
        <v>0</v>
      </c>
      <c r="I26" s="25" t="str">
        <f>_xlfn.IFNA(_xlfn.XLOOKUP(C26,'00_SKU_Master'!$B$2:$B$2000,'00_SKU_Master'!$C$2:$C$2000),"")</f>
        <v>61050#2</v>
      </c>
      <c r="J26" s="97">
        <f>IFERROR(_xlfn.XLOOKUP(C26,'00_SKU_Master'!$B$2:$B$2000,'00_SKU_Master'!$F$2:$F$2000,0)*N26,0)</f>
        <v>0</v>
      </c>
      <c r="K26" s="96" t="str">
        <f>_xlfn.IFNA(_xlfn.XLOOKUP(C26,'00_SKU_Master'!$B$2:$B$2000,'00_SKU_Master'!$H$2:$H$2000,0),"")</f>
        <v>LT 8XP</v>
      </c>
      <c r="L26" s="96" t="str">
        <f>_xlfn.IFNA(_xlfn.XLOOKUP(C26,'00_SKU_Master'!$B$2:$B$2000,'00_SKU_Master'!$K$2:$K$2000,0),"")</f>
        <v>Fast</v>
      </c>
      <c r="M26" s="25" t="str">
        <f>_xlfn.XLOOKUP(C26,'00_SKU_Master'!$B$2:$B$2000,'00_SKU_Master'!$D$2:$D$2000)</f>
        <v>FB</v>
      </c>
      <c r="N26" s="25">
        <f t="shared" si="2"/>
        <v>0</v>
      </c>
    </row>
    <row r="27" spans="2:14" x14ac:dyDescent="0.35">
      <c r="B27" s="25" t="str">
        <f>IF(C27="","",_xlfn.XLOOKUP(C27,'00_SKU_Master'!$B$2:$B$2000,'00_SKU_Master'!$J$2:$J$2000,""))</f>
        <v>MS BSC BSHB AC 8XP PP</v>
      </c>
      <c r="C27" s="25">
        <v>2043</v>
      </c>
      <c r="D27" s="16">
        <f>_xlfn.XLOOKUP(C27,'02_TrayPack_Order'!$B$3:$B$265,'02_TrayPack_Order'!$D$3:$D$265)</f>
        <v>0</v>
      </c>
      <c r="E27" s="17">
        <f>_xlfn.XLOOKUP(C27,'02_TrayPack_Order'!$B$3:$B$265,'02_TrayPack_Order'!$M$3:$M$265,0)</f>
        <v>220</v>
      </c>
      <c r="F27" s="16">
        <f>SUMIF('13_Progress_Track'!$A$2:$A$108,C27,'13_Progress_Track'!$E$2:$E$108)</f>
        <v>0</v>
      </c>
      <c r="G27" s="16">
        <f t="shared" si="0"/>
        <v>0</v>
      </c>
      <c r="H27" s="16">
        <f t="shared" si="1"/>
        <v>220</v>
      </c>
      <c r="I27" s="25" t="str">
        <f>_xlfn.IFNA(_xlfn.XLOOKUP(C27,'00_SKU_Master'!$B$2:$B$2000,'00_SKU_Master'!$C$2:$C$2000),"")</f>
        <v>61050#2</v>
      </c>
      <c r="J27" s="97">
        <f>IFERROR(_xlfn.XLOOKUP(C27,'00_SKU_Master'!$B$2:$B$2000,'00_SKU_Master'!$F$2:$F$2000,0)*N27,0)</f>
        <v>0</v>
      </c>
      <c r="K27" s="96" t="str">
        <f>_xlfn.IFNA(_xlfn.XLOOKUP(C27,'00_SKU_Master'!$B$2:$B$2000,'00_SKU_Master'!$H$2:$H$2000,0),"")</f>
        <v>LT 8XP</v>
      </c>
      <c r="L27" s="96" t="str">
        <f>_xlfn.IFNA(_xlfn.XLOOKUP(C27,'00_SKU_Master'!$B$2:$B$2000,'00_SKU_Master'!$K$2:$K$2000,0),"")</f>
        <v>Fast</v>
      </c>
      <c r="M27" s="25" t="str">
        <f>_xlfn.XLOOKUP(C27,'00_SKU_Master'!$B$2:$B$2000,'00_SKU_Master'!$D$2:$D$2000)</f>
        <v>FB</v>
      </c>
      <c r="N27" s="25">
        <f t="shared" si="2"/>
        <v>0</v>
      </c>
    </row>
    <row r="28" spans="2:14" x14ac:dyDescent="0.35">
      <c r="B28" s="25" t="str">
        <f>IF(C28="","",_xlfn.XLOOKUP(C28,'00_SKU_Master'!$B$2:$B$2000,'00_SKU_Master'!$J$2:$J$2000,""))</f>
        <v>MS BSHB CHUNK 8XP PP</v>
      </c>
      <c r="C28" s="25">
        <v>2044</v>
      </c>
      <c r="D28" s="16">
        <f>_xlfn.XLOOKUP(C28,'02_TrayPack_Order'!$B$3:$B$265,'02_TrayPack_Order'!$D$3:$D$265)</f>
        <v>24</v>
      </c>
      <c r="E28" s="17">
        <f>_xlfn.XLOOKUP(C28,'02_TrayPack_Order'!$B$3:$B$265,'02_TrayPack_Order'!$M$3:$M$265,0)</f>
        <v>54</v>
      </c>
      <c r="F28" s="16">
        <f>SUMIF('13_Progress_Track'!$A$2:$A$108,C28,'13_Progress_Track'!$E$2:$E$108)</f>
        <v>0</v>
      </c>
      <c r="G28" s="16">
        <f t="shared" si="0"/>
        <v>0</v>
      </c>
      <c r="H28" s="16">
        <f t="shared" si="1"/>
        <v>78</v>
      </c>
      <c r="I28" s="25">
        <f>_xlfn.IFNA(_xlfn.XLOOKUP(C28,'00_SKU_Master'!$B$2:$B$2000,'00_SKU_Master'!$C$2:$C$2000),"")</f>
        <v>61104</v>
      </c>
      <c r="J28" s="97">
        <f>IFERROR(_xlfn.XLOOKUP(C28,'00_SKU_Master'!$B$2:$B$2000,'00_SKU_Master'!$F$2:$F$2000,0)*N28,0)</f>
        <v>178.44939351889633</v>
      </c>
      <c r="K28" s="96" t="str">
        <f>_xlfn.IFNA(_xlfn.XLOOKUP(C28,'00_SKU_Master'!$B$2:$B$2000,'00_SKU_Master'!$H$2:$H$2000,0),"")</f>
        <v>LT 8XP</v>
      </c>
      <c r="L28" s="96" t="str">
        <f>_xlfn.IFNA(_xlfn.XLOOKUP(C28,'00_SKU_Master'!$B$2:$B$2000,'00_SKU_Master'!$K$2:$K$2000,0),"")</f>
        <v>Fast</v>
      </c>
      <c r="M28" s="25" t="str">
        <f>_xlfn.XLOOKUP(C28,'00_SKU_Master'!$B$2:$B$2000,'00_SKU_Master'!$D$2:$D$2000)</f>
        <v>FB</v>
      </c>
      <c r="N28" s="25">
        <f t="shared" si="2"/>
        <v>24</v>
      </c>
    </row>
    <row r="29" spans="2:14" x14ac:dyDescent="0.35">
      <c r="B29" s="25" t="str">
        <f>IF(C29="","",_xlfn.XLOOKUP(C29,'00_SKU_Master'!$B$2:$B$2000,'00_SKU_Master'!$J$2:$J$2000,""))</f>
        <v>MS BSC DRUM 3XP PP</v>
      </c>
      <c r="C29" s="25">
        <v>2045</v>
      </c>
      <c r="D29" s="16">
        <f>_xlfn.XLOOKUP(C29,'02_TrayPack_Order'!$B$3:$B$265,'02_TrayPack_Order'!$D$3:$D$265)</f>
        <v>0</v>
      </c>
      <c r="E29" s="17">
        <f>_xlfn.XLOOKUP(C29,'02_TrayPack_Order'!$B$3:$B$265,'02_TrayPack_Order'!$M$3:$M$265,0)</f>
        <v>53</v>
      </c>
      <c r="F29" s="16">
        <f>SUMIF('13_Progress_Track'!$A$2:$A$108,C29,'13_Progress_Track'!$E$2:$E$108)</f>
        <v>0</v>
      </c>
      <c r="G29" s="16">
        <f t="shared" si="0"/>
        <v>0</v>
      </c>
      <c r="H29" s="16">
        <f t="shared" si="1"/>
        <v>53</v>
      </c>
      <c r="I29" s="25" t="str">
        <f>_xlfn.IFNA(_xlfn.XLOOKUP(C29,'00_SKU_Master'!$B$2:$B$2000,'00_SKU_Master'!$C$2:$C$2000),"")</f>
        <v>61072#2</v>
      </c>
      <c r="J29" s="97">
        <f>IFERROR(_xlfn.XLOOKUP(C29,'00_SKU_Master'!$B$2:$B$2000,'00_SKU_Master'!$F$2:$F$2000,0)*N29,0)</f>
        <v>0</v>
      </c>
      <c r="K29" s="96" t="str">
        <f>_xlfn.IFNA(_xlfn.XLOOKUP(C29,'00_SKU_Master'!$B$2:$B$2000,'00_SKU_Master'!$H$2:$H$2000,0),"")</f>
        <v>ST 3XP</v>
      </c>
      <c r="L29" s="96" t="str">
        <f>_xlfn.IFNA(_xlfn.XLOOKUP(C29,'00_SKU_Master'!$B$2:$B$2000,'00_SKU_Master'!$K$2:$K$2000,0),"")</f>
        <v>Fast</v>
      </c>
      <c r="M29" s="25" t="str">
        <f>_xlfn.XLOOKUP(C29,'00_SKU_Master'!$B$2:$B$2000,'00_SKU_Master'!$D$2:$D$2000)</f>
        <v>FB</v>
      </c>
      <c r="N29" s="25">
        <f t="shared" si="2"/>
        <v>0</v>
      </c>
    </row>
    <row r="30" spans="2:14" x14ac:dyDescent="0.35">
      <c r="B30" s="25" t="str">
        <f>IF(C30="","",_xlfn.XLOOKUP(C30,'00_SKU_Master'!$B$2:$B$2000,'00_SKU_Master'!$J$2:$J$2000,""))</f>
        <v>MS BSC THIGH 3XP PP</v>
      </c>
      <c r="C30" s="25">
        <v>2046</v>
      </c>
      <c r="D30" s="16">
        <f>_xlfn.XLOOKUP(C30,'02_TrayPack_Order'!$B$3:$B$265,'02_TrayPack_Order'!$D$3:$D$265)</f>
        <v>132</v>
      </c>
      <c r="E30" s="17">
        <f>_xlfn.XLOOKUP(C30,'02_TrayPack_Order'!$B$3:$B$265,'02_TrayPack_Order'!$M$3:$M$265,0)</f>
        <v>88</v>
      </c>
      <c r="F30" s="16">
        <f>SUMIF('13_Progress_Track'!$A$2:$A$108,C30,'13_Progress_Track'!$E$2:$E$108)</f>
        <v>0</v>
      </c>
      <c r="G30" s="16">
        <f t="shared" si="0"/>
        <v>0</v>
      </c>
      <c r="H30" s="16">
        <f t="shared" si="1"/>
        <v>220</v>
      </c>
      <c r="I30" s="25">
        <f>_xlfn.IFNA(_xlfn.XLOOKUP(C30,'00_SKU_Master'!$B$2:$B$2000,'00_SKU_Master'!$C$2:$C$2000),"")</f>
        <v>61082</v>
      </c>
      <c r="J30" s="97">
        <f>IFERROR(_xlfn.XLOOKUP(C30,'00_SKU_Master'!$B$2:$B$2000,'00_SKU_Master'!$F$2:$F$2000,0)*N30,0)</f>
        <v>659.21822433321097</v>
      </c>
      <c r="K30" s="96" t="str">
        <f>_xlfn.IFNA(_xlfn.XLOOKUP(C30,'00_SKU_Master'!$B$2:$B$2000,'00_SKU_Master'!$H$2:$H$2000,0),"")</f>
        <v>ST 3XP</v>
      </c>
      <c r="L30" s="96" t="str">
        <f>_xlfn.IFNA(_xlfn.XLOOKUP(C30,'00_SKU_Master'!$B$2:$B$2000,'00_SKU_Master'!$K$2:$K$2000,0),"")</f>
        <v>Fast</v>
      </c>
      <c r="M30" s="25" t="str">
        <f>_xlfn.XLOOKUP(C30,'00_SKU_Master'!$B$2:$B$2000,'00_SKU_Master'!$D$2:$D$2000)</f>
        <v>FB</v>
      </c>
      <c r="N30" s="25">
        <f t="shared" si="2"/>
        <v>132</v>
      </c>
    </row>
    <row r="31" spans="2:14" x14ac:dyDescent="0.35">
      <c r="B31" s="25" t="str">
        <f>IF(C31="","",_xlfn.XLOOKUP(C31,'00_SKU_Master'!$B$2:$B$2000,'00_SKU_Master'!$J$2:$J$2000,""))</f>
        <v>MS WING 14D PP</v>
      </c>
      <c r="C31" s="25">
        <v>2047</v>
      </c>
      <c r="D31" s="16">
        <f>_xlfn.XLOOKUP(C31,'02_TrayPack_Order'!$B$3:$B$265,'02_TrayPack_Order'!$D$3:$D$265)</f>
        <v>22</v>
      </c>
      <c r="E31" s="17">
        <f>_xlfn.XLOOKUP(C31,'02_TrayPack_Order'!$B$3:$B$265,'02_TrayPack_Order'!$M$3:$M$265,0)</f>
        <v>0</v>
      </c>
      <c r="F31" s="16">
        <f>SUMIF('13_Progress_Track'!$A$2:$A$108,C31,'13_Progress_Track'!$E$2:$E$108)</f>
        <v>0</v>
      </c>
      <c r="G31" s="16">
        <f t="shared" si="0"/>
        <v>0</v>
      </c>
      <c r="H31" s="16">
        <f t="shared" si="1"/>
        <v>22</v>
      </c>
      <c r="I31" s="25">
        <f>_xlfn.IFNA(_xlfn.XLOOKUP(C31,'00_SKU_Master'!$B$2:$B$2000,'00_SKU_Master'!$C$2:$C$2000),"")</f>
        <v>61010</v>
      </c>
      <c r="J31" s="97">
        <f>IFERROR(_xlfn.XLOOKUP(C31,'00_SKU_Master'!$B$2:$B$2000,'00_SKU_Master'!$F$2:$F$2000,0)*N31,0)</f>
        <v>214.71146253925522</v>
      </c>
      <c r="K31" s="96" t="str">
        <f>_xlfn.IFNA(_xlfn.XLOOKUP(C31,'00_SKU_Master'!$B$2:$B$2000,'00_SKU_Master'!$H$2:$H$2000,0),"")</f>
        <v>LT 14D</v>
      </c>
      <c r="L31" s="96" t="str">
        <f>_xlfn.IFNA(_xlfn.XLOOKUP(C31,'00_SKU_Master'!$B$2:$B$2000,'00_SKU_Master'!$K$2:$K$2000,0),"")</f>
        <v>Fast</v>
      </c>
      <c r="M31" s="25" t="str">
        <f>_xlfn.XLOOKUP(C31,'00_SKU_Master'!$B$2:$B$2000,'00_SKU_Master'!$D$2:$D$2000)</f>
        <v>FB</v>
      </c>
      <c r="N31" s="25">
        <f t="shared" si="2"/>
        <v>22</v>
      </c>
    </row>
    <row r="32" spans="2:14" x14ac:dyDescent="0.35">
      <c r="B32" s="25" t="str">
        <f>IF(C32="","",_xlfn.XLOOKUP(C32,'00_SKU_Master'!$B$2:$B$2000,'00_SKU_Master'!$J$2:$J$2000,""))</f>
        <v>MB MET DRUM 8XP</v>
      </c>
      <c r="C32" s="25">
        <v>2060</v>
      </c>
      <c r="D32" s="16">
        <f>_xlfn.XLOOKUP(C32,'02_TrayPack_Order'!$B$3:$B$265,'02_TrayPack_Order'!$D$3:$D$265)</f>
        <v>0</v>
      </c>
      <c r="E32" s="17">
        <f>_xlfn.XLOOKUP(C32,'02_TrayPack_Order'!$B$3:$B$265,'02_TrayPack_Order'!$M$3:$M$265,0)</f>
        <v>50</v>
      </c>
      <c r="F32" s="16">
        <f>SUMIF('13_Progress_Track'!$A$2:$A$108,C32,'13_Progress_Track'!$E$2:$E$108)</f>
        <v>0</v>
      </c>
      <c r="G32" s="16">
        <f t="shared" si="0"/>
        <v>0</v>
      </c>
      <c r="H32" s="16">
        <f t="shared" si="1"/>
        <v>50</v>
      </c>
      <c r="I32" s="25" t="str">
        <f>_xlfn.IFNA(_xlfn.XLOOKUP(C32,'00_SKU_Master'!$B$2:$B$2000,'00_SKU_Master'!$C$2:$C$2000),"")</f>
        <v>61072#2</v>
      </c>
      <c r="J32" s="97">
        <f>IFERROR(_xlfn.XLOOKUP(C32,'00_SKU_Master'!$B$2:$B$2000,'00_SKU_Master'!$F$2:$F$2000,0)*N32,0)</f>
        <v>0</v>
      </c>
      <c r="K32" s="96" t="str">
        <f>_xlfn.IFNA(_xlfn.XLOOKUP(C32,'00_SKU_Master'!$B$2:$B$2000,'00_SKU_Master'!$H$2:$H$2000,0),"")</f>
        <v>LT 8XP</v>
      </c>
      <c r="L32" s="96" t="str">
        <f>_xlfn.IFNA(_xlfn.XLOOKUP(C32,'00_SKU_Master'!$B$2:$B$2000,'00_SKU_Master'!$K$2:$K$2000,0),"")</f>
        <v>Fast</v>
      </c>
      <c r="M32" s="25" t="str">
        <f>_xlfn.XLOOKUP(C32,'00_SKU_Master'!$B$2:$B$2000,'00_SKU_Master'!$D$2:$D$2000)</f>
        <v>METRO</v>
      </c>
      <c r="N32" s="25">
        <f t="shared" si="2"/>
        <v>0</v>
      </c>
    </row>
    <row r="33" spans="2:14" x14ac:dyDescent="0.35">
      <c r="B33" s="25" t="str">
        <f>IF(C33="","",_xlfn.XLOOKUP(C33,'00_SKU_Master'!$B$2:$B$2000,'00_SKU_Master'!$J$2:$J$2000,""))</f>
        <v>MB MET THIGH 8XP</v>
      </c>
      <c r="C33" s="25">
        <v>2061</v>
      </c>
      <c r="D33" s="16">
        <f>_xlfn.XLOOKUP(C33,'02_TrayPack_Order'!$B$3:$B$265,'02_TrayPack_Order'!$D$3:$D$265)</f>
        <v>40</v>
      </c>
      <c r="E33" s="17">
        <f>_xlfn.XLOOKUP(C33,'02_TrayPack_Order'!$B$3:$B$265,'02_TrayPack_Order'!$M$3:$M$265,0)</f>
        <v>40</v>
      </c>
      <c r="F33" s="16">
        <f>SUMIF('13_Progress_Track'!$A$2:$A$108,C33,'13_Progress_Track'!$E$2:$E$108)</f>
        <v>0</v>
      </c>
      <c r="G33" s="16">
        <f t="shared" si="0"/>
        <v>0</v>
      </c>
      <c r="H33" s="16">
        <f t="shared" si="1"/>
        <v>80</v>
      </c>
      <c r="I33" s="25">
        <f>_xlfn.IFNA(_xlfn.XLOOKUP(C33,'00_SKU_Master'!$B$2:$B$2000,'00_SKU_Master'!$C$2:$C$2000),"")</f>
        <v>61082</v>
      </c>
      <c r="J33" s="97">
        <f>IFERROR(_xlfn.XLOOKUP(C33,'00_SKU_Master'!$B$2:$B$2000,'00_SKU_Master'!$F$2:$F$2000,0)*N33,0)</f>
        <v>398.5349934203864</v>
      </c>
      <c r="K33" s="96" t="str">
        <f>_xlfn.IFNA(_xlfn.XLOOKUP(C33,'00_SKU_Master'!$B$2:$B$2000,'00_SKU_Master'!$H$2:$H$2000,0),"")</f>
        <v>LT 8XP</v>
      </c>
      <c r="L33" s="96" t="str">
        <f>_xlfn.IFNA(_xlfn.XLOOKUP(C33,'00_SKU_Master'!$B$2:$B$2000,'00_SKU_Master'!$K$2:$K$2000,0),"")</f>
        <v>Fast</v>
      </c>
      <c r="M33" s="25" t="str">
        <f>_xlfn.XLOOKUP(C33,'00_SKU_Master'!$B$2:$B$2000,'00_SKU_Master'!$D$2:$D$2000)</f>
        <v>METRO</v>
      </c>
      <c r="N33" s="25">
        <f t="shared" si="2"/>
        <v>40</v>
      </c>
    </row>
    <row r="34" spans="2:14" x14ac:dyDescent="0.35">
      <c r="B34" s="25" t="str">
        <f>IF(C34="","",_xlfn.XLOOKUP(C34,'00_SKU_Master'!$B$2:$B$2000,'00_SKU_Master'!$J$2:$J$2000,""))</f>
        <v>MS MET SKLS HB 8XP</v>
      </c>
      <c r="C34" s="25">
        <v>2062</v>
      </c>
      <c r="D34" s="16">
        <f>_xlfn.XLOOKUP(C34,'02_TrayPack_Order'!$B$3:$B$265,'02_TrayPack_Order'!$D$3:$D$265)</f>
        <v>0</v>
      </c>
      <c r="E34" s="17">
        <f>_xlfn.XLOOKUP(C34,'02_TrayPack_Order'!$B$3:$B$265,'02_TrayPack_Order'!$M$3:$M$265,0)</f>
        <v>0</v>
      </c>
      <c r="F34" s="16">
        <f>SUMIF('13_Progress_Track'!$A$2:$A$108,C34,'13_Progress_Track'!$E$2:$E$108)</f>
        <v>0</v>
      </c>
      <c r="G34" s="16">
        <f t="shared" si="0"/>
        <v>0</v>
      </c>
      <c r="H34" s="16">
        <f t="shared" si="1"/>
        <v>0</v>
      </c>
      <c r="I34" s="25" t="str">
        <f>_xlfn.IFNA(_xlfn.XLOOKUP(C34,'00_SKU_Master'!$B$2:$B$2000,'00_SKU_Master'!$C$2:$C$2000),"")</f>
        <v>61048#2</v>
      </c>
      <c r="J34" s="97">
        <f>IFERROR(_xlfn.XLOOKUP(C34,'00_SKU_Master'!$B$2:$B$2000,'00_SKU_Master'!$F$2:$F$2000,0)*N34,0)</f>
        <v>0</v>
      </c>
      <c r="K34" s="96" t="str">
        <f>_xlfn.IFNA(_xlfn.XLOOKUP(C34,'00_SKU_Master'!$B$2:$B$2000,'00_SKU_Master'!$H$2:$H$2000,0),"")</f>
        <v>LT 8XP</v>
      </c>
      <c r="L34" s="96" t="str">
        <f>_xlfn.IFNA(_xlfn.XLOOKUP(C34,'00_SKU_Master'!$B$2:$B$2000,'00_SKU_Master'!$K$2:$K$2000,0),"")</f>
        <v>Fast</v>
      </c>
      <c r="M34" s="25" t="str">
        <f>_xlfn.XLOOKUP(C34,'00_SKU_Master'!$B$2:$B$2000,'00_SKU_Master'!$D$2:$D$2000)</f>
        <v>METRO</v>
      </c>
      <c r="N34" s="25">
        <f t="shared" si="2"/>
        <v>0</v>
      </c>
    </row>
    <row r="35" spans="2:14" x14ac:dyDescent="0.35">
      <c r="B35" s="25" t="str">
        <f>IF(C35="","",_xlfn.XLOOKUP(C35,'00_SKU_Master'!$B$2:$B$2000,'00_SKU_Master'!$J$2:$J$2000,""))</f>
        <v>MS MET FRY WOG TI 3XP</v>
      </c>
      <c r="C35" s="25">
        <v>2063</v>
      </c>
      <c r="D35" s="16">
        <f>_xlfn.XLOOKUP(C35,'02_TrayPack_Order'!$B$3:$B$265,'02_TrayPack_Order'!$D$3:$D$265)</f>
        <v>40</v>
      </c>
      <c r="E35" s="17">
        <f>_xlfn.XLOOKUP(C35,'02_TrayPack_Order'!$B$3:$B$265,'02_TrayPack_Order'!$M$3:$M$265,0)</f>
        <v>0</v>
      </c>
      <c r="F35" s="16">
        <f>SUMIF('13_Progress_Track'!$A$2:$A$108,C35,'13_Progress_Track'!$E$2:$E$108)</f>
        <v>0</v>
      </c>
      <c r="G35" s="16">
        <f t="shared" si="0"/>
        <v>0</v>
      </c>
      <c r="H35" s="16">
        <f t="shared" si="1"/>
        <v>40</v>
      </c>
      <c r="I35" s="25">
        <f>_xlfn.IFNA(_xlfn.XLOOKUP(C35,'00_SKU_Master'!$B$2:$B$2000,'00_SKU_Master'!$C$2:$C$2000),"")</f>
        <v>203891</v>
      </c>
      <c r="J35" s="97">
        <f>IFERROR(_xlfn.XLOOKUP(C35,'00_SKU_Master'!$B$2:$B$2000,'00_SKU_Master'!$F$2:$F$2000,0)*N35,0)</f>
        <v>359.40676578323598</v>
      </c>
      <c r="K35" s="96" t="str">
        <f>_xlfn.IFNA(_xlfn.XLOOKUP(C35,'00_SKU_Master'!$B$2:$B$2000,'00_SKU_Master'!$H$2:$H$2000,0),"")</f>
        <v>ST 3XP</v>
      </c>
      <c r="L35" s="96" t="str">
        <f>_xlfn.IFNA(_xlfn.XLOOKUP(C35,'00_SKU_Master'!$B$2:$B$2000,'00_SKU_Master'!$K$2:$K$2000,0),"")</f>
        <v>Fast</v>
      </c>
      <c r="M35" s="25" t="str">
        <f>_xlfn.XLOOKUP(C35,'00_SKU_Master'!$B$2:$B$2000,'00_SKU_Master'!$D$2:$D$2000)</f>
        <v>METRO</v>
      </c>
      <c r="N35" s="25">
        <f t="shared" si="2"/>
        <v>40</v>
      </c>
    </row>
    <row r="36" spans="2:14" x14ac:dyDescent="0.35">
      <c r="B36" s="25" t="str">
        <f>IF(C36="","",_xlfn.XLOOKUP(C36,'00_SKU_Master'!$B$2:$B$2000,'00_SKU_Master'!$J$2:$J$2000,""))</f>
        <v>MS MET LEG BA 8XP</v>
      </c>
      <c r="C36" s="25">
        <v>2064</v>
      </c>
      <c r="D36" s="16">
        <f>_xlfn.XLOOKUP(C36,'02_TrayPack_Order'!$B$3:$B$265,'02_TrayPack_Order'!$D$3:$D$265)</f>
        <v>50</v>
      </c>
      <c r="E36" s="17">
        <f>_xlfn.XLOOKUP(C36,'02_TrayPack_Order'!$B$3:$B$265,'02_TrayPack_Order'!$M$3:$M$265,0)</f>
        <v>80</v>
      </c>
      <c r="F36" s="16">
        <f>SUMIF('13_Progress_Track'!$A$2:$A$108,C36,'13_Progress_Track'!$E$2:$E$108)</f>
        <v>0</v>
      </c>
      <c r="G36" s="16">
        <f t="shared" si="0"/>
        <v>0</v>
      </c>
      <c r="H36" s="16">
        <f t="shared" si="1"/>
        <v>130</v>
      </c>
      <c r="I36" s="25">
        <f>_xlfn.IFNA(_xlfn.XLOOKUP(C36,'00_SKU_Master'!$B$2:$B$2000,'00_SKU_Master'!$C$2:$C$2000),"")</f>
        <v>61061</v>
      </c>
      <c r="J36" s="97">
        <f>IFERROR(_xlfn.XLOOKUP(C36,'00_SKU_Master'!$B$2:$B$2000,'00_SKU_Master'!$F$2:$F$2000,0)*N36,0)</f>
        <v>496.29985517740749</v>
      </c>
      <c r="K36" s="96" t="str">
        <f>_xlfn.IFNA(_xlfn.XLOOKUP(C36,'00_SKU_Master'!$B$2:$B$2000,'00_SKU_Master'!$H$2:$H$2000,0),"")</f>
        <v>LT 8XP</v>
      </c>
      <c r="L36" s="96" t="str">
        <f>_xlfn.IFNA(_xlfn.XLOOKUP(C36,'00_SKU_Master'!$B$2:$B$2000,'00_SKU_Master'!$K$2:$K$2000,0),"")</f>
        <v>Fast</v>
      </c>
      <c r="M36" s="25" t="str">
        <f>_xlfn.XLOOKUP(C36,'00_SKU_Master'!$B$2:$B$2000,'00_SKU_Master'!$D$2:$D$2000)</f>
        <v>METRO</v>
      </c>
      <c r="N36" s="25">
        <f t="shared" si="2"/>
        <v>50</v>
      </c>
    </row>
    <row r="37" spans="2:14" x14ac:dyDescent="0.35">
      <c r="B37" s="25" t="str">
        <f>IF(C37="","",_xlfn.XLOOKUP(C37,'00_SKU_Master'!$B$2:$B$2000,'00_SKU_Master'!$J$2:$J$2000,""))</f>
        <v>PB WING LT</v>
      </c>
      <c r="C37" s="25">
        <v>2065</v>
      </c>
      <c r="D37" s="16">
        <f>_xlfn.XLOOKUP(C37,'02_TrayPack_Order'!$B$3:$B$265,'02_TrayPack_Order'!$D$3:$D$265)</f>
        <v>0</v>
      </c>
      <c r="E37" s="17">
        <f>_xlfn.XLOOKUP(C37,'02_TrayPack_Order'!$B$3:$B$265,'02_TrayPack_Order'!$M$3:$M$265,0)</f>
        <v>0</v>
      </c>
      <c r="F37" s="16">
        <f>SUMIF('13_Progress_Track'!$A$2:$A$108,C37,'13_Progress_Track'!$E$2:$E$108)</f>
        <v>0</v>
      </c>
      <c r="G37" s="16">
        <f t="shared" si="0"/>
        <v>0</v>
      </c>
      <c r="H37" s="16">
        <f t="shared" si="1"/>
        <v>0</v>
      </c>
      <c r="I37" s="25">
        <f>_xlfn.IFNA(_xlfn.XLOOKUP(C37,'00_SKU_Master'!$B$2:$B$2000,'00_SKU_Master'!$C$2:$C$2000),"")</f>
        <v>61010</v>
      </c>
      <c r="J37" s="97">
        <f>IFERROR(_xlfn.XLOOKUP(C37,'00_SKU_Master'!$B$2:$B$2000,'00_SKU_Master'!$F$2:$F$2000,0)*N37,0)</f>
        <v>0</v>
      </c>
      <c r="K37" s="96" t="str">
        <f>_xlfn.IFNA(_xlfn.XLOOKUP(C37,'00_SKU_Master'!$B$2:$B$2000,'00_SKU_Master'!$H$2:$H$2000,0),"")</f>
        <v>LT 8XP</v>
      </c>
      <c r="L37" s="96" t="str">
        <f>_xlfn.IFNA(_xlfn.XLOOKUP(C37,'00_SKU_Master'!$B$2:$B$2000,'00_SKU_Master'!$K$2:$K$2000,0),"")</f>
        <v>Fast</v>
      </c>
      <c r="M37" s="25" t="str">
        <f>_xlfn.XLOOKUP(C37,'00_SKU_Master'!$B$2:$B$2000,'00_SKU_Master'!$D$2:$D$2000)</f>
        <v>METRO</v>
      </c>
      <c r="N37" s="25">
        <f t="shared" si="2"/>
        <v>0</v>
      </c>
    </row>
    <row r="38" spans="2:14" x14ac:dyDescent="0.35">
      <c r="B38" s="25" t="str">
        <f>IF(C38="","",_xlfn.XLOOKUP(C38,'00_SKU_Master'!$B$2:$B$2000,'00_SKU_Master'!$J$2:$J$2000,""))</f>
        <v>MS MET HB 8XP</v>
      </c>
      <c r="C38" s="25">
        <v>2066</v>
      </c>
      <c r="D38" s="16">
        <f>_xlfn.XLOOKUP(C38,'02_TrayPack_Order'!$B$3:$B$265,'02_TrayPack_Order'!$D$3:$D$265)</f>
        <v>0</v>
      </c>
      <c r="E38" s="17">
        <f>_xlfn.XLOOKUP(C38,'02_TrayPack_Order'!$B$3:$B$265,'02_TrayPack_Order'!$M$3:$M$265,0)</f>
        <v>60</v>
      </c>
      <c r="F38" s="16">
        <f>SUMIF('13_Progress_Track'!$A$2:$A$108,C38,'13_Progress_Track'!$E$2:$E$108)</f>
        <v>0</v>
      </c>
      <c r="G38" s="16">
        <f t="shared" si="0"/>
        <v>0</v>
      </c>
      <c r="H38" s="16">
        <f t="shared" si="1"/>
        <v>60</v>
      </c>
      <c r="I38" s="25" t="str">
        <f>_xlfn.IFNA(_xlfn.XLOOKUP(C38,'00_SKU_Master'!$B$2:$B$2000,'00_SKU_Master'!$C$2:$C$2000),"")</f>
        <v>61040#2</v>
      </c>
      <c r="J38" s="97">
        <f>IFERROR(_xlfn.XLOOKUP(C38,'00_SKU_Master'!$B$2:$B$2000,'00_SKU_Master'!$F$2:$F$2000,0)*N38,0)</f>
        <v>0</v>
      </c>
      <c r="K38" s="96" t="str">
        <f>_xlfn.IFNA(_xlfn.XLOOKUP(C38,'00_SKU_Master'!$B$2:$B$2000,'00_SKU_Master'!$H$2:$H$2000,0),"")</f>
        <v>LT 8XP</v>
      </c>
      <c r="L38" s="96" t="str">
        <f>_xlfn.IFNA(_xlfn.XLOOKUP(C38,'00_SKU_Master'!$B$2:$B$2000,'00_SKU_Master'!$K$2:$K$2000,0),"")</f>
        <v>Fast</v>
      </c>
      <c r="M38" s="25" t="str">
        <f>_xlfn.XLOOKUP(C38,'00_SKU_Master'!$B$2:$B$2000,'00_SKU_Master'!$D$2:$D$2000)</f>
        <v>METRO</v>
      </c>
      <c r="N38" s="25">
        <f t="shared" si="2"/>
        <v>0</v>
      </c>
    </row>
    <row r="39" spans="2:14" x14ac:dyDescent="0.35">
      <c r="B39" s="25" t="str">
        <f>IF(C39="","",_xlfn.XLOOKUP(C39,'00_SKU_Master'!$B$2:$B$2000,'00_SKU_Master'!$J$2:$J$2000,""))</f>
        <v>BONELESS SKINLESS THIGH</v>
      </c>
      <c r="C39" s="25">
        <v>2067</v>
      </c>
      <c r="D39" s="16">
        <f>_xlfn.XLOOKUP(C39,'02_TrayPack_Order'!$B$3:$B$265,'02_TrayPack_Order'!$D$3:$D$265)</f>
        <v>0</v>
      </c>
      <c r="E39" s="17">
        <f>_xlfn.XLOOKUP(C39,'02_TrayPack_Order'!$B$3:$B$265,'02_TrayPack_Order'!$M$3:$M$265,0)</f>
        <v>0</v>
      </c>
      <c r="F39" s="16">
        <f>SUMIF('13_Progress_Track'!$A$2:$A$108,C39,'13_Progress_Track'!$E$2:$E$108)</f>
        <v>0</v>
      </c>
      <c r="G39" s="16">
        <f t="shared" si="0"/>
        <v>0</v>
      </c>
      <c r="H39" s="16">
        <f t="shared" si="1"/>
        <v>0</v>
      </c>
      <c r="I39" s="25" t="str">
        <f>_xlfn.IFNA(_xlfn.XLOOKUP(C39,'00_SKU_Master'!$B$2:$B$2000,'00_SKU_Master'!$C$2:$C$2000),"")</f>
        <v>61086#2</v>
      </c>
      <c r="J39" s="97">
        <f>IFERROR(_xlfn.XLOOKUP(C39,'00_SKU_Master'!$B$2:$B$2000,'00_SKU_Master'!$F$2:$F$2000,0)*N39,0)</f>
        <v>0</v>
      </c>
      <c r="K39" s="96" t="str">
        <f>_xlfn.IFNA(_xlfn.XLOOKUP(C39,'00_SKU_Master'!$B$2:$B$2000,'00_SKU_Master'!$H$2:$H$2000,0),"")</f>
        <v>LT 8XP</v>
      </c>
      <c r="L39" s="96" t="str">
        <f>_xlfn.IFNA(_xlfn.XLOOKUP(C39,'00_SKU_Master'!$B$2:$B$2000,'00_SKU_Master'!$K$2:$K$2000,0),"")</f>
        <v>Slow</v>
      </c>
      <c r="M39" s="25" t="str">
        <f>_xlfn.XLOOKUP(C39,'00_SKU_Master'!$B$2:$B$2000,'00_SKU_Master'!$D$2:$D$2000)</f>
        <v>METRO</v>
      </c>
      <c r="N39" s="25">
        <f t="shared" si="2"/>
        <v>0</v>
      </c>
    </row>
    <row r="40" spans="2:14" x14ac:dyDescent="0.35">
      <c r="B40" s="25" t="str">
        <f>IF(C40="","",_xlfn.XLOOKUP(C40,'00_SKU_Master'!$B$2:$B$2000,'00_SKU_Master'!$J$2:$J$2000,""))</f>
        <v>MS MET BSHB 3D</v>
      </c>
      <c r="C40" s="25">
        <v>2068</v>
      </c>
      <c r="D40" s="16">
        <f>_xlfn.XLOOKUP(C40,'02_TrayPack_Order'!$B$3:$B$265,'02_TrayPack_Order'!$D$3:$D$265)</f>
        <v>0</v>
      </c>
      <c r="E40" s="17">
        <f>_xlfn.XLOOKUP(C40,'02_TrayPack_Order'!$B$3:$B$265,'02_TrayPack_Order'!$M$3:$M$265,0)</f>
        <v>0</v>
      </c>
      <c r="F40" s="16">
        <f>SUMIF('13_Progress_Track'!$A$2:$A$108,C40,'13_Progress_Track'!$E$2:$E$108)</f>
        <v>0</v>
      </c>
      <c r="G40" s="16">
        <f t="shared" si="0"/>
        <v>0</v>
      </c>
      <c r="H40" s="16">
        <f t="shared" si="1"/>
        <v>0</v>
      </c>
      <c r="I40" s="25" t="str">
        <f>_xlfn.IFNA(_xlfn.XLOOKUP(C40,'00_SKU_Master'!$B$2:$B$2000,'00_SKU_Master'!$C$2:$C$2000),"")</f>
        <v>61050#2</v>
      </c>
      <c r="J40" s="97">
        <f>IFERROR(_xlfn.XLOOKUP(C40,'00_SKU_Master'!$B$2:$B$2000,'00_SKU_Master'!$F$2:$F$2000,0)*N40,0)</f>
        <v>0</v>
      </c>
      <c r="K40" s="96" t="str">
        <f>_xlfn.IFNA(_xlfn.XLOOKUP(C40,'00_SKU_Master'!$B$2:$B$2000,'00_SKU_Master'!$H$2:$H$2000,0),"")</f>
        <v>ST 3D</v>
      </c>
      <c r="L40" s="96" t="str">
        <f>_xlfn.IFNA(_xlfn.XLOOKUP(C40,'00_SKU_Master'!$B$2:$B$2000,'00_SKU_Master'!$K$2:$K$2000,0),"")</f>
        <v>Fast</v>
      </c>
      <c r="M40" s="25" t="str">
        <f>_xlfn.XLOOKUP(C40,'00_SKU_Master'!$B$2:$B$2000,'00_SKU_Master'!$D$2:$D$2000)</f>
        <v>METRO</v>
      </c>
      <c r="N40" s="25">
        <f t="shared" si="2"/>
        <v>0</v>
      </c>
    </row>
    <row r="41" spans="2:14" x14ac:dyDescent="0.35">
      <c r="B41" s="25" t="str">
        <f>IF(C41="","",_xlfn.XLOOKUP(C41,'00_SKU_Master'!$B$2:$B$2000,'00_SKU_Master'!$J$2:$J$2000,""))</f>
        <v>MS BSC HB 3XP PP</v>
      </c>
      <c r="C41" s="25">
        <v>2069</v>
      </c>
      <c r="D41" s="16">
        <f>_xlfn.XLOOKUP(C41,'02_TrayPack_Order'!$B$3:$B$265,'02_TrayPack_Order'!$D$3:$D$265)</f>
        <v>0</v>
      </c>
      <c r="E41" s="17">
        <f>_xlfn.XLOOKUP(C41,'02_TrayPack_Order'!$B$3:$B$265,'02_TrayPack_Order'!$M$3:$M$265,0)</f>
        <v>0</v>
      </c>
      <c r="F41" s="16">
        <f>SUMIF('13_Progress_Track'!$A$2:$A$108,C41,'13_Progress_Track'!$E$2:$E$108)</f>
        <v>0</v>
      </c>
      <c r="G41" s="16">
        <f t="shared" si="0"/>
        <v>0</v>
      </c>
      <c r="H41" s="16">
        <f t="shared" si="1"/>
        <v>0</v>
      </c>
      <c r="I41" s="25" t="str">
        <f>_xlfn.IFNA(_xlfn.XLOOKUP(C41,'00_SKU_Master'!$B$2:$B$2000,'00_SKU_Master'!$C$2:$C$2000),"")</f>
        <v>61040#2</v>
      </c>
      <c r="J41" s="97">
        <f>IFERROR(_xlfn.XLOOKUP(C41,'00_SKU_Master'!$B$2:$B$2000,'00_SKU_Master'!$F$2:$F$2000,0)*N41,0)</f>
        <v>0</v>
      </c>
      <c r="K41" s="96" t="str">
        <f>_xlfn.IFNA(_xlfn.XLOOKUP(C41,'00_SKU_Master'!$B$2:$B$2000,'00_SKU_Master'!$H$2:$H$2000,0),"")</f>
        <v>ST 3XP</v>
      </c>
      <c r="L41" s="96" t="str">
        <f>_xlfn.IFNA(_xlfn.XLOOKUP(C41,'00_SKU_Master'!$B$2:$B$2000,'00_SKU_Master'!$K$2:$K$2000,0),"")</f>
        <v>Fast</v>
      </c>
      <c r="M41" s="25" t="str">
        <f>_xlfn.XLOOKUP(C41,'00_SKU_Master'!$B$2:$B$2000,'00_SKU_Master'!$D$2:$D$2000)</f>
        <v>FB</v>
      </c>
      <c r="N41" s="25">
        <f t="shared" si="2"/>
        <v>0</v>
      </c>
    </row>
    <row r="42" spans="2:14" x14ac:dyDescent="0.35">
      <c r="B42" s="25" t="str">
        <f>IF(C42="","",_xlfn.XLOOKUP(C42,'00_SKU_Master'!$B$2:$B$2000,'00_SKU_Master'!$J$2:$J$2000,""))</f>
        <v>MS BSC SKLS HB 3XP PP</v>
      </c>
      <c r="C42" s="25">
        <v>2070</v>
      </c>
      <c r="D42" s="16">
        <f>_xlfn.XLOOKUP(C42,'02_TrayPack_Order'!$B$3:$B$265,'02_TrayPack_Order'!$D$3:$D$265)</f>
        <v>0</v>
      </c>
      <c r="E42" s="17">
        <f>_xlfn.XLOOKUP(C42,'02_TrayPack_Order'!$B$3:$B$265,'02_TrayPack_Order'!$M$3:$M$265,0)</f>
        <v>0</v>
      </c>
      <c r="F42" s="16">
        <f>SUMIF('13_Progress_Track'!$A$2:$A$108,C42,'13_Progress_Track'!$E$2:$E$108)</f>
        <v>0</v>
      </c>
      <c r="G42" s="16">
        <f t="shared" si="0"/>
        <v>0</v>
      </c>
      <c r="H42" s="16">
        <f t="shared" si="1"/>
        <v>0</v>
      </c>
      <c r="I42" s="25" t="str">
        <f>_xlfn.IFNA(_xlfn.XLOOKUP(C42,'00_SKU_Master'!$B$2:$B$2000,'00_SKU_Master'!$C$2:$C$2000),"")</f>
        <v>61048#2</v>
      </c>
      <c r="J42" s="97">
        <f>IFERROR(_xlfn.XLOOKUP(C42,'00_SKU_Master'!$B$2:$B$2000,'00_SKU_Master'!$F$2:$F$2000,0)*N42,0)</f>
        <v>0</v>
      </c>
      <c r="K42" s="96" t="str">
        <f>_xlfn.IFNA(_xlfn.XLOOKUP(C42,'00_SKU_Master'!$B$2:$B$2000,'00_SKU_Master'!$H$2:$H$2000,0),"")</f>
        <v>ST 3XP</v>
      </c>
      <c r="L42" s="96" t="str">
        <f>_xlfn.IFNA(_xlfn.XLOOKUP(C42,'00_SKU_Master'!$B$2:$B$2000,'00_SKU_Master'!$K$2:$K$2000,0),"")</f>
        <v>Fast</v>
      </c>
      <c r="M42" s="25" t="str">
        <f>_xlfn.XLOOKUP(C42,'00_SKU_Master'!$B$2:$B$2000,'00_SKU_Master'!$D$2:$D$2000)</f>
        <v>FB</v>
      </c>
      <c r="N42" s="25">
        <f t="shared" si="2"/>
        <v>0</v>
      </c>
    </row>
    <row r="43" spans="2:14" x14ac:dyDescent="0.35">
      <c r="B43" s="25" t="str">
        <f>IF(C43="","",_xlfn.XLOOKUP(C43,'00_SKU_Master'!$B$2:$B$2000,'00_SKU_Master'!$J$2:$J$2000,""))</f>
        <v>MS BSC SKLS HB 8XP PP</v>
      </c>
      <c r="C43" s="25">
        <v>2071</v>
      </c>
      <c r="D43" s="16">
        <f>_xlfn.XLOOKUP(C43,'02_TrayPack_Order'!$B$3:$B$265,'02_TrayPack_Order'!$D$3:$D$265)</f>
        <v>0</v>
      </c>
      <c r="E43" s="17">
        <f>_xlfn.XLOOKUP(C43,'02_TrayPack_Order'!$B$3:$B$265,'02_TrayPack_Order'!$M$3:$M$265,0)</f>
        <v>44</v>
      </c>
      <c r="F43" s="16">
        <f>SUMIF('13_Progress_Track'!$A$2:$A$108,C43,'13_Progress_Track'!$E$2:$E$108)</f>
        <v>0</v>
      </c>
      <c r="G43" s="16">
        <f t="shared" si="0"/>
        <v>0</v>
      </c>
      <c r="H43" s="16">
        <f t="shared" si="1"/>
        <v>44</v>
      </c>
      <c r="I43" s="25" t="str">
        <f>_xlfn.IFNA(_xlfn.XLOOKUP(C43,'00_SKU_Master'!$B$2:$B$2000,'00_SKU_Master'!$C$2:$C$2000),"")</f>
        <v>61048#2</v>
      </c>
      <c r="J43" s="97">
        <f>IFERROR(_xlfn.XLOOKUP(C43,'00_SKU_Master'!$B$2:$B$2000,'00_SKU_Master'!$F$2:$F$2000,0)*N43,0)</f>
        <v>0</v>
      </c>
      <c r="K43" s="96" t="str">
        <f>_xlfn.IFNA(_xlfn.XLOOKUP(C43,'00_SKU_Master'!$B$2:$B$2000,'00_SKU_Master'!$H$2:$H$2000,0),"")</f>
        <v>LT 8XP</v>
      </c>
      <c r="L43" s="96" t="str">
        <f>_xlfn.IFNA(_xlfn.XLOOKUP(C43,'00_SKU_Master'!$B$2:$B$2000,'00_SKU_Master'!$K$2:$K$2000,0),"")</f>
        <v>Fast</v>
      </c>
      <c r="M43" s="25" t="str">
        <f>_xlfn.XLOOKUP(C43,'00_SKU_Master'!$B$2:$B$2000,'00_SKU_Master'!$D$2:$D$2000)</f>
        <v>FB</v>
      </c>
      <c r="N43" s="25">
        <f t="shared" si="2"/>
        <v>0</v>
      </c>
    </row>
    <row r="44" spans="2:14" x14ac:dyDescent="0.35">
      <c r="B44" s="25" t="str">
        <f>IF(C44="","",_xlfn.XLOOKUP(C44,'00_SKU_Master'!$B$2:$B$2000,'00_SKU_Master'!$J$2:$J$2000,""))</f>
        <v>MS BSC DRUM 3XP PP</v>
      </c>
      <c r="C44" s="25">
        <v>2072</v>
      </c>
      <c r="D44" s="16">
        <f>_xlfn.XLOOKUP(C44,'02_TrayPack_Order'!$B$3:$B$265,'02_TrayPack_Order'!$D$3:$D$265)</f>
        <v>0</v>
      </c>
      <c r="E44" s="17">
        <f>_xlfn.XLOOKUP(C44,'02_TrayPack_Order'!$B$3:$B$265,'02_TrayPack_Order'!$M$3:$M$265,0)</f>
        <v>0</v>
      </c>
      <c r="F44" s="16">
        <f>SUMIF('13_Progress_Track'!$A$2:$A$108,C44,'13_Progress_Track'!$E$2:$E$108)</f>
        <v>0</v>
      </c>
      <c r="G44" s="16">
        <f t="shared" si="0"/>
        <v>0</v>
      </c>
      <c r="H44" s="16">
        <f t="shared" si="1"/>
        <v>0</v>
      </c>
      <c r="I44" s="25" t="str">
        <f>_xlfn.IFNA(_xlfn.XLOOKUP(C44,'00_SKU_Master'!$B$2:$B$2000,'00_SKU_Master'!$C$2:$C$2000),"")</f>
        <v>61072#2</v>
      </c>
      <c r="J44" s="97">
        <f>IFERROR(_xlfn.XLOOKUP(C44,'00_SKU_Master'!$B$2:$B$2000,'00_SKU_Master'!$F$2:$F$2000,0)*N44,0)</f>
        <v>0</v>
      </c>
      <c r="K44" s="96" t="str">
        <f>_xlfn.IFNA(_xlfn.XLOOKUP(C44,'00_SKU_Master'!$B$2:$B$2000,'00_SKU_Master'!$H$2:$H$2000,0),"")</f>
        <v>ST 3XP</v>
      </c>
      <c r="L44" s="96" t="str">
        <f>_xlfn.IFNA(_xlfn.XLOOKUP(C44,'00_SKU_Master'!$B$2:$B$2000,'00_SKU_Master'!$K$2:$K$2000,0),"")</f>
        <v>Fast</v>
      </c>
      <c r="M44" s="25" t="str">
        <f>_xlfn.XLOOKUP(C44,'00_SKU_Master'!$B$2:$B$2000,'00_SKU_Master'!$D$2:$D$2000)</f>
        <v>FB</v>
      </c>
      <c r="N44" s="25">
        <f t="shared" si="2"/>
        <v>0</v>
      </c>
    </row>
    <row r="45" spans="2:14" x14ac:dyDescent="0.35">
      <c r="B45" s="25" t="str">
        <f>IF(C45="","",_xlfn.XLOOKUP(C45,'00_SKU_Master'!$B$2:$B$2000,'00_SKU_Master'!$J$2:$J$2000,""))</f>
        <v>MS BSC THIGH 3XP PP</v>
      </c>
      <c r="C45" s="25">
        <v>2073</v>
      </c>
      <c r="D45" s="16">
        <f>_xlfn.XLOOKUP(C45,'02_TrayPack_Order'!$B$3:$B$265,'02_TrayPack_Order'!$D$3:$D$265)</f>
        <v>0</v>
      </c>
      <c r="E45" s="17">
        <f>_xlfn.XLOOKUP(C45,'02_TrayPack_Order'!$B$3:$B$265,'02_TrayPack_Order'!$M$3:$M$265,0)</f>
        <v>0</v>
      </c>
      <c r="F45" s="16">
        <f>SUMIF('13_Progress_Track'!$A$2:$A$108,C45,'13_Progress_Track'!$E$2:$E$108)</f>
        <v>0</v>
      </c>
      <c r="G45" s="16">
        <f t="shared" si="0"/>
        <v>0</v>
      </c>
      <c r="H45" s="16">
        <f t="shared" si="1"/>
        <v>0</v>
      </c>
      <c r="I45" s="25">
        <f>_xlfn.IFNA(_xlfn.XLOOKUP(C45,'00_SKU_Master'!$B$2:$B$2000,'00_SKU_Master'!$C$2:$C$2000),"")</f>
        <v>61082</v>
      </c>
      <c r="J45" s="97">
        <f>IFERROR(_xlfn.XLOOKUP(C45,'00_SKU_Master'!$B$2:$B$2000,'00_SKU_Master'!$F$2:$F$2000,0)*N45,0)</f>
        <v>0</v>
      </c>
      <c r="K45" s="96" t="str">
        <f>_xlfn.IFNA(_xlfn.XLOOKUP(C45,'00_SKU_Master'!$B$2:$B$2000,'00_SKU_Master'!$H$2:$H$2000,0),"")</f>
        <v>ST 3XP</v>
      </c>
      <c r="L45" s="96" t="str">
        <f>_xlfn.IFNA(_xlfn.XLOOKUP(C45,'00_SKU_Master'!$B$2:$B$2000,'00_SKU_Master'!$K$2:$K$2000,0),"")</f>
        <v>Fast</v>
      </c>
      <c r="M45" s="25" t="str">
        <f>_xlfn.XLOOKUP(C45,'00_SKU_Master'!$B$2:$B$2000,'00_SKU_Master'!$D$2:$D$2000)</f>
        <v>FB</v>
      </c>
      <c r="N45" s="25">
        <f t="shared" si="2"/>
        <v>0</v>
      </c>
    </row>
    <row r="46" spans="2:14" x14ac:dyDescent="0.35">
      <c r="B46" s="25" t="str">
        <f>IF(C46="","",_xlfn.XLOOKUP(C46,'00_SKU_Master'!$B$2:$B$2000,'00_SKU_Master'!$J$2:$J$2000,""))</f>
        <v>MS BSC BSTHIGH 3XP PP</v>
      </c>
      <c r="C46" s="25">
        <v>2074</v>
      </c>
      <c r="D46" s="16">
        <f>_xlfn.XLOOKUP(C46,'02_TrayPack_Order'!$B$3:$B$265,'02_TrayPack_Order'!$D$3:$D$265)</f>
        <v>29</v>
      </c>
      <c r="E46" s="17">
        <f>_xlfn.XLOOKUP(C46,'02_TrayPack_Order'!$B$3:$B$265,'02_TrayPack_Order'!$M$3:$M$265,0)</f>
        <v>59</v>
      </c>
      <c r="F46" s="16">
        <f>SUMIF('13_Progress_Track'!$A$2:$A$108,C46,'13_Progress_Track'!$E$2:$E$108)</f>
        <v>0</v>
      </c>
      <c r="G46" s="16">
        <f t="shared" si="0"/>
        <v>0</v>
      </c>
      <c r="H46" s="16">
        <f t="shared" si="1"/>
        <v>88</v>
      </c>
      <c r="I46" s="25" t="str">
        <f>_xlfn.IFNA(_xlfn.XLOOKUP(C46,'00_SKU_Master'!$B$2:$B$2000,'00_SKU_Master'!$C$2:$C$2000),"")</f>
        <v>61086#2</v>
      </c>
      <c r="J46" s="97">
        <f>IFERROR(_xlfn.XLOOKUP(C46,'00_SKU_Master'!$B$2:$B$2000,'00_SKU_Master'!$F$2:$F$2000,0)*N46,0)</f>
        <v>212.44286313939861</v>
      </c>
      <c r="K46" s="96" t="str">
        <f>_xlfn.IFNA(_xlfn.XLOOKUP(C46,'00_SKU_Master'!$B$2:$B$2000,'00_SKU_Master'!$H$2:$H$2000,0),"")</f>
        <v>ST 3XP</v>
      </c>
      <c r="L46" s="96" t="str">
        <f>_xlfn.IFNA(_xlfn.XLOOKUP(C46,'00_SKU_Master'!$B$2:$B$2000,'00_SKU_Master'!$K$2:$K$2000,0),"")</f>
        <v>Slow</v>
      </c>
      <c r="M46" s="25" t="str">
        <f>_xlfn.XLOOKUP(C46,'00_SKU_Master'!$B$2:$B$2000,'00_SKU_Master'!$D$2:$D$2000)</f>
        <v>FB</v>
      </c>
      <c r="N46" s="25">
        <f t="shared" si="2"/>
        <v>29</v>
      </c>
    </row>
    <row r="47" spans="2:14" x14ac:dyDescent="0.35">
      <c r="B47" s="25" t="str">
        <f>IF(C47="","",_xlfn.XLOOKUP(C47,'00_SKU_Master'!$B$2:$B$2000,'00_SKU_Master'!$J$2:$J$2000,""))</f>
        <v>MS BSC BSHB 3XP PP</v>
      </c>
      <c r="C47" s="25">
        <v>2075</v>
      </c>
      <c r="D47" s="16">
        <f>_xlfn.XLOOKUP(C47,'02_TrayPack_Order'!$B$3:$B$265,'02_TrayPack_Order'!$D$3:$D$265)</f>
        <v>29</v>
      </c>
      <c r="E47" s="17">
        <f>_xlfn.XLOOKUP(C47,'02_TrayPack_Order'!$B$3:$B$265,'02_TrayPack_Order'!$M$3:$M$265,0)</f>
        <v>182</v>
      </c>
      <c r="F47" s="16">
        <f>SUMIF('13_Progress_Track'!$A$2:$A$108,C47,'13_Progress_Track'!$E$2:$E$108)</f>
        <v>0</v>
      </c>
      <c r="G47" s="16">
        <f t="shared" si="0"/>
        <v>0</v>
      </c>
      <c r="H47" s="16">
        <f t="shared" si="1"/>
        <v>211</v>
      </c>
      <c r="I47" s="25" t="str">
        <f>_xlfn.IFNA(_xlfn.XLOOKUP(C47,'00_SKU_Master'!$B$2:$B$2000,'00_SKU_Master'!$C$2:$C$2000),"")</f>
        <v>61050#2</v>
      </c>
      <c r="J47" s="97">
        <f>IFERROR(_xlfn.XLOOKUP(C47,'00_SKU_Master'!$B$2:$B$2000,'00_SKU_Master'!$F$2:$F$2000,0)*N47,0)</f>
        <v>226.80880039331348</v>
      </c>
      <c r="K47" s="96" t="str">
        <f>_xlfn.IFNA(_xlfn.XLOOKUP(C47,'00_SKU_Master'!$B$2:$B$2000,'00_SKU_Master'!$H$2:$H$2000,0),"")</f>
        <v>ST 3XP</v>
      </c>
      <c r="L47" s="96" t="str">
        <f>_xlfn.IFNA(_xlfn.XLOOKUP(C47,'00_SKU_Master'!$B$2:$B$2000,'00_SKU_Master'!$K$2:$K$2000,0),"")</f>
        <v>Fast</v>
      </c>
      <c r="M47" s="25" t="str">
        <f>_xlfn.XLOOKUP(C47,'00_SKU_Master'!$B$2:$B$2000,'00_SKU_Master'!$D$2:$D$2000)</f>
        <v>FB</v>
      </c>
      <c r="N47" s="25">
        <f t="shared" si="2"/>
        <v>29</v>
      </c>
    </row>
    <row r="48" spans="2:14" x14ac:dyDescent="0.35">
      <c r="B48" s="25" t="str">
        <f>IF(C48="","",_xlfn.XLOOKUP(C48,'00_SKU_Master'!$B$2:$B$2000,'00_SKU_Master'!$J$2:$J$2000,""))</f>
        <v>MS BSC WING 3XP PP</v>
      </c>
      <c r="C48" s="25">
        <v>2076</v>
      </c>
      <c r="D48" s="16">
        <f>_xlfn.XLOOKUP(C48,'02_TrayPack_Order'!$B$3:$B$265,'02_TrayPack_Order'!$D$3:$D$265)</f>
        <v>0</v>
      </c>
      <c r="E48" s="17">
        <f>_xlfn.XLOOKUP(C48,'02_TrayPack_Order'!$B$3:$B$265,'02_TrayPack_Order'!$M$3:$M$265,0)</f>
        <v>0</v>
      </c>
      <c r="F48" s="16">
        <f>SUMIF('13_Progress_Track'!$A$2:$A$108,C48,'13_Progress_Track'!$E$2:$E$108)</f>
        <v>0</v>
      </c>
      <c r="G48" s="16">
        <f t="shared" si="0"/>
        <v>0</v>
      </c>
      <c r="H48" s="16">
        <f t="shared" si="1"/>
        <v>0</v>
      </c>
      <c r="I48" s="25">
        <f>_xlfn.IFNA(_xlfn.XLOOKUP(C48,'00_SKU_Master'!$B$2:$B$2000,'00_SKU_Master'!$C$2:$C$2000),"")</f>
        <v>61010</v>
      </c>
      <c r="J48" s="97">
        <f>IFERROR(_xlfn.XLOOKUP(C48,'00_SKU_Master'!$B$2:$B$2000,'00_SKU_Master'!$F$2:$F$2000,0)*N48,0)</f>
        <v>0</v>
      </c>
      <c r="K48" s="96" t="str">
        <f>_xlfn.IFNA(_xlfn.XLOOKUP(C48,'00_SKU_Master'!$B$2:$B$2000,'00_SKU_Master'!$H$2:$H$2000,0),"")</f>
        <v>ST 3XP</v>
      </c>
      <c r="L48" s="96" t="str">
        <f>_xlfn.IFNA(_xlfn.XLOOKUP(C48,'00_SKU_Master'!$B$2:$B$2000,'00_SKU_Master'!$K$2:$K$2000,0),"")</f>
        <v>Fast</v>
      </c>
      <c r="M48" s="25" t="str">
        <f>_xlfn.XLOOKUP(C48,'00_SKU_Master'!$B$2:$B$2000,'00_SKU_Master'!$D$2:$D$2000)</f>
        <v>FB</v>
      </c>
      <c r="N48" s="25">
        <f t="shared" si="2"/>
        <v>0</v>
      </c>
    </row>
    <row r="49" spans="2:14" x14ac:dyDescent="0.35">
      <c r="B49" s="25" t="str">
        <f>IF(C49="","",_xlfn.XLOOKUP(C49,'00_SKU_Master'!$B$2:$B$2000,'00_SKU_Master'!$J$2:$J$2000,""))</f>
        <v>MS BSC LEG BA 14D PP</v>
      </c>
      <c r="C49" s="25">
        <v>2077</v>
      </c>
      <c r="D49" s="16">
        <f>_xlfn.XLOOKUP(C49,'02_TrayPack_Order'!$B$3:$B$265,'02_TrayPack_Order'!$D$3:$D$265)</f>
        <v>20</v>
      </c>
      <c r="E49" s="17">
        <f>_xlfn.XLOOKUP(C49,'02_TrayPack_Order'!$B$3:$B$265,'02_TrayPack_Order'!$M$3:$M$265,0)</f>
        <v>18</v>
      </c>
      <c r="F49" s="16">
        <f>SUMIF('13_Progress_Track'!$A$2:$A$108,C49,'13_Progress_Track'!$E$2:$E$108)</f>
        <v>0</v>
      </c>
      <c r="G49" s="16">
        <f t="shared" si="0"/>
        <v>0</v>
      </c>
      <c r="H49" s="16">
        <f t="shared" si="1"/>
        <v>38</v>
      </c>
      <c r="I49" s="25">
        <f>_xlfn.IFNA(_xlfn.XLOOKUP(C49,'00_SKU_Master'!$B$2:$B$2000,'00_SKU_Master'!$C$2:$C$2000),"")</f>
        <v>61061</v>
      </c>
      <c r="J49" s="97">
        <f>IFERROR(_xlfn.XLOOKUP(C49,'00_SKU_Master'!$B$2:$B$2000,'00_SKU_Master'!$F$2:$F$2000,0)*N49,0)</f>
        <v>195.03164146868241</v>
      </c>
      <c r="K49" s="96" t="str">
        <f>_xlfn.IFNA(_xlfn.XLOOKUP(C49,'00_SKU_Master'!$B$2:$B$2000,'00_SKU_Master'!$H$2:$H$2000,0),"")</f>
        <v>LT 14D</v>
      </c>
      <c r="L49" s="96" t="str">
        <f>_xlfn.IFNA(_xlfn.XLOOKUP(C49,'00_SKU_Master'!$B$2:$B$2000,'00_SKU_Master'!$K$2:$K$2000,0),"")</f>
        <v>Fast</v>
      </c>
      <c r="M49" s="25" t="str">
        <f>_xlfn.XLOOKUP(C49,'00_SKU_Master'!$B$2:$B$2000,'00_SKU_Master'!$D$2:$D$2000)</f>
        <v>FB</v>
      </c>
      <c r="N49" s="25">
        <f t="shared" si="2"/>
        <v>20</v>
      </c>
    </row>
    <row r="50" spans="2:14" x14ac:dyDescent="0.35">
      <c r="B50" s="25" t="str">
        <f>IF(C50="","",_xlfn.XLOOKUP(C50,'00_SKU_Master'!$B$2:$B$2000,'00_SKU_Master'!$J$2:$J$2000,""))</f>
        <v>MS BSC 1.38-1.58 FRY TI 3XP PP</v>
      </c>
      <c r="C50" s="25">
        <v>2078</v>
      </c>
      <c r="D50" s="16">
        <f>_xlfn.XLOOKUP(C50,'02_TrayPack_Order'!$B$3:$B$265,'02_TrayPack_Order'!$D$3:$D$265)</f>
        <v>141</v>
      </c>
      <c r="E50" s="17">
        <f>_xlfn.XLOOKUP(C50,'02_TrayPack_Order'!$B$3:$B$265,'02_TrayPack_Order'!$M$3:$M$265,0)</f>
        <v>98</v>
      </c>
      <c r="F50" s="16">
        <f>SUMIF('13_Progress_Track'!$A$2:$A$108,C50,'13_Progress_Track'!$E$2:$E$108)</f>
        <v>0</v>
      </c>
      <c r="G50" s="16">
        <f t="shared" si="0"/>
        <v>0</v>
      </c>
      <c r="H50" s="16">
        <f t="shared" si="1"/>
        <v>239</v>
      </c>
      <c r="I50" s="25">
        <f>_xlfn.IFNA(_xlfn.XLOOKUP(C50,'00_SKU_Master'!$B$2:$B$2000,'00_SKU_Master'!$C$2:$C$2000),"")</f>
        <v>203891</v>
      </c>
      <c r="J50" s="97">
        <f>IFERROR(_xlfn.XLOOKUP(C50,'00_SKU_Master'!$B$2:$B$2000,'00_SKU_Master'!$F$2:$F$2000,0)*N50,0)</f>
        <v>1260.4222998296409</v>
      </c>
      <c r="K50" s="96" t="str">
        <f>_xlfn.IFNA(_xlfn.XLOOKUP(C50,'00_SKU_Master'!$B$2:$B$2000,'00_SKU_Master'!$H$2:$H$2000,0),"")</f>
        <v>ST 3XP</v>
      </c>
      <c r="L50" s="96" t="str">
        <f>_xlfn.IFNA(_xlfn.XLOOKUP(C50,'00_SKU_Master'!$B$2:$B$2000,'00_SKU_Master'!$K$2:$K$2000,0),"")</f>
        <v>Fast</v>
      </c>
      <c r="M50" s="25" t="str">
        <f>_xlfn.XLOOKUP(C50,'00_SKU_Master'!$B$2:$B$2000,'00_SKU_Master'!$D$2:$D$2000)</f>
        <v>FB</v>
      </c>
      <c r="N50" s="25">
        <f t="shared" si="2"/>
        <v>141</v>
      </c>
    </row>
    <row r="51" spans="2:14" x14ac:dyDescent="0.35">
      <c r="B51" s="25" t="str">
        <f>IF(C51="","",_xlfn.XLOOKUP(C51,'00_SKU_Master'!$B$2:$B$2000,'00_SKU_Master'!$J$2:$J$2000,""))</f>
        <v>MS BSC BSHB 8XP PP</v>
      </c>
      <c r="C51" s="25">
        <v>2082</v>
      </c>
      <c r="D51" s="16">
        <f>_xlfn.XLOOKUP(C51,'02_TrayPack_Order'!$B$3:$B$265,'02_TrayPack_Order'!$D$3:$D$265)</f>
        <v>0</v>
      </c>
      <c r="E51" s="17">
        <f>_xlfn.XLOOKUP(C51,'02_TrayPack_Order'!$B$3:$B$265,'02_TrayPack_Order'!$M$3:$M$265,0)</f>
        <v>0</v>
      </c>
      <c r="F51" s="16">
        <f>SUMIF('13_Progress_Track'!$A$2:$A$108,C51,'13_Progress_Track'!$E$2:$E$108)</f>
        <v>0</v>
      </c>
      <c r="G51" s="16">
        <f t="shared" si="0"/>
        <v>0</v>
      </c>
      <c r="H51" s="16">
        <f t="shared" si="1"/>
        <v>0</v>
      </c>
      <c r="I51" s="25" t="str">
        <f>_xlfn.IFNA(_xlfn.XLOOKUP(C51,'00_SKU_Master'!$B$2:$B$2000,'00_SKU_Master'!$C$2:$C$2000),"")</f>
        <v>61050#2</v>
      </c>
      <c r="J51" s="97">
        <f>IFERROR(_xlfn.XLOOKUP(C51,'00_SKU_Master'!$B$2:$B$2000,'00_SKU_Master'!$F$2:$F$2000,0)*N51,0)</f>
        <v>0</v>
      </c>
      <c r="K51" s="96" t="str">
        <f>_xlfn.IFNA(_xlfn.XLOOKUP(C51,'00_SKU_Master'!$B$2:$B$2000,'00_SKU_Master'!$H$2:$H$2000,0),"")</f>
        <v>LT 8XP</v>
      </c>
      <c r="L51" s="96" t="str">
        <f>_xlfn.IFNA(_xlfn.XLOOKUP(C51,'00_SKU_Master'!$B$2:$B$2000,'00_SKU_Master'!$K$2:$K$2000,0),"")</f>
        <v>Fast</v>
      </c>
      <c r="M51" s="25" t="str">
        <f>_xlfn.XLOOKUP(C51,'00_SKU_Master'!$B$2:$B$2000,'00_SKU_Master'!$D$2:$D$2000)</f>
        <v>FB</v>
      </c>
      <c r="N51" s="25">
        <f t="shared" si="2"/>
        <v>0</v>
      </c>
    </row>
    <row r="52" spans="2:14" x14ac:dyDescent="0.35">
      <c r="B52" s="25" t="str">
        <f>IF(C52="","",_xlfn.XLOOKUP(C52,'00_SKU_Master'!$B$2:$B$2000,'00_SKU_Master'!$J$2:$J$2000,""))</f>
        <v>MB MET BSHB 3D</v>
      </c>
      <c r="C52" s="25">
        <v>2084</v>
      </c>
      <c r="D52" s="16">
        <f>_xlfn.XLOOKUP(C52,'02_TrayPack_Order'!$B$3:$B$265,'02_TrayPack_Order'!$D$3:$D$265)</f>
        <v>0</v>
      </c>
      <c r="E52" s="17">
        <f>_xlfn.XLOOKUP(C52,'02_TrayPack_Order'!$B$3:$B$265,'02_TrayPack_Order'!$M$3:$M$265,0)</f>
        <v>59</v>
      </c>
      <c r="F52" s="16">
        <f>SUMIF('13_Progress_Track'!$A$2:$A$108,C52,'13_Progress_Track'!$E$2:$E$108)</f>
        <v>0</v>
      </c>
      <c r="G52" s="16">
        <f t="shared" si="0"/>
        <v>0</v>
      </c>
      <c r="H52" s="16">
        <f t="shared" si="1"/>
        <v>59</v>
      </c>
      <c r="I52" s="25" t="str">
        <f>_xlfn.IFNA(_xlfn.XLOOKUP(C52,'00_SKU_Master'!$B$2:$B$2000,'00_SKU_Master'!$C$2:$C$2000),"")</f>
        <v>61050F</v>
      </c>
      <c r="J52" s="97">
        <f>IFERROR(_xlfn.XLOOKUP(C52,'00_SKU_Master'!$B$2:$B$2000,'00_SKU_Master'!$F$2:$F$2000,0)*N52,0)</f>
        <v>0</v>
      </c>
      <c r="K52" s="96" t="str">
        <f>_xlfn.IFNA(_xlfn.XLOOKUP(C52,'00_SKU_Master'!$B$2:$B$2000,'00_SKU_Master'!$H$2:$H$2000,0),"")</f>
        <v>ST 3D</v>
      </c>
      <c r="L52" s="96" t="str">
        <f>_xlfn.IFNA(_xlfn.XLOOKUP(C52,'00_SKU_Master'!$B$2:$B$2000,'00_SKU_Master'!$K$2:$K$2000,0),"")</f>
        <v>Fast</v>
      </c>
      <c r="M52" s="25" t="str">
        <f>_xlfn.XLOOKUP(C52,'00_SKU_Master'!$B$2:$B$2000,'00_SKU_Master'!$D$2:$D$2000)</f>
        <v>METRO</v>
      </c>
      <c r="N52" s="25">
        <f t="shared" si="2"/>
        <v>0</v>
      </c>
    </row>
    <row r="53" spans="2:14" x14ac:dyDescent="0.35">
      <c r="B53" s="25" t="str">
        <f>IF(C53="","",_xlfn.XLOOKUP(C53,'00_SKU_Master'!$B$2:$B$2000,'00_SKU_Master'!$J$2:$J$2000,""))</f>
        <v>MB MET BSTHIGH 3D</v>
      </c>
      <c r="C53" s="25">
        <v>2085</v>
      </c>
      <c r="D53" s="16">
        <f>_xlfn.XLOOKUP(C53,'02_TrayPack_Order'!$B$3:$B$265,'02_TrayPack_Order'!$D$3:$D$265)</f>
        <v>14</v>
      </c>
      <c r="E53" s="17">
        <f>_xlfn.XLOOKUP(C53,'02_TrayPack_Order'!$B$3:$B$265,'02_TrayPack_Order'!$M$3:$M$265,0)</f>
        <v>30</v>
      </c>
      <c r="F53" s="16">
        <f>SUMIF('13_Progress_Track'!$A$2:$A$108,C53,'13_Progress_Track'!$E$2:$E$108)</f>
        <v>0</v>
      </c>
      <c r="G53" s="16">
        <f t="shared" si="0"/>
        <v>0</v>
      </c>
      <c r="H53" s="16">
        <f t="shared" si="1"/>
        <v>44</v>
      </c>
      <c r="I53" s="25" t="str">
        <f>_xlfn.IFNA(_xlfn.XLOOKUP(C53,'00_SKU_Master'!$B$2:$B$2000,'00_SKU_Master'!$C$2:$C$2000),"")</f>
        <v>61086#2</v>
      </c>
      <c r="J53" s="97">
        <f>IFERROR(_xlfn.XLOOKUP(C53,'00_SKU_Master'!$B$2:$B$2000,'00_SKU_Master'!$F$2:$F$2000,0)*N53,0)</f>
        <v>68.09440053138492</v>
      </c>
      <c r="K53" s="96" t="str">
        <f>_xlfn.IFNA(_xlfn.XLOOKUP(C53,'00_SKU_Master'!$B$2:$B$2000,'00_SKU_Master'!$H$2:$H$2000,0),"")</f>
        <v>ST 3D</v>
      </c>
      <c r="L53" s="96" t="str">
        <f>_xlfn.IFNA(_xlfn.XLOOKUP(C53,'00_SKU_Master'!$B$2:$B$2000,'00_SKU_Master'!$K$2:$K$2000,0),"")</f>
        <v>Slow</v>
      </c>
      <c r="M53" s="25" t="str">
        <f>_xlfn.XLOOKUP(C53,'00_SKU_Master'!$B$2:$B$2000,'00_SKU_Master'!$D$2:$D$2000)</f>
        <v>METRO</v>
      </c>
      <c r="N53" s="25">
        <f t="shared" si="2"/>
        <v>14</v>
      </c>
    </row>
    <row r="54" spans="2:14" x14ac:dyDescent="0.35">
      <c r="B54" s="25" t="str">
        <f>IF(C54="","",_xlfn.XLOOKUP(C54,'00_SKU_Master'!$B$2:$B$2000,'00_SKU_Master'!$J$2:$J$2000,""))</f>
        <v>MS SOB BSHB AC 3XP</v>
      </c>
      <c r="C54" s="25">
        <v>2086</v>
      </c>
      <c r="D54" s="16">
        <f>_xlfn.XLOOKUP(C54,'02_TrayPack_Order'!$B$3:$B$265,'02_TrayPack_Order'!$D$3:$D$265)</f>
        <v>0</v>
      </c>
      <c r="E54" s="17">
        <f>_xlfn.XLOOKUP(C54,'02_TrayPack_Order'!$B$3:$B$265,'02_TrayPack_Order'!$M$3:$M$265,0)</f>
        <v>0</v>
      </c>
      <c r="F54" s="16">
        <f>SUMIF('13_Progress_Track'!$A$2:$A$108,C54,'13_Progress_Track'!$E$2:$E$108)</f>
        <v>0</v>
      </c>
      <c r="G54" s="16">
        <f t="shared" si="0"/>
        <v>0</v>
      </c>
      <c r="H54" s="16">
        <f t="shared" si="1"/>
        <v>0</v>
      </c>
      <c r="I54" s="25">
        <f>_xlfn.IFNA(_xlfn.XLOOKUP(C54,'00_SKU_Master'!$B$2:$B$2000,'00_SKU_Master'!$C$2:$C$2000),"")</f>
        <v>61050</v>
      </c>
      <c r="J54" s="97">
        <f>IFERROR(_xlfn.XLOOKUP(C54,'00_SKU_Master'!$B$2:$B$2000,'00_SKU_Master'!$F$2:$F$2000,0)*N54,0)</f>
        <v>0</v>
      </c>
      <c r="K54" s="96" t="str">
        <f>_xlfn.IFNA(_xlfn.XLOOKUP(C54,'00_SKU_Master'!$B$2:$B$2000,'00_SKU_Master'!$H$2:$H$2000,0),"")</f>
        <v>ST 3XP</v>
      </c>
      <c r="L54" s="96" t="str">
        <f>_xlfn.IFNA(_xlfn.XLOOKUP(C54,'00_SKU_Master'!$B$2:$B$2000,'00_SKU_Master'!$K$2:$K$2000,0),"")</f>
        <v>Fast</v>
      </c>
      <c r="M54" s="25" t="str">
        <f>_xlfn.XLOOKUP(C54,'00_SKU_Master'!$B$2:$B$2000,'00_SKU_Master'!$D$2:$D$2000)</f>
        <v>SOB</v>
      </c>
      <c r="N54" s="25">
        <f t="shared" si="2"/>
        <v>0</v>
      </c>
    </row>
    <row r="55" spans="2:14" x14ac:dyDescent="0.35">
      <c r="B55" s="25" t="str">
        <f>IF(C55="","",_xlfn.XLOOKUP(C55,'00_SKU_Master'!$B$2:$B$2000,'00_SKU_Master'!$J$2:$J$2000,""))</f>
        <v>MS SOB BSHB AC 6D</v>
      </c>
      <c r="C55" s="25">
        <v>2087</v>
      </c>
      <c r="D55" s="16">
        <f>_xlfn.XLOOKUP(C55,'02_TrayPack_Order'!$B$3:$B$265,'02_TrayPack_Order'!$D$3:$D$265)</f>
        <v>0</v>
      </c>
      <c r="E55" s="17">
        <f>_xlfn.XLOOKUP(C55,'02_TrayPack_Order'!$B$3:$B$265,'02_TrayPack_Order'!$M$3:$M$265,0)</f>
        <v>0</v>
      </c>
      <c r="F55" s="16">
        <f>SUMIF('13_Progress_Track'!$A$2:$A$108,C55,'13_Progress_Track'!$E$2:$E$108)</f>
        <v>0</v>
      </c>
      <c r="G55" s="16">
        <f t="shared" si="0"/>
        <v>0</v>
      </c>
      <c r="H55" s="16">
        <f t="shared" si="1"/>
        <v>0</v>
      </c>
      <c r="I55" s="25">
        <f>_xlfn.IFNA(_xlfn.XLOOKUP(C55,'00_SKU_Master'!$B$2:$B$2000,'00_SKU_Master'!$C$2:$C$2000),"")</f>
        <v>61050</v>
      </c>
      <c r="J55" s="97">
        <f>IFERROR(_xlfn.XLOOKUP(C55,'00_SKU_Master'!$B$2:$B$2000,'00_SKU_Master'!$F$2:$F$2000,0)*N55,0)</f>
        <v>0</v>
      </c>
      <c r="K55" s="96" t="str">
        <f>_xlfn.IFNA(_xlfn.XLOOKUP(C55,'00_SKU_Master'!$B$2:$B$2000,'00_SKU_Master'!$H$2:$H$2000,0),"")</f>
        <v>LT 6D</v>
      </c>
      <c r="L55" s="96" t="str">
        <f>_xlfn.IFNA(_xlfn.XLOOKUP(C55,'00_SKU_Master'!$B$2:$B$2000,'00_SKU_Master'!$K$2:$K$2000,0),"")</f>
        <v>Fast</v>
      </c>
      <c r="M55" s="25" t="str">
        <f>_xlfn.XLOOKUP(C55,'00_SKU_Master'!$B$2:$B$2000,'00_SKU_Master'!$D$2:$D$2000)</f>
        <v>SOB</v>
      </c>
      <c r="N55" s="25">
        <f t="shared" si="2"/>
        <v>0</v>
      </c>
    </row>
    <row r="56" spans="2:14" x14ac:dyDescent="0.35">
      <c r="B56" s="25" t="str">
        <f>IF(C56="","",_xlfn.XLOOKUP(C56,'00_SKU_Master'!$B$2:$B$2000,'00_SKU_Master'!$J$2:$J$2000,""))</f>
        <v>MS SOB FILLET AC 3XP</v>
      </c>
      <c r="C56" s="25">
        <v>2088</v>
      </c>
      <c r="D56" s="16">
        <f>_xlfn.XLOOKUP(C56,'02_TrayPack_Order'!$B$3:$B$265,'02_TrayPack_Order'!$D$3:$D$265)</f>
        <v>0</v>
      </c>
      <c r="E56" s="17">
        <f>_xlfn.XLOOKUP(C56,'02_TrayPack_Order'!$B$3:$B$265,'02_TrayPack_Order'!$M$3:$M$265,0)</f>
        <v>0</v>
      </c>
      <c r="F56" s="16">
        <f>SUMIF('13_Progress_Track'!$A$2:$A$108,C56,'13_Progress_Track'!$E$2:$E$108)</f>
        <v>0</v>
      </c>
      <c r="G56" s="16">
        <f t="shared" si="0"/>
        <v>0</v>
      </c>
      <c r="H56" s="16">
        <f t="shared" si="1"/>
        <v>0</v>
      </c>
      <c r="I56" s="25">
        <f>_xlfn.IFNA(_xlfn.XLOOKUP(C56,'00_SKU_Master'!$B$2:$B$2000,'00_SKU_Master'!$C$2:$C$2000),"")</f>
        <v>61054</v>
      </c>
      <c r="J56" s="97">
        <f>IFERROR(_xlfn.XLOOKUP(C56,'00_SKU_Master'!$B$2:$B$2000,'00_SKU_Master'!$F$2:$F$2000,0)*N56,0)</f>
        <v>0</v>
      </c>
      <c r="K56" s="96" t="str">
        <f>_xlfn.IFNA(_xlfn.XLOOKUP(C56,'00_SKU_Master'!$B$2:$B$2000,'00_SKU_Master'!$H$2:$H$2000,0),"")</f>
        <v>ST 3XP</v>
      </c>
      <c r="L56" s="96" t="str">
        <f>_xlfn.IFNA(_xlfn.XLOOKUP(C56,'00_SKU_Master'!$B$2:$B$2000,'00_SKU_Master'!$K$2:$K$2000,0),"")</f>
        <v>Slow</v>
      </c>
      <c r="M56" s="25" t="str">
        <f>_xlfn.XLOOKUP(C56,'00_SKU_Master'!$B$2:$B$2000,'00_SKU_Master'!$D$2:$D$2000)</f>
        <v>SOB</v>
      </c>
      <c r="N56" s="25">
        <f t="shared" si="2"/>
        <v>0</v>
      </c>
    </row>
    <row r="57" spans="2:14" x14ac:dyDescent="0.35">
      <c r="B57" s="25" t="str">
        <f>IF(C57="","",_xlfn.XLOOKUP(C57,'00_SKU_Master'!$B$2:$B$2000,'00_SKU_Master'!$J$2:$J$2000,""))</f>
        <v>MS SOB HB AC 3XP</v>
      </c>
      <c r="C57" s="25">
        <v>2089</v>
      </c>
      <c r="D57" s="16">
        <f>_xlfn.XLOOKUP(C57,'02_TrayPack_Order'!$B$3:$B$265,'02_TrayPack_Order'!$D$3:$D$265)</f>
        <v>0</v>
      </c>
      <c r="E57" s="17">
        <f>_xlfn.XLOOKUP(C57,'02_TrayPack_Order'!$B$3:$B$265,'02_TrayPack_Order'!$M$3:$M$265,0)</f>
        <v>0</v>
      </c>
      <c r="F57" s="16">
        <f>SUMIF('13_Progress_Track'!$A$2:$A$108,C57,'13_Progress_Track'!$E$2:$E$108)</f>
        <v>0</v>
      </c>
      <c r="G57" s="16">
        <f t="shared" si="0"/>
        <v>0</v>
      </c>
      <c r="H57" s="16">
        <f t="shared" si="1"/>
        <v>0</v>
      </c>
      <c r="I57" s="25">
        <f>_xlfn.IFNA(_xlfn.XLOOKUP(C57,'00_SKU_Master'!$B$2:$B$2000,'00_SKU_Master'!$C$2:$C$2000),"")</f>
        <v>61040</v>
      </c>
      <c r="J57" s="97">
        <f>IFERROR(_xlfn.XLOOKUP(C57,'00_SKU_Master'!$B$2:$B$2000,'00_SKU_Master'!$F$2:$F$2000,0)*N57,0)</f>
        <v>0</v>
      </c>
      <c r="K57" s="96" t="str">
        <f>_xlfn.IFNA(_xlfn.XLOOKUP(C57,'00_SKU_Master'!$B$2:$B$2000,'00_SKU_Master'!$H$2:$H$2000,0),"")</f>
        <v>ST 3XP</v>
      </c>
      <c r="L57" s="96" t="str">
        <f>_xlfn.IFNA(_xlfn.XLOOKUP(C57,'00_SKU_Master'!$B$2:$B$2000,'00_SKU_Master'!$K$2:$K$2000,0),"")</f>
        <v>Fast</v>
      </c>
      <c r="M57" s="25" t="str">
        <f>_xlfn.XLOOKUP(C57,'00_SKU_Master'!$B$2:$B$2000,'00_SKU_Master'!$D$2:$D$2000)</f>
        <v>SOB</v>
      </c>
      <c r="N57" s="25">
        <f t="shared" si="2"/>
        <v>0</v>
      </c>
    </row>
    <row r="58" spans="2:14" x14ac:dyDescent="0.35">
      <c r="B58" s="25" t="str">
        <f>IF(C58="","",_xlfn.XLOOKUP(C58,'00_SKU_Master'!$B$2:$B$2000,'00_SKU_Master'!$J$2:$J$2000,""))</f>
        <v>MS SOB HB AC 8XP</v>
      </c>
      <c r="C58" s="25">
        <v>2090</v>
      </c>
      <c r="D58" s="16">
        <f>_xlfn.XLOOKUP(C58,'02_TrayPack_Order'!$B$3:$B$265,'02_TrayPack_Order'!$D$3:$D$265)</f>
        <v>0</v>
      </c>
      <c r="E58" s="17">
        <f>_xlfn.XLOOKUP(C58,'02_TrayPack_Order'!$B$3:$B$265,'02_TrayPack_Order'!$M$3:$M$265,0)</f>
        <v>0</v>
      </c>
      <c r="F58" s="16">
        <f>SUMIF('13_Progress_Track'!$A$2:$A$108,C58,'13_Progress_Track'!$E$2:$E$108)</f>
        <v>0</v>
      </c>
      <c r="G58" s="16">
        <f t="shared" si="0"/>
        <v>0</v>
      </c>
      <c r="H58" s="16">
        <f t="shared" si="1"/>
        <v>0</v>
      </c>
      <c r="I58" s="25">
        <f>_xlfn.IFNA(_xlfn.XLOOKUP(C58,'00_SKU_Master'!$B$2:$B$2000,'00_SKU_Master'!$C$2:$C$2000),"")</f>
        <v>61040</v>
      </c>
      <c r="J58" s="97">
        <f>IFERROR(_xlfn.XLOOKUP(C58,'00_SKU_Master'!$B$2:$B$2000,'00_SKU_Master'!$F$2:$F$2000,0)*N58,0)</f>
        <v>0</v>
      </c>
      <c r="K58" s="96" t="str">
        <f>_xlfn.IFNA(_xlfn.XLOOKUP(C58,'00_SKU_Master'!$B$2:$B$2000,'00_SKU_Master'!$H$2:$H$2000,0),"")</f>
        <v>LT 8XP</v>
      </c>
      <c r="L58" s="96" t="str">
        <f>_xlfn.IFNA(_xlfn.XLOOKUP(C58,'00_SKU_Master'!$B$2:$B$2000,'00_SKU_Master'!$K$2:$K$2000,0),"")</f>
        <v>Fast</v>
      </c>
      <c r="M58" s="25" t="str">
        <f>_xlfn.XLOOKUP(C58,'00_SKU_Master'!$B$2:$B$2000,'00_SKU_Master'!$D$2:$D$2000)</f>
        <v>SOB</v>
      </c>
      <c r="N58" s="25">
        <f t="shared" si="2"/>
        <v>0</v>
      </c>
    </row>
    <row r="59" spans="2:14" x14ac:dyDescent="0.35">
      <c r="B59" s="25" t="str">
        <f>IF(C59="","",_xlfn.XLOOKUP(C59,'00_SKU_Master'!$B$2:$B$2000,'00_SKU_Master'!$J$2:$J$2000,""))</f>
        <v>MS SOB LEG BA AC 8XP</v>
      </c>
      <c r="C59" s="25">
        <v>2091</v>
      </c>
      <c r="D59" s="16">
        <f>_xlfn.XLOOKUP(C59,'02_TrayPack_Order'!$B$3:$B$265,'02_TrayPack_Order'!$D$3:$D$265)</f>
        <v>0</v>
      </c>
      <c r="E59" s="17">
        <f>_xlfn.XLOOKUP(C59,'02_TrayPack_Order'!$B$3:$B$265,'02_TrayPack_Order'!$M$3:$M$265,0)</f>
        <v>0</v>
      </c>
      <c r="F59" s="16">
        <f>SUMIF('13_Progress_Track'!$A$2:$A$108,C59,'13_Progress_Track'!$E$2:$E$108)</f>
        <v>0</v>
      </c>
      <c r="G59" s="16">
        <f t="shared" si="0"/>
        <v>0</v>
      </c>
      <c r="H59" s="16">
        <f t="shared" si="1"/>
        <v>0</v>
      </c>
      <c r="I59" s="25">
        <f>_xlfn.IFNA(_xlfn.XLOOKUP(C59,'00_SKU_Master'!$B$2:$B$2000,'00_SKU_Master'!$C$2:$C$2000),"")</f>
        <v>61061</v>
      </c>
      <c r="J59" s="97">
        <f>IFERROR(_xlfn.XLOOKUP(C59,'00_SKU_Master'!$B$2:$B$2000,'00_SKU_Master'!$F$2:$F$2000,0)*N59,0)</f>
        <v>0</v>
      </c>
      <c r="K59" s="96" t="str">
        <f>_xlfn.IFNA(_xlfn.XLOOKUP(C59,'00_SKU_Master'!$B$2:$B$2000,'00_SKU_Master'!$H$2:$H$2000,0),"")</f>
        <v>LT 8XP</v>
      </c>
      <c r="L59" s="96" t="str">
        <f>_xlfn.IFNA(_xlfn.XLOOKUP(C59,'00_SKU_Master'!$B$2:$B$2000,'00_SKU_Master'!$K$2:$K$2000,0),"")</f>
        <v>Fast</v>
      </c>
      <c r="M59" s="25" t="str">
        <f>_xlfn.XLOOKUP(C59,'00_SKU_Master'!$B$2:$B$2000,'00_SKU_Master'!$D$2:$D$2000)</f>
        <v>SOB</v>
      </c>
      <c r="N59" s="25">
        <f t="shared" si="2"/>
        <v>0</v>
      </c>
    </row>
    <row r="60" spans="2:14" x14ac:dyDescent="0.35">
      <c r="B60" s="25" t="str">
        <f>IF(C60="","",_xlfn.XLOOKUP(C60,'00_SKU_Master'!$B$2:$B$2000,'00_SKU_Master'!$J$2:$J$2000,""))</f>
        <v>MS SOB DRUM AC 3XP</v>
      </c>
      <c r="C60" s="25">
        <v>2092</v>
      </c>
      <c r="D60" s="16">
        <f>_xlfn.XLOOKUP(C60,'02_TrayPack_Order'!$B$3:$B$265,'02_TrayPack_Order'!$D$3:$D$265)</f>
        <v>0</v>
      </c>
      <c r="E60" s="17">
        <f>_xlfn.XLOOKUP(C60,'02_TrayPack_Order'!$B$3:$B$265,'02_TrayPack_Order'!$M$3:$M$265,0)</f>
        <v>0</v>
      </c>
      <c r="F60" s="16">
        <f>SUMIF('13_Progress_Track'!$A$2:$A$108,C60,'13_Progress_Track'!$E$2:$E$108)</f>
        <v>0</v>
      </c>
      <c r="G60" s="16">
        <f t="shared" si="0"/>
        <v>0</v>
      </c>
      <c r="H60" s="16">
        <f t="shared" si="1"/>
        <v>0</v>
      </c>
      <c r="I60" s="25">
        <f>_xlfn.IFNA(_xlfn.XLOOKUP(C60,'00_SKU_Master'!$B$2:$B$2000,'00_SKU_Master'!$C$2:$C$2000),"")</f>
        <v>61072</v>
      </c>
      <c r="J60" s="97">
        <f>IFERROR(_xlfn.XLOOKUP(C60,'00_SKU_Master'!$B$2:$B$2000,'00_SKU_Master'!$F$2:$F$2000,0)*N60,0)</f>
        <v>0</v>
      </c>
      <c r="K60" s="96" t="str">
        <f>_xlfn.IFNA(_xlfn.XLOOKUP(C60,'00_SKU_Master'!$B$2:$B$2000,'00_SKU_Master'!$H$2:$H$2000,0),"")</f>
        <v>ST 3XP</v>
      </c>
      <c r="L60" s="96" t="str">
        <f>_xlfn.IFNA(_xlfn.XLOOKUP(C60,'00_SKU_Master'!$B$2:$B$2000,'00_SKU_Master'!$K$2:$K$2000,0),"")</f>
        <v>Fast</v>
      </c>
      <c r="M60" s="25" t="str">
        <f>_xlfn.XLOOKUP(C60,'00_SKU_Master'!$B$2:$B$2000,'00_SKU_Master'!$D$2:$D$2000)</f>
        <v>SOB</v>
      </c>
      <c r="N60" s="25">
        <f t="shared" si="2"/>
        <v>0</v>
      </c>
    </row>
    <row r="61" spans="2:14" x14ac:dyDescent="0.35">
      <c r="B61" s="25" t="str">
        <f>IF(C61="","",_xlfn.XLOOKUP(C61,'00_SKU_Master'!$B$2:$B$2000,'00_SKU_Master'!$J$2:$J$2000,""))</f>
        <v>MS SOB DRUM AC 8XP</v>
      </c>
      <c r="C61" s="25">
        <v>2093</v>
      </c>
      <c r="D61" s="16">
        <f>_xlfn.XLOOKUP(C61,'02_TrayPack_Order'!$B$3:$B$265,'02_TrayPack_Order'!$D$3:$D$265)</f>
        <v>0</v>
      </c>
      <c r="E61" s="17">
        <f>_xlfn.XLOOKUP(C61,'02_TrayPack_Order'!$B$3:$B$265,'02_TrayPack_Order'!$M$3:$M$265,0)</f>
        <v>0</v>
      </c>
      <c r="F61" s="16">
        <f>SUMIF('13_Progress_Track'!$A$2:$A$108,C61,'13_Progress_Track'!$E$2:$E$108)</f>
        <v>0</v>
      </c>
      <c r="G61" s="16">
        <f t="shared" si="0"/>
        <v>0</v>
      </c>
      <c r="H61" s="16">
        <f t="shared" si="1"/>
        <v>0</v>
      </c>
      <c r="I61" s="25">
        <f>_xlfn.IFNA(_xlfn.XLOOKUP(C61,'00_SKU_Master'!$B$2:$B$2000,'00_SKU_Master'!$C$2:$C$2000),"")</f>
        <v>61072</v>
      </c>
      <c r="J61" s="97">
        <f>IFERROR(_xlfn.XLOOKUP(C61,'00_SKU_Master'!$B$2:$B$2000,'00_SKU_Master'!$F$2:$F$2000,0)*N61,0)</f>
        <v>0</v>
      </c>
      <c r="K61" s="96" t="str">
        <f>_xlfn.IFNA(_xlfn.XLOOKUP(C61,'00_SKU_Master'!$B$2:$B$2000,'00_SKU_Master'!$H$2:$H$2000,0),"")</f>
        <v>LT 8XP</v>
      </c>
      <c r="L61" s="96" t="str">
        <f>_xlfn.IFNA(_xlfn.XLOOKUP(C61,'00_SKU_Master'!$B$2:$B$2000,'00_SKU_Master'!$K$2:$K$2000,0),"")</f>
        <v>Fast</v>
      </c>
      <c r="M61" s="25" t="str">
        <f>_xlfn.XLOOKUP(C61,'00_SKU_Master'!$B$2:$B$2000,'00_SKU_Master'!$D$2:$D$2000)</f>
        <v>SOB</v>
      </c>
      <c r="N61" s="25">
        <f t="shared" si="2"/>
        <v>0</v>
      </c>
    </row>
    <row r="62" spans="2:14" x14ac:dyDescent="0.35">
      <c r="B62" s="25" t="str">
        <f>IF(C62="","",_xlfn.XLOOKUP(C62,'00_SKU_Master'!$B$2:$B$2000,'00_SKU_Master'!$J$2:$J$2000,""))</f>
        <v>MS SOB THIGH AC 3XP</v>
      </c>
      <c r="C62" s="25">
        <v>2094</v>
      </c>
      <c r="D62" s="16">
        <f>_xlfn.XLOOKUP(C62,'02_TrayPack_Order'!$B$3:$B$265,'02_TrayPack_Order'!$D$3:$D$265)</f>
        <v>0</v>
      </c>
      <c r="E62" s="17">
        <f>_xlfn.XLOOKUP(C62,'02_TrayPack_Order'!$B$3:$B$265,'02_TrayPack_Order'!$M$3:$M$265,0)</f>
        <v>0</v>
      </c>
      <c r="F62" s="16">
        <f>SUMIF('13_Progress_Track'!$A$2:$A$108,C62,'13_Progress_Track'!$E$2:$E$108)</f>
        <v>0</v>
      </c>
      <c r="G62" s="16">
        <f t="shared" si="0"/>
        <v>0</v>
      </c>
      <c r="H62" s="16">
        <f t="shared" si="1"/>
        <v>0</v>
      </c>
      <c r="I62" s="25">
        <f>_xlfn.IFNA(_xlfn.XLOOKUP(C62,'00_SKU_Master'!$B$2:$B$2000,'00_SKU_Master'!$C$2:$C$2000),"")</f>
        <v>61077</v>
      </c>
      <c r="J62" s="97">
        <f>IFERROR(_xlfn.XLOOKUP(C62,'00_SKU_Master'!$B$2:$B$2000,'00_SKU_Master'!$F$2:$F$2000,0)*N62,0)</f>
        <v>0</v>
      </c>
      <c r="K62" s="96" t="str">
        <f>_xlfn.IFNA(_xlfn.XLOOKUP(C62,'00_SKU_Master'!$B$2:$B$2000,'00_SKU_Master'!$H$2:$H$2000,0),"")</f>
        <v>ST 3XP</v>
      </c>
      <c r="L62" s="96" t="str">
        <f>_xlfn.IFNA(_xlfn.XLOOKUP(C62,'00_SKU_Master'!$B$2:$B$2000,'00_SKU_Master'!$K$2:$K$2000,0),"")</f>
        <v>Fast</v>
      </c>
      <c r="M62" s="25" t="str">
        <f>_xlfn.XLOOKUP(C62,'00_SKU_Master'!$B$2:$B$2000,'00_SKU_Master'!$D$2:$D$2000)</f>
        <v>SOB</v>
      </c>
      <c r="N62" s="25">
        <f t="shared" si="2"/>
        <v>0</v>
      </c>
    </row>
    <row r="63" spans="2:14" x14ac:dyDescent="0.35">
      <c r="B63" s="25" t="str">
        <f>IF(C63="","",_xlfn.XLOOKUP(C63,'00_SKU_Master'!$B$2:$B$2000,'00_SKU_Master'!$J$2:$J$2000,""))</f>
        <v>MS SOB THIGH AC 8XP</v>
      </c>
      <c r="C63" s="25">
        <v>2095</v>
      </c>
      <c r="D63" s="16">
        <f>_xlfn.XLOOKUP(C63,'02_TrayPack_Order'!$B$3:$B$265,'02_TrayPack_Order'!$D$3:$D$265)</f>
        <v>0</v>
      </c>
      <c r="E63" s="17">
        <f>_xlfn.XLOOKUP(C63,'02_TrayPack_Order'!$B$3:$B$265,'02_TrayPack_Order'!$M$3:$M$265,0)</f>
        <v>0</v>
      </c>
      <c r="F63" s="16">
        <f>SUMIF('13_Progress_Track'!$A$2:$A$108,C63,'13_Progress_Track'!$E$2:$E$108)</f>
        <v>0</v>
      </c>
      <c r="G63" s="16">
        <f t="shared" si="0"/>
        <v>0</v>
      </c>
      <c r="H63" s="16">
        <f t="shared" si="1"/>
        <v>0</v>
      </c>
      <c r="I63" s="25">
        <f>_xlfn.IFNA(_xlfn.XLOOKUP(C63,'00_SKU_Master'!$B$2:$B$2000,'00_SKU_Master'!$C$2:$C$2000),"")</f>
        <v>61077</v>
      </c>
      <c r="J63" s="97">
        <f>IFERROR(_xlfn.XLOOKUP(C63,'00_SKU_Master'!$B$2:$B$2000,'00_SKU_Master'!$F$2:$F$2000,0)*N63,0)</f>
        <v>0</v>
      </c>
      <c r="K63" s="96" t="str">
        <f>_xlfn.IFNA(_xlfn.XLOOKUP(C63,'00_SKU_Master'!$B$2:$B$2000,'00_SKU_Master'!$H$2:$H$2000,0),"")</f>
        <v>LT 8XP</v>
      </c>
      <c r="L63" s="96" t="str">
        <f>_xlfn.IFNA(_xlfn.XLOOKUP(C63,'00_SKU_Master'!$B$2:$B$2000,'00_SKU_Master'!$K$2:$K$2000,0),"")</f>
        <v>Fast</v>
      </c>
      <c r="M63" s="25" t="str">
        <f>_xlfn.XLOOKUP(C63,'00_SKU_Master'!$B$2:$B$2000,'00_SKU_Master'!$D$2:$D$2000)</f>
        <v>SOB</v>
      </c>
      <c r="N63" s="25">
        <f t="shared" si="2"/>
        <v>0</v>
      </c>
    </row>
    <row r="64" spans="2:14" x14ac:dyDescent="0.35">
      <c r="B64" s="25" t="str">
        <f>IF(C64="","",_xlfn.XLOOKUP(C64,'00_SKU_Master'!$B$2:$B$2000,'00_SKU_Master'!$J$2:$J$2000,""))</f>
        <v>MS SOB BSTHIGH AC 3XP</v>
      </c>
      <c r="C64" s="25">
        <v>2096</v>
      </c>
      <c r="D64" s="16">
        <f>_xlfn.XLOOKUP(C64,'02_TrayPack_Order'!$B$3:$B$265,'02_TrayPack_Order'!$D$3:$D$265)</f>
        <v>0</v>
      </c>
      <c r="E64" s="17">
        <f>_xlfn.XLOOKUP(C64,'02_TrayPack_Order'!$B$3:$B$265,'02_TrayPack_Order'!$M$3:$M$265,0)</f>
        <v>0</v>
      </c>
      <c r="F64" s="16">
        <f>SUMIF('13_Progress_Track'!$A$2:$A$108,C64,'13_Progress_Track'!$E$2:$E$108)</f>
        <v>0</v>
      </c>
      <c r="G64" s="16">
        <f t="shared" si="0"/>
        <v>0</v>
      </c>
      <c r="H64" s="16">
        <f t="shared" si="1"/>
        <v>0</v>
      </c>
      <c r="I64" s="25">
        <f>_xlfn.IFNA(_xlfn.XLOOKUP(C64,'00_SKU_Master'!$B$2:$B$2000,'00_SKU_Master'!$C$2:$C$2000),"")</f>
        <v>61086</v>
      </c>
      <c r="J64" s="97">
        <f>IFERROR(_xlfn.XLOOKUP(C64,'00_SKU_Master'!$B$2:$B$2000,'00_SKU_Master'!$F$2:$F$2000,0)*N64,0)</f>
        <v>0</v>
      </c>
      <c r="K64" s="96" t="str">
        <f>_xlfn.IFNA(_xlfn.XLOOKUP(C64,'00_SKU_Master'!$B$2:$B$2000,'00_SKU_Master'!$H$2:$H$2000,0),"")</f>
        <v>ST 3XP</v>
      </c>
      <c r="L64" s="96" t="str">
        <f>_xlfn.IFNA(_xlfn.XLOOKUP(C64,'00_SKU_Master'!$B$2:$B$2000,'00_SKU_Master'!$K$2:$K$2000,0),"")</f>
        <v>Slow</v>
      </c>
      <c r="M64" s="25" t="str">
        <f>_xlfn.XLOOKUP(C64,'00_SKU_Master'!$B$2:$B$2000,'00_SKU_Master'!$D$2:$D$2000)</f>
        <v>SOB</v>
      </c>
      <c r="N64" s="25">
        <f t="shared" si="2"/>
        <v>0</v>
      </c>
    </row>
    <row r="65" spans="2:14" x14ac:dyDescent="0.35">
      <c r="B65" s="25" t="str">
        <f>IF(C65="","",_xlfn.XLOOKUP(C65,'00_SKU_Master'!$B$2:$B$2000,'00_SKU_Master'!$J$2:$J$2000,""))</f>
        <v>MS SOB BSTHIGH AC 6D</v>
      </c>
      <c r="C65" s="25">
        <v>2097</v>
      </c>
      <c r="D65" s="16">
        <f>_xlfn.XLOOKUP(C65,'02_TrayPack_Order'!$B$3:$B$265,'02_TrayPack_Order'!$D$3:$D$265)</f>
        <v>0</v>
      </c>
      <c r="E65" s="17">
        <f>_xlfn.XLOOKUP(C65,'02_TrayPack_Order'!$B$3:$B$265,'02_TrayPack_Order'!$M$3:$M$265,0)</f>
        <v>0</v>
      </c>
      <c r="F65" s="16">
        <f>SUMIF('13_Progress_Track'!$A$2:$A$108,C65,'13_Progress_Track'!$E$2:$E$108)</f>
        <v>0</v>
      </c>
      <c r="G65" s="16">
        <f t="shared" si="0"/>
        <v>0</v>
      </c>
      <c r="H65" s="16">
        <f t="shared" si="1"/>
        <v>0</v>
      </c>
      <c r="I65" s="25">
        <f>_xlfn.IFNA(_xlfn.XLOOKUP(C65,'00_SKU_Master'!$B$2:$B$2000,'00_SKU_Master'!$C$2:$C$2000),"")</f>
        <v>61086</v>
      </c>
      <c r="J65" s="97">
        <f>IFERROR(_xlfn.XLOOKUP(C65,'00_SKU_Master'!$B$2:$B$2000,'00_SKU_Master'!$F$2:$F$2000,0)*N65,0)</f>
        <v>0</v>
      </c>
      <c r="K65" s="96" t="str">
        <f>_xlfn.IFNA(_xlfn.XLOOKUP(C65,'00_SKU_Master'!$B$2:$B$2000,'00_SKU_Master'!$H$2:$H$2000,0),"")</f>
        <v>LT 6D</v>
      </c>
      <c r="L65" s="96" t="str">
        <f>_xlfn.IFNA(_xlfn.XLOOKUP(C65,'00_SKU_Master'!$B$2:$B$2000,'00_SKU_Master'!$K$2:$K$2000,0),"")</f>
        <v>Slow</v>
      </c>
      <c r="M65" s="25" t="str">
        <f>_xlfn.XLOOKUP(C65,'00_SKU_Master'!$B$2:$B$2000,'00_SKU_Master'!$D$2:$D$2000)</f>
        <v>SOB</v>
      </c>
      <c r="N65" s="25">
        <f t="shared" si="2"/>
        <v>0</v>
      </c>
    </row>
    <row r="66" spans="2:14" x14ac:dyDescent="0.35">
      <c r="B66" s="25" t="str">
        <f>IF(C66="","",_xlfn.XLOOKUP(C66,'00_SKU_Master'!$B$2:$B$2000,'00_SKU_Master'!$J$2:$J$2000,""))</f>
        <v>MS SOB SPL WING AC 8XP</v>
      </c>
      <c r="C66" s="25">
        <v>2098</v>
      </c>
      <c r="D66" s="16">
        <f>_xlfn.XLOOKUP(C66,'02_TrayPack_Order'!$B$3:$B$265,'02_TrayPack_Order'!$D$3:$D$265)</f>
        <v>0</v>
      </c>
      <c r="E66" s="17">
        <f>_xlfn.XLOOKUP(C66,'02_TrayPack_Order'!$B$3:$B$265,'02_TrayPack_Order'!$M$3:$M$265,0)</f>
        <v>0</v>
      </c>
      <c r="F66" s="16">
        <f>SUMIF('13_Progress_Track'!$A$2:$A$108,C66,'13_Progress_Track'!$E$2:$E$108)</f>
        <v>0</v>
      </c>
      <c r="G66" s="16">
        <f t="shared" si="0"/>
        <v>0</v>
      </c>
      <c r="H66" s="16">
        <f t="shared" si="1"/>
        <v>0</v>
      </c>
      <c r="I66" s="25">
        <f>_xlfn.IFNA(_xlfn.XLOOKUP(C66,'00_SKU_Master'!$B$2:$B$2000,'00_SKU_Master'!$C$2:$C$2000),"")</f>
        <v>61014</v>
      </c>
      <c r="J66" s="97">
        <f>IFERROR(_xlfn.XLOOKUP(C66,'00_SKU_Master'!$B$2:$B$2000,'00_SKU_Master'!$F$2:$F$2000,0)*N66,0)</f>
        <v>0</v>
      </c>
      <c r="K66" s="96" t="str">
        <f>_xlfn.IFNA(_xlfn.XLOOKUP(C66,'00_SKU_Master'!$B$2:$B$2000,'00_SKU_Master'!$H$2:$H$2000,0),"")</f>
        <v>LT 8XP</v>
      </c>
      <c r="L66" s="96" t="str">
        <f>_xlfn.IFNA(_xlfn.XLOOKUP(C66,'00_SKU_Master'!$B$2:$B$2000,'00_SKU_Master'!$K$2:$K$2000,0),"")</f>
        <v>Slow</v>
      </c>
      <c r="M66" s="25" t="str">
        <f>_xlfn.XLOOKUP(C66,'00_SKU_Master'!$B$2:$B$2000,'00_SKU_Master'!$D$2:$D$2000)</f>
        <v>SOB</v>
      </c>
      <c r="N66" s="25">
        <f t="shared" si="2"/>
        <v>0</v>
      </c>
    </row>
    <row r="67" spans="2:14" x14ac:dyDescent="0.35">
      <c r="B67" s="25" t="str">
        <f>IF(C67="","",_xlfn.XLOOKUP(C67,'00_SKU_Master'!$B$2:$B$2000,'00_SKU_Master'!$J$2:$J$2000,""))</f>
        <v>MS SOB SPL WING AC 3XP</v>
      </c>
      <c r="C67" s="25">
        <v>2099</v>
      </c>
      <c r="D67" s="16">
        <f>_xlfn.XLOOKUP(C67,'02_TrayPack_Order'!$B$3:$B$265,'02_TrayPack_Order'!$D$3:$D$265)</f>
        <v>0</v>
      </c>
      <c r="E67" s="17">
        <f>_xlfn.XLOOKUP(C67,'02_TrayPack_Order'!$B$3:$B$265,'02_TrayPack_Order'!$M$3:$M$265,0)</f>
        <v>0</v>
      </c>
      <c r="F67" s="16">
        <f>SUMIF('13_Progress_Track'!$A$2:$A$108,C67,'13_Progress_Track'!$E$2:$E$108)</f>
        <v>0</v>
      </c>
      <c r="G67" s="16">
        <f t="shared" ref="G67:G130" si="3">IF(F67&gt;(D67+E67),(F67-(D67+E67)),0)</f>
        <v>0</v>
      </c>
      <c r="H67" s="16">
        <f t="shared" ref="H67:H130" si="4">IF(G67&gt;0,0,D67+E67-F67)</f>
        <v>0</v>
      </c>
      <c r="I67" s="25">
        <f>_xlfn.IFNA(_xlfn.XLOOKUP(C67,'00_SKU_Master'!$B$2:$B$2000,'00_SKU_Master'!$C$2:$C$2000),"")</f>
        <v>61014</v>
      </c>
      <c r="J67" s="97">
        <f>IFERROR(_xlfn.XLOOKUP(C67,'00_SKU_Master'!$B$2:$B$2000,'00_SKU_Master'!$F$2:$F$2000,0)*N67,0)</f>
        <v>0</v>
      </c>
      <c r="K67" s="96" t="str">
        <f>_xlfn.IFNA(_xlfn.XLOOKUP(C67,'00_SKU_Master'!$B$2:$B$2000,'00_SKU_Master'!$H$2:$H$2000,0),"")</f>
        <v>ST 3XP</v>
      </c>
      <c r="L67" s="96" t="str">
        <f>_xlfn.IFNA(_xlfn.XLOOKUP(C67,'00_SKU_Master'!$B$2:$B$2000,'00_SKU_Master'!$K$2:$K$2000,0),"")</f>
        <v>Slow</v>
      </c>
      <c r="M67" s="25" t="str">
        <f>_xlfn.XLOOKUP(C67,'00_SKU_Master'!$B$2:$B$2000,'00_SKU_Master'!$D$2:$D$2000)</f>
        <v>SOB</v>
      </c>
      <c r="N67" s="25">
        <f t="shared" ref="N67:N130" si="5">IF((D67-F67)&lt;0,0,D67-F67)</f>
        <v>0</v>
      </c>
    </row>
    <row r="68" spans="2:14" x14ac:dyDescent="0.35">
      <c r="B68" s="25" t="str">
        <f>IF(C68="","",_xlfn.XLOOKUP(C68,'00_SKU_Master'!$B$2:$B$2000,'00_SKU_Master'!$J$2:$J$2000,""))</f>
        <v>FFTF 3D Thighs 8 Tray</v>
      </c>
      <c r="C68" s="25">
        <v>2102</v>
      </c>
      <c r="D68" s="16">
        <f>_xlfn.XLOOKUP(C68,'02_TrayPack_Order'!$B$3:$B$265,'02_TrayPack_Order'!$D$3:$D$265)</f>
        <v>0</v>
      </c>
      <c r="E68" s="17">
        <f>_xlfn.XLOOKUP(C68,'02_TrayPack_Order'!$B$3:$B$265,'02_TrayPack_Order'!$M$3:$M$265,0)</f>
        <v>0</v>
      </c>
      <c r="F68" s="16">
        <f>SUMIF('13_Progress_Track'!$A$2:$A$108,C68,'13_Progress_Track'!$E$2:$E$108)</f>
        <v>0</v>
      </c>
      <c r="G68" s="16">
        <f t="shared" si="3"/>
        <v>0</v>
      </c>
      <c r="H68" s="16">
        <f t="shared" si="4"/>
        <v>0</v>
      </c>
      <c r="I68" s="25" t="str">
        <f>_xlfn.IFNA(_xlfn.XLOOKUP(C68,'00_SKU_Master'!$B$2:$B$2000,'00_SKU_Master'!$C$2:$C$2000),"")</f>
        <v>61077F</v>
      </c>
      <c r="J68" s="97">
        <f>IFERROR(_xlfn.XLOOKUP(C68,'00_SKU_Master'!$B$2:$B$2000,'00_SKU_Master'!$F$2:$F$2000,0)*N68,0)</f>
        <v>0</v>
      </c>
      <c r="K68" s="96" t="str">
        <f>_xlfn.IFNA(_xlfn.XLOOKUP(C68,'00_SKU_Master'!$B$2:$B$2000,'00_SKU_Master'!$H$2:$H$2000,0),"")</f>
        <v>ST 3D</v>
      </c>
      <c r="L68" s="96" t="str">
        <f>_xlfn.IFNA(_xlfn.XLOOKUP(C68,'00_SKU_Master'!$B$2:$B$2000,'00_SKU_Master'!$K$2:$K$2000,0),"")</f>
        <v>Fast</v>
      </c>
      <c r="M68" s="25" t="str">
        <f>_xlfn.XLOOKUP(C68,'00_SKU_Master'!$B$2:$B$2000,'00_SKU_Master'!$D$2:$D$2000)</f>
        <v>FB</v>
      </c>
      <c r="N68" s="25">
        <f t="shared" si="5"/>
        <v>0</v>
      </c>
    </row>
    <row r="69" spans="2:14" x14ac:dyDescent="0.35">
      <c r="B69" s="25" t="str">
        <f>IF(C69="","",_xlfn.XLOOKUP(C69,'00_SKU_Master'!$B$2:$B$2000,'00_SKU_Master'!$J$2:$J$2000,""))</f>
        <v>MS MLF FRY WOG AC TI PET</v>
      </c>
      <c r="C69" s="25">
        <v>2121</v>
      </c>
      <c r="D69" s="16">
        <f>_xlfn.XLOOKUP(C69,'02_TrayPack_Order'!$B$3:$B$265,'02_TrayPack_Order'!$D$3:$D$265)</f>
        <v>0</v>
      </c>
      <c r="E69" s="17">
        <f>_xlfn.XLOOKUP(C69,'02_TrayPack_Order'!$B$3:$B$265,'02_TrayPack_Order'!$M$3:$M$265,0)</f>
        <v>0</v>
      </c>
      <c r="F69" s="16">
        <f>SUMIF('13_Progress_Track'!$A$2:$A$108,C69,'13_Progress_Track'!$E$2:$E$108)</f>
        <v>0</v>
      </c>
      <c r="G69" s="16">
        <f t="shared" si="3"/>
        <v>0</v>
      </c>
      <c r="H69" s="16">
        <f t="shared" si="4"/>
        <v>0</v>
      </c>
      <c r="I69" s="25">
        <f>_xlfn.IFNA(_xlfn.XLOOKUP(C69,'00_SKU_Master'!$B$2:$B$2000,'00_SKU_Master'!$C$2:$C$2000),"")</f>
        <v>203021</v>
      </c>
      <c r="J69" s="97">
        <f>IFERROR(_xlfn.XLOOKUP(C69,'00_SKU_Master'!$B$2:$B$2000,'00_SKU_Master'!$F$2:$F$2000,0)*N69,0)</f>
        <v>0</v>
      </c>
      <c r="K69" s="96" t="str">
        <f>_xlfn.IFNA(_xlfn.XLOOKUP(C69,'00_SKU_Master'!$B$2:$B$2000,'00_SKU_Master'!$H$2:$H$2000,0),"")</f>
        <v>ST 3D</v>
      </c>
      <c r="L69" s="96" t="str">
        <f>_xlfn.IFNA(_xlfn.XLOOKUP(C69,'00_SKU_Master'!$B$2:$B$2000,'00_SKU_Master'!$K$2:$K$2000,0),"")</f>
        <v>Fast</v>
      </c>
      <c r="M69" s="25" t="str">
        <f>_xlfn.XLOOKUP(C69,'00_SKU_Master'!$B$2:$B$2000,'00_SKU_Master'!$D$2:$D$2000)</f>
        <v>FB</v>
      </c>
      <c r="N69" s="25">
        <f t="shared" si="5"/>
        <v>0</v>
      </c>
    </row>
    <row r="70" spans="2:14" x14ac:dyDescent="0.35">
      <c r="B70" s="25" t="str">
        <f>IF(C70="","",_xlfn.XLOOKUP(C70,'00_SKU_Master'!$B$2:$B$2000,'00_SKU_Master'!$J$2:$J$2000,""))</f>
        <v>MS BSC DRUM FT PP</v>
      </c>
      <c r="C70" s="25">
        <v>2124</v>
      </c>
      <c r="D70" s="16">
        <f>_xlfn.XLOOKUP(C70,'02_TrayPack_Order'!$B$3:$B$265,'02_TrayPack_Order'!$D$3:$D$265)</f>
        <v>0</v>
      </c>
      <c r="E70" s="17">
        <f>_xlfn.XLOOKUP(C70,'02_TrayPack_Order'!$B$3:$B$265,'02_TrayPack_Order'!$M$3:$M$265,0)</f>
        <v>0</v>
      </c>
      <c r="F70" s="16">
        <f>SUMIF('13_Progress_Track'!$A$2:$A$108,C70,'13_Progress_Track'!$E$2:$E$108)</f>
        <v>0</v>
      </c>
      <c r="G70" s="16">
        <f t="shared" si="3"/>
        <v>0</v>
      </c>
      <c r="H70" s="16">
        <f t="shared" si="4"/>
        <v>0</v>
      </c>
      <c r="I70" s="25" t="str">
        <f>_xlfn.IFNA(_xlfn.XLOOKUP(C70,'00_SKU_Master'!$B$2:$B$2000,'00_SKU_Master'!$C$2:$C$2000),"")</f>
        <v>61072#2</v>
      </c>
      <c r="J70" s="97">
        <f>IFERROR(_xlfn.XLOOKUP(C70,'00_SKU_Master'!$B$2:$B$2000,'00_SKU_Master'!$F$2:$F$2000,0)*N70,0)</f>
        <v>0</v>
      </c>
      <c r="K70" s="96" t="str">
        <f>_xlfn.IFNA(_xlfn.XLOOKUP(C70,'00_SKU_Master'!$B$2:$B$2000,'00_SKU_Master'!$H$2:$H$2000,0),"")</f>
        <v>LT 14D</v>
      </c>
      <c r="L70" s="96" t="str">
        <f>_xlfn.IFNA(_xlfn.XLOOKUP(C70,'00_SKU_Master'!$B$2:$B$2000,'00_SKU_Master'!$K$2:$K$2000,0),"")</f>
        <v>Fast</v>
      </c>
      <c r="M70" s="25" t="str">
        <f>_xlfn.XLOOKUP(C70,'00_SKU_Master'!$B$2:$B$2000,'00_SKU_Master'!$D$2:$D$2000)</f>
        <v>FB</v>
      </c>
      <c r="N70" s="25">
        <f t="shared" si="5"/>
        <v>0</v>
      </c>
    </row>
    <row r="71" spans="2:14" x14ac:dyDescent="0.35">
      <c r="B71" s="25" t="str">
        <f>IF(C71="","",_xlfn.XLOOKUP(C71,'00_SKU_Master'!$B$2:$B$2000,'00_SKU_Master'!$J$2:$J$2000,""))</f>
        <v>MS BSC THIGH FT PP</v>
      </c>
      <c r="C71" s="25">
        <v>2125</v>
      </c>
      <c r="D71" s="16">
        <f>_xlfn.XLOOKUP(C71,'02_TrayPack_Order'!$B$3:$B$265,'02_TrayPack_Order'!$D$3:$D$265)</f>
        <v>0</v>
      </c>
      <c r="E71" s="17">
        <f>_xlfn.XLOOKUP(C71,'02_TrayPack_Order'!$B$3:$B$265,'02_TrayPack_Order'!$M$3:$M$265,0)</f>
        <v>0</v>
      </c>
      <c r="F71" s="16">
        <f>SUMIF('13_Progress_Track'!$A$2:$A$108,C71,'13_Progress_Track'!$E$2:$E$108)</f>
        <v>0</v>
      </c>
      <c r="G71" s="16">
        <f t="shared" si="3"/>
        <v>0</v>
      </c>
      <c r="H71" s="16">
        <f t="shared" si="4"/>
        <v>0</v>
      </c>
      <c r="I71" s="25">
        <f>_xlfn.IFNA(_xlfn.XLOOKUP(C71,'00_SKU_Master'!$B$2:$B$2000,'00_SKU_Master'!$C$2:$C$2000),"")</f>
        <v>61082</v>
      </c>
      <c r="J71" s="97">
        <f>IFERROR(_xlfn.XLOOKUP(C71,'00_SKU_Master'!$B$2:$B$2000,'00_SKU_Master'!$F$2:$F$2000,0)*N71,0)</f>
        <v>0</v>
      </c>
      <c r="K71" s="96" t="str">
        <f>_xlfn.IFNA(_xlfn.XLOOKUP(C71,'00_SKU_Master'!$B$2:$B$2000,'00_SKU_Master'!$H$2:$H$2000,0),"")</f>
        <v>LT 14D</v>
      </c>
      <c r="L71" s="96" t="str">
        <f>_xlfn.IFNA(_xlfn.XLOOKUP(C71,'00_SKU_Master'!$B$2:$B$2000,'00_SKU_Master'!$K$2:$K$2000,0),"")</f>
        <v>Fast</v>
      </c>
      <c r="M71" s="25" t="str">
        <f>_xlfn.XLOOKUP(C71,'00_SKU_Master'!$B$2:$B$2000,'00_SKU_Master'!$D$2:$D$2000)</f>
        <v>FB</v>
      </c>
      <c r="N71" s="25">
        <f t="shared" si="5"/>
        <v>0</v>
      </c>
    </row>
    <row r="72" spans="2:14" x14ac:dyDescent="0.35">
      <c r="B72" s="25" t="str">
        <f>IF(C72="","",_xlfn.XLOOKUP(C72,'00_SKU_Master'!$B$2:$B$2000,'00_SKU_Master'!$J$2:$J$2000,""))</f>
        <v>METRO BONELESS SKINLESS CHICKEN HALF BREASTS LARGE TRAY</v>
      </c>
      <c r="C72" s="25">
        <v>2237</v>
      </c>
      <c r="D72" s="16">
        <f>_xlfn.XLOOKUP(C72,'02_TrayPack_Order'!$B$3:$B$265,'02_TrayPack_Order'!$D$3:$D$265)</f>
        <v>0</v>
      </c>
      <c r="E72" s="17">
        <f>_xlfn.XLOOKUP(C72,'02_TrayPack_Order'!$B$3:$B$265,'02_TrayPack_Order'!$M$3:$M$265,0)</f>
        <v>0</v>
      </c>
      <c r="F72" s="16">
        <f>SUMIF('13_Progress_Track'!$A$2:$A$108,C72,'13_Progress_Track'!$E$2:$E$108)</f>
        <v>0</v>
      </c>
      <c r="G72" s="16">
        <f t="shared" si="3"/>
        <v>0</v>
      </c>
      <c r="H72" s="16">
        <f t="shared" si="4"/>
        <v>0</v>
      </c>
      <c r="I72" s="25" t="str">
        <f>_xlfn.IFNA(_xlfn.XLOOKUP(C72,'00_SKU_Master'!$B$2:$B$2000,'00_SKU_Master'!$C$2:$C$2000),"")</f>
        <v>61050#2</v>
      </c>
      <c r="J72" s="97">
        <f>IFERROR(_xlfn.XLOOKUP(C72,'00_SKU_Master'!$B$2:$B$2000,'00_SKU_Master'!$F$2:$F$2000,0)*N72,0)</f>
        <v>0</v>
      </c>
      <c r="K72" s="96" t="str">
        <f>_xlfn.IFNA(_xlfn.XLOOKUP(C72,'00_SKU_Master'!$B$2:$B$2000,'00_SKU_Master'!$H$2:$H$2000,0),"")</f>
        <v>LT 8XP</v>
      </c>
      <c r="L72" s="96" t="str">
        <f>_xlfn.IFNA(_xlfn.XLOOKUP(C72,'00_SKU_Master'!$B$2:$B$2000,'00_SKU_Master'!$K$2:$K$2000,0),"")</f>
        <v>Fast</v>
      </c>
      <c r="M72" s="25" t="str">
        <f>_xlfn.XLOOKUP(C72,'00_SKU_Master'!$B$2:$B$2000,'00_SKU_Master'!$D$2:$D$2000)</f>
        <v>FB</v>
      </c>
      <c r="N72" s="25">
        <f t="shared" si="5"/>
        <v>0</v>
      </c>
    </row>
    <row r="73" spans="2:14" x14ac:dyDescent="0.35">
      <c r="B73" s="25" t="str">
        <f>IF(C73="","",_xlfn.XLOOKUP(C73,'00_SKU_Master'!$B$2:$B$2000,'00_SKU_Master'!$J$2:$J$2000,""))</f>
        <v>MS BSC FFTF BSTHIGH AC 6D PP</v>
      </c>
      <c r="C73" s="25">
        <v>2500</v>
      </c>
      <c r="D73" s="16">
        <f>_xlfn.XLOOKUP(C73,'02_TrayPack_Order'!$B$3:$B$265,'02_TrayPack_Order'!$D$3:$D$265)</f>
        <v>0</v>
      </c>
      <c r="E73" s="17">
        <f>_xlfn.XLOOKUP(C73,'02_TrayPack_Order'!$B$3:$B$265,'02_TrayPack_Order'!$M$3:$M$265,0)</f>
        <v>40</v>
      </c>
      <c r="F73" s="16">
        <f>SUMIF('13_Progress_Track'!$A$2:$A$108,C73,'13_Progress_Track'!$E$2:$E$108)</f>
        <v>0</v>
      </c>
      <c r="G73" s="16">
        <f t="shared" si="3"/>
        <v>0</v>
      </c>
      <c r="H73" s="16">
        <f t="shared" si="4"/>
        <v>40</v>
      </c>
      <c r="I73" s="25" t="str">
        <f>_xlfn.IFNA(_xlfn.XLOOKUP(C73,'00_SKU_Master'!$B$2:$B$2000,'00_SKU_Master'!$C$2:$C$2000),"")</f>
        <v>61086F</v>
      </c>
      <c r="J73" s="97">
        <f>IFERROR(_xlfn.XLOOKUP(C73,'00_SKU_Master'!$B$2:$B$2000,'00_SKU_Master'!$F$2:$F$2000,0)*N73,0)</f>
        <v>0</v>
      </c>
      <c r="K73" s="96" t="str">
        <f>_xlfn.IFNA(_xlfn.XLOOKUP(C73,'00_SKU_Master'!$B$2:$B$2000,'00_SKU_Master'!$H$2:$H$2000,0),"")</f>
        <v>LT 6D</v>
      </c>
      <c r="L73" s="96" t="str">
        <f>_xlfn.IFNA(_xlfn.XLOOKUP(C73,'00_SKU_Master'!$B$2:$B$2000,'00_SKU_Master'!$K$2:$K$2000,0),"")</f>
        <v>Slow</v>
      </c>
      <c r="M73" s="25" t="str">
        <f>_xlfn.XLOOKUP(C73,'00_SKU_Master'!$B$2:$B$2000,'00_SKU_Master'!$D$2:$D$2000)</f>
        <v>FB</v>
      </c>
      <c r="N73" s="25">
        <f t="shared" si="5"/>
        <v>0</v>
      </c>
    </row>
    <row r="74" spans="2:14" x14ac:dyDescent="0.35">
      <c r="B74" s="25" t="str">
        <f>IF(C74="","",_xlfn.XLOOKUP(C74,'00_SKU_Master'!$B$2:$B$2000,'00_SKU_Master'!$J$2:$J$2000,""))</f>
        <v>MS FFTF BSTHIGH AC 6D</v>
      </c>
      <c r="C74" s="25">
        <v>2501</v>
      </c>
      <c r="D74" s="16">
        <f>_xlfn.XLOOKUP(C74,'02_TrayPack_Order'!$B$3:$B$265,'02_TrayPack_Order'!$D$3:$D$265)</f>
        <v>0</v>
      </c>
      <c r="E74" s="17">
        <f>_xlfn.XLOOKUP(C74,'02_TrayPack_Order'!$B$3:$B$265,'02_TrayPack_Order'!$M$3:$M$265,0)</f>
        <v>0</v>
      </c>
      <c r="F74" s="16">
        <f>SUMIF('13_Progress_Track'!$A$2:$A$108,C74,'13_Progress_Track'!$E$2:$E$108)</f>
        <v>0</v>
      </c>
      <c r="G74" s="16">
        <f t="shared" si="3"/>
        <v>0</v>
      </c>
      <c r="H74" s="16">
        <f t="shared" si="4"/>
        <v>0</v>
      </c>
      <c r="I74" s="25" t="str">
        <f>_xlfn.IFNA(_xlfn.XLOOKUP(C74,'00_SKU_Master'!$B$2:$B$2000,'00_SKU_Master'!$C$2:$C$2000),"")</f>
        <v>61086F</v>
      </c>
      <c r="J74" s="97">
        <f>IFERROR(_xlfn.XLOOKUP(C74,'00_SKU_Master'!$B$2:$B$2000,'00_SKU_Master'!$F$2:$F$2000,0)*N74,0)</f>
        <v>0</v>
      </c>
      <c r="K74" s="96" t="str">
        <f>_xlfn.IFNA(_xlfn.XLOOKUP(C74,'00_SKU_Master'!$B$2:$B$2000,'00_SKU_Master'!$H$2:$H$2000,0),"")</f>
        <v>LT 6D</v>
      </c>
      <c r="L74" s="96" t="str">
        <f>_xlfn.IFNA(_xlfn.XLOOKUP(C74,'00_SKU_Master'!$B$2:$B$2000,'00_SKU_Master'!$K$2:$K$2000,0),"")</f>
        <v>Slow</v>
      </c>
      <c r="M74" s="25" t="str">
        <f>_xlfn.XLOOKUP(C74,'00_SKU_Master'!$B$2:$B$2000,'00_SKU_Master'!$D$2:$D$2000)</f>
        <v>FB</v>
      </c>
      <c r="N74" s="25">
        <f t="shared" si="5"/>
        <v>0</v>
      </c>
    </row>
    <row r="75" spans="2:14" x14ac:dyDescent="0.35">
      <c r="B75" s="25" t="str">
        <f>IF(C75="","",_xlfn.XLOOKUP(C75,'00_SKU_Master'!$B$2:$B$2000,'00_SKU_Master'!$J$2:$J$2000,""))</f>
        <v>MS BSC FFTF THIGH AC 6D PP</v>
      </c>
      <c r="C75" s="25">
        <v>2502</v>
      </c>
      <c r="D75" s="16">
        <f>_xlfn.XLOOKUP(C75,'02_TrayPack_Order'!$B$3:$B$265,'02_TrayPack_Order'!$D$3:$D$265)</f>
        <v>0</v>
      </c>
      <c r="E75" s="17">
        <f>_xlfn.XLOOKUP(C75,'02_TrayPack_Order'!$B$3:$B$265,'02_TrayPack_Order'!$M$3:$M$265,0)</f>
        <v>42</v>
      </c>
      <c r="F75" s="16">
        <f>SUMIF('13_Progress_Track'!$A$2:$A$108,C75,'13_Progress_Track'!$E$2:$E$108)</f>
        <v>0</v>
      </c>
      <c r="G75" s="16">
        <f t="shared" si="3"/>
        <v>0</v>
      </c>
      <c r="H75" s="16">
        <f t="shared" si="4"/>
        <v>42</v>
      </c>
      <c r="I75" s="25" t="str">
        <f>_xlfn.IFNA(_xlfn.XLOOKUP(C75,'00_SKU_Master'!$B$2:$B$2000,'00_SKU_Master'!$C$2:$C$2000),"")</f>
        <v>61077F</v>
      </c>
      <c r="J75" s="97">
        <f>IFERROR(_xlfn.XLOOKUP(C75,'00_SKU_Master'!$B$2:$B$2000,'00_SKU_Master'!$F$2:$F$2000,0)*N75,0)</f>
        <v>0</v>
      </c>
      <c r="K75" s="96" t="str">
        <f>_xlfn.IFNA(_xlfn.XLOOKUP(C75,'00_SKU_Master'!$B$2:$B$2000,'00_SKU_Master'!$H$2:$H$2000,0),"")</f>
        <v>LT 6D</v>
      </c>
      <c r="L75" s="96" t="str">
        <f>_xlfn.IFNA(_xlfn.XLOOKUP(C75,'00_SKU_Master'!$B$2:$B$2000,'00_SKU_Master'!$K$2:$K$2000,0),"")</f>
        <v>Fast</v>
      </c>
      <c r="M75" s="25" t="str">
        <f>_xlfn.XLOOKUP(C75,'00_SKU_Master'!$B$2:$B$2000,'00_SKU_Master'!$D$2:$D$2000)</f>
        <v>FB</v>
      </c>
      <c r="N75" s="25">
        <f t="shared" si="5"/>
        <v>0</v>
      </c>
    </row>
    <row r="76" spans="2:14" x14ac:dyDescent="0.35">
      <c r="B76" s="25" t="str">
        <f>IF(C76="","",_xlfn.XLOOKUP(C76,'00_SKU_Master'!$B$2:$B$2000,'00_SKU_Master'!$J$2:$J$2000,""))</f>
        <v>MS FFTF THIGH AC 6D PP</v>
      </c>
      <c r="C76" s="25">
        <v>2503</v>
      </c>
      <c r="D76" s="16">
        <f>_xlfn.XLOOKUP(C76,'02_TrayPack_Order'!$B$3:$B$265,'02_TrayPack_Order'!$D$3:$D$265)</f>
        <v>0</v>
      </c>
      <c r="E76" s="17">
        <f>_xlfn.XLOOKUP(C76,'02_TrayPack_Order'!$B$3:$B$265,'02_TrayPack_Order'!$M$3:$M$265,0)</f>
        <v>0</v>
      </c>
      <c r="F76" s="16">
        <f>SUMIF('13_Progress_Track'!$A$2:$A$108,C76,'13_Progress_Track'!$E$2:$E$108)</f>
        <v>0</v>
      </c>
      <c r="G76" s="16">
        <f t="shared" si="3"/>
        <v>0</v>
      </c>
      <c r="H76" s="16">
        <f t="shared" si="4"/>
        <v>0</v>
      </c>
      <c r="I76" s="25" t="str">
        <f>_xlfn.IFNA(_xlfn.XLOOKUP(C76,'00_SKU_Master'!$B$2:$B$2000,'00_SKU_Master'!$C$2:$C$2000),"")</f>
        <v>61077F</v>
      </c>
      <c r="J76" s="97">
        <f>IFERROR(_xlfn.XLOOKUP(C76,'00_SKU_Master'!$B$2:$B$2000,'00_SKU_Master'!$F$2:$F$2000,0)*N76,0)</f>
        <v>0</v>
      </c>
      <c r="K76" s="96" t="str">
        <f>_xlfn.IFNA(_xlfn.XLOOKUP(C76,'00_SKU_Master'!$B$2:$B$2000,'00_SKU_Master'!$H$2:$H$2000,0),"")</f>
        <v>LT 6D</v>
      </c>
      <c r="L76" s="96" t="str">
        <f>_xlfn.IFNA(_xlfn.XLOOKUP(C76,'00_SKU_Master'!$B$2:$B$2000,'00_SKU_Master'!$K$2:$K$2000,0),"")</f>
        <v>Fast</v>
      </c>
      <c r="M76" s="25" t="str">
        <f>_xlfn.XLOOKUP(C76,'00_SKU_Master'!$B$2:$B$2000,'00_SKU_Master'!$D$2:$D$2000)</f>
        <v>FB</v>
      </c>
      <c r="N76" s="25">
        <f t="shared" si="5"/>
        <v>0</v>
      </c>
    </row>
    <row r="77" spans="2:14" x14ac:dyDescent="0.35">
      <c r="B77" s="25" t="str">
        <f>IF(C77="","",_xlfn.XLOOKUP(C77,'00_SKU_Master'!$B$2:$B$2000,'00_SKU_Master'!$J$2:$J$2000,""))</f>
        <v>MS BSC FFTF DRUM AC 6D PP</v>
      </c>
      <c r="C77" s="25">
        <v>2504</v>
      </c>
      <c r="D77" s="16">
        <f>_xlfn.XLOOKUP(C77,'02_TrayPack_Order'!$B$3:$B$265,'02_TrayPack_Order'!$D$3:$D$265)</f>
        <v>0</v>
      </c>
      <c r="E77" s="17">
        <f>_xlfn.XLOOKUP(C77,'02_TrayPack_Order'!$B$3:$B$265,'02_TrayPack_Order'!$M$3:$M$265,0)</f>
        <v>50</v>
      </c>
      <c r="F77" s="16">
        <f>SUMIF('13_Progress_Track'!$A$2:$A$108,C77,'13_Progress_Track'!$E$2:$E$108)</f>
        <v>0</v>
      </c>
      <c r="G77" s="16">
        <f t="shared" si="3"/>
        <v>0</v>
      </c>
      <c r="H77" s="16">
        <f t="shared" si="4"/>
        <v>50</v>
      </c>
      <c r="I77" s="25" t="str">
        <f>_xlfn.IFNA(_xlfn.XLOOKUP(C77,'00_SKU_Master'!$B$2:$B$2000,'00_SKU_Master'!$C$2:$C$2000),"")</f>
        <v>61072F</v>
      </c>
      <c r="J77" s="97">
        <f>IFERROR(_xlfn.XLOOKUP(C77,'00_SKU_Master'!$B$2:$B$2000,'00_SKU_Master'!$F$2:$F$2000,0)*N77,0)</f>
        <v>0</v>
      </c>
      <c r="K77" s="96" t="str">
        <f>_xlfn.IFNA(_xlfn.XLOOKUP(C77,'00_SKU_Master'!$B$2:$B$2000,'00_SKU_Master'!$H$2:$H$2000,0),"")</f>
        <v>LT 6D</v>
      </c>
      <c r="L77" s="96" t="str">
        <f>_xlfn.IFNA(_xlfn.XLOOKUP(C77,'00_SKU_Master'!$B$2:$B$2000,'00_SKU_Master'!$K$2:$K$2000,0),"")</f>
        <v>Fast</v>
      </c>
      <c r="M77" s="25" t="str">
        <f>_xlfn.XLOOKUP(C77,'00_SKU_Master'!$B$2:$B$2000,'00_SKU_Master'!$D$2:$D$2000)</f>
        <v>FB</v>
      </c>
      <c r="N77" s="25">
        <f t="shared" si="5"/>
        <v>0</v>
      </c>
    </row>
    <row r="78" spans="2:14" x14ac:dyDescent="0.35">
      <c r="B78" s="25" t="str">
        <f>IF(C78="","",_xlfn.XLOOKUP(C78,'00_SKU_Master'!$B$2:$B$2000,'00_SKU_Master'!$J$2:$J$2000,""))</f>
        <v>MS FFTF DRUM AC 6D P BSK</v>
      </c>
      <c r="C78" s="25">
        <v>2505</v>
      </c>
      <c r="D78" s="16">
        <f>_xlfn.XLOOKUP(C78,'02_TrayPack_Order'!$B$3:$B$265,'02_TrayPack_Order'!$D$3:$D$265)</f>
        <v>0</v>
      </c>
      <c r="E78" s="17">
        <f>_xlfn.XLOOKUP(C78,'02_TrayPack_Order'!$B$3:$B$265,'02_TrayPack_Order'!$M$3:$M$265,0)</f>
        <v>0</v>
      </c>
      <c r="F78" s="16">
        <f>SUMIF('13_Progress_Track'!$A$2:$A$108,C78,'13_Progress_Track'!$E$2:$E$108)</f>
        <v>0</v>
      </c>
      <c r="G78" s="16">
        <f t="shared" si="3"/>
        <v>0</v>
      </c>
      <c r="H78" s="16">
        <f t="shared" si="4"/>
        <v>0</v>
      </c>
      <c r="I78" s="25" t="str">
        <f>_xlfn.IFNA(_xlfn.XLOOKUP(C78,'00_SKU_Master'!$B$2:$B$2000,'00_SKU_Master'!$C$2:$C$2000),"")</f>
        <v>61072F</v>
      </c>
      <c r="J78" s="97">
        <f>IFERROR(_xlfn.XLOOKUP(C78,'00_SKU_Master'!$B$2:$B$2000,'00_SKU_Master'!$F$2:$F$2000,0)*N78,0)</f>
        <v>0</v>
      </c>
      <c r="K78" s="96" t="str">
        <f>_xlfn.IFNA(_xlfn.XLOOKUP(C78,'00_SKU_Master'!$B$2:$B$2000,'00_SKU_Master'!$H$2:$H$2000,0),"")</f>
        <v>LT 6D</v>
      </c>
      <c r="L78" s="96" t="str">
        <f>_xlfn.IFNA(_xlfn.XLOOKUP(C78,'00_SKU_Master'!$B$2:$B$2000,'00_SKU_Master'!$K$2:$K$2000,0),"")</f>
        <v>Fast</v>
      </c>
      <c r="M78" s="25" t="str">
        <f>_xlfn.XLOOKUP(C78,'00_SKU_Master'!$B$2:$B$2000,'00_SKU_Master'!$D$2:$D$2000)</f>
        <v>FB</v>
      </c>
      <c r="N78" s="25">
        <f t="shared" si="5"/>
        <v>0</v>
      </c>
    </row>
    <row r="79" spans="2:14" x14ac:dyDescent="0.35">
      <c r="B79" s="25" t="str">
        <f>IF(C79="","",_xlfn.XLOOKUP(C79,'00_SKU_Master'!$B$2:$B$2000,'00_SKU_Master'!$J$2:$J$2000,""))</f>
        <v>MS FFTF SPL WING AC 6D PP BSK</v>
      </c>
      <c r="C79" s="25">
        <v>2506</v>
      </c>
      <c r="D79" s="16">
        <f>_xlfn.XLOOKUP(C79,'02_TrayPack_Order'!$B$3:$B$265,'02_TrayPack_Order'!$D$3:$D$265)</f>
        <v>0</v>
      </c>
      <c r="E79" s="17">
        <f>_xlfn.XLOOKUP(C79,'02_TrayPack_Order'!$B$3:$B$265,'02_TrayPack_Order'!$M$3:$M$265,0)</f>
        <v>38</v>
      </c>
      <c r="F79" s="16">
        <f>SUMIF('13_Progress_Track'!$A$2:$A$108,C79,'13_Progress_Track'!$E$2:$E$108)</f>
        <v>0</v>
      </c>
      <c r="G79" s="16">
        <f t="shared" si="3"/>
        <v>0</v>
      </c>
      <c r="H79" s="16">
        <f t="shared" si="4"/>
        <v>38</v>
      </c>
      <c r="I79" s="25" t="str">
        <f>_xlfn.IFNA(_xlfn.XLOOKUP(C79,'00_SKU_Master'!$B$2:$B$2000,'00_SKU_Master'!$C$2:$C$2000),"")</f>
        <v>61014F</v>
      </c>
      <c r="J79" s="97">
        <f>IFERROR(_xlfn.XLOOKUP(C79,'00_SKU_Master'!$B$2:$B$2000,'00_SKU_Master'!$F$2:$F$2000,0)*N79,0)</f>
        <v>0</v>
      </c>
      <c r="K79" s="96" t="str">
        <f>_xlfn.IFNA(_xlfn.XLOOKUP(C79,'00_SKU_Master'!$B$2:$B$2000,'00_SKU_Master'!$H$2:$H$2000,0),"")</f>
        <v>LT 6D</v>
      </c>
      <c r="L79" s="96" t="str">
        <f>_xlfn.IFNA(_xlfn.XLOOKUP(C79,'00_SKU_Master'!$B$2:$B$2000,'00_SKU_Master'!$K$2:$K$2000,0),"")</f>
        <v>Slow</v>
      </c>
      <c r="M79" s="25" t="str">
        <f>_xlfn.XLOOKUP(C79,'00_SKU_Master'!$B$2:$B$2000,'00_SKU_Master'!$D$2:$D$2000)</f>
        <v>FB</v>
      </c>
      <c r="N79" s="25">
        <f t="shared" si="5"/>
        <v>0</v>
      </c>
    </row>
    <row r="80" spans="2:14" x14ac:dyDescent="0.35">
      <c r="B80" s="25" t="str">
        <f>IF(C80="","",_xlfn.XLOOKUP(C80,'00_SKU_Master'!$B$2:$B$2000,'00_SKU_Master'!$J$2:$J$2000,""))</f>
        <v>MS FFTF BSHB AC 6D PP</v>
      </c>
      <c r="C80" s="25">
        <v>2508</v>
      </c>
      <c r="D80" s="16">
        <f>_xlfn.XLOOKUP(C80,'02_TrayPack_Order'!$B$3:$B$265,'02_TrayPack_Order'!$D$3:$D$265)</f>
        <v>0</v>
      </c>
      <c r="E80" s="17">
        <f>_xlfn.XLOOKUP(C80,'02_TrayPack_Order'!$B$3:$B$265,'02_TrayPack_Order'!$M$3:$M$265,0)</f>
        <v>0</v>
      </c>
      <c r="F80" s="16">
        <f>SUMIF('13_Progress_Track'!$A$2:$A$108,C80,'13_Progress_Track'!$E$2:$E$108)</f>
        <v>0</v>
      </c>
      <c r="G80" s="16">
        <f t="shared" si="3"/>
        <v>0</v>
      </c>
      <c r="H80" s="16">
        <f t="shared" si="4"/>
        <v>0</v>
      </c>
      <c r="I80" s="25" t="str">
        <f>_xlfn.IFNA(_xlfn.XLOOKUP(C80,'00_SKU_Master'!$B$2:$B$2000,'00_SKU_Master'!$C$2:$C$2000),"")</f>
        <v>61050F</v>
      </c>
      <c r="J80" s="97">
        <f>IFERROR(_xlfn.XLOOKUP(C80,'00_SKU_Master'!$B$2:$B$2000,'00_SKU_Master'!$F$2:$F$2000,0)*N80,0)</f>
        <v>0</v>
      </c>
      <c r="K80" s="96" t="str">
        <f>_xlfn.IFNA(_xlfn.XLOOKUP(C80,'00_SKU_Master'!$B$2:$B$2000,'00_SKU_Master'!$H$2:$H$2000,0),"")</f>
        <v>LT 6D</v>
      </c>
      <c r="L80" s="96" t="str">
        <f>_xlfn.IFNA(_xlfn.XLOOKUP(C80,'00_SKU_Master'!$B$2:$B$2000,'00_SKU_Master'!$K$2:$K$2000,0),"")</f>
        <v>Fast</v>
      </c>
      <c r="M80" s="25" t="str">
        <f>_xlfn.XLOOKUP(C80,'00_SKU_Master'!$B$2:$B$2000,'00_SKU_Master'!$D$2:$D$2000)</f>
        <v>FB</v>
      </c>
      <c r="N80" s="25">
        <f t="shared" si="5"/>
        <v>0</v>
      </c>
    </row>
    <row r="81" spans="2:14" x14ac:dyDescent="0.35">
      <c r="B81" s="25" t="str">
        <f>IF(C81="","",_xlfn.XLOOKUP(C81,'00_SKU_Master'!$B$2:$B$2000,'00_SKU_Master'!$J$2:$J$2000,""))</f>
        <v>MS FFTF BSHB AC 6D PP</v>
      </c>
      <c r="C81" s="25">
        <v>2509</v>
      </c>
      <c r="D81" s="16">
        <f>_xlfn.XLOOKUP(C81,'02_TrayPack_Order'!$B$3:$B$265,'02_TrayPack_Order'!$D$3:$D$265)</f>
        <v>0</v>
      </c>
      <c r="E81" s="17">
        <f>_xlfn.XLOOKUP(C81,'02_TrayPack_Order'!$B$3:$B$265,'02_TrayPack_Order'!$M$3:$M$265,0)</f>
        <v>110</v>
      </c>
      <c r="F81" s="16">
        <f>SUMIF('13_Progress_Track'!$A$2:$A$108,C81,'13_Progress_Track'!$E$2:$E$108)</f>
        <v>0</v>
      </c>
      <c r="G81" s="16">
        <f t="shared" si="3"/>
        <v>0</v>
      </c>
      <c r="H81" s="16">
        <f t="shared" si="4"/>
        <v>110</v>
      </c>
      <c r="I81" s="25">
        <f>_xlfn.IFNA(_xlfn.XLOOKUP(C81,'00_SKU_Master'!$B$2:$B$2000,'00_SKU_Master'!$C$2:$C$2000),"")</f>
        <v>61050</v>
      </c>
      <c r="J81" s="97">
        <f>IFERROR(_xlfn.XLOOKUP(C81,'00_SKU_Master'!$B$2:$B$2000,'00_SKU_Master'!$F$2:$F$2000,0)*N81,0)</f>
        <v>0</v>
      </c>
      <c r="K81" s="96" t="str">
        <f>_xlfn.IFNA(_xlfn.XLOOKUP(C81,'00_SKU_Master'!$B$2:$B$2000,'00_SKU_Master'!$H$2:$H$2000,0),"")</f>
        <v>LT 6D</v>
      </c>
      <c r="L81" s="96" t="str">
        <f>_xlfn.IFNA(_xlfn.XLOOKUP(C81,'00_SKU_Master'!$B$2:$B$2000,'00_SKU_Master'!$K$2:$K$2000,0),"")</f>
        <v>Fast</v>
      </c>
      <c r="M81" s="25" t="str">
        <f>_xlfn.XLOOKUP(C81,'00_SKU_Master'!$B$2:$B$2000,'00_SKU_Master'!$D$2:$D$2000)</f>
        <v>FB</v>
      </c>
      <c r="N81" s="25">
        <f t="shared" si="5"/>
        <v>0</v>
      </c>
    </row>
    <row r="82" spans="2:14" x14ac:dyDescent="0.35">
      <c r="B82" s="25" t="str">
        <f>IF(C82="","",_xlfn.XLOOKUP(C82,'00_SKU_Master'!$B$2:$B$2000,'00_SKU_Master'!$J$2:$J$2000,""))</f>
        <v>MS BSC SPL WING 8XP PP</v>
      </c>
      <c r="C82" s="25">
        <v>2510</v>
      </c>
      <c r="D82" s="16">
        <f>_xlfn.XLOOKUP(C82,'02_TrayPack_Order'!$B$3:$B$265,'02_TrayPack_Order'!$D$3:$D$265)</f>
        <v>0</v>
      </c>
      <c r="E82" s="17">
        <f>_xlfn.XLOOKUP(C82,'02_TrayPack_Order'!$B$3:$B$265,'02_TrayPack_Order'!$M$3:$M$265,0)</f>
        <v>108</v>
      </c>
      <c r="F82" s="16">
        <f>SUMIF('13_Progress_Track'!$A$2:$A$108,C82,'13_Progress_Track'!$E$2:$E$108)</f>
        <v>0</v>
      </c>
      <c r="G82" s="16">
        <f t="shared" si="3"/>
        <v>0</v>
      </c>
      <c r="H82" s="16">
        <f t="shared" si="4"/>
        <v>108</v>
      </c>
      <c r="I82" s="25" t="str">
        <f>_xlfn.IFNA(_xlfn.XLOOKUP(C82,'00_SKU_Master'!$B$2:$B$2000,'00_SKU_Master'!$C$2:$C$2000),"")</f>
        <v>61014F</v>
      </c>
      <c r="J82" s="97">
        <f>IFERROR(_xlfn.XLOOKUP(C82,'00_SKU_Master'!$B$2:$B$2000,'00_SKU_Master'!$F$2:$F$2000,0)*N82,0)</f>
        <v>0</v>
      </c>
      <c r="K82" s="96" t="str">
        <f>_xlfn.IFNA(_xlfn.XLOOKUP(C82,'00_SKU_Master'!$B$2:$B$2000,'00_SKU_Master'!$H$2:$H$2000,0),"")</f>
        <v>LT 8XP</v>
      </c>
      <c r="L82" s="96" t="str">
        <f>_xlfn.IFNA(_xlfn.XLOOKUP(C82,'00_SKU_Master'!$B$2:$B$2000,'00_SKU_Master'!$K$2:$K$2000,0),"")</f>
        <v>Slow</v>
      </c>
      <c r="M82" s="25" t="str">
        <f>_xlfn.XLOOKUP(C82,'00_SKU_Master'!$B$2:$B$2000,'00_SKU_Master'!$D$2:$D$2000)</f>
        <v>FB</v>
      </c>
      <c r="N82" s="25">
        <f t="shared" si="5"/>
        <v>0</v>
      </c>
    </row>
    <row r="83" spans="2:14" x14ac:dyDescent="0.35">
      <c r="B83" s="25" t="str">
        <f>IF(C83="","",_xlfn.XLOOKUP(C83,'00_SKU_Master'!$B$2:$B$2000,'00_SKU_Master'!$J$2:$J$2000,""))</f>
        <v>MS BSC SPL WING 8XP</v>
      </c>
      <c r="C83" s="25">
        <v>2512</v>
      </c>
      <c r="D83" s="16">
        <f>_xlfn.XLOOKUP(C83,'02_TrayPack_Order'!$B$3:$B$265,'02_TrayPack_Order'!$D$3:$D$265)</f>
        <v>0</v>
      </c>
      <c r="E83" s="17">
        <f>_xlfn.XLOOKUP(C83,'02_TrayPack_Order'!$B$3:$B$265,'02_TrayPack_Order'!$M$3:$M$265,0)</f>
        <v>30</v>
      </c>
      <c r="F83" s="16">
        <f>SUMIF('13_Progress_Track'!$A$2:$A$108,C83,'13_Progress_Track'!$E$2:$E$108)</f>
        <v>0</v>
      </c>
      <c r="G83" s="16">
        <f t="shared" si="3"/>
        <v>0</v>
      </c>
      <c r="H83" s="16">
        <f t="shared" si="4"/>
        <v>30</v>
      </c>
      <c r="I83" s="25">
        <f>_xlfn.IFNA(_xlfn.XLOOKUP(C83,'00_SKU_Master'!$B$2:$B$2000,'00_SKU_Master'!$C$2:$C$2000),"")</f>
        <v>61014</v>
      </c>
      <c r="J83" s="97">
        <f>IFERROR(_xlfn.XLOOKUP(C83,'00_SKU_Master'!$B$2:$B$2000,'00_SKU_Master'!$F$2:$F$2000,0)*N83,0)</f>
        <v>0</v>
      </c>
      <c r="K83" s="96" t="str">
        <f>_xlfn.IFNA(_xlfn.XLOOKUP(C83,'00_SKU_Master'!$B$2:$B$2000,'00_SKU_Master'!$H$2:$H$2000,0),"")</f>
        <v>LT 8XP</v>
      </c>
      <c r="L83" s="96" t="str">
        <f>_xlfn.IFNA(_xlfn.XLOOKUP(C83,'00_SKU_Master'!$B$2:$B$2000,'00_SKU_Master'!$K$2:$K$2000,0),"")</f>
        <v>Slow</v>
      </c>
      <c r="M83" s="25" t="str">
        <f>_xlfn.XLOOKUP(C83,'00_SKU_Master'!$B$2:$B$2000,'00_SKU_Master'!$D$2:$D$2000)</f>
        <v>METRO</v>
      </c>
      <c r="N83" s="25">
        <f t="shared" si="5"/>
        <v>0</v>
      </c>
    </row>
    <row r="84" spans="2:14" x14ac:dyDescent="0.35">
      <c r="B84" s="25" t="str">
        <f>IF(C84="","",_xlfn.XLOOKUP(C84,'00_SKU_Master'!$B$2:$B$2000,'00_SKU_Master'!$J$2:$J$2000,""))</f>
        <v>PB WING LT</v>
      </c>
      <c r="C84" s="25">
        <v>7018</v>
      </c>
      <c r="D84" s="16">
        <f>_xlfn.XLOOKUP(C84,'02_TrayPack_Order'!$B$3:$B$265,'02_TrayPack_Order'!$D$3:$D$265)</f>
        <v>0</v>
      </c>
      <c r="E84" s="17">
        <f>_xlfn.XLOOKUP(C84,'02_TrayPack_Order'!$B$3:$B$265,'02_TrayPack_Order'!$M$3:$M$265,0)</f>
        <v>0</v>
      </c>
      <c r="F84" s="16">
        <f>SUMIF('13_Progress_Track'!$A$2:$A$108,C84,'13_Progress_Track'!$E$2:$E$108)</f>
        <v>0</v>
      </c>
      <c r="G84" s="16">
        <f t="shared" si="3"/>
        <v>0</v>
      </c>
      <c r="H84" s="16">
        <f t="shared" si="4"/>
        <v>0</v>
      </c>
      <c r="I84" s="25">
        <f>_xlfn.IFNA(_xlfn.XLOOKUP(C84,'00_SKU_Master'!$B$2:$B$2000,'00_SKU_Master'!$C$2:$C$2000),"")</f>
        <v>61010</v>
      </c>
      <c r="J84" s="97">
        <f>IFERROR(_xlfn.XLOOKUP(C84,'00_SKU_Master'!$B$2:$B$2000,'00_SKU_Master'!$F$2:$F$2000,0)*N84,0)</f>
        <v>0</v>
      </c>
      <c r="K84" s="96" t="str">
        <f>_xlfn.IFNA(_xlfn.XLOOKUP(C84,'00_SKU_Master'!$B$2:$B$2000,'00_SKU_Master'!$H$2:$H$2000,0),"")</f>
        <v>PET 8</v>
      </c>
      <c r="L84" s="96" t="str">
        <f>_xlfn.IFNA(_xlfn.XLOOKUP(C84,'00_SKU_Master'!$B$2:$B$2000,'00_SKU_Master'!$K$2:$K$2000,0),"")</f>
        <v>Fast</v>
      </c>
      <c r="M84" s="25" t="str">
        <f>_xlfn.XLOOKUP(C84,'00_SKU_Master'!$B$2:$B$2000,'00_SKU_Master'!$D$2:$D$2000)</f>
        <v>LCL</v>
      </c>
      <c r="N84" s="25">
        <f t="shared" si="5"/>
        <v>0</v>
      </c>
    </row>
    <row r="85" spans="2:14" x14ac:dyDescent="0.35">
      <c r="B85" s="25" t="str">
        <f>IF(C85="","",_xlfn.XLOOKUP(C85,'00_SKU_Master'!$B$2:$B$2000,'00_SKU_Master'!$J$2:$J$2000,""))</f>
        <v>PB LEG BA LT</v>
      </c>
      <c r="C85" s="25">
        <v>7091</v>
      </c>
      <c r="D85" s="16">
        <f>_xlfn.XLOOKUP(C85,'02_TrayPack_Order'!$B$3:$B$265,'02_TrayPack_Order'!$D$3:$D$265)</f>
        <v>0</v>
      </c>
      <c r="E85" s="17">
        <f>_xlfn.XLOOKUP(C85,'02_TrayPack_Order'!$B$3:$B$265,'02_TrayPack_Order'!$M$3:$M$265,0)</f>
        <v>0</v>
      </c>
      <c r="F85" s="16">
        <f>SUMIF('13_Progress_Track'!$A$2:$A$108,C85,'13_Progress_Track'!$E$2:$E$108)</f>
        <v>0</v>
      </c>
      <c r="G85" s="16">
        <f t="shared" si="3"/>
        <v>0</v>
      </c>
      <c r="H85" s="16">
        <f t="shared" si="4"/>
        <v>0</v>
      </c>
      <c r="I85" s="25">
        <f>_xlfn.IFNA(_xlfn.XLOOKUP(C85,'00_SKU_Master'!$B$2:$B$2000,'00_SKU_Master'!$C$2:$C$2000),"")</f>
        <v>61061</v>
      </c>
      <c r="J85" s="97">
        <f>IFERROR(_xlfn.XLOOKUP(C85,'00_SKU_Master'!$B$2:$B$2000,'00_SKU_Master'!$F$2:$F$2000,0)*N85,0)</f>
        <v>0</v>
      </c>
      <c r="K85" s="96" t="str">
        <f>_xlfn.IFNA(_xlfn.XLOOKUP(C85,'00_SKU_Master'!$B$2:$B$2000,'00_SKU_Master'!$H$2:$H$2000,0),"")</f>
        <v>PET 8</v>
      </c>
      <c r="L85" s="96" t="str">
        <f>_xlfn.IFNA(_xlfn.XLOOKUP(C85,'00_SKU_Master'!$B$2:$B$2000,'00_SKU_Master'!$K$2:$K$2000,0),"")</f>
        <v>Fast</v>
      </c>
      <c r="M85" s="25" t="str">
        <f>_xlfn.XLOOKUP(C85,'00_SKU_Master'!$B$2:$B$2000,'00_SKU_Master'!$D$2:$D$2000)</f>
        <v>LCL</v>
      </c>
      <c r="N85" s="25">
        <f t="shared" si="5"/>
        <v>0</v>
      </c>
    </row>
    <row r="86" spans="2:14" x14ac:dyDescent="0.35">
      <c r="B86" s="25" t="str">
        <f>IF(C86="","",_xlfn.XLOOKUP(C86,'00_SKU_Master'!$B$2:$B$2000,'00_SKU_Master'!$J$2:$J$2000,""))</f>
        <v>PB FRY WOG TI ST</v>
      </c>
      <c r="C86" s="25">
        <v>7103</v>
      </c>
      <c r="D86" s="16">
        <f>_xlfn.XLOOKUP(C86,'02_TrayPack_Order'!$B$3:$B$265,'02_TrayPack_Order'!$D$3:$D$265)</f>
        <v>0</v>
      </c>
      <c r="E86" s="17">
        <f>_xlfn.XLOOKUP(C86,'02_TrayPack_Order'!$B$3:$B$265,'02_TrayPack_Order'!$M$3:$M$265,0)</f>
        <v>0</v>
      </c>
      <c r="F86" s="16">
        <f>SUMIF('13_Progress_Track'!$A$2:$A$108,C86,'13_Progress_Track'!$E$2:$E$108)</f>
        <v>0</v>
      </c>
      <c r="G86" s="16">
        <f t="shared" si="3"/>
        <v>0</v>
      </c>
      <c r="H86" s="16">
        <f t="shared" si="4"/>
        <v>0</v>
      </c>
      <c r="I86" s="25">
        <f>_xlfn.IFNA(_xlfn.XLOOKUP(C86,'00_SKU_Master'!$B$2:$B$2000,'00_SKU_Master'!$C$2:$C$2000),"")</f>
        <v>203891</v>
      </c>
      <c r="J86" s="97">
        <f>IFERROR(_xlfn.XLOOKUP(C86,'00_SKU_Master'!$B$2:$B$2000,'00_SKU_Master'!$F$2:$F$2000,0)*N86,0)</f>
        <v>0</v>
      </c>
      <c r="K86" s="96" t="str">
        <f>_xlfn.IFNA(_xlfn.XLOOKUP(C86,'00_SKU_Master'!$B$2:$B$2000,'00_SKU_Master'!$H$2:$H$2000,0),"")</f>
        <v>ST 3XP</v>
      </c>
      <c r="L86" s="96" t="str">
        <f>_xlfn.IFNA(_xlfn.XLOOKUP(C86,'00_SKU_Master'!$B$2:$B$2000,'00_SKU_Master'!$K$2:$K$2000,0),"")</f>
        <v>Fast</v>
      </c>
      <c r="M86" s="25" t="str">
        <f>_xlfn.XLOOKUP(C86,'00_SKU_Master'!$B$2:$B$2000,'00_SKU_Master'!$D$2:$D$2000)</f>
        <v>LCL</v>
      </c>
      <c r="N86" s="25">
        <f t="shared" si="5"/>
        <v>0</v>
      </c>
    </row>
    <row r="87" spans="2:14" x14ac:dyDescent="0.35">
      <c r="B87" s="25" t="str">
        <f>IF(C87="","",_xlfn.XLOOKUP(C87,'00_SKU_Master'!$B$2:$B$2000,'00_SKU_Master'!$J$2:$J$2000,""))</f>
        <v>PB THIGH LT</v>
      </c>
      <c r="C87" s="25">
        <v>7104</v>
      </c>
      <c r="D87" s="16">
        <f>_xlfn.XLOOKUP(C87,'02_TrayPack_Order'!$B$3:$B$265,'02_TrayPack_Order'!$D$3:$D$265)</f>
        <v>0</v>
      </c>
      <c r="E87" s="17">
        <f>_xlfn.XLOOKUP(C87,'02_TrayPack_Order'!$B$3:$B$265,'02_TrayPack_Order'!$M$3:$M$265,0)</f>
        <v>0</v>
      </c>
      <c r="F87" s="16">
        <f>SUMIF('13_Progress_Track'!$A$2:$A$108,C87,'13_Progress_Track'!$E$2:$E$108)</f>
        <v>0</v>
      </c>
      <c r="G87" s="16">
        <f t="shared" si="3"/>
        <v>0</v>
      </c>
      <c r="H87" s="16">
        <f t="shared" si="4"/>
        <v>0</v>
      </c>
      <c r="I87" s="25">
        <f>_xlfn.IFNA(_xlfn.XLOOKUP(C87,'00_SKU_Master'!$B$2:$B$2000,'00_SKU_Master'!$C$2:$C$2000),"")</f>
        <v>61082</v>
      </c>
      <c r="J87" s="97">
        <f>IFERROR(_xlfn.XLOOKUP(C87,'00_SKU_Master'!$B$2:$B$2000,'00_SKU_Master'!$F$2:$F$2000,0)*N87,0)</f>
        <v>0</v>
      </c>
      <c r="K87" s="96" t="str">
        <f>_xlfn.IFNA(_xlfn.XLOOKUP(C87,'00_SKU_Master'!$B$2:$B$2000,'00_SKU_Master'!$H$2:$H$2000,0),"")</f>
        <v>PET 8</v>
      </c>
      <c r="L87" s="96" t="str">
        <f>_xlfn.IFNA(_xlfn.XLOOKUP(C87,'00_SKU_Master'!$B$2:$B$2000,'00_SKU_Master'!$K$2:$K$2000,0),"")</f>
        <v>Fast</v>
      </c>
      <c r="M87" s="25" t="str">
        <f>_xlfn.XLOOKUP(C87,'00_SKU_Master'!$B$2:$B$2000,'00_SKU_Master'!$D$2:$D$2000)</f>
        <v>LCL</v>
      </c>
      <c r="N87" s="25">
        <f t="shared" si="5"/>
        <v>0</v>
      </c>
    </row>
    <row r="88" spans="2:14" x14ac:dyDescent="0.35">
      <c r="B88" s="25" t="str">
        <f>IF(C88="","",_xlfn.XLOOKUP(C88,'00_SKU_Master'!$B$2:$B$2000,'00_SKU_Master'!$J$2:$J$2000,""))</f>
        <v>MS BSHB PET8 BSK</v>
      </c>
      <c r="C88" s="25">
        <v>7105</v>
      </c>
      <c r="D88" s="16">
        <f>_xlfn.XLOOKUP(C88,'02_TrayPack_Order'!$B$3:$B$265,'02_TrayPack_Order'!$D$3:$D$265)</f>
        <v>0</v>
      </c>
      <c r="E88" s="17">
        <f>_xlfn.XLOOKUP(C88,'02_TrayPack_Order'!$B$3:$B$265,'02_TrayPack_Order'!$M$3:$M$265,0)</f>
        <v>0</v>
      </c>
      <c r="F88" s="16">
        <f>SUMIF('13_Progress_Track'!$A$2:$A$108,C88,'13_Progress_Track'!$E$2:$E$108)</f>
        <v>0</v>
      </c>
      <c r="G88" s="16">
        <f t="shared" si="3"/>
        <v>0</v>
      </c>
      <c r="H88" s="16">
        <f t="shared" si="4"/>
        <v>0</v>
      </c>
      <c r="I88" s="25" t="str">
        <f>_xlfn.IFNA(_xlfn.XLOOKUP(C88,'00_SKU_Master'!$B$2:$B$2000,'00_SKU_Master'!$C$2:$C$2000),"")</f>
        <v>61050#2</v>
      </c>
      <c r="J88" s="97">
        <f>IFERROR(_xlfn.XLOOKUP(C88,'00_SKU_Master'!$B$2:$B$2000,'00_SKU_Master'!$F$2:$F$2000,0)*N88,0)</f>
        <v>0</v>
      </c>
      <c r="K88" s="96" t="str">
        <f>_xlfn.IFNA(_xlfn.XLOOKUP(C88,'00_SKU_Master'!$B$2:$B$2000,'00_SKU_Master'!$H$2:$H$2000,0),"")</f>
        <v>PET 8</v>
      </c>
      <c r="L88" s="96" t="str">
        <f>_xlfn.IFNA(_xlfn.XLOOKUP(C88,'00_SKU_Master'!$B$2:$B$2000,'00_SKU_Master'!$K$2:$K$2000,0),"")</f>
        <v>Fast</v>
      </c>
      <c r="M88" s="25" t="str">
        <f>_xlfn.XLOOKUP(C88,'00_SKU_Master'!$B$2:$B$2000,'00_SKU_Master'!$D$2:$D$2000)</f>
        <v>LCL</v>
      </c>
      <c r="N88" s="25">
        <f t="shared" si="5"/>
        <v>0</v>
      </c>
    </row>
    <row r="89" spans="2:14" x14ac:dyDescent="0.35">
      <c r="B89" s="25" t="str">
        <f>IF(C89="","",_xlfn.XLOOKUP(C89,'00_SKU_Master'!$B$2:$B$2000,'00_SKU_Master'!$J$2:$J$2000,""))</f>
        <v>PB SKLS HB LT</v>
      </c>
      <c r="C89" s="25">
        <v>7107</v>
      </c>
      <c r="D89" s="16">
        <f>_xlfn.XLOOKUP(C89,'02_TrayPack_Order'!$B$3:$B$265,'02_TrayPack_Order'!$D$3:$D$265)</f>
        <v>0</v>
      </c>
      <c r="E89" s="17">
        <f>_xlfn.XLOOKUP(C89,'02_TrayPack_Order'!$B$3:$B$265,'02_TrayPack_Order'!$M$3:$M$265,0)</f>
        <v>0</v>
      </c>
      <c r="F89" s="16">
        <f>SUMIF('13_Progress_Track'!$A$2:$A$108,C89,'13_Progress_Track'!$E$2:$E$108)</f>
        <v>0</v>
      </c>
      <c r="G89" s="16">
        <f t="shared" si="3"/>
        <v>0</v>
      </c>
      <c r="H89" s="16">
        <f t="shared" si="4"/>
        <v>0</v>
      </c>
      <c r="I89" s="25" t="str">
        <f>_xlfn.IFNA(_xlfn.XLOOKUP(C89,'00_SKU_Master'!$B$2:$B$2000,'00_SKU_Master'!$C$2:$C$2000),"")</f>
        <v>61048#2</v>
      </c>
      <c r="J89" s="97">
        <f>IFERROR(_xlfn.XLOOKUP(C89,'00_SKU_Master'!$B$2:$B$2000,'00_SKU_Master'!$F$2:$F$2000,0)*N89,0)</f>
        <v>0</v>
      </c>
      <c r="K89" s="96" t="str">
        <f>_xlfn.IFNA(_xlfn.XLOOKUP(C89,'00_SKU_Master'!$B$2:$B$2000,'00_SKU_Master'!$H$2:$H$2000,0),"")</f>
        <v>PET 8</v>
      </c>
      <c r="L89" s="96" t="str">
        <f>_xlfn.IFNA(_xlfn.XLOOKUP(C89,'00_SKU_Master'!$B$2:$B$2000,'00_SKU_Master'!$K$2:$K$2000,0),"")</f>
        <v>Fast</v>
      </c>
      <c r="M89" s="25" t="str">
        <f>_xlfn.XLOOKUP(C89,'00_SKU_Master'!$B$2:$B$2000,'00_SKU_Master'!$D$2:$D$2000)</f>
        <v>LCL</v>
      </c>
      <c r="N89" s="25">
        <f t="shared" si="5"/>
        <v>0</v>
      </c>
    </row>
    <row r="90" spans="2:14" x14ac:dyDescent="0.35">
      <c r="B90" s="25" t="str">
        <f>IF(C90="","",_xlfn.XLOOKUP(C90,'00_SKU_Master'!$B$2:$B$2000,'00_SKU_Master'!$J$2:$J$2000,""))</f>
        <v>MS DRUM PET8 BSK</v>
      </c>
      <c r="C90" s="25">
        <v>7108</v>
      </c>
      <c r="D90" s="16">
        <f>_xlfn.XLOOKUP(C90,'02_TrayPack_Order'!$B$3:$B$265,'02_TrayPack_Order'!$D$3:$D$265)</f>
        <v>0</v>
      </c>
      <c r="E90" s="17">
        <f>_xlfn.XLOOKUP(C90,'02_TrayPack_Order'!$B$3:$B$265,'02_TrayPack_Order'!$M$3:$M$265,0)</f>
        <v>0</v>
      </c>
      <c r="F90" s="16">
        <f>SUMIF('13_Progress_Track'!$A$2:$A$108,C90,'13_Progress_Track'!$E$2:$E$108)</f>
        <v>0</v>
      </c>
      <c r="G90" s="16">
        <f t="shared" si="3"/>
        <v>0</v>
      </c>
      <c r="H90" s="16">
        <f t="shared" si="4"/>
        <v>0</v>
      </c>
      <c r="I90" s="25" t="str">
        <f>_xlfn.IFNA(_xlfn.XLOOKUP(C90,'00_SKU_Master'!$B$2:$B$2000,'00_SKU_Master'!$C$2:$C$2000),"")</f>
        <v>61072#2</v>
      </c>
      <c r="J90" s="97">
        <f>IFERROR(_xlfn.XLOOKUP(C90,'00_SKU_Master'!$B$2:$B$2000,'00_SKU_Master'!$F$2:$F$2000,0)*N90,0)</f>
        <v>0</v>
      </c>
      <c r="K90" s="96" t="str">
        <f>_xlfn.IFNA(_xlfn.XLOOKUP(C90,'00_SKU_Master'!$B$2:$B$2000,'00_SKU_Master'!$H$2:$H$2000,0),"")</f>
        <v>PET 8</v>
      </c>
      <c r="L90" s="96" t="str">
        <f>_xlfn.IFNA(_xlfn.XLOOKUP(C90,'00_SKU_Master'!$B$2:$B$2000,'00_SKU_Master'!$K$2:$K$2000,0),"")</f>
        <v>Fast</v>
      </c>
      <c r="M90" s="25" t="str">
        <f>_xlfn.XLOOKUP(C90,'00_SKU_Master'!$B$2:$B$2000,'00_SKU_Master'!$D$2:$D$2000)</f>
        <v>LCL</v>
      </c>
      <c r="N90" s="25">
        <f t="shared" si="5"/>
        <v>0</v>
      </c>
    </row>
    <row r="91" spans="2:14" x14ac:dyDescent="0.35">
      <c r="B91" s="25" t="str">
        <f>IF(C91="","",_xlfn.XLOOKUP(C91,'00_SKU_Master'!$B$2:$B$2000,'00_SKU_Master'!$J$2:$J$2000,""))</f>
        <v>PB HB LT</v>
      </c>
      <c r="C91" s="25">
        <v>7109</v>
      </c>
      <c r="D91" s="16">
        <f>_xlfn.XLOOKUP(C91,'02_TrayPack_Order'!$B$3:$B$265,'02_TrayPack_Order'!$D$3:$D$265)</f>
        <v>0</v>
      </c>
      <c r="E91" s="17">
        <f>_xlfn.XLOOKUP(C91,'02_TrayPack_Order'!$B$3:$B$265,'02_TrayPack_Order'!$M$3:$M$265,0)</f>
        <v>0</v>
      </c>
      <c r="F91" s="16">
        <f>SUMIF('13_Progress_Track'!$A$2:$A$108,C91,'13_Progress_Track'!$E$2:$E$108)</f>
        <v>0</v>
      </c>
      <c r="G91" s="16">
        <f t="shared" si="3"/>
        <v>0</v>
      </c>
      <c r="H91" s="16">
        <f t="shared" si="4"/>
        <v>0</v>
      </c>
      <c r="I91" s="25" t="str">
        <f>_xlfn.IFNA(_xlfn.XLOOKUP(C91,'00_SKU_Master'!$B$2:$B$2000,'00_SKU_Master'!$C$2:$C$2000),"")</f>
        <v>61040#2</v>
      </c>
      <c r="J91" s="97">
        <f>IFERROR(_xlfn.XLOOKUP(C91,'00_SKU_Master'!$B$2:$B$2000,'00_SKU_Master'!$F$2:$F$2000,0)*N91,0)</f>
        <v>0</v>
      </c>
      <c r="K91" s="96" t="str">
        <f>_xlfn.IFNA(_xlfn.XLOOKUP(C91,'00_SKU_Master'!$B$2:$B$2000,'00_SKU_Master'!$H$2:$H$2000,0),"")</f>
        <v>PET 8</v>
      </c>
      <c r="L91" s="96" t="str">
        <f>_xlfn.IFNA(_xlfn.XLOOKUP(C91,'00_SKU_Master'!$B$2:$B$2000,'00_SKU_Master'!$K$2:$K$2000,0),"")</f>
        <v>Fast</v>
      </c>
      <c r="M91" s="25" t="str">
        <f>_xlfn.XLOOKUP(C91,'00_SKU_Master'!$B$2:$B$2000,'00_SKU_Master'!$D$2:$D$2000)</f>
        <v>LCL</v>
      </c>
      <c r="N91" s="25">
        <f t="shared" si="5"/>
        <v>0</v>
      </c>
    </row>
    <row r="92" spans="2:14" x14ac:dyDescent="0.35">
      <c r="B92" s="25" t="str">
        <f>IF(C92="","",_xlfn.XLOOKUP(C92,'00_SKU_Master'!$B$2:$B$2000,'00_SKU_Master'!$J$2:$J$2000,""))</f>
        <v>PB DRUM LT PP</v>
      </c>
      <c r="C92" s="25">
        <v>7115</v>
      </c>
      <c r="D92" s="16">
        <f>_xlfn.XLOOKUP(C92,'02_TrayPack_Order'!$B$3:$B$265,'02_TrayPack_Order'!$D$3:$D$265)</f>
        <v>0</v>
      </c>
      <c r="E92" s="17">
        <f>_xlfn.XLOOKUP(C92,'02_TrayPack_Order'!$B$3:$B$265,'02_TrayPack_Order'!$M$3:$M$265,0)</f>
        <v>0</v>
      </c>
      <c r="F92" s="16">
        <f>SUMIF('13_Progress_Track'!$A$2:$A$108,C92,'13_Progress_Track'!$E$2:$E$108)</f>
        <v>0</v>
      </c>
      <c r="G92" s="16">
        <f t="shared" si="3"/>
        <v>0</v>
      </c>
      <c r="H92" s="16">
        <f t="shared" si="4"/>
        <v>0</v>
      </c>
      <c r="I92" s="25" t="str">
        <f>_xlfn.IFNA(_xlfn.XLOOKUP(C92,'00_SKU_Master'!$B$2:$B$2000,'00_SKU_Master'!$C$2:$C$2000),"")</f>
        <v>61072#2</v>
      </c>
      <c r="J92" s="97">
        <f>IFERROR(_xlfn.XLOOKUP(C92,'00_SKU_Master'!$B$2:$B$2000,'00_SKU_Master'!$F$2:$F$2000,0)*N92,0)</f>
        <v>0</v>
      </c>
      <c r="K92" s="96" t="str">
        <f>_xlfn.IFNA(_xlfn.XLOOKUP(C92,'00_SKU_Master'!$B$2:$B$2000,'00_SKU_Master'!$H$2:$H$2000,0),"")</f>
        <v>PET 8</v>
      </c>
      <c r="L92" s="96" t="str">
        <f>_xlfn.IFNA(_xlfn.XLOOKUP(C92,'00_SKU_Master'!$B$2:$B$2000,'00_SKU_Master'!$K$2:$K$2000,0),"")</f>
        <v>Fast</v>
      </c>
      <c r="M92" s="25" t="str">
        <f>_xlfn.XLOOKUP(C92,'00_SKU_Master'!$B$2:$B$2000,'00_SKU_Master'!$D$2:$D$2000)</f>
        <v>LCL</v>
      </c>
      <c r="N92" s="25">
        <f t="shared" si="5"/>
        <v>0</v>
      </c>
    </row>
    <row r="93" spans="2:14" x14ac:dyDescent="0.35">
      <c r="B93" s="25" t="str">
        <f>IF(C93="","",_xlfn.XLOOKUP(C93,'00_SKU_Master'!$B$2:$B$2000,'00_SKU_Master'!$J$2:$J$2000,""))</f>
        <v>PB THIGH LT PP</v>
      </c>
      <c r="C93" s="25">
        <v>7116</v>
      </c>
      <c r="D93" s="16">
        <f>_xlfn.XLOOKUP(C93,'02_TrayPack_Order'!$B$3:$B$265,'02_TrayPack_Order'!$D$3:$D$265)</f>
        <v>0</v>
      </c>
      <c r="E93" s="17">
        <f>_xlfn.XLOOKUP(C93,'02_TrayPack_Order'!$B$3:$B$265,'02_TrayPack_Order'!$M$3:$M$265,0)</f>
        <v>0</v>
      </c>
      <c r="F93" s="16">
        <f>SUMIF('13_Progress_Track'!$A$2:$A$108,C93,'13_Progress_Track'!$E$2:$E$108)</f>
        <v>0</v>
      </c>
      <c r="G93" s="16">
        <f t="shared" si="3"/>
        <v>0</v>
      </c>
      <c r="H93" s="16">
        <f t="shared" si="4"/>
        <v>0</v>
      </c>
      <c r="I93" s="25">
        <f>_xlfn.IFNA(_xlfn.XLOOKUP(C93,'00_SKU_Master'!$B$2:$B$2000,'00_SKU_Master'!$C$2:$C$2000),"")</f>
        <v>61082</v>
      </c>
      <c r="J93" s="97">
        <f>IFERROR(_xlfn.XLOOKUP(C93,'00_SKU_Master'!$B$2:$B$2000,'00_SKU_Master'!$F$2:$F$2000,0)*N93,0)</f>
        <v>0</v>
      </c>
      <c r="K93" s="96" t="str">
        <f>_xlfn.IFNA(_xlfn.XLOOKUP(C93,'00_SKU_Master'!$B$2:$B$2000,'00_SKU_Master'!$H$2:$H$2000,0),"")</f>
        <v>PET 8</v>
      </c>
      <c r="L93" s="96" t="str">
        <f>_xlfn.IFNA(_xlfn.XLOOKUP(C93,'00_SKU_Master'!$B$2:$B$2000,'00_SKU_Master'!$K$2:$K$2000,0),"")</f>
        <v>Fast</v>
      </c>
      <c r="M93" s="25" t="str">
        <f>_xlfn.XLOOKUP(C93,'00_SKU_Master'!$B$2:$B$2000,'00_SKU_Master'!$D$2:$D$2000)</f>
        <v>LCL</v>
      </c>
      <c r="N93" s="25">
        <f t="shared" si="5"/>
        <v>0</v>
      </c>
    </row>
    <row r="94" spans="2:14" x14ac:dyDescent="0.35">
      <c r="B94" s="25" t="str">
        <f>IF(C94="","",_xlfn.XLOOKUP(C94,'00_SKU_Master'!$B$2:$B$2000,'00_SKU_Master'!$J$2:$J$2000,""))</f>
        <v>PB HB LT PP</v>
      </c>
      <c r="C94" s="25">
        <v>7117</v>
      </c>
      <c r="D94" s="16">
        <f>_xlfn.XLOOKUP(C94,'02_TrayPack_Order'!$B$3:$B$265,'02_TrayPack_Order'!$D$3:$D$265)</f>
        <v>0</v>
      </c>
      <c r="E94" s="17">
        <f>_xlfn.XLOOKUP(C94,'02_TrayPack_Order'!$B$3:$B$265,'02_TrayPack_Order'!$M$3:$M$265,0)</f>
        <v>0</v>
      </c>
      <c r="F94" s="16">
        <f>SUMIF('13_Progress_Track'!$A$2:$A$108,C94,'13_Progress_Track'!$E$2:$E$108)</f>
        <v>0</v>
      </c>
      <c r="G94" s="16">
        <f t="shared" si="3"/>
        <v>0</v>
      </c>
      <c r="H94" s="16">
        <f t="shared" si="4"/>
        <v>0</v>
      </c>
      <c r="I94" s="25" t="str">
        <f>_xlfn.IFNA(_xlfn.XLOOKUP(C94,'00_SKU_Master'!$B$2:$B$2000,'00_SKU_Master'!$C$2:$C$2000),"")</f>
        <v>61040#2</v>
      </c>
      <c r="J94" s="97">
        <f>IFERROR(_xlfn.XLOOKUP(C94,'00_SKU_Master'!$B$2:$B$2000,'00_SKU_Master'!$F$2:$F$2000,0)*N94,0)</f>
        <v>0</v>
      </c>
      <c r="K94" s="96" t="str">
        <f>_xlfn.IFNA(_xlfn.XLOOKUP(C94,'00_SKU_Master'!$B$2:$B$2000,'00_SKU_Master'!$H$2:$H$2000,0),"")</f>
        <v>PET 8</v>
      </c>
      <c r="L94" s="96" t="str">
        <f>_xlfn.IFNA(_xlfn.XLOOKUP(C94,'00_SKU_Master'!$B$2:$B$2000,'00_SKU_Master'!$K$2:$K$2000,0),"")</f>
        <v>Fast</v>
      </c>
      <c r="M94" s="25" t="str">
        <f>_xlfn.XLOOKUP(C94,'00_SKU_Master'!$B$2:$B$2000,'00_SKU_Master'!$D$2:$D$2000)</f>
        <v>LCL</v>
      </c>
      <c r="N94" s="25">
        <f t="shared" si="5"/>
        <v>0</v>
      </c>
    </row>
    <row r="95" spans="2:14" x14ac:dyDescent="0.35">
      <c r="B95" s="25" t="str">
        <f>IF(C95="","",_xlfn.XLOOKUP(C95,'00_SKU_Master'!$B$2:$B$2000,'00_SKU_Master'!$J$2:$J$2000,""))</f>
        <v>PB SKLS HB LT PP</v>
      </c>
      <c r="C95" s="25">
        <v>7118</v>
      </c>
      <c r="D95" s="16">
        <f>_xlfn.XLOOKUP(C95,'02_TrayPack_Order'!$B$3:$B$265,'02_TrayPack_Order'!$D$3:$D$265)</f>
        <v>0</v>
      </c>
      <c r="E95" s="17">
        <f>_xlfn.XLOOKUP(C95,'02_TrayPack_Order'!$B$3:$B$265,'02_TrayPack_Order'!$M$3:$M$265,0)</f>
        <v>0</v>
      </c>
      <c r="F95" s="16">
        <f>SUMIF('13_Progress_Track'!$A$2:$A$108,C95,'13_Progress_Track'!$E$2:$E$108)</f>
        <v>0</v>
      </c>
      <c r="G95" s="16">
        <f t="shared" si="3"/>
        <v>0</v>
      </c>
      <c r="H95" s="16">
        <f t="shared" si="4"/>
        <v>0</v>
      </c>
      <c r="I95" s="25" t="str">
        <f>_xlfn.IFNA(_xlfn.XLOOKUP(C95,'00_SKU_Master'!$B$2:$B$2000,'00_SKU_Master'!$C$2:$C$2000),"")</f>
        <v>61048#2</v>
      </c>
      <c r="J95" s="97">
        <f>IFERROR(_xlfn.XLOOKUP(C95,'00_SKU_Master'!$B$2:$B$2000,'00_SKU_Master'!$F$2:$F$2000,0)*N95,0)</f>
        <v>0</v>
      </c>
      <c r="K95" s="96" t="str">
        <f>_xlfn.IFNA(_xlfn.XLOOKUP(C95,'00_SKU_Master'!$B$2:$B$2000,'00_SKU_Master'!$H$2:$H$2000,0),"")</f>
        <v>PET 8</v>
      </c>
      <c r="L95" s="96" t="str">
        <f>_xlfn.IFNA(_xlfn.XLOOKUP(C95,'00_SKU_Master'!$B$2:$B$2000,'00_SKU_Master'!$K$2:$K$2000,0),"")</f>
        <v>Fast</v>
      </c>
      <c r="M95" s="25" t="str">
        <f>_xlfn.XLOOKUP(C95,'00_SKU_Master'!$B$2:$B$2000,'00_SKU_Master'!$D$2:$D$2000)</f>
        <v>LCL</v>
      </c>
      <c r="N95" s="25">
        <f t="shared" si="5"/>
        <v>0</v>
      </c>
    </row>
    <row r="96" spans="2:14" x14ac:dyDescent="0.35">
      <c r="B96" s="25" t="str">
        <f>IF(C96="","",_xlfn.XLOOKUP(C96,'00_SKU_Master'!$B$2:$B$2000,'00_SKU_Master'!$J$2:$J$2000,""))</f>
        <v>PB SKLS HB LT PP</v>
      </c>
      <c r="C96" s="25">
        <v>7119</v>
      </c>
      <c r="D96" s="16">
        <f>_xlfn.XLOOKUP(C96,'02_TrayPack_Order'!$B$3:$B$265,'02_TrayPack_Order'!$D$3:$D$265)</f>
        <v>0</v>
      </c>
      <c r="E96" s="17">
        <f>_xlfn.XLOOKUP(C96,'02_TrayPack_Order'!$B$3:$B$265,'02_TrayPack_Order'!$M$3:$M$265,0)</f>
        <v>0</v>
      </c>
      <c r="F96" s="16">
        <f>SUMIF('13_Progress_Track'!$A$2:$A$108,C96,'13_Progress_Track'!$E$2:$E$108)</f>
        <v>0</v>
      </c>
      <c r="G96" s="16">
        <f t="shared" si="3"/>
        <v>0</v>
      </c>
      <c r="H96" s="16">
        <f t="shared" si="4"/>
        <v>0</v>
      </c>
      <c r="I96" s="25" t="str">
        <f>_xlfn.IFNA(_xlfn.XLOOKUP(C96,'00_SKU_Master'!$B$2:$B$2000,'00_SKU_Master'!$C$2:$C$2000),"")</f>
        <v>61048#2</v>
      </c>
      <c r="J96" s="97">
        <f>IFERROR(_xlfn.XLOOKUP(C96,'00_SKU_Master'!$B$2:$B$2000,'00_SKU_Master'!$F$2:$F$2000,0)*N96,0)</f>
        <v>0</v>
      </c>
      <c r="K96" s="96" t="str">
        <f>_xlfn.IFNA(_xlfn.XLOOKUP(C96,'00_SKU_Master'!$B$2:$B$2000,'00_SKU_Master'!$H$2:$H$2000,0),"")</f>
        <v>PET 8</v>
      </c>
      <c r="L96" s="96" t="str">
        <f>_xlfn.IFNA(_xlfn.XLOOKUP(C96,'00_SKU_Master'!$B$2:$B$2000,'00_SKU_Master'!$K$2:$K$2000,0),"")</f>
        <v>Fast</v>
      </c>
      <c r="M96" s="25" t="str">
        <f>_xlfn.XLOOKUP(C96,'00_SKU_Master'!$B$2:$B$2000,'00_SKU_Master'!$D$2:$D$2000)</f>
        <v>LCL</v>
      </c>
      <c r="N96" s="25">
        <f t="shared" si="5"/>
        <v>0</v>
      </c>
    </row>
    <row r="97" spans="2:14" x14ac:dyDescent="0.35">
      <c r="B97" s="25" t="str">
        <f>IF(C97="","",_xlfn.XLOOKUP(C97,'00_SKU_Master'!$B$2:$B$2000,'00_SKU_Master'!$J$2:$J$2000,""))</f>
        <v>PB BSTHIGH LT PP</v>
      </c>
      <c r="C97" s="25">
        <v>7120</v>
      </c>
      <c r="D97" s="16">
        <f>_xlfn.XLOOKUP(C97,'02_TrayPack_Order'!$B$3:$B$265,'02_TrayPack_Order'!$D$3:$D$265)</f>
        <v>0</v>
      </c>
      <c r="E97" s="17">
        <f>_xlfn.XLOOKUP(C97,'02_TrayPack_Order'!$B$3:$B$265,'02_TrayPack_Order'!$M$3:$M$265,0)</f>
        <v>0</v>
      </c>
      <c r="F97" s="16">
        <f>SUMIF('13_Progress_Track'!$A$2:$A$108,C97,'13_Progress_Track'!$E$2:$E$108)</f>
        <v>0</v>
      </c>
      <c r="G97" s="16">
        <f t="shared" si="3"/>
        <v>0</v>
      </c>
      <c r="H97" s="16">
        <f t="shared" si="4"/>
        <v>0</v>
      </c>
      <c r="I97" s="25" t="str">
        <f>_xlfn.IFNA(_xlfn.XLOOKUP(C97,'00_SKU_Master'!$B$2:$B$2000,'00_SKU_Master'!$C$2:$C$2000),"")</f>
        <v>61086#2</v>
      </c>
      <c r="J97" s="97">
        <f>IFERROR(_xlfn.XLOOKUP(C97,'00_SKU_Master'!$B$2:$B$2000,'00_SKU_Master'!$F$2:$F$2000,0)*N97,0)</f>
        <v>0</v>
      </c>
      <c r="K97" s="96" t="str">
        <f>_xlfn.IFNA(_xlfn.XLOOKUP(C97,'00_SKU_Master'!$B$2:$B$2000,'00_SKU_Master'!$H$2:$H$2000,0),"")</f>
        <v>PET 8</v>
      </c>
      <c r="L97" s="96" t="str">
        <f>_xlfn.IFNA(_xlfn.XLOOKUP(C97,'00_SKU_Master'!$B$2:$B$2000,'00_SKU_Master'!$K$2:$K$2000,0),"")</f>
        <v>Slow</v>
      </c>
      <c r="M97" s="25" t="str">
        <f>_xlfn.XLOOKUP(C97,'00_SKU_Master'!$B$2:$B$2000,'00_SKU_Master'!$D$2:$D$2000)</f>
        <v>LCL</v>
      </c>
      <c r="N97" s="25">
        <f t="shared" si="5"/>
        <v>0</v>
      </c>
    </row>
    <row r="98" spans="2:14" x14ac:dyDescent="0.35">
      <c r="B98" s="25" t="str">
        <f>IF(C98="","",_xlfn.XLOOKUP(C98,'00_SKU_Master'!$B$2:$B$2000,'00_SKU_Master'!$J$2:$J$2000,""))</f>
        <v>PB GIB ST PP</v>
      </c>
      <c r="C98" s="25">
        <v>7121</v>
      </c>
      <c r="D98" s="16">
        <f>_xlfn.XLOOKUP(C98,'02_TrayPack_Order'!$B$3:$B$265,'02_TrayPack_Order'!$D$3:$D$265)</f>
        <v>0</v>
      </c>
      <c r="E98" s="17">
        <f>_xlfn.XLOOKUP(C98,'02_TrayPack_Order'!$B$3:$B$265,'02_TrayPack_Order'!$M$3:$M$265,0)</f>
        <v>0</v>
      </c>
      <c r="F98" s="16">
        <f>SUMIF('13_Progress_Track'!$A$2:$A$108,C98,'13_Progress_Track'!$E$2:$E$108)</f>
        <v>0</v>
      </c>
      <c r="G98" s="16">
        <f t="shared" si="3"/>
        <v>0</v>
      </c>
      <c r="H98" s="16">
        <f t="shared" si="4"/>
        <v>0</v>
      </c>
      <c r="I98" s="25">
        <f>_xlfn.IFNA(_xlfn.XLOOKUP(C98,'00_SKU_Master'!$B$2:$B$2000,'00_SKU_Master'!$C$2:$C$2000),"")</f>
        <v>203041</v>
      </c>
      <c r="J98" s="97">
        <f>IFERROR(_xlfn.XLOOKUP(C98,'00_SKU_Master'!$B$2:$B$2000,'00_SKU_Master'!$F$2:$F$2000,0)*N98,0)</f>
        <v>0</v>
      </c>
      <c r="K98" s="96" t="str">
        <f>_xlfn.IFNA(_xlfn.XLOOKUP(C98,'00_SKU_Master'!$B$2:$B$2000,'00_SKU_Master'!$H$2:$H$2000,0),"")</f>
        <v>PET 8</v>
      </c>
      <c r="L98" s="96" t="str">
        <f>_xlfn.IFNA(_xlfn.XLOOKUP(C98,'00_SKU_Master'!$B$2:$B$2000,'00_SKU_Master'!$K$2:$K$2000,0),"")</f>
        <v>Fast</v>
      </c>
      <c r="M98" s="25" t="str">
        <f>_xlfn.XLOOKUP(C98,'00_SKU_Master'!$B$2:$B$2000,'00_SKU_Master'!$D$2:$D$2000)</f>
        <v>LCL</v>
      </c>
      <c r="N98" s="25">
        <f t="shared" si="5"/>
        <v>0</v>
      </c>
    </row>
    <row r="99" spans="2:14" x14ac:dyDescent="0.35">
      <c r="B99" s="25" t="str">
        <f>IF(C99="","",_xlfn.XLOOKUP(C99,'00_SKU_Master'!$B$2:$B$2000,'00_SKU_Master'!$J$2:$J$2000,""))</f>
        <v>MS DRUM LT PP</v>
      </c>
      <c r="C99" s="25">
        <v>7136</v>
      </c>
      <c r="D99" s="16">
        <f>_xlfn.XLOOKUP(C99,'02_TrayPack_Order'!$B$3:$B$265,'02_TrayPack_Order'!$D$3:$D$265)</f>
        <v>0</v>
      </c>
      <c r="E99" s="17">
        <f>_xlfn.XLOOKUP(C99,'02_TrayPack_Order'!$B$3:$B$265,'02_TrayPack_Order'!$M$3:$M$265,0)</f>
        <v>0</v>
      </c>
      <c r="F99" s="16">
        <f>SUMIF('13_Progress_Track'!$A$2:$A$108,C99,'13_Progress_Track'!$E$2:$E$108)</f>
        <v>0</v>
      </c>
      <c r="G99" s="16">
        <f t="shared" si="3"/>
        <v>0</v>
      </c>
      <c r="H99" s="16">
        <f t="shared" si="4"/>
        <v>0</v>
      </c>
      <c r="I99" s="25" t="str">
        <f>_xlfn.IFNA(_xlfn.XLOOKUP(C99,'00_SKU_Master'!$B$2:$B$2000,'00_SKU_Master'!$C$2:$C$2000),"")</f>
        <v>61072#2</v>
      </c>
      <c r="J99" s="97">
        <f>IFERROR(_xlfn.XLOOKUP(C99,'00_SKU_Master'!$B$2:$B$2000,'00_SKU_Master'!$F$2:$F$2000,0)*N99,0)</f>
        <v>0</v>
      </c>
      <c r="K99" s="96" t="str">
        <f>_xlfn.IFNA(_xlfn.XLOOKUP(C99,'00_SKU_Master'!$B$2:$B$2000,'00_SKU_Master'!$H$2:$H$2000,0),"")</f>
        <v>PET 8</v>
      </c>
      <c r="L99" s="96" t="str">
        <f>_xlfn.IFNA(_xlfn.XLOOKUP(C99,'00_SKU_Master'!$B$2:$B$2000,'00_SKU_Master'!$K$2:$K$2000,0),"")</f>
        <v>Fast</v>
      </c>
      <c r="M99" s="25" t="str">
        <f>_xlfn.XLOOKUP(C99,'00_SKU_Master'!$B$2:$B$2000,'00_SKU_Master'!$D$2:$D$2000)</f>
        <v>LCL</v>
      </c>
      <c r="N99" s="25">
        <f t="shared" si="5"/>
        <v>0</v>
      </c>
    </row>
    <row r="100" spans="2:14" x14ac:dyDescent="0.35">
      <c r="B100" s="25" t="str">
        <f>IF(C100="","",_xlfn.XLOOKUP(C100,'00_SKU_Master'!$B$2:$B$2000,'00_SKU_Master'!$J$2:$J$2000,""))</f>
        <v>MS THIGH LT PP</v>
      </c>
      <c r="C100" s="25">
        <v>7137</v>
      </c>
      <c r="D100" s="16">
        <f>_xlfn.XLOOKUP(C100,'02_TrayPack_Order'!$B$3:$B$265,'02_TrayPack_Order'!$D$3:$D$265)</f>
        <v>0</v>
      </c>
      <c r="E100" s="17">
        <f>_xlfn.XLOOKUP(C100,'02_TrayPack_Order'!$B$3:$B$265,'02_TrayPack_Order'!$M$3:$M$265,0)</f>
        <v>0</v>
      </c>
      <c r="F100" s="16">
        <f>SUMIF('13_Progress_Track'!$A$2:$A$108,C100,'13_Progress_Track'!$E$2:$E$108)</f>
        <v>0</v>
      </c>
      <c r="G100" s="16">
        <f t="shared" si="3"/>
        <v>0</v>
      </c>
      <c r="H100" s="16">
        <f t="shared" si="4"/>
        <v>0</v>
      </c>
      <c r="I100" s="25">
        <f>_xlfn.IFNA(_xlfn.XLOOKUP(C100,'00_SKU_Master'!$B$2:$B$2000,'00_SKU_Master'!$C$2:$C$2000),"")</f>
        <v>61082</v>
      </c>
      <c r="J100" s="97">
        <f>IFERROR(_xlfn.XLOOKUP(C100,'00_SKU_Master'!$B$2:$B$2000,'00_SKU_Master'!$F$2:$F$2000,0)*N100,0)</f>
        <v>0</v>
      </c>
      <c r="K100" s="96" t="str">
        <f>_xlfn.IFNA(_xlfn.XLOOKUP(C100,'00_SKU_Master'!$B$2:$B$2000,'00_SKU_Master'!$H$2:$H$2000,0),"")</f>
        <v>PET 8</v>
      </c>
      <c r="L100" s="96" t="str">
        <f>_xlfn.IFNA(_xlfn.XLOOKUP(C100,'00_SKU_Master'!$B$2:$B$2000,'00_SKU_Master'!$K$2:$K$2000,0),"")</f>
        <v>Fast</v>
      </c>
      <c r="M100" s="25" t="str">
        <f>_xlfn.XLOOKUP(C100,'00_SKU_Master'!$B$2:$B$2000,'00_SKU_Master'!$D$2:$D$2000)</f>
        <v>LCL</v>
      </c>
      <c r="N100" s="25">
        <f t="shared" si="5"/>
        <v>0</v>
      </c>
    </row>
    <row r="101" spans="2:14" x14ac:dyDescent="0.35">
      <c r="B101" s="25" t="str">
        <f>IF(C101="","",_xlfn.XLOOKUP(C101,'00_SKU_Master'!$B$2:$B$2000,'00_SKU_Master'!$J$2:$J$2000,""))</f>
        <v>MS SKLS HB LCP BSK</v>
      </c>
      <c r="C101" s="25">
        <v>7145</v>
      </c>
      <c r="D101" s="16">
        <f>_xlfn.XLOOKUP(C101,'02_TrayPack_Order'!$B$3:$B$265,'02_TrayPack_Order'!$D$3:$D$265)</f>
        <v>0</v>
      </c>
      <c r="E101" s="17">
        <f>_xlfn.XLOOKUP(C101,'02_TrayPack_Order'!$B$3:$B$265,'02_TrayPack_Order'!$M$3:$M$265,0)</f>
        <v>0</v>
      </c>
      <c r="F101" s="16">
        <f>SUMIF('13_Progress_Track'!$A$2:$A$108,C101,'13_Progress_Track'!$E$2:$E$108)</f>
        <v>0</v>
      </c>
      <c r="G101" s="16">
        <f t="shared" si="3"/>
        <v>0</v>
      </c>
      <c r="H101" s="16">
        <f t="shared" si="4"/>
        <v>0</v>
      </c>
      <c r="I101" s="25" t="str">
        <f>_xlfn.IFNA(_xlfn.XLOOKUP(C101,'00_SKU_Master'!$B$2:$B$2000,'00_SKU_Master'!$C$2:$C$2000),"")</f>
        <v>61048#2</v>
      </c>
      <c r="J101" s="97">
        <f>IFERROR(_xlfn.XLOOKUP(C101,'00_SKU_Master'!$B$2:$B$2000,'00_SKU_Master'!$F$2:$F$2000,0)*N101,0)</f>
        <v>0</v>
      </c>
      <c r="K101" s="96" t="str">
        <f>_xlfn.IFNA(_xlfn.XLOOKUP(C101,'00_SKU_Master'!$B$2:$B$2000,'00_SKU_Master'!$H$2:$H$2000,0),"")</f>
        <v>LT 14D</v>
      </c>
      <c r="L101" s="96" t="str">
        <f>_xlfn.IFNA(_xlfn.XLOOKUP(C101,'00_SKU_Master'!$B$2:$B$2000,'00_SKU_Master'!$K$2:$K$2000,0),"")</f>
        <v>Fast</v>
      </c>
      <c r="M101" s="25" t="str">
        <f>_xlfn.XLOOKUP(C101,'00_SKU_Master'!$B$2:$B$2000,'00_SKU_Master'!$D$2:$D$2000)</f>
        <v>LCL</v>
      </c>
      <c r="N101" s="25">
        <f t="shared" si="5"/>
        <v>0</v>
      </c>
    </row>
    <row r="102" spans="2:14" x14ac:dyDescent="0.35">
      <c r="B102" s="25" t="str">
        <f>IF(C102="","",_xlfn.XLOOKUP(C102,'00_SKU_Master'!$B$2:$B$2000,'00_SKU_Master'!$J$2:$J$2000,""))</f>
        <v>MS BSHB LT -1860</v>
      </c>
      <c r="C102" s="25">
        <v>7146</v>
      </c>
      <c r="D102" s="16">
        <f>_xlfn.XLOOKUP(C102,'02_TrayPack_Order'!$B$3:$B$265,'02_TrayPack_Order'!$D$3:$D$265)</f>
        <v>0</v>
      </c>
      <c r="E102" s="17">
        <f>_xlfn.XLOOKUP(C102,'02_TrayPack_Order'!$B$3:$B$265,'02_TrayPack_Order'!$M$3:$M$265,0)</f>
        <v>0</v>
      </c>
      <c r="F102" s="16">
        <f>SUMIF('13_Progress_Track'!$A$2:$A$108,C102,'13_Progress_Track'!$E$2:$E$108)</f>
        <v>0</v>
      </c>
      <c r="G102" s="16">
        <f t="shared" si="3"/>
        <v>0</v>
      </c>
      <c r="H102" s="16">
        <f t="shared" si="4"/>
        <v>0</v>
      </c>
      <c r="I102" s="25" t="str">
        <f>_xlfn.IFNA(_xlfn.XLOOKUP(C102,'00_SKU_Master'!$B$2:$B$2000,'00_SKU_Master'!$C$2:$C$2000),"")</f>
        <v>61050#2</v>
      </c>
      <c r="J102" s="97">
        <f>IFERROR(_xlfn.XLOOKUP(C102,'00_SKU_Master'!$B$2:$B$2000,'00_SKU_Master'!$F$2:$F$2000,0)*N102,0)</f>
        <v>0</v>
      </c>
      <c r="K102" s="96" t="str">
        <f>_xlfn.IFNA(_xlfn.XLOOKUP(C102,'00_SKU_Master'!$B$2:$B$2000,'00_SKU_Master'!$H$2:$H$2000,0),"")</f>
        <v>PET 8</v>
      </c>
      <c r="L102" s="96" t="str">
        <f>_xlfn.IFNA(_xlfn.XLOOKUP(C102,'00_SKU_Master'!$B$2:$B$2000,'00_SKU_Master'!$K$2:$K$2000,0),"")</f>
        <v>Fast</v>
      </c>
      <c r="M102" s="25" t="str">
        <f>_xlfn.XLOOKUP(C102,'00_SKU_Master'!$B$2:$B$2000,'00_SKU_Master'!$D$2:$D$2000)</f>
        <v>LCL</v>
      </c>
      <c r="N102" s="25">
        <f t="shared" si="5"/>
        <v>0</v>
      </c>
    </row>
    <row r="103" spans="2:14" x14ac:dyDescent="0.35">
      <c r="B103" s="25" t="str">
        <f>IF(C103="","",_xlfn.XLOOKUP(C103,'00_SKU_Master'!$B$2:$B$2000,'00_SKU_Master'!$J$2:$J$2000,""))</f>
        <v>MS BSHB LT PP</v>
      </c>
      <c r="C103" s="25">
        <v>7149</v>
      </c>
      <c r="D103" s="16">
        <f>_xlfn.XLOOKUP(C103,'02_TrayPack_Order'!$B$3:$B$265,'02_TrayPack_Order'!$D$3:$D$265)</f>
        <v>0</v>
      </c>
      <c r="E103" s="17">
        <f>_xlfn.XLOOKUP(C103,'02_TrayPack_Order'!$B$3:$B$265,'02_TrayPack_Order'!$M$3:$M$265,0)</f>
        <v>0</v>
      </c>
      <c r="F103" s="16">
        <f>SUMIF('13_Progress_Track'!$A$2:$A$108,C103,'13_Progress_Track'!$E$2:$E$108)</f>
        <v>0</v>
      </c>
      <c r="G103" s="16">
        <f t="shared" si="3"/>
        <v>0</v>
      </c>
      <c r="H103" s="16">
        <f t="shared" si="4"/>
        <v>0</v>
      </c>
      <c r="I103" s="25" t="str">
        <f>_xlfn.IFNA(_xlfn.XLOOKUP(C103,'00_SKU_Master'!$B$2:$B$2000,'00_SKU_Master'!$C$2:$C$2000),"")</f>
        <v>61050#2</v>
      </c>
      <c r="J103" s="97">
        <f>IFERROR(_xlfn.XLOOKUP(C103,'00_SKU_Master'!$B$2:$B$2000,'00_SKU_Master'!$F$2:$F$2000,0)*N103,0)</f>
        <v>0</v>
      </c>
      <c r="K103" s="96" t="str">
        <f>_xlfn.IFNA(_xlfn.XLOOKUP(C103,'00_SKU_Master'!$B$2:$B$2000,'00_SKU_Master'!$H$2:$H$2000,0),"")</f>
        <v>PET 8</v>
      </c>
      <c r="L103" s="96" t="str">
        <f>_xlfn.IFNA(_xlfn.XLOOKUP(C103,'00_SKU_Master'!$B$2:$B$2000,'00_SKU_Master'!$K$2:$K$2000,0),"")</f>
        <v>Fast</v>
      </c>
      <c r="M103" s="25" t="str">
        <f>_xlfn.XLOOKUP(C103,'00_SKU_Master'!$B$2:$B$2000,'00_SKU_Master'!$D$2:$D$2000)</f>
        <v>LCL</v>
      </c>
      <c r="N103" s="25">
        <f t="shared" si="5"/>
        <v>0</v>
      </c>
    </row>
    <row r="104" spans="2:14" x14ac:dyDescent="0.35">
      <c r="B104" s="25" t="str">
        <f>IF(C104="","",_xlfn.XLOOKUP(C104,'00_SKU_Master'!$B$2:$B$2000,'00_SKU_Master'!$J$2:$J$2000,""))</f>
        <v>MS BSHB LT PP</v>
      </c>
      <c r="C104" s="25">
        <v>7150</v>
      </c>
      <c r="D104" s="16">
        <f>_xlfn.XLOOKUP(C104,'02_TrayPack_Order'!$B$3:$B$265,'02_TrayPack_Order'!$D$3:$D$265)</f>
        <v>0</v>
      </c>
      <c r="E104" s="17">
        <f>_xlfn.XLOOKUP(C104,'02_TrayPack_Order'!$B$3:$B$265,'02_TrayPack_Order'!$M$3:$M$265,0)</f>
        <v>0</v>
      </c>
      <c r="F104" s="16">
        <f>SUMIF('13_Progress_Track'!$A$2:$A$108,C104,'13_Progress_Track'!$E$2:$E$108)</f>
        <v>0</v>
      </c>
      <c r="G104" s="16">
        <f t="shared" si="3"/>
        <v>0</v>
      </c>
      <c r="H104" s="16">
        <f t="shared" si="4"/>
        <v>0</v>
      </c>
      <c r="I104" s="25" t="str">
        <f>_xlfn.IFNA(_xlfn.XLOOKUP(C104,'00_SKU_Master'!$B$2:$B$2000,'00_SKU_Master'!$C$2:$C$2000),"")</f>
        <v>61050#2</v>
      </c>
      <c r="J104" s="97">
        <f>IFERROR(_xlfn.XLOOKUP(C104,'00_SKU_Master'!$B$2:$B$2000,'00_SKU_Master'!$F$2:$F$2000,0)*N104,0)</f>
        <v>0</v>
      </c>
      <c r="K104" s="96" t="str">
        <f>_xlfn.IFNA(_xlfn.XLOOKUP(C104,'00_SKU_Master'!$B$2:$B$2000,'00_SKU_Master'!$H$2:$H$2000,0),"")</f>
        <v>PET 8</v>
      </c>
      <c r="L104" s="96" t="str">
        <f>_xlfn.IFNA(_xlfn.XLOOKUP(C104,'00_SKU_Master'!$B$2:$B$2000,'00_SKU_Master'!$K$2:$K$2000,0),"")</f>
        <v>Fast</v>
      </c>
      <c r="M104" s="25" t="str">
        <f>_xlfn.XLOOKUP(C104,'00_SKU_Master'!$B$2:$B$2000,'00_SKU_Master'!$D$2:$D$2000)</f>
        <v>LCL</v>
      </c>
      <c r="N104" s="25">
        <f t="shared" si="5"/>
        <v>0</v>
      </c>
    </row>
    <row r="105" spans="2:14" x14ac:dyDescent="0.35">
      <c r="B105" s="25" t="str">
        <f>IF(C105="","",_xlfn.XLOOKUP(C105,'00_SKU_Master'!$B$2:$B$2000,'00_SKU_Master'!$J$2:$J$2000,""))</f>
        <v>MS SKLS HB LT PP</v>
      </c>
      <c r="C105" s="25">
        <v>7153</v>
      </c>
      <c r="D105" s="16">
        <f>_xlfn.XLOOKUP(C105,'02_TrayPack_Order'!$B$3:$B$265,'02_TrayPack_Order'!$D$3:$D$265)</f>
        <v>0</v>
      </c>
      <c r="E105" s="17">
        <f>_xlfn.XLOOKUP(C105,'02_TrayPack_Order'!$B$3:$B$265,'02_TrayPack_Order'!$M$3:$M$265,0)</f>
        <v>0</v>
      </c>
      <c r="F105" s="16">
        <f>SUMIF('13_Progress_Track'!$A$2:$A$108,C105,'13_Progress_Track'!$E$2:$E$108)</f>
        <v>0</v>
      </c>
      <c r="G105" s="16">
        <f t="shared" si="3"/>
        <v>0</v>
      </c>
      <c r="H105" s="16">
        <f t="shared" si="4"/>
        <v>0</v>
      </c>
      <c r="I105" s="25" t="str">
        <f>_xlfn.IFNA(_xlfn.XLOOKUP(C105,'00_SKU_Master'!$B$2:$B$2000,'00_SKU_Master'!$C$2:$C$2000),"")</f>
        <v>61048#2</v>
      </c>
      <c r="J105" s="97">
        <f>IFERROR(_xlfn.XLOOKUP(C105,'00_SKU_Master'!$B$2:$B$2000,'00_SKU_Master'!$F$2:$F$2000,0)*N105,0)</f>
        <v>0</v>
      </c>
      <c r="K105" s="96" t="str">
        <f>_xlfn.IFNA(_xlfn.XLOOKUP(C105,'00_SKU_Master'!$B$2:$B$2000,'00_SKU_Master'!$H$2:$H$2000,0),"")</f>
        <v>PET 8</v>
      </c>
      <c r="L105" s="96" t="str">
        <f>_xlfn.IFNA(_xlfn.XLOOKUP(C105,'00_SKU_Master'!$B$2:$B$2000,'00_SKU_Master'!$K$2:$K$2000,0),"")</f>
        <v>Fast</v>
      </c>
      <c r="M105" s="25" t="str">
        <f>_xlfn.XLOOKUP(C105,'00_SKU_Master'!$B$2:$B$2000,'00_SKU_Master'!$D$2:$D$2000)</f>
        <v>LCL</v>
      </c>
      <c r="N105" s="25">
        <f t="shared" si="5"/>
        <v>0</v>
      </c>
    </row>
    <row r="106" spans="2:14" x14ac:dyDescent="0.35">
      <c r="B106" s="25" t="str">
        <f>IF(C106="","",_xlfn.XLOOKUP(C106,'00_SKU_Master'!$B$2:$B$2000,'00_SKU_Master'!$J$2:$J$2000,""))</f>
        <v>MS BSHB ST</v>
      </c>
      <c r="C106" s="25">
        <v>7155</v>
      </c>
      <c r="D106" s="16">
        <f>_xlfn.XLOOKUP(C106,'02_TrayPack_Order'!$B$3:$B$265,'02_TrayPack_Order'!$D$3:$D$265)</f>
        <v>0</v>
      </c>
      <c r="E106" s="17">
        <f>_xlfn.XLOOKUP(C106,'02_TrayPack_Order'!$B$3:$B$265,'02_TrayPack_Order'!$M$3:$M$265,0)</f>
        <v>0</v>
      </c>
      <c r="F106" s="16">
        <f>SUMIF('13_Progress_Track'!$A$2:$A$108,C106,'13_Progress_Track'!$E$2:$E$108)</f>
        <v>0</v>
      </c>
      <c r="G106" s="16">
        <f t="shared" si="3"/>
        <v>0</v>
      </c>
      <c r="H106" s="16">
        <f t="shared" si="4"/>
        <v>0</v>
      </c>
      <c r="I106" s="25" t="str">
        <f>_xlfn.IFNA(_xlfn.XLOOKUP(C106,'00_SKU_Master'!$B$2:$B$2000,'00_SKU_Master'!$C$2:$C$2000),"")</f>
        <v>61050#2</v>
      </c>
      <c r="J106" s="97">
        <f>IFERROR(_xlfn.XLOOKUP(C106,'00_SKU_Master'!$B$2:$B$2000,'00_SKU_Master'!$F$2:$F$2000,0)*N106,0)</f>
        <v>0</v>
      </c>
      <c r="K106" s="96" t="str">
        <f>_xlfn.IFNA(_xlfn.XLOOKUP(C106,'00_SKU_Master'!$B$2:$B$2000,'00_SKU_Master'!$H$2:$H$2000,0),"")</f>
        <v>ST 2HP</v>
      </c>
      <c r="L106" s="96" t="str">
        <f>_xlfn.IFNA(_xlfn.XLOOKUP(C106,'00_SKU_Master'!$B$2:$B$2000,'00_SKU_Master'!$K$2:$K$2000,0),"")</f>
        <v>Fast</v>
      </c>
      <c r="M106" s="25" t="str">
        <f>_xlfn.XLOOKUP(C106,'00_SKU_Master'!$B$2:$B$2000,'00_SKU_Master'!$D$2:$D$2000)</f>
        <v>LCL</v>
      </c>
      <c r="N106" s="25">
        <f t="shared" si="5"/>
        <v>0</v>
      </c>
    </row>
    <row r="107" spans="2:14" x14ac:dyDescent="0.35">
      <c r="B107" s="25" t="str">
        <f>IF(C107="","",_xlfn.XLOOKUP(C107,'00_SKU_Master'!$B$2:$B$2000,'00_SKU_Master'!$J$2:$J$2000,""))</f>
        <v>MS BSHB ST BSK</v>
      </c>
      <c r="C107" s="25">
        <v>7159</v>
      </c>
      <c r="D107" s="16">
        <f>_xlfn.XLOOKUP(C107,'02_TrayPack_Order'!$B$3:$B$265,'02_TrayPack_Order'!$D$3:$D$265)</f>
        <v>0</v>
      </c>
      <c r="E107" s="17">
        <f>_xlfn.XLOOKUP(C107,'02_TrayPack_Order'!$B$3:$B$265,'02_TrayPack_Order'!$M$3:$M$265,0)</f>
        <v>0</v>
      </c>
      <c r="F107" s="16">
        <f>SUMIF('13_Progress_Track'!$A$2:$A$108,C107,'13_Progress_Track'!$E$2:$E$108)</f>
        <v>0</v>
      </c>
      <c r="G107" s="16">
        <f t="shared" si="3"/>
        <v>0</v>
      </c>
      <c r="H107" s="16">
        <f t="shared" si="4"/>
        <v>0</v>
      </c>
      <c r="I107" s="25" t="str">
        <f>_xlfn.IFNA(_xlfn.XLOOKUP(C107,'00_SKU_Master'!$B$2:$B$2000,'00_SKU_Master'!$C$2:$C$2000),"")</f>
        <v>61050#2</v>
      </c>
      <c r="J107" s="97">
        <f>IFERROR(_xlfn.XLOOKUP(C107,'00_SKU_Master'!$B$2:$B$2000,'00_SKU_Master'!$F$2:$F$2000,0)*N107,0)</f>
        <v>0</v>
      </c>
      <c r="K107" s="96" t="str">
        <f>_xlfn.IFNA(_xlfn.XLOOKUP(C107,'00_SKU_Master'!$B$2:$B$2000,'00_SKU_Master'!$H$2:$H$2000,0),"")</f>
        <v>ST 2HP</v>
      </c>
      <c r="L107" s="96" t="str">
        <f>_xlfn.IFNA(_xlfn.XLOOKUP(C107,'00_SKU_Master'!$B$2:$B$2000,'00_SKU_Master'!$K$2:$K$2000,0),"")</f>
        <v>Fast</v>
      </c>
      <c r="M107" s="25" t="str">
        <f>_xlfn.XLOOKUP(C107,'00_SKU_Master'!$B$2:$B$2000,'00_SKU_Master'!$D$2:$D$2000)</f>
        <v>LCL</v>
      </c>
      <c r="N107" s="25">
        <f t="shared" si="5"/>
        <v>0</v>
      </c>
    </row>
    <row r="108" spans="2:14" x14ac:dyDescent="0.35">
      <c r="B108" s="25" t="str">
        <f>IF(C108="","",_xlfn.XLOOKUP(C108,'00_SKU_Master'!$B$2:$B$2000,'00_SKU_Master'!$J$2:$J$2000,""))</f>
        <v>MS SKLS HB LT</v>
      </c>
      <c r="C108" s="25">
        <v>7160</v>
      </c>
      <c r="D108" s="16">
        <f>_xlfn.XLOOKUP(C108,'02_TrayPack_Order'!$B$3:$B$265,'02_TrayPack_Order'!$D$3:$D$265)</f>
        <v>0</v>
      </c>
      <c r="E108" s="17">
        <f>_xlfn.XLOOKUP(C108,'02_TrayPack_Order'!$B$3:$B$265,'02_TrayPack_Order'!$M$3:$M$265,0)</f>
        <v>0</v>
      </c>
      <c r="F108" s="16">
        <f>SUMIF('13_Progress_Track'!$A$2:$A$108,C108,'13_Progress_Track'!$E$2:$E$108)</f>
        <v>0</v>
      </c>
      <c r="G108" s="16">
        <f t="shared" si="3"/>
        <v>0</v>
      </c>
      <c r="H108" s="16">
        <f t="shared" si="4"/>
        <v>0</v>
      </c>
      <c r="I108" s="25" t="str">
        <f>_xlfn.IFNA(_xlfn.XLOOKUP(C108,'00_SKU_Master'!$B$2:$B$2000,'00_SKU_Master'!$C$2:$C$2000),"")</f>
        <v>61048#2</v>
      </c>
      <c r="J108" s="97">
        <f>IFERROR(_xlfn.XLOOKUP(C108,'00_SKU_Master'!$B$2:$B$2000,'00_SKU_Master'!$F$2:$F$2000,0)*N108,0)</f>
        <v>0</v>
      </c>
      <c r="K108" s="96" t="str">
        <f>_xlfn.IFNA(_xlfn.XLOOKUP(C108,'00_SKU_Master'!$B$2:$B$2000,'00_SKU_Master'!$H$2:$H$2000,0),"")</f>
        <v>PET 8</v>
      </c>
      <c r="L108" s="96" t="str">
        <f>_xlfn.IFNA(_xlfn.XLOOKUP(C108,'00_SKU_Master'!$B$2:$B$2000,'00_SKU_Master'!$K$2:$K$2000,0),"")</f>
        <v>Fast</v>
      </c>
      <c r="M108" s="25" t="str">
        <f>_xlfn.XLOOKUP(C108,'00_SKU_Master'!$B$2:$B$2000,'00_SKU_Master'!$D$2:$D$2000)</f>
        <v>LCL</v>
      </c>
      <c r="N108" s="25">
        <f t="shared" si="5"/>
        <v>0</v>
      </c>
    </row>
    <row r="109" spans="2:14" x14ac:dyDescent="0.35">
      <c r="B109" s="25" t="str">
        <f>IF(C109="","",_xlfn.XLOOKUP(C109,'00_SKU_Master'!$B$2:$B$2000,'00_SKU_Master'!$J$2:$J$2000,""))</f>
        <v>MS HB LT</v>
      </c>
      <c r="C109" s="25">
        <v>7161</v>
      </c>
      <c r="D109" s="16">
        <f>_xlfn.XLOOKUP(C109,'02_TrayPack_Order'!$B$3:$B$265,'02_TrayPack_Order'!$D$3:$D$265)</f>
        <v>0</v>
      </c>
      <c r="E109" s="17">
        <f>_xlfn.XLOOKUP(C109,'02_TrayPack_Order'!$B$3:$B$265,'02_TrayPack_Order'!$M$3:$M$265,0)</f>
        <v>0</v>
      </c>
      <c r="F109" s="16">
        <f>SUMIF('13_Progress_Track'!$A$2:$A$108,C109,'13_Progress_Track'!$E$2:$E$108)</f>
        <v>0</v>
      </c>
      <c r="G109" s="16">
        <f t="shared" si="3"/>
        <v>0</v>
      </c>
      <c r="H109" s="16">
        <f t="shared" si="4"/>
        <v>0</v>
      </c>
      <c r="I109" s="25" t="str">
        <f>_xlfn.IFNA(_xlfn.XLOOKUP(C109,'00_SKU_Master'!$B$2:$B$2000,'00_SKU_Master'!$C$2:$C$2000),"")</f>
        <v>61040#2</v>
      </c>
      <c r="J109" s="97">
        <f>IFERROR(_xlfn.XLOOKUP(C109,'00_SKU_Master'!$B$2:$B$2000,'00_SKU_Master'!$F$2:$F$2000,0)*N109,0)</f>
        <v>0</v>
      </c>
      <c r="K109" s="96" t="str">
        <f>_xlfn.IFNA(_xlfn.XLOOKUP(C109,'00_SKU_Master'!$B$2:$B$2000,'00_SKU_Master'!$H$2:$H$2000,0),"")</f>
        <v>PET 8</v>
      </c>
      <c r="L109" s="96" t="str">
        <f>_xlfn.IFNA(_xlfn.XLOOKUP(C109,'00_SKU_Master'!$B$2:$B$2000,'00_SKU_Master'!$K$2:$K$2000,0),"")</f>
        <v>Fast</v>
      </c>
      <c r="M109" s="25" t="str">
        <f>_xlfn.XLOOKUP(C109,'00_SKU_Master'!$B$2:$B$2000,'00_SKU_Master'!$D$2:$D$2000)</f>
        <v>LCL</v>
      </c>
      <c r="N109" s="25">
        <f t="shared" si="5"/>
        <v>0</v>
      </c>
    </row>
    <row r="110" spans="2:14" x14ac:dyDescent="0.35">
      <c r="B110" s="25" t="str">
        <f>IF(C110="","",_xlfn.XLOOKUP(C110,'00_SKU_Master'!$B$2:$B$2000,'00_SKU_Master'!$J$2:$J$2000,""))</f>
        <v>MS BSTHIGH LT</v>
      </c>
      <c r="C110" s="25">
        <v>7162</v>
      </c>
      <c r="D110" s="16">
        <f>_xlfn.XLOOKUP(C110,'02_TrayPack_Order'!$B$3:$B$265,'02_TrayPack_Order'!$D$3:$D$265)</f>
        <v>0</v>
      </c>
      <c r="E110" s="17">
        <f>_xlfn.XLOOKUP(C110,'02_TrayPack_Order'!$B$3:$B$265,'02_TrayPack_Order'!$M$3:$M$265,0)</f>
        <v>0</v>
      </c>
      <c r="F110" s="16">
        <f>SUMIF('13_Progress_Track'!$A$2:$A$108,C110,'13_Progress_Track'!$E$2:$E$108)</f>
        <v>0</v>
      </c>
      <c r="G110" s="16">
        <f t="shared" si="3"/>
        <v>0</v>
      </c>
      <c r="H110" s="16">
        <f t="shared" si="4"/>
        <v>0</v>
      </c>
      <c r="I110" s="25" t="str">
        <f>_xlfn.IFNA(_xlfn.XLOOKUP(C110,'00_SKU_Master'!$B$2:$B$2000,'00_SKU_Master'!$C$2:$C$2000),"")</f>
        <v>61086#2</v>
      </c>
      <c r="J110" s="97">
        <f>IFERROR(_xlfn.XLOOKUP(C110,'00_SKU_Master'!$B$2:$B$2000,'00_SKU_Master'!$F$2:$F$2000,0)*N110,0)</f>
        <v>0</v>
      </c>
      <c r="K110" s="96" t="str">
        <f>_xlfn.IFNA(_xlfn.XLOOKUP(C110,'00_SKU_Master'!$B$2:$B$2000,'00_SKU_Master'!$H$2:$H$2000,0),"")</f>
        <v>PET 8</v>
      </c>
      <c r="L110" s="96" t="str">
        <f>_xlfn.IFNA(_xlfn.XLOOKUP(C110,'00_SKU_Master'!$B$2:$B$2000,'00_SKU_Master'!$K$2:$K$2000,0),"")</f>
        <v>Slow</v>
      </c>
      <c r="M110" s="25" t="str">
        <f>_xlfn.XLOOKUP(C110,'00_SKU_Master'!$B$2:$B$2000,'00_SKU_Master'!$D$2:$D$2000)</f>
        <v>LCL</v>
      </c>
      <c r="N110" s="25">
        <f t="shared" si="5"/>
        <v>0</v>
      </c>
    </row>
    <row r="111" spans="2:14" x14ac:dyDescent="0.35">
      <c r="B111" s="25" t="str">
        <f>IF(C111="","",_xlfn.XLOOKUP(C111,'00_SKU_Master'!$B$2:$B$2000,'00_SKU_Master'!$J$2:$J$2000,""))</f>
        <v>MS THIGH LT</v>
      </c>
      <c r="C111" s="25">
        <v>7163</v>
      </c>
      <c r="D111" s="16">
        <f>_xlfn.XLOOKUP(C111,'02_TrayPack_Order'!$B$3:$B$265,'02_TrayPack_Order'!$D$3:$D$265)</f>
        <v>0</v>
      </c>
      <c r="E111" s="17">
        <f>_xlfn.XLOOKUP(C111,'02_TrayPack_Order'!$B$3:$B$265,'02_TrayPack_Order'!$M$3:$M$265,0)</f>
        <v>0</v>
      </c>
      <c r="F111" s="16">
        <f>SUMIF('13_Progress_Track'!$A$2:$A$108,C111,'13_Progress_Track'!$E$2:$E$108)</f>
        <v>0</v>
      </c>
      <c r="G111" s="16">
        <f t="shared" si="3"/>
        <v>0</v>
      </c>
      <c r="H111" s="16">
        <f t="shared" si="4"/>
        <v>0</v>
      </c>
      <c r="I111" s="25">
        <f>_xlfn.IFNA(_xlfn.XLOOKUP(C111,'00_SKU_Master'!$B$2:$B$2000,'00_SKU_Master'!$C$2:$C$2000),"")</f>
        <v>61082</v>
      </c>
      <c r="J111" s="97">
        <f>IFERROR(_xlfn.XLOOKUP(C111,'00_SKU_Master'!$B$2:$B$2000,'00_SKU_Master'!$F$2:$F$2000,0)*N111,0)</f>
        <v>0</v>
      </c>
      <c r="K111" s="96" t="str">
        <f>_xlfn.IFNA(_xlfn.XLOOKUP(C111,'00_SKU_Master'!$B$2:$B$2000,'00_SKU_Master'!$H$2:$H$2000,0),"")</f>
        <v>PET 8</v>
      </c>
      <c r="L111" s="96" t="str">
        <f>_xlfn.IFNA(_xlfn.XLOOKUP(C111,'00_SKU_Master'!$B$2:$B$2000,'00_SKU_Master'!$K$2:$K$2000,0),"")</f>
        <v>Fast</v>
      </c>
      <c r="M111" s="25" t="str">
        <f>_xlfn.XLOOKUP(C111,'00_SKU_Master'!$B$2:$B$2000,'00_SKU_Master'!$D$2:$D$2000)</f>
        <v>LCL</v>
      </c>
      <c r="N111" s="25">
        <f t="shared" si="5"/>
        <v>0</v>
      </c>
    </row>
    <row r="112" spans="2:14" x14ac:dyDescent="0.35">
      <c r="B112" s="25" t="str">
        <f>IF(C112="","",_xlfn.XLOOKUP(C112,'00_SKU_Master'!$B$2:$B$2000,'00_SKU_Master'!$J$2:$J$2000,""))</f>
        <v>MS DRUM LT</v>
      </c>
      <c r="C112" s="25">
        <v>7164</v>
      </c>
      <c r="D112" s="16">
        <f>_xlfn.XLOOKUP(C112,'02_TrayPack_Order'!$B$3:$B$265,'02_TrayPack_Order'!$D$3:$D$265)</f>
        <v>0</v>
      </c>
      <c r="E112" s="17">
        <f>_xlfn.XLOOKUP(C112,'02_TrayPack_Order'!$B$3:$B$265,'02_TrayPack_Order'!$M$3:$M$265,0)</f>
        <v>0</v>
      </c>
      <c r="F112" s="16">
        <f>SUMIF('13_Progress_Track'!$A$2:$A$108,C112,'13_Progress_Track'!$E$2:$E$108)</f>
        <v>0</v>
      </c>
      <c r="G112" s="16">
        <f t="shared" si="3"/>
        <v>0</v>
      </c>
      <c r="H112" s="16">
        <f t="shared" si="4"/>
        <v>0</v>
      </c>
      <c r="I112" s="25" t="str">
        <f>_xlfn.IFNA(_xlfn.XLOOKUP(C112,'00_SKU_Master'!$B$2:$B$2000,'00_SKU_Master'!$C$2:$C$2000),"")</f>
        <v>61072#2</v>
      </c>
      <c r="J112" s="97">
        <f>IFERROR(_xlfn.XLOOKUP(C112,'00_SKU_Master'!$B$2:$B$2000,'00_SKU_Master'!$F$2:$F$2000,0)*N112,0)</f>
        <v>0</v>
      </c>
      <c r="K112" s="96" t="str">
        <f>_xlfn.IFNA(_xlfn.XLOOKUP(C112,'00_SKU_Master'!$B$2:$B$2000,'00_SKU_Master'!$H$2:$H$2000,0),"")</f>
        <v>PET 8</v>
      </c>
      <c r="L112" s="96" t="str">
        <f>_xlfn.IFNA(_xlfn.XLOOKUP(C112,'00_SKU_Master'!$B$2:$B$2000,'00_SKU_Master'!$K$2:$K$2000,0),"")</f>
        <v>Fast</v>
      </c>
      <c r="M112" s="25" t="str">
        <f>_xlfn.XLOOKUP(C112,'00_SKU_Master'!$B$2:$B$2000,'00_SKU_Master'!$D$2:$D$2000)</f>
        <v>LCL</v>
      </c>
      <c r="N112" s="25">
        <f t="shared" si="5"/>
        <v>0</v>
      </c>
    </row>
    <row r="113" spans="2:14" x14ac:dyDescent="0.35">
      <c r="B113" s="25" t="str">
        <f>IF(C113="","",_xlfn.XLOOKUP(C113,'00_SKU_Master'!$B$2:$B$2000,'00_SKU_Master'!$J$2:$J$2000,""))</f>
        <v>MS LEG BA LT</v>
      </c>
      <c r="C113" s="25">
        <v>7165</v>
      </c>
      <c r="D113" s="16">
        <f>_xlfn.XLOOKUP(C113,'02_TrayPack_Order'!$B$3:$B$265,'02_TrayPack_Order'!$D$3:$D$265)</f>
        <v>0</v>
      </c>
      <c r="E113" s="17">
        <f>_xlfn.XLOOKUP(C113,'02_TrayPack_Order'!$B$3:$B$265,'02_TrayPack_Order'!$M$3:$M$265,0)</f>
        <v>0</v>
      </c>
      <c r="F113" s="16">
        <f>SUMIF('13_Progress_Track'!$A$2:$A$108,C113,'13_Progress_Track'!$E$2:$E$108)</f>
        <v>0</v>
      </c>
      <c r="G113" s="16">
        <f t="shared" si="3"/>
        <v>0</v>
      </c>
      <c r="H113" s="16">
        <f t="shared" si="4"/>
        <v>0</v>
      </c>
      <c r="I113" s="25">
        <f>_xlfn.IFNA(_xlfn.XLOOKUP(C113,'00_SKU_Master'!$B$2:$B$2000,'00_SKU_Master'!$C$2:$C$2000),"")</f>
        <v>61061</v>
      </c>
      <c r="J113" s="97">
        <f>IFERROR(_xlfn.XLOOKUP(C113,'00_SKU_Master'!$B$2:$B$2000,'00_SKU_Master'!$F$2:$F$2000,0)*N113,0)</f>
        <v>0</v>
      </c>
      <c r="K113" s="96" t="str">
        <f>_xlfn.IFNA(_xlfn.XLOOKUP(C113,'00_SKU_Master'!$B$2:$B$2000,'00_SKU_Master'!$H$2:$H$2000,0),"")</f>
        <v>PET 8</v>
      </c>
      <c r="L113" s="96" t="str">
        <f>_xlfn.IFNA(_xlfn.XLOOKUP(C113,'00_SKU_Master'!$B$2:$B$2000,'00_SKU_Master'!$K$2:$K$2000,0),"")</f>
        <v>Fast</v>
      </c>
      <c r="M113" s="25" t="str">
        <f>_xlfn.XLOOKUP(C113,'00_SKU_Master'!$B$2:$B$2000,'00_SKU_Master'!$D$2:$D$2000)</f>
        <v>LCL</v>
      </c>
      <c r="N113" s="25">
        <f t="shared" si="5"/>
        <v>0</v>
      </c>
    </row>
    <row r="114" spans="2:14" x14ac:dyDescent="0.35">
      <c r="B114" s="25" t="str">
        <f>IF(C114="","",_xlfn.XLOOKUP(C114,'00_SKU_Master'!$B$2:$B$2000,'00_SKU_Master'!$J$2:$J$2000,""))</f>
        <v>MS WING LT</v>
      </c>
      <c r="C114" s="25">
        <v>7166</v>
      </c>
      <c r="D114" s="16">
        <f>_xlfn.XLOOKUP(C114,'02_TrayPack_Order'!$B$3:$B$265,'02_TrayPack_Order'!$D$3:$D$265)</f>
        <v>0</v>
      </c>
      <c r="E114" s="17">
        <f>_xlfn.XLOOKUP(C114,'02_TrayPack_Order'!$B$3:$B$265,'02_TrayPack_Order'!$M$3:$M$265,0)</f>
        <v>0</v>
      </c>
      <c r="F114" s="16">
        <f>SUMIF('13_Progress_Track'!$A$2:$A$108,C114,'13_Progress_Track'!$E$2:$E$108)</f>
        <v>0</v>
      </c>
      <c r="G114" s="16">
        <f t="shared" si="3"/>
        <v>0</v>
      </c>
      <c r="H114" s="16">
        <f t="shared" si="4"/>
        <v>0</v>
      </c>
      <c r="I114" s="25">
        <f>_xlfn.IFNA(_xlfn.XLOOKUP(C114,'00_SKU_Master'!$B$2:$B$2000,'00_SKU_Master'!$C$2:$C$2000),"")</f>
        <v>61010</v>
      </c>
      <c r="J114" s="97">
        <f>IFERROR(_xlfn.XLOOKUP(C114,'00_SKU_Master'!$B$2:$B$2000,'00_SKU_Master'!$F$2:$F$2000,0)*N114,0)</f>
        <v>0</v>
      </c>
      <c r="K114" s="96" t="str">
        <f>_xlfn.IFNA(_xlfn.XLOOKUP(C114,'00_SKU_Master'!$B$2:$B$2000,'00_SKU_Master'!$H$2:$H$2000,0),"")</f>
        <v>PET 8</v>
      </c>
      <c r="L114" s="96" t="str">
        <f>_xlfn.IFNA(_xlfn.XLOOKUP(C114,'00_SKU_Master'!$B$2:$B$2000,'00_SKU_Master'!$K$2:$K$2000,0),"")</f>
        <v>Fast</v>
      </c>
      <c r="M114" s="25" t="str">
        <f>_xlfn.XLOOKUP(C114,'00_SKU_Master'!$B$2:$B$2000,'00_SKU_Master'!$D$2:$D$2000)</f>
        <v>LCL</v>
      </c>
      <c r="N114" s="25">
        <f t="shared" si="5"/>
        <v>0</v>
      </c>
    </row>
    <row r="115" spans="2:14" x14ac:dyDescent="0.35">
      <c r="B115" s="25" t="str">
        <f>IF(C115="","",_xlfn.XLOOKUP(C115,'00_SKU_Master'!$B$2:$B$2000,'00_SKU_Master'!$J$2:$J$2000,""))</f>
        <v>PB DRUM LT PP</v>
      </c>
      <c r="C115" s="25">
        <v>7168</v>
      </c>
      <c r="D115" s="16">
        <f>_xlfn.XLOOKUP(C115,'02_TrayPack_Order'!$B$3:$B$265,'02_TrayPack_Order'!$D$3:$D$265)</f>
        <v>0</v>
      </c>
      <c r="E115" s="17">
        <f>_xlfn.XLOOKUP(C115,'02_TrayPack_Order'!$B$3:$B$265,'02_TrayPack_Order'!$M$3:$M$265,0)</f>
        <v>0</v>
      </c>
      <c r="F115" s="16">
        <f>SUMIF('13_Progress_Track'!$A$2:$A$108,C115,'13_Progress_Track'!$E$2:$E$108)</f>
        <v>0</v>
      </c>
      <c r="G115" s="16">
        <f t="shared" si="3"/>
        <v>0</v>
      </c>
      <c r="H115" s="16">
        <f t="shared" si="4"/>
        <v>0</v>
      </c>
      <c r="I115" s="25" t="str">
        <f>_xlfn.IFNA(_xlfn.XLOOKUP(C115,'00_SKU_Master'!$B$2:$B$2000,'00_SKU_Master'!$C$2:$C$2000),"")</f>
        <v>61072#2</v>
      </c>
      <c r="J115" s="97">
        <f>IFERROR(_xlfn.XLOOKUP(C115,'00_SKU_Master'!$B$2:$B$2000,'00_SKU_Master'!$F$2:$F$2000,0)*N115,0)</f>
        <v>0</v>
      </c>
      <c r="K115" s="96" t="str">
        <f>_xlfn.IFNA(_xlfn.XLOOKUP(C115,'00_SKU_Master'!$B$2:$B$2000,'00_SKU_Master'!$H$2:$H$2000,0),"")</f>
        <v>PET 8</v>
      </c>
      <c r="L115" s="96" t="str">
        <f>_xlfn.IFNA(_xlfn.XLOOKUP(C115,'00_SKU_Master'!$B$2:$B$2000,'00_SKU_Master'!$K$2:$K$2000,0),"")</f>
        <v>Fast</v>
      </c>
      <c r="M115" s="25" t="str">
        <f>_xlfn.XLOOKUP(C115,'00_SKU_Master'!$B$2:$B$2000,'00_SKU_Master'!$D$2:$D$2000)</f>
        <v>LCL</v>
      </c>
      <c r="N115" s="25">
        <f t="shared" si="5"/>
        <v>0</v>
      </c>
    </row>
    <row r="116" spans="2:14" x14ac:dyDescent="0.35">
      <c r="B116" s="25" t="str">
        <f>IF(C116="","",_xlfn.XLOOKUP(C116,'00_SKU_Master'!$B$2:$B$2000,'00_SKU_Master'!$J$2:$J$2000,""))</f>
        <v>PB THIGH LT PP</v>
      </c>
      <c r="C116" s="25">
        <v>7169</v>
      </c>
      <c r="D116" s="16">
        <f>_xlfn.XLOOKUP(C116,'02_TrayPack_Order'!$B$3:$B$265,'02_TrayPack_Order'!$D$3:$D$265)</f>
        <v>0</v>
      </c>
      <c r="E116" s="17">
        <f>_xlfn.XLOOKUP(C116,'02_TrayPack_Order'!$B$3:$B$265,'02_TrayPack_Order'!$M$3:$M$265,0)</f>
        <v>0</v>
      </c>
      <c r="F116" s="16">
        <f>SUMIF('13_Progress_Track'!$A$2:$A$108,C116,'13_Progress_Track'!$E$2:$E$108)</f>
        <v>0</v>
      </c>
      <c r="G116" s="16">
        <f t="shared" si="3"/>
        <v>0</v>
      </c>
      <c r="H116" s="16">
        <f t="shared" si="4"/>
        <v>0</v>
      </c>
      <c r="I116" s="25">
        <f>_xlfn.IFNA(_xlfn.XLOOKUP(C116,'00_SKU_Master'!$B$2:$B$2000,'00_SKU_Master'!$C$2:$C$2000),"")</f>
        <v>61082</v>
      </c>
      <c r="J116" s="97">
        <f>IFERROR(_xlfn.XLOOKUP(C116,'00_SKU_Master'!$B$2:$B$2000,'00_SKU_Master'!$F$2:$F$2000,0)*N116,0)</f>
        <v>0</v>
      </c>
      <c r="K116" s="96" t="str">
        <f>_xlfn.IFNA(_xlfn.XLOOKUP(C116,'00_SKU_Master'!$B$2:$B$2000,'00_SKU_Master'!$H$2:$H$2000,0),"")</f>
        <v>PET 8</v>
      </c>
      <c r="L116" s="96" t="str">
        <f>_xlfn.IFNA(_xlfn.XLOOKUP(C116,'00_SKU_Master'!$B$2:$B$2000,'00_SKU_Master'!$K$2:$K$2000,0),"")</f>
        <v>Fast</v>
      </c>
      <c r="M116" s="25" t="str">
        <f>_xlfn.XLOOKUP(C116,'00_SKU_Master'!$B$2:$B$2000,'00_SKU_Master'!$D$2:$D$2000)</f>
        <v>LCL</v>
      </c>
      <c r="N116" s="25">
        <f t="shared" si="5"/>
        <v>0</v>
      </c>
    </row>
    <row r="117" spans="2:14" x14ac:dyDescent="0.35">
      <c r="B117" s="25" t="str">
        <f>IF(C117="","",_xlfn.XLOOKUP(C117,'00_SKU_Master'!$B$2:$B$2000,'00_SKU_Master'!$J$2:$J$2000,""))</f>
        <v>PB BSTHIGH LT PP</v>
      </c>
      <c r="C117" s="25">
        <v>7171</v>
      </c>
      <c r="D117" s="16">
        <f>_xlfn.XLOOKUP(C117,'02_TrayPack_Order'!$B$3:$B$265,'02_TrayPack_Order'!$D$3:$D$265)</f>
        <v>0</v>
      </c>
      <c r="E117" s="17">
        <f>_xlfn.XLOOKUP(C117,'02_TrayPack_Order'!$B$3:$B$265,'02_TrayPack_Order'!$M$3:$M$265,0)</f>
        <v>0</v>
      </c>
      <c r="F117" s="16">
        <f>SUMIF('13_Progress_Track'!$A$2:$A$108,C117,'13_Progress_Track'!$E$2:$E$108)</f>
        <v>0</v>
      </c>
      <c r="G117" s="16">
        <f t="shared" si="3"/>
        <v>0</v>
      </c>
      <c r="H117" s="16">
        <f t="shared" si="4"/>
        <v>0</v>
      </c>
      <c r="I117" s="25" t="str">
        <f>_xlfn.IFNA(_xlfn.XLOOKUP(C117,'00_SKU_Master'!$B$2:$B$2000,'00_SKU_Master'!$C$2:$C$2000),"")</f>
        <v>61086#2</v>
      </c>
      <c r="J117" s="97">
        <f>IFERROR(_xlfn.XLOOKUP(C117,'00_SKU_Master'!$B$2:$B$2000,'00_SKU_Master'!$F$2:$F$2000,0)*N117,0)</f>
        <v>0</v>
      </c>
      <c r="K117" s="96" t="str">
        <f>_xlfn.IFNA(_xlfn.XLOOKUP(C117,'00_SKU_Master'!$B$2:$B$2000,'00_SKU_Master'!$H$2:$H$2000,0),"")</f>
        <v>PET 8</v>
      </c>
      <c r="L117" s="96" t="str">
        <f>_xlfn.IFNA(_xlfn.XLOOKUP(C117,'00_SKU_Master'!$B$2:$B$2000,'00_SKU_Master'!$K$2:$K$2000,0),"")</f>
        <v>Slow</v>
      </c>
      <c r="M117" s="25" t="str">
        <f>_xlfn.XLOOKUP(C117,'00_SKU_Master'!$B$2:$B$2000,'00_SKU_Master'!$D$2:$D$2000)</f>
        <v>LCL</v>
      </c>
      <c r="N117" s="25">
        <f t="shared" si="5"/>
        <v>0</v>
      </c>
    </row>
    <row r="118" spans="2:14" x14ac:dyDescent="0.35">
      <c r="B118" s="25" t="str">
        <f>IF(C118="","",_xlfn.XLOOKUP(C118,'00_SKU_Master'!$B$2:$B$2000,'00_SKU_Master'!$J$2:$J$2000,""))</f>
        <v>MS DRUM LCP</v>
      </c>
      <c r="C118" s="25">
        <v>7173</v>
      </c>
      <c r="D118" s="16">
        <f>_xlfn.XLOOKUP(C118,'02_TrayPack_Order'!$B$3:$B$265,'02_TrayPack_Order'!$D$3:$D$265)</f>
        <v>0</v>
      </c>
      <c r="E118" s="17">
        <f>_xlfn.XLOOKUP(C118,'02_TrayPack_Order'!$B$3:$B$265,'02_TrayPack_Order'!$M$3:$M$265,0)</f>
        <v>0</v>
      </c>
      <c r="F118" s="16">
        <f>SUMIF('13_Progress_Track'!$A$2:$A$108,C118,'13_Progress_Track'!$E$2:$E$108)</f>
        <v>0</v>
      </c>
      <c r="G118" s="16">
        <f t="shared" si="3"/>
        <v>0</v>
      </c>
      <c r="H118" s="16">
        <f t="shared" si="4"/>
        <v>0</v>
      </c>
      <c r="I118" s="25" t="str">
        <f>_xlfn.IFNA(_xlfn.XLOOKUP(C118,'00_SKU_Master'!$B$2:$B$2000,'00_SKU_Master'!$C$2:$C$2000),"")</f>
        <v>61072#2</v>
      </c>
      <c r="J118" s="97">
        <f>IFERROR(_xlfn.XLOOKUP(C118,'00_SKU_Master'!$B$2:$B$2000,'00_SKU_Master'!$F$2:$F$2000,0)*N118,0)</f>
        <v>0</v>
      </c>
      <c r="K118" s="96" t="str">
        <f>_xlfn.IFNA(_xlfn.XLOOKUP(C118,'00_SKU_Master'!$B$2:$B$2000,'00_SKU_Master'!$H$2:$H$2000,0),"")</f>
        <v>LT 14D</v>
      </c>
      <c r="L118" s="96" t="str">
        <f>_xlfn.IFNA(_xlfn.XLOOKUP(C118,'00_SKU_Master'!$B$2:$B$2000,'00_SKU_Master'!$K$2:$K$2000,0),"")</f>
        <v>Fast</v>
      </c>
      <c r="M118" s="25" t="str">
        <f>_xlfn.XLOOKUP(C118,'00_SKU_Master'!$B$2:$B$2000,'00_SKU_Master'!$D$2:$D$2000)</f>
        <v>LCL</v>
      </c>
      <c r="N118" s="25">
        <f t="shared" si="5"/>
        <v>0</v>
      </c>
    </row>
    <row r="119" spans="2:14" x14ac:dyDescent="0.35">
      <c r="B119" s="25" t="str">
        <f>IF(C119="","",_xlfn.XLOOKUP(C119,'00_SKU_Master'!$B$2:$B$2000,'00_SKU_Master'!$J$2:$J$2000,""))</f>
        <v>PB 1.1-1.4 FRY WOG TI 2/LT</v>
      </c>
      <c r="C119" s="25">
        <v>7178</v>
      </c>
      <c r="D119" s="16">
        <f>_xlfn.XLOOKUP(C119,'02_TrayPack_Order'!$B$3:$B$265,'02_TrayPack_Order'!$D$3:$D$265)</f>
        <v>0</v>
      </c>
      <c r="E119" s="17">
        <f>_xlfn.XLOOKUP(C119,'02_TrayPack_Order'!$B$3:$B$265,'02_TrayPack_Order'!$M$3:$M$265,0)</f>
        <v>0</v>
      </c>
      <c r="F119" s="16">
        <f>SUMIF('13_Progress_Track'!$A$2:$A$108,C119,'13_Progress_Track'!$E$2:$E$108)</f>
        <v>0</v>
      </c>
      <c r="G119" s="16">
        <f t="shared" si="3"/>
        <v>0</v>
      </c>
      <c r="H119" s="16">
        <f t="shared" si="4"/>
        <v>0</v>
      </c>
      <c r="I119" s="25">
        <f>_xlfn.IFNA(_xlfn.XLOOKUP(C119,'00_SKU_Master'!$B$2:$B$2000,'00_SKU_Master'!$C$2:$C$2000),"")</f>
        <v>203891</v>
      </c>
      <c r="J119" s="97">
        <f>IFERROR(_xlfn.XLOOKUP(C119,'00_SKU_Master'!$B$2:$B$2000,'00_SKU_Master'!$F$2:$F$2000,0)*N119,0)</f>
        <v>0</v>
      </c>
      <c r="K119" s="96" t="str">
        <f>_xlfn.IFNA(_xlfn.XLOOKUP(C119,'00_SKU_Master'!$B$2:$B$2000,'00_SKU_Master'!$H$2:$H$2000,0),"")</f>
        <v>PET 9</v>
      </c>
      <c r="L119" s="96" t="str">
        <f>_xlfn.IFNA(_xlfn.XLOOKUP(C119,'00_SKU_Master'!$B$2:$B$2000,'00_SKU_Master'!$K$2:$K$2000,0),"")</f>
        <v>Fast</v>
      </c>
      <c r="M119" s="25" t="str">
        <f>_xlfn.XLOOKUP(C119,'00_SKU_Master'!$B$2:$B$2000,'00_SKU_Master'!$D$2:$D$2000)</f>
        <v>LCL</v>
      </c>
      <c r="N119" s="25">
        <f t="shared" si="5"/>
        <v>0</v>
      </c>
    </row>
    <row r="120" spans="2:14" x14ac:dyDescent="0.35">
      <c r="B120" s="25" t="str">
        <f>IF(C120="","",_xlfn.XLOOKUP(C120,'00_SKU_Master'!$B$2:$B$2000,'00_SKU_Master'!$J$2:$J$2000,""))</f>
        <v>MS BSHB LT PP</v>
      </c>
      <c r="C120" s="25">
        <v>7179</v>
      </c>
      <c r="D120" s="16">
        <f>_xlfn.XLOOKUP(C120,'02_TrayPack_Order'!$B$3:$B$265,'02_TrayPack_Order'!$D$3:$D$265)</f>
        <v>0</v>
      </c>
      <c r="E120" s="17">
        <f>_xlfn.XLOOKUP(C120,'02_TrayPack_Order'!$B$3:$B$265,'02_TrayPack_Order'!$M$3:$M$265,0)</f>
        <v>0</v>
      </c>
      <c r="F120" s="16">
        <f>SUMIF('13_Progress_Track'!$A$2:$A$108,C120,'13_Progress_Track'!$E$2:$E$108)</f>
        <v>0</v>
      </c>
      <c r="G120" s="16">
        <f t="shared" si="3"/>
        <v>0</v>
      </c>
      <c r="H120" s="16">
        <f t="shared" si="4"/>
        <v>0</v>
      </c>
      <c r="I120" s="25" t="str">
        <f>_xlfn.IFNA(_xlfn.XLOOKUP(C120,'00_SKU_Master'!$B$2:$B$2000,'00_SKU_Master'!$C$2:$C$2000),"")</f>
        <v>61050#2</v>
      </c>
      <c r="J120" s="97">
        <f>IFERROR(_xlfn.XLOOKUP(C120,'00_SKU_Master'!$B$2:$B$2000,'00_SKU_Master'!$F$2:$F$2000,0)*N120,0)</f>
        <v>0</v>
      </c>
      <c r="K120" s="96" t="str">
        <f>_xlfn.IFNA(_xlfn.XLOOKUP(C120,'00_SKU_Master'!$B$2:$B$2000,'00_SKU_Master'!$H$2:$H$2000,0),"")</f>
        <v>PET 8</v>
      </c>
      <c r="L120" s="96" t="str">
        <f>_xlfn.IFNA(_xlfn.XLOOKUP(C120,'00_SKU_Master'!$B$2:$B$2000,'00_SKU_Master'!$K$2:$K$2000,0),"")</f>
        <v>Fast</v>
      </c>
      <c r="M120" s="25" t="str">
        <f>_xlfn.XLOOKUP(C120,'00_SKU_Master'!$B$2:$B$2000,'00_SKU_Master'!$D$2:$D$2000)</f>
        <v>LCL</v>
      </c>
      <c r="N120" s="25">
        <f t="shared" si="5"/>
        <v>0</v>
      </c>
    </row>
    <row r="121" spans="2:14" x14ac:dyDescent="0.35">
      <c r="B121" s="25" t="str">
        <f>IF(C121="","",_xlfn.XLOOKUP(C121,'00_SKU_Master'!$B$2:$B$2000,'00_SKU_Master'!$J$2:$J$2000,""))</f>
        <v>PB PC DRUM AC PET 8</v>
      </c>
      <c r="C121" s="25">
        <v>7188</v>
      </c>
      <c r="D121" s="16">
        <f>_xlfn.XLOOKUP(C121,'02_TrayPack_Order'!$B$3:$B$265,'02_TrayPack_Order'!$D$3:$D$265)</f>
        <v>0</v>
      </c>
      <c r="E121" s="17">
        <f>_xlfn.XLOOKUP(C121,'02_TrayPack_Order'!$B$3:$B$265,'02_TrayPack_Order'!$M$3:$M$265,0)</f>
        <v>0</v>
      </c>
      <c r="F121" s="16">
        <f>SUMIF('13_Progress_Track'!$A$2:$A$108,C121,'13_Progress_Track'!$E$2:$E$108)</f>
        <v>0</v>
      </c>
      <c r="G121" s="16">
        <f t="shared" si="3"/>
        <v>0</v>
      </c>
      <c r="H121" s="16">
        <f t="shared" si="4"/>
        <v>0</v>
      </c>
      <c r="I121" s="25">
        <f>_xlfn.IFNA(_xlfn.XLOOKUP(C121,'00_SKU_Master'!$B$2:$B$2000,'00_SKU_Master'!$C$2:$C$2000),"")</f>
        <v>61072</v>
      </c>
      <c r="J121" s="97">
        <f>IFERROR(_xlfn.XLOOKUP(C121,'00_SKU_Master'!$B$2:$B$2000,'00_SKU_Master'!$F$2:$F$2000,0)*N121,0)</f>
        <v>0</v>
      </c>
      <c r="K121" s="96" t="str">
        <f>_xlfn.IFNA(_xlfn.XLOOKUP(C121,'00_SKU_Master'!$B$2:$B$2000,'00_SKU_Master'!$H$2:$H$2000,0),"")</f>
        <v>PET 8</v>
      </c>
      <c r="L121" s="96" t="str">
        <f>_xlfn.IFNA(_xlfn.XLOOKUP(C121,'00_SKU_Master'!$B$2:$B$2000,'00_SKU_Master'!$K$2:$K$2000,0),"")</f>
        <v>Fast</v>
      </c>
      <c r="M121" s="25" t="str">
        <f>_xlfn.XLOOKUP(C121,'00_SKU_Master'!$B$2:$B$2000,'00_SKU_Master'!$D$2:$D$2000)</f>
        <v>LCL</v>
      </c>
      <c r="N121" s="25">
        <f t="shared" si="5"/>
        <v>0</v>
      </c>
    </row>
    <row r="122" spans="2:14" x14ac:dyDescent="0.35">
      <c r="B122" s="25" t="str">
        <f>IF(C122="","",_xlfn.XLOOKUP(C122,'00_SKU_Master'!$B$2:$B$2000,'00_SKU_Master'!$J$2:$J$2000,""))</f>
        <v>PB PC THIGH AC PET 8</v>
      </c>
      <c r="C122" s="25">
        <v>7189</v>
      </c>
      <c r="D122" s="16">
        <f>_xlfn.XLOOKUP(C122,'02_TrayPack_Order'!$B$3:$B$265,'02_TrayPack_Order'!$D$3:$D$265)</f>
        <v>0</v>
      </c>
      <c r="E122" s="17">
        <f>_xlfn.XLOOKUP(C122,'02_TrayPack_Order'!$B$3:$B$265,'02_TrayPack_Order'!$M$3:$M$265,0)</f>
        <v>0</v>
      </c>
      <c r="F122" s="16">
        <f>SUMIF('13_Progress_Track'!$A$2:$A$108,C122,'13_Progress_Track'!$E$2:$E$108)</f>
        <v>0</v>
      </c>
      <c r="G122" s="16">
        <f t="shared" si="3"/>
        <v>0</v>
      </c>
      <c r="H122" s="16">
        <f t="shared" si="4"/>
        <v>0</v>
      </c>
      <c r="I122" s="25">
        <f>_xlfn.IFNA(_xlfn.XLOOKUP(C122,'00_SKU_Master'!$B$2:$B$2000,'00_SKU_Master'!$C$2:$C$2000),"")</f>
        <v>61077</v>
      </c>
      <c r="J122" s="97">
        <f>IFERROR(_xlfn.XLOOKUP(C122,'00_SKU_Master'!$B$2:$B$2000,'00_SKU_Master'!$F$2:$F$2000,0)*N122,0)</f>
        <v>0</v>
      </c>
      <c r="K122" s="96" t="str">
        <f>_xlfn.IFNA(_xlfn.XLOOKUP(C122,'00_SKU_Master'!$B$2:$B$2000,'00_SKU_Master'!$H$2:$H$2000,0),"")</f>
        <v>PET 8</v>
      </c>
      <c r="L122" s="96" t="str">
        <f>_xlfn.IFNA(_xlfn.XLOOKUP(C122,'00_SKU_Master'!$B$2:$B$2000,'00_SKU_Master'!$K$2:$K$2000,0),"")</f>
        <v>Fast</v>
      </c>
      <c r="M122" s="25" t="str">
        <f>_xlfn.XLOOKUP(C122,'00_SKU_Master'!$B$2:$B$2000,'00_SKU_Master'!$D$2:$D$2000)</f>
        <v>LCL</v>
      </c>
      <c r="N122" s="25">
        <f t="shared" si="5"/>
        <v>0</v>
      </c>
    </row>
    <row r="123" spans="2:14" x14ac:dyDescent="0.35">
      <c r="B123" s="25" t="str">
        <f>IF(C123="","",_xlfn.XLOOKUP(C123,'00_SKU_Master'!$B$2:$B$2000,'00_SKU_Master'!$J$2:$J$2000,""))</f>
        <v>PB LEG BA LT PP</v>
      </c>
      <c r="C123" s="25">
        <v>7191</v>
      </c>
      <c r="D123" s="16">
        <f>_xlfn.XLOOKUP(C123,'02_TrayPack_Order'!$B$3:$B$265,'02_TrayPack_Order'!$D$3:$D$265)</f>
        <v>0</v>
      </c>
      <c r="E123" s="17">
        <f>_xlfn.XLOOKUP(C123,'02_TrayPack_Order'!$B$3:$B$265,'02_TrayPack_Order'!$M$3:$M$265,0)</f>
        <v>0</v>
      </c>
      <c r="F123" s="16">
        <f>SUMIF('13_Progress_Track'!$A$2:$A$108,C123,'13_Progress_Track'!$E$2:$E$108)</f>
        <v>0</v>
      </c>
      <c r="G123" s="16">
        <f t="shared" si="3"/>
        <v>0</v>
      </c>
      <c r="H123" s="16">
        <f t="shared" si="4"/>
        <v>0</v>
      </c>
      <c r="I123" s="25">
        <f>_xlfn.IFNA(_xlfn.XLOOKUP(C123,'00_SKU_Master'!$B$2:$B$2000,'00_SKU_Master'!$C$2:$C$2000),"")</f>
        <v>61061</v>
      </c>
      <c r="J123" s="97">
        <f>IFERROR(_xlfn.XLOOKUP(C123,'00_SKU_Master'!$B$2:$B$2000,'00_SKU_Master'!$F$2:$F$2000,0)*N123,0)</f>
        <v>0</v>
      </c>
      <c r="K123" s="96" t="str">
        <f>_xlfn.IFNA(_xlfn.XLOOKUP(C123,'00_SKU_Master'!$B$2:$B$2000,'00_SKU_Master'!$H$2:$H$2000,0),"")</f>
        <v>PET 8</v>
      </c>
      <c r="L123" s="96" t="str">
        <f>_xlfn.IFNA(_xlfn.XLOOKUP(C123,'00_SKU_Master'!$B$2:$B$2000,'00_SKU_Master'!$K$2:$K$2000,0),"")</f>
        <v>Fast</v>
      </c>
      <c r="M123" s="25" t="str">
        <f>_xlfn.XLOOKUP(C123,'00_SKU_Master'!$B$2:$B$2000,'00_SKU_Master'!$D$2:$D$2000)</f>
        <v>LCL</v>
      </c>
      <c r="N123" s="25">
        <f t="shared" si="5"/>
        <v>0</v>
      </c>
    </row>
    <row r="124" spans="2:14" x14ac:dyDescent="0.35">
      <c r="B124" s="25" t="str">
        <f>IF(C124="","",_xlfn.XLOOKUP(C124,'00_SKU_Master'!$B$2:$B$2000,'00_SKU_Master'!$J$2:$J$2000,""))</f>
        <v>RWA FRY WOG AC TI 2/LT</v>
      </c>
      <c r="C124" s="25">
        <v>7192</v>
      </c>
      <c r="D124" s="16">
        <f>_xlfn.XLOOKUP(C124,'02_TrayPack_Order'!$B$3:$B$265,'02_TrayPack_Order'!$D$3:$D$265)</f>
        <v>0</v>
      </c>
      <c r="E124" s="17">
        <f>_xlfn.XLOOKUP(C124,'02_TrayPack_Order'!$B$3:$B$265,'02_TrayPack_Order'!$M$3:$M$265,0)</f>
        <v>0</v>
      </c>
      <c r="F124" s="16">
        <f>SUMIF('13_Progress_Track'!$A$2:$A$108,C124,'13_Progress_Track'!$E$2:$E$108)</f>
        <v>0</v>
      </c>
      <c r="G124" s="16">
        <f t="shared" si="3"/>
        <v>0</v>
      </c>
      <c r="H124" s="16">
        <f t="shared" si="4"/>
        <v>0</v>
      </c>
      <c r="I124" s="25">
        <f>_xlfn.IFNA(_xlfn.XLOOKUP(C124,'00_SKU_Master'!$B$2:$B$2000,'00_SKU_Master'!$C$2:$C$2000),"")</f>
        <v>203152</v>
      </c>
      <c r="J124" s="97">
        <f>IFERROR(_xlfn.XLOOKUP(C124,'00_SKU_Master'!$B$2:$B$2000,'00_SKU_Master'!$F$2:$F$2000,0)*N124,0)</f>
        <v>0</v>
      </c>
      <c r="K124" s="96" t="str">
        <f>_xlfn.IFNA(_xlfn.XLOOKUP(C124,'00_SKU_Master'!$B$2:$B$2000,'00_SKU_Master'!$H$2:$H$2000,0),"")</f>
        <v>PET 9</v>
      </c>
      <c r="L124" s="96" t="str">
        <f>_xlfn.IFNA(_xlfn.XLOOKUP(C124,'00_SKU_Master'!$B$2:$B$2000,'00_SKU_Master'!$K$2:$K$2000,0),"")</f>
        <v>Fast</v>
      </c>
      <c r="M124" s="25" t="str">
        <f>_xlfn.XLOOKUP(C124,'00_SKU_Master'!$B$2:$B$2000,'00_SKU_Master'!$D$2:$D$2000)</f>
        <v>RWA</v>
      </c>
      <c r="N124" s="25">
        <f t="shared" si="5"/>
        <v>0</v>
      </c>
    </row>
    <row r="125" spans="2:14" x14ac:dyDescent="0.35">
      <c r="B125" s="25" t="str">
        <f>IF(C125="","",_xlfn.XLOOKUP(C125,'00_SKU_Master'!$B$2:$B$2000,'00_SKU_Master'!$J$2:$J$2000,""))</f>
        <v>MS DRUM LCP</v>
      </c>
      <c r="C125" s="25">
        <v>7193</v>
      </c>
      <c r="D125" s="16">
        <f>_xlfn.XLOOKUP(C125,'02_TrayPack_Order'!$B$3:$B$265,'02_TrayPack_Order'!$D$3:$D$265)</f>
        <v>0</v>
      </c>
      <c r="E125" s="17">
        <f>_xlfn.XLOOKUP(C125,'02_TrayPack_Order'!$B$3:$B$265,'02_TrayPack_Order'!$M$3:$M$265,0)</f>
        <v>0</v>
      </c>
      <c r="F125" s="16">
        <f>SUMIF('13_Progress_Track'!$A$2:$A$108,C125,'13_Progress_Track'!$E$2:$E$108)</f>
        <v>0</v>
      </c>
      <c r="G125" s="16">
        <f t="shared" si="3"/>
        <v>0</v>
      </c>
      <c r="H125" s="16">
        <f t="shared" si="4"/>
        <v>0</v>
      </c>
      <c r="I125" s="25" t="str">
        <f>_xlfn.IFNA(_xlfn.XLOOKUP(C125,'00_SKU_Master'!$B$2:$B$2000,'00_SKU_Master'!$C$2:$C$2000),"")</f>
        <v>61072#2</v>
      </c>
      <c r="J125" s="97">
        <f>IFERROR(_xlfn.XLOOKUP(C125,'00_SKU_Master'!$B$2:$B$2000,'00_SKU_Master'!$F$2:$F$2000,0)*N125,0)</f>
        <v>0</v>
      </c>
      <c r="K125" s="96" t="str">
        <f>_xlfn.IFNA(_xlfn.XLOOKUP(C125,'00_SKU_Master'!$B$2:$B$2000,'00_SKU_Master'!$H$2:$H$2000,0),"")</f>
        <v>LT 14D</v>
      </c>
      <c r="L125" s="96" t="str">
        <f>_xlfn.IFNA(_xlfn.XLOOKUP(C125,'00_SKU_Master'!$B$2:$B$2000,'00_SKU_Master'!$K$2:$K$2000,0),"")</f>
        <v>Fast</v>
      </c>
      <c r="M125" s="25" t="str">
        <f>_xlfn.XLOOKUP(C125,'00_SKU_Master'!$B$2:$B$2000,'00_SKU_Master'!$D$2:$D$2000)</f>
        <v>LCL</v>
      </c>
      <c r="N125" s="25">
        <f t="shared" si="5"/>
        <v>0</v>
      </c>
    </row>
    <row r="126" spans="2:14" x14ac:dyDescent="0.35">
      <c r="B126" s="25" t="str">
        <f>IF(C126="","",_xlfn.XLOOKUP(C126,'00_SKU_Master'!$B$2:$B$2000,'00_SKU_Master'!$J$2:$J$2000,""))</f>
        <v>RWA MS MLF HB AC PET 3</v>
      </c>
      <c r="C126" s="25">
        <v>7229</v>
      </c>
      <c r="D126" s="16">
        <f>_xlfn.XLOOKUP(C126,'02_TrayPack_Order'!$B$3:$B$265,'02_TrayPack_Order'!$D$3:$D$265)</f>
        <v>0</v>
      </c>
      <c r="E126" s="17">
        <f>_xlfn.XLOOKUP(C126,'02_TrayPack_Order'!$B$3:$B$265,'02_TrayPack_Order'!$M$3:$M$265,0)</f>
        <v>0</v>
      </c>
      <c r="F126" s="16">
        <f>SUMIF('13_Progress_Track'!$A$2:$A$108,C126,'13_Progress_Track'!$E$2:$E$108)</f>
        <v>0</v>
      </c>
      <c r="G126" s="16">
        <f t="shared" si="3"/>
        <v>0</v>
      </c>
      <c r="H126" s="16">
        <f t="shared" si="4"/>
        <v>0</v>
      </c>
      <c r="I126" s="25">
        <f>_xlfn.IFNA(_xlfn.XLOOKUP(C126,'00_SKU_Master'!$B$2:$B$2000,'00_SKU_Master'!$C$2:$C$2000),"")</f>
        <v>61042</v>
      </c>
      <c r="J126" s="97">
        <f>IFERROR(_xlfn.XLOOKUP(C126,'00_SKU_Master'!$B$2:$B$2000,'00_SKU_Master'!$F$2:$F$2000,0)*N126,0)</f>
        <v>0</v>
      </c>
      <c r="K126" s="96" t="str">
        <f>_xlfn.IFNA(_xlfn.XLOOKUP(C126,'00_SKU_Master'!$B$2:$B$2000,'00_SKU_Master'!$H$2:$H$2000,0),"")</f>
        <v>PET 3</v>
      </c>
      <c r="L126" s="96" t="str">
        <f>_xlfn.IFNA(_xlfn.XLOOKUP(C126,'00_SKU_Master'!$B$2:$B$2000,'00_SKU_Master'!$K$2:$K$2000,0),"")</f>
        <v>Fast</v>
      </c>
      <c r="M126" s="25" t="str">
        <f>_xlfn.XLOOKUP(C126,'00_SKU_Master'!$B$2:$B$2000,'00_SKU_Master'!$D$2:$D$2000)</f>
        <v>RWA</v>
      </c>
      <c r="N126" s="25">
        <f t="shared" si="5"/>
        <v>0</v>
      </c>
    </row>
    <row r="127" spans="2:14" x14ac:dyDescent="0.35">
      <c r="B127" s="25" t="str">
        <f>IF(C127="","",_xlfn.XLOOKUP(C127,'00_SKU_Master'!$B$2:$B$2000,'00_SKU_Master'!$J$2:$J$2000,""))</f>
        <v>RWA PB PC BM SKLS HB AC PET 3</v>
      </c>
      <c r="C127" s="25">
        <v>7230</v>
      </c>
      <c r="D127" s="16">
        <f>_xlfn.XLOOKUP(C127,'02_TrayPack_Order'!$B$3:$B$265,'02_TrayPack_Order'!$D$3:$D$265)</f>
        <v>0</v>
      </c>
      <c r="E127" s="17">
        <f>_xlfn.XLOOKUP(C127,'02_TrayPack_Order'!$B$3:$B$265,'02_TrayPack_Order'!$M$3:$M$265,0)</f>
        <v>0</v>
      </c>
      <c r="F127" s="16">
        <f>SUMIF('13_Progress_Track'!$A$2:$A$108,C127,'13_Progress_Track'!$E$2:$E$108)</f>
        <v>0</v>
      </c>
      <c r="G127" s="16">
        <f t="shared" si="3"/>
        <v>0</v>
      </c>
      <c r="H127" s="16">
        <f t="shared" si="4"/>
        <v>0</v>
      </c>
      <c r="I127" s="25">
        <f>_xlfn.IFNA(_xlfn.XLOOKUP(C127,'00_SKU_Master'!$B$2:$B$2000,'00_SKU_Master'!$C$2:$C$2000),"")</f>
        <v>61049</v>
      </c>
      <c r="J127" s="97">
        <f>IFERROR(_xlfn.XLOOKUP(C127,'00_SKU_Master'!$B$2:$B$2000,'00_SKU_Master'!$F$2:$F$2000,0)*N127,0)</f>
        <v>0</v>
      </c>
      <c r="K127" s="96" t="str">
        <f>_xlfn.IFNA(_xlfn.XLOOKUP(C127,'00_SKU_Master'!$B$2:$B$2000,'00_SKU_Master'!$H$2:$H$2000,0),"")</f>
        <v>PET 3</v>
      </c>
      <c r="L127" s="96" t="str">
        <f>_xlfn.IFNA(_xlfn.XLOOKUP(C127,'00_SKU_Master'!$B$2:$B$2000,'00_SKU_Master'!$K$2:$K$2000,0),"")</f>
        <v>Fast</v>
      </c>
      <c r="M127" s="25" t="str">
        <f>_xlfn.XLOOKUP(C127,'00_SKU_Master'!$B$2:$B$2000,'00_SKU_Master'!$D$2:$D$2000)</f>
        <v>RWA</v>
      </c>
      <c r="N127" s="25">
        <f t="shared" si="5"/>
        <v>0</v>
      </c>
    </row>
    <row r="128" spans="2:14" x14ac:dyDescent="0.35">
      <c r="B128" s="25" t="str">
        <f>IF(C128="","",_xlfn.XLOOKUP(C128,'00_SKU_Master'!$B$2:$B$2000,'00_SKU_Master'!$J$2:$J$2000,""))</f>
        <v>RWA BSHB AC PET 3</v>
      </c>
      <c r="C128" s="25">
        <v>7231</v>
      </c>
      <c r="D128" s="16">
        <f>_xlfn.XLOOKUP(C128,'02_TrayPack_Order'!$B$3:$B$265,'02_TrayPack_Order'!$D$3:$D$265)</f>
        <v>0</v>
      </c>
      <c r="E128" s="17">
        <f>_xlfn.XLOOKUP(C128,'02_TrayPack_Order'!$B$3:$B$265,'02_TrayPack_Order'!$M$3:$M$265,0)</f>
        <v>0</v>
      </c>
      <c r="F128" s="16">
        <f>SUMIF('13_Progress_Track'!$A$2:$A$108,C128,'13_Progress_Track'!$E$2:$E$108)</f>
        <v>0</v>
      </c>
      <c r="G128" s="16">
        <f t="shared" si="3"/>
        <v>0</v>
      </c>
      <c r="H128" s="16">
        <f t="shared" si="4"/>
        <v>0</v>
      </c>
      <c r="I128" s="25">
        <f>_xlfn.IFNA(_xlfn.XLOOKUP(C128,'00_SKU_Master'!$B$2:$B$2000,'00_SKU_Master'!$C$2:$C$2000),"")</f>
        <v>61051</v>
      </c>
      <c r="J128" s="97">
        <f>IFERROR(_xlfn.XLOOKUP(C128,'00_SKU_Master'!$B$2:$B$2000,'00_SKU_Master'!$F$2:$F$2000,0)*N128,0)</f>
        <v>0</v>
      </c>
      <c r="K128" s="96" t="str">
        <f>_xlfn.IFNA(_xlfn.XLOOKUP(C128,'00_SKU_Master'!$B$2:$B$2000,'00_SKU_Master'!$H$2:$H$2000,0),"")</f>
        <v>PET 3</v>
      </c>
      <c r="L128" s="96" t="str">
        <f>_xlfn.IFNA(_xlfn.XLOOKUP(C128,'00_SKU_Master'!$B$2:$B$2000,'00_SKU_Master'!$K$2:$K$2000,0),"")</f>
        <v>Fast</v>
      </c>
      <c r="M128" s="25" t="str">
        <f>_xlfn.XLOOKUP(C128,'00_SKU_Master'!$B$2:$B$2000,'00_SKU_Master'!$D$2:$D$2000)</f>
        <v>RWA</v>
      </c>
      <c r="N128" s="25">
        <f t="shared" si="5"/>
        <v>0</v>
      </c>
    </row>
    <row r="129" spans="2:14" x14ac:dyDescent="0.35">
      <c r="B129" s="25" t="str">
        <f>IF(C129="","",_xlfn.XLOOKUP(C129,'00_SKU_Master'!$B$2:$B$2000,'00_SKU_Master'!$J$2:$J$2000,""))</f>
        <v>RWA MS MLF BSHB AC PET 3 CUTLET</v>
      </c>
      <c r="C129" s="25">
        <v>7232</v>
      </c>
      <c r="D129" s="16">
        <f>_xlfn.XLOOKUP(C129,'02_TrayPack_Order'!$B$3:$B$265,'02_TrayPack_Order'!$D$3:$D$265)</f>
        <v>0</v>
      </c>
      <c r="E129" s="17">
        <f>_xlfn.XLOOKUP(C129,'02_TrayPack_Order'!$B$3:$B$265,'02_TrayPack_Order'!$M$3:$M$265,0)</f>
        <v>0</v>
      </c>
      <c r="F129" s="16">
        <f>SUMIF('13_Progress_Track'!$A$2:$A$108,C129,'13_Progress_Track'!$E$2:$E$108)</f>
        <v>0</v>
      </c>
      <c r="G129" s="16">
        <f t="shared" si="3"/>
        <v>0</v>
      </c>
      <c r="H129" s="16">
        <f t="shared" si="4"/>
        <v>0</v>
      </c>
      <c r="I129" s="25">
        <f>_xlfn.IFNA(_xlfn.XLOOKUP(C129,'00_SKU_Master'!$B$2:$B$2000,'00_SKU_Master'!$C$2:$C$2000),"")</f>
        <v>61069</v>
      </c>
      <c r="J129" s="97">
        <f>IFERROR(_xlfn.XLOOKUP(C129,'00_SKU_Master'!$B$2:$B$2000,'00_SKU_Master'!$F$2:$F$2000,0)*N129,0)</f>
        <v>0</v>
      </c>
      <c r="K129" s="96" t="str">
        <f>_xlfn.IFNA(_xlfn.XLOOKUP(C129,'00_SKU_Master'!$B$2:$B$2000,'00_SKU_Master'!$H$2:$H$2000,0),"")</f>
        <v>PET 3</v>
      </c>
      <c r="L129" s="96" t="str">
        <f>_xlfn.IFNA(_xlfn.XLOOKUP(C129,'00_SKU_Master'!$B$2:$B$2000,'00_SKU_Master'!$K$2:$K$2000,0),"")</f>
        <v>Fast</v>
      </c>
      <c r="M129" s="25" t="str">
        <f>_xlfn.XLOOKUP(C129,'00_SKU_Master'!$B$2:$B$2000,'00_SKU_Master'!$D$2:$D$2000)</f>
        <v>RWA</v>
      </c>
      <c r="N129" s="25">
        <f t="shared" si="5"/>
        <v>0</v>
      </c>
    </row>
    <row r="130" spans="2:14" x14ac:dyDescent="0.35">
      <c r="B130" s="25" t="str">
        <f>IF(C130="","",_xlfn.XLOOKUP(C130,'00_SKU_Master'!$B$2:$B$2000,'00_SKU_Master'!$J$2:$J$2000,""))</f>
        <v>RWA MS MLF BSHB AC PET 3 PET 3RIPS</v>
      </c>
      <c r="C130" s="25">
        <v>7233</v>
      </c>
      <c r="D130" s="16">
        <f>_xlfn.XLOOKUP(C130,'02_TrayPack_Order'!$B$3:$B$265,'02_TrayPack_Order'!$D$3:$D$265)</f>
        <v>0</v>
      </c>
      <c r="E130" s="17">
        <f>_xlfn.XLOOKUP(C130,'02_TrayPack_Order'!$B$3:$B$265,'02_TrayPack_Order'!$M$3:$M$265,0)</f>
        <v>0</v>
      </c>
      <c r="F130" s="16">
        <f>SUMIF('13_Progress_Track'!$A$2:$A$108,C130,'13_Progress_Track'!$E$2:$E$108)</f>
        <v>0</v>
      </c>
      <c r="G130" s="16">
        <f t="shared" si="3"/>
        <v>0</v>
      </c>
      <c r="H130" s="16">
        <f t="shared" si="4"/>
        <v>0</v>
      </c>
      <c r="I130" s="25">
        <f>_xlfn.IFNA(_xlfn.XLOOKUP(C130,'00_SKU_Master'!$B$2:$B$2000,'00_SKU_Master'!$C$2:$C$2000),"")</f>
        <v>61070</v>
      </c>
      <c r="J130" s="97">
        <f>IFERROR(_xlfn.XLOOKUP(C130,'00_SKU_Master'!$B$2:$B$2000,'00_SKU_Master'!$F$2:$F$2000,0)*N130,0)</f>
        <v>0</v>
      </c>
      <c r="K130" s="96" t="str">
        <f>_xlfn.IFNA(_xlfn.XLOOKUP(C130,'00_SKU_Master'!$B$2:$B$2000,'00_SKU_Master'!$H$2:$H$2000,0),"")</f>
        <v>PET 3</v>
      </c>
      <c r="L130" s="96" t="str">
        <f>_xlfn.IFNA(_xlfn.XLOOKUP(C130,'00_SKU_Master'!$B$2:$B$2000,'00_SKU_Master'!$K$2:$K$2000,0),"")</f>
        <v>Fast</v>
      </c>
      <c r="M130" s="25" t="str">
        <f>_xlfn.XLOOKUP(C130,'00_SKU_Master'!$B$2:$B$2000,'00_SKU_Master'!$D$2:$D$2000)</f>
        <v>RWA</v>
      </c>
      <c r="N130" s="25">
        <f t="shared" si="5"/>
        <v>0</v>
      </c>
    </row>
    <row r="131" spans="2:14" x14ac:dyDescent="0.35">
      <c r="B131" s="25" t="str">
        <f>IF(C131="","",_xlfn.XLOOKUP(C131,'00_SKU_Master'!$B$2:$B$2000,'00_SKU_Master'!$J$2:$J$2000,""))</f>
        <v>RWA THIGH AC PET 3</v>
      </c>
      <c r="C131" s="25">
        <v>7234</v>
      </c>
      <c r="D131" s="16">
        <f>_xlfn.XLOOKUP(C131,'02_TrayPack_Order'!$B$3:$B$265,'02_TrayPack_Order'!$D$3:$D$265)</f>
        <v>0</v>
      </c>
      <c r="E131" s="17">
        <f>_xlfn.XLOOKUP(C131,'02_TrayPack_Order'!$B$3:$B$265,'02_TrayPack_Order'!$M$3:$M$265,0)</f>
        <v>0</v>
      </c>
      <c r="F131" s="16">
        <f>SUMIF('13_Progress_Track'!$A$2:$A$108,C131,'13_Progress_Track'!$E$2:$E$108)</f>
        <v>0</v>
      </c>
      <c r="G131" s="16">
        <f t="shared" ref="G131:G194" si="6">IF(F131&gt;(D131+E131),(F131-(D131+E131)),0)</f>
        <v>0</v>
      </c>
      <c r="H131" s="16">
        <f t="shared" ref="H131:H194" si="7">IF(G131&gt;0,0,D131+E131-F131)</f>
        <v>0</v>
      </c>
      <c r="I131" s="25">
        <f>_xlfn.IFNA(_xlfn.XLOOKUP(C131,'00_SKU_Master'!$B$2:$B$2000,'00_SKU_Master'!$C$2:$C$2000),"")</f>
        <v>61079</v>
      </c>
      <c r="J131" s="97">
        <f>IFERROR(_xlfn.XLOOKUP(C131,'00_SKU_Master'!$B$2:$B$2000,'00_SKU_Master'!$F$2:$F$2000,0)*N131,0)</f>
        <v>0</v>
      </c>
      <c r="K131" s="96" t="str">
        <f>_xlfn.IFNA(_xlfn.XLOOKUP(C131,'00_SKU_Master'!$B$2:$B$2000,'00_SKU_Master'!$H$2:$H$2000,0),"")</f>
        <v>PET 3</v>
      </c>
      <c r="L131" s="96" t="str">
        <f>_xlfn.IFNA(_xlfn.XLOOKUP(C131,'00_SKU_Master'!$B$2:$B$2000,'00_SKU_Master'!$K$2:$K$2000,0),"")</f>
        <v>Fast</v>
      </c>
      <c r="M131" s="25" t="str">
        <f>_xlfn.XLOOKUP(C131,'00_SKU_Master'!$B$2:$B$2000,'00_SKU_Master'!$D$2:$D$2000)</f>
        <v>RWA</v>
      </c>
      <c r="N131" s="25">
        <f t="shared" ref="N131:N194" si="8">IF((D131-F131)&lt;0,0,D131-F131)</f>
        <v>0</v>
      </c>
    </row>
    <row r="132" spans="2:14" x14ac:dyDescent="0.35">
      <c r="B132" s="25" t="str">
        <f>IF(C132="","",_xlfn.XLOOKUP(C132,'00_SKU_Master'!$B$2:$B$2000,'00_SKU_Master'!$J$2:$J$2000,""))</f>
        <v>RWA BPET 3HIGH AC PET 3</v>
      </c>
      <c r="C132" s="25">
        <v>7235</v>
      </c>
      <c r="D132" s="16">
        <f>_xlfn.XLOOKUP(C132,'02_TrayPack_Order'!$B$3:$B$265,'02_TrayPack_Order'!$D$3:$D$265)</f>
        <v>0</v>
      </c>
      <c r="E132" s="17">
        <f>_xlfn.XLOOKUP(C132,'02_TrayPack_Order'!$B$3:$B$265,'02_TrayPack_Order'!$M$3:$M$265,0)</f>
        <v>0</v>
      </c>
      <c r="F132" s="16">
        <f>SUMIF('13_Progress_Track'!$A$2:$A$108,C132,'13_Progress_Track'!$E$2:$E$108)</f>
        <v>0</v>
      </c>
      <c r="G132" s="16">
        <f t="shared" si="6"/>
        <v>0</v>
      </c>
      <c r="H132" s="16">
        <f t="shared" si="7"/>
        <v>0</v>
      </c>
      <c r="I132" s="25">
        <f>_xlfn.IFNA(_xlfn.XLOOKUP(C132,'00_SKU_Master'!$B$2:$B$2000,'00_SKU_Master'!$C$2:$C$2000),"")</f>
        <v>61087</v>
      </c>
      <c r="J132" s="97">
        <f>IFERROR(_xlfn.XLOOKUP(C132,'00_SKU_Master'!$B$2:$B$2000,'00_SKU_Master'!$F$2:$F$2000,0)*N132,0)</f>
        <v>0</v>
      </c>
      <c r="K132" s="96" t="str">
        <f>_xlfn.IFNA(_xlfn.XLOOKUP(C132,'00_SKU_Master'!$B$2:$B$2000,'00_SKU_Master'!$H$2:$H$2000,0),"")</f>
        <v>PET 3</v>
      </c>
      <c r="L132" s="96" t="str">
        <f>_xlfn.IFNA(_xlfn.XLOOKUP(C132,'00_SKU_Master'!$B$2:$B$2000,'00_SKU_Master'!$K$2:$K$2000,0),"")</f>
        <v>Slow</v>
      </c>
      <c r="M132" s="25" t="str">
        <f>_xlfn.XLOOKUP(C132,'00_SKU_Master'!$B$2:$B$2000,'00_SKU_Master'!$D$2:$D$2000)</f>
        <v>RWA</v>
      </c>
      <c r="N132" s="25">
        <f t="shared" si="8"/>
        <v>0</v>
      </c>
    </row>
    <row r="133" spans="2:14" x14ac:dyDescent="0.35">
      <c r="B133" s="25" t="str">
        <f>IF(C133="","",_xlfn.XLOOKUP(C133,'00_SKU_Master'!$B$2:$B$2000,'00_SKU_Master'!$J$2:$J$2000,""))</f>
        <v>RWA DRUM AC PET 3</v>
      </c>
      <c r="C133" s="25">
        <v>7236</v>
      </c>
      <c r="D133" s="16">
        <f>_xlfn.XLOOKUP(C133,'02_TrayPack_Order'!$B$3:$B$265,'02_TrayPack_Order'!$D$3:$D$265)</f>
        <v>0</v>
      </c>
      <c r="E133" s="17">
        <f>_xlfn.XLOOKUP(C133,'02_TrayPack_Order'!$B$3:$B$265,'02_TrayPack_Order'!$M$3:$M$265,0)</f>
        <v>0</v>
      </c>
      <c r="F133" s="16">
        <f>SUMIF('13_Progress_Track'!$A$2:$A$108,C133,'13_Progress_Track'!$E$2:$E$108)</f>
        <v>0</v>
      </c>
      <c r="G133" s="16">
        <f t="shared" si="6"/>
        <v>0</v>
      </c>
      <c r="H133" s="16">
        <f t="shared" si="7"/>
        <v>0</v>
      </c>
      <c r="I133" s="25">
        <f>_xlfn.IFNA(_xlfn.XLOOKUP(C133,'00_SKU_Master'!$B$2:$B$2000,'00_SKU_Master'!$C$2:$C$2000),"")</f>
        <v>61074</v>
      </c>
      <c r="J133" s="97">
        <f>IFERROR(_xlfn.XLOOKUP(C133,'00_SKU_Master'!$B$2:$B$2000,'00_SKU_Master'!$F$2:$F$2000,0)*N133,0)</f>
        <v>0</v>
      </c>
      <c r="K133" s="96" t="str">
        <f>_xlfn.IFNA(_xlfn.XLOOKUP(C133,'00_SKU_Master'!$B$2:$B$2000,'00_SKU_Master'!$H$2:$H$2000,0),"")</f>
        <v>PET 3</v>
      </c>
      <c r="L133" s="96" t="str">
        <f>_xlfn.IFNA(_xlfn.XLOOKUP(C133,'00_SKU_Master'!$B$2:$B$2000,'00_SKU_Master'!$K$2:$K$2000,0),"")</f>
        <v>Fast</v>
      </c>
      <c r="M133" s="25" t="str">
        <f>_xlfn.XLOOKUP(C133,'00_SKU_Master'!$B$2:$B$2000,'00_SKU_Master'!$D$2:$D$2000)</f>
        <v>RWA</v>
      </c>
      <c r="N133" s="25">
        <f t="shared" si="8"/>
        <v>0</v>
      </c>
    </row>
    <row r="134" spans="2:14" x14ac:dyDescent="0.35">
      <c r="B134" s="25" t="str">
        <f>IF(C134="","",_xlfn.XLOOKUP(C134,'00_SKU_Master'!$B$2:$B$2000,'00_SKU_Master'!$J$2:$J$2000,""))</f>
        <v>RWA SKLS DRUM AC ST</v>
      </c>
      <c r="C134" s="25">
        <v>7237</v>
      </c>
      <c r="D134" s="16">
        <f>_xlfn.XLOOKUP(C134,'02_TrayPack_Order'!$B$3:$B$265,'02_TrayPack_Order'!$D$3:$D$265)</f>
        <v>0</v>
      </c>
      <c r="E134" s="17">
        <f>_xlfn.XLOOKUP(C134,'02_TrayPack_Order'!$B$3:$B$265,'02_TrayPack_Order'!$M$3:$M$265,0)</f>
        <v>0</v>
      </c>
      <c r="F134" s="16">
        <f>SUMIF('13_Progress_Track'!$A$2:$A$108,C134,'13_Progress_Track'!$E$2:$E$108)</f>
        <v>0</v>
      </c>
      <c r="G134" s="16">
        <f t="shared" si="6"/>
        <v>0</v>
      </c>
      <c r="H134" s="16">
        <f t="shared" si="7"/>
        <v>0</v>
      </c>
      <c r="I134" s="25">
        <f>_xlfn.IFNA(_xlfn.XLOOKUP(C134,'00_SKU_Master'!$B$2:$B$2000,'00_SKU_Master'!$C$2:$C$2000),"")</f>
        <v>61071</v>
      </c>
      <c r="J134" s="97">
        <f>IFERROR(_xlfn.XLOOKUP(C134,'00_SKU_Master'!$B$2:$B$2000,'00_SKU_Master'!$F$2:$F$2000,0)*N134,0)</f>
        <v>0</v>
      </c>
      <c r="K134" s="96" t="str">
        <f>_xlfn.IFNA(_xlfn.XLOOKUP(C134,'00_SKU_Master'!$B$2:$B$2000,'00_SKU_Master'!$H$2:$H$2000,0),"")</f>
        <v>ST 2HP</v>
      </c>
      <c r="L134" s="96" t="str">
        <f>_xlfn.IFNA(_xlfn.XLOOKUP(C134,'00_SKU_Master'!$B$2:$B$2000,'00_SKU_Master'!$K$2:$K$2000,0),"")</f>
        <v>Fast</v>
      </c>
      <c r="M134" s="25" t="str">
        <f>_xlfn.XLOOKUP(C134,'00_SKU_Master'!$B$2:$B$2000,'00_SKU_Master'!$D$2:$D$2000)</f>
        <v>RWA</v>
      </c>
      <c r="N134" s="25">
        <f t="shared" si="8"/>
        <v>0</v>
      </c>
    </row>
    <row r="135" spans="2:14" x14ac:dyDescent="0.35">
      <c r="B135" s="25" t="str">
        <f>IF(C135="","",_xlfn.XLOOKUP(C135,'00_SKU_Master'!$B$2:$B$2000,'00_SKU_Master'!$J$2:$J$2000,""))</f>
        <v>RWA SPL WING AC PET 3</v>
      </c>
      <c r="C135" s="25">
        <v>7238</v>
      </c>
      <c r="D135" s="16">
        <f>_xlfn.XLOOKUP(C135,'02_TrayPack_Order'!$B$3:$B$265,'02_TrayPack_Order'!$D$3:$D$265)</f>
        <v>0</v>
      </c>
      <c r="E135" s="17">
        <f>_xlfn.XLOOKUP(C135,'02_TrayPack_Order'!$B$3:$B$265,'02_TrayPack_Order'!$M$3:$M$265,0)</f>
        <v>0</v>
      </c>
      <c r="F135" s="16">
        <f>SUMIF('13_Progress_Track'!$A$2:$A$108,C135,'13_Progress_Track'!$E$2:$E$108)</f>
        <v>0</v>
      </c>
      <c r="G135" s="16">
        <f t="shared" si="6"/>
        <v>0</v>
      </c>
      <c r="H135" s="16">
        <f t="shared" si="7"/>
        <v>0</v>
      </c>
      <c r="I135" s="25">
        <f>_xlfn.IFNA(_xlfn.XLOOKUP(C135,'00_SKU_Master'!$B$2:$B$2000,'00_SKU_Master'!$C$2:$C$2000),"")</f>
        <v>61016</v>
      </c>
      <c r="J135" s="97">
        <f>IFERROR(_xlfn.XLOOKUP(C135,'00_SKU_Master'!$B$2:$B$2000,'00_SKU_Master'!$F$2:$F$2000,0)*N135,0)</f>
        <v>0</v>
      </c>
      <c r="K135" s="96" t="str">
        <f>_xlfn.IFNA(_xlfn.XLOOKUP(C135,'00_SKU_Master'!$B$2:$B$2000,'00_SKU_Master'!$H$2:$H$2000,0),"")</f>
        <v>PET 3</v>
      </c>
      <c r="L135" s="96" t="str">
        <f>_xlfn.IFNA(_xlfn.XLOOKUP(C135,'00_SKU_Master'!$B$2:$B$2000,'00_SKU_Master'!$K$2:$K$2000,0),"")</f>
        <v>Slow</v>
      </c>
      <c r="M135" s="25" t="str">
        <f>_xlfn.XLOOKUP(C135,'00_SKU_Master'!$B$2:$B$2000,'00_SKU_Master'!$D$2:$D$2000)</f>
        <v>RWA</v>
      </c>
      <c r="N135" s="25">
        <f t="shared" si="8"/>
        <v>0</v>
      </c>
    </row>
    <row r="136" spans="2:14" x14ac:dyDescent="0.35">
      <c r="B136" s="25" t="str">
        <f>IF(C136="","",_xlfn.XLOOKUP(C136,'00_SKU_Master'!$B$2:$B$2000,'00_SKU_Master'!$J$2:$J$2000,""))</f>
        <v>RWA FRY WOG AC TI PET</v>
      </c>
      <c r="C136" s="25">
        <v>7239</v>
      </c>
      <c r="D136" s="16">
        <f>_xlfn.XLOOKUP(C136,'02_TrayPack_Order'!$B$3:$B$265,'02_TrayPack_Order'!$D$3:$D$265)</f>
        <v>0</v>
      </c>
      <c r="E136" s="17">
        <f>_xlfn.XLOOKUP(C136,'02_TrayPack_Order'!$B$3:$B$265,'02_TrayPack_Order'!$M$3:$M$265,0)</f>
        <v>0</v>
      </c>
      <c r="F136" s="16">
        <f>SUMIF('13_Progress_Track'!$A$2:$A$108,C136,'13_Progress_Track'!$E$2:$E$108)</f>
        <v>0</v>
      </c>
      <c r="G136" s="16">
        <f t="shared" si="6"/>
        <v>0</v>
      </c>
      <c r="H136" s="16">
        <f t="shared" si="7"/>
        <v>0</v>
      </c>
      <c r="I136" s="25">
        <f>_xlfn.IFNA(_xlfn.XLOOKUP(C136,'00_SKU_Master'!$B$2:$B$2000,'00_SKU_Master'!$C$2:$C$2000),"")</f>
        <v>203151</v>
      </c>
      <c r="J136" s="97">
        <f>IFERROR(_xlfn.XLOOKUP(C136,'00_SKU_Master'!$B$2:$B$2000,'00_SKU_Master'!$F$2:$F$2000,0)*N136,0)</f>
        <v>0</v>
      </c>
      <c r="K136" s="96" t="str">
        <f>_xlfn.IFNA(_xlfn.XLOOKUP(C136,'00_SKU_Master'!$B$2:$B$2000,'00_SKU_Master'!$H$2:$H$2000,0),"")</f>
        <v>PET 3</v>
      </c>
      <c r="L136" s="96" t="str">
        <f>_xlfn.IFNA(_xlfn.XLOOKUP(C136,'00_SKU_Master'!$B$2:$B$2000,'00_SKU_Master'!$K$2:$K$2000,0),"")</f>
        <v>Fast</v>
      </c>
      <c r="M136" s="25" t="str">
        <f>_xlfn.XLOOKUP(C136,'00_SKU_Master'!$B$2:$B$2000,'00_SKU_Master'!$D$2:$D$2000)</f>
        <v>RWA</v>
      </c>
      <c r="N136" s="25">
        <f t="shared" si="8"/>
        <v>0</v>
      </c>
    </row>
    <row r="137" spans="2:14" x14ac:dyDescent="0.35">
      <c r="B137" s="25" t="str">
        <f>IF(C137="","",_xlfn.XLOOKUP(C137,'00_SKU_Master'!$B$2:$B$2000,'00_SKU_Master'!$J$2:$J$2000,""))</f>
        <v>RWA BSHB AC PET 8</v>
      </c>
      <c r="C137" s="25">
        <v>7240</v>
      </c>
      <c r="D137" s="16">
        <f>_xlfn.XLOOKUP(C137,'02_TrayPack_Order'!$B$3:$B$265,'02_TrayPack_Order'!$D$3:$D$265)</f>
        <v>0</v>
      </c>
      <c r="E137" s="17">
        <f>_xlfn.XLOOKUP(C137,'02_TrayPack_Order'!$B$3:$B$265,'02_TrayPack_Order'!$M$3:$M$265,0)</f>
        <v>0</v>
      </c>
      <c r="F137" s="16">
        <f>SUMIF('13_Progress_Track'!$A$2:$A$108,C137,'13_Progress_Track'!$E$2:$E$108)</f>
        <v>0</v>
      </c>
      <c r="G137" s="16">
        <f t="shared" si="6"/>
        <v>0</v>
      </c>
      <c r="H137" s="16">
        <f t="shared" si="7"/>
        <v>0</v>
      </c>
      <c r="I137" s="25">
        <f>_xlfn.IFNA(_xlfn.XLOOKUP(C137,'00_SKU_Master'!$B$2:$B$2000,'00_SKU_Master'!$C$2:$C$2000),"")</f>
        <v>61051</v>
      </c>
      <c r="J137" s="97">
        <f>IFERROR(_xlfn.XLOOKUP(C137,'00_SKU_Master'!$B$2:$B$2000,'00_SKU_Master'!$F$2:$F$2000,0)*N137,0)</f>
        <v>0</v>
      </c>
      <c r="K137" s="96" t="str">
        <f>_xlfn.IFNA(_xlfn.XLOOKUP(C137,'00_SKU_Master'!$B$2:$B$2000,'00_SKU_Master'!$H$2:$H$2000,0),"")</f>
        <v>PET 8</v>
      </c>
      <c r="L137" s="96" t="str">
        <f>_xlfn.IFNA(_xlfn.XLOOKUP(C137,'00_SKU_Master'!$B$2:$B$2000,'00_SKU_Master'!$K$2:$K$2000,0),"")</f>
        <v>Fast</v>
      </c>
      <c r="M137" s="25" t="str">
        <f>_xlfn.XLOOKUP(C137,'00_SKU_Master'!$B$2:$B$2000,'00_SKU_Master'!$D$2:$D$2000)</f>
        <v>RWA</v>
      </c>
      <c r="N137" s="25">
        <f t="shared" si="8"/>
        <v>0</v>
      </c>
    </row>
    <row r="138" spans="2:14" x14ac:dyDescent="0.35">
      <c r="B138" s="25" t="str">
        <f>IF(C138="","",_xlfn.XLOOKUP(C138,'00_SKU_Master'!$B$2:$B$2000,'00_SKU_Master'!$J$2:$J$2000,""))</f>
        <v>RWA BSTHIGH AC PET 8</v>
      </c>
      <c r="C138" s="25">
        <v>7241</v>
      </c>
      <c r="D138" s="16">
        <f>_xlfn.XLOOKUP(C138,'02_TrayPack_Order'!$B$3:$B$265,'02_TrayPack_Order'!$D$3:$D$265)</f>
        <v>0</v>
      </c>
      <c r="E138" s="17">
        <f>_xlfn.XLOOKUP(C138,'02_TrayPack_Order'!$B$3:$B$265,'02_TrayPack_Order'!$M$3:$M$265,0)</f>
        <v>0</v>
      </c>
      <c r="F138" s="16">
        <f>SUMIF('13_Progress_Track'!$A$2:$A$108,C138,'13_Progress_Track'!$E$2:$E$108)</f>
        <v>0</v>
      </c>
      <c r="G138" s="16">
        <f t="shared" si="6"/>
        <v>0</v>
      </c>
      <c r="H138" s="16">
        <f t="shared" si="7"/>
        <v>0</v>
      </c>
      <c r="I138" s="25">
        <f>_xlfn.IFNA(_xlfn.XLOOKUP(C138,'00_SKU_Master'!$B$2:$B$2000,'00_SKU_Master'!$C$2:$C$2000),"")</f>
        <v>61087</v>
      </c>
      <c r="J138" s="97">
        <f>IFERROR(_xlfn.XLOOKUP(C138,'00_SKU_Master'!$B$2:$B$2000,'00_SKU_Master'!$F$2:$F$2000,0)*N138,0)</f>
        <v>0</v>
      </c>
      <c r="K138" s="96" t="str">
        <f>_xlfn.IFNA(_xlfn.XLOOKUP(C138,'00_SKU_Master'!$B$2:$B$2000,'00_SKU_Master'!$H$2:$H$2000,0),"")</f>
        <v>PET 8</v>
      </c>
      <c r="L138" s="96" t="str">
        <f>_xlfn.IFNA(_xlfn.XLOOKUP(C138,'00_SKU_Master'!$B$2:$B$2000,'00_SKU_Master'!$K$2:$K$2000,0),"")</f>
        <v>Slow</v>
      </c>
      <c r="M138" s="25" t="str">
        <f>_xlfn.XLOOKUP(C138,'00_SKU_Master'!$B$2:$B$2000,'00_SKU_Master'!$D$2:$D$2000)</f>
        <v>RWA</v>
      </c>
      <c r="N138" s="25">
        <f t="shared" si="8"/>
        <v>0</v>
      </c>
    </row>
    <row r="139" spans="2:14" x14ac:dyDescent="0.35">
      <c r="B139" s="25" t="str">
        <f>IF(C139="","",_xlfn.XLOOKUP(C139,'00_SKU_Master'!$B$2:$B$2000,'00_SKU_Master'!$J$2:$J$2000,""))</f>
        <v>RWA SPL WING AC PET 8</v>
      </c>
      <c r="C139" s="25">
        <v>7242</v>
      </c>
      <c r="D139" s="16">
        <f>_xlfn.XLOOKUP(C139,'02_TrayPack_Order'!$B$3:$B$265,'02_TrayPack_Order'!$D$3:$D$265)</f>
        <v>0</v>
      </c>
      <c r="E139" s="17">
        <f>_xlfn.XLOOKUP(C139,'02_TrayPack_Order'!$B$3:$B$265,'02_TrayPack_Order'!$M$3:$M$265,0)</f>
        <v>0</v>
      </c>
      <c r="F139" s="16">
        <f>SUMIF('13_Progress_Track'!$A$2:$A$108,C139,'13_Progress_Track'!$E$2:$E$108)</f>
        <v>0</v>
      </c>
      <c r="G139" s="16">
        <f t="shared" si="6"/>
        <v>0</v>
      </c>
      <c r="H139" s="16">
        <f t="shared" si="7"/>
        <v>0</v>
      </c>
      <c r="I139" s="25">
        <f>_xlfn.IFNA(_xlfn.XLOOKUP(C139,'00_SKU_Master'!$B$2:$B$2000,'00_SKU_Master'!$C$2:$C$2000),"")</f>
        <v>61016</v>
      </c>
      <c r="J139" s="97">
        <f>IFERROR(_xlfn.XLOOKUP(C139,'00_SKU_Master'!$B$2:$B$2000,'00_SKU_Master'!$F$2:$F$2000,0)*N139,0)</f>
        <v>0</v>
      </c>
      <c r="K139" s="96" t="str">
        <f>_xlfn.IFNA(_xlfn.XLOOKUP(C139,'00_SKU_Master'!$B$2:$B$2000,'00_SKU_Master'!$H$2:$H$2000,0),"")</f>
        <v>PET 8</v>
      </c>
      <c r="L139" s="96" t="str">
        <f>_xlfn.IFNA(_xlfn.XLOOKUP(C139,'00_SKU_Master'!$B$2:$B$2000,'00_SKU_Master'!$K$2:$K$2000,0),"")</f>
        <v>Slow</v>
      </c>
      <c r="M139" s="25" t="str">
        <f>_xlfn.XLOOKUP(C139,'00_SKU_Master'!$B$2:$B$2000,'00_SKU_Master'!$D$2:$D$2000)</f>
        <v>RWA</v>
      </c>
      <c r="N139" s="25">
        <f t="shared" si="8"/>
        <v>0</v>
      </c>
    </row>
    <row r="140" spans="2:14" x14ac:dyDescent="0.35">
      <c r="B140" s="25" t="str">
        <f>IF(C140="","",_xlfn.XLOOKUP(C140,'00_SKU_Master'!$B$2:$B$2000,'00_SKU_Master'!$J$2:$J$2000,""))</f>
        <v>RWA DRUM AC ST</v>
      </c>
      <c r="C140" s="25">
        <v>7245</v>
      </c>
      <c r="D140" s="16">
        <f>_xlfn.XLOOKUP(C140,'02_TrayPack_Order'!$B$3:$B$265,'02_TrayPack_Order'!$D$3:$D$265)</f>
        <v>0</v>
      </c>
      <c r="E140" s="17">
        <f>_xlfn.XLOOKUP(C140,'02_TrayPack_Order'!$B$3:$B$265,'02_TrayPack_Order'!$M$3:$M$265,0)</f>
        <v>0</v>
      </c>
      <c r="F140" s="16">
        <f>SUMIF('13_Progress_Track'!$A$2:$A$108,C140,'13_Progress_Track'!$E$2:$E$108)</f>
        <v>0</v>
      </c>
      <c r="G140" s="16">
        <f t="shared" si="6"/>
        <v>0</v>
      </c>
      <c r="H140" s="16">
        <f t="shared" si="7"/>
        <v>0</v>
      </c>
      <c r="I140" s="25">
        <f>_xlfn.IFNA(_xlfn.XLOOKUP(C140,'00_SKU_Master'!$B$2:$B$2000,'00_SKU_Master'!$C$2:$C$2000),"")</f>
        <v>61074</v>
      </c>
      <c r="J140" s="97">
        <f>IFERROR(_xlfn.XLOOKUP(C140,'00_SKU_Master'!$B$2:$B$2000,'00_SKU_Master'!$F$2:$F$2000,0)*N140,0)</f>
        <v>0</v>
      </c>
      <c r="K140" s="96" t="str">
        <f>_xlfn.IFNA(_xlfn.XLOOKUP(C140,'00_SKU_Master'!$B$2:$B$2000,'00_SKU_Master'!$H$2:$H$2000,0),"")</f>
        <v>ST 2HP</v>
      </c>
      <c r="L140" s="96" t="str">
        <f>_xlfn.IFNA(_xlfn.XLOOKUP(C140,'00_SKU_Master'!$B$2:$B$2000,'00_SKU_Master'!$K$2:$K$2000,0),"")</f>
        <v>Fast</v>
      </c>
      <c r="M140" s="25" t="str">
        <f>_xlfn.XLOOKUP(C140,'00_SKU_Master'!$B$2:$B$2000,'00_SKU_Master'!$D$2:$D$2000)</f>
        <v>RWA</v>
      </c>
      <c r="N140" s="25">
        <f t="shared" si="8"/>
        <v>0</v>
      </c>
    </row>
    <row r="141" spans="2:14" x14ac:dyDescent="0.35">
      <c r="B141" s="25" t="str">
        <f>IF(C141="","",_xlfn.XLOOKUP(C141,'00_SKU_Master'!$B$2:$B$2000,'00_SKU_Master'!$J$2:$J$2000,""))</f>
        <v>RWA DRUM AC ST</v>
      </c>
      <c r="C141" s="25">
        <v>7246</v>
      </c>
      <c r="D141" s="16">
        <f>_xlfn.XLOOKUP(C141,'02_TrayPack_Order'!$B$3:$B$265,'02_TrayPack_Order'!$D$3:$D$265)</f>
        <v>0</v>
      </c>
      <c r="E141" s="17">
        <f>_xlfn.XLOOKUP(C141,'02_TrayPack_Order'!$B$3:$B$265,'02_TrayPack_Order'!$M$3:$M$265,0)</f>
        <v>0</v>
      </c>
      <c r="F141" s="16">
        <f>SUMIF('13_Progress_Track'!$A$2:$A$108,C141,'13_Progress_Track'!$E$2:$E$108)</f>
        <v>0</v>
      </c>
      <c r="G141" s="16">
        <f t="shared" si="6"/>
        <v>0</v>
      </c>
      <c r="H141" s="16">
        <f t="shared" si="7"/>
        <v>0</v>
      </c>
      <c r="I141" s="25">
        <f>_xlfn.IFNA(_xlfn.XLOOKUP(C141,'00_SKU_Master'!$B$2:$B$2000,'00_SKU_Master'!$C$2:$C$2000),"")</f>
        <v>61051</v>
      </c>
      <c r="J141" s="97">
        <f>IFERROR(_xlfn.XLOOKUP(C141,'00_SKU_Master'!$B$2:$B$2000,'00_SKU_Master'!$F$2:$F$2000,0)*N141,0)</f>
        <v>0</v>
      </c>
      <c r="K141" s="96" t="str">
        <f>_xlfn.IFNA(_xlfn.XLOOKUP(C141,'00_SKU_Master'!$B$2:$B$2000,'00_SKU_Master'!$H$2:$H$2000,0),"")</f>
        <v>ST 2HP</v>
      </c>
      <c r="L141" s="96" t="str">
        <f>_xlfn.IFNA(_xlfn.XLOOKUP(C141,'00_SKU_Master'!$B$2:$B$2000,'00_SKU_Master'!$K$2:$K$2000,0),"")</f>
        <v>Fast</v>
      </c>
      <c r="M141" s="25" t="str">
        <f>_xlfn.XLOOKUP(C141,'00_SKU_Master'!$B$2:$B$2000,'00_SKU_Master'!$D$2:$D$2000)</f>
        <v>RWA</v>
      </c>
      <c r="N141" s="25">
        <f t="shared" si="8"/>
        <v>0</v>
      </c>
    </row>
    <row r="142" spans="2:14" x14ac:dyDescent="0.35">
      <c r="B142" s="25" t="str">
        <f>IF(C142="","",_xlfn.XLOOKUP(C142,'00_SKU_Master'!$B$2:$B$2000,'00_SKU_Master'!$J$2:$J$2000,""))</f>
        <v>RWA FRY WOG AC TI PET</v>
      </c>
      <c r="C142" s="25">
        <v>7247</v>
      </c>
      <c r="D142" s="16">
        <f>_xlfn.XLOOKUP(C142,'02_TrayPack_Order'!$B$3:$B$265,'02_TrayPack_Order'!$D$3:$D$265)</f>
        <v>0</v>
      </c>
      <c r="E142" s="17">
        <f>_xlfn.XLOOKUP(C142,'02_TrayPack_Order'!$B$3:$B$265,'02_TrayPack_Order'!$M$3:$M$265,0)</f>
        <v>0</v>
      </c>
      <c r="F142" s="16">
        <f>SUMIF('13_Progress_Track'!$A$2:$A$108,C142,'13_Progress_Track'!$E$2:$E$108)</f>
        <v>0</v>
      </c>
      <c r="G142" s="16">
        <f t="shared" si="6"/>
        <v>0</v>
      </c>
      <c r="H142" s="16">
        <f t="shared" si="7"/>
        <v>0</v>
      </c>
      <c r="I142" s="25">
        <f>_xlfn.IFNA(_xlfn.XLOOKUP(C142,'00_SKU_Master'!$B$2:$B$2000,'00_SKU_Master'!$C$2:$C$2000),"")</f>
        <v>203151</v>
      </c>
      <c r="J142" s="97">
        <f>IFERROR(_xlfn.XLOOKUP(C142,'00_SKU_Master'!$B$2:$B$2000,'00_SKU_Master'!$F$2:$F$2000,0)*N142,0)</f>
        <v>0</v>
      </c>
      <c r="K142" s="96" t="str">
        <f>_xlfn.IFNA(_xlfn.XLOOKUP(C142,'00_SKU_Master'!$B$2:$B$2000,'00_SKU_Master'!$H$2:$H$2000,0),"")</f>
        <v>ST 3XP</v>
      </c>
      <c r="L142" s="96" t="str">
        <f>_xlfn.IFNA(_xlfn.XLOOKUP(C142,'00_SKU_Master'!$B$2:$B$2000,'00_SKU_Master'!$K$2:$K$2000,0),"")</f>
        <v>Fast</v>
      </c>
      <c r="M142" s="25" t="str">
        <f>_xlfn.XLOOKUP(C142,'00_SKU_Master'!$B$2:$B$2000,'00_SKU_Master'!$D$2:$D$2000)</f>
        <v>RWA</v>
      </c>
      <c r="N142" s="25">
        <f t="shared" si="8"/>
        <v>0</v>
      </c>
    </row>
    <row r="143" spans="2:14" x14ac:dyDescent="0.35">
      <c r="B143" s="25" t="str">
        <f>IF(C143="","",_xlfn.XLOOKUP(C143,'00_SKU_Master'!$B$2:$B$2000,'00_SKU_Master'!$J$2:$J$2000,""))</f>
        <v>RWA BSTHIGH AC CLUB</v>
      </c>
      <c r="C143" s="25">
        <v>7248</v>
      </c>
      <c r="D143" s="16">
        <f>_xlfn.XLOOKUP(C143,'02_TrayPack_Order'!$B$3:$B$265,'02_TrayPack_Order'!$D$3:$D$265)</f>
        <v>0</v>
      </c>
      <c r="E143" s="17">
        <f>_xlfn.XLOOKUP(C143,'02_TrayPack_Order'!$B$3:$B$265,'02_TrayPack_Order'!$M$3:$M$265,0)</f>
        <v>0</v>
      </c>
      <c r="F143" s="16">
        <f>SUMIF('13_Progress_Track'!$A$2:$A$108,C143,'13_Progress_Track'!$E$2:$E$108)</f>
        <v>0</v>
      </c>
      <c r="G143" s="16">
        <f t="shared" si="6"/>
        <v>0</v>
      </c>
      <c r="H143" s="16">
        <f t="shared" si="7"/>
        <v>0</v>
      </c>
      <c r="I143" s="25">
        <f>_xlfn.IFNA(_xlfn.XLOOKUP(C143,'00_SKU_Master'!$B$2:$B$2000,'00_SKU_Master'!$C$2:$C$2000),"")</f>
        <v>61087</v>
      </c>
      <c r="J143" s="97">
        <f>IFERROR(_xlfn.XLOOKUP(C143,'00_SKU_Master'!$B$2:$B$2000,'00_SKU_Master'!$F$2:$F$2000,0)*N143,0)</f>
        <v>0</v>
      </c>
      <c r="K143" s="96" t="str">
        <f>_xlfn.IFNA(_xlfn.XLOOKUP(C143,'00_SKU_Master'!$B$2:$B$2000,'00_SKU_Master'!$H$2:$H$2000,0),"")</f>
        <v>LT 8XP</v>
      </c>
      <c r="L143" s="96" t="str">
        <f>_xlfn.IFNA(_xlfn.XLOOKUP(C143,'00_SKU_Master'!$B$2:$B$2000,'00_SKU_Master'!$K$2:$K$2000,0),"")</f>
        <v>Slow</v>
      </c>
      <c r="M143" s="25" t="str">
        <f>_xlfn.XLOOKUP(C143,'00_SKU_Master'!$B$2:$B$2000,'00_SKU_Master'!$D$2:$D$2000)</f>
        <v>RWA</v>
      </c>
      <c r="N143" s="25">
        <f t="shared" si="8"/>
        <v>0</v>
      </c>
    </row>
    <row r="144" spans="2:14" x14ac:dyDescent="0.35">
      <c r="B144" s="25" t="str">
        <f>IF(C144="","",_xlfn.XLOOKUP(C144,'00_SKU_Master'!$B$2:$B$2000,'00_SKU_Master'!$J$2:$J$2000,""))</f>
        <v>RWA SPL WING AC CLUB</v>
      </c>
      <c r="C144" s="25">
        <v>7249</v>
      </c>
      <c r="D144" s="16">
        <f>_xlfn.XLOOKUP(C144,'02_TrayPack_Order'!$B$3:$B$265,'02_TrayPack_Order'!$D$3:$D$265)</f>
        <v>0</v>
      </c>
      <c r="E144" s="17">
        <f>_xlfn.XLOOKUP(C144,'02_TrayPack_Order'!$B$3:$B$265,'02_TrayPack_Order'!$M$3:$M$265,0)</f>
        <v>0</v>
      </c>
      <c r="F144" s="16">
        <f>SUMIF('13_Progress_Track'!$A$2:$A$108,C144,'13_Progress_Track'!$E$2:$E$108)</f>
        <v>0</v>
      </c>
      <c r="G144" s="16">
        <f t="shared" si="6"/>
        <v>0</v>
      </c>
      <c r="H144" s="16">
        <f t="shared" si="7"/>
        <v>0</v>
      </c>
      <c r="I144" s="25">
        <f>_xlfn.IFNA(_xlfn.XLOOKUP(C144,'00_SKU_Master'!$B$2:$B$2000,'00_SKU_Master'!$C$2:$C$2000),"")</f>
        <v>61016</v>
      </c>
      <c r="J144" s="97">
        <f>IFERROR(_xlfn.XLOOKUP(C144,'00_SKU_Master'!$B$2:$B$2000,'00_SKU_Master'!$F$2:$F$2000,0)*N144,0)</f>
        <v>0</v>
      </c>
      <c r="K144" s="96" t="str">
        <f>_xlfn.IFNA(_xlfn.XLOOKUP(C144,'00_SKU_Master'!$B$2:$B$2000,'00_SKU_Master'!$H$2:$H$2000,0),"")</f>
        <v>LT 8XP</v>
      </c>
      <c r="L144" s="96" t="str">
        <f>_xlfn.IFNA(_xlfn.XLOOKUP(C144,'00_SKU_Master'!$B$2:$B$2000,'00_SKU_Master'!$K$2:$K$2000,0),"")</f>
        <v>Slow</v>
      </c>
      <c r="M144" s="25" t="str">
        <f>_xlfn.XLOOKUP(C144,'00_SKU_Master'!$B$2:$B$2000,'00_SKU_Master'!$D$2:$D$2000)</f>
        <v>RWA</v>
      </c>
      <c r="N144" s="25">
        <f t="shared" si="8"/>
        <v>0</v>
      </c>
    </row>
    <row r="145" spans="2:14" x14ac:dyDescent="0.35">
      <c r="B145" s="25" t="str">
        <f>IF(C145="","",_xlfn.XLOOKUP(C145,'00_SKU_Master'!$B$2:$B$2000,'00_SKU_Master'!$J$2:$J$2000,""))</f>
        <v>MS PC RWA DRUM AC PET 8 PP BSK</v>
      </c>
      <c r="C145" s="25">
        <v>7250</v>
      </c>
      <c r="D145" s="16">
        <f>_xlfn.XLOOKUP(C145,'02_TrayPack_Order'!$B$3:$B$265,'02_TrayPack_Order'!$D$3:$D$265)</f>
        <v>0</v>
      </c>
      <c r="E145" s="17">
        <f>_xlfn.XLOOKUP(C145,'02_TrayPack_Order'!$B$3:$B$265,'02_TrayPack_Order'!$M$3:$M$265,0)</f>
        <v>0</v>
      </c>
      <c r="F145" s="16">
        <f>SUMIF('13_Progress_Track'!$A$2:$A$108,C145,'13_Progress_Track'!$E$2:$E$108)</f>
        <v>0</v>
      </c>
      <c r="G145" s="16">
        <f t="shared" si="6"/>
        <v>0</v>
      </c>
      <c r="H145" s="16">
        <f t="shared" si="7"/>
        <v>0</v>
      </c>
      <c r="I145" s="25">
        <f>_xlfn.IFNA(_xlfn.XLOOKUP(C145,'00_SKU_Master'!$B$2:$B$2000,'00_SKU_Master'!$C$2:$C$2000),"")</f>
        <v>61074</v>
      </c>
      <c r="J145" s="97">
        <f>IFERROR(_xlfn.XLOOKUP(C145,'00_SKU_Master'!$B$2:$B$2000,'00_SKU_Master'!$F$2:$F$2000,0)*N145,0)</f>
        <v>0</v>
      </c>
      <c r="K145" s="96" t="str">
        <f>_xlfn.IFNA(_xlfn.XLOOKUP(C145,'00_SKU_Master'!$B$2:$B$2000,'00_SKU_Master'!$H$2:$H$2000,0),"")</f>
        <v>PET 8</v>
      </c>
      <c r="L145" s="96" t="str">
        <f>_xlfn.IFNA(_xlfn.XLOOKUP(C145,'00_SKU_Master'!$B$2:$B$2000,'00_SKU_Master'!$K$2:$K$2000,0),"")</f>
        <v>Fast</v>
      </c>
      <c r="M145" s="25" t="str">
        <f>_xlfn.XLOOKUP(C145,'00_SKU_Master'!$B$2:$B$2000,'00_SKU_Master'!$D$2:$D$2000)</f>
        <v>RWA</v>
      </c>
      <c r="N145" s="25">
        <f t="shared" si="8"/>
        <v>0</v>
      </c>
    </row>
    <row r="146" spans="2:14" x14ac:dyDescent="0.35">
      <c r="B146" s="25" t="str">
        <f>IF(C146="","",_xlfn.XLOOKUP(C146,'00_SKU_Master'!$B$2:$B$2000,'00_SKU_Master'!$J$2:$J$2000,""))</f>
        <v>MS PC RWA THIGH AC PET 8 PP BSK</v>
      </c>
      <c r="C146" s="25">
        <v>7251</v>
      </c>
      <c r="D146" s="16">
        <f>_xlfn.XLOOKUP(C146,'02_TrayPack_Order'!$B$3:$B$265,'02_TrayPack_Order'!$D$3:$D$265)</f>
        <v>0</v>
      </c>
      <c r="E146" s="17">
        <f>_xlfn.XLOOKUP(C146,'02_TrayPack_Order'!$B$3:$B$265,'02_TrayPack_Order'!$M$3:$M$265,0)</f>
        <v>0</v>
      </c>
      <c r="F146" s="16">
        <f>SUMIF('13_Progress_Track'!$A$2:$A$108,C146,'13_Progress_Track'!$E$2:$E$108)</f>
        <v>0</v>
      </c>
      <c r="G146" s="16">
        <f t="shared" si="6"/>
        <v>0</v>
      </c>
      <c r="H146" s="16">
        <f t="shared" si="7"/>
        <v>0</v>
      </c>
      <c r="I146" s="25">
        <f>_xlfn.IFNA(_xlfn.XLOOKUP(C146,'00_SKU_Master'!$B$2:$B$2000,'00_SKU_Master'!$C$2:$C$2000),"")</f>
        <v>61079</v>
      </c>
      <c r="J146" s="97">
        <f>IFERROR(_xlfn.XLOOKUP(C146,'00_SKU_Master'!$B$2:$B$2000,'00_SKU_Master'!$F$2:$F$2000,0)*N146,0)</f>
        <v>0</v>
      </c>
      <c r="K146" s="96" t="str">
        <f>_xlfn.IFNA(_xlfn.XLOOKUP(C146,'00_SKU_Master'!$B$2:$B$2000,'00_SKU_Master'!$H$2:$H$2000,0),"")</f>
        <v>PET 8</v>
      </c>
      <c r="L146" s="96" t="str">
        <f>_xlfn.IFNA(_xlfn.XLOOKUP(C146,'00_SKU_Master'!$B$2:$B$2000,'00_SKU_Master'!$K$2:$K$2000,0),"")</f>
        <v>Fast</v>
      </c>
      <c r="M146" s="25" t="str">
        <f>_xlfn.XLOOKUP(C146,'00_SKU_Master'!$B$2:$B$2000,'00_SKU_Master'!$D$2:$D$2000)</f>
        <v>RWA</v>
      </c>
      <c r="N146" s="25">
        <f t="shared" si="8"/>
        <v>0</v>
      </c>
    </row>
    <row r="147" spans="2:14" x14ac:dyDescent="0.35">
      <c r="B147" s="25" t="str">
        <f>IF(C147="","",_xlfn.XLOOKUP(C147,'00_SKU_Master'!$B$2:$B$2000,'00_SKU_Master'!$J$2:$J$2000,""))</f>
        <v>RWA BSHB AC LT</v>
      </c>
      <c r="C147" s="25">
        <v>7252</v>
      </c>
      <c r="D147" s="16">
        <f>_xlfn.XLOOKUP(C147,'02_TrayPack_Order'!$B$3:$B$265,'02_TrayPack_Order'!$D$3:$D$265)</f>
        <v>0</v>
      </c>
      <c r="E147" s="17">
        <f>_xlfn.XLOOKUP(C147,'02_TrayPack_Order'!$B$3:$B$265,'02_TrayPack_Order'!$M$3:$M$265,0)</f>
        <v>0</v>
      </c>
      <c r="F147" s="16">
        <f>SUMIF('13_Progress_Track'!$A$2:$A$108,C147,'13_Progress_Track'!$E$2:$E$108)</f>
        <v>0</v>
      </c>
      <c r="G147" s="16">
        <f t="shared" si="6"/>
        <v>0</v>
      </c>
      <c r="H147" s="16">
        <f t="shared" si="7"/>
        <v>0</v>
      </c>
      <c r="I147" s="25">
        <f>_xlfn.IFNA(_xlfn.XLOOKUP(C147,'00_SKU_Master'!$B$2:$B$2000,'00_SKU_Master'!$C$2:$C$2000),"")</f>
        <v>61051</v>
      </c>
      <c r="J147" s="97">
        <f>IFERROR(_xlfn.XLOOKUP(C147,'00_SKU_Master'!$B$2:$B$2000,'00_SKU_Master'!$F$2:$F$2000,0)*N147,0)</f>
        <v>0</v>
      </c>
      <c r="K147" s="96" t="str">
        <f>_xlfn.IFNA(_xlfn.XLOOKUP(C147,'00_SKU_Master'!$B$2:$B$2000,'00_SKU_Master'!$H$2:$H$2000,0),"")</f>
        <v>LT 8XP</v>
      </c>
      <c r="L147" s="96" t="str">
        <f>_xlfn.IFNA(_xlfn.XLOOKUP(C147,'00_SKU_Master'!$B$2:$B$2000,'00_SKU_Master'!$K$2:$K$2000,0),"")</f>
        <v>Fast</v>
      </c>
      <c r="M147" s="25" t="str">
        <f>_xlfn.XLOOKUP(C147,'00_SKU_Master'!$B$2:$B$2000,'00_SKU_Master'!$D$2:$D$2000)</f>
        <v>RWA</v>
      </c>
      <c r="N147" s="25">
        <f t="shared" si="8"/>
        <v>0</v>
      </c>
    </row>
    <row r="148" spans="2:14" x14ac:dyDescent="0.35">
      <c r="B148" s="25" t="str">
        <f>IF(C148="","",_xlfn.XLOOKUP(C148,'00_SKU_Master'!$B$2:$B$2000,'00_SKU_Master'!$J$2:$J$2000,""))</f>
        <v>MS PC RWA THIGH AC LT PP BSK</v>
      </c>
      <c r="C148" s="25">
        <v>7253</v>
      </c>
      <c r="D148" s="16">
        <f>_xlfn.XLOOKUP(C148,'02_TrayPack_Order'!$B$3:$B$265,'02_TrayPack_Order'!$D$3:$D$265)</f>
        <v>0</v>
      </c>
      <c r="E148" s="17">
        <f>_xlfn.XLOOKUP(C148,'02_TrayPack_Order'!$B$3:$B$265,'02_TrayPack_Order'!$M$3:$M$265,0)</f>
        <v>0</v>
      </c>
      <c r="F148" s="16">
        <f>SUMIF('13_Progress_Track'!$A$2:$A$108,C148,'13_Progress_Track'!$E$2:$E$108)</f>
        <v>0</v>
      </c>
      <c r="G148" s="16">
        <f t="shared" si="6"/>
        <v>0</v>
      </c>
      <c r="H148" s="16">
        <f t="shared" si="7"/>
        <v>0</v>
      </c>
      <c r="I148" s="25">
        <f>_xlfn.IFNA(_xlfn.XLOOKUP(C148,'00_SKU_Master'!$B$2:$B$2000,'00_SKU_Master'!$C$2:$C$2000),"")</f>
        <v>61079</v>
      </c>
      <c r="J148" s="97">
        <f>IFERROR(_xlfn.XLOOKUP(C148,'00_SKU_Master'!$B$2:$B$2000,'00_SKU_Master'!$F$2:$F$2000,0)*N148,0)</f>
        <v>0</v>
      </c>
      <c r="K148" s="96" t="str">
        <f>_xlfn.IFNA(_xlfn.XLOOKUP(C148,'00_SKU_Master'!$B$2:$B$2000,'00_SKU_Master'!$H$2:$H$2000,0),"")</f>
        <v>LT 8XP</v>
      </c>
      <c r="L148" s="96" t="str">
        <f>_xlfn.IFNA(_xlfn.XLOOKUP(C148,'00_SKU_Master'!$B$2:$B$2000,'00_SKU_Master'!$K$2:$K$2000,0),"")</f>
        <v>Fast</v>
      </c>
      <c r="M148" s="25" t="str">
        <f>_xlfn.XLOOKUP(C148,'00_SKU_Master'!$B$2:$B$2000,'00_SKU_Master'!$D$2:$D$2000)</f>
        <v>RWA</v>
      </c>
      <c r="N148" s="25">
        <f t="shared" si="8"/>
        <v>0</v>
      </c>
    </row>
    <row r="149" spans="2:14" x14ac:dyDescent="0.35">
      <c r="B149" s="25" t="str">
        <f>IF(C149="","",_xlfn.XLOOKUP(C149,'00_SKU_Master'!$B$2:$B$2000,'00_SKU_Master'!$J$2:$J$2000,""))</f>
        <v>MS PC RWA DRUM AC LT PP BSK</v>
      </c>
      <c r="C149" s="25">
        <v>7254</v>
      </c>
      <c r="D149" s="16">
        <f>_xlfn.XLOOKUP(C149,'02_TrayPack_Order'!$B$3:$B$265,'02_TrayPack_Order'!$D$3:$D$265)</f>
        <v>0</v>
      </c>
      <c r="E149" s="17">
        <f>_xlfn.XLOOKUP(C149,'02_TrayPack_Order'!$B$3:$B$265,'02_TrayPack_Order'!$M$3:$M$265,0)</f>
        <v>0</v>
      </c>
      <c r="F149" s="16">
        <f>SUMIF('13_Progress_Track'!$A$2:$A$108,C149,'13_Progress_Track'!$E$2:$E$108)</f>
        <v>0</v>
      </c>
      <c r="G149" s="16">
        <f t="shared" si="6"/>
        <v>0</v>
      </c>
      <c r="H149" s="16">
        <f t="shared" si="7"/>
        <v>0</v>
      </c>
      <c r="I149" s="25">
        <f>_xlfn.IFNA(_xlfn.XLOOKUP(C149,'00_SKU_Master'!$B$2:$B$2000,'00_SKU_Master'!$C$2:$C$2000),"")</f>
        <v>61074</v>
      </c>
      <c r="J149" s="97">
        <f>IFERROR(_xlfn.XLOOKUP(C149,'00_SKU_Master'!$B$2:$B$2000,'00_SKU_Master'!$F$2:$F$2000,0)*N149,0)</f>
        <v>0</v>
      </c>
      <c r="K149" s="96" t="str">
        <f>_xlfn.IFNA(_xlfn.XLOOKUP(C149,'00_SKU_Master'!$B$2:$B$2000,'00_SKU_Master'!$H$2:$H$2000,0),"")</f>
        <v>LT 8XP</v>
      </c>
      <c r="L149" s="96" t="str">
        <f>_xlfn.IFNA(_xlfn.XLOOKUP(C149,'00_SKU_Master'!$B$2:$B$2000,'00_SKU_Master'!$K$2:$K$2000,0),"")</f>
        <v>Fast</v>
      </c>
      <c r="M149" s="25" t="str">
        <f>_xlfn.XLOOKUP(C149,'00_SKU_Master'!$B$2:$B$2000,'00_SKU_Master'!$D$2:$D$2000)</f>
        <v>RWA</v>
      </c>
      <c r="N149" s="25">
        <f t="shared" si="8"/>
        <v>0</v>
      </c>
    </row>
    <row r="150" spans="2:14" x14ac:dyDescent="0.35">
      <c r="B150" s="25" t="str">
        <f>IF(C150="","",_xlfn.XLOOKUP(C150,'00_SKU_Master'!$B$2:$B$2000,'00_SKU_Master'!$J$2:$J$2000,""))</f>
        <v>MS LCL BSHB PET8 PP BSK</v>
      </c>
      <c r="C150" s="25">
        <v>7260</v>
      </c>
      <c r="D150" s="16">
        <f>_xlfn.XLOOKUP(C150,'02_TrayPack_Order'!$B$3:$B$265,'02_TrayPack_Order'!$D$3:$D$265)</f>
        <v>0</v>
      </c>
      <c r="E150" s="17">
        <f>_xlfn.XLOOKUP(C150,'02_TrayPack_Order'!$B$3:$B$265,'02_TrayPack_Order'!$M$3:$M$265,0)</f>
        <v>0</v>
      </c>
      <c r="F150" s="16">
        <f>SUMIF('13_Progress_Track'!$A$2:$A$108,C150,'13_Progress_Track'!$E$2:$E$108)</f>
        <v>0</v>
      </c>
      <c r="G150" s="16">
        <f t="shared" si="6"/>
        <v>0</v>
      </c>
      <c r="H150" s="16">
        <f t="shared" si="7"/>
        <v>0</v>
      </c>
      <c r="I150" s="25" t="str">
        <f>_xlfn.IFNA(_xlfn.XLOOKUP(C150,'00_SKU_Master'!$B$2:$B$2000,'00_SKU_Master'!$C$2:$C$2000),"")</f>
        <v>61050#2</v>
      </c>
      <c r="J150" s="97">
        <f>IFERROR(_xlfn.XLOOKUP(C150,'00_SKU_Master'!$B$2:$B$2000,'00_SKU_Master'!$F$2:$F$2000,0)*N150,0)</f>
        <v>0</v>
      </c>
      <c r="K150" s="96" t="str">
        <f>_xlfn.IFNA(_xlfn.XLOOKUP(C150,'00_SKU_Master'!$B$2:$B$2000,'00_SKU_Master'!$H$2:$H$2000,0),"")</f>
        <v>PET 8</v>
      </c>
      <c r="L150" s="96" t="str">
        <f>_xlfn.IFNA(_xlfn.XLOOKUP(C150,'00_SKU_Master'!$B$2:$B$2000,'00_SKU_Master'!$K$2:$K$2000,0),"")</f>
        <v>Fast</v>
      </c>
      <c r="M150" s="25" t="str">
        <f>_xlfn.XLOOKUP(C150,'00_SKU_Master'!$B$2:$B$2000,'00_SKU_Master'!$D$2:$D$2000)</f>
        <v>LCL</v>
      </c>
      <c r="N150" s="25">
        <f t="shared" si="8"/>
        <v>0</v>
      </c>
    </row>
    <row r="151" spans="2:14" x14ac:dyDescent="0.35">
      <c r="B151" s="25" t="str">
        <f>IF(C151="","",_xlfn.XLOOKUP(C151,'00_SKU_Master'!$B$2:$B$2000,'00_SKU_Master'!$J$2:$J$2000,""))</f>
        <v>PB PC FRY WOG AC TI ST</v>
      </c>
      <c r="C151" s="25">
        <v>7268</v>
      </c>
      <c r="D151" s="16">
        <f>_xlfn.XLOOKUP(C151,'02_TrayPack_Order'!$B$3:$B$265,'02_TrayPack_Order'!$D$3:$D$265)</f>
        <v>0</v>
      </c>
      <c r="E151" s="17">
        <f>_xlfn.XLOOKUP(C151,'02_TrayPack_Order'!$B$3:$B$265,'02_TrayPack_Order'!$M$3:$M$265,0)</f>
        <v>0</v>
      </c>
      <c r="F151" s="16">
        <f>SUMIF('13_Progress_Track'!$A$2:$A$108,C151,'13_Progress_Track'!$E$2:$E$108)</f>
        <v>0</v>
      </c>
      <c r="G151" s="16">
        <f t="shared" si="6"/>
        <v>0</v>
      </c>
      <c r="H151" s="16">
        <f t="shared" si="7"/>
        <v>0</v>
      </c>
      <c r="I151" s="25">
        <f>_xlfn.IFNA(_xlfn.XLOOKUP(C151,'00_SKU_Master'!$B$2:$B$2000,'00_SKU_Master'!$C$2:$C$2000),"")</f>
        <v>203136</v>
      </c>
      <c r="J151" s="97">
        <f>IFERROR(_xlfn.XLOOKUP(C151,'00_SKU_Master'!$B$2:$B$2000,'00_SKU_Master'!$F$2:$F$2000,0)*N151,0)</f>
        <v>0</v>
      </c>
      <c r="K151" s="96" t="str">
        <f>_xlfn.IFNA(_xlfn.XLOOKUP(C151,'00_SKU_Master'!$B$2:$B$2000,'00_SKU_Master'!$H$2:$H$2000,0),"")</f>
        <v>ST 3XP</v>
      </c>
      <c r="L151" s="96" t="str">
        <f>_xlfn.IFNA(_xlfn.XLOOKUP(C151,'00_SKU_Master'!$B$2:$B$2000,'00_SKU_Master'!$K$2:$K$2000,0),"")</f>
        <v>Fast</v>
      </c>
      <c r="M151" s="25" t="str">
        <f>_xlfn.XLOOKUP(C151,'00_SKU_Master'!$B$2:$B$2000,'00_SKU_Master'!$D$2:$D$2000)</f>
        <v>LCL</v>
      </c>
      <c r="N151" s="25">
        <f t="shared" si="8"/>
        <v>0</v>
      </c>
    </row>
    <row r="152" spans="2:14" x14ac:dyDescent="0.35">
      <c r="B152" s="25" t="str">
        <f>IF(C152="","",_xlfn.XLOOKUP(C152,'00_SKU_Master'!$B$2:$B$2000,'00_SKU_Master'!$J$2:$J$2000,""))</f>
        <v>PB PC SPLIT WING AC PET 3</v>
      </c>
      <c r="C152" s="25">
        <v>7269</v>
      </c>
      <c r="D152" s="16">
        <f>_xlfn.XLOOKUP(C152,'02_TrayPack_Order'!$B$3:$B$265,'02_TrayPack_Order'!$D$3:$D$265)</f>
        <v>0</v>
      </c>
      <c r="E152" s="17">
        <f>_xlfn.XLOOKUP(C152,'02_TrayPack_Order'!$B$3:$B$265,'02_TrayPack_Order'!$M$3:$M$265,0)</f>
        <v>0</v>
      </c>
      <c r="F152" s="16">
        <f>SUMIF('13_Progress_Track'!$A$2:$A$108,C152,'13_Progress_Track'!$E$2:$E$108)</f>
        <v>0</v>
      </c>
      <c r="G152" s="16">
        <f t="shared" si="6"/>
        <v>0</v>
      </c>
      <c r="H152" s="16">
        <f t="shared" si="7"/>
        <v>0</v>
      </c>
      <c r="I152" s="25">
        <f>_xlfn.IFNA(_xlfn.XLOOKUP(C152,'00_SKU_Master'!$B$2:$B$2000,'00_SKU_Master'!$C$2:$C$2000),"")</f>
        <v>61014</v>
      </c>
      <c r="J152" s="97">
        <f>IFERROR(_xlfn.XLOOKUP(C152,'00_SKU_Master'!$B$2:$B$2000,'00_SKU_Master'!$F$2:$F$2000,0)*N152,0)</f>
        <v>0</v>
      </c>
      <c r="K152" s="96" t="str">
        <f>_xlfn.IFNA(_xlfn.XLOOKUP(C152,'00_SKU_Master'!$B$2:$B$2000,'00_SKU_Master'!$H$2:$H$2000,0),"")</f>
        <v>PET 3</v>
      </c>
      <c r="L152" s="96" t="str">
        <f>_xlfn.IFNA(_xlfn.XLOOKUP(C152,'00_SKU_Master'!$B$2:$B$2000,'00_SKU_Master'!$K$2:$K$2000,0),"")</f>
        <v>Slow</v>
      </c>
      <c r="M152" s="25" t="str">
        <f>_xlfn.XLOOKUP(C152,'00_SKU_Master'!$B$2:$B$2000,'00_SKU_Master'!$D$2:$D$2000)</f>
        <v>LCL</v>
      </c>
      <c r="N152" s="25">
        <f t="shared" si="8"/>
        <v>0</v>
      </c>
    </row>
    <row r="153" spans="2:14" x14ac:dyDescent="0.35">
      <c r="B153" s="25" t="str">
        <f>IF(C153="","",_xlfn.XLOOKUP(C153,'00_SKU_Master'!$B$2:$B$2000,'00_SKU_Master'!$J$2:$J$2000,""))</f>
        <v>MS PC BM SKLS HB AC PET 8 BSK</v>
      </c>
      <c r="C153" s="25">
        <v>7275</v>
      </c>
      <c r="D153" s="16">
        <f>_xlfn.XLOOKUP(C153,'02_TrayPack_Order'!$B$3:$B$265,'02_TrayPack_Order'!$D$3:$D$265)</f>
        <v>0</v>
      </c>
      <c r="E153" s="17">
        <f>_xlfn.XLOOKUP(C153,'02_TrayPack_Order'!$B$3:$B$265,'02_TrayPack_Order'!$M$3:$M$265,0)</f>
        <v>0</v>
      </c>
      <c r="F153" s="16">
        <f>SUMIF('13_Progress_Track'!$A$2:$A$108,C153,'13_Progress_Track'!$E$2:$E$108)</f>
        <v>0</v>
      </c>
      <c r="G153" s="16">
        <f t="shared" si="6"/>
        <v>0</v>
      </c>
      <c r="H153" s="16">
        <f t="shared" si="7"/>
        <v>0</v>
      </c>
      <c r="I153" s="25">
        <f>_xlfn.IFNA(_xlfn.XLOOKUP(C153,'00_SKU_Master'!$B$2:$B$2000,'00_SKU_Master'!$C$2:$C$2000),"")</f>
        <v>61048</v>
      </c>
      <c r="J153" s="97">
        <f>IFERROR(_xlfn.XLOOKUP(C153,'00_SKU_Master'!$B$2:$B$2000,'00_SKU_Master'!$F$2:$F$2000,0)*N153,0)</f>
        <v>0</v>
      </c>
      <c r="K153" s="96" t="str">
        <f>_xlfn.IFNA(_xlfn.XLOOKUP(C153,'00_SKU_Master'!$B$2:$B$2000,'00_SKU_Master'!$H$2:$H$2000,0),"")</f>
        <v>PET 8</v>
      </c>
      <c r="L153" s="96" t="str">
        <f>_xlfn.IFNA(_xlfn.XLOOKUP(C153,'00_SKU_Master'!$B$2:$B$2000,'00_SKU_Master'!$K$2:$K$2000,0),"")</f>
        <v>Fast</v>
      </c>
      <c r="M153" s="25" t="str">
        <f>_xlfn.XLOOKUP(C153,'00_SKU_Master'!$B$2:$B$2000,'00_SKU_Master'!$D$2:$D$2000)</f>
        <v>LCL</v>
      </c>
      <c r="N153" s="25">
        <f t="shared" si="8"/>
        <v>0</v>
      </c>
    </row>
    <row r="154" spans="2:14" x14ac:dyDescent="0.35">
      <c r="B154" s="25" t="str">
        <f>IF(C154="","",_xlfn.XLOOKUP(C154,'00_SKU_Master'!$B$2:$B$2000,'00_SKU_Master'!$J$2:$J$2000,""))</f>
        <v>PB BSTHIGH LT</v>
      </c>
      <c r="C154" s="25">
        <v>7278</v>
      </c>
      <c r="D154" s="16">
        <f>_xlfn.XLOOKUP(C154,'02_TrayPack_Order'!$B$3:$B$265,'02_TrayPack_Order'!$D$3:$D$265)</f>
        <v>0</v>
      </c>
      <c r="E154" s="17">
        <f>_xlfn.XLOOKUP(C154,'02_TrayPack_Order'!$B$3:$B$265,'02_TrayPack_Order'!$M$3:$M$265,0)</f>
        <v>0</v>
      </c>
      <c r="F154" s="16">
        <f>SUMIF('13_Progress_Track'!$A$2:$A$108,C154,'13_Progress_Track'!$E$2:$E$108)</f>
        <v>0</v>
      </c>
      <c r="G154" s="16">
        <f t="shared" si="6"/>
        <v>0</v>
      </c>
      <c r="H154" s="16">
        <f t="shared" si="7"/>
        <v>0</v>
      </c>
      <c r="I154" s="25" t="str">
        <f>_xlfn.IFNA(_xlfn.XLOOKUP(C154,'00_SKU_Master'!$B$2:$B$2000,'00_SKU_Master'!$C$2:$C$2000),"")</f>
        <v>61086#2</v>
      </c>
      <c r="J154" s="97">
        <f>IFERROR(_xlfn.XLOOKUP(C154,'00_SKU_Master'!$B$2:$B$2000,'00_SKU_Master'!$F$2:$F$2000,0)*N154,0)</f>
        <v>0</v>
      </c>
      <c r="K154" s="96" t="str">
        <f>_xlfn.IFNA(_xlfn.XLOOKUP(C154,'00_SKU_Master'!$B$2:$B$2000,'00_SKU_Master'!$H$2:$H$2000,0),"")</f>
        <v>PET 8</v>
      </c>
      <c r="L154" s="96" t="str">
        <f>_xlfn.IFNA(_xlfn.XLOOKUP(C154,'00_SKU_Master'!$B$2:$B$2000,'00_SKU_Master'!$K$2:$K$2000,0),"")</f>
        <v>Slow</v>
      </c>
      <c r="M154" s="25" t="str">
        <f>_xlfn.XLOOKUP(C154,'00_SKU_Master'!$B$2:$B$2000,'00_SKU_Master'!$D$2:$D$2000)</f>
        <v>LCL</v>
      </c>
      <c r="N154" s="25">
        <f t="shared" si="8"/>
        <v>0</v>
      </c>
    </row>
    <row r="155" spans="2:14" x14ac:dyDescent="0.35">
      <c r="B155" s="25" t="str">
        <f>IF(C155="","",_xlfn.XLOOKUP(C155,'00_SKU_Master'!$B$2:$B$2000,'00_SKU_Master'!$J$2:$J$2000,""))</f>
        <v>MS SPL WING PET8 BSK</v>
      </c>
      <c r="C155" s="25">
        <v>7287</v>
      </c>
      <c r="D155" s="16">
        <f>_xlfn.XLOOKUP(C155,'02_TrayPack_Order'!$B$3:$B$265,'02_TrayPack_Order'!$D$3:$D$265)</f>
        <v>0</v>
      </c>
      <c r="E155" s="17">
        <f>_xlfn.XLOOKUP(C155,'02_TrayPack_Order'!$B$3:$B$265,'02_TrayPack_Order'!$M$3:$M$265,0)</f>
        <v>0</v>
      </c>
      <c r="F155" s="16">
        <f>SUMIF('13_Progress_Track'!$A$2:$A$108,C155,'13_Progress_Track'!$E$2:$E$108)</f>
        <v>0</v>
      </c>
      <c r="G155" s="16">
        <f t="shared" si="6"/>
        <v>0</v>
      </c>
      <c r="H155" s="16">
        <f t="shared" si="7"/>
        <v>0</v>
      </c>
      <c r="I155" s="25" t="str">
        <f>_xlfn.IFNA(_xlfn.XLOOKUP(C155,'00_SKU_Master'!$B$2:$B$2000,'00_SKU_Master'!$C$2:$C$2000),"")</f>
        <v>61014#2</v>
      </c>
      <c r="J155" s="97">
        <f>IFERROR(_xlfn.XLOOKUP(C155,'00_SKU_Master'!$B$2:$B$2000,'00_SKU_Master'!$F$2:$F$2000,0)*N155,0)</f>
        <v>0</v>
      </c>
      <c r="K155" s="96" t="str">
        <f>_xlfn.IFNA(_xlfn.XLOOKUP(C155,'00_SKU_Master'!$B$2:$B$2000,'00_SKU_Master'!$H$2:$H$2000,0),"")</f>
        <v>PET 8</v>
      </c>
      <c r="L155" s="96" t="str">
        <f>_xlfn.IFNA(_xlfn.XLOOKUP(C155,'00_SKU_Master'!$B$2:$B$2000,'00_SKU_Master'!$K$2:$K$2000,0),"")</f>
        <v>Slow</v>
      </c>
      <c r="M155" s="25" t="str">
        <f>_xlfn.XLOOKUP(C155,'00_SKU_Master'!$B$2:$B$2000,'00_SKU_Master'!$D$2:$D$2000)</f>
        <v>LCL</v>
      </c>
      <c r="N155" s="25">
        <f t="shared" si="8"/>
        <v>0</v>
      </c>
    </row>
    <row r="156" spans="2:14" x14ac:dyDescent="0.35">
      <c r="B156" s="25" t="str">
        <f>IF(C156="","",_xlfn.XLOOKUP(C156,'00_SKU_Master'!$B$2:$B$2000,'00_SKU_Master'!$J$2:$J$2000,""))</f>
        <v>PB PC SPL WING AC PET 8</v>
      </c>
      <c r="C156" s="25">
        <v>7289</v>
      </c>
      <c r="D156" s="16">
        <f>_xlfn.XLOOKUP(C156,'02_TrayPack_Order'!$B$3:$B$265,'02_TrayPack_Order'!$D$3:$D$265)</f>
        <v>0</v>
      </c>
      <c r="E156" s="17">
        <f>_xlfn.XLOOKUP(C156,'02_TrayPack_Order'!$B$3:$B$265,'02_TrayPack_Order'!$M$3:$M$265,0)</f>
        <v>0</v>
      </c>
      <c r="F156" s="16">
        <f>SUMIF('13_Progress_Track'!$A$2:$A$108,C156,'13_Progress_Track'!$E$2:$E$108)</f>
        <v>0</v>
      </c>
      <c r="G156" s="16">
        <f t="shared" si="6"/>
        <v>0</v>
      </c>
      <c r="H156" s="16">
        <f t="shared" si="7"/>
        <v>0</v>
      </c>
      <c r="I156" s="25">
        <f>_xlfn.IFNA(_xlfn.XLOOKUP(C156,'00_SKU_Master'!$B$2:$B$2000,'00_SKU_Master'!$C$2:$C$2000),"")</f>
        <v>61014</v>
      </c>
      <c r="J156" s="97">
        <f>IFERROR(_xlfn.XLOOKUP(C156,'00_SKU_Master'!$B$2:$B$2000,'00_SKU_Master'!$F$2:$F$2000,0)*N156,0)</f>
        <v>0</v>
      </c>
      <c r="K156" s="96" t="str">
        <f>_xlfn.IFNA(_xlfn.XLOOKUP(C156,'00_SKU_Master'!$B$2:$B$2000,'00_SKU_Master'!$H$2:$H$2000,0),"")</f>
        <v>PET 8</v>
      </c>
      <c r="L156" s="96" t="str">
        <f>_xlfn.IFNA(_xlfn.XLOOKUP(C156,'00_SKU_Master'!$B$2:$B$2000,'00_SKU_Master'!$K$2:$K$2000,0),"")</f>
        <v>Slow</v>
      </c>
      <c r="M156" s="25" t="str">
        <f>_xlfn.XLOOKUP(C156,'00_SKU_Master'!$B$2:$B$2000,'00_SKU_Master'!$D$2:$D$2000)</f>
        <v>LCL</v>
      </c>
      <c r="N156" s="25">
        <f t="shared" si="8"/>
        <v>0</v>
      </c>
    </row>
    <row r="157" spans="2:14" x14ac:dyDescent="0.35">
      <c r="B157" s="25" t="str">
        <f>IF(C157="","",_xlfn.XLOOKUP(C157,'00_SKU_Master'!$B$2:$B$2000,'00_SKU_Master'!$J$2:$J$2000,""))</f>
        <v>PB FILLET ST BSK</v>
      </c>
      <c r="C157" s="25">
        <v>7300</v>
      </c>
      <c r="D157" s="16">
        <f>_xlfn.XLOOKUP(C157,'02_TrayPack_Order'!$B$3:$B$265,'02_TrayPack_Order'!$D$3:$D$265)</f>
        <v>0</v>
      </c>
      <c r="E157" s="17">
        <f>_xlfn.XLOOKUP(C157,'02_TrayPack_Order'!$B$3:$B$265,'02_TrayPack_Order'!$M$3:$M$265,0)</f>
        <v>0</v>
      </c>
      <c r="F157" s="16">
        <f>SUMIF('13_Progress_Track'!$A$2:$A$108,C157,'13_Progress_Track'!$E$2:$E$108)</f>
        <v>0</v>
      </c>
      <c r="G157" s="16">
        <f t="shared" si="6"/>
        <v>0</v>
      </c>
      <c r="H157" s="16">
        <f t="shared" si="7"/>
        <v>0</v>
      </c>
      <c r="I157" s="25">
        <f>_xlfn.IFNA(_xlfn.XLOOKUP(C157,'00_SKU_Master'!$B$2:$B$2000,'00_SKU_Master'!$C$2:$C$2000),"")</f>
        <v>61054</v>
      </c>
      <c r="J157" s="97">
        <f>IFERROR(_xlfn.XLOOKUP(C157,'00_SKU_Master'!$B$2:$B$2000,'00_SKU_Master'!$F$2:$F$2000,0)*N157,0)</f>
        <v>0</v>
      </c>
      <c r="K157" s="96" t="str">
        <f>_xlfn.IFNA(_xlfn.XLOOKUP(C157,'00_SKU_Master'!$B$2:$B$2000,'00_SKU_Master'!$H$2:$H$2000,0),"")</f>
        <v>ST 3XP</v>
      </c>
      <c r="L157" s="96" t="str">
        <f>_xlfn.IFNA(_xlfn.XLOOKUP(C157,'00_SKU_Master'!$B$2:$B$2000,'00_SKU_Master'!$K$2:$K$2000,0),"")</f>
        <v>Slow</v>
      </c>
      <c r="M157" s="25" t="str">
        <f>_xlfn.XLOOKUP(C157,'00_SKU_Master'!$B$2:$B$2000,'00_SKU_Master'!$D$2:$D$2000)</f>
        <v>LCL</v>
      </c>
      <c r="N157" s="25">
        <f t="shared" si="8"/>
        <v>0</v>
      </c>
    </row>
    <row r="158" spans="2:14" x14ac:dyDescent="0.35">
      <c r="B158" s="25" t="str">
        <f>IF(C158="","",_xlfn.XLOOKUP(C158,'00_SKU_Master'!$B$2:$B$2000,'00_SKU_Master'!$J$2:$J$2000,""))</f>
        <v>PB FILLET LT PP</v>
      </c>
      <c r="C158" s="25">
        <v>7303</v>
      </c>
      <c r="D158" s="16">
        <f>_xlfn.XLOOKUP(C158,'02_TrayPack_Order'!$B$3:$B$265,'02_TrayPack_Order'!$D$3:$D$265)</f>
        <v>0</v>
      </c>
      <c r="E158" s="17">
        <f>_xlfn.XLOOKUP(C158,'02_TrayPack_Order'!$B$3:$B$265,'02_TrayPack_Order'!$M$3:$M$265,0)</f>
        <v>0</v>
      </c>
      <c r="F158" s="16">
        <f>SUMIF('13_Progress_Track'!$A$2:$A$108,C158,'13_Progress_Track'!$E$2:$E$108)</f>
        <v>0</v>
      </c>
      <c r="G158" s="16">
        <f t="shared" si="6"/>
        <v>0</v>
      </c>
      <c r="H158" s="16">
        <f t="shared" si="7"/>
        <v>0</v>
      </c>
      <c r="I158" s="25">
        <f>_xlfn.IFNA(_xlfn.XLOOKUP(C158,'00_SKU_Master'!$B$2:$B$2000,'00_SKU_Master'!$C$2:$C$2000),"")</f>
        <v>61054</v>
      </c>
      <c r="J158" s="97">
        <f>IFERROR(_xlfn.XLOOKUP(C158,'00_SKU_Master'!$B$2:$B$2000,'00_SKU_Master'!$F$2:$F$2000,0)*N158,0)</f>
        <v>0</v>
      </c>
      <c r="K158" s="96" t="str">
        <f>_xlfn.IFNA(_xlfn.XLOOKUP(C158,'00_SKU_Master'!$B$2:$B$2000,'00_SKU_Master'!$H$2:$H$2000,0),"")</f>
        <v>PET 8</v>
      </c>
      <c r="L158" s="96" t="str">
        <f>_xlfn.IFNA(_xlfn.XLOOKUP(C158,'00_SKU_Master'!$B$2:$B$2000,'00_SKU_Master'!$K$2:$K$2000,0),"")</f>
        <v>Slow</v>
      </c>
      <c r="M158" s="25" t="str">
        <f>_xlfn.XLOOKUP(C158,'00_SKU_Master'!$B$2:$B$2000,'00_SKU_Master'!$D$2:$D$2000)</f>
        <v>LCL</v>
      </c>
      <c r="N158" s="25">
        <f t="shared" si="8"/>
        <v>0</v>
      </c>
    </row>
    <row r="159" spans="2:14" x14ac:dyDescent="0.35">
      <c r="B159" s="25" t="str">
        <f>IF(C159="","",_xlfn.XLOOKUP(C159,'00_SKU_Master'!$B$2:$B$2000,'00_SKU_Master'!$J$2:$J$2000,""))</f>
        <v>PB FILLET LT PP</v>
      </c>
      <c r="C159" s="25">
        <v>7304</v>
      </c>
      <c r="D159" s="16">
        <f>_xlfn.XLOOKUP(C159,'02_TrayPack_Order'!$B$3:$B$265,'02_TrayPack_Order'!$D$3:$D$265)</f>
        <v>0</v>
      </c>
      <c r="E159" s="17">
        <f>_xlfn.XLOOKUP(C159,'02_TrayPack_Order'!$B$3:$B$265,'02_TrayPack_Order'!$M$3:$M$265,0)</f>
        <v>0</v>
      </c>
      <c r="F159" s="16">
        <f>SUMIF('13_Progress_Track'!$A$2:$A$108,C159,'13_Progress_Track'!$E$2:$E$108)</f>
        <v>0</v>
      </c>
      <c r="G159" s="16">
        <f t="shared" si="6"/>
        <v>0</v>
      </c>
      <c r="H159" s="16">
        <f t="shared" si="7"/>
        <v>0</v>
      </c>
      <c r="I159" s="25">
        <f>_xlfn.IFNA(_xlfn.XLOOKUP(C159,'00_SKU_Master'!$B$2:$B$2000,'00_SKU_Master'!$C$2:$C$2000),"")</f>
        <v>61054</v>
      </c>
      <c r="J159" s="97">
        <f>IFERROR(_xlfn.XLOOKUP(C159,'00_SKU_Master'!$B$2:$B$2000,'00_SKU_Master'!$F$2:$F$2000,0)*N159,0)</f>
        <v>0</v>
      </c>
      <c r="K159" s="96" t="str">
        <f>_xlfn.IFNA(_xlfn.XLOOKUP(C159,'00_SKU_Master'!$B$2:$B$2000,'00_SKU_Master'!$H$2:$H$2000,0),"")</f>
        <v>PET 8</v>
      </c>
      <c r="L159" s="96" t="str">
        <f>_xlfn.IFNA(_xlfn.XLOOKUP(C159,'00_SKU_Master'!$B$2:$B$2000,'00_SKU_Master'!$K$2:$K$2000,0),"")</f>
        <v>Slow</v>
      </c>
      <c r="M159" s="25" t="str">
        <f>_xlfn.XLOOKUP(C159,'00_SKU_Master'!$B$2:$B$2000,'00_SKU_Master'!$D$2:$D$2000)</f>
        <v>LCL</v>
      </c>
      <c r="N159" s="25">
        <f t="shared" si="8"/>
        <v>0</v>
      </c>
    </row>
    <row r="160" spans="2:14" x14ac:dyDescent="0.35">
      <c r="B160" s="25" t="str">
        <f>IF(C160="","",_xlfn.XLOOKUP(C160,'00_SKU_Master'!$B$2:$B$2000,'00_SKU_Master'!$J$2:$J$2000,""))</f>
        <v>MS BSHB CHUNK LT BSK</v>
      </c>
      <c r="C160" s="25">
        <v>7310</v>
      </c>
      <c r="D160" s="16">
        <f>_xlfn.XLOOKUP(C160,'02_TrayPack_Order'!$B$3:$B$265,'02_TrayPack_Order'!$D$3:$D$265)</f>
        <v>0</v>
      </c>
      <c r="E160" s="17">
        <f>_xlfn.XLOOKUP(C160,'02_TrayPack_Order'!$B$3:$B$265,'02_TrayPack_Order'!$M$3:$M$265,0)</f>
        <v>0</v>
      </c>
      <c r="F160" s="16">
        <f>SUMIF('13_Progress_Track'!$A$2:$A$108,C160,'13_Progress_Track'!$E$2:$E$108)</f>
        <v>0</v>
      </c>
      <c r="G160" s="16">
        <f t="shared" si="6"/>
        <v>0</v>
      </c>
      <c r="H160" s="16">
        <f t="shared" si="7"/>
        <v>0</v>
      </c>
      <c r="I160" s="25">
        <f>_xlfn.IFNA(_xlfn.XLOOKUP(C160,'00_SKU_Master'!$B$2:$B$2000,'00_SKU_Master'!$C$2:$C$2000),"")</f>
        <v>61104</v>
      </c>
      <c r="J160" s="97">
        <f>IFERROR(_xlfn.XLOOKUP(C160,'00_SKU_Master'!$B$2:$B$2000,'00_SKU_Master'!$F$2:$F$2000,0)*N160,0)</f>
        <v>0</v>
      </c>
      <c r="K160" s="96" t="str">
        <f>_xlfn.IFNA(_xlfn.XLOOKUP(C160,'00_SKU_Master'!$B$2:$B$2000,'00_SKU_Master'!$H$2:$H$2000,0),"")</f>
        <v>LT 8XP</v>
      </c>
      <c r="L160" s="96" t="str">
        <f>_xlfn.IFNA(_xlfn.XLOOKUP(C160,'00_SKU_Master'!$B$2:$B$2000,'00_SKU_Master'!$K$2:$K$2000,0),"")</f>
        <v>Fast</v>
      </c>
      <c r="M160" s="25" t="str">
        <f>_xlfn.XLOOKUP(C160,'00_SKU_Master'!$B$2:$B$2000,'00_SKU_Master'!$D$2:$D$2000)</f>
        <v>LCL</v>
      </c>
      <c r="N160" s="25">
        <f t="shared" si="8"/>
        <v>0</v>
      </c>
    </row>
    <row r="161" spans="2:14" x14ac:dyDescent="0.35">
      <c r="B161" s="25" t="str">
        <f>IF(C161="","",_xlfn.XLOOKUP(C161,'00_SKU_Master'!$B$2:$B$2000,'00_SKU_Master'!$J$2:$J$2000,""))</f>
        <v>MS FRY WOG TI PET3 BSK</v>
      </c>
      <c r="C161" s="25">
        <v>7340</v>
      </c>
      <c r="D161" s="16">
        <f>_xlfn.XLOOKUP(C161,'02_TrayPack_Order'!$B$3:$B$265,'02_TrayPack_Order'!$D$3:$D$265)</f>
        <v>0</v>
      </c>
      <c r="E161" s="17">
        <f>_xlfn.XLOOKUP(C161,'02_TrayPack_Order'!$B$3:$B$265,'02_TrayPack_Order'!$M$3:$M$265,0)</f>
        <v>0</v>
      </c>
      <c r="F161" s="16">
        <f>SUMIF('13_Progress_Track'!$A$2:$A$108,C161,'13_Progress_Track'!$E$2:$E$108)</f>
        <v>0</v>
      </c>
      <c r="G161" s="16">
        <f t="shared" si="6"/>
        <v>0</v>
      </c>
      <c r="H161" s="16">
        <f t="shared" si="7"/>
        <v>0</v>
      </c>
      <c r="I161" s="25">
        <f>_xlfn.IFNA(_xlfn.XLOOKUP(C161,'00_SKU_Master'!$B$2:$B$2000,'00_SKU_Master'!$C$2:$C$2000),"")</f>
        <v>203891</v>
      </c>
      <c r="J161" s="97">
        <f>IFERROR(_xlfn.XLOOKUP(C161,'00_SKU_Master'!$B$2:$B$2000,'00_SKU_Master'!$F$2:$F$2000,0)*N161,0)</f>
        <v>0</v>
      </c>
      <c r="K161" s="96" t="str">
        <f>_xlfn.IFNA(_xlfn.XLOOKUP(C161,'00_SKU_Master'!$B$2:$B$2000,'00_SKU_Master'!$H$2:$H$2000,0),"")</f>
        <v>PET 3</v>
      </c>
      <c r="L161" s="96" t="str">
        <f>_xlfn.IFNA(_xlfn.XLOOKUP(C161,'00_SKU_Master'!$B$2:$B$2000,'00_SKU_Master'!$K$2:$K$2000,0),"")</f>
        <v>Fast</v>
      </c>
      <c r="M161" s="25" t="str">
        <f>_xlfn.XLOOKUP(C161,'00_SKU_Master'!$B$2:$B$2000,'00_SKU_Master'!$D$2:$D$2000)</f>
        <v>LCL</v>
      </c>
      <c r="N161" s="25">
        <f t="shared" si="8"/>
        <v>0</v>
      </c>
    </row>
    <row r="162" spans="2:14" x14ac:dyDescent="0.35">
      <c r="B162" s="25" t="str">
        <f>IF(C162="","",_xlfn.XLOOKUP(C162,'00_SKU_Master'!$B$2:$B$2000,'00_SKU_Master'!$J$2:$J$2000,""))</f>
        <v>MS FRY WOG TI PET3 PP BSK</v>
      </c>
      <c r="C162" s="25">
        <v>7341</v>
      </c>
      <c r="D162" s="16">
        <f>_xlfn.XLOOKUP(C162,'02_TrayPack_Order'!$B$3:$B$265,'02_TrayPack_Order'!$D$3:$D$265)</f>
        <v>0</v>
      </c>
      <c r="E162" s="17">
        <f>_xlfn.XLOOKUP(C162,'02_TrayPack_Order'!$B$3:$B$265,'02_TrayPack_Order'!$M$3:$M$265,0)</f>
        <v>0</v>
      </c>
      <c r="F162" s="16">
        <f>SUMIF('13_Progress_Track'!$A$2:$A$108,C162,'13_Progress_Track'!$E$2:$E$108)</f>
        <v>0</v>
      </c>
      <c r="G162" s="16">
        <f t="shared" si="6"/>
        <v>0</v>
      </c>
      <c r="H162" s="16">
        <f t="shared" si="7"/>
        <v>0</v>
      </c>
      <c r="I162" s="25">
        <f>_xlfn.IFNA(_xlfn.XLOOKUP(C162,'00_SKU_Master'!$B$2:$B$2000,'00_SKU_Master'!$C$2:$C$2000),"")</f>
        <v>203891</v>
      </c>
      <c r="J162" s="97">
        <f>IFERROR(_xlfn.XLOOKUP(C162,'00_SKU_Master'!$B$2:$B$2000,'00_SKU_Master'!$F$2:$F$2000,0)*N162,0)</f>
        <v>0</v>
      </c>
      <c r="K162" s="96" t="str">
        <f>_xlfn.IFNA(_xlfn.XLOOKUP(C162,'00_SKU_Master'!$B$2:$B$2000,'00_SKU_Master'!$H$2:$H$2000,0),"")</f>
        <v>PET 3</v>
      </c>
      <c r="L162" s="96" t="str">
        <f>_xlfn.IFNA(_xlfn.XLOOKUP(C162,'00_SKU_Master'!$B$2:$B$2000,'00_SKU_Master'!$K$2:$K$2000,0),"")</f>
        <v>Fast</v>
      </c>
      <c r="M162" s="25" t="str">
        <f>_xlfn.XLOOKUP(C162,'00_SKU_Master'!$B$2:$B$2000,'00_SKU_Master'!$D$2:$D$2000)</f>
        <v>LCL</v>
      </c>
      <c r="N162" s="25">
        <f t="shared" si="8"/>
        <v>0</v>
      </c>
    </row>
    <row r="163" spans="2:14" x14ac:dyDescent="0.35">
      <c r="B163" s="25" t="str">
        <f>IF(C163="","",_xlfn.XLOOKUP(C163,'00_SKU_Master'!$B$2:$B$2000,'00_SKU_Master'!$J$2:$J$2000,""))</f>
        <v>MS LCL LEG BA PET8 PP BSK</v>
      </c>
      <c r="C163" s="25">
        <v>7342</v>
      </c>
      <c r="D163" s="16">
        <f>_xlfn.XLOOKUP(C163,'02_TrayPack_Order'!$B$3:$B$265,'02_TrayPack_Order'!$D$3:$D$265)</f>
        <v>0</v>
      </c>
      <c r="E163" s="17">
        <f>_xlfn.XLOOKUP(C163,'02_TrayPack_Order'!$B$3:$B$265,'02_TrayPack_Order'!$M$3:$M$265,0)</f>
        <v>0</v>
      </c>
      <c r="F163" s="16">
        <f>SUMIF('13_Progress_Track'!$A$2:$A$108,C163,'13_Progress_Track'!$E$2:$E$108)</f>
        <v>0</v>
      </c>
      <c r="G163" s="16">
        <f t="shared" si="6"/>
        <v>0</v>
      </c>
      <c r="H163" s="16">
        <f t="shared" si="7"/>
        <v>0</v>
      </c>
      <c r="I163" s="25">
        <f>_xlfn.IFNA(_xlfn.XLOOKUP(C163,'00_SKU_Master'!$B$2:$B$2000,'00_SKU_Master'!$C$2:$C$2000),"")</f>
        <v>61061</v>
      </c>
      <c r="J163" s="97">
        <f>IFERROR(_xlfn.XLOOKUP(C163,'00_SKU_Master'!$B$2:$B$2000,'00_SKU_Master'!$F$2:$F$2000,0)*N163,0)</f>
        <v>0</v>
      </c>
      <c r="K163" s="96" t="str">
        <f>_xlfn.IFNA(_xlfn.XLOOKUP(C163,'00_SKU_Master'!$B$2:$B$2000,'00_SKU_Master'!$H$2:$H$2000,0),"")</f>
        <v>PET 8</v>
      </c>
      <c r="L163" s="96" t="str">
        <f>_xlfn.IFNA(_xlfn.XLOOKUP(C163,'00_SKU_Master'!$B$2:$B$2000,'00_SKU_Master'!$K$2:$K$2000,0),"")</f>
        <v>Fast</v>
      </c>
      <c r="M163" s="25" t="str">
        <f>_xlfn.XLOOKUP(C163,'00_SKU_Master'!$B$2:$B$2000,'00_SKU_Master'!$D$2:$D$2000)</f>
        <v>LCL</v>
      </c>
      <c r="N163" s="25">
        <f t="shared" si="8"/>
        <v>0</v>
      </c>
    </row>
    <row r="164" spans="2:14" x14ac:dyDescent="0.35">
      <c r="B164" s="25" t="str">
        <f>IF(C164="","",_xlfn.XLOOKUP(C164,'00_SKU_Master'!$B$2:$B$2000,'00_SKU_Master'!$J$2:$J$2000,""))</f>
        <v>MS LCL BSHB PET6 PP BSK</v>
      </c>
      <c r="C164" s="25">
        <v>7343</v>
      </c>
      <c r="D164" s="16">
        <f>_xlfn.XLOOKUP(C164,'02_TrayPack_Order'!$B$3:$B$265,'02_TrayPack_Order'!$D$3:$D$265)</f>
        <v>0</v>
      </c>
      <c r="E164" s="17">
        <f>_xlfn.XLOOKUP(C164,'02_TrayPack_Order'!$B$3:$B$265,'02_TrayPack_Order'!$M$3:$M$265,0)</f>
        <v>0</v>
      </c>
      <c r="F164" s="16">
        <f>SUMIF('13_Progress_Track'!$A$2:$A$108,C164,'13_Progress_Track'!$E$2:$E$108)</f>
        <v>0</v>
      </c>
      <c r="G164" s="16">
        <f t="shared" si="6"/>
        <v>0</v>
      </c>
      <c r="H164" s="16">
        <f t="shared" si="7"/>
        <v>0</v>
      </c>
      <c r="I164" s="25" t="str">
        <f>_xlfn.IFNA(_xlfn.XLOOKUP(C164,'00_SKU_Master'!$B$2:$B$2000,'00_SKU_Master'!$C$2:$C$2000),"")</f>
        <v>61050#2</v>
      </c>
      <c r="J164" s="97">
        <f>IFERROR(_xlfn.XLOOKUP(C164,'00_SKU_Master'!$B$2:$B$2000,'00_SKU_Master'!$F$2:$F$2000,0)*N164,0)</f>
        <v>0</v>
      </c>
      <c r="K164" s="96" t="str">
        <f>_xlfn.IFNA(_xlfn.XLOOKUP(C164,'00_SKU_Master'!$B$2:$B$2000,'00_SKU_Master'!$H$2:$H$2000,0),"")</f>
        <v>PET 6</v>
      </c>
      <c r="L164" s="96" t="str">
        <f>_xlfn.IFNA(_xlfn.XLOOKUP(C164,'00_SKU_Master'!$B$2:$B$2000,'00_SKU_Master'!$K$2:$K$2000,0),"")</f>
        <v>Fast</v>
      </c>
      <c r="M164" s="25" t="str">
        <f>_xlfn.XLOOKUP(C164,'00_SKU_Master'!$B$2:$B$2000,'00_SKU_Master'!$D$2:$D$2000)</f>
        <v>LCL</v>
      </c>
      <c r="N164" s="25">
        <f t="shared" si="8"/>
        <v>0</v>
      </c>
    </row>
    <row r="165" spans="2:14" x14ac:dyDescent="0.35">
      <c r="B165" s="25" t="str">
        <f>IF(C165="","",_xlfn.XLOOKUP(C165,'00_SKU_Master'!$B$2:$B$2000,'00_SKU_Master'!$J$2:$J$2000,""))</f>
        <v>PB LEG BA LT</v>
      </c>
      <c r="C165" s="25">
        <v>7378</v>
      </c>
      <c r="D165" s="16">
        <f>_xlfn.XLOOKUP(C165,'02_TrayPack_Order'!$B$3:$B$265,'02_TrayPack_Order'!$D$3:$D$265)</f>
        <v>0</v>
      </c>
      <c r="E165" s="17">
        <f>_xlfn.XLOOKUP(C165,'02_TrayPack_Order'!$B$3:$B$265,'02_TrayPack_Order'!$M$3:$M$265,0)</f>
        <v>0</v>
      </c>
      <c r="F165" s="16">
        <f>SUMIF('13_Progress_Track'!$A$2:$A$108,C165,'13_Progress_Track'!$E$2:$E$108)</f>
        <v>0</v>
      </c>
      <c r="G165" s="16">
        <f t="shared" si="6"/>
        <v>0</v>
      </c>
      <c r="H165" s="16">
        <f t="shared" si="7"/>
        <v>0</v>
      </c>
      <c r="I165" s="25">
        <f>_xlfn.IFNA(_xlfn.XLOOKUP(C165,'00_SKU_Master'!$B$2:$B$2000,'00_SKU_Master'!$C$2:$C$2000),"")</f>
        <v>61061</v>
      </c>
      <c r="J165" s="97">
        <f>IFERROR(_xlfn.XLOOKUP(C165,'00_SKU_Master'!$B$2:$B$2000,'00_SKU_Master'!$F$2:$F$2000,0)*N165,0)</f>
        <v>0</v>
      </c>
      <c r="K165" s="96" t="str">
        <f>_xlfn.IFNA(_xlfn.XLOOKUP(C165,'00_SKU_Master'!$B$2:$B$2000,'00_SKU_Master'!$H$2:$H$2000,0),"")</f>
        <v>PET 8</v>
      </c>
      <c r="L165" s="96" t="str">
        <f>_xlfn.IFNA(_xlfn.XLOOKUP(C165,'00_SKU_Master'!$B$2:$B$2000,'00_SKU_Master'!$K$2:$K$2000,0),"")</f>
        <v>Fast</v>
      </c>
      <c r="M165" s="25" t="str">
        <f>_xlfn.XLOOKUP(C165,'00_SKU_Master'!$B$2:$B$2000,'00_SKU_Master'!$D$2:$D$2000)</f>
        <v>LCL</v>
      </c>
      <c r="N165" s="25">
        <f t="shared" si="8"/>
        <v>0</v>
      </c>
    </row>
    <row r="166" spans="2:14" x14ac:dyDescent="0.35">
      <c r="B166" s="25" t="str">
        <f>IF(C166="","",_xlfn.XLOOKUP(C166,'00_SKU_Master'!$B$2:$B$2000,'00_SKU_Master'!$J$2:$J$2000,""))</f>
        <v>PB BSC DRUM ST PP BSK</v>
      </c>
      <c r="C166" s="25">
        <v>7396</v>
      </c>
      <c r="D166" s="16">
        <f>_xlfn.XLOOKUP(C166,'02_TrayPack_Order'!$B$3:$B$265,'02_TrayPack_Order'!$D$3:$D$265)</f>
        <v>0</v>
      </c>
      <c r="E166" s="17">
        <f>_xlfn.XLOOKUP(C166,'02_TrayPack_Order'!$B$3:$B$265,'02_TrayPack_Order'!$M$3:$M$265,0)</f>
        <v>0</v>
      </c>
      <c r="F166" s="16">
        <f>SUMIF('13_Progress_Track'!$A$2:$A$108,C166,'13_Progress_Track'!$E$2:$E$108)</f>
        <v>0</v>
      </c>
      <c r="G166" s="16">
        <f t="shared" si="6"/>
        <v>0</v>
      </c>
      <c r="H166" s="16">
        <f t="shared" si="7"/>
        <v>0</v>
      </c>
      <c r="I166" s="25" t="str">
        <f>_xlfn.IFNA(_xlfn.XLOOKUP(C166,'00_SKU_Master'!$B$2:$B$2000,'00_SKU_Master'!$C$2:$C$2000),"")</f>
        <v>61072#2</v>
      </c>
      <c r="J166" s="97">
        <f>IFERROR(_xlfn.XLOOKUP(C166,'00_SKU_Master'!$B$2:$B$2000,'00_SKU_Master'!$F$2:$F$2000,0)*N166,0)</f>
        <v>0</v>
      </c>
      <c r="K166" s="96" t="str">
        <f>_xlfn.IFNA(_xlfn.XLOOKUP(C166,'00_SKU_Master'!$B$2:$B$2000,'00_SKU_Master'!$H$2:$H$2000,0),"")</f>
        <v>ST 3XP</v>
      </c>
      <c r="L166" s="96" t="str">
        <f>_xlfn.IFNA(_xlfn.XLOOKUP(C166,'00_SKU_Master'!$B$2:$B$2000,'00_SKU_Master'!$K$2:$K$2000,0),"")</f>
        <v>Fast</v>
      </c>
      <c r="M166" s="25" t="str">
        <f>_xlfn.XLOOKUP(C166,'00_SKU_Master'!$B$2:$B$2000,'00_SKU_Master'!$D$2:$D$2000)</f>
        <v>FB</v>
      </c>
      <c r="N166" s="25">
        <f t="shared" si="8"/>
        <v>0</v>
      </c>
    </row>
    <row r="167" spans="2:14" x14ac:dyDescent="0.35">
      <c r="B167" s="25" t="str">
        <f>IF(C167="","",_xlfn.XLOOKUP(C167,'00_SKU_Master'!$B$2:$B$2000,'00_SKU_Master'!$J$2:$J$2000,""))</f>
        <v>PB BSC THIGH ST PP BSK</v>
      </c>
      <c r="C167" s="25">
        <v>7397</v>
      </c>
      <c r="D167" s="16">
        <f>_xlfn.XLOOKUP(C167,'02_TrayPack_Order'!$B$3:$B$265,'02_TrayPack_Order'!$D$3:$D$265)</f>
        <v>0</v>
      </c>
      <c r="E167" s="17">
        <f>_xlfn.XLOOKUP(C167,'02_TrayPack_Order'!$B$3:$B$265,'02_TrayPack_Order'!$M$3:$M$265,0)</f>
        <v>0</v>
      </c>
      <c r="F167" s="16">
        <f>SUMIF('13_Progress_Track'!$A$2:$A$108,C167,'13_Progress_Track'!$E$2:$E$108)</f>
        <v>0</v>
      </c>
      <c r="G167" s="16">
        <f t="shared" si="6"/>
        <v>0</v>
      </c>
      <c r="H167" s="16">
        <f t="shared" si="7"/>
        <v>0</v>
      </c>
      <c r="I167" s="25">
        <f>_xlfn.IFNA(_xlfn.XLOOKUP(C167,'00_SKU_Master'!$B$2:$B$2000,'00_SKU_Master'!$C$2:$C$2000),"")</f>
        <v>61082</v>
      </c>
      <c r="J167" s="97">
        <f>IFERROR(_xlfn.XLOOKUP(C167,'00_SKU_Master'!$B$2:$B$2000,'00_SKU_Master'!$F$2:$F$2000,0)*N167,0)</f>
        <v>0</v>
      </c>
      <c r="K167" s="96" t="str">
        <f>_xlfn.IFNA(_xlfn.XLOOKUP(C167,'00_SKU_Master'!$B$2:$B$2000,'00_SKU_Master'!$H$2:$H$2000,0),"")</f>
        <v>ST 3XP</v>
      </c>
      <c r="L167" s="96" t="str">
        <f>_xlfn.IFNA(_xlfn.XLOOKUP(C167,'00_SKU_Master'!$B$2:$B$2000,'00_SKU_Master'!$K$2:$K$2000,0),"")</f>
        <v>Fast</v>
      </c>
      <c r="M167" s="25" t="str">
        <f>_xlfn.XLOOKUP(C167,'00_SKU_Master'!$B$2:$B$2000,'00_SKU_Master'!$D$2:$D$2000)</f>
        <v>FB</v>
      </c>
      <c r="N167" s="25">
        <f t="shared" si="8"/>
        <v>0</v>
      </c>
    </row>
    <row r="168" spans="2:14" x14ac:dyDescent="0.35">
      <c r="B168" s="25" t="str">
        <f>IF(C168="","",_xlfn.XLOOKUP(C168,'00_SKU_Master'!$B$2:$B$2000,'00_SKU_Master'!$J$2:$J$2000,""))</f>
        <v>MS BSC BSHB LT PP BSK</v>
      </c>
      <c r="C168" s="25">
        <v>7398</v>
      </c>
      <c r="D168" s="16">
        <f>_xlfn.XLOOKUP(C168,'02_TrayPack_Order'!$B$3:$B$265,'02_TrayPack_Order'!$D$3:$D$265)</f>
        <v>0</v>
      </c>
      <c r="E168" s="17">
        <f>_xlfn.XLOOKUP(C168,'02_TrayPack_Order'!$B$3:$B$265,'02_TrayPack_Order'!$M$3:$M$265,0)</f>
        <v>0</v>
      </c>
      <c r="F168" s="16">
        <f>SUMIF('13_Progress_Track'!$A$2:$A$108,C168,'13_Progress_Track'!$E$2:$E$108)</f>
        <v>0</v>
      </c>
      <c r="G168" s="16">
        <f t="shared" si="6"/>
        <v>0</v>
      </c>
      <c r="H168" s="16">
        <f t="shared" si="7"/>
        <v>0</v>
      </c>
      <c r="I168" s="25" t="str">
        <f>_xlfn.IFNA(_xlfn.XLOOKUP(C168,'00_SKU_Master'!$B$2:$B$2000,'00_SKU_Master'!$C$2:$C$2000),"")</f>
        <v>61050#2</v>
      </c>
      <c r="J168" s="97">
        <f>IFERROR(_xlfn.XLOOKUP(C168,'00_SKU_Master'!$B$2:$B$2000,'00_SKU_Master'!$F$2:$F$2000,0)*N168,0)</f>
        <v>0</v>
      </c>
      <c r="K168" s="96" t="str">
        <f>_xlfn.IFNA(_xlfn.XLOOKUP(C168,'00_SKU_Master'!$B$2:$B$2000,'00_SKU_Master'!$H$2:$H$2000,0),"")</f>
        <v>LT 8XP</v>
      </c>
      <c r="L168" s="96" t="str">
        <f>_xlfn.IFNA(_xlfn.XLOOKUP(C168,'00_SKU_Master'!$B$2:$B$2000,'00_SKU_Master'!$K$2:$K$2000,0),"")</f>
        <v>Fast</v>
      </c>
      <c r="M168" s="25" t="str">
        <f>_xlfn.XLOOKUP(C168,'00_SKU_Master'!$B$2:$B$2000,'00_SKU_Master'!$D$2:$D$2000)</f>
        <v>FB</v>
      </c>
      <c r="N168" s="25">
        <f t="shared" si="8"/>
        <v>0</v>
      </c>
    </row>
    <row r="169" spans="2:14" x14ac:dyDescent="0.35">
      <c r="B169" s="25" t="str">
        <f>IF(C169="","",_xlfn.XLOOKUP(C169,'00_SKU_Master'!$B$2:$B$2000,'00_SKU_Master'!$J$2:$J$2000,""))</f>
        <v>MS BSC 1.1-1.31KG FRY WOG TI PP BSK</v>
      </c>
      <c r="C169" s="25">
        <v>7416</v>
      </c>
      <c r="D169" s="16">
        <f>_xlfn.XLOOKUP(C169,'02_TrayPack_Order'!$B$3:$B$265,'02_TrayPack_Order'!$D$3:$D$265)</f>
        <v>0</v>
      </c>
      <c r="E169" s="17">
        <f>_xlfn.XLOOKUP(C169,'02_TrayPack_Order'!$B$3:$B$265,'02_TrayPack_Order'!$M$3:$M$265,0)</f>
        <v>0</v>
      </c>
      <c r="F169" s="16">
        <f>SUMIF('13_Progress_Track'!$A$2:$A$108,C169,'13_Progress_Track'!$E$2:$E$108)</f>
        <v>0</v>
      </c>
      <c r="G169" s="16">
        <f t="shared" si="6"/>
        <v>0</v>
      </c>
      <c r="H169" s="16">
        <f t="shared" si="7"/>
        <v>0</v>
      </c>
      <c r="I169" s="25">
        <f>_xlfn.IFNA(_xlfn.XLOOKUP(C169,'00_SKU_Master'!$B$2:$B$2000,'00_SKU_Master'!$C$2:$C$2000),"")</f>
        <v>203891</v>
      </c>
      <c r="J169" s="97">
        <f>IFERROR(_xlfn.XLOOKUP(C169,'00_SKU_Master'!$B$2:$B$2000,'00_SKU_Master'!$F$2:$F$2000,0)*N169,0)</f>
        <v>0</v>
      </c>
      <c r="K169" s="96" t="str">
        <f>_xlfn.IFNA(_xlfn.XLOOKUP(C169,'00_SKU_Master'!$B$2:$B$2000,'00_SKU_Master'!$H$2:$H$2000,0),"")</f>
        <v>ST 3XP</v>
      </c>
      <c r="L169" s="96" t="str">
        <f>_xlfn.IFNA(_xlfn.XLOOKUP(C169,'00_SKU_Master'!$B$2:$B$2000,'00_SKU_Master'!$K$2:$K$2000,0),"")</f>
        <v>Fast</v>
      </c>
      <c r="M169" s="25" t="str">
        <f>_xlfn.XLOOKUP(C169,'00_SKU_Master'!$B$2:$B$2000,'00_SKU_Master'!$D$2:$D$2000)</f>
        <v>FB</v>
      </c>
      <c r="N169" s="25">
        <f t="shared" si="8"/>
        <v>0</v>
      </c>
    </row>
    <row r="170" spans="2:14" x14ac:dyDescent="0.35">
      <c r="B170" s="25" t="str">
        <f>IF(C170="","",_xlfn.XLOOKUP(C170,'00_SKU_Master'!$B$2:$B$2000,'00_SKU_Master'!$J$2:$J$2000,""))</f>
        <v>PB BSC BSTHIGH ST PP BSK</v>
      </c>
      <c r="C170" s="25">
        <v>7522</v>
      </c>
      <c r="D170" s="16">
        <f>_xlfn.XLOOKUP(C170,'02_TrayPack_Order'!$B$3:$B$265,'02_TrayPack_Order'!$D$3:$D$265)</f>
        <v>0</v>
      </c>
      <c r="E170" s="17">
        <f>_xlfn.XLOOKUP(C170,'02_TrayPack_Order'!$B$3:$B$265,'02_TrayPack_Order'!$M$3:$M$265,0)</f>
        <v>0</v>
      </c>
      <c r="F170" s="16">
        <f>SUMIF('13_Progress_Track'!$A$2:$A$108,C170,'13_Progress_Track'!$E$2:$E$108)</f>
        <v>0</v>
      </c>
      <c r="G170" s="16">
        <f t="shared" si="6"/>
        <v>0</v>
      </c>
      <c r="H170" s="16">
        <f t="shared" si="7"/>
        <v>0</v>
      </c>
      <c r="I170" s="25" t="str">
        <f>_xlfn.IFNA(_xlfn.XLOOKUP(C170,'00_SKU_Master'!$B$2:$B$2000,'00_SKU_Master'!$C$2:$C$2000),"")</f>
        <v>61086#2</v>
      </c>
      <c r="J170" s="97">
        <f>IFERROR(_xlfn.XLOOKUP(C170,'00_SKU_Master'!$B$2:$B$2000,'00_SKU_Master'!$F$2:$F$2000,0)*N170,0)</f>
        <v>0</v>
      </c>
      <c r="K170" s="96" t="str">
        <f>_xlfn.IFNA(_xlfn.XLOOKUP(C170,'00_SKU_Master'!$B$2:$B$2000,'00_SKU_Master'!$H$2:$H$2000,0),"")</f>
        <v>ST 3XP</v>
      </c>
      <c r="L170" s="96" t="str">
        <f>_xlfn.IFNA(_xlfn.XLOOKUP(C170,'00_SKU_Master'!$B$2:$B$2000,'00_SKU_Master'!$K$2:$K$2000,0),"")</f>
        <v>Slow</v>
      </c>
      <c r="M170" s="25" t="str">
        <f>_xlfn.XLOOKUP(C170,'00_SKU_Master'!$B$2:$B$2000,'00_SKU_Master'!$D$2:$D$2000)</f>
        <v>FB</v>
      </c>
      <c r="N170" s="25">
        <f t="shared" si="8"/>
        <v>0</v>
      </c>
    </row>
    <row r="171" spans="2:14" x14ac:dyDescent="0.35">
      <c r="B171" s="25" t="str">
        <f>IF(C171="","",_xlfn.XLOOKUP(C171,'00_SKU_Master'!$B$2:$B$2000,'00_SKU_Master'!$J$2:$J$2000,""))</f>
        <v>PB BSC HB ST PP BSK</v>
      </c>
      <c r="C171" s="25">
        <v>7553</v>
      </c>
      <c r="D171" s="16">
        <f>_xlfn.XLOOKUP(C171,'02_TrayPack_Order'!$B$3:$B$265,'02_TrayPack_Order'!$D$3:$D$265)</f>
        <v>0</v>
      </c>
      <c r="E171" s="17">
        <f>_xlfn.XLOOKUP(C171,'02_TrayPack_Order'!$B$3:$B$265,'02_TrayPack_Order'!$M$3:$M$265,0)</f>
        <v>0</v>
      </c>
      <c r="F171" s="16">
        <f>SUMIF('13_Progress_Track'!$A$2:$A$108,C171,'13_Progress_Track'!$E$2:$E$108)</f>
        <v>0</v>
      </c>
      <c r="G171" s="16">
        <f t="shared" si="6"/>
        <v>0</v>
      </c>
      <c r="H171" s="16">
        <f t="shared" si="7"/>
        <v>0</v>
      </c>
      <c r="I171" s="25" t="str">
        <f>_xlfn.IFNA(_xlfn.XLOOKUP(C171,'00_SKU_Master'!$B$2:$B$2000,'00_SKU_Master'!$C$2:$C$2000),"")</f>
        <v>61040#2</v>
      </c>
      <c r="J171" s="97">
        <f>IFERROR(_xlfn.XLOOKUP(C171,'00_SKU_Master'!$B$2:$B$2000,'00_SKU_Master'!$F$2:$F$2000,0)*N171,0)</f>
        <v>0</v>
      </c>
      <c r="K171" s="96" t="str">
        <f>_xlfn.IFNA(_xlfn.XLOOKUP(C171,'00_SKU_Master'!$B$2:$B$2000,'00_SKU_Master'!$H$2:$H$2000,0),"")</f>
        <v>ST 3XP</v>
      </c>
      <c r="L171" s="96" t="str">
        <f>_xlfn.IFNA(_xlfn.XLOOKUP(C171,'00_SKU_Master'!$B$2:$B$2000,'00_SKU_Master'!$K$2:$K$2000,0),"")</f>
        <v>Fast</v>
      </c>
      <c r="M171" s="25" t="str">
        <f>_xlfn.XLOOKUP(C171,'00_SKU_Master'!$B$2:$B$2000,'00_SKU_Master'!$D$2:$D$2000)</f>
        <v>FB</v>
      </c>
      <c r="N171" s="25">
        <f t="shared" si="8"/>
        <v>0</v>
      </c>
    </row>
    <row r="172" spans="2:14" x14ac:dyDescent="0.35">
      <c r="B172" s="25" t="str">
        <f>IF(C172="","",_xlfn.XLOOKUP(C172,'00_SKU_Master'!$B$2:$B$2000,'00_SKU_Master'!$J$2:$J$2000,""))</f>
        <v>PB BSC SKLS HB ST PP BSK</v>
      </c>
      <c r="C172" s="25">
        <v>7554</v>
      </c>
      <c r="D172" s="16">
        <f>_xlfn.XLOOKUP(C172,'02_TrayPack_Order'!$B$3:$B$265,'02_TrayPack_Order'!$D$3:$D$265)</f>
        <v>0</v>
      </c>
      <c r="E172" s="17">
        <f>_xlfn.XLOOKUP(C172,'02_TrayPack_Order'!$B$3:$B$265,'02_TrayPack_Order'!$M$3:$M$265,0)</f>
        <v>0</v>
      </c>
      <c r="F172" s="16">
        <f>SUMIF('13_Progress_Track'!$A$2:$A$108,C172,'13_Progress_Track'!$E$2:$E$108)</f>
        <v>0</v>
      </c>
      <c r="G172" s="16">
        <f t="shared" si="6"/>
        <v>0</v>
      </c>
      <c r="H172" s="16">
        <f t="shared" si="7"/>
        <v>0</v>
      </c>
      <c r="I172" s="25" t="str">
        <f>_xlfn.IFNA(_xlfn.XLOOKUP(C172,'00_SKU_Master'!$B$2:$B$2000,'00_SKU_Master'!$C$2:$C$2000),"")</f>
        <v>61048#2</v>
      </c>
      <c r="J172" s="97">
        <f>IFERROR(_xlfn.XLOOKUP(C172,'00_SKU_Master'!$B$2:$B$2000,'00_SKU_Master'!$F$2:$F$2000,0)*N172,0)</f>
        <v>0</v>
      </c>
      <c r="K172" s="96" t="str">
        <f>_xlfn.IFNA(_xlfn.XLOOKUP(C172,'00_SKU_Master'!$B$2:$B$2000,'00_SKU_Master'!$H$2:$H$2000,0),"")</f>
        <v>ST 3XP</v>
      </c>
      <c r="L172" s="96" t="str">
        <f>_xlfn.IFNA(_xlfn.XLOOKUP(C172,'00_SKU_Master'!$B$2:$B$2000,'00_SKU_Master'!$K$2:$K$2000,0),"")</f>
        <v>Fast</v>
      </c>
      <c r="M172" s="25" t="str">
        <f>_xlfn.XLOOKUP(C172,'00_SKU_Master'!$B$2:$B$2000,'00_SKU_Master'!$D$2:$D$2000)</f>
        <v>FB</v>
      </c>
      <c r="N172" s="25">
        <f t="shared" si="8"/>
        <v>0</v>
      </c>
    </row>
    <row r="173" spans="2:14" x14ac:dyDescent="0.35">
      <c r="B173" s="25" t="str">
        <f>IF(C173="","",_xlfn.XLOOKUP(C173,'00_SKU_Master'!$B$2:$B$2000,'00_SKU_Master'!$J$2:$J$2000,""))</f>
        <v>PB BSC SKLS HB LT PP BSK</v>
      </c>
      <c r="C173" s="25">
        <v>7557</v>
      </c>
      <c r="D173" s="16">
        <f>_xlfn.XLOOKUP(C173,'02_TrayPack_Order'!$B$3:$B$265,'02_TrayPack_Order'!$D$3:$D$265)</f>
        <v>0</v>
      </c>
      <c r="E173" s="17">
        <f>_xlfn.XLOOKUP(C173,'02_TrayPack_Order'!$B$3:$B$265,'02_TrayPack_Order'!$M$3:$M$265,0)</f>
        <v>0</v>
      </c>
      <c r="F173" s="16">
        <f>SUMIF('13_Progress_Track'!$A$2:$A$108,C173,'13_Progress_Track'!$E$2:$E$108)</f>
        <v>0</v>
      </c>
      <c r="G173" s="16">
        <f t="shared" si="6"/>
        <v>0</v>
      </c>
      <c r="H173" s="16">
        <f t="shared" si="7"/>
        <v>0</v>
      </c>
      <c r="I173" s="25" t="str">
        <f>_xlfn.IFNA(_xlfn.XLOOKUP(C173,'00_SKU_Master'!$B$2:$B$2000,'00_SKU_Master'!$C$2:$C$2000),"")</f>
        <v>61048#2</v>
      </c>
      <c r="J173" s="97">
        <f>IFERROR(_xlfn.XLOOKUP(C173,'00_SKU_Master'!$B$2:$B$2000,'00_SKU_Master'!$F$2:$F$2000,0)*N173,0)</f>
        <v>0</v>
      </c>
      <c r="K173" s="96" t="str">
        <f>_xlfn.IFNA(_xlfn.XLOOKUP(C173,'00_SKU_Master'!$B$2:$B$2000,'00_SKU_Master'!$H$2:$H$2000,0),"")</f>
        <v>LT 8XP</v>
      </c>
      <c r="L173" s="96" t="str">
        <f>_xlfn.IFNA(_xlfn.XLOOKUP(C173,'00_SKU_Master'!$B$2:$B$2000,'00_SKU_Master'!$K$2:$K$2000,0),"")</f>
        <v>Fast</v>
      </c>
      <c r="M173" s="25" t="str">
        <f>_xlfn.XLOOKUP(C173,'00_SKU_Master'!$B$2:$B$2000,'00_SKU_Master'!$D$2:$D$2000)</f>
        <v>FB</v>
      </c>
      <c r="N173" s="25">
        <f t="shared" si="8"/>
        <v>0</v>
      </c>
    </row>
    <row r="174" spans="2:14" x14ac:dyDescent="0.35">
      <c r="B174" s="25" t="str">
        <f>IF(C174="","",_xlfn.XLOOKUP(C174,'00_SKU_Master'!$B$2:$B$2000,'00_SKU_Master'!$J$2:$J$2000,""))</f>
        <v>MS BSHB WOF PET8 BSK</v>
      </c>
      <c r="C174" s="25">
        <v>7605</v>
      </c>
      <c r="D174" s="16">
        <f>_xlfn.XLOOKUP(C174,'02_TrayPack_Order'!$B$3:$B$265,'02_TrayPack_Order'!$D$3:$D$265)</f>
        <v>0</v>
      </c>
      <c r="E174" s="17">
        <f>_xlfn.XLOOKUP(C174,'02_TrayPack_Order'!$B$3:$B$265,'02_TrayPack_Order'!$M$3:$M$265,0)</f>
        <v>0</v>
      </c>
      <c r="F174" s="16">
        <f>SUMIF('13_Progress_Track'!$A$2:$A$108,C174,'13_Progress_Track'!$E$2:$E$108)</f>
        <v>0</v>
      </c>
      <c r="G174" s="16">
        <f t="shared" si="6"/>
        <v>0</v>
      </c>
      <c r="H174" s="16">
        <f t="shared" si="7"/>
        <v>0</v>
      </c>
      <c r="I174" s="25">
        <f>_xlfn.IFNA(_xlfn.XLOOKUP(C174,'00_SKU_Master'!$B$2:$B$2000,'00_SKU_Master'!$C$2:$C$2000),"")</f>
        <v>61055</v>
      </c>
      <c r="J174" s="97">
        <f>IFERROR(_xlfn.XLOOKUP(C174,'00_SKU_Master'!$B$2:$B$2000,'00_SKU_Master'!$F$2:$F$2000,0)*N174,0)</f>
        <v>0</v>
      </c>
      <c r="K174" s="96" t="str">
        <f>_xlfn.IFNA(_xlfn.XLOOKUP(C174,'00_SKU_Master'!$B$2:$B$2000,'00_SKU_Master'!$H$2:$H$2000,0),"")</f>
        <v>PET 8</v>
      </c>
      <c r="L174" s="96" t="str">
        <f>_xlfn.IFNA(_xlfn.XLOOKUP(C174,'00_SKU_Master'!$B$2:$B$2000,'00_SKU_Master'!$K$2:$K$2000,0),"")</f>
        <v>Fast</v>
      </c>
      <c r="M174" s="25" t="str">
        <f>_xlfn.XLOOKUP(C174,'00_SKU_Master'!$B$2:$B$2000,'00_SKU_Master'!$D$2:$D$2000)</f>
        <v>LCL</v>
      </c>
      <c r="N174" s="25">
        <f t="shared" si="8"/>
        <v>0</v>
      </c>
    </row>
    <row r="175" spans="2:14" x14ac:dyDescent="0.35">
      <c r="B175" s="25" t="str">
        <f>IF(C175="","",_xlfn.XLOOKUP(C175,'00_SKU_Master'!$B$2:$B$2000,'00_SKU_Master'!$J$2:$J$2000,""))</f>
        <v>MS BSHB WOF PET8 PP BSK</v>
      </c>
      <c r="C175" s="25">
        <v>7606</v>
      </c>
      <c r="D175" s="16">
        <f>_xlfn.XLOOKUP(C175,'02_TrayPack_Order'!$B$3:$B$265,'02_TrayPack_Order'!$D$3:$D$265)</f>
        <v>0</v>
      </c>
      <c r="E175" s="17">
        <f>_xlfn.XLOOKUP(C175,'02_TrayPack_Order'!$B$3:$B$265,'02_TrayPack_Order'!$M$3:$M$265,0)</f>
        <v>0</v>
      </c>
      <c r="F175" s="16">
        <f>SUMIF('13_Progress_Track'!$A$2:$A$108,C175,'13_Progress_Track'!$E$2:$E$108)</f>
        <v>0</v>
      </c>
      <c r="G175" s="16">
        <f t="shared" si="6"/>
        <v>0</v>
      </c>
      <c r="H175" s="16">
        <f t="shared" si="7"/>
        <v>0</v>
      </c>
      <c r="I175" s="25">
        <f>_xlfn.IFNA(_xlfn.XLOOKUP(C175,'00_SKU_Master'!$B$2:$B$2000,'00_SKU_Master'!$C$2:$C$2000),"")</f>
        <v>61055</v>
      </c>
      <c r="J175" s="97">
        <f>IFERROR(_xlfn.XLOOKUP(C175,'00_SKU_Master'!$B$2:$B$2000,'00_SKU_Master'!$F$2:$F$2000,0)*N175,0)</f>
        <v>0</v>
      </c>
      <c r="K175" s="96" t="str">
        <f>_xlfn.IFNA(_xlfn.XLOOKUP(C175,'00_SKU_Master'!$B$2:$B$2000,'00_SKU_Master'!$H$2:$H$2000,0),"")</f>
        <v>PET 8</v>
      </c>
      <c r="L175" s="96" t="str">
        <f>_xlfn.IFNA(_xlfn.XLOOKUP(C175,'00_SKU_Master'!$B$2:$B$2000,'00_SKU_Master'!$K$2:$K$2000,0),"")</f>
        <v>Fast</v>
      </c>
      <c r="M175" s="25" t="str">
        <f>_xlfn.XLOOKUP(C175,'00_SKU_Master'!$B$2:$B$2000,'00_SKU_Master'!$D$2:$D$2000)</f>
        <v>LCL</v>
      </c>
      <c r="N175" s="25">
        <f t="shared" si="8"/>
        <v>0</v>
      </c>
    </row>
    <row r="176" spans="2:14" x14ac:dyDescent="0.35">
      <c r="B176" s="25" t="str">
        <f>IF(C176="","",_xlfn.XLOOKUP(C176,'00_SKU_Master'!$B$2:$B$2000,'00_SKU_Master'!$J$2:$J$2000,""))</f>
        <v>MS BSHB WOF PET8 PP BSK</v>
      </c>
      <c r="C176" s="25">
        <v>7607</v>
      </c>
      <c r="D176" s="16">
        <f>_xlfn.XLOOKUP(C176,'02_TrayPack_Order'!$B$3:$B$265,'02_TrayPack_Order'!$D$3:$D$265)</f>
        <v>0</v>
      </c>
      <c r="E176" s="17">
        <f>_xlfn.XLOOKUP(C176,'02_TrayPack_Order'!$B$3:$B$265,'02_TrayPack_Order'!$M$3:$M$265,0)</f>
        <v>0</v>
      </c>
      <c r="F176" s="16">
        <f>SUMIF('13_Progress_Track'!$A$2:$A$108,C176,'13_Progress_Track'!$E$2:$E$108)</f>
        <v>0</v>
      </c>
      <c r="G176" s="16">
        <f t="shared" si="6"/>
        <v>0</v>
      </c>
      <c r="H176" s="16">
        <f t="shared" si="7"/>
        <v>0</v>
      </c>
      <c r="I176" s="25">
        <f>_xlfn.IFNA(_xlfn.XLOOKUP(C176,'00_SKU_Master'!$B$2:$B$2000,'00_SKU_Master'!$C$2:$C$2000),"")</f>
        <v>61055</v>
      </c>
      <c r="J176" s="97">
        <f>IFERROR(_xlfn.XLOOKUP(C176,'00_SKU_Master'!$B$2:$B$2000,'00_SKU_Master'!$F$2:$F$2000,0)*N176,0)</f>
        <v>0</v>
      </c>
      <c r="K176" s="96" t="str">
        <f>_xlfn.IFNA(_xlfn.XLOOKUP(C176,'00_SKU_Master'!$B$2:$B$2000,'00_SKU_Master'!$H$2:$H$2000,0),"")</f>
        <v>PET 8</v>
      </c>
      <c r="L176" s="96" t="str">
        <f>_xlfn.IFNA(_xlfn.XLOOKUP(C176,'00_SKU_Master'!$B$2:$B$2000,'00_SKU_Master'!$K$2:$K$2000,0),"")</f>
        <v>Fast</v>
      </c>
      <c r="M176" s="25" t="str">
        <f>_xlfn.XLOOKUP(C176,'00_SKU_Master'!$B$2:$B$2000,'00_SKU_Master'!$D$2:$D$2000)</f>
        <v>LCL</v>
      </c>
      <c r="N176" s="25">
        <f t="shared" si="8"/>
        <v>0</v>
      </c>
    </row>
    <row r="177" spans="2:14" x14ac:dyDescent="0.35">
      <c r="B177" s="25" t="str">
        <f>IF(C177="","",_xlfn.XLOOKUP(C177,'00_SKU_Master'!$B$2:$B$2000,'00_SKU_Master'!$J$2:$J$2000,""))</f>
        <v>MS LCL BSHB WOF PET8 PP BSK</v>
      </c>
      <c r="C177" s="25">
        <v>7608</v>
      </c>
      <c r="D177" s="16">
        <f>_xlfn.XLOOKUP(C177,'02_TrayPack_Order'!$B$3:$B$265,'02_TrayPack_Order'!$D$3:$D$265)</f>
        <v>0</v>
      </c>
      <c r="E177" s="17">
        <f>_xlfn.XLOOKUP(C177,'02_TrayPack_Order'!$B$3:$B$265,'02_TrayPack_Order'!$M$3:$M$265,0)</f>
        <v>0</v>
      </c>
      <c r="F177" s="16">
        <f>SUMIF('13_Progress_Track'!$A$2:$A$108,C177,'13_Progress_Track'!$E$2:$E$108)</f>
        <v>0</v>
      </c>
      <c r="G177" s="16">
        <f t="shared" si="6"/>
        <v>0</v>
      </c>
      <c r="H177" s="16">
        <f t="shared" si="7"/>
        <v>0</v>
      </c>
      <c r="I177" s="25">
        <f>_xlfn.IFNA(_xlfn.XLOOKUP(C177,'00_SKU_Master'!$B$2:$B$2000,'00_SKU_Master'!$C$2:$C$2000),"")</f>
        <v>61055</v>
      </c>
      <c r="J177" s="97">
        <f>IFERROR(_xlfn.XLOOKUP(C177,'00_SKU_Master'!$B$2:$B$2000,'00_SKU_Master'!$F$2:$F$2000,0)*N177,0)</f>
        <v>0</v>
      </c>
      <c r="K177" s="96" t="str">
        <f>_xlfn.IFNA(_xlfn.XLOOKUP(C177,'00_SKU_Master'!$B$2:$B$2000,'00_SKU_Master'!$H$2:$H$2000,0),"")</f>
        <v>PET 8</v>
      </c>
      <c r="L177" s="96" t="str">
        <f>_xlfn.IFNA(_xlfn.XLOOKUP(C177,'00_SKU_Master'!$B$2:$B$2000,'00_SKU_Master'!$K$2:$K$2000,0),"")</f>
        <v>Fast</v>
      </c>
      <c r="M177" s="25" t="str">
        <f>_xlfn.XLOOKUP(C177,'00_SKU_Master'!$B$2:$B$2000,'00_SKU_Master'!$D$2:$D$2000)</f>
        <v>LCL</v>
      </c>
      <c r="N177" s="25">
        <f t="shared" si="8"/>
        <v>0</v>
      </c>
    </row>
    <row r="178" spans="2:14" x14ac:dyDescent="0.35">
      <c r="B178" s="25" t="str">
        <f>IF(C178="","",_xlfn.XLOOKUP(C178,'00_SKU_Master'!$B$2:$B$2000,'00_SKU_Master'!$J$2:$J$2000,""))</f>
        <v>MS LCL BSHB AC 3D PP BSK</v>
      </c>
      <c r="C178" s="25">
        <v>7811</v>
      </c>
      <c r="D178" s="16">
        <f>_xlfn.XLOOKUP(C178,'02_TrayPack_Order'!$B$3:$B$265,'02_TrayPack_Order'!$D$3:$D$265)</f>
        <v>0</v>
      </c>
      <c r="E178" s="17">
        <f>_xlfn.XLOOKUP(C178,'02_TrayPack_Order'!$B$3:$B$265,'02_TrayPack_Order'!$M$3:$M$265,0)</f>
        <v>0</v>
      </c>
      <c r="F178" s="16">
        <f>SUMIF('13_Progress_Track'!$A$2:$A$108,C178,'13_Progress_Track'!$E$2:$E$108)</f>
        <v>0</v>
      </c>
      <c r="G178" s="16">
        <f t="shared" si="6"/>
        <v>0</v>
      </c>
      <c r="H178" s="16">
        <f t="shared" si="7"/>
        <v>0</v>
      </c>
      <c r="I178" s="25">
        <f>_xlfn.IFNA(_xlfn.XLOOKUP(C178,'00_SKU_Master'!$B$2:$B$2000,'00_SKU_Master'!$C$2:$C$2000),"")</f>
        <v>61050</v>
      </c>
      <c r="J178" s="97">
        <f>IFERROR(_xlfn.XLOOKUP(C178,'00_SKU_Master'!$B$2:$B$2000,'00_SKU_Master'!$F$2:$F$2000,0)*N178,0)</f>
        <v>0</v>
      </c>
      <c r="K178" s="96" t="str">
        <f>_xlfn.IFNA(_xlfn.XLOOKUP(C178,'00_SKU_Master'!$B$2:$B$2000,'00_SKU_Master'!$H$2:$H$2000,0),"")</f>
        <v>ST 3D</v>
      </c>
      <c r="L178" s="96" t="str">
        <f>_xlfn.IFNA(_xlfn.XLOOKUP(C178,'00_SKU_Master'!$B$2:$B$2000,'00_SKU_Master'!$K$2:$K$2000,0),"")</f>
        <v>Fast</v>
      </c>
      <c r="M178" s="25" t="str">
        <f>_xlfn.XLOOKUP(C178,'00_SKU_Master'!$B$2:$B$2000,'00_SKU_Master'!$D$2:$D$2000)</f>
        <v>LCL</v>
      </c>
      <c r="N178" s="25">
        <f t="shared" si="8"/>
        <v>0</v>
      </c>
    </row>
    <row r="179" spans="2:14" x14ac:dyDescent="0.35">
      <c r="B179" s="25" t="str">
        <f>IF(C179="","",_xlfn.XLOOKUP(C179,'00_SKU_Master'!$B$2:$B$2000,'00_SKU_Master'!$J$2:$J$2000,""))</f>
        <v>MS LCL BSHB AC 6D PP BSK</v>
      </c>
      <c r="C179" s="25">
        <v>7812</v>
      </c>
      <c r="D179" s="16">
        <f>_xlfn.XLOOKUP(C179,'02_TrayPack_Order'!$B$3:$B$265,'02_TrayPack_Order'!$D$3:$D$265)</f>
        <v>0</v>
      </c>
      <c r="E179" s="17">
        <f>_xlfn.XLOOKUP(C179,'02_TrayPack_Order'!$B$3:$B$265,'02_TrayPack_Order'!$M$3:$M$265,0)</f>
        <v>0</v>
      </c>
      <c r="F179" s="16">
        <f>SUMIF('13_Progress_Track'!$A$2:$A$108,C179,'13_Progress_Track'!$E$2:$E$108)</f>
        <v>0</v>
      </c>
      <c r="G179" s="16">
        <f t="shared" si="6"/>
        <v>0</v>
      </c>
      <c r="H179" s="16">
        <f t="shared" si="7"/>
        <v>0</v>
      </c>
      <c r="I179" s="25">
        <f>_xlfn.IFNA(_xlfn.XLOOKUP(C179,'00_SKU_Master'!$B$2:$B$2000,'00_SKU_Master'!$C$2:$C$2000),"")</f>
        <v>61050</v>
      </c>
      <c r="J179" s="97">
        <f>IFERROR(_xlfn.XLOOKUP(C179,'00_SKU_Master'!$B$2:$B$2000,'00_SKU_Master'!$F$2:$F$2000,0)*N179,0)</f>
        <v>0</v>
      </c>
      <c r="K179" s="96" t="str">
        <f>_xlfn.IFNA(_xlfn.XLOOKUP(C179,'00_SKU_Master'!$B$2:$B$2000,'00_SKU_Master'!$H$2:$H$2000,0),"")</f>
        <v>LT 6D</v>
      </c>
      <c r="L179" s="96" t="str">
        <f>_xlfn.IFNA(_xlfn.XLOOKUP(C179,'00_SKU_Master'!$B$2:$B$2000,'00_SKU_Master'!$K$2:$K$2000,0),"")</f>
        <v>Fast</v>
      </c>
      <c r="M179" s="25" t="str">
        <f>_xlfn.XLOOKUP(C179,'00_SKU_Master'!$B$2:$B$2000,'00_SKU_Master'!$D$2:$D$2000)</f>
        <v>LCL</v>
      </c>
      <c r="N179" s="25">
        <f t="shared" si="8"/>
        <v>0</v>
      </c>
    </row>
    <row r="180" spans="2:14" x14ac:dyDescent="0.35">
      <c r="B180" s="25" t="str">
        <f>IF(C180="","",_xlfn.XLOOKUP(C180,'00_SKU_Master'!$B$2:$B$2000,'00_SKU_Master'!$J$2:$J$2000,""))</f>
        <v>MS LCL BSHB AC 8D PP BSK</v>
      </c>
      <c r="C180" s="25">
        <v>7813</v>
      </c>
      <c r="D180" s="16">
        <f>_xlfn.XLOOKUP(C180,'02_TrayPack_Order'!$B$3:$B$265,'02_TrayPack_Order'!$D$3:$D$265)</f>
        <v>0</v>
      </c>
      <c r="E180" s="17">
        <f>_xlfn.XLOOKUP(C180,'02_TrayPack_Order'!$B$3:$B$265,'02_TrayPack_Order'!$M$3:$M$265,0)</f>
        <v>0</v>
      </c>
      <c r="F180" s="16">
        <f>SUMIF('13_Progress_Track'!$A$2:$A$108,C180,'13_Progress_Track'!$E$2:$E$108)</f>
        <v>0</v>
      </c>
      <c r="G180" s="16">
        <f t="shared" si="6"/>
        <v>0</v>
      </c>
      <c r="H180" s="16">
        <f t="shared" si="7"/>
        <v>0</v>
      </c>
      <c r="I180" s="25">
        <f>_xlfn.IFNA(_xlfn.XLOOKUP(C180,'00_SKU_Master'!$B$2:$B$2000,'00_SKU_Master'!$C$2:$C$2000),"")</f>
        <v>61050</v>
      </c>
      <c r="J180" s="97">
        <f>IFERROR(_xlfn.XLOOKUP(C180,'00_SKU_Master'!$B$2:$B$2000,'00_SKU_Master'!$F$2:$F$2000,0)*N180,0)</f>
        <v>0</v>
      </c>
      <c r="K180" s="96" t="str">
        <f>_xlfn.IFNA(_xlfn.XLOOKUP(C180,'00_SKU_Master'!$B$2:$B$2000,'00_SKU_Master'!$H$2:$H$2000,0),"")</f>
        <v>PET 8</v>
      </c>
      <c r="L180" s="96" t="str">
        <f>_xlfn.IFNA(_xlfn.XLOOKUP(C180,'00_SKU_Master'!$B$2:$B$2000,'00_SKU_Master'!$K$2:$K$2000,0),"")</f>
        <v>Fast</v>
      </c>
      <c r="M180" s="25" t="str">
        <f>_xlfn.XLOOKUP(C180,'00_SKU_Master'!$B$2:$B$2000,'00_SKU_Master'!$D$2:$D$2000)</f>
        <v>LCL</v>
      </c>
      <c r="N180" s="25">
        <f t="shared" si="8"/>
        <v>0</v>
      </c>
    </row>
    <row r="181" spans="2:14" x14ac:dyDescent="0.35">
      <c r="B181" s="25" t="str">
        <f>IF(C181="","",_xlfn.XLOOKUP(C181,'00_SKU_Master'!$B$2:$B$2000,'00_SKU_Master'!$J$2:$J$2000,""))</f>
        <v>MS LCL BTFLYB WOF AC 3XP PP BSK</v>
      </c>
      <c r="C181" s="25">
        <v>7814</v>
      </c>
      <c r="D181" s="16">
        <f>_xlfn.XLOOKUP(C181,'02_TrayPack_Order'!$B$3:$B$265,'02_TrayPack_Order'!$D$3:$D$265)</f>
        <v>0</v>
      </c>
      <c r="E181" s="17">
        <f>_xlfn.XLOOKUP(C181,'02_TrayPack_Order'!$B$3:$B$265,'02_TrayPack_Order'!$M$3:$M$265,0)</f>
        <v>0</v>
      </c>
      <c r="F181" s="16">
        <f>SUMIF('13_Progress_Track'!$A$2:$A$108,C181,'13_Progress_Track'!$E$2:$E$108)</f>
        <v>0</v>
      </c>
      <c r="G181" s="16">
        <f t="shared" si="6"/>
        <v>0</v>
      </c>
      <c r="H181" s="16">
        <f t="shared" si="7"/>
        <v>0</v>
      </c>
      <c r="I181" s="25">
        <f>_xlfn.IFNA(_xlfn.XLOOKUP(C181,'00_SKU_Master'!$B$2:$B$2000,'00_SKU_Master'!$C$2:$C$2000),"")</f>
        <v>61069</v>
      </c>
      <c r="J181" s="97">
        <f>IFERROR(_xlfn.XLOOKUP(C181,'00_SKU_Master'!$B$2:$B$2000,'00_SKU_Master'!$F$2:$F$2000,0)*N181,0)</f>
        <v>0</v>
      </c>
      <c r="K181" s="96" t="str">
        <f>_xlfn.IFNA(_xlfn.XLOOKUP(C181,'00_SKU_Master'!$B$2:$B$2000,'00_SKU_Master'!$H$2:$H$2000,0),"")</f>
        <v>ST 3XP</v>
      </c>
      <c r="L181" s="96" t="str">
        <f>_xlfn.IFNA(_xlfn.XLOOKUP(C181,'00_SKU_Master'!$B$2:$B$2000,'00_SKU_Master'!$K$2:$K$2000,0),"")</f>
        <v>Fast</v>
      </c>
      <c r="M181" s="25" t="str">
        <f>_xlfn.XLOOKUP(C181,'00_SKU_Master'!$B$2:$B$2000,'00_SKU_Master'!$D$2:$D$2000)</f>
        <v>LCL</v>
      </c>
      <c r="N181" s="25">
        <f t="shared" si="8"/>
        <v>0</v>
      </c>
    </row>
    <row r="182" spans="2:14" x14ac:dyDescent="0.35">
      <c r="B182" s="25" t="str">
        <f>IF(C182="","",_xlfn.XLOOKUP(C182,'00_SKU_Master'!$B$2:$B$2000,'00_SKU_Master'!$J$2:$J$2000,""))</f>
        <v>MS LCL FILLET AC 3XP PP BSK</v>
      </c>
      <c r="C182" s="25">
        <v>7815</v>
      </c>
      <c r="D182" s="16">
        <f>_xlfn.XLOOKUP(C182,'02_TrayPack_Order'!$B$3:$B$265,'02_TrayPack_Order'!$D$3:$D$265)</f>
        <v>0</v>
      </c>
      <c r="E182" s="17">
        <f>_xlfn.XLOOKUP(C182,'02_TrayPack_Order'!$B$3:$B$265,'02_TrayPack_Order'!$M$3:$M$265,0)</f>
        <v>0</v>
      </c>
      <c r="F182" s="16">
        <f>SUMIF('13_Progress_Track'!$A$2:$A$108,C182,'13_Progress_Track'!$E$2:$E$108)</f>
        <v>0</v>
      </c>
      <c r="G182" s="16">
        <f t="shared" si="6"/>
        <v>0</v>
      </c>
      <c r="H182" s="16">
        <f t="shared" si="7"/>
        <v>0</v>
      </c>
      <c r="I182" s="25">
        <f>_xlfn.IFNA(_xlfn.XLOOKUP(C182,'00_SKU_Master'!$B$2:$B$2000,'00_SKU_Master'!$C$2:$C$2000),"")</f>
        <v>61054</v>
      </c>
      <c r="J182" s="97">
        <f>IFERROR(_xlfn.XLOOKUP(C182,'00_SKU_Master'!$B$2:$B$2000,'00_SKU_Master'!$F$2:$F$2000,0)*N182,0)</f>
        <v>0</v>
      </c>
      <c r="K182" s="96" t="str">
        <f>_xlfn.IFNA(_xlfn.XLOOKUP(C182,'00_SKU_Master'!$B$2:$B$2000,'00_SKU_Master'!$H$2:$H$2000,0),"")</f>
        <v>ST 3XP</v>
      </c>
      <c r="L182" s="96" t="str">
        <f>_xlfn.IFNA(_xlfn.XLOOKUP(C182,'00_SKU_Master'!$B$2:$B$2000,'00_SKU_Master'!$K$2:$K$2000,0),"")</f>
        <v>Slow</v>
      </c>
      <c r="M182" s="25" t="str">
        <f>_xlfn.XLOOKUP(C182,'00_SKU_Master'!$B$2:$B$2000,'00_SKU_Master'!$D$2:$D$2000)</f>
        <v>LCL</v>
      </c>
      <c r="N182" s="25">
        <f t="shared" si="8"/>
        <v>0</v>
      </c>
    </row>
    <row r="183" spans="2:14" x14ac:dyDescent="0.35">
      <c r="B183" s="25" t="str">
        <f>IF(C183="","",_xlfn.XLOOKUP(C183,'00_SKU_Master'!$B$2:$B$2000,'00_SKU_Master'!$J$2:$J$2000,""))</f>
        <v>MS LCL BSTHIGH AC 6D PP BSK</v>
      </c>
      <c r="C183" s="25">
        <v>7816</v>
      </c>
      <c r="D183" s="16">
        <f>_xlfn.XLOOKUP(C183,'02_TrayPack_Order'!$B$3:$B$265,'02_TrayPack_Order'!$D$3:$D$265)</f>
        <v>0</v>
      </c>
      <c r="E183" s="17">
        <f>_xlfn.XLOOKUP(C183,'02_TrayPack_Order'!$B$3:$B$265,'02_TrayPack_Order'!$M$3:$M$265,0)</f>
        <v>0</v>
      </c>
      <c r="F183" s="16">
        <f>SUMIF('13_Progress_Track'!$A$2:$A$108,C183,'13_Progress_Track'!$E$2:$E$108)</f>
        <v>0</v>
      </c>
      <c r="G183" s="16">
        <f t="shared" si="6"/>
        <v>0</v>
      </c>
      <c r="H183" s="16">
        <f t="shared" si="7"/>
        <v>0</v>
      </c>
      <c r="I183" s="25">
        <f>_xlfn.IFNA(_xlfn.XLOOKUP(C183,'00_SKU_Master'!$B$2:$B$2000,'00_SKU_Master'!$C$2:$C$2000),"")</f>
        <v>61086</v>
      </c>
      <c r="J183" s="97">
        <f>IFERROR(_xlfn.XLOOKUP(C183,'00_SKU_Master'!$B$2:$B$2000,'00_SKU_Master'!$F$2:$F$2000,0)*N183,0)</f>
        <v>0</v>
      </c>
      <c r="K183" s="96" t="str">
        <f>_xlfn.IFNA(_xlfn.XLOOKUP(C183,'00_SKU_Master'!$B$2:$B$2000,'00_SKU_Master'!$H$2:$H$2000,0),"")</f>
        <v>LT 6D</v>
      </c>
      <c r="L183" s="96" t="str">
        <f>_xlfn.IFNA(_xlfn.XLOOKUP(C183,'00_SKU_Master'!$B$2:$B$2000,'00_SKU_Master'!$K$2:$K$2000,0),"")</f>
        <v>Slow</v>
      </c>
      <c r="M183" s="25" t="str">
        <f>_xlfn.XLOOKUP(C183,'00_SKU_Master'!$B$2:$B$2000,'00_SKU_Master'!$D$2:$D$2000)</f>
        <v>LCL</v>
      </c>
      <c r="N183" s="25">
        <f t="shared" si="8"/>
        <v>0</v>
      </c>
    </row>
    <row r="184" spans="2:14" x14ac:dyDescent="0.35">
      <c r="B184" s="25" t="str">
        <f>IF(C184="","",_xlfn.XLOOKUP(C184,'00_SKU_Master'!$B$2:$B$2000,'00_SKU_Master'!$J$2:$J$2000,""))</f>
        <v>MS LCL THIGH AC 6D PP BSK</v>
      </c>
      <c r="C184" s="25">
        <v>7817</v>
      </c>
      <c r="D184" s="16">
        <f>_xlfn.XLOOKUP(C184,'02_TrayPack_Order'!$B$3:$B$265,'02_TrayPack_Order'!$D$3:$D$265)</f>
        <v>0</v>
      </c>
      <c r="E184" s="17">
        <f>_xlfn.XLOOKUP(C184,'02_TrayPack_Order'!$B$3:$B$265,'02_TrayPack_Order'!$M$3:$M$265,0)</f>
        <v>0</v>
      </c>
      <c r="F184" s="16">
        <f>SUMIF('13_Progress_Track'!$A$2:$A$108,C184,'13_Progress_Track'!$E$2:$E$108)</f>
        <v>0</v>
      </c>
      <c r="G184" s="16">
        <f t="shared" si="6"/>
        <v>0</v>
      </c>
      <c r="H184" s="16">
        <f t="shared" si="7"/>
        <v>0</v>
      </c>
      <c r="I184" s="25">
        <f>_xlfn.IFNA(_xlfn.XLOOKUP(C184,'00_SKU_Master'!$B$2:$B$2000,'00_SKU_Master'!$C$2:$C$2000),"")</f>
        <v>61077</v>
      </c>
      <c r="J184" s="97">
        <f>IFERROR(_xlfn.XLOOKUP(C184,'00_SKU_Master'!$B$2:$B$2000,'00_SKU_Master'!$F$2:$F$2000,0)*N184,0)</f>
        <v>0</v>
      </c>
      <c r="K184" s="96" t="str">
        <f>_xlfn.IFNA(_xlfn.XLOOKUP(C184,'00_SKU_Master'!$B$2:$B$2000,'00_SKU_Master'!$H$2:$H$2000,0),"")</f>
        <v>LT 6D</v>
      </c>
      <c r="L184" s="96" t="str">
        <f>_xlfn.IFNA(_xlfn.XLOOKUP(C184,'00_SKU_Master'!$B$2:$B$2000,'00_SKU_Master'!$K$2:$K$2000,0),"")</f>
        <v>Fast</v>
      </c>
      <c r="M184" s="25" t="str">
        <f>_xlfn.XLOOKUP(C184,'00_SKU_Master'!$B$2:$B$2000,'00_SKU_Master'!$D$2:$D$2000)</f>
        <v>LCL</v>
      </c>
      <c r="N184" s="25">
        <f t="shared" si="8"/>
        <v>0</v>
      </c>
    </row>
    <row r="185" spans="2:14" x14ac:dyDescent="0.35">
      <c r="B185" s="25" t="str">
        <f>IF(C185="","",_xlfn.XLOOKUP(C185,'00_SKU_Master'!$B$2:$B$2000,'00_SKU_Master'!$J$2:$J$2000,""))</f>
        <v>MS LCL DRUM AC 6D PP BSK</v>
      </c>
      <c r="C185" s="25">
        <v>7818</v>
      </c>
      <c r="D185" s="16">
        <f>_xlfn.XLOOKUP(C185,'02_TrayPack_Order'!$B$3:$B$265,'02_TrayPack_Order'!$D$3:$D$265)</f>
        <v>0</v>
      </c>
      <c r="E185" s="17">
        <f>_xlfn.XLOOKUP(C185,'02_TrayPack_Order'!$B$3:$B$265,'02_TrayPack_Order'!$M$3:$M$265,0)</f>
        <v>0</v>
      </c>
      <c r="F185" s="16">
        <f>SUMIF('13_Progress_Track'!$A$2:$A$108,C185,'13_Progress_Track'!$E$2:$E$108)</f>
        <v>0</v>
      </c>
      <c r="G185" s="16">
        <f t="shared" si="6"/>
        <v>0</v>
      </c>
      <c r="H185" s="16">
        <f t="shared" si="7"/>
        <v>0</v>
      </c>
      <c r="I185" s="25" t="str">
        <f>_xlfn.IFNA(_xlfn.XLOOKUP(C185,'00_SKU_Master'!$B$2:$B$2000,'00_SKU_Master'!$C$2:$C$2000),"")</f>
        <v>61072F</v>
      </c>
      <c r="J185" s="97">
        <f>IFERROR(_xlfn.XLOOKUP(C185,'00_SKU_Master'!$B$2:$B$2000,'00_SKU_Master'!$F$2:$F$2000,0)*N185,0)</f>
        <v>0</v>
      </c>
      <c r="K185" s="96" t="str">
        <f>_xlfn.IFNA(_xlfn.XLOOKUP(C185,'00_SKU_Master'!$B$2:$B$2000,'00_SKU_Master'!$H$2:$H$2000,0),"")</f>
        <v>LT 6D</v>
      </c>
      <c r="L185" s="96" t="str">
        <f>_xlfn.IFNA(_xlfn.XLOOKUP(C185,'00_SKU_Master'!$B$2:$B$2000,'00_SKU_Master'!$K$2:$K$2000,0),"")</f>
        <v>Fast</v>
      </c>
      <c r="M185" s="25" t="str">
        <f>_xlfn.XLOOKUP(C185,'00_SKU_Master'!$B$2:$B$2000,'00_SKU_Master'!$D$2:$D$2000)</f>
        <v>LCL</v>
      </c>
      <c r="N185" s="25">
        <f t="shared" si="8"/>
        <v>0</v>
      </c>
    </row>
    <row r="186" spans="2:14" x14ac:dyDescent="0.35">
      <c r="B186" s="25" t="str">
        <f>IF(C186="","",_xlfn.XLOOKUP(C186,'00_SKU_Master'!$B$2:$B$2000,'00_SKU_Master'!$J$2:$J$2000,""))</f>
        <v>MS LCL SPL WING AC 6D PP BSK</v>
      </c>
      <c r="C186" s="25">
        <v>7819</v>
      </c>
      <c r="D186" s="16">
        <f>_xlfn.XLOOKUP(C186,'02_TrayPack_Order'!$B$3:$B$265,'02_TrayPack_Order'!$D$3:$D$265)</f>
        <v>0</v>
      </c>
      <c r="E186" s="17">
        <f>_xlfn.XLOOKUP(C186,'02_TrayPack_Order'!$B$3:$B$265,'02_TrayPack_Order'!$M$3:$M$265,0)</f>
        <v>0</v>
      </c>
      <c r="F186" s="16">
        <f>SUMIF('13_Progress_Track'!$A$2:$A$108,C186,'13_Progress_Track'!$E$2:$E$108)</f>
        <v>0</v>
      </c>
      <c r="G186" s="16">
        <f t="shared" si="6"/>
        <v>0</v>
      </c>
      <c r="H186" s="16">
        <f t="shared" si="7"/>
        <v>0</v>
      </c>
      <c r="I186" s="25" t="str">
        <f>_xlfn.IFNA(_xlfn.XLOOKUP(C186,'00_SKU_Master'!$B$2:$B$2000,'00_SKU_Master'!$C$2:$C$2000),"")</f>
        <v>61014F</v>
      </c>
      <c r="J186" s="97">
        <f>IFERROR(_xlfn.XLOOKUP(C186,'00_SKU_Master'!$B$2:$B$2000,'00_SKU_Master'!$F$2:$F$2000,0)*N186,0)</f>
        <v>0</v>
      </c>
      <c r="K186" s="96" t="str">
        <f>_xlfn.IFNA(_xlfn.XLOOKUP(C186,'00_SKU_Master'!$B$2:$B$2000,'00_SKU_Master'!$H$2:$H$2000,0),"")</f>
        <v>LT 6D</v>
      </c>
      <c r="L186" s="96" t="str">
        <f>_xlfn.IFNA(_xlfn.XLOOKUP(C186,'00_SKU_Master'!$B$2:$B$2000,'00_SKU_Master'!$K$2:$K$2000,0),"")</f>
        <v>Slow</v>
      </c>
      <c r="M186" s="25" t="str">
        <f>_xlfn.XLOOKUP(C186,'00_SKU_Master'!$B$2:$B$2000,'00_SKU_Master'!$D$2:$D$2000)</f>
        <v>LCL</v>
      </c>
      <c r="N186" s="25">
        <f t="shared" si="8"/>
        <v>0</v>
      </c>
    </row>
    <row r="187" spans="2:14" x14ac:dyDescent="0.35">
      <c r="B187" s="25" t="str">
        <f>IF(C187="","",_xlfn.XLOOKUP(C187,'00_SKU_Master'!$B$2:$B$2000,'00_SKU_Master'!$J$2:$J$2000,""))</f>
        <v>MS LCL BSHB AC 8D PP BSK</v>
      </c>
      <c r="C187" s="25">
        <v>7821</v>
      </c>
      <c r="D187" s="16">
        <f>_xlfn.XLOOKUP(C187,'02_TrayPack_Order'!$B$3:$B$265,'02_TrayPack_Order'!$D$3:$D$265)</f>
        <v>0</v>
      </c>
      <c r="E187" s="17">
        <f>_xlfn.XLOOKUP(C187,'02_TrayPack_Order'!$B$3:$B$265,'02_TrayPack_Order'!$M$3:$M$265,0)</f>
        <v>0</v>
      </c>
      <c r="F187" s="16">
        <f>SUMIF('13_Progress_Track'!$A$2:$A$108,C187,'13_Progress_Track'!$E$2:$E$108)</f>
        <v>0</v>
      </c>
      <c r="G187" s="16">
        <f t="shared" si="6"/>
        <v>0</v>
      </c>
      <c r="H187" s="16">
        <f t="shared" si="7"/>
        <v>0</v>
      </c>
      <c r="I187" s="25">
        <f>_xlfn.IFNA(_xlfn.XLOOKUP(C187,'00_SKU_Master'!$B$2:$B$2000,'00_SKU_Master'!$C$2:$C$2000),"")</f>
        <v>61050</v>
      </c>
      <c r="J187" s="97">
        <f>IFERROR(_xlfn.XLOOKUP(C187,'00_SKU_Master'!$B$2:$B$2000,'00_SKU_Master'!$F$2:$F$2000,0)*N187,0)</f>
        <v>0</v>
      </c>
      <c r="K187" s="96" t="str">
        <f>_xlfn.IFNA(_xlfn.XLOOKUP(C187,'00_SKU_Master'!$B$2:$B$2000,'00_SKU_Master'!$H$2:$H$2000,0),"")</f>
        <v>PET 8</v>
      </c>
      <c r="L187" s="96" t="str">
        <f>_xlfn.IFNA(_xlfn.XLOOKUP(C187,'00_SKU_Master'!$B$2:$B$2000,'00_SKU_Master'!$K$2:$K$2000,0),"")</f>
        <v>Fast</v>
      </c>
      <c r="M187" s="25" t="str">
        <f>_xlfn.XLOOKUP(C187,'00_SKU_Master'!$B$2:$B$2000,'00_SKU_Master'!$D$2:$D$2000)</f>
        <v>LCL</v>
      </c>
      <c r="N187" s="25">
        <f t="shared" si="8"/>
        <v>0</v>
      </c>
    </row>
    <row r="188" spans="2:14" x14ac:dyDescent="0.35">
      <c r="B188" s="25" t="str">
        <f>IF(C188="","",_xlfn.XLOOKUP(C188,'00_SKU_Master'!$B$2:$B$2000,'00_SKU_Master'!$J$2:$J$2000,""))</f>
        <v>MS LCL THIGH AC PET 6 PP BSK</v>
      </c>
      <c r="C188" s="25">
        <v>7823</v>
      </c>
      <c r="D188" s="16">
        <f>_xlfn.XLOOKUP(C188,'02_TrayPack_Order'!$B$3:$B$265,'02_TrayPack_Order'!$D$3:$D$265)</f>
        <v>0</v>
      </c>
      <c r="E188" s="17">
        <f>_xlfn.XLOOKUP(C188,'02_TrayPack_Order'!$B$3:$B$265,'02_TrayPack_Order'!$M$3:$M$265,0)</f>
        <v>155</v>
      </c>
      <c r="F188" s="16">
        <f>SUMIF('13_Progress_Track'!$A$2:$A$108,C188,'13_Progress_Track'!$E$2:$E$108)</f>
        <v>0</v>
      </c>
      <c r="G188" s="16">
        <f t="shared" si="6"/>
        <v>0</v>
      </c>
      <c r="H188" s="16">
        <f t="shared" si="7"/>
        <v>155</v>
      </c>
      <c r="I188" s="25">
        <f>_xlfn.IFNA(_xlfn.XLOOKUP(C188,'00_SKU_Master'!$B$2:$B$2000,'00_SKU_Master'!$C$2:$C$2000),"")</f>
        <v>61077</v>
      </c>
      <c r="J188" s="97">
        <f>IFERROR(_xlfn.XLOOKUP(C188,'00_SKU_Master'!$B$2:$B$2000,'00_SKU_Master'!$F$2:$F$2000,0)*N188,0)</f>
        <v>0</v>
      </c>
      <c r="K188" s="96" t="str">
        <f>_xlfn.IFNA(_xlfn.XLOOKUP(C188,'00_SKU_Master'!$B$2:$B$2000,'00_SKU_Master'!$H$2:$H$2000,0),"")</f>
        <v>PET 6</v>
      </c>
      <c r="L188" s="96" t="str">
        <f>_xlfn.IFNA(_xlfn.XLOOKUP(C188,'00_SKU_Master'!$B$2:$B$2000,'00_SKU_Master'!$K$2:$K$2000,0),"")</f>
        <v>Fast</v>
      </c>
      <c r="M188" s="25" t="str">
        <f>_xlfn.XLOOKUP(C188,'00_SKU_Master'!$B$2:$B$2000,'00_SKU_Master'!$D$2:$D$2000)</f>
        <v>LCL</v>
      </c>
      <c r="N188" s="25">
        <f t="shared" si="8"/>
        <v>0</v>
      </c>
    </row>
    <row r="189" spans="2:14" x14ac:dyDescent="0.35">
      <c r="B189" s="25" t="str">
        <f>IF(C189="","",_xlfn.XLOOKUP(C189,'00_SKU_Master'!$B$2:$B$2000,'00_SKU_Master'!$J$2:$J$2000,""))</f>
        <v>MS LCL DRUM AC PET 6 PP BSK</v>
      </c>
      <c r="C189" s="25">
        <v>7824</v>
      </c>
      <c r="D189" s="16">
        <f>_xlfn.XLOOKUP(C189,'02_TrayPack_Order'!$B$3:$B$265,'02_TrayPack_Order'!$D$3:$D$265)</f>
        <v>0</v>
      </c>
      <c r="E189" s="17">
        <f>_xlfn.XLOOKUP(C189,'02_TrayPack_Order'!$B$3:$B$265,'02_TrayPack_Order'!$M$3:$M$265,0)</f>
        <v>113</v>
      </c>
      <c r="F189" s="16">
        <f>SUMIF('13_Progress_Track'!$A$2:$A$108,C189,'13_Progress_Track'!$E$2:$E$108)</f>
        <v>0</v>
      </c>
      <c r="G189" s="16">
        <f t="shared" si="6"/>
        <v>0</v>
      </c>
      <c r="H189" s="16">
        <f t="shared" si="7"/>
        <v>113</v>
      </c>
      <c r="I189" s="25" t="str">
        <f>_xlfn.IFNA(_xlfn.XLOOKUP(C189,'00_SKU_Master'!$B$2:$B$2000,'00_SKU_Master'!$C$2:$C$2000),"")</f>
        <v>61072F</v>
      </c>
      <c r="J189" s="97">
        <f>IFERROR(_xlfn.XLOOKUP(C189,'00_SKU_Master'!$B$2:$B$2000,'00_SKU_Master'!$F$2:$F$2000,0)*N189,0)</f>
        <v>0</v>
      </c>
      <c r="K189" s="96" t="str">
        <f>_xlfn.IFNA(_xlfn.XLOOKUP(C189,'00_SKU_Master'!$B$2:$B$2000,'00_SKU_Master'!$H$2:$H$2000,0),"")</f>
        <v>PET 6</v>
      </c>
      <c r="L189" s="96" t="str">
        <f>_xlfn.IFNA(_xlfn.XLOOKUP(C189,'00_SKU_Master'!$B$2:$B$2000,'00_SKU_Master'!$K$2:$K$2000,0),"")</f>
        <v>Fast</v>
      </c>
      <c r="M189" s="25" t="str">
        <f>_xlfn.XLOOKUP(C189,'00_SKU_Master'!$B$2:$B$2000,'00_SKU_Master'!$D$2:$D$2000)</f>
        <v>LCL</v>
      </c>
      <c r="N189" s="25">
        <f t="shared" si="8"/>
        <v>0</v>
      </c>
    </row>
    <row r="190" spans="2:14" x14ac:dyDescent="0.35">
      <c r="B190" s="25" t="str">
        <f>IF(C190="","",_xlfn.XLOOKUP(C190,'00_SKU_Master'!$B$2:$B$2000,'00_SKU_Master'!$J$2:$J$2000,""))</f>
        <v>MS LCL SPL WING AC PET 6 PP BSK</v>
      </c>
      <c r="C190" s="25">
        <v>7825</v>
      </c>
      <c r="D190" s="16">
        <f>_xlfn.XLOOKUP(C190,'02_TrayPack_Order'!$B$3:$B$265,'02_TrayPack_Order'!$D$3:$D$265)</f>
        <v>0</v>
      </c>
      <c r="E190" s="17">
        <f>_xlfn.XLOOKUP(C190,'02_TrayPack_Order'!$B$3:$B$265,'02_TrayPack_Order'!$M$3:$M$265,0)</f>
        <v>229</v>
      </c>
      <c r="F190" s="16">
        <f>SUMIF('13_Progress_Track'!$A$2:$A$108,C190,'13_Progress_Track'!$E$2:$E$108)</f>
        <v>0</v>
      </c>
      <c r="G190" s="16">
        <f t="shared" si="6"/>
        <v>0</v>
      </c>
      <c r="H190" s="16">
        <f t="shared" si="7"/>
        <v>229</v>
      </c>
      <c r="I190" s="25" t="str">
        <f>_xlfn.IFNA(_xlfn.XLOOKUP(C190,'00_SKU_Master'!$B$2:$B$2000,'00_SKU_Master'!$C$2:$C$2000),"")</f>
        <v>61014F</v>
      </c>
      <c r="J190" s="97">
        <f>IFERROR(_xlfn.XLOOKUP(C190,'00_SKU_Master'!$B$2:$B$2000,'00_SKU_Master'!$F$2:$F$2000,0)*N190,0)</f>
        <v>0</v>
      </c>
      <c r="K190" s="96" t="str">
        <f>_xlfn.IFNA(_xlfn.XLOOKUP(C190,'00_SKU_Master'!$B$2:$B$2000,'00_SKU_Master'!$H$2:$H$2000,0),"")</f>
        <v>PET 6</v>
      </c>
      <c r="L190" s="96" t="str">
        <f>_xlfn.IFNA(_xlfn.XLOOKUP(C190,'00_SKU_Master'!$B$2:$B$2000,'00_SKU_Master'!$K$2:$K$2000,0),"")</f>
        <v>Slow</v>
      </c>
      <c r="M190" s="25" t="str">
        <f>_xlfn.XLOOKUP(C190,'00_SKU_Master'!$B$2:$B$2000,'00_SKU_Master'!$D$2:$D$2000)</f>
        <v>LCL</v>
      </c>
      <c r="N190" s="25">
        <f t="shared" si="8"/>
        <v>0</v>
      </c>
    </row>
    <row r="191" spans="2:14" x14ac:dyDescent="0.35">
      <c r="B191" s="25" t="str">
        <f>IF(C191="","",_xlfn.XLOOKUP(C191,'00_SKU_Master'!$B$2:$B$2000,'00_SKU_Master'!$J$2:$J$2000,""))</f>
        <v>MS LCL BSHB AC PET 3 PP BSK</v>
      </c>
      <c r="C191" s="25">
        <v>7826</v>
      </c>
      <c r="D191" s="16">
        <f>_xlfn.XLOOKUP(C191,'02_TrayPack_Order'!$B$3:$B$265,'02_TrayPack_Order'!$D$3:$D$265)</f>
        <v>0</v>
      </c>
      <c r="E191" s="17">
        <f>_xlfn.XLOOKUP(C191,'02_TrayPack_Order'!$B$3:$B$265,'02_TrayPack_Order'!$M$3:$M$265,0)</f>
        <v>718</v>
      </c>
      <c r="F191" s="16">
        <f>SUMIF('13_Progress_Track'!$A$2:$A$108,C191,'13_Progress_Track'!$E$2:$E$108)</f>
        <v>0</v>
      </c>
      <c r="G191" s="16">
        <f t="shared" si="6"/>
        <v>0</v>
      </c>
      <c r="H191" s="16">
        <f t="shared" si="7"/>
        <v>718</v>
      </c>
      <c r="I191" s="25" t="str">
        <f>_xlfn.IFNA(_xlfn.XLOOKUP(C191,'00_SKU_Master'!$B$2:$B$2000,'00_SKU_Master'!$C$2:$C$2000),"")</f>
        <v>61050F</v>
      </c>
      <c r="J191" s="97">
        <f>IFERROR(_xlfn.XLOOKUP(C191,'00_SKU_Master'!$B$2:$B$2000,'00_SKU_Master'!$F$2:$F$2000,0)*N191,0)</f>
        <v>0</v>
      </c>
      <c r="K191" s="96" t="str">
        <f>_xlfn.IFNA(_xlfn.XLOOKUP(C191,'00_SKU_Master'!$B$2:$B$2000,'00_SKU_Master'!$H$2:$H$2000,0),"")</f>
        <v>PET 3</v>
      </c>
      <c r="L191" s="96" t="str">
        <f>_xlfn.IFNA(_xlfn.XLOOKUP(C191,'00_SKU_Master'!$B$2:$B$2000,'00_SKU_Master'!$K$2:$K$2000,0),"")</f>
        <v>Fast</v>
      </c>
      <c r="M191" s="25" t="str">
        <f>_xlfn.XLOOKUP(C191,'00_SKU_Master'!$B$2:$B$2000,'00_SKU_Master'!$D$2:$D$2000)</f>
        <v>LCL</v>
      </c>
      <c r="N191" s="25">
        <f t="shared" si="8"/>
        <v>0</v>
      </c>
    </row>
    <row r="192" spans="2:14" x14ac:dyDescent="0.35">
      <c r="B192" s="25" t="str">
        <f>IF(C192="","",_xlfn.XLOOKUP(C192,'00_SKU_Master'!$B$2:$B$2000,'00_SKU_Master'!$J$2:$J$2000,""))</f>
        <v>MB LCL BSHB AC PET 8 PP BSK</v>
      </c>
      <c r="C192" s="25">
        <v>7827</v>
      </c>
      <c r="D192" s="16">
        <f>_xlfn.XLOOKUP(C192,'02_TrayPack_Order'!$B$3:$B$265,'02_TrayPack_Order'!$D$3:$D$265)</f>
        <v>2</v>
      </c>
      <c r="E192" s="17">
        <f>_xlfn.XLOOKUP(C192,'02_TrayPack_Order'!$B$3:$B$265,'02_TrayPack_Order'!$M$3:$M$265,0)</f>
        <v>80</v>
      </c>
      <c r="F192" s="16">
        <f>SUMIF('13_Progress_Track'!$A$2:$A$108,C192,'13_Progress_Track'!$E$2:$E$108)</f>
        <v>0</v>
      </c>
      <c r="G192" s="16">
        <f t="shared" si="6"/>
        <v>0</v>
      </c>
      <c r="H192" s="16">
        <f t="shared" si="7"/>
        <v>82</v>
      </c>
      <c r="I192" s="25">
        <f>_xlfn.IFNA(_xlfn.XLOOKUP(C192,'00_SKU_Master'!$B$2:$B$2000,'00_SKU_Master'!$C$2:$C$2000),"")</f>
        <v>61050</v>
      </c>
      <c r="J192" s="97">
        <f>IFERROR(_xlfn.XLOOKUP(C192,'00_SKU_Master'!$B$2:$B$2000,'00_SKU_Master'!$F$2:$F$2000,0)*N192,0)</f>
        <v>21.804584553722801</v>
      </c>
      <c r="K192" s="96" t="str">
        <f>_xlfn.IFNA(_xlfn.XLOOKUP(C192,'00_SKU_Master'!$B$2:$B$2000,'00_SKU_Master'!$H$2:$H$2000,0),"")</f>
        <v>PET 8</v>
      </c>
      <c r="L192" s="96" t="str">
        <f>_xlfn.IFNA(_xlfn.XLOOKUP(C192,'00_SKU_Master'!$B$2:$B$2000,'00_SKU_Master'!$K$2:$K$2000,0),"")</f>
        <v>Fast</v>
      </c>
      <c r="M192" s="25" t="str">
        <f>_xlfn.XLOOKUP(C192,'00_SKU_Master'!$B$2:$B$2000,'00_SKU_Master'!$D$2:$D$2000)</f>
        <v>LCL</v>
      </c>
      <c r="N192" s="25">
        <f t="shared" si="8"/>
        <v>2</v>
      </c>
    </row>
    <row r="193" spans="2:14" x14ac:dyDescent="0.35">
      <c r="B193" s="25" t="str">
        <f>IF(C193="","",_xlfn.XLOOKUP(C193,'00_SKU_Master'!$B$2:$B$2000,'00_SKU_Master'!$J$2:$J$2000,""))</f>
        <v>MS LCL BTFLYB WOF AC PET 3 PP BSK</v>
      </c>
      <c r="C193" s="25">
        <v>7828</v>
      </c>
      <c r="D193" s="16">
        <f>_xlfn.XLOOKUP(C193,'02_TrayPack_Order'!$B$3:$B$265,'02_TrayPack_Order'!$D$3:$D$265)</f>
        <v>0</v>
      </c>
      <c r="E193" s="17">
        <f>_xlfn.XLOOKUP(C193,'02_TrayPack_Order'!$B$3:$B$265,'02_TrayPack_Order'!$M$3:$M$265,0)</f>
        <v>0</v>
      </c>
      <c r="F193" s="16">
        <f>SUMIF('13_Progress_Track'!$A$2:$A$108,C193,'13_Progress_Track'!$E$2:$E$108)</f>
        <v>0</v>
      </c>
      <c r="G193" s="16">
        <f t="shared" si="6"/>
        <v>0</v>
      </c>
      <c r="H193" s="16">
        <f t="shared" si="7"/>
        <v>0</v>
      </c>
      <c r="I193" s="25">
        <f>_xlfn.IFNA(_xlfn.XLOOKUP(C193,'00_SKU_Master'!$B$2:$B$2000,'00_SKU_Master'!$C$2:$C$2000),"")</f>
        <v>61052</v>
      </c>
      <c r="J193" s="97">
        <f>IFERROR(_xlfn.XLOOKUP(C193,'00_SKU_Master'!$B$2:$B$2000,'00_SKU_Master'!$F$2:$F$2000,0)*N193,0)</f>
        <v>0</v>
      </c>
      <c r="K193" s="96" t="str">
        <f>_xlfn.IFNA(_xlfn.XLOOKUP(C193,'00_SKU_Master'!$B$2:$B$2000,'00_SKU_Master'!$H$2:$H$2000,0),"")</f>
        <v>PET 3</v>
      </c>
      <c r="L193" s="96" t="str">
        <f>_xlfn.IFNA(_xlfn.XLOOKUP(C193,'00_SKU_Master'!$B$2:$B$2000,'00_SKU_Master'!$K$2:$K$2000,0),"")</f>
        <v>Slow</v>
      </c>
      <c r="M193" s="25" t="str">
        <f>_xlfn.XLOOKUP(C193,'00_SKU_Master'!$B$2:$B$2000,'00_SKU_Master'!$D$2:$D$2000)</f>
        <v>LCL</v>
      </c>
      <c r="N193" s="25">
        <f t="shared" si="8"/>
        <v>0</v>
      </c>
    </row>
    <row r="194" spans="2:14" x14ac:dyDescent="0.35">
      <c r="B194" s="25" t="str">
        <f>IF(C194="","",_xlfn.XLOOKUP(C194,'00_SKU_Master'!$B$2:$B$2000,'00_SKU_Master'!$J$2:$J$2000,""))</f>
        <v>MS LCL FILLET AC PET 3 PP BSK</v>
      </c>
      <c r="C194" s="25">
        <v>7829</v>
      </c>
      <c r="D194" s="16">
        <f>_xlfn.XLOOKUP(C194,'02_TrayPack_Order'!$B$3:$B$265,'02_TrayPack_Order'!$D$3:$D$265)</f>
        <v>30</v>
      </c>
      <c r="E194" s="17">
        <f>_xlfn.XLOOKUP(C194,'02_TrayPack_Order'!$B$3:$B$265,'02_TrayPack_Order'!$M$3:$M$265,0)</f>
        <v>28</v>
      </c>
      <c r="F194" s="16">
        <f>SUMIF('13_Progress_Track'!$A$2:$A$108,C194,'13_Progress_Track'!$E$2:$E$108)</f>
        <v>0</v>
      </c>
      <c r="G194" s="16">
        <f t="shared" si="6"/>
        <v>0</v>
      </c>
      <c r="H194" s="16">
        <f t="shared" si="7"/>
        <v>58</v>
      </c>
      <c r="I194" s="25">
        <f>_xlfn.IFNA(_xlfn.XLOOKUP(C194,'00_SKU_Master'!$B$2:$B$2000,'00_SKU_Master'!$C$2:$C$2000),"")</f>
        <v>61054</v>
      </c>
      <c r="J194" s="97">
        <f>IFERROR(_xlfn.XLOOKUP(C194,'00_SKU_Master'!$B$2:$B$2000,'00_SKU_Master'!$F$2:$F$2000,0)*N194,0)</f>
        <v>132.47991446222071</v>
      </c>
      <c r="K194" s="96" t="str">
        <f>_xlfn.IFNA(_xlfn.XLOOKUP(C194,'00_SKU_Master'!$B$2:$B$2000,'00_SKU_Master'!$H$2:$H$2000,0),"")</f>
        <v>PET 3</v>
      </c>
      <c r="L194" s="96" t="str">
        <f>_xlfn.IFNA(_xlfn.XLOOKUP(C194,'00_SKU_Master'!$B$2:$B$2000,'00_SKU_Master'!$K$2:$K$2000,0),"")</f>
        <v>Slow</v>
      </c>
      <c r="M194" s="25" t="str">
        <f>_xlfn.XLOOKUP(C194,'00_SKU_Master'!$B$2:$B$2000,'00_SKU_Master'!$D$2:$D$2000)</f>
        <v>LCL</v>
      </c>
      <c r="N194" s="25">
        <f t="shared" si="8"/>
        <v>30</v>
      </c>
    </row>
    <row r="195" spans="2:14" x14ac:dyDescent="0.35">
      <c r="B195" s="25" t="str">
        <f>IF(C195="","",_xlfn.XLOOKUP(C195,'00_SKU_Master'!$B$2:$B$2000,'00_SKU_Master'!$J$2:$J$2000,""))</f>
        <v>MS LCL BSTHIGH AC PET6 PP BSK</v>
      </c>
      <c r="C195" s="25">
        <v>7830</v>
      </c>
      <c r="D195" s="16">
        <f>_xlfn.XLOOKUP(C195,'02_TrayPack_Order'!$B$3:$B$265,'02_TrayPack_Order'!$D$3:$D$265)</f>
        <v>197</v>
      </c>
      <c r="E195" s="17">
        <f>_xlfn.XLOOKUP(C195,'02_TrayPack_Order'!$B$3:$B$265,'02_TrayPack_Order'!$M$3:$M$265,0)</f>
        <v>385</v>
      </c>
      <c r="F195" s="16">
        <f>SUMIF('13_Progress_Track'!$A$2:$A$108,C195,'13_Progress_Track'!$E$2:$E$108)</f>
        <v>0</v>
      </c>
      <c r="G195" s="16">
        <f t="shared" ref="G195:G258" si="9">IF(F195&gt;(D195+E195),(F195-(D195+E195)),0)</f>
        <v>0</v>
      </c>
      <c r="H195" s="16">
        <f t="shared" ref="H195:H258" si="10">IF(G195&gt;0,0,D195+E195-F195)</f>
        <v>582</v>
      </c>
      <c r="I195" s="25" t="str">
        <f>_xlfn.IFNA(_xlfn.XLOOKUP(C195,'00_SKU_Master'!$B$2:$B$2000,'00_SKU_Master'!$C$2:$C$2000),"")</f>
        <v>61086F</v>
      </c>
      <c r="J195" s="97">
        <f>IFERROR(_xlfn.XLOOKUP(C195,'00_SKU_Master'!$B$2:$B$2000,'00_SKU_Master'!$F$2:$F$2000,0)*N195,0)</f>
        <v>1145.5582104609634</v>
      </c>
      <c r="K195" s="96" t="str">
        <f>_xlfn.IFNA(_xlfn.XLOOKUP(C195,'00_SKU_Master'!$B$2:$B$2000,'00_SKU_Master'!$H$2:$H$2000,0),"")</f>
        <v>PET 6</v>
      </c>
      <c r="L195" s="96" t="str">
        <f>_xlfn.IFNA(_xlfn.XLOOKUP(C195,'00_SKU_Master'!$B$2:$B$2000,'00_SKU_Master'!$K$2:$K$2000,0),"")</f>
        <v>Slow</v>
      </c>
      <c r="M195" s="25" t="str">
        <f>_xlfn.XLOOKUP(C195,'00_SKU_Master'!$B$2:$B$2000,'00_SKU_Master'!$D$2:$D$2000)</f>
        <v>LCL</v>
      </c>
      <c r="N195" s="25">
        <f t="shared" ref="N195:N258" si="11">IF((D195-F195)&lt;0,0,D195-F195)</f>
        <v>197</v>
      </c>
    </row>
    <row r="196" spans="2:14" x14ac:dyDescent="0.35">
      <c r="B196" s="25" t="str">
        <f>IF(C196="","",_xlfn.XLOOKUP(C196,'00_SKU_Master'!$B$2:$B$2000,'00_SKU_Master'!$J$2:$J$2000,""))</f>
        <v>MS LCL BSHB AC PET 8 PP BSK</v>
      </c>
      <c r="C196" s="25">
        <v>7831</v>
      </c>
      <c r="D196" s="16">
        <f>_xlfn.XLOOKUP(C196,'02_TrayPack_Order'!$B$3:$B$265,'02_TrayPack_Order'!$D$3:$D$265)</f>
        <v>0</v>
      </c>
      <c r="E196" s="17">
        <f>_xlfn.XLOOKUP(C196,'02_TrayPack_Order'!$B$3:$B$265,'02_TrayPack_Order'!$M$3:$M$265,0)</f>
        <v>536</v>
      </c>
      <c r="F196" s="16">
        <f>SUMIF('13_Progress_Track'!$A$2:$A$108,C196,'13_Progress_Track'!$E$2:$E$108)</f>
        <v>0</v>
      </c>
      <c r="G196" s="16">
        <f t="shared" si="9"/>
        <v>0</v>
      </c>
      <c r="H196" s="16">
        <f t="shared" si="10"/>
        <v>536</v>
      </c>
      <c r="I196" s="25" t="str">
        <f>_xlfn.IFNA(_xlfn.XLOOKUP(C196,'00_SKU_Master'!$B$2:$B$2000,'00_SKU_Master'!$C$2:$C$2000),"")</f>
        <v>61050F</v>
      </c>
      <c r="J196" s="97">
        <f>IFERROR(_xlfn.XLOOKUP(C196,'00_SKU_Master'!$B$2:$B$2000,'00_SKU_Master'!$F$2:$F$2000,0)*N196,0)</f>
        <v>0</v>
      </c>
      <c r="K196" s="96" t="str">
        <f>_xlfn.IFNA(_xlfn.XLOOKUP(C196,'00_SKU_Master'!$B$2:$B$2000,'00_SKU_Master'!$H$2:$H$2000,0),"")</f>
        <v>PET 8</v>
      </c>
      <c r="L196" s="96" t="str">
        <f>_xlfn.IFNA(_xlfn.XLOOKUP(C196,'00_SKU_Master'!$B$2:$B$2000,'00_SKU_Master'!$K$2:$K$2000,0),"")</f>
        <v>Fast</v>
      </c>
      <c r="M196" s="25" t="str">
        <f>_xlfn.XLOOKUP(C196,'00_SKU_Master'!$B$2:$B$2000,'00_SKU_Master'!$D$2:$D$2000)</f>
        <v>LCL</v>
      </c>
      <c r="N196" s="25">
        <f t="shared" si="11"/>
        <v>0</v>
      </c>
    </row>
    <row r="197" spans="2:14" x14ac:dyDescent="0.35">
      <c r="B197" s="25" t="str">
        <f>IF(C197="","",_xlfn.XLOOKUP(C197,'00_SKU_Master'!$B$2:$B$2000,'00_SKU_Master'!$J$2:$J$2000,""))</f>
        <v>PB PC FRY WOG AC TI PET 3 PP</v>
      </c>
      <c r="C197" s="25">
        <v>7833</v>
      </c>
      <c r="D197" s="16">
        <f>_xlfn.XLOOKUP(C197,'02_TrayPack_Order'!$B$3:$B$265,'02_TrayPack_Order'!$D$3:$D$265)</f>
        <v>448</v>
      </c>
      <c r="E197" s="17">
        <f>_xlfn.XLOOKUP(C197,'02_TrayPack_Order'!$B$3:$B$265,'02_TrayPack_Order'!$M$3:$M$265,0)</f>
        <v>536</v>
      </c>
      <c r="F197" s="16">
        <f>SUMIF('13_Progress_Track'!$A$2:$A$108,C197,'13_Progress_Track'!$E$2:$E$108)</f>
        <v>0</v>
      </c>
      <c r="G197" s="16">
        <f t="shared" si="9"/>
        <v>0</v>
      </c>
      <c r="H197" s="16">
        <f t="shared" si="10"/>
        <v>984</v>
      </c>
      <c r="I197" s="25">
        <f>_xlfn.IFNA(_xlfn.XLOOKUP(C197,'00_SKU_Master'!$B$2:$B$2000,'00_SKU_Master'!$C$2:$C$2000),"")</f>
        <v>203135</v>
      </c>
      <c r="J197" s="97">
        <f>IFERROR(_xlfn.XLOOKUP(C197,'00_SKU_Master'!$B$2:$B$2000,'00_SKU_Master'!$F$2:$F$2000,0)*N197,0)</f>
        <v>4404.9121109399075</v>
      </c>
      <c r="K197" s="96" t="str">
        <f>_xlfn.IFNA(_xlfn.XLOOKUP(C197,'00_SKU_Master'!$B$2:$B$2000,'00_SKU_Master'!$H$2:$H$2000,0),"")</f>
        <v>PET 3</v>
      </c>
      <c r="L197" s="96" t="str">
        <f>_xlfn.IFNA(_xlfn.XLOOKUP(C197,'00_SKU_Master'!$B$2:$B$2000,'00_SKU_Master'!$K$2:$K$2000,0),"")</f>
        <v>Fast</v>
      </c>
      <c r="M197" s="25" t="str">
        <f>_xlfn.XLOOKUP(C197,'00_SKU_Master'!$B$2:$B$2000,'00_SKU_Master'!$D$2:$D$2000)</f>
        <v>LCL</v>
      </c>
      <c r="N197" s="25">
        <f t="shared" si="11"/>
        <v>448</v>
      </c>
    </row>
    <row r="198" spans="2:14" x14ac:dyDescent="0.35">
      <c r="B198" s="25" t="str">
        <f>IF(C198="","",_xlfn.XLOOKUP(C198,'00_SKU_Master'!$B$2:$B$2000,'00_SKU_Master'!$J$2:$J$2000,""))</f>
        <v>PB PC FRY WOG AC TI PET 3 PP</v>
      </c>
      <c r="C198" s="25">
        <v>7834</v>
      </c>
      <c r="D198" s="16">
        <f>_xlfn.XLOOKUP(C198,'02_TrayPack_Order'!$B$3:$B$265,'02_TrayPack_Order'!$D$3:$D$265)</f>
        <v>0</v>
      </c>
      <c r="E198" s="17">
        <f>_xlfn.XLOOKUP(C198,'02_TrayPack_Order'!$B$3:$B$265,'02_TrayPack_Order'!$M$3:$M$265,0)</f>
        <v>0</v>
      </c>
      <c r="F198" s="16">
        <f>SUMIF('13_Progress_Track'!$A$2:$A$108,C198,'13_Progress_Track'!$E$2:$E$108)</f>
        <v>0</v>
      </c>
      <c r="G198" s="16">
        <f t="shared" si="9"/>
        <v>0</v>
      </c>
      <c r="H198" s="16">
        <f t="shared" si="10"/>
        <v>0</v>
      </c>
      <c r="I198" s="25">
        <f>_xlfn.IFNA(_xlfn.XLOOKUP(C198,'00_SKU_Master'!$B$2:$B$2000,'00_SKU_Master'!$C$2:$C$2000),"")</f>
        <v>203135</v>
      </c>
      <c r="J198" s="97">
        <f>IFERROR(_xlfn.XLOOKUP(C198,'00_SKU_Master'!$B$2:$B$2000,'00_SKU_Master'!$F$2:$F$2000,0)*N198,0)</f>
        <v>0</v>
      </c>
      <c r="K198" s="96" t="str">
        <f>_xlfn.IFNA(_xlfn.XLOOKUP(C198,'00_SKU_Master'!$B$2:$B$2000,'00_SKU_Master'!$H$2:$H$2000,0),"")</f>
        <v>PET 3</v>
      </c>
      <c r="L198" s="96" t="str">
        <f>_xlfn.IFNA(_xlfn.XLOOKUP(C198,'00_SKU_Master'!$B$2:$B$2000,'00_SKU_Master'!$K$2:$K$2000,0),"")</f>
        <v>Fast</v>
      </c>
      <c r="M198" s="25" t="str">
        <f>_xlfn.XLOOKUP(C198,'00_SKU_Master'!$B$2:$B$2000,'00_SKU_Master'!$D$2:$D$2000)</f>
        <v>LCL</v>
      </c>
      <c r="N198" s="25">
        <f t="shared" si="11"/>
        <v>0</v>
      </c>
    </row>
    <row r="199" spans="2:14" x14ac:dyDescent="0.35">
      <c r="B199" s="25" t="str">
        <f>IF(C199="","",_xlfn.XLOOKUP(C199,'00_SKU_Master'!$B$2:$B$2000,'00_SKU_Master'!$J$2:$J$2000,""))</f>
        <v>MS LCL BSHB AC 3D PP BSK</v>
      </c>
      <c r="C199" s="25">
        <v>7840</v>
      </c>
      <c r="D199" s="16">
        <f>_xlfn.XLOOKUP(C199,'02_TrayPack_Order'!$B$3:$B$265,'02_TrayPack_Order'!$D$3:$D$265)</f>
        <v>0</v>
      </c>
      <c r="E199" s="17">
        <f>_xlfn.XLOOKUP(C199,'02_TrayPack_Order'!$B$3:$B$265,'02_TrayPack_Order'!$M$3:$M$265,0)</f>
        <v>0</v>
      </c>
      <c r="F199" s="16">
        <f>SUMIF('13_Progress_Track'!$A$2:$A$108,C199,'13_Progress_Track'!$E$2:$E$108)</f>
        <v>0</v>
      </c>
      <c r="G199" s="16">
        <f t="shared" si="9"/>
        <v>0</v>
      </c>
      <c r="H199" s="16">
        <f t="shared" si="10"/>
        <v>0</v>
      </c>
      <c r="I199" s="25" t="str">
        <f>_xlfn.IFNA(_xlfn.XLOOKUP(C199,'00_SKU_Master'!$B$2:$B$2000,'00_SKU_Master'!$C$2:$C$2000),"")</f>
        <v>61050F</v>
      </c>
      <c r="J199" s="97">
        <f>IFERROR(_xlfn.XLOOKUP(C199,'00_SKU_Master'!$B$2:$B$2000,'00_SKU_Master'!$F$2:$F$2000,0)*N199,0)</f>
        <v>0</v>
      </c>
      <c r="K199" s="96" t="str">
        <f>_xlfn.IFNA(_xlfn.XLOOKUP(C199,'00_SKU_Master'!$B$2:$B$2000,'00_SKU_Master'!$H$2:$H$2000,0),"")</f>
        <v>ST 3D</v>
      </c>
      <c r="L199" s="96" t="str">
        <f>_xlfn.IFNA(_xlfn.XLOOKUP(C199,'00_SKU_Master'!$B$2:$B$2000,'00_SKU_Master'!$K$2:$K$2000,0),"")</f>
        <v>Fast</v>
      </c>
      <c r="M199" s="25" t="str">
        <f>_xlfn.XLOOKUP(C199,'00_SKU_Master'!$B$2:$B$2000,'00_SKU_Master'!$D$2:$D$2000)</f>
        <v>LCL</v>
      </c>
      <c r="N199" s="25">
        <f t="shared" si="11"/>
        <v>0</v>
      </c>
    </row>
    <row r="200" spans="2:14" x14ac:dyDescent="0.35">
      <c r="B200" s="25" t="str">
        <f>IF(C200="","",_xlfn.XLOOKUP(C200,'00_SKU_Master'!$B$2:$B$2000,'00_SKU_Master'!$J$2:$J$2000,""))</f>
        <v>MS LCL BSHB AC 6D PP BSK</v>
      </c>
      <c r="C200" s="25">
        <v>7841</v>
      </c>
      <c r="D200" s="16">
        <f>_xlfn.XLOOKUP(C200,'02_TrayPack_Order'!$B$3:$B$265,'02_TrayPack_Order'!$D$3:$D$265)</f>
        <v>0</v>
      </c>
      <c r="E200" s="17">
        <f>_xlfn.XLOOKUP(C200,'02_TrayPack_Order'!$B$3:$B$265,'02_TrayPack_Order'!$M$3:$M$265,0)</f>
        <v>0</v>
      </c>
      <c r="F200" s="16">
        <f>SUMIF('13_Progress_Track'!$A$2:$A$108,C200,'13_Progress_Track'!$E$2:$E$108)</f>
        <v>0</v>
      </c>
      <c r="G200" s="16">
        <f t="shared" si="9"/>
        <v>0</v>
      </c>
      <c r="H200" s="16">
        <f t="shared" si="10"/>
        <v>0</v>
      </c>
      <c r="I200" s="25" t="str">
        <f>_xlfn.IFNA(_xlfn.XLOOKUP(C200,'00_SKU_Master'!$B$2:$B$2000,'00_SKU_Master'!$C$2:$C$2000),"")</f>
        <v>61050F</v>
      </c>
      <c r="J200" s="97">
        <f>IFERROR(_xlfn.XLOOKUP(C200,'00_SKU_Master'!$B$2:$B$2000,'00_SKU_Master'!$F$2:$F$2000,0)*N200,0)</f>
        <v>0</v>
      </c>
      <c r="K200" s="96" t="str">
        <f>_xlfn.IFNA(_xlfn.XLOOKUP(C200,'00_SKU_Master'!$B$2:$B$2000,'00_SKU_Master'!$H$2:$H$2000,0),"")</f>
        <v>LT 6D</v>
      </c>
      <c r="L200" s="96" t="str">
        <f>_xlfn.IFNA(_xlfn.XLOOKUP(C200,'00_SKU_Master'!$B$2:$B$2000,'00_SKU_Master'!$K$2:$K$2000,0),"")</f>
        <v>Fast</v>
      </c>
      <c r="M200" s="25" t="str">
        <f>_xlfn.XLOOKUP(C200,'00_SKU_Master'!$B$2:$B$2000,'00_SKU_Master'!$D$2:$D$2000)</f>
        <v>LCL</v>
      </c>
      <c r="N200" s="25">
        <f t="shared" si="11"/>
        <v>0</v>
      </c>
    </row>
    <row r="201" spans="2:14" x14ac:dyDescent="0.35">
      <c r="B201" s="25" t="str">
        <f>IF(C201="","",_xlfn.XLOOKUP(C201,'00_SKU_Master'!$B$2:$B$2000,'00_SKU_Master'!$J$2:$J$2000,""))</f>
        <v>MS LCL BSHB AC 8D PP BSK</v>
      </c>
      <c r="C201" s="25">
        <v>7842</v>
      </c>
      <c r="D201" s="16">
        <f>_xlfn.XLOOKUP(C201,'02_TrayPack_Order'!$B$3:$B$265,'02_TrayPack_Order'!$D$3:$D$265)</f>
        <v>0</v>
      </c>
      <c r="E201" s="17">
        <f>_xlfn.XLOOKUP(C201,'02_TrayPack_Order'!$B$3:$B$265,'02_TrayPack_Order'!$M$3:$M$265,0)</f>
        <v>0</v>
      </c>
      <c r="F201" s="16">
        <f>SUMIF('13_Progress_Track'!$A$2:$A$108,C201,'13_Progress_Track'!$E$2:$E$108)</f>
        <v>0</v>
      </c>
      <c r="G201" s="16">
        <f t="shared" si="9"/>
        <v>0</v>
      </c>
      <c r="H201" s="16">
        <f t="shared" si="10"/>
        <v>0</v>
      </c>
      <c r="I201" s="25" t="str">
        <f>_xlfn.IFNA(_xlfn.XLOOKUP(C201,'00_SKU_Master'!$B$2:$B$2000,'00_SKU_Master'!$C$2:$C$2000),"")</f>
        <v>61050F</v>
      </c>
      <c r="J201" s="97">
        <f>IFERROR(_xlfn.XLOOKUP(C201,'00_SKU_Master'!$B$2:$B$2000,'00_SKU_Master'!$F$2:$F$2000,0)*N201,0)</f>
        <v>0</v>
      </c>
      <c r="K201" s="96" t="str">
        <f>_xlfn.IFNA(_xlfn.XLOOKUP(C201,'00_SKU_Master'!$B$2:$B$2000,'00_SKU_Master'!$H$2:$H$2000,0),"")</f>
        <v>PET 8</v>
      </c>
      <c r="L201" s="96" t="str">
        <f>_xlfn.IFNA(_xlfn.XLOOKUP(C201,'00_SKU_Master'!$B$2:$B$2000,'00_SKU_Master'!$K$2:$K$2000,0),"")</f>
        <v>Fast</v>
      </c>
      <c r="M201" s="25" t="str">
        <f>_xlfn.XLOOKUP(C201,'00_SKU_Master'!$B$2:$B$2000,'00_SKU_Master'!$D$2:$D$2000)</f>
        <v>LCL</v>
      </c>
      <c r="N201" s="25">
        <f t="shared" si="11"/>
        <v>0</v>
      </c>
    </row>
    <row r="202" spans="2:14" x14ac:dyDescent="0.35">
      <c r="B202" s="25" t="str">
        <f>IF(C202="","",_xlfn.XLOOKUP(C202,'00_SKU_Master'!$B$2:$B$2000,'00_SKU_Master'!$J$2:$J$2000,""))</f>
        <v>MS LCL BSHB 6D PP BSK</v>
      </c>
      <c r="C202" s="25">
        <v>7843</v>
      </c>
      <c r="D202" s="16">
        <f>_xlfn.XLOOKUP(C202,'02_TrayPack_Order'!$B$3:$B$265,'02_TrayPack_Order'!$D$3:$D$265)</f>
        <v>0</v>
      </c>
      <c r="E202" s="17">
        <f>_xlfn.XLOOKUP(C202,'02_TrayPack_Order'!$B$3:$B$265,'02_TrayPack_Order'!$M$3:$M$265,0)</f>
        <v>0</v>
      </c>
      <c r="F202" s="16">
        <f>SUMIF('13_Progress_Track'!$A$2:$A$108,C202,'13_Progress_Track'!$E$2:$E$108)</f>
        <v>0</v>
      </c>
      <c r="G202" s="16">
        <f t="shared" si="9"/>
        <v>0</v>
      </c>
      <c r="H202" s="16">
        <f t="shared" si="10"/>
        <v>0</v>
      </c>
      <c r="I202" s="25" t="str">
        <f>_xlfn.IFNA(_xlfn.XLOOKUP(C202,'00_SKU_Master'!$B$2:$B$2000,'00_SKU_Master'!$C$2:$C$2000),"")</f>
        <v>61050#2</v>
      </c>
      <c r="J202" s="97">
        <f>IFERROR(_xlfn.XLOOKUP(C202,'00_SKU_Master'!$B$2:$B$2000,'00_SKU_Master'!$F$2:$F$2000,0)*N202,0)</f>
        <v>0</v>
      </c>
      <c r="K202" s="96" t="str">
        <f>_xlfn.IFNA(_xlfn.XLOOKUP(C202,'00_SKU_Master'!$B$2:$B$2000,'00_SKU_Master'!$H$2:$H$2000,0),"")</f>
        <v>LT 6D</v>
      </c>
      <c r="L202" s="96" t="str">
        <f>_xlfn.IFNA(_xlfn.XLOOKUP(C202,'00_SKU_Master'!$B$2:$B$2000,'00_SKU_Master'!$K$2:$K$2000,0),"")</f>
        <v>Fast</v>
      </c>
      <c r="M202" s="25" t="str">
        <f>_xlfn.XLOOKUP(C202,'00_SKU_Master'!$B$2:$B$2000,'00_SKU_Master'!$D$2:$D$2000)</f>
        <v>LCL</v>
      </c>
      <c r="N202" s="25">
        <f t="shared" si="11"/>
        <v>0</v>
      </c>
    </row>
    <row r="203" spans="2:14" x14ac:dyDescent="0.35">
      <c r="B203" s="25" t="str">
        <f>IF(C203="","",_xlfn.XLOOKUP(C203,'00_SKU_Master'!$B$2:$B$2000,'00_SKU_Master'!$J$2:$J$2000,""))</f>
        <v>MS LCL BSHB AC PET 3 PP BSK</v>
      </c>
      <c r="C203" s="25">
        <v>7851</v>
      </c>
      <c r="D203" s="16">
        <f>_xlfn.XLOOKUP(C203,'02_TrayPack_Order'!$B$3:$B$265,'02_TrayPack_Order'!$D$3:$D$265)</f>
        <v>0</v>
      </c>
      <c r="E203" s="17">
        <f>_xlfn.XLOOKUP(C203,'02_TrayPack_Order'!$B$3:$B$265,'02_TrayPack_Order'!$M$3:$M$265,0)</f>
        <v>168</v>
      </c>
      <c r="F203" s="16">
        <f>SUMIF('13_Progress_Track'!$A$2:$A$108,C203,'13_Progress_Track'!$E$2:$E$108)</f>
        <v>0</v>
      </c>
      <c r="G203" s="16">
        <f t="shared" si="9"/>
        <v>0</v>
      </c>
      <c r="H203" s="16">
        <f t="shared" si="10"/>
        <v>168</v>
      </c>
      <c r="I203" s="25">
        <f>_xlfn.IFNA(_xlfn.XLOOKUP(C203,'00_SKU_Master'!$B$2:$B$2000,'00_SKU_Master'!$C$2:$C$2000),"")</f>
        <v>61050</v>
      </c>
      <c r="J203" s="97">
        <f>IFERROR(_xlfn.XLOOKUP(C203,'00_SKU_Master'!$B$2:$B$2000,'00_SKU_Master'!$F$2:$F$2000,0)*N203,0)</f>
        <v>0</v>
      </c>
      <c r="K203" s="96" t="str">
        <f>_xlfn.IFNA(_xlfn.XLOOKUP(C203,'00_SKU_Master'!$B$2:$B$2000,'00_SKU_Master'!$H$2:$H$2000,0),"")</f>
        <v>PET 3</v>
      </c>
      <c r="L203" s="96" t="str">
        <f>_xlfn.IFNA(_xlfn.XLOOKUP(C203,'00_SKU_Master'!$B$2:$B$2000,'00_SKU_Master'!$K$2:$K$2000,0),"")</f>
        <v>Fast</v>
      </c>
      <c r="M203" s="25" t="str">
        <f>_xlfn.XLOOKUP(C203,'00_SKU_Master'!$B$2:$B$2000,'00_SKU_Master'!$D$2:$D$2000)</f>
        <v>LCL</v>
      </c>
      <c r="N203" s="25">
        <f t="shared" si="11"/>
        <v>0</v>
      </c>
    </row>
    <row r="204" spans="2:14" x14ac:dyDescent="0.35">
      <c r="B204" s="25" t="str">
        <f>IF(C204="","",_xlfn.XLOOKUP(C204,'00_SKU_Master'!$B$2:$B$2000,'00_SKU_Master'!$J$2:$J$2000,""))</f>
        <v>MS LCL BSHB AC PET 6 PP BSK</v>
      </c>
      <c r="C204" s="25">
        <v>7852</v>
      </c>
      <c r="D204" s="16">
        <f>_xlfn.XLOOKUP(C204,'02_TrayPack_Order'!$B$3:$B$265,'02_TrayPack_Order'!$D$3:$D$265)</f>
        <v>0</v>
      </c>
      <c r="E204" s="17">
        <f>_xlfn.XLOOKUP(C204,'02_TrayPack_Order'!$B$3:$B$265,'02_TrayPack_Order'!$M$3:$M$265,0)</f>
        <v>395</v>
      </c>
      <c r="F204" s="16">
        <f>SUMIF('13_Progress_Track'!$A$2:$A$108,C204,'13_Progress_Track'!$E$2:$E$108)</f>
        <v>0</v>
      </c>
      <c r="G204" s="16">
        <f t="shared" si="9"/>
        <v>0</v>
      </c>
      <c r="H204" s="16">
        <f t="shared" si="10"/>
        <v>395</v>
      </c>
      <c r="I204" s="25">
        <f>_xlfn.IFNA(_xlfn.XLOOKUP(C204,'00_SKU_Master'!$B$2:$B$2000,'00_SKU_Master'!$C$2:$C$2000),"")</f>
        <v>61050</v>
      </c>
      <c r="J204" s="97">
        <f>IFERROR(_xlfn.XLOOKUP(C204,'00_SKU_Master'!$B$2:$B$2000,'00_SKU_Master'!$F$2:$F$2000,0)*N204,0)</f>
        <v>0</v>
      </c>
      <c r="K204" s="96" t="str">
        <f>_xlfn.IFNA(_xlfn.XLOOKUP(C204,'00_SKU_Master'!$B$2:$B$2000,'00_SKU_Master'!$H$2:$H$2000,0),"")</f>
        <v>PET 6</v>
      </c>
      <c r="L204" s="96" t="str">
        <f>_xlfn.IFNA(_xlfn.XLOOKUP(C204,'00_SKU_Master'!$B$2:$B$2000,'00_SKU_Master'!$K$2:$K$2000,0),"")</f>
        <v>Fast</v>
      </c>
      <c r="M204" s="25" t="str">
        <f>_xlfn.XLOOKUP(C204,'00_SKU_Master'!$B$2:$B$2000,'00_SKU_Master'!$D$2:$D$2000)</f>
        <v>LCL</v>
      </c>
      <c r="N204" s="25">
        <f t="shared" si="11"/>
        <v>0</v>
      </c>
    </row>
    <row r="205" spans="2:14" x14ac:dyDescent="0.35">
      <c r="B205" s="25" t="str">
        <f>IF(C205="","",_xlfn.XLOOKUP(C205,'00_SKU_Master'!$B$2:$B$2000,'00_SKU_Master'!$J$2:$J$2000,""))</f>
        <v>MS LCL THIGH AC PET 6 PP BSK</v>
      </c>
      <c r="C205" s="25">
        <v>7853</v>
      </c>
      <c r="D205" s="16">
        <f>_xlfn.XLOOKUP(C205,'02_TrayPack_Order'!$B$3:$B$265,'02_TrayPack_Order'!$D$3:$D$265)</f>
        <v>19</v>
      </c>
      <c r="E205" s="17">
        <f>_xlfn.XLOOKUP(C205,'02_TrayPack_Order'!$B$3:$B$265,'02_TrayPack_Order'!$M$3:$M$265,0)</f>
        <v>209</v>
      </c>
      <c r="F205" s="16">
        <f>SUMIF('13_Progress_Track'!$A$2:$A$108,C205,'13_Progress_Track'!$E$2:$E$108)</f>
        <v>0</v>
      </c>
      <c r="G205" s="16">
        <f t="shared" si="9"/>
        <v>0</v>
      </c>
      <c r="H205" s="16">
        <f t="shared" si="10"/>
        <v>228</v>
      </c>
      <c r="I205" s="25">
        <f>_xlfn.IFNA(_xlfn.XLOOKUP(C205,'00_SKU_Master'!$B$2:$B$2000,'00_SKU_Master'!$C$2:$C$2000),"")</f>
        <v>61077</v>
      </c>
      <c r="J205" s="97">
        <f>IFERROR(_xlfn.XLOOKUP(C205,'00_SKU_Master'!$B$2:$B$2000,'00_SKU_Master'!$F$2:$F$2000,0)*N205,0)</f>
        <v>122.58587645279401</v>
      </c>
      <c r="K205" s="96" t="str">
        <f>_xlfn.IFNA(_xlfn.XLOOKUP(C205,'00_SKU_Master'!$B$2:$B$2000,'00_SKU_Master'!$H$2:$H$2000,0),"")</f>
        <v>PET 6</v>
      </c>
      <c r="L205" s="96" t="str">
        <f>_xlfn.IFNA(_xlfn.XLOOKUP(C205,'00_SKU_Master'!$B$2:$B$2000,'00_SKU_Master'!$K$2:$K$2000,0),"")</f>
        <v>Fast</v>
      </c>
      <c r="M205" s="25" t="str">
        <f>_xlfn.XLOOKUP(C205,'00_SKU_Master'!$B$2:$B$2000,'00_SKU_Master'!$D$2:$D$2000)</f>
        <v>LCL</v>
      </c>
      <c r="N205" s="25">
        <f t="shared" si="11"/>
        <v>19</v>
      </c>
    </row>
    <row r="206" spans="2:14" x14ac:dyDescent="0.35">
      <c r="B206" s="25" t="str">
        <f>IF(C206="","",_xlfn.XLOOKUP(C206,'00_SKU_Master'!$B$2:$B$2000,'00_SKU_Master'!$J$2:$J$2000,""))</f>
        <v>MS LCL DRUM AC PET 6 PP BSK</v>
      </c>
      <c r="C206" s="25">
        <v>7854</v>
      </c>
      <c r="D206" s="16">
        <f>_xlfn.XLOOKUP(C206,'02_TrayPack_Order'!$B$3:$B$265,'02_TrayPack_Order'!$D$3:$D$265)</f>
        <v>0</v>
      </c>
      <c r="E206" s="17">
        <f>_xlfn.XLOOKUP(C206,'02_TrayPack_Order'!$B$3:$B$265,'02_TrayPack_Order'!$M$3:$M$265,0)</f>
        <v>174</v>
      </c>
      <c r="F206" s="16">
        <f>SUMIF('13_Progress_Track'!$A$2:$A$108,C206,'13_Progress_Track'!$E$2:$E$108)</f>
        <v>0</v>
      </c>
      <c r="G206" s="16">
        <f t="shared" si="9"/>
        <v>0</v>
      </c>
      <c r="H206" s="16">
        <f t="shared" si="10"/>
        <v>174</v>
      </c>
      <c r="I206" s="25" t="str">
        <f>_xlfn.IFNA(_xlfn.XLOOKUP(C206,'00_SKU_Master'!$B$2:$B$2000,'00_SKU_Master'!$C$2:$C$2000),"")</f>
        <v>61072F</v>
      </c>
      <c r="J206" s="97">
        <f>IFERROR(_xlfn.XLOOKUP(C206,'00_SKU_Master'!$B$2:$B$2000,'00_SKU_Master'!$F$2:$F$2000,0)*N206,0)</f>
        <v>0</v>
      </c>
      <c r="K206" s="96" t="str">
        <f>_xlfn.IFNA(_xlfn.XLOOKUP(C206,'00_SKU_Master'!$B$2:$B$2000,'00_SKU_Master'!$H$2:$H$2000,0),"")</f>
        <v>PET 6</v>
      </c>
      <c r="L206" s="96" t="str">
        <f>_xlfn.IFNA(_xlfn.XLOOKUP(C206,'00_SKU_Master'!$B$2:$B$2000,'00_SKU_Master'!$K$2:$K$2000,0),"")</f>
        <v>Fast</v>
      </c>
      <c r="M206" s="25" t="str">
        <f>_xlfn.XLOOKUP(C206,'00_SKU_Master'!$B$2:$B$2000,'00_SKU_Master'!$D$2:$D$2000)</f>
        <v>LCL</v>
      </c>
      <c r="N206" s="25">
        <f t="shared" si="11"/>
        <v>0</v>
      </c>
    </row>
    <row r="207" spans="2:14" x14ac:dyDescent="0.35">
      <c r="B207" s="25" t="str">
        <f>IF(C207="","",_xlfn.XLOOKUP(C207,'00_SKU_Master'!$B$2:$B$2000,'00_SKU_Master'!$J$2:$J$2000,""))</f>
        <v>MS LCL SPL WING AC PET 6 PP BSK</v>
      </c>
      <c r="C207" s="25">
        <v>7855</v>
      </c>
      <c r="D207" s="16">
        <f>_xlfn.XLOOKUP(C207,'02_TrayPack_Order'!$B$3:$B$265,'02_TrayPack_Order'!$D$3:$D$265)</f>
        <v>0</v>
      </c>
      <c r="E207" s="17">
        <f>_xlfn.XLOOKUP(C207,'02_TrayPack_Order'!$B$3:$B$265,'02_TrayPack_Order'!$M$3:$M$265,0)</f>
        <v>118</v>
      </c>
      <c r="F207" s="16">
        <f>SUMIF('13_Progress_Track'!$A$2:$A$108,C207,'13_Progress_Track'!$E$2:$E$108)</f>
        <v>0</v>
      </c>
      <c r="G207" s="16">
        <f t="shared" si="9"/>
        <v>0</v>
      </c>
      <c r="H207" s="16">
        <f t="shared" si="10"/>
        <v>118</v>
      </c>
      <c r="I207" s="25" t="str">
        <f>_xlfn.IFNA(_xlfn.XLOOKUP(C207,'00_SKU_Master'!$B$2:$B$2000,'00_SKU_Master'!$C$2:$C$2000),"")</f>
        <v>61014F</v>
      </c>
      <c r="J207" s="97">
        <f>IFERROR(_xlfn.XLOOKUP(C207,'00_SKU_Master'!$B$2:$B$2000,'00_SKU_Master'!$F$2:$F$2000,0)*N207,0)</f>
        <v>0</v>
      </c>
      <c r="K207" s="96" t="str">
        <f>_xlfn.IFNA(_xlfn.XLOOKUP(C207,'00_SKU_Master'!$B$2:$B$2000,'00_SKU_Master'!$H$2:$H$2000,0),"")</f>
        <v>PET 6</v>
      </c>
      <c r="L207" s="96" t="str">
        <f>_xlfn.IFNA(_xlfn.XLOOKUP(C207,'00_SKU_Master'!$B$2:$B$2000,'00_SKU_Master'!$K$2:$K$2000,0),"")</f>
        <v>Slow</v>
      </c>
      <c r="M207" s="25" t="str">
        <f>_xlfn.XLOOKUP(C207,'00_SKU_Master'!$B$2:$B$2000,'00_SKU_Master'!$D$2:$D$2000)</f>
        <v>LCL</v>
      </c>
      <c r="N207" s="25">
        <f t="shared" si="11"/>
        <v>0</v>
      </c>
    </row>
    <row r="208" spans="2:14" x14ac:dyDescent="0.35">
      <c r="B208" s="25" t="str">
        <f>IF(C208="","",_xlfn.XLOOKUP(C208,'00_SKU_Master'!$B$2:$B$2000,'00_SKU_Master'!$J$2:$J$2000,""))</f>
        <v>MS LCL BTFLYB WOF AC PET 3 PP BSK</v>
      </c>
      <c r="C208" s="25">
        <v>7858</v>
      </c>
      <c r="D208" s="16">
        <f>_xlfn.XLOOKUP(C208,'02_TrayPack_Order'!$B$3:$B$265,'02_TrayPack_Order'!$D$3:$D$265)</f>
        <v>0</v>
      </c>
      <c r="E208" s="17">
        <f>_xlfn.XLOOKUP(C208,'02_TrayPack_Order'!$B$3:$B$265,'02_TrayPack_Order'!$M$3:$M$265,0)</f>
        <v>0</v>
      </c>
      <c r="F208" s="16">
        <f>SUMIF('13_Progress_Track'!$A$2:$A$108,C208,'13_Progress_Track'!$E$2:$E$108)</f>
        <v>0</v>
      </c>
      <c r="G208" s="16">
        <f t="shared" si="9"/>
        <v>0</v>
      </c>
      <c r="H208" s="16">
        <f t="shared" si="10"/>
        <v>0</v>
      </c>
      <c r="I208" s="25">
        <f>_xlfn.IFNA(_xlfn.XLOOKUP(C208,'00_SKU_Master'!$B$2:$B$2000,'00_SKU_Master'!$C$2:$C$2000),"")</f>
        <v>61052</v>
      </c>
      <c r="J208" s="97">
        <f>IFERROR(_xlfn.XLOOKUP(C208,'00_SKU_Master'!$B$2:$B$2000,'00_SKU_Master'!$F$2:$F$2000,0)*N208,0)</f>
        <v>0</v>
      </c>
      <c r="K208" s="96" t="str">
        <f>_xlfn.IFNA(_xlfn.XLOOKUP(C208,'00_SKU_Master'!$B$2:$B$2000,'00_SKU_Master'!$H$2:$H$2000,0),"")</f>
        <v>PET 3</v>
      </c>
      <c r="L208" s="96" t="str">
        <f>_xlfn.IFNA(_xlfn.XLOOKUP(C208,'00_SKU_Master'!$B$2:$B$2000,'00_SKU_Master'!$K$2:$K$2000,0),"")</f>
        <v>Fast</v>
      </c>
      <c r="M208" s="25" t="str">
        <f>_xlfn.XLOOKUP(C208,'00_SKU_Master'!$B$2:$B$2000,'00_SKU_Master'!$D$2:$D$2000)</f>
        <v>LCL</v>
      </c>
      <c r="N208" s="25">
        <f t="shared" si="11"/>
        <v>0</v>
      </c>
    </row>
    <row r="209" spans="2:14" x14ac:dyDescent="0.35">
      <c r="B209" s="25" t="str">
        <f>IF(C209="","",_xlfn.XLOOKUP(C209,'00_SKU_Master'!$B$2:$B$2000,'00_SKU_Master'!$J$2:$J$2000,""))</f>
        <v>MS LCL FILLET AC PET 3 PP BSK</v>
      </c>
      <c r="C209" s="25">
        <v>7859</v>
      </c>
      <c r="D209" s="16">
        <f>_xlfn.XLOOKUP(C209,'02_TrayPack_Order'!$B$3:$B$265,'02_TrayPack_Order'!$D$3:$D$265)</f>
        <v>11</v>
      </c>
      <c r="E209" s="17">
        <f>_xlfn.XLOOKUP(C209,'02_TrayPack_Order'!$B$3:$B$265,'02_TrayPack_Order'!$M$3:$M$265,0)</f>
        <v>11</v>
      </c>
      <c r="F209" s="16">
        <f>SUMIF('13_Progress_Track'!$A$2:$A$108,C209,'13_Progress_Track'!$E$2:$E$108)</f>
        <v>0</v>
      </c>
      <c r="G209" s="16">
        <f t="shared" si="9"/>
        <v>0</v>
      </c>
      <c r="H209" s="16">
        <f t="shared" si="10"/>
        <v>22</v>
      </c>
      <c r="I209" s="25">
        <f>_xlfn.IFNA(_xlfn.XLOOKUP(C209,'00_SKU_Master'!$B$2:$B$2000,'00_SKU_Master'!$C$2:$C$2000),"")</f>
        <v>61054</v>
      </c>
      <c r="J209" s="97">
        <f>IFERROR(_xlfn.XLOOKUP(C209,'00_SKU_Master'!$B$2:$B$2000,'00_SKU_Master'!$F$2:$F$2000,0)*N209,0)</f>
        <v>45.017009900990047</v>
      </c>
      <c r="K209" s="96" t="str">
        <f>_xlfn.IFNA(_xlfn.XLOOKUP(C209,'00_SKU_Master'!$B$2:$B$2000,'00_SKU_Master'!$H$2:$H$2000,0),"")</f>
        <v>PET 3</v>
      </c>
      <c r="L209" s="96" t="str">
        <f>_xlfn.IFNA(_xlfn.XLOOKUP(C209,'00_SKU_Master'!$B$2:$B$2000,'00_SKU_Master'!$K$2:$K$2000,0),"")</f>
        <v>Slow</v>
      </c>
      <c r="M209" s="25" t="str">
        <f>_xlfn.XLOOKUP(C209,'00_SKU_Master'!$B$2:$B$2000,'00_SKU_Master'!$D$2:$D$2000)</f>
        <v>LCL</v>
      </c>
      <c r="N209" s="25">
        <f t="shared" si="11"/>
        <v>11</v>
      </c>
    </row>
    <row r="210" spans="2:14" x14ac:dyDescent="0.35">
      <c r="B210" s="25" t="str">
        <f>IF(C210="","",_xlfn.XLOOKUP(C210,'00_SKU_Master'!$B$2:$B$2000,'00_SKU_Master'!$J$2:$J$2000,""))</f>
        <v>MS LCL BSTHIGH AC PET 6 PP BSK</v>
      </c>
      <c r="C210" s="25">
        <v>7860</v>
      </c>
      <c r="D210" s="16">
        <f>_xlfn.XLOOKUP(C210,'02_TrayPack_Order'!$B$3:$B$265,'02_TrayPack_Order'!$D$3:$D$265)</f>
        <v>154</v>
      </c>
      <c r="E210" s="17">
        <f>_xlfn.XLOOKUP(C210,'02_TrayPack_Order'!$B$3:$B$265,'02_TrayPack_Order'!$M$3:$M$265,0)</f>
        <v>254</v>
      </c>
      <c r="F210" s="16">
        <f>SUMIF('13_Progress_Track'!$A$2:$A$108,C210,'13_Progress_Track'!$E$2:$E$108)</f>
        <v>0</v>
      </c>
      <c r="G210" s="16">
        <f t="shared" si="9"/>
        <v>0</v>
      </c>
      <c r="H210" s="16">
        <f t="shared" si="10"/>
        <v>408</v>
      </c>
      <c r="I210" s="25">
        <f>_xlfn.IFNA(_xlfn.XLOOKUP(C210,'00_SKU_Master'!$B$2:$B$2000,'00_SKU_Master'!$C$2:$C$2000),"")</f>
        <v>61086</v>
      </c>
      <c r="J210" s="97">
        <f>IFERROR(_xlfn.XLOOKUP(C210,'00_SKU_Master'!$B$2:$B$2000,'00_SKU_Master'!$F$2:$F$2000,0)*N210,0)</f>
        <v>889.70666513339381</v>
      </c>
      <c r="K210" s="96" t="str">
        <f>_xlfn.IFNA(_xlfn.XLOOKUP(C210,'00_SKU_Master'!$B$2:$B$2000,'00_SKU_Master'!$H$2:$H$2000,0),"")</f>
        <v>PET 6</v>
      </c>
      <c r="L210" s="96" t="str">
        <f>_xlfn.IFNA(_xlfn.XLOOKUP(C210,'00_SKU_Master'!$B$2:$B$2000,'00_SKU_Master'!$K$2:$K$2000,0),"")</f>
        <v>Slow</v>
      </c>
      <c r="M210" s="25" t="str">
        <f>_xlfn.XLOOKUP(C210,'00_SKU_Master'!$B$2:$B$2000,'00_SKU_Master'!$D$2:$D$2000)</f>
        <v>LCL</v>
      </c>
      <c r="N210" s="25">
        <f t="shared" si="11"/>
        <v>154</v>
      </c>
    </row>
    <row r="211" spans="2:14" x14ac:dyDescent="0.35">
      <c r="B211" s="25" t="str">
        <f>IF(C211="","",_xlfn.XLOOKUP(C211,'00_SKU_Master'!$B$2:$B$2000,'00_SKU_Master'!$J$2:$J$2000,""))</f>
        <v>MS DRUM PET8 BSK</v>
      </c>
      <c r="C211" s="25">
        <v>7862</v>
      </c>
      <c r="D211" s="16">
        <f>_xlfn.XLOOKUP(C211,'02_TrayPack_Order'!$B$3:$B$265,'02_TrayPack_Order'!$D$3:$D$265)</f>
        <v>0</v>
      </c>
      <c r="E211" s="17">
        <f>_xlfn.XLOOKUP(C211,'02_TrayPack_Order'!$B$3:$B$265,'02_TrayPack_Order'!$M$3:$M$265,0)</f>
        <v>0</v>
      </c>
      <c r="F211" s="16">
        <f>SUMIF('13_Progress_Track'!$A$2:$A$108,C211,'13_Progress_Track'!$E$2:$E$108)</f>
        <v>0</v>
      </c>
      <c r="G211" s="16">
        <f t="shared" si="9"/>
        <v>0</v>
      </c>
      <c r="H211" s="16">
        <f t="shared" si="10"/>
        <v>0</v>
      </c>
      <c r="I211" s="25" t="str">
        <f>_xlfn.IFNA(_xlfn.XLOOKUP(C211,'00_SKU_Master'!$B$2:$B$2000,'00_SKU_Master'!$C$2:$C$2000),"")</f>
        <v>61072#2</v>
      </c>
      <c r="J211" s="97">
        <f>IFERROR(_xlfn.XLOOKUP(C211,'00_SKU_Master'!$B$2:$B$2000,'00_SKU_Master'!$F$2:$F$2000,0)*N211,0)</f>
        <v>0</v>
      </c>
      <c r="K211" s="96" t="str">
        <f>_xlfn.IFNA(_xlfn.XLOOKUP(C211,'00_SKU_Master'!$B$2:$B$2000,'00_SKU_Master'!$H$2:$H$2000,0),"")</f>
        <v>PET 8</v>
      </c>
      <c r="L211" s="96" t="str">
        <f>_xlfn.IFNA(_xlfn.XLOOKUP(C211,'00_SKU_Master'!$B$2:$B$2000,'00_SKU_Master'!$K$2:$K$2000,0),"")</f>
        <v>Fast</v>
      </c>
      <c r="M211" s="25" t="str">
        <f>_xlfn.XLOOKUP(C211,'00_SKU_Master'!$B$2:$B$2000,'00_SKU_Master'!$D$2:$D$2000)</f>
        <v>LCL</v>
      </c>
      <c r="N211" s="25">
        <f t="shared" si="11"/>
        <v>0</v>
      </c>
    </row>
    <row r="212" spans="2:14" x14ac:dyDescent="0.35">
      <c r="B212" s="25" t="str">
        <f>IF(C212="","",_xlfn.XLOOKUP(C212,'00_SKU_Master'!$B$2:$B$2000,'00_SKU_Master'!$J$2:$J$2000,""))</f>
        <v>MS BSHB PET8 BSK</v>
      </c>
      <c r="C212" s="25">
        <v>7863</v>
      </c>
      <c r="D212" s="16">
        <f>_xlfn.XLOOKUP(C212,'02_TrayPack_Order'!$B$3:$B$265,'02_TrayPack_Order'!$D$3:$D$265)</f>
        <v>0</v>
      </c>
      <c r="E212" s="17">
        <f>_xlfn.XLOOKUP(C212,'02_TrayPack_Order'!$B$3:$B$265,'02_TrayPack_Order'!$M$3:$M$265,0)</f>
        <v>0</v>
      </c>
      <c r="F212" s="16">
        <f>SUMIF('13_Progress_Track'!$A$2:$A$108,C212,'13_Progress_Track'!$E$2:$E$108)</f>
        <v>0</v>
      </c>
      <c r="G212" s="16">
        <f t="shared" si="9"/>
        <v>0</v>
      </c>
      <c r="H212" s="16">
        <f t="shared" si="10"/>
        <v>0</v>
      </c>
      <c r="I212" s="25" t="str">
        <f>_xlfn.IFNA(_xlfn.XLOOKUP(C212,'00_SKU_Master'!$B$2:$B$2000,'00_SKU_Master'!$C$2:$C$2000),"")</f>
        <v>61050#2</v>
      </c>
      <c r="J212" s="97">
        <f>IFERROR(_xlfn.XLOOKUP(C212,'00_SKU_Master'!$B$2:$B$2000,'00_SKU_Master'!$F$2:$F$2000,0)*N212,0)</f>
        <v>0</v>
      </c>
      <c r="K212" s="96" t="str">
        <f>_xlfn.IFNA(_xlfn.XLOOKUP(C212,'00_SKU_Master'!$B$2:$B$2000,'00_SKU_Master'!$H$2:$H$2000,0),"")</f>
        <v>PET 8</v>
      </c>
      <c r="L212" s="96" t="str">
        <f>_xlfn.IFNA(_xlfn.XLOOKUP(C212,'00_SKU_Master'!$B$2:$B$2000,'00_SKU_Master'!$K$2:$K$2000,0),"")</f>
        <v>Fast</v>
      </c>
      <c r="M212" s="25" t="str">
        <f>_xlfn.XLOOKUP(C212,'00_SKU_Master'!$B$2:$B$2000,'00_SKU_Master'!$D$2:$D$2000)</f>
        <v>LCL</v>
      </c>
      <c r="N212" s="25">
        <f t="shared" si="11"/>
        <v>0</v>
      </c>
    </row>
    <row r="213" spans="2:14" x14ac:dyDescent="0.35">
      <c r="B213" s="25" t="str">
        <f>IF(C213="","",_xlfn.XLOOKUP(C213,'00_SKU_Master'!$B$2:$B$2000,'00_SKU_Master'!$J$2:$J$2000,""))</f>
        <v>MS 1.3-1.8 FRY WOG TI 2/PET9 BSK</v>
      </c>
      <c r="C213" s="25">
        <v>7864</v>
      </c>
      <c r="D213" s="16">
        <f>_xlfn.XLOOKUP(C213,'02_TrayPack_Order'!$B$3:$B$265,'02_TrayPack_Order'!$D$3:$D$265)</f>
        <v>0</v>
      </c>
      <c r="E213" s="17">
        <f>_xlfn.XLOOKUP(C213,'02_TrayPack_Order'!$B$3:$B$265,'02_TrayPack_Order'!$M$3:$M$265,0)</f>
        <v>0</v>
      </c>
      <c r="F213" s="16">
        <f>SUMIF('13_Progress_Track'!$A$2:$A$108,C213,'13_Progress_Track'!$E$2:$E$108)</f>
        <v>0</v>
      </c>
      <c r="G213" s="16">
        <f t="shared" si="9"/>
        <v>0</v>
      </c>
      <c r="H213" s="16">
        <f t="shared" si="10"/>
        <v>0</v>
      </c>
      <c r="I213" s="25">
        <f>_xlfn.IFNA(_xlfn.XLOOKUP(C213,'00_SKU_Master'!$B$2:$B$2000,'00_SKU_Master'!$C$2:$C$2000),"")</f>
        <v>203891</v>
      </c>
      <c r="J213" s="97">
        <f>IFERROR(_xlfn.XLOOKUP(C213,'00_SKU_Master'!$B$2:$B$2000,'00_SKU_Master'!$F$2:$F$2000,0)*N213,0)</f>
        <v>0</v>
      </c>
      <c r="K213" s="96" t="str">
        <f>_xlfn.IFNA(_xlfn.XLOOKUP(C213,'00_SKU_Master'!$B$2:$B$2000,'00_SKU_Master'!$H$2:$H$2000,0),"")</f>
        <v>PET 9</v>
      </c>
      <c r="L213" s="96" t="str">
        <f>_xlfn.IFNA(_xlfn.XLOOKUP(C213,'00_SKU_Master'!$B$2:$B$2000,'00_SKU_Master'!$K$2:$K$2000,0),"")</f>
        <v>Fast</v>
      </c>
      <c r="M213" s="25" t="str">
        <f>_xlfn.XLOOKUP(C213,'00_SKU_Master'!$B$2:$B$2000,'00_SKU_Master'!$D$2:$D$2000)</f>
        <v>LCL</v>
      </c>
      <c r="N213" s="25">
        <f t="shared" si="11"/>
        <v>0</v>
      </c>
    </row>
    <row r="214" spans="2:14" x14ac:dyDescent="0.35">
      <c r="B214" s="25" t="str">
        <f>IF(C214="","",_xlfn.XLOOKUP(C214,'00_SKU_Master'!$B$2:$B$2000,'00_SKU_Master'!$J$2:$J$2000,""))</f>
        <v>MS THIGH PET8 BSK</v>
      </c>
      <c r="C214" s="25">
        <v>7865</v>
      </c>
      <c r="D214" s="16">
        <f>_xlfn.XLOOKUP(C214,'02_TrayPack_Order'!$B$3:$B$265,'02_TrayPack_Order'!$D$3:$D$265)</f>
        <v>0</v>
      </c>
      <c r="E214" s="17">
        <f>_xlfn.XLOOKUP(C214,'02_TrayPack_Order'!$B$3:$B$265,'02_TrayPack_Order'!$M$3:$M$265,0)</f>
        <v>0</v>
      </c>
      <c r="F214" s="16">
        <f>SUMIF('13_Progress_Track'!$A$2:$A$108,C214,'13_Progress_Track'!$E$2:$E$108)</f>
        <v>0</v>
      </c>
      <c r="G214" s="16">
        <f t="shared" si="9"/>
        <v>0</v>
      </c>
      <c r="H214" s="16">
        <f t="shared" si="10"/>
        <v>0</v>
      </c>
      <c r="I214" s="25">
        <f>_xlfn.IFNA(_xlfn.XLOOKUP(C214,'00_SKU_Master'!$B$2:$B$2000,'00_SKU_Master'!$C$2:$C$2000),"")</f>
        <v>61082</v>
      </c>
      <c r="J214" s="97">
        <f>IFERROR(_xlfn.XLOOKUP(C214,'00_SKU_Master'!$B$2:$B$2000,'00_SKU_Master'!$F$2:$F$2000,0)*N214,0)</f>
        <v>0</v>
      </c>
      <c r="K214" s="96" t="str">
        <f>_xlfn.IFNA(_xlfn.XLOOKUP(C214,'00_SKU_Master'!$B$2:$B$2000,'00_SKU_Master'!$H$2:$H$2000,0),"")</f>
        <v>PET 8</v>
      </c>
      <c r="L214" s="96" t="str">
        <f>_xlfn.IFNA(_xlfn.XLOOKUP(C214,'00_SKU_Master'!$B$2:$B$2000,'00_SKU_Master'!$K$2:$K$2000,0),"")</f>
        <v>Fast</v>
      </c>
      <c r="M214" s="25" t="str">
        <f>_xlfn.XLOOKUP(C214,'00_SKU_Master'!$B$2:$B$2000,'00_SKU_Master'!$D$2:$D$2000)</f>
        <v>LCL</v>
      </c>
      <c r="N214" s="25">
        <f t="shared" si="11"/>
        <v>0</v>
      </c>
    </row>
    <row r="215" spans="2:14" x14ac:dyDescent="0.35">
      <c r="B215" s="25" t="str">
        <f>IF(C215="","",_xlfn.XLOOKUP(C215,'00_SKU_Master'!$B$2:$B$2000,'00_SKU_Master'!$J$2:$J$2000,""))</f>
        <v>MS LEG BA PET8 BSK</v>
      </c>
      <c r="C215" s="25">
        <v>7866</v>
      </c>
      <c r="D215" s="16">
        <f>_xlfn.XLOOKUP(C215,'02_TrayPack_Order'!$B$3:$B$265,'02_TrayPack_Order'!$D$3:$D$265)</f>
        <v>0</v>
      </c>
      <c r="E215" s="17">
        <f>_xlfn.XLOOKUP(C215,'02_TrayPack_Order'!$B$3:$B$265,'02_TrayPack_Order'!$M$3:$M$265,0)</f>
        <v>0</v>
      </c>
      <c r="F215" s="16">
        <f>SUMIF('13_Progress_Track'!$A$2:$A$108,C215,'13_Progress_Track'!$E$2:$E$108)</f>
        <v>0</v>
      </c>
      <c r="G215" s="16">
        <f t="shared" si="9"/>
        <v>0</v>
      </c>
      <c r="H215" s="16">
        <f t="shared" si="10"/>
        <v>0</v>
      </c>
      <c r="I215" s="25">
        <f>_xlfn.IFNA(_xlfn.XLOOKUP(C215,'00_SKU_Master'!$B$2:$B$2000,'00_SKU_Master'!$C$2:$C$2000),"")</f>
        <v>61061</v>
      </c>
      <c r="J215" s="97">
        <f>IFERROR(_xlfn.XLOOKUP(C215,'00_SKU_Master'!$B$2:$B$2000,'00_SKU_Master'!$F$2:$F$2000,0)*N215,0)</f>
        <v>0</v>
      </c>
      <c r="K215" s="96" t="str">
        <f>_xlfn.IFNA(_xlfn.XLOOKUP(C215,'00_SKU_Master'!$B$2:$B$2000,'00_SKU_Master'!$H$2:$H$2000,0),"")</f>
        <v>PET 8</v>
      </c>
      <c r="L215" s="96" t="str">
        <f>_xlfn.IFNA(_xlfn.XLOOKUP(C215,'00_SKU_Master'!$B$2:$B$2000,'00_SKU_Master'!$K$2:$K$2000,0),"")</f>
        <v>Fast</v>
      </c>
      <c r="M215" s="25" t="str">
        <f>_xlfn.XLOOKUP(C215,'00_SKU_Master'!$B$2:$B$2000,'00_SKU_Master'!$D$2:$D$2000)</f>
        <v>LCL</v>
      </c>
      <c r="N215" s="25">
        <f t="shared" si="11"/>
        <v>0</v>
      </c>
    </row>
    <row r="216" spans="2:14" x14ac:dyDescent="0.35">
      <c r="B216" s="25" t="str">
        <f>IF(C216="","",_xlfn.XLOOKUP(C216,'00_SKU_Master'!$B$2:$B$2000,'00_SKU_Master'!$J$2:$J$2000,""))</f>
        <v>MS BSTHIGH PET8 BSK</v>
      </c>
      <c r="C216" s="25">
        <v>7867</v>
      </c>
      <c r="D216" s="16">
        <f>_xlfn.XLOOKUP(C216,'02_TrayPack_Order'!$B$3:$B$265,'02_TrayPack_Order'!$D$3:$D$265)</f>
        <v>0</v>
      </c>
      <c r="E216" s="17">
        <f>_xlfn.XLOOKUP(C216,'02_TrayPack_Order'!$B$3:$B$265,'02_TrayPack_Order'!$M$3:$M$265,0)</f>
        <v>0</v>
      </c>
      <c r="F216" s="16">
        <f>SUMIF('13_Progress_Track'!$A$2:$A$108,C216,'13_Progress_Track'!$E$2:$E$108)</f>
        <v>0</v>
      </c>
      <c r="G216" s="16">
        <f t="shared" si="9"/>
        <v>0</v>
      </c>
      <c r="H216" s="16">
        <f t="shared" si="10"/>
        <v>0</v>
      </c>
      <c r="I216" s="25" t="str">
        <f>_xlfn.IFNA(_xlfn.XLOOKUP(C216,'00_SKU_Master'!$B$2:$B$2000,'00_SKU_Master'!$C$2:$C$2000),"")</f>
        <v>61086#2</v>
      </c>
      <c r="J216" s="97">
        <f>IFERROR(_xlfn.XLOOKUP(C216,'00_SKU_Master'!$B$2:$B$2000,'00_SKU_Master'!$F$2:$F$2000,0)*N216,0)</f>
        <v>0</v>
      </c>
      <c r="K216" s="96" t="str">
        <f>_xlfn.IFNA(_xlfn.XLOOKUP(C216,'00_SKU_Master'!$B$2:$B$2000,'00_SKU_Master'!$H$2:$H$2000,0),"")</f>
        <v>PET 8</v>
      </c>
      <c r="L216" s="96" t="str">
        <f>_xlfn.IFNA(_xlfn.XLOOKUP(C216,'00_SKU_Master'!$B$2:$B$2000,'00_SKU_Master'!$K$2:$K$2000,0),"")</f>
        <v>Slow</v>
      </c>
      <c r="M216" s="25" t="str">
        <f>_xlfn.XLOOKUP(C216,'00_SKU_Master'!$B$2:$B$2000,'00_SKU_Master'!$D$2:$D$2000)</f>
        <v>LCL</v>
      </c>
      <c r="N216" s="25">
        <f t="shared" si="11"/>
        <v>0</v>
      </c>
    </row>
    <row r="217" spans="2:14" x14ac:dyDescent="0.35">
      <c r="B217" s="25" t="str">
        <f>IF(C217="","",_xlfn.XLOOKUP(C217,'00_SKU_Master'!$B$2:$B$2000,'00_SKU_Master'!$J$2:$J$2000,""))</f>
        <v>MS PC BM CUTLET AC PET6 BSK</v>
      </c>
      <c r="C217" s="25">
        <v>7868</v>
      </c>
      <c r="D217" s="16">
        <f>_xlfn.XLOOKUP(C217,'02_TrayPack_Order'!$B$3:$B$265,'02_TrayPack_Order'!$D$3:$D$265)</f>
        <v>0</v>
      </c>
      <c r="E217" s="17">
        <f>_xlfn.XLOOKUP(C217,'02_TrayPack_Order'!$B$3:$B$265,'02_TrayPack_Order'!$M$3:$M$265,0)</f>
        <v>0</v>
      </c>
      <c r="F217" s="16">
        <f>SUMIF('13_Progress_Track'!$A$2:$A$108,C217,'13_Progress_Track'!$E$2:$E$108)</f>
        <v>0</v>
      </c>
      <c r="G217" s="16">
        <f t="shared" si="9"/>
        <v>0</v>
      </c>
      <c r="H217" s="16">
        <f t="shared" si="10"/>
        <v>0</v>
      </c>
      <c r="I217" s="25">
        <f>_xlfn.IFNA(_xlfn.XLOOKUP(C217,'00_SKU_Master'!$B$2:$B$2000,'00_SKU_Master'!$C$2:$C$2000),"")</f>
        <v>61064</v>
      </c>
      <c r="J217" s="97">
        <f>IFERROR(_xlfn.XLOOKUP(C217,'00_SKU_Master'!$B$2:$B$2000,'00_SKU_Master'!$F$2:$F$2000,0)*N217,0)</f>
        <v>0</v>
      </c>
      <c r="K217" s="96" t="str">
        <f>_xlfn.IFNA(_xlfn.XLOOKUP(C217,'00_SKU_Master'!$B$2:$B$2000,'00_SKU_Master'!$H$2:$H$2000,0),"")</f>
        <v>PET 6</v>
      </c>
      <c r="L217" s="96" t="str">
        <f>_xlfn.IFNA(_xlfn.XLOOKUP(C217,'00_SKU_Master'!$B$2:$B$2000,'00_SKU_Master'!$K$2:$K$2000,0),"")</f>
        <v>Fast</v>
      </c>
      <c r="M217" s="25" t="str">
        <f>_xlfn.XLOOKUP(C217,'00_SKU_Master'!$B$2:$B$2000,'00_SKU_Master'!$D$2:$D$2000)</f>
        <v>LCL</v>
      </c>
      <c r="N217" s="25">
        <f t="shared" si="11"/>
        <v>0</v>
      </c>
    </row>
    <row r="218" spans="2:14" x14ac:dyDescent="0.35">
      <c r="B218" s="25" t="str">
        <f>IF(C218="","",_xlfn.XLOOKUP(C218,'00_SKU_Master'!$B$2:$B$2000,'00_SKU_Master'!$J$2:$J$2000,""))</f>
        <v>MS PC BM CUTLET AC PET6 BSK</v>
      </c>
      <c r="C218" s="25">
        <v>7869</v>
      </c>
      <c r="D218" s="16">
        <f>_xlfn.XLOOKUP(C218,'02_TrayPack_Order'!$B$3:$B$265,'02_TrayPack_Order'!$D$3:$D$265)</f>
        <v>6</v>
      </c>
      <c r="E218" s="17">
        <f>_xlfn.XLOOKUP(C218,'02_TrayPack_Order'!$B$3:$B$265,'02_TrayPack_Order'!$M$3:$M$265,0)</f>
        <v>31</v>
      </c>
      <c r="F218" s="16">
        <f>SUMIF('13_Progress_Track'!$A$2:$A$108,C218,'13_Progress_Track'!$E$2:$E$108)</f>
        <v>0</v>
      </c>
      <c r="G218" s="16">
        <f t="shared" si="9"/>
        <v>0</v>
      </c>
      <c r="H218" s="16">
        <f t="shared" si="10"/>
        <v>37</v>
      </c>
      <c r="I218" s="25">
        <f>_xlfn.IFNA(_xlfn.XLOOKUP(C218,'00_SKU_Master'!$B$2:$B$2000,'00_SKU_Master'!$C$2:$C$2000),"")</f>
        <v>61064</v>
      </c>
      <c r="J218" s="97">
        <f>IFERROR(_xlfn.XLOOKUP(C218,'00_SKU_Master'!$B$2:$B$2000,'00_SKU_Master'!$F$2:$F$2000,0)*N218,0)</f>
        <v>22.38</v>
      </c>
      <c r="K218" s="96" t="str">
        <f>_xlfn.IFNA(_xlfn.XLOOKUP(C218,'00_SKU_Master'!$B$2:$B$2000,'00_SKU_Master'!$H$2:$H$2000,0),"")</f>
        <v>PET 6</v>
      </c>
      <c r="L218" s="96" t="str">
        <f>_xlfn.IFNA(_xlfn.XLOOKUP(C218,'00_SKU_Master'!$B$2:$B$2000,'00_SKU_Master'!$K$2:$K$2000,0),"")</f>
        <v>Fast</v>
      </c>
      <c r="M218" s="25" t="str">
        <f>_xlfn.XLOOKUP(C218,'00_SKU_Master'!$B$2:$B$2000,'00_SKU_Master'!$D$2:$D$2000)</f>
        <v>LCL</v>
      </c>
      <c r="N218" s="25">
        <f t="shared" si="11"/>
        <v>6</v>
      </c>
    </row>
    <row r="219" spans="2:14" x14ac:dyDescent="0.35">
      <c r="B219" s="25" t="str">
        <f>IF(C219="","",_xlfn.XLOOKUP(C219,'00_SKU_Master'!$B$2:$B$2000,'00_SKU_Master'!$J$2:$J$2000,""))</f>
        <v>PB BSC HB LT PP BSK</v>
      </c>
      <c r="C219" s="25">
        <v>7912</v>
      </c>
      <c r="D219" s="16">
        <f>_xlfn.XLOOKUP(C219,'02_TrayPack_Order'!$B$3:$B$265,'02_TrayPack_Order'!$D$3:$D$265)</f>
        <v>0</v>
      </c>
      <c r="E219" s="17">
        <f>_xlfn.XLOOKUP(C219,'02_TrayPack_Order'!$B$3:$B$265,'02_TrayPack_Order'!$M$3:$M$265,0)</f>
        <v>0</v>
      </c>
      <c r="F219" s="16">
        <f>SUMIF('13_Progress_Track'!$A$2:$A$108,C219,'13_Progress_Track'!$E$2:$E$108)</f>
        <v>0</v>
      </c>
      <c r="G219" s="16">
        <f t="shared" si="9"/>
        <v>0</v>
      </c>
      <c r="H219" s="16">
        <f t="shared" si="10"/>
        <v>0</v>
      </c>
      <c r="I219" s="25" t="str">
        <f>_xlfn.IFNA(_xlfn.XLOOKUP(C219,'00_SKU_Master'!$B$2:$B$2000,'00_SKU_Master'!$C$2:$C$2000),"")</f>
        <v>61040#2</v>
      </c>
      <c r="J219" s="97">
        <f>IFERROR(_xlfn.XLOOKUP(C219,'00_SKU_Master'!$B$2:$B$2000,'00_SKU_Master'!$F$2:$F$2000,0)*N219,0)</f>
        <v>0</v>
      </c>
      <c r="K219" s="96" t="str">
        <f>_xlfn.IFNA(_xlfn.XLOOKUP(C219,'00_SKU_Master'!$B$2:$B$2000,'00_SKU_Master'!$H$2:$H$2000,0),"")</f>
        <v>LT 8XP</v>
      </c>
      <c r="L219" s="96" t="str">
        <f>_xlfn.IFNA(_xlfn.XLOOKUP(C219,'00_SKU_Master'!$B$2:$B$2000,'00_SKU_Master'!$K$2:$K$2000,0),"")</f>
        <v>Fast</v>
      </c>
      <c r="M219" s="25" t="str">
        <f>_xlfn.XLOOKUP(C219,'00_SKU_Master'!$B$2:$B$2000,'00_SKU_Master'!$D$2:$D$2000)</f>
        <v>FB</v>
      </c>
      <c r="N219" s="25">
        <f t="shared" si="11"/>
        <v>0</v>
      </c>
    </row>
    <row r="220" spans="2:14" x14ac:dyDescent="0.35">
      <c r="B220" s="25" t="str">
        <f>IF(C220="","",_xlfn.XLOOKUP(C220,'00_SKU_Master'!$B$2:$B$2000,'00_SKU_Master'!$J$2:$J$2000,""))</f>
        <v>MS WING AC GF LCP PP</v>
      </c>
      <c r="C220" s="25">
        <v>7939</v>
      </c>
      <c r="D220" s="16">
        <f>_xlfn.XLOOKUP(C220,'02_TrayPack_Order'!$B$3:$B$265,'02_TrayPack_Order'!$D$3:$D$265)</f>
        <v>0</v>
      </c>
      <c r="E220" s="17">
        <f>_xlfn.XLOOKUP(C220,'02_TrayPack_Order'!$B$3:$B$265,'02_TrayPack_Order'!$M$3:$M$265,0)</f>
        <v>0</v>
      </c>
      <c r="F220" s="16">
        <f>SUMIF('13_Progress_Track'!$A$2:$A$108,C220,'13_Progress_Track'!$E$2:$E$108)</f>
        <v>0</v>
      </c>
      <c r="G220" s="16">
        <f t="shared" si="9"/>
        <v>0</v>
      </c>
      <c r="H220" s="16">
        <f t="shared" si="10"/>
        <v>0</v>
      </c>
      <c r="I220" s="25">
        <f>_xlfn.IFNA(_xlfn.XLOOKUP(C220,'00_SKU_Master'!$B$2:$B$2000,'00_SKU_Master'!$C$2:$C$2000),"")</f>
        <v>61010</v>
      </c>
      <c r="J220" s="97">
        <f>IFERROR(_xlfn.XLOOKUP(C220,'00_SKU_Master'!$B$2:$B$2000,'00_SKU_Master'!$F$2:$F$2000,0)*N220,0)</f>
        <v>0</v>
      </c>
      <c r="K220" s="96" t="str">
        <f>_xlfn.IFNA(_xlfn.XLOOKUP(C220,'00_SKU_Master'!$B$2:$B$2000,'00_SKU_Master'!$H$2:$H$2000,0),"")</f>
        <v>LT 14D</v>
      </c>
      <c r="L220" s="96" t="str">
        <f>_xlfn.IFNA(_xlfn.XLOOKUP(C220,'00_SKU_Master'!$B$2:$B$2000,'00_SKU_Master'!$K$2:$K$2000,0),"")</f>
        <v>Fast</v>
      </c>
      <c r="M220" s="25" t="str">
        <f>_xlfn.XLOOKUP(C220,'00_SKU_Master'!$B$2:$B$2000,'00_SKU_Master'!$D$2:$D$2000)</f>
        <v>FB</v>
      </c>
      <c r="N220" s="25">
        <f t="shared" si="11"/>
        <v>0</v>
      </c>
    </row>
    <row r="221" spans="2:14" x14ac:dyDescent="0.35">
      <c r="B221" s="25" t="str">
        <f>IF(C221="","",_xlfn.XLOOKUP(C221,'00_SKU_Master'!$B$2:$B$2000,'00_SKU_Master'!$J$2:$J$2000,""))</f>
        <v>PB BSC LEG BA FT PP BSK</v>
      </c>
      <c r="C221" s="25">
        <v>7976</v>
      </c>
      <c r="D221" s="16">
        <f>_xlfn.XLOOKUP(C221,'02_TrayPack_Order'!$B$3:$B$265,'02_TrayPack_Order'!$D$3:$D$265)</f>
        <v>0</v>
      </c>
      <c r="E221" s="17">
        <f>_xlfn.XLOOKUP(C221,'02_TrayPack_Order'!$B$3:$B$265,'02_TrayPack_Order'!$M$3:$M$265,0)</f>
        <v>0</v>
      </c>
      <c r="F221" s="16">
        <f>SUMIF('13_Progress_Track'!$A$2:$A$108,C221,'13_Progress_Track'!$E$2:$E$108)</f>
        <v>0</v>
      </c>
      <c r="G221" s="16">
        <f t="shared" si="9"/>
        <v>0</v>
      </c>
      <c r="H221" s="16">
        <f t="shared" si="10"/>
        <v>0</v>
      </c>
      <c r="I221" s="25">
        <f>_xlfn.IFNA(_xlfn.XLOOKUP(C221,'00_SKU_Master'!$B$2:$B$2000,'00_SKU_Master'!$C$2:$C$2000),"")</f>
        <v>61061</v>
      </c>
      <c r="J221" s="97">
        <f>IFERROR(_xlfn.XLOOKUP(C221,'00_SKU_Master'!$B$2:$B$2000,'00_SKU_Master'!$F$2:$F$2000,0)*N221,0)</f>
        <v>0</v>
      </c>
      <c r="K221" s="96" t="str">
        <f>_xlfn.IFNA(_xlfn.XLOOKUP(C221,'00_SKU_Master'!$B$2:$B$2000,'00_SKU_Master'!$H$2:$H$2000,0),"")</f>
        <v>LT 14D</v>
      </c>
      <c r="L221" s="96" t="str">
        <f>_xlfn.IFNA(_xlfn.XLOOKUP(C221,'00_SKU_Master'!$B$2:$B$2000,'00_SKU_Master'!$K$2:$K$2000,0),"")</f>
        <v>Fast</v>
      </c>
      <c r="M221" s="25" t="str">
        <f>_xlfn.XLOOKUP(C221,'00_SKU_Master'!$B$2:$B$2000,'00_SKU_Master'!$D$2:$D$2000)</f>
        <v>FB</v>
      </c>
      <c r="N221" s="25">
        <f t="shared" si="11"/>
        <v>0</v>
      </c>
    </row>
    <row r="222" spans="2:14" x14ac:dyDescent="0.35">
      <c r="B222" s="25" t="str">
        <f>IF(C222="","",_xlfn.XLOOKUP(C222,'00_SKU_Master'!$B$2:$B$2000,'00_SKU_Master'!$J$2:$J$2000,""))</f>
        <v>MS BSC BSHB ST PP BSK</v>
      </c>
      <c r="C222" s="25">
        <v>7978</v>
      </c>
      <c r="D222" s="16">
        <f>_xlfn.XLOOKUP(C222,'02_TrayPack_Order'!$B$3:$B$265,'02_TrayPack_Order'!$D$3:$D$265)</f>
        <v>0</v>
      </c>
      <c r="E222" s="17">
        <f>_xlfn.XLOOKUP(C222,'02_TrayPack_Order'!$B$3:$B$265,'02_TrayPack_Order'!$M$3:$M$265,0)</f>
        <v>0</v>
      </c>
      <c r="F222" s="16">
        <f>SUMIF('13_Progress_Track'!$A$2:$A$108,C222,'13_Progress_Track'!$E$2:$E$108)</f>
        <v>0</v>
      </c>
      <c r="G222" s="16">
        <f t="shared" si="9"/>
        <v>0</v>
      </c>
      <c r="H222" s="16">
        <f t="shared" si="10"/>
        <v>0</v>
      </c>
      <c r="I222" s="25" t="str">
        <f>_xlfn.IFNA(_xlfn.XLOOKUP(C222,'00_SKU_Master'!$B$2:$B$2000,'00_SKU_Master'!$C$2:$C$2000),"")</f>
        <v>61050#2</v>
      </c>
      <c r="J222" s="97">
        <f>IFERROR(_xlfn.XLOOKUP(C222,'00_SKU_Master'!$B$2:$B$2000,'00_SKU_Master'!$F$2:$F$2000,0)*N222,0)</f>
        <v>0</v>
      </c>
      <c r="K222" s="96" t="str">
        <f>_xlfn.IFNA(_xlfn.XLOOKUP(C222,'00_SKU_Master'!$B$2:$B$2000,'00_SKU_Master'!$H$2:$H$2000,0),"")</f>
        <v>ST 3XP</v>
      </c>
      <c r="L222" s="96" t="str">
        <f>_xlfn.IFNA(_xlfn.XLOOKUP(C222,'00_SKU_Master'!$B$2:$B$2000,'00_SKU_Master'!$K$2:$K$2000,0),"")</f>
        <v>Fast</v>
      </c>
      <c r="M222" s="25" t="str">
        <f>_xlfn.XLOOKUP(C222,'00_SKU_Master'!$B$2:$B$2000,'00_SKU_Master'!$D$2:$D$2000)</f>
        <v>FB</v>
      </c>
      <c r="N222" s="25">
        <f t="shared" si="11"/>
        <v>0</v>
      </c>
    </row>
    <row r="223" spans="2:14" x14ac:dyDescent="0.35">
      <c r="B223" s="25" t="str">
        <f>IF(C223="","",_xlfn.XLOOKUP(C223,'00_SKU_Master'!$B$2:$B$2000,'00_SKU_Master'!$J$2:$J$2000,""))</f>
        <v>MS BSC BSHB LT PP BSK</v>
      </c>
      <c r="C223" s="25">
        <v>7979</v>
      </c>
      <c r="D223" s="16">
        <f>_xlfn.XLOOKUP(C223,'02_TrayPack_Order'!$B$3:$B$265,'02_TrayPack_Order'!$D$3:$D$265)</f>
        <v>0</v>
      </c>
      <c r="E223" s="17">
        <f>_xlfn.XLOOKUP(C223,'02_TrayPack_Order'!$B$3:$B$265,'02_TrayPack_Order'!$M$3:$M$265,0)</f>
        <v>0</v>
      </c>
      <c r="F223" s="16">
        <f>SUMIF('13_Progress_Track'!$A$2:$A$108,C223,'13_Progress_Track'!$E$2:$E$108)</f>
        <v>0</v>
      </c>
      <c r="G223" s="16">
        <f t="shared" si="9"/>
        <v>0</v>
      </c>
      <c r="H223" s="16">
        <f t="shared" si="10"/>
        <v>0</v>
      </c>
      <c r="I223" s="25" t="str">
        <f>_xlfn.IFNA(_xlfn.XLOOKUP(C223,'00_SKU_Master'!$B$2:$B$2000,'00_SKU_Master'!$C$2:$C$2000),"")</f>
        <v>61050#2</v>
      </c>
      <c r="J223" s="97">
        <f>IFERROR(_xlfn.XLOOKUP(C223,'00_SKU_Master'!$B$2:$B$2000,'00_SKU_Master'!$F$2:$F$2000,0)*N223,0)</f>
        <v>0</v>
      </c>
      <c r="K223" s="96" t="str">
        <f>_xlfn.IFNA(_xlfn.XLOOKUP(C223,'00_SKU_Master'!$B$2:$B$2000,'00_SKU_Master'!$H$2:$H$2000,0),"")</f>
        <v>LT 8XP</v>
      </c>
      <c r="L223" s="96" t="str">
        <f>_xlfn.IFNA(_xlfn.XLOOKUP(C223,'00_SKU_Master'!$B$2:$B$2000,'00_SKU_Master'!$K$2:$K$2000,0),"")</f>
        <v>Fast</v>
      </c>
      <c r="M223" s="25" t="str">
        <f>_xlfn.XLOOKUP(C223,'00_SKU_Master'!$B$2:$B$2000,'00_SKU_Master'!$D$2:$D$2000)</f>
        <v>FB</v>
      </c>
      <c r="N223" s="25">
        <f t="shared" si="11"/>
        <v>0</v>
      </c>
    </row>
    <row r="224" spans="2:14" x14ac:dyDescent="0.35">
      <c r="B224" s="25" t="str">
        <f>IF(C224="","",_xlfn.XLOOKUP(C224,'00_SKU_Master'!$B$2:$B$2000,'00_SKU_Master'!$J$2:$J$2000,""))</f>
        <v>MS ZH LEG BA AC LT</v>
      </c>
      <c r="C224" s="25">
        <v>200168</v>
      </c>
      <c r="D224" s="16">
        <f>_xlfn.XLOOKUP(C224,'02_TrayPack_Order'!$B$3:$B$265,'02_TrayPack_Order'!$D$3:$D$265)</f>
        <v>305</v>
      </c>
      <c r="E224" s="17">
        <f>_xlfn.XLOOKUP(C224,'02_TrayPack_Order'!$B$3:$B$265,'02_TrayPack_Order'!$M$3:$M$265,0)</f>
        <v>375</v>
      </c>
      <c r="F224" s="16">
        <f>SUMIF('13_Progress_Track'!$A$2:$A$108,C224,'13_Progress_Track'!$E$2:$E$108)</f>
        <v>0</v>
      </c>
      <c r="G224" s="16">
        <f t="shared" si="9"/>
        <v>0</v>
      </c>
      <c r="H224" s="16">
        <f t="shared" si="10"/>
        <v>680</v>
      </c>
      <c r="I224" s="25">
        <f>_xlfn.IFNA(_xlfn.XLOOKUP(C224,'00_SKU_Master'!$B$2:$B$2000,'00_SKU_Master'!$C$2:$C$2000),"")</f>
        <v>61061</v>
      </c>
      <c r="J224" s="97">
        <f>IFERROR(_xlfn.XLOOKUP(C224,'00_SKU_Master'!$B$2:$B$2000,'00_SKU_Master'!$F$2:$F$2000,0)*N224,0)</f>
        <v>2795.5567252630167</v>
      </c>
      <c r="K224" s="96" t="str">
        <f>_xlfn.IFNA(_xlfn.XLOOKUP(C224,'00_SKU_Master'!$B$2:$B$2000,'00_SKU_Master'!$H$2:$H$2000,0),"")</f>
        <v>LT 8XP</v>
      </c>
      <c r="L224" s="96" t="str">
        <f>_xlfn.IFNA(_xlfn.XLOOKUP(C224,'00_SKU_Master'!$B$2:$B$2000,'00_SKU_Master'!$K$2:$K$2000,0),"")</f>
        <v>Fast</v>
      </c>
      <c r="M224" s="25" t="str">
        <f>_xlfn.XLOOKUP(C224,'00_SKU_Master'!$B$2:$B$2000,'00_SKU_Master'!$D$2:$D$2000)</f>
        <v>FB</v>
      </c>
      <c r="N224" s="25">
        <f t="shared" si="11"/>
        <v>305</v>
      </c>
    </row>
    <row r="225" spans="2:14" x14ac:dyDescent="0.35">
      <c r="B225" s="25" t="str">
        <f>IF(C225="","",_xlfn.XLOOKUP(C225,'00_SKU_Master'!$B$2:$B$2000,'00_SKU_Master'!$J$2:$J$2000,""))</f>
        <v>MS ZH BSHB AC ST PP</v>
      </c>
      <c r="C225" s="25">
        <v>200703</v>
      </c>
      <c r="D225" s="16">
        <f>_xlfn.XLOOKUP(C225,'02_TrayPack_Order'!$B$3:$B$265,'02_TrayPack_Order'!$D$3:$D$265)</f>
        <v>1</v>
      </c>
      <c r="E225" s="17">
        <f>_xlfn.XLOOKUP(C225,'02_TrayPack_Order'!$B$3:$B$265,'02_TrayPack_Order'!$M$3:$M$265,0)</f>
        <v>55</v>
      </c>
      <c r="F225" s="16">
        <f>SUMIF('13_Progress_Track'!$A$2:$A$108,C225,'13_Progress_Track'!$E$2:$E$108)</f>
        <v>0</v>
      </c>
      <c r="G225" s="16">
        <f t="shared" si="9"/>
        <v>0</v>
      </c>
      <c r="H225" s="16">
        <f t="shared" si="10"/>
        <v>56</v>
      </c>
      <c r="I225" s="25" t="str">
        <f>_xlfn.IFNA(_xlfn.XLOOKUP(C225,'00_SKU_Master'!$B$2:$B$2000,'00_SKU_Master'!$C$2:$C$2000),"")</f>
        <v>61050F</v>
      </c>
      <c r="J225" s="97">
        <f>IFERROR(_xlfn.XLOOKUP(C225,'00_SKU_Master'!$B$2:$B$2000,'00_SKU_Master'!$F$2:$F$2000,0)*N225,0)</f>
        <v>3.6839776525642201</v>
      </c>
      <c r="K225" s="96" t="str">
        <f>_xlfn.IFNA(_xlfn.XLOOKUP(C225,'00_SKU_Master'!$B$2:$B$2000,'00_SKU_Master'!$H$2:$H$2000,0),"")</f>
        <v>ST 3D</v>
      </c>
      <c r="L225" s="96" t="str">
        <f>_xlfn.IFNA(_xlfn.XLOOKUP(C225,'00_SKU_Master'!$B$2:$B$2000,'00_SKU_Master'!$K$2:$K$2000,0),"")</f>
        <v>Fast</v>
      </c>
      <c r="M225" s="25" t="str">
        <f>_xlfn.XLOOKUP(C225,'00_SKU_Master'!$B$2:$B$2000,'00_SKU_Master'!$D$2:$D$2000)</f>
        <v>FB</v>
      </c>
      <c r="N225" s="25">
        <f t="shared" si="11"/>
        <v>1</v>
      </c>
    </row>
    <row r="226" spans="2:14" x14ac:dyDescent="0.35">
      <c r="B226" s="25" t="str">
        <f>IF(C226="","",_xlfn.XLOOKUP(C226,'00_SKU_Master'!$B$2:$B$2000,'00_SKU_Master'!$J$2:$J$2000,""))</f>
        <v>MS ZH FRY WOG AC TI ST PP</v>
      </c>
      <c r="C226" s="25">
        <v>200704</v>
      </c>
      <c r="D226" s="16">
        <f>_xlfn.XLOOKUP(C226,'02_TrayPack_Order'!$B$3:$B$265,'02_TrayPack_Order'!$D$3:$D$265)</f>
        <v>105</v>
      </c>
      <c r="E226" s="17">
        <f>_xlfn.XLOOKUP(C226,'02_TrayPack_Order'!$B$3:$B$265,'02_TrayPack_Order'!$M$3:$M$265,0)</f>
        <v>86</v>
      </c>
      <c r="F226" s="16">
        <f>SUMIF('13_Progress_Track'!$A$2:$A$108,C226,'13_Progress_Track'!$E$2:$E$108)</f>
        <v>0</v>
      </c>
      <c r="G226" s="16">
        <f t="shared" si="9"/>
        <v>0</v>
      </c>
      <c r="H226" s="16">
        <f t="shared" si="10"/>
        <v>191</v>
      </c>
      <c r="I226" s="25">
        <f>_xlfn.IFNA(_xlfn.XLOOKUP(C226,'00_SKU_Master'!$B$2:$B$2000,'00_SKU_Master'!$C$2:$C$2000),"")</f>
        <v>203021</v>
      </c>
      <c r="J226" s="97">
        <f>IFERROR(_xlfn.XLOOKUP(C226,'00_SKU_Master'!$B$2:$B$2000,'00_SKU_Master'!$F$2:$F$2000,0)*N226,0)</f>
        <v>903.20626344261188</v>
      </c>
      <c r="K226" s="96" t="str">
        <f>_xlfn.IFNA(_xlfn.XLOOKUP(C226,'00_SKU_Master'!$B$2:$B$2000,'00_SKU_Master'!$H$2:$H$2000,0),"")</f>
        <v>ST 3XP</v>
      </c>
      <c r="L226" s="96" t="str">
        <f>_xlfn.IFNA(_xlfn.XLOOKUP(C226,'00_SKU_Master'!$B$2:$B$2000,'00_SKU_Master'!$K$2:$K$2000,0),"")</f>
        <v>Fast</v>
      </c>
      <c r="M226" s="25" t="str">
        <f>_xlfn.XLOOKUP(C226,'00_SKU_Master'!$B$2:$B$2000,'00_SKU_Master'!$D$2:$D$2000)</f>
        <v>FB</v>
      </c>
      <c r="N226" s="25">
        <f t="shared" si="11"/>
        <v>105</v>
      </c>
    </row>
    <row r="227" spans="2:14" x14ac:dyDescent="0.35">
      <c r="B227" s="25" t="str">
        <f>IF(C227="","",_xlfn.XLOOKUP(C227,'00_SKU_Master'!$B$2:$B$2000,'00_SKU_Master'!$J$2:$J$2000,""))</f>
        <v>MS ZH DRUM AC ST PP</v>
      </c>
      <c r="C227" s="25">
        <v>200705</v>
      </c>
      <c r="D227" s="16">
        <f>_xlfn.XLOOKUP(C227,'02_TrayPack_Order'!$B$3:$B$265,'02_TrayPack_Order'!$D$3:$D$265)</f>
        <v>0</v>
      </c>
      <c r="E227" s="17">
        <f>_xlfn.XLOOKUP(C227,'02_TrayPack_Order'!$B$3:$B$265,'02_TrayPack_Order'!$M$3:$M$265,0)</f>
        <v>10</v>
      </c>
      <c r="F227" s="16">
        <f>SUMIF('13_Progress_Track'!$A$2:$A$108,C227,'13_Progress_Track'!$E$2:$E$108)</f>
        <v>0</v>
      </c>
      <c r="G227" s="16">
        <f t="shared" si="9"/>
        <v>0</v>
      </c>
      <c r="H227" s="16">
        <f t="shared" si="10"/>
        <v>10</v>
      </c>
      <c r="I227" s="25">
        <f>_xlfn.IFNA(_xlfn.XLOOKUP(C227,'00_SKU_Master'!$B$2:$B$2000,'00_SKU_Master'!$C$2:$C$2000),"")</f>
        <v>61072</v>
      </c>
      <c r="J227" s="97">
        <f>IFERROR(_xlfn.XLOOKUP(C227,'00_SKU_Master'!$B$2:$B$2000,'00_SKU_Master'!$F$2:$F$2000,0)*N227,0)</f>
        <v>0</v>
      </c>
      <c r="K227" s="96" t="str">
        <f>_xlfn.IFNA(_xlfn.XLOOKUP(C227,'00_SKU_Master'!$B$2:$B$2000,'00_SKU_Master'!$H$2:$H$2000,0),"")</f>
        <v>ST 3D</v>
      </c>
      <c r="L227" s="96" t="str">
        <f>_xlfn.IFNA(_xlfn.XLOOKUP(C227,'00_SKU_Master'!$B$2:$B$2000,'00_SKU_Master'!$K$2:$K$2000,0),"")</f>
        <v>Fast</v>
      </c>
      <c r="M227" s="25" t="str">
        <f>_xlfn.XLOOKUP(C227,'00_SKU_Master'!$B$2:$B$2000,'00_SKU_Master'!$D$2:$D$2000)</f>
        <v>FB</v>
      </c>
      <c r="N227" s="25">
        <f t="shared" si="11"/>
        <v>0</v>
      </c>
    </row>
    <row r="228" spans="2:14" x14ac:dyDescent="0.35">
      <c r="B228" s="25" t="str">
        <f>IF(C228="","",_xlfn.XLOOKUP(C228,'00_SKU_Master'!$B$2:$B$2000,'00_SKU_Master'!$J$2:$J$2000,""))</f>
        <v>MS ZH BSTHIGH AC ST PP</v>
      </c>
      <c r="C228" s="25">
        <v>200706</v>
      </c>
      <c r="D228" s="16">
        <f>_xlfn.XLOOKUP(C228,'02_TrayPack_Order'!$B$3:$B$265,'02_TrayPack_Order'!$D$3:$D$265)</f>
        <v>6</v>
      </c>
      <c r="E228" s="17">
        <f>_xlfn.XLOOKUP(C228,'02_TrayPack_Order'!$B$3:$B$265,'02_TrayPack_Order'!$M$3:$M$265,0)</f>
        <v>42</v>
      </c>
      <c r="F228" s="16">
        <f>SUMIF('13_Progress_Track'!$A$2:$A$108,C228,'13_Progress_Track'!$E$2:$E$108)</f>
        <v>0</v>
      </c>
      <c r="G228" s="16">
        <f t="shared" si="9"/>
        <v>0</v>
      </c>
      <c r="H228" s="16">
        <f t="shared" si="10"/>
        <v>48</v>
      </c>
      <c r="I228" s="25" t="str">
        <f>_xlfn.IFNA(_xlfn.XLOOKUP(C228,'00_SKU_Master'!$B$2:$B$2000,'00_SKU_Master'!$C$2:$C$2000),"")</f>
        <v>61086F</v>
      </c>
      <c r="J228" s="97">
        <f>IFERROR(_xlfn.XLOOKUP(C228,'00_SKU_Master'!$B$2:$B$2000,'00_SKU_Master'!$F$2:$F$2000,0)*N228,0)</f>
        <v>24.807899189918942</v>
      </c>
      <c r="K228" s="96" t="str">
        <f>_xlfn.IFNA(_xlfn.XLOOKUP(C228,'00_SKU_Master'!$B$2:$B$2000,'00_SKU_Master'!$H$2:$H$2000,0),"")</f>
        <v>ST 3D</v>
      </c>
      <c r="L228" s="96" t="str">
        <f>_xlfn.IFNA(_xlfn.XLOOKUP(C228,'00_SKU_Master'!$B$2:$B$2000,'00_SKU_Master'!$K$2:$K$2000,0),"")</f>
        <v>Slow</v>
      </c>
      <c r="M228" s="25" t="str">
        <f>_xlfn.XLOOKUP(C228,'00_SKU_Master'!$B$2:$B$2000,'00_SKU_Master'!$D$2:$D$2000)</f>
        <v>FB</v>
      </c>
      <c r="N228" s="25">
        <f t="shared" si="11"/>
        <v>6</v>
      </c>
    </row>
    <row r="229" spans="2:14" x14ac:dyDescent="0.35">
      <c r="B229" s="25" t="str">
        <f>IF(C229="","",_xlfn.XLOOKUP(C229,'00_SKU_Master'!$B$2:$B$2000,'00_SKU_Master'!$J$2:$J$2000,""))</f>
        <v>MS ZH THIGH AC ST PP</v>
      </c>
      <c r="C229" s="25">
        <v>200707</v>
      </c>
      <c r="D229" s="16">
        <f>_xlfn.XLOOKUP(C229,'02_TrayPack_Order'!$B$3:$B$265,'02_TrayPack_Order'!$D$3:$D$265)</f>
        <v>25</v>
      </c>
      <c r="E229" s="17">
        <f>_xlfn.XLOOKUP(C229,'02_TrayPack_Order'!$B$3:$B$265,'02_TrayPack_Order'!$M$3:$M$265,0)</f>
        <v>13</v>
      </c>
      <c r="F229" s="16">
        <f>SUMIF('13_Progress_Track'!$A$2:$A$108,C229,'13_Progress_Track'!$E$2:$E$108)</f>
        <v>0</v>
      </c>
      <c r="G229" s="16">
        <f t="shared" si="9"/>
        <v>0</v>
      </c>
      <c r="H229" s="16">
        <f t="shared" si="10"/>
        <v>38</v>
      </c>
      <c r="I229" s="25">
        <f>_xlfn.IFNA(_xlfn.XLOOKUP(C229,'00_SKU_Master'!$B$2:$B$2000,'00_SKU_Master'!$C$2:$C$2000),"")</f>
        <v>61077</v>
      </c>
      <c r="J229" s="97">
        <f>IFERROR(_xlfn.XLOOKUP(C229,'00_SKU_Master'!$B$2:$B$2000,'00_SKU_Master'!$F$2:$F$2000,0)*N229,0)</f>
        <v>106.69005743000699</v>
      </c>
      <c r="K229" s="96" t="str">
        <f>_xlfn.IFNA(_xlfn.XLOOKUP(C229,'00_SKU_Master'!$B$2:$B$2000,'00_SKU_Master'!$H$2:$H$2000,0),"")</f>
        <v>ST 3D</v>
      </c>
      <c r="L229" s="96" t="str">
        <f>_xlfn.IFNA(_xlfn.XLOOKUP(C229,'00_SKU_Master'!$B$2:$B$2000,'00_SKU_Master'!$K$2:$K$2000,0),"")</f>
        <v>Fast</v>
      </c>
      <c r="M229" s="25" t="str">
        <f>_xlfn.XLOOKUP(C229,'00_SKU_Master'!$B$2:$B$2000,'00_SKU_Master'!$D$2:$D$2000)</f>
        <v>FB</v>
      </c>
      <c r="N229" s="25">
        <f t="shared" si="11"/>
        <v>25</v>
      </c>
    </row>
    <row r="230" spans="2:14" x14ac:dyDescent="0.35">
      <c r="B230" s="25" t="str">
        <f>IF(C230="","",_xlfn.XLOOKUP(C230,'00_SKU_Master'!$B$2:$B$2000,'00_SKU_Master'!$J$2:$J$2000,""))</f>
        <v>MS ZH SPL WING AC ST PP</v>
      </c>
      <c r="C230" s="25">
        <v>200708</v>
      </c>
      <c r="D230" s="16">
        <f>_xlfn.XLOOKUP(C230,'02_TrayPack_Order'!$B$3:$B$265,'02_TrayPack_Order'!$D$3:$D$265)</f>
        <v>0</v>
      </c>
      <c r="E230" s="17">
        <f>_xlfn.XLOOKUP(C230,'02_TrayPack_Order'!$B$3:$B$265,'02_TrayPack_Order'!$M$3:$M$265,0)</f>
        <v>0</v>
      </c>
      <c r="F230" s="16">
        <f>SUMIF('13_Progress_Track'!$A$2:$A$108,C230,'13_Progress_Track'!$E$2:$E$108)</f>
        <v>0</v>
      </c>
      <c r="G230" s="16">
        <f t="shared" si="9"/>
        <v>0</v>
      </c>
      <c r="H230" s="16">
        <f t="shared" si="10"/>
        <v>0</v>
      </c>
      <c r="I230" s="25">
        <f>_xlfn.IFNA(_xlfn.XLOOKUP(C230,'00_SKU_Master'!$B$2:$B$2000,'00_SKU_Master'!$C$2:$C$2000),"")</f>
        <v>61014</v>
      </c>
      <c r="J230" s="97">
        <f>IFERROR(_xlfn.XLOOKUP(C230,'00_SKU_Master'!$B$2:$B$2000,'00_SKU_Master'!$F$2:$F$2000,0)*N230,0)</f>
        <v>0</v>
      </c>
      <c r="K230" s="96" t="str">
        <f>_xlfn.IFNA(_xlfn.XLOOKUP(C230,'00_SKU_Master'!$B$2:$B$2000,'00_SKU_Master'!$H$2:$H$2000,0),"")</f>
        <v>ST 3D</v>
      </c>
      <c r="L230" s="96" t="str">
        <f>_xlfn.IFNA(_xlfn.XLOOKUP(C230,'00_SKU_Master'!$B$2:$B$2000,'00_SKU_Master'!$K$2:$K$2000,0),"")</f>
        <v>Slow</v>
      </c>
      <c r="M230" s="25" t="str">
        <f>_xlfn.XLOOKUP(C230,'00_SKU_Master'!$B$2:$B$2000,'00_SKU_Master'!$D$2:$D$2000)</f>
        <v>FB</v>
      </c>
      <c r="N230" s="25">
        <f t="shared" si="11"/>
        <v>0</v>
      </c>
    </row>
    <row r="231" spans="2:14" x14ac:dyDescent="0.35">
      <c r="B231" s="25" t="str">
        <f>IF(C231="","",_xlfn.XLOOKUP(C231,'00_SKU_Master'!$B$2:$B$2000,'00_SKU_Master'!$J$2:$J$2000,""))</f>
        <v>MS ZH BSHB AC ST</v>
      </c>
      <c r="C231" s="25">
        <v>200709</v>
      </c>
      <c r="D231" s="16">
        <f>_xlfn.XLOOKUP(C231,'02_TrayPack_Order'!$B$3:$B$265,'02_TrayPack_Order'!$D$3:$D$265)</f>
        <v>2</v>
      </c>
      <c r="E231" s="17">
        <f>_xlfn.XLOOKUP(C231,'02_TrayPack_Order'!$B$3:$B$265,'02_TrayPack_Order'!$M$3:$M$265,0)</f>
        <v>175</v>
      </c>
      <c r="F231" s="16">
        <f>SUMIF('13_Progress_Track'!$A$2:$A$108,C231,'13_Progress_Track'!$E$2:$E$108)</f>
        <v>0</v>
      </c>
      <c r="G231" s="16">
        <f t="shared" si="9"/>
        <v>0</v>
      </c>
      <c r="H231" s="16">
        <f t="shared" si="10"/>
        <v>177</v>
      </c>
      <c r="I231" s="25" t="str">
        <f>_xlfn.IFNA(_xlfn.XLOOKUP(C231,'00_SKU_Master'!$B$2:$B$2000,'00_SKU_Master'!$C$2:$C$2000),"")</f>
        <v>61050F</v>
      </c>
      <c r="J231" s="97">
        <f>IFERROR(_xlfn.XLOOKUP(C231,'00_SKU_Master'!$B$2:$B$2000,'00_SKU_Master'!$F$2:$F$2000,0)*N231,0)</f>
        <v>7.5687503266607399</v>
      </c>
      <c r="K231" s="96" t="str">
        <f>_xlfn.IFNA(_xlfn.XLOOKUP(C231,'00_SKU_Master'!$B$2:$B$2000,'00_SKU_Master'!$H$2:$H$2000,0),"")</f>
        <v>ST 3D</v>
      </c>
      <c r="L231" s="96" t="str">
        <f>_xlfn.IFNA(_xlfn.XLOOKUP(C231,'00_SKU_Master'!$B$2:$B$2000,'00_SKU_Master'!$K$2:$K$2000,0),"")</f>
        <v>Fast</v>
      </c>
      <c r="M231" s="25" t="str">
        <f>_xlfn.XLOOKUP(C231,'00_SKU_Master'!$B$2:$B$2000,'00_SKU_Master'!$D$2:$D$2000)</f>
        <v>METRO</v>
      </c>
      <c r="N231" s="25">
        <f t="shared" si="11"/>
        <v>2</v>
      </c>
    </row>
    <row r="232" spans="2:14" x14ac:dyDescent="0.35">
      <c r="B232" s="25" t="str">
        <f>IF(C232="","",_xlfn.XLOOKUP(C232,'00_SKU_Master'!$B$2:$B$2000,'00_SKU_Master'!$J$2:$J$2000,""))</f>
        <v>MS ZH FRY WOG AC TI ST</v>
      </c>
      <c r="C232" s="25">
        <v>200710</v>
      </c>
      <c r="D232" s="16">
        <f>_xlfn.XLOOKUP(C232,'02_TrayPack_Order'!$B$3:$B$265,'02_TrayPack_Order'!$D$3:$D$265)</f>
        <v>50</v>
      </c>
      <c r="E232" s="17">
        <f>_xlfn.XLOOKUP(C232,'02_TrayPack_Order'!$B$3:$B$265,'02_TrayPack_Order'!$M$3:$M$265,0)</f>
        <v>50</v>
      </c>
      <c r="F232" s="16">
        <f>SUMIF('13_Progress_Track'!$A$2:$A$108,C232,'13_Progress_Track'!$E$2:$E$108)</f>
        <v>0</v>
      </c>
      <c r="G232" s="16">
        <f t="shared" si="9"/>
        <v>0</v>
      </c>
      <c r="H232" s="16">
        <f t="shared" si="10"/>
        <v>100</v>
      </c>
      <c r="I232" s="25">
        <f>_xlfn.IFNA(_xlfn.XLOOKUP(C232,'00_SKU_Master'!$B$2:$B$2000,'00_SKU_Master'!$C$2:$C$2000),"")</f>
        <v>203021</v>
      </c>
      <c r="J232" s="97">
        <f>IFERROR(_xlfn.XLOOKUP(C232,'00_SKU_Master'!$B$2:$B$2000,'00_SKU_Master'!$F$2:$F$2000,0)*N232,0)</f>
        <v>427.77171406610302</v>
      </c>
      <c r="K232" s="96" t="str">
        <f>_xlfn.IFNA(_xlfn.XLOOKUP(C232,'00_SKU_Master'!$B$2:$B$2000,'00_SKU_Master'!$H$2:$H$2000,0),"")</f>
        <v>ST 3XP</v>
      </c>
      <c r="L232" s="96" t="str">
        <f>_xlfn.IFNA(_xlfn.XLOOKUP(C232,'00_SKU_Master'!$B$2:$B$2000,'00_SKU_Master'!$K$2:$K$2000,0),"")</f>
        <v>Fast</v>
      </c>
      <c r="M232" s="25" t="str">
        <f>_xlfn.XLOOKUP(C232,'00_SKU_Master'!$B$2:$B$2000,'00_SKU_Master'!$D$2:$D$2000)</f>
        <v>METRO</v>
      </c>
      <c r="N232" s="25">
        <f t="shared" si="11"/>
        <v>50</v>
      </c>
    </row>
    <row r="233" spans="2:14" x14ac:dyDescent="0.35">
      <c r="B233" s="25" t="str">
        <f>IF(C233="","",_xlfn.XLOOKUP(C233,'00_SKU_Master'!$B$2:$B$2000,'00_SKU_Master'!$J$2:$J$2000,""))</f>
        <v>MS ZH DRUM AC ST</v>
      </c>
      <c r="C233" s="25">
        <v>200711</v>
      </c>
      <c r="D233" s="16">
        <f>_xlfn.XLOOKUP(C233,'02_TrayPack_Order'!$B$3:$B$265,'02_TrayPack_Order'!$D$3:$D$265)</f>
        <v>0</v>
      </c>
      <c r="E233" s="17">
        <f>_xlfn.XLOOKUP(C233,'02_TrayPack_Order'!$B$3:$B$265,'02_TrayPack_Order'!$M$3:$M$265,0)</f>
        <v>60</v>
      </c>
      <c r="F233" s="16">
        <f>SUMIF('13_Progress_Track'!$A$2:$A$108,C233,'13_Progress_Track'!$E$2:$E$108)</f>
        <v>0</v>
      </c>
      <c r="G233" s="16">
        <f t="shared" si="9"/>
        <v>0</v>
      </c>
      <c r="H233" s="16">
        <f t="shared" si="10"/>
        <v>60</v>
      </c>
      <c r="I233" s="25">
        <f>_xlfn.IFNA(_xlfn.XLOOKUP(C233,'00_SKU_Master'!$B$2:$B$2000,'00_SKU_Master'!$C$2:$C$2000),"")</f>
        <v>61072</v>
      </c>
      <c r="J233" s="97">
        <f>IFERROR(_xlfn.XLOOKUP(C233,'00_SKU_Master'!$B$2:$B$2000,'00_SKU_Master'!$F$2:$F$2000,0)*N233,0)</f>
        <v>0</v>
      </c>
      <c r="K233" s="96" t="str">
        <f>_xlfn.IFNA(_xlfn.XLOOKUP(C233,'00_SKU_Master'!$B$2:$B$2000,'00_SKU_Master'!$H$2:$H$2000,0),"")</f>
        <v>ST 3D</v>
      </c>
      <c r="L233" s="96" t="str">
        <f>_xlfn.IFNA(_xlfn.XLOOKUP(C233,'00_SKU_Master'!$B$2:$B$2000,'00_SKU_Master'!$K$2:$K$2000,0),"")</f>
        <v>Fast</v>
      </c>
      <c r="M233" s="25" t="str">
        <f>_xlfn.XLOOKUP(C233,'00_SKU_Master'!$B$2:$B$2000,'00_SKU_Master'!$D$2:$D$2000)</f>
        <v>METRO</v>
      </c>
      <c r="N233" s="25">
        <f t="shared" si="11"/>
        <v>0</v>
      </c>
    </row>
    <row r="234" spans="2:14" x14ac:dyDescent="0.35">
      <c r="B234" s="25" t="str">
        <f>IF(C234="","",_xlfn.XLOOKUP(C234,'00_SKU_Master'!$B$2:$B$2000,'00_SKU_Master'!$J$2:$J$2000,""))</f>
        <v>MS ZH BSTHIGH AC ST</v>
      </c>
      <c r="C234" s="25">
        <v>200712</v>
      </c>
      <c r="D234" s="16">
        <f>_xlfn.XLOOKUP(C234,'02_TrayPack_Order'!$B$3:$B$265,'02_TrayPack_Order'!$D$3:$D$265)</f>
        <v>47</v>
      </c>
      <c r="E234" s="17">
        <f>_xlfn.XLOOKUP(C234,'02_TrayPack_Order'!$B$3:$B$265,'02_TrayPack_Order'!$M$3:$M$265,0)</f>
        <v>60</v>
      </c>
      <c r="F234" s="16">
        <f>SUMIF('13_Progress_Track'!$A$2:$A$108,C234,'13_Progress_Track'!$E$2:$E$108)</f>
        <v>0</v>
      </c>
      <c r="G234" s="16">
        <f t="shared" si="9"/>
        <v>0</v>
      </c>
      <c r="H234" s="16">
        <f t="shared" si="10"/>
        <v>107</v>
      </c>
      <c r="I234" s="25" t="str">
        <f>_xlfn.IFNA(_xlfn.XLOOKUP(C234,'00_SKU_Master'!$B$2:$B$2000,'00_SKU_Master'!$C$2:$C$2000),"")</f>
        <v>61086F</v>
      </c>
      <c r="J234" s="97">
        <f>IFERROR(_xlfn.XLOOKUP(C234,'00_SKU_Master'!$B$2:$B$2000,'00_SKU_Master'!$F$2:$F$2000,0)*N234,0)</f>
        <v>197.79057095625635</v>
      </c>
      <c r="K234" s="96" t="str">
        <f>_xlfn.IFNA(_xlfn.XLOOKUP(C234,'00_SKU_Master'!$B$2:$B$2000,'00_SKU_Master'!$H$2:$H$2000,0),"")</f>
        <v>ST 3D</v>
      </c>
      <c r="L234" s="96" t="str">
        <f>_xlfn.IFNA(_xlfn.XLOOKUP(C234,'00_SKU_Master'!$B$2:$B$2000,'00_SKU_Master'!$K$2:$K$2000,0),"")</f>
        <v>Slow</v>
      </c>
      <c r="M234" s="25" t="str">
        <f>_xlfn.XLOOKUP(C234,'00_SKU_Master'!$B$2:$B$2000,'00_SKU_Master'!$D$2:$D$2000)</f>
        <v>METRO</v>
      </c>
      <c r="N234" s="25">
        <f t="shared" si="11"/>
        <v>47</v>
      </c>
    </row>
    <row r="235" spans="2:14" x14ac:dyDescent="0.35">
      <c r="B235" s="25" t="str">
        <f>IF(C235="","",_xlfn.XLOOKUP(C235,'00_SKU_Master'!$B$2:$B$2000,'00_SKU_Master'!$J$2:$J$2000,""))</f>
        <v>MS ZH THIGH AC ST</v>
      </c>
      <c r="C235" s="25">
        <v>200713</v>
      </c>
      <c r="D235" s="16">
        <f>_xlfn.XLOOKUP(C235,'02_TrayPack_Order'!$B$3:$B$265,'02_TrayPack_Order'!$D$3:$D$265)</f>
        <v>46</v>
      </c>
      <c r="E235" s="17">
        <f>_xlfn.XLOOKUP(C235,'02_TrayPack_Order'!$B$3:$B$265,'02_TrayPack_Order'!$M$3:$M$265,0)</f>
        <v>50</v>
      </c>
      <c r="F235" s="16">
        <f>SUMIF('13_Progress_Track'!$A$2:$A$108,C235,'13_Progress_Track'!$E$2:$E$108)</f>
        <v>0</v>
      </c>
      <c r="G235" s="16">
        <f t="shared" si="9"/>
        <v>0</v>
      </c>
      <c r="H235" s="16">
        <f t="shared" si="10"/>
        <v>96</v>
      </c>
      <c r="I235" s="25">
        <f>_xlfn.IFNA(_xlfn.XLOOKUP(C235,'00_SKU_Master'!$B$2:$B$2000,'00_SKU_Master'!$C$2:$C$2000),"")</f>
        <v>61077</v>
      </c>
      <c r="J235" s="97">
        <f>IFERROR(_xlfn.XLOOKUP(C235,'00_SKU_Master'!$B$2:$B$2000,'00_SKU_Master'!$F$2:$F$2000,0)*N235,0)</f>
        <v>197.42597818181815</v>
      </c>
      <c r="K235" s="96" t="str">
        <f>_xlfn.IFNA(_xlfn.XLOOKUP(C235,'00_SKU_Master'!$B$2:$B$2000,'00_SKU_Master'!$H$2:$H$2000,0),"")</f>
        <v>ST 3D</v>
      </c>
      <c r="L235" s="96" t="str">
        <f>_xlfn.IFNA(_xlfn.XLOOKUP(C235,'00_SKU_Master'!$B$2:$B$2000,'00_SKU_Master'!$K$2:$K$2000,0),"")</f>
        <v>Fast</v>
      </c>
      <c r="M235" s="25" t="str">
        <f>_xlfn.XLOOKUP(C235,'00_SKU_Master'!$B$2:$B$2000,'00_SKU_Master'!$D$2:$D$2000)</f>
        <v>METRO</v>
      </c>
      <c r="N235" s="25">
        <f t="shared" si="11"/>
        <v>46</v>
      </c>
    </row>
    <row r="236" spans="2:14" x14ac:dyDescent="0.35">
      <c r="B236" s="25" t="str">
        <f>IF(C236="","",_xlfn.XLOOKUP(C236,'00_SKU_Master'!$B$2:$B$2000,'00_SKU_Master'!$J$2:$J$2000,""))</f>
        <v>MS ZH SPL WING AC ST</v>
      </c>
      <c r="C236" s="25">
        <v>200714</v>
      </c>
      <c r="D236" s="16">
        <f>_xlfn.XLOOKUP(C236,'02_TrayPack_Order'!$B$3:$B$265,'02_TrayPack_Order'!$D$3:$D$265)</f>
        <v>21</v>
      </c>
      <c r="E236" s="17">
        <f>_xlfn.XLOOKUP(C236,'02_TrayPack_Order'!$B$3:$B$265,'02_TrayPack_Order'!$M$3:$M$265,0)</f>
        <v>30</v>
      </c>
      <c r="F236" s="16">
        <f>SUMIF('13_Progress_Track'!$A$2:$A$108,C236,'13_Progress_Track'!$E$2:$E$108)</f>
        <v>0</v>
      </c>
      <c r="G236" s="16">
        <f t="shared" si="9"/>
        <v>0</v>
      </c>
      <c r="H236" s="16">
        <f t="shared" si="10"/>
        <v>51</v>
      </c>
      <c r="I236" s="25">
        <f>_xlfn.IFNA(_xlfn.XLOOKUP(C236,'00_SKU_Master'!$B$2:$B$2000,'00_SKU_Master'!$C$2:$C$2000),"")</f>
        <v>61014</v>
      </c>
      <c r="J236" s="97">
        <f>IFERROR(_xlfn.XLOOKUP(C236,'00_SKU_Master'!$B$2:$B$2000,'00_SKU_Master'!$F$2:$F$2000,0)*N236,0)</f>
        <v>77.8021655668866</v>
      </c>
      <c r="K236" s="96" t="str">
        <f>_xlfn.IFNA(_xlfn.XLOOKUP(C236,'00_SKU_Master'!$B$2:$B$2000,'00_SKU_Master'!$H$2:$H$2000,0),"")</f>
        <v>ST 3D</v>
      </c>
      <c r="L236" s="96" t="str">
        <f>_xlfn.IFNA(_xlfn.XLOOKUP(C236,'00_SKU_Master'!$B$2:$B$2000,'00_SKU_Master'!$K$2:$K$2000,0),"")</f>
        <v>Slow</v>
      </c>
      <c r="M236" s="25" t="str">
        <f>_xlfn.XLOOKUP(C236,'00_SKU_Master'!$B$2:$B$2000,'00_SKU_Master'!$D$2:$D$2000)</f>
        <v>METRO</v>
      </c>
      <c r="N236" s="25">
        <f t="shared" si="11"/>
        <v>21</v>
      </c>
    </row>
    <row r="237" spans="2:14" x14ac:dyDescent="0.35">
      <c r="B237" s="25" t="str">
        <f>IF(C237="","",_xlfn.XLOOKUP(C237,'00_SKU_Master'!$B$2:$B$2000,'00_SKU_Master'!$J$2:$J$2000,""))</f>
        <v>MS ZH BSHB AC LT PP</v>
      </c>
      <c r="C237" s="25">
        <v>200715</v>
      </c>
      <c r="D237" s="16">
        <f>_xlfn.XLOOKUP(C237,'02_TrayPack_Order'!$B$3:$B$265,'02_TrayPack_Order'!$D$3:$D$265)</f>
        <v>0</v>
      </c>
      <c r="E237" s="17">
        <f>_xlfn.XLOOKUP(C237,'02_TrayPack_Order'!$B$3:$B$265,'02_TrayPack_Order'!$M$3:$M$265,0)</f>
        <v>0</v>
      </c>
      <c r="F237" s="16">
        <f>SUMIF('13_Progress_Track'!$A$2:$A$108,C237,'13_Progress_Track'!$E$2:$E$108)</f>
        <v>0</v>
      </c>
      <c r="G237" s="16">
        <f t="shared" si="9"/>
        <v>0</v>
      </c>
      <c r="H237" s="16">
        <f t="shared" si="10"/>
        <v>0</v>
      </c>
      <c r="I237" s="25" t="str">
        <f>_xlfn.IFNA(_xlfn.XLOOKUP(C237,'00_SKU_Master'!$B$2:$B$2000,'00_SKU_Master'!$C$2:$C$2000),"")</f>
        <v>61050F</v>
      </c>
      <c r="J237" s="97">
        <f>IFERROR(_xlfn.XLOOKUP(C237,'00_SKU_Master'!$B$2:$B$2000,'00_SKU_Master'!$F$2:$F$2000,0)*N237,0)</f>
        <v>0</v>
      </c>
      <c r="K237" s="96" t="str">
        <f>_xlfn.IFNA(_xlfn.XLOOKUP(C237,'00_SKU_Master'!$B$2:$B$2000,'00_SKU_Master'!$H$2:$H$2000,0),"")</f>
        <v>LT 8XP</v>
      </c>
      <c r="L237" s="96" t="str">
        <f>_xlfn.IFNA(_xlfn.XLOOKUP(C237,'00_SKU_Master'!$B$2:$B$2000,'00_SKU_Master'!$K$2:$K$2000,0),"")</f>
        <v>Fast</v>
      </c>
      <c r="M237" s="25" t="str">
        <f>_xlfn.XLOOKUP(C237,'00_SKU_Master'!$B$2:$B$2000,'00_SKU_Master'!$D$2:$D$2000)</f>
        <v>FB</v>
      </c>
      <c r="N237" s="25">
        <f t="shared" si="11"/>
        <v>0</v>
      </c>
    </row>
    <row r="238" spans="2:14" x14ac:dyDescent="0.35">
      <c r="B238" s="25" t="str">
        <f>IF(C238="","",_xlfn.XLOOKUP(C238,'00_SKU_Master'!$B$2:$B$2000,'00_SKU_Master'!$J$2:$J$2000,""))</f>
        <v>MS ZH THIGH AC LT PP</v>
      </c>
      <c r="C238" s="25">
        <v>200716</v>
      </c>
      <c r="D238" s="16">
        <f>_xlfn.XLOOKUP(C238,'02_TrayPack_Order'!$B$3:$B$265,'02_TrayPack_Order'!$D$3:$D$265)</f>
        <v>75</v>
      </c>
      <c r="E238" s="17">
        <f>_xlfn.XLOOKUP(C238,'02_TrayPack_Order'!$B$3:$B$265,'02_TrayPack_Order'!$M$3:$M$265,0)</f>
        <v>49</v>
      </c>
      <c r="F238" s="16">
        <f>SUMIF('13_Progress_Track'!$A$2:$A$108,C238,'13_Progress_Track'!$E$2:$E$108)</f>
        <v>0</v>
      </c>
      <c r="G238" s="16">
        <f t="shared" si="9"/>
        <v>0</v>
      </c>
      <c r="H238" s="16">
        <f t="shared" si="10"/>
        <v>124</v>
      </c>
      <c r="I238" s="25">
        <f>_xlfn.IFNA(_xlfn.XLOOKUP(C238,'00_SKU_Master'!$B$2:$B$2000,'00_SKU_Master'!$C$2:$C$2000),"")</f>
        <v>61077</v>
      </c>
      <c r="J238" s="97">
        <f>IFERROR(_xlfn.XLOOKUP(C238,'00_SKU_Master'!$B$2:$B$2000,'00_SKU_Master'!$F$2:$F$2000,0)*N238,0)</f>
        <v>641.53086552989407</v>
      </c>
      <c r="K238" s="96" t="str">
        <f>_xlfn.IFNA(_xlfn.XLOOKUP(C238,'00_SKU_Master'!$B$2:$B$2000,'00_SKU_Master'!$H$2:$H$2000,0),"")</f>
        <v>LT 8XP</v>
      </c>
      <c r="L238" s="96" t="str">
        <f>_xlfn.IFNA(_xlfn.XLOOKUP(C238,'00_SKU_Master'!$B$2:$B$2000,'00_SKU_Master'!$K$2:$K$2000,0),"")</f>
        <v>Fast</v>
      </c>
      <c r="M238" s="25" t="str">
        <f>_xlfn.XLOOKUP(C238,'00_SKU_Master'!$B$2:$B$2000,'00_SKU_Master'!$D$2:$D$2000)</f>
        <v>FB</v>
      </c>
      <c r="N238" s="25">
        <f t="shared" si="11"/>
        <v>75</v>
      </c>
    </row>
    <row r="239" spans="2:14" x14ac:dyDescent="0.35">
      <c r="B239" s="25" t="str">
        <f>IF(C239="","",_xlfn.XLOOKUP(C239,'00_SKU_Master'!$B$2:$B$2000,'00_SKU_Master'!$J$2:$J$2000,""))</f>
        <v>MS ZH DRUM AC LT PP</v>
      </c>
      <c r="C239" s="25">
        <v>200717</v>
      </c>
      <c r="D239" s="16">
        <f>_xlfn.XLOOKUP(C239,'02_TrayPack_Order'!$B$3:$B$265,'02_TrayPack_Order'!$D$3:$D$265)</f>
        <v>17</v>
      </c>
      <c r="E239" s="17">
        <f>_xlfn.XLOOKUP(C239,'02_TrayPack_Order'!$B$3:$B$265,'02_TrayPack_Order'!$M$3:$M$265,0)</f>
        <v>29</v>
      </c>
      <c r="F239" s="16">
        <f>SUMIF('13_Progress_Track'!$A$2:$A$108,C239,'13_Progress_Track'!$E$2:$E$108)</f>
        <v>0</v>
      </c>
      <c r="G239" s="16">
        <f t="shared" si="9"/>
        <v>0</v>
      </c>
      <c r="H239" s="16">
        <f t="shared" si="10"/>
        <v>46</v>
      </c>
      <c r="I239" s="25">
        <f>_xlfn.IFNA(_xlfn.XLOOKUP(C239,'00_SKU_Master'!$B$2:$B$2000,'00_SKU_Master'!$C$2:$C$2000),"")</f>
        <v>61072</v>
      </c>
      <c r="J239" s="97">
        <f>IFERROR(_xlfn.XLOOKUP(C239,'00_SKU_Master'!$B$2:$B$2000,'00_SKU_Master'!$F$2:$F$2000,0)*N239,0)</f>
        <v>132.45957843638217</v>
      </c>
      <c r="K239" s="96" t="str">
        <f>_xlfn.IFNA(_xlfn.XLOOKUP(C239,'00_SKU_Master'!$B$2:$B$2000,'00_SKU_Master'!$H$2:$H$2000,0),"")</f>
        <v>LT 8XP</v>
      </c>
      <c r="L239" s="96" t="str">
        <f>_xlfn.IFNA(_xlfn.XLOOKUP(C239,'00_SKU_Master'!$B$2:$B$2000,'00_SKU_Master'!$K$2:$K$2000,0),"")</f>
        <v>Fast</v>
      </c>
      <c r="M239" s="25" t="str">
        <f>_xlfn.XLOOKUP(C239,'00_SKU_Master'!$B$2:$B$2000,'00_SKU_Master'!$D$2:$D$2000)</f>
        <v>FB</v>
      </c>
      <c r="N239" s="25">
        <f t="shared" si="11"/>
        <v>17</v>
      </c>
    </row>
    <row r="240" spans="2:14" x14ac:dyDescent="0.35">
      <c r="B240" s="25" t="str">
        <f>IF(C240="","",_xlfn.XLOOKUP(C240,'00_SKU_Master'!$B$2:$B$2000,'00_SKU_Master'!$J$2:$J$2000,""))</f>
        <v>MS ZH BSHB AC LT</v>
      </c>
      <c r="C240" s="25">
        <v>200718</v>
      </c>
      <c r="D240" s="16">
        <f>_xlfn.XLOOKUP(C240,'02_TrayPack_Order'!$B$3:$B$265,'02_TrayPack_Order'!$D$3:$D$265)</f>
        <v>0</v>
      </c>
      <c r="E240" s="17">
        <f>_xlfn.XLOOKUP(C240,'02_TrayPack_Order'!$B$3:$B$265,'02_TrayPack_Order'!$M$3:$M$265,0)</f>
        <v>0</v>
      </c>
      <c r="F240" s="16">
        <f>SUMIF('13_Progress_Track'!$A$2:$A$108,C240,'13_Progress_Track'!$E$2:$E$108)</f>
        <v>0</v>
      </c>
      <c r="G240" s="16">
        <f t="shared" si="9"/>
        <v>0</v>
      </c>
      <c r="H240" s="16">
        <f t="shared" si="10"/>
        <v>0</v>
      </c>
      <c r="I240" s="25">
        <f>_xlfn.IFNA(_xlfn.XLOOKUP(C240,'00_SKU_Master'!$B$2:$B$2000,'00_SKU_Master'!$C$2:$C$2000),"")</f>
        <v>61050</v>
      </c>
      <c r="J240" s="97">
        <f>IFERROR(_xlfn.XLOOKUP(C240,'00_SKU_Master'!$B$2:$B$2000,'00_SKU_Master'!$F$2:$F$2000,0)*N240,0)</f>
        <v>0</v>
      </c>
      <c r="K240" s="96" t="str">
        <f>_xlfn.IFNA(_xlfn.XLOOKUP(C240,'00_SKU_Master'!$B$2:$B$2000,'00_SKU_Master'!$H$2:$H$2000,0),"")</f>
        <v>LT 8XP</v>
      </c>
      <c r="L240" s="96" t="str">
        <f>_xlfn.IFNA(_xlfn.XLOOKUP(C240,'00_SKU_Master'!$B$2:$B$2000,'00_SKU_Master'!$K$2:$K$2000,0),"")</f>
        <v>Fast</v>
      </c>
      <c r="M240" s="25" t="str">
        <f>_xlfn.XLOOKUP(C240,'00_SKU_Master'!$B$2:$B$2000,'00_SKU_Master'!$D$2:$D$2000)</f>
        <v>FB</v>
      </c>
      <c r="N240" s="25">
        <f t="shared" si="11"/>
        <v>0</v>
      </c>
    </row>
    <row r="241" spans="2:14" x14ac:dyDescent="0.35">
      <c r="B241" s="25" t="str">
        <f>IF(C241="","",_xlfn.XLOOKUP(C241,'00_SKU_Master'!$B$2:$B$2000,'00_SKU_Master'!$J$2:$J$2000,""))</f>
        <v>MS ZH THIGH AC LT</v>
      </c>
      <c r="C241" s="25">
        <v>200721</v>
      </c>
      <c r="D241" s="16">
        <f>_xlfn.XLOOKUP(C241,'02_TrayPack_Order'!$B$3:$B$265,'02_TrayPack_Order'!$D$3:$D$265)</f>
        <v>0</v>
      </c>
      <c r="E241" s="17">
        <f>_xlfn.XLOOKUP(C241,'02_TrayPack_Order'!$B$3:$B$265,'02_TrayPack_Order'!$M$3:$M$265,0)</f>
        <v>0</v>
      </c>
      <c r="F241" s="16">
        <f>SUMIF('13_Progress_Track'!$A$2:$A$108,C241,'13_Progress_Track'!$E$2:$E$108)</f>
        <v>0</v>
      </c>
      <c r="G241" s="16">
        <f t="shared" si="9"/>
        <v>0</v>
      </c>
      <c r="H241" s="16">
        <f t="shared" si="10"/>
        <v>0</v>
      </c>
      <c r="I241" s="25">
        <f>_xlfn.IFNA(_xlfn.XLOOKUP(C241,'00_SKU_Master'!$B$2:$B$2000,'00_SKU_Master'!$C$2:$C$2000),"")</f>
        <v>61077</v>
      </c>
      <c r="J241" s="97">
        <f>IFERROR(_xlfn.XLOOKUP(C241,'00_SKU_Master'!$B$2:$B$2000,'00_SKU_Master'!$F$2:$F$2000,0)*N241,0)</f>
        <v>0</v>
      </c>
      <c r="K241" s="96" t="str">
        <f>_xlfn.IFNA(_xlfn.XLOOKUP(C241,'00_SKU_Master'!$B$2:$B$2000,'00_SKU_Master'!$H$2:$H$2000,0),"")</f>
        <v>LT 8XP</v>
      </c>
      <c r="L241" s="96" t="str">
        <f>_xlfn.IFNA(_xlfn.XLOOKUP(C241,'00_SKU_Master'!$B$2:$B$2000,'00_SKU_Master'!$K$2:$K$2000,0),"")</f>
        <v>Fast</v>
      </c>
      <c r="M241" s="25" t="str">
        <f>_xlfn.XLOOKUP(C241,'00_SKU_Master'!$B$2:$B$2000,'00_SKU_Master'!$D$2:$D$2000)</f>
        <v>FB</v>
      </c>
      <c r="N241" s="25">
        <f t="shared" si="11"/>
        <v>0</v>
      </c>
    </row>
    <row r="242" spans="2:14" x14ac:dyDescent="0.35">
      <c r="B242" s="25" t="str">
        <f>IF(C242="","",_xlfn.XLOOKUP(C242,'00_SKU_Master'!$B$2:$B$2000,'00_SKU_Master'!$J$2:$J$2000,""))</f>
        <v>MS ZH DRUM AC LT</v>
      </c>
      <c r="C242" s="25">
        <v>200722</v>
      </c>
      <c r="D242" s="16">
        <f>_xlfn.XLOOKUP(C242,'02_TrayPack_Order'!$B$3:$B$265,'02_TrayPack_Order'!$D$3:$D$265)</f>
        <v>0</v>
      </c>
      <c r="E242" s="17">
        <f>_xlfn.XLOOKUP(C242,'02_TrayPack_Order'!$B$3:$B$265,'02_TrayPack_Order'!$M$3:$M$265,0)</f>
        <v>0</v>
      </c>
      <c r="F242" s="16">
        <f>SUMIF('13_Progress_Track'!$A$2:$A$108,C242,'13_Progress_Track'!$E$2:$E$108)</f>
        <v>0</v>
      </c>
      <c r="G242" s="16">
        <f t="shared" si="9"/>
        <v>0</v>
      </c>
      <c r="H242" s="16">
        <f t="shared" si="10"/>
        <v>0</v>
      </c>
      <c r="I242" s="25">
        <f>_xlfn.IFNA(_xlfn.XLOOKUP(C242,'00_SKU_Master'!$B$2:$B$2000,'00_SKU_Master'!$C$2:$C$2000),"")</f>
        <v>61072</v>
      </c>
      <c r="J242" s="97">
        <f>IFERROR(_xlfn.XLOOKUP(C242,'00_SKU_Master'!$B$2:$B$2000,'00_SKU_Master'!$F$2:$F$2000,0)*N242,0)</f>
        <v>0</v>
      </c>
      <c r="K242" s="96" t="str">
        <f>_xlfn.IFNA(_xlfn.XLOOKUP(C242,'00_SKU_Master'!$B$2:$B$2000,'00_SKU_Master'!$H$2:$H$2000,0),"")</f>
        <v>LT 8XP</v>
      </c>
      <c r="L242" s="96" t="str">
        <f>_xlfn.IFNA(_xlfn.XLOOKUP(C242,'00_SKU_Master'!$B$2:$B$2000,'00_SKU_Master'!$K$2:$K$2000,0),"")</f>
        <v>Fast</v>
      </c>
      <c r="M242" s="25" t="str">
        <f>_xlfn.XLOOKUP(C242,'00_SKU_Master'!$B$2:$B$2000,'00_SKU_Master'!$D$2:$D$2000)</f>
        <v>FB</v>
      </c>
      <c r="N242" s="25">
        <f t="shared" si="11"/>
        <v>0</v>
      </c>
    </row>
    <row r="243" spans="2:14" x14ac:dyDescent="0.35">
      <c r="B243" s="25" t="str">
        <f>IF(C243="","",_xlfn.XLOOKUP(C243,'00_SKU_Master'!$B$2:$B$2000,'00_SKU_Master'!$J$2:$J$2000,""))</f>
        <v>MS ZH BSHB AC LT PP</v>
      </c>
      <c r="C243" s="25">
        <v>200723</v>
      </c>
      <c r="D243" s="16">
        <f>_xlfn.XLOOKUP(C243,'02_TrayPack_Order'!$B$3:$B$265,'02_TrayPack_Order'!$D$3:$D$265)</f>
        <v>51</v>
      </c>
      <c r="E243" s="17">
        <f>_xlfn.XLOOKUP(C243,'02_TrayPack_Order'!$B$3:$B$265,'02_TrayPack_Order'!$M$3:$M$265,0)</f>
        <v>75</v>
      </c>
      <c r="F243" s="16">
        <f>SUMIF('13_Progress_Track'!$A$2:$A$108,C243,'13_Progress_Track'!$E$2:$E$108)</f>
        <v>0</v>
      </c>
      <c r="G243" s="16">
        <f t="shared" si="9"/>
        <v>0</v>
      </c>
      <c r="H243" s="16">
        <f t="shared" si="10"/>
        <v>126</v>
      </c>
      <c r="I243" s="25" t="str">
        <f>_xlfn.IFNA(_xlfn.XLOOKUP(C243,'00_SKU_Master'!$B$2:$B$2000,'00_SKU_Master'!$C$2:$C$2000),"")</f>
        <v>61050F</v>
      </c>
      <c r="J243" s="97">
        <f>IFERROR(_xlfn.XLOOKUP(C243,'00_SKU_Master'!$B$2:$B$2000,'00_SKU_Master'!$F$2:$F$2000,0)*N243,0)</f>
        <v>475.29148387096751</v>
      </c>
      <c r="K243" s="96" t="str">
        <f>_xlfn.IFNA(_xlfn.XLOOKUP(C243,'00_SKU_Master'!$B$2:$B$2000,'00_SKU_Master'!$H$2:$H$2000,0),"")</f>
        <v>LT 8XP</v>
      </c>
      <c r="L243" s="96" t="str">
        <f>_xlfn.IFNA(_xlfn.XLOOKUP(C243,'00_SKU_Master'!$B$2:$B$2000,'00_SKU_Master'!$K$2:$K$2000,0),"")</f>
        <v>Fast</v>
      </c>
      <c r="M243" s="25" t="str">
        <f>_xlfn.XLOOKUP(C243,'00_SKU_Master'!$B$2:$B$2000,'00_SKU_Master'!$D$2:$D$2000)</f>
        <v>FB</v>
      </c>
      <c r="N243" s="25">
        <f t="shared" si="11"/>
        <v>51</v>
      </c>
    </row>
    <row r="244" spans="2:14" x14ac:dyDescent="0.35">
      <c r="B244" s="25" t="str">
        <f>IF(C244="","",_xlfn.XLOOKUP(C244,'00_SKU_Master'!$B$2:$B$2000,'00_SKU_Master'!$J$2:$J$2000,""))</f>
        <v>MS ZH SKLS DRUM AC 3D PP</v>
      </c>
      <c r="C244" s="25">
        <v>200724</v>
      </c>
      <c r="D244" s="16">
        <f>_xlfn.XLOOKUP(C244,'02_TrayPack_Order'!$B$3:$B$265,'02_TrayPack_Order'!$D$3:$D$265)</f>
        <v>34</v>
      </c>
      <c r="E244" s="17">
        <f>_xlfn.XLOOKUP(C244,'02_TrayPack_Order'!$B$3:$B$265,'02_TrayPack_Order'!$M$3:$M$265,0)</f>
        <v>0</v>
      </c>
      <c r="F244" s="16">
        <f>SUMIF('13_Progress_Track'!$A$2:$A$108,C244,'13_Progress_Track'!$E$2:$E$108)</f>
        <v>0</v>
      </c>
      <c r="G244" s="16">
        <f t="shared" si="9"/>
        <v>0</v>
      </c>
      <c r="H244" s="16">
        <f t="shared" si="10"/>
        <v>34</v>
      </c>
      <c r="I244" s="25">
        <f>_xlfn.IFNA(_xlfn.XLOOKUP(C244,'00_SKU_Master'!$B$2:$B$2000,'00_SKU_Master'!$C$2:$C$2000),"")</f>
        <v>61071</v>
      </c>
      <c r="J244" s="97">
        <f>IFERROR(_xlfn.XLOOKUP(C244,'00_SKU_Master'!$B$2:$B$2000,'00_SKU_Master'!$F$2:$F$2000,0)*N244,0)</f>
        <v>126.09634205557026</v>
      </c>
      <c r="K244" s="96" t="str">
        <f>_xlfn.IFNA(_xlfn.XLOOKUP(C244,'00_SKU_Master'!$B$2:$B$2000,'00_SKU_Master'!$H$2:$H$2000,0),"")</f>
        <v>ST 3D</v>
      </c>
      <c r="L244" s="96" t="str">
        <f>_xlfn.IFNA(_xlfn.XLOOKUP(C244,'00_SKU_Master'!$B$2:$B$2000,'00_SKU_Master'!$K$2:$K$2000,0),"")</f>
        <v>Fast</v>
      </c>
      <c r="M244" s="25" t="str">
        <f>_xlfn.XLOOKUP(C244,'00_SKU_Master'!$B$2:$B$2000,'00_SKU_Master'!$D$2:$D$2000)</f>
        <v>FB</v>
      </c>
      <c r="N244" s="25">
        <f t="shared" si="11"/>
        <v>34</v>
      </c>
    </row>
    <row r="245" spans="2:14" x14ac:dyDescent="0.35">
      <c r="B245" s="25" t="str">
        <f>IF(C245="","",_xlfn.XLOOKUP(C245,'00_SKU_Master'!$B$2:$B$2000,'00_SKU_Master'!$J$2:$J$2000,""))</f>
        <v>MS ZH BSHB AC 8XP</v>
      </c>
      <c r="C245" s="25">
        <v>200725</v>
      </c>
      <c r="D245" s="16">
        <f>_xlfn.XLOOKUP(C245,'02_TrayPack_Order'!$B$3:$B$265,'02_TrayPack_Order'!$D$3:$D$265)</f>
        <v>0</v>
      </c>
      <c r="E245" s="17">
        <f>_xlfn.XLOOKUP(C245,'02_TrayPack_Order'!$B$3:$B$265,'02_TrayPack_Order'!$M$3:$M$265,0)</f>
        <v>0</v>
      </c>
      <c r="F245" s="16">
        <f>SUMIF('13_Progress_Track'!$A$2:$A$108,C245,'13_Progress_Track'!$E$2:$E$108)</f>
        <v>0</v>
      </c>
      <c r="G245" s="16">
        <f t="shared" si="9"/>
        <v>0</v>
      </c>
      <c r="H245" s="16">
        <f t="shared" si="10"/>
        <v>0</v>
      </c>
      <c r="I245" s="25">
        <f>_xlfn.IFNA(_xlfn.XLOOKUP(C245,'00_SKU_Master'!$B$2:$B$2000,'00_SKU_Master'!$C$2:$C$2000),"")</f>
        <v>61050</v>
      </c>
      <c r="J245" s="97">
        <f>IFERROR(_xlfn.XLOOKUP(C245,'00_SKU_Master'!$B$2:$B$2000,'00_SKU_Master'!$F$2:$F$2000,0)*N245,0)</f>
        <v>0</v>
      </c>
      <c r="K245" s="96" t="str">
        <f>_xlfn.IFNA(_xlfn.XLOOKUP(C245,'00_SKU_Master'!$B$2:$B$2000,'00_SKU_Master'!$H$2:$H$2000,0),"")</f>
        <v>LT 8XP</v>
      </c>
      <c r="L245" s="96" t="str">
        <f>_xlfn.IFNA(_xlfn.XLOOKUP(C245,'00_SKU_Master'!$B$2:$B$2000,'00_SKU_Master'!$K$2:$K$2000,0),"")</f>
        <v>Fast</v>
      </c>
      <c r="M245" s="25" t="str">
        <f>_xlfn.XLOOKUP(C245,'00_SKU_Master'!$B$2:$B$2000,'00_SKU_Master'!$D$2:$D$2000)</f>
        <v>METRO</v>
      </c>
      <c r="N245" s="25">
        <f t="shared" si="11"/>
        <v>0</v>
      </c>
    </row>
    <row r="246" spans="2:14" x14ac:dyDescent="0.35">
      <c r="B246" s="25" t="str">
        <f>IF(C246="","",_xlfn.XLOOKUP(C246,'00_SKU_Master'!$B$2:$B$2000,'00_SKU_Master'!$J$2:$J$2000,""))</f>
        <v>MS ZH THIGH AC 8XP</v>
      </c>
      <c r="C246" s="25">
        <v>200726</v>
      </c>
      <c r="D246" s="16">
        <f>_xlfn.XLOOKUP(C246,'02_TrayPack_Order'!$B$3:$B$265,'02_TrayPack_Order'!$D$3:$D$265)</f>
        <v>0</v>
      </c>
      <c r="E246" s="17">
        <f>_xlfn.XLOOKUP(C246,'02_TrayPack_Order'!$B$3:$B$265,'02_TrayPack_Order'!$M$3:$M$265,0)</f>
        <v>0</v>
      </c>
      <c r="F246" s="16">
        <f>SUMIF('13_Progress_Track'!$A$2:$A$108,C246,'13_Progress_Track'!$E$2:$E$108)</f>
        <v>0</v>
      </c>
      <c r="G246" s="16">
        <f t="shared" si="9"/>
        <v>0</v>
      </c>
      <c r="H246" s="16">
        <f t="shared" si="10"/>
        <v>0</v>
      </c>
      <c r="I246" s="25">
        <f>_xlfn.IFNA(_xlfn.XLOOKUP(C246,'00_SKU_Master'!$B$2:$B$2000,'00_SKU_Master'!$C$2:$C$2000),"")</f>
        <v>61077</v>
      </c>
      <c r="J246" s="97">
        <f>IFERROR(_xlfn.XLOOKUP(C246,'00_SKU_Master'!$B$2:$B$2000,'00_SKU_Master'!$F$2:$F$2000,0)*N246,0)</f>
        <v>0</v>
      </c>
      <c r="K246" s="96" t="str">
        <f>_xlfn.IFNA(_xlfn.XLOOKUP(C246,'00_SKU_Master'!$B$2:$B$2000,'00_SKU_Master'!$H$2:$H$2000,0),"")</f>
        <v>LT 8XP</v>
      </c>
      <c r="L246" s="96" t="str">
        <f>_xlfn.IFNA(_xlfn.XLOOKUP(C246,'00_SKU_Master'!$B$2:$B$2000,'00_SKU_Master'!$K$2:$K$2000,0),"")</f>
        <v>Fast</v>
      </c>
      <c r="M246" s="25" t="str">
        <f>_xlfn.XLOOKUP(C246,'00_SKU_Master'!$B$2:$B$2000,'00_SKU_Master'!$D$2:$D$2000)</f>
        <v>METRO</v>
      </c>
      <c r="N246" s="25">
        <f t="shared" si="11"/>
        <v>0</v>
      </c>
    </row>
    <row r="247" spans="2:14" x14ac:dyDescent="0.35">
      <c r="B247" s="25" t="str">
        <f>IF(C247="","",_xlfn.XLOOKUP(C247,'00_SKU_Master'!$B$2:$B$2000,'00_SKU_Master'!$J$2:$J$2000,""))</f>
        <v>MS ZH DRUM AC 8XP</v>
      </c>
      <c r="C247" s="25">
        <v>200727</v>
      </c>
      <c r="D247" s="16">
        <f>_xlfn.XLOOKUP(C247,'02_TrayPack_Order'!$B$3:$B$265,'02_TrayPack_Order'!$D$3:$D$265)</f>
        <v>0</v>
      </c>
      <c r="E247" s="17">
        <f>_xlfn.XLOOKUP(C247,'02_TrayPack_Order'!$B$3:$B$265,'02_TrayPack_Order'!$M$3:$M$265,0)</f>
        <v>0</v>
      </c>
      <c r="F247" s="16">
        <f>SUMIF('13_Progress_Track'!$A$2:$A$108,C247,'13_Progress_Track'!$E$2:$E$108)</f>
        <v>0</v>
      </c>
      <c r="G247" s="16">
        <f t="shared" si="9"/>
        <v>0</v>
      </c>
      <c r="H247" s="16">
        <f t="shared" si="10"/>
        <v>0</v>
      </c>
      <c r="I247" s="25">
        <f>_xlfn.IFNA(_xlfn.XLOOKUP(C247,'00_SKU_Master'!$B$2:$B$2000,'00_SKU_Master'!$C$2:$C$2000),"")</f>
        <v>61072</v>
      </c>
      <c r="J247" s="97">
        <f>IFERROR(_xlfn.XLOOKUP(C247,'00_SKU_Master'!$B$2:$B$2000,'00_SKU_Master'!$F$2:$F$2000,0)*N247,0)</f>
        <v>0</v>
      </c>
      <c r="K247" s="96" t="str">
        <f>_xlfn.IFNA(_xlfn.XLOOKUP(C247,'00_SKU_Master'!$B$2:$B$2000,'00_SKU_Master'!$H$2:$H$2000,0),"")</f>
        <v>LT 8XP</v>
      </c>
      <c r="L247" s="96" t="str">
        <f>_xlfn.IFNA(_xlfn.XLOOKUP(C247,'00_SKU_Master'!$B$2:$B$2000,'00_SKU_Master'!$K$2:$K$2000,0),"")</f>
        <v>Fast</v>
      </c>
      <c r="M247" s="25" t="str">
        <f>_xlfn.XLOOKUP(C247,'00_SKU_Master'!$B$2:$B$2000,'00_SKU_Master'!$D$2:$D$2000)</f>
        <v>METRO</v>
      </c>
      <c r="N247" s="25">
        <f t="shared" si="11"/>
        <v>0</v>
      </c>
    </row>
    <row r="248" spans="2:14" x14ac:dyDescent="0.35">
      <c r="B248" s="25" t="str">
        <f>IF(C248="","",_xlfn.XLOOKUP(C248,'00_SKU_Master'!$B$2:$B$2000,'00_SKU_Master'!$J$2:$J$2000,""))</f>
        <v>MS ZH THIGH AC 8D PP</v>
      </c>
      <c r="C248" s="25">
        <v>200736</v>
      </c>
      <c r="D248" s="16">
        <f>_xlfn.XLOOKUP(C248,'02_TrayPack_Order'!$B$3:$B$265,'02_TrayPack_Order'!$D$3:$D$265)</f>
        <v>0</v>
      </c>
      <c r="E248" s="17">
        <f>_xlfn.XLOOKUP(C248,'02_TrayPack_Order'!$B$3:$B$265,'02_TrayPack_Order'!$M$3:$M$265,0)</f>
        <v>0</v>
      </c>
      <c r="F248" s="16">
        <f>SUMIF('13_Progress_Track'!$A$2:$A$108,C248,'13_Progress_Track'!$E$2:$E$108)</f>
        <v>0</v>
      </c>
      <c r="G248" s="16">
        <f t="shared" si="9"/>
        <v>0</v>
      </c>
      <c r="H248" s="16">
        <f t="shared" si="10"/>
        <v>0</v>
      </c>
      <c r="I248" s="25">
        <f>_xlfn.IFNA(_xlfn.XLOOKUP(C248,'00_SKU_Master'!$B$2:$B$2000,'00_SKU_Master'!$C$2:$C$2000),"")</f>
        <v>61077</v>
      </c>
      <c r="J248" s="97">
        <f>IFERROR(_xlfn.XLOOKUP(C248,'00_SKU_Master'!$B$2:$B$2000,'00_SKU_Master'!$F$2:$F$2000,0)*N248,0)</f>
        <v>0</v>
      </c>
      <c r="K248" s="96" t="str">
        <f>_xlfn.IFNA(_xlfn.XLOOKUP(C248,'00_SKU_Master'!$B$2:$B$2000,'00_SKU_Master'!$H$2:$H$2000,0),"")</f>
        <v>LT 8XP</v>
      </c>
      <c r="L248" s="96" t="str">
        <f>_xlfn.IFNA(_xlfn.XLOOKUP(C248,'00_SKU_Master'!$B$2:$B$2000,'00_SKU_Master'!$K$2:$K$2000,0),"")</f>
        <v>Fast</v>
      </c>
      <c r="M248" s="25" t="str">
        <f>_xlfn.XLOOKUP(C248,'00_SKU_Master'!$B$2:$B$2000,'00_SKU_Master'!$D$2:$D$2000)</f>
        <v>FB</v>
      </c>
      <c r="N248" s="25">
        <f t="shared" si="11"/>
        <v>0</v>
      </c>
    </row>
    <row r="249" spans="2:14" x14ac:dyDescent="0.35">
      <c r="B249" s="25" t="str">
        <f>IF(C249="","",_xlfn.XLOOKUP(C249,'00_SKU_Master'!$B$2:$B$2000,'00_SKU_Master'!$J$2:$J$2000,""))</f>
        <v>MS ZH DRUM AC 8D PP</v>
      </c>
      <c r="C249" s="25">
        <v>200737</v>
      </c>
      <c r="D249" s="16">
        <f>_xlfn.XLOOKUP(C249,'02_TrayPack_Order'!$B$3:$B$265,'02_TrayPack_Order'!$D$3:$D$265)</f>
        <v>0</v>
      </c>
      <c r="E249" s="17">
        <f>_xlfn.XLOOKUP(C249,'02_TrayPack_Order'!$B$3:$B$265,'02_TrayPack_Order'!$M$3:$M$265,0)</f>
        <v>0</v>
      </c>
      <c r="F249" s="16">
        <f>SUMIF('13_Progress_Track'!$A$2:$A$108,C249,'13_Progress_Track'!$E$2:$E$108)</f>
        <v>0</v>
      </c>
      <c r="G249" s="16">
        <f t="shared" si="9"/>
        <v>0</v>
      </c>
      <c r="H249" s="16">
        <f t="shared" si="10"/>
        <v>0</v>
      </c>
      <c r="I249" s="25">
        <f>_xlfn.IFNA(_xlfn.XLOOKUP(C249,'00_SKU_Master'!$B$2:$B$2000,'00_SKU_Master'!$C$2:$C$2000),"")</f>
        <v>61072</v>
      </c>
      <c r="J249" s="97">
        <f>IFERROR(_xlfn.XLOOKUP(C249,'00_SKU_Master'!$B$2:$B$2000,'00_SKU_Master'!$F$2:$F$2000,0)*N249,0)</f>
        <v>0</v>
      </c>
      <c r="K249" s="96" t="str">
        <f>_xlfn.IFNA(_xlfn.XLOOKUP(C249,'00_SKU_Master'!$B$2:$B$2000,'00_SKU_Master'!$H$2:$H$2000,0),"")</f>
        <v>LT 8XP</v>
      </c>
      <c r="L249" s="96" t="str">
        <f>_xlfn.IFNA(_xlfn.XLOOKUP(C249,'00_SKU_Master'!$B$2:$B$2000,'00_SKU_Master'!$K$2:$K$2000,0),"")</f>
        <v>Fast</v>
      </c>
      <c r="M249" s="25" t="str">
        <f>_xlfn.XLOOKUP(C249,'00_SKU_Master'!$B$2:$B$2000,'00_SKU_Master'!$D$2:$D$2000)</f>
        <v>FB</v>
      </c>
      <c r="N249" s="25">
        <f t="shared" si="11"/>
        <v>0</v>
      </c>
    </row>
    <row r="250" spans="2:14" x14ac:dyDescent="0.35">
      <c r="B250" s="25" t="str">
        <f>IF(C250="","",_xlfn.XLOOKUP(C250,'00_SKU_Master'!$B$2:$B$2000,'00_SKU_Master'!$J$2:$J$2000,""))</f>
        <v>MS ZH FRY WOG AC TI 3XP PP</v>
      </c>
      <c r="C250" s="25">
        <v>200738</v>
      </c>
      <c r="D250" s="16">
        <f>_xlfn.XLOOKUP(C250,'02_TrayPack_Order'!$B$3:$B$265,'02_TrayPack_Order'!$D$3:$D$265)</f>
        <v>0</v>
      </c>
      <c r="E250" s="17">
        <f>_xlfn.XLOOKUP(C250,'02_TrayPack_Order'!$B$3:$B$265,'02_TrayPack_Order'!$M$3:$M$265,0)</f>
        <v>0</v>
      </c>
      <c r="F250" s="16">
        <f>SUMIF('13_Progress_Track'!$A$2:$A$108,C250,'13_Progress_Track'!$E$2:$E$108)</f>
        <v>0</v>
      </c>
      <c r="G250" s="16">
        <f t="shared" si="9"/>
        <v>0</v>
      </c>
      <c r="H250" s="16">
        <f t="shared" si="10"/>
        <v>0</v>
      </c>
      <c r="I250" s="25">
        <f>_xlfn.IFNA(_xlfn.XLOOKUP(C250,'00_SKU_Master'!$B$2:$B$2000,'00_SKU_Master'!$C$2:$C$2000),"")</f>
        <v>203021</v>
      </c>
      <c r="J250" s="97">
        <f>IFERROR(_xlfn.XLOOKUP(C250,'00_SKU_Master'!$B$2:$B$2000,'00_SKU_Master'!$F$2:$F$2000,0)*N250,0)</f>
        <v>0</v>
      </c>
      <c r="K250" s="96" t="str">
        <f>_xlfn.IFNA(_xlfn.XLOOKUP(C250,'00_SKU_Master'!$B$2:$B$2000,'00_SKU_Master'!$H$2:$H$2000,0),"")</f>
        <v>ST 3XP</v>
      </c>
      <c r="L250" s="96" t="str">
        <f>_xlfn.IFNA(_xlfn.XLOOKUP(C250,'00_SKU_Master'!$B$2:$B$2000,'00_SKU_Master'!$K$2:$K$2000,0),"")</f>
        <v>Fast</v>
      </c>
      <c r="M250" s="25" t="str">
        <f>_xlfn.XLOOKUP(C250,'00_SKU_Master'!$B$2:$B$2000,'00_SKU_Master'!$D$2:$D$2000)</f>
        <v>FB</v>
      </c>
      <c r="N250" s="25">
        <f t="shared" si="11"/>
        <v>0</v>
      </c>
    </row>
    <row r="251" spans="2:14" x14ac:dyDescent="0.35">
      <c r="B251" s="25" t="str">
        <f>IF(C251="","",_xlfn.XLOOKUP(C251,'00_SKU_Master'!$B$2:$B$2000,'00_SKU_Master'!$J$2:$J$2000,""))</f>
        <v>MS HA BSHB AC 3D SHP</v>
      </c>
      <c r="C251" s="25">
        <v>200745</v>
      </c>
      <c r="D251" s="16">
        <f>_xlfn.XLOOKUP(C251,'02_TrayPack_Order'!$B$3:$B$265,'02_TrayPack_Order'!$D$3:$D$265)</f>
        <v>0</v>
      </c>
      <c r="E251" s="17">
        <f>_xlfn.XLOOKUP(C251,'02_TrayPack_Order'!$B$3:$B$265,'02_TrayPack_Order'!$M$3:$M$265,0)</f>
        <v>0</v>
      </c>
      <c r="F251" s="16">
        <f>SUMIF('13_Progress_Track'!$A$2:$A$108,C251,'13_Progress_Track'!$E$2:$E$108)</f>
        <v>0</v>
      </c>
      <c r="G251" s="16">
        <f t="shared" si="9"/>
        <v>0</v>
      </c>
      <c r="H251" s="16">
        <f t="shared" si="10"/>
        <v>0</v>
      </c>
      <c r="I251" s="25" t="str">
        <f>_xlfn.IFNA(_xlfn.XLOOKUP(C251,'00_SKU_Master'!$B$2:$B$2000,'00_SKU_Master'!$C$2:$C$2000),"")</f>
        <v>61050F</v>
      </c>
      <c r="J251" s="97">
        <f>IFERROR(_xlfn.XLOOKUP(C251,'00_SKU_Master'!$B$2:$B$2000,'00_SKU_Master'!$F$2:$F$2000,0)*N251,0)</f>
        <v>0</v>
      </c>
      <c r="K251" s="96" t="str">
        <f>_xlfn.IFNA(_xlfn.XLOOKUP(C251,'00_SKU_Master'!$B$2:$B$2000,'00_SKU_Master'!$H$2:$H$2000,0),"")</f>
        <v>ST 3D</v>
      </c>
      <c r="L251" s="96" t="str">
        <f>_xlfn.IFNA(_xlfn.XLOOKUP(C251,'00_SKU_Master'!$B$2:$B$2000,'00_SKU_Master'!$K$2:$K$2000,0),"")</f>
        <v>Fast</v>
      </c>
      <c r="M251" s="25" t="str">
        <f>_xlfn.XLOOKUP(C251,'00_SKU_Master'!$B$2:$B$2000,'00_SKU_Master'!$D$2:$D$2000)</f>
        <v>SHP</v>
      </c>
      <c r="N251" s="25">
        <f t="shared" si="11"/>
        <v>0</v>
      </c>
    </row>
    <row r="252" spans="2:14" x14ac:dyDescent="0.35">
      <c r="B252" s="25" t="str">
        <f>IF(C252="","",_xlfn.XLOOKUP(C252,'00_SKU_Master'!$B$2:$B$2000,'00_SKU_Master'!$J$2:$J$2000,""))</f>
        <v>MS HA THIGH AC 3D SHP</v>
      </c>
      <c r="C252" s="25">
        <v>200746</v>
      </c>
      <c r="D252" s="16">
        <f>_xlfn.XLOOKUP(C252,'02_TrayPack_Order'!$B$3:$B$265,'02_TrayPack_Order'!$D$3:$D$265)</f>
        <v>0</v>
      </c>
      <c r="E252" s="17">
        <f>_xlfn.XLOOKUP(C252,'02_TrayPack_Order'!$B$3:$B$265,'02_TrayPack_Order'!$M$3:$M$265,0)</f>
        <v>0</v>
      </c>
      <c r="F252" s="16">
        <f>SUMIF('13_Progress_Track'!$A$2:$A$108,C252,'13_Progress_Track'!$E$2:$E$108)</f>
        <v>0</v>
      </c>
      <c r="G252" s="16">
        <f t="shared" si="9"/>
        <v>0</v>
      </c>
      <c r="H252" s="16">
        <f t="shared" si="10"/>
        <v>0</v>
      </c>
      <c r="I252" s="25">
        <f>_xlfn.IFNA(_xlfn.XLOOKUP(C252,'00_SKU_Master'!$B$2:$B$2000,'00_SKU_Master'!$C$2:$C$2000),"")</f>
        <v>61077</v>
      </c>
      <c r="J252" s="97">
        <f>IFERROR(_xlfn.XLOOKUP(C252,'00_SKU_Master'!$B$2:$B$2000,'00_SKU_Master'!$F$2:$F$2000,0)*N252,0)</f>
        <v>0</v>
      </c>
      <c r="K252" s="96" t="str">
        <f>_xlfn.IFNA(_xlfn.XLOOKUP(C252,'00_SKU_Master'!$B$2:$B$2000,'00_SKU_Master'!$H$2:$H$2000,0),"")</f>
        <v>ST 3D</v>
      </c>
      <c r="L252" s="96" t="str">
        <f>_xlfn.IFNA(_xlfn.XLOOKUP(C252,'00_SKU_Master'!$B$2:$B$2000,'00_SKU_Master'!$K$2:$K$2000,0),"")</f>
        <v>Fast</v>
      </c>
      <c r="M252" s="25" t="str">
        <f>_xlfn.XLOOKUP(C252,'00_SKU_Master'!$B$2:$B$2000,'00_SKU_Master'!$D$2:$D$2000)</f>
        <v>SHP</v>
      </c>
      <c r="N252" s="25">
        <f t="shared" si="11"/>
        <v>0</v>
      </c>
    </row>
    <row r="253" spans="2:14" x14ac:dyDescent="0.35">
      <c r="B253" s="25" t="str">
        <f>IF(C253="","",_xlfn.XLOOKUP(C253,'00_SKU_Master'!$B$2:$B$2000,'00_SKU_Master'!$J$2:$J$2000,""))</f>
        <v>MS HA BSTHIGH AC 3D SHP</v>
      </c>
      <c r="C253" s="25">
        <v>200747</v>
      </c>
      <c r="D253" s="16">
        <f>_xlfn.XLOOKUP(C253,'02_TrayPack_Order'!$B$3:$B$265,'02_TrayPack_Order'!$D$3:$D$265)</f>
        <v>0</v>
      </c>
      <c r="E253" s="17">
        <f>_xlfn.XLOOKUP(C253,'02_TrayPack_Order'!$B$3:$B$265,'02_TrayPack_Order'!$M$3:$M$265,0)</f>
        <v>0</v>
      </c>
      <c r="F253" s="16">
        <f>SUMIF('13_Progress_Track'!$A$2:$A$108,C253,'13_Progress_Track'!$E$2:$E$108)</f>
        <v>0</v>
      </c>
      <c r="G253" s="16">
        <f t="shared" si="9"/>
        <v>0</v>
      </c>
      <c r="H253" s="16">
        <f t="shared" si="10"/>
        <v>0</v>
      </c>
      <c r="I253" s="25" t="str">
        <f>_xlfn.IFNA(_xlfn.XLOOKUP(C253,'00_SKU_Master'!$B$2:$B$2000,'00_SKU_Master'!$C$2:$C$2000),"")</f>
        <v>61086F</v>
      </c>
      <c r="J253" s="97">
        <f>IFERROR(_xlfn.XLOOKUP(C253,'00_SKU_Master'!$B$2:$B$2000,'00_SKU_Master'!$F$2:$F$2000,0)*N253,0)</f>
        <v>0</v>
      </c>
      <c r="K253" s="96" t="str">
        <f>_xlfn.IFNA(_xlfn.XLOOKUP(C253,'00_SKU_Master'!$B$2:$B$2000,'00_SKU_Master'!$H$2:$H$2000,0),"")</f>
        <v>ST 3D</v>
      </c>
      <c r="L253" s="96" t="str">
        <f>_xlfn.IFNA(_xlfn.XLOOKUP(C253,'00_SKU_Master'!$B$2:$B$2000,'00_SKU_Master'!$K$2:$K$2000,0),"")</f>
        <v>Slow</v>
      </c>
      <c r="M253" s="25" t="str">
        <f>_xlfn.XLOOKUP(C253,'00_SKU_Master'!$B$2:$B$2000,'00_SKU_Master'!$D$2:$D$2000)</f>
        <v>SHP</v>
      </c>
      <c r="N253" s="25">
        <f t="shared" si="11"/>
        <v>0</v>
      </c>
    </row>
    <row r="254" spans="2:14" x14ac:dyDescent="0.35">
      <c r="B254" s="25" t="str">
        <f>IF(C254="","",_xlfn.XLOOKUP(C254,'00_SKU_Master'!$B$2:$B$2000,'00_SKU_Master'!$J$2:$J$2000,""))</f>
        <v>MS HA DRUM AC 3D SHP</v>
      </c>
      <c r="C254" s="25">
        <v>200748</v>
      </c>
      <c r="D254" s="16">
        <f>_xlfn.XLOOKUP(C254,'02_TrayPack_Order'!$B$3:$B$265,'02_TrayPack_Order'!$D$3:$D$265)</f>
        <v>0</v>
      </c>
      <c r="E254" s="17">
        <f>_xlfn.XLOOKUP(C254,'02_TrayPack_Order'!$B$3:$B$265,'02_TrayPack_Order'!$M$3:$M$265,0)</f>
        <v>0</v>
      </c>
      <c r="F254" s="16">
        <f>SUMIF('13_Progress_Track'!$A$2:$A$108,C254,'13_Progress_Track'!$E$2:$E$108)</f>
        <v>0</v>
      </c>
      <c r="G254" s="16">
        <f t="shared" si="9"/>
        <v>0</v>
      </c>
      <c r="H254" s="16">
        <f t="shared" si="10"/>
        <v>0</v>
      </c>
      <c r="I254" s="25">
        <f>_xlfn.IFNA(_xlfn.XLOOKUP(C254,'00_SKU_Master'!$B$2:$B$2000,'00_SKU_Master'!$C$2:$C$2000),"")</f>
        <v>61072</v>
      </c>
      <c r="J254" s="97">
        <f>IFERROR(_xlfn.XLOOKUP(C254,'00_SKU_Master'!$B$2:$B$2000,'00_SKU_Master'!$F$2:$F$2000,0)*N254,0)</f>
        <v>0</v>
      </c>
      <c r="K254" s="96" t="str">
        <f>_xlfn.IFNA(_xlfn.XLOOKUP(C254,'00_SKU_Master'!$B$2:$B$2000,'00_SKU_Master'!$H$2:$H$2000,0),"")</f>
        <v>ST 3D</v>
      </c>
      <c r="L254" s="96" t="str">
        <f>_xlfn.IFNA(_xlfn.XLOOKUP(C254,'00_SKU_Master'!$B$2:$B$2000,'00_SKU_Master'!$K$2:$K$2000,0),"")</f>
        <v>Fast</v>
      </c>
      <c r="M254" s="25" t="str">
        <f>_xlfn.XLOOKUP(C254,'00_SKU_Master'!$B$2:$B$2000,'00_SKU_Master'!$D$2:$D$2000)</f>
        <v>SHP</v>
      </c>
      <c r="N254" s="25">
        <f t="shared" si="11"/>
        <v>0</v>
      </c>
    </row>
    <row r="255" spans="2:14" x14ac:dyDescent="0.35">
      <c r="B255" s="25" t="str">
        <f>IF(C255="","",_xlfn.XLOOKUP(C255,'00_SKU_Master'!$B$2:$B$2000,'00_SKU_Master'!$J$2:$J$2000,""))</f>
        <v>MB COS HA THIGH AC</v>
      </c>
      <c r="C255" s="25">
        <v>201851</v>
      </c>
      <c r="D255" s="16">
        <f>_xlfn.XLOOKUP(C255,'02_TrayPack_Order'!$B$3:$B$265,'02_TrayPack_Order'!$D$3:$D$265)</f>
        <v>146</v>
      </c>
      <c r="E255" s="17">
        <f>_xlfn.XLOOKUP(C255,'02_TrayPack_Order'!$B$3:$B$265,'02_TrayPack_Order'!$M$3:$M$265,0)</f>
        <v>150</v>
      </c>
      <c r="F255" s="16">
        <f>SUMIF('13_Progress_Track'!$A$2:$A$108,C255,'13_Progress_Track'!$E$2:$E$108)</f>
        <v>0</v>
      </c>
      <c r="G255" s="16">
        <f t="shared" si="9"/>
        <v>0</v>
      </c>
      <c r="H255" s="16">
        <f t="shared" si="10"/>
        <v>296</v>
      </c>
      <c r="I255" s="25">
        <f>_xlfn.IFNA(_xlfn.XLOOKUP(C255,'00_SKU_Master'!$B$2:$B$2000,'00_SKU_Master'!$C$2:$C$2000),"")</f>
        <v>61078</v>
      </c>
      <c r="J255" s="97">
        <f>IFERROR(_xlfn.XLOOKUP(C255,'00_SKU_Master'!$B$2:$B$2000,'00_SKU_Master'!$F$2:$F$2000,0)*N255,0)</f>
        <v>2977.7595013953469</v>
      </c>
      <c r="K255" s="96" t="str">
        <f>_xlfn.IFNA(_xlfn.XLOOKUP(C255,'00_SKU_Master'!$B$2:$B$2000,'00_SKU_Master'!$H$2:$H$2000,0),"")</f>
        <v>LT 14D</v>
      </c>
      <c r="L255" s="96" t="str">
        <f>_xlfn.IFNA(_xlfn.XLOOKUP(C255,'00_SKU_Master'!$B$2:$B$2000,'00_SKU_Master'!$K$2:$K$2000,0),"")</f>
        <v>Fast</v>
      </c>
      <c r="M255" s="25" t="str">
        <f>_xlfn.XLOOKUP(C255,'00_SKU_Master'!$B$2:$B$2000,'00_SKU_Master'!$D$2:$D$2000)</f>
        <v>COSTCO</v>
      </c>
      <c r="N255" s="25">
        <f t="shared" si="11"/>
        <v>146</v>
      </c>
    </row>
    <row r="256" spans="2:14" x14ac:dyDescent="0.35">
      <c r="B256" s="25" t="str">
        <f>IF(C256="","",_xlfn.XLOOKUP(C256,'00_SKU_Master'!$B$2:$B$2000,'00_SKU_Master'!$J$2:$J$2000,""))</f>
        <v>MB COS HA BSHB AC</v>
      </c>
      <c r="C256" s="25">
        <v>201853</v>
      </c>
      <c r="D256" s="16">
        <f>_xlfn.XLOOKUP(C256,'02_TrayPack_Order'!$B$3:$B$265,'02_TrayPack_Order'!$D$3:$D$265)</f>
        <v>711</v>
      </c>
      <c r="E256" s="17">
        <f>_xlfn.XLOOKUP(C256,'02_TrayPack_Order'!$B$3:$B$265,'02_TrayPack_Order'!$M$3:$M$265,0)</f>
        <v>900</v>
      </c>
      <c r="F256" s="16">
        <f>SUMIF('13_Progress_Track'!$A$2:$A$108,C256,'13_Progress_Track'!$E$2:$E$108)</f>
        <v>0</v>
      </c>
      <c r="G256" s="16">
        <f t="shared" si="9"/>
        <v>0</v>
      </c>
      <c r="H256" s="16">
        <f t="shared" si="10"/>
        <v>1611</v>
      </c>
      <c r="I256" s="25" t="str">
        <f>_xlfn.IFNA(_xlfn.XLOOKUP(C256,'00_SKU_Master'!$B$2:$B$2000,'00_SKU_Master'!$C$2:$C$2000),"")</f>
        <v>61050C</v>
      </c>
      <c r="J256" s="97">
        <f>IFERROR(_xlfn.XLOOKUP(C256,'00_SKU_Master'!$B$2:$B$2000,'00_SKU_Master'!$F$2:$F$2000,0)*N256,0)</f>
        <v>9182.5942700139349</v>
      </c>
      <c r="K256" s="96" t="str">
        <f>_xlfn.IFNA(_xlfn.XLOOKUP(C256,'00_SKU_Master'!$B$2:$B$2000,'00_SKU_Master'!$H$2:$H$2000,0),"")</f>
        <v>LT 14D</v>
      </c>
      <c r="L256" s="96" t="str">
        <f>_xlfn.IFNA(_xlfn.XLOOKUP(C256,'00_SKU_Master'!$B$2:$B$2000,'00_SKU_Master'!$K$2:$K$2000,0),"")</f>
        <v>Fast</v>
      </c>
      <c r="M256" s="25" t="str">
        <f>_xlfn.XLOOKUP(C256,'00_SKU_Master'!$B$2:$B$2000,'00_SKU_Master'!$D$2:$D$2000)</f>
        <v>COSTCO</v>
      </c>
      <c r="N256" s="25">
        <f t="shared" si="11"/>
        <v>711</v>
      </c>
    </row>
    <row r="257" spans="2:14" x14ac:dyDescent="0.35">
      <c r="B257" s="25" t="str">
        <f>IF(C257="","",_xlfn.XLOOKUP(C257,'00_SKU_Master'!$B$2:$B$2000,'00_SKU_Master'!$J$2:$J$2000,""))</f>
        <v>MB COS HA BSTHIGH AC</v>
      </c>
      <c r="C257" s="25">
        <v>201854</v>
      </c>
      <c r="D257" s="16">
        <f>_xlfn.XLOOKUP(C257,'02_TrayPack_Order'!$B$3:$B$265,'02_TrayPack_Order'!$D$3:$D$265)</f>
        <v>110</v>
      </c>
      <c r="E257" s="17">
        <f>_xlfn.XLOOKUP(C257,'02_TrayPack_Order'!$B$3:$B$265,'02_TrayPack_Order'!$M$3:$M$265,0)</f>
        <v>120</v>
      </c>
      <c r="F257" s="16">
        <f>SUMIF('13_Progress_Track'!$A$2:$A$108,C257,'13_Progress_Track'!$E$2:$E$108)</f>
        <v>0</v>
      </c>
      <c r="G257" s="16">
        <f t="shared" si="9"/>
        <v>0</v>
      </c>
      <c r="H257" s="16">
        <f t="shared" si="10"/>
        <v>230</v>
      </c>
      <c r="I257" s="25" t="str">
        <f>_xlfn.IFNA(_xlfn.XLOOKUP(C257,'00_SKU_Master'!$B$2:$B$2000,'00_SKU_Master'!$C$2:$C$2000),"")</f>
        <v>61086C</v>
      </c>
      <c r="J257" s="97">
        <f>IFERROR(_xlfn.XLOOKUP(C257,'00_SKU_Master'!$B$2:$B$2000,'00_SKU_Master'!$F$2:$F$2000,0)*N257,0)</f>
        <v>1319.60526993075</v>
      </c>
      <c r="K257" s="96" t="str">
        <f>_xlfn.IFNA(_xlfn.XLOOKUP(C257,'00_SKU_Master'!$B$2:$B$2000,'00_SKU_Master'!$H$2:$H$2000,0),"")</f>
        <v>LT 14D</v>
      </c>
      <c r="L257" s="96" t="str">
        <f>_xlfn.IFNA(_xlfn.XLOOKUP(C257,'00_SKU_Master'!$B$2:$B$2000,'00_SKU_Master'!$K$2:$K$2000,0),"")</f>
        <v>Slow</v>
      </c>
      <c r="M257" s="25" t="str">
        <f>_xlfn.XLOOKUP(C257,'00_SKU_Master'!$B$2:$B$2000,'00_SKU_Master'!$D$2:$D$2000)</f>
        <v>COSTCO</v>
      </c>
      <c r="N257" s="25">
        <f t="shared" si="11"/>
        <v>110</v>
      </c>
    </row>
    <row r="258" spans="2:14" x14ac:dyDescent="0.35">
      <c r="B258" s="25" t="str">
        <f>IF(C258="","",_xlfn.XLOOKUP(C258,'00_SKU_Master'!$B$2:$B$2000,'00_SKU_Master'!$J$2:$J$2000,""))</f>
        <v>MB COS HA DRUMS AC</v>
      </c>
      <c r="C258" s="25">
        <v>201855</v>
      </c>
      <c r="D258" s="16">
        <f>_xlfn.XLOOKUP(C258,'02_TrayPack_Order'!$B$3:$B$265,'02_TrayPack_Order'!$D$3:$D$265)</f>
        <v>0</v>
      </c>
      <c r="E258" s="17">
        <f>_xlfn.XLOOKUP(C258,'02_TrayPack_Order'!$B$3:$B$265,'02_TrayPack_Order'!$M$3:$M$265,0)</f>
        <v>-1</v>
      </c>
      <c r="F258" s="16">
        <f>SUMIF('13_Progress_Track'!$A$2:$A$108,C258,'13_Progress_Track'!$E$2:$E$108)</f>
        <v>0</v>
      </c>
      <c r="G258" s="16">
        <f t="shared" si="9"/>
        <v>1</v>
      </c>
      <c r="H258" s="16">
        <f t="shared" si="10"/>
        <v>0</v>
      </c>
      <c r="I258" s="25">
        <f>_xlfn.IFNA(_xlfn.XLOOKUP(C258,'00_SKU_Master'!$B$2:$B$2000,'00_SKU_Master'!$C$2:$C$2000),"")</f>
        <v>61072</v>
      </c>
      <c r="J258" s="97">
        <f>IFERROR(_xlfn.XLOOKUP(C258,'00_SKU_Master'!$B$2:$B$2000,'00_SKU_Master'!$F$2:$F$2000,0)*N258,0)</f>
        <v>0</v>
      </c>
      <c r="K258" s="96" t="str">
        <f>_xlfn.IFNA(_xlfn.XLOOKUP(C258,'00_SKU_Master'!$B$2:$B$2000,'00_SKU_Master'!$H$2:$H$2000,0),"")</f>
        <v>LT 14D</v>
      </c>
      <c r="L258" s="96" t="str">
        <f>_xlfn.IFNA(_xlfn.XLOOKUP(C258,'00_SKU_Master'!$B$2:$B$2000,'00_SKU_Master'!$K$2:$K$2000,0),"")</f>
        <v>Fast</v>
      </c>
      <c r="M258" s="25" t="str">
        <f>_xlfn.XLOOKUP(C258,'00_SKU_Master'!$B$2:$B$2000,'00_SKU_Master'!$D$2:$D$2000)</f>
        <v>COSTCO</v>
      </c>
      <c r="N258" s="25">
        <f t="shared" si="11"/>
        <v>0</v>
      </c>
    </row>
    <row r="259" spans="2:14" x14ac:dyDescent="0.35">
      <c r="B259" s="25" t="str">
        <f>IF(C259="","",_xlfn.XLOOKUP(C259,'00_SKU_Master'!$B$2:$B$2000,'00_SKU_Master'!$J$2:$J$2000,""))</f>
        <v>MB COS HA SPLIT WING AC</v>
      </c>
      <c r="C259" s="25">
        <v>201856</v>
      </c>
      <c r="D259" s="16">
        <f>_xlfn.XLOOKUP(C259,'02_TrayPack_Order'!$B$3:$B$265,'02_TrayPack_Order'!$D$3:$D$265)</f>
        <v>0</v>
      </c>
      <c r="E259" s="17">
        <f>_xlfn.XLOOKUP(C259,'02_TrayPack_Order'!$B$3:$B$265,'02_TrayPack_Order'!$M$3:$M$265,0)</f>
        <v>0</v>
      </c>
      <c r="F259" s="16">
        <f>SUMIF('13_Progress_Track'!$A$2:$A$108,C259,'13_Progress_Track'!$E$2:$E$108)</f>
        <v>0</v>
      </c>
      <c r="G259" s="16">
        <f t="shared" ref="G259:G271" si="12">IF(F259&gt;(D259+E259),(F259-(D259+E259)),0)</f>
        <v>0</v>
      </c>
      <c r="H259" s="16">
        <f t="shared" ref="H259:H271" si="13">IF(G259&gt;0,0,D259+E259-F259)</f>
        <v>0</v>
      </c>
      <c r="I259" s="25">
        <f>_xlfn.IFNA(_xlfn.XLOOKUP(C259,'00_SKU_Master'!$B$2:$B$2000,'00_SKU_Master'!$C$2:$C$2000),"")</f>
        <v>61014</v>
      </c>
      <c r="J259" s="97">
        <f>IFERROR(_xlfn.XLOOKUP(C259,'00_SKU_Master'!$B$2:$B$2000,'00_SKU_Master'!$F$2:$F$2000,0)*N259,0)</f>
        <v>0</v>
      </c>
      <c r="K259" s="96" t="str">
        <f>_xlfn.IFNA(_xlfn.XLOOKUP(C259,'00_SKU_Master'!$B$2:$B$2000,'00_SKU_Master'!$H$2:$H$2000,0),"")</f>
        <v>LT 14D</v>
      </c>
      <c r="L259" s="96" t="str">
        <f>_xlfn.IFNA(_xlfn.XLOOKUP(C259,'00_SKU_Master'!$B$2:$B$2000,'00_SKU_Master'!$K$2:$K$2000,0),"")</f>
        <v>Slow</v>
      </c>
      <c r="M259" s="25" t="str">
        <f>_xlfn.XLOOKUP(C259,'00_SKU_Master'!$B$2:$B$2000,'00_SKU_Master'!$D$2:$D$2000)</f>
        <v>COSTCO</v>
      </c>
      <c r="N259" s="25">
        <f t="shared" ref="N259:N271" si="14">IF((D259-F259)&lt;0,0,D259-F259)</f>
        <v>0</v>
      </c>
    </row>
    <row r="260" spans="2:14" x14ac:dyDescent="0.35">
      <c r="B260" s="25" t="str">
        <f>IF(C260="","",_xlfn.XLOOKUP(C260,'00_SKU_Master'!$B$2:$B$2000,'00_SKU_Master'!$J$2:$J$2000,""))</f>
        <v>MS ZH THIGH AC LT PP BSK</v>
      </c>
      <c r="C260" s="25">
        <v>207101</v>
      </c>
      <c r="D260" s="16">
        <f>_xlfn.XLOOKUP(C260,'02_TrayPack_Order'!$B$3:$B$265,'02_TrayPack_Order'!$D$3:$D$265)</f>
        <v>0</v>
      </c>
      <c r="E260" s="17">
        <f>_xlfn.XLOOKUP(C260,'02_TrayPack_Order'!$B$3:$B$265,'02_TrayPack_Order'!$M$3:$M$265,0)</f>
        <v>0</v>
      </c>
      <c r="F260" s="16">
        <f>SUMIF('13_Progress_Track'!$A$2:$A$108,C260,'13_Progress_Track'!$E$2:$E$108)</f>
        <v>0</v>
      </c>
      <c r="G260" s="16">
        <f t="shared" si="12"/>
        <v>0</v>
      </c>
      <c r="H260" s="16">
        <f t="shared" si="13"/>
        <v>0</v>
      </c>
      <c r="I260" s="25">
        <f>_xlfn.IFNA(_xlfn.XLOOKUP(C260,'00_SKU_Master'!$B$2:$B$2000,'00_SKU_Master'!$C$2:$C$2000),"")</f>
        <v>61077</v>
      </c>
      <c r="J260" s="97">
        <f>IFERROR(_xlfn.XLOOKUP(C260,'00_SKU_Master'!$B$2:$B$2000,'00_SKU_Master'!$F$2:$F$2000,0)*N260,0)</f>
        <v>0</v>
      </c>
      <c r="K260" s="96" t="str">
        <f>_xlfn.IFNA(_xlfn.XLOOKUP(C260,'00_SKU_Master'!$B$2:$B$2000,'00_SKU_Master'!$H$2:$H$2000,0),"")</f>
        <v>LT 8XP</v>
      </c>
      <c r="L260" s="96" t="str">
        <f>_xlfn.IFNA(_xlfn.XLOOKUP(C260,'00_SKU_Master'!$B$2:$B$2000,'00_SKU_Master'!$K$2:$K$2000,0),"")</f>
        <v>Fast</v>
      </c>
      <c r="M260" s="25" t="str">
        <f>_xlfn.XLOOKUP(C260,'00_SKU_Master'!$B$2:$B$2000,'00_SKU_Master'!$D$2:$D$2000)</f>
        <v>LCL</v>
      </c>
      <c r="N260" s="25">
        <f t="shared" si="14"/>
        <v>0</v>
      </c>
    </row>
    <row r="261" spans="2:14" x14ac:dyDescent="0.35">
      <c r="B261" s="25" t="str">
        <f>IF(C261="","",_xlfn.XLOOKUP(C261,'00_SKU_Master'!$B$2:$B$2000,'00_SKU_Master'!$J$2:$J$2000,""))</f>
        <v>MS ZH DRUM AC LT PP BSK</v>
      </c>
      <c r="C261" s="25">
        <v>207102</v>
      </c>
      <c r="D261" s="16">
        <f>_xlfn.XLOOKUP(C261,'02_TrayPack_Order'!$B$3:$B$265,'02_TrayPack_Order'!$D$3:$D$265)</f>
        <v>0</v>
      </c>
      <c r="E261" s="17">
        <f>_xlfn.XLOOKUP(C261,'02_TrayPack_Order'!$B$3:$B$265,'02_TrayPack_Order'!$M$3:$M$265,0)</f>
        <v>0</v>
      </c>
      <c r="F261" s="16">
        <f>SUMIF('13_Progress_Track'!$A$2:$A$108,C261,'13_Progress_Track'!$E$2:$E$108)</f>
        <v>0</v>
      </c>
      <c r="G261" s="16">
        <f t="shared" si="12"/>
        <v>0</v>
      </c>
      <c r="H261" s="16">
        <f t="shared" si="13"/>
        <v>0</v>
      </c>
      <c r="I261" s="25">
        <f>_xlfn.IFNA(_xlfn.XLOOKUP(C261,'00_SKU_Master'!$B$2:$B$2000,'00_SKU_Master'!$C$2:$C$2000),"")</f>
        <v>61072</v>
      </c>
      <c r="J261" s="97">
        <f>IFERROR(_xlfn.XLOOKUP(C261,'00_SKU_Master'!$B$2:$B$2000,'00_SKU_Master'!$F$2:$F$2000,0)*N261,0)</f>
        <v>0</v>
      </c>
      <c r="K261" s="96" t="str">
        <f>_xlfn.IFNA(_xlfn.XLOOKUP(C261,'00_SKU_Master'!$B$2:$B$2000,'00_SKU_Master'!$H$2:$H$2000,0),"")</f>
        <v>LT 8XP</v>
      </c>
      <c r="L261" s="96" t="str">
        <f>_xlfn.IFNA(_xlfn.XLOOKUP(C261,'00_SKU_Master'!$B$2:$B$2000,'00_SKU_Master'!$K$2:$K$2000,0),"")</f>
        <v>Fast</v>
      </c>
      <c r="M261" s="25" t="str">
        <f>_xlfn.XLOOKUP(C261,'00_SKU_Master'!$B$2:$B$2000,'00_SKU_Master'!$D$2:$D$2000)</f>
        <v>LCL</v>
      </c>
      <c r="N261" s="25">
        <f t="shared" si="14"/>
        <v>0</v>
      </c>
    </row>
    <row r="262" spans="2:14" x14ac:dyDescent="0.35">
      <c r="B262" s="25" t="str">
        <f>IF(C262="","",_xlfn.XLOOKUP(C262,'00_SKU_Master'!$B$2:$B$2000,'00_SKU_Master'!$J$2:$J$2000,""))</f>
        <v>HALAL MS ZH FRY WOG AC TI ST</v>
      </c>
      <c r="C262" s="25">
        <v>207103</v>
      </c>
      <c r="D262" s="16">
        <f>_xlfn.XLOOKUP(C262,'02_TrayPack_Order'!$B$3:$B$265,'02_TrayPack_Order'!$D$3:$D$265)</f>
        <v>0</v>
      </c>
      <c r="E262" s="17">
        <f>_xlfn.XLOOKUP(C262,'02_TrayPack_Order'!$B$3:$B$265,'02_TrayPack_Order'!$M$3:$M$265,0)</f>
        <v>0</v>
      </c>
      <c r="F262" s="16">
        <f>SUMIF('13_Progress_Track'!$A$2:$A$108,C262,'13_Progress_Track'!$E$2:$E$108)</f>
        <v>0</v>
      </c>
      <c r="G262" s="16">
        <f t="shared" si="12"/>
        <v>0</v>
      </c>
      <c r="H262" s="16">
        <f t="shared" si="13"/>
        <v>0</v>
      </c>
      <c r="I262" s="25">
        <f>_xlfn.IFNA(_xlfn.XLOOKUP(C262,'00_SKU_Master'!$B$2:$B$2000,'00_SKU_Master'!$C$2:$C$2000),"")</f>
        <v>203136</v>
      </c>
      <c r="J262" s="97">
        <f>IFERROR(_xlfn.XLOOKUP(C262,'00_SKU_Master'!$B$2:$B$2000,'00_SKU_Master'!$F$2:$F$2000,0)*N262,0)</f>
        <v>0</v>
      </c>
      <c r="K262" s="96" t="str">
        <f>_xlfn.IFNA(_xlfn.XLOOKUP(C262,'00_SKU_Master'!$B$2:$B$2000,'00_SKU_Master'!$H$2:$H$2000,0),"")</f>
        <v>ST 3XP</v>
      </c>
      <c r="L262" s="96" t="str">
        <f>_xlfn.IFNA(_xlfn.XLOOKUP(C262,'00_SKU_Master'!$B$2:$B$2000,'00_SKU_Master'!$K$2:$K$2000,0),"")</f>
        <v>Fast</v>
      </c>
      <c r="M262" s="25" t="str">
        <f>_xlfn.XLOOKUP(C262,'00_SKU_Master'!$B$2:$B$2000,'00_SKU_Master'!$D$2:$D$2000)</f>
        <v>LCL</v>
      </c>
      <c r="N262" s="25">
        <f t="shared" si="14"/>
        <v>0</v>
      </c>
    </row>
    <row r="263" spans="2:14" x14ac:dyDescent="0.35">
      <c r="B263" s="25" t="str">
        <f>IF(C263="","",_xlfn.XLOOKUP(C263,'00_SKU_Master'!$B$2:$B$2000,'00_SKU_Master'!$J$2:$J$2000,""))</f>
        <v>MS LCL BSHB AC 8D  BSK</v>
      </c>
      <c r="C263" s="25">
        <v>207104</v>
      </c>
      <c r="D263" s="16">
        <f>_xlfn.XLOOKUP(C263,'02_TrayPack_Order'!$B$3:$B$265,'02_TrayPack_Order'!$D$3:$D$265)</f>
        <v>0</v>
      </c>
      <c r="E263" s="17">
        <f>_xlfn.XLOOKUP(C263,'02_TrayPack_Order'!$B$3:$B$265,'02_TrayPack_Order'!$M$3:$M$265,0)</f>
        <v>0</v>
      </c>
      <c r="F263" s="16">
        <f>SUMIF('13_Progress_Track'!$A$2:$A$108,C263,'13_Progress_Track'!$E$2:$E$108)</f>
        <v>0</v>
      </c>
      <c r="G263" s="16">
        <f t="shared" si="12"/>
        <v>0</v>
      </c>
      <c r="H263" s="16">
        <f t="shared" si="13"/>
        <v>0</v>
      </c>
      <c r="I263" s="25">
        <f>_xlfn.IFNA(_xlfn.XLOOKUP(C263,'00_SKU_Master'!$B$2:$B$2000,'00_SKU_Master'!$C$2:$C$2000),"")</f>
        <v>61050</v>
      </c>
      <c r="J263" s="97">
        <f>IFERROR(_xlfn.XLOOKUP(C263,'00_SKU_Master'!$B$2:$B$2000,'00_SKU_Master'!$F$2:$F$2000,0)*N263,0)</f>
        <v>0</v>
      </c>
      <c r="K263" s="96" t="str">
        <f>_xlfn.IFNA(_xlfn.XLOOKUP(C263,'00_SKU_Master'!$B$2:$B$2000,'00_SKU_Master'!$H$2:$H$2000,0),"")</f>
        <v>PET 8</v>
      </c>
      <c r="L263" s="96" t="str">
        <f>_xlfn.IFNA(_xlfn.XLOOKUP(C263,'00_SKU_Master'!$B$2:$B$2000,'00_SKU_Master'!$K$2:$K$2000,0),"")</f>
        <v>Fast</v>
      </c>
      <c r="M263" s="25" t="str">
        <f>_xlfn.XLOOKUP(C263,'00_SKU_Master'!$B$2:$B$2000,'00_SKU_Master'!$D$2:$D$2000)</f>
        <v>LCL</v>
      </c>
      <c r="N263" s="25">
        <f t="shared" si="14"/>
        <v>0</v>
      </c>
    </row>
    <row r="264" spans="2:14" x14ac:dyDescent="0.35">
      <c r="B264" s="25" t="str">
        <f>IF(C264="","",_xlfn.XLOOKUP(C264,'00_SKU_Master'!$B$2:$B$2000,'00_SKU_Master'!$J$2:$J$2000,""))</f>
        <v>MS ZH LCL SPL WING AC 6D BSK</v>
      </c>
      <c r="C264" s="25">
        <v>207127</v>
      </c>
      <c r="D264" s="16">
        <f>_xlfn.XLOOKUP(C264,'02_TrayPack_Order'!$B$3:$B$265,'02_TrayPack_Order'!$D$3:$D$265)</f>
        <v>0</v>
      </c>
      <c r="E264" s="17">
        <f>_xlfn.XLOOKUP(C264,'02_TrayPack_Order'!$B$3:$B$265,'02_TrayPack_Order'!$M$3:$M$265,0)</f>
        <v>0</v>
      </c>
      <c r="F264" s="16">
        <f>SUMIF('13_Progress_Track'!$A$2:$A$108,C264,'13_Progress_Track'!$E$2:$E$108)</f>
        <v>0</v>
      </c>
      <c r="G264" s="16">
        <f t="shared" si="12"/>
        <v>0</v>
      </c>
      <c r="H264" s="16">
        <f t="shared" si="13"/>
        <v>0</v>
      </c>
      <c r="I264" s="25">
        <f>_xlfn.IFNA(_xlfn.XLOOKUP(C264,'00_SKU_Master'!$B$2:$B$2000,'00_SKU_Master'!$C$2:$C$2000),"")</f>
        <v>61014</v>
      </c>
      <c r="J264" s="97">
        <f>IFERROR(_xlfn.XLOOKUP(C264,'00_SKU_Master'!$B$2:$B$2000,'00_SKU_Master'!$F$2:$F$2000,0)*N264,0)</f>
        <v>0</v>
      </c>
      <c r="K264" s="96" t="str">
        <f>_xlfn.IFNA(_xlfn.XLOOKUP(C264,'00_SKU_Master'!$B$2:$B$2000,'00_SKU_Master'!$H$2:$H$2000,0),"")</f>
        <v>LT 6D</v>
      </c>
      <c r="L264" s="96" t="str">
        <f>_xlfn.IFNA(_xlfn.XLOOKUP(C264,'00_SKU_Master'!$B$2:$B$2000,'00_SKU_Master'!$K$2:$K$2000,0),"")</f>
        <v>Slow</v>
      </c>
      <c r="M264" s="25" t="str">
        <f>_xlfn.XLOOKUP(C264,'00_SKU_Master'!$B$2:$B$2000,'00_SKU_Master'!$D$2:$D$2000)</f>
        <v>LCL</v>
      </c>
      <c r="N264" s="25">
        <f t="shared" si="14"/>
        <v>0</v>
      </c>
    </row>
    <row r="265" spans="2:14" x14ac:dyDescent="0.35">
      <c r="B265" s="25" t="str">
        <f>IF(C265="","",_xlfn.XLOOKUP(C265,'00_SKU_Master'!$B$2:$B$2000,'00_SKU_Master'!$J$2:$J$2000,""))</f>
        <v>MS ZH LCL FRY WOG AC TI BSK</v>
      </c>
      <c r="C265" s="25">
        <v>207128</v>
      </c>
      <c r="D265" s="16">
        <f>_xlfn.XLOOKUP(C265,'02_TrayPack_Order'!$B$3:$B$265,'02_TrayPack_Order'!$D$3:$D$265)</f>
        <v>0</v>
      </c>
      <c r="E265" s="17">
        <f>_xlfn.XLOOKUP(C265,'02_TrayPack_Order'!$B$3:$B$265,'02_TrayPack_Order'!$M$3:$M$265,0)</f>
        <v>0</v>
      </c>
      <c r="F265" s="16">
        <f>SUMIF('13_Progress_Track'!$A$2:$A$108,C265,'13_Progress_Track'!$E$2:$E$108)</f>
        <v>0</v>
      </c>
      <c r="G265" s="16">
        <f t="shared" si="12"/>
        <v>0</v>
      </c>
      <c r="H265" s="16">
        <f t="shared" si="13"/>
        <v>0</v>
      </c>
      <c r="I265" s="25">
        <f>_xlfn.IFNA(_xlfn.XLOOKUP(C265,'00_SKU_Master'!$B$2:$B$2000,'00_SKU_Master'!$C$2:$C$2000),"")</f>
        <v>203021</v>
      </c>
      <c r="J265" s="97">
        <f>IFERROR(_xlfn.XLOOKUP(C265,'00_SKU_Master'!$B$2:$B$2000,'00_SKU_Master'!$F$2:$F$2000,0)*N265,0)</f>
        <v>0</v>
      </c>
      <c r="K265" s="96" t="str">
        <f>_xlfn.IFNA(_xlfn.XLOOKUP(C265,'00_SKU_Master'!$B$2:$B$2000,'00_SKU_Master'!$H$2:$H$2000,0),"")</f>
        <v>ST 3XP</v>
      </c>
      <c r="L265" s="96" t="str">
        <f>_xlfn.IFNA(_xlfn.XLOOKUP(C265,'00_SKU_Master'!$B$2:$B$2000,'00_SKU_Master'!$K$2:$K$2000,0),"")</f>
        <v>Fast</v>
      </c>
      <c r="M265" s="25" t="str">
        <f>_xlfn.XLOOKUP(C265,'00_SKU_Master'!$B$2:$B$2000,'00_SKU_Master'!$D$2:$D$2000)</f>
        <v>LCL</v>
      </c>
      <c r="N265" s="25">
        <f t="shared" si="14"/>
        <v>0</v>
      </c>
    </row>
    <row r="266" spans="2:14" x14ac:dyDescent="0.35">
      <c r="B266" s="78" t="str">
        <f>IF(C266="","",_xlfn.XLOOKUP(C266,'00_SKU_Master'!$B$2:$B$2000,'00_SKU_Master'!$J$2:$J$2000,""))</f>
        <v/>
      </c>
      <c r="C266" s="78"/>
      <c r="D266" s="99" t="e">
        <f>_xlfn.XLOOKUP(C266,'02_TrayPack_Order'!$B$3:$B$265,'02_TrayPack_Order'!$D$3:$D$265)</f>
        <v>#N/A</v>
      </c>
      <c r="E266" s="98">
        <f>_xlfn.XLOOKUP(C266,'02_TrayPack_Order'!$B$3:$B$265,'02_TrayPack_Order'!$M$3:$M$265,0)</f>
        <v>0</v>
      </c>
      <c r="F266" s="99">
        <f>SUMIF('13_Progress_Track'!$A$2:$A$108,C266,'13_Progress_Track'!$E$2:$E$108)</f>
        <v>0</v>
      </c>
      <c r="G266" s="99" t="e">
        <f t="shared" si="12"/>
        <v>#N/A</v>
      </c>
      <c r="H266" s="99" t="e">
        <f t="shared" si="13"/>
        <v>#N/A</v>
      </c>
      <c r="I266" s="78">
        <f>_xlfn.IFNA(_xlfn.XLOOKUP(C266,'00_SKU_Master'!$B$2:$B$2000,'00_SKU_Master'!$C$2:$C$2000),"")</f>
        <v>0</v>
      </c>
      <c r="J266" s="78">
        <f>IFERROR(_xlfn.XLOOKUP(C266,'00_SKU_Master'!$B$2:$B$2000,'00_SKU_Master'!$F$2:$F$2000,0)*N266,0)</f>
        <v>0</v>
      </c>
      <c r="K266" s="78">
        <f>_xlfn.IFNA(_xlfn.XLOOKUP(C266,'00_SKU_Master'!$B$2:$B$2000,'00_SKU_Master'!$H$2:$H$2000,0),"")</f>
        <v>0</v>
      </c>
      <c r="L266" s="78">
        <f>_xlfn.IFNA(_xlfn.XLOOKUP(C266,'00_SKU_Master'!$B$2:$B$2000,'00_SKU_Master'!$K$2:$K$2000,0),"")</f>
        <v>0</v>
      </c>
      <c r="M266" s="78">
        <f>_xlfn.XLOOKUP(C266,'00_SKU_Master'!$B$2:$B$2000,'00_SKU_Master'!$D$2:$D$2000)</f>
        <v>0</v>
      </c>
      <c r="N266" s="78" t="e">
        <f t="shared" si="14"/>
        <v>#N/A</v>
      </c>
    </row>
    <row r="267" spans="2:14" x14ac:dyDescent="0.35">
      <c r="B267" s="78" t="str">
        <f>IF(C267="","",_xlfn.XLOOKUP(C267,'00_SKU_Master'!$B$2:$B$2000,'00_SKU_Master'!$J$2:$J$2000,""))</f>
        <v/>
      </c>
      <c r="C267" s="78"/>
      <c r="D267" s="99" t="e">
        <f>_xlfn.XLOOKUP(C267,'02_TrayPack_Order'!$B$3:$B$265,'02_TrayPack_Order'!$D$3:$D$265)</f>
        <v>#N/A</v>
      </c>
      <c r="E267" s="99">
        <f>_xlfn.XLOOKUP(C267,'02_TrayPack_Order'!$B$3:$B$265,'02_TrayPack_Order'!$M$3:$M$265,0)</f>
        <v>0</v>
      </c>
      <c r="F267" s="99">
        <f>SUMIF('13_Progress_Track'!$A$2:$A$108,C267,'13_Progress_Track'!$E$2:$E$108)</f>
        <v>0</v>
      </c>
      <c r="G267" s="99" t="e">
        <f t="shared" si="12"/>
        <v>#N/A</v>
      </c>
      <c r="H267" s="99" t="e">
        <f t="shared" si="13"/>
        <v>#N/A</v>
      </c>
      <c r="I267" s="78">
        <f>_xlfn.IFNA(_xlfn.XLOOKUP(C267,'00_SKU_Master'!$B$2:$B$2000,'00_SKU_Master'!$C$2:$C$2000),"")</f>
        <v>0</v>
      </c>
      <c r="J267" s="78">
        <f>IFERROR(_xlfn.XLOOKUP(C267,'00_SKU_Master'!$B$2:$B$2000,'00_SKU_Master'!$F$2:$F$2000,0)*N267,0)</f>
        <v>0</v>
      </c>
      <c r="K267" s="78">
        <f>_xlfn.IFNA(_xlfn.XLOOKUP(C267,'00_SKU_Master'!$B$2:$B$2000,'00_SKU_Master'!$H$2:$H$2000,0),"")</f>
        <v>0</v>
      </c>
      <c r="L267" s="78">
        <f>_xlfn.IFNA(_xlfn.XLOOKUP(C267,'00_SKU_Master'!$B$2:$B$2000,'00_SKU_Master'!$K$2:$K$2000,0),"")</f>
        <v>0</v>
      </c>
      <c r="M267" s="78">
        <f>_xlfn.XLOOKUP(C267,'00_SKU_Master'!$B$2:$B$2000,'00_SKU_Master'!$D$2:$D$2000)</f>
        <v>0</v>
      </c>
      <c r="N267" s="78" t="e">
        <f t="shared" si="14"/>
        <v>#N/A</v>
      </c>
    </row>
    <row r="268" spans="2:14" x14ac:dyDescent="0.35">
      <c r="B268" s="100" t="str">
        <f>IF(C268="","",_xlfn.XLOOKUP(C268,'00_SKU_Master'!$B$2:$B$2000,'00_SKU_Master'!$J$2:$J$2000,""))</f>
        <v/>
      </c>
      <c r="C268" s="281"/>
      <c r="D268" s="101" t="e">
        <f>_xlfn.XLOOKUP(C268,'02_TrayPack_Order'!$B$3:$B$265,'02_TrayPack_Order'!$D$3:$D$265)</f>
        <v>#N/A</v>
      </c>
      <c r="E268" s="100">
        <f>_xlfn.XLOOKUP(C268,'02_TrayPack_Order'!$B$3:$B$265,'02_TrayPack_Order'!$M$3:$M$265,0)</f>
        <v>0</v>
      </c>
      <c r="F268" s="100">
        <f>SUMIF('13_Progress_Track'!$A$2:$A$108,C268,'13_Progress_Track'!$E$2:$E$108)</f>
        <v>0</v>
      </c>
      <c r="G268" s="99" t="e">
        <f t="shared" si="12"/>
        <v>#N/A</v>
      </c>
      <c r="H268" s="99" t="e">
        <f t="shared" si="13"/>
        <v>#N/A</v>
      </c>
      <c r="I268" s="100">
        <f>_xlfn.IFNA(_xlfn.XLOOKUP(C268,'00_SKU_Master'!$B$2:$B$2000,'00_SKU_Master'!$C$2:$C$2000),"")</f>
        <v>0</v>
      </c>
      <c r="J268" s="78">
        <f>IFERROR(_xlfn.XLOOKUP(C268,'00_SKU_Master'!$B$2:$B$2000,'00_SKU_Master'!$F$2:$F$2000,0)*N268,0)</f>
        <v>0</v>
      </c>
      <c r="K268" s="100">
        <f>_xlfn.IFNA(_xlfn.XLOOKUP(C268,'00_SKU_Master'!$B$2:$B$2000,'00_SKU_Master'!$H$2:$H$2000,0),"")</f>
        <v>0</v>
      </c>
      <c r="L268" s="100">
        <f>_xlfn.IFNA(_xlfn.XLOOKUP(C268,'00_SKU_Master'!$B$2:$B$2000,'00_SKU_Master'!$K$2:$K$2000,0),"")</f>
        <v>0</v>
      </c>
      <c r="M268" s="78">
        <f>_xlfn.XLOOKUP(C268,'00_SKU_Master'!$B$2:$B$2000,'00_SKU_Master'!$D$2:$D$2000)</f>
        <v>0</v>
      </c>
      <c r="N268" s="100" t="e">
        <f t="shared" si="14"/>
        <v>#N/A</v>
      </c>
    </row>
    <row r="269" spans="2:14" x14ac:dyDescent="0.35">
      <c r="B269" s="100" t="str">
        <f>IF(C269="","",_xlfn.XLOOKUP(C269,'00_SKU_Master'!$B$2:$B$2000,'00_SKU_Master'!$J$2:$J$2000,""))</f>
        <v/>
      </c>
      <c r="C269" s="100"/>
      <c r="D269" s="101" t="e">
        <f>_xlfn.XLOOKUP(C269,'02_TrayPack_Order'!$B$3:$B$265,'02_TrayPack_Order'!$D$3:$D$265)</f>
        <v>#N/A</v>
      </c>
      <c r="E269" s="100">
        <f>_xlfn.XLOOKUP(C269,'02_TrayPack_Order'!$B$3:$B$265,'02_TrayPack_Order'!$M$3:$M$265,0)</f>
        <v>0</v>
      </c>
      <c r="F269" s="100">
        <f>SUMIF('13_Progress_Track'!$A$2:$A$108,C269,'13_Progress_Track'!$E$2:$E$108)</f>
        <v>0</v>
      </c>
      <c r="G269" s="100" t="e">
        <f t="shared" si="12"/>
        <v>#N/A</v>
      </c>
      <c r="H269" s="100" t="e">
        <f t="shared" si="13"/>
        <v>#N/A</v>
      </c>
      <c r="I269" s="100">
        <f>_xlfn.IFNA(_xlfn.XLOOKUP(C269,'00_SKU_Master'!$B$2:$B$2000,'00_SKU_Master'!$C$2:$C$2000),"")</f>
        <v>0</v>
      </c>
      <c r="J269" s="78">
        <f>IFERROR(_xlfn.XLOOKUP(C269,'00_SKU_Master'!$B$2:$B$2000,'00_SKU_Master'!$F$2:$F$2000,0)*N269,0)</f>
        <v>0</v>
      </c>
      <c r="K269" s="100">
        <f>_xlfn.IFNA(_xlfn.XLOOKUP(C269,'00_SKU_Master'!$B$2:$B$2000,'00_SKU_Master'!$H$2:$H$2000,0),"")</f>
        <v>0</v>
      </c>
      <c r="L269" s="100">
        <f>_xlfn.IFNA(_xlfn.XLOOKUP(C269,'00_SKU_Master'!$B$2:$B$2000,'00_SKU_Master'!$K$2:$K$2000,0),"")</f>
        <v>0</v>
      </c>
      <c r="M269" s="100">
        <f>_xlfn.XLOOKUP(C269,'00_SKU_Master'!$B$2:$B$2000,'00_SKU_Master'!$D$2:$D$2000)</f>
        <v>0</v>
      </c>
      <c r="N269" s="100" t="e">
        <f t="shared" si="14"/>
        <v>#N/A</v>
      </c>
    </row>
    <row r="270" spans="2:14" x14ac:dyDescent="0.35">
      <c r="B270" s="100" t="str">
        <f>IF(C270="","",_xlfn.XLOOKUP(C270,'00_SKU_Master'!$B$2:$B$2000,'00_SKU_Master'!$J$2:$J$2000,""))</f>
        <v/>
      </c>
      <c r="C270" s="100"/>
      <c r="D270" s="101" t="e">
        <f>_xlfn.XLOOKUP(C270,'02_TrayPack_Order'!$B$3:$B$265,'02_TrayPack_Order'!$D$3:$D$265)</f>
        <v>#N/A</v>
      </c>
      <c r="E270" s="100">
        <f>_xlfn.XLOOKUP(C270,'02_TrayPack_Order'!$B$3:$B$265,'02_TrayPack_Order'!$M$3:$M$265,0)</f>
        <v>0</v>
      </c>
      <c r="F270" s="100">
        <f>SUMIF('13_Progress_Track'!$A$2:$A$108,C270,'13_Progress_Track'!$E$2:$E$108)</f>
        <v>0</v>
      </c>
      <c r="G270" s="100" t="e">
        <f t="shared" si="12"/>
        <v>#N/A</v>
      </c>
      <c r="H270" s="100" t="e">
        <f t="shared" si="13"/>
        <v>#N/A</v>
      </c>
      <c r="I270" s="100">
        <f>_xlfn.IFNA(_xlfn.XLOOKUP(C270,'00_SKU_Master'!$B$2:$B$2000,'00_SKU_Master'!$C$2:$C$2000),"")</f>
        <v>0</v>
      </c>
      <c r="J270" s="78">
        <f>IFERROR(_xlfn.XLOOKUP(C270,'00_SKU_Master'!$B$2:$B$2000,'00_SKU_Master'!$F$2:$F$2000,0)*N270,0)</f>
        <v>0</v>
      </c>
      <c r="K270" s="100">
        <f>_xlfn.IFNA(_xlfn.XLOOKUP(C270,'00_SKU_Master'!$B$2:$B$2000,'00_SKU_Master'!$H$2:$H$2000,0),"")</f>
        <v>0</v>
      </c>
      <c r="L270" s="100">
        <f>_xlfn.IFNA(_xlfn.XLOOKUP(C270,'00_SKU_Master'!$B$2:$B$2000,'00_SKU_Master'!$K$2:$K$2000,0),"")</f>
        <v>0</v>
      </c>
      <c r="M270" s="100">
        <f>_xlfn.XLOOKUP(C270,'00_SKU_Master'!$B$2:$B$2000,'00_SKU_Master'!$D$2:$D$2000)</f>
        <v>0</v>
      </c>
      <c r="N270" s="100" t="e">
        <f t="shared" si="14"/>
        <v>#N/A</v>
      </c>
    </row>
    <row r="271" spans="2:14" x14ac:dyDescent="0.35">
      <c r="B271" s="100" t="str">
        <f>IF(C271="","",_xlfn.XLOOKUP(C271,'00_SKU_Master'!$B$2:$B$2000,'00_SKU_Master'!$J$2:$J$2000,""))</f>
        <v/>
      </c>
      <c r="C271" s="100"/>
      <c r="D271" s="101" t="e">
        <f>_xlfn.XLOOKUP(C271,'02_TrayPack_Order'!$B$3:$B$265,'02_TrayPack_Order'!$D$3:$D$265)</f>
        <v>#N/A</v>
      </c>
      <c r="E271" s="100">
        <f>_xlfn.XLOOKUP(C271,'02_TrayPack_Order'!$B$3:$B$265,'02_TrayPack_Order'!$M$3:$M$265,0)</f>
        <v>0</v>
      </c>
      <c r="F271" s="100">
        <f>SUMIF('13_Progress_Track'!$A$2:$A$108,C271,'13_Progress_Track'!$E$2:$E$108)</f>
        <v>0</v>
      </c>
      <c r="G271" s="100" t="e">
        <f t="shared" si="12"/>
        <v>#N/A</v>
      </c>
      <c r="H271" s="100" t="e">
        <f t="shared" si="13"/>
        <v>#N/A</v>
      </c>
      <c r="I271" s="100">
        <f>_xlfn.IFNA(_xlfn.XLOOKUP(C271,'00_SKU_Master'!$B$2:$B$2000,'00_SKU_Master'!$C$2:$C$2000),"")</f>
        <v>0</v>
      </c>
      <c r="J271" s="78">
        <f>IFERROR(_xlfn.XLOOKUP(C271,'00_SKU_Master'!$B$2:$B$2000,'00_SKU_Master'!$F$2:$F$2000,0)*N271,0)</f>
        <v>0</v>
      </c>
      <c r="K271" s="100">
        <f>_xlfn.IFNA(_xlfn.XLOOKUP(C271,'00_SKU_Master'!$B$2:$B$2000,'00_SKU_Master'!$H$2:$H$2000,0),"")</f>
        <v>0</v>
      </c>
      <c r="L271" s="100">
        <f>_xlfn.IFNA(_xlfn.XLOOKUP(C271,'00_SKU_Master'!$B$2:$B$2000,'00_SKU_Master'!$K$2:$K$2000,0),"")</f>
        <v>0</v>
      </c>
      <c r="M271" s="100">
        <f>_xlfn.XLOOKUP(C271,'00_SKU_Master'!$B$2:$B$2000,'00_SKU_Master'!$D$2:$D$2000)</f>
        <v>0</v>
      </c>
      <c r="N271" s="100" t="e">
        <f t="shared" si="14"/>
        <v>#N/A</v>
      </c>
    </row>
  </sheetData>
  <sheetProtection sheet="1" objects="1" scenarios="1"/>
  <autoFilter ref="B2:N271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AD47"/>
  </sheetPr>
  <dimension ref="A2:L55"/>
  <sheetViews>
    <sheetView workbookViewId="0"/>
  </sheetViews>
  <sheetFormatPr defaultColWidth="8.81640625" defaultRowHeight="14.5" x14ac:dyDescent="0.35"/>
  <cols>
    <col min="1" max="1" width="2.1796875" customWidth="1"/>
    <col min="2" max="5" width="11.1796875" customWidth="1"/>
    <col min="6" max="6" width="2.26953125" customWidth="1"/>
    <col min="7" max="7" width="21.36328125" bestFit="1" customWidth="1"/>
  </cols>
  <sheetData>
    <row r="2" spans="1:12" ht="39" customHeight="1" x14ac:dyDescent="0.35">
      <c r="A2" s="77"/>
      <c r="B2" s="71" t="s">
        <v>5</v>
      </c>
      <c r="C2" s="170" t="s">
        <v>7</v>
      </c>
      <c r="D2" s="87" t="s">
        <v>480</v>
      </c>
      <c r="E2" s="71" t="s">
        <v>481</v>
      </c>
      <c r="F2" s="77"/>
      <c r="G2" s="71" t="s">
        <v>482</v>
      </c>
      <c r="H2" s="71" t="s">
        <v>483</v>
      </c>
      <c r="I2" s="71" t="s">
        <v>484</v>
      </c>
      <c r="J2" s="71" t="s">
        <v>485</v>
      </c>
    </row>
    <row r="3" spans="1:12" x14ac:dyDescent="0.35">
      <c r="A3" s="18"/>
      <c r="B3" s="88">
        <v>203021</v>
      </c>
      <c r="C3" s="171" t="str">
        <f>IFERROR(_xlfn.XLOOKUP(B3,'00_SKU_Master'!$B$2:$B$379,'00_SKU_Master'!$E$2:$E$379,""),"")</f>
        <v/>
      </c>
      <c r="D3" s="89" t="str">
        <f t="shared" ref="D3:D34" si="0">_xlfn.IFNA(_xlfn.XLOOKUP(B3,$G$3:$G$45,$I$3:$I$45),"0")</f>
        <v>0</v>
      </c>
      <c r="E3" s="89">
        <f t="shared" ref="E3:E31" si="1">D3*25</f>
        <v>0</v>
      </c>
      <c r="F3" s="19"/>
      <c r="G3" s="92">
        <v>61086</v>
      </c>
      <c r="H3" s="294">
        <v>11</v>
      </c>
      <c r="I3" s="294">
        <v>0</v>
      </c>
      <c r="J3" s="294">
        <v>11</v>
      </c>
    </row>
    <row r="4" spans="1:12" x14ac:dyDescent="0.35">
      <c r="B4" s="88">
        <v>203041</v>
      </c>
      <c r="C4" s="171" t="str">
        <f>IFERROR(_xlfn.XLOOKUP(B4,'00_SKU_Master'!$B$2:$B$379,'00_SKU_Master'!$E$2:$E$379,""),"")</f>
        <v/>
      </c>
      <c r="D4" s="89" t="str">
        <f t="shared" si="0"/>
        <v>0</v>
      </c>
      <c r="E4" s="89">
        <f t="shared" si="1"/>
        <v>0</v>
      </c>
      <c r="F4" s="19"/>
      <c r="G4" s="92">
        <v>61072</v>
      </c>
      <c r="H4" s="294">
        <v>0</v>
      </c>
      <c r="I4" s="294">
        <v>0</v>
      </c>
      <c r="J4" s="294">
        <v>0</v>
      </c>
      <c r="K4" s="18"/>
      <c r="L4" s="18"/>
    </row>
    <row r="5" spans="1:12" x14ac:dyDescent="0.35">
      <c r="A5" s="18"/>
      <c r="B5" s="88">
        <v>203135</v>
      </c>
      <c r="C5" s="171" t="str">
        <f>IFERROR(_xlfn.XLOOKUP(B5,'00_SKU_Master'!$B$2:$B$379,'00_SKU_Master'!$E$2:$E$379,""),"")</f>
        <v/>
      </c>
      <c r="D5" s="89" t="str">
        <f t="shared" si="0"/>
        <v>0</v>
      </c>
      <c r="E5" s="89">
        <f t="shared" si="1"/>
        <v>0</v>
      </c>
      <c r="F5" s="19"/>
      <c r="G5" s="92">
        <v>61050</v>
      </c>
      <c r="H5" s="294">
        <v>0</v>
      </c>
      <c r="I5" s="294">
        <v>0</v>
      </c>
      <c r="J5" s="294">
        <v>0</v>
      </c>
    </row>
    <row r="6" spans="1:12" x14ac:dyDescent="0.35">
      <c r="A6" s="18"/>
      <c r="B6" s="88">
        <v>203136</v>
      </c>
      <c r="C6" s="171" t="str">
        <f>IFERROR(_xlfn.XLOOKUP(B6,'00_SKU_Master'!$B$2:$B$379,'00_SKU_Master'!$E$2:$E$379,""),"")</f>
        <v/>
      </c>
      <c r="D6" s="89" t="str">
        <f t="shared" si="0"/>
        <v>0</v>
      </c>
      <c r="E6" s="89">
        <f t="shared" si="1"/>
        <v>0</v>
      </c>
      <c r="F6" s="19"/>
      <c r="G6" s="92">
        <v>61014</v>
      </c>
      <c r="H6" s="294">
        <v>4</v>
      </c>
      <c r="I6" s="294">
        <v>34</v>
      </c>
      <c r="J6" s="294">
        <v>-30</v>
      </c>
    </row>
    <row r="7" spans="1:12" x14ac:dyDescent="0.35">
      <c r="A7" s="18"/>
      <c r="B7" s="88">
        <v>203151</v>
      </c>
      <c r="C7" s="171" t="str">
        <f>IFERROR(_xlfn.XLOOKUP(B7,'00_SKU_Master'!$B$2:$B$379,'00_SKU_Master'!$E$2:$E$379,""),"")</f>
        <v/>
      </c>
      <c r="D7" s="89" t="str">
        <f t="shared" si="0"/>
        <v>0</v>
      </c>
      <c r="E7" s="89">
        <f t="shared" si="1"/>
        <v>0</v>
      </c>
      <c r="F7" s="19"/>
      <c r="G7" s="92">
        <v>61040</v>
      </c>
      <c r="H7" s="294">
        <v>0</v>
      </c>
      <c r="I7" s="294">
        <v>0</v>
      </c>
      <c r="J7" s="294">
        <v>0</v>
      </c>
    </row>
    <row r="8" spans="1:12" x14ac:dyDescent="0.35">
      <c r="A8" s="18"/>
      <c r="B8" s="88">
        <v>203152</v>
      </c>
      <c r="C8" s="171" t="str">
        <f>IFERROR(_xlfn.XLOOKUP(B8,'00_SKU_Master'!$B$2:$B$379,'00_SKU_Master'!$E$2:$E$379,""),"")</f>
        <v/>
      </c>
      <c r="D8" s="89" t="str">
        <f t="shared" si="0"/>
        <v>0</v>
      </c>
      <c r="E8" s="89">
        <f t="shared" si="1"/>
        <v>0</v>
      </c>
      <c r="F8" s="19"/>
      <c r="G8" s="92">
        <v>61048</v>
      </c>
      <c r="H8" s="294">
        <v>0</v>
      </c>
      <c r="I8" s="294">
        <v>0</v>
      </c>
      <c r="J8" s="294">
        <v>0</v>
      </c>
    </row>
    <row r="9" spans="1:12" x14ac:dyDescent="0.35">
      <c r="A9" s="18"/>
      <c r="B9" s="88">
        <v>203891</v>
      </c>
      <c r="C9" s="171">
        <f>IFERROR(_xlfn.XLOOKUP(B9,'00_SKU_Master'!$B$2:$B$379,'00_SKU_Master'!$E$2:$E$379,""),"")</f>
        <v>0</v>
      </c>
      <c r="D9" s="89">
        <f t="shared" si="0"/>
        <v>65</v>
      </c>
      <c r="E9" s="89">
        <f t="shared" si="1"/>
        <v>1625</v>
      </c>
      <c r="F9" s="19"/>
      <c r="G9" s="92">
        <v>61077</v>
      </c>
      <c r="H9" s="294">
        <v>45</v>
      </c>
      <c r="I9" s="294">
        <v>10</v>
      </c>
      <c r="J9" s="294">
        <v>35</v>
      </c>
    </row>
    <row r="10" spans="1:12" x14ac:dyDescent="0.35">
      <c r="A10" s="18"/>
      <c r="B10" s="88">
        <v>61010</v>
      </c>
      <c r="C10" s="171" t="str">
        <f>IFERROR(_xlfn.XLOOKUP(B10,'00_SKU_Master'!$B$2:$B$379,'00_SKU_Master'!$E$2:$E$379,""),"")</f>
        <v>Wing</v>
      </c>
      <c r="D10" s="89">
        <f t="shared" si="0"/>
        <v>0</v>
      </c>
      <c r="E10" s="89">
        <f t="shared" si="1"/>
        <v>0</v>
      </c>
      <c r="F10" s="19"/>
      <c r="G10" s="92" t="s">
        <v>117</v>
      </c>
      <c r="H10" s="294">
        <v>5</v>
      </c>
      <c r="I10" s="295">
        <v>46</v>
      </c>
      <c r="J10" s="294">
        <v>-41</v>
      </c>
    </row>
    <row r="11" spans="1:12" x14ac:dyDescent="0.35">
      <c r="A11" s="18"/>
      <c r="B11" s="90">
        <v>61014</v>
      </c>
      <c r="C11" s="171" t="str">
        <f>IFERROR(_xlfn.XLOOKUP(B11,'00_SKU_Master'!$B$2:$B$379,'00_SKU_Master'!$E$2:$E$379,""),"")</f>
        <v>SplitWing</v>
      </c>
      <c r="D11" s="89">
        <f t="shared" si="0"/>
        <v>34</v>
      </c>
      <c r="E11" s="89">
        <f t="shared" si="1"/>
        <v>850</v>
      </c>
      <c r="F11" s="19"/>
      <c r="G11" s="92" t="s">
        <v>124</v>
      </c>
      <c r="H11" s="294">
        <v>90</v>
      </c>
      <c r="I11" s="294">
        <v>117</v>
      </c>
      <c r="J11" s="294">
        <v>-27</v>
      </c>
    </row>
    <row r="12" spans="1:12" x14ac:dyDescent="0.35">
      <c r="A12" s="18"/>
      <c r="B12" s="90" t="s">
        <v>99</v>
      </c>
      <c r="C12" s="171" t="str">
        <f>IFERROR(_xlfn.XLOOKUP(B12,'00_SKU_Master'!$B$2:$B$379,'00_SKU_Master'!$E$2:$E$379,""),"")</f>
        <v>SplitWing</v>
      </c>
      <c r="D12" s="89">
        <f t="shared" si="0"/>
        <v>0</v>
      </c>
      <c r="E12" s="89">
        <f t="shared" si="1"/>
        <v>0</v>
      </c>
      <c r="F12" s="19"/>
      <c r="G12" s="92" t="s">
        <v>109</v>
      </c>
      <c r="H12" s="294">
        <v>30</v>
      </c>
      <c r="I12" s="294">
        <v>79</v>
      </c>
      <c r="J12" s="294">
        <v>-49</v>
      </c>
    </row>
    <row r="13" spans="1:12" x14ac:dyDescent="0.35">
      <c r="A13" s="18"/>
      <c r="B13" s="90" t="s">
        <v>103</v>
      </c>
      <c r="C13" s="171" t="str">
        <f>IFERROR(_xlfn.XLOOKUP(B13,'00_SKU_Master'!$B$2:$B$379,'00_SKU_Master'!$E$2:$E$379,""),"")</f>
        <v>SplitWing</v>
      </c>
      <c r="D13" s="89">
        <f t="shared" si="0"/>
        <v>0</v>
      </c>
      <c r="E13" s="89">
        <f t="shared" si="1"/>
        <v>0</v>
      </c>
      <c r="F13" s="19"/>
      <c r="G13" s="92">
        <v>61054</v>
      </c>
      <c r="H13" s="294">
        <v>7</v>
      </c>
      <c r="I13" s="294">
        <v>4</v>
      </c>
      <c r="J13" s="294">
        <v>3</v>
      </c>
    </row>
    <row r="14" spans="1:12" x14ac:dyDescent="0.35">
      <c r="A14" s="18"/>
      <c r="B14" s="90" t="s">
        <v>101</v>
      </c>
      <c r="C14" s="171" t="str">
        <f>IFERROR(_xlfn.XLOOKUP(B14,'00_SKU_Master'!$B$2:$B$379,'00_SKU_Master'!$E$2:$E$379,""),"")</f>
        <v>SplitWing</v>
      </c>
      <c r="D14" s="89">
        <f t="shared" si="0"/>
        <v>0</v>
      </c>
      <c r="E14" s="89">
        <f t="shared" si="1"/>
        <v>0</v>
      </c>
      <c r="F14" s="19"/>
      <c r="G14" s="92" t="s">
        <v>101</v>
      </c>
      <c r="H14" s="294">
        <v>0</v>
      </c>
      <c r="I14" s="294">
        <v>0</v>
      </c>
      <c r="J14" s="294">
        <v>0</v>
      </c>
    </row>
    <row r="15" spans="1:12" x14ac:dyDescent="0.35">
      <c r="A15" s="18"/>
      <c r="B15" s="90">
        <v>61016</v>
      </c>
      <c r="C15" s="171" t="str">
        <f>IFERROR(_xlfn.XLOOKUP(B15,'00_SKU_Master'!$B$2:$B$379,'00_SKU_Master'!$E$2:$E$379,""),"")</f>
        <v>SplitWing</v>
      </c>
      <c r="D15" s="89" t="str">
        <f t="shared" si="0"/>
        <v>0</v>
      </c>
      <c r="E15" s="89">
        <f t="shared" si="1"/>
        <v>0</v>
      </c>
      <c r="F15" s="19"/>
      <c r="G15" s="92" t="s">
        <v>111</v>
      </c>
      <c r="H15" s="294">
        <v>10</v>
      </c>
      <c r="I15" s="294">
        <v>0</v>
      </c>
      <c r="J15" s="294">
        <v>10</v>
      </c>
    </row>
    <row r="16" spans="1:12" x14ac:dyDescent="0.35">
      <c r="A16" s="18"/>
      <c r="B16" s="90">
        <v>61018</v>
      </c>
      <c r="C16" s="171" t="str">
        <f>IFERROR(_xlfn.XLOOKUP(B16,'00_SKU_Master'!$B$2:$B$379,'00_SKU_Master'!$E$2:$E$379,""),"")</f>
        <v>Wing</v>
      </c>
      <c r="D16" s="89">
        <f t="shared" si="0"/>
        <v>0</v>
      </c>
      <c r="E16" s="89">
        <f t="shared" si="1"/>
        <v>0</v>
      </c>
      <c r="F16" s="19"/>
      <c r="G16" s="92">
        <v>61052</v>
      </c>
      <c r="H16" s="294">
        <v>0</v>
      </c>
      <c r="I16" s="294">
        <v>0</v>
      </c>
      <c r="J16" s="294">
        <v>0</v>
      </c>
    </row>
    <row r="17" spans="1:12" x14ac:dyDescent="0.35">
      <c r="B17" s="91">
        <v>61040</v>
      </c>
      <c r="C17" s="171" t="str">
        <f>IFERROR(_xlfn.XLOOKUP(B17,'00_SKU_Master'!$B$2:$B$379,'00_SKU_Master'!$E$2:$E$379,""),"")</f>
        <v>SplitBreast</v>
      </c>
      <c r="D17" s="89">
        <f t="shared" si="0"/>
        <v>0</v>
      </c>
      <c r="E17" s="89">
        <f t="shared" si="1"/>
        <v>0</v>
      </c>
      <c r="F17" s="19"/>
      <c r="G17" s="92">
        <v>61078</v>
      </c>
      <c r="H17" s="294">
        <v>131</v>
      </c>
      <c r="I17" s="294">
        <v>99</v>
      </c>
      <c r="J17" s="294">
        <v>32</v>
      </c>
      <c r="K17" s="18"/>
      <c r="L17" s="18"/>
    </row>
    <row r="18" spans="1:12" x14ac:dyDescent="0.35">
      <c r="B18" s="91" t="s">
        <v>104</v>
      </c>
      <c r="C18" s="171" t="str">
        <f>IFERROR(_xlfn.XLOOKUP(B18,'00_SKU_Master'!$B$2:$B$379,'00_SKU_Master'!$E$2:$E$379,""),"")</f>
        <v>SplitBreast</v>
      </c>
      <c r="D18" s="89">
        <f t="shared" si="0"/>
        <v>0</v>
      </c>
      <c r="E18" s="89">
        <f t="shared" si="1"/>
        <v>0</v>
      </c>
      <c r="F18" s="19"/>
      <c r="G18" s="92" t="s">
        <v>107</v>
      </c>
      <c r="H18" s="294">
        <v>419</v>
      </c>
      <c r="I18" s="294">
        <v>145</v>
      </c>
      <c r="J18" s="294">
        <v>274</v>
      </c>
      <c r="K18" s="18"/>
      <c r="L18" s="18"/>
    </row>
    <row r="19" spans="1:12" x14ac:dyDescent="0.35">
      <c r="B19" s="92">
        <v>61042</v>
      </c>
      <c r="C19" s="171" t="str">
        <f>IFERROR(_xlfn.XLOOKUP(B19,'00_SKU_Master'!$B$2:$B$379,'00_SKU_Master'!$E$2:$E$379,""),"")</f>
        <v>SplitBreast</v>
      </c>
      <c r="D19" s="89" t="str">
        <f t="shared" si="0"/>
        <v>0</v>
      </c>
      <c r="E19" s="89">
        <f t="shared" si="1"/>
        <v>0</v>
      </c>
      <c r="F19" s="72"/>
      <c r="G19" s="92" t="s">
        <v>122</v>
      </c>
      <c r="H19" s="294">
        <v>57</v>
      </c>
      <c r="I19" s="294">
        <v>46</v>
      </c>
      <c r="J19" s="294">
        <v>11</v>
      </c>
      <c r="K19" s="18"/>
      <c r="L19" s="18"/>
    </row>
    <row r="20" spans="1:12" x14ac:dyDescent="0.35">
      <c r="B20" s="88">
        <v>61048</v>
      </c>
      <c r="C20" s="171" t="str">
        <f>IFERROR(_xlfn.XLOOKUP(B20,'00_SKU_Master'!$B$2:$B$379,'00_SKU_Master'!$E$2:$E$379,""),"")</f>
        <v>SplitBreast</v>
      </c>
      <c r="D20" s="89">
        <f t="shared" si="0"/>
        <v>0</v>
      </c>
      <c r="E20" s="89">
        <f t="shared" si="1"/>
        <v>0</v>
      </c>
      <c r="F20" s="19"/>
      <c r="G20" s="92" t="s">
        <v>115</v>
      </c>
      <c r="H20" s="294">
        <v>0</v>
      </c>
      <c r="I20" s="294">
        <v>0</v>
      </c>
      <c r="J20" s="294">
        <v>0</v>
      </c>
      <c r="K20" s="18"/>
      <c r="L20" s="18"/>
    </row>
    <row r="21" spans="1:12" x14ac:dyDescent="0.35">
      <c r="A21" s="18"/>
      <c r="B21" s="88" t="s">
        <v>105</v>
      </c>
      <c r="C21" s="171" t="str">
        <f>IFERROR(_xlfn.XLOOKUP(B21,'00_SKU_Master'!$B$2:$B$379,'00_SKU_Master'!$E$2:$E$379,""),"")</f>
        <v>SplitBreast</v>
      </c>
      <c r="D21" s="89">
        <f t="shared" si="0"/>
        <v>19</v>
      </c>
      <c r="E21" s="89">
        <f t="shared" si="1"/>
        <v>475</v>
      </c>
      <c r="F21" s="19"/>
      <c r="G21" s="92" t="s">
        <v>100</v>
      </c>
      <c r="H21" s="294">
        <v>0</v>
      </c>
      <c r="I21" s="294">
        <v>0</v>
      </c>
      <c r="J21" s="294">
        <v>0</v>
      </c>
    </row>
    <row r="22" spans="1:12" x14ac:dyDescent="0.35">
      <c r="A22" s="18"/>
      <c r="B22" s="88">
        <v>61049</v>
      </c>
      <c r="C22" s="171" t="str">
        <f>IFERROR(_xlfn.XLOOKUP(B22,'00_SKU_Master'!$B$2:$B$379,'00_SKU_Master'!$E$2:$E$379,""),"")</f>
        <v>SplitBreast</v>
      </c>
      <c r="D22" s="89" t="str">
        <f t="shared" si="0"/>
        <v>0</v>
      </c>
      <c r="E22" s="89">
        <f t="shared" si="1"/>
        <v>0</v>
      </c>
      <c r="F22" s="19"/>
      <c r="G22" s="92" t="s">
        <v>104</v>
      </c>
      <c r="H22" s="294">
        <v>0</v>
      </c>
      <c r="I22" s="294">
        <v>0</v>
      </c>
      <c r="J22" s="294">
        <v>0</v>
      </c>
    </row>
    <row r="23" spans="1:12" x14ac:dyDescent="0.35">
      <c r="A23" s="18"/>
      <c r="B23" s="88">
        <v>61050</v>
      </c>
      <c r="C23" s="171" t="str">
        <f>IFERROR(_xlfn.XLOOKUP(B23,'00_SKU_Master'!$B$2:$B$379,'00_SKU_Master'!$E$2:$E$379,""),"")</f>
        <v>BSB</v>
      </c>
      <c r="D23" s="89">
        <f t="shared" si="0"/>
        <v>0</v>
      </c>
      <c r="E23" s="89">
        <f t="shared" si="1"/>
        <v>0</v>
      </c>
      <c r="F23" s="19"/>
      <c r="G23" s="92" t="s">
        <v>105</v>
      </c>
      <c r="H23" s="294">
        <v>0</v>
      </c>
      <c r="I23" s="294">
        <v>19</v>
      </c>
      <c r="J23" s="294">
        <v>-19</v>
      </c>
    </row>
    <row r="24" spans="1:12" x14ac:dyDescent="0.35">
      <c r="A24" s="18"/>
      <c r="B24" s="88" t="s">
        <v>26</v>
      </c>
      <c r="C24" s="171" t="str">
        <f>IFERROR(_xlfn.XLOOKUP(B24,'00_SKU_Master'!$B$2:$B$379,'00_SKU_Master'!$E$2:$E$379,""),"")</f>
        <v>BSB</v>
      </c>
      <c r="D24" s="89">
        <f t="shared" si="0"/>
        <v>113</v>
      </c>
      <c r="E24" s="89">
        <f t="shared" si="1"/>
        <v>2825</v>
      </c>
      <c r="F24" s="19"/>
      <c r="G24" s="92" t="s">
        <v>26</v>
      </c>
      <c r="H24" s="294">
        <v>11</v>
      </c>
      <c r="I24" s="294">
        <v>113</v>
      </c>
      <c r="J24" s="294">
        <v>-102</v>
      </c>
    </row>
    <row r="25" spans="1:12" x14ac:dyDescent="0.35">
      <c r="A25" s="18"/>
      <c r="B25" s="88" t="s">
        <v>107</v>
      </c>
      <c r="C25" s="171" t="str">
        <f>IFERROR(_xlfn.XLOOKUP(B25,'00_SKU_Master'!$B$2:$B$379,'00_SKU_Master'!$E$2:$E$379,""),"")</f>
        <v>BSB</v>
      </c>
      <c r="D25" s="89">
        <f t="shared" si="0"/>
        <v>145</v>
      </c>
      <c r="E25" s="89">
        <f t="shared" si="1"/>
        <v>3625</v>
      </c>
      <c r="F25" s="19"/>
      <c r="G25" s="92">
        <v>61061</v>
      </c>
      <c r="H25" s="294">
        <v>161</v>
      </c>
      <c r="I25" s="294">
        <v>63</v>
      </c>
      <c r="J25" s="294">
        <v>98</v>
      </c>
    </row>
    <row r="26" spans="1:12" x14ac:dyDescent="0.35">
      <c r="A26" s="18"/>
      <c r="B26" s="88" t="s">
        <v>109</v>
      </c>
      <c r="C26" s="171" t="str">
        <f>IFERROR(_xlfn.XLOOKUP(B26,'00_SKU_Master'!$B$2:$B$379,'00_SKU_Master'!$E$2:$E$379,""),"")</f>
        <v>BSB</v>
      </c>
      <c r="D26" s="89">
        <f t="shared" si="0"/>
        <v>79</v>
      </c>
      <c r="E26" s="89">
        <f t="shared" si="1"/>
        <v>1975</v>
      </c>
      <c r="F26" s="19"/>
      <c r="G26" s="92">
        <v>61082</v>
      </c>
      <c r="H26" s="294">
        <v>104</v>
      </c>
      <c r="I26" s="294">
        <v>66</v>
      </c>
      <c r="J26" s="294">
        <v>38</v>
      </c>
    </row>
    <row r="27" spans="1:12" x14ac:dyDescent="0.35">
      <c r="A27" s="18"/>
      <c r="B27" s="88">
        <v>61051</v>
      </c>
      <c r="C27" s="171" t="str">
        <f>IFERROR(_xlfn.XLOOKUP(B27,'00_SKU_Master'!$B$2:$B$379,'00_SKU_Master'!$E$2:$E$379,""),"")</f>
        <v>BSB</v>
      </c>
      <c r="D27" s="89" t="str">
        <f t="shared" si="0"/>
        <v>0</v>
      </c>
      <c r="E27" s="89">
        <f t="shared" si="1"/>
        <v>0</v>
      </c>
      <c r="F27" s="19"/>
      <c r="G27" s="92" t="s">
        <v>21</v>
      </c>
      <c r="H27" s="294">
        <v>12</v>
      </c>
      <c r="I27" s="294">
        <v>17</v>
      </c>
      <c r="J27" s="294">
        <v>-5</v>
      </c>
    </row>
    <row r="28" spans="1:12" x14ac:dyDescent="0.35">
      <c r="A28" s="18"/>
      <c r="B28" s="88">
        <v>61052</v>
      </c>
      <c r="C28" s="171" t="str">
        <f>IFERROR(_xlfn.XLOOKUP(B28,'00_SKU_Master'!$B$2:$B$379,'00_SKU_Master'!$E$2:$E$379,""),"")</f>
        <v/>
      </c>
      <c r="D28" s="89">
        <f t="shared" si="0"/>
        <v>0</v>
      </c>
      <c r="E28" s="89">
        <f t="shared" si="1"/>
        <v>0</v>
      </c>
      <c r="F28" s="19"/>
      <c r="G28" s="92" t="s">
        <v>113</v>
      </c>
      <c r="H28" s="294">
        <v>0</v>
      </c>
      <c r="I28" s="294">
        <v>25</v>
      </c>
      <c r="J28" s="294">
        <v>-25</v>
      </c>
    </row>
    <row r="29" spans="1:12" x14ac:dyDescent="0.35">
      <c r="A29" s="18"/>
      <c r="B29" s="88">
        <v>61054</v>
      </c>
      <c r="C29" s="171" t="str">
        <f>IFERROR(_xlfn.XLOOKUP(B29,'00_SKU_Master'!$B$2:$B$379,'00_SKU_Master'!$E$2:$E$379,""),"")</f>
        <v>FILLET</v>
      </c>
      <c r="D29" s="89">
        <f t="shared" si="0"/>
        <v>4</v>
      </c>
      <c r="E29" s="89">
        <f t="shared" si="1"/>
        <v>100</v>
      </c>
      <c r="F29" s="19"/>
      <c r="G29" s="92">
        <v>61010</v>
      </c>
      <c r="H29" s="294">
        <v>10</v>
      </c>
      <c r="I29" s="294">
        <v>0</v>
      </c>
      <c r="J29" s="294">
        <v>10</v>
      </c>
    </row>
    <row r="30" spans="1:12" x14ac:dyDescent="0.35">
      <c r="A30" s="18"/>
      <c r="B30" s="88">
        <v>61055</v>
      </c>
      <c r="C30" s="171" t="str">
        <f>IFERROR(_xlfn.XLOOKUP(B30,'00_SKU_Master'!$B$2:$B$379,'00_SKU_Master'!$E$2:$E$379,""),"")</f>
        <v>WOF</v>
      </c>
      <c r="D30" s="89">
        <f t="shared" si="0"/>
        <v>0</v>
      </c>
      <c r="E30" s="89">
        <f t="shared" si="1"/>
        <v>0</v>
      </c>
      <c r="F30" s="19"/>
      <c r="G30" s="92">
        <v>61104</v>
      </c>
      <c r="H30" s="294">
        <v>8</v>
      </c>
      <c r="I30" s="294">
        <v>8</v>
      </c>
      <c r="J30" s="294">
        <v>0</v>
      </c>
    </row>
    <row r="31" spans="1:12" x14ac:dyDescent="0.35">
      <c r="A31" s="18"/>
      <c r="B31" s="88">
        <v>61061</v>
      </c>
      <c r="C31" s="171" t="str">
        <f>IFERROR(_xlfn.XLOOKUP(B31,'00_SKU_Master'!$B$2:$B$379,'00_SKU_Master'!$E$2:$E$379,""),"")</f>
        <v>BA</v>
      </c>
      <c r="D31" s="89">
        <f t="shared" si="0"/>
        <v>63</v>
      </c>
      <c r="E31" s="89">
        <f t="shared" si="1"/>
        <v>1575</v>
      </c>
      <c r="F31" s="19"/>
      <c r="G31" s="92">
        <v>61121</v>
      </c>
      <c r="H31" s="294">
        <v>2</v>
      </c>
      <c r="I31" s="294">
        <v>0</v>
      </c>
      <c r="J31" s="294">
        <v>2</v>
      </c>
    </row>
    <row r="32" spans="1:12" x14ac:dyDescent="0.35">
      <c r="A32" s="18"/>
      <c r="B32" s="88">
        <v>61062</v>
      </c>
      <c r="C32" s="171" t="str">
        <f>IFERROR(_xlfn.XLOOKUP(B32,'00_SKU_Master'!$B$2:$B$379,'00_SKU_Master'!$E$2:$E$379,""),"")</f>
        <v>BA</v>
      </c>
      <c r="D32" s="89">
        <f t="shared" si="0"/>
        <v>1610</v>
      </c>
      <c r="E32" s="89">
        <f>D32</f>
        <v>1610</v>
      </c>
      <c r="F32" s="19"/>
      <c r="G32" s="92" t="s">
        <v>99</v>
      </c>
      <c r="H32" s="294">
        <v>0</v>
      </c>
      <c r="I32" s="294">
        <v>0</v>
      </c>
      <c r="J32" s="294">
        <v>0</v>
      </c>
    </row>
    <row r="33" spans="1:11" x14ac:dyDescent="0.35">
      <c r="A33" s="18"/>
      <c r="B33" s="88">
        <v>61064</v>
      </c>
      <c r="C33" s="171" t="str">
        <f>IFERROR(_xlfn.XLOOKUP(B33,'00_SKU_Master'!$B$2:$B$379,'00_SKU_Master'!$E$2:$E$379,""),"")</f>
        <v>BSB</v>
      </c>
      <c r="D33" s="89" t="str">
        <f t="shared" si="0"/>
        <v>0</v>
      </c>
      <c r="E33" s="89">
        <f t="shared" ref="E33:E39" si="2">D33*25</f>
        <v>0</v>
      </c>
      <c r="F33" s="19"/>
      <c r="G33" s="92">
        <v>61055</v>
      </c>
      <c r="H33" s="294">
        <v>0</v>
      </c>
      <c r="I33" s="294">
        <v>0</v>
      </c>
      <c r="J33" s="294">
        <v>0</v>
      </c>
    </row>
    <row r="34" spans="1:11" x14ac:dyDescent="0.35">
      <c r="A34" s="18"/>
      <c r="B34" s="88">
        <v>61069</v>
      </c>
      <c r="C34" s="171" t="str">
        <f>IFERROR(_xlfn.XLOOKUP(B34,'00_SKU_Master'!$B$2:$B$379,'00_SKU_Master'!$E$2:$E$379,""),"")</f>
        <v>BSB</v>
      </c>
      <c r="D34" s="89" t="str">
        <f t="shared" si="0"/>
        <v>0</v>
      </c>
      <c r="E34" s="89">
        <f t="shared" si="2"/>
        <v>0</v>
      </c>
      <c r="F34" s="19"/>
      <c r="G34" s="92">
        <v>203043</v>
      </c>
      <c r="H34" s="294">
        <v>91</v>
      </c>
      <c r="I34" s="294">
        <v>95</v>
      </c>
      <c r="J34" s="294">
        <v>-4</v>
      </c>
    </row>
    <row r="35" spans="1:11" x14ac:dyDescent="0.35">
      <c r="A35" s="18"/>
      <c r="B35" s="88">
        <v>61070</v>
      </c>
      <c r="C35" s="171" t="str">
        <f>IFERROR(_xlfn.XLOOKUP(B35,'00_SKU_Master'!$B$2:$B$379,'00_SKU_Master'!$E$2:$E$379,""),"")</f>
        <v>BSB</v>
      </c>
      <c r="D35" s="89" t="str">
        <f t="shared" ref="D35:D53" si="3">_xlfn.IFNA(_xlfn.XLOOKUP(B35,$G$3:$G$45,$I$3:$I$45),"0")</f>
        <v>0</v>
      </c>
      <c r="E35" s="89">
        <f t="shared" si="2"/>
        <v>0</v>
      </c>
      <c r="F35" s="19"/>
      <c r="G35" s="92">
        <v>203891</v>
      </c>
      <c r="H35" s="294">
        <v>86</v>
      </c>
      <c r="I35" s="294">
        <v>65</v>
      </c>
      <c r="J35" s="294">
        <v>21</v>
      </c>
    </row>
    <row r="36" spans="1:11" x14ac:dyDescent="0.35">
      <c r="B36" s="88">
        <v>61071</v>
      </c>
      <c r="C36" s="171" t="str">
        <f>IFERROR(_xlfn.XLOOKUP(B36,'00_SKU_Master'!$B$2:$B$379,'00_SKU_Master'!$E$2:$E$379,""),"")</f>
        <v/>
      </c>
      <c r="D36" s="89" t="str">
        <f t="shared" si="3"/>
        <v>0</v>
      </c>
      <c r="E36" s="89">
        <f t="shared" si="2"/>
        <v>0</v>
      </c>
      <c r="F36" s="19"/>
      <c r="G36" s="92">
        <v>203044</v>
      </c>
      <c r="H36" s="294">
        <v>251</v>
      </c>
      <c r="I36" s="294">
        <v>245</v>
      </c>
      <c r="J36" s="294">
        <v>6</v>
      </c>
      <c r="K36" s="18"/>
    </row>
    <row r="37" spans="1:11" x14ac:dyDescent="0.35">
      <c r="B37" s="88">
        <v>61072</v>
      </c>
      <c r="C37" s="171" t="str">
        <f>IFERROR(_xlfn.XLOOKUP(B37,'00_SKU_Master'!$B$2:$B$379,'00_SKU_Master'!$E$2:$E$379,""),"")</f>
        <v>Drum</v>
      </c>
      <c r="D37" s="89">
        <f t="shared" si="3"/>
        <v>0</v>
      </c>
      <c r="E37" s="89">
        <f t="shared" si="2"/>
        <v>0</v>
      </c>
      <c r="F37" s="19"/>
      <c r="G37" s="92" t="s">
        <v>486</v>
      </c>
      <c r="H37" s="294">
        <v>14</v>
      </c>
      <c r="I37" s="294">
        <v>0</v>
      </c>
      <c r="J37" s="294">
        <v>14</v>
      </c>
      <c r="K37" s="18"/>
    </row>
    <row r="38" spans="1:11" x14ac:dyDescent="0.35">
      <c r="B38" s="92" t="s">
        <v>113</v>
      </c>
      <c r="C38" s="171" t="str">
        <f>IFERROR(_xlfn.XLOOKUP(B38,'00_SKU_Master'!$B$2:$B$379,'00_SKU_Master'!$E$2:$E$379,""),"")</f>
        <v>Drum</v>
      </c>
      <c r="D38" s="89">
        <f t="shared" si="3"/>
        <v>25</v>
      </c>
      <c r="E38" s="89">
        <f t="shared" si="2"/>
        <v>625</v>
      </c>
      <c r="F38" s="73"/>
      <c r="G38" s="92" t="s">
        <v>487</v>
      </c>
      <c r="H38" s="294">
        <v>150</v>
      </c>
      <c r="I38" s="294">
        <v>0</v>
      </c>
      <c r="J38" s="294">
        <v>150</v>
      </c>
      <c r="K38" s="18"/>
    </row>
    <row r="39" spans="1:11" x14ac:dyDescent="0.35">
      <c r="B39" s="93" t="s">
        <v>117</v>
      </c>
      <c r="C39" s="171" t="str">
        <f>IFERROR(_xlfn.XLOOKUP(B39,'00_SKU_Master'!$B$2:$B$379,'00_SKU_Master'!$E$2:$E$379,""),"")</f>
        <v>Drum</v>
      </c>
      <c r="D39" s="89">
        <f t="shared" si="3"/>
        <v>46</v>
      </c>
      <c r="E39" s="89">
        <f t="shared" si="2"/>
        <v>1150</v>
      </c>
      <c r="F39" s="74"/>
      <c r="G39" s="92" t="s">
        <v>488</v>
      </c>
      <c r="H39" s="294">
        <v>240</v>
      </c>
      <c r="I39" s="294">
        <v>0</v>
      </c>
      <c r="J39" s="294">
        <v>240</v>
      </c>
      <c r="K39" s="18"/>
    </row>
    <row r="40" spans="1:11" x14ac:dyDescent="0.35">
      <c r="B40" s="93">
        <v>61073</v>
      </c>
      <c r="C40" s="171" t="str">
        <f>IFERROR(_xlfn.XLOOKUP(B40,'00_SKU_Master'!$B$2:$B$379,'00_SKU_Master'!$E$2:$E$379,""),"")</f>
        <v>Drum</v>
      </c>
      <c r="D40" s="89">
        <f t="shared" si="3"/>
        <v>1292</v>
      </c>
      <c r="E40" s="89">
        <f>D40</f>
        <v>1292</v>
      </c>
      <c r="F40" s="74"/>
      <c r="G40" s="92" t="s">
        <v>489</v>
      </c>
      <c r="H40" s="294">
        <v>0</v>
      </c>
      <c r="I40" s="294">
        <v>0</v>
      </c>
      <c r="J40" s="294">
        <v>0</v>
      </c>
      <c r="K40" s="18"/>
    </row>
    <row r="41" spans="1:11" x14ac:dyDescent="0.35">
      <c r="B41" s="93">
        <v>61074</v>
      </c>
      <c r="C41" s="171" t="str">
        <f>IFERROR(_xlfn.XLOOKUP(B41,'00_SKU_Master'!$B$2:$B$379,'00_SKU_Master'!$E$2:$E$379,""),"")</f>
        <v>Drum</v>
      </c>
      <c r="D41" s="89" t="str">
        <f t="shared" si="3"/>
        <v>0</v>
      </c>
      <c r="E41" s="89">
        <f t="shared" ref="E41:E53" si="4">D41*25</f>
        <v>0</v>
      </c>
      <c r="F41" s="74"/>
      <c r="G41" s="92" t="s">
        <v>490</v>
      </c>
      <c r="H41" s="294">
        <v>0</v>
      </c>
      <c r="I41" s="294">
        <v>0</v>
      </c>
      <c r="J41" s="294">
        <v>0</v>
      </c>
      <c r="K41" s="18"/>
    </row>
    <row r="42" spans="1:11" x14ac:dyDescent="0.35">
      <c r="B42" s="93">
        <v>61077</v>
      </c>
      <c r="C42" s="171" t="str">
        <f>IFERROR(_xlfn.XLOOKUP(B42,'00_SKU_Master'!$B$2:$B$379,'00_SKU_Master'!$E$2:$E$379,""),"")</f>
        <v>Thigh</v>
      </c>
      <c r="D42" s="89">
        <f t="shared" si="3"/>
        <v>10</v>
      </c>
      <c r="E42" s="89">
        <f t="shared" si="4"/>
        <v>250</v>
      </c>
      <c r="F42" s="74"/>
      <c r="G42" s="92">
        <v>61062</v>
      </c>
      <c r="H42" s="296">
        <v>0</v>
      </c>
      <c r="I42" s="296">
        <v>1610</v>
      </c>
      <c r="J42" s="296">
        <v>0</v>
      </c>
      <c r="K42" s="18"/>
    </row>
    <row r="43" spans="1:11" x14ac:dyDescent="0.35">
      <c r="B43" s="93" t="s">
        <v>119</v>
      </c>
      <c r="C43" s="171" t="str">
        <f>IFERROR(_xlfn.XLOOKUP(B43,'00_SKU_Master'!$B$2:$B$379,'00_SKU_Master'!$E$2:$E$379,""),"")</f>
        <v>Thigh</v>
      </c>
      <c r="D43" s="89" t="str">
        <f t="shared" si="3"/>
        <v>0</v>
      </c>
      <c r="E43" s="89">
        <f t="shared" si="4"/>
        <v>0</v>
      </c>
      <c r="F43" s="74"/>
      <c r="G43" s="92">
        <v>61073</v>
      </c>
      <c r="H43" s="296">
        <v>0</v>
      </c>
      <c r="I43" s="296">
        <v>1292</v>
      </c>
      <c r="J43" s="296">
        <v>0</v>
      </c>
      <c r="K43" s="18"/>
    </row>
    <row r="44" spans="1:11" x14ac:dyDescent="0.35">
      <c r="B44" s="93">
        <v>61078</v>
      </c>
      <c r="C44" s="171" t="str">
        <f>IFERROR(_xlfn.XLOOKUP(B44,'00_SKU_Master'!$B$2:$B$379,'00_SKU_Master'!$E$2:$E$379,""),"")</f>
        <v>Thigh</v>
      </c>
      <c r="D44" s="89">
        <f t="shared" si="3"/>
        <v>99</v>
      </c>
      <c r="E44" s="89">
        <f t="shared" si="4"/>
        <v>2475</v>
      </c>
      <c r="G44" s="84">
        <v>61018</v>
      </c>
      <c r="H44" s="296">
        <v>0</v>
      </c>
      <c r="I44" s="296">
        <v>0</v>
      </c>
      <c r="J44" s="296">
        <v>0</v>
      </c>
    </row>
    <row r="45" spans="1:11" x14ac:dyDescent="0.35">
      <c r="B45" s="93">
        <v>61079</v>
      </c>
      <c r="C45" s="171" t="str">
        <f>IFERROR(_xlfn.XLOOKUP(B45,'00_SKU_Master'!$B$2:$B$379,'00_SKU_Master'!$E$2:$E$379,""),"")</f>
        <v>Thigh</v>
      </c>
      <c r="D45" s="89" t="str">
        <f t="shared" si="3"/>
        <v>0</v>
      </c>
      <c r="E45" s="89">
        <f t="shared" si="4"/>
        <v>0</v>
      </c>
      <c r="G45" s="84" t="s">
        <v>103</v>
      </c>
      <c r="H45" s="296">
        <v>0</v>
      </c>
      <c r="I45" s="296">
        <v>0</v>
      </c>
      <c r="J45" s="296">
        <v>0</v>
      </c>
    </row>
    <row r="46" spans="1:11" x14ac:dyDescent="0.35">
      <c r="B46" s="93">
        <v>61082</v>
      </c>
      <c r="C46" s="171" t="str">
        <f>IFERROR(_xlfn.XLOOKUP(B46,'00_SKU_Master'!$B$2:$B$379,'00_SKU_Master'!$E$2:$E$379,""),"")</f>
        <v>Thigh</v>
      </c>
      <c r="D46" s="89">
        <f t="shared" si="3"/>
        <v>66</v>
      </c>
      <c r="E46" s="89">
        <f t="shared" si="4"/>
        <v>1650</v>
      </c>
    </row>
    <row r="47" spans="1:11" x14ac:dyDescent="0.35">
      <c r="B47" s="93">
        <v>61086</v>
      </c>
      <c r="C47" s="171" t="str">
        <f>IFERROR(_xlfn.XLOOKUP(B47,'00_SKU_Master'!$B$2:$B$379,'00_SKU_Master'!$E$2:$E$379,""),"")</f>
        <v>ThighMeat</v>
      </c>
      <c r="D47" s="89">
        <f t="shared" si="3"/>
        <v>0</v>
      </c>
      <c r="E47" s="89">
        <f t="shared" si="4"/>
        <v>0</v>
      </c>
    </row>
    <row r="48" spans="1:11" x14ac:dyDescent="0.35">
      <c r="B48" s="93" t="s">
        <v>21</v>
      </c>
      <c r="C48" s="171" t="str">
        <f>IFERROR(_xlfn.XLOOKUP(B48,'00_SKU_Master'!$B$2:$B$379,'00_SKU_Master'!$E$2:$E$379,""),"")</f>
        <v>ThighMeat</v>
      </c>
      <c r="D48" s="89">
        <f t="shared" si="3"/>
        <v>17</v>
      </c>
      <c r="E48" s="89">
        <f t="shared" si="4"/>
        <v>425</v>
      </c>
    </row>
    <row r="49" spans="2:5" x14ac:dyDescent="0.35">
      <c r="B49" s="93" t="s">
        <v>122</v>
      </c>
      <c r="C49" s="171" t="str">
        <f>IFERROR(_xlfn.XLOOKUP(B49,'00_SKU_Master'!$B$2:$B$379,'00_SKU_Master'!$E$2:$E$379,""),"")</f>
        <v>ThighMeat</v>
      </c>
      <c r="D49" s="89">
        <f t="shared" si="3"/>
        <v>46</v>
      </c>
      <c r="E49" s="89">
        <f t="shared" si="4"/>
        <v>1150</v>
      </c>
    </row>
    <row r="50" spans="2:5" x14ac:dyDescent="0.35">
      <c r="B50" s="93" t="s">
        <v>124</v>
      </c>
      <c r="C50" s="171" t="str">
        <f>IFERROR(_xlfn.XLOOKUP(B50,'00_SKU_Master'!$B$2:$B$379,'00_SKU_Master'!$E$2:$E$379,""),"")</f>
        <v>ThighMeat</v>
      </c>
      <c r="D50" s="89">
        <f t="shared" si="3"/>
        <v>117</v>
      </c>
      <c r="E50" s="89">
        <f t="shared" si="4"/>
        <v>2925</v>
      </c>
    </row>
    <row r="51" spans="2:5" x14ac:dyDescent="0.35">
      <c r="B51" s="93">
        <v>61087</v>
      </c>
      <c r="C51" s="171" t="str">
        <f>IFERROR(_xlfn.XLOOKUP(B51,'00_SKU_Master'!$B$2:$B$379,'00_SKU_Master'!$E$2:$E$379,""),"")</f>
        <v>ThighMeat</v>
      </c>
      <c r="D51" s="89" t="str">
        <f t="shared" si="3"/>
        <v>0</v>
      </c>
      <c r="E51" s="89">
        <f t="shared" si="4"/>
        <v>0</v>
      </c>
    </row>
    <row r="52" spans="2:5" x14ac:dyDescent="0.35">
      <c r="B52" s="93">
        <v>61104</v>
      </c>
      <c r="C52" s="171" t="str">
        <f>IFERROR(_xlfn.XLOOKUP(B52,'00_SKU_Master'!$B$2:$B$379,'00_SKU_Master'!$E$2:$E$379,""),"")</f>
        <v>BSB</v>
      </c>
      <c r="D52" s="89">
        <f t="shared" si="3"/>
        <v>8</v>
      </c>
      <c r="E52" s="89">
        <f t="shared" si="4"/>
        <v>200</v>
      </c>
    </row>
    <row r="53" spans="2:5" x14ac:dyDescent="0.35">
      <c r="B53" s="93">
        <v>61121</v>
      </c>
      <c r="C53" s="171" t="str">
        <f>IFERROR(_xlfn.XLOOKUP(B53,'00_SKU_Master'!$B$2:$B$379,'00_SKU_Master'!$E$2:$E$379,""),"")</f>
        <v>Backbone</v>
      </c>
      <c r="D53" s="89">
        <f t="shared" si="3"/>
        <v>0</v>
      </c>
      <c r="E53" s="89">
        <f t="shared" si="4"/>
        <v>0</v>
      </c>
    </row>
    <row r="54" spans="2:5" x14ac:dyDescent="0.35">
      <c r="B54" s="93"/>
      <c r="C54" s="172"/>
      <c r="D54" s="89"/>
      <c r="E54" s="89"/>
    </row>
    <row r="55" spans="2:5" x14ac:dyDescent="0.35">
      <c r="B55" s="93"/>
      <c r="C55" s="172"/>
      <c r="D55" s="89"/>
      <c r="E55" s="89"/>
    </row>
  </sheetData>
  <sheetProtection sheet="1" objects="1" scenarios="1"/>
  <autoFilter ref="B2:J53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030A0"/>
  </sheetPr>
  <dimension ref="A1:J26"/>
  <sheetViews>
    <sheetView tabSelected="1" workbookViewId="0">
      <selection activeCell="J3" sqref="J3"/>
    </sheetView>
  </sheetViews>
  <sheetFormatPr defaultColWidth="8.81640625" defaultRowHeight="14.5" x14ac:dyDescent="0.35"/>
  <cols>
    <col min="1" max="1" width="1.1796875" customWidth="1"/>
    <col min="2" max="2" width="15.1796875" customWidth="1"/>
    <col min="3" max="3" width="8.1796875" customWidth="1"/>
    <col min="4" max="4" width="15.1796875" customWidth="1"/>
    <col min="5" max="5" width="8.1796875" customWidth="1"/>
    <col min="6" max="6" width="15.1796875" customWidth="1"/>
    <col min="7" max="7" width="8.1796875" customWidth="1"/>
  </cols>
  <sheetData>
    <row r="1" spans="1:7" ht="6" customHeight="1" x14ac:dyDescent="0.35"/>
    <row r="2" spans="1:7" ht="35" customHeight="1" x14ac:dyDescent="0.35">
      <c r="B2" s="316" t="s">
        <v>540</v>
      </c>
      <c r="C2" s="317"/>
      <c r="D2" s="316" t="s">
        <v>541</v>
      </c>
      <c r="E2" s="317"/>
      <c r="F2" s="316" t="s">
        <v>385</v>
      </c>
      <c r="G2" s="317"/>
    </row>
    <row r="3" spans="1:7" ht="21.5" customHeight="1" x14ac:dyDescent="0.35">
      <c r="B3" s="26" t="s">
        <v>542</v>
      </c>
      <c r="C3" s="282">
        <v>0.26597222222222222</v>
      </c>
      <c r="D3" s="26" t="s">
        <v>542</v>
      </c>
      <c r="E3" s="282">
        <v>0.26041666666666669</v>
      </c>
      <c r="F3" s="26"/>
      <c r="G3" s="120"/>
    </row>
    <row r="4" spans="1:7" ht="21.5" customHeight="1" x14ac:dyDescent="0.35">
      <c r="B4" s="117" t="s">
        <v>543</v>
      </c>
      <c r="C4" s="284">
        <v>0.27152777777777781</v>
      </c>
      <c r="D4" s="118" t="s">
        <v>543</v>
      </c>
      <c r="E4" s="283">
        <v>0.27083333333333331</v>
      </c>
      <c r="F4" s="117"/>
      <c r="G4" s="119"/>
    </row>
    <row r="5" spans="1:7" ht="21.5" customHeight="1" x14ac:dyDescent="0.35">
      <c r="A5" s="77"/>
      <c r="B5" s="26" t="s">
        <v>544</v>
      </c>
      <c r="C5" s="121">
        <f>SUM(E20,E21,E24)</f>
        <v>0</v>
      </c>
      <c r="D5" s="26"/>
      <c r="E5" s="121">
        <f>SUM(E22,E25)</f>
        <v>0</v>
      </c>
      <c r="F5" s="26" t="s">
        <v>544</v>
      </c>
      <c r="G5" s="121">
        <f>E23</f>
        <v>0</v>
      </c>
    </row>
    <row r="6" spans="1:7" ht="8" customHeight="1" x14ac:dyDescent="0.35">
      <c r="B6" s="112"/>
      <c r="C6" s="115"/>
      <c r="D6" s="112"/>
      <c r="E6" s="116"/>
      <c r="F6" s="112"/>
      <c r="G6" s="116"/>
    </row>
    <row r="7" spans="1:7" ht="22" customHeight="1" x14ac:dyDescent="0.35">
      <c r="B7" s="313" t="s">
        <v>545</v>
      </c>
      <c r="C7" s="315"/>
      <c r="D7" s="313" t="s">
        <v>546</v>
      </c>
      <c r="E7" s="315"/>
      <c r="F7" s="313" t="s">
        <v>385</v>
      </c>
      <c r="G7" s="315"/>
    </row>
    <row r="8" spans="1:7" ht="20" customHeight="1" x14ac:dyDescent="0.35">
      <c r="B8" s="111" t="s">
        <v>547</v>
      </c>
      <c r="C8" s="285">
        <f>'01_Cages_Plan'!F7</f>
        <v>67</v>
      </c>
      <c r="E8" s="285"/>
      <c r="G8" s="285"/>
    </row>
    <row r="9" spans="1:7" ht="20" customHeight="1" x14ac:dyDescent="0.35">
      <c r="B9" s="111" t="s">
        <v>548</v>
      </c>
      <c r="C9" s="285">
        <f>SUM('03_BulkPack_Order'!D3:D36)</f>
        <v>1861</v>
      </c>
      <c r="D9" s="107" t="s">
        <v>549</v>
      </c>
      <c r="E9" s="285">
        <f>SUM('05_Daily_Orders'!H3:H265)</f>
        <v>11905</v>
      </c>
      <c r="F9" s="111" t="s">
        <v>549</v>
      </c>
      <c r="G9" s="285">
        <f>'04_Bagging_Order'!C1</f>
        <v>570</v>
      </c>
    </row>
    <row r="10" spans="1:7" ht="20" customHeight="1" x14ac:dyDescent="0.35">
      <c r="B10" s="111" t="s">
        <v>550</v>
      </c>
      <c r="C10" s="285"/>
      <c r="D10" s="107" t="s">
        <v>551</v>
      </c>
      <c r="E10" s="285">
        <f>SUM('05_Daily_Orders'!F3:F271)</f>
        <v>0</v>
      </c>
      <c r="F10" s="111" t="s">
        <v>551</v>
      </c>
      <c r="G10" s="285">
        <f>'04_Bagging_Order'!J1</f>
        <v>0</v>
      </c>
    </row>
    <row r="11" spans="1:7" ht="20" customHeight="1" x14ac:dyDescent="0.35">
      <c r="B11" s="111" t="s">
        <v>552</v>
      </c>
      <c r="C11" s="285">
        <f>C9-C10</f>
        <v>1861</v>
      </c>
      <c r="D11" s="107" t="s">
        <v>553</v>
      </c>
      <c r="E11" s="285">
        <f>E9-E10</f>
        <v>11905</v>
      </c>
      <c r="F11" s="111" t="s">
        <v>553</v>
      </c>
      <c r="G11" s="285">
        <f>G9-G10</f>
        <v>570</v>
      </c>
    </row>
    <row r="12" spans="1:7" ht="20" customHeight="1" x14ac:dyDescent="0.35">
      <c r="B12" s="111" t="s">
        <v>554</v>
      </c>
      <c r="C12" s="285"/>
      <c r="D12" s="107"/>
      <c r="E12" s="285"/>
      <c r="F12" s="111" t="s">
        <v>554</v>
      </c>
      <c r="G12" s="285"/>
    </row>
    <row r="13" spans="1:7" ht="20" customHeight="1" x14ac:dyDescent="0.35">
      <c r="B13" s="111" t="s">
        <v>555</v>
      </c>
      <c r="C13" s="285"/>
      <c r="D13" s="107"/>
      <c r="E13" s="285"/>
      <c r="F13" s="111" t="s">
        <v>555</v>
      </c>
      <c r="G13" s="285"/>
    </row>
    <row r="14" spans="1:7" ht="20" customHeight="1" x14ac:dyDescent="0.35">
      <c r="B14" s="111" t="s">
        <v>556</v>
      </c>
      <c r="C14" s="285"/>
      <c r="D14" s="107"/>
      <c r="E14" s="285"/>
      <c r="F14" s="111"/>
      <c r="G14" s="285"/>
    </row>
    <row r="15" spans="1:7" ht="20" customHeight="1" x14ac:dyDescent="0.35">
      <c r="B15" s="111"/>
      <c r="C15" s="285"/>
      <c r="D15" s="113"/>
      <c r="E15" s="285"/>
      <c r="F15" s="111"/>
      <c r="G15" s="285"/>
    </row>
    <row r="16" spans="1:7" ht="20" customHeight="1" x14ac:dyDescent="0.35">
      <c r="B16" s="107" t="s">
        <v>557</v>
      </c>
      <c r="C16" s="285"/>
      <c r="D16" s="111" t="s">
        <v>558</v>
      </c>
      <c r="E16" s="285"/>
      <c r="F16" s="111" t="s">
        <v>558</v>
      </c>
      <c r="G16" s="285"/>
    </row>
    <row r="17" spans="2:10" ht="10" customHeight="1" x14ac:dyDescent="0.35"/>
    <row r="18" spans="2:10" x14ac:dyDescent="0.35">
      <c r="B18" s="313" t="s">
        <v>559</v>
      </c>
      <c r="C18" s="314"/>
      <c r="D18" s="314"/>
      <c r="E18" s="314"/>
      <c r="F18" s="315"/>
    </row>
    <row r="19" spans="2:10" ht="29" customHeight="1" x14ac:dyDescent="0.35">
      <c r="B19" s="102" t="s">
        <v>3</v>
      </c>
      <c r="C19" s="102" t="s">
        <v>560</v>
      </c>
      <c r="D19" s="102" t="s">
        <v>485</v>
      </c>
      <c r="E19" s="102" t="s">
        <v>561</v>
      </c>
      <c r="F19" s="103" t="s">
        <v>562</v>
      </c>
      <c r="J19" s="241"/>
    </row>
    <row r="20" spans="2:10" ht="18" customHeight="1" x14ac:dyDescent="0.35">
      <c r="B20" s="104" t="s">
        <v>563</v>
      </c>
      <c r="C20" s="114">
        <v>1730</v>
      </c>
      <c r="D20" s="105"/>
      <c r="E20" s="105"/>
      <c r="F20" s="106" t="str">
        <f t="shared" ref="F20:F26" si="0">IF(D20=0,"",E20/D20)</f>
        <v/>
      </c>
      <c r="J20" s="242"/>
    </row>
    <row r="21" spans="2:10" ht="18" customHeight="1" x14ac:dyDescent="0.35">
      <c r="B21" s="104" t="s">
        <v>564</v>
      </c>
      <c r="C21" s="114">
        <v>1733</v>
      </c>
      <c r="D21" s="105"/>
      <c r="E21" s="105"/>
      <c r="F21" s="106" t="str">
        <f t="shared" si="0"/>
        <v/>
      </c>
      <c r="J21" s="242"/>
    </row>
    <row r="22" spans="2:10" ht="18" customHeight="1" x14ac:dyDescent="0.35">
      <c r="B22" s="104" t="s">
        <v>565</v>
      </c>
      <c r="C22" s="114">
        <v>1740</v>
      </c>
      <c r="D22" s="105"/>
      <c r="E22" s="105"/>
      <c r="F22" s="106" t="str">
        <f t="shared" si="0"/>
        <v/>
      </c>
      <c r="J22" s="242"/>
    </row>
    <row r="23" spans="2:10" ht="18" customHeight="1" x14ac:dyDescent="0.35">
      <c r="B23" s="104" t="s">
        <v>385</v>
      </c>
      <c r="C23" s="114">
        <v>1743</v>
      </c>
      <c r="D23" s="105"/>
      <c r="E23" s="105"/>
      <c r="F23" s="106" t="str">
        <f t="shared" si="0"/>
        <v/>
      </c>
      <c r="J23" s="242"/>
    </row>
    <row r="24" spans="2:10" ht="18" customHeight="1" x14ac:dyDescent="0.35">
      <c r="B24" s="104" t="s">
        <v>566</v>
      </c>
      <c r="C24" s="114">
        <v>1745</v>
      </c>
      <c r="D24" s="105"/>
      <c r="E24" s="105"/>
      <c r="F24" s="106" t="str">
        <f t="shared" si="0"/>
        <v/>
      </c>
      <c r="J24" s="242"/>
    </row>
    <row r="25" spans="2:10" ht="18" customHeight="1" x14ac:dyDescent="0.35">
      <c r="B25" s="104" t="s">
        <v>567</v>
      </c>
      <c r="C25" s="114">
        <v>1775</v>
      </c>
      <c r="D25" s="105"/>
      <c r="E25" s="105"/>
      <c r="F25" s="106" t="str">
        <f t="shared" si="0"/>
        <v/>
      </c>
      <c r="J25" s="242"/>
    </row>
    <row r="26" spans="2:10" ht="18" customHeight="1" x14ac:dyDescent="0.35">
      <c r="B26" s="107"/>
      <c r="C26" s="108" t="s">
        <v>441</v>
      </c>
      <c r="D26" s="109">
        <f>SUM(D20:D25)</f>
        <v>0</v>
      </c>
      <c r="E26" s="109">
        <f>SUM(E20:E25)</f>
        <v>0</v>
      </c>
      <c r="F26" s="110" t="str">
        <f t="shared" si="0"/>
        <v/>
      </c>
    </row>
  </sheetData>
  <mergeCells count="7">
    <mergeCell ref="B18:F18"/>
    <mergeCell ref="F7:G7"/>
    <mergeCell ref="F2:G2"/>
    <mergeCell ref="B2:C2"/>
    <mergeCell ref="D7:E7"/>
    <mergeCell ref="B7:C7"/>
    <mergeCell ref="D2:E2"/>
  </mergeCells>
  <conditionalFormatting sqref="B19:B24">
    <cfRule type="cellIs" dxfId="2" priority="1" operator="lessThan">
      <formula>0.9*$B19</formula>
    </cfRule>
  </conditionalFormatting>
  <conditionalFormatting sqref="D19:D24">
    <cfRule type="cellIs" dxfId="1" priority="11" operator="lessThan">
      <formula>0.9*$B19</formula>
    </cfRule>
  </conditionalFormatting>
  <conditionalFormatting sqref="E8">
    <cfRule type="dataBar" priority="5">
      <dataBar>
        <cfvo type="num" val="0"/>
        <cfvo type="num" val="300"/>
        <color rgb="FF4472C4"/>
      </dataBar>
    </cfRule>
  </conditionalFormatting>
  <conditionalFormatting sqref="F23:F26">
    <cfRule type="colorScale" priority="3">
      <colorScale>
        <cfvo type="num" val="0"/>
        <cfvo type="num" val="85"/>
        <cfvo type="num" val="100"/>
        <color rgb="FFF8696B"/>
        <color rgb="FFFFEB84"/>
        <color rgb="FF63BE7B"/>
      </colorScale>
    </cfRule>
  </conditionalFormatting>
  <conditionalFormatting sqref="G8:G16">
    <cfRule type="dataBar" priority="7">
      <dataBar>
        <cfvo type="num" val="0"/>
        <cfvo type="num" val="300"/>
        <color rgb="FF4472C4"/>
      </dataBar>
    </cfRule>
  </conditionalFormatting>
  <conditionalFormatting sqref="J19:J24">
    <cfRule type="cellIs" dxfId="0" priority="2" operator="lessThan">
      <formula>0.9*$B19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7030A0"/>
  </sheetPr>
  <dimension ref="A1:N108"/>
  <sheetViews>
    <sheetView workbookViewId="0">
      <selection activeCell="Q6" sqref="Q6"/>
    </sheetView>
  </sheetViews>
  <sheetFormatPr defaultColWidth="8.81640625" defaultRowHeight="14.5" x14ac:dyDescent="0.35"/>
  <cols>
    <col min="1" max="1" width="7.453125" customWidth="1"/>
    <col min="2" max="2" width="41" customWidth="1"/>
    <col min="3" max="3" width="10.1796875" customWidth="1"/>
    <col min="4" max="4" width="10" customWidth="1"/>
    <col min="5" max="5" width="11.453125" customWidth="1"/>
    <col min="6" max="6" width="6" customWidth="1"/>
    <col min="7" max="7" width="9.81640625" customWidth="1"/>
    <col min="8" max="8" width="11.453125" customWidth="1"/>
    <col min="9" max="9" width="9.1796875" customWidth="1"/>
    <col min="10" max="10" width="8.36328125" customWidth="1"/>
    <col min="11" max="11" width="7.36328125" customWidth="1"/>
    <col min="12" max="13" width="11.1796875" customWidth="1"/>
    <col min="25" max="25" width="7.453125" customWidth="1"/>
    <col min="26" max="26" width="41" customWidth="1"/>
    <col min="27" max="27" width="10.1796875" customWidth="1"/>
    <col min="28" max="28" width="10" customWidth="1"/>
    <col min="29" max="29" width="11.453125" customWidth="1"/>
    <col min="30" max="30" width="6" customWidth="1"/>
    <col min="31" max="31" width="9.81640625" customWidth="1"/>
    <col min="32" max="32" width="11.453125" customWidth="1"/>
    <col min="33" max="33" width="9.1796875" customWidth="1"/>
    <col min="34" max="34" width="8.36328125" customWidth="1"/>
    <col min="35" max="35" width="7.36328125" customWidth="1"/>
    <col min="36" max="36" width="11.1796875" customWidth="1"/>
  </cols>
  <sheetData>
    <row r="1" spans="1:14" x14ac:dyDescent="0.35">
      <c r="A1" s="33" t="s">
        <v>404</v>
      </c>
      <c r="B1" s="33" t="s">
        <v>471</v>
      </c>
      <c r="C1" s="33" t="s">
        <v>695</v>
      </c>
      <c r="D1" s="33" t="s">
        <v>696</v>
      </c>
      <c r="E1" s="33" t="s">
        <v>697</v>
      </c>
      <c r="F1" s="33" t="s">
        <v>698</v>
      </c>
      <c r="G1" s="33" t="s">
        <v>699</v>
      </c>
      <c r="H1" s="33" t="s">
        <v>700</v>
      </c>
      <c r="I1" s="33" t="s">
        <v>701</v>
      </c>
      <c r="J1" s="33" t="s">
        <v>702</v>
      </c>
      <c r="K1" s="33" t="s">
        <v>703</v>
      </c>
      <c r="L1" s="33" t="s">
        <v>704</v>
      </c>
    </row>
    <row r="2" spans="1:14" x14ac:dyDescent="0.35">
      <c r="A2" s="32"/>
      <c r="B2" s="32"/>
      <c r="C2" s="32"/>
      <c r="D2" s="32"/>
      <c r="E2" s="32"/>
      <c r="F2" s="32"/>
      <c r="G2" s="75"/>
      <c r="H2" s="75"/>
      <c r="I2" s="32"/>
      <c r="J2" s="32"/>
      <c r="K2" s="32"/>
      <c r="L2" s="76"/>
    </row>
    <row r="3" spans="1:14" x14ac:dyDescent="0.35">
      <c r="A3" s="32"/>
      <c r="B3" s="32"/>
      <c r="C3" s="32"/>
      <c r="D3" s="32"/>
      <c r="E3" s="32"/>
      <c r="F3" s="32"/>
      <c r="G3" s="75"/>
      <c r="H3" s="75"/>
      <c r="I3" s="32"/>
      <c r="J3" s="32"/>
      <c r="K3" s="32"/>
      <c r="L3" s="76"/>
    </row>
    <row r="4" spans="1:14" x14ac:dyDescent="0.35">
      <c r="A4" s="32"/>
      <c r="B4" s="32"/>
      <c r="C4" s="32"/>
      <c r="D4" s="32"/>
      <c r="E4" s="32"/>
      <c r="F4" s="32"/>
      <c r="G4" s="75"/>
      <c r="H4" s="75"/>
      <c r="I4" s="32"/>
      <c r="J4" s="32"/>
      <c r="K4" s="32"/>
      <c r="L4" s="76"/>
    </row>
    <row r="5" spans="1:14" x14ac:dyDescent="0.35">
      <c r="A5" s="32"/>
      <c r="B5" s="32"/>
      <c r="C5" s="32"/>
      <c r="D5" s="32"/>
      <c r="E5" s="32"/>
      <c r="F5" s="32"/>
      <c r="G5" s="75"/>
      <c r="H5" s="75"/>
      <c r="I5" s="32"/>
      <c r="J5" s="32"/>
      <c r="K5" s="32"/>
      <c r="L5" s="76"/>
    </row>
    <row r="6" spans="1:14" x14ac:dyDescent="0.35">
      <c r="A6" s="32"/>
      <c r="B6" s="32"/>
      <c r="C6" s="32"/>
      <c r="D6" s="32"/>
      <c r="E6" s="32"/>
      <c r="F6" s="32"/>
      <c r="G6" s="75"/>
      <c r="H6" s="75"/>
      <c r="I6" s="32"/>
      <c r="J6" s="32"/>
      <c r="K6" s="32"/>
      <c r="L6" s="76"/>
    </row>
    <row r="7" spans="1:14" x14ac:dyDescent="0.35">
      <c r="A7" s="32"/>
      <c r="B7" s="32"/>
      <c r="C7" s="32"/>
      <c r="D7" s="32"/>
      <c r="E7" s="32"/>
      <c r="F7" s="32"/>
      <c r="G7" s="75"/>
      <c r="H7" s="75"/>
      <c r="I7" s="32"/>
      <c r="J7" s="32"/>
      <c r="K7" s="32"/>
      <c r="L7" s="76"/>
    </row>
    <row r="8" spans="1:14" x14ac:dyDescent="0.35">
      <c r="A8" s="32"/>
      <c r="B8" s="32"/>
      <c r="C8" s="32"/>
      <c r="D8" s="32"/>
      <c r="E8" s="32"/>
      <c r="F8" s="32"/>
      <c r="G8" s="75"/>
      <c r="H8" s="75"/>
      <c r="I8" s="32"/>
      <c r="J8" s="32"/>
      <c r="K8" s="32"/>
      <c r="L8" s="76"/>
    </row>
    <row r="9" spans="1:14" x14ac:dyDescent="0.35">
      <c r="A9" s="32"/>
      <c r="B9" s="32"/>
      <c r="C9" s="32"/>
      <c r="D9" s="32"/>
      <c r="E9" s="32"/>
      <c r="F9" s="32"/>
      <c r="G9" s="75"/>
      <c r="H9" s="75"/>
      <c r="I9" s="32"/>
      <c r="J9" s="32"/>
      <c r="K9" s="32"/>
      <c r="L9" s="76"/>
      <c r="N9" s="15"/>
    </row>
    <row r="10" spans="1:14" x14ac:dyDescent="0.35">
      <c r="A10" s="32"/>
      <c r="B10" s="32"/>
      <c r="C10" s="32"/>
      <c r="D10" s="32"/>
      <c r="E10" s="32"/>
      <c r="F10" s="32"/>
      <c r="G10" s="75"/>
      <c r="H10" s="75"/>
      <c r="I10" s="32"/>
      <c r="J10" s="32"/>
      <c r="K10" s="32"/>
      <c r="L10" s="76"/>
    </row>
    <row r="11" spans="1:14" x14ac:dyDescent="0.35">
      <c r="A11" s="32"/>
      <c r="B11" s="32"/>
      <c r="C11" s="32"/>
      <c r="D11" s="32"/>
      <c r="E11" s="32"/>
      <c r="F11" s="32"/>
      <c r="G11" s="75"/>
      <c r="H11" s="75"/>
      <c r="I11" s="32"/>
      <c r="J11" s="32"/>
      <c r="K11" s="32"/>
      <c r="L11" s="76"/>
    </row>
    <row r="12" spans="1:14" x14ac:dyDescent="0.35">
      <c r="A12" s="32"/>
      <c r="B12" s="32"/>
      <c r="C12" s="32"/>
      <c r="D12" s="32"/>
      <c r="E12" s="32"/>
      <c r="F12" s="32"/>
      <c r="G12" s="75"/>
      <c r="H12" s="75"/>
      <c r="I12" s="32"/>
      <c r="J12" s="32"/>
      <c r="K12" s="32"/>
      <c r="L12" s="76"/>
    </row>
    <row r="13" spans="1:14" x14ac:dyDescent="0.35">
      <c r="A13" s="32"/>
      <c r="B13" s="32"/>
      <c r="C13" s="32"/>
      <c r="D13" s="32"/>
      <c r="E13" s="32"/>
      <c r="F13" s="32"/>
      <c r="G13" s="75"/>
      <c r="H13" s="75"/>
      <c r="I13" s="32"/>
      <c r="J13" s="32"/>
      <c r="K13" s="32"/>
      <c r="L13" s="76"/>
    </row>
    <row r="14" spans="1:14" x14ac:dyDescent="0.35">
      <c r="A14" s="32"/>
      <c r="B14" s="32"/>
      <c r="C14" s="32"/>
      <c r="D14" s="32"/>
      <c r="E14" s="32"/>
      <c r="F14" s="32"/>
      <c r="G14" s="75"/>
      <c r="H14" s="75"/>
      <c r="I14" s="32"/>
      <c r="J14" s="32"/>
      <c r="K14" s="32"/>
      <c r="L14" s="76"/>
    </row>
    <row r="15" spans="1:14" x14ac:dyDescent="0.35">
      <c r="A15" s="32"/>
      <c r="B15" s="32"/>
      <c r="C15" s="32"/>
      <c r="D15" s="32"/>
      <c r="E15" s="32"/>
      <c r="F15" s="32"/>
      <c r="G15" s="75"/>
      <c r="H15" s="75"/>
      <c r="I15" s="32"/>
      <c r="J15" s="32"/>
      <c r="K15" s="32"/>
      <c r="L15" s="76"/>
    </row>
    <row r="16" spans="1:14" x14ac:dyDescent="0.35">
      <c r="A16" s="32"/>
      <c r="B16" s="32"/>
      <c r="C16" s="32"/>
      <c r="D16" s="32"/>
      <c r="E16" s="32"/>
      <c r="F16" s="32"/>
      <c r="G16" s="75"/>
      <c r="H16" s="75"/>
      <c r="I16" s="32"/>
      <c r="J16" s="32"/>
      <c r="K16" s="32"/>
      <c r="L16" s="76"/>
    </row>
    <row r="17" spans="1:12" x14ac:dyDescent="0.35">
      <c r="A17" s="32"/>
      <c r="B17" s="32"/>
      <c r="C17" s="32"/>
      <c r="D17" s="32"/>
      <c r="E17" s="32"/>
      <c r="F17" s="32"/>
      <c r="G17" s="75"/>
      <c r="H17" s="75"/>
      <c r="I17" s="32"/>
      <c r="J17" s="32"/>
      <c r="K17" s="32"/>
      <c r="L17" s="76"/>
    </row>
    <row r="18" spans="1:12" x14ac:dyDescent="0.35">
      <c r="A18" s="32"/>
      <c r="B18" s="32"/>
      <c r="C18" s="32"/>
      <c r="D18" s="32"/>
      <c r="E18" s="32"/>
      <c r="F18" s="32"/>
      <c r="G18" s="75"/>
      <c r="H18" s="75"/>
      <c r="I18" s="32"/>
      <c r="J18" s="32"/>
      <c r="K18" s="32"/>
      <c r="L18" s="76"/>
    </row>
    <row r="19" spans="1:12" x14ac:dyDescent="0.35">
      <c r="A19" s="32"/>
      <c r="B19" s="32"/>
      <c r="C19" s="32"/>
      <c r="D19" s="32"/>
      <c r="E19" s="32"/>
      <c r="F19" s="32"/>
      <c r="G19" s="75"/>
      <c r="H19" s="75"/>
      <c r="I19" s="32"/>
      <c r="J19" s="32"/>
      <c r="K19" s="32"/>
      <c r="L19" s="76"/>
    </row>
    <row r="20" spans="1:12" x14ac:dyDescent="0.35">
      <c r="A20" s="32"/>
      <c r="B20" s="32"/>
      <c r="C20" s="32"/>
      <c r="D20" s="32"/>
      <c r="E20" s="32"/>
      <c r="F20" s="32"/>
      <c r="G20" s="75"/>
      <c r="H20" s="75"/>
      <c r="I20" s="32"/>
      <c r="J20" s="32"/>
      <c r="K20" s="32"/>
      <c r="L20" s="76"/>
    </row>
    <row r="21" spans="1:12" x14ac:dyDescent="0.35">
      <c r="A21" s="32"/>
      <c r="B21" s="32"/>
      <c r="C21" s="32"/>
      <c r="D21" s="32"/>
      <c r="E21" s="32"/>
      <c r="F21" s="32"/>
      <c r="G21" s="75"/>
      <c r="H21" s="75"/>
      <c r="I21" s="32"/>
      <c r="J21" s="32"/>
      <c r="K21" s="32"/>
      <c r="L21" s="76"/>
    </row>
    <row r="22" spans="1:12" x14ac:dyDescent="0.35">
      <c r="A22" s="32"/>
      <c r="B22" s="32"/>
      <c r="C22" s="32"/>
      <c r="D22" s="32"/>
      <c r="E22" s="32"/>
      <c r="F22" s="32"/>
      <c r="G22" s="75"/>
      <c r="H22" s="75"/>
      <c r="I22" s="32"/>
      <c r="J22" s="32"/>
      <c r="K22" s="32"/>
      <c r="L22" s="76"/>
    </row>
    <row r="23" spans="1:12" x14ac:dyDescent="0.35">
      <c r="A23" s="32"/>
      <c r="B23" s="32"/>
      <c r="C23" s="32"/>
      <c r="D23" s="32"/>
      <c r="E23" s="32"/>
      <c r="F23" s="32"/>
      <c r="G23" s="75"/>
      <c r="H23" s="75"/>
      <c r="I23" s="32"/>
      <c r="J23" s="32"/>
      <c r="K23" s="32"/>
      <c r="L23" s="76"/>
    </row>
    <row r="24" spans="1:12" x14ac:dyDescent="0.35">
      <c r="A24" s="32"/>
      <c r="B24" s="32"/>
      <c r="C24" s="32"/>
      <c r="D24" s="32"/>
      <c r="E24" s="32"/>
      <c r="F24" s="32"/>
      <c r="G24" s="75"/>
      <c r="H24" s="75"/>
      <c r="I24" s="32"/>
      <c r="J24" s="32"/>
      <c r="K24" s="32"/>
      <c r="L24" s="76"/>
    </row>
    <row r="25" spans="1:12" x14ac:dyDescent="0.35">
      <c r="A25" s="32"/>
      <c r="B25" s="32"/>
      <c r="C25" s="32"/>
      <c r="D25" s="32"/>
      <c r="E25" s="32"/>
      <c r="F25" s="32"/>
      <c r="G25" s="75"/>
      <c r="H25" s="75"/>
      <c r="I25" s="32"/>
      <c r="J25" s="32"/>
      <c r="K25" s="32"/>
      <c r="L25" s="76"/>
    </row>
    <row r="26" spans="1:12" x14ac:dyDescent="0.35">
      <c r="A26" s="32"/>
      <c r="B26" s="32"/>
      <c r="C26" s="32"/>
      <c r="D26" s="32"/>
      <c r="E26" s="32"/>
      <c r="F26" s="32"/>
      <c r="G26" s="75"/>
      <c r="H26" s="75"/>
      <c r="I26" s="32"/>
      <c r="J26" s="32"/>
      <c r="K26" s="32"/>
      <c r="L26" s="76"/>
    </row>
    <row r="27" spans="1:12" x14ac:dyDescent="0.35">
      <c r="A27" s="32"/>
      <c r="B27" s="32"/>
      <c r="C27" s="32"/>
      <c r="D27" s="32"/>
      <c r="E27" s="32"/>
      <c r="F27" s="32"/>
      <c r="G27" s="75"/>
      <c r="H27" s="75"/>
      <c r="I27" s="32"/>
      <c r="J27" s="32"/>
      <c r="K27" s="32"/>
      <c r="L27" s="76"/>
    </row>
    <row r="28" spans="1:12" x14ac:dyDescent="0.35">
      <c r="A28" s="32"/>
      <c r="B28" s="32"/>
      <c r="C28" s="32"/>
      <c r="D28" s="32"/>
      <c r="E28" s="32"/>
      <c r="F28" s="32"/>
      <c r="G28" s="75"/>
      <c r="H28" s="75"/>
      <c r="I28" s="32"/>
      <c r="J28" s="32"/>
      <c r="K28" s="32"/>
      <c r="L28" s="76"/>
    </row>
    <row r="29" spans="1:12" x14ac:dyDescent="0.35">
      <c r="A29" s="32"/>
      <c r="B29" s="32"/>
      <c r="C29" s="32"/>
      <c r="D29" s="32"/>
      <c r="E29" s="32"/>
      <c r="F29" s="32"/>
      <c r="G29" s="75"/>
      <c r="H29" s="75"/>
      <c r="I29" s="32"/>
      <c r="J29" s="32"/>
      <c r="K29" s="32"/>
      <c r="L29" s="76"/>
    </row>
    <row r="30" spans="1:12" x14ac:dyDescent="0.35">
      <c r="A30" s="32"/>
      <c r="B30" s="32"/>
      <c r="C30" s="32"/>
      <c r="D30" s="32"/>
      <c r="E30" s="32"/>
      <c r="F30" s="32"/>
      <c r="G30" s="75"/>
      <c r="H30" s="75"/>
      <c r="I30" s="32"/>
      <c r="J30" s="32"/>
      <c r="K30" s="32"/>
      <c r="L30" s="76"/>
    </row>
    <row r="31" spans="1:12" x14ac:dyDescent="0.35">
      <c r="A31" s="32"/>
      <c r="B31" s="32"/>
      <c r="C31" s="32"/>
      <c r="D31" s="32"/>
      <c r="E31" s="32"/>
      <c r="F31" s="32"/>
      <c r="G31" s="75"/>
      <c r="H31" s="75"/>
      <c r="I31" s="32"/>
      <c r="J31" s="32"/>
      <c r="K31" s="32"/>
      <c r="L31" s="76"/>
    </row>
    <row r="32" spans="1:12" x14ac:dyDescent="0.35">
      <c r="A32" s="32"/>
      <c r="B32" s="32"/>
      <c r="C32" s="32"/>
      <c r="D32" s="32"/>
      <c r="E32" s="32"/>
      <c r="F32" s="32"/>
      <c r="G32" s="75"/>
      <c r="H32" s="75"/>
      <c r="I32" s="32"/>
      <c r="J32" s="32"/>
      <c r="K32" s="32"/>
      <c r="L32" s="76"/>
    </row>
    <row r="33" spans="1:12" x14ac:dyDescent="0.35">
      <c r="A33" s="32"/>
      <c r="B33" s="32"/>
      <c r="C33" s="32"/>
      <c r="D33" s="32"/>
      <c r="E33" s="32"/>
      <c r="F33" s="32"/>
      <c r="G33" s="75"/>
      <c r="H33" s="75"/>
      <c r="I33" s="32"/>
      <c r="J33" s="32"/>
      <c r="K33" s="32"/>
      <c r="L33" s="76"/>
    </row>
    <row r="34" spans="1:12" x14ac:dyDescent="0.35">
      <c r="A34" s="32"/>
      <c r="B34" s="32"/>
      <c r="C34" s="32"/>
      <c r="D34" s="32"/>
      <c r="E34" s="32"/>
      <c r="F34" s="32"/>
      <c r="G34" s="75"/>
      <c r="H34" s="75"/>
      <c r="I34" s="32"/>
      <c r="J34" s="32"/>
      <c r="K34" s="32"/>
      <c r="L34" s="76"/>
    </row>
    <row r="35" spans="1:12" x14ac:dyDescent="0.35">
      <c r="A35" s="32"/>
      <c r="B35" s="32"/>
      <c r="C35" s="32"/>
      <c r="D35" s="32"/>
      <c r="E35" s="32"/>
      <c r="F35" s="32"/>
      <c r="G35" s="75"/>
      <c r="H35" s="75"/>
      <c r="I35" s="32"/>
      <c r="J35" s="32"/>
      <c r="K35" s="32"/>
      <c r="L35" s="76"/>
    </row>
    <row r="36" spans="1:12" x14ac:dyDescent="0.35">
      <c r="A36" s="32"/>
      <c r="B36" s="32"/>
      <c r="C36" s="32"/>
      <c r="D36" s="32"/>
      <c r="E36" s="32"/>
      <c r="F36" s="32"/>
      <c r="G36" s="75"/>
      <c r="H36" s="75"/>
      <c r="I36" s="32"/>
      <c r="J36" s="32"/>
      <c r="K36" s="32"/>
      <c r="L36" s="76"/>
    </row>
    <row r="37" spans="1:12" x14ac:dyDescent="0.35">
      <c r="A37" s="32"/>
      <c r="B37" s="32"/>
      <c r="C37" s="32"/>
      <c r="D37" s="32"/>
      <c r="E37" s="32"/>
      <c r="F37" s="32"/>
      <c r="G37" s="75"/>
      <c r="H37" s="75"/>
      <c r="I37" s="32"/>
      <c r="J37" s="32"/>
      <c r="K37" s="32"/>
      <c r="L37" s="76"/>
    </row>
    <row r="38" spans="1:12" x14ac:dyDescent="0.35">
      <c r="A38" s="32"/>
      <c r="B38" s="32"/>
      <c r="C38" s="32"/>
      <c r="D38" s="32"/>
      <c r="E38" s="32"/>
      <c r="F38" s="32"/>
      <c r="G38" s="75"/>
      <c r="H38" s="75"/>
      <c r="I38" s="32"/>
      <c r="J38" s="32"/>
      <c r="K38" s="32"/>
      <c r="L38" s="76"/>
    </row>
    <row r="39" spans="1:12" x14ac:dyDescent="0.35">
      <c r="A39" s="32"/>
      <c r="B39" s="32"/>
      <c r="C39" s="32"/>
      <c r="D39" s="32"/>
      <c r="E39" s="32"/>
      <c r="F39" s="32"/>
      <c r="G39" s="75"/>
      <c r="H39" s="75"/>
      <c r="I39" s="32"/>
      <c r="J39" s="32"/>
      <c r="K39" s="32"/>
      <c r="L39" s="76"/>
    </row>
    <row r="40" spans="1:12" x14ac:dyDescent="0.35">
      <c r="A40" s="32"/>
      <c r="B40" s="32"/>
      <c r="C40" s="32"/>
      <c r="D40" s="32"/>
      <c r="E40" s="32"/>
      <c r="F40" s="32"/>
      <c r="G40" s="75"/>
      <c r="H40" s="75"/>
      <c r="I40" s="32"/>
      <c r="J40" s="32"/>
      <c r="K40" s="32"/>
      <c r="L40" s="76"/>
    </row>
    <row r="41" spans="1:12" x14ac:dyDescent="0.35">
      <c r="A41" s="32"/>
      <c r="B41" s="32"/>
      <c r="C41" s="32"/>
      <c r="D41" s="32"/>
      <c r="E41" s="32"/>
      <c r="F41" s="32"/>
      <c r="G41" s="75"/>
      <c r="H41" s="75"/>
      <c r="I41" s="32"/>
      <c r="J41" s="32"/>
      <c r="K41" s="32"/>
      <c r="L41" s="76"/>
    </row>
    <row r="42" spans="1:12" x14ac:dyDescent="0.35">
      <c r="A42" s="32"/>
      <c r="B42" s="32"/>
      <c r="C42" s="32"/>
      <c r="D42" s="32"/>
      <c r="E42" s="32"/>
      <c r="F42" s="32"/>
      <c r="G42" s="75"/>
      <c r="H42" s="75"/>
      <c r="I42" s="32"/>
      <c r="J42" s="32"/>
      <c r="K42" s="32"/>
      <c r="L42" s="76"/>
    </row>
    <row r="43" spans="1:12" x14ac:dyDescent="0.35">
      <c r="A43" s="32"/>
      <c r="B43" s="32"/>
      <c r="C43" s="32"/>
      <c r="D43" s="32"/>
      <c r="E43" s="32"/>
      <c r="F43" s="32"/>
      <c r="G43" s="75"/>
      <c r="H43" s="75"/>
      <c r="I43" s="32"/>
      <c r="J43" s="32"/>
      <c r="K43" s="32"/>
      <c r="L43" s="76"/>
    </row>
    <row r="44" spans="1:12" x14ac:dyDescent="0.35">
      <c r="A44" s="32"/>
      <c r="B44" s="32"/>
      <c r="C44" s="32"/>
      <c r="D44" s="32"/>
      <c r="E44" s="32"/>
      <c r="F44" s="32"/>
      <c r="G44" s="75"/>
      <c r="H44" s="75"/>
      <c r="I44" s="32"/>
      <c r="J44" s="32"/>
      <c r="K44" s="32"/>
      <c r="L44" s="76"/>
    </row>
    <row r="45" spans="1:12" x14ac:dyDescent="0.35">
      <c r="A45" s="32"/>
      <c r="B45" s="32"/>
      <c r="C45" s="32"/>
      <c r="D45" s="32"/>
      <c r="E45" s="32"/>
      <c r="F45" s="32"/>
      <c r="G45" s="75"/>
      <c r="H45" s="75"/>
      <c r="I45" s="32"/>
      <c r="J45" s="32"/>
      <c r="K45" s="32"/>
      <c r="L45" s="76"/>
    </row>
    <row r="46" spans="1:12" x14ac:dyDescent="0.35">
      <c r="A46" s="32"/>
      <c r="B46" s="32"/>
      <c r="C46" s="32"/>
      <c r="D46" s="32"/>
      <c r="E46" s="32"/>
      <c r="F46" s="32"/>
      <c r="G46" s="75"/>
      <c r="H46" s="75"/>
      <c r="I46" s="32"/>
      <c r="J46" s="32"/>
      <c r="K46" s="32"/>
      <c r="L46" s="76"/>
    </row>
    <row r="47" spans="1:12" x14ac:dyDescent="0.35">
      <c r="A47" s="32"/>
      <c r="B47" s="32"/>
      <c r="C47" s="32"/>
      <c r="D47" s="32"/>
      <c r="E47" s="32"/>
      <c r="F47" s="32"/>
      <c r="G47" s="75"/>
      <c r="H47" s="75"/>
      <c r="I47" s="32"/>
      <c r="J47" s="32"/>
      <c r="K47" s="32"/>
      <c r="L47" s="76"/>
    </row>
    <row r="48" spans="1:12" x14ac:dyDescent="0.35">
      <c r="A48" s="32"/>
      <c r="B48" s="32"/>
      <c r="C48" s="32"/>
      <c r="D48" s="32"/>
      <c r="E48" s="32"/>
      <c r="F48" s="32"/>
      <c r="G48" s="75"/>
      <c r="H48" s="75"/>
      <c r="I48" s="32"/>
      <c r="J48" s="32"/>
      <c r="K48" s="32"/>
      <c r="L48" s="76"/>
    </row>
    <row r="49" spans="1:12" x14ac:dyDescent="0.35">
      <c r="A49" s="32"/>
      <c r="B49" s="32"/>
      <c r="C49" s="32"/>
      <c r="D49" s="32"/>
      <c r="E49" s="32"/>
      <c r="F49" s="32"/>
      <c r="G49" s="75"/>
      <c r="H49" s="75"/>
      <c r="I49" s="32"/>
      <c r="J49" s="32"/>
      <c r="K49" s="32"/>
      <c r="L49" s="76"/>
    </row>
    <row r="50" spans="1:12" x14ac:dyDescent="0.35">
      <c r="A50" s="32"/>
      <c r="B50" s="32"/>
      <c r="C50" s="32"/>
      <c r="D50" s="32"/>
      <c r="E50" s="32"/>
      <c r="F50" s="32"/>
      <c r="G50" s="75"/>
      <c r="H50" s="75"/>
      <c r="I50" s="32"/>
      <c r="J50" s="32"/>
      <c r="K50" s="32"/>
      <c r="L50" s="76"/>
    </row>
    <row r="51" spans="1:12" x14ac:dyDescent="0.35">
      <c r="A51" s="32"/>
      <c r="B51" s="32"/>
      <c r="C51" s="32"/>
      <c r="D51" s="32"/>
      <c r="E51" s="32"/>
      <c r="F51" s="32"/>
      <c r="G51" s="75"/>
      <c r="H51" s="75"/>
      <c r="I51" s="32"/>
      <c r="J51" s="32"/>
      <c r="K51" s="32"/>
      <c r="L51" s="76"/>
    </row>
    <row r="52" spans="1:12" x14ac:dyDescent="0.35">
      <c r="A52" s="32"/>
      <c r="B52" s="32"/>
      <c r="C52" s="32"/>
      <c r="D52" s="32"/>
      <c r="E52" s="32"/>
      <c r="F52" s="32"/>
      <c r="G52" s="75"/>
      <c r="H52" s="75"/>
      <c r="I52" s="32"/>
      <c r="J52" s="32"/>
      <c r="K52" s="32"/>
      <c r="L52" s="76"/>
    </row>
    <row r="53" spans="1:12" x14ac:dyDescent="0.35">
      <c r="A53" s="32"/>
      <c r="B53" s="32"/>
      <c r="C53" s="32"/>
      <c r="D53" s="32"/>
      <c r="E53" s="32"/>
      <c r="F53" s="32"/>
      <c r="G53" s="75"/>
      <c r="H53" s="75"/>
      <c r="I53" s="32"/>
      <c r="J53" s="32"/>
      <c r="K53" s="32"/>
      <c r="L53" s="76"/>
    </row>
    <row r="54" spans="1:12" x14ac:dyDescent="0.35">
      <c r="A54" s="32"/>
      <c r="B54" s="32"/>
      <c r="C54" s="32"/>
      <c r="D54" s="32"/>
      <c r="E54" s="32"/>
      <c r="F54" s="32"/>
      <c r="G54" s="75"/>
      <c r="H54" s="75"/>
      <c r="I54" s="32"/>
      <c r="J54" s="32"/>
      <c r="K54" s="32"/>
      <c r="L54" s="76"/>
    </row>
    <row r="55" spans="1:12" x14ac:dyDescent="0.35">
      <c r="A55" s="32"/>
      <c r="B55" s="32"/>
      <c r="C55" s="32"/>
      <c r="D55" s="32"/>
      <c r="E55" s="32"/>
      <c r="F55" s="32"/>
      <c r="G55" s="75"/>
      <c r="H55" s="75"/>
      <c r="I55" s="32"/>
      <c r="J55" s="32"/>
      <c r="K55" s="32"/>
      <c r="L55" s="76"/>
    </row>
    <row r="56" spans="1:12" x14ac:dyDescent="0.35">
      <c r="A56" s="32"/>
      <c r="B56" s="32"/>
      <c r="C56" s="32"/>
      <c r="D56" s="32"/>
      <c r="E56" s="32"/>
      <c r="F56" s="32"/>
      <c r="G56" s="75"/>
      <c r="H56" s="75"/>
      <c r="I56" s="32"/>
      <c r="J56" s="32"/>
      <c r="K56" s="32"/>
      <c r="L56" s="76"/>
    </row>
    <row r="57" spans="1:12" x14ac:dyDescent="0.35">
      <c r="A57" s="32"/>
      <c r="B57" s="32"/>
      <c r="C57" s="32"/>
      <c r="D57" s="32"/>
      <c r="E57" s="32"/>
      <c r="F57" s="32"/>
      <c r="G57" s="75"/>
      <c r="H57" s="75"/>
      <c r="I57" s="32"/>
      <c r="J57" s="32"/>
      <c r="K57" s="32"/>
      <c r="L57" s="76"/>
    </row>
    <row r="58" spans="1:12" x14ac:dyDescent="0.35">
      <c r="A58" s="32"/>
      <c r="B58" s="32"/>
      <c r="C58" s="32"/>
      <c r="D58" s="32"/>
      <c r="E58" s="32"/>
      <c r="F58" s="32"/>
      <c r="G58" s="75"/>
      <c r="H58" s="75"/>
      <c r="I58" s="32"/>
      <c r="J58" s="32"/>
      <c r="K58" s="32"/>
      <c r="L58" s="76"/>
    </row>
    <row r="59" spans="1:12" x14ac:dyDescent="0.35">
      <c r="A59" s="32"/>
      <c r="B59" s="32"/>
      <c r="C59" s="32"/>
      <c r="D59" s="32"/>
      <c r="E59" s="32"/>
      <c r="F59" s="32"/>
      <c r="G59" s="75"/>
      <c r="H59" s="75"/>
      <c r="I59" s="32"/>
      <c r="J59" s="32"/>
      <c r="K59" s="32"/>
      <c r="L59" s="76"/>
    </row>
    <row r="60" spans="1:12" x14ac:dyDescent="0.35">
      <c r="A60" s="32"/>
      <c r="B60" s="32"/>
      <c r="C60" s="32"/>
      <c r="D60" s="32"/>
      <c r="E60" s="32"/>
      <c r="F60" s="32"/>
      <c r="G60" s="75"/>
      <c r="H60" s="75"/>
      <c r="I60" s="32"/>
      <c r="J60" s="32"/>
      <c r="K60" s="32"/>
      <c r="L60" s="76"/>
    </row>
    <row r="61" spans="1:12" x14ac:dyDescent="0.35">
      <c r="A61" s="32"/>
      <c r="B61" s="32"/>
      <c r="C61" s="32"/>
      <c r="D61" s="32"/>
      <c r="E61" s="32"/>
      <c r="F61" s="32"/>
      <c r="G61" s="75"/>
      <c r="H61" s="75"/>
      <c r="I61" s="32"/>
      <c r="J61" s="32"/>
      <c r="K61" s="32"/>
      <c r="L61" s="76"/>
    </row>
    <row r="62" spans="1:12" x14ac:dyDescent="0.35">
      <c r="A62" s="32"/>
      <c r="B62" s="32"/>
      <c r="C62" s="32"/>
      <c r="D62" s="32"/>
      <c r="E62" s="32"/>
      <c r="F62" s="32"/>
      <c r="G62" s="75"/>
      <c r="H62" s="75"/>
      <c r="I62" s="32"/>
      <c r="J62" s="32"/>
      <c r="K62" s="32"/>
      <c r="L62" s="76"/>
    </row>
    <row r="63" spans="1:12" x14ac:dyDescent="0.35">
      <c r="A63" s="32"/>
      <c r="B63" s="32"/>
      <c r="C63" s="32"/>
      <c r="D63" s="32"/>
      <c r="E63" s="32"/>
      <c r="F63" s="32"/>
      <c r="G63" s="75"/>
      <c r="H63" s="75"/>
      <c r="I63" s="32"/>
      <c r="J63" s="32"/>
      <c r="K63" s="32"/>
      <c r="L63" s="76"/>
    </row>
    <row r="64" spans="1:12" x14ac:dyDescent="0.35">
      <c r="A64" s="32"/>
      <c r="B64" s="32"/>
      <c r="C64" s="32"/>
      <c r="D64" s="32"/>
      <c r="E64" s="32"/>
      <c r="F64" s="32"/>
      <c r="G64" s="75"/>
      <c r="H64" s="75"/>
      <c r="I64" s="32"/>
      <c r="J64" s="32"/>
      <c r="K64" s="32"/>
      <c r="L64" s="76"/>
    </row>
    <row r="65" spans="1:12" x14ac:dyDescent="0.35">
      <c r="A65" s="32"/>
      <c r="B65" s="32"/>
      <c r="C65" s="32"/>
      <c r="D65" s="32"/>
      <c r="E65" s="32"/>
      <c r="F65" s="32"/>
      <c r="G65" s="75"/>
      <c r="H65" s="75"/>
      <c r="I65" s="32"/>
      <c r="J65" s="32"/>
      <c r="K65" s="32"/>
      <c r="L65" s="76"/>
    </row>
    <row r="66" spans="1:12" x14ac:dyDescent="0.35">
      <c r="A66" s="32"/>
      <c r="B66" s="32"/>
      <c r="C66" s="32"/>
      <c r="D66" s="32"/>
      <c r="E66" s="32"/>
      <c r="F66" s="32"/>
      <c r="G66" s="75"/>
      <c r="H66" s="75"/>
      <c r="I66" s="32"/>
      <c r="J66" s="32"/>
      <c r="K66" s="32"/>
      <c r="L66" s="76"/>
    </row>
    <row r="67" spans="1:12" x14ac:dyDescent="0.35">
      <c r="A67" s="32"/>
      <c r="B67" s="32"/>
      <c r="C67" s="32"/>
      <c r="D67" s="32"/>
      <c r="E67" s="32"/>
      <c r="F67" s="32"/>
      <c r="G67" s="75"/>
      <c r="H67" s="75"/>
      <c r="I67" s="32"/>
      <c r="J67" s="32"/>
      <c r="K67" s="32"/>
      <c r="L67" s="76"/>
    </row>
    <row r="68" spans="1:12" x14ac:dyDescent="0.35">
      <c r="A68" s="32"/>
      <c r="B68" s="32"/>
      <c r="C68" s="32"/>
      <c r="D68" s="32"/>
      <c r="E68" s="32"/>
      <c r="F68" s="32"/>
      <c r="G68" s="75"/>
      <c r="H68" s="75"/>
      <c r="I68" s="32"/>
      <c r="J68" s="32"/>
      <c r="K68" s="32"/>
      <c r="L68" s="76"/>
    </row>
    <row r="69" spans="1:12" x14ac:dyDescent="0.35">
      <c r="A69" s="32"/>
      <c r="B69" s="32"/>
      <c r="C69" s="32"/>
      <c r="D69" s="32"/>
      <c r="E69" s="32"/>
      <c r="F69" s="32"/>
      <c r="G69" s="75"/>
      <c r="H69" s="75"/>
      <c r="I69" s="32"/>
      <c r="J69" s="32"/>
      <c r="K69" s="32"/>
      <c r="L69" s="76"/>
    </row>
    <row r="70" spans="1:12" x14ac:dyDescent="0.35">
      <c r="A70" s="32"/>
      <c r="B70" s="32"/>
      <c r="C70" s="32"/>
      <c r="D70" s="32"/>
      <c r="E70" s="32"/>
      <c r="F70" s="32"/>
      <c r="G70" s="75"/>
      <c r="H70" s="75"/>
      <c r="I70" s="32"/>
      <c r="J70" s="32"/>
      <c r="K70" s="32"/>
      <c r="L70" s="76"/>
    </row>
    <row r="71" spans="1:12" x14ac:dyDescent="0.35">
      <c r="A71" s="32"/>
      <c r="B71" s="32"/>
      <c r="C71" s="32"/>
      <c r="D71" s="32"/>
      <c r="E71" s="32"/>
      <c r="F71" s="32"/>
      <c r="G71" s="75"/>
      <c r="H71" s="75"/>
      <c r="I71" s="32"/>
      <c r="J71" s="32"/>
      <c r="K71" s="32"/>
      <c r="L71" s="76"/>
    </row>
    <row r="72" spans="1:12" x14ac:dyDescent="0.35">
      <c r="A72" s="32"/>
      <c r="B72" s="32"/>
      <c r="C72" s="32"/>
      <c r="D72" s="32"/>
      <c r="E72" s="32"/>
      <c r="F72" s="32"/>
      <c r="G72" s="75"/>
      <c r="H72" s="75"/>
      <c r="I72" s="32"/>
      <c r="J72" s="32"/>
      <c r="K72" s="32"/>
      <c r="L72" s="76"/>
    </row>
    <row r="73" spans="1:12" x14ac:dyDescent="0.35">
      <c r="A73" s="32"/>
      <c r="B73" s="32"/>
      <c r="C73" s="32"/>
      <c r="D73" s="32"/>
      <c r="E73" s="32"/>
      <c r="F73" s="32"/>
      <c r="G73" s="75"/>
      <c r="H73" s="75"/>
      <c r="I73" s="32"/>
      <c r="J73" s="32"/>
      <c r="K73" s="32"/>
      <c r="L73" s="76"/>
    </row>
    <row r="74" spans="1:12" x14ac:dyDescent="0.35">
      <c r="A74" s="32"/>
      <c r="B74" s="32"/>
      <c r="C74" s="32"/>
      <c r="D74" s="32"/>
      <c r="E74" s="32"/>
      <c r="F74" s="32"/>
      <c r="G74" s="75"/>
      <c r="H74" s="75"/>
      <c r="I74" s="32"/>
      <c r="J74" s="32"/>
      <c r="K74" s="32"/>
      <c r="L74" s="76"/>
    </row>
    <row r="75" spans="1:12" x14ac:dyDescent="0.35">
      <c r="A75" s="32"/>
      <c r="B75" s="32"/>
      <c r="C75" s="32"/>
      <c r="D75" s="32"/>
      <c r="E75" s="32"/>
      <c r="F75" s="32"/>
      <c r="G75" s="75"/>
      <c r="H75" s="75"/>
      <c r="I75" s="32"/>
      <c r="J75" s="32"/>
      <c r="K75" s="32"/>
      <c r="L75" s="76"/>
    </row>
    <row r="76" spans="1:12" x14ac:dyDescent="0.35">
      <c r="A76" s="32"/>
      <c r="B76" s="32"/>
      <c r="C76" s="32"/>
      <c r="D76" s="32"/>
      <c r="E76" s="32"/>
      <c r="F76" s="32"/>
      <c r="G76" s="75"/>
      <c r="H76" s="75"/>
      <c r="I76" s="32"/>
      <c r="J76" s="32"/>
      <c r="K76" s="32"/>
      <c r="L76" s="76"/>
    </row>
    <row r="77" spans="1:12" x14ac:dyDescent="0.35">
      <c r="A77" s="32"/>
      <c r="B77" s="32"/>
      <c r="C77" s="32"/>
      <c r="D77" s="32"/>
      <c r="E77" s="32"/>
      <c r="F77" s="32"/>
      <c r="G77" s="75"/>
      <c r="H77" s="75"/>
      <c r="I77" s="32"/>
      <c r="J77" s="32"/>
      <c r="K77" s="32"/>
      <c r="L77" s="76"/>
    </row>
    <row r="78" spans="1:12" x14ac:dyDescent="0.35">
      <c r="A78" s="32"/>
      <c r="B78" s="32"/>
      <c r="C78" s="32"/>
      <c r="D78" s="32"/>
      <c r="E78" s="32"/>
      <c r="F78" s="32"/>
      <c r="G78" s="75"/>
      <c r="H78" s="75"/>
      <c r="I78" s="32"/>
      <c r="J78" s="32"/>
      <c r="K78" s="32"/>
      <c r="L78" s="76"/>
    </row>
    <row r="79" spans="1:12" x14ac:dyDescent="0.35">
      <c r="A79" s="32"/>
      <c r="B79" s="32"/>
      <c r="C79" s="32"/>
      <c r="D79" s="32"/>
      <c r="E79" s="32"/>
      <c r="F79" s="32"/>
      <c r="G79" s="75"/>
      <c r="H79" s="75"/>
      <c r="I79" s="32"/>
      <c r="J79" s="32"/>
      <c r="K79" s="32"/>
      <c r="L79" s="76"/>
    </row>
    <row r="80" spans="1:12" x14ac:dyDescent="0.35">
      <c r="A80" s="32"/>
      <c r="B80" s="32"/>
      <c r="C80" s="32"/>
      <c r="D80" s="32"/>
      <c r="E80" s="32"/>
      <c r="F80" s="32"/>
      <c r="G80" s="75"/>
      <c r="H80" s="75"/>
      <c r="I80" s="32"/>
      <c r="J80" s="32"/>
      <c r="K80" s="32"/>
      <c r="L80" s="76"/>
    </row>
    <row r="81" spans="1:12" x14ac:dyDescent="0.35">
      <c r="A81" s="32"/>
      <c r="B81" s="32"/>
      <c r="C81" s="32"/>
      <c r="D81" s="32"/>
      <c r="E81" s="32"/>
      <c r="F81" s="32"/>
      <c r="G81" s="75"/>
      <c r="H81" s="75"/>
      <c r="I81" s="32"/>
      <c r="J81" s="32"/>
      <c r="K81" s="32"/>
      <c r="L81" s="76"/>
    </row>
    <row r="82" spans="1:12" x14ac:dyDescent="0.35">
      <c r="A82" s="32"/>
      <c r="B82" s="32"/>
      <c r="C82" s="32"/>
      <c r="D82" s="32"/>
      <c r="E82" s="32"/>
      <c r="F82" s="32"/>
      <c r="G82" s="75"/>
      <c r="H82" s="75"/>
      <c r="I82" s="32"/>
      <c r="J82" s="32"/>
      <c r="K82" s="32"/>
      <c r="L82" s="76"/>
    </row>
    <row r="83" spans="1:12" x14ac:dyDescent="0.35">
      <c r="A83" s="32"/>
      <c r="B83" s="32"/>
      <c r="C83" s="32"/>
      <c r="D83" s="32"/>
      <c r="E83" s="32"/>
      <c r="F83" s="32"/>
      <c r="G83" s="75"/>
      <c r="H83" s="75"/>
      <c r="I83" s="32"/>
      <c r="J83" s="32"/>
      <c r="K83" s="32"/>
      <c r="L83" s="76"/>
    </row>
    <row r="84" spans="1:12" x14ac:dyDescent="0.35">
      <c r="A84" s="32"/>
      <c r="B84" s="32"/>
      <c r="C84" s="32"/>
      <c r="D84" s="32"/>
      <c r="E84" s="32"/>
      <c r="F84" s="32"/>
      <c r="G84" s="75"/>
      <c r="H84" s="75"/>
      <c r="I84" s="32"/>
      <c r="J84" s="32"/>
      <c r="K84" s="32"/>
      <c r="L84" s="76"/>
    </row>
    <row r="85" spans="1:12" x14ac:dyDescent="0.35">
      <c r="A85" s="32"/>
      <c r="B85" s="32"/>
      <c r="C85" s="32"/>
      <c r="D85" s="32"/>
      <c r="E85" s="32"/>
      <c r="F85" s="32"/>
      <c r="G85" s="75"/>
      <c r="H85" s="75"/>
      <c r="I85" s="32"/>
      <c r="J85" s="32"/>
      <c r="K85" s="32"/>
      <c r="L85" s="76"/>
    </row>
    <row r="86" spans="1:12" x14ac:dyDescent="0.35">
      <c r="A86" s="32"/>
      <c r="B86" s="32"/>
      <c r="C86" s="32"/>
      <c r="D86" s="32"/>
      <c r="E86" s="32"/>
      <c r="F86" s="32"/>
      <c r="G86" s="75"/>
      <c r="H86" s="75"/>
      <c r="I86" s="32"/>
      <c r="J86" s="32"/>
      <c r="K86" s="32"/>
      <c r="L86" s="76"/>
    </row>
    <row r="87" spans="1:12" x14ac:dyDescent="0.35">
      <c r="A87" s="32"/>
      <c r="B87" s="32"/>
      <c r="C87" s="32"/>
      <c r="D87" s="32"/>
      <c r="E87" s="32"/>
      <c r="F87" s="32"/>
      <c r="G87" s="75"/>
      <c r="H87" s="75"/>
      <c r="I87" s="32"/>
      <c r="J87" s="32"/>
      <c r="K87" s="32"/>
      <c r="L87" s="76"/>
    </row>
    <row r="88" spans="1:12" x14ac:dyDescent="0.35">
      <c r="A88" s="32"/>
      <c r="B88" s="32"/>
      <c r="C88" s="32"/>
      <c r="D88" s="32"/>
      <c r="E88" s="32"/>
      <c r="F88" s="32"/>
      <c r="G88" s="75"/>
      <c r="H88" s="75"/>
      <c r="I88" s="32"/>
      <c r="J88" s="32"/>
      <c r="K88" s="32"/>
      <c r="L88" s="76"/>
    </row>
    <row r="89" spans="1:12" x14ac:dyDescent="0.35">
      <c r="G89" s="15"/>
      <c r="H89" s="15"/>
      <c r="L89" s="22"/>
    </row>
    <row r="90" spans="1:12" x14ac:dyDescent="0.35">
      <c r="G90" s="15"/>
      <c r="H90" s="15"/>
      <c r="L90" s="22"/>
    </row>
    <row r="91" spans="1:12" x14ac:dyDescent="0.35">
      <c r="G91" s="15"/>
      <c r="H91" s="15"/>
      <c r="L91" s="22"/>
    </row>
    <row r="92" spans="1:12" x14ac:dyDescent="0.35">
      <c r="G92" s="15"/>
      <c r="H92" s="15"/>
      <c r="L92" s="22"/>
    </row>
    <row r="93" spans="1:12" x14ac:dyDescent="0.35">
      <c r="G93" s="15"/>
      <c r="H93" s="15"/>
      <c r="L93" s="22"/>
    </row>
    <row r="94" spans="1:12" x14ac:dyDescent="0.35">
      <c r="G94" s="15"/>
      <c r="H94" s="15"/>
      <c r="L94" s="22"/>
    </row>
    <row r="95" spans="1:12" x14ac:dyDescent="0.35">
      <c r="G95" s="15"/>
      <c r="H95" s="15"/>
      <c r="L95" s="22"/>
    </row>
    <row r="96" spans="1:12" x14ac:dyDescent="0.35">
      <c r="G96" s="15"/>
      <c r="H96" s="15"/>
      <c r="L96" s="22"/>
    </row>
    <row r="97" spans="7:12" x14ac:dyDescent="0.35">
      <c r="G97" s="15"/>
      <c r="H97" s="15"/>
      <c r="L97" s="22"/>
    </row>
    <row r="98" spans="7:12" x14ac:dyDescent="0.35">
      <c r="G98" s="15"/>
      <c r="H98" s="15"/>
      <c r="L98" s="22"/>
    </row>
    <row r="99" spans="7:12" x14ac:dyDescent="0.35">
      <c r="G99" s="15"/>
      <c r="H99" s="15"/>
      <c r="L99" s="22"/>
    </row>
    <row r="100" spans="7:12" x14ac:dyDescent="0.35">
      <c r="G100" s="15"/>
      <c r="H100" s="15"/>
      <c r="L100" s="22"/>
    </row>
    <row r="101" spans="7:12" x14ac:dyDescent="0.35">
      <c r="G101" s="15"/>
      <c r="H101" s="15"/>
      <c r="L101" s="22"/>
    </row>
    <row r="102" spans="7:12" x14ac:dyDescent="0.35">
      <c r="G102" s="15"/>
      <c r="H102" s="15"/>
      <c r="L102" s="22"/>
    </row>
    <row r="103" spans="7:12" x14ac:dyDescent="0.35">
      <c r="G103" s="15"/>
      <c r="H103" s="15"/>
      <c r="L103" s="22"/>
    </row>
    <row r="104" spans="7:12" x14ac:dyDescent="0.35">
      <c r="G104" s="15"/>
      <c r="H104" s="15"/>
      <c r="L104" s="22"/>
    </row>
    <row r="105" spans="7:12" x14ac:dyDescent="0.35">
      <c r="G105" s="15"/>
      <c r="H105" s="15"/>
      <c r="L105" s="22"/>
    </row>
    <row r="106" spans="7:12" x14ac:dyDescent="0.35">
      <c r="G106" s="15"/>
      <c r="H106" s="15"/>
      <c r="L106" s="22"/>
    </row>
    <row r="107" spans="7:12" x14ac:dyDescent="0.35">
      <c r="G107" s="15"/>
      <c r="H107" s="15"/>
      <c r="L107" s="22"/>
    </row>
    <row r="108" spans="7:12" x14ac:dyDescent="0.35">
      <c r="G108" s="15"/>
      <c r="H108" s="15"/>
      <c r="L108" s="22"/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808080"/>
  </sheetPr>
  <dimension ref="A1:E24"/>
  <sheetViews>
    <sheetView workbookViewId="0"/>
  </sheetViews>
  <sheetFormatPr defaultRowHeight="14.5" x14ac:dyDescent="0.35"/>
  <cols>
    <col min="1" max="1" width="20" customWidth="1"/>
    <col min="2" max="5" width="18" customWidth="1"/>
  </cols>
  <sheetData>
    <row r="1" spans="1:5" ht="18.5" customHeight="1" x14ac:dyDescent="0.45">
      <c r="A1" s="165" t="s">
        <v>568</v>
      </c>
    </row>
    <row r="2" spans="1:5" x14ac:dyDescent="0.35">
      <c r="A2" s="166" t="s">
        <v>569</v>
      </c>
    </row>
    <row r="4" spans="1:5" x14ac:dyDescent="0.35">
      <c r="A4" s="167" t="s">
        <v>7</v>
      </c>
      <c r="B4" s="167" t="s">
        <v>570</v>
      </c>
      <c r="C4" s="167" t="s">
        <v>571</v>
      </c>
      <c r="D4" s="167" t="s">
        <v>572</v>
      </c>
      <c r="E4" s="167" t="s">
        <v>573</v>
      </c>
    </row>
    <row r="5" spans="1:5" x14ac:dyDescent="0.35">
      <c r="A5" s="168" t="s">
        <v>43</v>
      </c>
      <c r="B5" s="178">
        <f>SUMIF('02_TrayPack_Order'!$P$3:$P$300,A5,'02_TrayPack_Order'!$R$3:$R$300)</f>
        <v>12443.226773433586</v>
      </c>
      <c r="C5" s="178">
        <f ca="1">SUMIF('03_BulkPack_Order'!$K$3:$K$300,A5,'03_BulkPack_Order'!$N$3:$N$300)</f>
        <v>0</v>
      </c>
      <c r="D5" s="178">
        <f>SUMIF('04_Bagging_Order'!$N$3:$N$300,A5,'04_Bagging_Order'!$Q$3:$Q$300)</f>
        <v>0</v>
      </c>
      <c r="E5" s="178">
        <f t="shared" ref="E5:E17" ca="1" si="0">B5+C5+D5</f>
        <v>12443.226773433586</v>
      </c>
    </row>
    <row r="6" spans="1:5" x14ac:dyDescent="0.35">
      <c r="A6" s="168" t="s">
        <v>27</v>
      </c>
      <c r="B6" s="178">
        <f>SUMIF('02_TrayPack_Order'!$P$3:$P$300,A6,'02_TrayPack_Order'!$R$3:$R$300)</f>
        <v>22475.467370857699</v>
      </c>
      <c r="C6" s="178">
        <f ca="1">SUMIF('03_BulkPack_Order'!$K$3:$K$300,A6,'03_BulkPack_Order'!$N$3:$N$300)</f>
        <v>0</v>
      </c>
      <c r="D6" s="178">
        <f>SUMIF('04_Bagging_Order'!$N$3:$N$300,A6,'04_Bagging_Order'!$Q$3:$Q$300)</f>
        <v>0</v>
      </c>
      <c r="E6" s="178">
        <f t="shared" ca="1" si="0"/>
        <v>22475.467370857699</v>
      </c>
    </row>
    <row r="7" spans="1:5" x14ac:dyDescent="0.35">
      <c r="A7" s="168" t="s">
        <v>197</v>
      </c>
      <c r="B7" s="178">
        <f>SUMIF('02_TrayPack_Order'!$P$3:$P$300,A7,'02_TrayPack_Order'!$R$3:$R$300)</f>
        <v>168.66493006572938</v>
      </c>
      <c r="C7" s="178">
        <f ca="1">SUMIF('03_BulkPack_Order'!$K$3:$K$300,A7,'03_BulkPack_Order'!$N$3:$N$300)</f>
        <v>0</v>
      </c>
      <c r="D7" s="178">
        <f>SUMIF('04_Bagging_Order'!$N$3:$N$300,A7,'04_Bagging_Order'!$Q$3:$Q$300)</f>
        <v>0</v>
      </c>
      <c r="E7" s="178">
        <f t="shared" ca="1" si="0"/>
        <v>168.66493006572938</v>
      </c>
    </row>
    <row r="8" spans="1:5" x14ac:dyDescent="0.35">
      <c r="A8" s="168" t="s">
        <v>41</v>
      </c>
      <c r="B8" s="178">
        <f>SUMIF('02_TrayPack_Order'!$P$3:$P$300,A8,'02_TrayPack_Order'!$R$3:$R$300)</f>
        <v>0</v>
      </c>
      <c r="C8" s="178">
        <f ca="1">SUMIF('03_BulkPack_Order'!$K$3:$K$300,A8,'03_BulkPack_Order'!$N$3:$N$300)</f>
        <v>0</v>
      </c>
      <c r="D8" s="178">
        <f>SUMIF('04_Bagging_Order'!$N$3:$N$300,A8,'04_Bagging_Order'!$Q$3:$Q$300)</f>
        <v>1280.8543902777778</v>
      </c>
      <c r="E8" s="178">
        <f t="shared" ca="1" si="0"/>
        <v>1280.8543902777778</v>
      </c>
    </row>
    <row r="9" spans="1:5" x14ac:dyDescent="0.35">
      <c r="A9" s="168" t="s">
        <v>37</v>
      </c>
      <c r="B9" s="178">
        <f>SUMIF('02_TrayPack_Order'!$P$3:$P$300,A9,'02_TrayPack_Order'!$R$3:$R$300)</f>
        <v>3603.4695773420353</v>
      </c>
      <c r="C9" s="178">
        <f ca="1">SUMIF('03_BulkPack_Order'!$K$3:$K$300,A9,'03_BulkPack_Order'!$N$3:$N$300)</f>
        <v>8883</v>
      </c>
      <c r="D9" s="178">
        <f>SUMIF('04_Bagging_Order'!$N$3:$N$300,A9,'04_Bagging_Order'!$Q$3:$Q$300)</f>
        <v>0</v>
      </c>
      <c r="E9" s="178">
        <f t="shared" ca="1" si="0"/>
        <v>12486.469577342035</v>
      </c>
    </row>
    <row r="10" spans="1:5" x14ac:dyDescent="0.35">
      <c r="A10" s="168" t="s">
        <v>29</v>
      </c>
      <c r="B10" s="178">
        <f>SUMIF('02_TrayPack_Order'!$P$3:$P$300,A10,'02_TrayPack_Order'!$R$3:$R$300)</f>
        <v>4406.7681537159324</v>
      </c>
      <c r="C10" s="178">
        <f ca="1">SUMIF('03_BulkPack_Order'!$K$3:$K$300,A10,'03_BulkPack_Order'!$N$3:$N$300)</f>
        <v>7200</v>
      </c>
      <c r="D10" s="178">
        <f>SUMIF('04_Bagging_Order'!$N$3:$N$300,A10,'04_Bagging_Order'!$Q$3:$Q$300)</f>
        <v>1653.3372858452008</v>
      </c>
      <c r="E10" s="178">
        <f t="shared" ca="1" si="0"/>
        <v>13260.105439561134</v>
      </c>
    </row>
    <row r="11" spans="1:5" x14ac:dyDescent="0.35">
      <c r="A11" s="168" t="s">
        <v>33</v>
      </c>
      <c r="B11" s="178">
        <f>SUMIF('02_TrayPack_Order'!$P$3:$P$300,A11,'02_TrayPack_Order'!$R$3:$R$300)</f>
        <v>8208.4332719714748</v>
      </c>
      <c r="C11" s="178">
        <f ca="1">SUMIF('03_BulkPack_Order'!$K$3:$K$300,A11,'03_BulkPack_Order'!$N$3:$N$300)</f>
        <v>1170</v>
      </c>
      <c r="D11" s="178">
        <f>SUMIF('04_Bagging_Order'!$N$3:$N$300,A11,'04_Bagging_Order'!$Q$3:$Q$300)</f>
        <v>0</v>
      </c>
      <c r="E11" s="178">
        <f t="shared" ca="1" si="0"/>
        <v>9378.4332719714748</v>
      </c>
    </row>
    <row r="12" spans="1:5" x14ac:dyDescent="0.35">
      <c r="A12" s="168" t="s">
        <v>23</v>
      </c>
      <c r="B12" s="178">
        <f>SUMIF('02_TrayPack_Order'!$P$3:$P$300,A12,'02_TrayPack_Order'!$R$3:$R$300)</f>
        <v>7074.6515558938045</v>
      </c>
      <c r="C12" s="178">
        <f ca="1">SUMIF('03_BulkPack_Order'!$K$3:$K$300,A12,'03_BulkPack_Order'!$N$3:$N$300)</f>
        <v>300</v>
      </c>
      <c r="D12" s="178">
        <f>SUMIF('04_Bagging_Order'!$N$3:$N$300,A12,'04_Bagging_Order'!$Q$3:$Q$300)</f>
        <v>0</v>
      </c>
      <c r="E12" s="178">
        <f t="shared" ca="1" si="0"/>
        <v>7374.6515558938045</v>
      </c>
    </row>
    <row r="13" spans="1:5" x14ac:dyDescent="0.35">
      <c r="A13" s="168" t="s">
        <v>31</v>
      </c>
      <c r="B13" s="178">
        <f>SUMIF('02_TrayPack_Order'!$P$3:$P$300,A13,'02_TrayPack_Order'!$R$3:$R$300)</f>
        <v>4010.6401695189334</v>
      </c>
      <c r="C13" s="178">
        <f ca="1">SUMIF('03_BulkPack_Order'!$K$3:$K$300,A13,'03_BulkPack_Order'!$N$3:$N$300)</f>
        <v>16830</v>
      </c>
      <c r="D13" s="178">
        <f>SUMIF('04_Bagging_Order'!$N$3:$N$300,A13,'04_Bagging_Order'!$Q$3:$Q$300)</f>
        <v>2024.866713375797</v>
      </c>
      <c r="E13" s="178">
        <f t="shared" ca="1" si="0"/>
        <v>22865.50688289473</v>
      </c>
    </row>
    <row r="14" spans="1:5" x14ac:dyDescent="0.35">
      <c r="A14" s="168" t="s">
        <v>97</v>
      </c>
      <c r="B14" s="178">
        <f>SUMIF('02_TrayPack_Order'!$P$3:$P$300,A14,'02_TrayPack_Order'!$R$3:$R$300)</f>
        <v>263.62051702913413</v>
      </c>
      <c r="C14" s="178">
        <f ca="1">SUMIF('03_BulkPack_Order'!$K$3:$K$300,A14,'03_BulkPack_Order'!$N$3:$N$300)</f>
        <v>0</v>
      </c>
      <c r="D14" s="178">
        <f>SUMIF('04_Bagging_Order'!$N$3:$N$300,A14,'04_Bagging_Order'!$Q$3:$Q$300)</f>
        <v>0</v>
      </c>
      <c r="E14" s="178">
        <f t="shared" ca="1" si="0"/>
        <v>263.62051702913413</v>
      </c>
    </row>
    <row r="15" spans="1:5" x14ac:dyDescent="0.35">
      <c r="A15" s="168" t="s">
        <v>574</v>
      </c>
      <c r="B15" s="178">
        <f>SUMIF('02_TrayPack_Order'!$P$3:$P$300,A15,'02_TrayPack_Order'!$R$3:$R$300)</f>
        <v>0</v>
      </c>
      <c r="C15" s="178">
        <f ca="1">SUMIF('03_BulkPack_Order'!$K$3:$K$300,A15,'03_BulkPack_Order'!$N$3:$N$300)</f>
        <v>0</v>
      </c>
      <c r="D15" s="178">
        <f>SUMIF('04_Bagging_Order'!$N$3:$N$300,A15,'04_Bagging_Order'!$Q$3:$Q$300)</f>
        <v>0</v>
      </c>
      <c r="E15" s="178">
        <f t="shared" ca="1" si="0"/>
        <v>0</v>
      </c>
    </row>
    <row r="16" spans="1:5" x14ac:dyDescent="0.35">
      <c r="A16" s="168" t="s">
        <v>153</v>
      </c>
      <c r="B16" s="178">
        <f>SUMIF('02_TrayPack_Order'!$P$3:$P$300,A16,'02_TrayPack_Order'!$R$3:$R$300)</f>
        <v>7856.6062192150648</v>
      </c>
      <c r="C16" s="178">
        <f ca="1">SUMIF('03_BulkPack_Order'!$K$3:$K$300,A16,'03_BulkPack_Order'!$N$3:$N$300)</f>
        <v>0</v>
      </c>
      <c r="D16" s="178">
        <f>SUMIF('04_Bagging_Order'!$N$3:$N$300,A16,'04_Bagging_Order'!$Q$3:$Q$300)</f>
        <v>0</v>
      </c>
      <c r="E16" s="178">
        <f t="shared" ca="1" si="0"/>
        <v>7856.6062192150648</v>
      </c>
    </row>
    <row r="17" spans="1:5" x14ac:dyDescent="0.35">
      <c r="A17" s="168" t="s">
        <v>253</v>
      </c>
      <c r="B17" s="178">
        <f>SUMIF('02_TrayPack_Order'!$P$3:$P$300,A17,'02_TrayPack_Order'!$R$3:$R$300)</f>
        <v>0</v>
      </c>
      <c r="C17" s="178">
        <f ca="1">SUMIF('03_BulkPack_Order'!$K$3:$K$300,A17,'03_BulkPack_Order'!$N$3:$N$300)</f>
        <v>0</v>
      </c>
      <c r="D17" s="178">
        <f>SUMIF('04_Bagging_Order'!$N$3:$N$300,A17,'04_Bagging_Order'!$Q$3:$Q$300)</f>
        <v>0</v>
      </c>
      <c r="E17" s="178">
        <f t="shared" ca="1" si="0"/>
        <v>0</v>
      </c>
    </row>
    <row r="18" spans="1:5" x14ac:dyDescent="0.35">
      <c r="A18" s="169" t="s">
        <v>575</v>
      </c>
      <c r="B18" s="179">
        <f>SUM(B5:B17)</f>
        <v>70511.54853904339</v>
      </c>
      <c r="C18" s="179">
        <f ca="1">SUM(C5:C17)</f>
        <v>34383</v>
      </c>
      <c r="D18" s="179">
        <f>SUM(D5:D17)</f>
        <v>4959.0583894987758</v>
      </c>
      <c r="E18" s="179">
        <f ca="1">SUM(E5:E17)</f>
        <v>109853.60692854218</v>
      </c>
    </row>
    <row r="20" spans="1:5" x14ac:dyDescent="0.35">
      <c r="A20" s="169" t="s">
        <v>576</v>
      </c>
    </row>
    <row r="21" spans="1:5" x14ac:dyDescent="0.35">
      <c r="A21" t="s">
        <v>577</v>
      </c>
    </row>
    <row r="22" spans="1:5" x14ac:dyDescent="0.35">
      <c r="A22" t="s">
        <v>578</v>
      </c>
    </row>
    <row r="23" spans="1:5" x14ac:dyDescent="0.35">
      <c r="A23" t="s">
        <v>579</v>
      </c>
    </row>
    <row r="24" spans="1:5" x14ac:dyDescent="0.35">
      <c r="A24" t="s">
        <v>580</v>
      </c>
    </row>
  </sheetData>
  <sheetProtection sheet="1" objects="1" scenarios="1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8080"/>
  </sheetPr>
  <dimension ref="A1:I96"/>
  <sheetViews>
    <sheetView workbookViewId="0">
      <selection sqref="A1:E1"/>
    </sheetView>
  </sheetViews>
  <sheetFormatPr defaultRowHeight="14.5" x14ac:dyDescent="0.35"/>
  <cols>
    <col min="1" max="1" width="28" customWidth="1"/>
    <col min="2" max="2" width="18" customWidth="1"/>
    <col min="3" max="3" width="28.81640625" customWidth="1"/>
    <col min="4" max="4" width="26.36328125" bestFit="1" customWidth="1"/>
    <col min="5" max="6" width="18" customWidth="1"/>
    <col min="7" max="7" width="20" customWidth="1"/>
    <col min="8" max="9" width="16" customWidth="1"/>
  </cols>
  <sheetData>
    <row r="1" spans="1:6" ht="18.5" customHeight="1" x14ac:dyDescent="0.45">
      <c r="A1" s="322" t="s">
        <v>581</v>
      </c>
      <c r="B1" s="319"/>
      <c r="C1" s="319"/>
      <c r="D1" s="319"/>
      <c r="E1" s="319"/>
    </row>
    <row r="3" spans="1:6" x14ac:dyDescent="0.35">
      <c r="A3" s="155" t="s">
        <v>582</v>
      </c>
    </row>
    <row r="4" spans="1:6" x14ac:dyDescent="0.35">
      <c r="A4" t="s">
        <v>583</v>
      </c>
      <c r="B4" s="156">
        <f>'01_Cages_Plan'!C3</f>
        <v>265</v>
      </c>
    </row>
    <row r="5" spans="1:6" x14ac:dyDescent="0.35">
      <c r="A5" t="s">
        <v>584</v>
      </c>
      <c r="B5">
        <f>'01_Cages_Plan'!C5</f>
        <v>680</v>
      </c>
    </row>
    <row r="6" spans="1:6" x14ac:dyDescent="0.35">
      <c r="A6" t="s">
        <v>585</v>
      </c>
      <c r="B6" s="157">
        <f>B4*B5</f>
        <v>180200</v>
      </c>
    </row>
    <row r="8" spans="1:6" x14ac:dyDescent="0.35">
      <c r="A8" s="318" t="s">
        <v>586</v>
      </c>
      <c r="B8" s="319"/>
      <c r="C8" s="319"/>
      <c r="D8" s="319"/>
      <c r="E8" s="319"/>
      <c r="F8" s="319"/>
    </row>
    <row r="9" spans="1:6" x14ac:dyDescent="0.35">
      <c r="A9" s="155" t="s">
        <v>7</v>
      </c>
      <c r="B9" s="155" t="s">
        <v>587</v>
      </c>
      <c r="C9" s="155" t="s">
        <v>588</v>
      </c>
      <c r="D9" s="155" t="s">
        <v>493</v>
      </c>
      <c r="E9" s="155" t="s">
        <v>492</v>
      </c>
      <c r="F9" s="155" t="s">
        <v>2</v>
      </c>
    </row>
    <row r="10" spans="1:6" x14ac:dyDescent="0.35">
      <c r="A10" t="s">
        <v>43</v>
      </c>
      <c r="B10">
        <f>IFERROR(INDEX('00_Yield_Rates'!$E$2:$E$33,MATCH("SplitBreast",'00_Yield_Rates'!$B$2:$B$33,0))/100,0)</f>
        <v>0.35499999999999998</v>
      </c>
      <c r="C10" s="157">
        <f t="shared" ref="C10:C18" si="0">$B$6*B10</f>
        <v>63971</v>
      </c>
      <c r="D10">
        <v>1</v>
      </c>
      <c r="E10" t="s">
        <v>499</v>
      </c>
      <c r="F10" t="s">
        <v>589</v>
      </c>
    </row>
    <row r="11" spans="1:6" x14ac:dyDescent="0.35">
      <c r="A11" t="s">
        <v>27</v>
      </c>
      <c r="B11">
        <f>IFERROR(INDEX('00_Yield_Rates'!$E$2:$E$33,MATCH("BSB",'00_Yield_Rates'!$B$2:$B$33,0))/100,0)</f>
        <v>0.23499999999999999</v>
      </c>
      <c r="C11" s="157">
        <f t="shared" si="0"/>
        <v>42347</v>
      </c>
      <c r="D11">
        <v>2</v>
      </c>
      <c r="E11" t="s">
        <v>499</v>
      </c>
      <c r="F11" t="s">
        <v>590</v>
      </c>
    </row>
    <row r="12" spans="1:6" x14ac:dyDescent="0.35">
      <c r="A12" t="s">
        <v>197</v>
      </c>
      <c r="B12">
        <f>IFERROR(INDEX('00_Yield_Rates'!$E$2:$E$33,MATCH("Fillet",'00_Yield_Rates'!$B$2:$B$33,0))/100,0)</f>
        <v>4.4999999999999998E-2</v>
      </c>
      <c r="C12" s="157">
        <f t="shared" si="0"/>
        <v>8109</v>
      </c>
      <c r="D12">
        <v>2</v>
      </c>
      <c r="E12" t="s">
        <v>499</v>
      </c>
      <c r="F12" t="s">
        <v>590</v>
      </c>
    </row>
    <row r="13" spans="1:6" x14ac:dyDescent="0.35">
      <c r="A13" t="s">
        <v>41</v>
      </c>
      <c r="B13">
        <f>IFERROR(INDEX('00_Yield_Rates'!$E$2:$E$33,MATCH("Wing",'00_Yield_Rates'!$B$2:$B$33,0))/100,0)</f>
        <v>0.10800000000000001</v>
      </c>
      <c r="C13" s="157">
        <f t="shared" si="0"/>
        <v>19461.600000000002</v>
      </c>
      <c r="D13">
        <v>1</v>
      </c>
      <c r="E13" t="s">
        <v>41</v>
      </c>
      <c r="F13" t="s">
        <v>589</v>
      </c>
    </row>
    <row r="14" spans="1:6" x14ac:dyDescent="0.35">
      <c r="A14" t="s">
        <v>37</v>
      </c>
      <c r="B14">
        <f>IFERROR(INDEX('00_Yield_Rates'!$E$2:$E$33,MATCH("SplitWing",'00_Yield_Rates'!$B$2:$B$33,0))/100,0)</f>
        <v>9.5000000000000001E-2</v>
      </c>
      <c r="C14" s="157">
        <f t="shared" si="0"/>
        <v>17119</v>
      </c>
      <c r="D14">
        <v>2</v>
      </c>
      <c r="E14" t="s">
        <v>41</v>
      </c>
      <c r="F14" t="s">
        <v>591</v>
      </c>
    </row>
    <row r="15" spans="1:6" x14ac:dyDescent="0.35">
      <c r="A15" t="s">
        <v>29</v>
      </c>
      <c r="B15">
        <f>IFERROR(INDEX('00_Yield_Rates'!$E$2:$E$33,MATCH("BA",'00_Yield_Rates'!$B$2:$B$33,0))/100,0)</f>
        <v>0.47</v>
      </c>
      <c r="C15" s="157">
        <f t="shared" si="0"/>
        <v>84694</v>
      </c>
      <c r="D15">
        <v>1</v>
      </c>
      <c r="E15" t="s">
        <v>505</v>
      </c>
      <c r="F15" t="s">
        <v>592</v>
      </c>
    </row>
    <row r="16" spans="1:6" x14ac:dyDescent="0.35">
      <c r="A16" t="s">
        <v>33</v>
      </c>
      <c r="B16">
        <f>IFERROR(INDEX('00_Yield_Rates'!$E$2:$E$33,MATCH("Thigh",'00_Yield_Rates'!$B$2:$B$33,0))/100,0)</f>
        <v>0.17499999999999999</v>
      </c>
      <c r="C16" s="157">
        <f t="shared" si="0"/>
        <v>31534.999999999996</v>
      </c>
      <c r="D16">
        <v>2</v>
      </c>
      <c r="E16" t="s">
        <v>508</v>
      </c>
      <c r="F16" t="s">
        <v>593</v>
      </c>
    </row>
    <row r="17" spans="1:9" x14ac:dyDescent="0.35">
      <c r="A17" t="s">
        <v>23</v>
      </c>
      <c r="B17">
        <f>IFERROR(INDEX('00_Yield_Rates'!$E$2:$E$33,MATCH("ThighMeat",'00_Yield_Rates'!$B$2:$B$33,0))/100,0)</f>
        <v>0.115</v>
      </c>
      <c r="C17" s="157">
        <f t="shared" si="0"/>
        <v>20723</v>
      </c>
      <c r="D17">
        <v>3</v>
      </c>
      <c r="E17" t="s">
        <v>508</v>
      </c>
      <c r="F17" t="s">
        <v>594</v>
      </c>
    </row>
    <row r="18" spans="1:9" x14ac:dyDescent="0.35">
      <c r="A18" t="s">
        <v>31</v>
      </c>
      <c r="B18">
        <f>IFERROR(INDEX('00_Yield_Rates'!$E$2:$E$33,MATCH("Drum",'00_Yield_Rates'!$B$2:$B$33,0))/100,0)</f>
        <v>0.14300000000000002</v>
      </c>
      <c r="C18" s="157">
        <f t="shared" si="0"/>
        <v>25768.600000000002</v>
      </c>
      <c r="D18">
        <v>2</v>
      </c>
      <c r="E18" t="s">
        <v>508</v>
      </c>
      <c r="F18" t="s">
        <v>593</v>
      </c>
    </row>
    <row r="20" spans="1:9" x14ac:dyDescent="0.35">
      <c r="A20" s="318" t="s">
        <v>595</v>
      </c>
      <c r="B20" s="319"/>
      <c r="C20" s="319"/>
      <c r="D20" s="319"/>
    </row>
    <row r="21" spans="1:9" x14ac:dyDescent="0.35">
      <c r="A21" s="155" t="s">
        <v>596</v>
      </c>
      <c r="B21" s="155" t="s">
        <v>597</v>
      </c>
      <c r="C21" s="155" t="s">
        <v>598</v>
      </c>
      <c r="D21" s="155" t="s">
        <v>599</v>
      </c>
    </row>
    <row r="22" spans="1:9" x14ac:dyDescent="0.35">
      <c r="A22" t="s">
        <v>600</v>
      </c>
      <c r="B22">
        <f>B11/B10</f>
        <v>0.6619718309859155</v>
      </c>
      <c r="C22" s="173">
        <f>B11/B10</f>
        <v>0.6619718309859155</v>
      </c>
      <c r="D22" t="s">
        <v>601</v>
      </c>
    </row>
    <row r="23" spans="1:9" x14ac:dyDescent="0.35">
      <c r="A23" t="s">
        <v>602</v>
      </c>
      <c r="B23">
        <f>B17/B16</f>
        <v>0.65714285714285725</v>
      </c>
      <c r="C23" s="173">
        <f>B17/B16</f>
        <v>0.65714285714285725</v>
      </c>
      <c r="D23" t="s">
        <v>603</v>
      </c>
      <c r="E23" s="274"/>
    </row>
    <row r="24" spans="1:9" x14ac:dyDescent="0.35">
      <c r="A24" t="s">
        <v>604</v>
      </c>
      <c r="B24">
        <f>B14/B13</f>
        <v>0.87962962962962954</v>
      </c>
      <c r="C24" s="173">
        <f>B14/B13</f>
        <v>0.87962962962962954</v>
      </c>
      <c r="D24" t="s">
        <v>605</v>
      </c>
    </row>
    <row r="25" spans="1:9" x14ac:dyDescent="0.35">
      <c r="A25" t="s">
        <v>606</v>
      </c>
      <c r="B25">
        <f>B16/B15</f>
        <v>0.37234042553191488</v>
      </c>
      <c r="C25" s="173">
        <f>B16/B15</f>
        <v>0.37234042553191488</v>
      </c>
      <c r="D25" t="s">
        <v>607</v>
      </c>
    </row>
    <row r="26" spans="1:9" x14ac:dyDescent="0.35">
      <c r="A26" t="s">
        <v>608</v>
      </c>
      <c r="B26">
        <f>B18/B15</f>
        <v>0.30425531914893622</v>
      </c>
      <c r="C26" s="173">
        <f>B18/B15</f>
        <v>0.30425531914893622</v>
      </c>
      <c r="D26" t="s">
        <v>609</v>
      </c>
    </row>
    <row r="28" spans="1:9" x14ac:dyDescent="0.35">
      <c r="A28" s="318" t="s">
        <v>610</v>
      </c>
      <c r="B28" s="319"/>
      <c r="C28" s="319"/>
      <c r="D28" s="319"/>
      <c r="E28" s="319"/>
      <c r="F28" s="319"/>
      <c r="G28" s="319"/>
      <c r="H28" s="319"/>
    </row>
    <row r="29" spans="1:9" x14ac:dyDescent="0.35">
      <c r="A29" s="244" t="s">
        <v>7</v>
      </c>
      <c r="B29" s="245" t="s">
        <v>611</v>
      </c>
      <c r="C29" s="245" t="s">
        <v>612</v>
      </c>
      <c r="D29" s="245" t="s">
        <v>613</v>
      </c>
      <c r="E29" s="245" t="s">
        <v>614</v>
      </c>
      <c r="F29" s="245" t="s">
        <v>615</v>
      </c>
      <c r="G29" s="245" t="s">
        <v>616</v>
      </c>
      <c r="H29" s="245" t="s">
        <v>617</v>
      </c>
      <c r="I29" s="245" t="s">
        <v>618</v>
      </c>
    </row>
    <row r="30" spans="1:9" x14ac:dyDescent="0.35">
      <c r="A30" s="246" t="s">
        <v>43</v>
      </c>
      <c r="B30" s="247">
        <f>IFERROR(INDEX('14_Demand_Aggregation'!$B$5:$B$88,MATCH(A30,'14_Demand_Aggregation'!$A$5:$A$88,0)),0)</f>
        <v>12443.226773433586</v>
      </c>
      <c r="C30" s="247">
        <f ca="1">IFERROR(INDEX('14_Demand_Aggregation'!$C$5:$C$88,MATCH(A30,'14_Demand_Aggregation'!$A$5:$A$88,0)),0)</f>
        <v>0</v>
      </c>
      <c r="D30" s="247">
        <f>IFERROR(INDEX('14_Demand_Aggregation'!$D$5:$D$88,MATCH(A30,'14_Demand_Aggregation'!$A$5:$A$88,0)),0)</f>
        <v>0</v>
      </c>
      <c r="E30" s="248">
        <f t="shared" ref="E30:E38" ca="1" si="1">B30+C30+D30</f>
        <v>12443.226773433586</v>
      </c>
      <c r="F30" s="286">
        <f>SUMIF('06_Resource_Plan'!$C$3:$C$55,A30,'06_Resource_Plan'!$E$3:$E$55)</f>
        <v>475</v>
      </c>
      <c r="G30" s="288">
        <v>1000</v>
      </c>
      <c r="H30" s="248">
        <f t="shared" ref="H30:H38" si="2">MAX(0,G30-F30)</f>
        <v>525</v>
      </c>
      <c r="I30" s="248">
        <f t="shared" ref="I30:I38" ca="1" si="3">MAX(0,E30+H30-F30)</f>
        <v>12493.226773433586</v>
      </c>
    </row>
    <row r="31" spans="1:9" x14ac:dyDescent="0.35">
      <c r="A31" s="246" t="s">
        <v>27</v>
      </c>
      <c r="B31" s="247">
        <f>IFERROR(INDEX('14_Demand_Aggregation'!$B$5:$B$88,MATCH(A31,'14_Demand_Aggregation'!$A$5:$A$88,0)),0)</f>
        <v>22475.467370857699</v>
      </c>
      <c r="C31" s="247">
        <f ca="1">IFERROR(INDEX('14_Demand_Aggregation'!$C$5:$C$88,MATCH(A31,'14_Demand_Aggregation'!$A$5:$A$88,0)),0)</f>
        <v>0</v>
      </c>
      <c r="D31" s="247">
        <f>IFERROR(INDEX('14_Demand_Aggregation'!$D$5:$D$88,MATCH(A31,'14_Demand_Aggregation'!$A$5:$A$88,0)),0)</f>
        <v>0</v>
      </c>
      <c r="E31" s="248">
        <f t="shared" ca="1" si="1"/>
        <v>22475.467370857699</v>
      </c>
      <c r="F31" s="286">
        <f>SUMIF('06_Resource_Plan'!$C$3:$C$55,A31,'06_Resource_Plan'!$E$3:$E$55)</f>
        <v>8625</v>
      </c>
      <c r="G31" s="288">
        <v>10000</v>
      </c>
      <c r="H31" s="248">
        <f t="shared" si="2"/>
        <v>1375</v>
      </c>
      <c r="I31" s="248">
        <f t="shared" ca="1" si="3"/>
        <v>15225.467370857699</v>
      </c>
    </row>
    <row r="32" spans="1:9" x14ac:dyDescent="0.35">
      <c r="A32" s="246" t="s">
        <v>197</v>
      </c>
      <c r="B32" s="247">
        <f>IFERROR(INDEX('14_Demand_Aggregation'!$B$5:$B$88,MATCH(A32,'14_Demand_Aggregation'!$A$5:$A$88,0)),0)</f>
        <v>168.66493006572938</v>
      </c>
      <c r="C32" s="247">
        <f ca="1">IFERROR(INDEX('14_Demand_Aggregation'!$C$5:$C$88,MATCH(A32,'14_Demand_Aggregation'!$A$5:$A$88,0)),0)</f>
        <v>0</v>
      </c>
      <c r="D32" s="247">
        <f>IFERROR(INDEX('14_Demand_Aggregation'!$D$5:$D$88,MATCH(A32,'14_Demand_Aggregation'!$A$5:$A$88,0)),0)</f>
        <v>0</v>
      </c>
      <c r="E32" s="248">
        <f t="shared" ca="1" si="1"/>
        <v>168.66493006572938</v>
      </c>
      <c r="F32" s="286">
        <f>SUMIF('06_Resource_Plan'!$C$3:$C$55,A32,'06_Resource_Plan'!$E$3:$E$55)</f>
        <v>100</v>
      </c>
      <c r="G32" s="288">
        <v>0</v>
      </c>
      <c r="H32" s="248">
        <f t="shared" si="2"/>
        <v>0</v>
      </c>
      <c r="I32" s="248">
        <f t="shared" ca="1" si="3"/>
        <v>68.664930065729379</v>
      </c>
    </row>
    <row r="33" spans="1:9" x14ac:dyDescent="0.35">
      <c r="A33" s="246" t="s">
        <v>41</v>
      </c>
      <c r="B33" s="247">
        <f>IFERROR(INDEX('14_Demand_Aggregation'!$B$5:$B$88,MATCH(A33,'14_Demand_Aggregation'!$A$5:$A$88,0)),0)</f>
        <v>0</v>
      </c>
      <c r="C33" s="247">
        <f ca="1">IFERROR(INDEX('14_Demand_Aggregation'!$C$5:$C$88,MATCH(A33,'14_Demand_Aggregation'!$A$5:$A$88,0)),0)</f>
        <v>0</v>
      </c>
      <c r="D33" s="247">
        <f>IFERROR(INDEX('14_Demand_Aggregation'!$D$5:$D$88,MATCH(A33,'14_Demand_Aggregation'!$A$5:$A$88,0)),0)</f>
        <v>1280.8543902777778</v>
      </c>
      <c r="E33" s="248">
        <f t="shared" ca="1" si="1"/>
        <v>1280.8543902777778</v>
      </c>
      <c r="F33" s="286">
        <f>SUMIF('06_Resource_Plan'!$C$3:$C$55,A33,'06_Resource_Plan'!$E$3:$E$55)</f>
        <v>0</v>
      </c>
      <c r="G33" s="288">
        <v>200</v>
      </c>
      <c r="H33" s="248">
        <f t="shared" si="2"/>
        <v>200</v>
      </c>
      <c r="I33" s="248">
        <f t="shared" ca="1" si="3"/>
        <v>1480.8543902777778</v>
      </c>
    </row>
    <row r="34" spans="1:9" x14ac:dyDescent="0.35">
      <c r="A34" s="246" t="s">
        <v>37</v>
      </c>
      <c r="B34" s="247">
        <f>IFERROR(INDEX('14_Demand_Aggregation'!$B$5:$B$88,MATCH(A34,'14_Demand_Aggregation'!$A$5:$A$88,0)),0)</f>
        <v>3603.4695773420353</v>
      </c>
      <c r="C34" s="247">
        <f ca="1">IFERROR(INDEX('14_Demand_Aggregation'!$C$5:$C$88,MATCH(A34,'14_Demand_Aggregation'!$A$5:$A$88,0)),0)</f>
        <v>8883</v>
      </c>
      <c r="D34" s="247">
        <f>IFERROR(INDEX('14_Demand_Aggregation'!$D$5:$D$88,MATCH(A34,'14_Demand_Aggregation'!$A$5:$A$88,0)),0)</f>
        <v>0</v>
      </c>
      <c r="E34" s="248">
        <f t="shared" ca="1" si="1"/>
        <v>12486.469577342035</v>
      </c>
      <c r="F34" s="286">
        <f>SUMIF('06_Resource_Plan'!$C$3:$C$55,A34,'06_Resource_Plan'!$E$3:$E$55)</f>
        <v>850</v>
      </c>
      <c r="G34" s="288">
        <v>2000</v>
      </c>
      <c r="H34" s="248">
        <f t="shared" si="2"/>
        <v>1150</v>
      </c>
      <c r="I34" s="248">
        <f t="shared" ca="1" si="3"/>
        <v>12786.469577342035</v>
      </c>
    </row>
    <row r="35" spans="1:9" x14ac:dyDescent="0.35">
      <c r="A35" s="246" t="s">
        <v>29</v>
      </c>
      <c r="B35" s="247">
        <f>IFERROR(INDEX('14_Demand_Aggregation'!$B$5:$B$88,MATCH(A35,'14_Demand_Aggregation'!$A$5:$A$88,0)),0)</f>
        <v>4406.7681537159324</v>
      </c>
      <c r="C35" s="247">
        <f ca="1">IFERROR(INDEX('14_Demand_Aggregation'!$C$5:$C$88,MATCH(A35,'14_Demand_Aggregation'!$A$5:$A$88,0)),0)</f>
        <v>7200</v>
      </c>
      <c r="D35" s="247">
        <f>IFERROR(INDEX('14_Demand_Aggregation'!$D$5:$D$88,MATCH(A35,'14_Demand_Aggregation'!$A$5:$A$88,0)),0)</f>
        <v>1653.3372858452008</v>
      </c>
      <c r="E35" s="248">
        <f t="shared" ca="1" si="1"/>
        <v>13260.105439561134</v>
      </c>
      <c r="F35" s="286">
        <f>SUMIF('06_Resource_Plan'!$C$3:$C$55,A35,'06_Resource_Plan'!$E$3:$E$55)</f>
        <v>3185</v>
      </c>
      <c r="G35" s="288">
        <v>1500</v>
      </c>
      <c r="H35" s="248">
        <f t="shared" si="2"/>
        <v>0</v>
      </c>
      <c r="I35" s="248">
        <f t="shared" ca="1" si="3"/>
        <v>10075.105439561134</v>
      </c>
    </row>
    <row r="36" spans="1:9" x14ac:dyDescent="0.35">
      <c r="A36" s="246" t="s">
        <v>33</v>
      </c>
      <c r="B36" s="247">
        <f>IFERROR(INDEX('14_Demand_Aggregation'!$B$5:$B$88,MATCH(A36,'14_Demand_Aggregation'!$A$5:$A$88,0)),0)</f>
        <v>8208.4332719714748</v>
      </c>
      <c r="C36" s="247">
        <f ca="1">IFERROR(INDEX('14_Demand_Aggregation'!$C$5:$C$88,MATCH(A36,'14_Demand_Aggregation'!$A$5:$A$88,0)),0)</f>
        <v>1170</v>
      </c>
      <c r="D36" s="247">
        <f>IFERROR(INDEX('14_Demand_Aggregation'!$D$5:$D$88,MATCH(A36,'14_Demand_Aggregation'!$A$5:$A$88,0)),0)</f>
        <v>0</v>
      </c>
      <c r="E36" s="248">
        <f t="shared" ca="1" si="1"/>
        <v>9378.4332719714748</v>
      </c>
      <c r="F36" s="286">
        <f>SUMIF('06_Resource_Plan'!$C$3:$C$55,A36,'06_Resource_Plan'!$E$3:$E$55)</f>
        <v>4375</v>
      </c>
      <c r="G36" s="288">
        <v>4000</v>
      </c>
      <c r="H36" s="248">
        <f t="shared" si="2"/>
        <v>0</v>
      </c>
      <c r="I36" s="248">
        <f t="shared" ca="1" si="3"/>
        <v>5003.4332719714748</v>
      </c>
    </row>
    <row r="37" spans="1:9" x14ac:dyDescent="0.35">
      <c r="A37" s="246" t="s">
        <v>23</v>
      </c>
      <c r="B37" s="247">
        <f>IFERROR(INDEX('14_Demand_Aggregation'!$B$5:$B$88,MATCH(A37,'14_Demand_Aggregation'!$A$5:$A$88,0)),0)</f>
        <v>7074.6515558938045</v>
      </c>
      <c r="C37" s="247">
        <f ca="1">IFERROR(INDEX('14_Demand_Aggregation'!$C$5:$C$88,MATCH(A37,'14_Demand_Aggregation'!$A$5:$A$88,0)),0)</f>
        <v>300</v>
      </c>
      <c r="D37" s="247">
        <f>IFERROR(INDEX('14_Demand_Aggregation'!$D$5:$D$88,MATCH(A37,'14_Demand_Aggregation'!$A$5:$A$88,0)),0)</f>
        <v>0</v>
      </c>
      <c r="E37" s="248">
        <f t="shared" ca="1" si="1"/>
        <v>7374.6515558938045</v>
      </c>
      <c r="F37" s="286">
        <f>SUMIF('06_Resource_Plan'!$C$3:$C$55,A37,'06_Resource_Plan'!$E$3:$E$55)</f>
        <v>4500</v>
      </c>
      <c r="G37" s="288">
        <v>4000</v>
      </c>
      <c r="H37" s="248">
        <f t="shared" si="2"/>
        <v>0</v>
      </c>
      <c r="I37" s="248">
        <f t="shared" ca="1" si="3"/>
        <v>2874.6515558938045</v>
      </c>
    </row>
    <row r="38" spans="1:9" x14ac:dyDescent="0.35">
      <c r="A38" s="246" t="s">
        <v>31</v>
      </c>
      <c r="B38" s="247">
        <f>IFERROR(INDEX('14_Demand_Aggregation'!$B$5:$B$88,MATCH(A38,'14_Demand_Aggregation'!$A$5:$A$88,0)),0)</f>
        <v>4010.6401695189334</v>
      </c>
      <c r="C38" s="247">
        <f ca="1">IFERROR(INDEX('14_Demand_Aggregation'!$C$5:$C$88,MATCH(A38,'14_Demand_Aggregation'!$A$5:$A$88,0)),0)</f>
        <v>16830</v>
      </c>
      <c r="D38" s="247">
        <f>IFERROR(INDEX('14_Demand_Aggregation'!$D$5:$D$88,MATCH(A38,'14_Demand_Aggregation'!$A$5:$A$88,0)),0)</f>
        <v>2024.866713375797</v>
      </c>
      <c r="E38" s="248">
        <f t="shared" ca="1" si="1"/>
        <v>22865.50688289473</v>
      </c>
      <c r="F38" s="286">
        <f>SUMIF('06_Resource_Plan'!$C$3:$C$55,A38,'06_Resource_Plan'!$E$3:$E$55)</f>
        <v>3067</v>
      </c>
      <c r="G38" s="288">
        <v>5000</v>
      </c>
      <c r="H38" s="248">
        <f t="shared" si="2"/>
        <v>1933</v>
      </c>
      <c r="I38" s="248">
        <f t="shared" ca="1" si="3"/>
        <v>21731.50688289473</v>
      </c>
    </row>
    <row r="39" spans="1:9" x14ac:dyDescent="0.35">
      <c r="A39" s="249" t="s">
        <v>619</v>
      </c>
      <c r="B39" s="247">
        <f t="shared" ref="B39:I39" si="4">SUM(B30:B38)</f>
        <v>62391.32180279919</v>
      </c>
      <c r="C39" s="247">
        <f t="shared" ca="1" si="4"/>
        <v>34383</v>
      </c>
      <c r="D39" s="247">
        <f t="shared" si="4"/>
        <v>4959.0583894987758</v>
      </c>
      <c r="E39" s="250">
        <f t="shared" ca="1" si="4"/>
        <v>101733.38019229798</v>
      </c>
      <c r="F39" s="287">
        <f t="shared" si="4"/>
        <v>25177</v>
      </c>
      <c r="G39" s="247">
        <f t="shared" si="4"/>
        <v>27700</v>
      </c>
      <c r="H39" s="287">
        <f t="shared" si="4"/>
        <v>5183</v>
      </c>
      <c r="I39" s="250">
        <f t="shared" ca="1" si="4"/>
        <v>81739.380192297976</v>
      </c>
    </row>
    <row r="40" spans="1:9" x14ac:dyDescent="0.35">
      <c r="B40" s="175"/>
      <c r="C40" s="175"/>
      <c r="D40" s="175"/>
      <c r="E40" s="175"/>
      <c r="F40" s="175"/>
      <c r="G40" s="175"/>
      <c r="H40" s="175"/>
      <c r="I40" s="175"/>
    </row>
    <row r="41" spans="1:9" x14ac:dyDescent="0.35">
      <c r="A41" s="158" t="s">
        <v>619</v>
      </c>
      <c r="B41" s="175"/>
      <c r="C41" s="175"/>
      <c r="D41" s="175"/>
      <c r="E41" s="177">
        <f ca="1">SUM(E30:E39)</f>
        <v>203466.76038459595</v>
      </c>
      <c r="F41" s="175"/>
      <c r="G41" s="175"/>
      <c r="H41" s="175"/>
      <c r="I41" s="175"/>
    </row>
    <row r="43" spans="1:9" ht="15.5" customHeight="1" x14ac:dyDescent="0.35">
      <c r="A43" s="323" t="s">
        <v>620</v>
      </c>
      <c r="B43" s="319"/>
      <c r="C43" s="319"/>
      <c r="D43" s="319"/>
      <c r="E43" s="319"/>
      <c r="F43" s="319"/>
      <c r="G43" s="319"/>
      <c r="H43" s="319"/>
    </row>
    <row r="45" spans="1:9" x14ac:dyDescent="0.35">
      <c r="A45" s="320" t="s">
        <v>621</v>
      </c>
      <c r="B45" s="321"/>
      <c r="C45" s="321"/>
      <c r="D45" s="321"/>
    </row>
    <row r="46" spans="1:9" x14ac:dyDescent="0.35">
      <c r="A46" s="245" t="s">
        <v>622</v>
      </c>
      <c r="B46" s="245" t="s">
        <v>623</v>
      </c>
      <c r="C46" s="245" t="s">
        <v>597</v>
      </c>
      <c r="D46" s="245" t="s">
        <v>2</v>
      </c>
    </row>
    <row r="47" spans="1:9" x14ac:dyDescent="0.35">
      <c r="A47" s="246" t="s">
        <v>624</v>
      </c>
      <c r="B47" s="251">
        <f>C10</f>
        <v>63971</v>
      </c>
      <c r="C47" s="246" t="s">
        <v>625</v>
      </c>
      <c r="D47" s="246" t="s">
        <v>626</v>
      </c>
    </row>
    <row r="48" spans="1:9" x14ac:dyDescent="0.35">
      <c r="A48" s="246" t="s">
        <v>627</v>
      </c>
      <c r="B48" s="251">
        <f ca="1">I30</f>
        <v>12493.226773433586</v>
      </c>
      <c r="C48" s="246" t="s">
        <v>628</v>
      </c>
      <c r="D48" s="246" t="s">
        <v>629</v>
      </c>
    </row>
    <row r="49" spans="1:4" x14ac:dyDescent="0.35">
      <c r="A49" s="246" t="s">
        <v>630</v>
      </c>
      <c r="B49" s="251">
        <f ca="1">I31</f>
        <v>15225.467370857699</v>
      </c>
      <c r="C49" s="246"/>
      <c r="D49" s="246"/>
    </row>
    <row r="50" spans="1:4" x14ac:dyDescent="0.35">
      <c r="A50" s="246" t="s">
        <v>631</v>
      </c>
      <c r="B50" s="251">
        <f ca="1">E31/C22</f>
        <v>33952.301772997802</v>
      </c>
      <c r="C50" s="246" t="s">
        <v>632</v>
      </c>
      <c r="D50" s="246" t="s">
        <v>633</v>
      </c>
    </row>
    <row r="51" spans="1:4" x14ac:dyDescent="0.35">
      <c r="A51" s="246" t="s">
        <v>634</v>
      </c>
      <c r="B51" s="251">
        <f ca="1">B48+B50</f>
        <v>46445.528546431386</v>
      </c>
      <c r="C51" s="246" t="s">
        <v>635</v>
      </c>
      <c r="D51" s="246"/>
    </row>
    <row r="52" spans="1:4" x14ac:dyDescent="0.35">
      <c r="A52" s="246" t="s">
        <v>636</v>
      </c>
      <c r="B52" s="248">
        <f ca="1">B47-B51</f>
        <v>17525.471453568614</v>
      </c>
      <c r="C52" s="246"/>
      <c r="D52" s="246" t="s">
        <v>637</v>
      </c>
    </row>
    <row r="54" spans="1:4" x14ac:dyDescent="0.35">
      <c r="A54" s="320" t="s">
        <v>638</v>
      </c>
      <c r="B54" s="321"/>
      <c r="C54" s="321"/>
      <c r="D54" s="321"/>
    </row>
    <row r="55" spans="1:4" x14ac:dyDescent="0.35">
      <c r="A55" s="245" t="s">
        <v>622</v>
      </c>
      <c r="B55" s="245" t="s">
        <v>623</v>
      </c>
      <c r="C55" s="245" t="s">
        <v>597</v>
      </c>
      <c r="D55" s="245" t="s">
        <v>2</v>
      </c>
    </row>
    <row r="56" spans="1:4" x14ac:dyDescent="0.35">
      <c r="A56" s="246" t="s">
        <v>639</v>
      </c>
      <c r="B56" s="247">
        <f>C13</f>
        <v>19461.600000000002</v>
      </c>
      <c r="C56" s="246" t="s">
        <v>640</v>
      </c>
      <c r="D56" s="246" t="s">
        <v>626</v>
      </c>
    </row>
    <row r="57" spans="1:4" x14ac:dyDescent="0.35">
      <c r="A57" s="246" t="s">
        <v>641</v>
      </c>
      <c r="B57" s="247">
        <f ca="1">I33</f>
        <v>1480.8543902777778</v>
      </c>
      <c r="C57" s="246" t="s">
        <v>642</v>
      </c>
      <c r="D57" s="246" t="s">
        <v>643</v>
      </c>
    </row>
    <row r="58" spans="1:4" x14ac:dyDescent="0.35">
      <c r="A58" s="246" t="s">
        <v>644</v>
      </c>
      <c r="B58" s="247">
        <f ca="1">I34</f>
        <v>12786.469577342035</v>
      </c>
      <c r="C58" s="246"/>
      <c r="D58" s="246"/>
    </row>
    <row r="59" spans="1:4" x14ac:dyDescent="0.35">
      <c r="A59" s="246" t="s">
        <v>645</v>
      </c>
      <c r="B59" s="247">
        <f ca="1">E34/C24</f>
        <v>14195.144361609895</v>
      </c>
      <c r="C59" s="246" t="s">
        <v>646</v>
      </c>
      <c r="D59" s="246" t="s">
        <v>633</v>
      </c>
    </row>
    <row r="60" spans="1:4" x14ac:dyDescent="0.35">
      <c r="A60" s="246" t="s">
        <v>634</v>
      </c>
      <c r="B60" s="247">
        <f ca="1">B57+B59</f>
        <v>15675.998751887673</v>
      </c>
      <c r="C60" s="246" t="s">
        <v>647</v>
      </c>
      <c r="D60" s="246"/>
    </row>
    <row r="61" spans="1:4" x14ac:dyDescent="0.35">
      <c r="A61" s="246" t="s">
        <v>636</v>
      </c>
      <c r="B61" s="248">
        <f ca="1">B56-B60</f>
        <v>3785.6012481123289</v>
      </c>
      <c r="C61" s="246"/>
      <c r="D61" s="246" t="s">
        <v>637</v>
      </c>
    </row>
    <row r="63" spans="1:4" x14ac:dyDescent="0.35">
      <c r="A63" s="320" t="s">
        <v>648</v>
      </c>
      <c r="B63" s="321"/>
      <c r="C63" s="321"/>
      <c r="D63" s="321"/>
    </row>
    <row r="64" spans="1:4" x14ac:dyDescent="0.35">
      <c r="A64" s="245" t="s">
        <v>622</v>
      </c>
      <c r="B64" s="245" t="s">
        <v>623</v>
      </c>
      <c r="C64" s="245" t="s">
        <v>597</v>
      </c>
      <c r="D64" s="245" t="s">
        <v>2</v>
      </c>
    </row>
    <row r="65" spans="1:4" x14ac:dyDescent="0.35">
      <c r="A65" s="246" t="s">
        <v>649</v>
      </c>
      <c r="B65" s="247">
        <f>C15</f>
        <v>84694</v>
      </c>
      <c r="C65" s="246" t="s">
        <v>650</v>
      </c>
      <c r="D65" s="246" t="s">
        <v>651</v>
      </c>
    </row>
    <row r="66" spans="1:4" x14ac:dyDescent="0.35">
      <c r="A66" s="246" t="s">
        <v>652</v>
      </c>
      <c r="B66" s="247">
        <f ca="1">I35</f>
        <v>10075.105439561134</v>
      </c>
      <c r="C66" s="246"/>
      <c r="D66" s="246" t="s">
        <v>653</v>
      </c>
    </row>
    <row r="67" spans="1:4" x14ac:dyDescent="0.35">
      <c r="A67" s="246" t="s">
        <v>654</v>
      </c>
      <c r="B67" s="247">
        <f ca="1">I36</f>
        <v>5003.4332719714748</v>
      </c>
      <c r="C67" s="246"/>
      <c r="D67" s="246"/>
    </row>
    <row r="68" spans="1:4" x14ac:dyDescent="0.35">
      <c r="A68" s="246" t="s">
        <v>655</v>
      </c>
      <c r="B68" s="247">
        <f ca="1">I37</f>
        <v>2874.6515558938045</v>
      </c>
      <c r="C68" s="246"/>
      <c r="D68" s="246"/>
    </row>
    <row r="69" spans="1:4" x14ac:dyDescent="0.35">
      <c r="A69" s="246" t="s">
        <v>656</v>
      </c>
      <c r="B69" s="247">
        <f ca="1">E37/C23</f>
        <v>11222.295845925353</v>
      </c>
      <c r="C69" s="246" t="s">
        <v>657</v>
      </c>
      <c r="D69" s="246" t="s">
        <v>633</v>
      </c>
    </row>
    <row r="70" spans="1:4" x14ac:dyDescent="0.35">
      <c r="A70" s="246" t="s">
        <v>658</v>
      </c>
      <c r="B70" s="247">
        <f ca="1">E36+B69</f>
        <v>20600.72911789683</v>
      </c>
      <c r="C70" s="246" t="s">
        <v>659</v>
      </c>
      <c r="D70" s="246"/>
    </row>
    <row r="71" spans="1:4" x14ac:dyDescent="0.35">
      <c r="A71" s="246" t="s">
        <v>660</v>
      </c>
      <c r="B71" s="247">
        <f ca="1">B70/C25</f>
        <v>55327.672488065771</v>
      </c>
      <c r="C71" s="246" t="s">
        <v>661</v>
      </c>
      <c r="D71" s="246" t="s">
        <v>662</v>
      </c>
    </row>
    <row r="72" spans="1:4" x14ac:dyDescent="0.35">
      <c r="A72" s="246" t="s">
        <v>663</v>
      </c>
      <c r="B72" s="247">
        <f ca="1">I38</f>
        <v>21731.50688289473</v>
      </c>
      <c r="C72" s="246" t="s">
        <v>664</v>
      </c>
      <c r="D72" s="246" t="s">
        <v>643</v>
      </c>
    </row>
    <row r="73" spans="1:4" x14ac:dyDescent="0.35">
      <c r="A73" s="246" t="s">
        <v>665</v>
      </c>
      <c r="B73" s="247">
        <f ca="1">B72/C26</f>
        <v>71425.232412311336</v>
      </c>
      <c r="C73" s="246" t="s">
        <v>666</v>
      </c>
      <c r="D73" s="246" t="s">
        <v>662</v>
      </c>
    </row>
    <row r="74" spans="1:4" x14ac:dyDescent="0.35">
      <c r="A74" s="246" t="s">
        <v>667</v>
      </c>
      <c r="B74" s="247">
        <f ca="1">MAX(B71,B73)</f>
        <v>71425.232412311336</v>
      </c>
      <c r="C74" s="246" t="s">
        <v>668</v>
      </c>
      <c r="D74" s="246" t="s">
        <v>669</v>
      </c>
    </row>
    <row r="75" spans="1:4" x14ac:dyDescent="0.35">
      <c r="A75" s="246" t="s">
        <v>670</v>
      </c>
      <c r="B75" s="247">
        <f ca="1">B65-B74</f>
        <v>13268.767587688664</v>
      </c>
      <c r="C75" s="246" t="s">
        <v>671</v>
      </c>
      <c r="D75" s="246"/>
    </row>
    <row r="76" spans="1:4" x14ac:dyDescent="0.35">
      <c r="A76" s="246" t="s">
        <v>672</v>
      </c>
      <c r="B76" s="248">
        <f ca="1">B75-B66</f>
        <v>3193.6621481275306</v>
      </c>
      <c r="C76" s="246" t="s">
        <v>673</v>
      </c>
      <c r="D76" s="246" t="s">
        <v>674</v>
      </c>
    </row>
    <row r="77" spans="1:4" x14ac:dyDescent="0.35">
      <c r="A77" s="246" t="s">
        <v>675</v>
      </c>
      <c r="B77" s="247">
        <f ca="1">B74*C25</f>
        <v>26594.501430115921</v>
      </c>
      <c r="C77" s="246" t="s">
        <v>676</v>
      </c>
      <c r="D77" s="246"/>
    </row>
    <row r="78" spans="1:4" x14ac:dyDescent="0.35">
      <c r="A78" s="246" t="s">
        <v>677</v>
      </c>
      <c r="B78" s="248">
        <f ca="1">B77-B70</f>
        <v>5993.772312219091</v>
      </c>
      <c r="C78" s="246" t="s">
        <v>678</v>
      </c>
      <c r="D78" s="246"/>
    </row>
    <row r="79" spans="1:4" x14ac:dyDescent="0.35">
      <c r="A79" s="246" t="s">
        <v>679</v>
      </c>
      <c r="B79" s="247">
        <f ca="1">B74*C26</f>
        <v>21731.50688289473</v>
      </c>
      <c r="C79" s="246" t="s">
        <v>680</v>
      </c>
      <c r="D79" s="246"/>
    </row>
    <row r="80" spans="1:4" x14ac:dyDescent="0.35">
      <c r="A80" s="246" t="s">
        <v>681</v>
      </c>
      <c r="B80" s="248">
        <f ca="1">B79-B72</f>
        <v>0</v>
      </c>
      <c r="C80" s="246" t="s">
        <v>682</v>
      </c>
      <c r="D80" s="246"/>
    </row>
    <row r="82" spans="1:5" ht="18.5" customHeight="1" x14ac:dyDescent="0.45">
      <c r="A82" s="324" t="s">
        <v>683</v>
      </c>
      <c r="B82" s="319"/>
      <c r="C82" s="319"/>
      <c r="D82" s="319"/>
      <c r="E82" s="319"/>
    </row>
    <row r="83" spans="1:5" x14ac:dyDescent="0.35">
      <c r="A83" s="159" t="s">
        <v>684</v>
      </c>
      <c r="B83" s="159" t="s">
        <v>685</v>
      </c>
      <c r="C83" s="159" t="s">
        <v>0</v>
      </c>
      <c r="D83" s="159" t="s">
        <v>1</v>
      </c>
    </row>
    <row r="84" spans="1:5" x14ac:dyDescent="0.35">
      <c r="A84" s="160" t="s">
        <v>686</v>
      </c>
      <c r="B84" s="176">
        <f ca="1">B52</f>
        <v>17525.471453568614</v>
      </c>
      <c r="C84" s="160" t="str">
        <f ca="1">IF(B84&gt;=0,"LEFTOVER","SHORT")</f>
        <v>LEFTOVER</v>
      </c>
      <c r="D84" s="160" t="str">
        <f ca="1">IF(B84&gt;=0,"可增加 BSB 订单","需减少 BSB/SplitBreast 订单")</f>
        <v>可增加 BSB 订单</v>
      </c>
    </row>
    <row r="85" spans="1:5" x14ac:dyDescent="0.35">
      <c r="A85" s="160" t="s">
        <v>687</v>
      </c>
      <c r="B85" s="176">
        <f ca="1">B61</f>
        <v>3785.6012481123289</v>
      </c>
      <c r="C85" s="160" t="str">
        <f ca="1">IF(B85&gt;=0,"LEFTOVER","SHORT")</f>
        <v>LEFTOVER</v>
      </c>
      <c r="D85" s="160" t="str">
        <f ca="1">IF(B85&gt;=0,"可增加 SplitWing 订单","需减少 Wing/SplitWing 订单")</f>
        <v>可增加 SplitWing 订单</v>
      </c>
    </row>
    <row r="86" spans="1:5" x14ac:dyDescent="0.35">
      <c r="A86" s="160" t="s">
        <v>29</v>
      </c>
      <c r="B86" s="176">
        <f ca="1">B76</f>
        <v>3193.6621481275306</v>
      </c>
      <c r="C86" s="160" t="str">
        <f ca="1">IF(B86&gt;=0,"LEFTOVER","SHORT")</f>
        <v>LEFTOVER</v>
      </c>
      <c r="D86" s="160" t="str">
        <f ca="1">IF(B86&gt;=0,"可增加 BA 订单","需减少 BA 或转产 Thigh/Drum")</f>
        <v>可增加 BA 订单</v>
      </c>
    </row>
    <row r="87" spans="1:5" x14ac:dyDescent="0.35">
      <c r="A87" s="160" t="s">
        <v>33</v>
      </c>
      <c r="B87" s="176">
        <f ca="1">B78</f>
        <v>5993.772312219091</v>
      </c>
      <c r="C87" s="160" t="str">
        <f ca="1">IF(B87&gt;=0,"LEFTOVER","SHORT")</f>
        <v>LEFTOVER</v>
      </c>
      <c r="D87" s="160" t="str">
        <f ca="1">IF(B87&gt;=0,"可增加 Thigh/ThighMeat 订单","瓶颈：需增加 Cut Cages")</f>
        <v>可增加 Thigh/ThighMeat 订单</v>
      </c>
    </row>
    <row r="88" spans="1:5" x14ac:dyDescent="0.35">
      <c r="A88" s="160" t="s">
        <v>31</v>
      </c>
      <c r="B88" s="176">
        <f ca="1">B80</f>
        <v>0</v>
      </c>
      <c r="C88" s="160" t="str">
        <f ca="1">IF(B88&gt;=0,"LEFTOVER","SHORT")</f>
        <v>LEFTOVER</v>
      </c>
      <c r="D88" s="160" t="str">
        <f ca="1">IF(B88&gt;=0,"可增加 Drum 订单","需减少 Drum 订单")</f>
        <v>可增加 Drum 订单</v>
      </c>
    </row>
    <row r="90" spans="1:5" x14ac:dyDescent="0.35">
      <c r="A90" s="161" t="s">
        <v>688</v>
      </c>
    </row>
    <row r="92" spans="1:5" x14ac:dyDescent="0.35">
      <c r="A92" s="318" t="s">
        <v>689</v>
      </c>
      <c r="B92" s="319"/>
      <c r="C92" s="319"/>
      <c r="D92" s="319"/>
    </row>
    <row r="93" spans="1:5" x14ac:dyDescent="0.35">
      <c r="A93" t="s">
        <v>583</v>
      </c>
      <c r="B93" s="157">
        <f>B4</f>
        <v>265</v>
      </c>
      <c r="C93" t="s">
        <v>690</v>
      </c>
    </row>
    <row r="94" spans="1:5" x14ac:dyDescent="0.35">
      <c r="A94" t="s">
        <v>691</v>
      </c>
      <c r="B94" s="157">
        <f>B6</f>
        <v>180200</v>
      </c>
      <c r="C94" t="s">
        <v>692</v>
      </c>
    </row>
    <row r="95" spans="1:5" x14ac:dyDescent="0.35">
      <c r="A95" t="s">
        <v>693</v>
      </c>
      <c r="B95" s="174">
        <f ca="1">E39</f>
        <v>101733.38019229798</v>
      </c>
      <c r="C95" t="s">
        <v>692</v>
      </c>
    </row>
    <row r="96" spans="1:5" x14ac:dyDescent="0.35">
      <c r="A96" t="s">
        <v>694</v>
      </c>
      <c r="B96" s="157" t="str">
        <f ca="1">IF(B87&lt;0,"Thigh",IF(B85&lt;0,"Wing",IF(B84&lt;0,"Breast","无")))</f>
        <v>无</v>
      </c>
    </row>
  </sheetData>
  <sheetProtection sheet="1" objects="1" scenarios="1"/>
  <mergeCells count="10">
    <mergeCell ref="A1:E1"/>
    <mergeCell ref="A63:D63"/>
    <mergeCell ref="A45:D45"/>
    <mergeCell ref="A43:H43"/>
    <mergeCell ref="A82:E82"/>
    <mergeCell ref="A92:D92"/>
    <mergeCell ref="A20:D20"/>
    <mergeCell ref="A54:D54"/>
    <mergeCell ref="A8:F8"/>
    <mergeCell ref="A28:H2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1" tint="0.499984740745262"/>
  </sheetPr>
  <dimension ref="A1:AS272"/>
  <sheetViews>
    <sheetView workbookViewId="0"/>
  </sheetViews>
  <sheetFormatPr defaultColWidth="8.81640625" defaultRowHeight="14.5" x14ac:dyDescent="0.35"/>
  <cols>
    <col min="1" max="1" width="10.453125" customWidth="1"/>
    <col min="2" max="2" width="11.6328125" customWidth="1"/>
    <col min="3" max="3" width="10.1796875" style="187" customWidth="1"/>
    <col min="4" max="10" width="4.90625" customWidth="1"/>
    <col min="11" max="11" width="5.81640625" customWidth="1"/>
    <col min="12" max="12" width="5.26953125" bestFit="1" customWidth="1"/>
    <col min="13" max="13" width="6.81640625" bestFit="1" customWidth="1"/>
    <col min="14" max="20" width="5.90625" customWidth="1"/>
    <col min="21" max="21" width="6.36328125" bestFit="1" customWidth="1"/>
    <col min="22" max="22" width="7.7265625" customWidth="1"/>
    <col min="23" max="23" width="2.36328125" customWidth="1"/>
    <col min="24" max="24" width="6.81640625" bestFit="1" customWidth="1"/>
    <col min="25" max="31" width="4.08984375" customWidth="1"/>
    <col min="32" max="32" width="7.90625" bestFit="1" customWidth="1"/>
    <col min="33" max="33" width="1.453125" customWidth="1"/>
    <col min="34" max="34" width="8.81640625" customWidth="1"/>
    <col min="35" max="41" width="4.54296875" customWidth="1"/>
    <col min="42" max="42" width="1.453125" customWidth="1"/>
    <col min="43" max="44" width="3.81640625" bestFit="1" customWidth="1"/>
    <col min="45" max="45" width="4.453125" bestFit="1" customWidth="1"/>
  </cols>
  <sheetData>
    <row r="1" spans="1:45" s="191" customFormat="1" ht="98" x14ac:dyDescent="0.35">
      <c r="A1" s="188" t="s">
        <v>5</v>
      </c>
      <c r="B1" s="220" t="s">
        <v>7</v>
      </c>
      <c r="C1" s="220" t="s">
        <v>10</v>
      </c>
      <c r="D1" s="220" t="s">
        <v>705</v>
      </c>
      <c r="E1" s="220" t="s">
        <v>706</v>
      </c>
      <c r="F1" s="220" t="s">
        <v>707</v>
      </c>
      <c r="G1" s="220" t="s">
        <v>708</v>
      </c>
      <c r="H1" s="220" t="s">
        <v>709</v>
      </c>
      <c r="I1" s="220" t="s">
        <v>710</v>
      </c>
      <c r="J1" s="220" t="s">
        <v>711</v>
      </c>
      <c r="K1" s="220" t="s">
        <v>573</v>
      </c>
      <c r="L1" s="220" t="s">
        <v>13</v>
      </c>
      <c r="M1" s="220" t="s">
        <v>4</v>
      </c>
      <c r="N1" s="220" t="s">
        <v>712</v>
      </c>
      <c r="O1" s="220" t="s">
        <v>713</v>
      </c>
      <c r="P1" s="220" t="s">
        <v>714</v>
      </c>
      <c r="Q1" s="220" t="s">
        <v>715</v>
      </c>
      <c r="R1" s="220" t="s">
        <v>716</v>
      </c>
      <c r="S1" s="220" t="s">
        <v>717</v>
      </c>
      <c r="T1" s="220" t="s">
        <v>718</v>
      </c>
      <c r="U1" s="220" t="s">
        <v>719</v>
      </c>
      <c r="V1" s="220" t="s">
        <v>6</v>
      </c>
      <c r="W1" s="221"/>
      <c r="X1" s="222" t="s">
        <v>4</v>
      </c>
      <c r="Y1" s="222" t="s">
        <v>720</v>
      </c>
      <c r="Z1" s="222" t="s">
        <v>721</v>
      </c>
      <c r="AA1" s="222" t="s">
        <v>722</v>
      </c>
      <c r="AB1" s="222" t="s">
        <v>723</v>
      </c>
      <c r="AC1" s="222" t="s">
        <v>724</v>
      </c>
      <c r="AD1" s="222" t="s">
        <v>725</v>
      </c>
      <c r="AE1" s="222" t="s">
        <v>726</v>
      </c>
      <c r="AF1" s="222" t="s">
        <v>727</v>
      </c>
      <c r="AG1" s="221"/>
      <c r="AH1" s="220" t="s">
        <v>4</v>
      </c>
      <c r="AI1" s="222" t="s">
        <v>728</v>
      </c>
      <c r="AJ1" s="222" t="s">
        <v>729</v>
      </c>
      <c r="AK1" s="222" t="s">
        <v>730</v>
      </c>
      <c r="AL1" s="222" t="s">
        <v>731</v>
      </c>
      <c r="AM1" s="222" t="s">
        <v>732</v>
      </c>
      <c r="AN1" s="222" t="s">
        <v>733</v>
      </c>
      <c r="AO1" s="222" t="s">
        <v>734</v>
      </c>
      <c r="AP1" s="221"/>
      <c r="AQ1" s="222" t="s">
        <v>735</v>
      </c>
      <c r="AR1" s="189" t="s">
        <v>736</v>
      </c>
      <c r="AS1" s="190"/>
    </row>
    <row r="2" spans="1:45" x14ac:dyDescent="0.35">
      <c r="A2" s="181" t="str">
        <f>_xlfn.XLOOKUP(X2,'00_SKU_Master'!$B$2:$B$379,'00_SKU_Master'!$C$2:$C$379)</f>
        <v>61050#2</v>
      </c>
      <c r="B2" s="181" t="str">
        <f>_xlfn.XLOOKUP(X2,tblSKU[SKU],tblSKU[Product_Group])</f>
        <v>BSB</v>
      </c>
      <c r="C2" s="181" t="str">
        <f>_xlfn.XLOOKUP(X2,tblSKU[SKU],tblSKU[Tray_Type])</f>
        <v>PET 8</v>
      </c>
      <c r="D2" s="182">
        <f>_xlfn.IFNA(_xlfn.XLOOKUP(X2,'00_SKU_Master'!$B$2:$B$379,'00_SKU_Master'!$F$2:$F$379,0)*Y2,"")</f>
        <v>0</v>
      </c>
      <c r="E2" s="182">
        <f>_xlfn.IFNA(_xlfn.XLOOKUP(X2,'00_SKU_Master'!$B$2:$B$379,'00_SKU_Master'!$F$2:$F$379,0)*Z2,"")</f>
        <v>0</v>
      </c>
      <c r="F2" s="182">
        <f>_xlfn.IFNA(_xlfn.XLOOKUP(X2,'00_SKU_Master'!$B$2:$B$379,'00_SKU_Master'!$F$2:$F$379,0)*AA2,"")</f>
        <v>0</v>
      </c>
      <c r="G2" s="182">
        <f>_xlfn.IFNA(_xlfn.XLOOKUP(X2,'00_SKU_Master'!$B$2:$B$379,'00_SKU_Master'!$F$2:$F$379,0)*AB2,"")</f>
        <v>0</v>
      </c>
      <c r="H2" s="182">
        <f>_xlfn.IFNA(_xlfn.XLOOKUP(X2,'00_SKU_Master'!$B$2:$B$379,'00_SKU_Master'!$F$2:$F$379,0)*AC2,"")</f>
        <v>0</v>
      </c>
      <c r="I2" s="182">
        <f>_xlfn.IFNA(_xlfn.XLOOKUP(X2,'00_SKU_Master'!$B$2:$B$379,'00_SKU_Master'!$F$2:$F$379,0)*AD2,"")</f>
        <v>0</v>
      </c>
      <c r="J2" s="182">
        <f>_xlfn.IFNA(_xlfn.XLOOKUP(X2,'00_SKU_Master'!$B$2:$B$379,'00_SKU_Master'!$F$2:$F$379,0)*AE2,"")</f>
        <v>0</v>
      </c>
      <c r="K2" s="183">
        <f>SUM(D2:J2)</f>
        <v>0</v>
      </c>
      <c r="L2" s="184" t="str">
        <f>_xlfn.XLOOKUP(X2,'00_SKU_Master'!$B$2:$B$379,'00_SKU_Master'!$K$2:$K$379)</f>
        <v>Fast</v>
      </c>
      <c r="M2" s="185">
        <f t="shared" ref="M2:M65" si="0">X2</f>
        <v>260</v>
      </c>
      <c r="N2" s="186">
        <f>IFERROR(D2/_xlfn.XLOOKUP($M2,'00_SKU_Master'!$B$2:$B$379,'00_SKU_Master'!$M$2:$M$379,0),"0")</f>
        <v>0</v>
      </c>
      <c r="O2" s="186">
        <f>IFERROR(E2/_xlfn.XLOOKUP($M2,'00_SKU_Master'!$B$2:$B$379,'00_SKU_Master'!$M$2:$M$379,0),"0")</f>
        <v>0</v>
      </c>
      <c r="P2" s="186">
        <f>IFERROR(F2/_xlfn.XLOOKUP($M2,'00_SKU_Master'!$B$2:$B$379,'00_SKU_Master'!$M$2:$M$379,0),"0")</f>
        <v>0</v>
      </c>
      <c r="Q2" s="186">
        <f>IFERROR(G2/_xlfn.XLOOKUP($M2,'00_SKU_Master'!$B$2:$B$379,'00_SKU_Master'!$M$2:$M$379,0),"0")</f>
        <v>0</v>
      </c>
      <c r="R2" s="186">
        <f>IFERROR(H2/_xlfn.XLOOKUP($M2,'00_SKU_Master'!$B$2:$B$379,'00_SKU_Master'!$M$2:$M$379,0),"0")</f>
        <v>0</v>
      </c>
      <c r="S2" s="186">
        <f>IFERROR(I2/_xlfn.XLOOKUP($M2,'00_SKU_Master'!$B$2:$B$379,'00_SKU_Master'!$M$2:$M$379,0),"0")</f>
        <v>0</v>
      </c>
      <c r="T2" s="186">
        <f>IFERROR(J2/_xlfn.XLOOKUP($M2,'00_SKU_Master'!$B$2:$B$379,'00_SKU_Master'!$M$2:$M$379,0),"0")</f>
        <v>0</v>
      </c>
      <c r="U2" s="186">
        <f t="shared" ref="U2:U65" si="1">SUM(N2:T2)</f>
        <v>0</v>
      </c>
      <c r="V2" s="186" t="str">
        <f>_xlfn.XLOOKUP(M2,'00_SKU_Master'!$B$2:$B$379,'00_SKU_Master'!$D$2:$D$379)</f>
        <v>LCL</v>
      </c>
      <c r="W2" s="1"/>
      <c r="X2" s="2">
        <f>'05_Daily_Orders'!C3</f>
        <v>260</v>
      </c>
      <c r="Y2" s="289"/>
      <c r="Z2" s="289">
        <v>0</v>
      </c>
      <c r="AA2" s="289">
        <v>0</v>
      </c>
      <c r="AB2" s="289">
        <v>0</v>
      </c>
      <c r="AC2" s="289">
        <v>0</v>
      </c>
      <c r="AD2" s="289">
        <v>0</v>
      </c>
      <c r="AE2" s="289">
        <v>0</v>
      </c>
      <c r="AF2" s="7">
        <f t="shared" ref="AF2:AF65" si="2">SUM(Y2:AE2)</f>
        <v>0</v>
      </c>
      <c r="AH2" s="2">
        <v>2050</v>
      </c>
      <c r="AI2" s="2">
        <v>85</v>
      </c>
      <c r="AJ2" s="2">
        <v>120</v>
      </c>
      <c r="AK2" s="2">
        <v>88</v>
      </c>
      <c r="AL2" s="2">
        <v>120</v>
      </c>
      <c r="AM2" s="2">
        <v>125</v>
      </c>
      <c r="AN2" s="2">
        <v>0</v>
      </c>
      <c r="AO2" s="2">
        <v>44</v>
      </c>
      <c r="AQ2" s="70">
        <v>0</v>
      </c>
      <c r="AR2" s="70">
        <v>0</v>
      </c>
      <c r="AS2" s="3">
        <f>AR2-AQ2</f>
        <v>0</v>
      </c>
    </row>
    <row r="3" spans="1:45" x14ac:dyDescent="0.35">
      <c r="A3" s="181">
        <f>_xlfn.XLOOKUP(X3,'00_SKU_Master'!$B$2:$B$379,'00_SKU_Master'!$C$2:$C$379)</f>
        <v>61061</v>
      </c>
      <c r="B3" s="181" t="str">
        <f>_xlfn.XLOOKUP(X3,tblSKU[SKU],tblSKU[Product_Group])</f>
        <v>BA</v>
      </c>
      <c r="C3" s="181" t="str">
        <f>_xlfn.XLOOKUP(X3,tblSKU[SKU],tblSKU[Tray_Type])</f>
        <v>ST 3XP</v>
      </c>
      <c r="D3" s="182">
        <f>_xlfn.IFNA(_xlfn.XLOOKUP(X3,'00_SKU_Master'!$B$2:$B$379,'00_SKU_Master'!$F$2:$F$379,0)*Y3,"")</f>
        <v>0</v>
      </c>
      <c r="E3" s="182">
        <f>_xlfn.IFNA(_xlfn.XLOOKUP(X3,'00_SKU_Master'!$B$2:$B$379,'00_SKU_Master'!$F$2:$F$379,0)*Z3,"")</f>
        <v>100.08899456521701</v>
      </c>
      <c r="F3" s="182">
        <f>_xlfn.IFNA(_xlfn.XLOOKUP(X3,'00_SKU_Master'!$B$2:$B$379,'00_SKU_Master'!$F$2:$F$379,0)*AA3,"")</f>
        <v>0</v>
      </c>
      <c r="G3" s="182">
        <f>_xlfn.IFNA(_xlfn.XLOOKUP(X3,'00_SKU_Master'!$B$2:$B$379,'00_SKU_Master'!$F$2:$F$379,0)*AB3,"")</f>
        <v>200.17798913043401</v>
      </c>
      <c r="H3" s="182">
        <f>_xlfn.IFNA(_xlfn.XLOOKUP(X3,'00_SKU_Master'!$B$2:$B$379,'00_SKU_Master'!$F$2:$F$379,0)*AC3,"")</f>
        <v>0</v>
      </c>
      <c r="I3" s="182">
        <f>_xlfn.IFNA(_xlfn.XLOOKUP(X3,'00_SKU_Master'!$B$2:$B$379,'00_SKU_Master'!$F$2:$F$379,0)*AD3,"")</f>
        <v>120.1067934782604</v>
      </c>
      <c r="J3" s="182">
        <f>_xlfn.IFNA(_xlfn.XLOOKUP(X3,'00_SKU_Master'!$B$2:$B$379,'00_SKU_Master'!$F$2:$F$379,0)*AE3,"")</f>
        <v>0</v>
      </c>
      <c r="K3" s="183">
        <f t="shared" ref="K3:K65" si="3">SUM(D3:J3)</f>
        <v>420.37377717391138</v>
      </c>
      <c r="L3" s="184" t="str">
        <f>_xlfn.XLOOKUP(X3,'00_SKU_Master'!$B$2:$B$379,'00_SKU_Master'!$K$2:$K$379)</f>
        <v>Fast</v>
      </c>
      <c r="M3" s="185">
        <f t="shared" si="0"/>
        <v>331</v>
      </c>
      <c r="N3" s="186">
        <f>IFERROR(D3/_xlfn.XLOOKUP($M3,'00_SKU_Master'!$B$2:$B$379,'00_SKU_Master'!$M$2:$M$379,0),"0")</f>
        <v>0</v>
      </c>
      <c r="O3" s="186">
        <f>IFERROR(E3/_xlfn.XLOOKUP($M3,'00_SKU_Master'!$B$2:$B$379,'00_SKU_Master'!$M$2:$M$379,0),"0")</f>
        <v>3.0977714195362736</v>
      </c>
      <c r="P3" s="186">
        <f>IFERROR(F3/_xlfn.XLOOKUP($M3,'00_SKU_Master'!$B$2:$B$379,'00_SKU_Master'!$M$2:$M$379,0),"0")</f>
        <v>0</v>
      </c>
      <c r="Q3" s="186">
        <f>IFERROR(G3/_xlfn.XLOOKUP($M3,'00_SKU_Master'!$B$2:$B$379,'00_SKU_Master'!$M$2:$M$379,0),"0")</f>
        <v>6.1955428390725471</v>
      </c>
      <c r="R3" s="186">
        <f>IFERROR(H3/_xlfn.XLOOKUP($M3,'00_SKU_Master'!$B$2:$B$379,'00_SKU_Master'!$M$2:$M$379,0),"0")</f>
        <v>0</v>
      </c>
      <c r="S3" s="186">
        <f>IFERROR(I3/_xlfn.XLOOKUP($M3,'00_SKU_Master'!$B$2:$B$379,'00_SKU_Master'!$M$2:$M$379,0),"0")</f>
        <v>3.7173257034435281</v>
      </c>
      <c r="T3" s="186">
        <f>IFERROR(J3/_xlfn.XLOOKUP($M3,'00_SKU_Master'!$B$2:$B$379,'00_SKU_Master'!$M$2:$M$379,0),"0")</f>
        <v>0</v>
      </c>
      <c r="U3" s="186">
        <f t="shared" si="1"/>
        <v>13.010639962052348</v>
      </c>
      <c r="V3" s="186" t="str">
        <f>_xlfn.XLOOKUP(M3,'00_SKU_Master'!$B$2:$B$379,'00_SKU_Master'!$D$2:$D$379)</f>
        <v>METRO</v>
      </c>
      <c r="W3" s="1"/>
      <c r="X3" s="2">
        <f>'05_Daily_Orders'!C4</f>
        <v>331</v>
      </c>
      <c r="Y3" s="289"/>
      <c r="Z3" s="289">
        <v>10</v>
      </c>
      <c r="AA3" s="289">
        <v>0</v>
      </c>
      <c r="AB3" s="289">
        <v>20</v>
      </c>
      <c r="AC3" s="289">
        <v>0</v>
      </c>
      <c r="AD3" s="289">
        <v>12</v>
      </c>
      <c r="AE3" s="289">
        <v>0</v>
      </c>
      <c r="AF3" s="7">
        <f t="shared" si="2"/>
        <v>42</v>
      </c>
      <c r="AH3" s="2">
        <v>2051</v>
      </c>
      <c r="AI3" s="2">
        <v>175</v>
      </c>
      <c r="AJ3" s="2">
        <v>235</v>
      </c>
      <c r="AK3" s="2">
        <v>175</v>
      </c>
      <c r="AL3" s="2">
        <v>269</v>
      </c>
      <c r="AM3" s="2">
        <v>245</v>
      </c>
      <c r="AN3" s="2">
        <v>0</v>
      </c>
      <c r="AO3" s="2">
        <v>280</v>
      </c>
      <c r="AQ3" s="70">
        <v>0</v>
      </c>
      <c r="AR3" s="70">
        <v>10</v>
      </c>
      <c r="AS3" s="3">
        <f t="shared" ref="AS3:AS66" si="4">AR3-AQ3</f>
        <v>10</v>
      </c>
    </row>
    <row r="4" spans="1:45" x14ac:dyDescent="0.35">
      <c r="A4" s="181" t="str">
        <f>_xlfn.XLOOKUP(X4,'00_SKU_Master'!$B$2:$B$379,'00_SKU_Master'!$C$2:$C$379)</f>
        <v>61040#2</v>
      </c>
      <c r="B4" s="181" t="str">
        <f>_xlfn.XLOOKUP(X4,tblSKU[SKU],tblSKU[Product_Group])</f>
        <v>SplitBreast</v>
      </c>
      <c r="C4" s="181" t="str">
        <f>_xlfn.XLOOKUP(X4,tblSKU[SKU],tblSKU[Tray_Type])</f>
        <v>ST 3XP</v>
      </c>
      <c r="D4" s="182">
        <f>_xlfn.IFNA(_xlfn.XLOOKUP(X4,'00_SKU_Master'!$B$2:$B$379,'00_SKU_Master'!$F$2:$F$379,0)*Y4,"")</f>
        <v>0</v>
      </c>
      <c r="E4" s="182">
        <f>_xlfn.IFNA(_xlfn.XLOOKUP(X4,'00_SKU_Master'!$B$2:$B$379,'00_SKU_Master'!$F$2:$F$379,0)*Z4,"")</f>
        <v>0</v>
      </c>
      <c r="F4" s="182">
        <f>_xlfn.IFNA(_xlfn.XLOOKUP(X4,'00_SKU_Master'!$B$2:$B$379,'00_SKU_Master'!$F$2:$F$379,0)*AA4,"")</f>
        <v>0</v>
      </c>
      <c r="G4" s="182">
        <f>_xlfn.IFNA(_xlfn.XLOOKUP(X4,'00_SKU_Master'!$B$2:$B$379,'00_SKU_Master'!$F$2:$F$379,0)*AB4,"")</f>
        <v>0</v>
      </c>
      <c r="H4" s="182">
        <f>_xlfn.IFNA(_xlfn.XLOOKUP(X4,'00_SKU_Master'!$B$2:$B$379,'00_SKU_Master'!$F$2:$F$379,0)*AC4,"")</f>
        <v>0</v>
      </c>
      <c r="I4" s="182">
        <f>_xlfn.IFNA(_xlfn.XLOOKUP(X4,'00_SKU_Master'!$B$2:$B$379,'00_SKU_Master'!$F$2:$F$379,0)*AD4,"")</f>
        <v>0</v>
      </c>
      <c r="J4" s="182">
        <f>_xlfn.IFNA(_xlfn.XLOOKUP(X4,'00_SKU_Master'!$B$2:$B$379,'00_SKU_Master'!$F$2:$F$379,0)*AE4,"")</f>
        <v>0</v>
      </c>
      <c r="K4" s="183">
        <f t="shared" si="3"/>
        <v>0</v>
      </c>
      <c r="L4" s="184" t="str">
        <f>_xlfn.XLOOKUP(X4,'00_SKU_Master'!$B$2:$B$379,'00_SKU_Master'!$K$2:$K$379)</f>
        <v>Fast</v>
      </c>
      <c r="M4" s="185">
        <f t="shared" si="0"/>
        <v>349</v>
      </c>
      <c r="N4" s="186">
        <f>IFERROR(D4/_xlfn.XLOOKUP($M4,'00_SKU_Master'!$B$2:$B$379,'00_SKU_Master'!$M$2:$M$379,0),"0")</f>
        <v>0</v>
      </c>
      <c r="O4" s="186">
        <f>IFERROR(E4/_xlfn.XLOOKUP($M4,'00_SKU_Master'!$B$2:$B$379,'00_SKU_Master'!$M$2:$M$379,0),"0")</f>
        <v>0</v>
      </c>
      <c r="P4" s="186">
        <f>IFERROR(F4/_xlfn.XLOOKUP($M4,'00_SKU_Master'!$B$2:$B$379,'00_SKU_Master'!$M$2:$M$379,0),"0")</f>
        <v>0</v>
      </c>
      <c r="Q4" s="186">
        <f>IFERROR(G4/_xlfn.XLOOKUP($M4,'00_SKU_Master'!$B$2:$B$379,'00_SKU_Master'!$M$2:$M$379,0),"0")</f>
        <v>0</v>
      </c>
      <c r="R4" s="186">
        <f>IFERROR(H4/_xlfn.XLOOKUP($M4,'00_SKU_Master'!$B$2:$B$379,'00_SKU_Master'!$M$2:$M$379,0),"0")</f>
        <v>0</v>
      </c>
      <c r="S4" s="186">
        <f>IFERROR(I4/_xlfn.XLOOKUP($M4,'00_SKU_Master'!$B$2:$B$379,'00_SKU_Master'!$M$2:$M$379,0),"0")</f>
        <v>0</v>
      </c>
      <c r="T4" s="186">
        <f>IFERROR(J4/_xlfn.XLOOKUP($M4,'00_SKU_Master'!$B$2:$B$379,'00_SKU_Master'!$M$2:$M$379,0),"0")</f>
        <v>0</v>
      </c>
      <c r="U4" s="186">
        <f t="shared" si="1"/>
        <v>0</v>
      </c>
      <c r="V4" s="186" t="str">
        <f>_xlfn.XLOOKUP(M4,'00_SKU_Master'!$B$2:$B$379,'00_SKU_Master'!$D$2:$D$379)</f>
        <v>FB</v>
      </c>
      <c r="W4" s="1"/>
      <c r="X4" s="2">
        <f>'05_Daily_Orders'!C5</f>
        <v>349</v>
      </c>
      <c r="Y4" s="289"/>
      <c r="Z4" s="289">
        <v>0</v>
      </c>
      <c r="AA4" s="289">
        <v>0</v>
      </c>
      <c r="AB4" s="289">
        <v>0</v>
      </c>
      <c r="AC4" s="289">
        <v>0</v>
      </c>
      <c r="AD4" s="289">
        <v>0</v>
      </c>
      <c r="AE4" s="289">
        <v>0</v>
      </c>
      <c r="AF4" s="7">
        <f t="shared" si="2"/>
        <v>0</v>
      </c>
      <c r="AH4" s="2">
        <v>2081</v>
      </c>
      <c r="AI4" s="2">
        <v>92</v>
      </c>
      <c r="AJ4" s="2">
        <v>105</v>
      </c>
      <c r="AK4" s="2">
        <v>95</v>
      </c>
      <c r="AL4" s="2">
        <v>122</v>
      </c>
      <c r="AM4" s="2">
        <v>130</v>
      </c>
      <c r="AN4" s="2">
        <v>0</v>
      </c>
      <c r="AO4" s="2">
        <v>145</v>
      </c>
      <c r="AQ4" s="70">
        <v>0</v>
      </c>
      <c r="AR4" s="70">
        <v>0</v>
      </c>
      <c r="AS4" s="3">
        <f t="shared" si="4"/>
        <v>0</v>
      </c>
    </row>
    <row r="5" spans="1:45" x14ac:dyDescent="0.35">
      <c r="A5" s="181">
        <f>_xlfn.XLOOKUP(X5,'00_SKU_Master'!$B$2:$B$379,'00_SKU_Master'!$C$2:$C$379)</f>
        <v>61121</v>
      </c>
      <c r="B5" s="181" t="str">
        <f>_xlfn.XLOOKUP(X5,tblSKU[SKU],tblSKU[Product_Group])</f>
        <v>Backbone</v>
      </c>
      <c r="C5" s="181" t="str">
        <f>_xlfn.XLOOKUP(X5,tblSKU[SKU],tblSKU[Tray_Type])</f>
        <v>ST 3XP</v>
      </c>
      <c r="D5" s="182">
        <f>_xlfn.IFNA(_xlfn.XLOOKUP(X5,'00_SKU_Master'!$B$2:$B$379,'00_SKU_Master'!$F$2:$F$379,0)*Y5,"")</f>
        <v>0</v>
      </c>
      <c r="E5" s="182">
        <f>_xlfn.IFNA(_xlfn.XLOOKUP(X5,'00_SKU_Master'!$B$2:$B$379,'00_SKU_Master'!$F$2:$F$379,0)*Z5,"")</f>
        <v>0</v>
      </c>
      <c r="F5" s="182">
        <f>_xlfn.IFNA(_xlfn.XLOOKUP(X5,'00_SKU_Master'!$B$2:$B$379,'00_SKU_Master'!$F$2:$F$379,0)*AA5,"")</f>
        <v>263.62051702913413</v>
      </c>
      <c r="G5" s="182">
        <f>_xlfn.IFNA(_xlfn.XLOOKUP(X5,'00_SKU_Master'!$B$2:$B$379,'00_SKU_Master'!$F$2:$F$379,0)*AB5,"")</f>
        <v>376.6007386130488</v>
      </c>
      <c r="H5" s="182">
        <f>_xlfn.IFNA(_xlfn.XLOOKUP(X5,'00_SKU_Master'!$B$2:$B$379,'00_SKU_Master'!$F$2:$F$379,0)*AC5,"")</f>
        <v>470.75092326631102</v>
      </c>
      <c r="I5" s="182">
        <f>_xlfn.IFNA(_xlfn.XLOOKUP(X5,'00_SKU_Master'!$B$2:$B$379,'00_SKU_Master'!$F$2:$F$379,0)*AD5,"")</f>
        <v>0</v>
      </c>
      <c r="J5" s="182">
        <f>_xlfn.IFNA(_xlfn.XLOOKUP(X5,'00_SKU_Master'!$B$2:$B$379,'00_SKU_Master'!$F$2:$F$379,0)*AE5,"")</f>
        <v>423.67583093967988</v>
      </c>
      <c r="K5" s="183">
        <f t="shared" si="3"/>
        <v>1534.6480098481738</v>
      </c>
      <c r="L5" s="184" t="str">
        <f>_xlfn.XLOOKUP(X5,'00_SKU_Master'!$B$2:$B$379,'00_SKU_Master'!$K$2:$K$379)</f>
        <v>Fast</v>
      </c>
      <c r="M5" s="185">
        <f t="shared" si="0"/>
        <v>484</v>
      </c>
      <c r="N5" s="186">
        <f>IFERROR(D5/_xlfn.XLOOKUP($M5,'00_SKU_Master'!$B$2:$B$379,'00_SKU_Master'!$M$2:$M$379,0),"0")</f>
        <v>0</v>
      </c>
      <c r="O5" s="186">
        <f>IFERROR(E5/_xlfn.XLOOKUP($M5,'00_SKU_Master'!$B$2:$B$379,'00_SKU_Master'!$M$2:$M$379,0),"0")</f>
        <v>0</v>
      </c>
      <c r="P5" s="186">
        <f>IFERROR(F5/_xlfn.XLOOKUP($M5,'00_SKU_Master'!$B$2:$B$379,'00_SKU_Master'!$M$2:$M$379,0),"0")</f>
        <v>5.5639619465836665</v>
      </c>
      <c r="Q5" s="186">
        <f>IFERROR(G5/_xlfn.XLOOKUP($M5,'00_SKU_Master'!$B$2:$B$379,'00_SKU_Master'!$M$2:$M$379,0),"0")</f>
        <v>7.9485170665480958</v>
      </c>
      <c r="R5" s="186">
        <f>IFERROR(H5/_xlfn.XLOOKUP($M5,'00_SKU_Master'!$B$2:$B$379,'00_SKU_Master'!$M$2:$M$379,0),"0")</f>
        <v>9.9356463331851206</v>
      </c>
      <c r="S5" s="186">
        <f>IFERROR(I5/_xlfn.XLOOKUP($M5,'00_SKU_Master'!$B$2:$B$379,'00_SKU_Master'!$M$2:$M$379,0),"0")</f>
        <v>0</v>
      </c>
      <c r="T5" s="186">
        <f>IFERROR(J5/_xlfn.XLOOKUP($M5,'00_SKU_Master'!$B$2:$B$379,'00_SKU_Master'!$M$2:$M$379,0),"0")</f>
        <v>8.9420816998666073</v>
      </c>
      <c r="U5" s="186">
        <f t="shared" si="1"/>
        <v>32.390207046183491</v>
      </c>
      <c r="V5" s="186" t="str">
        <f>_xlfn.XLOOKUP(M5,'00_SKU_Master'!$B$2:$B$379,'00_SKU_Master'!$D$2:$D$379)</f>
        <v>FB</v>
      </c>
      <c r="W5" s="1"/>
      <c r="X5" s="2">
        <f>'05_Daily_Orders'!C6</f>
        <v>484</v>
      </c>
      <c r="Y5" s="289"/>
      <c r="Z5" s="289">
        <v>0</v>
      </c>
      <c r="AA5" s="289">
        <v>28</v>
      </c>
      <c r="AB5" s="289">
        <v>40</v>
      </c>
      <c r="AC5" s="289">
        <v>50</v>
      </c>
      <c r="AD5" s="289">
        <v>0</v>
      </c>
      <c r="AE5" s="289">
        <v>45</v>
      </c>
      <c r="AF5" s="7">
        <f t="shared" si="2"/>
        <v>163</v>
      </c>
      <c r="AH5" s="2">
        <v>7113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Q5" s="70">
        <v>0</v>
      </c>
      <c r="AR5" s="70">
        <v>0</v>
      </c>
      <c r="AS5" s="3">
        <f t="shared" si="4"/>
        <v>0</v>
      </c>
    </row>
    <row r="6" spans="1:45" x14ac:dyDescent="0.35">
      <c r="A6" s="181" t="str">
        <f>_xlfn.XLOOKUP(X6,'00_SKU_Master'!$B$2:$B$379,'00_SKU_Master'!$C$2:$C$379)</f>
        <v>61086#2</v>
      </c>
      <c r="B6" s="181" t="str">
        <f>_xlfn.XLOOKUP(X6,tblSKU[SKU],tblSKU[Product_Group])</f>
        <v>ThighMeat</v>
      </c>
      <c r="C6" s="181" t="str">
        <f>_xlfn.XLOOKUP(X6,tblSKU[SKU],tblSKU[Tray_Type])</f>
        <v>LT 8XP</v>
      </c>
      <c r="D6" s="182">
        <f>_xlfn.IFNA(_xlfn.XLOOKUP(X6,'00_SKU_Master'!$B$2:$B$379,'00_SKU_Master'!$F$2:$F$379,0)*Y6,"")</f>
        <v>0</v>
      </c>
      <c r="E6" s="182">
        <f>_xlfn.IFNA(_xlfn.XLOOKUP(X6,'00_SKU_Master'!$B$2:$B$379,'00_SKU_Master'!$F$2:$F$379,0)*Z6,"")</f>
        <v>-8.2634387451454998</v>
      </c>
      <c r="F6" s="182">
        <f>_xlfn.IFNA(_xlfn.XLOOKUP(X6,'00_SKU_Master'!$B$2:$B$379,'00_SKU_Master'!$F$2:$F$379,0)*AA6,"")</f>
        <v>710.65573208251294</v>
      </c>
      <c r="G6" s="182">
        <f>_xlfn.IFNA(_xlfn.XLOOKUP(X6,'00_SKU_Master'!$B$2:$B$379,'00_SKU_Master'!$F$2:$F$379,0)*AB6,"")</f>
        <v>1016.4029656528965</v>
      </c>
      <c r="H6" s="182">
        <f>_xlfn.IFNA(_xlfn.XLOOKUP(X6,'00_SKU_Master'!$B$2:$B$379,'00_SKU_Master'!$F$2:$F$379,0)*AC6,"")</f>
        <v>1222.9889342815341</v>
      </c>
      <c r="I6" s="182">
        <f>_xlfn.IFNA(_xlfn.XLOOKUP(X6,'00_SKU_Master'!$B$2:$B$379,'00_SKU_Master'!$F$2:$F$379,0)*AD6,"")</f>
        <v>0</v>
      </c>
      <c r="J6" s="182">
        <f>_xlfn.IFNA(_xlfn.XLOOKUP(X6,'00_SKU_Master'!$B$2:$B$379,'00_SKU_Master'!$F$2:$F$379,0)*AE6,"")</f>
        <v>1173.408301810661</v>
      </c>
      <c r="K6" s="183">
        <f t="shared" si="3"/>
        <v>4115.1924950824587</v>
      </c>
      <c r="L6" s="184" t="str">
        <f>_xlfn.XLOOKUP(X6,'00_SKU_Master'!$B$2:$B$379,'00_SKU_Master'!$K$2:$K$379)</f>
        <v>Slow</v>
      </c>
      <c r="M6" s="185">
        <f t="shared" si="0"/>
        <v>784</v>
      </c>
      <c r="N6" s="186">
        <f>IFERROR(D6/_xlfn.XLOOKUP($M6,'00_SKU_Master'!$B$2:$B$379,'00_SKU_Master'!$M$2:$M$379,0),"0")</f>
        <v>0</v>
      </c>
      <c r="O6" s="186">
        <f>IFERROR(E6/_xlfn.XLOOKUP($M6,'00_SKU_Master'!$B$2:$B$379,'00_SKU_Master'!$M$2:$M$379,0),"0")</f>
        <v>-0.46112939426035149</v>
      </c>
      <c r="P6" s="186">
        <f>IFERROR(F6/_xlfn.XLOOKUP($M6,'00_SKU_Master'!$B$2:$B$379,'00_SKU_Master'!$M$2:$M$379,0),"0")</f>
        <v>39.65712790639023</v>
      </c>
      <c r="Q6" s="186">
        <f>IFERROR(G6/_xlfn.XLOOKUP($M6,'00_SKU_Master'!$B$2:$B$379,'00_SKU_Master'!$M$2:$M$379,0),"0")</f>
        <v>56.718915494023236</v>
      </c>
      <c r="R6" s="186">
        <f>IFERROR(H6/_xlfn.XLOOKUP($M6,'00_SKU_Master'!$B$2:$B$379,'00_SKU_Master'!$M$2:$M$379,0),"0")</f>
        <v>68.247150350532024</v>
      </c>
      <c r="S6" s="186">
        <f>IFERROR(I6/_xlfn.XLOOKUP($M6,'00_SKU_Master'!$B$2:$B$379,'00_SKU_Master'!$M$2:$M$379,0),"0")</f>
        <v>0</v>
      </c>
      <c r="T6" s="186">
        <f>IFERROR(J6/_xlfn.XLOOKUP($M6,'00_SKU_Master'!$B$2:$B$379,'00_SKU_Master'!$M$2:$M$379,0),"0")</f>
        <v>65.480373984969916</v>
      </c>
      <c r="U6" s="186">
        <f t="shared" si="1"/>
        <v>229.64243834165507</v>
      </c>
      <c r="V6" s="186" t="str">
        <f>_xlfn.XLOOKUP(M6,'00_SKU_Master'!$B$2:$B$379,'00_SKU_Master'!$D$2:$D$379)</f>
        <v>FB</v>
      </c>
      <c r="W6" s="1"/>
      <c r="X6" s="2">
        <f>'05_Daily_Orders'!C7</f>
        <v>784</v>
      </c>
      <c r="Y6" s="289"/>
      <c r="Z6" s="289">
        <v>-1</v>
      </c>
      <c r="AA6" s="289">
        <v>86</v>
      </c>
      <c r="AB6" s="289">
        <v>123</v>
      </c>
      <c r="AC6" s="289">
        <v>148</v>
      </c>
      <c r="AD6" s="289">
        <v>0</v>
      </c>
      <c r="AE6" s="289">
        <v>142</v>
      </c>
      <c r="AF6" s="7">
        <f t="shared" si="2"/>
        <v>498</v>
      </c>
      <c r="AH6" s="2">
        <v>200179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Q6" s="70">
        <v>1</v>
      </c>
      <c r="AR6" s="70">
        <v>0</v>
      </c>
      <c r="AS6" s="3">
        <f t="shared" si="4"/>
        <v>-1</v>
      </c>
    </row>
    <row r="7" spans="1:45" x14ac:dyDescent="0.35">
      <c r="A7" s="181" t="str">
        <f>_xlfn.XLOOKUP(X7,'00_SKU_Master'!$B$2:$B$379,'00_SKU_Master'!$C$2:$C$379)</f>
        <v>61040#2</v>
      </c>
      <c r="B7" s="181" t="str">
        <f>_xlfn.XLOOKUP(X7,tblSKU[SKU],tblSKU[Product_Group])</f>
        <v>SplitBreast</v>
      </c>
      <c r="C7" s="181" t="str">
        <f>_xlfn.XLOOKUP(X7,tblSKU[SKU],tblSKU[Tray_Type])</f>
        <v>LT 14D</v>
      </c>
      <c r="D7" s="182">
        <f>_xlfn.IFNA(_xlfn.XLOOKUP(X7,'00_SKU_Master'!$B$2:$B$379,'00_SKU_Master'!$F$2:$F$379,0)*Y7,"")</f>
        <v>0</v>
      </c>
      <c r="E7" s="182">
        <f>_xlfn.IFNA(_xlfn.XLOOKUP(X7,'00_SKU_Master'!$B$2:$B$379,'00_SKU_Master'!$F$2:$F$379,0)*Z7,"")</f>
        <v>0</v>
      </c>
      <c r="F7" s="182">
        <f>_xlfn.IFNA(_xlfn.XLOOKUP(X7,'00_SKU_Master'!$B$2:$B$379,'00_SKU_Master'!$F$2:$F$379,0)*AA7,"")</f>
        <v>0</v>
      </c>
      <c r="G7" s="182">
        <f>_xlfn.IFNA(_xlfn.XLOOKUP(X7,'00_SKU_Master'!$B$2:$B$379,'00_SKU_Master'!$F$2:$F$379,0)*AB7,"")</f>
        <v>0</v>
      </c>
      <c r="H7" s="182">
        <f>_xlfn.IFNA(_xlfn.XLOOKUP(X7,'00_SKU_Master'!$B$2:$B$379,'00_SKU_Master'!$F$2:$F$379,0)*AC7,"")</f>
        <v>0</v>
      </c>
      <c r="I7" s="182">
        <f>_xlfn.IFNA(_xlfn.XLOOKUP(X7,'00_SKU_Master'!$B$2:$B$379,'00_SKU_Master'!$F$2:$F$379,0)*AD7,"")</f>
        <v>0</v>
      </c>
      <c r="J7" s="182">
        <f>_xlfn.IFNA(_xlfn.XLOOKUP(X7,'00_SKU_Master'!$B$2:$B$379,'00_SKU_Master'!$F$2:$F$379,0)*AE7,"")</f>
        <v>0</v>
      </c>
      <c r="K7" s="183">
        <f t="shared" si="3"/>
        <v>0</v>
      </c>
      <c r="L7" s="184" t="str">
        <f>_xlfn.XLOOKUP(X7,'00_SKU_Master'!$B$2:$B$379,'00_SKU_Master'!$K$2:$K$379)</f>
        <v>Fast</v>
      </c>
      <c r="M7" s="185">
        <f t="shared" si="0"/>
        <v>946</v>
      </c>
      <c r="N7" s="186">
        <f>IFERROR(D7/_xlfn.XLOOKUP($M7,'00_SKU_Master'!$B$2:$B$379,'00_SKU_Master'!$M$2:$M$379,0),"0")</f>
        <v>0</v>
      </c>
      <c r="O7" s="186">
        <f>IFERROR(E7/_xlfn.XLOOKUP($M7,'00_SKU_Master'!$B$2:$B$379,'00_SKU_Master'!$M$2:$M$379,0),"0")</f>
        <v>0</v>
      </c>
      <c r="P7" s="186">
        <f>IFERROR(F7/_xlfn.XLOOKUP($M7,'00_SKU_Master'!$B$2:$B$379,'00_SKU_Master'!$M$2:$M$379,0),"0")</f>
        <v>0</v>
      </c>
      <c r="Q7" s="186">
        <f>IFERROR(G7/_xlfn.XLOOKUP($M7,'00_SKU_Master'!$B$2:$B$379,'00_SKU_Master'!$M$2:$M$379,0),"0")</f>
        <v>0</v>
      </c>
      <c r="R7" s="186">
        <f>IFERROR(H7/_xlfn.XLOOKUP($M7,'00_SKU_Master'!$B$2:$B$379,'00_SKU_Master'!$M$2:$M$379,0),"0")</f>
        <v>0</v>
      </c>
      <c r="S7" s="186">
        <f>IFERROR(I7/_xlfn.XLOOKUP($M7,'00_SKU_Master'!$B$2:$B$379,'00_SKU_Master'!$M$2:$M$379,0),"0")</f>
        <v>0</v>
      </c>
      <c r="T7" s="186">
        <f>IFERROR(J7/_xlfn.XLOOKUP($M7,'00_SKU_Master'!$B$2:$B$379,'00_SKU_Master'!$M$2:$M$379,0),"0")</f>
        <v>0</v>
      </c>
      <c r="U7" s="186">
        <f t="shared" si="1"/>
        <v>0</v>
      </c>
      <c r="V7" s="186" t="str">
        <f>_xlfn.XLOOKUP(M7,'00_SKU_Master'!$B$2:$B$379,'00_SKU_Master'!$D$2:$D$379)</f>
        <v>FB</v>
      </c>
      <c r="W7" s="1"/>
      <c r="X7" s="2">
        <f>'05_Daily_Orders'!C8</f>
        <v>946</v>
      </c>
      <c r="Y7" s="289"/>
      <c r="Z7" s="289">
        <v>0</v>
      </c>
      <c r="AA7" s="289">
        <v>0</v>
      </c>
      <c r="AB7" s="289">
        <v>0</v>
      </c>
      <c r="AC7" s="289">
        <v>0</v>
      </c>
      <c r="AD7" s="289">
        <v>0</v>
      </c>
      <c r="AE7" s="289">
        <v>0</v>
      </c>
      <c r="AF7" s="7">
        <f t="shared" si="2"/>
        <v>0</v>
      </c>
      <c r="AH7" s="2">
        <v>200182</v>
      </c>
      <c r="AI7" s="2">
        <v>20</v>
      </c>
      <c r="AJ7" s="2">
        <v>40</v>
      </c>
      <c r="AK7" s="2">
        <v>40</v>
      </c>
      <c r="AL7" s="2">
        <v>40</v>
      </c>
      <c r="AM7" s="2">
        <v>40</v>
      </c>
      <c r="AN7" s="2">
        <v>0</v>
      </c>
      <c r="AO7" s="2">
        <v>80</v>
      </c>
      <c r="AQ7" s="70">
        <v>0</v>
      </c>
      <c r="AR7" s="70">
        <v>0</v>
      </c>
      <c r="AS7" s="3">
        <f t="shared" si="4"/>
        <v>0</v>
      </c>
    </row>
    <row r="8" spans="1:45" x14ac:dyDescent="0.35">
      <c r="A8" s="181" t="str">
        <f>_xlfn.XLOOKUP(X8,'00_SKU_Master'!$B$2:$B$379,'00_SKU_Master'!$C$2:$C$379)</f>
        <v>61072#2</v>
      </c>
      <c r="B8" s="181" t="str">
        <f>_xlfn.XLOOKUP(X8,tblSKU[SKU],tblSKU[Product_Group])</f>
        <v>Drum</v>
      </c>
      <c r="C8" s="181" t="str">
        <f>_xlfn.XLOOKUP(X8,tblSKU[SKU],tblSKU[Tray_Type])</f>
        <v>LT 14D</v>
      </c>
      <c r="D8" s="182">
        <f>_xlfn.IFNA(_xlfn.XLOOKUP(X8,'00_SKU_Master'!$B$2:$B$379,'00_SKU_Master'!$F$2:$F$379,0)*Y8,"")</f>
        <v>0</v>
      </c>
      <c r="E8" s="182">
        <f>_xlfn.IFNA(_xlfn.XLOOKUP(X8,'00_SKU_Master'!$B$2:$B$379,'00_SKU_Master'!$F$2:$F$379,0)*Z8,"")</f>
        <v>0</v>
      </c>
      <c r="F8" s="182">
        <f>_xlfn.IFNA(_xlfn.XLOOKUP(X8,'00_SKU_Master'!$B$2:$B$379,'00_SKU_Master'!$F$2:$F$379,0)*AA8,"")</f>
        <v>0</v>
      </c>
      <c r="G8" s="182">
        <f>_xlfn.IFNA(_xlfn.XLOOKUP(X8,'00_SKU_Master'!$B$2:$B$379,'00_SKU_Master'!$F$2:$F$379,0)*AB8,"")</f>
        <v>0</v>
      </c>
      <c r="H8" s="182">
        <f>_xlfn.IFNA(_xlfn.XLOOKUP(X8,'00_SKU_Master'!$B$2:$B$379,'00_SKU_Master'!$F$2:$F$379,0)*AC8,"")</f>
        <v>0</v>
      </c>
      <c r="I8" s="182">
        <f>_xlfn.IFNA(_xlfn.XLOOKUP(X8,'00_SKU_Master'!$B$2:$B$379,'00_SKU_Master'!$F$2:$F$379,0)*AD8,"")</f>
        <v>0</v>
      </c>
      <c r="J8" s="182">
        <f>_xlfn.IFNA(_xlfn.XLOOKUP(X8,'00_SKU_Master'!$B$2:$B$379,'00_SKU_Master'!$F$2:$F$379,0)*AE8,"")</f>
        <v>0</v>
      </c>
      <c r="K8" s="183">
        <f t="shared" si="3"/>
        <v>0</v>
      </c>
      <c r="L8" s="184" t="str">
        <f>_xlfn.XLOOKUP(X8,'00_SKU_Master'!$B$2:$B$379,'00_SKU_Master'!$K$2:$K$379)</f>
        <v>Fast</v>
      </c>
      <c r="M8" s="185">
        <f t="shared" si="0"/>
        <v>956</v>
      </c>
      <c r="N8" s="186">
        <f>IFERROR(D8/_xlfn.XLOOKUP($M8,'00_SKU_Master'!$B$2:$B$379,'00_SKU_Master'!$M$2:$M$379,0),"0")</f>
        <v>0</v>
      </c>
      <c r="O8" s="186">
        <f>IFERROR(E8/_xlfn.XLOOKUP($M8,'00_SKU_Master'!$B$2:$B$379,'00_SKU_Master'!$M$2:$M$379,0),"0")</f>
        <v>0</v>
      </c>
      <c r="P8" s="186">
        <f>IFERROR(F8/_xlfn.XLOOKUP($M8,'00_SKU_Master'!$B$2:$B$379,'00_SKU_Master'!$M$2:$M$379,0),"0")</f>
        <v>0</v>
      </c>
      <c r="Q8" s="186">
        <f>IFERROR(G8/_xlfn.XLOOKUP($M8,'00_SKU_Master'!$B$2:$B$379,'00_SKU_Master'!$M$2:$M$379,0),"0")</f>
        <v>0</v>
      </c>
      <c r="R8" s="186">
        <f>IFERROR(H8/_xlfn.XLOOKUP($M8,'00_SKU_Master'!$B$2:$B$379,'00_SKU_Master'!$M$2:$M$379,0),"0")</f>
        <v>0</v>
      </c>
      <c r="S8" s="186">
        <f>IFERROR(I8/_xlfn.XLOOKUP($M8,'00_SKU_Master'!$B$2:$B$379,'00_SKU_Master'!$M$2:$M$379,0),"0")</f>
        <v>0</v>
      </c>
      <c r="T8" s="186">
        <f>IFERROR(J8/_xlfn.XLOOKUP($M8,'00_SKU_Master'!$B$2:$B$379,'00_SKU_Master'!$M$2:$M$379,0),"0")</f>
        <v>0</v>
      </c>
      <c r="U8" s="186">
        <f t="shared" si="1"/>
        <v>0</v>
      </c>
      <c r="V8" s="186" t="str">
        <f>_xlfn.XLOOKUP(M8,'00_SKU_Master'!$B$2:$B$379,'00_SKU_Master'!$D$2:$D$379)</f>
        <v>FB</v>
      </c>
      <c r="W8" s="1"/>
      <c r="X8" s="2">
        <f>'05_Daily_Orders'!C9</f>
        <v>956</v>
      </c>
      <c r="Y8" s="289"/>
      <c r="Z8" s="289">
        <v>0</v>
      </c>
      <c r="AA8" s="289">
        <v>0</v>
      </c>
      <c r="AB8" s="289">
        <v>0</v>
      </c>
      <c r="AC8" s="289">
        <v>0</v>
      </c>
      <c r="AD8" s="289">
        <v>0</v>
      </c>
      <c r="AE8" s="289">
        <v>0</v>
      </c>
      <c r="AF8" s="7">
        <f t="shared" si="2"/>
        <v>0</v>
      </c>
      <c r="AH8" s="2">
        <v>200183</v>
      </c>
      <c r="AI8" s="2">
        <v>22</v>
      </c>
      <c r="AJ8" s="2">
        <v>44</v>
      </c>
      <c r="AK8" s="2">
        <v>24</v>
      </c>
      <c r="AL8" s="2">
        <v>42</v>
      </c>
      <c r="AM8" s="2">
        <v>55</v>
      </c>
      <c r="AN8" s="2">
        <v>0</v>
      </c>
      <c r="AO8" s="2">
        <v>28</v>
      </c>
      <c r="AQ8" s="70">
        <v>0</v>
      </c>
      <c r="AR8" s="70">
        <v>0</v>
      </c>
      <c r="AS8" s="3">
        <f t="shared" si="4"/>
        <v>0</v>
      </c>
    </row>
    <row r="9" spans="1:45" x14ac:dyDescent="0.35">
      <c r="A9" s="181">
        <f>_xlfn.XLOOKUP(X9,'00_SKU_Master'!$B$2:$B$379,'00_SKU_Master'!$C$2:$C$379)</f>
        <v>61082</v>
      </c>
      <c r="B9" s="181" t="str">
        <f>_xlfn.XLOOKUP(X9,tblSKU[SKU],tblSKU[Product_Group])</f>
        <v>Thigh</v>
      </c>
      <c r="C9" s="181" t="str">
        <f>_xlfn.XLOOKUP(X9,tblSKU[SKU],tblSKU[Tray_Type])</f>
        <v>LT 14D</v>
      </c>
      <c r="D9" s="182">
        <f>_xlfn.IFNA(_xlfn.XLOOKUP(X9,'00_SKU_Master'!$B$2:$B$379,'00_SKU_Master'!$F$2:$F$379,0)*Y9,"")</f>
        <v>0</v>
      </c>
      <c r="E9" s="182">
        <f>_xlfn.IFNA(_xlfn.XLOOKUP(X9,'00_SKU_Master'!$B$2:$B$379,'00_SKU_Master'!$F$2:$F$379,0)*Z9,"")</f>
        <v>0</v>
      </c>
      <c r="F9" s="182">
        <f>_xlfn.IFNA(_xlfn.XLOOKUP(X9,'00_SKU_Master'!$B$2:$B$379,'00_SKU_Master'!$F$2:$F$379,0)*AA9,"")</f>
        <v>0</v>
      </c>
      <c r="G9" s="182">
        <f>_xlfn.IFNA(_xlfn.XLOOKUP(X9,'00_SKU_Master'!$B$2:$B$379,'00_SKU_Master'!$F$2:$F$379,0)*AB9,"")</f>
        <v>0</v>
      </c>
      <c r="H9" s="182">
        <f>_xlfn.IFNA(_xlfn.XLOOKUP(X9,'00_SKU_Master'!$B$2:$B$379,'00_SKU_Master'!$F$2:$F$379,0)*AC9,"")</f>
        <v>0</v>
      </c>
      <c r="I9" s="182">
        <f>_xlfn.IFNA(_xlfn.XLOOKUP(X9,'00_SKU_Master'!$B$2:$B$379,'00_SKU_Master'!$F$2:$F$379,0)*AD9,"")</f>
        <v>0</v>
      </c>
      <c r="J9" s="182">
        <f>_xlfn.IFNA(_xlfn.XLOOKUP(X9,'00_SKU_Master'!$B$2:$B$379,'00_SKU_Master'!$F$2:$F$379,0)*AE9,"")</f>
        <v>0</v>
      </c>
      <c r="K9" s="183">
        <f t="shared" si="3"/>
        <v>0</v>
      </c>
      <c r="L9" s="184" t="str">
        <f>_xlfn.XLOOKUP(X9,'00_SKU_Master'!$B$2:$B$379,'00_SKU_Master'!$K$2:$K$379)</f>
        <v>Fast</v>
      </c>
      <c r="M9" s="185">
        <f t="shared" si="0"/>
        <v>957</v>
      </c>
      <c r="N9" s="186">
        <f>IFERROR(D9/_xlfn.XLOOKUP($M9,'00_SKU_Master'!$B$2:$B$379,'00_SKU_Master'!$M$2:$M$379,0),"0")</f>
        <v>0</v>
      </c>
      <c r="O9" s="186">
        <f>IFERROR(E9/_xlfn.XLOOKUP($M9,'00_SKU_Master'!$B$2:$B$379,'00_SKU_Master'!$M$2:$M$379,0),"0")</f>
        <v>0</v>
      </c>
      <c r="P9" s="186">
        <f>IFERROR(F9/_xlfn.XLOOKUP($M9,'00_SKU_Master'!$B$2:$B$379,'00_SKU_Master'!$M$2:$M$379,0),"0")</f>
        <v>0</v>
      </c>
      <c r="Q9" s="186">
        <f>IFERROR(G9/_xlfn.XLOOKUP($M9,'00_SKU_Master'!$B$2:$B$379,'00_SKU_Master'!$M$2:$M$379,0),"0")</f>
        <v>0</v>
      </c>
      <c r="R9" s="186">
        <f>IFERROR(H9/_xlfn.XLOOKUP($M9,'00_SKU_Master'!$B$2:$B$379,'00_SKU_Master'!$M$2:$M$379,0),"0")</f>
        <v>0</v>
      </c>
      <c r="S9" s="186">
        <f>IFERROR(I9/_xlfn.XLOOKUP($M9,'00_SKU_Master'!$B$2:$B$379,'00_SKU_Master'!$M$2:$M$379,0),"0")</f>
        <v>0</v>
      </c>
      <c r="T9" s="186">
        <f>IFERROR(J9/_xlfn.XLOOKUP($M9,'00_SKU_Master'!$B$2:$B$379,'00_SKU_Master'!$M$2:$M$379,0),"0")</f>
        <v>0</v>
      </c>
      <c r="U9" s="186">
        <f t="shared" si="1"/>
        <v>0</v>
      </c>
      <c r="V9" s="186" t="str">
        <f>_xlfn.XLOOKUP(M9,'00_SKU_Master'!$B$2:$B$379,'00_SKU_Master'!$D$2:$D$379)</f>
        <v>FB</v>
      </c>
      <c r="W9" s="1"/>
      <c r="X9" s="2">
        <f>'05_Daily_Orders'!C10</f>
        <v>957</v>
      </c>
      <c r="Y9" s="289"/>
      <c r="Z9" s="289">
        <v>0</v>
      </c>
      <c r="AA9" s="289">
        <v>0</v>
      </c>
      <c r="AB9" s="289">
        <v>0</v>
      </c>
      <c r="AC9" s="289">
        <v>0</v>
      </c>
      <c r="AD9" s="289">
        <v>0</v>
      </c>
      <c r="AE9" s="289">
        <v>0</v>
      </c>
      <c r="AF9" s="7">
        <f t="shared" si="2"/>
        <v>0</v>
      </c>
      <c r="AH9" s="2">
        <v>200184</v>
      </c>
      <c r="AI9" s="2">
        <v>0</v>
      </c>
      <c r="AJ9" s="2">
        <v>40</v>
      </c>
      <c r="AK9" s="2">
        <v>0</v>
      </c>
      <c r="AL9" s="2">
        <v>40</v>
      </c>
      <c r="AM9" s="2">
        <v>40</v>
      </c>
      <c r="AN9" s="2">
        <v>0</v>
      </c>
      <c r="AO9" s="2">
        <v>60</v>
      </c>
      <c r="AQ9" s="70">
        <v>0</v>
      </c>
      <c r="AR9" s="70">
        <v>0</v>
      </c>
      <c r="AS9" s="3">
        <f t="shared" si="4"/>
        <v>0</v>
      </c>
    </row>
    <row r="10" spans="1:45" x14ac:dyDescent="0.35">
      <c r="A10" s="181">
        <f>_xlfn.XLOOKUP(X10,'00_SKU_Master'!$B$2:$B$379,'00_SKU_Master'!$C$2:$C$379)</f>
        <v>61121</v>
      </c>
      <c r="B10" s="181" t="str">
        <f>_xlfn.XLOOKUP(X10,tblSKU[SKU],tblSKU[Product_Group])</f>
        <v>Backbone</v>
      </c>
      <c r="C10" s="181" t="str">
        <f>_xlfn.XLOOKUP(X10,tblSKU[SKU],tblSKU[Tray_Type])</f>
        <v>ST 3XP</v>
      </c>
      <c r="D10" s="182">
        <f>_xlfn.IFNA(_xlfn.XLOOKUP(X10,'00_SKU_Master'!$B$2:$B$379,'00_SKU_Master'!$F$2:$F$379,0)*Y10,"")</f>
        <v>0</v>
      </c>
      <c r="E10" s="182">
        <f>_xlfn.IFNA(_xlfn.XLOOKUP(X10,'00_SKU_Master'!$B$2:$B$379,'00_SKU_Master'!$F$2:$F$379,0)*Z10,"")</f>
        <v>46.850627970128954</v>
      </c>
      <c r="F10" s="182">
        <f>_xlfn.IFNA(_xlfn.XLOOKUP(X10,'00_SKU_Master'!$B$2:$B$379,'00_SKU_Master'!$F$2:$F$379,0)*AA10,"")</f>
        <v>0</v>
      </c>
      <c r="G10" s="182">
        <f>_xlfn.IFNA(_xlfn.XLOOKUP(X10,'00_SKU_Master'!$B$2:$B$379,'00_SKU_Master'!$F$2:$F$379,0)*AB10,"")</f>
        <v>0</v>
      </c>
      <c r="H10" s="182">
        <f>_xlfn.IFNA(_xlfn.XLOOKUP(X10,'00_SKU_Master'!$B$2:$B$379,'00_SKU_Master'!$F$2:$F$379,0)*AC10,"")</f>
        <v>0</v>
      </c>
      <c r="I10" s="182">
        <f>_xlfn.IFNA(_xlfn.XLOOKUP(X10,'00_SKU_Master'!$B$2:$B$379,'00_SKU_Master'!$F$2:$F$379,0)*AD10,"")</f>
        <v>234.25313985064474</v>
      </c>
      <c r="J10" s="182">
        <f>_xlfn.IFNA(_xlfn.XLOOKUP(X10,'00_SKU_Master'!$B$2:$B$379,'00_SKU_Master'!$F$2:$F$379,0)*AE10,"")</f>
        <v>0</v>
      </c>
      <c r="K10" s="183">
        <f t="shared" si="3"/>
        <v>281.10376782077367</v>
      </c>
      <c r="L10" s="184" t="str">
        <f>_xlfn.XLOOKUP(X10,'00_SKU_Master'!$B$2:$B$379,'00_SKU_Master'!$K$2:$K$379)</f>
        <v>Fast</v>
      </c>
      <c r="M10" s="185">
        <f t="shared" si="0"/>
        <v>1023</v>
      </c>
      <c r="N10" s="186">
        <f>IFERROR(D10/_xlfn.XLOOKUP($M10,'00_SKU_Master'!$B$2:$B$379,'00_SKU_Master'!$M$2:$M$379,0),"0")</f>
        <v>0</v>
      </c>
      <c r="O10" s="186">
        <f>IFERROR(E10/_xlfn.XLOOKUP($M10,'00_SKU_Master'!$B$2:$B$379,'00_SKU_Master'!$M$2:$M$379,0),"0")</f>
        <v>0.98882709941175495</v>
      </c>
      <c r="P10" s="186">
        <f>IFERROR(F10/_xlfn.XLOOKUP($M10,'00_SKU_Master'!$B$2:$B$379,'00_SKU_Master'!$M$2:$M$379,0),"0")</f>
        <v>0</v>
      </c>
      <c r="Q10" s="186">
        <f>IFERROR(G10/_xlfn.XLOOKUP($M10,'00_SKU_Master'!$B$2:$B$379,'00_SKU_Master'!$M$2:$M$379,0),"0")</f>
        <v>0</v>
      </c>
      <c r="R10" s="186">
        <f>IFERROR(H10/_xlfn.XLOOKUP($M10,'00_SKU_Master'!$B$2:$B$379,'00_SKU_Master'!$M$2:$M$379,0),"0")</f>
        <v>0</v>
      </c>
      <c r="S10" s="186">
        <f>IFERROR(I10/_xlfn.XLOOKUP($M10,'00_SKU_Master'!$B$2:$B$379,'00_SKU_Master'!$M$2:$M$379,0),"0")</f>
        <v>4.9441354970587748</v>
      </c>
      <c r="T10" s="186">
        <f>IFERROR(J10/_xlfn.XLOOKUP($M10,'00_SKU_Master'!$B$2:$B$379,'00_SKU_Master'!$M$2:$M$379,0),"0")</f>
        <v>0</v>
      </c>
      <c r="U10" s="186">
        <f t="shared" si="1"/>
        <v>5.9329625964705297</v>
      </c>
      <c r="V10" s="186" t="str">
        <f>_xlfn.XLOOKUP(M10,'00_SKU_Master'!$B$2:$B$379,'00_SKU_Master'!$D$2:$D$379)</f>
        <v>METRO</v>
      </c>
      <c r="W10" s="1"/>
      <c r="X10" s="2">
        <f>'05_Daily_Orders'!C11</f>
        <v>1023</v>
      </c>
      <c r="Y10" s="289"/>
      <c r="Z10" s="289">
        <v>5</v>
      </c>
      <c r="AA10" s="289">
        <v>0</v>
      </c>
      <c r="AB10" s="289">
        <v>0</v>
      </c>
      <c r="AC10" s="289">
        <v>0</v>
      </c>
      <c r="AD10" s="289">
        <v>25</v>
      </c>
      <c r="AE10" s="289">
        <v>0</v>
      </c>
      <c r="AF10" s="7">
        <f t="shared" si="2"/>
        <v>30</v>
      </c>
      <c r="AH10" s="2">
        <v>2511</v>
      </c>
      <c r="AI10" s="2">
        <v>0</v>
      </c>
      <c r="AJ10" s="2">
        <v>10</v>
      </c>
      <c r="AK10" s="2">
        <v>7</v>
      </c>
      <c r="AL10" s="2">
        <v>7</v>
      </c>
      <c r="AM10" s="2">
        <v>10</v>
      </c>
      <c r="AN10" s="2">
        <v>0</v>
      </c>
      <c r="AO10" s="2">
        <v>0</v>
      </c>
      <c r="AQ10" s="70">
        <v>0</v>
      </c>
      <c r="AR10" s="70">
        <v>5</v>
      </c>
      <c r="AS10" s="3">
        <f t="shared" si="4"/>
        <v>5</v>
      </c>
    </row>
    <row r="11" spans="1:45" x14ac:dyDescent="0.35">
      <c r="A11" s="181" t="str">
        <f>_xlfn.XLOOKUP(X11,'00_SKU_Master'!$B$2:$B$379,'00_SKU_Master'!$C$2:$C$379)</f>
        <v>61050F</v>
      </c>
      <c r="B11" s="181" t="str">
        <f>_xlfn.XLOOKUP(X11,tblSKU[SKU],tblSKU[Product_Group])</f>
        <v>BSB</v>
      </c>
      <c r="C11" s="181" t="str">
        <f>_xlfn.XLOOKUP(X11,tblSKU[SKU],tblSKU[Tray_Type])</f>
        <v>ST 3D</v>
      </c>
      <c r="D11" s="182">
        <f>_xlfn.IFNA(_xlfn.XLOOKUP(X11,'00_SKU_Master'!$B$2:$B$379,'00_SKU_Master'!$F$2:$F$379,0)*Y11,"")</f>
        <v>0</v>
      </c>
      <c r="E11" s="182">
        <f>_xlfn.IFNA(_xlfn.XLOOKUP(X11,'00_SKU_Master'!$B$2:$B$379,'00_SKU_Master'!$F$2:$F$379,0)*Z11,"")</f>
        <v>211.61750372023772</v>
      </c>
      <c r="F11" s="182">
        <f>_xlfn.IFNA(_xlfn.XLOOKUP(X11,'00_SKU_Master'!$B$2:$B$379,'00_SKU_Master'!$F$2:$F$379,0)*AA11,"")</f>
        <v>186.51034226190444</v>
      </c>
      <c r="G11" s="182">
        <f>_xlfn.IFNA(_xlfn.XLOOKUP(X11,'00_SKU_Master'!$B$2:$B$379,'00_SKU_Master'!$F$2:$F$379,0)*AB11,"")</f>
        <v>269.00530133928527</v>
      </c>
      <c r="H11" s="182">
        <f>_xlfn.IFNA(_xlfn.XLOOKUP(X11,'00_SKU_Master'!$B$2:$B$379,'00_SKU_Master'!$F$2:$F$379,0)*AC11,"")</f>
        <v>387.36763392857074</v>
      </c>
      <c r="I11" s="182">
        <f>_xlfn.IFNA(_xlfn.XLOOKUP(X11,'00_SKU_Master'!$B$2:$B$379,'00_SKU_Master'!$F$2:$F$379,0)*AD11,"")</f>
        <v>0</v>
      </c>
      <c r="J11" s="182">
        <f>_xlfn.IFNA(_xlfn.XLOOKUP(X11,'00_SKU_Master'!$B$2:$B$379,'00_SKU_Master'!$F$2:$F$379,0)*AE11,"")</f>
        <v>365.84720982142795</v>
      </c>
      <c r="K11" s="183">
        <f t="shared" si="3"/>
        <v>1420.3479910714261</v>
      </c>
      <c r="L11" s="184" t="str">
        <f>_xlfn.XLOOKUP(X11,'00_SKU_Master'!$B$2:$B$379,'00_SKU_Master'!$K$2:$K$379)</f>
        <v>Fast</v>
      </c>
      <c r="M11" s="185">
        <f t="shared" si="0"/>
        <v>1830</v>
      </c>
      <c r="N11" s="186">
        <f>IFERROR(D11/_xlfn.XLOOKUP($M11,'00_SKU_Master'!$B$2:$B$379,'00_SKU_Master'!$M$2:$M$379,0),"0")</f>
        <v>0</v>
      </c>
      <c r="O11" s="186">
        <f>IFERROR(E11/_xlfn.XLOOKUP($M11,'00_SKU_Master'!$B$2:$B$379,'00_SKU_Master'!$M$2:$M$379,0),"0")</f>
        <v>3.7447797508447662</v>
      </c>
      <c r="P11" s="186">
        <f>IFERROR(F11/_xlfn.XLOOKUP($M11,'00_SKU_Master'!$B$2:$B$379,'00_SKU_Master'!$M$2:$M$379,0),"0")</f>
        <v>3.300483848202167</v>
      </c>
      <c r="Q11" s="186">
        <f>IFERROR(G11/_xlfn.XLOOKUP($M11,'00_SKU_Master'!$B$2:$B$379,'00_SKU_Master'!$M$2:$M$379,0),"0")</f>
        <v>4.7603132425992793</v>
      </c>
      <c r="R11" s="186">
        <f>IFERROR(H11/_xlfn.XLOOKUP($M11,'00_SKU_Master'!$B$2:$B$379,'00_SKU_Master'!$M$2:$M$379,0),"0")</f>
        <v>6.8548510693429616</v>
      </c>
      <c r="S11" s="186">
        <f>IFERROR(I11/_xlfn.XLOOKUP($M11,'00_SKU_Master'!$B$2:$B$379,'00_SKU_Master'!$M$2:$M$379,0),"0")</f>
        <v>0</v>
      </c>
      <c r="T11" s="186">
        <f>IFERROR(J11/_xlfn.XLOOKUP($M11,'00_SKU_Master'!$B$2:$B$379,'00_SKU_Master'!$M$2:$M$379,0),"0")</f>
        <v>6.4740260099350193</v>
      </c>
      <c r="U11" s="186">
        <f t="shared" si="1"/>
        <v>25.134453920924194</v>
      </c>
      <c r="V11" s="186" t="str">
        <f>_xlfn.XLOOKUP(M11,'00_SKU_Master'!$B$2:$B$379,'00_SKU_Master'!$D$2:$D$379)</f>
        <v>FB</v>
      </c>
      <c r="W11" s="1"/>
      <c r="X11" s="2">
        <f>'05_Daily_Orders'!C12</f>
        <v>1830</v>
      </c>
      <c r="Y11" s="289"/>
      <c r="Z11" s="289">
        <v>59</v>
      </c>
      <c r="AA11" s="289">
        <v>52</v>
      </c>
      <c r="AB11" s="289">
        <v>75</v>
      </c>
      <c r="AC11" s="289">
        <v>108</v>
      </c>
      <c r="AD11" s="289">
        <v>0</v>
      </c>
      <c r="AE11" s="289">
        <v>102</v>
      </c>
      <c r="AF11" s="7">
        <f t="shared" si="2"/>
        <v>396</v>
      </c>
      <c r="AH11" s="2">
        <v>1077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Q11" s="70">
        <v>0</v>
      </c>
      <c r="AR11" s="70">
        <v>59</v>
      </c>
      <c r="AS11" s="3">
        <f t="shared" si="4"/>
        <v>59</v>
      </c>
    </row>
    <row r="12" spans="1:45" x14ac:dyDescent="0.35">
      <c r="A12" s="181">
        <f>_xlfn.XLOOKUP(X12,'00_SKU_Master'!$B$2:$B$379,'00_SKU_Master'!$C$2:$C$379)</f>
        <v>203021</v>
      </c>
      <c r="B12" s="181" t="str">
        <f>_xlfn.XLOOKUP(X12,tblSKU[SKU],tblSKU[Product_Group])</f>
        <v>Whole Bird-Small</v>
      </c>
      <c r="C12" s="181" t="str">
        <f>_xlfn.XLOOKUP(X12,tblSKU[SKU],tblSKU[Tray_Type])</f>
        <v>ST 3XP</v>
      </c>
      <c r="D12" s="182">
        <f>_xlfn.IFNA(_xlfn.XLOOKUP(X12,'00_SKU_Master'!$B$2:$B$379,'00_SKU_Master'!$F$2:$F$379,0)*Y12,"")</f>
        <v>0</v>
      </c>
      <c r="E12" s="182">
        <f>_xlfn.IFNA(_xlfn.XLOOKUP(X12,'00_SKU_Master'!$B$2:$B$379,'00_SKU_Master'!$F$2:$F$379,0)*Z12,"")</f>
        <v>796.20151189232274</v>
      </c>
      <c r="F12" s="182">
        <f>_xlfn.IFNA(_xlfn.XLOOKUP(X12,'00_SKU_Master'!$B$2:$B$379,'00_SKU_Master'!$F$2:$F$379,0)*AA12,"")</f>
        <v>542.86466719931104</v>
      </c>
      <c r="G12" s="182">
        <f>_xlfn.IFNA(_xlfn.XLOOKUP(X12,'00_SKU_Master'!$B$2:$B$379,'00_SKU_Master'!$F$2:$F$379,0)*AB12,"")</f>
        <v>774.48692520435031</v>
      </c>
      <c r="H12" s="182">
        <f>_xlfn.IFNA(_xlfn.XLOOKUP(X12,'00_SKU_Master'!$B$2:$B$379,'00_SKU_Master'!$F$2:$F$379,0)*AC12,"")</f>
        <v>955.44181427078729</v>
      </c>
      <c r="I12" s="182">
        <f>_xlfn.IFNA(_xlfn.XLOOKUP(X12,'00_SKU_Master'!$B$2:$B$379,'00_SKU_Master'!$F$2:$F$379,0)*AD12,"")</f>
        <v>0</v>
      </c>
      <c r="J12" s="182">
        <f>_xlfn.IFNA(_xlfn.XLOOKUP(X12,'00_SKU_Master'!$B$2:$B$379,'00_SKU_Master'!$F$2:$F$379,0)*AE12,"")</f>
        <v>998.87098764673226</v>
      </c>
      <c r="K12" s="183">
        <f t="shared" si="3"/>
        <v>4067.8659062135039</v>
      </c>
      <c r="L12" s="184" t="str">
        <f>_xlfn.XLOOKUP(X12,'00_SKU_Master'!$B$2:$B$379,'00_SKU_Master'!$K$2:$K$379)</f>
        <v>Fast</v>
      </c>
      <c r="M12" s="185">
        <f t="shared" si="0"/>
        <v>1831</v>
      </c>
      <c r="N12" s="186">
        <f>IFERROR(D12/_xlfn.XLOOKUP($M12,'00_SKU_Master'!$B$2:$B$379,'00_SKU_Master'!$M$2:$M$379,0),"0")</f>
        <v>0</v>
      </c>
      <c r="O12" s="186">
        <f>IFERROR(E12/_xlfn.XLOOKUP($M12,'00_SKU_Master'!$B$2:$B$379,'00_SKU_Master'!$M$2:$M$379,0),"0")</f>
        <v>6.0699970411856583</v>
      </c>
      <c r="P12" s="186">
        <f>IFERROR(F12/_xlfn.XLOOKUP($M12,'00_SKU_Master'!$B$2:$B$379,'00_SKU_Master'!$M$2:$M$379,0),"0")</f>
        <v>4.1386343462629496</v>
      </c>
      <c r="Q12" s="186">
        <f>IFERROR(G12/_xlfn.XLOOKUP($M12,'00_SKU_Master'!$B$2:$B$379,'00_SKU_Master'!$M$2:$M$379,0),"0")</f>
        <v>5.9044516673351408</v>
      </c>
      <c r="R12" s="186">
        <f>IFERROR(H12/_xlfn.XLOOKUP($M12,'00_SKU_Master'!$B$2:$B$379,'00_SKU_Master'!$M$2:$M$379,0),"0")</f>
        <v>7.2839964494227898</v>
      </c>
      <c r="S12" s="186">
        <f>IFERROR(I12/_xlfn.XLOOKUP($M12,'00_SKU_Master'!$B$2:$B$379,'00_SKU_Master'!$M$2:$M$379,0),"0")</f>
        <v>0</v>
      </c>
      <c r="T12" s="186">
        <f>IFERROR(J12/_xlfn.XLOOKUP($M12,'00_SKU_Master'!$B$2:$B$379,'00_SKU_Master'!$M$2:$M$379,0),"0")</f>
        <v>7.6150871971238265</v>
      </c>
      <c r="U12" s="186">
        <f t="shared" si="1"/>
        <v>31.012166701330369</v>
      </c>
      <c r="V12" s="186" t="str">
        <f>_xlfn.XLOOKUP(M12,'00_SKU_Master'!$B$2:$B$379,'00_SKU_Master'!$D$2:$D$379)</f>
        <v>FB</v>
      </c>
      <c r="W12" s="1"/>
      <c r="X12" s="2">
        <f>'05_Daily_Orders'!C13</f>
        <v>1831</v>
      </c>
      <c r="Y12" s="289"/>
      <c r="Z12" s="289">
        <v>110</v>
      </c>
      <c r="AA12" s="289">
        <v>75</v>
      </c>
      <c r="AB12" s="289">
        <v>107</v>
      </c>
      <c r="AC12" s="289">
        <v>132</v>
      </c>
      <c r="AD12" s="289">
        <v>0</v>
      </c>
      <c r="AE12" s="289">
        <v>138</v>
      </c>
      <c r="AF12" s="7">
        <f t="shared" si="2"/>
        <v>562</v>
      </c>
      <c r="AH12" s="2">
        <v>1078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Q12" s="70">
        <v>0</v>
      </c>
      <c r="AR12" s="70">
        <v>110</v>
      </c>
      <c r="AS12" s="3">
        <f t="shared" si="4"/>
        <v>110</v>
      </c>
    </row>
    <row r="13" spans="1:45" x14ac:dyDescent="0.35">
      <c r="A13" s="181">
        <f>_xlfn.XLOOKUP(X13,'00_SKU_Master'!$B$2:$B$379,'00_SKU_Master'!$C$2:$C$379)</f>
        <v>61010</v>
      </c>
      <c r="B13" s="181" t="str">
        <f>_xlfn.XLOOKUP(X13,tblSKU[SKU],tblSKU[Product_Group])</f>
        <v>Wing</v>
      </c>
      <c r="C13" s="181" t="str">
        <f>_xlfn.XLOOKUP(X13,tblSKU[SKU],tblSKU[Tray_Type])</f>
        <v>LT 8XP</v>
      </c>
      <c r="D13" s="182">
        <f>_xlfn.IFNA(_xlfn.XLOOKUP(X13,'00_SKU_Master'!$B$2:$B$379,'00_SKU_Master'!$F$2:$F$379,0)*Y13,"")</f>
        <v>0</v>
      </c>
      <c r="E13" s="182">
        <f>_xlfn.IFNA(_xlfn.XLOOKUP(X13,'00_SKU_Master'!$B$2:$B$379,'00_SKU_Master'!$F$2:$F$379,0)*Z13,"")</f>
        <v>0</v>
      </c>
      <c r="F13" s="182">
        <f>_xlfn.IFNA(_xlfn.XLOOKUP(X13,'00_SKU_Master'!$B$2:$B$379,'00_SKU_Master'!$F$2:$F$379,0)*AA13,"")</f>
        <v>0</v>
      </c>
      <c r="G13" s="182">
        <f>_xlfn.IFNA(_xlfn.XLOOKUP(X13,'00_SKU_Master'!$B$2:$B$379,'00_SKU_Master'!$F$2:$F$379,0)*AB13,"")</f>
        <v>0</v>
      </c>
      <c r="H13" s="182">
        <f>_xlfn.IFNA(_xlfn.XLOOKUP(X13,'00_SKU_Master'!$B$2:$B$379,'00_SKU_Master'!$F$2:$F$379,0)*AC13,"")</f>
        <v>0</v>
      </c>
      <c r="I13" s="182">
        <f>_xlfn.IFNA(_xlfn.XLOOKUP(X13,'00_SKU_Master'!$B$2:$B$379,'00_SKU_Master'!$F$2:$F$379,0)*AD13,"")</f>
        <v>0</v>
      </c>
      <c r="J13" s="182">
        <f>_xlfn.IFNA(_xlfn.XLOOKUP(X13,'00_SKU_Master'!$B$2:$B$379,'00_SKU_Master'!$F$2:$F$379,0)*AE13,"")</f>
        <v>0</v>
      </c>
      <c r="K13" s="183">
        <f t="shared" si="3"/>
        <v>0</v>
      </c>
      <c r="L13" s="184" t="str">
        <f>_xlfn.XLOOKUP(X13,'00_SKU_Master'!$B$2:$B$379,'00_SKU_Master'!$K$2:$K$379)</f>
        <v>Fast</v>
      </c>
      <c r="M13" s="185">
        <f t="shared" si="0"/>
        <v>1837</v>
      </c>
      <c r="N13" s="186">
        <f>IFERROR(D13/_xlfn.XLOOKUP($M13,'00_SKU_Master'!$B$2:$B$379,'00_SKU_Master'!$M$2:$M$379,0),"0")</f>
        <v>0</v>
      </c>
      <c r="O13" s="186">
        <f>IFERROR(E13/_xlfn.XLOOKUP($M13,'00_SKU_Master'!$B$2:$B$379,'00_SKU_Master'!$M$2:$M$379,0),"0")</f>
        <v>0</v>
      </c>
      <c r="P13" s="186">
        <f>IFERROR(F13/_xlfn.XLOOKUP($M13,'00_SKU_Master'!$B$2:$B$379,'00_SKU_Master'!$M$2:$M$379,0),"0")</f>
        <v>0</v>
      </c>
      <c r="Q13" s="186">
        <f>IFERROR(G13/_xlfn.XLOOKUP($M13,'00_SKU_Master'!$B$2:$B$379,'00_SKU_Master'!$M$2:$M$379,0),"0")</f>
        <v>0</v>
      </c>
      <c r="R13" s="186">
        <f>IFERROR(H13/_xlfn.XLOOKUP($M13,'00_SKU_Master'!$B$2:$B$379,'00_SKU_Master'!$M$2:$M$379,0),"0")</f>
        <v>0</v>
      </c>
      <c r="S13" s="186">
        <f>IFERROR(I13/_xlfn.XLOOKUP($M13,'00_SKU_Master'!$B$2:$B$379,'00_SKU_Master'!$M$2:$M$379,0),"0")</f>
        <v>0</v>
      </c>
      <c r="T13" s="186">
        <f>IFERROR(J13/_xlfn.XLOOKUP($M13,'00_SKU_Master'!$B$2:$B$379,'00_SKU_Master'!$M$2:$M$379,0),"0")</f>
        <v>0</v>
      </c>
      <c r="U13" s="186">
        <f t="shared" si="1"/>
        <v>0</v>
      </c>
      <c r="V13" s="186" t="str">
        <f>_xlfn.XLOOKUP(M13,'00_SKU_Master'!$B$2:$B$379,'00_SKU_Master'!$D$2:$D$379)</f>
        <v>FB</v>
      </c>
      <c r="W13" s="1"/>
      <c r="X13" s="2">
        <f>'05_Daily_Orders'!C14</f>
        <v>1837</v>
      </c>
      <c r="Y13" s="289"/>
      <c r="Z13" s="289">
        <v>0</v>
      </c>
      <c r="AA13" s="289">
        <v>0</v>
      </c>
      <c r="AB13" s="289">
        <v>0</v>
      </c>
      <c r="AC13" s="289">
        <v>0</v>
      </c>
      <c r="AD13" s="289">
        <v>0</v>
      </c>
      <c r="AE13" s="289">
        <v>0</v>
      </c>
      <c r="AF13" s="7">
        <f t="shared" si="2"/>
        <v>0</v>
      </c>
      <c r="AH13" s="2">
        <v>1080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Q13" s="70">
        <v>0</v>
      </c>
      <c r="AR13" s="70">
        <v>0</v>
      </c>
      <c r="AS13" s="3">
        <f t="shared" si="4"/>
        <v>0</v>
      </c>
    </row>
    <row r="14" spans="1:45" x14ac:dyDescent="0.35">
      <c r="A14" s="181" t="str">
        <f>_xlfn.XLOOKUP(X14,'00_SKU_Master'!$B$2:$B$379,'00_SKU_Master'!$C$2:$C$379)</f>
        <v>61050F</v>
      </c>
      <c r="B14" s="181" t="str">
        <f>_xlfn.XLOOKUP(X14,tblSKU[SKU],tblSKU[Product_Group])</f>
        <v>BSB</v>
      </c>
      <c r="C14" s="181" t="str">
        <f>_xlfn.XLOOKUP(X14,tblSKU[SKU],tblSKU[Tray_Type])</f>
        <v>ST 3D</v>
      </c>
      <c r="D14" s="182">
        <f>_xlfn.IFNA(_xlfn.XLOOKUP(X14,'00_SKU_Master'!$B$2:$B$379,'00_SKU_Master'!$F$2:$F$379,0)*Y14,"")</f>
        <v>0</v>
      </c>
      <c r="E14" s="182">
        <f>_xlfn.IFNA(_xlfn.XLOOKUP(X14,'00_SKU_Master'!$B$2:$B$379,'00_SKU_Master'!$F$2:$F$379,0)*Z14,"")</f>
        <v>0</v>
      </c>
      <c r="F14" s="182">
        <f>_xlfn.IFNA(_xlfn.XLOOKUP(X14,'00_SKU_Master'!$B$2:$B$379,'00_SKU_Master'!$F$2:$F$379,0)*AA14,"")</f>
        <v>0</v>
      </c>
      <c r="G14" s="182">
        <f>_xlfn.IFNA(_xlfn.XLOOKUP(X14,'00_SKU_Master'!$B$2:$B$379,'00_SKU_Master'!$F$2:$F$379,0)*AB14,"")</f>
        <v>0</v>
      </c>
      <c r="H14" s="182">
        <f>_xlfn.IFNA(_xlfn.XLOOKUP(X14,'00_SKU_Master'!$B$2:$B$379,'00_SKU_Master'!$F$2:$F$379,0)*AC14,"")</f>
        <v>0</v>
      </c>
      <c r="I14" s="182">
        <f>_xlfn.IFNA(_xlfn.XLOOKUP(X14,'00_SKU_Master'!$B$2:$B$379,'00_SKU_Master'!$F$2:$F$379,0)*AD14,"")</f>
        <v>0</v>
      </c>
      <c r="J14" s="182">
        <f>_xlfn.IFNA(_xlfn.XLOOKUP(X14,'00_SKU_Master'!$B$2:$B$379,'00_SKU_Master'!$F$2:$F$379,0)*AE14,"")</f>
        <v>0</v>
      </c>
      <c r="K14" s="183">
        <f t="shared" si="3"/>
        <v>0</v>
      </c>
      <c r="L14" s="184" t="str">
        <f>_xlfn.XLOOKUP(X14,'00_SKU_Master'!$B$2:$B$379,'00_SKU_Master'!$K$2:$K$379)</f>
        <v>Fast</v>
      </c>
      <c r="M14" s="185">
        <f t="shared" si="0"/>
        <v>1838</v>
      </c>
      <c r="N14" s="186">
        <f>IFERROR(D14/_xlfn.XLOOKUP($M14,'00_SKU_Master'!$B$2:$B$379,'00_SKU_Master'!$M$2:$M$379,0),"0")</f>
        <v>0</v>
      </c>
      <c r="O14" s="186">
        <f>IFERROR(E14/_xlfn.XLOOKUP($M14,'00_SKU_Master'!$B$2:$B$379,'00_SKU_Master'!$M$2:$M$379,0),"0")</f>
        <v>0</v>
      </c>
      <c r="P14" s="186">
        <f>IFERROR(F14/_xlfn.XLOOKUP($M14,'00_SKU_Master'!$B$2:$B$379,'00_SKU_Master'!$M$2:$M$379,0),"0")</f>
        <v>0</v>
      </c>
      <c r="Q14" s="186">
        <f>IFERROR(G14/_xlfn.XLOOKUP($M14,'00_SKU_Master'!$B$2:$B$379,'00_SKU_Master'!$M$2:$M$379,0),"0")</f>
        <v>0</v>
      </c>
      <c r="R14" s="186">
        <f>IFERROR(H14/_xlfn.XLOOKUP($M14,'00_SKU_Master'!$B$2:$B$379,'00_SKU_Master'!$M$2:$M$379,0),"0")</f>
        <v>0</v>
      </c>
      <c r="S14" s="186">
        <f>IFERROR(I14/_xlfn.XLOOKUP($M14,'00_SKU_Master'!$B$2:$B$379,'00_SKU_Master'!$M$2:$M$379,0),"0")</f>
        <v>0</v>
      </c>
      <c r="T14" s="186">
        <f>IFERROR(J14/_xlfn.XLOOKUP($M14,'00_SKU_Master'!$B$2:$B$379,'00_SKU_Master'!$M$2:$M$379,0),"0")</f>
        <v>0</v>
      </c>
      <c r="U14" s="186">
        <f t="shared" si="1"/>
        <v>0</v>
      </c>
      <c r="V14" s="186" t="str">
        <f>_xlfn.XLOOKUP(M14,'00_SKU_Master'!$B$2:$B$379,'00_SKU_Master'!$D$2:$D$379)</f>
        <v>FB</v>
      </c>
      <c r="W14" s="1"/>
      <c r="X14" s="2">
        <f>'05_Daily_Orders'!C15</f>
        <v>1838</v>
      </c>
      <c r="Y14" s="289"/>
      <c r="Z14" s="289">
        <v>0</v>
      </c>
      <c r="AA14" s="289">
        <v>0</v>
      </c>
      <c r="AB14" s="289">
        <v>0</v>
      </c>
      <c r="AC14" s="289">
        <v>0</v>
      </c>
      <c r="AD14" s="289">
        <v>0</v>
      </c>
      <c r="AE14" s="289">
        <v>0</v>
      </c>
      <c r="AF14" s="7">
        <f t="shared" si="2"/>
        <v>0</v>
      </c>
      <c r="AH14" s="2">
        <v>1574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Q14" s="70">
        <v>0</v>
      </c>
      <c r="AR14" s="70">
        <v>0</v>
      </c>
      <c r="AS14" s="3">
        <f t="shared" si="4"/>
        <v>0</v>
      </c>
    </row>
    <row r="15" spans="1:45" x14ac:dyDescent="0.35">
      <c r="A15" s="181">
        <f>_xlfn.XLOOKUP(X15,'00_SKU_Master'!$B$2:$B$379,'00_SKU_Master'!$C$2:$C$379)</f>
        <v>203021</v>
      </c>
      <c r="B15" s="181" t="str">
        <f>_xlfn.XLOOKUP(X15,tblSKU[SKU],tblSKU[Product_Group])</f>
        <v>Whole Bird-Small</v>
      </c>
      <c r="C15" s="181" t="str">
        <f>_xlfn.XLOOKUP(X15,tblSKU[SKU],tblSKU[Tray_Type])</f>
        <v>ST 3XP</v>
      </c>
      <c r="D15" s="182">
        <f>_xlfn.IFNA(_xlfn.XLOOKUP(X15,'00_SKU_Master'!$B$2:$B$379,'00_SKU_Master'!$F$2:$F$379,0)*Y15,"")</f>
        <v>0</v>
      </c>
      <c r="E15" s="182">
        <f>_xlfn.IFNA(_xlfn.XLOOKUP(X15,'00_SKU_Master'!$B$2:$B$379,'00_SKU_Master'!$F$2:$F$379,0)*Z15,"")</f>
        <v>0</v>
      </c>
      <c r="F15" s="182">
        <f>_xlfn.IFNA(_xlfn.XLOOKUP(X15,'00_SKU_Master'!$B$2:$B$379,'00_SKU_Master'!$F$2:$F$379,0)*AA15,"")</f>
        <v>0</v>
      </c>
      <c r="G15" s="182">
        <f>_xlfn.IFNA(_xlfn.XLOOKUP(X15,'00_SKU_Master'!$B$2:$B$379,'00_SKU_Master'!$F$2:$F$379,0)*AB15,"")</f>
        <v>0</v>
      </c>
      <c r="H15" s="182">
        <f>_xlfn.IFNA(_xlfn.XLOOKUP(X15,'00_SKU_Master'!$B$2:$B$379,'00_SKU_Master'!$F$2:$F$379,0)*AC15,"")</f>
        <v>0</v>
      </c>
      <c r="I15" s="182">
        <f>_xlfn.IFNA(_xlfn.XLOOKUP(X15,'00_SKU_Master'!$B$2:$B$379,'00_SKU_Master'!$F$2:$F$379,0)*AD15,"")</f>
        <v>0</v>
      </c>
      <c r="J15" s="182">
        <f>_xlfn.IFNA(_xlfn.XLOOKUP(X15,'00_SKU_Master'!$B$2:$B$379,'00_SKU_Master'!$F$2:$F$379,0)*AE15,"")</f>
        <v>0</v>
      </c>
      <c r="K15" s="183">
        <f t="shared" si="3"/>
        <v>0</v>
      </c>
      <c r="L15" s="184" t="str">
        <f>_xlfn.XLOOKUP(X15,'00_SKU_Master'!$B$2:$B$379,'00_SKU_Master'!$K$2:$K$379)</f>
        <v>Fast</v>
      </c>
      <c r="M15" s="185">
        <f t="shared" si="0"/>
        <v>1839</v>
      </c>
      <c r="N15" s="186">
        <f>IFERROR(D15/_xlfn.XLOOKUP($M15,'00_SKU_Master'!$B$2:$B$379,'00_SKU_Master'!$M$2:$M$379,0),"0")</f>
        <v>0</v>
      </c>
      <c r="O15" s="186">
        <f>IFERROR(E15/_xlfn.XLOOKUP($M15,'00_SKU_Master'!$B$2:$B$379,'00_SKU_Master'!$M$2:$M$379,0),"0")</f>
        <v>0</v>
      </c>
      <c r="P15" s="186">
        <f>IFERROR(F15/_xlfn.XLOOKUP($M15,'00_SKU_Master'!$B$2:$B$379,'00_SKU_Master'!$M$2:$M$379,0),"0")</f>
        <v>0</v>
      </c>
      <c r="Q15" s="186">
        <f>IFERROR(G15/_xlfn.XLOOKUP($M15,'00_SKU_Master'!$B$2:$B$379,'00_SKU_Master'!$M$2:$M$379,0),"0")</f>
        <v>0</v>
      </c>
      <c r="R15" s="186">
        <f>IFERROR(H15/_xlfn.XLOOKUP($M15,'00_SKU_Master'!$B$2:$B$379,'00_SKU_Master'!$M$2:$M$379,0),"0")</f>
        <v>0</v>
      </c>
      <c r="S15" s="186">
        <f>IFERROR(I15/_xlfn.XLOOKUP($M15,'00_SKU_Master'!$B$2:$B$379,'00_SKU_Master'!$M$2:$M$379,0),"0")</f>
        <v>0</v>
      </c>
      <c r="T15" s="186">
        <f>IFERROR(J15/_xlfn.XLOOKUP($M15,'00_SKU_Master'!$B$2:$B$379,'00_SKU_Master'!$M$2:$M$379,0),"0")</f>
        <v>0</v>
      </c>
      <c r="U15" s="186">
        <f t="shared" si="1"/>
        <v>0</v>
      </c>
      <c r="V15" s="186" t="str">
        <f>_xlfn.XLOOKUP(M15,'00_SKU_Master'!$B$2:$B$379,'00_SKU_Master'!$D$2:$D$379)</f>
        <v>FB</v>
      </c>
      <c r="W15" s="1"/>
      <c r="X15" s="2">
        <f>'05_Daily_Orders'!C16</f>
        <v>1839</v>
      </c>
      <c r="Y15" s="289"/>
      <c r="Z15" s="289">
        <v>0</v>
      </c>
      <c r="AA15" s="289">
        <v>0</v>
      </c>
      <c r="AB15" s="289">
        <v>0</v>
      </c>
      <c r="AC15" s="289">
        <v>0</v>
      </c>
      <c r="AD15" s="289">
        <v>0</v>
      </c>
      <c r="AE15" s="289">
        <v>0</v>
      </c>
      <c r="AF15" s="7">
        <f t="shared" si="2"/>
        <v>0</v>
      </c>
      <c r="AH15" s="2">
        <v>2112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Q15" s="70">
        <v>0</v>
      </c>
      <c r="AR15" s="70">
        <v>0</v>
      </c>
      <c r="AS15" s="3">
        <f t="shared" si="4"/>
        <v>0</v>
      </c>
    </row>
    <row r="16" spans="1:45" x14ac:dyDescent="0.35">
      <c r="A16" s="181">
        <f>_xlfn.XLOOKUP(X16,'00_SKU_Master'!$B$2:$B$379,'00_SKU_Master'!$C$2:$C$379)</f>
        <v>61040</v>
      </c>
      <c r="B16" s="181" t="str">
        <f>_xlfn.XLOOKUP(X16,tblSKU[SKU],tblSKU[Product_Group])</f>
        <v>SplitBreast</v>
      </c>
      <c r="C16" s="181" t="str">
        <f>_xlfn.XLOOKUP(X16,tblSKU[SKU],tblSKU[Tray_Type])</f>
        <v>ST 3D</v>
      </c>
      <c r="D16" s="182">
        <f>_xlfn.IFNA(_xlfn.XLOOKUP(X16,'00_SKU_Master'!$B$2:$B$379,'00_SKU_Master'!$F$2:$F$379,0)*Y16,"")</f>
        <v>0</v>
      </c>
      <c r="E16" s="182">
        <f>_xlfn.IFNA(_xlfn.XLOOKUP(X16,'00_SKU_Master'!$B$2:$B$379,'00_SKU_Master'!$F$2:$F$379,0)*Z16,"")</f>
        <v>0</v>
      </c>
      <c r="F16" s="182">
        <f>_xlfn.IFNA(_xlfn.XLOOKUP(X16,'00_SKU_Master'!$B$2:$B$379,'00_SKU_Master'!$F$2:$F$379,0)*AA16,"")</f>
        <v>0</v>
      </c>
      <c r="G16" s="182">
        <f>_xlfn.IFNA(_xlfn.XLOOKUP(X16,'00_SKU_Master'!$B$2:$B$379,'00_SKU_Master'!$F$2:$F$379,0)*AB16,"")</f>
        <v>0</v>
      </c>
      <c r="H16" s="182">
        <f>_xlfn.IFNA(_xlfn.XLOOKUP(X16,'00_SKU_Master'!$B$2:$B$379,'00_SKU_Master'!$F$2:$F$379,0)*AC16,"")</f>
        <v>0</v>
      </c>
      <c r="I16" s="182">
        <f>_xlfn.IFNA(_xlfn.XLOOKUP(X16,'00_SKU_Master'!$B$2:$B$379,'00_SKU_Master'!$F$2:$F$379,0)*AD16,"")</f>
        <v>0</v>
      </c>
      <c r="J16" s="182">
        <f>_xlfn.IFNA(_xlfn.XLOOKUP(X16,'00_SKU_Master'!$B$2:$B$379,'00_SKU_Master'!$F$2:$F$379,0)*AE16,"")</f>
        <v>0</v>
      </c>
      <c r="K16" s="183">
        <f t="shared" si="3"/>
        <v>0</v>
      </c>
      <c r="L16" s="184" t="str">
        <f>_xlfn.XLOOKUP(X16,'00_SKU_Master'!$B$2:$B$379,'00_SKU_Master'!$K$2:$K$379)</f>
        <v>Fast</v>
      </c>
      <c r="M16" s="185">
        <f t="shared" si="0"/>
        <v>1842</v>
      </c>
      <c r="N16" s="186">
        <f>IFERROR(D16/_xlfn.XLOOKUP($M16,'00_SKU_Master'!$B$2:$B$379,'00_SKU_Master'!$M$2:$M$379,0),"0")</f>
        <v>0</v>
      </c>
      <c r="O16" s="186">
        <f>IFERROR(E16/_xlfn.XLOOKUP($M16,'00_SKU_Master'!$B$2:$B$379,'00_SKU_Master'!$M$2:$M$379,0),"0")</f>
        <v>0</v>
      </c>
      <c r="P16" s="186">
        <f>IFERROR(F16/_xlfn.XLOOKUP($M16,'00_SKU_Master'!$B$2:$B$379,'00_SKU_Master'!$M$2:$M$379,0),"0")</f>
        <v>0</v>
      </c>
      <c r="Q16" s="186">
        <f>IFERROR(G16/_xlfn.XLOOKUP($M16,'00_SKU_Master'!$B$2:$B$379,'00_SKU_Master'!$M$2:$M$379,0),"0")</f>
        <v>0</v>
      </c>
      <c r="R16" s="186">
        <f>IFERROR(H16/_xlfn.XLOOKUP($M16,'00_SKU_Master'!$B$2:$B$379,'00_SKU_Master'!$M$2:$M$379,0),"0")</f>
        <v>0</v>
      </c>
      <c r="S16" s="186">
        <f>IFERROR(I16/_xlfn.XLOOKUP($M16,'00_SKU_Master'!$B$2:$B$379,'00_SKU_Master'!$M$2:$M$379,0),"0")</f>
        <v>0</v>
      </c>
      <c r="T16" s="186">
        <f>IFERROR(J16/_xlfn.XLOOKUP($M16,'00_SKU_Master'!$B$2:$B$379,'00_SKU_Master'!$M$2:$M$379,0),"0")</f>
        <v>0</v>
      </c>
      <c r="U16" s="186">
        <f t="shared" si="1"/>
        <v>0</v>
      </c>
      <c r="V16" s="186" t="str">
        <f>_xlfn.XLOOKUP(M16,'00_SKU_Master'!$B$2:$B$379,'00_SKU_Master'!$D$2:$D$379)</f>
        <v>FB</v>
      </c>
      <c r="W16" s="1"/>
      <c r="X16" s="2">
        <f>'05_Daily_Orders'!C17</f>
        <v>1842</v>
      </c>
      <c r="Y16" s="289"/>
      <c r="Z16" s="289">
        <v>0</v>
      </c>
      <c r="AA16" s="289">
        <v>0</v>
      </c>
      <c r="AB16" s="289">
        <v>0</v>
      </c>
      <c r="AC16" s="289">
        <v>0</v>
      </c>
      <c r="AD16" s="289">
        <v>0</v>
      </c>
      <c r="AE16" s="289">
        <v>0</v>
      </c>
      <c r="AF16" s="7">
        <f t="shared" si="2"/>
        <v>0</v>
      </c>
      <c r="AH16" s="2">
        <v>2513</v>
      </c>
      <c r="AI16" s="2">
        <v>0</v>
      </c>
      <c r="AJ16" s="2">
        <v>100</v>
      </c>
      <c r="AK16" s="2">
        <v>0</v>
      </c>
      <c r="AL16" s="2">
        <v>0</v>
      </c>
      <c r="AM16" s="2">
        <v>80</v>
      </c>
      <c r="AN16" s="2">
        <v>0</v>
      </c>
      <c r="AO16" s="2">
        <v>0</v>
      </c>
      <c r="AQ16" s="70">
        <v>0</v>
      </c>
      <c r="AR16" s="70">
        <v>0</v>
      </c>
      <c r="AS16" s="3">
        <f t="shared" si="4"/>
        <v>0</v>
      </c>
    </row>
    <row r="17" spans="1:45" x14ac:dyDescent="0.35">
      <c r="A17" s="181">
        <f>_xlfn.XLOOKUP(X17,'00_SKU_Master'!$B$2:$B$379,'00_SKU_Master'!$C$2:$C$379)</f>
        <v>61014</v>
      </c>
      <c r="B17" s="181" t="str">
        <f>_xlfn.XLOOKUP(X17,tblSKU[SKU],tblSKU[Product_Group])</f>
        <v>SplitWing</v>
      </c>
      <c r="C17" s="181" t="str">
        <f>_xlfn.XLOOKUP(X17,tblSKU[SKU],tblSKU[Tray_Type])</f>
        <v>ST 3D</v>
      </c>
      <c r="D17" s="182">
        <f>_xlfn.IFNA(_xlfn.XLOOKUP(X17,'00_SKU_Master'!$B$2:$B$379,'00_SKU_Master'!$F$2:$F$379,0)*Y17,"")</f>
        <v>0</v>
      </c>
      <c r="E17" s="182">
        <f>_xlfn.IFNA(_xlfn.XLOOKUP(X17,'00_SKU_Master'!$B$2:$B$379,'00_SKU_Master'!$F$2:$F$379,0)*Z17,"")</f>
        <v>0</v>
      </c>
      <c r="F17" s="182">
        <f>_xlfn.IFNA(_xlfn.XLOOKUP(X17,'00_SKU_Master'!$B$2:$B$379,'00_SKU_Master'!$F$2:$F$379,0)*AA17,"")</f>
        <v>0</v>
      </c>
      <c r="G17" s="182">
        <f>_xlfn.IFNA(_xlfn.XLOOKUP(X17,'00_SKU_Master'!$B$2:$B$379,'00_SKU_Master'!$F$2:$F$379,0)*AB17,"")</f>
        <v>0</v>
      </c>
      <c r="H17" s="182">
        <f>_xlfn.IFNA(_xlfn.XLOOKUP(X17,'00_SKU_Master'!$B$2:$B$379,'00_SKU_Master'!$F$2:$F$379,0)*AC17,"")</f>
        <v>0</v>
      </c>
      <c r="I17" s="182">
        <f>_xlfn.IFNA(_xlfn.XLOOKUP(X17,'00_SKU_Master'!$B$2:$B$379,'00_SKU_Master'!$F$2:$F$379,0)*AD17,"")</f>
        <v>0</v>
      </c>
      <c r="J17" s="182">
        <f>_xlfn.IFNA(_xlfn.XLOOKUP(X17,'00_SKU_Master'!$B$2:$B$379,'00_SKU_Master'!$F$2:$F$379,0)*AE17,"")</f>
        <v>0</v>
      </c>
      <c r="K17" s="183">
        <f t="shared" si="3"/>
        <v>0</v>
      </c>
      <c r="L17" s="184" t="str">
        <f>_xlfn.XLOOKUP(X17,'00_SKU_Master'!$B$2:$B$379,'00_SKU_Master'!$K$2:$K$379)</f>
        <v>Slow</v>
      </c>
      <c r="M17" s="185">
        <f t="shared" si="0"/>
        <v>1843</v>
      </c>
      <c r="N17" s="186">
        <f>IFERROR(D17/_xlfn.XLOOKUP($M17,'00_SKU_Master'!$B$2:$B$379,'00_SKU_Master'!$M$2:$M$379,0),"0")</f>
        <v>0</v>
      </c>
      <c r="O17" s="186">
        <f>IFERROR(E17/_xlfn.XLOOKUP($M17,'00_SKU_Master'!$B$2:$B$379,'00_SKU_Master'!$M$2:$M$379,0),"0")</f>
        <v>0</v>
      </c>
      <c r="P17" s="186">
        <f>IFERROR(F17/_xlfn.XLOOKUP($M17,'00_SKU_Master'!$B$2:$B$379,'00_SKU_Master'!$M$2:$M$379,0),"0")</f>
        <v>0</v>
      </c>
      <c r="Q17" s="186">
        <f>IFERROR(G17/_xlfn.XLOOKUP($M17,'00_SKU_Master'!$B$2:$B$379,'00_SKU_Master'!$M$2:$M$379,0),"0")</f>
        <v>0</v>
      </c>
      <c r="R17" s="186">
        <f>IFERROR(H17/_xlfn.XLOOKUP($M17,'00_SKU_Master'!$B$2:$B$379,'00_SKU_Master'!$M$2:$M$379,0),"0")</f>
        <v>0</v>
      </c>
      <c r="S17" s="186">
        <f>IFERROR(I17/_xlfn.XLOOKUP($M17,'00_SKU_Master'!$B$2:$B$379,'00_SKU_Master'!$M$2:$M$379,0),"0")</f>
        <v>0</v>
      </c>
      <c r="T17" s="186">
        <f>IFERROR(J17/_xlfn.XLOOKUP($M17,'00_SKU_Master'!$B$2:$B$379,'00_SKU_Master'!$M$2:$M$379,0),"0")</f>
        <v>0</v>
      </c>
      <c r="U17" s="186">
        <f t="shared" si="1"/>
        <v>0</v>
      </c>
      <c r="V17" s="186" t="str">
        <f>_xlfn.XLOOKUP(M17,'00_SKU_Master'!$B$2:$B$379,'00_SKU_Master'!$D$2:$D$379)</f>
        <v>FB</v>
      </c>
      <c r="W17" s="1"/>
      <c r="X17" s="2">
        <f>'05_Daily_Orders'!C18</f>
        <v>1843</v>
      </c>
      <c r="Y17" s="289"/>
      <c r="Z17" s="289">
        <v>0</v>
      </c>
      <c r="AA17" s="289">
        <v>0</v>
      </c>
      <c r="AB17" s="289">
        <v>0</v>
      </c>
      <c r="AC17" s="289">
        <v>0</v>
      </c>
      <c r="AD17" s="289">
        <v>0</v>
      </c>
      <c r="AE17" s="289">
        <v>0</v>
      </c>
      <c r="AF17" s="7">
        <f t="shared" si="2"/>
        <v>0</v>
      </c>
      <c r="AH17" s="2">
        <v>7011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Q17" s="70">
        <v>0</v>
      </c>
      <c r="AR17" s="70">
        <v>0</v>
      </c>
      <c r="AS17" s="3">
        <f t="shared" si="4"/>
        <v>0</v>
      </c>
    </row>
    <row r="18" spans="1:45" x14ac:dyDescent="0.35">
      <c r="A18" s="181">
        <f>_xlfn.XLOOKUP(X18,'00_SKU_Master'!$B$2:$B$379,'00_SKU_Master'!$C$2:$C$379)</f>
        <v>61050</v>
      </c>
      <c r="B18" s="181" t="str">
        <f>_xlfn.XLOOKUP(X18,tblSKU[SKU],tblSKU[Product_Group])</f>
        <v>BSB</v>
      </c>
      <c r="C18" s="181" t="str">
        <f>_xlfn.XLOOKUP(X18,tblSKU[SKU],tblSKU[Tray_Type])</f>
        <v>ST 3D</v>
      </c>
      <c r="D18" s="182">
        <f>_xlfn.IFNA(_xlfn.XLOOKUP(X18,'00_SKU_Master'!$B$2:$B$379,'00_SKU_Master'!$F$2:$F$379,0)*Y18,"")</f>
        <v>0</v>
      </c>
      <c r="E18" s="182">
        <f>_xlfn.IFNA(_xlfn.XLOOKUP(X18,'00_SKU_Master'!$B$2:$B$379,'00_SKU_Master'!$F$2:$F$379,0)*Z18,"")</f>
        <v>0</v>
      </c>
      <c r="F18" s="182">
        <f>_xlfn.IFNA(_xlfn.XLOOKUP(X18,'00_SKU_Master'!$B$2:$B$379,'00_SKU_Master'!$F$2:$F$379,0)*AA18,"")</f>
        <v>0</v>
      </c>
      <c r="G18" s="182">
        <f>_xlfn.IFNA(_xlfn.XLOOKUP(X18,'00_SKU_Master'!$B$2:$B$379,'00_SKU_Master'!$F$2:$F$379,0)*AB18,"")</f>
        <v>0</v>
      </c>
      <c r="H18" s="182">
        <f>_xlfn.IFNA(_xlfn.XLOOKUP(X18,'00_SKU_Master'!$B$2:$B$379,'00_SKU_Master'!$F$2:$F$379,0)*AC18,"")</f>
        <v>0</v>
      </c>
      <c r="I18" s="182">
        <f>_xlfn.IFNA(_xlfn.XLOOKUP(X18,'00_SKU_Master'!$B$2:$B$379,'00_SKU_Master'!$F$2:$F$379,0)*AD18,"")</f>
        <v>0</v>
      </c>
      <c r="J18" s="182">
        <f>_xlfn.IFNA(_xlfn.XLOOKUP(X18,'00_SKU_Master'!$B$2:$B$379,'00_SKU_Master'!$F$2:$F$379,0)*AE18,"")</f>
        <v>0</v>
      </c>
      <c r="K18" s="183">
        <f t="shared" si="3"/>
        <v>0</v>
      </c>
      <c r="L18" s="184" t="str">
        <f>_xlfn.XLOOKUP(X18,'00_SKU_Master'!$B$2:$B$379,'00_SKU_Master'!$K$2:$K$379)</f>
        <v>Fast</v>
      </c>
      <c r="M18" s="185">
        <f t="shared" si="0"/>
        <v>1874</v>
      </c>
      <c r="N18" s="186">
        <f>IFERROR(D18/_xlfn.XLOOKUP($M18,'00_SKU_Master'!$B$2:$B$379,'00_SKU_Master'!$M$2:$M$379,0),"0")</f>
        <v>0</v>
      </c>
      <c r="O18" s="186">
        <f>IFERROR(E18/_xlfn.XLOOKUP($M18,'00_SKU_Master'!$B$2:$B$379,'00_SKU_Master'!$M$2:$M$379,0),"0")</f>
        <v>0</v>
      </c>
      <c r="P18" s="186">
        <f>IFERROR(F18/_xlfn.XLOOKUP($M18,'00_SKU_Master'!$B$2:$B$379,'00_SKU_Master'!$M$2:$M$379,0),"0")</f>
        <v>0</v>
      </c>
      <c r="Q18" s="186">
        <f>IFERROR(G18/_xlfn.XLOOKUP($M18,'00_SKU_Master'!$B$2:$B$379,'00_SKU_Master'!$M$2:$M$379,0),"0")</f>
        <v>0</v>
      </c>
      <c r="R18" s="186">
        <f>IFERROR(H18/_xlfn.XLOOKUP($M18,'00_SKU_Master'!$B$2:$B$379,'00_SKU_Master'!$M$2:$M$379,0),"0")</f>
        <v>0</v>
      </c>
      <c r="S18" s="186">
        <f>IFERROR(I18/_xlfn.XLOOKUP($M18,'00_SKU_Master'!$B$2:$B$379,'00_SKU_Master'!$M$2:$M$379,0),"0")</f>
        <v>0</v>
      </c>
      <c r="T18" s="186">
        <f>IFERROR(J18/_xlfn.XLOOKUP($M18,'00_SKU_Master'!$B$2:$B$379,'00_SKU_Master'!$M$2:$M$379,0),"0")</f>
        <v>0</v>
      </c>
      <c r="U18" s="186">
        <f t="shared" si="1"/>
        <v>0</v>
      </c>
      <c r="V18" s="186" t="str">
        <f>_xlfn.XLOOKUP(M18,'00_SKU_Master'!$B$2:$B$379,'00_SKU_Master'!$D$2:$D$379)</f>
        <v>FB</v>
      </c>
      <c r="W18" s="1"/>
      <c r="X18" s="2">
        <f>'05_Daily_Orders'!C19</f>
        <v>1874</v>
      </c>
      <c r="Y18" s="289"/>
      <c r="Z18" s="289">
        <v>0</v>
      </c>
      <c r="AA18" s="289">
        <v>0</v>
      </c>
      <c r="AB18" s="289">
        <v>0</v>
      </c>
      <c r="AC18" s="289">
        <v>0</v>
      </c>
      <c r="AD18" s="289">
        <v>0</v>
      </c>
      <c r="AE18" s="289">
        <v>0</v>
      </c>
      <c r="AF18" s="7">
        <f t="shared" si="2"/>
        <v>0</v>
      </c>
      <c r="AH18" s="2">
        <v>7170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Q18" s="70">
        <v>0</v>
      </c>
      <c r="AR18" s="70">
        <v>0</v>
      </c>
      <c r="AS18" s="3">
        <f t="shared" si="4"/>
        <v>0</v>
      </c>
    </row>
    <row r="19" spans="1:45" x14ac:dyDescent="0.35">
      <c r="A19" s="181" t="str">
        <f>_xlfn.XLOOKUP(X19,'00_SKU_Master'!$B$2:$B$379,'00_SKU_Master'!$C$2:$C$379)</f>
        <v>61072#2</v>
      </c>
      <c r="B19" s="181" t="str">
        <f>_xlfn.XLOOKUP(X19,tblSKU[SKU],tblSKU[Product_Group])</f>
        <v>Drum</v>
      </c>
      <c r="C19" s="181" t="str">
        <f>_xlfn.XLOOKUP(X19,tblSKU[SKU],tblSKU[Tray_Type])</f>
        <v>LT 14D</v>
      </c>
      <c r="D19" s="182">
        <f>_xlfn.IFNA(_xlfn.XLOOKUP(X19,'00_SKU_Master'!$B$2:$B$379,'00_SKU_Master'!$F$2:$F$379,0)*Y19,"")</f>
        <v>0</v>
      </c>
      <c r="E19" s="182">
        <f>_xlfn.IFNA(_xlfn.XLOOKUP(X19,'00_SKU_Master'!$B$2:$B$379,'00_SKU_Master'!$F$2:$F$379,0)*Z19,"")</f>
        <v>0</v>
      </c>
      <c r="F19" s="182">
        <f>_xlfn.IFNA(_xlfn.XLOOKUP(X19,'00_SKU_Master'!$B$2:$B$379,'00_SKU_Master'!$F$2:$F$379,0)*AA19,"")</f>
        <v>818.05712583708953</v>
      </c>
      <c r="G19" s="182">
        <f>_xlfn.IFNA(_xlfn.XLOOKUP(X19,'00_SKU_Master'!$B$2:$B$379,'00_SKU_Master'!$F$2:$F$379,0)*AB19,"")</f>
        <v>828.68124435445429</v>
      </c>
      <c r="H19" s="182">
        <f>_xlfn.IFNA(_xlfn.XLOOKUP(X19,'00_SKU_Master'!$B$2:$B$379,'00_SKU_Master'!$F$2:$F$379,0)*AC19,"")</f>
        <v>1434.255999844248</v>
      </c>
      <c r="I19" s="182">
        <f>_xlfn.IFNA(_xlfn.XLOOKUP(X19,'00_SKU_Master'!$B$2:$B$379,'00_SKU_Master'!$F$2:$F$379,0)*AD19,"")</f>
        <v>0</v>
      </c>
      <c r="J19" s="182">
        <f>_xlfn.IFNA(_xlfn.XLOOKUP(X19,'00_SKU_Master'!$B$2:$B$379,'00_SKU_Master'!$F$2:$F$379,0)*AE19,"")</f>
        <v>1274.894222083776</v>
      </c>
      <c r="K19" s="183">
        <f t="shared" si="3"/>
        <v>4355.8885921195679</v>
      </c>
      <c r="L19" s="184" t="str">
        <f>_xlfn.XLOOKUP(X19,'00_SKU_Master'!$B$2:$B$379,'00_SKU_Master'!$K$2:$K$379)</f>
        <v>Fast</v>
      </c>
      <c r="M19" s="185">
        <f t="shared" si="0"/>
        <v>1876</v>
      </c>
      <c r="N19" s="186">
        <f>IFERROR(D19/_xlfn.XLOOKUP($M19,'00_SKU_Master'!$B$2:$B$379,'00_SKU_Master'!$M$2:$M$379,0),"0")</f>
        <v>0</v>
      </c>
      <c r="O19" s="186">
        <f>IFERROR(E19/_xlfn.XLOOKUP($M19,'00_SKU_Master'!$B$2:$B$379,'00_SKU_Master'!$M$2:$M$379,0),"0")</f>
        <v>0</v>
      </c>
      <c r="P19" s="186">
        <f>IFERROR(F19/_xlfn.XLOOKUP($M19,'00_SKU_Master'!$B$2:$B$379,'00_SKU_Master'!$M$2:$M$379,0),"0")</f>
        <v>11.247863685371779</v>
      </c>
      <c r="Q19" s="186">
        <f>IFERROR(G19/_xlfn.XLOOKUP($M19,'00_SKU_Master'!$B$2:$B$379,'00_SKU_Master'!$M$2:$M$379,0),"0")</f>
        <v>11.393939837129853</v>
      </c>
      <c r="R19" s="186">
        <f>IFERROR(H19/_xlfn.XLOOKUP($M19,'00_SKU_Master'!$B$2:$B$379,'00_SKU_Master'!$M$2:$M$379,0),"0")</f>
        <v>19.720280487340133</v>
      </c>
      <c r="S19" s="186">
        <f>IFERROR(I19/_xlfn.XLOOKUP($M19,'00_SKU_Master'!$B$2:$B$379,'00_SKU_Master'!$M$2:$M$379,0),"0")</f>
        <v>0</v>
      </c>
      <c r="T19" s="186">
        <f>IFERROR(J19/_xlfn.XLOOKUP($M19,'00_SKU_Master'!$B$2:$B$379,'00_SKU_Master'!$M$2:$M$379,0),"0")</f>
        <v>17.529138210969005</v>
      </c>
      <c r="U19" s="186">
        <f t="shared" si="1"/>
        <v>59.891222220810775</v>
      </c>
      <c r="V19" s="186" t="str">
        <f>_xlfn.XLOOKUP(M19,'00_SKU_Master'!$B$2:$B$379,'00_SKU_Master'!$D$2:$D$379)</f>
        <v>FB</v>
      </c>
      <c r="W19" s="1"/>
      <c r="X19" s="2">
        <f>'05_Daily_Orders'!C20</f>
        <v>1876</v>
      </c>
      <c r="Y19" s="289"/>
      <c r="Z19" s="289">
        <v>0</v>
      </c>
      <c r="AA19" s="289">
        <v>77</v>
      </c>
      <c r="AB19" s="289">
        <v>78</v>
      </c>
      <c r="AC19" s="289">
        <v>135</v>
      </c>
      <c r="AD19" s="289">
        <v>0</v>
      </c>
      <c r="AE19" s="289">
        <v>120</v>
      </c>
      <c r="AF19" s="7">
        <f t="shared" si="2"/>
        <v>410</v>
      </c>
      <c r="AH19" s="2">
        <v>7176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Q19" s="70">
        <v>0</v>
      </c>
      <c r="AR19" s="70">
        <v>0</v>
      </c>
      <c r="AS19" s="3">
        <f t="shared" si="4"/>
        <v>0</v>
      </c>
    </row>
    <row r="20" spans="1:45" x14ac:dyDescent="0.35">
      <c r="A20" s="181">
        <f>_xlfn.XLOOKUP(X20,'00_SKU_Master'!$B$2:$B$379,'00_SKU_Master'!$C$2:$C$379)</f>
        <v>61082</v>
      </c>
      <c r="B20" s="181" t="str">
        <f>_xlfn.XLOOKUP(X20,tblSKU[SKU],tblSKU[Product_Group])</f>
        <v>Thigh</v>
      </c>
      <c r="C20" s="181" t="str">
        <f>_xlfn.XLOOKUP(X20,tblSKU[SKU],tblSKU[Tray_Type])</f>
        <v>LT 14D</v>
      </c>
      <c r="D20" s="182">
        <f>_xlfn.IFNA(_xlfn.XLOOKUP(X20,'00_SKU_Master'!$B$2:$B$379,'00_SKU_Master'!$F$2:$F$379,0)*Y20,"")</f>
        <v>0</v>
      </c>
      <c r="E20" s="182">
        <f>_xlfn.IFNA(_xlfn.XLOOKUP(X20,'00_SKU_Master'!$B$2:$B$379,'00_SKU_Master'!$F$2:$F$379,0)*Z20,"")</f>
        <v>1143.8137034478425</v>
      </c>
      <c r="F20" s="182">
        <f>_xlfn.IFNA(_xlfn.XLOOKUP(X20,'00_SKU_Master'!$B$2:$B$379,'00_SKU_Master'!$F$2:$F$379,0)*AA20,"")</f>
        <v>1007.0533693399483</v>
      </c>
      <c r="G20" s="182">
        <f>_xlfn.IFNA(_xlfn.XLOOKUP(X20,'00_SKU_Master'!$B$2:$B$379,'00_SKU_Master'!$F$2:$F$379,0)*AB20,"")</f>
        <v>1442.1998869559752</v>
      </c>
      <c r="H20" s="182">
        <f>_xlfn.IFNA(_xlfn.XLOOKUP(X20,'00_SKU_Master'!$B$2:$B$379,'00_SKU_Master'!$F$2:$F$379,0)*AC20,"")</f>
        <v>2051.405011618413</v>
      </c>
      <c r="I20" s="182">
        <f>_xlfn.IFNA(_xlfn.XLOOKUP(X20,'00_SKU_Master'!$B$2:$B$379,'00_SKU_Master'!$F$2:$F$379,0)*AD20,"")</f>
        <v>0</v>
      </c>
      <c r="J20" s="182">
        <f>_xlfn.IFNA(_xlfn.XLOOKUP(X20,'00_SKU_Master'!$B$2:$B$379,'00_SKU_Master'!$F$2:$F$379,0)*AE20,"")</f>
        <v>1852.480889279658</v>
      </c>
      <c r="K20" s="183">
        <f t="shared" si="3"/>
        <v>7496.9528606418371</v>
      </c>
      <c r="L20" s="184" t="str">
        <f>_xlfn.XLOOKUP(X20,'00_SKU_Master'!$B$2:$B$379,'00_SKU_Master'!$K$2:$K$379)</f>
        <v>Fast</v>
      </c>
      <c r="M20" s="185">
        <f t="shared" si="0"/>
        <v>1877</v>
      </c>
      <c r="N20" s="186">
        <f>IFERROR(D20/_xlfn.XLOOKUP($M20,'00_SKU_Master'!$B$2:$B$379,'00_SKU_Master'!$M$2:$M$379,0),"0")</f>
        <v>0</v>
      </c>
      <c r="O20" s="186">
        <f>IFERROR(E20/_xlfn.XLOOKUP($M20,'00_SKU_Master'!$B$2:$B$379,'00_SKU_Master'!$M$2:$M$379,0),"0")</f>
        <v>19.986260762674167</v>
      </c>
      <c r="P20" s="186">
        <f>IFERROR(F20/_xlfn.XLOOKUP($M20,'00_SKU_Master'!$B$2:$B$379,'00_SKU_Master'!$M$2:$M$379,0),"0")</f>
        <v>17.596599149745735</v>
      </c>
      <c r="Q20" s="186">
        <f>IFERROR(G20/_xlfn.XLOOKUP($M20,'00_SKU_Master'!$B$2:$B$379,'00_SKU_Master'!$M$2:$M$379,0),"0")</f>
        <v>25.200067918154382</v>
      </c>
      <c r="R20" s="186">
        <f>IFERROR(H20/_xlfn.XLOOKUP($M20,'00_SKU_Master'!$B$2:$B$379,'00_SKU_Master'!$M$2:$M$379,0),"0")</f>
        <v>35.844924193926495</v>
      </c>
      <c r="S20" s="186">
        <f>IFERROR(I20/_xlfn.XLOOKUP($M20,'00_SKU_Master'!$B$2:$B$379,'00_SKU_Master'!$M$2:$M$379,0),"0")</f>
        <v>0</v>
      </c>
      <c r="T20" s="186">
        <f>IFERROR(J20/_xlfn.XLOOKUP($M20,'00_SKU_Master'!$B$2:$B$379,'00_SKU_Master'!$M$2:$M$379,0),"0")</f>
        <v>32.369052756939681</v>
      </c>
      <c r="U20" s="186">
        <f t="shared" si="1"/>
        <v>130.99690478144046</v>
      </c>
      <c r="V20" s="186" t="str">
        <f>_xlfn.XLOOKUP(M20,'00_SKU_Master'!$B$2:$B$379,'00_SKU_Master'!$D$2:$D$379)</f>
        <v>FB</v>
      </c>
      <c r="W20" s="1"/>
      <c r="X20" s="2">
        <f>'05_Daily_Orders'!C21</f>
        <v>1877</v>
      </c>
      <c r="Y20" s="289"/>
      <c r="Z20" s="289">
        <v>92</v>
      </c>
      <c r="AA20" s="289">
        <v>81</v>
      </c>
      <c r="AB20" s="289">
        <v>116</v>
      </c>
      <c r="AC20" s="289">
        <v>165</v>
      </c>
      <c r="AD20" s="289">
        <v>0</v>
      </c>
      <c r="AE20" s="289">
        <v>149</v>
      </c>
      <c r="AF20" s="7">
        <f t="shared" si="2"/>
        <v>603</v>
      </c>
      <c r="AH20" s="2"/>
      <c r="AI20" s="2"/>
      <c r="AJ20" s="2"/>
      <c r="AK20" s="2"/>
      <c r="AL20" s="2"/>
      <c r="AM20" s="2"/>
      <c r="AN20" s="2"/>
      <c r="AO20" s="2"/>
      <c r="AQ20" s="70">
        <v>0</v>
      </c>
      <c r="AR20" s="70">
        <v>92</v>
      </c>
      <c r="AS20" s="3">
        <f t="shared" si="4"/>
        <v>92</v>
      </c>
    </row>
    <row r="21" spans="1:45" x14ac:dyDescent="0.35">
      <c r="A21" s="181" t="str">
        <f>_xlfn.XLOOKUP(X21,'00_SKU_Master'!$B$2:$B$379,'00_SKU_Master'!$C$2:$C$379)</f>
        <v>61040#2</v>
      </c>
      <c r="B21" s="181" t="str">
        <f>_xlfn.XLOOKUP(X21,tblSKU[SKU],tblSKU[Product_Group])</f>
        <v>SplitBreast</v>
      </c>
      <c r="C21" s="181" t="str">
        <f>_xlfn.XLOOKUP(X21,tblSKU[SKU],tblSKU[Tray_Type])</f>
        <v>LT 14D</v>
      </c>
      <c r="D21" s="182">
        <f>_xlfn.IFNA(_xlfn.XLOOKUP(X21,'00_SKU_Master'!$B$2:$B$379,'00_SKU_Master'!$F$2:$F$379,0)*Y21,"")</f>
        <v>0</v>
      </c>
      <c r="E21" s="182">
        <f>_xlfn.IFNA(_xlfn.XLOOKUP(X21,'00_SKU_Master'!$B$2:$B$379,'00_SKU_Master'!$F$2:$F$379,0)*Z21,"")</f>
        <v>0</v>
      </c>
      <c r="F21" s="182">
        <f>_xlfn.IFNA(_xlfn.XLOOKUP(X21,'00_SKU_Master'!$B$2:$B$379,'00_SKU_Master'!$F$2:$F$379,0)*AA21,"")</f>
        <v>0</v>
      </c>
      <c r="G21" s="182">
        <f>_xlfn.IFNA(_xlfn.XLOOKUP(X21,'00_SKU_Master'!$B$2:$B$379,'00_SKU_Master'!$F$2:$F$379,0)*AB21,"")</f>
        <v>0</v>
      </c>
      <c r="H21" s="182">
        <f>_xlfn.IFNA(_xlfn.XLOOKUP(X21,'00_SKU_Master'!$B$2:$B$379,'00_SKU_Master'!$F$2:$F$379,0)*AC21,"")</f>
        <v>0</v>
      </c>
      <c r="I21" s="182">
        <f>_xlfn.IFNA(_xlfn.XLOOKUP(X21,'00_SKU_Master'!$B$2:$B$379,'00_SKU_Master'!$F$2:$F$379,0)*AD21,"")</f>
        <v>0</v>
      </c>
      <c r="J21" s="182">
        <f>_xlfn.IFNA(_xlfn.XLOOKUP(X21,'00_SKU_Master'!$B$2:$B$379,'00_SKU_Master'!$F$2:$F$379,0)*AE21,"")</f>
        <v>0</v>
      </c>
      <c r="K21" s="183">
        <f t="shared" si="3"/>
        <v>0</v>
      </c>
      <c r="L21" s="184" t="str">
        <f>_xlfn.XLOOKUP(X21,'00_SKU_Master'!$B$2:$B$379,'00_SKU_Master'!$K$2:$K$379)</f>
        <v>Fast</v>
      </c>
      <c r="M21" s="185">
        <f t="shared" si="0"/>
        <v>1878</v>
      </c>
      <c r="N21" s="186">
        <f>IFERROR(D21/_xlfn.XLOOKUP($M21,'00_SKU_Master'!$B$2:$B$379,'00_SKU_Master'!$M$2:$M$379,0),"0")</f>
        <v>0</v>
      </c>
      <c r="O21" s="186">
        <f>IFERROR(E21/_xlfn.XLOOKUP($M21,'00_SKU_Master'!$B$2:$B$379,'00_SKU_Master'!$M$2:$M$379,0),"0")</f>
        <v>0</v>
      </c>
      <c r="P21" s="186">
        <f>IFERROR(F21/_xlfn.XLOOKUP($M21,'00_SKU_Master'!$B$2:$B$379,'00_SKU_Master'!$M$2:$M$379,0),"0")</f>
        <v>0</v>
      </c>
      <c r="Q21" s="186">
        <f>IFERROR(G21/_xlfn.XLOOKUP($M21,'00_SKU_Master'!$B$2:$B$379,'00_SKU_Master'!$M$2:$M$379,0),"0")</f>
        <v>0</v>
      </c>
      <c r="R21" s="186">
        <f>IFERROR(H21/_xlfn.XLOOKUP($M21,'00_SKU_Master'!$B$2:$B$379,'00_SKU_Master'!$M$2:$M$379,0),"0")</f>
        <v>0</v>
      </c>
      <c r="S21" s="186">
        <f>IFERROR(I21/_xlfn.XLOOKUP($M21,'00_SKU_Master'!$B$2:$B$379,'00_SKU_Master'!$M$2:$M$379,0),"0")</f>
        <v>0</v>
      </c>
      <c r="T21" s="186">
        <f>IFERROR(J21/_xlfn.XLOOKUP($M21,'00_SKU_Master'!$B$2:$B$379,'00_SKU_Master'!$M$2:$M$379,0),"0")</f>
        <v>0</v>
      </c>
      <c r="U21" s="186">
        <f t="shared" si="1"/>
        <v>0</v>
      </c>
      <c r="V21" s="186" t="str">
        <f>_xlfn.XLOOKUP(M21,'00_SKU_Master'!$B$2:$B$379,'00_SKU_Master'!$D$2:$D$379)</f>
        <v>FB</v>
      </c>
      <c r="W21" s="1"/>
      <c r="X21" s="2">
        <f>'05_Daily_Orders'!C22</f>
        <v>1878</v>
      </c>
      <c r="Y21" s="289"/>
      <c r="Z21" s="289">
        <v>-1</v>
      </c>
      <c r="AA21" s="289">
        <v>50</v>
      </c>
      <c r="AB21" s="289">
        <v>67</v>
      </c>
      <c r="AC21" s="289">
        <v>89</v>
      </c>
      <c r="AD21" s="289">
        <v>0</v>
      </c>
      <c r="AE21" s="289">
        <v>0</v>
      </c>
      <c r="AF21" s="7">
        <f t="shared" si="2"/>
        <v>205</v>
      </c>
      <c r="AH21" s="3"/>
      <c r="AI21" s="3"/>
      <c r="AJ21" s="3"/>
      <c r="AK21" s="3"/>
      <c r="AL21" s="3"/>
      <c r="AM21" s="3"/>
      <c r="AN21" s="3"/>
      <c r="AO21" s="3"/>
      <c r="AQ21" s="70">
        <v>1</v>
      </c>
      <c r="AR21" s="70">
        <v>0</v>
      </c>
      <c r="AS21" s="3">
        <f t="shared" si="4"/>
        <v>-1</v>
      </c>
    </row>
    <row r="22" spans="1:45" x14ac:dyDescent="0.35">
      <c r="A22" s="181" t="str">
        <f>_xlfn.XLOOKUP(X22,'00_SKU_Master'!$B$2:$B$379,'00_SKU_Master'!$C$2:$C$379)</f>
        <v>61050#2</v>
      </c>
      <c r="B22" s="181" t="str">
        <f>_xlfn.XLOOKUP(X22,tblSKU[SKU],tblSKU[Product_Group])</f>
        <v>BSB</v>
      </c>
      <c r="C22" s="181" t="str">
        <f>_xlfn.XLOOKUP(X22,tblSKU[SKU],tblSKU[Tray_Type])</f>
        <v>ST 2HP</v>
      </c>
      <c r="D22" s="182">
        <f>_xlfn.IFNA(_xlfn.XLOOKUP(X22,'00_SKU_Master'!$B$2:$B$379,'00_SKU_Master'!$F$2:$F$379,0)*Y22,"")</f>
        <v>0</v>
      </c>
      <c r="E22" s="182">
        <f>_xlfn.IFNA(_xlfn.XLOOKUP(X22,'00_SKU_Master'!$B$2:$B$379,'00_SKU_Master'!$F$2:$F$379,0)*Z22,"")</f>
        <v>0</v>
      </c>
      <c r="F22" s="182">
        <f>_xlfn.IFNA(_xlfn.XLOOKUP(X22,'00_SKU_Master'!$B$2:$B$379,'00_SKU_Master'!$F$2:$F$379,0)*AA22,"")</f>
        <v>0</v>
      </c>
      <c r="G22" s="182">
        <f>_xlfn.IFNA(_xlfn.XLOOKUP(X22,'00_SKU_Master'!$B$2:$B$379,'00_SKU_Master'!$F$2:$F$379,0)*AB22,"")</f>
        <v>0</v>
      </c>
      <c r="H22" s="182">
        <f>_xlfn.IFNA(_xlfn.XLOOKUP(X22,'00_SKU_Master'!$B$2:$B$379,'00_SKU_Master'!$F$2:$F$379,0)*AC22,"")</f>
        <v>0</v>
      </c>
      <c r="I22" s="182">
        <f>_xlfn.IFNA(_xlfn.XLOOKUP(X22,'00_SKU_Master'!$B$2:$B$379,'00_SKU_Master'!$F$2:$F$379,0)*AD22,"")</f>
        <v>0</v>
      </c>
      <c r="J22" s="182">
        <f>_xlfn.IFNA(_xlfn.XLOOKUP(X22,'00_SKU_Master'!$B$2:$B$379,'00_SKU_Master'!$F$2:$F$379,0)*AE22,"")</f>
        <v>0</v>
      </c>
      <c r="K22" s="183">
        <f t="shared" si="3"/>
        <v>0</v>
      </c>
      <c r="L22" s="184" t="str">
        <f>_xlfn.XLOOKUP(X22,'00_SKU_Master'!$B$2:$B$379,'00_SKU_Master'!$K$2:$K$379)</f>
        <v>Fast</v>
      </c>
      <c r="M22" s="185">
        <f t="shared" si="0"/>
        <v>1881</v>
      </c>
      <c r="N22" s="186">
        <f>IFERROR(D22/_xlfn.XLOOKUP($M22,'00_SKU_Master'!$B$2:$B$379,'00_SKU_Master'!$M$2:$M$379,0),"0")</f>
        <v>0</v>
      </c>
      <c r="O22" s="186">
        <f>IFERROR(E22/_xlfn.XLOOKUP($M22,'00_SKU_Master'!$B$2:$B$379,'00_SKU_Master'!$M$2:$M$379,0),"0")</f>
        <v>0</v>
      </c>
      <c r="P22" s="186">
        <f>IFERROR(F22/_xlfn.XLOOKUP($M22,'00_SKU_Master'!$B$2:$B$379,'00_SKU_Master'!$M$2:$M$379,0),"0")</f>
        <v>0</v>
      </c>
      <c r="Q22" s="186">
        <f>IFERROR(G22/_xlfn.XLOOKUP($M22,'00_SKU_Master'!$B$2:$B$379,'00_SKU_Master'!$M$2:$M$379,0),"0")</f>
        <v>0</v>
      </c>
      <c r="R22" s="186">
        <f>IFERROR(H22/_xlfn.XLOOKUP($M22,'00_SKU_Master'!$B$2:$B$379,'00_SKU_Master'!$M$2:$M$379,0),"0")</f>
        <v>0</v>
      </c>
      <c r="S22" s="186">
        <f>IFERROR(I22/_xlfn.XLOOKUP($M22,'00_SKU_Master'!$B$2:$B$379,'00_SKU_Master'!$M$2:$M$379,0),"0")</f>
        <v>0</v>
      </c>
      <c r="T22" s="186">
        <f>IFERROR(J22/_xlfn.XLOOKUP($M22,'00_SKU_Master'!$B$2:$B$379,'00_SKU_Master'!$M$2:$M$379,0),"0")</f>
        <v>0</v>
      </c>
      <c r="U22" s="186">
        <f t="shared" si="1"/>
        <v>0</v>
      </c>
      <c r="V22" s="186" t="str">
        <f>_xlfn.XLOOKUP(M22,'00_SKU_Master'!$B$2:$B$379,'00_SKU_Master'!$D$2:$D$379)</f>
        <v>FB</v>
      </c>
      <c r="W22" s="1"/>
      <c r="X22" s="2">
        <f>'05_Daily_Orders'!C23</f>
        <v>1881</v>
      </c>
      <c r="Y22" s="289"/>
      <c r="Z22" s="289">
        <v>0</v>
      </c>
      <c r="AA22" s="289">
        <v>0</v>
      </c>
      <c r="AB22" s="289">
        <v>0</v>
      </c>
      <c r="AC22" s="289">
        <v>0</v>
      </c>
      <c r="AD22" s="289">
        <v>0</v>
      </c>
      <c r="AE22" s="289">
        <v>0</v>
      </c>
      <c r="AF22" s="7">
        <f t="shared" si="2"/>
        <v>0</v>
      </c>
      <c r="AH22" s="3"/>
      <c r="AI22" s="3"/>
      <c r="AJ22" s="3"/>
      <c r="AK22" s="3"/>
      <c r="AL22" s="3"/>
      <c r="AM22" s="3"/>
      <c r="AN22" s="3"/>
      <c r="AO22" s="3"/>
      <c r="AQ22" s="70">
        <v>0</v>
      </c>
      <c r="AR22" s="70">
        <v>0</v>
      </c>
      <c r="AS22" s="3">
        <f t="shared" si="4"/>
        <v>0</v>
      </c>
    </row>
    <row r="23" spans="1:45" x14ac:dyDescent="0.35">
      <c r="A23" s="181" t="str">
        <f>_xlfn.XLOOKUP(X23,'00_SKU_Master'!$B$2:$B$379,'00_SKU_Master'!$C$2:$C$379)</f>
        <v>61048#2</v>
      </c>
      <c r="B23" s="181" t="str">
        <f>_xlfn.XLOOKUP(X23,tblSKU[SKU],tblSKU[Product_Group])</f>
        <v>SplitBreast</v>
      </c>
      <c r="C23" s="181" t="str">
        <f>_xlfn.XLOOKUP(X23,tblSKU[SKU],tblSKU[Tray_Type])</f>
        <v>ST 3XP</v>
      </c>
      <c r="D23" s="182">
        <f>_xlfn.IFNA(_xlfn.XLOOKUP(X23,'00_SKU_Master'!$B$2:$B$379,'00_SKU_Master'!$F$2:$F$379,0)*Y23,"")</f>
        <v>0</v>
      </c>
      <c r="E23" s="182">
        <f>_xlfn.IFNA(_xlfn.XLOOKUP(X23,'00_SKU_Master'!$B$2:$B$379,'00_SKU_Master'!$F$2:$F$379,0)*Z23,"")</f>
        <v>0</v>
      </c>
      <c r="F23" s="182">
        <f>_xlfn.IFNA(_xlfn.XLOOKUP(X23,'00_SKU_Master'!$B$2:$B$379,'00_SKU_Master'!$F$2:$F$379,0)*AA23,"")</f>
        <v>0</v>
      </c>
      <c r="G23" s="182">
        <f>_xlfn.IFNA(_xlfn.XLOOKUP(X23,'00_SKU_Master'!$B$2:$B$379,'00_SKU_Master'!$F$2:$F$379,0)*AB23,"")</f>
        <v>0</v>
      </c>
      <c r="H23" s="182">
        <f>_xlfn.IFNA(_xlfn.XLOOKUP(X23,'00_SKU_Master'!$B$2:$B$379,'00_SKU_Master'!$F$2:$F$379,0)*AC23,"")</f>
        <v>0</v>
      </c>
      <c r="I23" s="182">
        <f>_xlfn.IFNA(_xlfn.XLOOKUP(X23,'00_SKU_Master'!$B$2:$B$379,'00_SKU_Master'!$F$2:$F$379,0)*AD23,"")</f>
        <v>0</v>
      </c>
      <c r="J23" s="182">
        <f>_xlfn.IFNA(_xlfn.XLOOKUP(X23,'00_SKU_Master'!$B$2:$B$379,'00_SKU_Master'!$F$2:$F$379,0)*AE23,"")</f>
        <v>0</v>
      </c>
      <c r="K23" s="183">
        <f t="shared" si="3"/>
        <v>0</v>
      </c>
      <c r="L23" s="184" t="str">
        <f>_xlfn.XLOOKUP(X23,'00_SKU_Master'!$B$2:$B$379,'00_SKU_Master'!$K$2:$K$379)</f>
        <v>Fast</v>
      </c>
      <c r="M23" s="185">
        <f t="shared" si="0"/>
        <v>2030</v>
      </c>
      <c r="N23" s="186">
        <f>IFERROR(D23/_xlfn.XLOOKUP($M23,'00_SKU_Master'!$B$2:$B$379,'00_SKU_Master'!$M$2:$M$379,0),"0")</f>
        <v>0</v>
      </c>
      <c r="O23" s="186">
        <f>IFERROR(E23/_xlfn.XLOOKUP($M23,'00_SKU_Master'!$B$2:$B$379,'00_SKU_Master'!$M$2:$M$379,0),"0")</f>
        <v>0</v>
      </c>
      <c r="P23" s="186">
        <f>IFERROR(F23/_xlfn.XLOOKUP($M23,'00_SKU_Master'!$B$2:$B$379,'00_SKU_Master'!$M$2:$M$379,0),"0")</f>
        <v>0</v>
      </c>
      <c r="Q23" s="186">
        <f>IFERROR(G23/_xlfn.XLOOKUP($M23,'00_SKU_Master'!$B$2:$B$379,'00_SKU_Master'!$M$2:$M$379,0),"0")</f>
        <v>0</v>
      </c>
      <c r="R23" s="186">
        <f>IFERROR(H23/_xlfn.XLOOKUP($M23,'00_SKU_Master'!$B$2:$B$379,'00_SKU_Master'!$M$2:$M$379,0),"0")</f>
        <v>0</v>
      </c>
      <c r="S23" s="186">
        <f>IFERROR(I23/_xlfn.XLOOKUP($M23,'00_SKU_Master'!$B$2:$B$379,'00_SKU_Master'!$M$2:$M$379,0),"0")</f>
        <v>0</v>
      </c>
      <c r="T23" s="186">
        <f>IFERROR(J23/_xlfn.XLOOKUP($M23,'00_SKU_Master'!$B$2:$B$379,'00_SKU_Master'!$M$2:$M$379,0),"0")</f>
        <v>0</v>
      </c>
      <c r="U23" s="186">
        <f t="shared" si="1"/>
        <v>0</v>
      </c>
      <c r="V23" s="186" t="str">
        <f>_xlfn.XLOOKUP(M23,'00_SKU_Master'!$B$2:$B$379,'00_SKU_Master'!$D$2:$D$379)</f>
        <v>FB</v>
      </c>
      <c r="W23" s="1"/>
      <c r="X23" s="2">
        <f>'05_Daily_Orders'!C24</f>
        <v>2030</v>
      </c>
      <c r="Y23" s="289"/>
      <c r="Z23" s="289">
        <v>0</v>
      </c>
      <c r="AA23" s="289">
        <v>0</v>
      </c>
      <c r="AB23" s="289">
        <v>0</v>
      </c>
      <c r="AC23" s="289">
        <v>0</v>
      </c>
      <c r="AD23" s="289">
        <v>0</v>
      </c>
      <c r="AE23" s="289">
        <v>0</v>
      </c>
      <c r="AF23" s="7">
        <f t="shared" si="2"/>
        <v>0</v>
      </c>
      <c r="AQ23" s="70">
        <v>0</v>
      </c>
      <c r="AR23" s="70">
        <v>0</v>
      </c>
      <c r="AS23" s="3">
        <f t="shared" si="4"/>
        <v>0</v>
      </c>
    </row>
    <row r="24" spans="1:45" x14ac:dyDescent="0.35">
      <c r="A24" s="181" t="str">
        <f>_xlfn.XLOOKUP(X24,'00_SKU_Master'!$B$2:$B$379,'00_SKU_Master'!$C$2:$C$379)</f>
        <v>61048#2</v>
      </c>
      <c r="B24" s="181" t="str">
        <f>_xlfn.XLOOKUP(X24,tblSKU[SKU],tblSKU[Product_Group])</f>
        <v>SplitBreast</v>
      </c>
      <c r="C24" s="181" t="str">
        <f>_xlfn.XLOOKUP(X24,tblSKU[SKU],tblSKU[Tray_Type])</f>
        <v>LT 8XP</v>
      </c>
      <c r="D24" s="182">
        <f>_xlfn.IFNA(_xlfn.XLOOKUP(X24,'00_SKU_Master'!$B$2:$B$379,'00_SKU_Master'!$F$2:$F$379,0)*Y24,"")</f>
        <v>0</v>
      </c>
      <c r="E24" s="182">
        <f>_xlfn.IFNA(_xlfn.XLOOKUP(X24,'00_SKU_Master'!$B$2:$B$379,'00_SKU_Master'!$F$2:$F$379,0)*Z24,"")</f>
        <v>0</v>
      </c>
      <c r="F24" s="182">
        <f>_xlfn.IFNA(_xlfn.XLOOKUP(X24,'00_SKU_Master'!$B$2:$B$379,'00_SKU_Master'!$F$2:$F$379,0)*AA24,"")</f>
        <v>0</v>
      </c>
      <c r="G24" s="182">
        <f>_xlfn.IFNA(_xlfn.XLOOKUP(X24,'00_SKU_Master'!$B$2:$B$379,'00_SKU_Master'!$F$2:$F$379,0)*AB24,"")</f>
        <v>0</v>
      </c>
      <c r="H24" s="182">
        <f>_xlfn.IFNA(_xlfn.XLOOKUP(X24,'00_SKU_Master'!$B$2:$B$379,'00_SKU_Master'!$F$2:$F$379,0)*AC24,"")</f>
        <v>0</v>
      </c>
      <c r="I24" s="182">
        <f>_xlfn.IFNA(_xlfn.XLOOKUP(X24,'00_SKU_Master'!$B$2:$B$379,'00_SKU_Master'!$F$2:$F$379,0)*AD24,"")</f>
        <v>0</v>
      </c>
      <c r="J24" s="182">
        <f>_xlfn.IFNA(_xlfn.XLOOKUP(X24,'00_SKU_Master'!$B$2:$B$379,'00_SKU_Master'!$F$2:$F$379,0)*AE24,"")</f>
        <v>0</v>
      </c>
      <c r="K24" s="183">
        <f t="shared" si="3"/>
        <v>0</v>
      </c>
      <c r="L24" s="184" t="str">
        <f>_xlfn.XLOOKUP(X24,'00_SKU_Master'!$B$2:$B$379,'00_SKU_Master'!$K$2:$K$379)</f>
        <v>Fast</v>
      </c>
      <c r="M24" s="185">
        <f t="shared" si="0"/>
        <v>2031</v>
      </c>
      <c r="N24" s="186">
        <f>IFERROR(D24/_xlfn.XLOOKUP($M24,'00_SKU_Master'!$B$2:$B$379,'00_SKU_Master'!$M$2:$M$379,0),"0")</f>
        <v>0</v>
      </c>
      <c r="O24" s="186">
        <f>IFERROR(E24/_xlfn.XLOOKUP($M24,'00_SKU_Master'!$B$2:$B$379,'00_SKU_Master'!$M$2:$M$379,0),"0")</f>
        <v>0</v>
      </c>
      <c r="P24" s="186">
        <f>IFERROR(F24/_xlfn.XLOOKUP($M24,'00_SKU_Master'!$B$2:$B$379,'00_SKU_Master'!$M$2:$M$379,0),"0")</f>
        <v>0</v>
      </c>
      <c r="Q24" s="186">
        <f>IFERROR(G24/_xlfn.XLOOKUP($M24,'00_SKU_Master'!$B$2:$B$379,'00_SKU_Master'!$M$2:$M$379,0),"0")</f>
        <v>0</v>
      </c>
      <c r="R24" s="186">
        <f>IFERROR(H24/_xlfn.XLOOKUP($M24,'00_SKU_Master'!$B$2:$B$379,'00_SKU_Master'!$M$2:$M$379,0),"0")</f>
        <v>0</v>
      </c>
      <c r="S24" s="186">
        <f>IFERROR(I24/_xlfn.XLOOKUP($M24,'00_SKU_Master'!$B$2:$B$379,'00_SKU_Master'!$M$2:$M$379,0),"0")</f>
        <v>0</v>
      </c>
      <c r="T24" s="186">
        <f>IFERROR(J24/_xlfn.XLOOKUP($M24,'00_SKU_Master'!$B$2:$B$379,'00_SKU_Master'!$M$2:$M$379,0),"0")</f>
        <v>0</v>
      </c>
      <c r="U24" s="186">
        <f t="shared" si="1"/>
        <v>0</v>
      </c>
      <c r="V24" s="186" t="str">
        <f>_xlfn.XLOOKUP(M24,'00_SKU_Master'!$B$2:$B$379,'00_SKU_Master'!$D$2:$D$379)</f>
        <v>FB</v>
      </c>
      <c r="W24" s="1"/>
      <c r="X24" s="2">
        <f>'05_Daily_Orders'!C25</f>
        <v>2031</v>
      </c>
      <c r="Y24" s="289"/>
      <c r="Z24" s="289">
        <v>0</v>
      </c>
      <c r="AA24" s="289">
        <v>0</v>
      </c>
      <c r="AB24" s="289">
        <v>0</v>
      </c>
      <c r="AC24" s="289">
        <v>0</v>
      </c>
      <c r="AD24" s="289">
        <v>0</v>
      </c>
      <c r="AE24" s="289">
        <v>0</v>
      </c>
      <c r="AF24" s="7">
        <f t="shared" si="2"/>
        <v>0</v>
      </c>
      <c r="AQ24" s="70">
        <v>0</v>
      </c>
      <c r="AR24" s="70">
        <v>0</v>
      </c>
      <c r="AS24" s="3">
        <f t="shared" si="4"/>
        <v>0</v>
      </c>
    </row>
    <row r="25" spans="1:45" x14ac:dyDescent="0.35">
      <c r="A25" s="181" t="str">
        <f>_xlfn.XLOOKUP(X25,'00_SKU_Master'!$B$2:$B$379,'00_SKU_Master'!$C$2:$C$379)</f>
        <v>61050#2</v>
      </c>
      <c r="B25" s="181" t="str">
        <f>_xlfn.XLOOKUP(X25,tblSKU[SKU],tblSKU[Product_Group])</f>
        <v>BSB</v>
      </c>
      <c r="C25" s="181" t="str">
        <f>_xlfn.XLOOKUP(X25,tblSKU[SKU],tblSKU[Tray_Type])</f>
        <v>LT 8XP</v>
      </c>
      <c r="D25" s="182">
        <f>_xlfn.IFNA(_xlfn.XLOOKUP(X25,'00_SKU_Master'!$B$2:$B$379,'00_SKU_Master'!$F$2:$F$379,0)*Y25,"")</f>
        <v>0</v>
      </c>
      <c r="E25" s="182">
        <f>_xlfn.IFNA(_xlfn.XLOOKUP(X25,'00_SKU_Master'!$B$2:$B$379,'00_SKU_Master'!$F$2:$F$379,0)*Z25,"")</f>
        <v>0</v>
      </c>
      <c r="F25" s="182">
        <f>_xlfn.IFNA(_xlfn.XLOOKUP(X25,'00_SKU_Master'!$B$2:$B$379,'00_SKU_Master'!$F$2:$F$379,0)*AA25,"")</f>
        <v>0</v>
      </c>
      <c r="G25" s="182">
        <f>_xlfn.IFNA(_xlfn.XLOOKUP(X25,'00_SKU_Master'!$B$2:$B$379,'00_SKU_Master'!$F$2:$F$379,0)*AB25,"")</f>
        <v>0</v>
      </c>
      <c r="H25" s="182">
        <f>_xlfn.IFNA(_xlfn.XLOOKUP(X25,'00_SKU_Master'!$B$2:$B$379,'00_SKU_Master'!$F$2:$F$379,0)*AC25,"")</f>
        <v>0</v>
      </c>
      <c r="I25" s="182">
        <f>_xlfn.IFNA(_xlfn.XLOOKUP(X25,'00_SKU_Master'!$B$2:$B$379,'00_SKU_Master'!$F$2:$F$379,0)*AD25,"")</f>
        <v>0</v>
      </c>
      <c r="J25" s="182">
        <f>_xlfn.IFNA(_xlfn.XLOOKUP(X25,'00_SKU_Master'!$B$2:$B$379,'00_SKU_Master'!$F$2:$F$379,0)*AE25,"")</f>
        <v>0</v>
      </c>
      <c r="K25" s="183">
        <f t="shared" si="3"/>
        <v>0</v>
      </c>
      <c r="L25" s="184" t="str">
        <f>_xlfn.XLOOKUP(X25,'00_SKU_Master'!$B$2:$B$379,'00_SKU_Master'!$K$2:$K$379)</f>
        <v>Fast</v>
      </c>
      <c r="M25" s="185">
        <f t="shared" si="0"/>
        <v>2042</v>
      </c>
      <c r="N25" s="186" t="str">
        <f>IFERROR(D25/_xlfn.XLOOKUP($M25,'00_SKU_Master'!$B$2:$B$379,'00_SKU_Master'!$M$2:$M$379,0),"0")</f>
        <v>0</v>
      </c>
      <c r="O25" s="186" t="str">
        <f>IFERROR(E25/_xlfn.XLOOKUP($M25,'00_SKU_Master'!$B$2:$B$379,'00_SKU_Master'!$M$2:$M$379,0),"0")</f>
        <v>0</v>
      </c>
      <c r="P25" s="186" t="str">
        <f>IFERROR(F25/_xlfn.XLOOKUP($M25,'00_SKU_Master'!$B$2:$B$379,'00_SKU_Master'!$M$2:$M$379,0),"0")</f>
        <v>0</v>
      </c>
      <c r="Q25" s="186" t="str">
        <f>IFERROR(G25/_xlfn.XLOOKUP($M25,'00_SKU_Master'!$B$2:$B$379,'00_SKU_Master'!$M$2:$M$379,0),"0")</f>
        <v>0</v>
      </c>
      <c r="R25" s="186" t="str">
        <f>IFERROR(H25/_xlfn.XLOOKUP($M25,'00_SKU_Master'!$B$2:$B$379,'00_SKU_Master'!$M$2:$M$379,0),"0")</f>
        <v>0</v>
      </c>
      <c r="S25" s="186" t="str">
        <f>IFERROR(I25/_xlfn.XLOOKUP($M25,'00_SKU_Master'!$B$2:$B$379,'00_SKU_Master'!$M$2:$M$379,0),"0")</f>
        <v>0</v>
      </c>
      <c r="T25" s="186" t="str">
        <f>IFERROR(J25/_xlfn.XLOOKUP($M25,'00_SKU_Master'!$B$2:$B$379,'00_SKU_Master'!$M$2:$M$379,0),"0")</f>
        <v>0</v>
      </c>
      <c r="U25" s="186">
        <f t="shared" si="1"/>
        <v>0</v>
      </c>
      <c r="V25" s="186" t="str">
        <f>_xlfn.XLOOKUP(M25,'00_SKU_Master'!$B$2:$B$379,'00_SKU_Master'!$D$2:$D$379)</f>
        <v>FB</v>
      </c>
      <c r="W25" s="1"/>
      <c r="X25" s="2">
        <f>'05_Daily_Orders'!C26</f>
        <v>2042</v>
      </c>
      <c r="Y25" s="289"/>
      <c r="Z25" s="289">
        <v>0</v>
      </c>
      <c r="AA25" s="289">
        <v>0</v>
      </c>
      <c r="AB25" s="289">
        <v>0</v>
      </c>
      <c r="AC25" s="289">
        <v>0</v>
      </c>
      <c r="AD25" s="289">
        <v>0</v>
      </c>
      <c r="AE25" s="289">
        <v>0</v>
      </c>
      <c r="AF25" s="7">
        <f t="shared" si="2"/>
        <v>0</v>
      </c>
      <c r="AH25" s="217"/>
      <c r="AI25" s="218"/>
      <c r="AQ25" s="70">
        <v>0</v>
      </c>
      <c r="AR25" s="70">
        <v>0</v>
      </c>
      <c r="AS25" s="3">
        <f t="shared" si="4"/>
        <v>0</v>
      </c>
    </row>
    <row r="26" spans="1:45" x14ac:dyDescent="0.35">
      <c r="A26" s="181" t="str">
        <f>_xlfn.XLOOKUP(X26,'00_SKU_Master'!$B$2:$B$379,'00_SKU_Master'!$C$2:$C$379)</f>
        <v>61050#2</v>
      </c>
      <c r="B26" s="181" t="str">
        <f>_xlfn.XLOOKUP(X26,tblSKU[SKU],tblSKU[Product_Group])</f>
        <v>BSB</v>
      </c>
      <c r="C26" s="181" t="str">
        <f>_xlfn.XLOOKUP(X26,tblSKU[SKU],tblSKU[Tray_Type])</f>
        <v>LT 8XP</v>
      </c>
      <c r="D26" s="182">
        <f>_xlfn.IFNA(_xlfn.XLOOKUP(X26,'00_SKU_Master'!$B$2:$B$379,'00_SKU_Master'!$F$2:$F$379,0)*Y26,"")</f>
        <v>0</v>
      </c>
      <c r="E26" s="182">
        <f>_xlfn.IFNA(_xlfn.XLOOKUP(X26,'00_SKU_Master'!$B$2:$B$379,'00_SKU_Master'!$F$2:$F$379,0)*Z26,"")</f>
        <v>0</v>
      </c>
      <c r="F26" s="182">
        <f>_xlfn.IFNA(_xlfn.XLOOKUP(X26,'00_SKU_Master'!$B$2:$B$379,'00_SKU_Master'!$F$2:$F$379,0)*AA26,"")</f>
        <v>2040.5508187990927</v>
      </c>
      <c r="G26" s="182">
        <f>_xlfn.IFNA(_xlfn.XLOOKUP(X26,'00_SKU_Master'!$B$2:$B$379,'00_SKU_Master'!$F$2:$F$379,0)*AB26,"")</f>
        <v>2569.2389854879484</v>
      </c>
      <c r="H26" s="182">
        <f>_xlfn.IFNA(_xlfn.XLOOKUP(X26,'00_SKU_Master'!$B$2:$B$379,'00_SKU_Master'!$F$2:$F$379,0)*AC26,"")</f>
        <v>3246.3308480894652</v>
      </c>
      <c r="I26" s="182">
        <f>_xlfn.IFNA(_xlfn.XLOOKUP(X26,'00_SKU_Master'!$B$2:$B$379,'00_SKU_Master'!$F$2:$F$379,0)*AD26,"")</f>
        <v>0</v>
      </c>
      <c r="J26" s="182">
        <f>_xlfn.IFNA(_xlfn.XLOOKUP(X26,'00_SKU_Master'!$B$2:$B$379,'00_SKU_Master'!$F$2:$F$379,0)*AE26,"")</f>
        <v>3172.1290001331349</v>
      </c>
      <c r="K26" s="183">
        <f t="shared" si="3"/>
        <v>11028.249652509641</v>
      </c>
      <c r="L26" s="184" t="str">
        <f>_xlfn.XLOOKUP(X26,'00_SKU_Master'!$B$2:$B$379,'00_SKU_Master'!$K$2:$K$379)</f>
        <v>Fast</v>
      </c>
      <c r="M26" s="185">
        <f t="shared" si="0"/>
        <v>2043</v>
      </c>
      <c r="N26" s="186">
        <f>IFERROR(D26/_xlfn.XLOOKUP($M26,'00_SKU_Master'!$B$2:$B$379,'00_SKU_Master'!$M$2:$M$379,0),"0")</f>
        <v>0</v>
      </c>
      <c r="O26" s="186">
        <f>IFERROR(E26/_xlfn.XLOOKUP($M26,'00_SKU_Master'!$B$2:$B$379,'00_SKU_Master'!$M$2:$M$379,0),"0")</f>
        <v>0</v>
      </c>
      <c r="P26" s="186">
        <f>IFERROR(F26/_xlfn.XLOOKUP($M26,'00_SKU_Master'!$B$2:$B$379,'00_SKU_Master'!$M$2:$M$379,0),"0")</f>
        <v>15.191712468724633</v>
      </c>
      <c r="Q26" s="186">
        <f>IFERROR(G26/_xlfn.XLOOKUP($M26,'00_SKU_Master'!$B$2:$B$379,'00_SKU_Master'!$M$2:$M$379,0),"0")</f>
        <v>19.127747062894198</v>
      </c>
      <c r="R26" s="186">
        <f>IFERROR(H26/_xlfn.XLOOKUP($M26,'00_SKU_Master'!$B$2:$B$379,'00_SKU_Master'!$M$2:$M$379,0),"0")</f>
        <v>24.168633472971006</v>
      </c>
      <c r="S26" s="186">
        <f>IFERROR(I26/_xlfn.XLOOKUP($M26,'00_SKU_Master'!$B$2:$B$379,'00_SKU_Master'!$M$2:$M$379,0),"0")</f>
        <v>0</v>
      </c>
      <c r="T26" s="186">
        <f>IFERROR(J26/_xlfn.XLOOKUP($M26,'00_SKU_Master'!$B$2:$B$379,'00_SKU_Master'!$M$2:$M$379,0),"0")</f>
        <v>23.616207565017383</v>
      </c>
      <c r="U26" s="186">
        <f t="shared" si="1"/>
        <v>82.104300569607233</v>
      </c>
      <c r="V26" s="186" t="str">
        <f>_xlfn.XLOOKUP(M26,'00_SKU_Master'!$B$2:$B$379,'00_SKU_Master'!$D$2:$D$379)</f>
        <v>FB</v>
      </c>
      <c r="W26" s="1"/>
      <c r="X26" s="2">
        <f>'05_Daily_Orders'!C27</f>
        <v>2043</v>
      </c>
      <c r="Y26" s="289"/>
      <c r="Z26" s="289">
        <v>0</v>
      </c>
      <c r="AA26" s="289">
        <v>220</v>
      </c>
      <c r="AB26" s="289">
        <v>277</v>
      </c>
      <c r="AC26" s="289">
        <v>350</v>
      </c>
      <c r="AD26" s="289">
        <v>0</v>
      </c>
      <c r="AE26" s="289">
        <v>342</v>
      </c>
      <c r="AF26" s="7">
        <f t="shared" si="2"/>
        <v>1189</v>
      </c>
      <c r="AH26" s="219"/>
      <c r="AI26" s="218"/>
      <c r="AQ26" s="70">
        <v>0</v>
      </c>
      <c r="AR26" s="70">
        <v>0</v>
      </c>
      <c r="AS26" s="3">
        <f t="shared" si="4"/>
        <v>0</v>
      </c>
    </row>
    <row r="27" spans="1:45" x14ac:dyDescent="0.35">
      <c r="A27" s="181">
        <f>_xlfn.XLOOKUP(X27,'00_SKU_Master'!$B$2:$B$379,'00_SKU_Master'!$C$2:$C$379)</f>
        <v>61104</v>
      </c>
      <c r="B27" s="181" t="str">
        <f>_xlfn.XLOOKUP(X27,tblSKU[SKU],tblSKU[Product_Group])</f>
        <v>BSB</v>
      </c>
      <c r="C27" s="181" t="str">
        <f>_xlfn.XLOOKUP(X27,tblSKU[SKU],tblSKU[Tray_Type])</f>
        <v>LT 8XP</v>
      </c>
      <c r="D27" s="182">
        <f>_xlfn.IFNA(_xlfn.XLOOKUP(X27,'00_SKU_Master'!$B$2:$B$379,'00_SKU_Master'!$F$2:$F$379,0)*Y27,"")</f>
        <v>0</v>
      </c>
      <c r="E27" s="182">
        <f>_xlfn.IFNA(_xlfn.XLOOKUP(X27,'00_SKU_Master'!$B$2:$B$379,'00_SKU_Master'!$F$2:$F$379,0)*Z27,"")</f>
        <v>178.44939351889633</v>
      </c>
      <c r="F27" s="182">
        <f>_xlfn.IFNA(_xlfn.XLOOKUP(X27,'00_SKU_Master'!$B$2:$B$379,'00_SKU_Master'!$F$2:$F$379,0)*AA27,"")</f>
        <v>401.51113541751675</v>
      </c>
      <c r="G27" s="182">
        <f>_xlfn.IFNA(_xlfn.XLOOKUP(X27,'00_SKU_Master'!$B$2:$B$379,'00_SKU_Master'!$F$2:$F$379,0)*AB27,"")</f>
        <v>676.62061709248189</v>
      </c>
      <c r="H27" s="182">
        <f>_xlfn.IFNA(_xlfn.XLOOKUP(X27,'00_SKU_Master'!$B$2:$B$379,'00_SKU_Master'!$F$2:$F$379,0)*AC27,"")</f>
        <v>921.9885331809644</v>
      </c>
      <c r="I27" s="182">
        <f>_xlfn.IFNA(_xlfn.XLOOKUP(X27,'00_SKU_Master'!$B$2:$B$379,'00_SKU_Master'!$F$2:$F$379,0)*AD27,"")</f>
        <v>0</v>
      </c>
      <c r="J27" s="182">
        <f>_xlfn.IFNA(_xlfn.XLOOKUP(X27,'00_SKU_Master'!$B$2:$B$379,'00_SKU_Master'!$F$2:$F$379,0)*AE27,"")</f>
        <v>907.11775038772305</v>
      </c>
      <c r="K27" s="183">
        <f t="shared" si="3"/>
        <v>3085.6874295975826</v>
      </c>
      <c r="L27" s="184" t="str">
        <f>_xlfn.XLOOKUP(X27,'00_SKU_Master'!$B$2:$B$379,'00_SKU_Master'!$K$2:$K$379)</f>
        <v>Fast</v>
      </c>
      <c r="M27" s="185">
        <f t="shared" si="0"/>
        <v>2044</v>
      </c>
      <c r="N27" s="186">
        <f>IFERROR(D27/_xlfn.XLOOKUP($M27,'00_SKU_Master'!$B$2:$B$379,'00_SKU_Master'!$M$2:$M$379,0),"0")</f>
        <v>0</v>
      </c>
      <c r="O27" s="186">
        <f>IFERROR(E27/_xlfn.XLOOKUP($M27,'00_SKU_Master'!$B$2:$B$379,'00_SKU_Master'!$M$2:$M$379,0),"0")</f>
        <v>3.1350912424261477</v>
      </c>
      <c r="P27" s="186">
        <f>IFERROR(F27/_xlfn.XLOOKUP($M27,'00_SKU_Master'!$B$2:$B$379,'00_SKU_Master'!$M$2:$M$379,0),"0")</f>
        <v>7.0539552954588327</v>
      </c>
      <c r="Q27" s="186">
        <f>IFERROR(G27/_xlfn.XLOOKUP($M27,'00_SKU_Master'!$B$2:$B$379,'00_SKU_Master'!$M$2:$M$379,0),"0")</f>
        <v>11.887220960865809</v>
      </c>
      <c r="R27" s="186">
        <f>IFERROR(H27/_xlfn.XLOOKUP($M27,'00_SKU_Master'!$B$2:$B$379,'00_SKU_Master'!$M$2:$M$379,0),"0")</f>
        <v>16.197971419201764</v>
      </c>
      <c r="S27" s="186">
        <f>IFERROR(I27/_xlfn.XLOOKUP($M27,'00_SKU_Master'!$B$2:$B$379,'00_SKU_Master'!$M$2:$M$379,0),"0")</f>
        <v>0</v>
      </c>
      <c r="T27" s="186">
        <f>IFERROR(J27/_xlfn.XLOOKUP($M27,'00_SKU_Master'!$B$2:$B$379,'00_SKU_Master'!$M$2:$M$379,0),"0")</f>
        <v>15.936713815666252</v>
      </c>
      <c r="U27" s="186">
        <f t="shared" si="1"/>
        <v>54.210952733618804</v>
      </c>
      <c r="V27" s="186" t="str">
        <f>_xlfn.XLOOKUP(M27,'00_SKU_Master'!$B$2:$B$379,'00_SKU_Master'!$D$2:$D$379)</f>
        <v>FB</v>
      </c>
      <c r="W27" s="1"/>
      <c r="X27" s="2">
        <f>'05_Daily_Orders'!C28</f>
        <v>2044</v>
      </c>
      <c r="Y27" s="289"/>
      <c r="Z27" s="289">
        <v>24</v>
      </c>
      <c r="AA27" s="289">
        <v>54</v>
      </c>
      <c r="AB27" s="289">
        <v>91</v>
      </c>
      <c r="AC27" s="289">
        <v>124</v>
      </c>
      <c r="AD27" s="289">
        <v>0</v>
      </c>
      <c r="AE27" s="289">
        <v>122</v>
      </c>
      <c r="AF27" s="7">
        <f t="shared" si="2"/>
        <v>415</v>
      </c>
      <c r="AH27" s="219"/>
      <c r="AI27" s="218"/>
      <c r="AQ27" s="70">
        <v>0</v>
      </c>
      <c r="AR27" s="70">
        <v>24</v>
      </c>
      <c r="AS27" s="3">
        <f t="shared" si="4"/>
        <v>24</v>
      </c>
    </row>
    <row r="28" spans="1:45" x14ac:dyDescent="0.35">
      <c r="A28" s="181" t="str">
        <f>_xlfn.XLOOKUP(X28,'00_SKU_Master'!$B$2:$B$379,'00_SKU_Master'!$C$2:$C$379)</f>
        <v>61072#2</v>
      </c>
      <c r="B28" s="181" t="str">
        <f>_xlfn.XLOOKUP(X28,tblSKU[SKU],tblSKU[Product_Group])</f>
        <v>Drum</v>
      </c>
      <c r="C28" s="181" t="str">
        <f>_xlfn.XLOOKUP(X28,tblSKU[SKU],tblSKU[Tray_Type])</f>
        <v>ST 3XP</v>
      </c>
      <c r="D28" s="182">
        <f>_xlfn.IFNA(_xlfn.XLOOKUP(X28,'00_SKU_Master'!$B$2:$B$379,'00_SKU_Master'!$F$2:$F$379,0)*Y28,"")</f>
        <v>0</v>
      </c>
      <c r="E28" s="182">
        <f>_xlfn.IFNA(_xlfn.XLOOKUP(X28,'00_SKU_Master'!$B$2:$B$379,'00_SKU_Master'!$F$2:$F$379,0)*Z28,"")</f>
        <v>-9.7147797833934995</v>
      </c>
      <c r="F28" s="182">
        <f>_xlfn.IFNA(_xlfn.XLOOKUP(X28,'00_SKU_Master'!$B$2:$B$379,'00_SKU_Master'!$F$2:$F$379,0)*AA28,"")</f>
        <v>267.15644404332124</v>
      </c>
      <c r="G28" s="182">
        <f>_xlfn.IFNA(_xlfn.XLOOKUP(X28,'00_SKU_Master'!$B$2:$B$379,'00_SKU_Master'!$F$2:$F$379,0)*AB28,"")</f>
        <v>359.44685198555948</v>
      </c>
      <c r="H28" s="182">
        <f>_xlfn.IFNA(_xlfn.XLOOKUP(X28,'00_SKU_Master'!$B$2:$B$379,'00_SKU_Master'!$F$2:$F$379,0)*AC28,"")</f>
        <v>461.45203971119122</v>
      </c>
      <c r="I28" s="182">
        <f>_xlfn.IFNA(_xlfn.XLOOKUP(X28,'00_SKU_Master'!$B$2:$B$379,'00_SKU_Master'!$F$2:$F$379,0)*AD28,"")</f>
        <v>0</v>
      </c>
      <c r="J28" s="182">
        <f>_xlfn.IFNA(_xlfn.XLOOKUP(X28,'00_SKU_Master'!$B$2:$B$379,'00_SKU_Master'!$F$2:$F$379,0)*AE28,"")</f>
        <v>510.02593862815871</v>
      </c>
      <c r="K28" s="183">
        <f t="shared" si="3"/>
        <v>1588.366494584837</v>
      </c>
      <c r="L28" s="184" t="str">
        <f>_xlfn.XLOOKUP(X28,'00_SKU_Master'!$B$2:$B$379,'00_SKU_Master'!$K$2:$K$379)</f>
        <v>Fast</v>
      </c>
      <c r="M28" s="185">
        <f t="shared" si="0"/>
        <v>2045</v>
      </c>
      <c r="N28" s="186">
        <f>IFERROR(D28/_xlfn.XLOOKUP($M28,'00_SKU_Master'!$B$2:$B$379,'00_SKU_Master'!$M$2:$M$379,0),"0")</f>
        <v>0</v>
      </c>
      <c r="O28" s="186">
        <f>IFERROR(E28/_xlfn.XLOOKUP($M28,'00_SKU_Master'!$B$2:$B$379,'00_SKU_Master'!$M$2:$M$379,0),"0")</f>
        <v>-0.18057211493296468</v>
      </c>
      <c r="P28" s="186">
        <f>IFERROR(F28/_xlfn.XLOOKUP($M28,'00_SKU_Master'!$B$2:$B$379,'00_SKU_Master'!$M$2:$M$379,0),"0")</f>
        <v>4.9657331606565291</v>
      </c>
      <c r="Q28" s="186">
        <f>IFERROR(G28/_xlfn.XLOOKUP($M28,'00_SKU_Master'!$B$2:$B$379,'00_SKU_Master'!$M$2:$M$379,0),"0")</f>
        <v>6.6811682525196936</v>
      </c>
      <c r="R28" s="186">
        <f>IFERROR(H28/_xlfn.XLOOKUP($M28,'00_SKU_Master'!$B$2:$B$379,'00_SKU_Master'!$M$2:$M$379,0),"0")</f>
        <v>8.5771754593158231</v>
      </c>
      <c r="S28" s="186">
        <f>IFERROR(I28/_xlfn.XLOOKUP($M28,'00_SKU_Master'!$B$2:$B$379,'00_SKU_Master'!$M$2:$M$379,0),"0")</f>
        <v>0</v>
      </c>
      <c r="T28" s="186">
        <f>IFERROR(J28/_xlfn.XLOOKUP($M28,'00_SKU_Master'!$B$2:$B$379,'00_SKU_Master'!$M$2:$M$379,0),"0")</f>
        <v>9.480036033980646</v>
      </c>
      <c r="U28" s="186">
        <f t="shared" si="1"/>
        <v>29.523540791539727</v>
      </c>
      <c r="V28" s="186" t="str">
        <f>_xlfn.XLOOKUP(M28,'00_SKU_Master'!$B$2:$B$379,'00_SKU_Master'!$D$2:$D$379)</f>
        <v>FB</v>
      </c>
      <c r="W28" s="1"/>
      <c r="X28" s="2">
        <f>'05_Daily_Orders'!C29</f>
        <v>2045</v>
      </c>
      <c r="Y28" s="289"/>
      <c r="Z28" s="289">
        <v>-2</v>
      </c>
      <c r="AA28" s="289">
        <v>55</v>
      </c>
      <c r="AB28" s="289">
        <v>74</v>
      </c>
      <c r="AC28" s="289">
        <v>95</v>
      </c>
      <c r="AD28" s="289">
        <v>0</v>
      </c>
      <c r="AE28" s="289">
        <v>105</v>
      </c>
      <c r="AF28" s="7">
        <f t="shared" si="2"/>
        <v>327</v>
      </c>
      <c r="AH28" s="219"/>
      <c r="AI28" s="218"/>
      <c r="AQ28" s="70">
        <v>2</v>
      </c>
      <c r="AR28" s="70">
        <v>0</v>
      </c>
      <c r="AS28" s="3">
        <f t="shared" si="4"/>
        <v>-2</v>
      </c>
    </row>
    <row r="29" spans="1:45" x14ac:dyDescent="0.35">
      <c r="A29" s="181">
        <f>_xlfn.XLOOKUP(X29,'00_SKU_Master'!$B$2:$B$379,'00_SKU_Master'!$C$2:$C$379)</f>
        <v>61082</v>
      </c>
      <c r="B29" s="181" t="str">
        <f>_xlfn.XLOOKUP(X29,tblSKU[SKU],tblSKU[Product_Group])</f>
        <v>Thigh</v>
      </c>
      <c r="C29" s="181" t="str">
        <f>_xlfn.XLOOKUP(X29,tblSKU[SKU],tblSKU[Tray_Type])</f>
        <v>ST 3XP</v>
      </c>
      <c r="D29" s="182">
        <f>_xlfn.IFNA(_xlfn.XLOOKUP(X29,'00_SKU_Master'!$B$2:$B$379,'00_SKU_Master'!$F$2:$F$379,0)*Y29,"")</f>
        <v>0</v>
      </c>
      <c r="E29" s="182">
        <f>_xlfn.IFNA(_xlfn.XLOOKUP(X29,'00_SKU_Master'!$B$2:$B$379,'00_SKU_Master'!$F$2:$F$379,0)*Z29,"")</f>
        <v>659.21822433321097</v>
      </c>
      <c r="F29" s="182">
        <f>_xlfn.IFNA(_xlfn.XLOOKUP(X29,'00_SKU_Master'!$B$2:$B$379,'00_SKU_Master'!$F$2:$F$379,0)*AA29,"")</f>
        <v>439.47881622214067</v>
      </c>
      <c r="G29" s="182">
        <f>_xlfn.IFNA(_xlfn.XLOOKUP(X29,'00_SKU_Master'!$B$2:$B$379,'00_SKU_Master'!$F$2:$F$379,0)*AB29,"")</f>
        <v>624.25968213372255</v>
      </c>
      <c r="H29" s="182">
        <f>_xlfn.IFNA(_xlfn.XLOOKUP(X29,'00_SKU_Master'!$B$2:$B$379,'00_SKU_Master'!$F$2:$F$379,0)*AC29,"")</f>
        <v>784.07016075995546</v>
      </c>
      <c r="I29" s="182">
        <f>_xlfn.IFNA(_xlfn.XLOOKUP(X29,'00_SKU_Master'!$B$2:$B$379,'00_SKU_Master'!$F$2:$F$379,0)*AD29,"")</f>
        <v>0</v>
      </c>
      <c r="J29" s="182">
        <f>_xlfn.IFNA(_xlfn.XLOOKUP(X29,'00_SKU_Master'!$B$2:$B$379,'00_SKU_Master'!$F$2:$F$379,0)*AE29,"")</f>
        <v>789.06423821702526</v>
      </c>
      <c r="K29" s="183">
        <f t="shared" si="3"/>
        <v>3296.0911216660547</v>
      </c>
      <c r="L29" s="184" t="str">
        <f>_xlfn.XLOOKUP(X29,'00_SKU_Master'!$B$2:$B$379,'00_SKU_Master'!$K$2:$K$379)</f>
        <v>Fast</v>
      </c>
      <c r="M29" s="185">
        <f t="shared" si="0"/>
        <v>2046</v>
      </c>
      <c r="N29" s="186">
        <f>IFERROR(D29/_xlfn.XLOOKUP($M29,'00_SKU_Master'!$B$2:$B$379,'00_SKU_Master'!$M$2:$M$379,0),"0")</f>
        <v>0</v>
      </c>
      <c r="O29" s="186">
        <f>IFERROR(E29/_xlfn.XLOOKUP($M29,'00_SKU_Master'!$B$2:$B$379,'00_SKU_Master'!$M$2:$M$379,0),"0")</f>
        <v>17.384446844230247</v>
      </c>
      <c r="P29" s="186">
        <f>IFERROR(F29/_xlfn.XLOOKUP($M29,'00_SKU_Master'!$B$2:$B$379,'00_SKU_Master'!$M$2:$M$379,0),"0")</f>
        <v>11.589631229486832</v>
      </c>
      <c r="Q29" s="186">
        <f>IFERROR(G29/_xlfn.XLOOKUP($M29,'00_SKU_Master'!$B$2:$B$379,'00_SKU_Master'!$M$2:$M$379,0),"0")</f>
        <v>16.462544360066524</v>
      </c>
      <c r="R29" s="186">
        <f>IFERROR(H29/_xlfn.XLOOKUP($M29,'00_SKU_Master'!$B$2:$B$379,'00_SKU_Master'!$M$2:$M$379,0),"0")</f>
        <v>20.676955716243551</v>
      </c>
      <c r="S29" s="186">
        <f>IFERROR(I29/_xlfn.XLOOKUP($M29,'00_SKU_Master'!$B$2:$B$379,'00_SKU_Master'!$M$2:$M$379,0),"0")</f>
        <v>0</v>
      </c>
      <c r="T29" s="186">
        <f>IFERROR(J29/_xlfn.XLOOKUP($M29,'00_SKU_Master'!$B$2:$B$379,'00_SKU_Master'!$M$2:$M$379,0),"0")</f>
        <v>20.808656071124084</v>
      </c>
      <c r="U29" s="186">
        <f t="shared" si="1"/>
        <v>86.922234221151228</v>
      </c>
      <c r="V29" s="186" t="str">
        <f>_xlfn.XLOOKUP(M29,'00_SKU_Master'!$B$2:$B$379,'00_SKU_Master'!$D$2:$D$379)</f>
        <v>FB</v>
      </c>
      <c r="W29" s="1"/>
      <c r="X29" s="2">
        <f>'05_Daily_Orders'!C30</f>
        <v>2046</v>
      </c>
      <c r="Y29" s="289"/>
      <c r="Z29" s="289">
        <v>132</v>
      </c>
      <c r="AA29" s="289">
        <v>88</v>
      </c>
      <c r="AB29" s="289">
        <v>125</v>
      </c>
      <c r="AC29" s="289">
        <v>157</v>
      </c>
      <c r="AD29" s="289">
        <v>0</v>
      </c>
      <c r="AE29" s="289">
        <v>158</v>
      </c>
      <c r="AF29" s="7">
        <f t="shared" si="2"/>
        <v>660</v>
      </c>
      <c r="AH29" s="217"/>
      <c r="AI29" s="218"/>
      <c r="AQ29" s="70">
        <v>0</v>
      </c>
      <c r="AR29" s="70">
        <v>132</v>
      </c>
      <c r="AS29" s="3">
        <f t="shared" si="4"/>
        <v>132</v>
      </c>
    </row>
    <row r="30" spans="1:45" x14ac:dyDescent="0.35">
      <c r="A30" s="181">
        <f>_xlfn.XLOOKUP(X30,'00_SKU_Master'!$B$2:$B$379,'00_SKU_Master'!$C$2:$C$379)</f>
        <v>61010</v>
      </c>
      <c r="B30" s="181" t="str">
        <f>_xlfn.XLOOKUP(X30,tblSKU[SKU],tblSKU[Product_Group])</f>
        <v>Wing</v>
      </c>
      <c r="C30" s="181" t="str">
        <f>_xlfn.XLOOKUP(X30,tblSKU[SKU],tblSKU[Tray_Type])</f>
        <v>LT 14D</v>
      </c>
      <c r="D30" s="182">
        <f>_xlfn.IFNA(_xlfn.XLOOKUP(X30,'00_SKU_Master'!$B$2:$B$379,'00_SKU_Master'!$F$2:$F$379,0)*Y30,"")</f>
        <v>0</v>
      </c>
      <c r="E30" s="182">
        <f>_xlfn.IFNA(_xlfn.XLOOKUP(X30,'00_SKU_Master'!$B$2:$B$379,'00_SKU_Master'!$F$2:$F$379,0)*Z30,"")</f>
        <v>214.71146253925522</v>
      </c>
      <c r="F30" s="182">
        <f>_xlfn.IFNA(_xlfn.XLOOKUP(X30,'00_SKU_Master'!$B$2:$B$379,'00_SKU_Master'!$F$2:$F$379,0)*AA30,"")</f>
        <v>0</v>
      </c>
      <c r="G30" s="182">
        <f>_xlfn.IFNA(_xlfn.XLOOKUP(X30,'00_SKU_Master'!$B$2:$B$379,'00_SKU_Master'!$F$2:$F$379,0)*AB30,"")</f>
        <v>283.02874607447279</v>
      </c>
      <c r="H30" s="182">
        <f>_xlfn.IFNA(_xlfn.XLOOKUP(X30,'00_SKU_Master'!$B$2:$B$379,'00_SKU_Master'!$F$2:$F$379,0)*AC30,"")</f>
        <v>351.34602960969039</v>
      </c>
      <c r="I30" s="182">
        <f>_xlfn.IFNA(_xlfn.XLOOKUP(X30,'00_SKU_Master'!$B$2:$B$379,'00_SKU_Master'!$F$2:$F$379,0)*AD30,"")</f>
        <v>0</v>
      </c>
      <c r="J30" s="182">
        <f>_xlfn.IFNA(_xlfn.XLOOKUP(X30,'00_SKU_Master'!$B$2:$B$379,'00_SKU_Master'!$F$2:$F$379,0)*AE30,"")</f>
        <v>302.54796994167782</v>
      </c>
      <c r="K30" s="183">
        <f t="shared" si="3"/>
        <v>1151.6342081650962</v>
      </c>
      <c r="L30" s="184" t="str">
        <f>_xlfn.XLOOKUP(X30,'00_SKU_Master'!$B$2:$B$379,'00_SKU_Master'!$K$2:$K$379)</f>
        <v>Fast</v>
      </c>
      <c r="M30" s="185">
        <f t="shared" si="0"/>
        <v>2047</v>
      </c>
      <c r="N30" s="186">
        <f>IFERROR(D30/_xlfn.XLOOKUP($M30,'00_SKU_Master'!$B$2:$B$379,'00_SKU_Master'!$M$2:$M$379,0),"0")</f>
        <v>0</v>
      </c>
      <c r="O30" s="186">
        <f>IFERROR(E30/_xlfn.XLOOKUP($M30,'00_SKU_Master'!$B$2:$B$379,'00_SKU_Master'!$M$2:$M$379,0),"0")</f>
        <v>6.1171356848790657</v>
      </c>
      <c r="P30" s="186">
        <f>IFERROR(F30/_xlfn.XLOOKUP($M30,'00_SKU_Master'!$B$2:$B$379,'00_SKU_Master'!$M$2:$M$379,0),"0")</f>
        <v>0</v>
      </c>
      <c r="Q30" s="186">
        <f>IFERROR(G30/_xlfn.XLOOKUP($M30,'00_SKU_Master'!$B$2:$B$379,'00_SKU_Master'!$M$2:$M$379,0),"0")</f>
        <v>8.0634970391587686</v>
      </c>
      <c r="R30" s="186">
        <f>IFERROR(H30/_xlfn.XLOOKUP($M30,'00_SKU_Master'!$B$2:$B$379,'00_SKU_Master'!$M$2:$M$379,0),"0")</f>
        <v>10.009858393438472</v>
      </c>
      <c r="S30" s="186">
        <f>IFERROR(I30/_xlfn.XLOOKUP($M30,'00_SKU_Master'!$B$2:$B$379,'00_SKU_Master'!$M$2:$M$379,0),"0")</f>
        <v>0</v>
      </c>
      <c r="T30" s="186">
        <f>IFERROR(J30/_xlfn.XLOOKUP($M30,'00_SKU_Master'!$B$2:$B$379,'00_SKU_Master'!$M$2:$M$379,0),"0")</f>
        <v>8.6196002832386842</v>
      </c>
      <c r="U30" s="186">
        <f t="shared" si="1"/>
        <v>32.810091400714988</v>
      </c>
      <c r="V30" s="186" t="str">
        <f>_xlfn.XLOOKUP(M30,'00_SKU_Master'!$B$2:$B$379,'00_SKU_Master'!$D$2:$D$379)</f>
        <v>FB</v>
      </c>
      <c r="W30" s="1"/>
      <c r="X30" s="2">
        <f>'05_Daily_Orders'!C31</f>
        <v>2047</v>
      </c>
      <c r="Y30" s="289"/>
      <c r="Z30" s="289">
        <v>22</v>
      </c>
      <c r="AA30" s="289">
        <v>0</v>
      </c>
      <c r="AB30" s="289">
        <v>29</v>
      </c>
      <c r="AC30" s="289">
        <v>36</v>
      </c>
      <c r="AD30" s="289">
        <v>0</v>
      </c>
      <c r="AE30" s="289">
        <v>31</v>
      </c>
      <c r="AF30" s="7">
        <f t="shared" si="2"/>
        <v>118</v>
      </c>
      <c r="AQ30" s="70">
        <v>0</v>
      </c>
      <c r="AR30" s="70">
        <v>22</v>
      </c>
      <c r="AS30" s="3">
        <f t="shared" si="4"/>
        <v>22</v>
      </c>
    </row>
    <row r="31" spans="1:45" x14ac:dyDescent="0.35">
      <c r="A31" s="181" t="str">
        <f>_xlfn.XLOOKUP(X31,'00_SKU_Master'!$B$2:$B$379,'00_SKU_Master'!$C$2:$C$379)</f>
        <v>61072#2</v>
      </c>
      <c r="B31" s="181" t="str">
        <f>_xlfn.XLOOKUP(X31,tblSKU[SKU],tblSKU[Product_Group])</f>
        <v>Drum</v>
      </c>
      <c r="C31" s="181" t="str">
        <f>_xlfn.XLOOKUP(X31,tblSKU[SKU],tblSKU[Tray_Type])</f>
        <v>LT 8XP</v>
      </c>
      <c r="D31" s="182">
        <f>_xlfn.IFNA(_xlfn.XLOOKUP(X31,'00_SKU_Master'!$B$2:$B$379,'00_SKU_Master'!$F$2:$F$379,0)*Y31,"")</f>
        <v>0</v>
      </c>
      <c r="E31" s="182">
        <f>_xlfn.IFNA(_xlfn.XLOOKUP(X31,'00_SKU_Master'!$B$2:$B$379,'00_SKU_Master'!$F$2:$F$379,0)*Z31,"")</f>
        <v>0</v>
      </c>
      <c r="F31" s="182">
        <f>_xlfn.IFNA(_xlfn.XLOOKUP(X31,'00_SKU_Master'!$B$2:$B$379,'00_SKU_Master'!$F$2:$F$379,0)*AA31,"")</f>
        <v>401.99595651597502</v>
      </c>
      <c r="G31" s="182">
        <f>_xlfn.IFNA(_xlfn.XLOOKUP(X31,'00_SKU_Master'!$B$2:$B$379,'00_SKU_Master'!$F$2:$F$379,0)*AB31,"")</f>
        <v>401.99595651597502</v>
      </c>
      <c r="H31" s="182">
        <f>_xlfn.IFNA(_xlfn.XLOOKUP(X31,'00_SKU_Master'!$B$2:$B$379,'00_SKU_Master'!$F$2:$F$379,0)*AC31,"")</f>
        <v>1406.9858478059125</v>
      </c>
      <c r="I31" s="182">
        <f>_xlfn.IFNA(_xlfn.XLOOKUP(X31,'00_SKU_Master'!$B$2:$B$379,'00_SKU_Master'!$F$2:$F$379,0)*AD31,"")</f>
        <v>0</v>
      </c>
      <c r="J31" s="182">
        <f>_xlfn.IFNA(_xlfn.XLOOKUP(X31,'00_SKU_Master'!$B$2:$B$379,'00_SKU_Master'!$F$2:$F$379,0)*AE31,"")</f>
        <v>0</v>
      </c>
      <c r="K31" s="183">
        <f t="shared" si="3"/>
        <v>2210.9777608378627</v>
      </c>
      <c r="L31" s="184" t="str">
        <f>_xlfn.XLOOKUP(X31,'00_SKU_Master'!$B$2:$B$379,'00_SKU_Master'!$K$2:$K$379)</f>
        <v>Fast</v>
      </c>
      <c r="M31" s="185">
        <f t="shared" si="0"/>
        <v>2060</v>
      </c>
      <c r="N31" s="186">
        <f>IFERROR(D31/_xlfn.XLOOKUP($M31,'00_SKU_Master'!$B$2:$B$379,'00_SKU_Master'!$M$2:$M$379,0),"0")</f>
        <v>0</v>
      </c>
      <c r="O31" s="186">
        <f>IFERROR(E31/_xlfn.XLOOKUP($M31,'00_SKU_Master'!$B$2:$B$379,'00_SKU_Master'!$M$2:$M$379,0),"0")</f>
        <v>0</v>
      </c>
      <c r="P31" s="186">
        <f>IFERROR(F31/_xlfn.XLOOKUP($M31,'00_SKU_Master'!$B$2:$B$379,'00_SKU_Master'!$M$2:$M$379,0),"0")</f>
        <v>9.0133622537214126</v>
      </c>
      <c r="Q31" s="186">
        <f>IFERROR(G31/_xlfn.XLOOKUP($M31,'00_SKU_Master'!$B$2:$B$379,'00_SKU_Master'!$M$2:$M$379,0),"0")</f>
        <v>9.0133622537214126</v>
      </c>
      <c r="R31" s="186">
        <f>IFERROR(H31/_xlfn.XLOOKUP($M31,'00_SKU_Master'!$B$2:$B$379,'00_SKU_Master'!$M$2:$M$379,0),"0")</f>
        <v>31.546767888024942</v>
      </c>
      <c r="S31" s="186">
        <f>IFERROR(I31/_xlfn.XLOOKUP($M31,'00_SKU_Master'!$B$2:$B$379,'00_SKU_Master'!$M$2:$M$379,0),"0")</f>
        <v>0</v>
      </c>
      <c r="T31" s="186">
        <f>IFERROR(J31/_xlfn.XLOOKUP($M31,'00_SKU_Master'!$B$2:$B$379,'00_SKU_Master'!$M$2:$M$379,0),"0")</f>
        <v>0</v>
      </c>
      <c r="U31" s="186">
        <f t="shared" si="1"/>
        <v>49.573492395467767</v>
      </c>
      <c r="V31" s="186" t="str">
        <f>_xlfn.XLOOKUP(M31,'00_SKU_Master'!$B$2:$B$379,'00_SKU_Master'!$D$2:$D$379)</f>
        <v>METRO</v>
      </c>
      <c r="W31" s="1"/>
      <c r="X31" s="2">
        <f>'05_Daily_Orders'!C32</f>
        <v>2060</v>
      </c>
      <c r="Y31" s="289"/>
      <c r="Z31" s="289">
        <v>0</v>
      </c>
      <c r="AA31" s="289">
        <v>50</v>
      </c>
      <c r="AB31" s="289">
        <v>50</v>
      </c>
      <c r="AC31" s="289">
        <v>175</v>
      </c>
      <c r="AD31" s="289">
        <v>0</v>
      </c>
      <c r="AE31" s="289">
        <v>0</v>
      </c>
      <c r="AF31" s="7">
        <f t="shared" si="2"/>
        <v>275</v>
      </c>
      <c r="AH31" s="219"/>
      <c r="AI31" s="218"/>
      <c r="AQ31" s="70">
        <v>0</v>
      </c>
      <c r="AR31" s="70">
        <v>0</v>
      </c>
      <c r="AS31" s="3">
        <f t="shared" si="4"/>
        <v>0</v>
      </c>
    </row>
    <row r="32" spans="1:45" x14ac:dyDescent="0.35">
      <c r="A32" s="181">
        <f>_xlfn.XLOOKUP(X32,'00_SKU_Master'!$B$2:$B$379,'00_SKU_Master'!$C$2:$C$379)</f>
        <v>61082</v>
      </c>
      <c r="B32" s="181" t="str">
        <f>_xlfn.XLOOKUP(X32,tblSKU[SKU],tblSKU[Product_Group])</f>
        <v>Thigh</v>
      </c>
      <c r="C32" s="181" t="str">
        <f>_xlfn.XLOOKUP(X32,tblSKU[SKU],tblSKU[Tray_Type])</f>
        <v>LT 8XP</v>
      </c>
      <c r="D32" s="182">
        <f>_xlfn.IFNA(_xlfn.XLOOKUP(X32,'00_SKU_Master'!$B$2:$B$379,'00_SKU_Master'!$F$2:$F$379,0)*Y32,"")</f>
        <v>0</v>
      </c>
      <c r="E32" s="182">
        <f>_xlfn.IFNA(_xlfn.XLOOKUP(X32,'00_SKU_Master'!$B$2:$B$379,'00_SKU_Master'!$F$2:$F$379,0)*Z32,"")</f>
        <v>398.5349934203864</v>
      </c>
      <c r="F32" s="182">
        <f>_xlfn.IFNA(_xlfn.XLOOKUP(X32,'00_SKU_Master'!$B$2:$B$379,'00_SKU_Master'!$F$2:$F$379,0)*AA32,"")</f>
        <v>398.5349934203864</v>
      </c>
      <c r="G32" s="182">
        <f>_xlfn.IFNA(_xlfn.XLOOKUP(X32,'00_SKU_Master'!$B$2:$B$379,'00_SKU_Master'!$F$2:$F$379,0)*AB32,"")</f>
        <v>398.5349934203864</v>
      </c>
      <c r="H32" s="182">
        <f>_xlfn.IFNA(_xlfn.XLOOKUP(X32,'00_SKU_Master'!$B$2:$B$379,'00_SKU_Master'!$F$2:$F$379,0)*AC32,"")</f>
        <v>1743.5905962141903</v>
      </c>
      <c r="I32" s="182">
        <f>_xlfn.IFNA(_xlfn.XLOOKUP(X32,'00_SKU_Master'!$B$2:$B$379,'00_SKU_Master'!$F$2:$F$379,0)*AD32,"")</f>
        <v>0</v>
      </c>
      <c r="J32" s="182">
        <f>_xlfn.IFNA(_xlfn.XLOOKUP(X32,'00_SKU_Master'!$B$2:$B$379,'00_SKU_Master'!$F$2:$F$379,0)*AE32,"")</f>
        <v>0</v>
      </c>
      <c r="K32" s="183">
        <f t="shared" si="3"/>
        <v>2939.1955764753493</v>
      </c>
      <c r="L32" s="184" t="str">
        <f>_xlfn.XLOOKUP(X32,'00_SKU_Master'!$B$2:$B$379,'00_SKU_Master'!$K$2:$K$379)</f>
        <v>Fast</v>
      </c>
      <c r="M32" s="185">
        <f t="shared" si="0"/>
        <v>2061</v>
      </c>
      <c r="N32" s="186">
        <f>IFERROR(D32/_xlfn.XLOOKUP($M32,'00_SKU_Master'!$B$2:$B$379,'00_SKU_Master'!$M$2:$M$379,0),"0")</f>
        <v>0</v>
      </c>
      <c r="O32" s="186">
        <f>IFERROR(E32/_xlfn.XLOOKUP($M32,'00_SKU_Master'!$B$2:$B$379,'00_SKU_Master'!$M$2:$M$379,0),"0")</f>
        <v>7.5465819621357015</v>
      </c>
      <c r="P32" s="186">
        <f>IFERROR(F32/_xlfn.XLOOKUP($M32,'00_SKU_Master'!$B$2:$B$379,'00_SKU_Master'!$M$2:$M$379,0),"0")</f>
        <v>7.5465819621357015</v>
      </c>
      <c r="Q32" s="186">
        <f>IFERROR(G32/_xlfn.XLOOKUP($M32,'00_SKU_Master'!$B$2:$B$379,'00_SKU_Master'!$M$2:$M$379,0),"0")</f>
        <v>7.5465819621357015</v>
      </c>
      <c r="R32" s="186">
        <f>IFERROR(H32/_xlfn.XLOOKUP($M32,'00_SKU_Master'!$B$2:$B$379,'00_SKU_Master'!$M$2:$M$379,0),"0")</f>
        <v>33.016296084343686</v>
      </c>
      <c r="S32" s="186">
        <f>IFERROR(I32/_xlfn.XLOOKUP($M32,'00_SKU_Master'!$B$2:$B$379,'00_SKU_Master'!$M$2:$M$379,0),"0")</f>
        <v>0</v>
      </c>
      <c r="T32" s="186">
        <f>IFERROR(J32/_xlfn.XLOOKUP($M32,'00_SKU_Master'!$B$2:$B$379,'00_SKU_Master'!$M$2:$M$379,0),"0")</f>
        <v>0</v>
      </c>
      <c r="U32" s="186">
        <f t="shared" si="1"/>
        <v>55.656041970750792</v>
      </c>
      <c r="V32" s="186" t="str">
        <f>_xlfn.XLOOKUP(M32,'00_SKU_Master'!$B$2:$B$379,'00_SKU_Master'!$D$2:$D$379)</f>
        <v>METRO</v>
      </c>
      <c r="W32" s="1"/>
      <c r="X32" s="2">
        <f>'05_Daily_Orders'!C33</f>
        <v>2061</v>
      </c>
      <c r="Y32" s="289"/>
      <c r="Z32" s="289">
        <v>40</v>
      </c>
      <c r="AA32" s="289">
        <v>40</v>
      </c>
      <c r="AB32" s="289">
        <v>40</v>
      </c>
      <c r="AC32" s="289">
        <v>175</v>
      </c>
      <c r="AD32" s="289">
        <v>0</v>
      </c>
      <c r="AE32" s="289">
        <v>0</v>
      </c>
      <c r="AF32" s="7">
        <f t="shared" si="2"/>
        <v>295</v>
      </c>
      <c r="AQ32" s="70">
        <v>0</v>
      </c>
      <c r="AR32" s="70">
        <v>40</v>
      </c>
      <c r="AS32" s="3">
        <f t="shared" si="4"/>
        <v>40</v>
      </c>
    </row>
    <row r="33" spans="1:45" x14ac:dyDescent="0.35">
      <c r="A33" s="181" t="str">
        <f>_xlfn.XLOOKUP(X33,'00_SKU_Master'!$B$2:$B$379,'00_SKU_Master'!$C$2:$C$379)</f>
        <v>61048#2</v>
      </c>
      <c r="B33" s="181" t="str">
        <f>_xlfn.XLOOKUP(X33,tblSKU[SKU],tblSKU[Product_Group])</f>
        <v>SplitBreast</v>
      </c>
      <c r="C33" s="181" t="str">
        <f>_xlfn.XLOOKUP(X33,tblSKU[SKU],tblSKU[Tray_Type])</f>
        <v>LT 8XP</v>
      </c>
      <c r="D33" s="182">
        <f>_xlfn.IFNA(_xlfn.XLOOKUP(X33,'00_SKU_Master'!$B$2:$B$379,'00_SKU_Master'!$F$2:$F$379,0)*Y33,"")</f>
        <v>0</v>
      </c>
      <c r="E33" s="182">
        <f>_xlfn.IFNA(_xlfn.XLOOKUP(X33,'00_SKU_Master'!$B$2:$B$379,'00_SKU_Master'!$F$2:$F$379,0)*Z33,"")</f>
        <v>0</v>
      </c>
      <c r="F33" s="182">
        <f>_xlfn.IFNA(_xlfn.XLOOKUP(X33,'00_SKU_Master'!$B$2:$B$379,'00_SKU_Master'!$F$2:$F$379,0)*AA33,"")</f>
        <v>0</v>
      </c>
      <c r="G33" s="182">
        <f>_xlfn.IFNA(_xlfn.XLOOKUP(X33,'00_SKU_Master'!$B$2:$B$379,'00_SKU_Master'!$F$2:$F$379,0)*AB33,"")</f>
        <v>0</v>
      </c>
      <c r="H33" s="182">
        <f>_xlfn.IFNA(_xlfn.XLOOKUP(X33,'00_SKU_Master'!$B$2:$B$379,'00_SKU_Master'!$F$2:$F$379,0)*AC33,"")</f>
        <v>0</v>
      </c>
      <c r="I33" s="182">
        <f>_xlfn.IFNA(_xlfn.XLOOKUP(X33,'00_SKU_Master'!$B$2:$B$379,'00_SKU_Master'!$F$2:$F$379,0)*AD33,"")</f>
        <v>0</v>
      </c>
      <c r="J33" s="182">
        <f>_xlfn.IFNA(_xlfn.XLOOKUP(X33,'00_SKU_Master'!$B$2:$B$379,'00_SKU_Master'!$F$2:$F$379,0)*AE33,"")</f>
        <v>0</v>
      </c>
      <c r="K33" s="183">
        <f t="shared" si="3"/>
        <v>0</v>
      </c>
      <c r="L33" s="184" t="str">
        <f>_xlfn.XLOOKUP(X33,'00_SKU_Master'!$B$2:$B$379,'00_SKU_Master'!$K$2:$K$379)</f>
        <v>Fast</v>
      </c>
      <c r="M33" s="185">
        <f t="shared" si="0"/>
        <v>2062</v>
      </c>
      <c r="N33" s="186">
        <f>IFERROR(D33/_xlfn.XLOOKUP($M33,'00_SKU_Master'!$B$2:$B$379,'00_SKU_Master'!$M$2:$M$379,0),"0")</f>
        <v>0</v>
      </c>
      <c r="O33" s="186">
        <f>IFERROR(E33/_xlfn.XLOOKUP($M33,'00_SKU_Master'!$B$2:$B$379,'00_SKU_Master'!$M$2:$M$379,0),"0")</f>
        <v>0</v>
      </c>
      <c r="P33" s="186">
        <f>IFERROR(F33/_xlfn.XLOOKUP($M33,'00_SKU_Master'!$B$2:$B$379,'00_SKU_Master'!$M$2:$M$379,0),"0")</f>
        <v>0</v>
      </c>
      <c r="Q33" s="186">
        <f>IFERROR(G33/_xlfn.XLOOKUP($M33,'00_SKU_Master'!$B$2:$B$379,'00_SKU_Master'!$M$2:$M$379,0),"0")</f>
        <v>0</v>
      </c>
      <c r="R33" s="186">
        <f>IFERROR(H33/_xlfn.XLOOKUP($M33,'00_SKU_Master'!$B$2:$B$379,'00_SKU_Master'!$M$2:$M$379,0),"0")</f>
        <v>0</v>
      </c>
      <c r="S33" s="186">
        <f>IFERROR(I33/_xlfn.XLOOKUP($M33,'00_SKU_Master'!$B$2:$B$379,'00_SKU_Master'!$M$2:$M$379,0),"0")</f>
        <v>0</v>
      </c>
      <c r="T33" s="186">
        <f>IFERROR(J33/_xlfn.XLOOKUP($M33,'00_SKU_Master'!$B$2:$B$379,'00_SKU_Master'!$M$2:$M$379,0),"0")</f>
        <v>0</v>
      </c>
      <c r="U33" s="186">
        <f t="shared" si="1"/>
        <v>0</v>
      </c>
      <c r="V33" s="186" t="str">
        <f>_xlfn.XLOOKUP(M33,'00_SKU_Master'!$B$2:$B$379,'00_SKU_Master'!$D$2:$D$379)</f>
        <v>METRO</v>
      </c>
      <c r="W33" s="1"/>
      <c r="X33" s="2">
        <f>'05_Daily_Orders'!C34</f>
        <v>2062</v>
      </c>
      <c r="Y33" s="289"/>
      <c r="Z33" s="289">
        <v>0</v>
      </c>
      <c r="AA33" s="289">
        <v>0</v>
      </c>
      <c r="AB33" s="289">
        <v>0</v>
      </c>
      <c r="AC33" s="289">
        <v>0</v>
      </c>
      <c r="AD33" s="289">
        <v>0</v>
      </c>
      <c r="AE33" s="289">
        <v>0</v>
      </c>
      <c r="AF33" s="7">
        <f t="shared" si="2"/>
        <v>0</v>
      </c>
      <c r="AQ33" s="70">
        <v>0</v>
      </c>
      <c r="AR33" s="70">
        <v>0</v>
      </c>
      <c r="AS33" s="3">
        <f t="shared" si="4"/>
        <v>0</v>
      </c>
    </row>
    <row r="34" spans="1:45" x14ac:dyDescent="0.35">
      <c r="A34" s="181">
        <f>_xlfn.XLOOKUP(X34,'00_SKU_Master'!$B$2:$B$379,'00_SKU_Master'!$C$2:$C$379)</f>
        <v>203891</v>
      </c>
      <c r="B34" s="181" t="str">
        <f>_xlfn.XLOOKUP(X34,tblSKU[SKU],tblSKU[Product_Group])</f>
        <v>Whole Bird-Small</v>
      </c>
      <c r="C34" s="181" t="str">
        <f>_xlfn.XLOOKUP(X34,tblSKU[SKU],tblSKU[Tray_Type])</f>
        <v>ST 3XP</v>
      </c>
      <c r="D34" s="182">
        <f>_xlfn.IFNA(_xlfn.XLOOKUP(X34,'00_SKU_Master'!$B$2:$B$379,'00_SKU_Master'!$F$2:$F$379,0)*Y34,"")</f>
        <v>0</v>
      </c>
      <c r="E34" s="182">
        <f>_xlfn.IFNA(_xlfn.XLOOKUP(X34,'00_SKU_Master'!$B$2:$B$379,'00_SKU_Master'!$F$2:$F$379,0)*Z34,"")</f>
        <v>359.40676578323598</v>
      </c>
      <c r="F34" s="182">
        <f>_xlfn.IFNA(_xlfn.XLOOKUP(X34,'00_SKU_Master'!$B$2:$B$379,'00_SKU_Master'!$F$2:$F$379,0)*AA34,"")</f>
        <v>0</v>
      </c>
      <c r="G34" s="182">
        <f>_xlfn.IFNA(_xlfn.XLOOKUP(X34,'00_SKU_Master'!$B$2:$B$379,'00_SKU_Master'!$F$2:$F$379,0)*AB34,"")</f>
        <v>0</v>
      </c>
      <c r="H34" s="182">
        <f>_xlfn.IFNA(_xlfn.XLOOKUP(X34,'00_SKU_Master'!$B$2:$B$379,'00_SKU_Master'!$F$2:$F$379,0)*AC34,"")</f>
        <v>2246.2922861452248</v>
      </c>
      <c r="I34" s="182">
        <f>_xlfn.IFNA(_xlfn.XLOOKUP(X34,'00_SKU_Master'!$B$2:$B$379,'00_SKU_Master'!$F$2:$F$379,0)*AD34,"")</f>
        <v>0</v>
      </c>
      <c r="J34" s="182">
        <f>_xlfn.IFNA(_xlfn.XLOOKUP(X34,'00_SKU_Master'!$B$2:$B$379,'00_SKU_Master'!$F$2:$F$379,0)*AE34,"")</f>
        <v>0</v>
      </c>
      <c r="K34" s="183">
        <f t="shared" si="3"/>
        <v>2605.6990519284609</v>
      </c>
      <c r="L34" s="184" t="str">
        <f>_xlfn.XLOOKUP(X34,'00_SKU_Master'!$B$2:$B$379,'00_SKU_Master'!$K$2:$K$379)</f>
        <v>Fast</v>
      </c>
      <c r="M34" s="185">
        <f t="shared" si="0"/>
        <v>2063</v>
      </c>
      <c r="N34" s="186">
        <f>IFERROR(D34/_xlfn.XLOOKUP($M34,'00_SKU_Master'!$B$2:$B$379,'00_SKU_Master'!$M$2:$M$379,0),"0")</f>
        <v>0</v>
      </c>
      <c r="O34" s="186">
        <f>IFERROR(E34/_xlfn.XLOOKUP($M34,'00_SKU_Master'!$B$2:$B$379,'00_SKU_Master'!$M$2:$M$379,0),"0")</f>
        <v>2.7431442969259345</v>
      </c>
      <c r="P34" s="186">
        <f>IFERROR(F34/_xlfn.XLOOKUP($M34,'00_SKU_Master'!$B$2:$B$379,'00_SKU_Master'!$M$2:$M$379,0),"0")</f>
        <v>0</v>
      </c>
      <c r="Q34" s="186">
        <f>IFERROR(G34/_xlfn.XLOOKUP($M34,'00_SKU_Master'!$B$2:$B$379,'00_SKU_Master'!$M$2:$M$379,0),"0")</f>
        <v>0</v>
      </c>
      <c r="R34" s="186">
        <f>IFERROR(H34/_xlfn.XLOOKUP($M34,'00_SKU_Master'!$B$2:$B$379,'00_SKU_Master'!$M$2:$M$379,0),"0")</f>
        <v>17.144651855787092</v>
      </c>
      <c r="S34" s="186">
        <f>IFERROR(I34/_xlfn.XLOOKUP($M34,'00_SKU_Master'!$B$2:$B$379,'00_SKU_Master'!$M$2:$M$379,0),"0")</f>
        <v>0</v>
      </c>
      <c r="T34" s="186">
        <f>IFERROR(J34/_xlfn.XLOOKUP($M34,'00_SKU_Master'!$B$2:$B$379,'00_SKU_Master'!$M$2:$M$379,0),"0")</f>
        <v>0</v>
      </c>
      <c r="U34" s="186">
        <f t="shared" si="1"/>
        <v>19.887796152713026</v>
      </c>
      <c r="V34" s="186" t="str">
        <f>_xlfn.XLOOKUP(M34,'00_SKU_Master'!$B$2:$B$379,'00_SKU_Master'!$D$2:$D$379)</f>
        <v>METRO</v>
      </c>
      <c r="W34" s="1"/>
      <c r="X34" s="2">
        <f>'05_Daily_Orders'!C35</f>
        <v>2063</v>
      </c>
      <c r="Y34" s="289"/>
      <c r="Z34" s="289">
        <v>40</v>
      </c>
      <c r="AA34" s="289">
        <v>0</v>
      </c>
      <c r="AB34" s="289">
        <v>0</v>
      </c>
      <c r="AC34" s="289">
        <v>250</v>
      </c>
      <c r="AD34" s="289">
        <v>0</v>
      </c>
      <c r="AE34" s="289">
        <v>0</v>
      </c>
      <c r="AF34" s="7">
        <f t="shared" si="2"/>
        <v>290</v>
      </c>
      <c r="AQ34" s="70">
        <v>0</v>
      </c>
      <c r="AR34" s="70">
        <v>40</v>
      </c>
      <c r="AS34" s="3">
        <f t="shared" si="4"/>
        <v>40</v>
      </c>
    </row>
    <row r="35" spans="1:45" x14ac:dyDescent="0.35">
      <c r="A35" s="181">
        <f>_xlfn.XLOOKUP(X35,'00_SKU_Master'!$B$2:$B$379,'00_SKU_Master'!$C$2:$C$379)</f>
        <v>61061</v>
      </c>
      <c r="B35" s="181" t="str">
        <f>_xlfn.XLOOKUP(X35,tblSKU[SKU],tblSKU[Product_Group])</f>
        <v>BA</v>
      </c>
      <c r="C35" s="181" t="str">
        <f>_xlfn.XLOOKUP(X35,tblSKU[SKU],tblSKU[Tray_Type])</f>
        <v>LT 8XP</v>
      </c>
      <c r="D35" s="182">
        <f>_xlfn.IFNA(_xlfn.XLOOKUP(X35,'00_SKU_Master'!$B$2:$B$379,'00_SKU_Master'!$F$2:$F$379,0)*Y35,"")</f>
        <v>0</v>
      </c>
      <c r="E35" s="182">
        <f>_xlfn.IFNA(_xlfn.XLOOKUP(X35,'00_SKU_Master'!$B$2:$B$379,'00_SKU_Master'!$F$2:$F$379,0)*Z35,"")</f>
        <v>496.29985517740749</v>
      </c>
      <c r="F35" s="182">
        <f>_xlfn.IFNA(_xlfn.XLOOKUP(X35,'00_SKU_Master'!$B$2:$B$379,'00_SKU_Master'!$F$2:$F$379,0)*AA35,"")</f>
        <v>794.07976828385199</v>
      </c>
      <c r="G35" s="182">
        <f>_xlfn.IFNA(_xlfn.XLOOKUP(X35,'00_SKU_Master'!$B$2:$B$379,'00_SKU_Master'!$F$2:$F$379,0)*AB35,"")</f>
        <v>794.07976828385199</v>
      </c>
      <c r="H35" s="182">
        <f>_xlfn.IFNA(_xlfn.XLOOKUP(X35,'00_SKU_Master'!$B$2:$B$379,'00_SKU_Master'!$F$2:$F$379,0)*AC35,"")</f>
        <v>1786.679478638667</v>
      </c>
      <c r="I35" s="182">
        <f>_xlfn.IFNA(_xlfn.XLOOKUP(X35,'00_SKU_Master'!$B$2:$B$379,'00_SKU_Master'!$F$2:$F$379,0)*AD35,"")</f>
        <v>0</v>
      </c>
      <c r="J35" s="182">
        <f>_xlfn.IFNA(_xlfn.XLOOKUP(X35,'00_SKU_Master'!$B$2:$B$379,'00_SKU_Master'!$F$2:$F$379,0)*AE35,"")</f>
        <v>0</v>
      </c>
      <c r="K35" s="183">
        <f t="shared" si="3"/>
        <v>3871.1388703837783</v>
      </c>
      <c r="L35" s="184" t="str">
        <f>_xlfn.XLOOKUP(X35,'00_SKU_Master'!$B$2:$B$379,'00_SKU_Master'!$K$2:$K$379)</f>
        <v>Fast</v>
      </c>
      <c r="M35" s="185">
        <f t="shared" si="0"/>
        <v>2064</v>
      </c>
      <c r="N35" s="186">
        <f>IFERROR(D35/_xlfn.XLOOKUP($M35,'00_SKU_Master'!$B$2:$B$379,'00_SKU_Master'!$M$2:$M$379,0),"0")</f>
        <v>0</v>
      </c>
      <c r="O35" s="186">
        <f>IFERROR(E35/_xlfn.XLOOKUP($M35,'00_SKU_Master'!$B$2:$B$379,'00_SKU_Master'!$M$2:$M$379,0),"0")</f>
        <v>8.0607415166056118</v>
      </c>
      <c r="P35" s="186">
        <f>IFERROR(F35/_xlfn.XLOOKUP($M35,'00_SKU_Master'!$B$2:$B$379,'00_SKU_Master'!$M$2:$M$379,0),"0")</f>
        <v>12.897186426568979</v>
      </c>
      <c r="Q35" s="186">
        <f>IFERROR(G35/_xlfn.XLOOKUP($M35,'00_SKU_Master'!$B$2:$B$379,'00_SKU_Master'!$M$2:$M$379,0),"0")</f>
        <v>12.897186426568979</v>
      </c>
      <c r="R35" s="186">
        <f>IFERROR(H35/_xlfn.XLOOKUP($M35,'00_SKU_Master'!$B$2:$B$379,'00_SKU_Master'!$M$2:$M$379,0),"0")</f>
        <v>29.018669459780202</v>
      </c>
      <c r="S35" s="186">
        <f>IFERROR(I35/_xlfn.XLOOKUP($M35,'00_SKU_Master'!$B$2:$B$379,'00_SKU_Master'!$M$2:$M$379,0),"0")</f>
        <v>0</v>
      </c>
      <c r="T35" s="186">
        <f>IFERROR(J35/_xlfn.XLOOKUP($M35,'00_SKU_Master'!$B$2:$B$379,'00_SKU_Master'!$M$2:$M$379,0),"0")</f>
        <v>0</v>
      </c>
      <c r="U35" s="186">
        <f t="shared" si="1"/>
        <v>62.873783829523774</v>
      </c>
      <c r="V35" s="186" t="str">
        <f>_xlfn.XLOOKUP(M35,'00_SKU_Master'!$B$2:$B$379,'00_SKU_Master'!$D$2:$D$379)</f>
        <v>METRO</v>
      </c>
      <c r="W35" s="1"/>
      <c r="X35" s="2">
        <f>'05_Daily_Orders'!C36</f>
        <v>2064</v>
      </c>
      <c r="Y35" s="289"/>
      <c r="Z35" s="289">
        <v>50</v>
      </c>
      <c r="AA35" s="289">
        <v>80</v>
      </c>
      <c r="AB35" s="289">
        <v>80</v>
      </c>
      <c r="AC35" s="289">
        <v>180</v>
      </c>
      <c r="AD35" s="289">
        <v>0</v>
      </c>
      <c r="AE35" s="289">
        <v>0</v>
      </c>
      <c r="AF35" s="7">
        <f t="shared" si="2"/>
        <v>390</v>
      </c>
      <c r="AQ35" s="70">
        <v>0</v>
      </c>
      <c r="AR35" s="70">
        <v>50</v>
      </c>
      <c r="AS35" s="3">
        <f t="shared" si="4"/>
        <v>50</v>
      </c>
    </row>
    <row r="36" spans="1:45" x14ac:dyDescent="0.35">
      <c r="A36" s="181">
        <f>_xlfn.XLOOKUP(X36,'00_SKU_Master'!$B$2:$B$379,'00_SKU_Master'!$C$2:$C$379)</f>
        <v>61010</v>
      </c>
      <c r="B36" s="181" t="str">
        <f>_xlfn.XLOOKUP(X36,tblSKU[SKU],tblSKU[Product_Group])</f>
        <v>Wing</v>
      </c>
      <c r="C36" s="181" t="str">
        <f>_xlfn.XLOOKUP(X36,tblSKU[SKU],tblSKU[Tray_Type])</f>
        <v>LT 8XP</v>
      </c>
      <c r="D36" s="182">
        <f>_xlfn.IFNA(_xlfn.XLOOKUP(X36,'00_SKU_Master'!$B$2:$B$379,'00_SKU_Master'!$F$2:$F$379,0)*Y36,"")</f>
        <v>0</v>
      </c>
      <c r="E36" s="182">
        <f>_xlfn.IFNA(_xlfn.XLOOKUP(X36,'00_SKU_Master'!$B$2:$B$379,'00_SKU_Master'!$F$2:$F$379,0)*Z36,"")</f>
        <v>0</v>
      </c>
      <c r="F36" s="182">
        <f>_xlfn.IFNA(_xlfn.XLOOKUP(X36,'00_SKU_Master'!$B$2:$B$379,'00_SKU_Master'!$F$2:$F$379,0)*AA36,"")</f>
        <v>0</v>
      </c>
      <c r="G36" s="182">
        <f>_xlfn.IFNA(_xlfn.XLOOKUP(X36,'00_SKU_Master'!$B$2:$B$379,'00_SKU_Master'!$F$2:$F$379,0)*AB36,"")</f>
        <v>0</v>
      </c>
      <c r="H36" s="182">
        <f>_xlfn.IFNA(_xlfn.XLOOKUP(X36,'00_SKU_Master'!$B$2:$B$379,'00_SKU_Master'!$F$2:$F$379,0)*AC36,"")</f>
        <v>0</v>
      </c>
      <c r="I36" s="182">
        <f>_xlfn.IFNA(_xlfn.XLOOKUP(X36,'00_SKU_Master'!$B$2:$B$379,'00_SKU_Master'!$F$2:$F$379,0)*AD36,"")</f>
        <v>0</v>
      </c>
      <c r="J36" s="182">
        <f>_xlfn.IFNA(_xlfn.XLOOKUP(X36,'00_SKU_Master'!$B$2:$B$379,'00_SKU_Master'!$F$2:$F$379,0)*AE36,"")</f>
        <v>0</v>
      </c>
      <c r="K36" s="183">
        <f t="shared" si="3"/>
        <v>0</v>
      </c>
      <c r="L36" s="184" t="str">
        <f>_xlfn.XLOOKUP(X36,'00_SKU_Master'!$B$2:$B$379,'00_SKU_Master'!$K$2:$K$379)</f>
        <v>Fast</v>
      </c>
      <c r="M36" s="185">
        <f t="shared" si="0"/>
        <v>2065</v>
      </c>
      <c r="N36" s="186">
        <f>IFERROR(D36/_xlfn.XLOOKUP($M36,'00_SKU_Master'!$B$2:$B$379,'00_SKU_Master'!$M$2:$M$379,0),"0")</f>
        <v>0</v>
      </c>
      <c r="O36" s="186">
        <f>IFERROR(E36/_xlfn.XLOOKUP($M36,'00_SKU_Master'!$B$2:$B$379,'00_SKU_Master'!$M$2:$M$379,0),"0")</f>
        <v>0</v>
      </c>
      <c r="P36" s="186">
        <f>IFERROR(F36/_xlfn.XLOOKUP($M36,'00_SKU_Master'!$B$2:$B$379,'00_SKU_Master'!$M$2:$M$379,0),"0")</f>
        <v>0</v>
      </c>
      <c r="Q36" s="186">
        <f>IFERROR(G36/_xlfn.XLOOKUP($M36,'00_SKU_Master'!$B$2:$B$379,'00_SKU_Master'!$M$2:$M$379,0),"0")</f>
        <v>0</v>
      </c>
      <c r="R36" s="186">
        <f>IFERROR(H36/_xlfn.XLOOKUP($M36,'00_SKU_Master'!$B$2:$B$379,'00_SKU_Master'!$M$2:$M$379,0),"0")</f>
        <v>0</v>
      </c>
      <c r="S36" s="186">
        <f>IFERROR(I36/_xlfn.XLOOKUP($M36,'00_SKU_Master'!$B$2:$B$379,'00_SKU_Master'!$M$2:$M$379,0),"0")</f>
        <v>0</v>
      </c>
      <c r="T36" s="186">
        <f>IFERROR(J36/_xlfn.XLOOKUP($M36,'00_SKU_Master'!$B$2:$B$379,'00_SKU_Master'!$M$2:$M$379,0),"0")</f>
        <v>0</v>
      </c>
      <c r="U36" s="186">
        <f t="shared" si="1"/>
        <v>0</v>
      </c>
      <c r="V36" s="186" t="str">
        <f>_xlfn.XLOOKUP(M36,'00_SKU_Master'!$B$2:$B$379,'00_SKU_Master'!$D$2:$D$379)</f>
        <v>METRO</v>
      </c>
      <c r="W36" s="1"/>
      <c r="X36" s="2">
        <f>'05_Daily_Orders'!C37</f>
        <v>2065</v>
      </c>
      <c r="Y36" s="289"/>
      <c r="Z36" s="289">
        <v>0</v>
      </c>
      <c r="AA36" s="289">
        <v>0</v>
      </c>
      <c r="AB36" s="289">
        <v>0</v>
      </c>
      <c r="AC36" s="289">
        <v>0</v>
      </c>
      <c r="AD36" s="289">
        <v>0</v>
      </c>
      <c r="AE36" s="289">
        <v>0</v>
      </c>
      <c r="AF36" s="7">
        <f t="shared" si="2"/>
        <v>0</v>
      </c>
      <c r="AQ36" s="70">
        <v>0</v>
      </c>
      <c r="AR36" s="70">
        <v>0</v>
      </c>
      <c r="AS36" s="3">
        <f t="shared" si="4"/>
        <v>0</v>
      </c>
    </row>
    <row r="37" spans="1:45" x14ac:dyDescent="0.35">
      <c r="A37" s="181" t="str">
        <f>_xlfn.XLOOKUP(X37,'00_SKU_Master'!$B$2:$B$379,'00_SKU_Master'!$C$2:$C$379)</f>
        <v>61040#2</v>
      </c>
      <c r="B37" s="181" t="str">
        <f>_xlfn.XLOOKUP(X37,tblSKU[SKU],tblSKU[Product_Group])</f>
        <v>SplitBreast</v>
      </c>
      <c r="C37" s="181" t="str">
        <f>_xlfn.XLOOKUP(X37,tblSKU[SKU],tblSKU[Tray_Type])</f>
        <v>LT 8XP</v>
      </c>
      <c r="D37" s="182">
        <f>_xlfn.IFNA(_xlfn.XLOOKUP(X37,'00_SKU_Master'!$B$2:$B$379,'00_SKU_Master'!$F$2:$F$379,0)*Y37,"")</f>
        <v>0</v>
      </c>
      <c r="E37" s="182">
        <f>_xlfn.IFNA(_xlfn.XLOOKUP(X37,'00_SKU_Master'!$B$2:$B$379,'00_SKU_Master'!$F$2:$F$379,0)*Z37,"")</f>
        <v>0</v>
      </c>
      <c r="F37" s="182">
        <f>_xlfn.IFNA(_xlfn.XLOOKUP(X37,'00_SKU_Master'!$B$2:$B$379,'00_SKU_Master'!$F$2:$F$379,0)*AA37,"")</f>
        <v>456.0999475341024</v>
      </c>
      <c r="G37" s="182">
        <f>_xlfn.IFNA(_xlfn.XLOOKUP(X37,'00_SKU_Master'!$B$2:$B$379,'00_SKU_Master'!$F$2:$F$379,0)*AB37,"")</f>
        <v>456.0999475341024</v>
      </c>
      <c r="H37" s="182">
        <f>_xlfn.IFNA(_xlfn.XLOOKUP(X37,'00_SKU_Master'!$B$2:$B$379,'00_SKU_Master'!$F$2:$F$379,0)*AC37,"")</f>
        <v>760.16657922350396</v>
      </c>
      <c r="I37" s="182">
        <f>_xlfn.IFNA(_xlfn.XLOOKUP(X37,'00_SKU_Master'!$B$2:$B$379,'00_SKU_Master'!$F$2:$F$379,0)*AD37,"")</f>
        <v>0</v>
      </c>
      <c r="J37" s="182">
        <f>_xlfn.IFNA(_xlfn.XLOOKUP(X37,'00_SKU_Master'!$B$2:$B$379,'00_SKU_Master'!$F$2:$F$379,0)*AE37,"")</f>
        <v>0</v>
      </c>
      <c r="K37" s="183">
        <f t="shared" si="3"/>
        <v>1672.3664742917088</v>
      </c>
      <c r="L37" s="184" t="str">
        <f>_xlfn.XLOOKUP(X37,'00_SKU_Master'!$B$2:$B$379,'00_SKU_Master'!$K$2:$K$379)</f>
        <v>Fast</v>
      </c>
      <c r="M37" s="185">
        <f t="shared" si="0"/>
        <v>2066</v>
      </c>
      <c r="N37" s="186">
        <f>IFERROR(D37/_xlfn.XLOOKUP($M37,'00_SKU_Master'!$B$2:$B$379,'00_SKU_Master'!$M$2:$M$379,0),"0")</f>
        <v>0</v>
      </c>
      <c r="O37" s="186">
        <f>IFERROR(E37/_xlfn.XLOOKUP($M37,'00_SKU_Master'!$B$2:$B$379,'00_SKU_Master'!$M$2:$M$379,0),"0")</f>
        <v>0</v>
      </c>
      <c r="P37" s="186">
        <f>IFERROR(F37/_xlfn.XLOOKUP($M37,'00_SKU_Master'!$B$2:$B$379,'00_SKU_Master'!$M$2:$M$379,0),"0")</f>
        <v>5.238915087687829</v>
      </c>
      <c r="Q37" s="186">
        <f>IFERROR(G37/_xlfn.XLOOKUP($M37,'00_SKU_Master'!$B$2:$B$379,'00_SKU_Master'!$M$2:$M$379,0),"0")</f>
        <v>5.238915087687829</v>
      </c>
      <c r="R37" s="186">
        <f>IFERROR(H37/_xlfn.XLOOKUP($M37,'00_SKU_Master'!$B$2:$B$379,'00_SKU_Master'!$M$2:$M$379,0),"0")</f>
        <v>8.7315251461463816</v>
      </c>
      <c r="S37" s="186">
        <f>IFERROR(I37/_xlfn.XLOOKUP($M37,'00_SKU_Master'!$B$2:$B$379,'00_SKU_Master'!$M$2:$M$379,0),"0")</f>
        <v>0</v>
      </c>
      <c r="T37" s="186">
        <f>IFERROR(J37/_xlfn.XLOOKUP($M37,'00_SKU_Master'!$B$2:$B$379,'00_SKU_Master'!$M$2:$M$379,0),"0")</f>
        <v>0</v>
      </c>
      <c r="U37" s="186">
        <f t="shared" si="1"/>
        <v>19.20935532152204</v>
      </c>
      <c r="V37" s="186" t="str">
        <f>_xlfn.XLOOKUP(M37,'00_SKU_Master'!$B$2:$B$379,'00_SKU_Master'!$D$2:$D$379)</f>
        <v>METRO</v>
      </c>
      <c r="W37" s="1"/>
      <c r="X37" s="2">
        <f>'05_Daily_Orders'!C38</f>
        <v>2066</v>
      </c>
      <c r="Y37" s="289"/>
      <c r="Z37" s="289">
        <v>0</v>
      </c>
      <c r="AA37" s="289">
        <v>60</v>
      </c>
      <c r="AB37" s="289">
        <v>60</v>
      </c>
      <c r="AC37" s="289">
        <v>100</v>
      </c>
      <c r="AD37" s="289">
        <v>0</v>
      </c>
      <c r="AE37" s="289">
        <v>0</v>
      </c>
      <c r="AF37" s="7">
        <f t="shared" si="2"/>
        <v>220</v>
      </c>
      <c r="AQ37" s="70">
        <v>0</v>
      </c>
      <c r="AR37" s="70">
        <v>0</v>
      </c>
      <c r="AS37" s="3">
        <f t="shared" si="4"/>
        <v>0</v>
      </c>
    </row>
    <row r="38" spans="1:45" x14ac:dyDescent="0.35">
      <c r="A38" s="181" t="str">
        <f>_xlfn.XLOOKUP(X38,'00_SKU_Master'!$B$2:$B$379,'00_SKU_Master'!$C$2:$C$379)</f>
        <v>61086#2</v>
      </c>
      <c r="B38" s="181" t="str">
        <f>_xlfn.XLOOKUP(X38,tblSKU[SKU],tblSKU[Product_Group])</f>
        <v>ThighMeat</v>
      </c>
      <c r="C38" s="181" t="str">
        <f>_xlfn.XLOOKUP(X38,tblSKU[SKU],tblSKU[Tray_Type])</f>
        <v>LT 8XP</v>
      </c>
      <c r="D38" s="182">
        <f>_xlfn.IFNA(_xlfn.XLOOKUP(X38,'00_SKU_Master'!$B$2:$B$379,'00_SKU_Master'!$F$2:$F$379,0)*Y38,"")</f>
        <v>0</v>
      </c>
      <c r="E38" s="182">
        <f>_xlfn.IFNA(_xlfn.XLOOKUP(X38,'00_SKU_Master'!$B$2:$B$379,'00_SKU_Master'!$F$2:$F$379,0)*Z38,"")</f>
        <v>0</v>
      </c>
      <c r="F38" s="182">
        <f>_xlfn.IFNA(_xlfn.XLOOKUP(X38,'00_SKU_Master'!$B$2:$B$379,'00_SKU_Master'!$F$2:$F$379,0)*AA38,"")</f>
        <v>0</v>
      </c>
      <c r="G38" s="182">
        <f>_xlfn.IFNA(_xlfn.XLOOKUP(X38,'00_SKU_Master'!$B$2:$B$379,'00_SKU_Master'!$F$2:$F$379,0)*AB38,"")</f>
        <v>0</v>
      </c>
      <c r="H38" s="182">
        <f>_xlfn.IFNA(_xlfn.XLOOKUP(X38,'00_SKU_Master'!$B$2:$B$379,'00_SKU_Master'!$F$2:$F$379,0)*AC38,"")</f>
        <v>0</v>
      </c>
      <c r="I38" s="182">
        <f>_xlfn.IFNA(_xlfn.XLOOKUP(X38,'00_SKU_Master'!$B$2:$B$379,'00_SKU_Master'!$F$2:$F$379,0)*AD38,"")</f>
        <v>0</v>
      </c>
      <c r="J38" s="182">
        <f>_xlfn.IFNA(_xlfn.XLOOKUP(X38,'00_SKU_Master'!$B$2:$B$379,'00_SKU_Master'!$F$2:$F$379,0)*AE38,"")</f>
        <v>0</v>
      </c>
      <c r="K38" s="183">
        <f t="shared" si="3"/>
        <v>0</v>
      </c>
      <c r="L38" s="184" t="str">
        <f>_xlfn.XLOOKUP(X38,'00_SKU_Master'!$B$2:$B$379,'00_SKU_Master'!$K$2:$K$379)</f>
        <v>Slow</v>
      </c>
      <c r="M38" s="185">
        <f t="shared" si="0"/>
        <v>2067</v>
      </c>
      <c r="N38" s="186">
        <f>IFERROR(D38/_xlfn.XLOOKUP($M38,'00_SKU_Master'!$B$2:$B$379,'00_SKU_Master'!$M$2:$M$379,0),"0")</f>
        <v>0</v>
      </c>
      <c r="O38" s="186">
        <f>IFERROR(E38/_xlfn.XLOOKUP($M38,'00_SKU_Master'!$B$2:$B$379,'00_SKU_Master'!$M$2:$M$379,0),"0")</f>
        <v>0</v>
      </c>
      <c r="P38" s="186">
        <f>IFERROR(F38/_xlfn.XLOOKUP($M38,'00_SKU_Master'!$B$2:$B$379,'00_SKU_Master'!$M$2:$M$379,0),"0")</f>
        <v>0</v>
      </c>
      <c r="Q38" s="186">
        <f>IFERROR(G38/_xlfn.XLOOKUP($M38,'00_SKU_Master'!$B$2:$B$379,'00_SKU_Master'!$M$2:$M$379,0),"0")</f>
        <v>0</v>
      </c>
      <c r="R38" s="186">
        <f>IFERROR(H38/_xlfn.XLOOKUP($M38,'00_SKU_Master'!$B$2:$B$379,'00_SKU_Master'!$M$2:$M$379,0),"0")</f>
        <v>0</v>
      </c>
      <c r="S38" s="186">
        <f>IFERROR(I38/_xlfn.XLOOKUP($M38,'00_SKU_Master'!$B$2:$B$379,'00_SKU_Master'!$M$2:$M$379,0),"0")</f>
        <v>0</v>
      </c>
      <c r="T38" s="186">
        <f>IFERROR(J38/_xlfn.XLOOKUP($M38,'00_SKU_Master'!$B$2:$B$379,'00_SKU_Master'!$M$2:$M$379,0),"0")</f>
        <v>0</v>
      </c>
      <c r="U38" s="186">
        <f t="shared" si="1"/>
        <v>0</v>
      </c>
      <c r="V38" s="186" t="str">
        <f>_xlfn.XLOOKUP(M38,'00_SKU_Master'!$B$2:$B$379,'00_SKU_Master'!$D$2:$D$379)</f>
        <v>METRO</v>
      </c>
      <c r="W38" s="1"/>
      <c r="X38" s="2">
        <f>'05_Daily_Orders'!C39</f>
        <v>2067</v>
      </c>
      <c r="Y38" s="289"/>
      <c r="Z38" s="289">
        <v>0</v>
      </c>
      <c r="AA38" s="289">
        <v>0</v>
      </c>
      <c r="AB38" s="289">
        <v>0</v>
      </c>
      <c r="AC38" s="289">
        <v>0</v>
      </c>
      <c r="AD38" s="289">
        <v>0</v>
      </c>
      <c r="AE38" s="289">
        <v>0</v>
      </c>
      <c r="AF38" s="7">
        <f t="shared" si="2"/>
        <v>0</v>
      </c>
      <c r="AQ38" s="70">
        <v>0</v>
      </c>
      <c r="AR38" s="70">
        <v>0</v>
      </c>
      <c r="AS38" s="3">
        <f t="shared" si="4"/>
        <v>0</v>
      </c>
    </row>
    <row r="39" spans="1:45" x14ac:dyDescent="0.35">
      <c r="A39" s="181" t="str">
        <f>_xlfn.XLOOKUP(X39,'00_SKU_Master'!$B$2:$B$379,'00_SKU_Master'!$C$2:$C$379)</f>
        <v>61050#2</v>
      </c>
      <c r="B39" s="181" t="str">
        <f>_xlfn.XLOOKUP(X39,tblSKU[SKU],tblSKU[Product_Group])</f>
        <v>BSB</v>
      </c>
      <c r="C39" s="181" t="str">
        <f>_xlfn.XLOOKUP(X39,tblSKU[SKU],tblSKU[Tray_Type])</f>
        <v>ST 3D</v>
      </c>
      <c r="D39" s="182">
        <f>_xlfn.IFNA(_xlfn.XLOOKUP(X39,'00_SKU_Master'!$B$2:$B$379,'00_SKU_Master'!$F$2:$F$379,0)*Y39,"")</f>
        <v>0</v>
      </c>
      <c r="E39" s="182">
        <f>_xlfn.IFNA(_xlfn.XLOOKUP(X39,'00_SKU_Master'!$B$2:$B$379,'00_SKU_Master'!$F$2:$F$379,0)*Z39,"")</f>
        <v>0</v>
      </c>
      <c r="F39" s="182">
        <f>_xlfn.IFNA(_xlfn.XLOOKUP(X39,'00_SKU_Master'!$B$2:$B$379,'00_SKU_Master'!$F$2:$F$379,0)*AA39,"")</f>
        <v>0</v>
      </c>
      <c r="G39" s="182">
        <f>_xlfn.IFNA(_xlfn.XLOOKUP(X39,'00_SKU_Master'!$B$2:$B$379,'00_SKU_Master'!$F$2:$F$379,0)*AB39,"")</f>
        <v>0</v>
      </c>
      <c r="H39" s="182">
        <f>_xlfn.IFNA(_xlfn.XLOOKUP(X39,'00_SKU_Master'!$B$2:$B$379,'00_SKU_Master'!$F$2:$F$379,0)*AC39,"")</f>
        <v>0</v>
      </c>
      <c r="I39" s="182">
        <f>_xlfn.IFNA(_xlfn.XLOOKUP(X39,'00_SKU_Master'!$B$2:$B$379,'00_SKU_Master'!$F$2:$F$379,0)*AD39,"")</f>
        <v>0</v>
      </c>
      <c r="J39" s="182">
        <f>_xlfn.IFNA(_xlfn.XLOOKUP(X39,'00_SKU_Master'!$B$2:$B$379,'00_SKU_Master'!$F$2:$F$379,0)*AE39,"")</f>
        <v>0</v>
      </c>
      <c r="K39" s="183">
        <f t="shared" si="3"/>
        <v>0</v>
      </c>
      <c r="L39" s="184" t="str">
        <f>_xlfn.XLOOKUP(X39,'00_SKU_Master'!$B$2:$B$379,'00_SKU_Master'!$K$2:$K$379)</f>
        <v>Fast</v>
      </c>
      <c r="M39" s="185">
        <f t="shared" si="0"/>
        <v>2068</v>
      </c>
      <c r="N39" s="186">
        <f>IFERROR(D39/_xlfn.XLOOKUP($M39,'00_SKU_Master'!$B$2:$B$379,'00_SKU_Master'!$M$2:$M$379,0),"0")</f>
        <v>0</v>
      </c>
      <c r="O39" s="186">
        <f>IFERROR(E39/_xlfn.XLOOKUP($M39,'00_SKU_Master'!$B$2:$B$379,'00_SKU_Master'!$M$2:$M$379,0),"0")</f>
        <v>0</v>
      </c>
      <c r="P39" s="186">
        <f>IFERROR(F39/_xlfn.XLOOKUP($M39,'00_SKU_Master'!$B$2:$B$379,'00_SKU_Master'!$M$2:$M$379,0),"0")</f>
        <v>0</v>
      </c>
      <c r="Q39" s="186">
        <f>IFERROR(G39/_xlfn.XLOOKUP($M39,'00_SKU_Master'!$B$2:$B$379,'00_SKU_Master'!$M$2:$M$379,0),"0")</f>
        <v>0</v>
      </c>
      <c r="R39" s="186">
        <f>IFERROR(H39/_xlfn.XLOOKUP($M39,'00_SKU_Master'!$B$2:$B$379,'00_SKU_Master'!$M$2:$M$379,0),"0")</f>
        <v>0</v>
      </c>
      <c r="S39" s="186">
        <f>IFERROR(I39/_xlfn.XLOOKUP($M39,'00_SKU_Master'!$B$2:$B$379,'00_SKU_Master'!$M$2:$M$379,0),"0")</f>
        <v>0</v>
      </c>
      <c r="T39" s="186">
        <f>IFERROR(J39/_xlfn.XLOOKUP($M39,'00_SKU_Master'!$B$2:$B$379,'00_SKU_Master'!$M$2:$M$379,0),"0")</f>
        <v>0</v>
      </c>
      <c r="U39" s="186">
        <f t="shared" si="1"/>
        <v>0</v>
      </c>
      <c r="V39" s="186" t="str">
        <f>_xlfn.XLOOKUP(M39,'00_SKU_Master'!$B$2:$B$379,'00_SKU_Master'!$D$2:$D$379)</f>
        <v>METRO</v>
      </c>
      <c r="W39" s="1"/>
      <c r="X39" s="2">
        <f>'05_Daily_Orders'!C40</f>
        <v>2068</v>
      </c>
      <c r="Y39" s="289"/>
      <c r="Z39" s="289">
        <v>0</v>
      </c>
      <c r="AA39" s="289">
        <v>0</v>
      </c>
      <c r="AB39" s="289">
        <v>0</v>
      </c>
      <c r="AC39" s="289">
        <v>0</v>
      </c>
      <c r="AD39" s="289">
        <v>0</v>
      </c>
      <c r="AE39" s="289">
        <v>0</v>
      </c>
      <c r="AF39" s="7">
        <f t="shared" si="2"/>
        <v>0</v>
      </c>
      <c r="AQ39" s="70">
        <v>0</v>
      </c>
      <c r="AR39" s="70">
        <v>0</v>
      </c>
      <c r="AS39" s="3">
        <f t="shared" si="4"/>
        <v>0</v>
      </c>
    </row>
    <row r="40" spans="1:45" x14ac:dyDescent="0.35">
      <c r="A40" s="181" t="str">
        <f>_xlfn.XLOOKUP(X40,'00_SKU_Master'!$B$2:$B$379,'00_SKU_Master'!$C$2:$C$379)</f>
        <v>61040#2</v>
      </c>
      <c r="B40" s="181" t="str">
        <f>_xlfn.XLOOKUP(X40,tblSKU[SKU],tblSKU[Product_Group])</f>
        <v>SplitBreast</v>
      </c>
      <c r="C40" s="181" t="str">
        <f>_xlfn.XLOOKUP(X40,tblSKU[SKU],tblSKU[Tray_Type])</f>
        <v>ST 3XP</v>
      </c>
      <c r="D40" s="182">
        <f>_xlfn.IFNA(_xlfn.XLOOKUP(X40,'00_SKU_Master'!$B$2:$B$379,'00_SKU_Master'!$F$2:$F$379,0)*Y40,"")</f>
        <v>0</v>
      </c>
      <c r="E40" s="182">
        <f>_xlfn.IFNA(_xlfn.XLOOKUP(X40,'00_SKU_Master'!$B$2:$B$379,'00_SKU_Master'!$F$2:$F$379,0)*Z40,"")</f>
        <v>0</v>
      </c>
      <c r="F40" s="182">
        <f>_xlfn.IFNA(_xlfn.XLOOKUP(X40,'00_SKU_Master'!$B$2:$B$379,'00_SKU_Master'!$F$2:$F$379,0)*AA40,"")</f>
        <v>0</v>
      </c>
      <c r="G40" s="182">
        <f>_xlfn.IFNA(_xlfn.XLOOKUP(X40,'00_SKU_Master'!$B$2:$B$379,'00_SKU_Master'!$F$2:$F$379,0)*AB40,"")</f>
        <v>362.46693877551002</v>
      </c>
      <c r="H40" s="182">
        <f>_xlfn.IFNA(_xlfn.XLOOKUP(X40,'00_SKU_Master'!$B$2:$B$379,'00_SKU_Master'!$F$2:$F$379,0)*AC40,"")</f>
        <v>362.46693877551002</v>
      </c>
      <c r="I40" s="182">
        <f>_xlfn.IFNA(_xlfn.XLOOKUP(X40,'00_SKU_Master'!$B$2:$B$379,'00_SKU_Master'!$F$2:$F$379,0)*AD40,"")</f>
        <v>0</v>
      </c>
      <c r="J40" s="182">
        <f>_xlfn.IFNA(_xlfn.XLOOKUP(X40,'00_SKU_Master'!$B$2:$B$379,'00_SKU_Master'!$F$2:$F$379,0)*AE40,"")</f>
        <v>416.83697959183655</v>
      </c>
      <c r="K40" s="183">
        <f t="shared" si="3"/>
        <v>1141.7708571428566</v>
      </c>
      <c r="L40" s="184" t="str">
        <f>_xlfn.XLOOKUP(X40,'00_SKU_Master'!$B$2:$B$379,'00_SKU_Master'!$K$2:$K$379)</f>
        <v>Fast</v>
      </c>
      <c r="M40" s="185">
        <f t="shared" si="0"/>
        <v>2069</v>
      </c>
      <c r="N40" s="186">
        <f>IFERROR(D40/_xlfn.XLOOKUP($M40,'00_SKU_Master'!$B$2:$B$379,'00_SKU_Master'!$M$2:$M$379,0),"0")</f>
        <v>0</v>
      </c>
      <c r="O40" s="186">
        <f>IFERROR(E40/_xlfn.XLOOKUP($M40,'00_SKU_Master'!$B$2:$B$379,'00_SKU_Master'!$M$2:$M$379,0),"0")</f>
        <v>0</v>
      </c>
      <c r="P40" s="186">
        <f>IFERROR(F40/_xlfn.XLOOKUP($M40,'00_SKU_Master'!$B$2:$B$379,'00_SKU_Master'!$M$2:$M$379,0),"0")</f>
        <v>0</v>
      </c>
      <c r="Q40" s="186">
        <f>IFERROR(G40/_xlfn.XLOOKUP($M40,'00_SKU_Master'!$B$2:$B$379,'00_SKU_Master'!$M$2:$M$379,0),"0")</f>
        <v>21.691618119420106</v>
      </c>
      <c r="R40" s="186">
        <f>IFERROR(H40/_xlfn.XLOOKUP($M40,'00_SKU_Master'!$B$2:$B$379,'00_SKU_Master'!$M$2:$M$379,0),"0")</f>
        <v>21.691618119420106</v>
      </c>
      <c r="S40" s="186">
        <f>IFERROR(I40/_xlfn.XLOOKUP($M40,'00_SKU_Master'!$B$2:$B$379,'00_SKU_Master'!$M$2:$M$379,0),"0")</f>
        <v>0</v>
      </c>
      <c r="T40" s="186">
        <f>IFERROR(J40/_xlfn.XLOOKUP($M40,'00_SKU_Master'!$B$2:$B$379,'00_SKU_Master'!$M$2:$M$379,0),"0")</f>
        <v>24.945360837333126</v>
      </c>
      <c r="U40" s="186">
        <f t="shared" si="1"/>
        <v>68.328597076173338</v>
      </c>
      <c r="V40" s="186" t="str">
        <f>_xlfn.XLOOKUP(M40,'00_SKU_Master'!$B$2:$B$379,'00_SKU_Master'!$D$2:$D$379)</f>
        <v>FB</v>
      </c>
      <c r="W40" s="1"/>
      <c r="X40" s="2">
        <f>'05_Daily_Orders'!C41</f>
        <v>2069</v>
      </c>
      <c r="Y40" s="290"/>
      <c r="Z40" s="290">
        <v>0</v>
      </c>
      <c r="AA40" s="290">
        <v>0</v>
      </c>
      <c r="AB40" s="290">
        <v>40</v>
      </c>
      <c r="AC40" s="290">
        <v>40</v>
      </c>
      <c r="AD40" s="290">
        <v>0</v>
      </c>
      <c r="AE40" s="290">
        <v>46</v>
      </c>
      <c r="AF40" s="7">
        <f t="shared" si="2"/>
        <v>126</v>
      </c>
      <c r="AQ40" s="70">
        <v>0</v>
      </c>
      <c r="AR40" s="70">
        <v>0</v>
      </c>
      <c r="AS40" s="3">
        <f t="shared" si="4"/>
        <v>0</v>
      </c>
    </row>
    <row r="41" spans="1:45" x14ac:dyDescent="0.35">
      <c r="A41" s="181" t="str">
        <f>_xlfn.XLOOKUP(X41,'00_SKU_Master'!$B$2:$B$379,'00_SKU_Master'!$C$2:$C$379)</f>
        <v>61048#2</v>
      </c>
      <c r="B41" s="181" t="str">
        <f>_xlfn.XLOOKUP(X41,tblSKU[SKU],tblSKU[Product_Group])</f>
        <v>SplitBreast</v>
      </c>
      <c r="C41" s="181" t="str">
        <f>_xlfn.XLOOKUP(X41,tblSKU[SKU],tblSKU[Tray_Type])</f>
        <v>ST 3XP</v>
      </c>
      <c r="D41" s="182">
        <f>_xlfn.IFNA(_xlfn.XLOOKUP(X41,'00_SKU_Master'!$B$2:$B$379,'00_SKU_Master'!$F$2:$F$379,0)*Y41,"")</f>
        <v>0</v>
      </c>
      <c r="E41" s="182">
        <f>_xlfn.IFNA(_xlfn.XLOOKUP(X41,'00_SKU_Master'!$B$2:$B$379,'00_SKU_Master'!$F$2:$F$379,0)*Z41,"")</f>
        <v>0</v>
      </c>
      <c r="F41" s="182">
        <f>_xlfn.IFNA(_xlfn.XLOOKUP(X41,'00_SKU_Master'!$B$2:$B$379,'00_SKU_Master'!$F$2:$F$379,0)*AA41,"")</f>
        <v>0</v>
      </c>
      <c r="G41" s="182">
        <f>_xlfn.IFNA(_xlfn.XLOOKUP(X41,'00_SKU_Master'!$B$2:$B$379,'00_SKU_Master'!$F$2:$F$379,0)*AB41,"")</f>
        <v>276.82617480136196</v>
      </c>
      <c r="H41" s="182">
        <f>_xlfn.IFNA(_xlfn.XLOOKUP(X41,'00_SKU_Master'!$B$2:$B$379,'00_SKU_Master'!$F$2:$F$379,0)*AC41,"")</f>
        <v>369.10156640181594</v>
      </c>
      <c r="I41" s="182">
        <f>_xlfn.IFNA(_xlfn.XLOOKUP(X41,'00_SKU_Master'!$B$2:$B$379,'00_SKU_Master'!$F$2:$F$379,0)*AD41,"")</f>
        <v>0</v>
      </c>
      <c r="J41" s="182">
        <f>_xlfn.IFNA(_xlfn.XLOOKUP(X41,'00_SKU_Master'!$B$2:$B$379,'00_SKU_Master'!$F$2:$F$379,0)*AE41,"")</f>
        <v>369.10156640181594</v>
      </c>
      <c r="K41" s="183">
        <f t="shared" si="3"/>
        <v>1015.0293076049938</v>
      </c>
      <c r="L41" s="184" t="str">
        <f>_xlfn.XLOOKUP(X41,'00_SKU_Master'!$B$2:$B$379,'00_SKU_Master'!$K$2:$K$379)</f>
        <v>Fast</v>
      </c>
      <c r="M41" s="185">
        <f t="shared" si="0"/>
        <v>2070</v>
      </c>
      <c r="N41" s="186">
        <f>IFERROR(D41/_xlfn.XLOOKUP($M41,'00_SKU_Master'!$B$2:$B$379,'00_SKU_Master'!$M$2:$M$379,0),"0")</f>
        <v>0</v>
      </c>
      <c r="O41" s="186">
        <f>IFERROR(E41/_xlfn.XLOOKUP($M41,'00_SKU_Master'!$B$2:$B$379,'00_SKU_Master'!$M$2:$M$379,0),"0")</f>
        <v>0</v>
      </c>
      <c r="P41" s="186">
        <f>IFERROR(F41/_xlfn.XLOOKUP($M41,'00_SKU_Master'!$B$2:$B$379,'00_SKU_Master'!$M$2:$M$379,0),"0")</f>
        <v>0</v>
      </c>
      <c r="Q41" s="186">
        <f>IFERROR(G41/_xlfn.XLOOKUP($M41,'00_SKU_Master'!$B$2:$B$379,'00_SKU_Master'!$M$2:$M$379,0),"0")</f>
        <v>2.3719147870907547</v>
      </c>
      <c r="R41" s="186">
        <f>IFERROR(H41/_xlfn.XLOOKUP($M41,'00_SKU_Master'!$B$2:$B$379,'00_SKU_Master'!$M$2:$M$379,0),"0")</f>
        <v>3.1625530494543397</v>
      </c>
      <c r="S41" s="186">
        <f>IFERROR(I41/_xlfn.XLOOKUP($M41,'00_SKU_Master'!$B$2:$B$379,'00_SKU_Master'!$M$2:$M$379,0),"0")</f>
        <v>0</v>
      </c>
      <c r="T41" s="186">
        <f>IFERROR(J41/_xlfn.XLOOKUP($M41,'00_SKU_Master'!$B$2:$B$379,'00_SKU_Master'!$M$2:$M$379,0),"0")</f>
        <v>3.1625530494543397</v>
      </c>
      <c r="U41" s="186">
        <f t="shared" si="1"/>
        <v>8.697020885999434</v>
      </c>
      <c r="V41" s="186" t="str">
        <f>_xlfn.XLOOKUP(M41,'00_SKU_Master'!$B$2:$B$379,'00_SKU_Master'!$D$2:$D$379)</f>
        <v>FB</v>
      </c>
      <c r="W41" s="1"/>
      <c r="X41" s="2">
        <f>'05_Daily_Orders'!C42</f>
        <v>2070</v>
      </c>
      <c r="Y41" s="289"/>
      <c r="Z41" s="289">
        <v>0</v>
      </c>
      <c r="AA41" s="289">
        <v>0</v>
      </c>
      <c r="AB41" s="289">
        <v>30</v>
      </c>
      <c r="AC41" s="289">
        <v>40</v>
      </c>
      <c r="AD41" s="289">
        <v>0</v>
      </c>
      <c r="AE41" s="289">
        <v>40</v>
      </c>
      <c r="AF41" s="7">
        <f t="shared" si="2"/>
        <v>110</v>
      </c>
      <c r="AQ41" s="70">
        <v>0</v>
      </c>
      <c r="AR41" s="70">
        <v>0</v>
      </c>
      <c r="AS41" s="3">
        <f t="shared" si="4"/>
        <v>0</v>
      </c>
    </row>
    <row r="42" spans="1:45" x14ac:dyDescent="0.35">
      <c r="A42" s="181" t="str">
        <f>_xlfn.XLOOKUP(X42,'00_SKU_Master'!$B$2:$B$379,'00_SKU_Master'!$C$2:$C$379)</f>
        <v>61048#2</v>
      </c>
      <c r="B42" s="181" t="str">
        <f>_xlfn.XLOOKUP(X42,tblSKU[SKU],tblSKU[Product_Group])</f>
        <v>SplitBreast</v>
      </c>
      <c r="C42" s="181" t="str">
        <f>_xlfn.XLOOKUP(X42,tblSKU[SKU],tblSKU[Tray_Type])</f>
        <v>LT 8XP</v>
      </c>
      <c r="D42" s="182">
        <f>_xlfn.IFNA(_xlfn.XLOOKUP(X42,'00_SKU_Master'!$B$2:$B$379,'00_SKU_Master'!$F$2:$F$379,0)*Y42,"")</f>
        <v>0</v>
      </c>
      <c r="E42" s="182">
        <f>_xlfn.IFNA(_xlfn.XLOOKUP(X42,'00_SKU_Master'!$B$2:$B$379,'00_SKU_Master'!$F$2:$F$379,0)*Z42,"")</f>
        <v>0</v>
      </c>
      <c r="F42" s="182">
        <f>_xlfn.IFNA(_xlfn.XLOOKUP(X42,'00_SKU_Master'!$B$2:$B$379,'00_SKU_Master'!$F$2:$F$379,0)*AA42,"")</f>
        <v>363.58977524893317</v>
      </c>
      <c r="G42" s="182">
        <f>_xlfn.IFNA(_xlfn.XLOOKUP(X42,'00_SKU_Master'!$B$2:$B$379,'00_SKU_Master'!$F$2:$F$379,0)*AB42,"")</f>
        <v>537.12125889046945</v>
      </c>
      <c r="H42" s="182">
        <f>_xlfn.IFNA(_xlfn.XLOOKUP(X42,'00_SKU_Master'!$B$2:$B$379,'00_SKU_Master'!$F$2:$F$379,0)*AC42,"")</f>
        <v>495.80423897581795</v>
      </c>
      <c r="I42" s="182">
        <f>_xlfn.IFNA(_xlfn.XLOOKUP(X42,'00_SKU_Master'!$B$2:$B$379,'00_SKU_Master'!$F$2:$F$379,0)*AD42,"")</f>
        <v>0</v>
      </c>
      <c r="J42" s="182">
        <f>_xlfn.IFNA(_xlfn.XLOOKUP(X42,'00_SKU_Master'!$B$2:$B$379,'00_SKU_Master'!$F$2:$F$379,0)*AE42,"")</f>
        <v>537.12125889046945</v>
      </c>
      <c r="K42" s="183">
        <f t="shared" si="3"/>
        <v>1933.6365320056902</v>
      </c>
      <c r="L42" s="184" t="str">
        <f>_xlfn.XLOOKUP(X42,'00_SKU_Master'!$B$2:$B$379,'00_SKU_Master'!$K$2:$K$379)</f>
        <v>Fast</v>
      </c>
      <c r="M42" s="185">
        <f t="shared" si="0"/>
        <v>2071</v>
      </c>
      <c r="N42" s="186">
        <f>IFERROR(D42/_xlfn.XLOOKUP($M42,'00_SKU_Master'!$B$2:$B$379,'00_SKU_Master'!$M$2:$M$379,0),"0")</f>
        <v>0</v>
      </c>
      <c r="O42" s="186">
        <f>IFERROR(E42/_xlfn.XLOOKUP($M42,'00_SKU_Master'!$B$2:$B$379,'00_SKU_Master'!$M$2:$M$379,0),"0")</f>
        <v>0</v>
      </c>
      <c r="P42" s="186">
        <f>IFERROR(F42/_xlfn.XLOOKUP($M42,'00_SKU_Master'!$B$2:$B$379,'00_SKU_Master'!$M$2:$M$379,0),"0")</f>
        <v>3.462430009036598</v>
      </c>
      <c r="Q42" s="186">
        <f>IFERROR(G42/_xlfn.XLOOKUP($M42,'00_SKU_Master'!$B$2:$B$379,'00_SKU_Master'!$M$2:$M$379,0),"0")</f>
        <v>5.1149534224404292</v>
      </c>
      <c r="R42" s="186">
        <f>IFERROR(H42/_xlfn.XLOOKUP($M42,'00_SKU_Master'!$B$2:$B$379,'00_SKU_Master'!$M$2:$M$379,0),"0")</f>
        <v>4.7214954668680882</v>
      </c>
      <c r="S42" s="186">
        <f>IFERROR(I42/_xlfn.XLOOKUP($M42,'00_SKU_Master'!$B$2:$B$379,'00_SKU_Master'!$M$2:$M$379,0),"0")</f>
        <v>0</v>
      </c>
      <c r="T42" s="186">
        <f>IFERROR(J42/_xlfn.XLOOKUP($M42,'00_SKU_Master'!$B$2:$B$379,'00_SKU_Master'!$M$2:$M$379,0),"0")</f>
        <v>5.1149534224404292</v>
      </c>
      <c r="U42" s="186">
        <f t="shared" si="1"/>
        <v>18.413832320785545</v>
      </c>
      <c r="V42" s="186" t="str">
        <f>_xlfn.XLOOKUP(M42,'00_SKU_Master'!$B$2:$B$379,'00_SKU_Master'!$D$2:$D$379)</f>
        <v>FB</v>
      </c>
      <c r="W42" s="1"/>
      <c r="X42" s="2">
        <f>'05_Daily_Orders'!C43</f>
        <v>2071</v>
      </c>
      <c r="Y42" s="289"/>
      <c r="Z42" s="289">
        <v>0</v>
      </c>
      <c r="AA42" s="289">
        <v>44</v>
      </c>
      <c r="AB42" s="289">
        <v>65</v>
      </c>
      <c r="AC42" s="289">
        <v>60</v>
      </c>
      <c r="AD42" s="289">
        <v>0</v>
      </c>
      <c r="AE42" s="289">
        <v>65</v>
      </c>
      <c r="AF42" s="7">
        <f t="shared" si="2"/>
        <v>234</v>
      </c>
      <c r="AQ42" s="70">
        <v>0</v>
      </c>
      <c r="AR42" s="70">
        <v>0</v>
      </c>
      <c r="AS42" s="3">
        <f t="shared" si="4"/>
        <v>0</v>
      </c>
    </row>
    <row r="43" spans="1:45" x14ac:dyDescent="0.35">
      <c r="A43" s="181" t="str">
        <f>_xlfn.XLOOKUP(X43,'00_SKU_Master'!$B$2:$B$379,'00_SKU_Master'!$C$2:$C$379)</f>
        <v>61072#2</v>
      </c>
      <c r="B43" s="181" t="str">
        <f>_xlfn.XLOOKUP(X43,tblSKU[SKU],tblSKU[Product_Group])</f>
        <v>Drum</v>
      </c>
      <c r="C43" s="181" t="str">
        <f>_xlfn.XLOOKUP(X43,tblSKU[SKU],tblSKU[Tray_Type])</f>
        <v>ST 3XP</v>
      </c>
      <c r="D43" s="182">
        <f>_xlfn.IFNA(_xlfn.XLOOKUP(X43,'00_SKU_Master'!$B$2:$B$379,'00_SKU_Master'!$F$2:$F$379,0)*Y43,"")</f>
        <v>0</v>
      </c>
      <c r="E43" s="182">
        <f>_xlfn.IFNA(_xlfn.XLOOKUP(X43,'00_SKU_Master'!$B$2:$B$379,'00_SKU_Master'!$F$2:$F$379,0)*Z43,"")</f>
        <v>0</v>
      </c>
      <c r="F43" s="182">
        <f>_xlfn.IFNA(_xlfn.XLOOKUP(X43,'00_SKU_Master'!$B$2:$B$379,'00_SKU_Master'!$F$2:$F$379,0)*AA43,"")</f>
        <v>0</v>
      </c>
      <c r="G43" s="182">
        <f>_xlfn.IFNA(_xlfn.XLOOKUP(X43,'00_SKU_Master'!$B$2:$B$379,'00_SKU_Master'!$F$2:$F$379,0)*AB43,"")</f>
        <v>0</v>
      </c>
      <c r="H43" s="182">
        <f>_xlfn.IFNA(_xlfn.XLOOKUP(X43,'00_SKU_Master'!$B$2:$B$379,'00_SKU_Master'!$F$2:$F$379,0)*AC43,"")</f>
        <v>0</v>
      </c>
      <c r="I43" s="182">
        <f>_xlfn.IFNA(_xlfn.XLOOKUP(X43,'00_SKU_Master'!$B$2:$B$379,'00_SKU_Master'!$F$2:$F$379,0)*AD43,"")</f>
        <v>0</v>
      </c>
      <c r="J43" s="182">
        <f>_xlfn.IFNA(_xlfn.XLOOKUP(X43,'00_SKU_Master'!$B$2:$B$379,'00_SKU_Master'!$F$2:$F$379,0)*AE43,"")</f>
        <v>0</v>
      </c>
      <c r="K43" s="183">
        <f t="shared" si="3"/>
        <v>0</v>
      </c>
      <c r="L43" s="184" t="str">
        <f>_xlfn.XLOOKUP(X43,'00_SKU_Master'!$B$2:$B$379,'00_SKU_Master'!$K$2:$K$379)</f>
        <v>Fast</v>
      </c>
      <c r="M43" s="185">
        <f t="shared" si="0"/>
        <v>2072</v>
      </c>
      <c r="N43" s="186">
        <f>IFERROR(D43/_xlfn.XLOOKUP($M43,'00_SKU_Master'!$B$2:$B$379,'00_SKU_Master'!$M$2:$M$379,0),"0")</f>
        <v>0</v>
      </c>
      <c r="O43" s="186">
        <f>IFERROR(E43/_xlfn.XLOOKUP($M43,'00_SKU_Master'!$B$2:$B$379,'00_SKU_Master'!$M$2:$M$379,0),"0")</f>
        <v>0</v>
      </c>
      <c r="P43" s="186">
        <f>IFERROR(F43/_xlfn.XLOOKUP($M43,'00_SKU_Master'!$B$2:$B$379,'00_SKU_Master'!$M$2:$M$379,0),"0")</f>
        <v>0</v>
      </c>
      <c r="Q43" s="186">
        <f>IFERROR(G43/_xlfn.XLOOKUP($M43,'00_SKU_Master'!$B$2:$B$379,'00_SKU_Master'!$M$2:$M$379,0),"0")</f>
        <v>0</v>
      </c>
      <c r="R43" s="186">
        <f>IFERROR(H43/_xlfn.XLOOKUP($M43,'00_SKU_Master'!$B$2:$B$379,'00_SKU_Master'!$M$2:$M$379,0),"0")</f>
        <v>0</v>
      </c>
      <c r="S43" s="186">
        <f>IFERROR(I43/_xlfn.XLOOKUP($M43,'00_SKU_Master'!$B$2:$B$379,'00_SKU_Master'!$M$2:$M$379,0),"0")</f>
        <v>0</v>
      </c>
      <c r="T43" s="186">
        <f>IFERROR(J43/_xlfn.XLOOKUP($M43,'00_SKU_Master'!$B$2:$B$379,'00_SKU_Master'!$M$2:$M$379,0),"0")</f>
        <v>0</v>
      </c>
      <c r="U43" s="186">
        <f t="shared" si="1"/>
        <v>0</v>
      </c>
      <c r="V43" s="186" t="str">
        <f>_xlfn.XLOOKUP(M43,'00_SKU_Master'!$B$2:$B$379,'00_SKU_Master'!$D$2:$D$379)</f>
        <v>FB</v>
      </c>
      <c r="W43" s="1"/>
      <c r="X43" s="2">
        <f>'05_Daily_Orders'!C44</f>
        <v>2072</v>
      </c>
      <c r="Y43" s="289"/>
      <c r="Z43" s="289">
        <v>0</v>
      </c>
      <c r="AA43" s="289">
        <v>0</v>
      </c>
      <c r="AB43" s="289">
        <v>0</v>
      </c>
      <c r="AC43" s="289">
        <v>0</v>
      </c>
      <c r="AD43" s="289">
        <v>0</v>
      </c>
      <c r="AE43" s="289">
        <v>0</v>
      </c>
      <c r="AF43" s="7">
        <f t="shared" si="2"/>
        <v>0</v>
      </c>
      <c r="AQ43" s="70">
        <v>0</v>
      </c>
      <c r="AR43" s="70">
        <v>0</v>
      </c>
      <c r="AS43" s="3">
        <f t="shared" si="4"/>
        <v>0</v>
      </c>
    </row>
    <row r="44" spans="1:45" x14ac:dyDescent="0.35">
      <c r="A44" s="181">
        <f>_xlfn.XLOOKUP(X44,'00_SKU_Master'!$B$2:$B$379,'00_SKU_Master'!$C$2:$C$379)</f>
        <v>61082</v>
      </c>
      <c r="B44" s="181" t="str">
        <f>_xlfn.XLOOKUP(X44,tblSKU[SKU],tblSKU[Product_Group])</f>
        <v>Thigh</v>
      </c>
      <c r="C44" s="181" t="str">
        <f>_xlfn.XLOOKUP(X44,tblSKU[SKU],tblSKU[Tray_Type])</f>
        <v>ST 3XP</v>
      </c>
      <c r="D44" s="182">
        <f>_xlfn.IFNA(_xlfn.XLOOKUP(X44,'00_SKU_Master'!$B$2:$B$379,'00_SKU_Master'!$F$2:$F$379,0)*Y44,"")</f>
        <v>0</v>
      </c>
      <c r="E44" s="182">
        <f>_xlfn.IFNA(_xlfn.XLOOKUP(X44,'00_SKU_Master'!$B$2:$B$379,'00_SKU_Master'!$F$2:$F$379,0)*Z44,"")</f>
        <v>0</v>
      </c>
      <c r="F44" s="182">
        <f>_xlfn.IFNA(_xlfn.XLOOKUP(X44,'00_SKU_Master'!$B$2:$B$379,'00_SKU_Master'!$F$2:$F$379,0)*AA44,"")</f>
        <v>0</v>
      </c>
      <c r="G44" s="182">
        <f>_xlfn.IFNA(_xlfn.XLOOKUP(X44,'00_SKU_Master'!$B$2:$B$379,'00_SKU_Master'!$F$2:$F$379,0)*AB44,"")</f>
        <v>0</v>
      </c>
      <c r="H44" s="182">
        <f>_xlfn.IFNA(_xlfn.XLOOKUP(X44,'00_SKU_Master'!$B$2:$B$379,'00_SKU_Master'!$F$2:$F$379,0)*AC44,"")</f>
        <v>0</v>
      </c>
      <c r="I44" s="182">
        <f>_xlfn.IFNA(_xlfn.XLOOKUP(X44,'00_SKU_Master'!$B$2:$B$379,'00_SKU_Master'!$F$2:$F$379,0)*AD44,"")</f>
        <v>0</v>
      </c>
      <c r="J44" s="182">
        <f>_xlfn.IFNA(_xlfn.XLOOKUP(X44,'00_SKU_Master'!$B$2:$B$379,'00_SKU_Master'!$F$2:$F$379,0)*AE44,"")</f>
        <v>0</v>
      </c>
      <c r="K44" s="183">
        <f t="shared" si="3"/>
        <v>0</v>
      </c>
      <c r="L44" s="184" t="str">
        <f>_xlfn.XLOOKUP(X44,'00_SKU_Master'!$B$2:$B$379,'00_SKU_Master'!$K$2:$K$379)</f>
        <v>Fast</v>
      </c>
      <c r="M44" s="185">
        <f t="shared" si="0"/>
        <v>2073</v>
      </c>
      <c r="N44" s="186">
        <f>IFERROR(D44/_xlfn.XLOOKUP($M44,'00_SKU_Master'!$B$2:$B$379,'00_SKU_Master'!$M$2:$M$379,0),"0")</f>
        <v>0</v>
      </c>
      <c r="O44" s="186">
        <f>IFERROR(E44/_xlfn.XLOOKUP($M44,'00_SKU_Master'!$B$2:$B$379,'00_SKU_Master'!$M$2:$M$379,0),"0")</f>
        <v>0</v>
      </c>
      <c r="P44" s="186">
        <f>IFERROR(F44/_xlfn.XLOOKUP($M44,'00_SKU_Master'!$B$2:$B$379,'00_SKU_Master'!$M$2:$M$379,0),"0")</f>
        <v>0</v>
      </c>
      <c r="Q44" s="186">
        <f>IFERROR(G44/_xlfn.XLOOKUP($M44,'00_SKU_Master'!$B$2:$B$379,'00_SKU_Master'!$M$2:$M$379,0),"0")</f>
        <v>0</v>
      </c>
      <c r="R44" s="186">
        <f>IFERROR(H44/_xlfn.XLOOKUP($M44,'00_SKU_Master'!$B$2:$B$379,'00_SKU_Master'!$M$2:$M$379,0),"0")</f>
        <v>0</v>
      </c>
      <c r="S44" s="186">
        <f>IFERROR(I44/_xlfn.XLOOKUP($M44,'00_SKU_Master'!$B$2:$B$379,'00_SKU_Master'!$M$2:$M$379,0),"0")</f>
        <v>0</v>
      </c>
      <c r="T44" s="186">
        <f>IFERROR(J44/_xlfn.XLOOKUP($M44,'00_SKU_Master'!$B$2:$B$379,'00_SKU_Master'!$M$2:$M$379,0),"0")</f>
        <v>0</v>
      </c>
      <c r="U44" s="186">
        <f t="shared" si="1"/>
        <v>0</v>
      </c>
      <c r="V44" s="186" t="str">
        <f>_xlfn.XLOOKUP(M44,'00_SKU_Master'!$B$2:$B$379,'00_SKU_Master'!$D$2:$D$379)</f>
        <v>FB</v>
      </c>
      <c r="W44" s="1"/>
      <c r="X44" s="2">
        <f>'05_Daily_Orders'!C45</f>
        <v>2073</v>
      </c>
      <c r="Y44" s="289"/>
      <c r="Z44" s="289">
        <v>0</v>
      </c>
      <c r="AA44" s="289">
        <v>0</v>
      </c>
      <c r="AB44" s="289">
        <v>0</v>
      </c>
      <c r="AC44" s="289">
        <v>0</v>
      </c>
      <c r="AD44" s="289">
        <v>0</v>
      </c>
      <c r="AE44" s="289">
        <v>0</v>
      </c>
      <c r="AF44" s="7">
        <f t="shared" si="2"/>
        <v>0</v>
      </c>
      <c r="AQ44" s="70">
        <v>0</v>
      </c>
      <c r="AR44" s="70">
        <v>0</v>
      </c>
      <c r="AS44" s="3">
        <f t="shared" si="4"/>
        <v>0</v>
      </c>
    </row>
    <row r="45" spans="1:45" x14ac:dyDescent="0.35">
      <c r="A45" s="181" t="str">
        <f>_xlfn.XLOOKUP(X45,'00_SKU_Master'!$B$2:$B$379,'00_SKU_Master'!$C$2:$C$379)</f>
        <v>61086#2</v>
      </c>
      <c r="B45" s="181" t="str">
        <f>_xlfn.XLOOKUP(X45,tblSKU[SKU],tblSKU[Product_Group])</f>
        <v>ThighMeat</v>
      </c>
      <c r="C45" s="181" t="str">
        <f>_xlfn.XLOOKUP(X45,tblSKU[SKU],tblSKU[Tray_Type])</f>
        <v>ST 3XP</v>
      </c>
      <c r="D45" s="182">
        <f>_xlfn.IFNA(_xlfn.XLOOKUP(X45,'00_SKU_Master'!$B$2:$B$379,'00_SKU_Master'!$F$2:$F$379,0)*Y45,"")</f>
        <v>0</v>
      </c>
      <c r="E45" s="182">
        <f>_xlfn.IFNA(_xlfn.XLOOKUP(X45,'00_SKU_Master'!$B$2:$B$379,'00_SKU_Master'!$F$2:$F$379,0)*Z45,"")</f>
        <v>212.44286313939861</v>
      </c>
      <c r="F45" s="182">
        <f>_xlfn.IFNA(_xlfn.XLOOKUP(X45,'00_SKU_Master'!$B$2:$B$379,'00_SKU_Master'!$F$2:$F$379,0)*AA45,"")</f>
        <v>432.21134224912134</v>
      </c>
      <c r="G45" s="182">
        <f>_xlfn.IFNA(_xlfn.XLOOKUP(X45,'00_SKU_Master'!$B$2:$B$379,'00_SKU_Master'!$F$2:$F$379,0)*AB45,"")</f>
        <v>615.35174150722355</v>
      </c>
      <c r="H45" s="182">
        <f>_xlfn.IFNA(_xlfn.XLOOKUP(X45,'00_SKU_Master'!$B$2:$B$379,'00_SKU_Master'!$F$2:$F$379,0)*AC45,"")</f>
        <v>791.16652479500181</v>
      </c>
      <c r="I45" s="182">
        <f>_xlfn.IFNA(_xlfn.XLOOKUP(X45,'00_SKU_Master'!$B$2:$B$379,'00_SKU_Master'!$F$2:$F$379,0)*AD45,"")</f>
        <v>0</v>
      </c>
      <c r="J45" s="182">
        <f>_xlfn.IFNA(_xlfn.XLOOKUP(X45,'00_SKU_Master'!$B$2:$B$379,'00_SKU_Master'!$F$2:$F$379,0)*AE45,"")</f>
        <v>695.93351718078861</v>
      </c>
      <c r="K45" s="183">
        <f t="shared" si="3"/>
        <v>2747.1059888715336</v>
      </c>
      <c r="L45" s="184" t="str">
        <f>_xlfn.XLOOKUP(X45,'00_SKU_Master'!$B$2:$B$379,'00_SKU_Master'!$K$2:$K$379)</f>
        <v>Slow</v>
      </c>
      <c r="M45" s="185">
        <f t="shared" si="0"/>
        <v>2074</v>
      </c>
      <c r="N45" s="186">
        <f>IFERROR(D45/_xlfn.XLOOKUP($M45,'00_SKU_Master'!$B$2:$B$379,'00_SKU_Master'!$M$2:$M$379,0),"0")</f>
        <v>0</v>
      </c>
      <c r="O45" s="186">
        <f>IFERROR(E45/_xlfn.XLOOKUP($M45,'00_SKU_Master'!$B$2:$B$379,'00_SKU_Master'!$M$2:$M$379,0),"0")</f>
        <v>6.3208230627610416</v>
      </c>
      <c r="P45" s="186">
        <f>IFERROR(F45/_xlfn.XLOOKUP($M45,'00_SKU_Master'!$B$2:$B$379,'00_SKU_Master'!$M$2:$M$379,0),"0")</f>
        <v>12.859605541479361</v>
      </c>
      <c r="Q45" s="186">
        <f>IFERROR(G45/_xlfn.XLOOKUP($M45,'00_SKU_Master'!$B$2:$B$379,'00_SKU_Master'!$M$2:$M$379,0),"0")</f>
        <v>18.308590940411293</v>
      </c>
      <c r="R45" s="186">
        <f>IFERROR(H45/_xlfn.XLOOKUP($M45,'00_SKU_Master'!$B$2:$B$379,'00_SKU_Master'!$M$2:$M$379,0),"0")</f>
        <v>23.53961692338595</v>
      </c>
      <c r="S45" s="186">
        <f>IFERROR(I45/_xlfn.XLOOKUP($M45,'00_SKU_Master'!$B$2:$B$379,'00_SKU_Master'!$M$2:$M$379,0),"0")</f>
        <v>0</v>
      </c>
      <c r="T45" s="186">
        <f>IFERROR(J45/_xlfn.XLOOKUP($M45,'00_SKU_Master'!$B$2:$B$379,'00_SKU_Master'!$M$2:$M$379,0),"0")</f>
        <v>20.706144515941347</v>
      </c>
      <c r="U45" s="186">
        <f t="shared" si="1"/>
        <v>81.734780983978993</v>
      </c>
      <c r="V45" s="186" t="str">
        <f>_xlfn.XLOOKUP(M45,'00_SKU_Master'!$B$2:$B$379,'00_SKU_Master'!$D$2:$D$379)</f>
        <v>FB</v>
      </c>
      <c r="W45" s="1"/>
      <c r="X45" s="2">
        <f>'05_Daily_Orders'!C46</f>
        <v>2074</v>
      </c>
      <c r="Y45" s="289"/>
      <c r="Z45" s="289">
        <v>29</v>
      </c>
      <c r="AA45" s="289">
        <v>59</v>
      </c>
      <c r="AB45" s="289">
        <v>84</v>
      </c>
      <c r="AC45" s="289">
        <v>108</v>
      </c>
      <c r="AD45" s="289">
        <v>0</v>
      </c>
      <c r="AE45" s="289">
        <v>95</v>
      </c>
      <c r="AF45" s="7">
        <f t="shared" si="2"/>
        <v>375</v>
      </c>
      <c r="AQ45" s="70">
        <v>0</v>
      </c>
      <c r="AR45" s="70">
        <v>29</v>
      </c>
      <c r="AS45" s="3">
        <f t="shared" si="4"/>
        <v>29</v>
      </c>
    </row>
    <row r="46" spans="1:45" x14ac:dyDescent="0.35">
      <c r="A46" s="181" t="str">
        <f>_xlfn.XLOOKUP(X46,'00_SKU_Master'!$B$2:$B$379,'00_SKU_Master'!$C$2:$C$379)</f>
        <v>61050#2</v>
      </c>
      <c r="B46" s="181" t="str">
        <f>_xlfn.XLOOKUP(X46,tblSKU[SKU],tblSKU[Product_Group])</f>
        <v>BSB</v>
      </c>
      <c r="C46" s="181" t="str">
        <f>_xlfn.XLOOKUP(X46,tblSKU[SKU],tblSKU[Tray_Type])</f>
        <v>ST 3XP</v>
      </c>
      <c r="D46" s="182">
        <f>_xlfn.IFNA(_xlfn.XLOOKUP(X46,'00_SKU_Master'!$B$2:$B$379,'00_SKU_Master'!$F$2:$F$379,0)*Y46,"")</f>
        <v>0</v>
      </c>
      <c r="E46" s="182">
        <f>_xlfn.IFNA(_xlfn.XLOOKUP(X46,'00_SKU_Master'!$B$2:$B$379,'00_SKU_Master'!$F$2:$F$379,0)*Z46,"")</f>
        <v>226.80880039331348</v>
      </c>
      <c r="F46" s="182">
        <f>_xlfn.IFNA(_xlfn.XLOOKUP(X46,'00_SKU_Master'!$B$2:$B$379,'00_SKU_Master'!$F$2:$F$379,0)*AA46,"")</f>
        <v>1423.4207472959674</v>
      </c>
      <c r="G46" s="182">
        <f>_xlfn.IFNA(_xlfn.XLOOKUP(X46,'00_SKU_Master'!$B$2:$B$379,'00_SKU_Master'!$F$2:$F$379,0)*AB46,"")</f>
        <v>2111.6681415929188</v>
      </c>
      <c r="H46" s="182">
        <f>_xlfn.IFNA(_xlfn.XLOOKUP(X46,'00_SKU_Master'!$B$2:$B$379,'00_SKU_Master'!$F$2:$F$379,0)*AC46,"")</f>
        <v>2033.4582104228105</v>
      </c>
      <c r="I46" s="182">
        <f>_xlfn.IFNA(_xlfn.XLOOKUP(X46,'00_SKU_Master'!$B$2:$B$379,'00_SKU_Master'!$F$2:$F$379,0)*AD46,"")</f>
        <v>0</v>
      </c>
      <c r="J46" s="182">
        <f>_xlfn.IFNA(_xlfn.XLOOKUP(X46,'00_SKU_Master'!$B$2:$B$379,'00_SKU_Master'!$F$2:$F$379,0)*AE46,"")</f>
        <v>2127.3101278269401</v>
      </c>
      <c r="K46" s="183">
        <f t="shared" si="3"/>
        <v>7922.66602753195</v>
      </c>
      <c r="L46" s="184" t="str">
        <f>_xlfn.XLOOKUP(X46,'00_SKU_Master'!$B$2:$B$379,'00_SKU_Master'!$K$2:$K$379)</f>
        <v>Fast</v>
      </c>
      <c r="M46" s="185">
        <f t="shared" si="0"/>
        <v>2075</v>
      </c>
      <c r="N46" s="186">
        <f>IFERROR(D46/_xlfn.XLOOKUP($M46,'00_SKU_Master'!$B$2:$B$379,'00_SKU_Master'!$M$2:$M$379,0),"0")</f>
        <v>0</v>
      </c>
      <c r="O46" s="186">
        <f>IFERROR(E46/_xlfn.XLOOKUP($M46,'00_SKU_Master'!$B$2:$B$379,'00_SKU_Master'!$M$2:$M$379,0),"0")</f>
        <v>1.9923471573551781</v>
      </c>
      <c r="P46" s="186">
        <f>IFERROR(F46/_xlfn.XLOOKUP($M46,'00_SKU_Master'!$B$2:$B$379,'00_SKU_Master'!$M$2:$M$379,0),"0")</f>
        <v>12.503695953056635</v>
      </c>
      <c r="Q46" s="186">
        <f>IFERROR(G46/_xlfn.XLOOKUP($M46,'00_SKU_Master'!$B$2:$B$379,'00_SKU_Master'!$M$2:$M$379,0),"0")</f>
        <v>18.549439051237865</v>
      </c>
      <c r="R46" s="186">
        <f>IFERROR(H46/_xlfn.XLOOKUP($M46,'00_SKU_Master'!$B$2:$B$379,'00_SKU_Master'!$M$2:$M$379,0),"0")</f>
        <v>17.862422790080906</v>
      </c>
      <c r="S46" s="186">
        <f>IFERROR(I46/_xlfn.XLOOKUP($M46,'00_SKU_Master'!$B$2:$B$379,'00_SKU_Master'!$M$2:$M$379,0),"0")</f>
        <v>0</v>
      </c>
      <c r="T46" s="186">
        <f>IFERROR(J46/_xlfn.XLOOKUP($M46,'00_SKU_Master'!$B$2:$B$379,'00_SKU_Master'!$M$2:$M$379,0),"0")</f>
        <v>18.686842303469255</v>
      </c>
      <c r="U46" s="186">
        <f t="shared" si="1"/>
        <v>69.594747255199849</v>
      </c>
      <c r="V46" s="186" t="str">
        <f>_xlfn.XLOOKUP(M46,'00_SKU_Master'!$B$2:$B$379,'00_SKU_Master'!$D$2:$D$379)</f>
        <v>FB</v>
      </c>
      <c r="W46" s="1"/>
      <c r="X46" s="2">
        <f>'05_Daily_Orders'!C47</f>
        <v>2075</v>
      </c>
      <c r="Y46" s="289"/>
      <c r="Z46" s="289">
        <v>29</v>
      </c>
      <c r="AA46" s="289">
        <v>182</v>
      </c>
      <c r="AB46" s="289">
        <v>270</v>
      </c>
      <c r="AC46" s="289">
        <v>260</v>
      </c>
      <c r="AD46" s="289">
        <v>0</v>
      </c>
      <c r="AE46" s="289">
        <v>272</v>
      </c>
      <c r="AF46" s="7">
        <f t="shared" si="2"/>
        <v>1013</v>
      </c>
      <c r="AQ46" s="70">
        <v>0</v>
      </c>
      <c r="AR46" s="70">
        <v>29</v>
      </c>
      <c r="AS46" s="3">
        <f t="shared" si="4"/>
        <v>29</v>
      </c>
    </row>
    <row r="47" spans="1:45" x14ac:dyDescent="0.35">
      <c r="A47" s="181">
        <f>_xlfn.XLOOKUP(X47,'00_SKU_Master'!$B$2:$B$379,'00_SKU_Master'!$C$2:$C$379)</f>
        <v>61010</v>
      </c>
      <c r="B47" s="181" t="str">
        <f>_xlfn.XLOOKUP(X47,tblSKU[SKU],tblSKU[Product_Group])</f>
        <v>Wing</v>
      </c>
      <c r="C47" s="181" t="str">
        <f>_xlfn.XLOOKUP(X47,tblSKU[SKU],tblSKU[Tray_Type])</f>
        <v>ST 3XP</v>
      </c>
      <c r="D47" s="182">
        <f>_xlfn.IFNA(_xlfn.XLOOKUP(X47,'00_SKU_Master'!$B$2:$B$379,'00_SKU_Master'!$F$2:$F$379,0)*Y47,"")</f>
        <v>0</v>
      </c>
      <c r="E47" s="182">
        <f>_xlfn.IFNA(_xlfn.XLOOKUP(X47,'00_SKU_Master'!$B$2:$B$379,'00_SKU_Master'!$F$2:$F$379,0)*Z47,"")</f>
        <v>0</v>
      </c>
      <c r="F47" s="182">
        <f>_xlfn.IFNA(_xlfn.XLOOKUP(X47,'00_SKU_Master'!$B$2:$B$379,'00_SKU_Master'!$F$2:$F$379,0)*AA47,"")</f>
        <v>0</v>
      </c>
      <c r="G47" s="182">
        <f>_xlfn.IFNA(_xlfn.XLOOKUP(X47,'00_SKU_Master'!$B$2:$B$379,'00_SKU_Master'!$F$2:$F$379,0)*AB47,"")</f>
        <v>0</v>
      </c>
      <c r="H47" s="182">
        <f>_xlfn.IFNA(_xlfn.XLOOKUP(X47,'00_SKU_Master'!$B$2:$B$379,'00_SKU_Master'!$F$2:$F$379,0)*AC47,"")</f>
        <v>0</v>
      </c>
      <c r="I47" s="182">
        <f>_xlfn.IFNA(_xlfn.XLOOKUP(X47,'00_SKU_Master'!$B$2:$B$379,'00_SKU_Master'!$F$2:$F$379,0)*AD47,"")</f>
        <v>0</v>
      </c>
      <c r="J47" s="182">
        <f>_xlfn.IFNA(_xlfn.XLOOKUP(X47,'00_SKU_Master'!$B$2:$B$379,'00_SKU_Master'!$F$2:$F$379,0)*AE47,"")</f>
        <v>0</v>
      </c>
      <c r="K47" s="183">
        <f t="shared" si="3"/>
        <v>0</v>
      </c>
      <c r="L47" s="184" t="str">
        <f>_xlfn.XLOOKUP(X47,'00_SKU_Master'!$B$2:$B$379,'00_SKU_Master'!$K$2:$K$379)</f>
        <v>Fast</v>
      </c>
      <c r="M47" s="185">
        <f t="shared" si="0"/>
        <v>2076</v>
      </c>
      <c r="N47" s="186">
        <f>IFERROR(D47/_xlfn.XLOOKUP($M47,'00_SKU_Master'!$B$2:$B$379,'00_SKU_Master'!$M$2:$M$379,0),"0")</f>
        <v>0</v>
      </c>
      <c r="O47" s="186">
        <f>IFERROR(E47/_xlfn.XLOOKUP($M47,'00_SKU_Master'!$B$2:$B$379,'00_SKU_Master'!$M$2:$M$379,0),"0")</f>
        <v>0</v>
      </c>
      <c r="P47" s="186">
        <f>IFERROR(F47/_xlfn.XLOOKUP($M47,'00_SKU_Master'!$B$2:$B$379,'00_SKU_Master'!$M$2:$M$379,0),"0")</f>
        <v>0</v>
      </c>
      <c r="Q47" s="186">
        <f>IFERROR(G47/_xlfn.XLOOKUP($M47,'00_SKU_Master'!$B$2:$B$379,'00_SKU_Master'!$M$2:$M$379,0),"0")</f>
        <v>0</v>
      </c>
      <c r="R47" s="186">
        <f>IFERROR(H47/_xlfn.XLOOKUP($M47,'00_SKU_Master'!$B$2:$B$379,'00_SKU_Master'!$M$2:$M$379,0),"0")</f>
        <v>0</v>
      </c>
      <c r="S47" s="186">
        <f>IFERROR(I47/_xlfn.XLOOKUP($M47,'00_SKU_Master'!$B$2:$B$379,'00_SKU_Master'!$M$2:$M$379,0),"0")</f>
        <v>0</v>
      </c>
      <c r="T47" s="186">
        <f>IFERROR(J47/_xlfn.XLOOKUP($M47,'00_SKU_Master'!$B$2:$B$379,'00_SKU_Master'!$M$2:$M$379,0),"0")</f>
        <v>0</v>
      </c>
      <c r="U47" s="186">
        <f t="shared" si="1"/>
        <v>0</v>
      </c>
      <c r="V47" s="186" t="str">
        <f>_xlfn.XLOOKUP(M47,'00_SKU_Master'!$B$2:$B$379,'00_SKU_Master'!$D$2:$D$379)</f>
        <v>FB</v>
      </c>
      <c r="W47" s="1"/>
      <c r="X47" s="2">
        <f>'05_Daily_Orders'!C48</f>
        <v>2076</v>
      </c>
      <c r="Y47" s="289"/>
      <c r="Z47" s="289">
        <v>0</v>
      </c>
      <c r="AA47" s="289">
        <v>0</v>
      </c>
      <c r="AB47" s="289">
        <v>0</v>
      </c>
      <c r="AC47" s="289">
        <v>0</v>
      </c>
      <c r="AD47" s="289">
        <v>0</v>
      </c>
      <c r="AE47" s="289">
        <v>0</v>
      </c>
      <c r="AF47" s="7">
        <f t="shared" si="2"/>
        <v>0</v>
      </c>
      <c r="AQ47" s="70">
        <v>0</v>
      </c>
      <c r="AR47" s="70">
        <v>0</v>
      </c>
      <c r="AS47" s="3">
        <f t="shared" si="4"/>
        <v>0</v>
      </c>
    </row>
    <row r="48" spans="1:45" x14ac:dyDescent="0.35">
      <c r="A48" s="181">
        <f>_xlfn.XLOOKUP(X48,'00_SKU_Master'!$B$2:$B$379,'00_SKU_Master'!$C$2:$C$379)</f>
        <v>61061</v>
      </c>
      <c r="B48" s="181" t="str">
        <f>_xlfn.XLOOKUP(X48,tblSKU[SKU],tblSKU[Product_Group])</f>
        <v>BA</v>
      </c>
      <c r="C48" s="181" t="str">
        <f>_xlfn.XLOOKUP(X48,tblSKU[SKU],tblSKU[Tray_Type])</f>
        <v>LT 14D</v>
      </c>
      <c r="D48" s="182">
        <f>_xlfn.IFNA(_xlfn.XLOOKUP(X48,'00_SKU_Master'!$B$2:$B$379,'00_SKU_Master'!$F$2:$F$379,0)*Y48,"")</f>
        <v>0</v>
      </c>
      <c r="E48" s="182">
        <f>_xlfn.IFNA(_xlfn.XLOOKUP(X48,'00_SKU_Master'!$B$2:$B$379,'00_SKU_Master'!$F$2:$F$379,0)*Z48,"")</f>
        <v>195.03164146868241</v>
      </c>
      <c r="F48" s="182">
        <f>_xlfn.IFNA(_xlfn.XLOOKUP(X48,'00_SKU_Master'!$B$2:$B$379,'00_SKU_Master'!$F$2:$F$379,0)*AA48,"")</f>
        <v>175.52847732181417</v>
      </c>
      <c r="G48" s="182">
        <f>_xlfn.IFNA(_xlfn.XLOOKUP(X48,'00_SKU_Master'!$B$2:$B$379,'00_SKU_Master'!$F$2:$F$379,0)*AB48,"")</f>
        <v>0</v>
      </c>
      <c r="H48" s="182">
        <f>_xlfn.IFNA(_xlfn.XLOOKUP(X48,'00_SKU_Master'!$B$2:$B$379,'00_SKU_Master'!$F$2:$F$379,0)*AC48,"")</f>
        <v>195.03164146868241</v>
      </c>
      <c r="I48" s="182">
        <f>_xlfn.IFNA(_xlfn.XLOOKUP(X48,'00_SKU_Master'!$B$2:$B$379,'00_SKU_Master'!$F$2:$F$379,0)*AD48,"")</f>
        <v>0</v>
      </c>
      <c r="J48" s="182">
        <f>_xlfn.IFNA(_xlfn.XLOOKUP(X48,'00_SKU_Master'!$B$2:$B$379,'00_SKU_Master'!$F$2:$F$379,0)*AE48,"")</f>
        <v>175.52847732181417</v>
      </c>
      <c r="K48" s="183">
        <f t="shared" si="3"/>
        <v>741.12023758099315</v>
      </c>
      <c r="L48" s="184" t="str">
        <f>_xlfn.XLOOKUP(X48,'00_SKU_Master'!$B$2:$B$379,'00_SKU_Master'!$K$2:$K$379)</f>
        <v>Fast</v>
      </c>
      <c r="M48" s="185">
        <f t="shared" si="0"/>
        <v>2077</v>
      </c>
      <c r="N48" s="186">
        <f>IFERROR(D48/_xlfn.XLOOKUP($M48,'00_SKU_Master'!$B$2:$B$379,'00_SKU_Master'!$M$2:$M$379,0),"0")</f>
        <v>0</v>
      </c>
      <c r="O48" s="186">
        <f>IFERROR(E48/_xlfn.XLOOKUP($M48,'00_SKU_Master'!$B$2:$B$379,'00_SKU_Master'!$M$2:$M$379,0),"0")</f>
        <v>2.5029728114563965</v>
      </c>
      <c r="P48" s="186">
        <f>IFERROR(F48/_xlfn.XLOOKUP($M48,'00_SKU_Master'!$B$2:$B$379,'00_SKU_Master'!$M$2:$M$379,0),"0")</f>
        <v>2.2526755303107566</v>
      </c>
      <c r="Q48" s="186">
        <f>IFERROR(G48/_xlfn.XLOOKUP($M48,'00_SKU_Master'!$B$2:$B$379,'00_SKU_Master'!$M$2:$M$379,0),"0")</f>
        <v>0</v>
      </c>
      <c r="R48" s="186">
        <f>IFERROR(H48/_xlfn.XLOOKUP($M48,'00_SKU_Master'!$B$2:$B$379,'00_SKU_Master'!$M$2:$M$379,0),"0")</f>
        <v>2.5029728114563965</v>
      </c>
      <c r="S48" s="186">
        <f>IFERROR(I48/_xlfn.XLOOKUP($M48,'00_SKU_Master'!$B$2:$B$379,'00_SKU_Master'!$M$2:$M$379,0),"0")</f>
        <v>0</v>
      </c>
      <c r="T48" s="186">
        <f>IFERROR(J48/_xlfn.XLOOKUP($M48,'00_SKU_Master'!$B$2:$B$379,'00_SKU_Master'!$M$2:$M$379,0),"0")</f>
        <v>2.2526755303107566</v>
      </c>
      <c r="U48" s="186">
        <f t="shared" si="1"/>
        <v>9.5112966835343062</v>
      </c>
      <c r="V48" s="186" t="str">
        <f>_xlfn.XLOOKUP(M48,'00_SKU_Master'!$B$2:$B$379,'00_SKU_Master'!$D$2:$D$379)</f>
        <v>FB</v>
      </c>
      <c r="W48" s="1"/>
      <c r="X48" s="2">
        <f>'05_Daily_Orders'!C49</f>
        <v>2077</v>
      </c>
      <c r="Y48" s="289"/>
      <c r="Z48" s="289">
        <v>20</v>
      </c>
      <c r="AA48" s="289">
        <v>18</v>
      </c>
      <c r="AB48" s="289">
        <v>0</v>
      </c>
      <c r="AC48" s="289">
        <v>20</v>
      </c>
      <c r="AD48" s="289">
        <v>0</v>
      </c>
      <c r="AE48" s="289">
        <v>18</v>
      </c>
      <c r="AF48" s="7">
        <f t="shared" si="2"/>
        <v>76</v>
      </c>
      <c r="AQ48" s="70">
        <v>0</v>
      </c>
      <c r="AR48" s="70">
        <v>20</v>
      </c>
      <c r="AS48" s="3">
        <f t="shared" si="4"/>
        <v>20</v>
      </c>
    </row>
    <row r="49" spans="1:45" x14ac:dyDescent="0.35">
      <c r="A49" s="181">
        <f>_xlfn.XLOOKUP(X49,'00_SKU_Master'!$B$2:$B$379,'00_SKU_Master'!$C$2:$C$379)</f>
        <v>203891</v>
      </c>
      <c r="B49" s="181" t="str">
        <f>_xlfn.XLOOKUP(X49,tblSKU[SKU],tblSKU[Product_Group])</f>
        <v>Whole Bird-Small</v>
      </c>
      <c r="C49" s="181" t="str">
        <f>_xlfn.XLOOKUP(X49,tblSKU[SKU],tblSKU[Tray_Type])</f>
        <v>ST 3XP</v>
      </c>
      <c r="D49" s="182">
        <f>_xlfn.IFNA(_xlfn.XLOOKUP(X49,'00_SKU_Master'!$B$2:$B$379,'00_SKU_Master'!$F$2:$F$379,0)*Y49,"")</f>
        <v>0</v>
      </c>
      <c r="E49" s="182">
        <f>_xlfn.IFNA(_xlfn.XLOOKUP(X49,'00_SKU_Master'!$B$2:$B$379,'00_SKU_Master'!$F$2:$F$379,0)*Z49,"")</f>
        <v>1260.4222998296409</v>
      </c>
      <c r="F49" s="182">
        <f>_xlfn.IFNA(_xlfn.XLOOKUP(X49,'00_SKU_Master'!$B$2:$B$379,'00_SKU_Master'!$F$2:$F$379,0)*AA49,"")</f>
        <v>876.03819420783555</v>
      </c>
      <c r="G49" s="182">
        <f>_xlfn.IFNA(_xlfn.XLOOKUP(X49,'00_SKU_Master'!$B$2:$B$379,'00_SKU_Master'!$F$2:$F$379,0)*AB49,"")</f>
        <v>1081.6389948892663</v>
      </c>
      <c r="H49" s="182">
        <f>_xlfn.IFNA(_xlfn.XLOOKUP(X49,'00_SKU_Master'!$B$2:$B$379,'00_SKU_Master'!$F$2:$F$379,0)*AC49,"")</f>
        <v>1403.4489437819407</v>
      </c>
      <c r="I49" s="182">
        <f>_xlfn.IFNA(_xlfn.XLOOKUP(X49,'00_SKU_Master'!$B$2:$B$379,'00_SKU_Master'!$F$2:$F$379,0)*AD49,"")</f>
        <v>0</v>
      </c>
      <c r="J49" s="182">
        <f>_xlfn.IFNA(_xlfn.XLOOKUP(X49,'00_SKU_Master'!$B$2:$B$379,'00_SKU_Master'!$F$2:$F$379,0)*AE49,"")</f>
        <v>1474.9622657580906</v>
      </c>
      <c r="K49" s="183">
        <f t="shared" si="3"/>
        <v>6096.5106984667736</v>
      </c>
      <c r="L49" s="184" t="str">
        <f>_xlfn.XLOOKUP(X49,'00_SKU_Master'!$B$2:$B$379,'00_SKU_Master'!$K$2:$K$379)</f>
        <v>Fast</v>
      </c>
      <c r="M49" s="185">
        <f t="shared" si="0"/>
        <v>2078</v>
      </c>
      <c r="N49" s="186">
        <f>IFERROR(D49/_xlfn.XLOOKUP($M49,'00_SKU_Master'!$B$2:$B$379,'00_SKU_Master'!$M$2:$M$379,0),"0")</f>
        <v>0</v>
      </c>
      <c r="O49" s="186">
        <f>IFERROR(E49/_xlfn.XLOOKUP($M49,'00_SKU_Master'!$B$2:$B$379,'00_SKU_Master'!$M$2:$M$379,0),"0")</f>
        <v>7.8555456517895976</v>
      </c>
      <c r="P49" s="186">
        <f>IFERROR(F49/_xlfn.XLOOKUP($M49,'00_SKU_Master'!$B$2:$B$379,'00_SKU_Master'!$M$2:$M$379,0),"0")</f>
        <v>5.4598827934424161</v>
      </c>
      <c r="Q49" s="186">
        <f>IFERROR(G49/_xlfn.XLOOKUP($M49,'00_SKU_Master'!$B$2:$B$379,'00_SKU_Master'!$M$2:$M$379,0),"0")</f>
        <v>6.7412838572095133</v>
      </c>
      <c r="R49" s="186">
        <f>IFERROR(H49/_xlfn.XLOOKUP($M49,'00_SKU_Master'!$B$2:$B$379,'00_SKU_Master'!$M$2:$M$379,0),"0")</f>
        <v>8.7469550874536672</v>
      </c>
      <c r="S49" s="186">
        <f>IFERROR(I49/_xlfn.XLOOKUP($M49,'00_SKU_Master'!$B$2:$B$379,'00_SKU_Master'!$M$2:$M$379,0),"0")</f>
        <v>0</v>
      </c>
      <c r="T49" s="186">
        <f>IFERROR(J49/_xlfn.XLOOKUP($M49,'00_SKU_Master'!$B$2:$B$379,'00_SKU_Master'!$M$2:$M$379,0),"0")</f>
        <v>9.1926598052857003</v>
      </c>
      <c r="U49" s="186">
        <f t="shared" si="1"/>
        <v>37.996327195180896</v>
      </c>
      <c r="V49" s="186" t="str">
        <f>_xlfn.XLOOKUP(M49,'00_SKU_Master'!$B$2:$B$379,'00_SKU_Master'!$D$2:$D$379)</f>
        <v>FB</v>
      </c>
      <c r="W49" s="1"/>
      <c r="X49" s="2">
        <f>'05_Daily_Orders'!C50</f>
        <v>2078</v>
      </c>
      <c r="Y49" s="289"/>
      <c r="Z49" s="289">
        <v>141</v>
      </c>
      <c r="AA49" s="289">
        <v>98</v>
      </c>
      <c r="AB49" s="289">
        <v>121</v>
      </c>
      <c r="AC49" s="289">
        <v>157</v>
      </c>
      <c r="AD49" s="289">
        <v>0</v>
      </c>
      <c r="AE49" s="289">
        <v>165</v>
      </c>
      <c r="AF49" s="7">
        <f t="shared" si="2"/>
        <v>682</v>
      </c>
      <c r="AQ49" s="70">
        <v>0</v>
      </c>
      <c r="AR49" s="70">
        <v>141</v>
      </c>
      <c r="AS49" s="3">
        <f t="shared" si="4"/>
        <v>141</v>
      </c>
    </row>
    <row r="50" spans="1:45" x14ac:dyDescent="0.35">
      <c r="A50" s="181" t="str">
        <f>_xlfn.XLOOKUP(X50,'00_SKU_Master'!$B$2:$B$379,'00_SKU_Master'!$C$2:$C$379)</f>
        <v>61050#2</v>
      </c>
      <c r="B50" s="181" t="str">
        <f>_xlfn.XLOOKUP(X50,tblSKU[SKU],tblSKU[Product_Group])</f>
        <v>BSB</v>
      </c>
      <c r="C50" s="181" t="str">
        <f>_xlfn.XLOOKUP(X50,tblSKU[SKU],tblSKU[Tray_Type])</f>
        <v>LT 8XP</v>
      </c>
      <c r="D50" s="182">
        <f>_xlfn.IFNA(_xlfn.XLOOKUP(X50,'00_SKU_Master'!$B$2:$B$379,'00_SKU_Master'!$F$2:$F$379,0)*Y50,"")</f>
        <v>0</v>
      </c>
      <c r="E50" s="182">
        <f>_xlfn.IFNA(_xlfn.XLOOKUP(X50,'00_SKU_Master'!$B$2:$B$379,'00_SKU_Master'!$F$2:$F$379,0)*Z50,"")</f>
        <v>0</v>
      </c>
      <c r="F50" s="182">
        <f>_xlfn.IFNA(_xlfn.XLOOKUP(X50,'00_SKU_Master'!$B$2:$B$379,'00_SKU_Master'!$F$2:$F$379,0)*AA50,"")</f>
        <v>0</v>
      </c>
      <c r="G50" s="182">
        <f>_xlfn.IFNA(_xlfn.XLOOKUP(X50,'00_SKU_Master'!$B$2:$B$379,'00_SKU_Master'!$F$2:$F$379,0)*AB50,"")</f>
        <v>0</v>
      </c>
      <c r="H50" s="182">
        <f>_xlfn.IFNA(_xlfn.XLOOKUP(X50,'00_SKU_Master'!$B$2:$B$379,'00_SKU_Master'!$F$2:$F$379,0)*AC50,"")</f>
        <v>0</v>
      </c>
      <c r="I50" s="182">
        <f>_xlfn.IFNA(_xlfn.XLOOKUP(X50,'00_SKU_Master'!$B$2:$B$379,'00_SKU_Master'!$F$2:$F$379,0)*AD50,"")</f>
        <v>0</v>
      </c>
      <c r="J50" s="182">
        <f>_xlfn.IFNA(_xlfn.XLOOKUP(X50,'00_SKU_Master'!$B$2:$B$379,'00_SKU_Master'!$F$2:$F$379,0)*AE50,"")</f>
        <v>0</v>
      </c>
      <c r="K50" s="183">
        <f t="shared" si="3"/>
        <v>0</v>
      </c>
      <c r="L50" s="184" t="str">
        <f>_xlfn.XLOOKUP(X50,'00_SKU_Master'!$B$2:$B$379,'00_SKU_Master'!$K$2:$K$379)</f>
        <v>Fast</v>
      </c>
      <c r="M50" s="185">
        <f t="shared" si="0"/>
        <v>2082</v>
      </c>
      <c r="N50" s="186">
        <f>IFERROR(D50/_xlfn.XLOOKUP($M50,'00_SKU_Master'!$B$2:$B$379,'00_SKU_Master'!$M$2:$M$379,0),"0")</f>
        <v>0</v>
      </c>
      <c r="O50" s="186">
        <f>IFERROR(E50/_xlfn.XLOOKUP($M50,'00_SKU_Master'!$B$2:$B$379,'00_SKU_Master'!$M$2:$M$379,0),"0")</f>
        <v>0</v>
      </c>
      <c r="P50" s="186">
        <f>IFERROR(F50/_xlfn.XLOOKUP($M50,'00_SKU_Master'!$B$2:$B$379,'00_SKU_Master'!$M$2:$M$379,0),"0")</f>
        <v>0</v>
      </c>
      <c r="Q50" s="186">
        <f>IFERROR(G50/_xlfn.XLOOKUP($M50,'00_SKU_Master'!$B$2:$B$379,'00_SKU_Master'!$M$2:$M$379,0),"0")</f>
        <v>0</v>
      </c>
      <c r="R50" s="186">
        <f>IFERROR(H50/_xlfn.XLOOKUP($M50,'00_SKU_Master'!$B$2:$B$379,'00_SKU_Master'!$M$2:$M$379,0),"0")</f>
        <v>0</v>
      </c>
      <c r="S50" s="186">
        <f>IFERROR(I50/_xlfn.XLOOKUP($M50,'00_SKU_Master'!$B$2:$B$379,'00_SKU_Master'!$M$2:$M$379,0),"0")</f>
        <v>0</v>
      </c>
      <c r="T50" s="186">
        <f>IFERROR(J50/_xlfn.XLOOKUP($M50,'00_SKU_Master'!$B$2:$B$379,'00_SKU_Master'!$M$2:$M$379,0),"0")</f>
        <v>0</v>
      </c>
      <c r="U50" s="186">
        <f t="shared" si="1"/>
        <v>0</v>
      </c>
      <c r="V50" s="186" t="str">
        <f>_xlfn.XLOOKUP(M50,'00_SKU_Master'!$B$2:$B$379,'00_SKU_Master'!$D$2:$D$379)</f>
        <v>FB</v>
      </c>
      <c r="W50" s="1"/>
      <c r="X50" s="2">
        <f>'05_Daily_Orders'!C51</f>
        <v>2082</v>
      </c>
      <c r="Y50" s="289"/>
      <c r="Z50" s="289">
        <v>0</v>
      </c>
      <c r="AA50" s="289">
        <v>0</v>
      </c>
      <c r="AB50" s="289">
        <v>0</v>
      </c>
      <c r="AC50" s="289">
        <v>0</v>
      </c>
      <c r="AD50" s="289">
        <v>0</v>
      </c>
      <c r="AE50" s="289">
        <v>0</v>
      </c>
      <c r="AF50" s="7">
        <f t="shared" si="2"/>
        <v>0</v>
      </c>
      <c r="AQ50" s="70">
        <v>0</v>
      </c>
      <c r="AR50" s="70">
        <v>0</v>
      </c>
      <c r="AS50" s="3">
        <f t="shared" si="4"/>
        <v>0</v>
      </c>
    </row>
    <row r="51" spans="1:45" x14ac:dyDescent="0.35">
      <c r="A51" s="181" t="str">
        <f>_xlfn.XLOOKUP(X51,'00_SKU_Master'!$B$2:$B$379,'00_SKU_Master'!$C$2:$C$379)</f>
        <v>61050F</v>
      </c>
      <c r="B51" s="181" t="str">
        <f>_xlfn.XLOOKUP(X51,tblSKU[SKU],tblSKU[Product_Group])</f>
        <v>BSB</v>
      </c>
      <c r="C51" s="181" t="str">
        <f>_xlfn.XLOOKUP(X51,tblSKU[SKU],tblSKU[Tray_Type])</f>
        <v>ST 3D</v>
      </c>
      <c r="D51" s="182">
        <f>_xlfn.IFNA(_xlfn.XLOOKUP(X51,'00_SKU_Master'!$B$2:$B$379,'00_SKU_Master'!$F$2:$F$379,0)*Y51,"")</f>
        <v>0</v>
      </c>
      <c r="E51" s="182">
        <f>_xlfn.IFNA(_xlfn.XLOOKUP(X51,'00_SKU_Master'!$B$2:$B$379,'00_SKU_Master'!$F$2:$F$379,0)*Z51,"")</f>
        <v>-5.9302396021699799</v>
      </c>
      <c r="F51" s="182">
        <f>_xlfn.IFNA(_xlfn.XLOOKUP(X51,'00_SKU_Master'!$B$2:$B$379,'00_SKU_Master'!$F$2:$F$379,0)*AA51,"")</f>
        <v>355.81437613019881</v>
      </c>
      <c r="G51" s="182">
        <f>_xlfn.IFNA(_xlfn.XLOOKUP(X51,'00_SKU_Master'!$B$2:$B$379,'00_SKU_Master'!$F$2:$F$379,0)*AB51,"")</f>
        <v>355.81437613019881</v>
      </c>
      <c r="H51" s="182">
        <f>_xlfn.IFNA(_xlfn.XLOOKUP(X51,'00_SKU_Master'!$B$2:$B$379,'00_SKU_Master'!$F$2:$F$379,0)*AC51,"")</f>
        <v>1186.0479204339961</v>
      </c>
      <c r="I51" s="182">
        <f>_xlfn.IFNA(_xlfn.XLOOKUP(X51,'00_SKU_Master'!$B$2:$B$379,'00_SKU_Master'!$F$2:$F$379,0)*AD51,"")</f>
        <v>0</v>
      </c>
      <c r="J51" s="182">
        <f>_xlfn.IFNA(_xlfn.XLOOKUP(X51,'00_SKU_Master'!$B$2:$B$379,'00_SKU_Master'!$F$2:$F$379,0)*AE51,"")</f>
        <v>0</v>
      </c>
      <c r="K51" s="183">
        <f t="shared" si="3"/>
        <v>1891.7464330922237</v>
      </c>
      <c r="L51" s="184" t="str">
        <f>_xlfn.XLOOKUP(X51,'00_SKU_Master'!$B$2:$B$379,'00_SKU_Master'!$K$2:$K$379)</f>
        <v>Fast</v>
      </c>
      <c r="M51" s="185">
        <f t="shared" si="0"/>
        <v>2084</v>
      </c>
      <c r="N51" s="186">
        <f>IFERROR(D51/_xlfn.XLOOKUP($M51,'00_SKU_Master'!$B$2:$B$379,'00_SKU_Master'!$M$2:$M$379,0),"0")</f>
        <v>0</v>
      </c>
      <c r="O51" s="186">
        <f>IFERROR(E51/_xlfn.XLOOKUP($M51,'00_SKU_Master'!$B$2:$B$379,'00_SKU_Master'!$M$2:$M$379,0),"0")</f>
        <v>-6.4641809485175283E-2</v>
      </c>
      <c r="P51" s="186">
        <f>IFERROR(F51/_xlfn.XLOOKUP($M51,'00_SKU_Master'!$B$2:$B$379,'00_SKU_Master'!$M$2:$M$379,0),"0")</f>
        <v>3.878508569110517</v>
      </c>
      <c r="Q51" s="186">
        <f>IFERROR(G51/_xlfn.XLOOKUP($M51,'00_SKU_Master'!$B$2:$B$379,'00_SKU_Master'!$M$2:$M$379,0),"0")</f>
        <v>3.878508569110517</v>
      </c>
      <c r="R51" s="186">
        <f>IFERROR(H51/_xlfn.XLOOKUP($M51,'00_SKU_Master'!$B$2:$B$379,'00_SKU_Master'!$M$2:$M$379,0),"0")</f>
        <v>12.928361897035057</v>
      </c>
      <c r="S51" s="186">
        <f>IFERROR(I51/_xlfn.XLOOKUP($M51,'00_SKU_Master'!$B$2:$B$379,'00_SKU_Master'!$M$2:$M$379,0),"0")</f>
        <v>0</v>
      </c>
      <c r="T51" s="186">
        <f>IFERROR(J51/_xlfn.XLOOKUP($M51,'00_SKU_Master'!$B$2:$B$379,'00_SKU_Master'!$M$2:$M$379,0),"0")</f>
        <v>0</v>
      </c>
      <c r="U51" s="186">
        <f t="shared" si="1"/>
        <v>20.620737225770917</v>
      </c>
      <c r="V51" s="186" t="str">
        <f>_xlfn.XLOOKUP(M51,'00_SKU_Master'!$B$2:$B$379,'00_SKU_Master'!$D$2:$D$379)</f>
        <v>METRO</v>
      </c>
      <c r="W51" s="1"/>
      <c r="X51" s="2">
        <f>'05_Daily_Orders'!C52</f>
        <v>2084</v>
      </c>
      <c r="Y51" s="289"/>
      <c r="Z51" s="289">
        <v>-1</v>
      </c>
      <c r="AA51" s="289">
        <v>60</v>
      </c>
      <c r="AB51" s="289">
        <v>60</v>
      </c>
      <c r="AC51" s="289">
        <v>200</v>
      </c>
      <c r="AD51" s="289">
        <v>0</v>
      </c>
      <c r="AE51" s="289">
        <v>0</v>
      </c>
      <c r="AF51" s="7">
        <f t="shared" si="2"/>
        <v>319</v>
      </c>
      <c r="AQ51" s="70">
        <v>1</v>
      </c>
      <c r="AR51" s="70">
        <v>0</v>
      </c>
      <c r="AS51" s="3">
        <f t="shared" si="4"/>
        <v>-1</v>
      </c>
    </row>
    <row r="52" spans="1:45" x14ac:dyDescent="0.35">
      <c r="A52" s="181" t="str">
        <f>_xlfn.XLOOKUP(X52,'00_SKU_Master'!$B$2:$B$379,'00_SKU_Master'!$C$2:$C$379)</f>
        <v>61086#2</v>
      </c>
      <c r="B52" s="181" t="str">
        <f>_xlfn.XLOOKUP(X52,tblSKU[SKU],tblSKU[Product_Group])</f>
        <v>ThighMeat</v>
      </c>
      <c r="C52" s="181" t="str">
        <f>_xlfn.XLOOKUP(X52,tblSKU[SKU],tblSKU[Tray_Type])</f>
        <v>ST 3D</v>
      </c>
      <c r="D52" s="182">
        <f>_xlfn.IFNA(_xlfn.XLOOKUP(X52,'00_SKU_Master'!$B$2:$B$379,'00_SKU_Master'!$F$2:$F$379,0)*Y52,"")</f>
        <v>0</v>
      </c>
      <c r="E52" s="182">
        <f>_xlfn.IFNA(_xlfn.XLOOKUP(X52,'00_SKU_Master'!$B$2:$B$379,'00_SKU_Master'!$F$2:$F$379,0)*Z52,"")</f>
        <v>68.09440053138492</v>
      </c>
      <c r="F52" s="182">
        <f>_xlfn.IFNA(_xlfn.XLOOKUP(X52,'00_SKU_Master'!$B$2:$B$379,'00_SKU_Master'!$F$2:$F$379,0)*AA52,"")</f>
        <v>145.91657256725338</v>
      </c>
      <c r="G52" s="182">
        <f>_xlfn.IFNA(_xlfn.XLOOKUP(X52,'00_SKU_Master'!$B$2:$B$379,'00_SKU_Master'!$F$2:$F$379,0)*AB52,"")</f>
        <v>145.91657256725338</v>
      </c>
      <c r="H52" s="182">
        <f>_xlfn.IFNA(_xlfn.XLOOKUP(X52,'00_SKU_Master'!$B$2:$B$379,'00_SKU_Master'!$F$2:$F$379,0)*AC52,"")</f>
        <v>729.58286283626694</v>
      </c>
      <c r="I52" s="182">
        <f>_xlfn.IFNA(_xlfn.XLOOKUP(X52,'00_SKU_Master'!$B$2:$B$379,'00_SKU_Master'!$F$2:$F$379,0)*AD52,"")</f>
        <v>0</v>
      </c>
      <c r="J52" s="182">
        <f>_xlfn.IFNA(_xlfn.XLOOKUP(X52,'00_SKU_Master'!$B$2:$B$379,'00_SKU_Master'!$F$2:$F$379,0)*AE52,"")</f>
        <v>0</v>
      </c>
      <c r="K52" s="183">
        <f t="shared" si="3"/>
        <v>1089.5104085021585</v>
      </c>
      <c r="L52" s="184" t="str">
        <f>_xlfn.XLOOKUP(X52,'00_SKU_Master'!$B$2:$B$379,'00_SKU_Master'!$K$2:$K$379)</f>
        <v>Slow</v>
      </c>
      <c r="M52" s="185">
        <f t="shared" si="0"/>
        <v>2085</v>
      </c>
      <c r="N52" s="186">
        <f>IFERROR(D52/_xlfn.XLOOKUP($M52,'00_SKU_Master'!$B$2:$B$379,'00_SKU_Master'!$M$2:$M$379,0),"0")</f>
        <v>0</v>
      </c>
      <c r="O52" s="186">
        <f>IFERROR(E52/_xlfn.XLOOKUP($M52,'00_SKU_Master'!$B$2:$B$379,'00_SKU_Master'!$M$2:$M$379,0),"0")</f>
        <v>1.8216800570193932</v>
      </c>
      <c r="P52" s="186">
        <f>IFERROR(F52/_xlfn.XLOOKUP($M52,'00_SKU_Master'!$B$2:$B$379,'00_SKU_Master'!$M$2:$M$379,0),"0")</f>
        <v>3.9036001221844132</v>
      </c>
      <c r="Q52" s="186">
        <f>IFERROR(G52/_xlfn.XLOOKUP($M52,'00_SKU_Master'!$B$2:$B$379,'00_SKU_Master'!$M$2:$M$379,0),"0")</f>
        <v>3.9036001221844132</v>
      </c>
      <c r="R52" s="186">
        <f>IFERROR(H52/_xlfn.XLOOKUP($M52,'00_SKU_Master'!$B$2:$B$379,'00_SKU_Master'!$M$2:$M$379,0),"0")</f>
        <v>19.518000610922069</v>
      </c>
      <c r="S52" s="186">
        <f>IFERROR(I52/_xlfn.XLOOKUP($M52,'00_SKU_Master'!$B$2:$B$379,'00_SKU_Master'!$M$2:$M$379,0),"0")</f>
        <v>0</v>
      </c>
      <c r="T52" s="186">
        <f>IFERROR(J52/_xlfn.XLOOKUP($M52,'00_SKU_Master'!$B$2:$B$379,'00_SKU_Master'!$M$2:$M$379,0),"0")</f>
        <v>0</v>
      </c>
      <c r="U52" s="186">
        <f t="shared" si="1"/>
        <v>29.146880912310287</v>
      </c>
      <c r="V52" s="186" t="str">
        <f>_xlfn.XLOOKUP(M52,'00_SKU_Master'!$B$2:$B$379,'00_SKU_Master'!$D$2:$D$379)</f>
        <v>METRO</v>
      </c>
      <c r="W52" s="1"/>
      <c r="X52" s="2">
        <f>'05_Daily_Orders'!C53</f>
        <v>2085</v>
      </c>
      <c r="Y52" s="289"/>
      <c r="Z52" s="289">
        <v>14</v>
      </c>
      <c r="AA52" s="289">
        <v>30</v>
      </c>
      <c r="AB52" s="289">
        <v>30</v>
      </c>
      <c r="AC52" s="289">
        <v>150</v>
      </c>
      <c r="AD52" s="289">
        <v>0</v>
      </c>
      <c r="AE52" s="289">
        <v>0</v>
      </c>
      <c r="AF52" s="7">
        <f t="shared" si="2"/>
        <v>224</v>
      </c>
      <c r="AQ52" s="70">
        <v>0</v>
      </c>
      <c r="AR52" s="70">
        <v>14</v>
      </c>
      <c r="AS52" s="3">
        <f t="shared" si="4"/>
        <v>14</v>
      </c>
    </row>
    <row r="53" spans="1:45" x14ac:dyDescent="0.35">
      <c r="A53" s="181">
        <f>_xlfn.XLOOKUP(X53,'00_SKU_Master'!$B$2:$B$379,'00_SKU_Master'!$C$2:$C$379)</f>
        <v>61050</v>
      </c>
      <c r="B53" s="181" t="str">
        <f>_xlfn.XLOOKUP(X53,tblSKU[SKU],tblSKU[Product_Group])</f>
        <v>BSB</v>
      </c>
      <c r="C53" s="181" t="str">
        <f>_xlfn.XLOOKUP(X53,tblSKU[SKU],tblSKU[Tray_Type])</f>
        <v>ST 3XP</v>
      </c>
      <c r="D53" s="182">
        <f>_xlfn.IFNA(_xlfn.XLOOKUP(X53,'00_SKU_Master'!$B$2:$B$379,'00_SKU_Master'!$F$2:$F$379,0)*Y53,"")</f>
        <v>0</v>
      </c>
      <c r="E53" s="182">
        <f>_xlfn.IFNA(_xlfn.XLOOKUP(X53,'00_SKU_Master'!$B$2:$B$379,'00_SKU_Master'!$F$2:$F$379,0)*Z53,"")</f>
        <v>0</v>
      </c>
      <c r="F53" s="182">
        <f>_xlfn.IFNA(_xlfn.XLOOKUP(X53,'00_SKU_Master'!$B$2:$B$379,'00_SKU_Master'!$F$2:$F$379,0)*AA53,"")</f>
        <v>0</v>
      </c>
      <c r="G53" s="182">
        <f>_xlfn.IFNA(_xlfn.XLOOKUP(X53,'00_SKU_Master'!$B$2:$B$379,'00_SKU_Master'!$F$2:$F$379,0)*AB53,"")</f>
        <v>0</v>
      </c>
      <c r="H53" s="182">
        <f>_xlfn.IFNA(_xlfn.XLOOKUP(X53,'00_SKU_Master'!$B$2:$B$379,'00_SKU_Master'!$F$2:$F$379,0)*AC53,"")</f>
        <v>0</v>
      </c>
      <c r="I53" s="182">
        <f>_xlfn.IFNA(_xlfn.XLOOKUP(X53,'00_SKU_Master'!$B$2:$B$379,'00_SKU_Master'!$F$2:$F$379,0)*AD53,"")</f>
        <v>0</v>
      </c>
      <c r="J53" s="182">
        <f>_xlfn.IFNA(_xlfn.XLOOKUP(X53,'00_SKU_Master'!$B$2:$B$379,'00_SKU_Master'!$F$2:$F$379,0)*AE53,"")</f>
        <v>0</v>
      </c>
      <c r="K53" s="183">
        <f t="shared" si="3"/>
        <v>0</v>
      </c>
      <c r="L53" s="184" t="str">
        <f>_xlfn.XLOOKUP(X53,'00_SKU_Master'!$B$2:$B$379,'00_SKU_Master'!$K$2:$K$379)</f>
        <v>Fast</v>
      </c>
      <c r="M53" s="185">
        <f t="shared" si="0"/>
        <v>2086</v>
      </c>
      <c r="N53" s="186">
        <f>IFERROR(D53/_xlfn.XLOOKUP($M53,'00_SKU_Master'!$B$2:$B$379,'00_SKU_Master'!$M$2:$M$379,0),"0")</f>
        <v>0</v>
      </c>
      <c r="O53" s="186">
        <f>IFERROR(E53/_xlfn.XLOOKUP($M53,'00_SKU_Master'!$B$2:$B$379,'00_SKU_Master'!$M$2:$M$379,0),"0")</f>
        <v>0</v>
      </c>
      <c r="P53" s="186">
        <f>IFERROR(F53/_xlfn.XLOOKUP($M53,'00_SKU_Master'!$B$2:$B$379,'00_SKU_Master'!$M$2:$M$379,0),"0")</f>
        <v>0</v>
      </c>
      <c r="Q53" s="186">
        <f>IFERROR(G53/_xlfn.XLOOKUP($M53,'00_SKU_Master'!$B$2:$B$379,'00_SKU_Master'!$M$2:$M$379,0),"0")</f>
        <v>0</v>
      </c>
      <c r="R53" s="186">
        <f>IFERROR(H53/_xlfn.XLOOKUP($M53,'00_SKU_Master'!$B$2:$B$379,'00_SKU_Master'!$M$2:$M$379,0),"0")</f>
        <v>0</v>
      </c>
      <c r="S53" s="186">
        <f>IFERROR(I53/_xlfn.XLOOKUP($M53,'00_SKU_Master'!$B$2:$B$379,'00_SKU_Master'!$M$2:$M$379,0),"0")</f>
        <v>0</v>
      </c>
      <c r="T53" s="186">
        <f>IFERROR(J53/_xlfn.XLOOKUP($M53,'00_SKU_Master'!$B$2:$B$379,'00_SKU_Master'!$M$2:$M$379,0),"0")</f>
        <v>0</v>
      </c>
      <c r="U53" s="186">
        <f t="shared" si="1"/>
        <v>0</v>
      </c>
      <c r="V53" s="186" t="str">
        <f>_xlfn.XLOOKUP(M53,'00_SKU_Master'!$B$2:$B$379,'00_SKU_Master'!$D$2:$D$379)</f>
        <v>SOB</v>
      </c>
      <c r="W53" s="1"/>
      <c r="X53" s="2">
        <f>'05_Daily_Orders'!C54</f>
        <v>2086</v>
      </c>
      <c r="Y53" s="290"/>
      <c r="Z53" s="290">
        <v>0</v>
      </c>
      <c r="AA53" s="290">
        <v>0</v>
      </c>
      <c r="AB53" s="290">
        <v>0</v>
      </c>
      <c r="AC53" s="290">
        <v>0</v>
      </c>
      <c r="AD53" s="289">
        <v>0</v>
      </c>
      <c r="AE53" s="290">
        <v>0</v>
      </c>
      <c r="AF53" s="7">
        <f t="shared" si="2"/>
        <v>0</v>
      </c>
      <c r="AQ53" s="70">
        <v>0</v>
      </c>
      <c r="AR53" s="70">
        <v>0</v>
      </c>
      <c r="AS53" s="3">
        <f t="shared" si="4"/>
        <v>0</v>
      </c>
    </row>
    <row r="54" spans="1:45" x14ac:dyDescent="0.35">
      <c r="A54" s="181">
        <f>_xlfn.XLOOKUP(X54,'00_SKU_Master'!$B$2:$B$379,'00_SKU_Master'!$C$2:$C$379)</f>
        <v>61050</v>
      </c>
      <c r="B54" s="181" t="str">
        <f>_xlfn.XLOOKUP(X54,tblSKU[SKU],tblSKU[Product_Group])</f>
        <v>BSB</v>
      </c>
      <c r="C54" s="181" t="str">
        <f>_xlfn.XLOOKUP(X54,tblSKU[SKU],tblSKU[Tray_Type])</f>
        <v>LT 6D</v>
      </c>
      <c r="D54" s="182">
        <f>_xlfn.IFNA(_xlfn.XLOOKUP(X54,'00_SKU_Master'!$B$2:$B$379,'00_SKU_Master'!$F$2:$F$379,0)*Y54,"")</f>
        <v>0</v>
      </c>
      <c r="E54" s="182">
        <f>_xlfn.IFNA(_xlfn.XLOOKUP(X54,'00_SKU_Master'!$B$2:$B$379,'00_SKU_Master'!$F$2:$F$379,0)*Z54,"")</f>
        <v>0</v>
      </c>
      <c r="F54" s="182">
        <f>_xlfn.IFNA(_xlfn.XLOOKUP(X54,'00_SKU_Master'!$B$2:$B$379,'00_SKU_Master'!$F$2:$F$379,0)*AA54,"")</f>
        <v>0</v>
      </c>
      <c r="G54" s="182">
        <f>_xlfn.IFNA(_xlfn.XLOOKUP(X54,'00_SKU_Master'!$B$2:$B$379,'00_SKU_Master'!$F$2:$F$379,0)*AB54,"")</f>
        <v>0</v>
      </c>
      <c r="H54" s="182">
        <f>_xlfn.IFNA(_xlfn.XLOOKUP(X54,'00_SKU_Master'!$B$2:$B$379,'00_SKU_Master'!$F$2:$F$379,0)*AC54,"")</f>
        <v>0</v>
      </c>
      <c r="I54" s="182">
        <f>_xlfn.IFNA(_xlfn.XLOOKUP(X54,'00_SKU_Master'!$B$2:$B$379,'00_SKU_Master'!$F$2:$F$379,0)*AD54,"")</f>
        <v>0</v>
      </c>
      <c r="J54" s="182">
        <f>_xlfn.IFNA(_xlfn.XLOOKUP(X54,'00_SKU_Master'!$B$2:$B$379,'00_SKU_Master'!$F$2:$F$379,0)*AE54,"")</f>
        <v>0</v>
      </c>
      <c r="K54" s="183">
        <f t="shared" si="3"/>
        <v>0</v>
      </c>
      <c r="L54" s="184" t="str">
        <f>_xlfn.XLOOKUP(X54,'00_SKU_Master'!$B$2:$B$379,'00_SKU_Master'!$K$2:$K$379)</f>
        <v>Fast</v>
      </c>
      <c r="M54" s="185">
        <f t="shared" si="0"/>
        <v>2087</v>
      </c>
      <c r="N54" s="186">
        <f>IFERROR(D54/_xlfn.XLOOKUP($M54,'00_SKU_Master'!$B$2:$B$379,'00_SKU_Master'!$M$2:$M$379,0),"0")</f>
        <v>0</v>
      </c>
      <c r="O54" s="186">
        <f>IFERROR(E54/_xlfn.XLOOKUP($M54,'00_SKU_Master'!$B$2:$B$379,'00_SKU_Master'!$M$2:$M$379,0),"0")</f>
        <v>0</v>
      </c>
      <c r="P54" s="186">
        <f>IFERROR(F54/_xlfn.XLOOKUP($M54,'00_SKU_Master'!$B$2:$B$379,'00_SKU_Master'!$M$2:$M$379,0),"0")</f>
        <v>0</v>
      </c>
      <c r="Q54" s="186">
        <f>IFERROR(G54/_xlfn.XLOOKUP($M54,'00_SKU_Master'!$B$2:$B$379,'00_SKU_Master'!$M$2:$M$379,0),"0")</f>
        <v>0</v>
      </c>
      <c r="R54" s="186">
        <f>IFERROR(H54/_xlfn.XLOOKUP($M54,'00_SKU_Master'!$B$2:$B$379,'00_SKU_Master'!$M$2:$M$379,0),"0")</f>
        <v>0</v>
      </c>
      <c r="S54" s="186">
        <f>IFERROR(I54/_xlfn.XLOOKUP($M54,'00_SKU_Master'!$B$2:$B$379,'00_SKU_Master'!$M$2:$M$379,0),"0")</f>
        <v>0</v>
      </c>
      <c r="T54" s="186">
        <f>IFERROR(J54/_xlfn.XLOOKUP($M54,'00_SKU_Master'!$B$2:$B$379,'00_SKU_Master'!$M$2:$M$379,0),"0")</f>
        <v>0</v>
      </c>
      <c r="U54" s="186">
        <f t="shared" si="1"/>
        <v>0</v>
      </c>
      <c r="V54" s="186" t="str">
        <f>_xlfn.XLOOKUP(M54,'00_SKU_Master'!$B$2:$B$379,'00_SKU_Master'!$D$2:$D$379)</f>
        <v>SOB</v>
      </c>
      <c r="W54" s="1"/>
      <c r="X54" s="2">
        <f>'05_Daily_Orders'!C55</f>
        <v>2087</v>
      </c>
      <c r="Y54" s="290"/>
      <c r="Z54" s="290">
        <v>0</v>
      </c>
      <c r="AA54" s="290">
        <v>0</v>
      </c>
      <c r="AB54" s="290">
        <v>0</v>
      </c>
      <c r="AC54" s="290">
        <v>0</v>
      </c>
      <c r="AD54" s="289">
        <v>0</v>
      </c>
      <c r="AE54" s="290">
        <v>0</v>
      </c>
      <c r="AF54" s="7">
        <f t="shared" si="2"/>
        <v>0</v>
      </c>
      <c r="AQ54" s="70">
        <v>0</v>
      </c>
      <c r="AR54" s="70">
        <v>0</v>
      </c>
      <c r="AS54" s="3">
        <f t="shared" si="4"/>
        <v>0</v>
      </c>
    </row>
    <row r="55" spans="1:45" x14ac:dyDescent="0.35">
      <c r="A55" s="181">
        <f>_xlfn.XLOOKUP(X55,'00_SKU_Master'!$B$2:$B$379,'00_SKU_Master'!$C$2:$C$379)</f>
        <v>61054</v>
      </c>
      <c r="B55" s="181" t="str">
        <f>_xlfn.XLOOKUP(X55,tblSKU[SKU],tblSKU[Product_Group])</f>
        <v>Fillet</v>
      </c>
      <c r="C55" s="181" t="str">
        <f>_xlfn.XLOOKUP(X55,tblSKU[SKU],tblSKU[Tray_Type])</f>
        <v>ST 3XP</v>
      </c>
      <c r="D55" s="182">
        <f>_xlfn.IFNA(_xlfn.XLOOKUP(X55,'00_SKU_Master'!$B$2:$B$379,'00_SKU_Master'!$F$2:$F$379,0)*Y55,"")</f>
        <v>0</v>
      </c>
      <c r="E55" s="182">
        <f>_xlfn.IFNA(_xlfn.XLOOKUP(X55,'00_SKU_Master'!$B$2:$B$379,'00_SKU_Master'!$F$2:$F$379,0)*Z55,"")</f>
        <v>0</v>
      </c>
      <c r="F55" s="182">
        <f>_xlfn.IFNA(_xlfn.XLOOKUP(X55,'00_SKU_Master'!$B$2:$B$379,'00_SKU_Master'!$F$2:$F$379,0)*AA55,"")</f>
        <v>0</v>
      </c>
      <c r="G55" s="182">
        <f>_xlfn.IFNA(_xlfn.XLOOKUP(X55,'00_SKU_Master'!$B$2:$B$379,'00_SKU_Master'!$F$2:$F$379,0)*AB55,"")</f>
        <v>0</v>
      </c>
      <c r="H55" s="182">
        <f>_xlfn.IFNA(_xlfn.XLOOKUP(X55,'00_SKU_Master'!$B$2:$B$379,'00_SKU_Master'!$F$2:$F$379,0)*AC55,"")</f>
        <v>0</v>
      </c>
      <c r="I55" s="182">
        <f>_xlfn.IFNA(_xlfn.XLOOKUP(X55,'00_SKU_Master'!$B$2:$B$379,'00_SKU_Master'!$F$2:$F$379,0)*AD55,"")</f>
        <v>0</v>
      </c>
      <c r="J55" s="182">
        <f>_xlfn.IFNA(_xlfn.XLOOKUP(X55,'00_SKU_Master'!$B$2:$B$379,'00_SKU_Master'!$F$2:$F$379,0)*AE55,"")</f>
        <v>0</v>
      </c>
      <c r="K55" s="183">
        <f t="shared" si="3"/>
        <v>0</v>
      </c>
      <c r="L55" s="184" t="str">
        <f>_xlfn.XLOOKUP(X55,'00_SKU_Master'!$B$2:$B$379,'00_SKU_Master'!$K$2:$K$379)</f>
        <v>Slow</v>
      </c>
      <c r="M55" s="185">
        <f t="shared" si="0"/>
        <v>2088</v>
      </c>
      <c r="N55" s="186">
        <f>IFERROR(D55/_xlfn.XLOOKUP($M55,'00_SKU_Master'!$B$2:$B$379,'00_SKU_Master'!$M$2:$M$379,0),"0")</f>
        <v>0</v>
      </c>
      <c r="O55" s="186">
        <f>IFERROR(E55/_xlfn.XLOOKUP($M55,'00_SKU_Master'!$B$2:$B$379,'00_SKU_Master'!$M$2:$M$379,0),"0")</f>
        <v>0</v>
      </c>
      <c r="P55" s="186">
        <f>IFERROR(F55/_xlfn.XLOOKUP($M55,'00_SKU_Master'!$B$2:$B$379,'00_SKU_Master'!$M$2:$M$379,0),"0")</f>
        <v>0</v>
      </c>
      <c r="Q55" s="186">
        <f>IFERROR(G55/_xlfn.XLOOKUP($M55,'00_SKU_Master'!$B$2:$B$379,'00_SKU_Master'!$M$2:$M$379,0),"0")</f>
        <v>0</v>
      </c>
      <c r="R55" s="186">
        <f>IFERROR(H55/_xlfn.XLOOKUP($M55,'00_SKU_Master'!$B$2:$B$379,'00_SKU_Master'!$M$2:$M$379,0),"0")</f>
        <v>0</v>
      </c>
      <c r="S55" s="186">
        <f>IFERROR(I55/_xlfn.XLOOKUP($M55,'00_SKU_Master'!$B$2:$B$379,'00_SKU_Master'!$M$2:$M$379,0),"0")</f>
        <v>0</v>
      </c>
      <c r="T55" s="186">
        <f>IFERROR(J55/_xlfn.XLOOKUP($M55,'00_SKU_Master'!$B$2:$B$379,'00_SKU_Master'!$M$2:$M$379,0),"0")</f>
        <v>0</v>
      </c>
      <c r="U55" s="186">
        <f t="shared" si="1"/>
        <v>0</v>
      </c>
      <c r="V55" s="186" t="str">
        <f>_xlfn.XLOOKUP(M55,'00_SKU_Master'!$B$2:$B$379,'00_SKU_Master'!$D$2:$D$379)</f>
        <v>SOB</v>
      </c>
      <c r="W55" s="1"/>
      <c r="X55" s="2">
        <f>'05_Daily_Orders'!C56</f>
        <v>2088</v>
      </c>
      <c r="Y55" s="290"/>
      <c r="Z55" s="290">
        <v>0</v>
      </c>
      <c r="AA55" s="290">
        <v>0</v>
      </c>
      <c r="AB55" s="290">
        <v>0</v>
      </c>
      <c r="AC55" s="290">
        <v>0</v>
      </c>
      <c r="AD55" s="289">
        <v>0</v>
      </c>
      <c r="AE55" s="290">
        <v>0</v>
      </c>
      <c r="AF55" s="7">
        <f t="shared" si="2"/>
        <v>0</v>
      </c>
      <c r="AQ55" s="70">
        <v>0</v>
      </c>
      <c r="AR55" s="70">
        <v>0</v>
      </c>
      <c r="AS55" s="3">
        <f t="shared" si="4"/>
        <v>0</v>
      </c>
    </row>
    <row r="56" spans="1:45" x14ac:dyDescent="0.35">
      <c r="A56" s="181">
        <f>_xlfn.XLOOKUP(X56,'00_SKU_Master'!$B$2:$B$379,'00_SKU_Master'!$C$2:$C$379)</f>
        <v>61040</v>
      </c>
      <c r="B56" s="181" t="str">
        <f>_xlfn.XLOOKUP(X56,tblSKU[SKU],tblSKU[Product_Group])</f>
        <v>SplitBreast</v>
      </c>
      <c r="C56" s="181" t="str">
        <f>_xlfn.XLOOKUP(X56,tblSKU[SKU],tblSKU[Tray_Type])</f>
        <v>ST 3XP</v>
      </c>
      <c r="D56" s="182">
        <f>_xlfn.IFNA(_xlfn.XLOOKUP(X56,'00_SKU_Master'!$B$2:$B$379,'00_SKU_Master'!$F$2:$F$379,0)*Y56,"")</f>
        <v>0</v>
      </c>
      <c r="E56" s="182">
        <f>_xlfn.IFNA(_xlfn.XLOOKUP(X56,'00_SKU_Master'!$B$2:$B$379,'00_SKU_Master'!$F$2:$F$379,0)*Z56,"")</f>
        <v>0</v>
      </c>
      <c r="F56" s="182">
        <f>_xlfn.IFNA(_xlfn.XLOOKUP(X56,'00_SKU_Master'!$B$2:$B$379,'00_SKU_Master'!$F$2:$F$379,0)*AA56,"")</f>
        <v>0</v>
      </c>
      <c r="G56" s="182">
        <f>_xlfn.IFNA(_xlfn.XLOOKUP(X56,'00_SKU_Master'!$B$2:$B$379,'00_SKU_Master'!$F$2:$F$379,0)*AB56,"")</f>
        <v>0</v>
      </c>
      <c r="H56" s="182">
        <f>_xlfn.IFNA(_xlfn.XLOOKUP(X56,'00_SKU_Master'!$B$2:$B$379,'00_SKU_Master'!$F$2:$F$379,0)*AC56,"")</f>
        <v>0</v>
      </c>
      <c r="I56" s="182">
        <f>_xlfn.IFNA(_xlfn.XLOOKUP(X56,'00_SKU_Master'!$B$2:$B$379,'00_SKU_Master'!$F$2:$F$379,0)*AD56,"")</f>
        <v>0</v>
      </c>
      <c r="J56" s="182">
        <f>_xlfn.IFNA(_xlfn.XLOOKUP(X56,'00_SKU_Master'!$B$2:$B$379,'00_SKU_Master'!$F$2:$F$379,0)*AE56,"")</f>
        <v>0</v>
      </c>
      <c r="K56" s="183">
        <f t="shared" si="3"/>
        <v>0</v>
      </c>
      <c r="L56" s="184" t="str">
        <f>_xlfn.XLOOKUP(X56,'00_SKU_Master'!$B$2:$B$379,'00_SKU_Master'!$K$2:$K$379)</f>
        <v>Fast</v>
      </c>
      <c r="M56" s="185">
        <f t="shared" si="0"/>
        <v>2089</v>
      </c>
      <c r="N56" s="186">
        <f>IFERROR(D56/_xlfn.XLOOKUP($M56,'00_SKU_Master'!$B$2:$B$379,'00_SKU_Master'!$M$2:$M$379,0),"0")</f>
        <v>0</v>
      </c>
      <c r="O56" s="186">
        <f>IFERROR(E56/_xlfn.XLOOKUP($M56,'00_SKU_Master'!$B$2:$B$379,'00_SKU_Master'!$M$2:$M$379,0),"0")</f>
        <v>0</v>
      </c>
      <c r="P56" s="186">
        <f>IFERROR(F56/_xlfn.XLOOKUP($M56,'00_SKU_Master'!$B$2:$B$379,'00_SKU_Master'!$M$2:$M$379,0),"0")</f>
        <v>0</v>
      </c>
      <c r="Q56" s="186">
        <f>IFERROR(G56/_xlfn.XLOOKUP($M56,'00_SKU_Master'!$B$2:$B$379,'00_SKU_Master'!$M$2:$M$379,0),"0")</f>
        <v>0</v>
      </c>
      <c r="R56" s="186">
        <f>IFERROR(H56/_xlfn.XLOOKUP($M56,'00_SKU_Master'!$B$2:$B$379,'00_SKU_Master'!$M$2:$M$379,0),"0")</f>
        <v>0</v>
      </c>
      <c r="S56" s="186">
        <f>IFERROR(I56/_xlfn.XLOOKUP($M56,'00_SKU_Master'!$B$2:$B$379,'00_SKU_Master'!$M$2:$M$379,0),"0")</f>
        <v>0</v>
      </c>
      <c r="T56" s="186">
        <f>IFERROR(J56/_xlfn.XLOOKUP($M56,'00_SKU_Master'!$B$2:$B$379,'00_SKU_Master'!$M$2:$M$379,0),"0")</f>
        <v>0</v>
      </c>
      <c r="U56" s="186">
        <f t="shared" si="1"/>
        <v>0</v>
      </c>
      <c r="V56" s="186" t="str">
        <f>_xlfn.XLOOKUP(M56,'00_SKU_Master'!$B$2:$B$379,'00_SKU_Master'!$D$2:$D$379)</f>
        <v>SOB</v>
      </c>
      <c r="W56" s="1"/>
      <c r="X56" s="2">
        <f>'05_Daily_Orders'!C57</f>
        <v>2089</v>
      </c>
      <c r="Y56" s="290"/>
      <c r="Z56" s="290">
        <v>0</v>
      </c>
      <c r="AA56" s="290">
        <v>0</v>
      </c>
      <c r="AB56" s="290">
        <v>0</v>
      </c>
      <c r="AC56" s="290">
        <v>0</v>
      </c>
      <c r="AD56" s="289">
        <v>0</v>
      </c>
      <c r="AE56" s="290">
        <v>0</v>
      </c>
      <c r="AF56" s="7">
        <f t="shared" si="2"/>
        <v>0</v>
      </c>
      <c r="AQ56" s="70">
        <v>0</v>
      </c>
      <c r="AR56" s="70">
        <v>0</v>
      </c>
      <c r="AS56" s="3">
        <f t="shared" si="4"/>
        <v>0</v>
      </c>
    </row>
    <row r="57" spans="1:45" x14ac:dyDescent="0.35">
      <c r="A57" s="181">
        <f>_xlfn.XLOOKUP(X57,'00_SKU_Master'!$B$2:$B$379,'00_SKU_Master'!$C$2:$C$379)</f>
        <v>61040</v>
      </c>
      <c r="B57" s="181" t="str">
        <f>_xlfn.XLOOKUP(X57,tblSKU[SKU],tblSKU[Product_Group])</f>
        <v>SplitBreast</v>
      </c>
      <c r="C57" s="181" t="str">
        <f>_xlfn.XLOOKUP(X57,tblSKU[SKU],tblSKU[Tray_Type])</f>
        <v>LT 8XP</v>
      </c>
      <c r="D57" s="182">
        <f>_xlfn.IFNA(_xlfn.XLOOKUP(X57,'00_SKU_Master'!$B$2:$B$379,'00_SKU_Master'!$F$2:$F$379,0)*Y57,"")</f>
        <v>0</v>
      </c>
      <c r="E57" s="182">
        <f>_xlfn.IFNA(_xlfn.XLOOKUP(X57,'00_SKU_Master'!$B$2:$B$379,'00_SKU_Master'!$F$2:$F$379,0)*Z57,"")</f>
        <v>0</v>
      </c>
      <c r="F57" s="182">
        <f>_xlfn.IFNA(_xlfn.XLOOKUP(X57,'00_SKU_Master'!$B$2:$B$379,'00_SKU_Master'!$F$2:$F$379,0)*AA57,"")</f>
        <v>0</v>
      </c>
      <c r="G57" s="182">
        <f>_xlfn.IFNA(_xlfn.XLOOKUP(X57,'00_SKU_Master'!$B$2:$B$379,'00_SKU_Master'!$F$2:$F$379,0)*AB57,"")</f>
        <v>0</v>
      </c>
      <c r="H57" s="182">
        <f>_xlfn.IFNA(_xlfn.XLOOKUP(X57,'00_SKU_Master'!$B$2:$B$379,'00_SKU_Master'!$F$2:$F$379,0)*AC57,"")</f>
        <v>0</v>
      </c>
      <c r="I57" s="182">
        <f>_xlfn.IFNA(_xlfn.XLOOKUP(X57,'00_SKU_Master'!$B$2:$B$379,'00_SKU_Master'!$F$2:$F$379,0)*AD57,"")</f>
        <v>0</v>
      </c>
      <c r="J57" s="182">
        <f>_xlfn.IFNA(_xlfn.XLOOKUP(X57,'00_SKU_Master'!$B$2:$B$379,'00_SKU_Master'!$F$2:$F$379,0)*AE57,"")</f>
        <v>0</v>
      </c>
      <c r="K57" s="183">
        <f t="shared" si="3"/>
        <v>0</v>
      </c>
      <c r="L57" s="184" t="str">
        <f>_xlfn.XLOOKUP(X57,'00_SKU_Master'!$B$2:$B$379,'00_SKU_Master'!$K$2:$K$379)</f>
        <v>Fast</v>
      </c>
      <c r="M57" s="185">
        <f t="shared" si="0"/>
        <v>2090</v>
      </c>
      <c r="N57" s="186">
        <f>IFERROR(D57/_xlfn.XLOOKUP($M57,'00_SKU_Master'!$B$2:$B$379,'00_SKU_Master'!$M$2:$M$379,0),"0")</f>
        <v>0</v>
      </c>
      <c r="O57" s="186">
        <f>IFERROR(E57/_xlfn.XLOOKUP($M57,'00_SKU_Master'!$B$2:$B$379,'00_SKU_Master'!$M$2:$M$379,0),"0")</f>
        <v>0</v>
      </c>
      <c r="P57" s="186">
        <f>IFERROR(F57/_xlfn.XLOOKUP($M57,'00_SKU_Master'!$B$2:$B$379,'00_SKU_Master'!$M$2:$M$379,0),"0")</f>
        <v>0</v>
      </c>
      <c r="Q57" s="186">
        <f>IFERROR(G57/_xlfn.XLOOKUP($M57,'00_SKU_Master'!$B$2:$B$379,'00_SKU_Master'!$M$2:$M$379,0),"0")</f>
        <v>0</v>
      </c>
      <c r="R57" s="186">
        <f>IFERROR(H57/_xlfn.XLOOKUP($M57,'00_SKU_Master'!$B$2:$B$379,'00_SKU_Master'!$M$2:$M$379,0),"0")</f>
        <v>0</v>
      </c>
      <c r="S57" s="186">
        <f>IFERROR(I57/_xlfn.XLOOKUP($M57,'00_SKU_Master'!$B$2:$B$379,'00_SKU_Master'!$M$2:$M$379,0),"0")</f>
        <v>0</v>
      </c>
      <c r="T57" s="186">
        <f>IFERROR(J57/_xlfn.XLOOKUP($M57,'00_SKU_Master'!$B$2:$B$379,'00_SKU_Master'!$M$2:$M$379,0),"0")</f>
        <v>0</v>
      </c>
      <c r="U57" s="186">
        <f t="shared" si="1"/>
        <v>0</v>
      </c>
      <c r="V57" s="186" t="str">
        <f>_xlfn.XLOOKUP(M57,'00_SKU_Master'!$B$2:$B$379,'00_SKU_Master'!$D$2:$D$379)</f>
        <v>SOB</v>
      </c>
      <c r="W57" s="1"/>
      <c r="X57" s="2">
        <f>'05_Daily_Orders'!C58</f>
        <v>2090</v>
      </c>
      <c r="Y57" s="290"/>
      <c r="Z57" s="290">
        <v>0</v>
      </c>
      <c r="AA57" s="290">
        <v>0</v>
      </c>
      <c r="AB57" s="290">
        <v>0</v>
      </c>
      <c r="AC57" s="290">
        <v>0</v>
      </c>
      <c r="AD57" s="289">
        <v>0</v>
      </c>
      <c r="AE57" s="290">
        <v>0</v>
      </c>
      <c r="AF57" s="7">
        <f t="shared" si="2"/>
        <v>0</v>
      </c>
      <c r="AQ57" s="70">
        <v>0</v>
      </c>
      <c r="AR57" s="70">
        <v>0</v>
      </c>
      <c r="AS57" s="3">
        <f t="shared" si="4"/>
        <v>0</v>
      </c>
    </row>
    <row r="58" spans="1:45" x14ac:dyDescent="0.35">
      <c r="A58" s="181">
        <f>_xlfn.XLOOKUP(X58,'00_SKU_Master'!$B$2:$B$379,'00_SKU_Master'!$C$2:$C$379)</f>
        <v>61061</v>
      </c>
      <c r="B58" s="181" t="str">
        <f>_xlfn.XLOOKUP(X58,tblSKU[SKU],tblSKU[Product_Group])</f>
        <v>BA</v>
      </c>
      <c r="C58" s="181" t="str">
        <f>_xlfn.XLOOKUP(X58,tblSKU[SKU],tblSKU[Tray_Type])</f>
        <v>LT 8XP</v>
      </c>
      <c r="D58" s="182">
        <f>_xlfn.IFNA(_xlfn.XLOOKUP(X58,'00_SKU_Master'!$B$2:$B$379,'00_SKU_Master'!$F$2:$F$379,0)*Y58,"")</f>
        <v>0</v>
      </c>
      <c r="E58" s="182">
        <f>_xlfn.IFNA(_xlfn.XLOOKUP(X58,'00_SKU_Master'!$B$2:$B$379,'00_SKU_Master'!$F$2:$F$379,0)*Z58,"")</f>
        <v>0</v>
      </c>
      <c r="F58" s="182">
        <f>_xlfn.IFNA(_xlfn.XLOOKUP(X58,'00_SKU_Master'!$B$2:$B$379,'00_SKU_Master'!$F$2:$F$379,0)*AA58,"")</f>
        <v>0</v>
      </c>
      <c r="G58" s="182">
        <f>_xlfn.IFNA(_xlfn.XLOOKUP(X58,'00_SKU_Master'!$B$2:$B$379,'00_SKU_Master'!$F$2:$F$379,0)*AB58,"")</f>
        <v>0</v>
      </c>
      <c r="H58" s="182">
        <f>_xlfn.IFNA(_xlfn.XLOOKUP(X58,'00_SKU_Master'!$B$2:$B$379,'00_SKU_Master'!$F$2:$F$379,0)*AC58,"")</f>
        <v>0</v>
      </c>
      <c r="I58" s="182">
        <f>_xlfn.IFNA(_xlfn.XLOOKUP(X58,'00_SKU_Master'!$B$2:$B$379,'00_SKU_Master'!$F$2:$F$379,0)*AD58,"")</f>
        <v>0</v>
      </c>
      <c r="J58" s="182">
        <f>_xlfn.IFNA(_xlfn.XLOOKUP(X58,'00_SKU_Master'!$B$2:$B$379,'00_SKU_Master'!$F$2:$F$379,0)*AE58,"")</f>
        <v>0</v>
      </c>
      <c r="K58" s="183">
        <f t="shared" si="3"/>
        <v>0</v>
      </c>
      <c r="L58" s="184" t="str">
        <f>_xlfn.XLOOKUP(X58,'00_SKU_Master'!$B$2:$B$379,'00_SKU_Master'!$K$2:$K$379)</f>
        <v>Fast</v>
      </c>
      <c r="M58" s="185">
        <f t="shared" si="0"/>
        <v>2091</v>
      </c>
      <c r="N58" s="186">
        <f>IFERROR(D58/_xlfn.XLOOKUP($M58,'00_SKU_Master'!$B$2:$B$379,'00_SKU_Master'!$M$2:$M$379,0),"0")</f>
        <v>0</v>
      </c>
      <c r="O58" s="186">
        <f>IFERROR(E58/_xlfn.XLOOKUP($M58,'00_SKU_Master'!$B$2:$B$379,'00_SKU_Master'!$M$2:$M$379,0),"0")</f>
        <v>0</v>
      </c>
      <c r="P58" s="186">
        <f>IFERROR(F58/_xlfn.XLOOKUP($M58,'00_SKU_Master'!$B$2:$B$379,'00_SKU_Master'!$M$2:$M$379,0),"0")</f>
        <v>0</v>
      </c>
      <c r="Q58" s="186">
        <f>IFERROR(G58/_xlfn.XLOOKUP($M58,'00_SKU_Master'!$B$2:$B$379,'00_SKU_Master'!$M$2:$M$379,0),"0")</f>
        <v>0</v>
      </c>
      <c r="R58" s="186">
        <f>IFERROR(H58/_xlfn.XLOOKUP($M58,'00_SKU_Master'!$B$2:$B$379,'00_SKU_Master'!$M$2:$M$379,0),"0")</f>
        <v>0</v>
      </c>
      <c r="S58" s="186">
        <f>IFERROR(I58/_xlfn.XLOOKUP($M58,'00_SKU_Master'!$B$2:$B$379,'00_SKU_Master'!$M$2:$M$379,0),"0")</f>
        <v>0</v>
      </c>
      <c r="T58" s="186">
        <f>IFERROR(J58/_xlfn.XLOOKUP($M58,'00_SKU_Master'!$B$2:$B$379,'00_SKU_Master'!$M$2:$M$379,0),"0")</f>
        <v>0</v>
      </c>
      <c r="U58" s="186">
        <f t="shared" si="1"/>
        <v>0</v>
      </c>
      <c r="V58" s="186" t="str">
        <f>_xlfn.XLOOKUP(M58,'00_SKU_Master'!$B$2:$B$379,'00_SKU_Master'!$D$2:$D$379)</f>
        <v>SOB</v>
      </c>
      <c r="W58" s="1"/>
      <c r="X58" s="2">
        <f>'05_Daily_Orders'!C59</f>
        <v>2091</v>
      </c>
      <c r="Y58" s="290"/>
      <c r="Z58" s="290">
        <v>0</v>
      </c>
      <c r="AA58" s="290">
        <v>0</v>
      </c>
      <c r="AB58" s="290">
        <v>0</v>
      </c>
      <c r="AC58" s="290">
        <v>0</v>
      </c>
      <c r="AD58" s="289">
        <v>0</v>
      </c>
      <c r="AE58" s="290">
        <v>0</v>
      </c>
      <c r="AF58" s="7">
        <f t="shared" si="2"/>
        <v>0</v>
      </c>
      <c r="AQ58" s="70">
        <v>0</v>
      </c>
      <c r="AR58" s="70">
        <v>0</v>
      </c>
      <c r="AS58" s="3">
        <f t="shared" si="4"/>
        <v>0</v>
      </c>
    </row>
    <row r="59" spans="1:45" x14ac:dyDescent="0.35">
      <c r="A59" s="181">
        <f>_xlfn.XLOOKUP(X59,'00_SKU_Master'!$B$2:$B$379,'00_SKU_Master'!$C$2:$C$379)</f>
        <v>61072</v>
      </c>
      <c r="B59" s="181" t="str">
        <f>_xlfn.XLOOKUP(X59,tblSKU[SKU],tblSKU[Product_Group])</f>
        <v>Drum</v>
      </c>
      <c r="C59" s="181" t="str">
        <f>_xlfn.XLOOKUP(X59,tblSKU[SKU],tblSKU[Tray_Type])</f>
        <v>ST 3XP</v>
      </c>
      <c r="D59" s="182">
        <f>_xlfn.IFNA(_xlfn.XLOOKUP(X59,'00_SKU_Master'!$B$2:$B$379,'00_SKU_Master'!$F$2:$F$379,0)*Y59,"")</f>
        <v>0</v>
      </c>
      <c r="E59" s="182">
        <f>_xlfn.IFNA(_xlfn.XLOOKUP(X59,'00_SKU_Master'!$B$2:$B$379,'00_SKU_Master'!$F$2:$F$379,0)*Z59,"")</f>
        <v>0</v>
      </c>
      <c r="F59" s="182">
        <f>_xlfn.IFNA(_xlfn.XLOOKUP(X59,'00_SKU_Master'!$B$2:$B$379,'00_SKU_Master'!$F$2:$F$379,0)*AA59,"")</f>
        <v>0</v>
      </c>
      <c r="G59" s="182">
        <f>_xlfn.IFNA(_xlfn.XLOOKUP(X59,'00_SKU_Master'!$B$2:$B$379,'00_SKU_Master'!$F$2:$F$379,0)*AB59,"")</f>
        <v>0</v>
      </c>
      <c r="H59" s="182">
        <f>_xlfn.IFNA(_xlfn.XLOOKUP(X59,'00_SKU_Master'!$B$2:$B$379,'00_SKU_Master'!$F$2:$F$379,0)*AC59,"")</f>
        <v>0</v>
      </c>
      <c r="I59" s="182">
        <f>_xlfn.IFNA(_xlfn.XLOOKUP(X59,'00_SKU_Master'!$B$2:$B$379,'00_SKU_Master'!$F$2:$F$379,0)*AD59,"")</f>
        <v>0</v>
      </c>
      <c r="J59" s="182">
        <f>_xlfn.IFNA(_xlfn.XLOOKUP(X59,'00_SKU_Master'!$B$2:$B$379,'00_SKU_Master'!$F$2:$F$379,0)*AE59,"")</f>
        <v>0</v>
      </c>
      <c r="K59" s="183">
        <f t="shared" si="3"/>
        <v>0</v>
      </c>
      <c r="L59" s="184" t="str">
        <f>_xlfn.XLOOKUP(X59,'00_SKU_Master'!$B$2:$B$379,'00_SKU_Master'!$K$2:$K$379)</f>
        <v>Fast</v>
      </c>
      <c r="M59" s="185">
        <f t="shared" si="0"/>
        <v>2092</v>
      </c>
      <c r="N59" s="186">
        <f>IFERROR(D59/_xlfn.XLOOKUP($M59,'00_SKU_Master'!$B$2:$B$379,'00_SKU_Master'!$M$2:$M$379,0),"0")</f>
        <v>0</v>
      </c>
      <c r="O59" s="186">
        <f>IFERROR(E59/_xlfn.XLOOKUP($M59,'00_SKU_Master'!$B$2:$B$379,'00_SKU_Master'!$M$2:$M$379,0),"0")</f>
        <v>0</v>
      </c>
      <c r="P59" s="186">
        <f>IFERROR(F59/_xlfn.XLOOKUP($M59,'00_SKU_Master'!$B$2:$B$379,'00_SKU_Master'!$M$2:$M$379,0),"0")</f>
        <v>0</v>
      </c>
      <c r="Q59" s="186">
        <f>IFERROR(G59/_xlfn.XLOOKUP($M59,'00_SKU_Master'!$B$2:$B$379,'00_SKU_Master'!$M$2:$M$379,0),"0")</f>
        <v>0</v>
      </c>
      <c r="R59" s="186">
        <f>IFERROR(H59/_xlfn.XLOOKUP($M59,'00_SKU_Master'!$B$2:$B$379,'00_SKU_Master'!$M$2:$M$379,0),"0")</f>
        <v>0</v>
      </c>
      <c r="S59" s="186">
        <f>IFERROR(I59/_xlfn.XLOOKUP($M59,'00_SKU_Master'!$B$2:$B$379,'00_SKU_Master'!$M$2:$M$379,0),"0")</f>
        <v>0</v>
      </c>
      <c r="T59" s="186">
        <f>IFERROR(J59/_xlfn.XLOOKUP($M59,'00_SKU_Master'!$B$2:$B$379,'00_SKU_Master'!$M$2:$M$379,0),"0")</f>
        <v>0</v>
      </c>
      <c r="U59" s="186">
        <f t="shared" si="1"/>
        <v>0</v>
      </c>
      <c r="V59" s="186" t="str">
        <f>_xlfn.XLOOKUP(M59,'00_SKU_Master'!$B$2:$B$379,'00_SKU_Master'!$D$2:$D$379)</f>
        <v>SOB</v>
      </c>
      <c r="W59" s="1"/>
      <c r="X59" s="2">
        <f>'05_Daily_Orders'!C60</f>
        <v>2092</v>
      </c>
      <c r="Y59" s="290"/>
      <c r="Z59" s="290">
        <v>0</v>
      </c>
      <c r="AA59" s="290">
        <v>0</v>
      </c>
      <c r="AB59" s="290">
        <v>0</v>
      </c>
      <c r="AC59" s="290">
        <v>0</v>
      </c>
      <c r="AD59" s="289">
        <v>0</v>
      </c>
      <c r="AE59" s="290">
        <v>0</v>
      </c>
      <c r="AF59" s="7">
        <f t="shared" si="2"/>
        <v>0</v>
      </c>
      <c r="AQ59" s="70">
        <v>0</v>
      </c>
      <c r="AR59" s="70">
        <v>0</v>
      </c>
      <c r="AS59" s="3">
        <f t="shared" si="4"/>
        <v>0</v>
      </c>
    </row>
    <row r="60" spans="1:45" x14ac:dyDescent="0.35">
      <c r="A60" s="181">
        <f>_xlfn.XLOOKUP(X60,'00_SKU_Master'!$B$2:$B$379,'00_SKU_Master'!$C$2:$C$379)</f>
        <v>61072</v>
      </c>
      <c r="B60" s="181" t="str">
        <f>_xlfn.XLOOKUP(X60,tblSKU[SKU],tblSKU[Product_Group])</f>
        <v>Drum</v>
      </c>
      <c r="C60" s="181" t="str">
        <f>_xlfn.XLOOKUP(X60,tblSKU[SKU],tblSKU[Tray_Type])</f>
        <v>LT 8XP</v>
      </c>
      <c r="D60" s="182">
        <f>_xlfn.IFNA(_xlfn.XLOOKUP(X60,'00_SKU_Master'!$B$2:$B$379,'00_SKU_Master'!$F$2:$F$379,0)*Y60,"")</f>
        <v>0</v>
      </c>
      <c r="E60" s="182">
        <f>_xlfn.IFNA(_xlfn.XLOOKUP(X60,'00_SKU_Master'!$B$2:$B$379,'00_SKU_Master'!$F$2:$F$379,0)*Z60,"")</f>
        <v>0</v>
      </c>
      <c r="F60" s="182">
        <f>_xlfn.IFNA(_xlfn.XLOOKUP(X60,'00_SKU_Master'!$B$2:$B$379,'00_SKU_Master'!$F$2:$F$379,0)*AA60,"")</f>
        <v>0</v>
      </c>
      <c r="G60" s="182">
        <f>_xlfn.IFNA(_xlfn.XLOOKUP(X60,'00_SKU_Master'!$B$2:$B$379,'00_SKU_Master'!$F$2:$F$379,0)*AB60,"")</f>
        <v>0</v>
      </c>
      <c r="H60" s="182">
        <f>_xlfn.IFNA(_xlfn.XLOOKUP(X60,'00_SKU_Master'!$B$2:$B$379,'00_SKU_Master'!$F$2:$F$379,0)*AC60,"")</f>
        <v>0</v>
      </c>
      <c r="I60" s="182">
        <f>_xlfn.IFNA(_xlfn.XLOOKUP(X60,'00_SKU_Master'!$B$2:$B$379,'00_SKU_Master'!$F$2:$F$379,0)*AD60,"")</f>
        <v>0</v>
      </c>
      <c r="J60" s="182">
        <f>_xlfn.IFNA(_xlfn.XLOOKUP(X60,'00_SKU_Master'!$B$2:$B$379,'00_SKU_Master'!$F$2:$F$379,0)*AE60,"")</f>
        <v>0</v>
      </c>
      <c r="K60" s="183">
        <f t="shared" si="3"/>
        <v>0</v>
      </c>
      <c r="L60" s="184" t="str">
        <f>_xlfn.XLOOKUP(X60,'00_SKU_Master'!$B$2:$B$379,'00_SKU_Master'!$K$2:$K$379)</f>
        <v>Fast</v>
      </c>
      <c r="M60" s="185">
        <f t="shared" si="0"/>
        <v>2093</v>
      </c>
      <c r="N60" s="186">
        <f>IFERROR(D60/_xlfn.XLOOKUP($M60,'00_SKU_Master'!$B$2:$B$379,'00_SKU_Master'!$M$2:$M$379,0),"0")</f>
        <v>0</v>
      </c>
      <c r="O60" s="186">
        <f>IFERROR(E60/_xlfn.XLOOKUP($M60,'00_SKU_Master'!$B$2:$B$379,'00_SKU_Master'!$M$2:$M$379,0),"0")</f>
        <v>0</v>
      </c>
      <c r="P60" s="186">
        <f>IFERROR(F60/_xlfn.XLOOKUP($M60,'00_SKU_Master'!$B$2:$B$379,'00_SKU_Master'!$M$2:$M$379,0),"0")</f>
        <v>0</v>
      </c>
      <c r="Q60" s="186">
        <f>IFERROR(G60/_xlfn.XLOOKUP($M60,'00_SKU_Master'!$B$2:$B$379,'00_SKU_Master'!$M$2:$M$379,0),"0")</f>
        <v>0</v>
      </c>
      <c r="R60" s="186">
        <f>IFERROR(H60/_xlfn.XLOOKUP($M60,'00_SKU_Master'!$B$2:$B$379,'00_SKU_Master'!$M$2:$M$379,0),"0")</f>
        <v>0</v>
      </c>
      <c r="S60" s="186">
        <f>IFERROR(I60/_xlfn.XLOOKUP($M60,'00_SKU_Master'!$B$2:$B$379,'00_SKU_Master'!$M$2:$M$379,0),"0")</f>
        <v>0</v>
      </c>
      <c r="T60" s="186">
        <f>IFERROR(J60/_xlfn.XLOOKUP($M60,'00_SKU_Master'!$B$2:$B$379,'00_SKU_Master'!$M$2:$M$379,0),"0")</f>
        <v>0</v>
      </c>
      <c r="U60" s="186">
        <f t="shared" si="1"/>
        <v>0</v>
      </c>
      <c r="V60" s="186" t="str">
        <f>_xlfn.XLOOKUP(M60,'00_SKU_Master'!$B$2:$B$379,'00_SKU_Master'!$D$2:$D$379)</f>
        <v>SOB</v>
      </c>
      <c r="W60" s="1"/>
      <c r="X60" s="2">
        <f>'05_Daily_Orders'!C61</f>
        <v>2093</v>
      </c>
      <c r="Y60" s="290"/>
      <c r="Z60" s="290">
        <v>0</v>
      </c>
      <c r="AA60" s="290">
        <v>0</v>
      </c>
      <c r="AB60" s="290">
        <v>0</v>
      </c>
      <c r="AC60" s="290">
        <v>0</v>
      </c>
      <c r="AD60" s="289">
        <v>0</v>
      </c>
      <c r="AE60" s="290">
        <v>0</v>
      </c>
      <c r="AF60" s="7">
        <f t="shared" si="2"/>
        <v>0</v>
      </c>
      <c r="AQ60" s="70">
        <v>0</v>
      </c>
      <c r="AR60" s="70">
        <v>0</v>
      </c>
      <c r="AS60" s="3">
        <f t="shared" si="4"/>
        <v>0</v>
      </c>
    </row>
    <row r="61" spans="1:45" x14ac:dyDescent="0.35">
      <c r="A61" s="181">
        <f>_xlfn.XLOOKUP(X61,'00_SKU_Master'!$B$2:$B$379,'00_SKU_Master'!$C$2:$C$379)</f>
        <v>61077</v>
      </c>
      <c r="B61" s="181" t="str">
        <f>_xlfn.XLOOKUP(X61,tblSKU[SKU],tblSKU[Product_Group])</f>
        <v>Thigh</v>
      </c>
      <c r="C61" s="181" t="str">
        <f>_xlfn.XLOOKUP(X61,tblSKU[SKU],tblSKU[Tray_Type])</f>
        <v>ST 3XP</v>
      </c>
      <c r="D61" s="182">
        <f>_xlfn.IFNA(_xlfn.XLOOKUP(X61,'00_SKU_Master'!$B$2:$B$379,'00_SKU_Master'!$F$2:$F$379,0)*Y61,"")</f>
        <v>0</v>
      </c>
      <c r="E61" s="182">
        <f>_xlfn.IFNA(_xlfn.XLOOKUP(X61,'00_SKU_Master'!$B$2:$B$379,'00_SKU_Master'!$F$2:$F$379,0)*Z61,"")</f>
        <v>0</v>
      </c>
      <c r="F61" s="182">
        <f>_xlfn.IFNA(_xlfn.XLOOKUP(X61,'00_SKU_Master'!$B$2:$B$379,'00_SKU_Master'!$F$2:$F$379,0)*AA61,"")</f>
        <v>0</v>
      </c>
      <c r="G61" s="182">
        <f>_xlfn.IFNA(_xlfn.XLOOKUP(X61,'00_SKU_Master'!$B$2:$B$379,'00_SKU_Master'!$F$2:$F$379,0)*AB61,"")</f>
        <v>0</v>
      </c>
      <c r="H61" s="182">
        <f>_xlfn.IFNA(_xlfn.XLOOKUP(X61,'00_SKU_Master'!$B$2:$B$379,'00_SKU_Master'!$F$2:$F$379,0)*AC61,"")</f>
        <v>0</v>
      </c>
      <c r="I61" s="182">
        <f>_xlfn.IFNA(_xlfn.XLOOKUP(X61,'00_SKU_Master'!$B$2:$B$379,'00_SKU_Master'!$F$2:$F$379,0)*AD61,"")</f>
        <v>0</v>
      </c>
      <c r="J61" s="182">
        <f>_xlfn.IFNA(_xlfn.XLOOKUP(X61,'00_SKU_Master'!$B$2:$B$379,'00_SKU_Master'!$F$2:$F$379,0)*AE61,"")</f>
        <v>0</v>
      </c>
      <c r="K61" s="183">
        <f t="shared" si="3"/>
        <v>0</v>
      </c>
      <c r="L61" s="184" t="str">
        <f>_xlfn.XLOOKUP(X61,'00_SKU_Master'!$B$2:$B$379,'00_SKU_Master'!$K$2:$K$379)</f>
        <v>Fast</v>
      </c>
      <c r="M61" s="185">
        <f t="shared" si="0"/>
        <v>2094</v>
      </c>
      <c r="N61" s="186">
        <f>IFERROR(D61/_xlfn.XLOOKUP($M61,'00_SKU_Master'!$B$2:$B$379,'00_SKU_Master'!$M$2:$M$379,0),"0")</f>
        <v>0</v>
      </c>
      <c r="O61" s="186">
        <f>IFERROR(E61/_xlfn.XLOOKUP($M61,'00_SKU_Master'!$B$2:$B$379,'00_SKU_Master'!$M$2:$M$379,0),"0")</f>
        <v>0</v>
      </c>
      <c r="P61" s="186">
        <f>IFERROR(F61/_xlfn.XLOOKUP($M61,'00_SKU_Master'!$B$2:$B$379,'00_SKU_Master'!$M$2:$M$379,0),"0")</f>
        <v>0</v>
      </c>
      <c r="Q61" s="186">
        <f>IFERROR(G61/_xlfn.XLOOKUP($M61,'00_SKU_Master'!$B$2:$B$379,'00_SKU_Master'!$M$2:$M$379,0),"0")</f>
        <v>0</v>
      </c>
      <c r="R61" s="186">
        <f>IFERROR(H61/_xlfn.XLOOKUP($M61,'00_SKU_Master'!$B$2:$B$379,'00_SKU_Master'!$M$2:$M$379,0),"0")</f>
        <v>0</v>
      </c>
      <c r="S61" s="186">
        <f>IFERROR(I61/_xlfn.XLOOKUP($M61,'00_SKU_Master'!$B$2:$B$379,'00_SKU_Master'!$M$2:$M$379,0),"0")</f>
        <v>0</v>
      </c>
      <c r="T61" s="186">
        <f>IFERROR(J61/_xlfn.XLOOKUP($M61,'00_SKU_Master'!$B$2:$B$379,'00_SKU_Master'!$M$2:$M$379,0),"0")</f>
        <v>0</v>
      </c>
      <c r="U61" s="186">
        <f t="shared" si="1"/>
        <v>0</v>
      </c>
      <c r="V61" s="186" t="str">
        <f>_xlfn.XLOOKUP(M61,'00_SKU_Master'!$B$2:$B$379,'00_SKU_Master'!$D$2:$D$379)</f>
        <v>SOB</v>
      </c>
      <c r="W61" s="1"/>
      <c r="X61" s="2">
        <f>'05_Daily_Orders'!C62</f>
        <v>2094</v>
      </c>
      <c r="Y61" s="290"/>
      <c r="Z61" s="290">
        <v>0</v>
      </c>
      <c r="AA61" s="290">
        <v>0</v>
      </c>
      <c r="AB61" s="290">
        <v>0</v>
      </c>
      <c r="AC61" s="290">
        <v>0</v>
      </c>
      <c r="AD61" s="289">
        <v>0</v>
      </c>
      <c r="AE61" s="290">
        <v>0</v>
      </c>
      <c r="AF61" s="7">
        <f t="shared" si="2"/>
        <v>0</v>
      </c>
      <c r="AQ61" s="70">
        <v>0</v>
      </c>
      <c r="AR61" s="70">
        <v>0</v>
      </c>
      <c r="AS61" s="3">
        <f t="shared" si="4"/>
        <v>0</v>
      </c>
    </row>
    <row r="62" spans="1:45" x14ac:dyDescent="0.35">
      <c r="A62" s="181">
        <f>_xlfn.XLOOKUP(X62,'00_SKU_Master'!$B$2:$B$379,'00_SKU_Master'!$C$2:$C$379)</f>
        <v>61077</v>
      </c>
      <c r="B62" s="181" t="str">
        <f>_xlfn.XLOOKUP(X62,tblSKU[SKU],tblSKU[Product_Group])</f>
        <v>Thigh</v>
      </c>
      <c r="C62" s="181" t="str">
        <f>_xlfn.XLOOKUP(X62,tblSKU[SKU],tblSKU[Tray_Type])</f>
        <v>LT 8XP</v>
      </c>
      <c r="D62" s="182">
        <f>_xlfn.IFNA(_xlfn.XLOOKUP(X62,'00_SKU_Master'!$B$2:$B$379,'00_SKU_Master'!$F$2:$F$379,0)*Y62,"")</f>
        <v>0</v>
      </c>
      <c r="E62" s="182">
        <f>_xlfn.IFNA(_xlfn.XLOOKUP(X62,'00_SKU_Master'!$B$2:$B$379,'00_SKU_Master'!$F$2:$F$379,0)*Z62,"")</f>
        <v>0</v>
      </c>
      <c r="F62" s="182">
        <f>_xlfn.IFNA(_xlfn.XLOOKUP(X62,'00_SKU_Master'!$B$2:$B$379,'00_SKU_Master'!$F$2:$F$379,0)*AA62,"")</f>
        <v>0</v>
      </c>
      <c r="G62" s="182">
        <f>_xlfn.IFNA(_xlfn.XLOOKUP(X62,'00_SKU_Master'!$B$2:$B$379,'00_SKU_Master'!$F$2:$F$379,0)*AB62,"")</f>
        <v>0</v>
      </c>
      <c r="H62" s="182">
        <f>_xlfn.IFNA(_xlfn.XLOOKUP(X62,'00_SKU_Master'!$B$2:$B$379,'00_SKU_Master'!$F$2:$F$379,0)*AC62,"")</f>
        <v>0</v>
      </c>
      <c r="I62" s="182">
        <f>_xlfn.IFNA(_xlfn.XLOOKUP(X62,'00_SKU_Master'!$B$2:$B$379,'00_SKU_Master'!$F$2:$F$379,0)*AD62,"")</f>
        <v>0</v>
      </c>
      <c r="J62" s="182">
        <f>_xlfn.IFNA(_xlfn.XLOOKUP(X62,'00_SKU_Master'!$B$2:$B$379,'00_SKU_Master'!$F$2:$F$379,0)*AE62,"")</f>
        <v>0</v>
      </c>
      <c r="K62" s="183">
        <f t="shared" si="3"/>
        <v>0</v>
      </c>
      <c r="L62" s="184" t="str">
        <f>_xlfn.XLOOKUP(X62,'00_SKU_Master'!$B$2:$B$379,'00_SKU_Master'!$K$2:$K$379)</f>
        <v>Fast</v>
      </c>
      <c r="M62" s="185">
        <f t="shared" si="0"/>
        <v>2095</v>
      </c>
      <c r="N62" s="186">
        <f>IFERROR(D62/_xlfn.XLOOKUP($M62,'00_SKU_Master'!$B$2:$B$379,'00_SKU_Master'!$M$2:$M$379,0),"0")</f>
        <v>0</v>
      </c>
      <c r="O62" s="186">
        <f>IFERROR(E62/_xlfn.XLOOKUP($M62,'00_SKU_Master'!$B$2:$B$379,'00_SKU_Master'!$M$2:$M$379,0),"0")</f>
        <v>0</v>
      </c>
      <c r="P62" s="186">
        <f>IFERROR(F62/_xlfn.XLOOKUP($M62,'00_SKU_Master'!$B$2:$B$379,'00_SKU_Master'!$M$2:$M$379,0),"0")</f>
        <v>0</v>
      </c>
      <c r="Q62" s="186">
        <f>IFERROR(G62/_xlfn.XLOOKUP($M62,'00_SKU_Master'!$B$2:$B$379,'00_SKU_Master'!$M$2:$M$379,0),"0")</f>
        <v>0</v>
      </c>
      <c r="R62" s="186">
        <f>IFERROR(H62/_xlfn.XLOOKUP($M62,'00_SKU_Master'!$B$2:$B$379,'00_SKU_Master'!$M$2:$M$379,0),"0")</f>
        <v>0</v>
      </c>
      <c r="S62" s="186">
        <f>IFERROR(I62/_xlfn.XLOOKUP($M62,'00_SKU_Master'!$B$2:$B$379,'00_SKU_Master'!$M$2:$M$379,0),"0")</f>
        <v>0</v>
      </c>
      <c r="T62" s="186">
        <f>IFERROR(J62/_xlfn.XLOOKUP($M62,'00_SKU_Master'!$B$2:$B$379,'00_SKU_Master'!$M$2:$M$379,0),"0")</f>
        <v>0</v>
      </c>
      <c r="U62" s="186">
        <f t="shared" si="1"/>
        <v>0</v>
      </c>
      <c r="V62" s="186" t="str">
        <f>_xlfn.XLOOKUP(M62,'00_SKU_Master'!$B$2:$B$379,'00_SKU_Master'!$D$2:$D$379)</f>
        <v>SOB</v>
      </c>
      <c r="W62" s="1"/>
      <c r="X62" s="2">
        <f>'05_Daily_Orders'!C63</f>
        <v>2095</v>
      </c>
      <c r="Y62" s="290"/>
      <c r="Z62" s="290">
        <v>0</v>
      </c>
      <c r="AA62" s="290">
        <v>0</v>
      </c>
      <c r="AB62" s="290">
        <v>0</v>
      </c>
      <c r="AC62" s="290">
        <v>0</v>
      </c>
      <c r="AD62" s="289">
        <v>0</v>
      </c>
      <c r="AE62" s="290">
        <v>0</v>
      </c>
      <c r="AF62" s="7">
        <f t="shared" si="2"/>
        <v>0</v>
      </c>
      <c r="AQ62" s="70">
        <v>0</v>
      </c>
      <c r="AR62" s="70">
        <v>0</v>
      </c>
      <c r="AS62" s="3">
        <f t="shared" si="4"/>
        <v>0</v>
      </c>
    </row>
    <row r="63" spans="1:45" x14ac:dyDescent="0.35">
      <c r="A63" s="181">
        <f>_xlfn.XLOOKUP(X63,'00_SKU_Master'!$B$2:$B$379,'00_SKU_Master'!$C$2:$C$379)</f>
        <v>61086</v>
      </c>
      <c r="B63" s="181" t="str">
        <f>_xlfn.XLOOKUP(X63,tblSKU[SKU],tblSKU[Product_Group])</f>
        <v>ThighMeat</v>
      </c>
      <c r="C63" s="181" t="str">
        <f>_xlfn.XLOOKUP(X63,tblSKU[SKU],tblSKU[Tray_Type])</f>
        <v>ST 3XP</v>
      </c>
      <c r="D63" s="182">
        <f>_xlfn.IFNA(_xlfn.XLOOKUP(X63,'00_SKU_Master'!$B$2:$B$379,'00_SKU_Master'!$F$2:$F$379,0)*Y63,"")</f>
        <v>0</v>
      </c>
      <c r="E63" s="182">
        <f>_xlfn.IFNA(_xlfn.XLOOKUP(X63,'00_SKU_Master'!$B$2:$B$379,'00_SKU_Master'!$F$2:$F$379,0)*Z63,"")</f>
        <v>0</v>
      </c>
      <c r="F63" s="182">
        <f>_xlfn.IFNA(_xlfn.XLOOKUP(X63,'00_SKU_Master'!$B$2:$B$379,'00_SKU_Master'!$F$2:$F$379,0)*AA63,"")</f>
        <v>0</v>
      </c>
      <c r="G63" s="182">
        <f>_xlfn.IFNA(_xlfn.XLOOKUP(X63,'00_SKU_Master'!$B$2:$B$379,'00_SKU_Master'!$F$2:$F$379,0)*AB63,"")</f>
        <v>0</v>
      </c>
      <c r="H63" s="182">
        <f>_xlfn.IFNA(_xlfn.XLOOKUP(X63,'00_SKU_Master'!$B$2:$B$379,'00_SKU_Master'!$F$2:$F$379,0)*AC63,"")</f>
        <v>0</v>
      </c>
      <c r="I63" s="182">
        <f>_xlfn.IFNA(_xlfn.XLOOKUP(X63,'00_SKU_Master'!$B$2:$B$379,'00_SKU_Master'!$F$2:$F$379,0)*AD63,"")</f>
        <v>0</v>
      </c>
      <c r="J63" s="182">
        <f>_xlfn.IFNA(_xlfn.XLOOKUP(X63,'00_SKU_Master'!$B$2:$B$379,'00_SKU_Master'!$F$2:$F$379,0)*AE63,"")</f>
        <v>0</v>
      </c>
      <c r="K63" s="183">
        <f t="shared" si="3"/>
        <v>0</v>
      </c>
      <c r="L63" s="184" t="str">
        <f>_xlfn.XLOOKUP(X63,'00_SKU_Master'!$B$2:$B$379,'00_SKU_Master'!$K$2:$K$379)</f>
        <v>Slow</v>
      </c>
      <c r="M63" s="185">
        <f t="shared" si="0"/>
        <v>2096</v>
      </c>
      <c r="N63" s="186">
        <f>IFERROR(D63/_xlfn.XLOOKUP($M63,'00_SKU_Master'!$B$2:$B$379,'00_SKU_Master'!$M$2:$M$379,0),"0")</f>
        <v>0</v>
      </c>
      <c r="O63" s="186">
        <f>IFERROR(E63/_xlfn.XLOOKUP($M63,'00_SKU_Master'!$B$2:$B$379,'00_SKU_Master'!$M$2:$M$379,0),"0")</f>
        <v>0</v>
      </c>
      <c r="P63" s="186">
        <f>IFERROR(F63/_xlfn.XLOOKUP($M63,'00_SKU_Master'!$B$2:$B$379,'00_SKU_Master'!$M$2:$M$379,0),"0")</f>
        <v>0</v>
      </c>
      <c r="Q63" s="186">
        <f>IFERROR(G63/_xlfn.XLOOKUP($M63,'00_SKU_Master'!$B$2:$B$379,'00_SKU_Master'!$M$2:$M$379,0),"0")</f>
        <v>0</v>
      </c>
      <c r="R63" s="186">
        <f>IFERROR(H63/_xlfn.XLOOKUP($M63,'00_SKU_Master'!$B$2:$B$379,'00_SKU_Master'!$M$2:$M$379,0),"0")</f>
        <v>0</v>
      </c>
      <c r="S63" s="186">
        <f>IFERROR(I63/_xlfn.XLOOKUP($M63,'00_SKU_Master'!$B$2:$B$379,'00_SKU_Master'!$M$2:$M$379,0),"0")</f>
        <v>0</v>
      </c>
      <c r="T63" s="186">
        <f>IFERROR(J63/_xlfn.XLOOKUP($M63,'00_SKU_Master'!$B$2:$B$379,'00_SKU_Master'!$M$2:$M$379,0),"0")</f>
        <v>0</v>
      </c>
      <c r="U63" s="186">
        <f t="shared" si="1"/>
        <v>0</v>
      </c>
      <c r="V63" s="186" t="str">
        <f>_xlfn.XLOOKUP(M63,'00_SKU_Master'!$B$2:$B$379,'00_SKU_Master'!$D$2:$D$379)</f>
        <v>SOB</v>
      </c>
      <c r="W63" s="1"/>
      <c r="X63" s="2">
        <f>'05_Daily_Orders'!C64</f>
        <v>2096</v>
      </c>
      <c r="Y63" s="290"/>
      <c r="Z63" s="290">
        <v>0</v>
      </c>
      <c r="AA63" s="290">
        <v>0</v>
      </c>
      <c r="AB63" s="290">
        <v>0</v>
      </c>
      <c r="AC63" s="290">
        <v>0</v>
      </c>
      <c r="AD63" s="289">
        <v>0</v>
      </c>
      <c r="AE63" s="290">
        <v>0</v>
      </c>
      <c r="AF63" s="7">
        <f t="shared" si="2"/>
        <v>0</v>
      </c>
      <c r="AQ63" s="70">
        <v>0</v>
      </c>
      <c r="AR63" s="70">
        <v>0</v>
      </c>
      <c r="AS63" s="3">
        <f t="shared" si="4"/>
        <v>0</v>
      </c>
    </row>
    <row r="64" spans="1:45" x14ac:dyDescent="0.35">
      <c r="A64" s="181">
        <f>_xlfn.XLOOKUP(X64,'00_SKU_Master'!$B$2:$B$379,'00_SKU_Master'!$C$2:$C$379)</f>
        <v>61086</v>
      </c>
      <c r="B64" s="181" t="str">
        <f>_xlfn.XLOOKUP(X64,tblSKU[SKU],tblSKU[Product_Group])</f>
        <v>ThighMeat</v>
      </c>
      <c r="C64" s="181" t="str">
        <f>_xlfn.XLOOKUP(X64,tblSKU[SKU],tblSKU[Tray_Type])</f>
        <v>LT 6D</v>
      </c>
      <c r="D64" s="182">
        <f>_xlfn.IFNA(_xlfn.XLOOKUP(X64,'00_SKU_Master'!$B$2:$B$379,'00_SKU_Master'!$F$2:$F$379,0)*Y64,"")</f>
        <v>0</v>
      </c>
      <c r="E64" s="182">
        <f>_xlfn.IFNA(_xlfn.XLOOKUP(X64,'00_SKU_Master'!$B$2:$B$379,'00_SKU_Master'!$F$2:$F$379,0)*Z64,"")</f>
        <v>0</v>
      </c>
      <c r="F64" s="182">
        <f>_xlfn.IFNA(_xlfn.XLOOKUP(X64,'00_SKU_Master'!$B$2:$B$379,'00_SKU_Master'!$F$2:$F$379,0)*AA64,"")</f>
        <v>0</v>
      </c>
      <c r="G64" s="182">
        <f>_xlfn.IFNA(_xlfn.XLOOKUP(X64,'00_SKU_Master'!$B$2:$B$379,'00_SKU_Master'!$F$2:$F$379,0)*AB64,"")</f>
        <v>0</v>
      </c>
      <c r="H64" s="182">
        <f>_xlfn.IFNA(_xlfn.XLOOKUP(X64,'00_SKU_Master'!$B$2:$B$379,'00_SKU_Master'!$F$2:$F$379,0)*AC64,"")</f>
        <v>0</v>
      </c>
      <c r="I64" s="182">
        <f>_xlfn.IFNA(_xlfn.XLOOKUP(X64,'00_SKU_Master'!$B$2:$B$379,'00_SKU_Master'!$F$2:$F$379,0)*AD64,"")</f>
        <v>0</v>
      </c>
      <c r="J64" s="182">
        <f>_xlfn.IFNA(_xlfn.XLOOKUP(X64,'00_SKU_Master'!$B$2:$B$379,'00_SKU_Master'!$F$2:$F$379,0)*AE64,"")</f>
        <v>0</v>
      </c>
      <c r="K64" s="183">
        <f t="shared" si="3"/>
        <v>0</v>
      </c>
      <c r="L64" s="184" t="str">
        <f>_xlfn.XLOOKUP(X64,'00_SKU_Master'!$B$2:$B$379,'00_SKU_Master'!$K$2:$K$379)</f>
        <v>Slow</v>
      </c>
      <c r="M64" s="185">
        <f t="shared" si="0"/>
        <v>2097</v>
      </c>
      <c r="N64" s="186">
        <f>IFERROR(D64/_xlfn.XLOOKUP($M64,'00_SKU_Master'!$B$2:$B$379,'00_SKU_Master'!$M$2:$M$379,0),"0")</f>
        <v>0</v>
      </c>
      <c r="O64" s="186">
        <f>IFERROR(E64/_xlfn.XLOOKUP($M64,'00_SKU_Master'!$B$2:$B$379,'00_SKU_Master'!$M$2:$M$379,0),"0")</f>
        <v>0</v>
      </c>
      <c r="P64" s="186">
        <f>IFERROR(F64/_xlfn.XLOOKUP($M64,'00_SKU_Master'!$B$2:$B$379,'00_SKU_Master'!$M$2:$M$379,0),"0")</f>
        <v>0</v>
      </c>
      <c r="Q64" s="186">
        <f>IFERROR(G64/_xlfn.XLOOKUP($M64,'00_SKU_Master'!$B$2:$B$379,'00_SKU_Master'!$M$2:$M$379,0),"0")</f>
        <v>0</v>
      </c>
      <c r="R64" s="186">
        <f>IFERROR(H64/_xlfn.XLOOKUP($M64,'00_SKU_Master'!$B$2:$B$379,'00_SKU_Master'!$M$2:$M$379,0),"0")</f>
        <v>0</v>
      </c>
      <c r="S64" s="186">
        <f>IFERROR(I64/_xlfn.XLOOKUP($M64,'00_SKU_Master'!$B$2:$B$379,'00_SKU_Master'!$M$2:$M$379,0),"0")</f>
        <v>0</v>
      </c>
      <c r="T64" s="186">
        <f>IFERROR(J64/_xlfn.XLOOKUP($M64,'00_SKU_Master'!$B$2:$B$379,'00_SKU_Master'!$M$2:$M$379,0),"0")</f>
        <v>0</v>
      </c>
      <c r="U64" s="186">
        <f t="shared" si="1"/>
        <v>0</v>
      </c>
      <c r="V64" s="186" t="str">
        <f>_xlfn.XLOOKUP(M64,'00_SKU_Master'!$B$2:$B$379,'00_SKU_Master'!$D$2:$D$379)</f>
        <v>SOB</v>
      </c>
      <c r="W64" s="1"/>
      <c r="X64" s="2">
        <f>'05_Daily_Orders'!C65</f>
        <v>2097</v>
      </c>
      <c r="Y64" s="290"/>
      <c r="Z64" s="290">
        <v>0</v>
      </c>
      <c r="AA64" s="290">
        <v>0</v>
      </c>
      <c r="AB64" s="290">
        <v>0</v>
      </c>
      <c r="AC64" s="290">
        <v>0</v>
      </c>
      <c r="AD64" s="289">
        <v>0</v>
      </c>
      <c r="AE64" s="290">
        <v>0</v>
      </c>
      <c r="AF64" s="7">
        <f t="shared" si="2"/>
        <v>0</v>
      </c>
      <c r="AQ64" s="70">
        <v>0</v>
      </c>
      <c r="AR64" s="70">
        <v>0</v>
      </c>
      <c r="AS64" s="3">
        <f t="shared" si="4"/>
        <v>0</v>
      </c>
    </row>
    <row r="65" spans="1:45" x14ac:dyDescent="0.35">
      <c r="A65" s="181">
        <f>_xlfn.XLOOKUP(X65,'00_SKU_Master'!$B$2:$B$379,'00_SKU_Master'!$C$2:$C$379)</f>
        <v>61014</v>
      </c>
      <c r="B65" s="181" t="str">
        <f>_xlfn.XLOOKUP(X65,tblSKU[SKU],tblSKU[Product_Group])</f>
        <v>SplitWing</v>
      </c>
      <c r="C65" s="181" t="str">
        <f>_xlfn.XLOOKUP(X65,tblSKU[SKU],tblSKU[Tray_Type])</f>
        <v>LT 8XP</v>
      </c>
      <c r="D65" s="182">
        <f>_xlfn.IFNA(_xlfn.XLOOKUP(X65,'00_SKU_Master'!$B$2:$B$379,'00_SKU_Master'!$F$2:$F$379,0)*Y65,"")</f>
        <v>0</v>
      </c>
      <c r="E65" s="182">
        <f>_xlfn.IFNA(_xlfn.XLOOKUP(X65,'00_SKU_Master'!$B$2:$B$379,'00_SKU_Master'!$F$2:$F$379,0)*Z65,"")</f>
        <v>0</v>
      </c>
      <c r="F65" s="182">
        <f>_xlfn.IFNA(_xlfn.XLOOKUP(X65,'00_SKU_Master'!$B$2:$B$379,'00_SKU_Master'!$F$2:$F$379,0)*AA65,"")</f>
        <v>0</v>
      </c>
      <c r="G65" s="182">
        <f>_xlfn.IFNA(_xlfn.XLOOKUP(X65,'00_SKU_Master'!$B$2:$B$379,'00_SKU_Master'!$F$2:$F$379,0)*AB65,"")</f>
        <v>0</v>
      </c>
      <c r="H65" s="182">
        <f>_xlfn.IFNA(_xlfn.XLOOKUP(X65,'00_SKU_Master'!$B$2:$B$379,'00_SKU_Master'!$F$2:$F$379,0)*AC65,"")</f>
        <v>0</v>
      </c>
      <c r="I65" s="182">
        <f>_xlfn.IFNA(_xlfn.XLOOKUP(X65,'00_SKU_Master'!$B$2:$B$379,'00_SKU_Master'!$F$2:$F$379,0)*AD65,"")</f>
        <v>0</v>
      </c>
      <c r="J65" s="182">
        <f>_xlfn.IFNA(_xlfn.XLOOKUP(X65,'00_SKU_Master'!$B$2:$B$379,'00_SKU_Master'!$F$2:$F$379,0)*AE65,"")</f>
        <v>0</v>
      </c>
      <c r="K65" s="183">
        <f t="shared" si="3"/>
        <v>0</v>
      </c>
      <c r="L65" s="184" t="str">
        <f>_xlfn.XLOOKUP(X65,'00_SKU_Master'!$B$2:$B$379,'00_SKU_Master'!$K$2:$K$379)</f>
        <v>Slow</v>
      </c>
      <c r="M65" s="185">
        <f t="shared" si="0"/>
        <v>2098</v>
      </c>
      <c r="N65" s="186">
        <f>IFERROR(D65/_xlfn.XLOOKUP($M65,'00_SKU_Master'!$B$2:$B$379,'00_SKU_Master'!$M$2:$M$379,0),"0")</f>
        <v>0</v>
      </c>
      <c r="O65" s="186">
        <f>IFERROR(E65/_xlfn.XLOOKUP($M65,'00_SKU_Master'!$B$2:$B$379,'00_SKU_Master'!$M$2:$M$379,0),"0")</f>
        <v>0</v>
      </c>
      <c r="P65" s="186">
        <f>IFERROR(F65/_xlfn.XLOOKUP($M65,'00_SKU_Master'!$B$2:$B$379,'00_SKU_Master'!$M$2:$M$379,0),"0")</f>
        <v>0</v>
      </c>
      <c r="Q65" s="186">
        <f>IFERROR(G65/_xlfn.XLOOKUP($M65,'00_SKU_Master'!$B$2:$B$379,'00_SKU_Master'!$M$2:$M$379,0),"0")</f>
        <v>0</v>
      </c>
      <c r="R65" s="186">
        <f>IFERROR(H65/_xlfn.XLOOKUP($M65,'00_SKU_Master'!$B$2:$B$379,'00_SKU_Master'!$M$2:$M$379,0),"0")</f>
        <v>0</v>
      </c>
      <c r="S65" s="186">
        <f>IFERROR(I65/_xlfn.XLOOKUP($M65,'00_SKU_Master'!$B$2:$B$379,'00_SKU_Master'!$M$2:$M$379,0),"0")</f>
        <v>0</v>
      </c>
      <c r="T65" s="186">
        <f>IFERROR(J65/_xlfn.XLOOKUP($M65,'00_SKU_Master'!$B$2:$B$379,'00_SKU_Master'!$M$2:$M$379,0),"0")</f>
        <v>0</v>
      </c>
      <c r="U65" s="186">
        <f t="shared" si="1"/>
        <v>0</v>
      </c>
      <c r="V65" s="186" t="str">
        <f>_xlfn.XLOOKUP(M65,'00_SKU_Master'!$B$2:$B$379,'00_SKU_Master'!$D$2:$D$379)</f>
        <v>SOB</v>
      </c>
      <c r="W65" s="1"/>
      <c r="X65" s="2">
        <f>'05_Daily_Orders'!C66</f>
        <v>2098</v>
      </c>
      <c r="Y65" s="290"/>
      <c r="Z65" s="290">
        <v>0</v>
      </c>
      <c r="AA65" s="290">
        <v>0</v>
      </c>
      <c r="AB65" s="290">
        <v>0</v>
      </c>
      <c r="AC65" s="290">
        <v>0</v>
      </c>
      <c r="AD65" s="289">
        <v>0</v>
      </c>
      <c r="AE65" s="290">
        <v>0</v>
      </c>
      <c r="AF65" s="7">
        <f t="shared" si="2"/>
        <v>0</v>
      </c>
      <c r="AQ65" s="70">
        <v>0</v>
      </c>
      <c r="AR65" s="70">
        <v>0</v>
      </c>
      <c r="AS65" s="3">
        <f t="shared" si="4"/>
        <v>0</v>
      </c>
    </row>
    <row r="66" spans="1:45" x14ac:dyDescent="0.35">
      <c r="A66" s="181">
        <f>_xlfn.XLOOKUP(X66,'00_SKU_Master'!$B$2:$B$379,'00_SKU_Master'!$C$2:$C$379)</f>
        <v>61014</v>
      </c>
      <c r="B66" s="181" t="str">
        <f>_xlfn.XLOOKUP(X66,tblSKU[SKU],tblSKU[Product_Group])</f>
        <v>SplitWing</v>
      </c>
      <c r="C66" s="181" t="str">
        <f>_xlfn.XLOOKUP(X66,tblSKU[SKU],tblSKU[Tray_Type])</f>
        <v>ST 3XP</v>
      </c>
      <c r="D66" s="182">
        <f>_xlfn.IFNA(_xlfn.XLOOKUP(X66,'00_SKU_Master'!$B$2:$B$379,'00_SKU_Master'!$F$2:$F$379,0)*Y66,"")</f>
        <v>0</v>
      </c>
      <c r="E66" s="182">
        <f>_xlfn.IFNA(_xlfn.XLOOKUP(X66,'00_SKU_Master'!$B$2:$B$379,'00_SKU_Master'!$F$2:$F$379,0)*Z66,"")</f>
        <v>0</v>
      </c>
      <c r="F66" s="182">
        <f>_xlfn.IFNA(_xlfn.XLOOKUP(X66,'00_SKU_Master'!$B$2:$B$379,'00_SKU_Master'!$F$2:$F$379,0)*AA66,"")</f>
        <v>0</v>
      </c>
      <c r="G66" s="182">
        <f>_xlfn.IFNA(_xlfn.XLOOKUP(X66,'00_SKU_Master'!$B$2:$B$379,'00_SKU_Master'!$F$2:$F$379,0)*AB66,"")</f>
        <v>0</v>
      </c>
      <c r="H66" s="182">
        <f>_xlfn.IFNA(_xlfn.XLOOKUP(X66,'00_SKU_Master'!$B$2:$B$379,'00_SKU_Master'!$F$2:$F$379,0)*AC66,"")</f>
        <v>0</v>
      </c>
      <c r="I66" s="182">
        <f>_xlfn.IFNA(_xlfn.XLOOKUP(X66,'00_SKU_Master'!$B$2:$B$379,'00_SKU_Master'!$F$2:$F$379,0)*AD66,"")</f>
        <v>0</v>
      </c>
      <c r="J66" s="182">
        <f>_xlfn.IFNA(_xlfn.XLOOKUP(X66,'00_SKU_Master'!$B$2:$B$379,'00_SKU_Master'!$F$2:$F$379,0)*AE66,"")</f>
        <v>0</v>
      </c>
      <c r="K66" s="183">
        <f t="shared" ref="K66:K129" si="5">SUM(D66:J66)</f>
        <v>0</v>
      </c>
      <c r="L66" s="184" t="str">
        <f>_xlfn.XLOOKUP(X66,'00_SKU_Master'!$B$2:$B$379,'00_SKU_Master'!$K$2:$K$379)</f>
        <v>Slow</v>
      </c>
      <c r="M66" s="185">
        <f t="shared" ref="M66:M129" si="6">X66</f>
        <v>2099</v>
      </c>
      <c r="N66" s="186">
        <f>IFERROR(D66/_xlfn.XLOOKUP($M66,'00_SKU_Master'!$B$2:$B$379,'00_SKU_Master'!$M$2:$M$379,0),"0")</f>
        <v>0</v>
      </c>
      <c r="O66" s="186">
        <f>IFERROR(E66/_xlfn.XLOOKUP($M66,'00_SKU_Master'!$B$2:$B$379,'00_SKU_Master'!$M$2:$M$379,0),"0")</f>
        <v>0</v>
      </c>
      <c r="P66" s="186">
        <f>IFERROR(F66/_xlfn.XLOOKUP($M66,'00_SKU_Master'!$B$2:$B$379,'00_SKU_Master'!$M$2:$M$379,0),"0")</f>
        <v>0</v>
      </c>
      <c r="Q66" s="186">
        <f>IFERROR(G66/_xlfn.XLOOKUP($M66,'00_SKU_Master'!$B$2:$B$379,'00_SKU_Master'!$M$2:$M$379,0),"0")</f>
        <v>0</v>
      </c>
      <c r="R66" s="186">
        <f>IFERROR(H66/_xlfn.XLOOKUP($M66,'00_SKU_Master'!$B$2:$B$379,'00_SKU_Master'!$M$2:$M$379,0),"0")</f>
        <v>0</v>
      </c>
      <c r="S66" s="186">
        <f>IFERROR(I66/_xlfn.XLOOKUP($M66,'00_SKU_Master'!$B$2:$B$379,'00_SKU_Master'!$M$2:$M$379,0),"0")</f>
        <v>0</v>
      </c>
      <c r="T66" s="186">
        <f>IFERROR(J66/_xlfn.XLOOKUP($M66,'00_SKU_Master'!$B$2:$B$379,'00_SKU_Master'!$M$2:$M$379,0),"0")</f>
        <v>0</v>
      </c>
      <c r="U66" s="186">
        <f t="shared" ref="U66:U129" si="7">SUM(N66:T66)</f>
        <v>0</v>
      </c>
      <c r="V66" s="186" t="str">
        <f>_xlfn.XLOOKUP(M66,'00_SKU_Master'!$B$2:$B$379,'00_SKU_Master'!$D$2:$D$379)</f>
        <v>SOB</v>
      </c>
      <c r="W66" s="1"/>
      <c r="X66" s="2">
        <f>'05_Daily_Orders'!C67</f>
        <v>2099</v>
      </c>
      <c r="Y66" s="290"/>
      <c r="Z66" s="290">
        <v>0</v>
      </c>
      <c r="AA66" s="290">
        <v>0</v>
      </c>
      <c r="AB66" s="290">
        <v>0</v>
      </c>
      <c r="AC66" s="290">
        <v>0</v>
      </c>
      <c r="AD66" s="289">
        <v>0</v>
      </c>
      <c r="AE66" s="290">
        <v>0</v>
      </c>
      <c r="AF66" s="7">
        <f t="shared" ref="AF66:AF129" si="8">SUM(Y66:AE66)</f>
        <v>0</v>
      </c>
      <c r="AQ66" s="70">
        <v>0</v>
      </c>
      <c r="AR66" s="70">
        <v>0</v>
      </c>
      <c r="AS66" s="3">
        <f t="shared" si="4"/>
        <v>0</v>
      </c>
    </row>
    <row r="67" spans="1:45" x14ac:dyDescent="0.35">
      <c r="A67" s="181" t="str">
        <f>_xlfn.XLOOKUP(X67,'00_SKU_Master'!$B$2:$B$379,'00_SKU_Master'!$C$2:$C$379)</f>
        <v>61077F</v>
      </c>
      <c r="B67" s="181" t="str">
        <f>_xlfn.XLOOKUP(X67,tblSKU[SKU],tblSKU[Product_Group])</f>
        <v>Thigh</v>
      </c>
      <c r="C67" s="181" t="str">
        <f>_xlfn.XLOOKUP(X67,tblSKU[SKU],tblSKU[Tray_Type])</f>
        <v>ST 3D</v>
      </c>
      <c r="D67" s="182">
        <f>_xlfn.IFNA(_xlfn.XLOOKUP(X67,'00_SKU_Master'!$B$2:$B$379,'00_SKU_Master'!$F$2:$F$379,0)*Y67,"")</f>
        <v>0</v>
      </c>
      <c r="E67" s="182">
        <f>_xlfn.IFNA(_xlfn.XLOOKUP(X67,'00_SKU_Master'!$B$2:$B$379,'00_SKU_Master'!$F$2:$F$379,0)*Z67,"")</f>
        <v>0</v>
      </c>
      <c r="F67" s="182">
        <f>_xlfn.IFNA(_xlfn.XLOOKUP(X67,'00_SKU_Master'!$B$2:$B$379,'00_SKU_Master'!$F$2:$F$379,0)*AA67,"")</f>
        <v>0</v>
      </c>
      <c r="G67" s="182">
        <f>_xlfn.IFNA(_xlfn.XLOOKUP(X67,'00_SKU_Master'!$B$2:$B$379,'00_SKU_Master'!$F$2:$F$379,0)*AB67,"")</f>
        <v>0</v>
      </c>
      <c r="H67" s="182">
        <f>_xlfn.IFNA(_xlfn.XLOOKUP(X67,'00_SKU_Master'!$B$2:$B$379,'00_SKU_Master'!$F$2:$F$379,0)*AC67,"")</f>
        <v>0</v>
      </c>
      <c r="I67" s="182">
        <f>_xlfn.IFNA(_xlfn.XLOOKUP(X67,'00_SKU_Master'!$B$2:$B$379,'00_SKU_Master'!$F$2:$F$379,0)*AD67,"")</f>
        <v>0</v>
      </c>
      <c r="J67" s="182">
        <f>_xlfn.IFNA(_xlfn.XLOOKUP(X67,'00_SKU_Master'!$B$2:$B$379,'00_SKU_Master'!$F$2:$F$379,0)*AE67,"")</f>
        <v>0</v>
      </c>
      <c r="K67" s="183">
        <f t="shared" si="5"/>
        <v>0</v>
      </c>
      <c r="L67" s="184" t="str">
        <f>_xlfn.XLOOKUP(X67,'00_SKU_Master'!$B$2:$B$379,'00_SKU_Master'!$K$2:$K$379)</f>
        <v>Fast</v>
      </c>
      <c r="M67" s="185">
        <f t="shared" si="6"/>
        <v>2102</v>
      </c>
      <c r="N67" s="186">
        <f>IFERROR(D67/_xlfn.XLOOKUP($M67,'00_SKU_Master'!$B$2:$B$379,'00_SKU_Master'!$M$2:$M$379,0),"0")</f>
        <v>0</v>
      </c>
      <c r="O67" s="186">
        <f>IFERROR(E67/_xlfn.XLOOKUP($M67,'00_SKU_Master'!$B$2:$B$379,'00_SKU_Master'!$M$2:$M$379,0),"0")</f>
        <v>0</v>
      </c>
      <c r="P67" s="186">
        <f>IFERROR(F67/_xlfn.XLOOKUP($M67,'00_SKU_Master'!$B$2:$B$379,'00_SKU_Master'!$M$2:$M$379,0),"0")</f>
        <v>0</v>
      </c>
      <c r="Q67" s="186">
        <f>IFERROR(G67/_xlfn.XLOOKUP($M67,'00_SKU_Master'!$B$2:$B$379,'00_SKU_Master'!$M$2:$M$379,0),"0")</f>
        <v>0</v>
      </c>
      <c r="R67" s="186">
        <f>IFERROR(H67/_xlfn.XLOOKUP($M67,'00_SKU_Master'!$B$2:$B$379,'00_SKU_Master'!$M$2:$M$379,0),"0")</f>
        <v>0</v>
      </c>
      <c r="S67" s="186">
        <f>IFERROR(I67/_xlfn.XLOOKUP($M67,'00_SKU_Master'!$B$2:$B$379,'00_SKU_Master'!$M$2:$M$379,0),"0")</f>
        <v>0</v>
      </c>
      <c r="T67" s="186">
        <f>IFERROR(J67/_xlfn.XLOOKUP($M67,'00_SKU_Master'!$B$2:$B$379,'00_SKU_Master'!$M$2:$M$379,0),"0")</f>
        <v>0</v>
      </c>
      <c r="U67" s="186">
        <f t="shared" si="7"/>
        <v>0</v>
      </c>
      <c r="V67" s="186" t="str">
        <f>_xlfn.XLOOKUP(M67,'00_SKU_Master'!$B$2:$B$379,'00_SKU_Master'!$D$2:$D$379)</f>
        <v>FB</v>
      </c>
      <c r="W67" s="1"/>
      <c r="X67" s="2">
        <f>'05_Daily_Orders'!C68</f>
        <v>2102</v>
      </c>
      <c r="Y67" s="289"/>
      <c r="Z67" s="289">
        <v>0</v>
      </c>
      <c r="AA67" s="289">
        <v>0</v>
      </c>
      <c r="AB67" s="289">
        <v>0</v>
      </c>
      <c r="AC67" s="289">
        <v>0</v>
      </c>
      <c r="AD67" s="289">
        <v>0</v>
      </c>
      <c r="AE67" s="289">
        <v>0</v>
      </c>
      <c r="AF67" s="7">
        <f t="shared" si="8"/>
        <v>0</v>
      </c>
      <c r="AQ67" s="70">
        <v>0</v>
      </c>
      <c r="AR67" s="70">
        <v>0</v>
      </c>
      <c r="AS67" s="3">
        <f t="shared" ref="AS67:AS130" si="9">AR67-AQ67</f>
        <v>0</v>
      </c>
    </row>
    <row r="68" spans="1:45" x14ac:dyDescent="0.35">
      <c r="A68" s="181">
        <f>_xlfn.XLOOKUP(X68,'00_SKU_Master'!$B$2:$B$379,'00_SKU_Master'!$C$2:$C$379)</f>
        <v>203021</v>
      </c>
      <c r="B68" s="181" t="str">
        <f>_xlfn.XLOOKUP(X68,tblSKU[SKU],tblSKU[Product_Group])</f>
        <v>Whole Bird-Small</v>
      </c>
      <c r="C68" s="181" t="str">
        <f>_xlfn.XLOOKUP(X68,tblSKU[SKU],tblSKU[Tray_Type])</f>
        <v>ST 3D</v>
      </c>
      <c r="D68" s="182">
        <f>_xlfn.IFNA(_xlfn.XLOOKUP(X68,'00_SKU_Master'!$B$2:$B$379,'00_SKU_Master'!$F$2:$F$379,0)*Y68,"")</f>
        <v>0</v>
      </c>
      <c r="E68" s="182">
        <f>_xlfn.IFNA(_xlfn.XLOOKUP(X68,'00_SKU_Master'!$B$2:$B$379,'00_SKU_Master'!$F$2:$F$379,0)*Z68,"")</f>
        <v>0</v>
      </c>
      <c r="F68" s="182">
        <f>_xlfn.IFNA(_xlfn.XLOOKUP(X68,'00_SKU_Master'!$B$2:$B$379,'00_SKU_Master'!$F$2:$F$379,0)*AA68,"")</f>
        <v>0</v>
      </c>
      <c r="G68" s="182">
        <f>_xlfn.IFNA(_xlfn.XLOOKUP(X68,'00_SKU_Master'!$B$2:$B$379,'00_SKU_Master'!$F$2:$F$379,0)*AB68,"")</f>
        <v>0</v>
      </c>
      <c r="H68" s="182">
        <f>_xlfn.IFNA(_xlfn.XLOOKUP(X68,'00_SKU_Master'!$B$2:$B$379,'00_SKU_Master'!$F$2:$F$379,0)*AC68,"")</f>
        <v>0</v>
      </c>
      <c r="I68" s="182">
        <f>_xlfn.IFNA(_xlfn.XLOOKUP(X68,'00_SKU_Master'!$B$2:$B$379,'00_SKU_Master'!$F$2:$F$379,0)*AD68,"")</f>
        <v>0</v>
      </c>
      <c r="J68" s="182">
        <f>_xlfn.IFNA(_xlfn.XLOOKUP(X68,'00_SKU_Master'!$B$2:$B$379,'00_SKU_Master'!$F$2:$F$379,0)*AE68,"")</f>
        <v>0</v>
      </c>
      <c r="K68" s="183">
        <f t="shared" si="5"/>
        <v>0</v>
      </c>
      <c r="L68" s="184" t="str">
        <f>_xlfn.XLOOKUP(X68,'00_SKU_Master'!$B$2:$B$379,'00_SKU_Master'!$K$2:$K$379)</f>
        <v>Fast</v>
      </c>
      <c r="M68" s="185">
        <f t="shared" si="6"/>
        <v>2121</v>
      </c>
      <c r="N68" s="186" t="str">
        <f>IFERROR(D68/_xlfn.XLOOKUP($M68,'00_SKU_Master'!$B$2:$B$379,'00_SKU_Master'!$M$2:$M$379,0),"0")</f>
        <v>0</v>
      </c>
      <c r="O68" s="186" t="str">
        <f>IFERROR(E68/_xlfn.XLOOKUP($M68,'00_SKU_Master'!$B$2:$B$379,'00_SKU_Master'!$M$2:$M$379,0),"0")</f>
        <v>0</v>
      </c>
      <c r="P68" s="186" t="str">
        <f>IFERROR(F68/_xlfn.XLOOKUP($M68,'00_SKU_Master'!$B$2:$B$379,'00_SKU_Master'!$M$2:$M$379,0),"0")</f>
        <v>0</v>
      </c>
      <c r="Q68" s="186" t="str">
        <f>IFERROR(G68/_xlfn.XLOOKUP($M68,'00_SKU_Master'!$B$2:$B$379,'00_SKU_Master'!$M$2:$M$379,0),"0")</f>
        <v>0</v>
      </c>
      <c r="R68" s="186" t="str">
        <f>IFERROR(H68/_xlfn.XLOOKUP($M68,'00_SKU_Master'!$B$2:$B$379,'00_SKU_Master'!$M$2:$M$379,0),"0")</f>
        <v>0</v>
      </c>
      <c r="S68" s="186" t="str">
        <f>IFERROR(I68/_xlfn.XLOOKUP($M68,'00_SKU_Master'!$B$2:$B$379,'00_SKU_Master'!$M$2:$M$379,0),"0")</f>
        <v>0</v>
      </c>
      <c r="T68" s="186" t="str">
        <f>IFERROR(J68/_xlfn.XLOOKUP($M68,'00_SKU_Master'!$B$2:$B$379,'00_SKU_Master'!$M$2:$M$379,0),"0")</f>
        <v>0</v>
      </c>
      <c r="U68" s="186">
        <f t="shared" si="7"/>
        <v>0</v>
      </c>
      <c r="V68" s="186" t="str">
        <f>_xlfn.XLOOKUP(M68,'00_SKU_Master'!$B$2:$B$379,'00_SKU_Master'!$D$2:$D$379)</f>
        <v>FB</v>
      </c>
      <c r="W68" s="1"/>
      <c r="X68" s="2">
        <f>'05_Daily_Orders'!C69</f>
        <v>2121</v>
      </c>
      <c r="Y68" s="289"/>
      <c r="Z68" s="289">
        <v>0</v>
      </c>
      <c r="AA68" s="289">
        <v>0</v>
      </c>
      <c r="AB68" s="289">
        <v>0</v>
      </c>
      <c r="AC68" s="289">
        <v>0</v>
      </c>
      <c r="AD68" s="289">
        <v>0</v>
      </c>
      <c r="AE68" s="289">
        <v>0</v>
      </c>
      <c r="AF68" s="7">
        <f t="shared" si="8"/>
        <v>0</v>
      </c>
      <c r="AQ68" s="70">
        <v>0</v>
      </c>
      <c r="AR68" s="70">
        <v>0</v>
      </c>
      <c r="AS68" s="3">
        <f t="shared" si="9"/>
        <v>0</v>
      </c>
    </row>
    <row r="69" spans="1:45" x14ac:dyDescent="0.35">
      <c r="A69" s="181" t="str">
        <f>_xlfn.XLOOKUP(X69,'00_SKU_Master'!$B$2:$B$379,'00_SKU_Master'!$C$2:$C$379)</f>
        <v>61072#2</v>
      </c>
      <c r="B69" s="181" t="str">
        <f>_xlfn.XLOOKUP(X69,tblSKU[SKU],tblSKU[Product_Group])</f>
        <v>Drum</v>
      </c>
      <c r="C69" s="181" t="str">
        <f>_xlfn.XLOOKUP(X69,tblSKU[SKU],tblSKU[Tray_Type])</f>
        <v>LT 14D</v>
      </c>
      <c r="D69" s="182">
        <f>_xlfn.IFNA(_xlfn.XLOOKUP(X69,'00_SKU_Master'!$B$2:$B$379,'00_SKU_Master'!$F$2:$F$379,0)*Y69,"")</f>
        <v>0</v>
      </c>
      <c r="E69" s="182">
        <f>_xlfn.IFNA(_xlfn.XLOOKUP(X69,'00_SKU_Master'!$B$2:$B$379,'00_SKU_Master'!$F$2:$F$379,0)*Z69,"")</f>
        <v>0</v>
      </c>
      <c r="F69" s="182">
        <f>_xlfn.IFNA(_xlfn.XLOOKUP(X69,'00_SKU_Master'!$B$2:$B$379,'00_SKU_Master'!$F$2:$F$379,0)*AA69,"")</f>
        <v>0</v>
      </c>
      <c r="G69" s="182">
        <f>_xlfn.IFNA(_xlfn.XLOOKUP(X69,'00_SKU_Master'!$B$2:$B$379,'00_SKU_Master'!$F$2:$F$379,0)*AB69,"")</f>
        <v>0</v>
      </c>
      <c r="H69" s="182">
        <f>_xlfn.IFNA(_xlfn.XLOOKUP(X69,'00_SKU_Master'!$B$2:$B$379,'00_SKU_Master'!$F$2:$F$379,0)*AC69,"")</f>
        <v>0</v>
      </c>
      <c r="I69" s="182">
        <f>_xlfn.IFNA(_xlfn.XLOOKUP(X69,'00_SKU_Master'!$B$2:$B$379,'00_SKU_Master'!$F$2:$F$379,0)*AD69,"")</f>
        <v>0</v>
      </c>
      <c r="J69" s="182">
        <f>_xlfn.IFNA(_xlfn.XLOOKUP(X69,'00_SKU_Master'!$B$2:$B$379,'00_SKU_Master'!$F$2:$F$379,0)*AE69,"")</f>
        <v>0</v>
      </c>
      <c r="K69" s="183">
        <f t="shared" si="5"/>
        <v>0</v>
      </c>
      <c r="L69" s="184" t="str">
        <f>_xlfn.XLOOKUP(X69,'00_SKU_Master'!$B$2:$B$379,'00_SKU_Master'!$K$2:$K$379)</f>
        <v>Fast</v>
      </c>
      <c r="M69" s="185">
        <f t="shared" si="6"/>
        <v>2124</v>
      </c>
      <c r="N69" s="186">
        <f>IFERROR(D69/_xlfn.XLOOKUP($M69,'00_SKU_Master'!$B$2:$B$379,'00_SKU_Master'!$M$2:$M$379,0),"0")</f>
        <v>0</v>
      </c>
      <c r="O69" s="186">
        <f>IFERROR(E69/_xlfn.XLOOKUP($M69,'00_SKU_Master'!$B$2:$B$379,'00_SKU_Master'!$M$2:$M$379,0),"0")</f>
        <v>0</v>
      </c>
      <c r="P69" s="186">
        <f>IFERROR(F69/_xlfn.XLOOKUP($M69,'00_SKU_Master'!$B$2:$B$379,'00_SKU_Master'!$M$2:$M$379,0),"0")</f>
        <v>0</v>
      </c>
      <c r="Q69" s="186">
        <f>IFERROR(G69/_xlfn.XLOOKUP($M69,'00_SKU_Master'!$B$2:$B$379,'00_SKU_Master'!$M$2:$M$379,0),"0")</f>
        <v>0</v>
      </c>
      <c r="R69" s="186">
        <f>IFERROR(H69/_xlfn.XLOOKUP($M69,'00_SKU_Master'!$B$2:$B$379,'00_SKU_Master'!$M$2:$M$379,0),"0")</f>
        <v>0</v>
      </c>
      <c r="S69" s="186">
        <f>IFERROR(I69/_xlfn.XLOOKUP($M69,'00_SKU_Master'!$B$2:$B$379,'00_SKU_Master'!$M$2:$M$379,0),"0")</f>
        <v>0</v>
      </c>
      <c r="T69" s="186">
        <f>IFERROR(J69/_xlfn.XLOOKUP($M69,'00_SKU_Master'!$B$2:$B$379,'00_SKU_Master'!$M$2:$M$379,0),"0")</f>
        <v>0</v>
      </c>
      <c r="U69" s="186">
        <f t="shared" si="7"/>
        <v>0</v>
      </c>
      <c r="V69" s="186" t="str">
        <f>_xlfn.XLOOKUP(M69,'00_SKU_Master'!$B$2:$B$379,'00_SKU_Master'!$D$2:$D$379)</f>
        <v>FB</v>
      </c>
      <c r="W69" s="1"/>
      <c r="X69" s="2">
        <f>'05_Daily_Orders'!C70</f>
        <v>2124</v>
      </c>
      <c r="Y69" s="289"/>
      <c r="Z69" s="289">
        <v>0</v>
      </c>
      <c r="AA69" s="289">
        <v>0</v>
      </c>
      <c r="AB69" s="289">
        <v>0</v>
      </c>
      <c r="AC69" s="289">
        <v>0</v>
      </c>
      <c r="AD69" s="289">
        <v>0</v>
      </c>
      <c r="AE69" s="289">
        <v>0</v>
      </c>
      <c r="AF69" s="7">
        <f t="shared" si="8"/>
        <v>0</v>
      </c>
      <c r="AQ69" s="70">
        <v>0</v>
      </c>
      <c r="AR69" s="70">
        <v>0</v>
      </c>
      <c r="AS69" s="3">
        <f t="shared" si="9"/>
        <v>0</v>
      </c>
    </row>
    <row r="70" spans="1:45" x14ac:dyDescent="0.35">
      <c r="A70" s="181">
        <f>_xlfn.XLOOKUP(X70,'00_SKU_Master'!$B$2:$B$379,'00_SKU_Master'!$C$2:$C$379)</f>
        <v>61082</v>
      </c>
      <c r="B70" s="181" t="str">
        <f>_xlfn.XLOOKUP(X70,tblSKU[SKU],tblSKU[Product_Group])</f>
        <v>Thigh</v>
      </c>
      <c r="C70" s="181" t="str">
        <f>_xlfn.XLOOKUP(X70,tblSKU[SKU],tblSKU[Tray_Type])</f>
        <v>LT 14D</v>
      </c>
      <c r="D70" s="182">
        <f>_xlfn.IFNA(_xlfn.XLOOKUP(X70,'00_SKU_Master'!$B$2:$B$379,'00_SKU_Master'!$F$2:$F$379,0)*Y70,"")</f>
        <v>0</v>
      </c>
      <c r="E70" s="182">
        <f>_xlfn.IFNA(_xlfn.XLOOKUP(X70,'00_SKU_Master'!$B$2:$B$379,'00_SKU_Master'!$F$2:$F$379,0)*Z70,"")</f>
        <v>0</v>
      </c>
      <c r="F70" s="182">
        <f>_xlfn.IFNA(_xlfn.XLOOKUP(X70,'00_SKU_Master'!$B$2:$B$379,'00_SKU_Master'!$F$2:$F$379,0)*AA70,"")</f>
        <v>0</v>
      </c>
      <c r="G70" s="182">
        <f>_xlfn.IFNA(_xlfn.XLOOKUP(X70,'00_SKU_Master'!$B$2:$B$379,'00_SKU_Master'!$F$2:$F$379,0)*AB70,"")</f>
        <v>0</v>
      </c>
      <c r="H70" s="182">
        <f>_xlfn.IFNA(_xlfn.XLOOKUP(X70,'00_SKU_Master'!$B$2:$B$379,'00_SKU_Master'!$F$2:$F$379,0)*AC70,"")</f>
        <v>0</v>
      </c>
      <c r="I70" s="182">
        <f>_xlfn.IFNA(_xlfn.XLOOKUP(X70,'00_SKU_Master'!$B$2:$B$379,'00_SKU_Master'!$F$2:$F$379,0)*AD70,"")</f>
        <v>0</v>
      </c>
      <c r="J70" s="182">
        <f>_xlfn.IFNA(_xlfn.XLOOKUP(X70,'00_SKU_Master'!$B$2:$B$379,'00_SKU_Master'!$F$2:$F$379,0)*AE70,"")</f>
        <v>0</v>
      </c>
      <c r="K70" s="183">
        <f t="shared" si="5"/>
        <v>0</v>
      </c>
      <c r="L70" s="184" t="str">
        <f>_xlfn.XLOOKUP(X70,'00_SKU_Master'!$B$2:$B$379,'00_SKU_Master'!$K$2:$K$379)</f>
        <v>Fast</v>
      </c>
      <c r="M70" s="185">
        <f t="shared" si="6"/>
        <v>2125</v>
      </c>
      <c r="N70" s="186">
        <f>IFERROR(D70/_xlfn.XLOOKUP($M70,'00_SKU_Master'!$B$2:$B$379,'00_SKU_Master'!$M$2:$M$379,0),"0")</f>
        <v>0</v>
      </c>
      <c r="O70" s="186">
        <f>IFERROR(E70/_xlfn.XLOOKUP($M70,'00_SKU_Master'!$B$2:$B$379,'00_SKU_Master'!$M$2:$M$379,0),"0")</f>
        <v>0</v>
      </c>
      <c r="P70" s="186">
        <f>IFERROR(F70/_xlfn.XLOOKUP($M70,'00_SKU_Master'!$B$2:$B$379,'00_SKU_Master'!$M$2:$M$379,0),"0")</f>
        <v>0</v>
      </c>
      <c r="Q70" s="186">
        <f>IFERROR(G70/_xlfn.XLOOKUP($M70,'00_SKU_Master'!$B$2:$B$379,'00_SKU_Master'!$M$2:$M$379,0),"0")</f>
        <v>0</v>
      </c>
      <c r="R70" s="186">
        <f>IFERROR(H70/_xlfn.XLOOKUP($M70,'00_SKU_Master'!$B$2:$B$379,'00_SKU_Master'!$M$2:$M$379,0),"0")</f>
        <v>0</v>
      </c>
      <c r="S70" s="186">
        <f>IFERROR(I70/_xlfn.XLOOKUP($M70,'00_SKU_Master'!$B$2:$B$379,'00_SKU_Master'!$M$2:$M$379,0),"0")</f>
        <v>0</v>
      </c>
      <c r="T70" s="186">
        <f>IFERROR(J70/_xlfn.XLOOKUP($M70,'00_SKU_Master'!$B$2:$B$379,'00_SKU_Master'!$M$2:$M$379,0),"0")</f>
        <v>0</v>
      </c>
      <c r="U70" s="186">
        <f t="shared" si="7"/>
        <v>0</v>
      </c>
      <c r="V70" s="186" t="str">
        <f>_xlfn.XLOOKUP(M70,'00_SKU_Master'!$B$2:$B$379,'00_SKU_Master'!$D$2:$D$379)</f>
        <v>FB</v>
      </c>
      <c r="W70" s="1"/>
      <c r="X70" s="2">
        <f>'05_Daily_Orders'!C71</f>
        <v>2125</v>
      </c>
      <c r="Y70" s="289"/>
      <c r="Z70" s="289">
        <v>0</v>
      </c>
      <c r="AA70" s="289">
        <v>0</v>
      </c>
      <c r="AB70" s="289">
        <v>0</v>
      </c>
      <c r="AC70" s="289">
        <v>0</v>
      </c>
      <c r="AD70" s="289">
        <v>0</v>
      </c>
      <c r="AE70" s="289">
        <v>0</v>
      </c>
      <c r="AF70" s="7">
        <f t="shared" si="8"/>
        <v>0</v>
      </c>
      <c r="AQ70" s="70">
        <v>0</v>
      </c>
      <c r="AR70" s="70">
        <v>0</v>
      </c>
      <c r="AS70" s="3">
        <f t="shared" si="9"/>
        <v>0</v>
      </c>
    </row>
    <row r="71" spans="1:45" x14ac:dyDescent="0.35">
      <c r="A71" s="181" t="str">
        <f>_xlfn.XLOOKUP(X71,'00_SKU_Master'!$B$2:$B$379,'00_SKU_Master'!$C$2:$C$379)</f>
        <v>61050#2</v>
      </c>
      <c r="B71" s="181" t="str">
        <f>_xlfn.XLOOKUP(X71,tblSKU[SKU],tblSKU[Product_Group])</f>
        <v>BSB</v>
      </c>
      <c r="C71" s="181" t="str">
        <f>_xlfn.XLOOKUP(X71,tblSKU[SKU],tblSKU[Tray_Type])</f>
        <v>LT 8XP</v>
      </c>
      <c r="D71" s="182">
        <f>_xlfn.IFNA(_xlfn.XLOOKUP(X71,'00_SKU_Master'!$B$2:$B$379,'00_SKU_Master'!$F$2:$F$379,0)*Y71,"")</f>
        <v>0</v>
      </c>
      <c r="E71" s="182">
        <f>_xlfn.IFNA(_xlfn.XLOOKUP(X71,'00_SKU_Master'!$B$2:$B$379,'00_SKU_Master'!$F$2:$F$379,0)*Z71,"")</f>
        <v>0</v>
      </c>
      <c r="F71" s="182">
        <f>_xlfn.IFNA(_xlfn.XLOOKUP(X71,'00_SKU_Master'!$B$2:$B$379,'00_SKU_Master'!$F$2:$F$379,0)*AA71,"")</f>
        <v>0</v>
      </c>
      <c r="G71" s="182">
        <f>_xlfn.IFNA(_xlfn.XLOOKUP(X71,'00_SKU_Master'!$B$2:$B$379,'00_SKU_Master'!$F$2:$F$379,0)*AB71,"")</f>
        <v>0</v>
      </c>
      <c r="H71" s="182">
        <f>_xlfn.IFNA(_xlfn.XLOOKUP(X71,'00_SKU_Master'!$B$2:$B$379,'00_SKU_Master'!$F$2:$F$379,0)*AC71,"")</f>
        <v>0</v>
      </c>
      <c r="I71" s="182">
        <f>_xlfn.IFNA(_xlfn.XLOOKUP(X71,'00_SKU_Master'!$B$2:$B$379,'00_SKU_Master'!$F$2:$F$379,0)*AD71,"")</f>
        <v>0</v>
      </c>
      <c r="J71" s="182">
        <f>_xlfn.IFNA(_xlfn.XLOOKUP(X71,'00_SKU_Master'!$B$2:$B$379,'00_SKU_Master'!$F$2:$F$379,0)*AE71,"")</f>
        <v>0</v>
      </c>
      <c r="K71" s="183">
        <f t="shared" si="5"/>
        <v>0</v>
      </c>
      <c r="L71" s="184" t="str">
        <f>_xlfn.XLOOKUP(X71,'00_SKU_Master'!$B$2:$B$379,'00_SKU_Master'!$K$2:$K$379)</f>
        <v>Fast</v>
      </c>
      <c r="M71" s="185">
        <f t="shared" si="6"/>
        <v>2237</v>
      </c>
      <c r="N71" s="186">
        <f>IFERROR(D71/_xlfn.XLOOKUP($M71,'00_SKU_Master'!$B$2:$B$379,'00_SKU_Master'!$M$2:$M$379,0),"0")</f>
        <v>0</v>
      </c>
      <c r="O71" s="186">
        <f>IFERROR(E71/_xlfn.XLOOKUP($M71,'00_SKU_Master'!$B$2:$B$379,'00_SKU_Master'!$M$2:$M$379,0),"0")</f>
        <v>0</v>
      </c>
      <c r="P71" s="186">
        <f>IFERROR(F71/_xlfn.XLOOKUP($M71,'00_SKU_Master'!$B$2:$B$379,'00_SKU_Master'!$M$2:$M$379,0),"0")</f>
        <v>0</v>
      </c>
      <c r="Q71" s="186">
        <f>IFERROR(G71/_xlfn.XLOOKUP($M71,'00_SKU_Master'!$B$2:$B$379,'00_SKU_Master'!$M$2:$M$379,0),"0")</f>
        <v>0</v>
      </c>
      <c r="R71" s="186">
        <f>IFERROR(H71/_xlfn.XLOOKUP($M71,'00_SKU_Master'!$B$2:$B$379,'00_SKU_Master'!$M$2:$M$379,0),"0")</f>
        <v>0</v>
      </c>
      <c r="S71" s="186">
        <f>IFERROR(I71/_xlfn.XLOOKUP($M71,'00_SKU_Master'!$B$2:$B$379,'00_SKU_Master'!$M$2:$M$379,0),"0")</f>
        <v>0</v>
      </c>
      <c r="T71" s="186">
        <f>IFERROR(J71/_xlfn.XLOOKUP($M71,'00_SKU_Master'!$B$2:$B$379,'00_SKU_Master'!$M$2:$M$379,0),"0")</f>
        <v>0</v>
      </c>
      <c r="U71" s="186">
        <f t="shared" si="7"/>
        <v>0</v>
      </c>
      <c r="V71" s="186" t="str">
        <f>_xlfn.XLOOKUP(M71,'00_SKU_Master'!$B$2:$B$379,'00_SKU_Master'!$D$2:$D$379)</f>
        <v>FB</v>
      </c>
      <c r="W71" s="1"/>
      <c r="X71" s="2">
        <f>'05_Daily_Orders'!C72</f>
        <v>2237</v>
      </c>
      <c r="Y71" s="289"/>
      <c r="Z71" s="289">
        <v>0</v>
      </c>
      <c r="AA71" s="289">
        <v>0</v>
      </c>
      <c r="AB71" s="289">
        <v>0</v>
      </c>
      <c r="AC71" s="289">
        <v>0</v>
      </c>
      <c r="AD71" s="289">
        <v>0</v>
      </c>
      <c r="AE71" s="289">
        <v>0</v>
      </c>
      <c r="AF71" s="7">
        <f t="shared" si="8"/>
        <v>0</v>
      </c>
      <c r="AQ71" s="70">
        <v>0</v>
      </c>
      <c r="AR71" s="70">
        <v>0</v>
      </c>
      <c r="AS71" s="3">
        <f t="shared" si="9"/>
        <v>0</v>
      </c>
    </row>
    <row r="72" spans="1:45" x14ac:dyDescent="0.35">
      <c r="A72" s="181" t="str">
        <f>_xlfn.XLOOKUP(X72,'00_SKU_Master'!$B$2:$B$379,'00_SKU_Master'!$C$2:$C$379)</f>
        <v>61086F</v>
      </c>
      <c r="B72" s="181" t="str">
        <f>_xlfn.XLOOKUP(X72,tblSKU[SKU],tblSKU[Product_Group])</f>
        <v>ThighMeat</v>
      </c>
      <c r="C72" s="181" t="str">
        <f>_xlfn.XLOOKUP(X72,tblSKU[SKU],tblSKU[Tray_Type])</f>
        <v>LT 6D</v>
      </c>
      <c r="D72" s="182">
        <f>_xlfn.IFNA(_xlfn.XLOOKUP(X72,'00_SKU_Master'!$B$2:$B$379,'00_SKU_Master'!$F$2:$F$379,0)*Y72,"")</f>
        <v>0</v>
      </c>
      <c r="E72" s="182">
        <f>_xlfn.IFNA(_xlfn.XLOOKUP(X72,'00_SKU_Master'!$B$2:$B$379,'00_SKU_Master'!$F$2:$F$379,0)*Z72,"")</f>
        <v>0</v>
      </c>
      <c r="F72" s="182">
        <f>_xlfn.IFNA(_xlfn.XLOOKUP(X72,'00_SKU_Master'!$B$2:$B$379,'00_SKU_Master'!$F$2:$F$379,0)*AA72,"")</f>
        <v>222.1885266903912</v>
      </c>
      <c r="G72" s="182">
        <f>_xlfn.IFNA(_xlfn.XLOOKUP(X72,'00_SKU_Master'!$B$2:$B$379,'00_SKU_Master'!$F$2:$F$379,0)*AB72,"")</f>
        <v>305.50922419928787</v>
      </c>
      <c r="H72" s="182">
        <f>_xlfn.IFNA(_xlfn.XLOOKUP(X72,'00_SKU_Master'!$B$2:$B$379,'00_SKU_Master'!$F$2:$F$379,0)*AC72,"")</f>
        <v>416.60348754448347</v>
      </c>
      <c r="I72" s="182">
        <f>_xlfn.IFNA(_xlfn.XLOOKUP(X72,'00_SKU_Master'!$B$2:$B$379,'00_SKU_Master'!$F$2:$F$379,0)*AD72,"")</f>
        <v>0</v>
      </c>
      <c r="J72" s="182">
        <f>_xlfn.IFNA(_xlfn.XLOOKUP(X72,'00_SKU_Master'!$B$2:$B$379,'00_SKU_Master'!$F$2:$F$379,0)*AE72,"")</f>
        <v>361.05635587188567</v>
      </c>
      <c r="K72" s="183">
        <f t="shared" si="5"/>
        <v>1305.3575943060482</v>
      </c>
      <c r="L72" s="184" t="str">
        <f>_xlfn.XLOOKUP(X72,'00_SKU_Master'!$B$2:$B$379,'00_SKU_Master'!$K$2:$K$379)</f>
        <v>Slow</v>
      </c>
      <c r="M72" s="185">
        <f t="shared" si="6"/>
        <v>2500</v>
      </c>
      <c r="N72" s="186">
        <f>IFERROR(D72/_xlfn.XLOOKUP($M72,'00_SKU_Master'!$B$2:$B$379,'00_SKU_Master'!$M$2:$M$379,0),"0")</f>
        <v>0</v>
      </c>
      <c r="O72" s="186">
        <f>IFERROR(E72/_xlfn.XLOOKUP($M72,'00_SKU_Master'!$B$2:$B$379,'00_SKU_Master'!$M$2:$M$379,0),"0")</f>
        <v>0</v>
      </c>
      <c r="P72" s="186">
        <f>IFERROR(F72/_xlfn.XLOOKUP($M72,'00_SKU_Master'!$B$2:$B$379,'00_SKU_Master'!$M$2:$M$379,0),"0")</f>
        <v>7.1237103780183135</v>
      </c>
      <c r="Q72" s="186">
        <f>IFERROR(G72/_xlfn.XLOOKUP($M72,'00_SKU_Master'!$B$2:$B$379,'00_SKU_Master'!$M$2:$M$379,0),"0")</f>
        <v>9.7951017697751794</v>
      </c>
      <c r="R72" s="186">
        <f>IFERROR(H72/_xlfn.XLOOKUP($M72,'00_SKU_Master'!$B$2:$B$379,'00_SKU_Master'!$M$2:$M$379,0),"0")</f>
        <v>13.356956958784336</v>
      </c>
      <c r="S72" s="186">
        <f>IFERROR(I72/_xlfn.XLOOKUP($M72,'00_SKU_Master'!$B$2:$B$379,'00_SKU_Master'!$M$2:$M$379,0),"0")</f>
        <v>0</v>
      </c>
      <c r="T72" s="186">
        <f>IFERROR(J72/_xlfn.XLOOKUP($M72,'00_SKU_Master'!$B$2:$B$379,'00_SKU_Master'!$M$2:$M$379,0),"0")</f>
        <v>11.576029364279758</v>
      </c>
      <c r="U72" s="186">
        <f t="shared" si="7"/>
        <v>41.851798470857588</v>
      </c>
      <c r="V72" s="186" t="str">
        <f>_xlfn.XLOOKUP(M72,'00_SKU_Master'!$B$2:$B$379,'00_SKU_Master'!$D$2:$D$379)</f>
        <v>FB</v>
      </c>
      <c r="W72" s="1"/>
      <c r="X72" s="2">
        <f>'05_Daily_Orders'!C73</f>
        <v>2500</v>
      </c>
      <c r="Y72" s="289"/>
      <c r="Z72" s="289">
        <v>0</v>
      </c>
      <c r="AA72" s="289">
        <v>40</v>
      </c>
      <c r="AB72" s="289">
        <v>55</v>
      </c>
      <c r="AC72" s="289">
        <v>75</v>
      </c>
      <c r="AD72" s="289">
        <v>0</v>
      </c>
      <c r="AE72" s="289">
        <v>65</v>
      </c>
      <c r="AF72" s="7">
        <f t="shared" si="8"/>
        <v>235</v>
      </c>
      <c r="AQ72" s="70">
        <v>0</v>
      </c>
      <c r="AR72" s="70">
        <v>0</v>
      </c>
      <c r="AS72" s="3">
        <f t="shared" si="9"/>
        <v>0</v>
      </c>
    </row>
    <row r="73" spans="1:45" x14ac:dyDescent="0.35">
      <c r="A73" s="181" t="str">
        <f>_xlfn.XLOOKUP(X73,'00_SKU_Master'!$B$2:$B$379,'00_SKU_Master'!$C$2:$C$379)</f>
        <v>61086F</v>
      </c>
      <c r="B73" s="181" t="str">
        <f>_xlfn.XLOOKUP(X73,tblSKU[SKU],tblSKU[Product_Group])</f>
        <v>ThighMeat</v>
      </c>
      <c r="C73" s="181" t="str">
        <f>_xlfn.XLOOKUP(X73,tblSKU[SKU],tblSKU[Tray_Type])</f>
        <v>LT 6D</v>
      </c>
      <c r="D73" s="182">
        <f>_xlfn.IFNA(_xlfn.XLOOKUP(X73,'00_SKU_Master'!$B$2:$B$379,'00_SKU_Master'!$F$2:$F$379,0)*Y73,"")</f>
        <v>0</v>
      </c>
      <c r="E73" s="182">
        <f>_xlfn.IFNA(_xlfn.XLOOKUP(X73,'00_SKU_Master'!$B$2:$B$379,'00_SKU_Master'!$F$2:$F$379,0)*Z73,"")</f>
        <v>0</v>
      </c>
      <c r="F73" s="182">
        <f>_xlfn.IFNA(_xlfn.XLOOKUP(X73,'00_SKU_Master'!$B$2:$B$379,'00_SKU_Master'!$F$2:$F$379,0)*AA73,"")</f>
        <v>0</v>
      </c>
      <c r="G73" s="182">
        <f>_xlfn.IFNA(_xlfn.XLOOKUP(X73,'00_SKU_Master'!$B$2:$B$379,'00_SKU_Master'!$F$2:$F$379,0)*AB73,"")</f>
        <v>0</v>
      </c>
      <c r="H73" s="182">
        <f>_xlfn.IFNA(_xlfn.XLOOKUP(X73,'00_SKU_Master'!$B$2:$B$379,'00_SKU_Master'!$F$2:$F$379,0)*AC73,"")</f>
        <v>0</v>
      </c>
      <c r="I73" s="182">
        <f>_xlfn.IFNA(_xlfn.XLOOKUP(X73,'00_SKU_Master'!$B$2:$B$379,'00_SKU_Master'!$F$2:$F$379,0)*AD73,"")</f>
        <v>0</v>
      </c>
      <c r="J73" s="182">
        <f>_xlfn.IFNA(_xlfn.XLOOKUP(X73,'00_SKU_Master'!$B$2:$B$379,'00_SKU_Master'!$F$2:$F$379,0)*AE73,"")</f>
        <v>0</v>
      </c>
      <c r="K73" s="183">
        <f t="shared" si="5"/>
        <v>0</v>
      </c>
      <c r="L73" s="184" t="str">
        <f>_xlfn.XLOOKUP(X73,'00_SKU_Master'!$B$2:$B$379,'00_SKU_Master'!$K$2:$K$379)</f>
        <v>Slow</v>
      </c>
      <c r="M73" s="185">
        <f t="shared" si="6"/>
        <v>2501</v>
      </c>
      <c r="N73" s="186">
        <f>IFERROR(D73/_xlfn.XLOOKUP($M73,'00_SKU_Master'!$B$2:$B$379,'00_SKU_Master'!$M$2:$M$379,0),"0")</f>
        <v>0</v>
      </c>
      <c r="O73" s="186">
        <f>IFERROR(E73/_xlfn.XLOOKUP($M73,'00_SKU_Master'!$B$2:$B$379,'00_SKU_Master'!$M$2:$M$379,0),"0")</f>
        <v>0</v>
      </c>
      <c r="P73" s="186">
        <f>IFERROR(F73/_xlfn.XLOOKUP($M73,'00_SKU_Master'!$B$2:$B$379,'00_SKU_Master'!$M$2:$M$379,0),"0")</f>
        <v>0</v>
      </c>
      <c r="Q73" s="186">
        <f>IFERROR(G73/_xlfn.XLOOKUP($M73,'00_SKU_Master'!$B$2:$B$379,'00_SKU_Master'!$M$2:$M$379,0),"0")</f>
        <v>0</v>
      </c>
      <c r="R73" s="186">
        <f>IFERROR(H73/_xlfn.XLOOKUP($M73,'00_SKU_Master'!$B$2:$B$379,'00_SKU_Master'!$M$2:$M$379,0),"0")</f>
        <v>0</v>
      </c>
      <c r="S73" s="186">
        <f>IFERROR(I73/_xlfn.XLOOKUP($M73,'00_SKU_Master'!$B$2:$B$379,'00_SKU_Master'!$M$2:$M$379,0),"0")</f>
        <v>0</v>
      </c>
      <c r="T73" s="186">
        <f>IFERROR(J73/_xlfn.XLOOKUP($M73,'00_SKU_Master'!$B$2:$B$379,'00_SKU_Master'!$M$2:$M$379,0),"0")</f>
        <v>0</v>
      </c>
      <c r="U73" s="186">
        <f t="shared" si="7"/>
        <v>0</v>
      </c>
      <c r="V73" s="186" t="str">
        <f>_xlfn.XLOOKUP(M73,'00_SKU_Master'!$B$2:$B$379,'00_SKU_Master'!$D$2:$D$379)</f>
        <v>FB</v>
      </c>
      <c r="W73" s="1"/>
      <c r="X73" s="2">
        <f>'05_Daily_Orders'!C74</f>
        <v>2501</v>
      </c>
      <c r="Y73" s="289"/>
      <c r="Z73" s="289">
        <v>0</v>
      </c>
      <c r="AA73" s="289">
        <v>0</v>
      </c>
      <c r="AB73" s="289">
        <v>0</v>
      </c>
      <c r="AC73" s="289">
        <v>0</v>
      </c>
      <c r="AD73" s="289">
        <v>0</v>
      </c>
      <c r="AE73" s="289">
        <v>0</v>
      </c>
      <c r="AF73" s="7">
        <f t="shared" si="8"/>
        <v>0</v>
      </c>
      <c r="AQ73" s="70">
        <v>0</v>
      </c>
      <c r="AR73" s="70">
        <v>0</v>
      </c>
      <c r="AS73" s="3">
        <f t="shared" si="9"/>
        <v>0</v>
      </c>
    </row>
    <row r="74" spans="1:45" x14ac:dyDescent="0.35">
      <c r="A74" s="181" t="str">
        <f>_xlfn.XLOOKUP(X74,'00_SKU_Master'!$B$2:$B$379,'00_SKU_Master'!$C$2:$C$379)</f>
        <v>61077F</v>
      </c>
      <c r="B74" s="181" t="str">
        <f>_xlfn.XLOOKUP(X74,tblSKU[SKU],tblSKU[Product_Group])</f>
        <v>Thigh</v>
      </c>
      <c r="C74" s="181" t="str">
        <f>_xlfn.XLOOKUP(X74,tblSKU[SKU],tblSKU[Tray_Type])</f>
        <v>LT 6D</v>
      </c>
      <c r="D74" s="182">
        <f>_xlfn.IFNA(_xlfn.XLOOKUP(X74,'00_SKU_Master'!$B$2:$B$379,'00_SKU_Master'!$F$2:$F$379,0)*Y74,"")</f>
        <v>0</v>
      </c>
      <c r="E74" s="182">
        <f>_xlfn.IFNA(_xlfn.XLOOKUP(X74,'00_SKU_Master'!$B$2:$B$379,'00_SKU_Master'!$F$2:$F$379,0)*Z74,"")</f>
        <v>0</v>
      </c>
      <c r="F74" s="182">
        <f>_xlfn.IFNA(_xlfn.XLOOKUP(X74,'00_SKU_Master'!$B$2:$B$379,'00_SKU_Master'!$F$2:$F$379,0)*AA74,"")</f>
        <v>266.4223926096995</v>
      </c>
      <c r="G74" s="182">
        <f>_xlfn.IFNA(_xlfn.XLOOKUP(X74,'00_SKU_Master'!$B$2:$B$379,'00_SKU_Master'!$F$2:$F$379,0)*AB74,"")</f>
        <v>380.60341801385641</v>
      </c>
      <c r="H74" s="182">
        <f>_xlfn.IFNA(_xlfn.XLOOKUP(X74,'00_SKU_Master'!$B$2:$B$379,'00_SKU_Master'!$F$2:$F$379,0)*AC74,"")</f>
        <v>507.4712240184752</v>
      </c>
      <c r="I74" s="182">
        <f>_xlfn.IFNA(_xlfn.XLOOKUP(X74,'00_SKU_Master'!$B$2:$B$379,'00_SKU_Master'!$F$2:$F$379,0)*AD74,"")</f>
        <v>0</v>
      </c>
      <c r="J74" s="182">
        <f>_xlfn.IFNA(_xlfn.XLOOKUP(X74,'00_SKU_Master'!$B$2:$B$379,'00_SKU_Master'!$F$2:$F$379,0)*AE74,"")</f>
        <v>488.44105311778236</v>
      </c>
      <c r="K74" s="183">
        <f t="shared" si="5"/>
        <v>1642.9380877598135</v>
      </c>
      <c r="L74" s="184" t="str">
        <f>_xlfn.XLOOKUP(X74,'00_SKU_Master'!$B$2:$B$379,'00_SKU_Master'!$K$2:$K$379)</f>
        <v>Fast</v>
      </c>
      <c r="M74" s="185">
        <f t="shared" si="6"/>
        <v>2502</v>
      </c>
      <c r="N74" s="186">
        <f>IFERROR(D74/_xlfn.XLOOKUP($M74,'00_SKU_Master'!$B$2:$B$379,'00_SKU_Master'!$M$2:$M$379,0),"0")</f>
        <v>0</v>
      </c>
      <c r="O74" s="186">
        <f>IFERROR(E74/_xlfn.XLOOKUP($M74,'00_SKU_Master'!$B$2:$B$379,'00_SKU_Master'!$M$2:$M$379,0),"0")</f>
        <v>0</v>
      </c>
      <c r="P74" s="186">
        <f>IFERROR(F74/_xlfn.XLOOKUP($M74,'00_SKU_Master'!$B$2:$B$379,'00_SKU_Master'!$M$2:$M$379,0),"0")</f>
        <v>5.2404089813080148</v>
      </c>
      <c r="Q74" s="186">
        <f>IFERROR(G74/_xlfn.XLOOKUP($M74,'00_SKU_Master'!$B$2:$B$379,'00_SKU_Master'!$M$2:$M$379,0),"0")</f>
        <v>7.4862985447257353</v>
      </c>
      <c r="R74" s="186">
        <f>IFERROR(H74/_xlfn.XLOOKUP($M74,'00_SKU_Master'!$B$2:$B$379,'00_SKU_Master'!$M$2:$M$379,0),"0")</f>
        <v>9.9817313929676477</v>
      </c>
      <c r="S74" s="186">
        <f>IFERROR(I74/_xlfn.XLOOKUP($M74,'00_SKU_Master'!$B$2:$B$379,'00_SKU_Master'!$M$2:$M$379,0),"0")</f>
        <v>0</v>
      </c>
      <c r="T74" s="186">
        <f>IFERROR(J74/_xlfn.XLOOKUP($M74,'00_SKU_Master'!$B$2:$B$379,'00_SKU_Master'!$M$2:$M$379,0),"0")</f>
        <v>9.6074164657313599</v>
      </c>
      <c r="U74" s="186">
        <f t="shared" si="7"/>
        <v>32.315855384732757</v>
      </c>
      <c r="V74" s="186" t="str">
        <f>_xlfn.XLOOKUP(M74,'00_SKU_Master'!$B$2:$B$379,'00_SKU_Master'!$D$2:$D$379)</f>
        <v>FB</v>
      </c>
      <c r="W74" s="1"/>
      <c r="X74" s="2">
        <f>'05_Daily_Orders'!C75</f>
        <v>2502</v>
      </c>
      <c r="Y74" s="289"/>
      <c r="Z74" s="289">
        <v>0</v>
      </c>
      <c r="AA74" s="289">
        <v>42</v>
      </c>
      <c r="AB74" s="289">
        <v>60</v>
      </c>
      <c r="AC74" s="289">
        <v>80</v>
      </c>
      <c r="AD74" s="289">
        <v>0</v>
      </c>
      <c r="AE74" s="289">
        <v>77</v>
      </c>
      <c r="AF74" s="7">
        <f t="shared" si="8"/>
        <v>259</v>
      </c>
      <c r="AQ74" s="70">
        <v>0</v>
      </c>
      <c r="AR74" s="70">
        <v>0</v>
      </c>
      <c r="AS74" s="3">
        <f t="shared" si="9"/>
        <v>0</v>
      </c>
    </row>
    <row r="75" spans="1:45" x14ac:dyDescent="0.35">
      <c r="A75" s="181" t="str">
        <f>_xlfn.XLOOKUP(X75,'00_SKU_Master'!$B$2:$B$379,'00_SKU_Master'!$C$2:$C$379)</f>
        <v>61077F</v>
      </c>
      <c r="B75" s="181" t="str">
        <f>_xlfn.XLOOKUP(X75,tblSKU[SKU],tblSKU[Product_Group])</f>
        <v>Thigh</v>
      </c>
      <c r="C75" s="181" t="str">
        <f>_xlfn.XLOOKUP(X75,tblSKU[SKU],tblSKU[Tray_Type])</f>
        <v>LT 6D</v>
      </c>
      <c r="D75" s="182">
        <f>_xlfn.IFNA(_xlfn.XLOOKUP(X75,'00_SKU_Master'!$B$2:$B$379,'00_SKU_Master'!$F$2:$F$379,0)*Y75,"")</f>
        <v>0</v>
      </c>
      <c r="E75" s="182">
        <f>_xlfn.IFNA(_xlfn.XLOOKUP(X75,'00_SKU_Master'!$B$2:$B$379,'00_SKU_Master'!$F$2:$F$379,0)*Z75,"")</f>
        <v>0</v>
      </c>
      <c r="F75" s="182">
        <f>_xlfn.IFNA(_xlfn.XLOOKUP(X75,'00_SKU_Master'!$B$2:$B$379,'00_SKU_Master'!$F$2:$F$379,0)*AA75,"")</f>
        <v>0</v>
      </c>
      <c r="G75" s="182">
        <f>_xlfn.IFNA(_xlfn.XLOOKUP(X75,'00_SKU_Master'!$B$2:$B$379,'00_SKU_Master'!$F$2:$F$379,0)*AB75,"")</f>
        <v>0</v>
      </c>
      <c r="H75" s="182">
        <f>_xlfn.IFNA(_xlfn.XLOOKUP(X75,'00_SKU_Master'!$B$2:$B$379,'00_SKU_Master'!$F$2:$F$379,0)*AC75,"")</f>
        <v>0</v>
      </c>
      <c r="I75" s="182">
        <f>_xlfn.IFNA(_xlfn.XLOOKUP(X75,'00_SKU_Master'!$B$2:$B$379,'00_SKU_Master'!$F$2:$F$379,0)*AD75,"")</f>
        <v>0</v>
      </c>
      <c r="J75" s="182">
        <f>_xlfn.IFNA(_xlfn.XLOOKUP(X75,'00_SKU_Master'!$B$2:$B$379,'00_SKU_Master'!$F$2:$F$379,0)*AE75,"")</f>
        <v>0</v>
      </c>
      <c r="K75" s="183">
        <f t="shared" si="5"/>
        <v>0</v>
      </c>
      <c r="L75" s="184" t="str">
        <f>_xlfn.XLOOKUP(X75,'00_SKU_Master'!$B$2:$B$379,'00_SKU_Master'!$K$2:$K$379)</f>
        <v>Fast</v>
      </c>
      <c r="M75" s="185">
        <f t="shared" si="6"/>
        <v>2503</v>
      </c>
      <c r="N75" s="186">
        <f>IFERROR(D75/_xlfn.XLOOKUP($M75,'00_SKU_Master'!$B$2:$B$379,'00_SKU_Master'!$M$2:$M$379,0),"0")</f>
        <v>0</v>
      </c>
      <c r="O75" s="186">
        <f>IFERROR(E75/_xlfn.XLOOKUP($M75,'00_SKU_Master'!$B$2:$B$379,'00_SKU_Master'!$M$2:$M$379,0),"0")</f>
        <v>0</v>
      </c>
      <c r="P75" s="186">
        <f>IFERROR(F75/_xlfn.XLOOKUP($M75,'00_SKU_Master'!$B$2:$B$379,'00_SKU_Master'!$M$2:$M$379,0),"0")</f>
        <v>0</v>
      </c>
      <c r="Q75" s="186">
        <f>IFERROR(G75/_xlfn.XLOOKUP($M75,'00_SKU_Master'!$B$2:$B$379,'00_SKU_Master'!$M$2:$M$379,0),"0")</f>
        <v>0</v>
      </c>
      <c r="R75" s="186">
        <f>IFERROR(H75/_xlfn.XLOOKUP($M75,'00_SKU_Master'!$B$2:$B$379,'00_SKU_Master'!$M$2:$M$379,0),"0")</f>
        <v>0</v>
      </c>
      <c r="S75" s="186">
        <f>IFERROR(I75/_xlfn.XLOOKUP($M75,'00_SKU_Master'!$B$2:$B$379,'00_SKU_Master'!$M$2:$M$379,0),"0")</f>
        <v>0</v>
      </c>
      <c r="T75" s="186">
        <f>IFERROR(J75/_xlfn.XLOOKUP($M75,'00_SKU_Master'!$B$2:$B$379,'00_SKU_Master'!$M$2:$M$379,0),"0")</f>
        <v>0</v>
      </c>
      <c r="U75" s="186">
        <f t="shared" si="7"/>
        <v>0</v>
      </c>
      <c r="V75" s="186" t="str">
        <f>_xlfn.XLOOKUP(M75,'00_SKU_Master'!$B$2:$B$379,'00_SKU_Master'!$D$2:$D$379)</f>
        <v>FB</v>
      </c>
      <c r="W75" s="1"/>
      <c r="X75" s="2">
        <f>'05_Daily_Orders'!C76</f>
        <v>2503</v>
      </c>
      <c r="Y75" s="289"/>
      <c r="Z75" s="289">
        <v>0</v>
      </c>
      <c r="AA75" s="289">
        <v>0</v>
      </c>
      <c r="AB75" s="289">
        <v>0</v>
      </c>
      <c r="AC75" s="289">
        <v>0</v>
      </c>
      <c r="AD75" s="289">
        <v>0</v>
      </c>
      <c r="AE75" s="289">
        <v>0</v>
      </c>
      <c r="AF75" s="7">
        <f t="shared" si="8"/>
        <v>0</v>
      </c>
      <c r="AQ75" s="70">
        <v>0</v>
      </c>
      <c r="AR75" s="70">
        <v>0</v>
      </c>
      <c r="AS75" s="3">
        <f t="shared" si="9"/>
        <v>0</v>
      </c>
    </row>
    <row r="76" spans="1:45" x14ac:dyDescent="0.35">
      <c r="A76" s="181" t="str">
        <f>_xlfn.XLOOKUP(X76,'00_SKU_Master'!$B$2:$B$379,'00_SKU_Master'!$C$2:$C$379)</f>
        <v>61072F</v>
      </c>
      <c r="B76" s="181" t="str">
        <f>_xlfn.XLOOKUP(X76,tblSKU[SKU],tblSKU[Product_Group])</f>
        <v>Drum</v>
      </c>
      <c r="C76" s="181" t="str">
        <f>_xlfn.XLOOKUP(X76,tblSKU[SKU],tblSKU[Tray_Type])</f>
        <v>LT 6D</v>
      </c>
      <c r="D76" s="182">
        <f>_xlfn.IFNA(_xlfn.XLOOKUP(X76,'00_SKU_Master'!$B$2:$B$379,'00_SKU_Master'!$F$2:$F$379,0)*Y76,"")</f>
        <v>0</v>
      </c>
      <c r="E76" s="182">
        <f>_xlfn.IFNA(_xlfn.XLOOKUP(X76,'00_SKU_Master'!$B$2:$B$379,'00_SKU_Master'!$F$2:$F$379,0)*Z76,"")</f>
        <v>0</v>
      </c>
      <c r="F76" s="182">
        <f>_xlfn.IFNA(_xlfn.XLOOKUP(X76,'00_SKU_Master'!$B$2:$B$379,'00_SKU_Master'!$F$2:$F$379,0)*AA76,"")</f>
        <v>301.37343260188049</v>
      </c>
      <c r="G76" s="182">
        <f>_xlfn.IFNA(_xlfn.XLOOKUP(X76,'00_SKU_Master'!$B$2:$B$379,'00_SKU_Master'!$F$2:$F$379,0)*AB76,"")</f>
        <v>331.51077586206856</v>
      </c>
      <c r="H76" s="182">
        <f>_xlfn.IFNA(_xlfn.XLOOKUP(X76,'00_SKU_Master'!$B$2:$B$379,'00_SKU_Master'!$F$2:$F$379,0)*AC76,"")</f>
        <v>391.78546238244468</v>
      </c>
      <c r="I76" s="182">
        <f>_xlfn.IFNA(_xlfn.XLOOKUP(X76,'00_SKU_Master'!$B$2:$B$379,'00_SKU_Master'!$F$2:$F$379,0)*AD76,"")</f>
        <v>0</v>
      </c>
      <c r="J76" s="182">
        <f>_xlfn.IFNA(_xlfn.XLOOKUP(X76,'00_SKU_Master'!$B$2:$B$379,'00_SKU_Master'!$F$2:$F$379,0)*AE76,"")</f>
        <v>482.19749216300886</v>
      </c>
      <c r="K76" s="183">
        <f t="shared" si="5"/>
        <v>1506.8671630094027</v>
      </c>
      <c r="L76" s="184" t="str">
        <f>_xlfn.XLOOKUP(X76,'00_SKU_Master'!$B$2:$B$379,'00_SKU_Master'!$K$2:$K$379)</f>
        <v>Fast</v>
      </c>
      <c r="M76" s="185">
        <f t="shared" si="6"/>
        <v>2504</v>
      </c>
      <c r="N76" s="186">
        <f>IFERROR(D76/_xlfn.XLOOKUP($M76,'00_SKU_Master'!$B$2:$B$379,'00_SKU_Master'!$M$2:$M$379,0),"0")</f>
        <v>0</v>
      </c>
      <c r="O76" s="186">
        <f>IFERROR(E76/_xlfn.XLOOKUP($M76,'00_SKU_Master'!$B$2:$B$379,'00_SKU_Master'!$M$2:$M$379,0),"0")</f>
        <v>0</v>
      </c>
      <c r="P76" s="186">
        <f>IFERROR(F76/_xlfn.XLOOKUP($M76,'00_SKU_Master'!$B$2:$B$379,'00_SKU_Master'!$M$2:$M$379,0),"0")</f>
        <v>5.8644372952302097</v>
      </c>
      <c r="Q76" s="186">
        <f>IFERROR(G76/_xlfn.XLOOKUP($M76,'00_SKU_Master'!$B$2:$B$379,'00_SKU_Master'!$M$2:$M$379,0),"0")</f>
        <v>6.4508810247532313</v>
      </c>
      <c r="R76" s="186">
        <f>IFERROR(H76/_xlfn.XLOOKUP($M76,'00_SKU_Master'!$B$2:$B$379,'00_SKU_Master'!$M$2:$M$379,0),"0")</f>
        <v>7.6237684837992736</v>
      </c>
      <c r="S76" s="186">
        <f>IFERROR(I76/_xlfn.XLOOKUP($M76,'00_SKU_Master'!$B$2:$B$379,'00_SKU_Master'!$M$2:$M$379,0),"0")</f>
        <v>0</v>
      </c>
      <c r="T76" s="186">
        <f>IFERROR(J76/_xlfn.XLOOKUP($M76,'00_SKU_Master'!$B$2:$B$379,'00_SKU_Master'!$M$2:$M$379,0),"0")</f>
        <v>9.3830996723683366</v>
      </c>
      <c r="U76" s="186">
        <f t="shared" si="7"/>
        <v>29.322186476151053</v>
      </c>
      <c r="V76" s="186" t="str">
        <f>_xlfn.XLOOKUP(M76,'00_SKU_Master'!$B$2:$B$379,'00_SKU_Master'!$D$2:$D$379)</f>
        <v>FB</v>
      </c>
      <c r="W76" s="1"/>
      <c r="X76" s="2">
        <f>'05_Daily_Orders'!C77</f>
        <v>2504</v>
      </c>
      <c r="Y76" s="289"/>
      <c r="Z76" s="289">
        <v>0</v>
      </c>
      <c r="AA76" s="289">
        <v>50</v>
      </c>
      <c r="AB76" s="289">
        <v>55</v>
      </c>
      <c r="AC76" s="289">
        <v>65</v>
      </c>
      <c r="AD76" s="289">
        <v>0</v>
      </c>
      <c r="AE76" s="289">
        <v>80</v>
      </c>
      <c r="AF76" s="7">
        <f t="shared" si="8"/>
        <v>250</v>
      </c>
      <c r="AQ76" s="70">
        <v>0</v>
      </c>
      <c r="AR76" s="70">
        <v>0</v>
      </c>
      <c r="AS76" s="3">
        <f t="shared" si="9"/>
        <v>0</v>
      </c>
    </row>
    <row r="77" spans="1:45" x14ac:dyDescent="0.35">
      <c r="A77" s="181" t="str">
        <f>_xlfn.XLOOKUP(X77,'00_SKU_Master'!$B$2:$B$379,'00_SKU_Master'!$C$2:$C$379)</f>
        <v>61072F</v>
      </c>
      <c r="B77" s="181" t="str">
        <f>_xlfn.XLOOKUP(X77,tblSKU[SKU],tblSKU[Product_Group])</f>
        <v>Drum</v>
      </c>
      <c r="C77" s="181" t="str">
        <f>_xlfn.XLOOKUP(X77,tblSKU[SKU],tblSKU[Tray_Type])</f>
        <v>LT 6D</v>
      </c>
      <c r="D77" s="182">
        <f>_xlfn.IFNA(_xlfn.XLOOKUP(X77,'00_SKU_Master'!$B$2:$B$379,'00_SKU_Master'!$F$2:$F$379,0)*Y77,"")</f>
        <v>0</v>
      </c>
      <c r="E77" s="182">
        <f>_xlfn.IFNA(_xlfn.XLOOKUP(X77,'00_SKU_Master'!$B$2:$B$379,'00_SKU_Master'!$F$2:$F$379,0)*Z77,"")</f>
        <v>0</v>
      </c>
      <c r="F77" s="182">
        <f>_xlfn.IFNA(_xlfn.XLOOKUP(X77,'00_SKU_Master'!$B$2:$B$379,'00_SKU_Master'!$F$2:$F$379,0)*AA77,"")</f>
        <v>0</v>
      </c>
      <c r="G77" s="182">
        <f>_xlfn.IFNA(_xlfn.XLOOKUP(X77,'00_SKU_Master'!$B$2:$B$379,'00_SKU_Master'!$F$2:$F$379,0)*AB77,"")</f>
        <v>0</v>
      </c>
      <c r="H77" s="182">
        <f>_xlfn.IFNA(_xlfn.XLOOKUP(X77,'00_SKU_Master'!$B$2:$B$379,'00_SKU_Master'!$F$2:$F$379,0)*AC77,"")</f>
        <v>0</v>
      </c>
      <c r="I77" s="182">
        <f>_xlfn.IFNA(_xlfn.XLOOKUP(X77,'00_SKU_Master'!$B$2:$B$379,'00_SKU_Master'!$F$2:$F$379,0)*AD77,"")</f>
        <v>0</v>
      </c>
      <c r="J77" s="182">
        <f>_xlfn.IFNA(_xlfn.XLOOKUP(X77,'00_SKU_Master'!$B$2:$B$379,'00_SKU_Master'!$F$2:$F$379,0)*AE77,"")</f>
        <v>0</v>
      </c>
      <c r="K77" s="183">
        <f t="shared" si="5"/>
        <v>0</v>
      </c>
      <c r="L77" s="184" t="str">
        <f>_xlfn.XLOOKUP(X77,'00_SKU_Master'!$B$2:$B$379,'00_SKU_Master'!$K$2:$K$379)</f>
        <v>Fast</v>
      </c>
      <c r="M77" s="185">
        <f t="shared" si="6"/>
        <v>2505</v>
      </c>
      <c r="N77" s="186">
        <f>IFERROR(D77/_xlfn.XLOOKUP($M77,'00_SKU_Master'!$B$2:$B$379,'00_SKU_Master'!$M$2:$M$379,0),"0")</f>
        <v>0</v>
      </c>
      <c r="O77" s="186">
        <f>IFERROR(E77/_xlfn.XLOOKUP($M77,'00_SKU_Master'!$B$2:$B$379,'00_SKU_Master'!$M$2:$M$379,0),"0")</f>
        <v>0</v>
      </c>
      <c r="P77" s="186">
        <f>IFERROR(F77/_xlfn.XLOOKUP($M77,'00_SKU_Master'!$B$2:$B$379,'00_SKU_Master'!$M$2:$M$379,0),"0")</f>
        <v>0</v>
      </c>
      <c r="Q77" s="186">
        <f>IFERROR(G77/_xlfn.XLOOKUP($M77,'00_SKU_Master'!$B$2:$B$379,'00_SKU_Master'!$M$2:$M$379,0),"0")</f>
        <v>0</v>
      </c>
      <c r="R77" s="186">
        <f>IFERROR(H77/_xlfn.XLOOKUP($M77,'00_SKU_Master'!$B$2:$B$379,'00_SKU_Master'!$M$2:$M$379,0),"0")</f>
        <v>0</v>
      </c>
      <c r="S77" s="186">
        <f>IFERROR(I77/_xlfn.XLOOKUP($M77,'00_SKU_Master'!$B$2:$B$379,'00_SKU_Master'!$M$2:$M$379,0),"0")</f>
        <v>0</v>
      </c>
      <c r="T77" s="186">
        <f>IFERROR(J77/_xlfn.XLOOKUP($M77,'00_SKU_Master'!$B$2:$B$379,'00_SKU_Master'!$M$2:$M$379,0),"0")</f>
        <v>0</v>
      </c>
      <c r="U77" s="186">
        <f t="shared" si="7"/>
        <v>0</v>
      </c>
      <c r="V77" s="186" t="str">
        <f>_xlfn.XLOOKUP(M77,'00_SKU_Master'!$B$2:$B$379,'00_SKU_Master'!$D$2:$D$379)</f>
        <v>FB</v>
      </c>
      <c r="W77" s="1"/>
      <c r="X77" s="2">
        <f>'05_Daily_Orders'!C78</f>
        <v>2505</v>
      </c>
      <c r="Y77" s="289"/>
      <c r="Z77" s="289">
        <v>0</v>
      </c>
      <c r="AA77" s="289">
        <v>0</v>
      </c>
      <c r="AB77" s="289">
        <v>0</v>
      </c>
      <c r="AC77" s="289">
        <v>0</v>
      </c>
      <c r="AD77" s="289">
        <v>0</v>
      </c>
      <c r="AE77" s="289">
        <v>0</v>
      </c>
      <c r="AF77" s="7">
        <f t="shared" si="8"/>
        <v>0</v>
      </c>
      <c r="AQ77" s="70">
        <v>0</v>
      </c>
      <c r="AR77" s="70">
        <v>0</v>
      </c>
      <c r="AS77" s="3">
        <f t="shared" si="9"/>
        <v>0</v>
      </c>
    </row>
    <row r="78" spans="1:45" x14ac:dyDescent="0.35">
      <c r="A78" s="181" t="str">
        <f>_xlfn.XLOOKUP(X78,'00_SKU_Master'!$B$2:$B$379,'00_SKU_Master'!$C$2:$C$379)</f>
        <v>61014F</v>
      </c>
      <c r="B78" s="181" t="str">
        <f>_xlfn.XLOOKUP(X78,tblSKU[SKU],tblSKU[Product_Group])</f>
        <v>SplitWing</v>
      </c>
      <c r="C78" s="181" t="str">
        <f>_xlfn.XLOOKUP(X78,tblSKU[SKU],tblSKU[Tray_Type])</f>
        <v>LT 6D</v>
      </c>
      <c r="D78" s="182">
        <f>_xlfn.IFNA(_xlfn.XLOOKUP(X78,'00_SKU_Master'!$B$2:$B$379,'00_SKU_Master'!$F$2:$F$379,0)*Y78,"")</f>
        <v>0</v>
      </c>
      <c r="E78" s="182">
        <f>_xlfn.IFNA(_xlfn.XLOOKUP(X78,'00_SKU_Master'!$B$2:$B$379,'00_SKU_Master'!$F$2:$F$379,0)*Z78,"")</f>
        <v>0</v>
      </c>
      <c r="F78" s="182">
        <f>_xlfn.IFNA(_xlfn.XLOOKUP(X78,'00_SKU_Master'!$B$2:$B$379,'00_SKU_Master'!$F$2:$F$379,0)*AA78,"")</f>
        <v>229.34087207702873</v>
      </c>
      <c r="G78" s="182">
        <f>_xlfn.IFNA(_xlfn.XLOOKUP(X78,'00_SKU_Master'!$B$2:$B$379,'00_SKU_Master'!$F$2:$F$379,0)*AB78,"")</f>
        <v>313.83487757909199</v>
      </c>
      <c r="H78" s="182">
        <f>_xlfn.IFNA(_xlfn.XLOOKUP(X78,'00_SKU_Master'!$B$2:$B$379,'00_SKU_Master'!$F$2:$F$379,0)*AC78,"")</f>
        <v>410.39945529573566</v>
      </c>
      <c r="I78" s="182">
        <f>_xlfn.IFNA(_xlfn.XLOOKUP(X78,'00_SKU_Master'!$B$2:$B$379,'00_SKU_Master'!$F$2:$F$379,0)*AD78,"")</f>
        <v>0</v>
      </c>
      <c r="J78" s="182">
        <f>_xlfn.IFNA(_xlfn.XLOOKUP(X78,'00_SKU_Master'!$B$2:$B$379,'00_SKU_Master'!$F$2:$F$379,0)*AE78,"")</f>
        <v>380.2230247592845</v>
      </c>
      <c r="K78" s="183">
        <f t="shared" si="5"/>
        <v>1333.7982297111409</v>
      </c>
      <c r="L78" s="184" t="str">
        <f>_xlfn.XLOOKUP(X78,'00_SKU_Master'!$B$2:$B$379,'00_SKU_Master'!$K$2:$K$379)</f>
        <v>Slow</v>
      </c>
      <c r="M78" s="185">
        <f t="shared" si="6"/>
        <v>2506</v>
      </c>
      <c r="N78" s="186">
        <f>IFERROR(D78/_xlfn.XLOOKUP($M78,'00_SKU_Master'!$B$2:$B$379,'00_SKU_Master'!$M$2:$M$379,0),"0")</f>
        <v>0</v>
      </c>
      <c r="O78" s="186">
        <f>IFERROR(E78/_xlfn.XLOOKUP($M78,'00_SKU_Master'!$B$2:$B$379,'00_SKU_Master'!$M$2:$M$379,0),"0")</f>
        <v>0</v>
      </c>
      <c r="P78" s="186">
        <f>IFERROR(F78/_xlfn.XLOOKUP($M78,'00_SKU_Master'!$B$2:$B$379,'00_SKU_Master'!$M$2:$M$379,0),"0")</f>
        <v>8.4721415617668541</v>
      </c>
      <c r="Q78" s="186">
        <f>IFERROR(G78/_xlfn.XLOOKUP($M78,'00_SKU_Master'!$B$2:$B$379,'00_SKU_Master'!$M$2:$M$379,0),"0")</f>
        <v>11.593456873996749</v>
      </c>
      <c r="R78" s="186">
        <f>IFERROR(H78/_xlfn.XLOOKUP($M78,'00_SKU_Master'!$B$2:$B$379,'00_SKU_Master'!$M$2:$M$379,0),"0")</f>
        <v>15.160674373688055</v>
      </c>
      <c r="S78" s="186">
        <f>IFERROR(I78/_xlfn.XLOOKUP($M78,'00_SKU_Master'!$B$2:$B$379,'00_SKU_Master'!$M$2:$M$379,0),"0")</f>
        <v>0</v>
      </c>
      <c r="T78" s="186">
        <f>IFERROR(J78/_xlfn.XLOOKUP($M78,'00_SKU_Master'!$B$2:$B$379,'00_SKU_Master'!$M$2:$M$379,0),"0")</f>
        <v>14.045918905034521</v>
      </c>
      <c r="U78" s="186">
        <f t="shared" si="7"/>
        <v>49.272191714486176</v>
      </c>
      <c r="V78" s="186" t="str">
        <f>_xlfn.XLOOKUP(M78,'00_SKU_Master'!$B$2:$B$379,'00_SKU_Master'!$D$2:$D$379)</f>
        <v>FB</v>
      </c>
      <c r="W78" s="1"/>
      <c r="X78" s="2">
        <f>'05_Daily_Orders'!C79</f>
        <v>2506</v>
      </c>
      <c r="Y78" s="289"/>
      <c r="Z78" s="289">
        <v>0</v>
      </c>
      <c r="AA78" s="289">
        <v>38</v>
      </c>
      <c r="AB78" s="289">
        <v>52</v>
      </c>
      <c r="AC78" s="289">
        <v>68</v>
      </c>
      <c r="AD78" s="289">
        <v>0</v>
      </c>
      <c r="AE78" s="289">
        <v>63</v>
      </c>
      <c r="AF78" s="7">
        <f t="shared" si="8"/>
        <v>221</v>
      </c>
      <c r="AQ78" s="70">
        <v>0</v>
      </c>
      <c r="AR78" s="70">
        <v>0</v>
      </c>
      <c r="AS78" s="3">
        <f t="shared" si="9"/>
        <v>0</v>
      </c>
    </row>
    <row r="79" spans="1:45" x14ac:dyDescent="0.35">
      <c r="A79" s="181" t="str">
        <f>_xlfn.XLOOKUP(X79,'00_SKU_Master'!$B$2:$B$379,'00_SKU_Master'!$C$2:$C$379)</f>
        <v>61050F</v>
      </c>
      <c r="B79" s="181" t="str">
        <f>_xlfn.XLOOKUP(X79,tblSKU[SKU],tblSKU[Product_Group])</f>
        <v>BSB</v>
      </c>
      <c r="C79" s="181" t="str">
        <f>_xlfn.XLOOKUP(X79,tblSKU[SKU],tblSKU[Tray_Type])</f>
        <v>LT 6D</v>
      </c>
      <c r="D79" s="182">
        <f>_xlfn.IFNA(_xlfn.XLOOKUP(X79,'00_SKU_Master'!$B$2:$B$379,'00_SKU_Master'!$F$2:$F$379,0)*Y79,"")</f>
        <v>0</v>
      </c>
      <c r="E79" s="182">
        <f>_xlfn.IFNA(_xlfn.XLOOKUP(X79,'00_SKU_Master'!$B$2:$B$379,'00_SKU_Master'!$F$2:$F$379,0)*Z79,"")</f>
        <v>0</v>
      </c>
      <c r="F79" s="182">
        <f>_xlfn.IFNA(_xlfn.XLOOKUP(X79,'00_SKU_Master'!$B$2:$B$379,'00_SKU_Master'!$F$2:$F$379,0)*AA79,"")</f>
        <v>0</v>
      </c>
      <c r="G79" s="182">
        <f>_xlfn.IFNA(_xlfn.XLOOKUP(X79,'00_SKU_Master'!$B$2:$B$379,'00_SKU_Master'!$F$2:$F$379,0)*AB79,"")</f>
        <v>0</v>
      </c>
      <c r="H79" s="182">
        <f>_xlfn.IFNA(_xlfn.XLOOKUP(X79,'00_SKU_Master'!$B$2:$B$379,'00_SKU_Master'!$F$2:$F$379,0)*AC79,"")</f>
        <v>0</v>
      </c>
      <c r="I79" s="182">
        <f>_xlfn.IFNA(_xlfn.XLOOKUP(X79,'00_SKU_Master'!$B$2:$B$379,'00_SKU_Master'!$F$2:$F$379,0)*AD79,"")</f>
        <v>0</v>
      </c>
      <c r="J79" s="182">
        <f>_xlfn.IFNA(_xlfn.XLOOKUP(X79,'00_SKU_Master'!$B$2:$B$379,'00_SKU_Master'!$F$2:$F$379,0)*AE79,"")</f>
        <v>0</v>
      </c>
      <c r="K79" s="183">
        <f t="shared" si="5"/>
        <v>0</v>
      </c>
      <c r="L79" s="184" t="str">
        <f>_xlfn.XLOOKUP(X79,'00_SKU_Master'!$B$2:$B$379,'00_SKU_Master'!$K$2:$K$379)</f>
        <v>Fast</v>
      </c>
      <c r="M79" s="185">
        <f t="shared" si="6"/>
        <v>2508</v>
      </c>
      <c r="N79" s="186">
        <f>IFERROR(D79/_xlfn.XLOOKUP($M79,'00_SKU_Master'!$B$2:$B$379,'00_SKU_Master'!$M$2:$M$379,0),"0")</f>
        <v>0</v>
      </c>
      <c r="O79" s="186">
        <f>IFERROR(E79/_xlfn.XLOOKUP($M79,'00_SKU_Master'!$B$2:$B$379,'00_SKU_Master'!$M$2:$M$379,0),"0")</f>
        <v>0</v>
      </c>
      <c r="P79" s="186">
        <f>IFERROR(F79/_xlfn.XLOOKUP($M79,'00_SKU_Master'!$B$2:$B$379,'00_SKU_Master'!$M$2:$M$379,0),"0")</f>
        <v>0</v>
      </c>
      <c r="Q79" s="186">
        <f>IFERROR(G79/_xlfn.XLOOKUP($M79,'00_SKU_Master'!$B$2:$B$379,'00_SKU_Master'!$M$2:$M$379,0),"0")</f>
        <v>0</v>
      </c>
      <c r="R79" s="186">
        <f>IFERROR(H79/_xlfn.XLOOKUP($M79,'00_SKU_Master'!$B$2:$B$379,'00_SKU_Master'!$M$2:$M$379,0),"0")</f>
        <v>0</v>
      </c>
      <c r="S79" s="186">
        <f>IFERROR(I79/_xlfn.XLOOKUP($M79,'00_SKU_Master'!$B$2:$B$379,'00_SKU_Master'!$M$2:$M$379,0),"0")</f>
        <v>0</v>
      </c>
      <c r="T79" s="186">
        <f>IFERROR(J79/_xlfn.XLOOKUP($M79,'00_SKU_Master'!$B$2:$B$379,'00_SKU_Master'!$M$2:$M$379,0),"0")</f>
        <v>0</v>
      </c>
      <c r="U79" s="186">
        <f t="shared" si="7"/>
        <v>0</v>
      </c>
      <c r="V79" s="186" t="str">
        <f>_xlfn.XLOOKUP(M79,'00_SKU_Master'!$B$2:$B$379,'00_SKU_Master'!$D$2:$D$379)</f>
        <v>FB</v>
      </c>
      <c r="W79" s="1"/>
      <c r="X79" s="2">
        <f>'05_Daily_Orders'!C80</f>
        <v>2508</v>
      </c>
      <c r="Y79" s="289"/>
      <c r="Z79" s="289">
        <v>0</v>
      </c>
      <c r="AA79" s="289">
        <v>0</v>
      </c>
      <c r="AB79" s="289">
        <v>0</v>
      </c>
      <c r="AC79" s="289">
        <v>0</v>
      </c>
      <c r="AD79" s="289">
        <v>0</v>
      </c>
      <c r="AE79" s="289">
        <v>0</v>
      </c>
      <c r="AF79" s="7">
        <f t="shared" si="8"/>
        <v>0</v>
      </c>
      <c r="AQ79" s="70">
        <v>0</v>
      </c>
      <c r="AR79" s="70">
        <v>0</v>
      </c>
      <c r="AS79" s="3">
        <f t="shared" si="9"/>
        <v>0</v>
      </c>
    </row>
    <row r="80" spans="1:45" x14ac:dyDescent="0.35">
      <c r="A80" s="181">
        <f>_xlfn.XLOOKUP(X80,'00_SKU_Master'!$B$2:$B$379,'00_SKU_Master'!$C$2:$C$379)</f>
        <v>61050</v>
      </c>
      <c r="B80" s="181" t="str">
        <f>_xlfn.XLOOKUP(X80,tblSKU[SKU],tblSKU[Product_Group])</f>
        <v>BSB</v>
      </c>
      <c r="C80" s="181" t="str">
        <f>_xlfn.XLOOKUP(X80,tblSKU[SKU],tblSKU[Tray_Type])</f>
        <v>LT 6D</v>
      </c>
      <c r="D80" s="182">
        <f>_xlfn.IFNA(_xlfn.XLOOKUP(X80,'00_SKU_Master'!$B$2:$B$379,'00_SKU_Master'!$F$2:$F$379,0)*Y80,"")</f>
        <v>0</v>
      </c>
      <c r="E80" s="182">
        <f>_xlfn.IFNA(_xlfn.XLOOKUP(X80,'00_SKU_Master'!$B$2:$B$379,'00_SKU_Master'!$F$2:$F$379,0)*Z80,"")</f>
        <v>0</v>
      </c>
      <c r="F80" s="182">
        <f>_xlfn.IFNA(_xlfn.XLOOKUP(X80,'00_SKU_Master'!$B$2:$B$379,'00_SKU_Master'!$F$2:$F$379,0)*AA80,"")</f>
        <v>839.61798856405039</v>
      </c>
      <c r="G80" s="182">
        <f>_xlfn.IFNA(_xlfn.XLOOKUP(X80,'00_SKU_Master'!$B$2:$B$379,'00_SKU_Master'!$F$2:$F$379,0)*AB80,"")</f>
        <v>1984.5516093332099</v>
      </c>
      <c r="H80" s="182">
        <f>_xlfn.IFNA(_xlfn.XLOOKUP(X80,'00_SKU_Master'!$B$2:$B$379,'00_SKU_Master'!$F$2:$F$379,0)*AC80,"")</f>
        <v>1679.2359771281008</v>
      </c>
      <c r="I80" s="182">
        <f>_xlfn.IFNA(_xlfn.XLOOKUP(X80,'00_SKU_Master'!$B$2:$B$379,'00_SKU_Master'!$F$2:$F$379,0)*AD80,"")</f>
        <v>0</v>
      </c>
      <c r="J80" s="182">
        <f>_xlfn.IFNA(_xlfn.XLOOKUP(X80,'00_SKU_Master'!$B$2:$B$379,'00_SKU_Master'!$F$2:$F$379,0)*AE80,"")</f>
        <v>801.45353453841165</v>
      </c>
      <c r="K80" s="183">
        <f t="shared" si="5"/>
        <v>5304.859109563773</v>
      </c>
      <c r="L80" s="184" t="str">
        <f>_xlfn.XLOOKUP(X80,'00_SKU_Master'!$B$2:$B$379,'00_SKU_Master'!$K$2:$K$379)</f>
        <v>Fast</v>
      </c>
      <c r="M80" s="185">
        <f t="shared" si="6"/>
        <v>2509</v>
      </c>
      <c r="N80" s="186">
        <f>IFERROR(D80/_xlfn.XLOOKUP($M80,'00_SKU_Master'!$B$2:$B$379,'00_SKU_Master'!$M$2:$M$379,0),"0")</f>
        <v>0</v>
      </c>
      <c r="O80" s="186">
        <f>IFERROR(E80/_xlfn.XLOOKUP($M80,'00_SKU_Master'!$B$2:$B$379,'00_SKU_Master'!$M$2:$M$379,0),"0")</f>
        <v>0</v>
      </c>
      <c r="P80" s="186">
        <f>IFERROR(F80/_xlfn.XLOOKUP($M80,'00_SKU_Master'!$B$2:$B$379,'00_SKU_Master'!$M$2:$M$379,0),"0")</f>
        <v>6.6536016210797246</v>
      </c>
      <c r="Q80" s="186">
        <f>IFERROR(G80/_xlfn.XLOOKUP($M80,'00_SKU_Master'!$B$2:$B$379,'00_SKU_Master'!$M$2:$M$379,0),"0")</f>
        <v>15.726694740733892</v>
      </c>
      <c r="R80" s="186">
        <f>IFERROR(H80/_xlfn.XLOOKUP($M80,'00_SKU_Master'!$B$2:$B$379,'00_SKU_Master'!$M$2:$M$379,0),"0")</f>
        <v>13.307203242159449</v>
      </c>
      <c r="S80" s="186">
        <f>IFERROR(I80/_xlfn.XLOOKUP($M80,'00_SKU_Master'!$B$2:$B$379,'00_SKU_Master'!$M$2:$M$379,0),"0")</f>
        <v>0</v>
      </c>
      <c r="T80" s="186">
        <f>IFERROR(J80/_xlfn.XLOOKUP($M80,'00_SKU_Master'!$B$2:$B$379,'00_SKU_Master'!$M$2:$M$379,0),"0")</f>
        <v>6.3511651837579182</v>
      </c>
      <c r="U80" s="186">
        <f t="shared" si="7"/>
        <v>42.038664787730987</v>
      </c>
      <c r="V80" s="186" t="str">
        <f>_xlfn.XLOOKUP(M80,'00_SKU_Master'!$B$2:$B$379,'00_SKU_Master'!$D$2:$D$379)</f>
        <v>FB</v>
      </c>
      <c r="W80" s="1"/>
      <c r="X80" s="2">
        <f>'05_Daily_Orders'!C81</f>
        <v>2509</v>
      </c>
      <c r="Y80" s="289"/>
      <c r="Z80" s="289">
        <v>0</v>
      </c>
      <c r="AA80" s="289">
        <v>110</v>
      </c>
      <c r="AB80" s="289">
        <v>260</v>
      </c>
      <c r="AC80" s="289">
        <v>220</v>
      </c>
      <c r="AD80" s="289">
        <v>0</v>
      </c>
      <c r="AE80" s="289">
        <v>105</v>
      </c>
      <c r="AF80" s="7">
        <f t="shared" si="8"/>
        <v>695</v>
      </c>
      <c r="AQ80" s="70">
        <v>0</v>
      </c>
      <c r="AR80" s="70">
        <v>0</v>
      </c>
      <c r="AS80" s="3">
        <f t="shared" si="9"/>
        <v>0</v>
      </c>
    </row>
    <row r="81" spans="1:45" x14ac:dyDescent="0.35">
      <c r="A81" s="181" t="str">
        <f>_xlfn.XLOOKUP(X81,'00_SKU_Master'!$B$2:$B$379,'00_SKU_Master'!$C$2:$C$379)</f>
        <v>61014F</v>
      </c>
      <c r="B81" s="181" t="str">
        <f>_xlfn.XLOOKUP(X81,tblSKU[SKU],tblSKU[Product_Group])</f>
        <v>SplitWing</v>
      </c>
      <c r="C81" s="181" t="str">
        <f>_xlfn.XLOOKUP(X81,tblSKU[SKU],tblSKU[Tray_Type])</f>
        <v>LT 8XP</v>
      </c>
      <c r="D81" s="182">
        <f>_xlfn.IFNA(_xlfn.XLOOKUP(X81,'00_SKU_Master'!$B$2:$B$379,'00_SKU_Master'!$F$2:$F$379,0)*Y81,"")</f>
        <v>0</v>
      </c>
      <c r="E81" s="182">
        <f>_xlfn.IFNA(_xlfn.XLOOKUP(X81,'00_SKU_Master'!$B$2:$B$379,'00_SKU_Master'!$F$2:$F$379,0)*Z81,"")</f>
        <v>0</v>
      </c>
      <c r="F81" s="182">
        <f>_xlfn.IFNA(_xlfn.XLOOKUP(X81,'00_SKU_Master'!$B$2:$B$379,'00_SKU_Master'!$F$2:$F$379,0)*AA81,"")</f>
        <v>887.24202916930813</v>
      </c>
      <c r="G81" s="182">
        <f>_xlfn.IFNA(_xlfn.XLOOKUP(X81,'00_SKU_Master'!$B$2:$B$379,'00_SKU_Master'!$F$2:$F$379,0)*AB81,"")</f>
        <v>1199.4197801733239</v>
      </c>
      <c r="H81" s="182">
        <f>_xlfn.IFNA(_xlfn.XLOOKUP(X81,'00_SKU_Master'!$B$2:$B$379,'00_SKU_Master'!$F$2:$F$379,0)*AC81,"")</f>
        <v>1289.7870238850128</v>
      </c>
      <c r="I81" s="182">
        <f>_xlfn.IFNA(_xlfn.XLOOKUP(X81,'00_SKU_Master'!$B$2:$B$379,'00_SKU_Master'!$F$2:$F$379,0)*AD81,"")</f>
        <v>0</v>
      </c>
      <c r="J81" s="182">
        <f>_xlfn.IFNA(_xlfn.XLOOKUP(X81,'00_SKU_Master'!$B$2:$B$379,'00_SKU_Master'!$F$2:$F$379,0)*AE81,"")</f>
        <v>1380.1542675967016</v>
      </c>
      <c r="K81" s="183">
        <f t="shared" si="5"/>
        <v>4756.6031008243463</v>
      </c>
      <c r="L81" s="184" t="str">
        <f>_xlfn.XLOOKUP(X81,'00_SKU_Master'!$B$2:$B$379,'00_SKU_Master'!$K$2:$K$379)</f>
        <v>Slow</v>
      </c>
      <c r="M81" s="185">
        <f t="shared" si="6"/>
        <v>2510</v>
      </c>
      <c r="N81" s="186">
        <f>IFERROR(D81/_xlfn.XLOOKUP($M81,'00_SKU_Master'!$B$2:$B$379,'00_SKU_Master'!$M$2:$M$379,0),"0")</f>
        <v>0</v>
      </c>
      <c r="O81" s="186">
        <f>IFERROR(E81/_xlfn.XLOOKUP($M81,'00_SKU_Master'!$B$2:$B$379,'00_SKU_Master'!$M$2:$M$379,0),"0")</f>
        <v>0</v>
      </c>
      <c r="P81" s="186">
        <f>IFERROR(F81/_xlfn.XLOOKUP($M81,'00_SKU_Master'!$B$2:$B$379,'00_SKU_Master'!$M$2:$M$379,0),"0")</f>
        <v>28.900391829619156</v>
      </c>
      <c r="Q81" s="186">
        <f>IFERROR(G81/_xlfn.XLOOKUP($M81,'00_SKU_Master'!$B$2:$B$379,'00_SKU_Master'!$M$2:$M$379,0),"0")</f>
        <v>39.069048214114787</v>
      </c>
      <c r="R81" s="186">
        <f>IFERROR(H81/_xlfn.XLOOKUP($M81,'00_SKU_Master'!$B$2:$B$379,'00_SKU_Master'!$M$2:$M$379,0),"0")</f>
        <v>42.012606641205629</v>
      </c>
      <c r="S81" s="186">
        <f>IFERROR(I81/_xlfn.XLOOKUP($M81,'00_SKU_Master'!$B$2:$B$379,'00_SKU_Master'!$M$2:$M$379,0),"0")</f>
        <v>0</v>
      </c>
      <c r="T81" s="186">
        <f>IFERROR(J81/_xlfn.XLOOKUP($M81,'00_SKU_Master'!$B$2:$B$379,'00_SKU_Master'!$M$2:$M$379,0),"0")</f>
        <v>44.956165068296471</v>
      </c>
      <c r="U81" s="186">
        <f t="shared" si="7"/>
        <v>154.93821175323603</v>
      </c>
      <c r="V81" s="186" t="str">
        <f>_xlfn.XLOOKUP(M81,'00_SKU_Master'!$B$2:$B$379,'00_SKU_Master'!$D$2:$D$379)</f>
        <v>FB</v>
      </c>
      <c r="W81" s="1"/>
      <c r="X81" s="2">
        <f>'05_Daily_Orders'!C82</f>
        <v>2510</v>
      </c>
      <c r="Y81" s="289"/>
      <c r="Z81" s="289">
        <v>0</v>
      </c>
      <c r="AA81" s="289">
        <v>108</v>
      </c>
      <c r="AB81" s="289">
        <v>146</v>
      </c>
      <c r="AC81" s="289">
        <v>157</v>
      </c>
      <c r="AD81" s="289">
        <v>0</v>
      </c>
      <c r="AE81" s="289">
        <v>168</v>
      </c>
      <c r="AF81" s="7">
        <f t="shared" si="8"/>
        <v>579</v>
      </c>
      <c r="AQ81" s="70">
        <v>0</v>
      </c>
      <c r="AR81" s="70">
        <v>0</v>
      </c>
      <c r="AS81" s="3">
        <f t="shared" si="9"/>
        <v>0</v>
      </c>
    </row>
    <row r="82" spans="1:45" x14ac:dyDescent="0.35">
      <c r="A82" s="181">
        <f>_xlfn.XLOOKUP(X82,'00_SKU_Master'!$B$2:$B$379,'00_SKU_Master'!$C$2:$C$379)</f>
        <v>61014</v>
      </c>
      <c r="B82" s="181" t="str">
        <f>_xlfn.XLOOKUP(X82,tblSKU[SKU],tblSKU[Product_Group])</f>
        <v>SplitWing</v>
      </c>
      <c r="C82" s="181" t="str">
        <f>_xlfn.XLOOKUP(X82,tblSKU[SKU],tblSKU[Tray_Type])</f>
        <v>LT 8XP</v>
      </c>
      <c r="D82" s="182">
        <f>_xlfn.IFNA(_xlfn.XLOOKUP(X82,'00_SKU_Master'!$B$2:$B$379,'00_SKU_Master'!$F$2:$F$379,0)*Y82,"")</f>
        <v>0</v>
      </c>
      <c r="E82" s="182">
        <f>_xlfn.IFNA(_xlfn.XLOOKUP(X82,'00_SKU_Master'!$B$2:$B$379,'00_SKU_Master'!$F$2:$F$379,0)*Z82,"")</f>
        <v>0</v>
      </c>
      <c r="F82" s="182">
        <f>_xlfn.IFNA(_xlfn.XLOOKUP(X82,'00_SKU_Master'!$B$2:$B$379,'00_SKU_Master'!$F$2:$F$379,0)*AA82,"")</f>
        <v>246.34559792027733</v>
      </c>
      <c r="G82" s="182">
        <f>_xlfn.IFNA(_xlfn.XLOOKUP(X82,'00_SKU_Master'!$B$2:$B$379,'00_SKU_Master'!$F$2:$F$379,0)*AB82,"")</f>
        <v>246.34559792027733</v>
      </c>
      <c r="H82" s="182">
        <f>_xlfn.IFNA(_xlfn.XLOOKUP(X82,'00_SKU_Master'!$B$2:$B$379,'00_SKU_Master'!$F$2:$F$379,0)*AC82,"")</f>
        <v>410.57599653379555</v>
      </c>
      <c r="I82" s="182">
        <f>_xlfn.IFNA(_xlfn.XLOOKUP(X82,'00_SKU_Master'!$B$2:$B$379,'00_SKU_Master'!$F$2:$F$379,0)*AD82,"")</f>
        <v>0</v>
      </c>
      <c r="J82" s="182">
        <f>_xlfn.IFNA(_xlfn.XLOOKUP(X82,'00_SKU_Master'!$B$2:$B$379,'00_SKU_Master'!$F$2:$F$379,0)*AE82,"")</f>
        <v>0</v>
      </c>
      <c r="K82" s="183">
        <f t="shared" si="5"/>
        <v>903.2671923743502</v>
      </c>
      <c r="L82" s="184" t="str">
        <f>_xlfn.XLOOKUP(X82,'00_SKU_Master'!$B$2:$B$379,'00_SKU_Master'!$K$2:$K$379)</f>
        <v>Slow</v>
      </c>
      <c r="M82" s="185">
        <f t="shared" si="6"/>
        <v>2512</v>
      </c>
      <c r="N82" s="186">
        <f>IFERROR(D82/_xlfn.XLOOKUP($M82,'00_SKU_Master'!$B$2:$B$379,'00_SKU_Master'!$M$2:$M$379,0),"0")</f>
        <v>0</v>
      </c>
      <c r="O82" s="186">
        <f>IFERROR(E82/_xlfn.XLOOKUP($M82,'00_SKU_Master'!$B$2:$B$379,'00_SKU_Master'!$M$2:$M$379,0),"0")</f>
        <v>0</v>
      </c>
      <c r="P82" s="186">
        <f>IFERROR(F82/_xlfn.XLOOKUP($M82,'00_SKU_Master'!$B$2:$B$379,'00_SKU_Master'!$M$2:$M$379,0),"0")</f>
        <v>7.7711545085260987</v>
      </c>
      <c r="Q82" s="186">
        <f>IFERROR(G82/_xlfn.XLOOKUP($M82,'00_SKU_Master'!$B$2:$B$379,'00_SKU_Master'!$M$2:$M$379,0),"0")</f>
        <v>7.7711545085260987</v>
      </c>
      <c r="R82" s="186">
        <f>IFERROR(H82/_xlfn.XLOOKUP($M82,'00_SKU_Master'!$B$2:$B$379,'00_SKU_Master'!$M$2:$M$379,0),"0")</f>
        <v>12.951924180876832</v>
      </c>
      <c r="S82" s="186">
        <f>IFERROR(I82/_xlfn.XLOOKUP($M82,'00_SKU_Master'!$B$2:$B$379,'00_SKU_Master'!$M$2:$M$379,0),"0")</f>
        <v>0</v>
      </c>
      <c r="T82" s="186">
        <f>IFERROR(J82/_xlfn.XLOOKUP($M82,'00_SKU_Master'!$B$2:$B$379,'00_SKU_Master'!$M$2:$M$379,0),"0")</f>
        <v>0</v>
      </c>
      <c r="U82" s="186">
        <f t="shared" si="7"/>
        <v>28.494233197929027</v>
      </c>
      <c r="V82" s="186" t="str">
        <f>_xlfn.XLOOKUP(M82,'00_SKU_Master'!$B$2:$B$379,'00_SKU_Master'!$D$2:$D$379)</f>
        <v>METRO</v>
      </c>
      <c r="W82" s="1"/>
      <c r="X82" s="2">
        <f>'05_Daily_Orders'!C83</f>
        <v>2512</v>
      </c>
      <c r="Y82" s="289"/>
      <c r="Z82" s="289">
        <v>0</v>
      </c>
      <c r="AA82" s="289">
        <v>30</v>
      </c>
      <c r="AB82" s="289">
        <v>30</v>
      </c>
      <c r="AC82" s="289">
        <v>50</v>
      </c>
      <c r="AD82" s="289">
        <v>0</v>
      </c>
      <c r="AE82" s="289">
        <v>0</v>
      </c>
      <c r="AF82" s="7">
        <f t="shared" si="8"/>
        <v>110</v>
      </c>
      <c r="AQ82" s="70">
        <v>0</v>
      </c>
      <c r="AR82" s="70">
        <v>0</v>
      </c>
      <c r="AS82" s="3">
        <f t="shared" si="9"/>
        <v>0</v>
      </c>
    </row>
    <row r="83" spans="1:45" x14ac:dyDescent="0.35">
      <c r="A83" s="181">
        <f>_xlfn.XLOOKUP(X83,'00_SKU_Master'!$B$2:$B$379,'00_SKU_Master'!$C$2:$C$379)</f>
        <v>61010</v>
      </c>
      <c r="B83" s="181" t="str">
        <f>_xlfn.XLOOKUP(X83,tblSKU[SKU],tblSKU[Product_Group])</f>
        <v>Wing</v>
      </c>
      <c r="C83" s="181" t="str">
        <f>_xlfn.XLOOKUP(X83,tblSKU[SKU],tblSKU[Tray_Type])</f>
        <v>PET 8</v>
      </c>
      <c r="D83" s="182">
        <f>_xlfn.IFNA(_xlfn.XLOOKUP(X83,'00_SKU_Master'!$B$2:$B$379,'00_SKU_Master'!$F$2:$F$379,0)*Y83,"")</f>
        <v>0</v>
      </c>
      <c r="E83" s="182">
        <f>_xlfn.IFNA(_xlfn.XLOOKUP(X83,'00_SKU_Master'!$B$2:$B$379,'00_SKU_Master'!$F$2:$F$379,0)*Z83,"")</f>
        <v>0</v>
      </c>
      <c r="F83" s="182">
        <f>_xlfn.IFNA(_xlfn.XLOOKUP(X83,'00_SKU_Master'!$B$2:$B$379,'00_SKU_Master'!$F$2:$F$379,0)*AA83,"")</f>
        <v>0</v>
      </c>
      <c r="G83" s="182">
        <f>_xlfn.IFNA(_xlfn.XLOOKUP(X83,'00_SKU_Master'!$B$2:$B$379,'00_SKU_Master'!$F$2:$F$379,0)*AB83,"")</f>
        <v>0</v>
      </c>
      <c r="H83" s="182">
        <f>_xlfn.IFNA(_xlfn.XLOOKUP(X83,'00_SKU_Master'!$B$2:$B$379,'00_SKU_Master'!$F$2:$F$379,0)*AC83,"")</f>
        <v>0</v>
      </c>
      <c r="I83" s="182">
        <f>_xlfn.IFNA(_xlfn.XLOOKUP(X83,'00_SKU_Master'!$B$2:$B$379,'00_SKU_Master'!$F$2:$F$379,0)*AD83,"")</f>
        <v>0</v>
      </c>
      <c r="J83" s="182">
        <f>_xlfn.IFNA(_xlfn.XLOOKUP(X83,'00_SKU_Master'!$B$2:$B$379,'00_SKU_Master'!$F$2:$F$379,0)*AE83,"")</f>
        <v>0</v>
      </c>
      <c r="K83" s="183">
        <f t="shared" si="5"/>
        <v>0</v>
      </c>
      <c r="L83" s="184" t="str">
        <f>_xlfn.XLOOKUP(X83,'00_SKU_Master'!$B$2:$B$379,'00_SKU_Master'!$K$2:$K$379)</f>
        <v>Fast</v>
      </c>
      <c r="M83" s="185">
        <f t="shared" si="6"/>
        <v>7018</v>
      </c>
      <c r="N83" s="186">
        <f>IFERROR(D83/_xlfn.XLOOKUP($M83,'00_SKU_Master'!$B$2:$B$379,'00_SKU_Master'!$M$2:$M$379,0),"0")</f>
        <v>0</v>
      </c>
      <c r="O83" s="186">
        <f>IFERROR(E83/_xlfn.XLOOKUP($M83,'00_SKU_Master'!$B$2:$B$379,'00_SKU_Master'!$M$2:$M$379,0),"0")</f>
        <v>0</v>
      </c>
      <c r="P83" s="186">
        <f>IFERROR(F83/_xlfn.XLOOKUP($M83,'00_SKU_Master'!$B$2:$B$379,'00_SKU_Master'!$M$2:$M$379,0),"0")</f>
        <v>0</v>
      </c>
      <c r="Q83" s="186">
        <f>IFERROR(G83/_xlfn.XLOOKUP($M83,'00_SKU_Master'!$B$2:$B$379,'00_SKU_Master'!$M$2:$M$379,0),"0")</f>
        <v>0</v>
      </c>
      <c r="R83" s="186">
        <f>IFERROR(H83/_xlfn.XLOOKUP($M83,'00_SKU_Master'!$B$2:$B$379,'00_SKU_Master'!$M$2:$M$379,0),"0")</f>
        <v>0</v>
      </c>
      <c r="S83" s="186">
        <f>IFERROR(I83/_xlfn.XLOOKUP($M83,'00_SKU_Master'!$B$2:$B$379,'00_SKU_Master'!$M$2:$M$379,0),"0")</f>
        <v>0</v>
      </c>
      <c r="T83" s="186">
        <f>IFERROR(J83/_xlfn.XLOOKUP($M83,'00_SKU_Master'!$B$2:$B$379,'00_SKU_Master'!$M$2:$M$379,0),"0")</f>
        <v>0</v>
      </c>
      <c r="U83" s="186">
        <f t="shared" si="7"/>
        <v>0</v>
      </c>
      <c r="V83" s="186" t="str">
        <f>_xlfn.XLOOKUP(M83,'00_SKU_Master'!$B$2:$B$379,'00_SKU_Master'!$D$2:$D$379)</f>
        <v>LCL</v>
      </c>
      <c r="W83" s="1"/>
      <c r="X83" s="2">
        <f>'05_Daily_Orders'!C84</f>
        <v>7018</v>
      </c>
      <c r="Y83" s="289"/>
      <c r="Z83" s="289">
        <v>0</v>
      </c>
      <c r="AA83" s="289">
        <v>0</v>
      </c>
      <c r="AB83" s="289">
        <v>0</v>
      </c>
      <c r="AC83" s="289">
        <v>0</v>
      </c>
      <c r="AD83" s="289">
        <v>0</v>
      </c>
      <c r="AE83" s="289">
        <v>0</v>
      </c>
      <c r="AF83" s="7">
        <f t="shared" si="8"/>
        <v>0</v>
      </c>
      <c r="AQ83" s="70">
        <v>0</v>
      </c>
      <c r="AR83" s="70">
        <v>0</v>
      </c>
      <c r="AS83" s="3">
        <f t="shared" si="9"/>
        <v>0</v>
      </c>
    </row>
    <row r="84" spans="1:45" x14ac:dyDescent="0.35">
      <c r="A84" s="181">
        <f>_xlfn.XLOOKUP(X84,'00_SKU_Master'!$B$2:$B$379,'00_SKU_Master'!$C$2:$C$379)</f>
        <v>61061</v>
      </c>
      <c r="B84" s="181" t="str">
        <f>_xlfn.XLOOKUP(X84,tblSKU[SKU],tblSKU[Product_Group])</f>
        <v>BA</v>
      </c>
      <c r="C84" s="181" t="str">
        <f>_xlfn.XLOOKUP(X84,tblSKU[SKU],tblSKU[Tray_Type])</f>
        <v>PET 8</v>
      </c>
      <c r="D84" s="182">
        <f>_xlfn.IFNA(_xlfn.XLOOKUP(X84,'00_SKU_Master'!$B$2:$B$379,'00_SKU_Master'!$F$2:$F$379,0)*Y84,"")</f>
        <v>0</v>
      </c>
      <c r="E84" s="182">
        <f>_xlfn.IFNA(_xlfn.XLOOKUP(X84,'00_SKU_Master'!$B$2:$B$379,'00_SKU_Master'!$F$2:$F$379,0)*Z84,"")</f>
        <v>0</v>
      </c>
      <c r="F84" s="182">
        <f>_xlfn.IFNA(_xlfn.XLOOKUP(X84,'00_SKU_Master'!$B$2:$B$379,'00_SKU_Master'!$F$2:$F$379,0)*AA84,"")</f>
        <v>0</v>
      </c>
      <c r="G84" s="182">
        <f>_xlfn.IFNA(_xlfn.XLOOKUP(X84,'00_SKU_Master'!$B$2:$B$379,'00_SKU_Master'!$F$2:$F$379,0)*AB84,"")</f>
        <v>0</v>
      </c>
      <c r="H84" s="182">
        <f>_xlfn.IFNA(_xlfn.XLOOKUP(X84,'00_SKU_Master'!$B$2:$B$379,'00_SKU_Master'!$F$2:$F$379,0)*AC84,"")</f>
        <v>0</v>
      </c>
      <c r="I84" s="182">
        <f>_xlfn.IFNA(_xlfn.XLOOKUP(X84,'00_SKU_Master'!$B$2:$B$379,'00_SKU_Master'!$F$2:$F$379,0)*AD84,"")</f>
        <v>0</v>
      </c>
      <c r="J84" s="182">
        <f>_xlfn.IFNA(_xlfn.XLOOKUP(X84,'00_SKU_Master'!$B$2:$B$379,'00_SKU_Master'!$F$2:$F$379,0)*AE84,"")</f>
        <v>0</v>
      </c>
      <c r="K84" s="183">
        <f t="shared" si="5"/>
        <v>0</v>
      </c>
      <c r="L84" s="184" t="str">
        <f>_xlfn.XLOOKUP(X84,'00_SKU_Master'!$B$2:$B$379,'00_SKU_Master'!$K$2:$K$379)</f>
        <v>Fast</v>
      </c>
      <c r="M84" s="185">
        <f t="shared" si="6"/>
        <v>7091</v>
      </c>
      <c r="N84" s="186">
        <f>IFERROR(D84/_xlfn.XLOOKUP($M84,'00_SKU_Master'!$B$2:$B$379,'00_SKU_Master'!$M$2:$M$379,0),"0")</f>
        <v>0</v>
      </c>
      <c r="O84" s="186">
        <f>IFERROR(E84/_xlfn.XLOOKUP($M84,'00_SKU_Master'!$B$2:$B$379,'00_SKU_Master'!$M$2:$M$379,0),"0")</f>
        <v>0</v>
      </c>
      <c r="P84" s="186">
        <f>IFERROR(F84/_xlfn.XLOOKUP($M84,'00_SKU_Master'!$B$2:$B$379,'00_SKU_Master'!$M$2:$M$379,0),"0")</f>
        <v>0</v>
      </c>
      <c r="Q84" s="186">
        <f>IFERROR(G84/_xlfn.XLOOKUP($M84,'00_SKU_Master'!$B$2:$B$379,'00_SKU_Master'!$M$2:$M$379,0),"0")</f>
        <v>0</v>
      </c>
      <c r="R84" s="186">
        <f>IFERROR(H84/_xlfn.XLOOKUP($M84,'00_SKU_Master'!$B$2:$B$379,'00_SKU_Master'!$M$2:$M$379,0),"0")</f>
        <v>0</v>
      </c>
      <c r="S84" s="186">
        <f>IFERROR(I84/_xlfn.XLOOKUP($M84,'00_SKU_Master'!$B$2:$B$379,'00_SKU_Master'!$M$2:$M$379,0),"0")</f>
        <v>0</v>
      </c>
      <c r="T84" s="186">
        <f>IFERROR(J84/_xlfn.XLOOKUP($M84,'00_SKU_Master'!$B$2:$B$379,'00_SKU_Master'!$M$2:$M$379,0),"0")</f>
        <v>0</v>
      </c>
      <c r="U84" s="186">
        <f t="shared" si="7"/>
        <v>0</v>
      </c>
      <c r="V84" s="186" t="str">
        <f>_xlfn.XLOOKUP(M84,'00_SKU_Master'!$B$2:$B$379,'00_SKU_Master'!$D$2:$D$379)</f>
        <v>LCL</v>
      </c>
      <c r="W84" s="1"/>
      <c r="X84" s="2">
        <f>'05_Daily_Orders'!C85</f>
        <v>7091</v>
      </c>
      <c r="Y84" s="289"/>
      <c r="Z84" s="289">
        <v>0</v>
      </c>
      <c r="AA84" s="289">
        <v>0</v>
      </c>
      <c r="AB84" s="289">
        <v>0</v>
      </c>
      <c r="AC84" s="289">
        <v>0</v>
      </c>
      <c r="AD84" s="289">
        <v>0</v>
      </c>
      <c r="AE84" s="289">
        <v>0</v>
      </c>
      <c r="AF84" s="7">
        <f t="shared" si="8"/>
        <v>0</v>
      </c>
      <c r="AQ84" s="70">
        <v>0</v>
      </c>
      <c r="AR84" s="70">
        <v>0</v>
      </c>
      <c r="AS84" s="3">
        <f t="shared" si="9"/>
        <v>0</v>
      </c>
    </row>
    <row r="85" spans="1:45" x14ac:dyDescent="0.35">
      <c r="A85" s="181">
        <f>_xlfn.XLOOKUP(X85,'00_SKU_Master'!$B$2:$B$379,'00_SKU_Master'!$C$2:$C$379)</f>
        <v>203891</v>
      </c>
      <c r="B85" s="181" t="str">
        <f>_xlfn.XLOOKUP(X85,tblSKU[SKU],tblSKU[Product_Group])</f>
        <v>Whole Bird-Small</v>
      </c>
      <c r="C85" s="181" t="str">
        <f>_xlfn.XLOOKUP(X85,tblSKU[SKU],tblSKU[Tray_Type])</f>
        <v>ST 3XP</v>
      </c>
      <c r="D85" s="182">
        <f>_xlfn.IFNA(_xlfn.XLOOKUP(X85,'00_SKU_Master'!$B$2:$B$379,'00_SKU_Master'!$F$2:$F$379,0)*Y85,"")</f>
        <v>0</v>
      </c>
      <c r="E85" s="182">
        <f>_xlfn.IFNA(_xlfn.XLOOKUP(X85,'00_SKU_Master'!$B$2:$B$379,'00_SKU_Master'!$F$2:$F$379,0)*Z85,"")</f>
        <v>0</v>
      </c>
      <c r="F85" s="182">
        <f>_xlfn.IFNA(_xlfn.XLOOKUP(X85,'00_SKU_Master'!$B$2:$B$379,'00_SKU_Master'!$F$2:$F$379,0)*AA85,"")</f>
        <v>0</v>
      </c>
      <c r="G85" s="182">
        <f>_xlfn.IFNA(_xlfn.XLOOKUP(X85,'00_SKU_Master'!$B$2:$B$379,'00_SKU_Master'!$F$2:$F$379,0)*AB85,"")</f>
        <v>0</v>
      </c>
      <c r="H85" s="182">
        <f>_xlfn.IFNA(_xlfn.XLOOKUP(X85,'00_SKU_Master'!$B$2:$B$379,'00_SKU_Master'!$F$2:$F$379,0)*AC85,"")</f>
        <v>0</v>
      </c>
      <c r="I85" s="182">
        <f>_xlfn.IFNA(_xlfn.XLOOKUP(X85,'00_SKU_Master'!$B$2:$B$379,'00_SKU_Master'!$F$2:$F$379,0)*AD85,"")</f>
        <v>0</v>
      </c>
      <c r="J85" s="182">
        <f>_xlfn.IFNA(_xlfn.XLOOKUP(X85,'00_SKU_Master'!$B$2:$B$379,'00_SKU_Master'!$F$2:$F$379,0)*AE85,"")</f>
        <v>0</v>
      </c>
      <c r="K85" s="183">
        <f t="shared" si="5"/>
        <v>0</v>
      </c>
      <c r="L85" s="184" t="str">
        <f>_xlfn.XLOOKUP(X85,'00_SKU_Master'!$B$2:$B$379,'00_SKU_Master'!$K$2:$K$379)</f>
        <v>Fast</v>
      </c>
      <c r="M85" s="185">
        <f t="shared" si="6"/>
        <v>7103</v>
      </c>
      <c r="N85" s="186">
        <f>IFERROR(D85/_xlfn.XLOOKUP($M85,'00_SKU_Master'!$B$2:$B$379,'00_SKU_Master'!$M$2:$M$379,0),"0")</f>
        <v>0</v>
      </c>
      <c r="O85" s="186">
        <f>IFERROR(E85/_xlfn.XLOOKUP($M85,'00_SKU_Master'!$B$2:$B$379,'00_SKU_Master'!$M$2:$M$379,0),"0")</f>
        <v>0</v>
      </c>
      <c r="P85" s="186">
        <f>IFERROR(F85/_xlfn.XLOOKUP($M85,'00_SKU_Master'!$B$2:$B$379,'00_SKU_Master'!$M$2:$M$379,0),"0")</f>
        <v>0</v>
      </c>
      <c r="Q85" s="186">
        <f>IFERROR(G85/_xlfn.XLOOKUP($M85,'00_SKU_Master'!$B$2:$B$379,'00_SKU_Master'!$M$2:$M$379,0),"0")</f>
        <v>0</v>
      </c>
      <c r="R85" s="186">
        <f>IFERROR(H85/_xlfn.XLOOKUP($M85,'00_SKU_Master'!$B$2:$B$379,'00_SKU_Master'!$M$2:$M$379,0),"0")</f>
        <v>0</v>
      </c>
      <c r="S85" s="186">
        <f>IFERROR(I85/_xlfn.XLOOKUP($M85,'00_SKU_Master'!$B$2:$B$379,'00_SKU_Master'!$M$2:$M$379,0),"0")</f>
        <v>0</v>
      </c>
      <c r="T85" s="186">
        <f>IFERROR(J85/_xlfn.XLOOKUP($M85,'00_SKU_Master'!$B$2:$B$379,'00_SKU_Master'!$M$2:$M$379,0),"0")</f>
        <v>0</v>
      </c>
      <c r="U85" s="186">
        <f t="shared" si="7"/>
        <v>0</v>
      </c>
      <c r="V85" s="186" t="str">
        <f>_xlfn.XLOOKUP(M85,'00_SKU_Master'!$B$2:$B$379,'00_SKU_Master'!$D$2:$D$379)</f>
        <v>LCL</v>
      </c>
      <c r="W85" s="1"/>
      <c r="X85" s="2">
        <f>'05_Daily_Orders'!C86</f>
        <v>7103</v>
      </c>
      <c r="Y85" s="289"/>
      <c r="Z85" s="289">
        <v>0</v>
      </c>
      <c r="AA85" s="289">
        <v>0</v>
      </c>
      <c r="AB85" s="289">
        <v>0</v>
      </c>
      <c r="AC85" s="289">
        <v>0</v>
      </c>
      <c r="AD85" s="289">
        <v>0</v>
      </c>
      <c r="AE85" s="289">
        <v>0</v>
      </c>
      <c r="AF85" s="7">
        <f t="shared" si="8"/>
        <v>0</v>
      </c>
      <c r="AQ85" s="70">
        <v>0</v>
      </c>
      <c r="AR85" s="70">
        <v>0</v>
      </c>
      <c r="AS85" s="3">
        <f t="shared" si="9"/>
        <v>0</v>
      </c>
    </row>
    <row r="86" spans="1:45" x14ac:dyDescent="0.35">
      <c r="A86" s="181">
        <f>_xlfn.XLOOKUP(X86,'00_SKU_Master'!$B$2:$B$379,'00_SKU_Master'!$C$2:$C$379)</f>
        <v>61082</v>
      </c>
      <c r="B86" s="181" t="str">
        <f>_xlfn.XLOOKUP(X86,tblSKU[SKU],tblSKU[Product_Group])</f>
        <v>Thigh</v>
      </c>
      <c r="C86" s="181" t="str">
        <f>_xlfn.XLOOKUP(X86,tblSKU[SKU],tblSKU[Tray_Type])</f>
        <v>PET 8</v>
      </c>
      <c r="D86" s="182">
        <f>_xlfn.IFNA(_xlfn.XLOOKUP(X86,'00_SKU_Master'!$B$2:$B$379,'00_SKU_Master'!$F$2:$F$379,0)*Y86,"")</f>
        <v>0</v>
      </c>
      <c r="E86" s="182">
        <f>_xlfn.IFNA(_xlfn.XLOOKUP(X86,'00_SKU_Master'!$B$2:$B$379,'00_SKU_Master'!$F$2:$F$379,0)*Z86,"")</f>
        <v>0</v>
      </c>
      <c r="F86" s="182">
        <f>_xlfn.IFNA(_xlfn.XLOOKUP(X86,'00_SKU_Master'!$B$2:$B$379,'00_SKU_Master'!$F$2:$F$379,0)*AA86,"")</f>
        <v>0</v>
      </c>
      <c r="G86" s="182">
        <f>_xlfn.IFNA(_xlfn.XLOOKUP(X86,'00_SKU_Master'!$B$2:$B$379,'00_SKU_Master'!$F$2:$F$379,0)*AB86,"")</f>
        <v>0</v>
      </c>
      <c r="H86" s="182">
        <f>_xlfn.IFNA(_xlfn.XLOOKUP(X86,'00_SKU_Master'!$B$2:$B$379,'00_SKU_Master'!$F$2:$F$379,0)*AC86,"")</f>
        <v>0</v>
      </c>
      <c r="I86" s="182">
        <f>_xlfn.IFNA(_xlfn.XLOOKUP(X86,'00_SKU_Master'!$B$2:$B$379,'00_SKU_Master'!$F$2:$F$379,0)*AD86,"")</f>
        <v>0</v>
      </c>
      <c r="J86" s="182">
        <f>_xlfn.IFNA(_xlfn.XLOOKUP(X86,'00_SKU_Master'!$B$2:$B$379,'00_SKU_Master'!$F$2:$F$379,0)*AE86,"")</f>
        <v>0</v>
      </c>
      <c r="K86" s="183">
        <f t="shared" si="5"/>
        <v>0</v>
      </c>
      <c r="L86" s="184" t="str">
        <f>_xlfn.XLOOKUP(X86,'00_SKU_Master'!$B$2:$B$379,'00_SKU_Master'!$K$2:$K$379)</f>
        <v>Fast</v>
      </c>
      <c r="M86" s="185">
        <f t="shared" si="6"/>
        <v>7104</v>
      </c>
      <c r="N86" s="186">
        <f>IFERROR(D86/_xlfn.XLOOKUP($M86,'00_SKU_Master'!$B$2:$B$379,'00_SKU_Master'!$M$2:$M$379,0),"0")</f>
        <v>0</v>
      </c>
      <c r="O86" s="186">
        <f>IFERROR(E86/_xlfn.XLOOKUP($M86,'00_SKU_Master'!$B$2:$B$379,'00_SKU_Master'!$M$2:$M$379,0),"0")</f>
        <v>0</v>
      </c>
      <c r="P86" s="186">
        <f>IFERROR(F86/_xlfn.XLOOKUP($M86,'00_SKU_Master'!$B$2:$B$379,'00_SKU_Master'!$M$2:$M$379,0),"0")</f>
        <v>0</v>
      </c>
      <c r="Q86" s="186">
        <f>IFERROR(G86/_xlfn.XLOOKUP($M86,'00_SKU_Master'!$B$2:$B$379,'00_SKU_Master'!$M$2:$M$379,0),"0")</f>
        <v>0</v>
      </c>
      <c r="R86" s="186">
        <f>IFERROR(H86/_xlfn.XLOOKUP($M86,'00_SKU_Master'!$B$2:$B$379,'00_SKU_Master'!$M$2:$M$379,0),"0")</f>
        <v>0</v>
      </c>
      <c r="S86" s="186">
        <f>IFERROR(I86/_xlfn.XLOOKUP($M86,'00_SKU_Master'!$B$2:$B$379,'00_SKU_Master'!$M$2:$M$379,0),"0")</f>
        <v>0</v>
      </c>
      <c r="T86" s="186">
        <f>IFERROR(J86/_xlfn.XLOOKUP($M86,'00_SKU_Master'!$B$2:$B$379,'00_SKU_Master'!$M$2:$M$379,0),"0")</f>
        <v>0</v>
      </c>
      <c r="U86" s="186">
        <f t="shared" si="7"/>
        <v>0</v>
      </c>
      <c r="V86" s="186" t="str">
        <f>_xlfn.XLOOKUP(M86,'00_SKU_Master'!$B$2:$B$379,'00_SKU_Master'!$D$2:$D$379)</f>
        <v>LCL</v>
      </c>
      <c r="W86" s="1"/>
      <c r="X86" s="2">
        <f>'05_Daily_Orders'!C87</f>
        <v>7104</v>
      </c>
      <c r="Y86" s="289"/>
      <c r="Z86" s="289">
        <v>0</v>
      </c>
      <c r="AA86" s="289">
        <v>0</v>
      </c>
      <c r="AB86" s="289">
        <v>0</v>
      </c>
      <c r="AC86" s="289">
        <v>0</v>
      </c>
      <c r="AD86" s="289">
        <v>0</v>
      </c>
      <c r="AE86" s="289">
        <v>0</v>
      </c>
      <c r="AF86" s="7">
        <f t="shared" si="8"/>
        <v>0</v>
      </c>
      <c r="AQ86" s="70">
        <v>0</v>
      </c>
      <c r="AR86" s="70">
        <v>0</v>
      </c>
      <c r="AS86" s="3">
        <f t="shared" si="9"/>
        <v>0</v>
      </c>
    </row>
    <row r="87" spans="1:45" x14ac:dyDescent="0.35">
      <c r="A87" s="181" t="str">
        <f>_xlfn.XLOOKUP(X87,'00_SKU_Master'!$B$2:$B$379,'00_SKU_Master'!$C$2:$C$379)</f>
        <v>61050#2</v>
      </c>
      <c r="B87" s="181" t="str">
        <f>_xlfn.XLOOKUP(X87,tblSKU[SKU],tblSKU[Product_Group])</f>
        <v>BSB</v>
      </c>
      <c r="C87" s="181" t="str">
        <f>_xlfn.XLOOKUP(X87,tblSKU[SKU],tblSKU[Tray_Type])</f>
        <v>PET 8</v>
      </c>
      <c r="D87" s="182">
        <f>_xlfn.IFNA(_xlfn.XLOOKUP(X87,'00_SKU_Master'!$B$2:$B$379,'00_SKU_Master'!$F$2:$F$379,0)*Y87,"")</f>
        <v>0</v>
      </c>
      <c r="E87" s="182">
        <f>_xlfn.IFNA(_xlfn.XLOOKUP(X87,'00_SKU_Master'!$B$2:$B$379,'00_SKU_Master'!$F$2:$F$379,0)*Z87,"")</f>
        <v>0</v>
      </c>
      <c r="F87" s="182">
        <f>_xlfn.IFNA(_xlfn.XLOOKUP(X87,'00_SKU_Master'!$B$2:$B$379,'00_SKU_Master'!$F$2:$F$379,0)*AA87,"")</f>
        <v>0</v>
      </c>
      <c r="G87" s="182">
        <f>_xlfn.IFNA(_xlfn.XLOOKUP(X87,'00_SKU_Master'!$B$2:$B$379,'00_SKU_Master'!$F$2:$F$379,0)*AB87,"")</f>
        <v>0</v>
      </c>
      <c r="H87" s="182">
        <f>_xlfn.IFNA(_xlfn.XLOOKUP(X87,'00_SKU_Master'!$B$2:$B$379,'00_SKU_Master'!$F$2:$F$379,0)*AC87,"")</f>
        <v>0</v>
      </c>
      <c r="I87" s="182">
        <f>_xlfn.IFNA(_xlfn.XLOOKUP(X87,'00_SKU_Master'!$B$2:$B$379,'00_SKU_Master'!$F$2:$F$379,0)*AD87,"")</f>
        <v>0</v>
      </c>
      <c r="J87" s="182">
        <f>_xlfn.IFNA(_xlfn.XLOOKUP(X87,'00_SKU_Master'!$B$2:$B$379,'00_SKU_Master'!$F$2:$F$379,0)*AE87,"")</f>
        <v>0</v>
      </c>
      <c r="K87" s="183">
        <f t="shared" si="5"/>
        <v>0</v>
      </c>
      <c r="L87" s="184" t="str">
        <f>_xlfn.XLOOKUP(X87,'00_SKU_Master'!$B$2:$B$379,'00_SKU_Master'!$K$2:$K$379)</f>
        <v>Fast</v>
      </c>
      <c r="M87" s="185">
        <f t="shared" si="6"/>
        <v>7105</v>
      </c>
      <c r="N87" s="186">
        <f>IFERROR(D87/_xlfn.XLOOKUP($M87,'00_SKU_Master'!$B$2:$B$379,'00_SKU_Master'!$M$2:$M$379,0),"0")</f>
        <v>0</v>
      </c>
      <c r="O87" s="186">
        <f>IFERROR(E87/_xlfn.XLOOKUP($M87,'00_SKU_Master'!$B$2:$B$379,'00_SKU_Master'!$M$2:$M$379,0),"0")</f>
        <v>0</v>
      </c>
      <c r="P87" s="186">
        <f>IFERROR(F87/_xlfn.XLOOKUP($M87,'00_SKU_Master'!$B$2:$B$379,'00_SKU_Master'!$M$2:$M$379,0),"0")</f>
        <v>0</v>
      </c>
      <c r="Q87" s="186">
        <f>IFERROR(G87/_xlfn.XLOOKUP($M87,'00_SKU_Master'!$B$2:$B$379,'00_SKU_Master'!$M$2:$M$379,0),"0")</f>
        <v>0</v>
      </c>
      <c r="R87" s="186">
        <f>IFERROR(H87/_xlfn.XLOOKUP($M87,'00_SKU_Master'!$B$2:$B$379,'00_SKU_Master'!$M$2:$M$379,0),"0")</f>
        <v>0</v>
      </c>
      <c r="S87" s="186">
        <f>IFERROR(I87/_xlfn.XLOOKUP($M87,'00_SKU_Master'!$B$2:$B$379,'00_SKU_Master'!$M$2:$M$379,0),"0")</f>
        <v>0</v>
      </c>
      <c r="T87" s="186">
        <f>IFERROR(J87/_xlfn.XLOOKUP($M87,'00_SKU_Master'!$B$2:$B$379,'00_SKU_Master'!$M$2:$M$379,0),"0")</f>
        <v>0</v>
      </c>
      <c r="U87" s="186">
        <f t="shared" si="7"/>
        <v>0</v>
      </c>
      <c r="V87" s="186" t="str">
        <f>_xlfn.XLOOKUP(M87,'00_SKU_Master'!$B$2:$B$379,'00_SKU_Master'!$D$2:$D$379)</f>
        <v>LCL</v>
      </c>
      <c r="W87" s="1"/>
      <c r="X87" s="2">
        <f>'05_Daily_Orders'!C88</f>
        <v>7105</v>
      </c>
      <c r="Y87" s="289"/>
      <c r="Z87" s="289">
        <v>0</v>
      </c>
      <c r="AA87" s="289">
        <v>0</v>
      </c>
      <c r="AB87" s="289">
        <v>0</v>
      </c>
      <c r="AC87" s="289">
        <v>0</v>
      </c>
      <c r="AD87" s="289">
        <v>0</v>
      </c>
      <c r="AE87" s="289">
        <v>0</v>
      </c>
      <c r="AF87" s="7">
        <f t="shared" si="8"/>
        <v>0</v>
      </c>
      <c r="AQ87" s="70">
        <v>0</v>
      </c>
      <c r="AR87" s="70">
        <v>0</v>
      </c>
      <c r="AS87" s="3">
        <f t="shared" si="9"/>
        <v>0</v>
      </c>
    </row>
    <row r="88" spans="1:45" x14ac:dyDescent="0.35">
      <c r="A88" s="181" t="str">
        <f>_xlfn.XLOOKUP(X88,'00_SKU_Master'!$B$2:$B$379,'00_SKU_Master'!$C$2:$C$379)</f>
        <v>61048#2</v>
      </c>
      <c r="B88" s="181" t="str">
        <f>_xlfn.XLOOKUP(X88,tblSKU[SKU],tblSKU[Product_Group])</f>
        <v>SplitBreast</v>
      </c>
      <c r="C88" s="181" t="str">
        <f>_xlfn.XLOOKUP(X88,tblSKU[SKU],tblSKU[Tray_Type])</f>
        <v>PET 8</v>
      </c>
      <c r="D88" s="182">
        <f>_xlfn.IFNA(_xlfn.XLOOKUP(X88,'00_SKU_Master'!$B$2:$B$379,'00_SKU_Master'!$F$2:$F$379,0)*Y88,"")</f>
        <v>0</v>
      </c>
      <c r="E88" s="182">
        <f>_xlfn.IFNA(_xlfn.XLOOKUP(X88,'00_SKU_Master'!$B$2:$B$379,'00_SKU_Master'!$F$2:$F$379,0)*Z88,"")</f>
        <v>0</v>
      </c>
      <c r="F88" s="182">
        <f>_xlfn.IFNA(_xlfn.XLOOKUP(X88,'00_SKU_Master'!$B$2:$B$379,'00_SKU_Master'!$F$2:$F$379,0)*AA88,"")</f>
        <v>0</v>
      </c>
      <c r="G88" s="182">
        <f>_xlfn.IFNA(_xlfn.XLOOKUP(X88,'00_SKU_Master'!$B$2:$B$379,'00_SKU_Master'!$F$2:$F$379,0)*AB88,"")</f>
        <v>0</v>
      </c>
      <c r="H88" s="182">
        <f>_xlfn.IFNA(_xlfn.XLOOKUP(X88,'00_SKU_Master'!$B$2:$B$379,'00_SKU_Master'!$F$2:$F$379,0)*AC88,"")</f>
        <v>0</v>
      </c>
      <c r="I88" s="182">
        <f>_xlfn.IFNA(_xlfn.XLOOKUP(X88,'00_SKU_Master'!$B$2:$B$379,'00_SKU_Master'!$F$2:$F$379,0)*AD88,"")</f>
        <v>0</v>
      </c>
      <c r="J88" s="182">
        <f>_xlfn.IFNA(_xlfn.XLOOKUP(X88,'00_SKU_Master'!$B$2:$B$379,'00_SKU_Master'!$F$2:$F$379,0)*AE88,"")</f>
        <v>0</v>
      </c>
      <c r="K88" s="183">
        <f t="shared" si="5"/>
        <v>0</v>
      </c>
      <c r="L88" s="184" t="str">
        <f>_xlfn.XLOOKUP(X88,'00_SKU_Master'!$B$2:$B$379,'00_SKU_Master'!$K$2:$K$379)</f>
        <v>Fast</v>
      </c>
      <c r="M88" s="185">
        <f t="shared" si="6"/>
        <v>7107</v>
      </c>
      <c r="N88" s="186">
        <f>IFERROR(D88/_xlfn.XLOOKUP($M88,'00_SKU_Master'!$B$2:$B$379,'00_SKU_Master'!$M$2:$M$379,0),"0")</f>
        <v>0</v>
      </c>
      <c r="O88" s="186">
        <f>IFERROR(E88/_xlfn.XLOOKUP($M88,'00_SKU_Master'!$B$2:$B$379,'00_SKU_Master'!$M$2:$M$379,0),"0")</f>
        <v>0</v>
      </c>
      <c r="P88" s="186">
        <f>IFERROR(F88/_xlfn.XLOOKUP($M88,'00_SKU_Master'!$B$2:$B$379,'00_SKU_Master'!$M$2:$M$379,0),"0")</f>
        <v>0</v>
      </c>
      <c r="Q88" s="186">
        <f>IFERROR(G88/_xlfn.XLOOKUP($M88,'00_SKU_Master'!$B$2:$B$379,'00_SKU_Master'!$M$2:$M$379,0),"0")</f>
        <v>0</v>
      </c>
      <c r="R88" s="186">
        <f>IFERROR(H88/_xlfn.XLOOKUP($M88,'00_SKU_Master'!$B$2:$B$379,'00_SKU_Master'!$M$2:$M$379,0),"0")</f>
        <v>0</v>
      </c>
      <c r="S88" s="186">
        <f>IFERROR(I88/_xlfn.XLOOKUP($M88,'00_SKU_Master'!$B$2:$B$379,'00_SKU_Master'!$M$2:$M$379,0),"0")</f>
        <v>0</v>
      </c>
      <c r="T88" s="186">
        <f>IFERROR(J88/_xlfn.XLOOKUP($M88,'00_SKU_Master'!$B$2:$B$379,'00_SKU_Master'!$M$2:$M$379,0),"0")</f>
        <v>0</v>
      </c>
      <c r="U88" s="186">
        <f t="shared" si="7"/>
        <v>0</v>
      </c>
      <c r="V88" s="186" t="str">
        <f>_xlfn.XLOOKUP(M88,'00_SKU_Master'!$B$2:$B$379,'00_SKU_Master'!$D$2:$D$379)</f>
        <v>LCL</v>
      </c>
      <c r="W88" s="1"/>
      <c r="X88" s="2">
        <f>'05_Daily_Orders'!C89</f>
        <v>7107</v>
      </c>
      <c r="Y88" s="289"/>
      <c r="Z88" s="289">
        <v>0</v>
      </c>
      <c r="AA88" s="289">
        <v>0</v>
      </c>
      <c r="AB88" s="289">
        <v>0</v>
      </c>
      <c r="AC88" s="289">
        <v>0</v>
      </c>
      <c r="AD88" s="289">
        <v>0</v>
      </c>
      <c r="AE88" s="289">
        <v>0</v>
      </c>
      <c r="AF88" s="7">
        <f t="shared" si="8"/>
        <v>0</v>
      </c>
      <c r="AQ88" s="70">
        <v>0</v>
      </c>
      <c r="AR88" s="70">
        <v>0</v>
      </c>
      <c r="AS88" s="3">
        <f t="shared" si="9"/>
        <v>0</v>
      </c>
    </row>
    <row r="89" spans="1:45" x14ac:dyDescent="0.35">
      <c r="A89" s="181" t="str">
        <f>_xlfn.XLOOKUP(X89,'00_SKU_Master'!$B$2:$B$379,'00_SKU_Master'!$C$2:$C$379)</f>
        <v>61072#2</v>
      </c>
      <c r="B89" s="181" t="str">
        <f>_xlfn.XLOOKUP(X89,tblSKU[SKU],tblSKU[Product_Group])</f>
        <v>Drum</v>
      </c>
      <c r="C89" s="181" t="str">
        <f>_xlfn.XLOOKUP(X89,tblSKU[SKU],tblSKU[Tray_Type])</f>
        <v>PET 8</v>
      </c>
      <c r="D89" s="182">
        <f>_xlfn.IFNA(_xlfn.XLOOKUP(X89,'00_SKU_Master'!$B$2:$B$379,'00_SKU_Master'!$F$2:$F$379,0)*Y89,"")</f>
        <v>0</v>
      </c>
      <c r="E89" s="182">
        <f>_xlfn.IFNA(_xlfn.XLOOKUP(X89,'00_SKU_Master'!$B$2:$B$379,'00_SKU_Master'!$F$2:$F$379,0)*Z89,"")</f>
        <v>0</v>
      </c>
      <c r="F89" s="182">
        <f>_xlfn.IFNA(_xlfn.XLOOKUP(X89,'00_SKU_Master'!$B$2:$B$379,'00_SKU_Master'!$F$2:$F$379,0)*AA89,"")</f>
        <v>0</v>
      </c>
      <c r="G89" s="182">
        <f>_xlfn.IFNA(_xlfn.XLOOKUP(X89,'00_SKU_Master'!$B$2:$B$379,'00_SKU_Master'!$F$2:$F$379,0)*AB89,"")</f>
        <v>0</v>
      </c>
      <c r="H89" s="182">
        <f>_xlfn.IFNA(_xlfn.XLOOKUP(X89,'00_SKU_Master'!$B$2:$B$379,'00_SKU_Master'!$F$2:$F$379,0)*AC89,"")</f>
        <v>0</v>
      </c>
      <c r="I89" s="182">
        <f>_xlfn.IFNA(_xlfn.XLOOKUP(X89,'00_SKU_Master'!$B$2:$B$379,'00_SKU_Master'!$F$2:$F$379,0)*AD89,"")</f>
        <v>0</v>
      </c>
      <c r="J89" s="182">
        <f>_xlfn.IFNA(_xlfn.XLOOKUP(X89,'00_SKU_Master'!$B$2:$B$379,'00_SKU_Master'!$F$2:$F$379,0)*AE89,"")</f>
        <v>0</v>
      </c>
      <c r="K89" s="183">
        <f t="shared" si="5"/>
        <v>0</v>
      </c>
      <c r="L89" s="184" t="str">
        <f>_xlfn.XLOOKUP(X89,'00_SKU_Master'!$B$2:$B$379,'00_SKU_Master'!$K$2:$K$379)</f>
        <v>Fast</v>
      </c>
      <c r="M89" s="185">
        <f t="shared" si="6"/>
        <v>7108</v>
      </c>
      <c r="N89" s="186">
        <f>IFERROR(D89/_xlfn.XLOOKUP($M89,'00_SKU_Master'!$B$2:$B$379,'00_SKU_Master'!$M$2:$M$379,0),"0")</f>
        <v>0</v>
      </c>
      <c r="O89" s="186">
        <f>IFERROR(E89/_xlfn.XLOOKUP($M89,'00_SKU_Master'!$B$2:$B$379,'00_SKU_Master'!$M$2:$M$379,0),"0")</f>
        <v>0</v>
      </c>
      <c r="P89" s="186">
        <f>IFERROR(F89/_xlfn.XLOOKUP($M89,'00_SKU_Master'!$B$2:$B$379,'00_SKU_Master'!$M$2:$M$379,0),"0")</f>
        <v>0</v>
      </c>
      <c r="Q89" s="186">
        <f>IFERROR(G89/_xlfn.XLOOKUP($M89,'00_SKU_Master'!$B$2:$B$379,'00_SKU_Master'!$M$2:$M$379,0),"0")</f>
        <v>0</v>
      </c>
      <c r="R89" s="186">
        <f>IFERROR(H89/_xlfn.XLOOKUP($M89,'00_SKU_Master'!$B$2:$B$379,'00_SKU_Master'!$M$2:$M$379,0),"0")</f>
        <v>0</v>
      </c>
      <c r="S89" s="186">
        <f>IFERROR(I89/_xlfn.XLOOKUP($M89,'00_SKU_Master'!$B$2:$B$379,'00_SKU_Master'!$M$2:$M$379,0),"0")</f>
        <v>0</v>
      </c>
      <c r="T89" s="186">
        <f>IFERROR(J89/_xlfn.XLOOKUP($M89,'00_SKU_Master'!$B$2:$B$379,'00_SKU_Master'!$M$2:$M$379,0),"0")</f>
        <v>0</v>
      </c>
      <c r="U89" s="186">
        <f t="shared" si="7"/>
        <v>0</v>
      </c>
      <c r="V89" s="186" t="str">
        <f>_xlfn.XLOOKUP(M89,'00_SKU_Master'!$B$2:$B$379,'00_SKU_Master'!$D$2:$D$379)</f>
        <v>LCL</v>
      </c>
      <c r="W89" s="1"/>
      <c r="X89" s="2">
        <f>'05_Daily_Orders'!C90</f>
        <v>7108</v>
      </c>
      <c r="Y89" s="289"/>
      <c r="Z89" s="289">
        <v>0</v>
      </c>
      <c r="AA89" s="289">
        <v>0</v>
      </c>
      <c r="AB89" s="289">
        <v>0</v>
      </c>
      <c r="AC89" s="289">
        <v>0</v>
      </c>
      <c r="AD89" s="289">
        <v>0</v>
      </c>
      <c r="AE89" s="289">
        <v>0</v>
      </c>
      <c r="AF89" s="7">
        <f t="shared" si="8"/>
        <v>0</v>
      </c>
      <c r="AQ89" s="70">
        <v>0</v>
      </c>
      <c r="AR89" s="70">
        <v>0</v>
      </c>
      <c r="AS89" s="3">
        <f t="shared" si="9"/>
        <v>0</v>
      </c>
    </row>
    <row r="90" spans="1:45" x14ac:dyDescent="0.35">
      <c r="A90" s="181" t="str">
        <f>_xlfn.XLOOKUP(X90,'00_SKU_Master'!$B$2:$B$379,'00_SKU_Master'!$C$2:$C$379)</f>
        <v>61040#2</v>
      </c>
      <c r="B90" s="181" t="str">
        <f>_xlfn.XLOOKUP(X90,tblSKU[SKU],tblSKU[Product_Group])</f>
        <v>SplitBreast</v>
      </c>
      <c r="C90" s="181" t="str">
        <f>_xlfn.XLOOKUP(X90,tblSKU[SKU],tblSKU[Tray_Type])</f>
        <v>PET 8</v>
      </c>
      <c r="D90" s="182">
        <f>_xlfn.IFNA(_xlfn.XLOOKUP(X90,'00_SKU_Master'!$B$2:$B$379,'00_SKU_Master'!$F$2:$F$379,0)*Y90,"")</f>
        <v>0</v>
      </c>
      <c r="E90" s="182">
        <f>_xlfn.IFNA(_xlfn.XLOOKUP(X90,'00_SKU_Master'!$B$2:$B$379,'00_SKU_Master'!$F$2:$F$379,0)*Z90,"")</f>
        <v>0</v>
      </c>
      <c r="F90" s="182">
        <f>_xlfn.IFNA(_xlfn.XLOOKUP(X90,'00_SKU_Master'!$B$2:$B$379,'00_SKU_Master'!$F$2:$F$379,0)*AA90,"")</f>
        <v>0</v>
      </c>
      <c r="G90" s="182">
        <f>_xlfn.IFNA(_xlfn.XLOOKUP(X90,'00_SKU_Master'!$B$2:$B$379,'00_SKU_Master'!$F$2:$F$379,0)*AB90,"")</f>
        <v>0</v>
      </c>
      <c r="H90" s="182">
        <f>_xlfn.IFNA(_xlfn.XLOOKUP(X90,'00_SKU_Master'!$B$2:$B$379,'00_SKU_Master'!$F$2:$F$379,0)*AC90,"")</f>
        <v>0</v>
      </c>
      <c r="I90" s="182">
        <f>_xlfn.IFNA(_xlfn.XLOOKUP(X90,'00_SKU_Master'!$B$2:$B$379,'00_SKU_Master'!$F$2:$F$379,0)*AD90,"")</f>
        <v>0</v>
      </c>
      <c r="J90" s="182">
        <f>_xlfn.IFNA(_xlfn.XLOOKUP(X90,'00_SKU_Master'!$B$2:$B$379,'00_SKU_Master'!$F$2:$F$379,0)*AE90,"")</f>
        <v>0</v>
      </c>
      <c r="K90" s="183">
        <f t="shared" si="5"/>
        <v>0</v>
      </c>
      <c r="L90" s="184" t="str">
        <f>_xlfn.XLOOKUP(X90,'00_SKU_Master'!$B$2:$B$379,'00_SKU_Master'!$K$2:$K$379)</f>
        <v>Fast</v>
      </c>
      <c r="M90" s="185">
        <f t="shared" si="6"/>
        <v>7109</v>
      </c>
      <c r="N90" s="186">
        <f>IFERROR(D90/_xlfn.XLOOKUP($M90,'00_SKU_Master'!$B$2:$B$379,'00_SKU_Master'!$M$2:$M$379,0),"0")</f>
        <v>0</v>
      </c>
      <c r="O90" s="186">
        <f>IFERROR(E90/_xlfn.XLOOKUP($M90,'00_SKU_Master'!$B$2:$B$379,'00_SKU_Master'!$M$2:$M$379,0),"0")</f>
        <v>0</v>
      </c>
      <c r="P90" s="186">
        <f>IFERROR(F90/_xlfn.XLOOKUP($M90,'00_SKU_Master'!$B$2:$B$379,'00_SKU_Master'!$M$2:$M$379,0),"0")</f>
        <v>0</v>
      </c>
      <c r="Q90" s="186">
        <f>IFERROR(G90/_xlfn.XLOOKUP($M90,'00_SKU_Master'!$B$2:$B$379,'00_SKU_Master'!$M$2:$M$379,0),"0")</f>
        <v>0</v>
      </c>
      <c r="R90" s="186">
        <f>IFERROR(H90/_xlfn.XLOOKUP($M90,'00_SKU_Master'!$B$2:$B$379,'00_SKU_Master'!$M$2:$M$379,0),"0")</f>
        <v>0</v>
      </c>
      <c r="S90" s="186">
        <f>IFERROR(I90/_xlfn.XLOOKUP($M90,'00_SKU_Master'!$B$2:$B$379,'00_SKU_Master'!$M$2:$M$379,0),"0")</f>
        <v>0</v>
      </c>
      <c r="T90" s="186">
        <f>IFERROR(J90/_xlfn.XLOOKUP($M90,'00_SKU_Master'!$B$2:$B$379,'00_SKU_Master'!$M$2:$M$379,0),"0")</f>
        <v>0</v>
      </c>
      <c r="U90" s="186">
        <f t="shared" si="7"/>
        <v>0</v>
      </c>
      <c r="V90" s="186" t="str">
        <f>_xlfn.XLOOKUP(M90,'00_SKU_Master'!$B$2:$B$379,'00_SKU_Master'!$D$2:$D$379)</f>
        <v>LCL</v>
      </c>
      <c r="W90" s="1"/>
      <c r="X90" s="2">
        <f>'05_Daily_Orders'!C91</f>
        <v>7109</v>
      </c>
      <c r="Y90" s="289"/>
      <c r="Z90" s="289">
        <v>0</v>
      </c>
      <c r="AA90" s="289">
        <v>0</v>
      </c>
      <c r="AB90" s="289">
        <v>0</v>
      </c>
      <c r="AC90" s="289">
        <v>0</v>
      </c>
      <c r="AD90" s="289">
        <v>0</v>
      </c>
      <c r="AE90" s="289">
        <v>0</v>
      </c>
      <c r="AF90" s="7">
        <f t="shared" si="8"/>
        <v>0</v>
      </c>
      <c r="AQ90" s="70">
        <v>0</v>
      </c>
      <c r="AR90" s="70">
        <v>0</v>
      </c>
      <c r="AS90" s="3">
        <f t="shared" si="9"/>
        <v>0</v>
      </c>
    </row>
    <row r="91" spans="1:45" x14ac:dyDescent="0.35">
      <c r="A91" s="181" t="str">
        <f>_xlfn.XLOOKUP(X91,'00_SKU_Master'!$B$2:$B$379,'00_SKU_Master'!$C$2:$C$379)</f>
        <v>61072#2</v>
      </c>
      <c r="B91" s="181" t="str">
        <f>_xlfn.XLOOKUP(X91,tblSKU[SKU],tblSKU[Product_Group])</f>
        <v>Drum</v>
      </c>
      <c r="C91" s="181" t="str">
        <f>_xlfn.XLOOKUP(X91,tblSKU[SKU],tblSKU[Tray_Type])</f>
        <v>PET 8</v>
      </c>
      <c r="D91" s="182">
        <f>_xlfn.IFNA(_xlfn.XLOOKUP(X91,'00_SKU_Master'!$B$2:$B$379,'00_SKU_Master'!$F$2:$F$379,0)*Y91,"")</f>
        <v>0</v>
      </c>
      <c r="E91" s="182">
        <f>_xlfn.IFNA(_xlfn.XLOOKUP(X91,'00_SKU_Master'!$B$2:$B$379,'00_SKU_Master'!$F$2:$F$379,0)*Z91,"")</f>
        <v>0</v>
      </c>
      <c r="F91" s="182">
        <f>_xlfn.IFNA(_xlfn.XLOOKUP(X91,'00_SKU_Master'!$B$2:$B$379,'00_SKU_Master'!$F$2:$F$379,0)*AA91,"")</f>
        <v>0</v>
      </c>
      <c r="G91" s="182">
        <f>_xlfn.IFNA(_xlfn.XLOOKUP(X91,'00_SKU_Master'!$B$2:$B$379,'00_SKU_Master'!$F$2:$F$379,0)*AB91,"")</f>
        <v>0</v>
      </c>
      <c r="H91" s="182">
        <f>_xlfn.IFNA(_xlfn.XLOOKUP(X91,'00_SKU_Master'!$B$2:$B$379,'00_SKU_Master'!$F$2:$F$379,0)*AC91,"")</f>
        <v>0</v>
      </c>
      <c r="I91" s="182">
        <f>_xlfn.IFNA(_xlfn.XLOOKUP(X91,'00_SKU_Master'!$B$2:$B$379,'00_SKU_Master'!$F$2:$F$379,0)*AD91,"")</f>
        <v>0</v>
      </c>
      <c r="J91" s="182">
        <f>_xlfn.IFNA(_xlfn.XLOOKUP(X91,'00_SKU_Master'!$B$2:$B$379,'00_SKU_Master'!$F$2:$F$379,0)*AE91,"")</f>
        <v>0</v>
      </c>
      <c r="K91" s="183">
        <f t="shared" si="5"/>
        <v>0</v>
      </c>
      <c r="L91" s="184" t="str">
        <f>_xlfn.XLOOKUP(X91,'00_SKU_Master'!$B$2:$B$379,'00_SKU_Master'!$K$2:$K$379)</f>
        <v>Fast</v>
      </c>
      <c r="M91" s="185">
        <f t="shared" si="6"/>
        <v>7115</v>
      </c>
      <c r="N91" s="186">
        <f>IFERROR(D91/_xlfn.XLOOKUP($M91,'00_SKU_Master'!$B$2:$B$379,'00_SKU_Master'!$M$2:$M$379,0),"0")</f>
        <v>0</v>
      </c>
      <c r="O91" s="186">
        <f>IFERROR(E91/_xlfn.XLOOKUP($M91,'00_SKU_Master'!$B$2:$B$379,'00_SKU_Master'!$M$2:$M$379,0),"0")</f>
        <v>0</v>
      </c>
      <c r="P91" s="186">
        <f>IFERROR(F91/_xlfn.XLOOKUP($M91,'00_SKU_Master'!$B$2:$B$379,'00_SKU_Master'!$M$2:$M$379,0),"0")</f>
        <v>0</v>
      </c>
      <c r="Q91" s="186">
        <f>IFERROR(G91/_xlfn.XLOOKUP($M91,'00_SKU_Master'!$B$2:$B$379,'00_SKU_Master'!$M$2:$M$379,0),"0")</f>
        <v>0</v>
      </c>
      <c r="R91" s="186">
        <f>IFERROR(H91/_xlfn.XLOOKUP($M91,'00_SKU_Master'!$B$2:$B$379,'00_SKU_Master'!$M$2:$M$379,0),"0")</f>
        <v>0</v>
      </c>
      <c r="S91" s="186">
        <f>IFERROR(I91/_xlfn.XLOOKUP($M91,'00_SKU_Master'!$B$2:$B$379,'00_SKU_Master'!$M$2:$M$379,0),"0")</f>
        <v>0</v>
      </c>
      <c r="T91" s="186">
        <f>IFERROR(J91/_xlfn.XLOOKUP($M91,'00_SKU_Master'!$B$2:$B$379,'00_SKU_Master'!$M$2:$M$379,0),"0")</f>
        <v>0</v>
      </c>
      <c r="U91" s="186">
        <f t="shared" si="7"/>
        <v>0</v>
      </c>
      <c r="V91" s="186" t="str">
        <f>_xlfn.XLOOKUP(M91,'00_SKU_Master'!$B$2:$B$379,'00_SKU_Master'!$D$2:$D$379)</f>
        <v>LCL</v>
      </c>
      <c r="W91" s="1"/>
      <c r="X91" s="2">
        <f>'05_Daily_Orders'!C92</f>
        <v>7115</v>
      </c>
      <c r="Y91" s="289"/>
      <c r="Z91" s="289">
        <v>0</v>
      </c>
      <c r="AA91" s="289">
        <v>0</v>
      </c>
      <c r="AB91" s="289">
        <v>0</v>
      </c>
      <c r="AC91" s="289">
        <v>0</v>
      </c>
      <c r="AD91" s="289">
        <v>0</v>
      </c>
      <c r="AE91" s="289">
        <v>0</v>
      </c>
      <c r="AF91" s="7">
        <f t="shared" si="8"/>
        <v>0</v>
      </c>
      <c r="AQ91" s="70">
        <v>0</v>
      </c>
      <c r="AR91" s="70">
        <v>0</v>
      </c>
      <c r="AS91" s="3">
        <f t="shared" si="9"/>
        <v>0</v>
      </c>
    </row>
    <row r="92" spans="1:45" x14ac:dyDescent="0.35">
      <c r="A92" s="181">
        <f>_xlfn.XLOOKUP(X92,'00_SKU_Master'!$B$2:$B$379,'00_SKU_Master'!$C$2:$C$379)</f>
        <v>61082</v>
      </c>
      <c r="B92" s="181" t="str">
        <f>_xlfn.XLOOKUP(X92,tblSKU[SKU],tblSKU[Product_Group])</f>
        <v>Thigh</v>
      </c>
      <c r="C92" s="181" t="str">
        <f>_xlfn.XLOOKUP(X92,tblSKU[SKU],tblSKU[Tray_Type])</f>
        <v>PET 8</v>
      </c>
      <c r="D92" s="182">
        <f>_xlfn.IFNA(_xlfn.XLOOKUP(X92,'00_SKU_Master'!$B$2:$B$379,'00_SKU_Master'!$F$2:$F$379,0)*Y92,"")</f>
        <v>0</v>
      </c>
      <c r="E92" s="182">
        <f>_xlfn.IFNA(_xlfn.XLOOKUP(X92,'00_SKU_Master'!$B$2:$B$379,'00_SKU_Master'!$F$2:$F$379,0)*Z92,"")</f>
        <v>0</v>
      </c>
      <c r="F92" s="182">
        <f>_xlfn.IFNA(_xlfn.XLOOKUP(X92,'00_SKU_Master'!$B$2:$B$379,'00_SKU_Master'!$F$2:$F$379,0)*AA92,"")</f>
        <v>0</v>
      </c>
      <c r="G92" s="182">
        <f>_xlfn.IFNA(_xlfn.XLOOKUP(X92,'00_SKU_Master'!$B$2:$B$379,'00_SKU_Master'!$F$2:$F$379,0)*AB92,"")</f>
        <v>0</v>
      </c>
      <c r="H92" s="182">
        <f>_xlfn.IFNA(_xlfn.XLOOKUP(X92,'00_SKU_Master'!$B$2:$B$379,'00_SKU_Master'!$F$2:$F$379,0)*AC92,"")</f>
        <v>0</v>
      </c>
      <c r="I92" s="182">
        <f>_xlfn.IFNA(_xlfn.XLOOKUP(X92,'00_SKU_Master'!$B$2:$B$379,'00_SKU_Master'!$F$2:$F$379,0)*AD92,"")</f>
        <v>0</v>
      </c>
      <c r="J92" s="182">
        <f>_xlfn.IFNA(_xlfn.XLOOKUP(X92,'00_SKU_Master'!$B$2:$B$379,'00_SKU_Master'!$F$2:$F$379,0)*AE92,"")</f>
        <v>0</v>
      </c>
      <c r="K92" s="183">
        <f t="shared" si="5"/>
        <v>0</v>
      </c>
      <c r="L92" s="184" t="str">
        <f>_xlfn.XLOOKUP(X92,'00_SKU_Master'!$B$2:$B$379,'00_SKU_Master'!$K$2:$K$379)</f>
        <v>Fast</v>
      </c>
      <c r="M92" s="185">
        <f t="shared" si="6"/>
        <v>7116</v>
      </c>
      <c r="N92" s="186">
        <f>IFERROR(D92/_xlfn.XLOOKUP($M92,'00_SKU_Master'!$B$2:$B$379,'00_SKU_Master'!$M$2:$M$379,0),"0")</f>
        <v>0</v>
      </c>
      <c r="O92" s="186">
        <f>IFERROR(E92/_xlfn.XLOOKUP($M92,'00_SKU_Master'!$B$2:$B$379,'00_SKU_Master'!$M$2:$M$379,0),"0")</f>
        <v>0</v>
      </c>
      <c r="P92" s="186">
        <f>IFERROR(F92/_xlfn.XLOOKUP($M92,'00_SKU_Master'!$B$2:$B$379,'00_SKU_Master'!$M$2:$M$379,0),"0")</f>
        <v>0</v>
      </c>
      <c r="Q92" s="186">
        <f>IFERROR(G92/_xlfn.XLOOKUP($M92,'00_SKU_Master'!$B$2:$B$379,'00_SKU_Master'!$M$2:$M$379,0),"0")</f>
        <v>0</v>
      </c>
      <c r="R92" s="186">
        <f>IFERROR(H92/_xlfn.XLOOKUP($M92,'00_SKU_Master'!$B$2:$B$379,'00_SKU_Master'!$M$2:$M$379,0),"0")</f>
        <v>0</v>
      </c>
      <c r="S92" s="186">
        <f>IFERROR(I92/_xlfn.XLOOKUP($M92,'00_SKU_Master'!$B$2:$B$379,'00_SKU_Master'!$M$2:$M$379,0),"0")</f>
        <v>0</v>
      </c>
      <c r="T92" s="186">
        <f>IFERROR(J92/_xlfn.XLOOKUP($M92,'00_SKU_Master'!$B$2:$B$379,'00_SKU_Master'!$M$2:$M$379,0),"0")</f>
        <v>0</v>
      </c>
      <c r="U92" s="186">
        <f t="shared" si="7"/>
        <v>0</v>
      </c>
      <c r="V92" s="186" t="str">
        <f>_xlfn.XLOOKUP(M92,'00_SKU_Master'!$B$2:$B$379,'00_SKU_Master'!$D$2:$D$379)</f>
        <v>LCL</v>
      </c>
      <c r="W92" s="1"/>
      <c r="X92" s="2">
        <f>'05_Daily_Orders'!C93</f>
        <v>7116</v>
      </c>
      <c r="Y92" s="289"/>
      <c r="Z92" s="289">
        <v>0</v>
      </c>
      <c r="AA92" s="289">
        <v>0</v>
      </c>
      <c r="AB92" s="289">
        <v>0</v>
      </c>
      <c r="AC92" s="289">
        <v>0</v>
      </c>
      <c r="AD92" s="289">
        <v>0</v>
      </c>
      <c r="AE92" s="289">
        <v>0</v>
      </c>
      <c r="AF92" s="7">
        <f t="shared" si="8"/>
        <v>0</v>
      </c>
      <c r="AQ92" s="70">
        <v>0</v>
      </c>
      <c r="AR92" s="70">
        <v>0</v>
      </c>
      <c r="AS92" s="3">
        <f t="shared" si="9"/>
        <v>0</v>
      </c>
    </row>
    <row r="93" spans="1:45" x14ac:dyDescent="0.35">
      <c r="A93" s="181" t="str">
        <f>_xlfn.XLOOKUP(X93,'00_SKU_Master'!$B$2:$B$379,'00_SKU_Master'!$C$2:$C$379)</f>
        <v>61040#2</v>
      </c>
      <c r="B93" s="181" t="str">
        <f>_xlfn.XLOOKUP(X93,tblSKU[SKU],tblSKU[Product_Group])</f>
        <v>SplitBreast</v>
      </c>
      <c r="C93" s="181" t="str">
        <f>_xlfn.XLOOKUP(X93,tblSKU[SKU],tblSKU[Tray_Type])</f>
        <v>PET 8</v>
      </c>
      <c r="D93" s="182">
        <f>_xlfn.IFNA(_xlfn.XLOOKUP(X93,'00_SKU_Master'!$B$2:$B$379,'00_SKU_Master'!$F$2:$F$379,0)*Y93,"")</f>
        <v>0</v>
      </c>
      <c r="E93" s="182">
        <f>_xlfn.IFNA(_xlfn.XLOOKUP(X93,'00_SKU_Master'!$B$2:$B$379,'00_SKU_Master'!$F$2:$F$379,0)*Z93,"")</f>
        <v>0</v>
      </c>
      <c r="F93" s="182">
        <f>_xlfn.IFNA(_xlfn.XLOOKUP(X93,'00_SKU_Master'!$B$2:$B$379,'00_SKU_Master'!$F$2:$F$379,0)*AA93,"")</f>
        <v>0</v>
      </c>
      <c r="G93" s="182">
        <f>_xlfn.IFNA(_xlfn.XLOOKUP(X93,'00_SKU_Master'!$B$2:$B$379,'00_SKU_Master'!$F$2:$F$379,0)*AB93,"")</f>
        <v>0</v>
      </c>
      <c r="H93" s="182">
        <f>_xlfn.IFNA(_xlfn.XLOOKUP(X93,'00_SKU_Master'!$B$2:$B$379,'00_SKU_Master'!$F$2:$F$379,0)*AC93,"")</f>
        <v>0</v>
      </c>
      <c r="I93" s="182">
        <f>_xlfn.IFNA(_xlfn.XLOOKUP(X93,'00_SKU_Master'!$B$2:$B$379,'00_SKU_Master'!$F$2:$F$379,0)*AD93,"")</f>
        <v>0</v>
      </c>
      <c r="J93" s="182">
        <f>_xlfn.IFNA(_xlfn.XLOOKUP(X93,'00_SKU_Master'!$B$2:$B$379,'00_SKU_Master'!$F$2:$F$379,0)*AE93,"")</f>
        <v>0</v>
      </c>
      <c r="K93" s="183">
        <f t="shared" si="5"/>
        <v>0</v>
      </c>
      <c r="L93" s="184" t="str">
        <f>_xlfn.XLOOKUP(X93,'00_SKU_Master'!$B$2:$B$379,'00_SKU_Master'!$K$2:$K$379)</f>
        <v>Fast</v>
      </c>
      <c r="M93" s="185">
        <f t="shared" si="6"/>
        <v>7117</v>
      </c>
      <c r="N93" s="186">
        <f>IFERROR(D93/_xlfn.XLOOKUP($M93,'00_SKU_Master'!$B$2:$B$379,'00_SKU_Master'!$M$2:$M$379,0),"0")</f>
        <v>0</v>
      </c>
      <c r="O93" s="186">
        <f>IFERROR(E93/_xlfn.XLOOKUP($M93,'00_SKU_Master'!$B$2:$B$379,'00_SKU_Master'!$M$2:$M$379,0),"0")</f>
        <v>0</v>
      </c>
      <c r="P93" s="186">
        <f>IFERROR(F93/_xlfn.XLOOKUP($M93,'00_SKU_Master'!$B$2:$B$379,'00_SKU_Master'!$M$2:$M$379,0),"0")</f>
        <v>0</v>
      </c>
      <c r="Q93" s="186">
        <f>IFERROR(G93/_xlfn.XLOOKUP($M93,'00_SKU_Master'!$B$2:$B$379,'00_SKU_Master'!$M$2:$M$379,0),"0")</f>
        <v>0</v>
      </c>
      <c r="R93" s="186">
        <f>IFERROR(H93/_xlfn.XLOOKUP($M93,'00_SKU_Master'!$B$2:$B$379,'00_SKU_Master'!$M$2:$M$379,0),"0")</f>
        <v>0</v>
      </c>
      <c r="S93" s="186">
        <f>IFERROR(I93/_xlfn.XLOOKUP($M93,'00_SKU_Master'!$B$2:$B$379,'00_SKU_Master'!$M$2:$M$379,0),"0")</f>
        <v>0</v>
      </c>
      <c r="T93" s="186">
        <f>IFERROR(J93/_xlfn.XLOOKUP($M93,'00_SKU_Master'!$B$2:$B$379,'00_SKU_Master'!$M$2:$M$379,0),"0")</f>
        <v>0</v>
      </c>
      <c r="U93" s="186">
        <f t="shared" si="7"/>
        <v>0</v>
      </c>
      <c r="V93" s="186" t="str">
        <f>_xlfn.XLOOKUP(M93,'00_SKU_Master'!$B$2:$B$379,'00_SKU_Master'!$D$2:$D$379)</f>
        <v>LCL</v>
      </c>
      <c r="W93" s="1"/>
      <c r="X93" s="2">
        <f>'05_Daily_Orders'!C94</f>
        <v>7117</v>
      </c>
      <c r="Y93" s="289"/>
      <c r="Z93" s="289">
        <v>0</v>
      </c>
      <c r="AA93" s="289">
        <v>0</v>
      </c>
      <c r="AB93" s="289">
        <v>0</v>
      </c>
      <c r="AC93" s="289">
        <v>0</v>
      </c>
      <c r="AD93" s="289">
        <v>0</v>
      </c>
      <c r="AE93" s="289">
        <v>0</v>
      </c>
      <c r="AF93" s="7">
        <f t="shared" si="8"/>
        <v>0</v>
      </c>
      <c r="AQ93" s="70">
        <v>0</v>
      </c>
      <c r="AR93" s="70">
        <v>0</v>
      </c>
      <c r="AS93" s="3">
        <f t="shared" si="9"/>
        <v>0</v>
      </c>
    </row>
    <row r="94" spans="1:45" x14ac:dyDescent="0.35">
      <c r="A94" s="181" t="str">
        <f>_xlfn.XLOOKUP(X94,'00_SKU_Master'!$B$2:$B$379,'00_SKU_Master'!$C$2:$C$379)</f>
        <v>61048#2</v>
      </c>
      <c r="B94" s="181" t="str">
        <f>_xlfn.XLOOKUP(X94,tblSKU[SKU],tblSKU[Product_Group])</f>
        <v>SplitBreast</v>
      </c>
      <c r="C94" s="181" t="str">
        <f>_xlfn.XLOOKUP(X94,tblSKU[SKU],tblSKU[Tray_Type])</f>
        <v>PET 8</v>
      </c>
      <c r="D94" s="182">
        <f>_xlfn.IFNA(_xlfn.XLOOKUP(X94,'00_SKU_Master'!$B$2:$B$379,'00_SKU_Master'!$F$2:$F$379,0)*Y94,"")</f>
        <v>0</v>
      </c>
      <c r="E94" s="182">
        <f>_xlfn.IFNA(_xlfn.XLOOKUP(X94,'00_SKU_Master'!$B$2:$B$379,'00_SKU_Master'!$F$2:$F$379,0)*Z94,"")</f>
        <v>0</v>
      </c>
      <c r="F94" s="182">
        <f>_xlfn.IFNA(_xlfn.XLOOKUP(X94,'00_SKU_Master'!$B$2:$B$379,'00_SKU_Master'!$F$2:$F$379,0)*AA94,"")</f>
        <v>0</v>
      </c>
      <c r="G94" s="182">
        <f>_xlfn.IFNA(_xlfn.XLOOKUP(X94,'00_SKU_Master'!$B$2:$B$379,'00_SKU_Master'!$F$2:$F$379,0)*AB94,"")</f>
        <v>0</v>
      </c>
      <c r="H94" s="182">
        <f>_xlfn.IFNA(_xlfn.XLOOKUP(X94,'00_SKU_Master'!$B$2:$B$379,'00_SKU_Master'!$F$2:$F$379,0)*AC94,"")</f>
        <v>0</v>
      </c>
      <c r="I94" s="182">
        <f>_xlfn.IFNA(_xlfn.XLOOKUP(X94,'00_SKU_Master'!$B$2:$B$379,'00_SKU_Master'!$F$2:$F$379,0)*AD94,"")</f>
        <v>0</v>
      </c>
      <c r="J94" s="182">
        <f>_xlfn.IFNA(_xlfn.XLOOKUP(X94,'00_SKU_Master'!$B$2:$B$379,'00_SKU_Master'!$F$2:$F$379,0)*AE94,"")</f>
        <v>0</v>
      </c>
      <c r="K94" s="183">
        <f t="shared" si="5"/>
        <v>0</v>
      </c>
      <c r="L94" s="184" t="str">
        <f>_xlfn.XLOOKUP(X94,'00_SKU_Master'!$B$2:$B$379,'00_SKU_Master'!$K$2:$K$379)</f>
        <v>Fast</v>
      </c>
      <c r="M94" s="185">
        <f t="shared" si="6"/>
        <v>7118</v>
      </c>
      <c r="N94" s="186">
        <f>IFERROR(D94/_xlfn.XLOOKUP($M94,'00_SKU_Master'!$B$2:$B$379,'00_SKU_Master'!$M$2:$M$379,0),"0")</f>
        <v>0</v>
      </c>
      <c r="O94" s="186">
        <f>IFERROR(E94/_xlfn.XLOOKUP($M94,'00_SKU_Master'!$B$2:$B$379,'00_SKU_Master'!$M$2:$M$379,0),"0")</f>
        <v>0</v>
      </c>
      <c r="P94" s="186">
        <f>IFERROR(F94/_xlfn.XLOOKUP($M94,'00_SKU_Master'!$B$2:$B$379,'00_SKU_Master'!$M$2:$M$379,0),"0")</f>
        <v>0</v>
      </c>
      <c r="Q94" s="186">
        <f>IFERROR(G94/_xlfn.XLOOKUP($M94,'00_SKU_Master'!$B$2:$B$379,'00_SKU_Master'!$M$2:$M$379,0),"0")</f>
        <v>0</v>
      </c>
      <c r="R94" s="186">
        <f>IFERROR(H94/_xlfn.XLOOKUP($M94,'00_SKU_Master'!$B$2:$B$379,'00_SKU_Master'!$M$2:$M$379,0),"0")</f>
        <v>0</v>
      </c>
      <c r="S94" s="186">
        <f>IFERROR(I94/_xlfn.XLOOKUP($M94,'00_SKU_Master'!$B$2:$B$379,'00_SKU_Master'!$M$2:$M$379,0),"0")</f>
        <v>0</v>
      </c>
      <c r="T94" s="186">
        <f>IFERROR(J94/_xlfn.XLOOKUP($M94,'00_SKU_Master'!$B$2:$B$379,'00_SKU_Master'!$M$2:$M$379,0),"0")</f>
        <v>0</v>
      </c>
      <c r="U94" s="186">
        <f t="shared" si="7"/>
        <v>0</v>
      </c>
      <c r="V94" s="186" t="str">
        <f>_xlfn.XLOOKUP(M94,'00_SKU_Master'!$B$2:$B$379,'00_SKU_Master'!$D$2:$D$379)</f>
        <v>LCL</v>
      </c>
      <c r="W94" s="1"/>
      <c r="X94" s="2">
        <f>'05_Daily_Orders'!C95</f>
        <v>7118</v>
      </c>
      <c r="Y94" s="289"/>
      <c r="Z94" s="289">
        <v>0</v>
      </c>
      <c r="AA94" s="289">
        <v>0</v>
      </c>
      <c r="AB94" s="289">
        <v>0</v>
      </c>
      <c r="AC94" s="289">
        <v>0</v>
      </c>
      <c r="AD94" s="289">
        <v>0</v>
      </c>
      <c r="AE94" s="289">
        <v>0</v>
      </c>
      <c r="AF94" s="7">
        <f t="shared" si="8"/>
        <v>0</v>
      </c>
      <c r="AQ94" s="70">
        <v>0</v>
      </c>
      <c r="AR94" s="70">
        <v>0</v>
      </c>
      <c r="AS94" s="3">
        <f t="shared" si="9"/>
        <v>0</v>
      </c>
    </row>
    <row r="95" spans="1:45" x14ac:dyDescent="0.35">
      <c r="A95" s="181" t="str">
        <f>_xlfn.XLOOKUP(X95,'00_SKU_Master'!$B$2:$B$379,'00_SKU_Master'!$C$2:$C$379)</f>
        <v>61048#2</v>
      </c>
      <c r="B95" s="181" t="str">
        <f>_xlfn.XLOOKUP(X95,tblSKU[SKU],tblSKU[Product_Group])</f>
        <v>SplitBreast</v>
      </c>
      <c r="C95" s="181" t="str">
        <f>_xlfn.XLOOKUP(X95,tblSKU[SKU],tblSKU[Tray_Type])</f>
        <v>PET 8</v>
      </c>
      <c r="D95" s="182">
        <f>_xlfn.IFNA(_xlfn.XLOOKUP(X95,'00_SKU_Master'!$B$2:$B$379,'00_SKU_Master'!$F$2:$F$379,0)*Y95,"")</f>
        <v>0</v>
      </c>
      <c r="E95" s="182">
        <f>_xlfn.IFNA(_xlfn.XLOOKUP(X95,'00_SKU_Master'!$B$2:$B$379,'00_SKU_Master'!$F$2:$F$379,0)*Z95,"")</f>
        <v>0</v>
      </c>
      <c r="F95" s="182">
        <f>_xlfn.IFNA(_xlfn.XLOOKUP(X95,'00_SKU_Master'!$B$2:$B$379,'00_SKU_Master'!$F$2:$F$379,0)*AA95,"")</f>
        <v>0</v>
      </c>
      <c r="G95" s="182">
        <f>_xlfn.IFNA(_xlfn.XLOOKUP(X95,'00_SKU_Master'!$B$2:$B$379,'00_SKU_Master'!$F$2:$F$379,0)*AB95,"")</f>
        <v>0</v>
      </c>
      <c r="H95" s="182">
        <f>_xlfn.IFNA(_xlfn.XLOOKUP(X95,'00_SKU_Master'!$B$2:$B$379,'00_SKU_Master'!$F$2:$F$379,0)*AC95,"")</f>
        <v>0</v>
      </c>
      <c r="I95" s="182">
        <f>_xlfn.IFNA(_xlfn.XLOOKUP(X95,'00_SKU_Master'!$B$2:$B$379,'00_SKU_Master'!$F$2:$F$379,0)*AD95,"")</f>
        <v>0</v>
      </c>
      <c r="J95" s="182">
        <f>_xlfn.IFNA(_xlfn.XLOOKUP(X95,'00_SKU_Master'!$B$2:$B$379,'00_SKU_Master'!$F$2:$F$379,0)*AE95,"")</f>
        <v>0</v>
      </c>
      <c r="K95" s="183">
        <f t="shared" si="5"/>
        <v>0</v>
      </c>
      <c r="L95" s="184" t="str">
        <f>_xlfn.XLOOKUP(X95,'00_SKU_Master'!$B$2:$B$379,'00_SKU_Master'!$K$2:$K$379)</f>
        <v>Fast</v>
      </c>
      <c r="M95" s="185">
        <f t="shared" si="6"/>
        <v>7119</v>
      </c>
      <c r="N95" s="186">
        <f>IFERROR(D95/_xlfn.XLOOKUP($M95,'00_SKU_Master'!$B$2:$B$379,'00_SKU_Master'!$M$2:$M$379,0),"0")</f>
        <v>0</v>
      </c>
      <c r="O95" s="186">
        <f>IFERROR(E95/_xlfn.XLOOKUP($M95,'00_SKU_Master'!$B$2:$B$379,'00_SKU_Master'!$M$2:$M$379,0),"0")</f>
        <v>0</v>
      </c>
      <c r="P95" s="186">
        <f>IFERROR(F95/_xlfn.XLOOKUP($M95,'00_SKU_Master'!$B$2:$B$379,'00_SKU_Master'!$M$2:$M$379,0),"0")</f>
        <v>0</v>
      </c>
      <c r="Q95" s="186">
        <f>IFERROR(G95/_xlfn.XLOOKUP($M95,'00_SKU_Master'!$B$2:$B$379,'00_SKU_Master'!$M$2:$M$379,0),"0")</f>
        <v>0</v>
      </c>
      <c r="R95" s="186">
        <f>IFERROR(H95/_xlfn.XLOOKUP($M95,'00_SKU_Master'!$B$2:$B$379,'00_SKU_Master'!$M$2:$M$379,0),"0")</f>
        <v>0</v>
      </c>
      <c r="S95" s="186">
        <f>IFERROR(I95/_xlfn.XLOOKUP($M95,'00_SKU_Master'!$B$2:$B$379,'00_SKU_Master'!$M$2:$M$379,0),"0")</f>
        <v>0</v>
      </c>
      <c r="T95" s="186">
        <f>IFERROR(J95/_xlfn.XLOOKUP($M95,'00_SKU_Master'!$B$2:$B$379,'00_SKU_Master'!$M$2:$M$379,0),"0")</f>
        <v>0</v>
      </c>
      <c r="U95" s="186">
        <f t="shared" si="7"/>
        <v>0</v>
      </c>
      <c r="V95" s="186" t="str">
        <f>_xlfn.XLOOKUP(M95,'00_SKU_Master'!$B$2:$B$379,'00_SKU_Master'!$D$2:$D$379)</f>
        <v>LCL</v>
      </c>
      <c r="W95" s="1"/>
      <c r="X95" s="2">
        <f>'05_Daily_Orders'!C96</f>
        <v>7119</v>
      </c>
      <c r="Y95" s="289"/>
      <c r="Z95" s="289">
        <v>0</v>
      </c>
      <c r="AA95" s="289">
        <v>0</v>
      </c>
      <c r="AB95" s="289">
        <v>0</v>
      </c>
      <c r="AC95" s="289">
        <v>0</v>
      </c>
      <c r="AD95" s="289">
        <v>0</v>
      </c>
      <c r="AE95" s="289">
        <v>0</v>
      </c>
      <c r="AF95" s="7">
        <f t="shared" si="8"/>
        <v>0</v>
      </c>
      <c r="AQ95" s="70">
        <v>0</v>
      </c>
      <c r="AR95" s="70">
        <v>0</v>
      </c>
      <c r="AS95" s="3">
        <f t="shared" si="9"/>
        <v>0</v>
      </c>
    </row>
    <row r="96" spans="1:45" x14ac:dyDescent="0.35">
      <c r="A96" s="181" t="str">
        <f>_xlfn.XLOOKUP(X96,'00_SKU_Master'!$B$2:$B$379,'00_SKU_Master'!$C$2:$C$379)</f>
        <v>61086#2</v>
      </c>
      <c r="B96" s="181" t="str">
        <f>_xlfn.XLOOKUP(X96,tblSKU[SKU],tblSKU[Product_Group])</f>
        <v>ThighMeat</v>
      </c>
      <c r="C96" s="181" t="str">
        <f>_xlfn.XLOOKUP(X96,tblSKU[SKU],tblSKU[Tray_Type])</f>
        <v>PET 8</v>
      </c>
      <c r="D96" s="182">
        <f>_xlfn.IFNA(_xlfn.XLOOKUP(X96,'00_SKU_Master'!$B$2:$B$379,'00_SKU_Master'!$F$2:$F$379,0)*Y96,"")</f>
        <v>0</v>
      </c>
      <c r="E96" s="182">
        <f>_xlfn.IFNA(_xlfn.XLOOKUP(X96,'00_SKU_Master'!$B$2:$B$379,'00_SKU_Master'!$F$2:$F$379,0)*Z96,"")</f>
        <v>0</v>
      </c>
      <c r="F96" s="182">
        <f>_xlfn.IFNA(_xlfn.XLOOKUP(X96,'00_SKU_Master'!$B$2:$B$379,'00_SKU_Master'!$F$2:$F$379,0)*AA96,"")</f>
        <v>0</v>
      </c>
      <c r="G96" s="182">
        <f>_xlfn.IFNA(_xlfn.XLOOKUP(X96,'00_SKU_Master'!$B$2:$B$379,'00_SKU_Master'!$F$2:$F$379,0)*AB96,"")</f>
        <v>0</v>
      </c>
      <c r="H96" s="182">
        <f>_xlfn.IFNA(_xlfn.XLOOKUP(X96,'00_SKU_Master'!$B$2:$B$379,'00_SKU_Master'!$F$2:$F$379,0)*AC96,"")</f>
        <v>0</v>
      </c>
      <c r="I96" s="182">
        <f>_xlfn.IFNA(_xlfn.XLOOKUP(X96,'00_SKU_Master'!$B$2:$B$379,'00_SKU_Master'!$F$2:$F$379,0)*AD96,"")</f>
        <v>0</v>
      </c>
      <c r="J96" s="182">
        <f>_xlfn.IFNA(_xlfn.XLOOKUP(X96,'00_SKU_Master'!$B$2:$B$379,'00_SKU_Master'!$F$2:$F$379,0)*AE96,"")</f>
        <v>0</v>
      </c>
      <c r="K96" s="183">
        <f t="shared" si="5"/>
        <v>0</v>
      </c>
      <c r="L96" s="184" t="str">
        <f>_xlfn.XLOOKUP(X96,'00_SKU_Master'!$B$2:$B$379,'00_SKU_Master'!$K$2:$K$379)</f>
        <v>Slow</v>
      </c>
      <c r="M96" s="185">
        <f t="shared" si="6"/>
        <v>7120</v>
      </c>
      <c r="N96" s="186">
        <f>IFERROR(D96/_xlfn.XLOOKUP($M96,'00_SKU_Master'!$B$2:$B$379,'00_SKU_Master'!$M$2:$M$379,0),"0")</f>
        <v>0</v>
      </c>
      <c r="O96" s="186">
        <f>IFERROR(E96/_xlfn.XLOOKUP($M96,'00_SKU_Master'!$B$2:$B$379,'00_SKU_Master'!$M$2:$M$379,0),"0")</f>
        <v>0</v>
      </c>
      <c r="P96" s="186">
        <f>IFERROR(F96/_xlfn.XLOOKUP($M96,'00_SKU_Master'!$B$2:$B$379,'00_SKU_Master'!$M$2:$M$379,0),"0")</f>
        <v>0</v>
      </c>
      <c r="Q96" s="186">
        <f>IFERROR(G96/_xlfn.XLOOKUP($M96,'00_SKU_Master'!$B$2:$B$379,'00_SKU_Master'!$M$2:$M$379,0),"0")</f>
        <v>0</v>
      </c>
      <c r="R96" s="186">
        <f>IFERROR(H96/_xlfn.XLOOKUP($M96,'00_SKU_Master'!$B$2:$B$379,'00_SKU_Master'!$M$2:$M$379,0),"0")</f>
        <v>0</v>
      </c>
      <c r="S96" s="186">
        <f>IFERROR(I96/_xlfn.XLOOKUP($M96,'00_SKU_Master'!$B$2:$B$379,'00_SKU_Master'!$M$2:$M$379,0),"0")</f>
        <v>0</v>
      </c>
      <c r="T96" s="186">
        <f>IFERROR(J96/_xlfn.XLOOKUP($M96,'00_SKU_Master'!$B$2:$B$379,'00_SKU_Master'!$M$2:$M$379,0),"0")</f>
        <v>0</v>
      </c>
      <c r="U96" s="186">
        <f t="shared" si="7"/>
        <v>0</v>
      </c>
      <c r="V96" s="186" t="str">
        <f>_xlfn.XLOOKUP(M96,'00_SKU_Master'!$B$2:$B$379,'00_SKU_Master'!$D$2:$D$379)</f>
        <v>LCL</v>
      </c>
      <c r="W96" s="1"/>
      <c r="X96" s="2">
        <f>'05_Daily_Orders'!C97</f>
        <v>7120</v>
      </c>
      <c r="Y96" s="289"/>
      <c r="Z96" s="289">
        <v>0</v>
      </c>
      <c r="AA96" s="289">
        <v>0</v>
      </c>
      <c r="AB96" s="289">
        <v>0</v>
      </c>
      <c r="AC96" s="289">
        <v>0</v>
      </c>
      <c r="AD96" s="289">
        <v>0</v>
      </c>
      <c r="AE96" s="289">
        <v>0</v>
      </c>
      <c r="AF96" s="7">
        <f t="shared" si="8"/>
        <v>0</v>
      </c>
      <c r="AQ96" s="70">
        <v>0</v>
      </c>
      <c r="AR96" s="70">
        <v>0</v>
      </c>
      <c r="AS96" s="3">
        <f t="shared" si="9"/>
        <v>0</v>
      </c>
    </row>
    <row r="97" spans="1:45" x14ac:dyDescent="0.35">
      <c r="A97" s="181">
        <f>_xlfn.XLOOKUP(X97,'00_SKU_Master'!$B$2:$B$379,'00_SKU_Master'!$C$2:$C$379)</f>
        <v>203041</v>
      </c>
      <c r="B97" s="181" t="str">
        <f>_xlfn.XLOOKUP(X97,tblSKU[SKU],tblSKU[Product_Group])</f>
        <v>SplitBreast</v>
      </c>
      <c r="C97" s="181" t="str">
        <f>_xlfn.XLOOKUP(X97,tblSKU[SKU],tblSKU[Tray_Type])</f>
        <v>PET 8</v>
      </c>
      <c r="D97" s="182">
        <f>_xlfn.IFNA(_xlfn.XLOOKUP(X97,'00_SKU_Master'!$B$2:$B$379,'00_SKU_Master'!$F$2:$F$379,0)*Y97,"")</f>
        <v>0</v>
      </c>
      <c r="E97" s="182">
        <f>_xlfn.IFNA(_xlfn.XLOOKUP(X97,'00_SKU_Master'!$B$2:$B$379,'00_SKU_Master'!$F$2:$F$379,0)*Z97,"")</f>
        <v>0</v>
      </c>
      <c r="F97" s="182">
        <f>_xlfn.IFNA(_xlfn.XLOOKUP(X97,'00_SKU_Master'!$B$2:$B$379,'00_SKU_Master'!$F$2:$F$379,0)*AA97,"")</f>
        <v>0</v>
      </c>
      <c r="G97" s="182">
        <f>_xlfn.IFNA(_xlfn.XLOOKUP(X97,'00_SKU_Master'!$B$2:$B$379,'00_SKU_Master'!$F$2:$F$379,0)*AB97,"")</f>
        <v>0</v>
      </c>
      <c r="H97" s="182">
        <f>_xlfn.IFNA(_xlfn.XLOOKUP(X97,'00_SKU_Master'!$B$2:$B$379,'00_SKU_Master'!$F$2:$F$379,0)*AC97,"")</f>
        <v>0</v>
      </c>
      <c r="I97" s="182">
        <f>_xlfn.IFNA(_xlfn.XLOOKUP(X97,'00_SKU_Master'!$B$2:$B$379,'00_SKU_Master'!$F$2:$F$379,0)*AD97,"")</f>
        <v>0</v>
      </c>
      <c r="J97" s="182">
        <f>_xlfn.IFNA(_xlfn.XLOOKUP(X97,'00_SKU_Master'!$B$2:$B$379,'00_SKU_Master'!$F$2:$F$379,0)*AE97,"")</f>
        <v>0</v>
      </c>
      <c r="K97" s="183">
        <f t="shared" si="5"/>
        <v>0</v>
      </c>
      <c r="L97" s="184" t="str">
        <f>_xlfn.XLOOKUP(X97,'00_SKU_Master'!$B$2:$B$379,'00_SKU_Master'!$K$2:$K$379)</f>
        <v>Fast</v>
      </c>
      <c r="M97" s="185">
        <f t="shared" si="6"/>
        <v>7121</v>
      </c>
      <c r="N97" s="186" t="str">
        <f>IFERROR(D97/_xlfn.XLOOKUP($M97,'00_SKU_Master'!$B$2:$B$379,'00_SKU_Master'!$M$2:$M$379,0),"0")</f>
        <v>0</v>
      </c>
      <c r="O97" s="186" t="str">
        <f>IFERROR(E97/_xlfn.XLOOKUP($M97,'00_SKU_Master'!$B$2:$B$379,'00_SKU_Master'!$M$2:$M$379,0),"0")</f>
        <v>0</v>
      </c>
      <c r="P97" s="186" t="str">
        <f>IFERROR(F97/_xlfn.XLOOKUP($M97,'00_SKU_Master'!$B$2:$B$379,'00_SKU_Master'!$M$2:$M$379,0),"0")</f>
        <v>0</v>
      </c>
      <c r="Q97" s="186" t="str">
        <f>IFERROR(G97/_xlfn.XLOOKUP($M97,'00_SKU_Master'!$B$2:$B$379,'00_SKU_Master'!$M$2:$M$379,0),"0")</f>
        <v>0</v>
      </c>
      <c r="R97" s="186" t="str">
        <f>IFERROR(H97/_xlfn.XLOOKUP($M97,'00_SKU_Master'!$B$2:$B$379,'00_SKU_Master'!$M$2:$M$379,0),"0")</f>
        <v>0</v>
      </c>
      <c r="S97" s="186" t="str">
        <f>IFERROR(I97/_xlfn.XLOOKUP($M97,'00_SKU_Master'!$B$2:$B$379,'00_SKU_Master'!$M$2:$M$379,0),"0")</f>
        <v>0</v>
      </c>
      <c r="T97" s="186" t="str">
        <f>IFERROR(J97/_xlfn.XLOOKUP($M97,'00_SKU_Master'!$B$2:$B$379,'00_SKU_Master'!$M$2:$M$379,0),"0")</f>
        <v>0</v>
      </c>
      <c r="U97" s="186">
        <f t="shared" si="7"/>
        <v>0</v>
      </c>
      <c r="V97" s="186" t="str">
        <f>_xlfn.XLOOKUP(M97,'00_SKU_Master'!$B$2:$B$379,'00_SKU_Master'!$D$2:$D$379)</f>
        <v>LCL</v>
      </c>
      <c r="W97" s="1"/>
      <c r="X97" s="2">
        <f>'05_Daily_Orders'!C98</f>
        <v>7121</v>
      </c>
      <c r="Y97" s="289"/>
      <c r="Z97" s="289">
        <v>0</v>
      </c>
      <c r="AA97" s="289">
        <v>0</v>
      </c>
      <c r="AB97" s="289">
        <v>0</v>
      </c>
      <c r="AC97" s="289">
        <v>0</v>
      </c>
      <c r="AD97" s="289">
        <v>0</v>
      </c>
      <c r="AE97" s="289">
        <v>0</v>
      </c>
      <c r="AF97" s="7">
        <f t="shared" si="8"/>
        <v>0</v>
      </c>
      <c r="AQ97" s="70">
        <v>0</v>
      </c>
      <c r="AR97" s="70">
        <v>0</v>
      </c>
      <c r="AS97" s="3">
        <f t="shared" si="9"/>
        <v>0</v>
      </c>
    </row>
    <row r="98" spans="1:45" x14ac:dyDescent="0.35">
      <c r="A98" s="181" t="str">
        <f>_xlfn.XLOOKUP(X98,'00_SKU_Master'!$B$2:$B$379,'00_SKU_Master'!$C$2:$C$379)</f>
        <v>61072#2</v>
      </c>
      <c r="B98" s="181" t="str">
        <f>_xlfn.XLOOKUP(X98,tblSKU[SKU],tblSKU[Product_Group])</f>
        <v>Drum</v>
      </c>
      <c r="C98" s="181" t="str">
        <f>_xlfn.XLOOKUP(X98,tblSKU[SKU],tblSKU[Tray_Type])</f>
        <v>PET 8</v>
      </c>
      <c r="D98" s="182">
        <f>_xlfn.IFNA(_xlfn.XLOOKUP(X98,'00_SKU_Master'!$B$2:$B$379,'00_SKU_Master'!$F$2:$F$379,0)*Y98,"")</f>
        <v>0</v>
      </c>
      <c r="E98" s="182">
        <f>_xlfn.IFNA(_xlfn.XLOOKUP(X98,'00_SKU_Master'!$B$2:$B$379,'00_SKU_Master'!$F$2:$F$379,0)*Z98,"")</f>
        <v>0</v>
      </c>
      <c r="F98" s="182">
        <f>_xlfn.IFNA(_xlfn.XLOOKUP(X98,'00_SKU_Master'!$B$2:$B$379,'00_SKU_Master'!$F$2:$F$379,0)*AA98,"")</f>
        <v>0</v>
      </c>
      <c r="G98" s="182">
        <f>_xlfn.IFNA(_xlfn.XLOOKUP(X98,'00_SKU_Master'!$B$2:$B$379,'00_SKU_Master'!$F$2:$F$379,0)*AB98,"")</f>
        <v>0</v>
      </c>
      <c r="H98" s="182">
        <f>_xlfn.IFNA(_xlfn.XLOOKUP(X98,'00_SKU_Master'!$B$2:$B$379,'00_SKU_Master'!$F$2:$F$379,0)*AC98,"")</f>
        <v>0</v>
      </c>
      <c r="I98" s="182">
        <f>_xlfn.IFNA(_xlfn.XLOOKUP(X98,'00_SKU_Master'!$B$2:$B$379,'00_SKU_Master'!$F$2:$F$379,0)*AD98,"")</f>
        <v>0</v>
      </c>
      <c r="J98" s="182">
        <f>_xlfn.IFNA(_xlfn.XLOOKUP(X98,'00_SKU_Master'!$B$2:$B$379,'00_SKU_Master'!$F$2:$F$379,0)*AE98,"")</f>
        <v>0</v>
      </c>
      <c r="K98" s="183">
        <f t="shared" si="5"/>
        <v>0</v>
      </c>
      <c r="L98" s="184" t="str">
        <f>_xlfn.XLOOKUP(X98,'00_SKU_Master'!$B$2:$B$379,'00_SKU_Master'!$K$2:$K$379)</f>
        <v>Fast</v>
      </c>
      <c r="M98" s="185">
        <f t="shared" si="6"/>
        <v>7136</v>
      </c>
      <c r="N98" s="186">
        <f>IFERROR(D98/_xlfn.XLOOKUP($M98,'00_SKU_Master'!$B$2:$B$379,'00_SKU_Master'!$M$2:$M$379,0),"0")</f>
        <v>0</v>
      </c>
      <c r="O98" s="186">
        <f>IFERROR(E98/_xlfn.XLOOKUP($M98,'00_SKU_Master'!$B$2:$B$379,'00_SKU_Master'!$M$2:$M$379,0),"0")</f>
        <v>0</v>
      </c>
      <c r="P98" s="186">
        <f>IFERROR(F98/_xlfn.XLOOKUP($M98,'00_SKU_Master'!$B$2:$B$379,'00_SKU_Master'!$M$2:$M$379,0),"0")</f>
        <v>0</v>
      </c>
      <c r="Q98" s="186">
        <f>IFERROR(G98/_xlfn.XLOOKUP($M98,'00_SKU_Master'!$B$2:$B$379,'00_SKU_Master'!$M$2:$M$379,0),"0")</f>
        <v>0</v>
      </c>
      <c r="R98" s="186">
        <f>IFERROR(H98/_xlfn.XLOOKUP($M98,'00_SKU_Master'!$B$2:$B$379,'00_SKU_Master'!$M$2:$M$379,0),"0")</f>
        <v>0</v>
      </c>
      <c r="S98" s="186">
        <f>IFERROR(I98/_xlfn.XLOOKUP($M98,'00_SKU_Master'!$B$2:$B$379,'00_SKU_Master'!$M$2:$M$379,0),"0")</f>
        <v>0</v>
      </c>
      <c r="T98" s="186">
        <f>IFERROR(J98/_xlfn.XLOOKUP($M98,'00_SKU_Master'!$B$2:$B$379,'00_SKU_Master'!$M$2:$M$379,0),"0")</f>
        <v>0</v>
      </c>
      <c r="U98" s="186">
        <f t="shared" si="7"/>
        <v>0</v>
      </c>
      <c r="V98" s="186" t="str">
        <f>_xlfn.XLOOKUP(M98,'00_SKU_Master'!$B$2:$B$379,'00_SKU_Master'!$D$2:$D$379)</f>
        <v>LCL</v>
      </c>
      <c r="W98" s="1"/>
      <c r="X98" s="2">
        <f>'05_Daily_Orders'!C99</f>
        <v>7136</v>
      </c>
      <c r="Y98" s="289"/>
      <c r="Z98" s="289">
        <v>0</v>
      </c>
      <c r="AA98" s="289">
        <v>0</v>
      </c>
      <c r="AB98" s="289">
        <v>0</v>
      </c>
      <c r="AC98" s="289">
        <v>0</v>
      </c>
      <c r="AD98" s="289">
        <v>0</v>
      </c>
      <c r="AE98" s="289">
        <v>0</v>
      </c>
      <c r="AF98" s="7">
        <f t="shared" si="8"/>
        <v>0</v>
      </c>
      <c r="AQ98" s="70">
        <v>0</v>
      </c>
      <c r="AR98" s="70">
        <v>0</v>
      </c>
      <c r="AS98" s="3">
        <f t="shared" si="9"/>
        <v>0</v>
      </c>
    </row>
    <row r="99" spans="1:45" x14ac:dyDescent="0.35">
      <c r="A99" s="181">
        <f>_xlfn.XLOOKUP(X99,'00_SKU_Master'!$B$2:$B$379,'00_SKU_Master'!$C$2:$C$379)</f>
        <v>61082</v>
      </c>
      <c r="B99" s="181" t="str">
        <f>_xlfn.XLOOKUP(X99,tblSKU[SKU],tblSKU[Product_Group])</f>
        <v>Thigh</v>
      </c>
      <c r="C99" s="181" t="str">
        <f>_xlfn.XLOOKUP(X99,tblSKU[SKU],tblSKU[Tray_Type])</f>
        <v>PET 8</v>
      </c>
      <c r="D99" s="182">
        <f>_xlfn.IFNA(_xlfn.XLOOKUP(X99,'00_SKU_Master'!$B$2:$B$379,'00_SKU_Master'!$F$2:$F$379,0)*Y99,"")</f>
        <v>0</v>
      </c>
      <c r="E99" s="182">
        <f>_xlfn.IFNA(_xlfn.XLOOKUP(X99,'00_SKU_Master'!$B$2:$B$379,'00_SKU_Master'!$F$2:$F$379,0)*Z99,"")</f>
        <v>0</v>
      </c>
      <c r="F99" s="182">
        <f>_xlfn.IFNA(_xlfn.XLOOKUP(X99,'00_SKU_Master'!$B$2:$B$379,'00_SKU_Master'!$F$2:$F$379,0)*AA99,"")</f>
        <v>0</v>
      </c>
      <c r="G99" s="182">
        <f>_xlfn.IFNA(_xlfn.XLOOKUP(X99,'00_SKU_Master'!$B$2:$B$379,'00_SKU_Master'!$F$2:$F$379,0)*AB99,"")</f>
        <v>0</v>
      </c>
      <c r="H99" s="182">
        <f>_xlfn.IFNA(_xlfn.XLOOKUP(X99,'00_SKU_Master'!$B$2:$B$379,'00_SKU_Master'!$F$2:$F$379,0)*AC99,"")</f>
        <v>0</v>
      </c>
      <c r="I99" s="182">
        <f>_xlfn.IFNA(_xlfn.XLOOKUP(X99,'00_SKU_Master'!$B$2:$B$379,'00_SKU_Master'!$F$2:$F$379,0)*AD99,"")</f>
        <v>0</v>
      </c>
      <c r="J99" s="182">
        <f>_xlfn.IFNA(_xlfn.XLOOKUP(X99,'00_SKU_Master'!$B$2:$B$379,'00_SKU_Master'!$F$2:$F$379,0)*AE99,"")</f>
        <v>0</v>
      </c>
      <c r="K99" s="183">
        <f t="shared" si="5"/>
        <v>0</v>
      </c>
      <c r="L99" s="184" t="str">
        <f>_xlfn.XLOOKUP(X99,'00_SKU_Master'!$B$2:$B$379,'00_SKU_Master'!$K$2:$K$379)</f>
        <v>Fast</v>
      </c>
      <c r="M99" s="185">
        <f t="shared" si="6"/>
        <v>7137</v>
      </c>
      <c r="N99" s="186">
        <f>IFERROR(D99/_xlfn.XLOOKUP($M99,'00_SKU_Master'!$B$2:$B$379,'00_SKU_Master'!$M$2:$M$379,0),"0")</f>
        <v>0</v>
      </c>
      <c r="O99" s="186">
        <f>IFERROR(E99/_xlfn.XLOOKUP($M99,'00_SKU_Master'!$B$2:$B$379,'00_SKU_Master'!$M$2:$M$379,0),"0")</f>
        <v>0</v>
      </c>
      <c r="P99" s="186">
        <f>IFERROR(F99/_xlfn.XLOOKUP($M99,'00_SKU_Master'!$B$2:$B$379,'00_SKU_Master'!$M$2:$M$379,0),"0")</f>
        <v>0</v>
      </c>
      <c r="Q99" s="186">
        <f>IFERROR(G99/_xlfn.XLOOKUP($M99,'00_SKU_Master'!$B$2:$B$379,'00_SKU_Master'!$M$2:$M$379,0),"0")</f>
        <v>0</v>
      </c>
      <c r="R99" s="186">
        <f>IFERROR(H99/_xlfn.XLOOKUP($M99,'00_SKU_Master'!$B$2:$B$379,'00_SKU_Master'!$M$2:$M$379,0),"0")</f>
        <v>0</v>
      </c>
      <c r="S99" s="186">
        <f>IFERROR(I99/_xlfn.XLOOKUP($M99,'00_SKU_Master'!$B$2:$B$379,'00_SKU_Master'!$M$2:$M$379,0),"0")</f>
        <v>0</v>
      </c>
      <c r="T99" s="186">
        <f>IFERROR(J99/_xlfn.XLOOKUP($M99,'00_SKU_Master'!$B$2:$B$379,'00_SKU_Master'!$M$2:$M$379,0),"0")</f>
        <v>0</v>
      </c>
      <c r="U99" s="186">
        <f t="shared" si="7"/>
        <v>0</v>
      </c>
      <c r="V99" s="186" t="str">
        <f>_xlfn.XLOOKUP(M99,'00_SKU_Master'!$B$2:$B$379,'00_SKU_Master'!$D$2:$D$379)</f>
        <v>LCL</v>
      </c>
      <c r="W99" s="1"/>
      <c r="X99" s="2">
        <f>'05_Daily_Orders'!C100</f>
        <v>7137</v>
      </c>
      <c r="Y99" s="289"/>
      <c r="Z99" s="289">
        <v>0</v>
      </c>
      <c r="AA99" s="289">
        <v>0</v>
      </c>
      <c r="AB99" s="289">
        <v>0</v>
      </c>
      <c r="AC99" s="289">
        <v>0</v>
      </c>
      <c r="AD99" s="289">
        <v>0</v>
      </c>
      <c r="AE99" s="289">
        <v>0</v>
      </c>
      <c r="AF99" s="7">
        <f t="shared" si="8"/>
        <v>0</v>
      </c>
      <c r="AQ99" s="70">
        <v>0</v>
      </c>
      <c r="AR99" s="70">
        <v>0</v>
      </c>
      <c r="AS99" s="3">
        <f t="shared" si="9"/>
        <v>0</v>
      </c>
    </row>
    <row r="100" spans="1:45" x14ac:dyDescent="0.35">
      <c r="A100" s="181" t="str">
        <f>_xlfn.XLOOKUP(X100,'00_SKU_Master'!$B$2:$B$379,'00_SKU_Master'!$C$2:$C$379)</f>
        <v>61048#2</v>
      </c>
      <c r="B100" s="181" t="str">
        <f>_xlfn.XLOOKUP(X100,tblSKU[SKU],tblSKU[Product_Group])</f>
        <v>SplitBreast</v>
      </c>
      <c r="C100" s="181" t="str">
        <f>_xlfn.XLOOKUP(X100,tblSKU[SKU],tblSKU[Tray_Type])</f>
        <v>LT 14D</v>
      </c>
      <c r="D100" s="182">
        <f>_xlfn.IFNA(_xlfn.XLOOKUP(X100,'00_SKU_Master'!$B$2:$B$379,'00_SKU_Master'!$F$2:$F$379,0)*Y100,"")</f>
        <v>0</v>
      </c>
      <c r="E100" s="182">
        <f>_xlfn.IFNA(_xlfn.XLOOKUP(X100,'00_SKU_Master'!$B$2:$B$379,'00_SKU_Master'!$F$2:$F$379,0)*Z100,"")</f>
        <v>0</v>
      </c>
      <c r="F100" s="182">
        <f>_xlfn.IFNA(_xlfn.XLOOKUP(X100,'00_SKU_Master'!$B$2:$B$379,'00_SKU_Master'!$F$2:$F$379,0)*AA100,"")</f>
        <v>0</v>
      </c>
      <c r="G100" s="182">
        <f>_xlfn.IFNA(_xlfn.XLOOKUP(X100,'00_SKU_Master'!$B$2:$B$379,'00_SKU_Master'!$F$2:$F$379,0)*AB100,"")</f>
        <v>0</v>
      </c>
      <c r="H100" s="182">
        <f>_xlfn.IFNA(_xlfn.XLOOKUP(X100,'00_SKU_Master'!$B$2:$B$379,'00_SKU_Master'!$F$2:$F$379,0)*AC100,"")</f>
        <v>0</v>
      </c>
      <c r="I100" s="182">
        <f>_xlfn.IFNA(_xlfn.XLOOKUP(X100,'00_SKU_Master'!$B$2:$B$379,'00_SKU_Master'!$F$2:$F$379,0)*AD100,"")</f>
        <v>0</v>
      </c>
      <c r="J100" s="182">
        <f>_xlfn.IFNA(_xlfn.XLOOKUP(X100,'00_SKU_Master'!$B$2:$B$379,'00_SKU_Master'!$F$2:$F$379,0)*AE100,"")</f>
        <v>0</v>
      </c>
      <c r="K100" s="183">
        <f t="shared" si="5"/>
        <v>0</v>
      </c>
      <c r="L100" s="184" t="str">
        <f>_xlfn.XLOOKUP(X100,'00_SKU_Master'!$B$2:$B$379,'00_SKU_Master'!$K$2:$K$379)</f>
        <v>Fast</v>
      </c>
      <c r="M100" s="185">
        <f t="shared" si="6"/>
        <v>7145</v>
      </c>
      <c r="N100" s="186">
        <f>IFERROR(D100/_xlfn.XLOOKUP($M100,'00_SKU_Master'!$B$2:$B$379,'00_SKU_Master'!$M$2:$M$379,0),"0")</f>
        <v>0</v>
      </c>
      <c r="O100" s="186">
        <f>IFERROR(E100/_xlfn.XLOOKUP($M100,'00_SKU_Master'!$B$2:$B$379,'00_SKU_Master'!$M$2:$M$379,0),"0")</f>
        <v>0</v>
      </c>
      <c r="P100" s="186">
        <f>IFERROR(F100/_xlfn.XLOOKUP($M100,'00_SKU_Master'!$B$2:$B$379,'00_SKU_Master'!$M$2:$M$379,0),"0")</f>
        <v>0</v>
      </c>
      <c r="Q100" s="186">
        <f>IFERROR(G100/_xlfn.XLOOKUP($M100,'00_SKU_Master'!$B$2:$B$379,'00_SKU_Master'!$M$2:$M$379,0),"0")</f>
        <v>0</v>
      </c>
      <c r="R100" s="186">
        <f>IFERROR(H100/_xlfn.XLOOKUP($M100,'00_SKU_Master'!$B$2:$B$379,'00_SKU_Master'!$M$2:$M$379,0),"0")</f>
        <v>0</v>
      </c>
      <c r="S100" s="186">
        <f>IFERROR(I100/_xlfn.XLOOKUP($M100,'00_SKU_Master'!$B$2:$B$379,'00_SKU_Master'!$M$2:$M$379,0),"0")</f>
        <v>0</v>
      </c>
      <c r="T100" s="186">
        <f>IFERROR(J100/_xlfn.XLOOKUP($M100,'00_SKU_Master'!$B$2:$B$379,'00_SKU_Master'!$M$2:$M$379,0),"0")</f>
        <v>0</v>
      </c>
      <c r="U100" s="186">
        <f t="shared" si="7"/>
        <v>0</v>
      </c>
      <c r="V100" s="186" t="str">
        <f>_xlfn.XLOOKUP(M100,'00_SKU_Master'!$B$2:$B$379,'00_SKU_Master'!$D$2:$D$379)</f>
        <v>LCL</v>
      </c>
      <c r="W100" s="1"/>
      <c r="X100" s="2">
        <f>'05_Daily_Orders'!C101</f>
        <v>7145</v>
      </c>
      <c r="Y100" s="289"/>
      <c r="Z100" s="289">
        <v>0</v>
      </c>
      <c r="AA100" s="289">
        <v>0</v>
      </c>
      <c r="AB100" s="289">
        <v>0</v>
      </c>
      <c r="AC100" s="289">
        <v>0</v>
      </c>
      <c r="AD100" s="289">
        <v>0</v>
      </c>
      <c r="AE100" s="289">
        <v>0</v>
      </c>
      <c r="AF100" s="7">
        <f t="shared" si="8"/>
        <v>0</v>
      </c>
      <c r="AQ100" s="70">
        <v>0</v>
      </c>
      <c r="AR100" s="70">
        <v>0</v>
      </c>
      <c r="AS100" s="3">
        <f t="shared" si="9"/>
        <v>0</v>
      </c>
    </row>
    <row r="101" spans="1:45" x14ac:dyDescent="0.35">
      <c r="A101" s="181" t="str">
        <f>_xlfn.XLOOKUP(X101,'00_SKU_Master'!$B$2:$B$379,'00_SKU_Master'!$C$2:$C$379)</f>
        <v>61050#2</v>
      </c>
      <c r="B101" s="181" t="str">
        <f>_xlfn.XLOOKUP(X101,tblSKU[SKU],tblSKU[Product_Group])</f>
        <v>BSB</v>
      </c>
      <c r="C101" s="181" t="str">
        <f>_xlfn.XLOOKUP(X101,tblSKU[SKU],tblSKU[Tray_Type])</f>
        <v>PET 8</v>
      </c>
      <c r="D101" s="182">
        <f>_xlfn.IFNA(_xlfn.XLOOKUP(X101,'00_SKU_Master'!$B$2:$B$379,'00_SKU_Master'!$F$2:$F$379,0)*Y101,"")</f>
        <v>0</v>
      </c>
      <c r="E101" s="182">
        <f>_xlfn.IFNA(_xlfn.XLOOKUP(X101,'00_SKU_Master'!$B$2:$B$379,'00_SKU_Master'!$F$2:$F$379,0)*Z101,"")</f>
        <v>0</v>
      </c>
      <c r="F101" s="182">
        <f>_xlfn.IFNA(_xlfn.XLOOKUP(X101,'00_SKU_Master'!$B$2:$B$379,'00_SKU_Master'!$F$2:$F$379,0)*AA101,"")</f>
        <v>0</v>
      </c>
      <c r="G101" s="182">
        <f>_xlfn.IFNA(_xlfn.XLOOKUP(X101,'00_SKU_Master'!$B$2:$B$379,'00_SKU_Master'!$F$2:$F$379,0)*AB101,"")</f>
        <v>0</v>
      </c>
      <c r="H101" s="182">
        <f>_xlfn.IFNA(_xlfn.XLOOKUP(X101,'00_SKU_Master'!$B$2:$B$379,'00_SKU_Master'!$F$2:$F$379,0)*AC101,"")</f>
        <v>0</v>
      </c>
      <c r="I101" s="182">
        <f>_xlfn.IFNA(_xlfn.XLOOKUP(X101,'00_SKU_Master'!$B$2:$B$379,'00_SKU_Master'!$F$2:$F$379,0)*AD101,"")</f>
        <v>0</v>
      </c>
      <c r="J101" s="182">
        <f>_xlfn.IFNA(_xlfn.XLOOKUP(X101,'00_SKU_Master'!$B$2:$B$379,'00_SKU_Master'!$F$2:$F$379,0)*AE101,"")</f>
        <v>0</v>
      </c>
      <c r="K101" s="183">
        <f t="shared" si="5"/>
        <v>0</v>
      </c>
      <c r="L101" s="184" t="str">
        <f>_xlfn.XLOOKUP(X101,'00_SKU_Master'!$B$2:$B$379,'00_SKU_Master'!$K$2:$K$379)</f>
        <v>Fast</v>
      </c>
      <c r="M101" s="185">
        <f t="shared" si="6"/>
        <v>7146</v>
      </c>
      <c r="N101" s="186">
        <f>IFERROR(D101/_xlfn.XLOOKUP($M101,'00_SKU_Master'!$B$2:$B$379,'00_SKU_Master'!$M$2:$M$379,0),"0")</f>
        <v>0</v>
      </c>
      <c r="O101" s="186">
        <f>IFERROR(E101/_xlfn.XLOOKUP($M101,'00_SKU_Master'!$B$2:$B$379,'00_SKU_Master'!$M$2:$M$379,0),"0")</f>
        <v>0</v>
      </c>
      <c r="P101" s="186">
        <f>IFERROR(F101/_xlfn.XLOOKUP($M101,'00_SKU_Master'!$B$2:$B$379,'00_SKU_Master'!$M$2:$M$379,0),"0")</f>
        <v>0</v>
      </c>
      <c r="Q101" s="186">
        <f>IFERROR(G101/_xlfn.XLOOKUP($M101,'00_SKU_Master'!$B$2:$B$379,'00_SKU_Master'!$M$2:$M$379,0),"0")</f>
        <v>0</v>
      </c>
      <c r="R101" s="186">
        <f>IFERROR(H101/_xlfn.XLOOKUP($M101,'00_SKU_Master'!$B$2:$B$379,'00_SKU_Master'!$M$2:$M$379,0),"0")</f>
        <v>0</v>
      </c>
      <c r="S101" s="186">
        <f>IFERROR(I101/_xlfn.XLOOKUP($M101,'00_SKU_Master'!$B$2:$B$379,'00_SKU_Master'!$M$2:$M$379,0),"0")</f>
        <v>0</v>
      </c>
      <c r="T101" s="186">
        <f>IFERROR(J101/_xlfn.XLOOKUP($M101,'00_SKU_Master'!$B$2:$B$379,'00_SKU_Master'!$M$2:$M$379,0),"0")</f>
        <v>0</v>
      </c>
      <c r="U101" s="186">
        <f t="shared" si="7"/>
        <v>0</v>
      </c>
      <c r="V101" s="186" t="str">
        <f>_xlfn.XLOOKUP(M101,'00_SKU_Master'!$B$2:$B$379,'00_SKU_Master'!$D$2:$D$379)</f>
        <v>LCL</v>
      </c>
      <c r="W101" s="1"/>
      <c r="X101" s="2">
        <f>'05_Daily_Orders'!C102</f>
        <v>7146</v>
      </c>
      <c r="Y101" s="289"/>
      <c r="Z101" s="289">
        <v>0</v>
      </c>
      <c r="AA101" s="289">
        <v>0</v>
      </c>
      <c r="AB101" s="289">
        <v>0</v>
      </c>
      <c r="AC101" s="289">
        <v>0</v>
      </c>
      <c r="AD101" s="289">
        <v>0</v>
      </c>
      <c r="AE101" s="289">
        <v>0</v>
      </c>
      <c r="AF101" s="7">
        <f t="shared" si="8"/>
        <v>0</v>
      </c>
      <c r="AQ101" s="70">
        <v>0</v>
      </c>
      <c r="AR101" s="70">
        <v>0</v>
      </c>
      <c r="AS101" s="3">
        <f t="shared" si="9"/>
        <v>0</v>
      </c>
    </row>
    <row r="102" spans="1:45" x14ac:dyDescent="0.35">
      <c r="A102" s="181" t="str">
        <f>_xlfn.XLOOKUP(X102,'00_SKU_Master'!$B$2:$B$379,'00_SKU_Master'!$C$2:$C$379)</f>
        <v>61050#2</v>
      </c>
      <c r="B102" s="181" t="str">
        <f>_xlfn.XLOOKUP(X102,tblSKU[SKU],tblSKU[Product_Group])</f>
        <v>BSB</v>
      </c>
      <c r="C102" s="181" t="str">
        <f>_xlfn.XLOOKUP(X102,tblSKU[SKU],tblSKU[Tray_Type])</f>
        <v>PET 8</v>
      </c>
      <c r="D102" s="182">
        <f>_xlfn.IFNA(_xlfn.XLOOKUP(X102,'00_SKU_Master'!$B$2:$B$379,'00_SKU_Master'!$F$2:$F$379,0)*Y102,"")</f>
        <v>0</v>
      </c>
      <c r="E102" s="182">
        <f>_xlfn.IFNA(_xlfn.XLOOKUP(X102,'00_SKU_Master'!$B$2:$B$379,'00_SKU_Master'!$F$2:$F$379,0)*Z102,"")</f>
        <v>0</v>
      </c>
      <c r="F102" s="182">
        <f>_xlfn.IFNA(_xlfn.XLOOKUP(X102,'00_SKU_Master'!$B$2:$B$379,'00_SKU_Master'!$F$2:$F$379,0)*AA102,"")</f>
        <v>0</v>
      </c>
      <c r="G102" s="182">
        <f>_xlfn.IFNA(_xlfn.XLOOKUP(X102,'00_SKU_Master'!$B$2:$B$379,'00_SKU_Master'!$F$2:$F$379,0)*AB102,"")</f>
        <v>0</v>
      </c>
      <c r="H102" s="182">
        <f>_xlfn.IFNA(_xlfn.XLOOKUP(X102,'00_SKU_Master'!$B$2:$B$379,'00_SKU_Master'!$F$2:$F$379,0)*AC102,"")</f>
        <v>0</v>
      </c>
      <c r="I102" s="182">
        <f>_xlfn.IFNA(_xlfn.XLOOKUP(X102,'00_SKU_Master'!$B$2:$B$379,'00_SKU_Master'!$F$2:$F$379,0)*AD102,"")</f>
        <v>0</v>
      </c>
      <c r="J102" s="182">
        <f>_xlfn.IFNA(_xlfn.XLOOKUP(X102,'00_SKU_Master'!$B$2:$B$379,'00_SKU_Master'!$F$2:$F$379,0)*AE102,"")</f>
        <v>0</v>
      </c>
      <c r="K102" s="183">
        <f t="shared" si="5"/>
        <v>0</v>
      </c>
      <c r="L102" s="184" t="str">
        <f>_xlfn.XLOOKUP(X102,'00_SKU_Master'!$B$2:$B$379,'00_SKU_Master'!$K$2:$K$379)</f>
        <v>Fast</v>
      </c>
      <c r="M102" s="185">
        <f t="shared" si="6"/>
        <v>7149</v>
      </c>
      <c r="N102" s="186">
        <f>IFERROR(D102/_xlfn.XLOOKUP($M102,'00_SKU_Master'!$B$2:$B$379,'00_SKU_Master'!$M$2:$M$379,0),"0")</f>
        <v>0</v>
      </c>
      <c r="O102" s="186">
        <f>IFERROR(E102/_xlfn.XLOOKUP($M102,'00_SKU_Master'!$B$2:$B$379,'00_SKU_Master'!$M$2:$M$379,0),"0")</f>
        <v>0</v>
      </c>
      <c r="P102" s="186">
        <f>IFERROR(F102/_xlfn.XLOOKUP($M102,'00_SKU_Master'!$B$2:$B$379,'00_SKU_Master'!$M$2:$M$379,0),"0")</f>
        <v>0</v>
      </c>
      <c r="Q102" s="186">
        <f>IFERROR(G102/_xlfn.XLOOKUP($M102,'00_SKU_Master'!$B$2:$B$379,'00_SKU_Master'!$M$2:$M$379,0),"0")</f>
        <v>0</v>
      </c>
      <c r="R102" s="186">
        <f>IFERROR(H102/_xlfn.XLOOKUP($M102,'00_SKU_Master'!$B$2:$B$379,'00_SKU_Master'!$M$2:$M$379,0),"0")</f>
        <v>0</v>
      </c>
      <c r="S102" s="186">
        <f>IFERROR(I102/_xlfn.XLOOKUP($M102,'00_SKU_Master'!$B$2:$B$379,'00_SKU_Master'!$M$2:$M$379,0),"0")</f>
        <v>0</v>
      </c>
      <c r="T102" s="186">
        <f>IFERROR(J102/_xlfn.XLOOKUP($M102,'00_SKU_Master'!$B$2:$B$379,'00_SKU_Master'!$M$2:$M$379,0),"0")</f>
        <v>0</v>
      </c>
      <c r="U102" s="186">
        <f t="shared" si="7"/>
        <v>0</v>
      </c>
      <c r="V102" s="186" t="str">
        <f>_xlfn.XLOOKUP(M102,'00_SKU_Master'!$B$2:$B$379,'00_SKU_Master'!$D$2:$D$379)</f>
        <v>LCL</v>
      </c>
      <c r="W102" s="1"/>
      <c r="X102" s="2">
        <f>'05_Daily_Orders'!C103</f>
        <v>7149</v>
      </c>
      <c r="Y102" s="289"/>
      <c r="Z102" s="289">
        <v>0</v>
      </c>
      <c r="AA102" s="289">
        <v>0</v>
      </c>
      <c r="AB102" s="289">
        <v>0</v>
      </c>
      <c r="AC102" s="289">
        <v>0</v>
      </c>
      <c r="AD102" s="289">
        <v>0</v>
      </c>
      <c r="AE102" s="289">
        <v>0</v>
      </c>
      <c r="AF102" s="7">
        <f t="shared" si="8"/>
        <v>0</v>
      </c>
      <c r="AQ102" s="70">
        <v>0</v>
      </c>
      <c r="AR102" s="70">
        <v>0</v>
      </c>
      <c r="AS102" s="3">
        <f t="shared" si="9"/>
        <v>0</v>
      </c>
    </row>
    <row r="103" spans="1:45" x14ac:dyDescent="0.35">
      <c r="A103" s="181" t="str">
        <f>_xlfn.XLOOKUP(X103,'00_SKU_Master'!$B$2:$B$379,'00_SKU_Master'!$C$2:$C$379)</f>
        <v>61050#2</v>
      </c>
      <c r="B103" s="181" t="str">
        <f>_xlfn.XLOOKUP(X103,tblSKU[SKU],tblSKU[Product_Group])</f>
        <v>BSB</v>
      </c>
      <c r="C103" s="181" t="str">
        <f>_xlfn.XLOOKUP(X103,tblSKU[SKU],tblSKU[Tray_Type])</f>
        <v>PET 8</v>
      </c>
      <c r="D103" s="182">
        <f>_xlfn.IFNA(_xlfn.XLOOKUP(X103,'00_SKU_Master'!$B$2:$B$379,'00_SKU_Master'!$F$2:$F$379,0)*Y103,"")</f>
        <v>0</v>
      </c>
      <c r="E103" s="182">
        <f>_xlfn.IFNA(_xlfn.XLOOKUP(X103,'00_SKU_Master'!$B$2:$B$379,'00_SKU_Master'!$F$2:$F$379,0)*Z103,"")</f>
        <v>0</v>
      </c>
      <c r="F103" s="182">
        <f>_xlfn.IFNA(_xlfn.XLOOKUP(X103,'00_SKU_Master'!$B$2:$B$379,'00_SKU_Master'!$F$2:$F$379,0)*AA103,"")</f>
        <v>0</v>
      </c>
      <c r="G103" s="182">
        <f>_xlfn.IFNA(_xlfn.XLOOKUP(X103,'00_SKU_Master'!$B$2:$B$379,'00_SKU_Master'!$F$2:$F$379,0)*AB103,"")</f>
        <v>0</v>
      </c>
      <c r="H103" s="182">
        <f>_xlfn.IFNA(_xlfn.XLOOKUP(X103,'00_SKU_Master'!$B$2:$B$379,'00_SKU_Master'!$F$2:$F$379,0)*AC103,"")</f>
        <v>0</v>
      </c>
      <c r="I103" s="182">
        <f>_xlfn.IFNA(_xlfn.XLOOKUP(X103,'00_SKU_Master'!$B$2:$B$379,'00_SKU_Master'!$F$2:$F$379,0)*AD103,"")</f>
        <v>0</v>
      </c>
      <c r="J103" s="182">
        <f>_xlfn.IFNA(_xlfn.XLOOKUP(X103,'00_SKU_Master'!$B$2:$B$379,'00_SKU_Master'!$F$2:$F$379,0)*AE103,"")</f>
        <v>0</v>
      </c>
      <c r="K103" s="183">
        <f t="shared" si="5"/>
        <v>0</v>
      </c>
      <c r="L103" s="184" t="str">
        <f>_xlfn.XLOOKUP(X103,'00_SKU_Master'!$B$2:$B$379,'00_SKU_Master'!$K$2:$K$379)</f>
        <v>Fast</v>
      </c>
      <c r="M103" s="185">
        <f t="shared" si="6"/>
        <v>7150</v>
      </c>
      <c r="N103" s="186">
        <f>IFERROR(D103/_xlfn.XLOOKUP($M103,'00_SKU_Master'!$B$2:$B$379,'00_SKU_Master'!$M$2:$M$379,0),"0")</f>
        <v>0</v>
      </c>
      <c r="O103" s="186">
        <f>IFERROR(E103/_xlfn.XLOOKUP($M103,'00_SKU_Master'!$B$2:$B$379,'00_SKU_Master'!$M$2:$M$379,0),"0")</f>
        <v>0</v>
      </c>
      <c r="P103" s="186">
        <f>IFERROR(F103/_xlfn.XLOOKUP($M103,'00_SKU_Master'!$B$2:$B$379,'00_SKU_Master'!$M$2:$M$379,0),"0")</f>
        <v>0</v>
      </c>
      <c r="Q103" s="186">
        <f>IFERROR(G103/_xlfn.XLOOKUP($M103,'00_SKU_Master'!$B$2:$B$379,'00_SKU_Master'!$M$2:$M$379,0),"0")</f>
        <v>0</v>
      </c>
      <c r="R103" s="186">
        <f>IFERROR(H103/_xlfn.XLOOKUP($M103,'00_SKU_Master'!$B$2:$B$379,'00_SKU_Master'!$M$2:$M$379,0),"0")</f>
        <v>0</v>
      </c>
      <c r="S103" s="186">
        <f>IFERROR(I103/_xlfn.XLOOKUP($M103,'00_SKU_Master'!$B$2:$B$379,'00_SKU_Master'!$M$2:$M$379,0),"0")</f>
        <v>0</v>
      </c>
      <c r="T103" s="186">
        <f>IFERROR(J103/_xlfn.XLOOKUP($M103,'00_SKU_Master'!$B$2:$B$379,'00_SKU_Master'!$M$2:$M$379,0),"0")</f>
        <v>0</v>
      </c>
      <c r="U103" s="186">
        <f t="shared" si="7"/>
        <v>0</v>
      </c>
      <c r="V103" s="186" t="str">
        <f>_xlfn.XLOOKUP(M103,'00_SKU_Master'!$B$2:$B$379,'00_SKU_Master'!$D$2:$D$379)</f>
        <v>LCL</v>
      </c>
      <c r="W103" s="1"/>
      <c r="X103" s="2">
        <f>'05_Daily_Orders'!C104</f>
        <v>7150</v>
      </c>
      <c r="Y103" s="289"/>
      <c r="Z103" s="289">
        <v>0</v>
      </c>
      <c r="AA103" s="289">
        <v>0</v>
      </c>
      <c r="AB103" s="289">
        <v>0</v>
      </c>
      <c r="AC103" s="289">
        <v>0</v>
      </c>
      <c r="AD103" s="289">
        <v>0</v>
      </c>
      <c r="AE103" s="289">
        <v>0</v>
      </c>
      <c r="AF103" s="7">
        <f t="shared" si="8"/>
        <v>0</v>
      </c>
      <c r="AQ103" s="70">
        <v>0</v>
      </c>
      <c r="AR103" s="70">
        <v>0</v>
      </c>
      <c r="AS103" s="3">
        <f t="shared" si="9"/>
        <v>0</v>
      </c>
    </row>
    <row r="104" spans="1:45" x14ac:dyDescent="0.35">
      <c r="A104" s="181" t="str">
        <f>_xlfn.XLOOKUP(X104,'00_SKU_Master'!$B$2:$B$379,'00_SKU_Master'!$C$2:$C$379)</f>
        <v>61048#2</v>
      </c>
      <c r="B104" s="181" t="str">
        <f>_xlfn.XLOOKUP(X104,tblSKU[SKU],tblSKU[Product_Group])</f>
        <v>SplitBreast</v>
      </c>
      <c r="C104" s="181" t="str">
        <f>_xlfn.XLOOKUP(X104,tblSKU[SKU],tblSKU[Tray_Type])</f>
        <v>PET 8</v>
      </c>
      <c r="D104" s="182">
        <f>_xlfn.IFNA(_xlfn.XLOOKUP(X104,'00_SKU_Master'!$B$2:$B$379,'00_SKU_Master'!$F$2:$F$379,0)*Y104,"")</f>
        <v>0</v>
      </c>
      <c r="E104" s="182">
        <f>_xlfn.IFNA(_xlfn.XLOOKUP(X104,'00_SKU_Master'!$B$2:$B$379,'00_SKU_Master'!$F$2:$F$379,0)*Z104,"")</f>
        <v>0</v>
      </c>
      <c r="F104" s="182">
        <f>_xlfn.IFNA(_xlfn.XLOOKUP(X104,'00_SKU_Master'!$B$2:$B$379,'00_SKU_Master'!$F$2:$F$379,0)*AA104,"")</f>
        <v>0</v>
      </c>
      <c r="G104" s="182">
        <f>_xlfn.IFNA(_xlfn.XLOOKUP(X104,'00_SKU_Master'!$B$2:$B$379,'00_SKU_Master'!$F$2:$F$379,0)*AB104,"")</f>
        <v>0</v>
      </c>
      <c r="H104" s="182">
        <f>_xlfn.IFNA(_xlfn.XLOOKUP(X104,'00_SKU_Master'!$B$2:$B$379,'00_SKU_Master'!$F$2:$F$379,0)*AC104,"")</f>
        <v>0</v>
      </c>
      <c r="I104" s="182">
        <f>_xlfn.IFNA(_xlfn.XLOOKUP(X104,'00_SKU_Master'!$B$2:$B$379,'00_SKU_Master'!$F$2:$F$379,0)*AD104,"")</f>
        <v>0</v>
      </c>
      <c r="J104" s="182">
        <f>_xlfn.IFNA(_xlfn.XLOOKUP(X104,'00_SKU_Master'!$B$2:$B$379,'00_SKU_Master'!$F$2:$F$379,0)*AE104,"")</f>
        <v>0</v>
      </c>
      <c r="K104" s="183">
        <f t="shared" si="5"/>
        <v>0</v>
      </c>
      <c r="L104" s="184" t="str">
        <f>_xlfn.XLOOKUP(X104,'00_SKU_Master'!$B$2:$B$379,'00_SKU_Master'!$K$2:$K$379)</f>
        <v>Fast</v>
      </c>
      <c r="M104" s="185">
        <f t="shared" si="6"/>
        <v>7153</v>
      </c>
      <c r="N104" s="186">
        <f>IFERROR(D104/_xlfn.XLOOKUP($M104,'00_SKU_Master'!$B$2:$B$379,'00_SKU_Master'!$M$2:$M$379,0),"0")</f>
        <v>0</v>
      </c>
      <c r="O104" s="186">
        <f>IFERROR(E104/_xlfn.XLOOKUP($M104,'00_SKU_Master'!$B$2:$B$379,'00_SKU_Master'!$M$2:$M$379,0),"0")</f>
        <v>0</v>
      </c>
      <c r="P104" s="186">
        <f>IFERROR(F104/_xlfn.XLOOKUP($M104,'00_SKU_Master'!$B$2:$B$379,'00_SKU_Master'!$M$2:$M$379,0),"0")</f>
        <v>0</v>
      </c>
      <c r="Q104" s="186">
        <f>IFERROR(G104/_xlfn.XLOOKUP($M104,'00_SKU_Master'!$B$2:$B$379,'00_SKU_Master'!$M$2:$M$379,0),"0")</f>
        <v>0</v>
      </c>
      <c r="R104" s="186">
        <f>IFERROR(H104/_xlfn.XLOOKUP($M104,'00_SKU_Master'!$B$2:$B$379,'00_SKU_Master'!$M$2:$M$379,0),"0")</f>
        <v>0</v>
      </c>
      <c r="S104" s="186">
        <f>IFERROR(I104/_xlfn.XLOOKUP($M104,'00_SKU_Master'!$B$2:$B$379,'00_SKU_Master'!$M$2:$M$379,0),"0")</f>
        <v>0</v>
      </c>
      <c r="T104" s="186">
        <f>IFERROR(J104/_xlfn.XLOOKUP($M104,'00_SKU_Master'!$B$2:$B$379,'00_SKU_Master'!$M$2:$M$379,0),"0")</f>
        <v>0</v>
      </c>
      <c r="U104" s="186">
        <f t="shared" si="7"/>
        <v>0</v>
      </c>
      <c r="V104" s="186" t="str">
        <f>_xlfn.XLOOKUP(M104,'00_SKU_Master'!$B$2:$B$379,'00_SKU_Master'!$D$2:$D$379)</f>
        <v>LCL</v>
      </c>
      <c r="W104" s="1"/>
      <c r="X104" s="2">
        <f>'05_Daily_Orders'!C105</f>
        <v>7153</v>
      </c>
      <c r="Y104" s="289"/>
      <c r="Z104" s="289">
        <v>0</v>
      </c>
      <c r="AA104" s="289">
        <v>0</v>
      </c>
      <c r="AB104" s="289">
        <v>0</v>
      </c>
      <c r="AC104" s="289">
        <v>0</v>
      </c>
      <c r="AD104" s="289">
        <v>0</v>
      </c>
      <c r="AE104" s="289">
        <v>0</v>
      </c>
      <c r="AF104" s="7">
        <f t="shared" si="8"/>
        <v>0</v>
      </c>
      <c r="AQ104" s="70">
        <v>0</v>
      </c>
      <c r="AR104" s="70">
        <v>0</v>
      </c>
      <c r="AS104" s="3">
        <f t="shared" si="9"/>
        <v>0</v>
      </c>
    </row>
    <row r="105" spans="1:45" x14ac:dyDescent="0.35">
      <c r="A105" s="181" t="str">
        <f>_xlfn.XLOOKUP(X105,'00_SKU_Master'!$B$2:$B$379,'00_SKU_Master'!$C$2:$C$379)</f>
        <v>61050#2</v>
      </c>
      <c r="B105" s="181" t="str">
        <f>_xlfn.XLOOKUP(X105,tblSKU[SKU],tblSKU[Product_Group])</f>
        <v>BSB</v>
      </c>
      <c r="C105" s="181" t="str">
        <f>_xlfn.XLOOKUP(X105,tblSKU[SKU],tblSKU[Tray_Type])</f>
        <v>ST 2HP</v>
      </c>
      <c r="D105" s="182">
        <f>_xlfn.IFNA(_xlfn.XLOOKUP(X105,'00_SKU_Master'!$B$2:$B$379,'00_SKU_Master'!$F$2:$F$379,0)*Y105,"")</f>
        <v>0</v>
      </c>
      <c r="E105" s="182">
        <f>_xlfn.IFNA(_xlfn.XLOOKUP(X105,'00_SKU_Master'!$B$2:$B$379,'00_SKU_Master'!$F$2:$F$379,0)*Z105,"")</f>
        <v>0</v>
      </c>
      <c r="F105" s="182">
        <f>_xlfn.IFNA(_xlfn.XLOOKUP(X105,'00_SKU_Master'!$B$2:$B$379,'00_SKU_Master'!$F$2:$F$379,0)*AA105,"")</f>
        <v>0</v>
      </c>
      <c r="G105" s="182">
        <f>_xlfn.IFNA(_xlfn.XLOOKUP(X105,'00_SKU_Master'!$B$2:$B$379,'00_SKU_Master'!$F$2:$F$379,0)*AB105,"")</f>
        <v>0</v>
      </c>
      <c r="H105" s="182">
        <f>_xlfn.IFNA(_xlfn.XLOOKUP(X105,'00_SKU_Master'!$B$2:$B$379,'00_SKU_Master'!$F$2:$F$379,0)*AC105,"")</f>
        <v>0</v>
      </c>
      <c r="I105" s="182">
        <f>_xlfn.IFNA(_xlfn.XLOOKUP(X105,'00_SKU_Master'!$B$2:$B$379,'00_SKU_Master'!$F$2:$F$379,0)*AD105,"")</f>
        <v>0</v>
      </c>
      <c r="J105" s="182">
        <f>_xlfn.IFNA(_xlfn.XLOOKUP(X105,'00_SKU_Master'!$B$2:$B$379,'00_SKU_Master'!$F$2:$F$379,0)*AE105,"")</f>
        <v>0</v>
      </c>
      <c r="K105" s="183">
        <f t="shared" si="5"/>
        <v>0</v>
      </c>
      <c r="L105" s="184" t="str">
        <f>_xlfn.XLOOKUP(X105,'00_SKU_Master'!$B$2:$B$379,'00_SKU_Master'!$K$2:$K$379)</f>
        <v>Fast</v>
      </c>
      <c r="M105" s="185">
        <f t="shared" si="6"/>
        <v>7155</v>
      </c>
      <c r="N105" s="186">
        <f>IFERROR(D105/_xlfn.XLOOKUP($M105,'00_SKU_Master'!$B$2:$B$379,'00_SKU_Master'!$M$2:$M$379,0),"0")</f>
        <v>0</v>
      </c>
      <c r="O105" s="186">
        <f>IFERROR(E105/_xlfn.XLOOKUP($M105,'00_SKU_Master'!$B$2:$B$379,'00_SKU_Master'!$M$2:$M$379,0),"0")</f>
        <v>0</v>
      </c>
      <c r="P105" s="186">
        <f>IFERROR(F105/_xlfn.XLOOKUP($M105,'00_SKU_Master'!$B$2:$B$379,'00_SKU_Master'!$M$2:$M$379,0),"0")</f>
        <v>0</v>
      </c>
      <c r="Q105" s="186">
        <f>IFERROR(G105/_xlfn.XLOOKUP($M105,'00_SKU_Master'!$B$2:$B$379,'00_SKU_Master'!$M$2:$M$379,0),"0")</f>
        <v>0</v>
      </c>
      <c r="R105" s="186">
        <f>IFERROR(H105/_xlfn.XLOOKUP($M105,'00_SKU_Master'!$B$2:$B$379,'00_SKU_Master'!$M$2:$M$379,0),"0")</f>
        <v>0</v>
      </c>
      <c r="S105" s="186">
        <f>IFERROR(I105/_xlfn.XLOOKUP($M105,'00_SKU_Master'!$B$2:$B$379,'00_SKU_Master'!$M$2:$M$379,0),"0")</f>
        <v>0</v>
      </c>
      <c r="T105" s="186">
        <f>IFERROR(J105/_xlfn.XLOOKUP($M105,'00_SKU_Master'!$B$2:$B$379,'00_SKU_Master'!$M$2:$M$379,0),"0")</f>
        <v>0</v>
      </c>
      <c r="U105" s="186">
        <f t="shared" si="7"/>
        <v>0</v>
      </c>
      <c r="V105" s="186" t="str">
        <f>_xlfn.XLOOKUP(M105,'00_SKU_Master'!$B$2:$B$379,'00_SKU_Master'!$D$2:$D$379)</f>
        <v>LCL</v>
      </c>
      <c r="W105" s="1"/>
      <c r="X105" s="2">
        <f>'05_Daily_Orders'!C106</f>
        <v>7155</v>
      </c>
      <c r="Y105" s="289"/>
      <c r="Z105" s="289">
        <v>0</v>
      </c>
      <c r="AA105" s="289">
        <v>0</v>
      </c>
      <c r="AB105" s="289">
        <v>0</v>
      </c>
      <c r="AC105" s="289">
        <v>0</v>
      </c>
      <c r="AD105" s="289">
        <v>0</v>
      </c>
      <c r="AE105" s="289">
        <v>0</v>
      </c>
      <c r="AF105" s="7">
        <f t="shared" si="8"/>
        <v>0</v>
      </c>
      <c r="AQ105" s="70">
        <v>0</v>
      </c>
      <c r="AR105" s="70">
        <v>0</v>
      </c>
      <c r="AS105" s="3">
        <f t="shared" si="9"/>
        <v>0</v>
      </c>
    </row>
    <row r="106" spans="1:45" x14ac:dyDescent="0.35">
      <c r="A106" s="181" t="str">
        <f>_xlfn.XLOOKUP(X106,'00_SKU_Master'!$B$2:$B$379,'00_SKU_Master'!$C$2:$C$379)</f>
        <v>61050#2</v>
      </c>
      <c r="B106" s="181" t="str">
        <f>_xlfn.XLOOKUP(X106,tblSKU[SKU],tblSKU[Product_Group])</f>
        <v>BSB</v>
      </c>
      <c r="C106" s="181" t="str">
        <f>_xlfn.XLOOKUP(X106,tblSKU[SKU],tblSKU[Tray_Type])</f>
        <v>ST 2HP</v>
      </c>
      <c r="D106" s="182">
        <f>_xlfn.IFNA(_xlfn.XLOOKUP(X106,'00_SKU_Master'!$B$2:$B$379,'00_SKU_Master'!$F$2:$F$379,0)*Y106,"")</f>
        <v>0</v>
      </c>
      <c r="E106" s="182">
        <f>_xlfn.IFNA(_xlfn.XLOOKUP(X106,'00_SKU_Master'!$B$2:$B$379,'00_SKU_Master'!$F$2:$F$379,0)*Z106,"")</f>
        <v>0</v>
      </c>
      <c r="F106" s="182">
        <f>_xlfn.IFNA(_xlfn.XLOOKUP(X106,'00_SKU_Master'!$B$2:$B$379,'00_SKU_Master'!$F$2:$F$379,0)*AA106,"")</f>
        <v>0</v>
      </c>
      <c r="G106" s="182">
        <f>_xlfn.IFNA(_xlfn.XLOOKUP(X106,'00_SKU_Master'!$B$2:$B$379,'00_SKU_Master'!$F$2:$F$379,0)*AB106,"")</f>
        <v>0</v>
      </c>
      <c r="H106" s="182">
        <f>_xlfn.IFNA(_xlfn.XLOOKUP(X106,'00_SKU_Master'!$B$2:$B$379,'00_SKU_Master'!$F$2:$F$379,0)*AC106,"")</f>
        <v>0</v>
      </c>
      <c r="I106" s="182">
        <f>_xlfn.IFNA(_xlfn.XLOOKUP(X106,'00_SKU_Master'!$B$2:$B$379,'00_SKU_Master'!$F$2:$F$379,0)*AD106,"")</f>
        <v>0</v>
      </c>
      <c r="J106" s="182">
        <f>_xlfn.IFNA(_xlfn.XLOOKUP(X106,'00_SKU_Master'!$B$2:$B$379,'00_SKU_Master'!$F$2:$F$379,0)*AE106,"")</f>
        <v>0</v>
      </c>
      <c r="K106" s="183">
        <f t="shared" si="5"/>
        <v>0</v>
      </c>
      <c r="L106" s="184" t="str">
        <f>_xlfn.XLOOKUP(X106,'00_SKU_Master'!$B$2:$B$379,'00_SKU_Master'!$K$2:$K$379)</f>
        <v>Fast</v>
      </c>
      <c r="M106" s="185">
        <f t="shared" si="6"/>
        <v>7159</v>
      </c>
      <c r="N106" s="186">
        <f>IFERROR(D106/_xlfn.XLOOKUP($M106,'00_SKU_Master'!$B$2:$B$379,'00_SKU_Master'!$M$2:$M$379,0),"0")</f>
        <v>0</v>
      </c>
      <c r="O106" s="186">
        <f>IFERROR(E106/_xlfn.XLOOKUP($M106,'00_SKU_Master'!$B$2:$B$379,'00_SKU_Master'!$M$2:$M$379,0),"0")</f>
        <v>0</v>
      </c>
      <c r="P106" s="186">
        <f>IFERROR(F106/_xlfn.XLOOKUP($M106,'00_SKU_Master'!$B$2:$B$379,'00_SKU_Master'!$M$2:$M$379,0),"0")</f>
        <v>0</v>
      </c>
      <c r="Q106" s="186">
        <f>IFERROR(G106/_xlfn.XLOOKUP($M106,'00_SKU_Master'!$B$2:$B$379,'00_SKU_Master'!$M$2:$M$379,0),"0")</f>
        <v>0</v>
      </c>
      <c r="R106" s="186">
        <f>IFERROR(H106/_xlfn.XLOOKUP($M106,'00_SKU_Master'!$B$2:$B$379,'00_SKU_Master'!$M$2:$M$379,0),"0")</f>
        <v>0</v>
      </c>
      <c r="S106" s="186">
        <f>IFERROR(I106/_xlfn.XLOOKUP($M106,'00_SKU_Master'!$B$2:$B$379,'00_SKU_Master'!$M$2:$M$379,0),"0")</f>
        <v>0</v>
      </c>
      <c r="T106" s="186">
        <f>IFERROR(J106/_xlfn.XLOOKUP($M106,'00_SKU_Master'!$B$2:$B$379,'00_SKU_Master'!$M$2:$M$379,0),"0")</f>
        <v>0</v>
      </c>
      <c r="U106" s="186">
        <f t="shared" si="7"/>
        <v>0</v>
      </c>
      <c r="V106" s="186" t="str">
        <f>_xlfn.XLOOKUP(M106,'00_SKU_Master'!$B$2:$B$379,'00_SKU_Master'!$D$2:$D$379)</f>
        <v>LCL</v>
      </c>
      <c r="W106" s="1"/>
      <c r="X106" s="2">
        <f>'05_Daily_Orders'!C107</f>
        <v>7159</v>
      </c>
      <c r="Y106" s="289"/>
      <c r="Z106" s="289">
        <v>0</v>
      </c>
      <c r="AA106" s="289">
        <v>0</v>
      </c>
      <c r="AB106" s="289">
        <v>0</v>
      </c>
      <c r="AC106" s="289">
        <v>0</v>
      </c>
      <c r="AD106" s="289">
        <v>0</v>
      </c>
      <c r="AE106" s="289">
        <v>0</v>
      </c>
      <c r="AF106" s="7">
        <f t="shared" si="8"/>
        <v>0</v>
      </c>
      <c r="AQ106" s="70">
        <v>0</v>
      </c>
      <c r="AR106" s="70">
        <v>0</v>
      </c>
      <c r="AS106" s="3">
        <f t="shared" si="9"/>
        <v>0</v>
      </c>
    </row>
    <row r="107" spans="1:45" x14ac:dyDescent="0.35">
      <c r="A107" s="181" t="str">
        <f>_xlfn.XLOOKUP(X107,'00_SKU_Master'!$B$2:$B$379,'00_SKU_Master'!$C$2:$C$379)</f>
        <v>61048#2</v>
      </c>
      <c r="B107" s="181" t="str">
        <f>_xlfn.XLOOKUP(X107,tblSKU[SKU],tblSKU[Product_Group])</f>
        <v>SplitBreast</v>
      </c>
      <c r="C107" s="181" t="str">
        <f>_xlfn.XLOOKUP(X107,tblSKU[SKU],tblSKU[Tray_Type])</f>
        <v>PET 8</v>
      </c>
      <c r="D107" s="182">
        <f>_xlfn.IFNA(_xlfn.XLOOKUP(X107,'00_SKU_Master'!$B$2:$B$379,'00_SKU_Master'!$F$2:$F$379,0)*Y107,"")</f>
        <v>0</v>
      </c>
      <c r="E107" s="182">
        <f>_xlfn.IFNA(_xlfn.XLOOKUP(X107,'00_SKU_Master'!$B$2:$B$379,'00_SKU_Master'!$F$2:$F$379,0)*Z107,"")</f>
        <v>0</v>
      </c>
      <c r="F107" s="182">
        <f>_xlfn.IFNA(_xlfn.XLOOKUP(X107,'00_SKU_Master'!$B$2:$B$379,'00_SKU_Master'!$F$2:$F$379,0)*AA107,"")</f>
        <v>0</v>
      </c>
      <c r="G107" s="182">
        <f>_xlfn.IFNA(_xlfn.XLOOKUP(X107,'00_SKU_Master'!$B$2:$B$379,'00_SKU_Master'!$F$2:$F$379,0)*AB107,"")</f>
        <v>0</v>
      </c>
      <c r="H107" s="182">
        <f>_xlfn.IFNA(_xlfn.XLOOKUP(X107,'00_SKU_Master'!$B$2:$B$379,'00_SKU_Master'!$F$2:$F$379,0)*AC107,"")</f>
        <v>0</v>
      </c>
      <c r="I107" s="182">
        <f>_xlfn.IFNA(_xlfn.XLOOKUP(X107,'00_SKU_Master'!$B$2:$B$379,'00_SKU_Master'!$F$2:$F$379,0)*AD107,"")</f>
        <v>0</v>
      </c>
      <c r="J107" s="182">
        <f>_xlfn.IFNA(_xlfn.XLOOKUP(X107,'00_SKU_Master'!$B$2:$B$379,'00_SKU_Master'!$F$2:$F$379,0)*AE107,"")</f>
        <v>0</v>
      </c>
      <c r="K107" s="183">
        <f t="shared" si="5"/>
        <v>0</v>
      </c>
      <c r="L107" s="184" t="str">
        <f>_xlfn.XLOOKUP(X107,'00_SKU_Master'!$B$2:$B$379,'00_SKU_Master'!$K$2:$K$379)</f>
        <v>Fast</v>
      </c>
      <c r="M107" s="185">
        <f t="shared" si="6"/>
        <v>7160</v>
      </c>
      <c r="N107" s="186">
        <f>IFERROR(D107/_xlfn.XLOOKUP($M107,'00_SKU_Master'!$B$2:$B$379,'00_SKU_Master'!$M$2:$M$379,0),"0")</f>
        <v>0</v>
      </c>
      <c r="O107" s="186">
        <f>IFERROR(E107/_xlfn.XLOOKUP($M107,'00_SKU_Master'!$B$2:$B$379,'00_SKU_Master'!$M$2:$M$379,0),"0")</f>
        <v>0</v>
      </c>
      <c r="P107" s="186">
        <f>IFERROR(F107/_xlfn.XLOOKUP($M107,'00_SKU_Master'!$B$2:$B$379,'00_SKU_Master'!$M$2:$M$379,0),"0")</f>
        <v>0</v>
      </c>
      <c r="Q107" s="186">
        <f>IFERROR(G107/_xlfn.XLOOKUP($M107,'00_SKU_Master'!$B$2:$B$379,'00_SKU_Master'!$M$2:$M$379,0),"0")</f>
        <v>0</v>
      </c>
      <c r="R107" s="186">
        <f>IFERROR(H107/_xlfn.XLOOKUP($M107,'00_SKU_Master'!$B$2:$B$379,'00_SKU_Master'!$M$2:$M$379,0),"0")</f>
        <v>0</v>
      </c>
      <c r="S107" s="186">
        <f>IFERROR(I107/_xlfn.XLOOKUP($M107,'00_SKU_Master'!$B$2:$B$379,'00_SKU_Master'!$M$2:$M$379,0),"0")</f>
        <v>0</v>
      </c>
      <c r="T107" s="186">
        <f>IFERROR(J107/_xlfn.XLOOKUP($M107,'00_SKU_Master'!$B$2:$B$379,'00_SKU_Master'!$M$2:$M$379,0),"0")</f>
        <v>0</v>
      </c>
      <c r="U107" s="186">
        <f t="shared" si="7"/>
        <v>0</v>
      </c>
      <c r="V107" s="186" t="str">
        <f>_xlfn.XLOOKUP(M107,'00_SKU_Master'!$B$2:$B$379,'00_SKU_Master'!$D$2:$D$379)</f>
        <v>LCL</v>
      </c>
      <c r="W107" s="1"/>
      <c r="X107" s="2">
        <f>'05_Daily_Orders'!C108</f>
        <v>7160</v>
      </c>
      <c r="Y107" s="289"/>
      <c r="Z107" s="289">
        <v>0</v>
      </c>
      <c r="AA107" s="289">
        <v>0</v>
      </c>
      <c r="AB107" s="289">
        <v>0</v>
      </c>
      <c r="AC107" s="289">
        <v>0</v>
      </c>
      <c r="AD107" s="289">
        <v>0</v>
      </c>
      <c r="AE107" s="289">
        <v>0</v>
      </c>
      <c r="AF107" s="7">
        <f t="shared" si="8"/>
        <v>0</v>
      </c>
      <c r="AQ107" s="70">
        <v>0</v>
      </c>
      <c r="AR107" s="70">
        <v>0</v>
      </c>
      <c r="AS107" s="3">
        <f t="shared" si="9"/>
        <v>0</v>
      </c>
    </row>
    <row r="108" spans="1:45" x14ac:dyDescent="0.35">
      <c r="A108" s="181" t="str">
        <f>_xlfn.XLOOKUP(X108,'00_SKU_Master'!$B$2:$B$379,'00_SKU_Master'!$C$2:$C$379)</f>
        <v>61040#2</v>
      </c>
      <c r="B108" s="181" t="str">
        <f>_xlfn.XLOOKUP(X108,tblSKU[SKU],tblSKU[Product_Group])</f>
        <v>SplitBreast</v>
      </c>
      <c r="C108" s="181" t="str">
        <f>_xlfn.XLOOKUP(X108,tblSKU[SKU],tblSKU[Tray_Type])</f>
        <v>PET 8</v>
      </c>
      <c r="D108" s="182">
        <f>_xlfn.IFNA(_xlfn.XLOOKUP(X108,'00_SKU_Master'!$B$2:$B$379,'00_SKU_Master'!$F$2:$F$379,0)*Y108,"")</f>
        <v>0</v>
      </c>
      <c r="E108" s="182">
        <f>_xlfn.IFNA(_xlfn.XLOOKUP(X108,'00_SKU_Master'!$B$2:$B$379,'00_SKU_Master'!$F$2:$F$379,0)*Z108,"")</f>
        <v>0</v>
      </c>
      <c r="F108" s="182">
        <f>_xlfn.IFNA(_xlfn.XLOOKUP(X108,'00_SKU_Master'!$B$2:$B$379,'00_SKU_Master'!$F$2:$F$379,0)*AA108,"")</f>
        <v>0</v>
      </c>
      <c r="G108" s="182">
        <f>_xlfn.IFNA(_xlfn.XLOOKUP(X108,'00_SKU_Master'!$B$2:$B$379,'00_SKU_Master'!$F$2:$F$379,0)*AB108,"")</f>
        <v>0</v>
      </c>
      <c r="H108" s="182">
        <f>_xlfn.IFNA(_xlfn.XLOOKUP(X108,'00_SKU_Master'!$B$2:$B$379,'00_SKU_Master'!$F$2:$F$379,0)*AC108,"")</f>
        <v>0</v>
      </c>
      <c r="I108" s="182">
        <f>_xlfn.IFNA(_xlfn.XLOOKUP(X108,'00_SKU_Master'!$B$2:$B$379,'00_SKU_Master'!$F$2:$F$379,0)*AD108,"")</f>
        <v>0</v>
      </c>
      <c r="J108" s="182">
        <f>_xlfn.IFNA(_xlfn.XLOOKUP(X108,'00_SKU_Master'!$B$2:$B$379,'00_SKU_Master'!$F$2:$F$379,0)*AE108,"")</f>
        <v>0</v>
      </c>
      <c r="K108" s="183">
        <f t="shared" si="5"/>
        <v>0</v>
      </c>
      <c r="L108" s="184" t="str">
        <f>_xlfn.XLOOKUP(X108,'00_SKU_Master'!$B$2:$B$379,'00_SKU_Master'!$K$2:$K$379)</f>
        <v>Fast</v>
      </c>
      <c r="M108" s="185">
        <f t="shared" si="6"/>
        <v>7161</v>
      </c>
      <c r="N108" s="186" t="str">
        <f>IFERROR(D108/_xlfn.XLOOKUP($M108,'00_SKU_Master'!$B$2:$B$379,'00_SKU_Master'!$M$2:$M$379,0),"0")</f>
        <v>0</v>
      </c>
      <c r="O108" s="186" t="str">
        <f>IFERROR(E108/_xlfn.XLOOKUP($M108,'00_SKU_Master'!$B$2:$B$379,'00_SKU_Master'!$M$2:$M$379,0),"0")</f>
        <v>0</v>
      </c>
      <c r="P108" s="186" t="str">
        <f>IFERROR(F108/_xlfn.XLOOKUP($M108,'00_SKU_Master'!$B$2:$B$379,'00_SKU_Master'!$M$2:$M$379,0),"0")</f>
        <v>0</v>
      </c>
      <c r="Q108" s="186" t="str">
        <f>IFERROR(G108/_xlfn.XLOOKUP($M108,'00_SKU_Master'!$B$2:$B$379,'00_SKU_Master'!$M$2:$M$379,0),"0")</f>
        <v>0</v>
      </c>
      <c r="R108" s="186" t="str">
        <f>IFERROR(H108/_xlfn.XLOOKUP($M108,'00_SKU_Master'!$B$2:$B$379,'00_SKU_Master'!$M$2:$M$379,0),"0")</f>
        <v>0</v>
      </c>
      <c r="S108" s="186" t="str">
        <f>IFERROR(I108/_xlfn.XLOOKUP($M108,'00_SKU_Master'!$B$2:$B$379,'00_SKU_Master'!$M$2:$M$379,0),"0")</f>
        <v>0</v>
      </c>
      <c r="T108" s="186" t="str">
        <f>IFERROR(J108/_xlfn.XLOOKUP($M108,'00_SKU_Master'!$B$2:$B$379,'00_SKU_Master'!$M$2:$M$379,0),"0")</f>
        <v>0</v>
      </c>
      <c r="U108" s="186">
        <f t="shared" si="7"/>
        <v>0</v>
      </c>
      <c r="V108" s="186" t="str">
        <f>_xlfn.XLOOKUP(M108,'00_SKU_Master'!$B$2:$B$379,'00_SKU_Master'!$D$2:$D$379)</f>
        <v>LCL</v>
      </c>
      <c r="W108" s="1"/>
      <c r="X108" s="2">
        <f>'05_Daily_Orders'!C109</f>
        <v>7161</v>
      </c>
      <c r="Y108" s="289"/>
      <c r="Z108" s="289">
        <v>0</v>
      </c>
      <c r="AA108" s="289">
        <v>0</v>
      </c>
      <c r="AB108" s="289">
        <v>0</v>
      </c>
      <c r="AC108" s="289">
        <v>0</v>
      </c>
      <c r="AD108" s="289">
        <v>0</v>
      </c>
      <c r="AE108" s="289">
        <v>0</v>
      </c>
      <c r="AF108" s="7">
        <f t="shared" si="8"/>
        <v>0</v>
      </c>
      <c r="AQ108" s="70">
        <v>0</v>
      </c>
      <c r="AR108" s="70">
        <v>0</v>
      </c>
      <c r="AS108" s="3">
        <f t="shared" si="9"/>
        <v>0</v>
      </c>
    </row>
    <row r="109" spans="1:45" x14ac:dyDescent="0.35">
      <c r="A109" s="181" t="str">
        <f>_xlfn.XLOOKUP(X109,'00_SKU_Master'!$B$2:$B$379,'00_SKU_Master'!$C$2:$C$379)</f>
        <v>61086#2</v>
      </c>
      <c r="B109" s="181" t="str">
        <f>_xlfn.XLOOKUP(X109,tblSKU[SKU],tblSKU[Product_Group])</f>
        <v>ThighMeat</v>
      </c>
      <c r="C109" s="181" t="str">
        <f>_xlfn.XLOOKUP(X109,tblSKU[SKU],tblSKU[Tray_Type])</f>
        <v>PET 8</v>
      </c>
      <c r="D109" s="182">
        <f>_xlfn.IFNA(_xlfn.XLOOKUP(X109,'00_SKU_Master'!$B$2:$B$379,'00_SKU_Master'!$F$2:$F$379,0)*Y109,"")</f>
        <v>0</v>
      </c>
      <c r="E109" s="182">
        <f>_xlfn.IFNA(_xlfn.XLOOKUP(X109,'00_SKU_Master'!$B$2:$B$379,'00_SKU_Master'!$F$2:$F$379,0)*Z109,"")</f>
        <v>0</v>
      </c>
      <c r="F109" s="182">
        <f>_xlfn.IFNA(_xlfn.XLOOKUP(X109,'00_SKU_Master'!$B$2:$B$379,'00_SKU_Master'!$F$2:$F$379,0)*AA109,"")</f>
        <v>0</v>
      </c>
      <c r="G109" s="182">
        <f>_xlfn.IFNA(_xlfn.XLOOKUP(X109,'00_SKU_Master'!$B$2:$B$379,'00_SKU_Master'!$F$2:$F$379,0)*AB109,"")</f>
        <v>0</v>
      </c>
      <c r="H109" s="182">
        <f>_xlfn.IFNA(_xlfn.XLOOKUP(X109,'00_SKU_Master'!$B$2:$B$379,'00_SKU_Master'!$F$2:$F$379,0)*AC109,"")</f>
        <v>0</v>
      </c>
      <c r="I109" s="182">
        <f>_xlfn.IFNA(_xlfn.XLOOKUP(X109,'00_SKU_Master'!$B$2:$B$379,'00_SKU_Master'!$F$2:$F$379,0)*AD109,"")</f>
        <v>0</v>
      </c>
      <c r="J109" s="182">
        <f>_xlfn.IFNA(_xlfn.XLOOKUP(X109,'00_SKU_Master'!$B$2:$B$379,'00_SKU_Master'!$F$2:$F$379,0)*AE109,"")</f>
        <v>0</v>
      </c>
      <c r="K109" s="183">
        <f t="shared" si="5"/>
        <v>0</v>
      </c>
      <c r="L109" s="184" t="str">
        <f>_xlfn.XLOOKUP(X109,'00_SKU_Master'!$B$2:$B$379,'00_SKU_Master'!$K$2:$K$379)</f>
        <v>Slow</v>
      </c>
      <c r="M109" s="185">
        <f t="shared" si="6"/>
        <v>7162</v>
      </c>
      <c r="N109" s="186" t="str">
        <f>IFERROR(D109/_xlfn.XLOOKUP($M109,'00_SKU_Master'!$B$2:$B$379,'00_SKU_Master'!$M$2:$M$379,0),"0")</f>
        <v>0</v>
      </c>
      <c r="O109" s="186" t="str">
        <f>IFERROR(E109/_xlfn.XLOOKUP($M109,'00_SKU_Master'!$B$2:$B$379,'00_SKU_Master'!$M$2:$M$379,0),"0")</f>
        <v>0</v>
      </c>
      <c r="P109" s="186" t="str">
        <f>IFERROR(F109/_xlfn.XLOOKUP($M109,'00_SKU_Master'!$B$2:$B$379,'00_SKU_Master'!$M$2:$M$379,0),"0")</f>
        <v>0</v>
      </c>
      <c r="Q109" s="186" t="str">
        <f>IFERROR(G109/_xlfn.XLOOKUP($M109,'00_SKU_Master'!$B$2:$B$379,'00_SKU_Master'!$M$2:$M$379,0),"0")</f>
        <v>0</v>
      </c>
      <c r="R109" s="186" t="str">
        <f>IFERROR(H109/_xlfn.XLOOKUP($M109,'00_SKU_Master'!$B$2:$B$379,'00_SKU_Master'!$M$2:$M$379,0),"0")</f>
        <v>0</v>
      </c>
      <c r="S109" s="186" t="str">
        <f>IFERROR(I109/_xlfn.XLOOKUP($M109,'00_SKU_Master'!$B$2:$B$379,'00_SKU_Master'!$M$2:$M$379,0),"0")</f>
        <v>0</v>
      </c>
      <c r="T109" s="186" t="str">
        <f>IFERROR(J109/_xlfn.XLOOKUP($M109,'00_SKU_Master'!$B$2:$B$379,'00_SKU_Master'!$M$2:$M$379,0),"0")</f>
        <v>0</v>
      </c>
      <c r="U109" s="186">
        <f t="shared" si="7"/>
        <v>0</v>
      </c>
      <c r="V109" s="186" t="str">
        <f>_xlfn.XLOOKUP(M109,'00_SKU_Master'!$B$2:$B$379,'00_SKU_Master'!$D$2:$D$379)</f>
        <v>LCL</v>
      </c>
      <c r="W109" s="1"/>
      <c r="X109" s="2">
        <f>'05_Daily_Orders'!C110</f>
        <v>7162</v>
      </c>
      <c r="Y109" s="289"/>
      <c r="Z109" s="289">
        <v>0</v>
      </c>
      <c r="AA109" s="289">
        <v>0</v>
      </c>
      <c r="AB109" s="289">
        <v>0</v>
      </c>
      <c r="AC109" s="289">
        <v>0</v>
      </c>
      <c r="AD109" s="289">
        <v>0</v>
      </c>
      <c r="AE109" s="289">
        <v>0</v>
      </c>
      <c r="AF109" s="7">
        <f t="shared" si="8"/>
        <v>0</v>
      </c>
      <c r="AQ109" s="70">
        <v>0</v>
      </c>
      <c r="AR109" s="70">
        <v>0</v>
      </c>
      <c r="AS109" s="3">
        <f t="shared" si="9"/>
        <v>0</v>
      </c>
    </row>
    <row r="110" spans="1:45" x14ac:dyDescent="0.35">
      <c r="A110" s="181">
        <f>_xlfn.XLOOKUP(X110,'00_SKU_Master'!$B$2:$B$379,'00_SKU_Master'!$C$2:$C$379)</f>
        <v>61082</v>
      </c>
      <c r="B110" s="181" t="str">
        <f>_xlfn.XLOOKUP(X110,tblSKU[SKU],tblSKU[Product_Group])</f>
        <v>Thigh</v>
      </c>
      <c r="C110" s="181" t="str">
        <f>_xlfn.XLOOKUP(X110,tblSKU[SKU],tblSKU[Tray_Type])</f>
        <v>PET 8</v>
      </c>
      <c r="D110" s="182">
        <f>_xlfn.IFNA(_xlfn.XLOOKUP(X110,'00_SKU_Master'!$B$2:$B$379,'00_SKU_Master'!$F$2:$F$379,0)*Y110,"")</f>
        <v>0</v>
      </c>
      <c r="E110" s="182">
        <f>_xlfn.IFNA(_xlfn.XLOOKUP(X110,'00_SKU_Master'!$B$2:$B$379,'00_SKU_Master'!$F$2:$F$379,0)*Z110,"")</f>
        <v>0</v>
      </c>
      <c r="F110" s="182">
        <f>_xlfn.IFNA(_xlfn.XLOOKUP(X110,'00_SKU_Master'!$B$2:$B$379,'00_SKU_Master'!$F$2:$F$379,0)*AA110,"")</f>
        <v>0</v>
      </c>
      <c r="G110" s="182">
        <f>_xlfn.IFNA(_xlfn.XLOOKUP(X110,'00_SKU_Master'!$B$2:$B$379,'00_SKU_Master'!$F$2:$F$379,0)*AB110,"")</f>
        <v>0</v>
      </c>
      <c r="H110" s="182">
        <f>_xlfn.IFNA(_xlfn.XLOOKUP(X110,'00_SKU_Master'!$B$2:$B$379,'00_SKU_Master'!$F$2:$F$379,0)*AC110,"")</f>
        <v>0</v>
      </c>
      <c r="I110" s="182">
        <f>_xlfn.IFNA(_xlfn.XLOOKUP(X110,'00_SKU_Master'!$B$2:$B$379,'00_SKU_Master'!$F$2:$F$379,0)*AD110,"")</f>
        <v>0</v>
      </c>
      <c r="J110" s="182">
        <f>_xlfn.IFNA(_xlfn.XLOOKUP(X110,'00_SKU_Master'!$B$2:$B$379,'00_SKU_Master'!$F$2:$F$379,0)*AE110,"")</f>
        <v>0</v>
      </c>
      <c r="K110" s="183">
        <f t="shared" si="5"/>
        <v>0</v>
      </c>
      <c r="L110" s="184" t="str">
        <f>_xlfn.XLOOKUP(X110,'00_SKU_Master'!$B$2:$B$379,'00_SKU_Master'!$K$2:$K$379)</f>
        <v>Fast</v>
      </c>
      <c r="M110" s="185">
        <f t="shared" si="6"/>
        <v>7163</v>
      </c>
      <c r="N110" s="186" t="str">
        <f>IFERROR(D110/_xlfn.XLOOKUP($M110,'00_SKU_Master'!$B$2:$B$379,'00_SKU_Master'!$M$2:$M$379,0),"0")</f>
        <v>0</v>
      </c>
      <c r="O110" s="186" t="str">
        <f>IFERROR(E110/_xlfn.XLOOKUP($M110,'00_SKU_Master'!$B$2:$B$379,'00_SKU_Master'!$M$2:$M$379,0),"0")</f>
        <v>0</v>
      </c>
      <c r="P110" s="186" t="str">
        <f>IFERROR(F110/_xlfn.XLOOKUP($M110,'00_SKU_Master'!$B$2:$B$379,'00_SKU_Master'!$M$2:$M$379,0),"0")</f>
        <v>0</v>
      </c>
      <c r="Q110" s="186" t="str">
        <f>IFERROR(G110/_xlfn.XLOOKUP($M110,'00_SKU_Master'!$B$2:$B$379,'00_SKU_Master'!$M$2:$M$379,0),"0")</f>
        <v>0</v>
      </c>
      <c r="R110" s="186" t="str">
        <f>IFERROR(H110/_xlfn.XLOOKUP($M110,'00_SKU_Master'!$B$2:$B$379,'00_SKU_Master'!$M$2:$M$379,0),"0")</f>
        <v>0</v>
      </c>
      <c r="S110" s="186" t="str">
        <f>IFERROR(I110/_xlfn.XLOOKUP($M110,'00_SKU_Master'!$B$2:$B$379,'00_SKU_Master'!$M$2:$M$379,0),"0")</f>
        <v>0</v>
      </c>
      <c r="T110" s="186" t="str">
        <f>IFERROR(J110/_xlfn.XLOOKUP($M110,'00_SKU_Master'!$B$2:$B$379,'00_SKU_Master'!$M$2:$M$379,0),"0")</f>
        <v>0</v>
      </c>
      <c r="U110" s="186">
        <f t="shared" si="7"/>
        <v>0</v>
      </c>
      <c r="V110" s="186" t="str">
        <f>_xlfn.XLOOKUP(M110,'00_SKU_Master'!$B$2:$B$379,'00_SKU_Master'!$D$2:$D$379)</f>
        <v>LCL</v>
      </c>
      <c r="W110" s="1"/>
      <c r="X110" s="2">
        <f>'05_Daily_Orders'!C111</f>
        <v>7163</v>
      </c>
      <c r="Y110" s="289"/>
      <c r="Z110" s="289">
        <v>0</v>
      </c>
      <c r="AA110" s="289">
        <v>0</v>
      </c>
      <c r="AB110" s="289">
        <v>0</v>
      </c>
      <c r="AC110" s="289">
        <v>0</v>
      </c>
      <c r="AD110" s="289">
        <v>0</v>
      </c>
      <c r="AE110" s="289">
        <v>0</v>
      </c>
      <c r="AF110" s="7">
        <f t="shared" si="8"/>
        <v>0</v>
      </c>
      <c r="AQ110" s="70">
        <v>0</v>
      </c>
      <c r="AR110" s="70">
        <v>0</v>
      </c>
      <c r="AS110" s="3">
        <f t="shared" si="9"/>
        <v>0</v>
      </c>
    </row>
    <row r="111" spans="1:45" x14ac:dyDescent="0.35">
      <c r="A111" s="181" t="str">
        <f>_xlfn.XLOOKUP(X111,'00_SKU_Master'!$B$2:$B$379,'00_SKU_Master'!$C$2:$C$379)</f>
        <v>61072#2</v>
      </c>
      <c r="B111" s="181" t="str">
        <f>_xlfn.XLOOKUP(X111,tblSKU[SKU],tblSKU[Product_Group])</f>
        <v>Drum</v>
      </c>
      <c r="C111" s="181" t="str">
        <f>_xlfn.XLOOKUP(X111,tblSKU[SKU],tblSKU[Tray_Type])</f>
        <v>PET 8</v>
      </c>
      <c r="D111" s="182">
        <f>_xlfn.IFNA(_xlfn.XLOOKUP(X111,'00_SKU_Master'!$B$2:$B$379,'00_SKU_Master'!$F$2:$F$379,0)*Y111,"")</f>
        <v>0</v>
      </c>
      <c r="E111" s="182">
        <f>_xlfn.IFNA(_xlfn.XLOOKUP(X111,'00_SKU_Master'!$B$2:$B$379,'00_SKU_Master'!$F$2:$F$379,0)*Z111,"")</f>
        <v>0</v>
      </c>
      <c r="F111" s="182">
        <f>_xlfn.IFNA(_xlfn.XLOOKUP(X111,'00_SKU_Master'!$B$2:$B$379,'00_SKU_Master'!$F$2:$F$379,0)*AA111,"")</f>
        <v>0</v>
      </c>
      <c r="G111" s="182">
        <f>_xlfn.IFNA(_xlfn.XLOOKUP(X111,'00_SKU_Master'!$B$2:$B$379,'00_SKU_Master'!$F$2:$F$379,0)*AB111,"")</f>
        <v>0</v>
      </c>
      <c r="H111" s="182">
        <f>_xlfn.IFNA(_xlfn.XLOOKUP(X111,'00_SKU_Master'!$B$2:$B$379,'00_SKU_Master'!$F$2:$F$379,0)*AC111,"")</f>
        <v>0</v>
      </c>
      <c r="I111" s="182">
        <f>_xlfn.IFNA(_xlfn.XLOOKUP(X111,'00_SKU_Master'!$B$2:$B$379,'00_SKU_Master'!$F$2:$F$379,0)*AD111,"")</f>
        <v>0</v>
      </c>
      <c r="J111" s="182">
        <f>_xlfn.IFNA(_xlfn.XLOOKUP(X111,'00_SKU_Master'!$B$2:$B$379,'00_SKU_Master'!$F$2:$F$379,0)*AE111,"")</f>
        <v>0</v>
      </c>
      <c r="K111" s="183">
        <f t="shared" si="5"/>
        <v>0</v>
      </c>
      <c r="L111" s="184" t="str">
        <f>_xlfn.XLOOKUP(X111,'00_SKU_Master'!$B$2:$B$379,'00_SKU_Master'!$K$2:$K$379)</f>
        <v>Fast</v>
      </c>
      <c r="M111" s="185">
        <f t="shared" si="6"/>
        <v>7164</v>
      </c>
      <c r="N111" s="186" t="str">
        <f>IFERROR(D111/_xlfn.XLOOKUP($M111,'00_SKU_Master'!$B$2:$B$379,'00_SKU_Master'!$M$2:$M$379,0),"0")</f>
        <v>0</v>
      </c>
      <c r="O111" s="186" t="str">
        <f>IFERROR(E111/_xlfn.XLOOKUP($M111,'00_SKU_Master'!$B$2:$B$379,'00_SKU_Master'!$M$2:$M$379,0),"0")</f>
        <v>0</v>
      </c>
      <c r="P111" s="186" t="str">
        <f>IFERROR(F111/_xlfn.XLOOKUP($M111,'00_SKU_Master'!$B$2:$B$379,'00_SKU_Master'!$M$2:$M$379,0),"0")</f>
        <v>0</v>
      </c>
      <c r="Q111" s="186" t="str">
        <f>IFERROR(G111/_xlfn.XLOOKUP($M111,'00_SKU_Master'!$B$2:$B$379,'00_SKU_Master'!$M$2:$M$379,0),"0")</f>
        <v>0</v>
      </c>
      <c r="R111" s="186" t="str">
        <f>IFERROR(H111/_xlfn.XLOOKUP($M111,'00_SKU_Master'!$B$2:$B$379,'00_SKU_Master'!$M$2:$M$379,0),"0")</f>
        <v>0</v>
      </c>
      <c r="S111" s="186" t="str">
        <f>IFERROR(I111/_xlfn.XLOOKUP($M111,'00_SKU_Master'!$B$2:$B$379,'00_SKU_Master'!$M$2:$M$379,0),"0")</f>
        <v>0</v>
      </c>
      <c r="T111" s="186" t="str">
        <f>IFERROR(J111/_xlfn.XLOOKUP($M111,'00_SKU_Master'!$B$2:$B$379,'00_SKU_Master'!$M$2:$M$379,0),"0")</f>
        <v>0</v>
      </c>
      <c r="U111" s="186">
        <f t="shared" si="7"/>
        <v>0</v>
      </c>
      <c r="V111" s="186" t="str">
        <f>_xlfn.XLOOKUP(M111,'00_SKU_Master'!$B$2:$B$379,'00_SKU_Master'!$D$2:$D$379)</f>
        <v>LCL</v>
      </c>
      <c r="W111" s="1"/>
      <c r="X111" s="2">
        <f>'05_Daily_Orders'!C112</f>
        <v>7164</v>
      </c>
      <c r="Y111" s="289"/>
      <c r="Z111" s="289">
        <v>0</v>
      </c>
      <c r="AA111" s="289">
        <v>0</v>
      </c>
      <c r="AB111" s="289">
        <v>0</v>
      </c>
      <c r="AC111" s="289">
        <v>0</v>
      </c>
      <c r="AD111" s="289">
        <v>0</v>
      </c>
      <c r="AE111" s="289">
        <v>0</v>
      </c>
      <c r="AF111" s="7">
        <f t="shared" si="8"/>
        <v>0</v>
      </c>
      <c r="AQ111" s="70">
        <v>0</v>
      </c>
      <c r="AR111" s="70">
        <v>0</v>
      </c>
      <c r="AS111" s="3">
        <f t="shared" si="9"/>
        <v>0</v>
      </c>
    </row>
    <row r="112" spans="1:45" x14ac:dyDescent="0.35">
      <c r="A112" s="181">
        <f>_xlfn.XLOOKUP(X112,'00_SKU_Master'!$B$2:$B$379,'00_SKU_Master'!$C$2:$C$379)</f>
        <v>61061</v>
      </c>
      <c r="B112" s="181" t="str">
        <f>_xlfn.XLOOKUP(X112,tblSKU[SKU],tblSKU[Product_Group])</f>
        <v>BA</v>
      </c>
      <c r="C112" s="181" t="str">
        <f>_xlfn.XLOOKUP(X112,tblSKU[SKU],tblSKU[Tray_Type])</f>
        <v>PET 8</v>
      </c>
      <c r="D112" s="182">
        <f>_xlfn.IFNA(_xlfn.XLOOKUP(X112,'00_SKU_Master'!$B$2:$B$379,'00_SKU_Master'!$F$2:$F$379,0)*Y112,"")</f>
        <v>0</v>
      </c>
      <c r="E112" s="182">
        <f>_xlfn.IFNA(_xlfn.XLOOKUP(X112,'00_SKU_Master'!$B$2:$B$379,'00_SKU_Master'!$F$2:$F$379,0)*Z112,"")</f>
        <v>0</v>
      </c>
      <c r="F112" s="182">
        <f>_xlfn.IFNA(_xlfn.XLOOKUP(X112,'00_SKU_Master'!$B$2:$B$379,'00_SKU_Master'!$F$2:$F$379,0)*AA112,"")</f>
        <v>0</v>
      </c>
      <c r="G112" s="182">
        <f>_xlfn.IFNA(_xlfn.XLOOKUP(X112,'00_SKU_Master'!$B$2:$B$379,'00_SKU_Master'!$F$2:$F$379,0)*AB112,"")</f>
        <v>0</v>
      </c>
      <c r="H112" s="182">
        <f>_xlfn.IFNA(_xlfn.XLOOKUP(X112,'00_SKU_Master'!$B$2:$B$379,'00_SKU_Master'!$F$2:$F$379,0)*AC112,"")</f>
        <v>0</v>
      </c>
      <c r="I112" s="182">
        <f>_xlfn.IFNA(_xlfn.XLOOKUP(X112,'00_SKU_Master'!$B$2:$B$379,'00_SKU_Master'!$F$2:$F$379,0)*AD112,"")</f>
        <v>0</v>
      </c>
      <c r="J112" s="182">
        <f>_xlfn.IFNA(_xlfn.XLOOKUP(X112,'00_SKU_Master'!$B$2:$B$379,'00_SKU_Master'!$F$2:$F$379,0)*AE112,"")</f>
        <v>0</v>
      </c>
      <c r="K112" s="183">
        <f t="shared" si="5"/>
        <v>0</v>
      </c>
      <c r="L112" s="184" t="str">
        <f>_xlfn.XLOOKUP(X112,'00_SKU_Master'!$B$2:$B$379,'00_SKU_Master'!$K$2:$K$379)</f>
        <v>Fast</v>
      </c>
      <c r="M112" s="185">
        <f t="shared" si="6"/>
        <v>7165</v>
      </c>
      <c r="N112" s="186" t="str">
        <f>IFERROR(D112/_xlfn.XLOOKUP($M112,'00_SKU_Master'!$B$2:$B$379,'00_SKU_Master'!$M$2:$M$379,0),"0")</f>
        <v>0</v>
      </c>
      <c r="O112" s="186" t="str">
        <f>IFERROR(E112/_xlfn.XLOOKUP($M112,'00_SKU_Master'!$B$2:$B$379,'00_SKU_Master'!$M$2:$M$379,0),"0")</f>
        <v>0</v>
      </c>
      <c r="P112" s="186" t="str">
        <f>IFERROR(F112/_xlfn.XLOOKUP($M112,'00_SKU_Master'!$B$2:$B$379,'00_SKU_Master'!$M$2:$M$379,0),"0")</f>
        <v>0</v>
      </c>
      <c r="Q112" s="186" t="str">
        <f>IFERROR(G112/_xlfn.XLOOKUP($M112,'00_SKU_Master'!$B$2:$B$379,'00_SKU_Master'!$M$2:$M$379,0),"0")</f>
        <v>0</v>
      </c>
      <c r="R112" s="186" t="str">
        <f>IFERROR(H112/_xlfn.XLOOKUP($M112,'00_SKU_Master'!$B$2:$B$379,'00_SKU_Master'!$M$2:$M$379,0),"0")</f>
        <v>0</v>
      </c>
      <c r="S112" s="186" t="str">
        <f>IFERROR(I112/_xlfn.XLOOKUP($M112,'00_SKU_Master'!$B$2:$B$379,'00_SKU_Master'!$M$2:$M$379,0),"0")</f>
        <v>0</v>
      </c>
      <c r="T112" s="186" t="str">
        <f>IFERROR(J112/_xlfn.XLOOKUP($M112,'00_SKU_Master'!$B$2:$B$379,'00_SKU_Master'!$M$2:$M$379,0),"0")</f>
        <v>0</v>
      </c>
      <c r="U112" s="186">
        <f t="shared" si="7"/>
        <v>0</v>
      </c>
      <c r="V112" s="186" t="str">
        <f>_xlfn.XLOOKUP(M112,'00_SKU_Master'!$B$2:$B$379,'00_SKU_Master'!$D$2:$D$379)</f>
        <v>LCL</v>
      </c>
      <c r="W112" s="1"/>
      <c r="X112" s="2">
        <f>'05_Daily_Orders'!C113</f>
        <v>7165</v>
      </c>
      <c r="Y112" s="289"/>
      <c r="Z112" s="289">
        <v>0</v>
      </c>
      <c r="AA112" s="289">
        <v>0</v>
      </c>
      <c r="AB112" s="289">
        <v>0</v>
      </c>
      <c r="AC112" s="289">
        <v>0</v>
      </c>
      <c r="AD112" s="289">
        <v>0</v>
      </c>
      <c r="AE112" s="289">
        <v>0</v>
      </c>
      <c r="AF112" s="7">
        <f t="shared" si="8"/>
        <v>0</v>
      </c>
      <c r="AQ112" s="70">
        <v>0</v>
      </c>
      <c r="AR112" s="70">
        <v>0</v>
      </c>
      <c r="AS112" s="3">
        <f t="shared" si="9"/>
        <v>0</v>
      </c>
    </row>
    <row r="113" spans="1:45" x14ac:dyDescent="0.35">
      <c r="A113" s="181">
        <f>_xlfn.XLOOKUP(X113,'00_SKU_Master'!$B$2:$B$379,'00_SKU_Master'!$C$2:$C$379)</f>
        <v>61010</v>
      </c>
      <c r="B113" s="181" t="str">
        <f>_xlfn.XLOOKUP(X113,tblSKU[SKU],tblSKU[Product_Group])</f>
        <v>Wing</v>
      </c>
      <c r="C113" s="181" t="str">
        <f>_xlfn.XLOOKUP(X113,tblSKU[SKU],tblSKU[Tray_Type])</f>
        <v>PET 8</v>
      </c>
      <c r="D113" s="182">
        <f>_xlfn.IFNA(_xlfn.XLOOKUP(X113,'00_SKU_Master'!$B$2:$B$379,'00_SKU_Master'!$F$2:$F$379,0)*Y113,"")</f>
        <v>0</v>
      </c>
      <c r="E113" s="182">
        <f>_xlfn.IFNA(_xlfn.XLOOKUP(X113,'00_SKU_Master'!$B$2:$B$379,'00_SKU_Master'!$F$2:$F$379,0)*Z113,"")</f>
        <v>0</v>
      </c>
      <c r="F113" s="182">
        <f>_xlfn.IFNA(_xlfn.XLOOKUP(X113,'00_SKU_Master'!$B$2:$B$379,'00_SKU_Master'!$F$2:$F$379,0)*AA113,"")</f>
        <v>0</v>
      </c>
      <c r="G113" s="182">
        <f>_xlfn.IFNA(_xlfn.XLOOKUP(X113,'00_SKU_Master'!$B$2:$B$379,'00_SKU_Master'!$F$2:$F$379,0)*AB113,"")</f>
        <v>0</v>
      </c>
      <c r="H113" s="182">
        <f>_xlfn.IFNA(_xlfn.XLOOKUP(X113,'00_SKU_Master'!$B$2:$B$379,'00_SKU_Master'!$F$2:$F$379,0)*AC113,"")</f>
        <v>0</v>
      </c>
      <c r="I113" s="182">
        <f>_xlfn.IFNA(_xlfn.XLOOKUP(X113,'00_SKU_Master'!$B$2:$B$379,'00_SKU_Master'!$F$2:$F$379,0)*AD113,"")</f>
        <v>0</v>
      </c>
      <c r="J113" s="182">
        <f>_xlfn.IFNA(_xlfn.XLOOKUP(X113,'00_SKU_Master'!$B$2:$B$379,'00_SKU_Master'!$F$2:$F$379,0)*AE113,"")</f>
        <v>0</v>
      </c>
      <c r="K113" s="183">
        <f t="shared" si="5"/>
        <v>0</v>
      </c>
      <c r="L113" s="184" t="str">
        <f>_xlfn.XLOOKUP(X113,'00_SKU_Master'!$B$2:$B$379,'00_SKU_Master'!$K$2:$K$379)</f>
        <v>Fast</v>
      </c>
      <c r="M113" s="185">
        <f t="shared" si="6"/>
        <v>7166</v>
      </c>
      <c r="N113" s="186" t="str">
        <f>IFERROR(D113/_xlfn.XLOOKUP($M113,'00_SKU_Master'!$B$2:$B$379,'00_SKU_Master'!$M$2:$M$379,0),"0")</f>
        <v>0</v>
      </c>
      <c r="O113" s="186" t="str">
        <f>IFERROR(E113/_xlfn.XLOOKUP($M113,'00_SKU_Master'!$B$2:$B$379,'00_SKU_Master'!$M$2:$M$379,0),"0")</f>
        <v>0</v>
      </c>
      <c r="P113" s="186" t="str">
        <f>IFERROR(F113/_xlfn.XLOOKUP($M113,'00_SKU_Master'!$B$2:$B$379,'00_SKU_Master'!$M$2:$M$379,0),"0")</f>
        <v>0</v>
      </c>
      <c r="Q113" s="186" t="str">
        <f>IFERROR(G113/_xlfn.XLOOKUP($M113,'00_SKU_Master'!$B$2:$B$379,'00_SKU_Master'!$M$2:$M$379,0),"0")</f>
        <v>0</v>
      </c>
      <c r="R113" s="186" t="str">
        <f>IFERROR(H113/_xlfn.XLOOKUP($M113,'00_SKU_Master'!$B$2:$B$379,'00_SKU_Master'!$M$2:$M$379,0),"0")</f>
        <v>0</v>
      </c>
      <c r="S113" s="186" t="str">
        <f>IFERROR(I113/_xlfn.XLOOKUP($M113,'00_SKU_Master'!$B$2:$B$379,'00_SKU_Master'!$M$2:$M$379,0),"0")</f>
        <v>0</v>
      </c>
      <c r="T113" s="186" t="str">
        <f>IFERROR(J113/_xlfn.XLOOKUP($M113,'00_SKU_Master'!$B$2:$B$379,'00_SKU_Master'!$M$2:$M$379,0),"0")</f>
        <v>0</v>
      </c>
      <c r="U113" s="186">
        <f t="shared" si="7"/>
        <v>0</v>
      </c>
      <c r="V113" s="186" t="str">
        <f>_xlfn.XLOOKUP(M113,'00_SKU_Master'!$B$2:$B$379,'00_SKU_Master'!$D$2:$D$379)</f>
        <v>LCL</v>
      </c>
      <c r="W113" s="1"/>
      <c r="X113" s="2">
        <f>'05_Daily_Orders'!C114</f>
        <v>7166</v>
      </c>
      <c r="Y113" s="289"/>
      <c r="Z113" s="289">
        <v>0</v>
      </c>
      <c r="AA113" s="289">
        <v>0</v>
      </c>
      <c r="AB113" s="289">
        <v>0</v>
      </c>
      <c r="AC113" s="289">
        <v>0</v>
      </c>
      <c r="AD113" s="289">
        <v>0</v>
      </c>
      <c r="AE113" s="289">
        <v>0</v>
      </c>
      <c r="AF113" s="7">
        <f t="shared" si="8"/>
        <v>0</v>
      </c>
      <c r="AQ113" s="70">
        <v>0</v>
      </c>
      <c r="AR113" s="70">
        <v>0</v>
      </c>
      <c r="AS113" s="3">
        <f t="shared" si="9"/>
        <v>0</v>
      </c>
    </row>
    <row r="114" spans="1:45" x14ac:dyDescent="0.35">
      <c r="A114" s="181" t="str">
        <f>_xlfn.XLOOKUP(X114,'00_SKU_Master'!$B$2:$B$379,'00_SKU_Master'!$C$2:$C$379)</f>
        <v>61072#2</v>
      </c>
      <c r="B114" s="181" t="str">
        <f>_xlfn.XLOOKUP(X114,tblSKU[SKU],tblSKU[Product_Group])</f>
        <v>Drum</v>
      </c>
      <c r="C114" s="181" t="str">
        <f>_xlfn.XLOOKUP(X114,tblSKU[SKU],tblSKU[Tray_Type])</f>
        <v>PET 8</v>
      </c>
      <c r="D114" s="182">
        <f>_xlfn.IFNA(_xlfn.XLOOKUP(X114,'00_SKU_Master'!$B$2:$B$379,'00_SKU_Master'!$F$2:$F$379,0)*Y114,"")</f>
        <v>0</v>
      </c>
      <c r="E114" s="182">
        <f>_xlfn.IFNA(_xlfn.XLOOKUP(X114,'00_SKU_Master'!$B$2:$B$379,'00_SKU_Master'!$F$2:$F$379,0)*Z114,"")</f>
        <v>0</v>
      </c>
      <c r="F114" s="182">
        <f>_xlfn.IFNA(_xlfn.XLOOKUP(X114,'00_SKU_Master'!$B$2:$B$379,'00_SKU_Master'!$F$2:$F$379,0)*AA114,"")</f>
        <v>0</v>
      </c>
      <c r="G114" s="182">
        <f>_xlfn.IFNA(_xlfn.XLOOKUP(X114,'00_SKU_Master'!$B$2:$B$379,'00_SKU_Master'!$F$2:$F$379,0)*AB114,"")</f>
        <v>0</v>
      </c>
      <c r="H114" s="182">
        <f>_xlfn.IFNA(_xlfn.XLOOKUP(X114,'00_SKU_Master'!$B$2:$B$379,'00_SKU_Master'!$F$2:$F$379,0)*AC114,"")</f>
        <v>0</v>
      </c>
      <c r="I114" s="182">
        <f>_xlfn.IFNA(_xlfn.XLOOKUP(X114,'00_SKU_Master'!$B$2:$B$379,'00_SKU_Master'!$F$2:$F$379,0)*AD114,"")</f>
        <v>0</v>
      </c>
      <c r="J114" s="182">
        <f>_xlfn.IFNA(_xlfn.XLOOKUP(X114,'00_SKU_Master'!$B$2:$B$379,'00_SKU_Master'!$F$2:$F$379,0)*AE114,"")</f>
        <v>0</v>
      </c>
      <c r="K114" s="183">
        <f t="shared" si="5"/>
        <v>0</v>
      </c>
      <c r="L114" s="184" t="str">
        <f>_xlfn.XLOOKUP(X114,'00_SKU_Master'!$B$2:$B$379,'00_SKU_Master'!$K$2:$K$379)</f>
        <v>Fast</v>
      </c>
      <c r="M114" s="185">
        <f t="shared" si="6"/>
        <v>7168</v>
      </c>
      <c r="N114" s="186">
        <f>IFERROR(D114/_xlfn.XLOOKUP($M114,'00_SKU_Master'!$B$2:$B$379,'00_SKU_Master'!$M$2:$M$379,0),"0")</f>
        <v>0</v>
      </c>
      <c r="O114" s="186">
        <f>IFERROR(E114/_xlfn.XLOOKUP($M114,'00_SKU_Master'!$B$2:$B$379,'00_SKU_Master'!$M$2:$M$379,0),"0")</f>
        <v>0</v>
      </c>
      <c r="P114" s="186">
        <f>IFERROR(F114/_xlfn.XLOOKUP($M114,'00_SKU_Master'!$B$2:$B$379,'00_SKU_Master'!$M$2:$M$379,0),"0")</f>
        <v>0</v>
      </c>
      <c r="Q114" s="186">
        <f>IFERROR(G114/_xlfn.XLOOKUP($M114,'00_SKU_Master'!$B$2:$B$379,'00_SKU_Master'!$M$2:$M$379,0),"0")</f>
        <v>0</v>
      </c>
      <c r="R114" s="186">
        <f>IFERROR(H114/_xlfn.XLOOKUP($M114,'00_SKU_Master'!$B$2:$B$379,'00_SKU_Master'!$M$2:$M$379,0),"0")</f>
        <v>0</v>
      </c>
      <c r="S114" s="186">
        <f>IFERROR(I114/_xlfn.XLOOKUP($M114,'00_SKU_Master'!$B$2:$B$379,'00_SKU_Master'!$M$2:$M$379,0),"0")</f>
        <v>0</v>
      </c>
      <c r="T114" s="186">
        <f>IFERROR(J114/_xlfn.XLOOKUP($M114,'00_SKU_Master'!$B$2:$B$379,'00_SKU_Master'!$M$2:$M$379,0),"0")</f>
        <v>0</v>
      </c>
      <c r="U114" s="186">
        <f t="shared" si="7"/>
        <v>0</v>
      </c>
      <c r="V114" s="186" t="str">
        <f>_xlfn.XLOOKUP(M114,'00_SKU_Master'!$B$2:$B$379,'00_SKU_Master'!$D$2:$D$379)</f>
        <v>LCL</v>
      </c>
      <c r="W114" s="1"/>
      <c r="X114" s="2">
        <f>'05_Daily_Orders'!C115</f>
        <v>7168</v>
      </c>
      <c r="Y114" s="289"/>
      <c r="Z114" s="289">
        <v>0</v>
      </c>
      <c r="AA114" s="289">
        <v>0</v>
      </c>
      <c r="AB114" s="289">
        <v>0</v>
      </c>
      <c r="AC114" s="289">
        <v>0</v>
      </c>
      <c r="AD114" s="289">
        <v>0</v>
      </c>
      <c r="AE114" s="289">
        <v>0</v>
      </c>
      <c r="AF114" s="7">
        <f t="shared" si="8"/>
        <v>0</v>
      </c>
      <c r="AQ114" s="70">
        <v>0</v>
      </c>
      <c r="AR114" s="70">
        <v>0</v>
      </c>
      <c r="AS114" s="3">
        <f t="shared" si="9"/>
        <v>0</v>
      </c>
    </row>
    <row r="115" spans="1:45" x14ac:dyDescent="0.35">
      <c r="A115" s="181">
        <f>_xlfn.XLOOKUP(X115,'00_SKU_Master'!$B$2:$B$379,'00_SKU_Master'!$C$2:$C$379)</f>
        <v>61082</v>
      </c>
      <c r="B115" s="181" t="str">
        <f>_xlfn.XLOOKUP(X115,tblSKU[SKU],tblSKU[Product_Group])</f>
        <v>Thigh</v>
      </c>
      <c r="C115" s="181" t="str">
        <f>_xlfn.XLOOKUP(X115,tblSKU[SKU],tblSKU[Tray_Type])</f>
        <v>PET 8</v>
      </c>
      <c r="D115" s="182">
        <f>_xlfn.IFNA(_xlfn.XLOOKUP(X115,'00_SKU_Master'!$B$2:$B$379,'00_SKU_Master'!$F$2:$F$379,0)*Y115,"")</f>
        <v>0</v>
      </c>
      <c r="E115" s="182">
        <f>_xlfn.IFNA(_xlfn.XLOOKUP(X115,'00_SKU_Master'!$B$2:$B$379,'00_SKU_Master'!$F$2:$F$379,0)*Z115,"")</f>
        <v>0</v>
      </c>
      <c r="F115" s="182">
        <f>_xlfn.IFNA(_xlfn.XLOOKUP(X115,'00_SKU_Master'!$B$2:$B$379,'00_SKU_Master'!$F$2:$F$379,0)*AA115,"")</f>
        <v>0</v>
      </c>
      <c r="G115" s="182">
        <f>_xlfn.IFNA(_xlfn.XLOOKUP(X115,'00_SKU_Master'!$B$2:$B$379,'00_SKU_Master'!$F$2:$F$379,0)*AB115,"")</f>
        <v>0</v>
      </c>
      <c r="H115" s="182">
        <f>_xlfn.IFNA(_xlfn.XLOOKUP(X115,'00_SKU_Master'!$B$2:$B$379,'00_SKU_Master'!$F$2:$F$379,0)*AC115,"")</f>
        <v>0</v>
      </c>
      <c r="I115" s="182">
        <f>_xlfn.IFNA(_xlfn.XLOOKUP(X115,'00_SKU_Master'!$B$2:$B$379,'00_SKU_Master'!$F$2:$F$379,0)*AD115,"")</f>
        <v>0</v>
      </c>
      <c r="J115" s="182">
        <f>_xlfn.IFNA(_xlfn.XLOOKUP(X115,'00_SKU_Master'!$B$2:$B$379,'00_SKU_Master'!$F$2:$F$379,0)*AE115,"")</f>
        <v>0</v>
      </c>
      <c r="K115" s="183">
        <f t="shared" si="5"/>
        <v>0</v>
      </c>
      <c r="L115" s="184" t="str">
        <f>_xlfn.XLOOKUP(X115,'00_SKU_Master'!$B$2:$B$379,'00_SKU_Master'!$K$2:$K$379)</f>
        <v>Fast</v>
      </c>
      <c r="M115" s="185">
        <f t="shared" si="6"/>
        <v>7169</v>
      </c>
      <c r="N115" s="186">
        <f>IFERROR(D115/_xlfn.XLOOKUP($M115,'00_SKU_Master'!$B$2:$B$379,'00_SKU_Master'!$M$2:$M$379,0),"0")</f>
        <v>0</v>
      </c>
      <c r="O115" s="186">
        <f>IFERROR(E115/_xlfn.XLOOKUP($M115,'00_SKU_Master'!$B$2:$B$379,'00_SKU_Master'!$M$2:$M$379,0),"0")</f>
        <v>0</v>
      </c>
      <c r="P115" s="186">
        <f>IFERROR(F115/_xlfn.XLOOKUP($M115,'00_SKU_Master'!$B$2:$B$379,'00_SKU_Master'!$M$2:$M$379,0),"0")</f>
        <v>0</v>
      </c>
      <c r="Q115" s="186">
        <f>IFERROR(G115/_xlfn.XLOOKUP($M115,'00_SKU_Master'!$B$2:$B$379,'00_SKU_Master'!$M$2:$M$379,0),"0")</f>
        <v>0</v>
      </c>
      <c r="R115" s="186">
        <f>IFERROR(H115/_xlfn.XLOOKUP($M115,'00_SKU_Master'!$B$2:$B$379,'00_SKU_Master'!$M$2:$M$379,0),"0")</f>
        <v>0</v>
      </c>
      <c r="S115" s="186">
        <f>IFERROR(I115/_xlfn.XLOOKUP($M115,'00_SKU_Master'!$B$2:$B$379,'00_SKU_Master'!$M$2:$M$379,0),"0")</f>
        <v>0</v>
      </c>
      <c r="T115" s="186">
        <f>IFERROR(J115/_xlfn.XLOOKUP($M115,'00_SKU_Master'!$B$2:$B$379,'00_SKU_Master'!$M$2:$M$379,0),"0")</f>
        <v>0</v>
      </c>
      <c r="U115" s="186">
        <f t="shared" si="7"/>
        <v>0</v>
      </c>
      <c r="V115" s="186" t="str">
        <f>_xlfn.XLOOKUP(M115,'00_SKU_Master'!$B$2:$B$379,'00_SKU_Master'!$D$2:$D$379)</f>
        <v>LCL</v>
      </c>
      <c r="W115" s="1"/>
      <c r="X115" s="2">
        <f>'05_Daily_Orders'!C116</f>
        <v>7169</v>
      </c>
      <c r="Y115" s="289"/>
      <c r="Z115" s="289">
        <v>0</v>
      </c>
      <c r="AA115" s="289">
        <v>0</v>
      </c>
      <c r="AB115" s="289">
        <v>0</v>
      </c>
      <c r="AC115" s="289">
        <v>0</v>
      </c>
      <c r="AD115" s="289">
        <v>0</v>
      </c>
      <c r="AE115" s="289">
        <v>0</v>
      </c>
      <c r="AF115" s="7">
        <f t="shared" si="8"/>
        <v>0</v>
      </c>
      <c r="AQ115" s="70">
        <v>0</v>
      </c>
      <c r="AR115" s="70">
        <v>0</v>
      </c>
      <c r="AS115" s="3">
        <f t="shared" si="9"/>
        <v>0</v>
      </c>
    </row>
    <row r="116" spans="1:45" x14ac:dyDescent="0.35">
      <c r="A116" s="181" t="str">
        <f>_xlfn.XLOOKUP(X116,'00_SKU_Master'!$B$2:$B$379,'00_SKU_Master'!$C$2:$C$379)</f>
        <v>61086#2</v>
      </c>
      <c r="B116" s="181" t="str">
        <f>_xlfn.XLOOKUP(X116,tblSKU[SKU],tblSKU[Product_Group])</f>
        <v>ThighMeat</v>
      </c>
      <c r="C116" s="181" t="str">
        <f>_xlfn.XLOOKUP(X116,tblSKU[SKU],tblSKU[Tray_Type])</f>
        <v>PET 8</v>
      </c>
      <c r="D116" s="182">
        <f>_xlfn.IFNA(_xlfn.XLOOKUP(X116,'00_SKU_Master'!$B$2:$B$379,'00_SKU_Master'!$F$2:$F$379,0)*Y116,"")</f>
        <v>0</v>
      </c>
      <c r="E116" s="182">
        <f>_xlfn.IFNA(_xlfn.XLOOKUP(X116,'00_SKU_Master'!$B$2:$B$379,'00_SKU_Master'!$F$2:$F$379,0)*Z116,"")</f>
        <v>0</v>
      </c>
      <c r="F116" s="182">
        <f>_xlfn.IFNA(_xlfn.XLOOKUP(X116,'00_SKU_Master'!$B$2:$B$379,'00_SKU_Master'!$F$2:$F$379,0)*AA116,"")</f>
        <v>0</v>
      </c>
      <c r="G116" s="182">
        <f>_xlfn.IFNA(_xlfn.XLOOKUP(X116,'00_SKU_Master'!$B$2:$B$379,'00_SKU_Master'!$F$2:$F$379,0)*AB116,"")</f>
        <v>0</v>
      </c>
      <c r="H116" s="182">
        <f>_xlfn.IFNA(_xlfn.XLOOKUP(X116,'00_SKU_Master'!$B$2:$B$379,'00_SKU_Master'!$F$2:$F$379,0)*AC116,"")</f>
        <v>0</v>
      </c>
      <c r="I116" s="182">
        <f>_xlfn.IFNA(_xlfn.XLOOKUP(X116,'00_SKU_Master'!$B$2:$B$379,'00_SKU_Master'!$F$2:$F$379,0)*AD116,"")</f>
        <v>0</v>
      </c>
      <c r="J116" s="182">
        <f>_xlfn.IFNA(_xlfn.XLOOKUP(X116,'00_SKU_Master'!$B$2:$B$379,'00_SKU_Master'!$F$2:$F$379,0)*AE116,"")</f>
        <v>0</v>
      </c>
      <c r="K116" s="183">
        <f t="shared" si="5"/>
        <v>0</v>
      </c>
      <c r="L116" s="184" t="str">
        <f>_xlfn.XLOOKUP(X116,'00_SKU_Master'!$B$2:$B$379,'00_SKU_Master'!$K$2:$K$379)</f>
        <v>Slow</v>
      </c>
      <c r="M116" s="185">
        <f t="shared" si="6"/>
        <v>7171</v>
      </c>
      <c r="N116" s="186" t="str">
        <f>IFERROR(D116/_xlfn.XLOOKUP($M116,'00_SKU_Master'!$B$2:$B$379,'00_SKU_Master'!$M$2:$M$379,0),"0")</f>
        <v>0</v>
      </c>
      <c r="O116" s="186" t="str">
        <f>IFERROR(E116/_xlfn.XLOOKUP($M116,'00_SKU_Master'!$B$2:$B$379,'00_SKU_Master'!$M$2:$M$379,0),"0")</f>
        <v>0</v>
      </c>
      <c r="P116" s="186" t="str">
        <f>IFERROR(F116/_xlfn.XLOOKUP($M116,'00_SKU_Master'!$B$2:$B$379,'00_SKU_Master'!$M$2:$M$379,0),"0")</f>
        <v>0</v>
      </c>
      <c r="Q116" s="186" t="str">
        <f>IFERROR(G116/_xlfn.XLOOKUP($M116,'00_SKU_Master'!$B$2:$B$379,'00_SKU_Master'!$M$2:$M$379,0),"0")</f>
        <v>0</v>
      </c>
      <c r="R116" s="186" t="str">
        <f>IFERROR(H116/_xlfn.XLOOKUP($M116,'00_SKU_Master'!$B$2:$B$379,'00_SKU_Master'!$M$2:$M$379,0),"0")</f>
        <v>0</v>
      </c>
      <c r="S116" s="186" t="str">
        <f>IFERROR(I116/_xlfn.XLOOKUP($M116,'00_SKU_Master'!$B$2:$B$379,'00_SKU_Master'!$M$2:$M$379,0),"0")</f>
        <v>0</v>
      </c>
      <c r="T116" s="186" t="str">
        <f>IFERROR(J116/_xlfn.XLOOKUP($M116,'00_SKU_Master'!$B$2:$B$379,'00_SKU_Master'!$M$2:$M$379,0),"0")</f>
        <v>0</v>
      </c>
      <c r="U116" s="186">
        <f t="shared" si="7"/>
        <v>0</v>
      </c>
      <c r="V116" s="186" t="str">
        <f>_xlfn.XLOOKUP(M116,'00_SKU_Master'!$B$2:$B$379,'00_SKU_Master'!$D$2:$D$379)</f>
        <v>LCL</v>
      </c>
      <c r="W116" s="1"/>
      <c r="X116" s="2">
        <f>'05_Daily_Orders'!C117</f>
        <v>7171</v>
      </c>
      <c r="Y116" s="289"/>
      <c r="Z116" s="289">
        <v>0</v>
      </c>
      <c r="AA116" s="289">
        <v>0</v>
      </c>
      <c r="AB116" s="289">
        <v>0</v>
      </c>
      <c r="AC116" s="289">
        <v>0</v>
      </c>
      <c r="AD116" s="289">
        <v>0</v>
      </c>
      <c r="AE116" s="289">
        <v>0</v>
      </c>
      <c r="AF116" s="7">
        <f t="shared" si="8"/>
        <v>0</v>
      </c>
      <c r="AQ116" s="70">
        <v>0</v>
      </c>
      <c r="AR116" s="70">
        <v>0</v>
      </c>
      <c r="AS116" s="3">
        <f t="shared" si="9"/>
        <v>0</v>
      </c>
    </row>
    <row r="117" spans="1:45" x14ac:dyDescent="0.35">
      <c r="A117" s="181" t="str">
        <f>_xlfn.XLOOKUP(X117,'00_SKU_Master'!$B$2:$B$379,'00_SKU_Master'!$C$2:$C$379)</f>
        <v>61072#2</v>
      </c>
      <c r="B117" s="181" t="str">
        <f>_xlfn.XLOOKUP(X117,tblSKU[SKU],tblSKU[Product_Group])</f>
        <v>Drum</v>
      </c>
      <c r="C117" s="181" t="str">
        <f>_xlfn.XLOOKUP(X117,tblSKU[SKU],tblSKU[Tray_Type])</f>
        <v>LT 14D</v>
      </c>
      <c r="D117" s="182">
        <f>_xlfn.IFNA(_xlfn.XLOOKUP(X117,'00_SKU_Master'!$B$2:$B$379,'00_SKU_Master'!$F$2:$F$379,0)*Y117,"")</f>
        <v>0</v>
      </c>
      <c r="E117" s="182">
        <f>_xlfn.IFNA(_xlfn.XLOOKUP(X117,'00_SKU_Master'!$B$2:$B$379,'00_SKU_Master'!$F$2:$F$379,0)*Z117,"")</f>
        <v>0</v>
      </c>
      <c r="F117" s="182">
        <f>_xlfn.IFNA(_xlfn.XLOOKUP(X117,'00_SKU_Master'!$B$2:$B$379,'00_SKU_Master'!$F$2:$F$379,0)*AA117,"")</f>
        <v>0</v>
      </c>
      <c r="G117" s="182">
        <f>_xlfn.IFNA(_xlfn.XLOOKUP(X117,'00_SKU_Master'!$B$2:$B$379,'00_SKU_Master'!$F$2:$F$379,0)*AB117,"")</f>
        <v>0</v>
      </c>
      <c r="H117" s="182">
        <f>_xlfn.IFNA(_xlfn.XLOOKUP(X117,'00_SKU_Master'!$B$2:$B$379,'00_SKU_Master'!$F$2:$F$379,0)*AC117,"")</f>
        <v>0</v>
      </c>
      <c r="I117" s="182">
        <f>_xlfn.IFNA(_xlfn.XLOOKUP(X117,'00_SKU_Master'!$B$2:$B$379,'00_SKU_Master'!$F$2:$F$379,0)*AD117,"")</f>
        <v>0</v>
      </c>
      <c r="J117" s="182">
        <f>_xlfn.IFNA(_xlfn.XLOOKUP(X117,'00_SKU_Master'!$B$2:$B$379,'00_SKU_Master'!$F$2:$F$379,0)*AE117,"")</f>
        <v>0</v>
      </c>
      <c r="K117" s="183">
        <f t="shared" si="5"/>
        <v>0</v>
      </c>
      <c r="L117" s="184" t="str">
        <f>_xlfn.XLOOKUP(X117,'00_SKU_Master'!$B$2:$B$379,'00_SKU_Master'!$K$2:$K$379)</f>
        <v>Fast</v>
      </c>
      <c r="M117" s="185">
        <f t="shared" si="6"/>
        <v>7173</v>
      </c>
      <c r="N117" s="186">
        <f>IFERROR(D117/_xlfn.XLOOKUP($M117,'00_SKU_Master'!$B$2:$B$379,'00_SKU_Master'!$M$2:$M$379,0),"0")</f>
        <v>0</v>
      </c>
      <c r="O117" s="186">
        <f>IFERROR(E117/_xlfn.XLOOKUP($M117,'00_SKU_Master'!$B$2:$B$379,'00_SKU_Master'!$M$2:$M$379,0),"0")</f>
        <v>0</v>
      </c>
      <c r="P117" s="186">
        <f>IFERROR(F117/_xlfn.XLOOKUP($M117,'00_SKU_Master'!$B$2:$B$379,'00_SKU_Master'!$M$2:$M$379,0),"0")</f>
        <v>0</v>
      </c>
      <c r="Q117" s="186">
        <f>IFERROR(G117/_xlfn.XLOOKUP($M117,'00_SKU_Master'!$B$2:$B$379,'00_SKU_Master'!$M$2:$M$379,0),"0")</f>
        <v>0</v>
      </c>
      <c r="R117" s="186">
        <f>IFERROR(H117/_xlfn.XLOOKUP($M117,'00_SKU_Master'!$B$2:$B$379,'00_SKU_Master'!$M$2:$M$379,0),"0")</f>
        <v>0</v>
      </c>
      <c r="S117" s="186">
        <f>IFERROR(I117/_xlfn.XLOOKUP($M117,'00_SKU_Master'!$B$2:$B$379,'00_SKU_Master'!$M$2:$M$379,0),"0")</f>
        <v>0</v>
      </c>
      <c r="T117" s="186">
        <f>IFERROR(J117/_xlfn.XLOOKUP($M117,'00_SKU_Master'!$B$2:$B$379,'00_SKU_Master'!$M$2:$M$379,0),"0")</f>
        <v>0</v>
      </c>
      <c r="U117" s="186">
        <f t="shared" si="7"/>
        <v>0</v>
      </c>
      <c r="V117" s="186" t="str">
        <f>_xlfn.XLOOKUP(M117,'00_SKU_Master'!$B$2:$B$379,'00_SKU_Master'!$D$2:$D$379)</f>
        <v>LCL</v>
      </c>
      <c r="W117" s="1"/>
      <c r="X117" s="2">
        <f>'05_Daily_Orders'!C118</f>
        <v>7173</v>
      </c>
      <c r="Y117" s="289"/>
      <c r="Z117" s="289">
        <v>0</v>
      </c>
      <c r="AA117" s="289">
        <v>0</v>
      </c>
      <c r="AB117" s="289">
        <v>0</v>
      </c>
      <c r="AC117" s="289">
        <v>0</v>
      </c>
      <c r="AD117" s="289">
        <v>0</v>
      </c>
      <c r="AE117" s="289">
        <v>0</v>
      </c>
      <c r="AF117" s="7">
        <f t="shared" si="8"/>
        <v>0</v>
      </c>
      <c r="AQ117" s="70">
        <v>0</v>
      </c>
      <c r="AR117" s="70">
        <v>0</v>
      </c>
      <c r="AS117" s="3">
        <f t="shared" si="9"/>
        <v>0</v>
      </c>
    </row>
    <row r="118" spans="1:45" x14ac:dyDescent="0.35">
      <c r="A118" s="181">
        <f>_xlfn.XLOOKUP(X118,'00_SKU_Master'!$B$2:$B$379,'00_SKU_Master'!$C$2:$C$379)</f>
        <v>203891</v>
      </c>
      <c r="B118" s="181" t="str">
        <f>_xlfn.XLOOKUP(X118,tblSKU[SKU],tblSKU[Product_Group])</f>
        <v>Whole Bird-Large</v>
      </c>
      <c r="C118" s="181" t="str">
        <f>_xlfn.XLOOKUP(X118,tblSKU[SKU],tblSKU[Tray_Type])</f>
        <v>PET 9</v>
      </c>
      <c r="D118" s="182">
        <f>_xlfn.IFNA(_xlfn.XLOOKUP(X118,'00_SKU_Master'!$B$2:$B$379,'00_SKU_Master'!$F$2:$F$379,0)*Y118,"")</f>
        <v>0</v>
      </c>
      <c r="E118" s="182">
        <f>_xlfn.IFNA(_xlfn.XLOOKUP(X118,'00_SKU_Master'!$B$2:$B$379,'00_SKU_Master'!$F$2:$F$379,0)*Z118,"")</f>
        <v>0</v>
      </c>
      <c r="F118" s="182">
        <f>_xlfn.IFNA(_xlfn.XLOOKUP(X118,'00_SKU_Master'!$B$2:$B$379,'00_SKU_Master'!$F$2:$F$379,0)*AA118,"")</f>
        <v>0</v>
      </c>
      <c r="G118" s="182">
        <f>_xlfn.IFNA(_xlfn.XLOOKUP(X118,'00_SKU_Master'!$B$2:$B$379,'00_SKU_Master'!$F$2:$F$379,0)*AB118,"")</f>
        <v>0</v>
      </c>
      <c r="H118" s="182">
        <f>_xlfn.IFNA(_xlfn.XLOOKUP(X118,'00_SKU_Master'!$B$2:$B$379,'00_SKU_Master'!$F$2:$F$379,0)*AC118,"")</f>
        <v>0</v>
      </c>
      <c r="I118" s="182">
        <f>_xlfn.IFNA(_xlfn.XLOOKUP(X118,'00_SKU_Master'!$B$2:$B$379,'00_SKU_Master'!$F$2:$F$379,0)*AD118,"")</f>
        <v>0</v>
      </c>
      <c r="J118" s="182">
        <f>_xlfn.IFNA(_xlfn.XLOOKUP(X118,'00_SKU_Master'!$B$2:$B$379,'00_SKU_Master'!$F$2:$F$379,0)*AE118,"")</f>
        <v>0</v>
      </c>
      <c r="K118" s="183">
        <f t="shared" si="5"/>
        <v>0</v>
      </c>
      <c r="L118" s="184" t="str">
        <f>_xlfn.XLOOKUP(X118,'00_SKU_Master'!$B$2:$B$379,'00_SKU_Master'!$K$2:$K$379)</f>
        <v>Fast</v>
      </c>
      <c r="M118" s="185">
        <f t="shared" si="6"/>
        <v>7178</v>
      </c>
      <c r="N118" s="186">
        <f>IFERROR(D118/_xlfn.XLOOKUP($M118,'00_SKU_Master'!$B$2:$B$379,'00_SKU_Master'!$M$2:$M$379,0),"0")</f>
        <v>0</v>
      </c>
      <c r="O118" s="186">
        <f>IFERROR(E118/_xlfn.XLOOKUP($M118,'00_SKU_Master'!$B$2:$B$379,'00_SKU_Master'!$M$2:$M$379,0),"0")</f>
        <v>0</v>
      </c>
      <c r="P118" s="186">
        <f>IFERROR(F118/_xlfn.XLOOKUP($M118,'00_SKU_Master'!$B$2:$B$379,'00_SKU_Master'!$M$2:$M$379,0),"0")</f>
        <v>0</v>
      </c>
      <c r="Q118" s="186">
        <f>IFERROR(G118/_xlfn.XLOOKUP($M118,'00_SKU_Master'!$B$2:$B$379,'00_SKU_Master'!$M$2:$M$379,0),"0")</f>
        <v>0</v>
      </c>
      <c r="R118" s="186">
        <f>IFERROR(H118/_xlfn.XLOOKUP($M118,'00_SKU_Master'!$B$2:$B$379,'00_SKU_Master'!$M$2:$M$379,0),"0")</f>
        <v>0</v>
      </c>
      <c r="S118" s="186">
        <f>IFERROR(I118/_xlfn.XLOOKUP($M118,'00_SKU_Master'!$B$2:$B$379,'00_SKU_Master'!$M$2:$M$379,0),"0")</f>
        <v>0</v>
      </c>
      <c r="T118" s="186">
        <f>IFERROR(J118/_xlfn.XLOOKUP($M118,'00_SKU_Master'!$B$2:$B$379,'00_SKU_Master'!$M$2:$M$379,0),"0")</f>
        <v>0</v>
      </c>
      <c r="U118" s="186">
        <f t="shared" si="7"/>
        <v>0</v>
      </c>
      <c r="V118" s="186" t="str">
        <f>_xlfn.XLOOKUP(M118,'00_SKU_Master'!$B$2:$B$379,'00_SKU_Master'!$D$2:$D$379)</f>
        <v>LCL</v>
      </c>
      <c r="W118" s="1"/>
      <c r="X118" s="2">
        <f>'05_Daily_Orders'!C119</f>
        <v>7178</v>
      </c>
      <c r="Y118" s="289"/>
      <c r="Z118" s="289">
        <v>0</v>
      </c>
      <c r="AA118" s="289">
        <v>0</v>
      </c>
      <c r="AB118" s="289">
        <v>0</v>
      </c>
      <c r="AC118" s="289">
        <v>0</v>
      </c>
      <c r="AD118" s="289">
        <v>0</v>
      </c>
      <c r="AE118" s="289">
        <v>0</v>
      </c>
      <c r="AF118" s="7">
        <f t="shared" si="8"/>
        <v>0</v>
      </c>
      <c r="AQ118" s="70">
        <v>0</v>
      </c>
      <c r="AR118" s="70">
        <v>0</v>
      </c>
      <c r="AS118" s="3">
        <f t="shared" si="9"/>
        <v>0</v>
      </c>
    </row>
    <row r="119" spans="1:45" x14ac:dyDescent="0.35">
      <c r="A119" s="181" t="str">
        <f>_xlfn.XLOOKUP(X119,'00_SKU_Master'!$B$2:$B$379,'00_SKU_Master'!$C$2:$C$379)</f>
        <v>61050#2</v>
      </c>
      <c r="B119" s="181" t="str">
        <f>_xlfn.XLOOKUP(X119,tblSKU[SKU],tblSKU[Product_Group])</f>
        <v>BSB</v>
      </c>
      <c r="C119" s="181" t="str">
        <f>_xlfn.XLOOKUP(X119,tblSKU[SKU],tblSKU[Tray_Type])</f>
        <v>PET 8</v>
      </c>
      <c r="D119" s="182">
        <f>_xlfn.IFNA(_xlfn.XLOOKUP(X119,'00_SKU_Master'!$B$2:$B$379,'00_SKU_Master'!$F$2:$F$379,0)*Y119,"")</f>
        <v>0</v>
      </c>
      <c r="E119" s="182">
        <f>_xlfn.IFNA(_xlfn.XLOOKUP(X119,'00_SKU_Master'!$B$2:$B$379,'00_SKU_Master'!$F$2:$F$379,0)*Z119,"")</f>
        <v>0</v>
      </c>
      <c r="F119" s="182">
        <f>_xlfn.IFNA(_xlfn.XLOOKUP(X119,'00_SKU_Master'!$B$2:$B$379,'00_SKU_Master'!$F$2:$F$379,0)*AA119,"")</f>
        <v>0</v>
      </c>
      <c r="G119" s="182">
        <f>_xlfn.IFNA(_xlfn.XLOOKUP(X119,'00_SKU_Master'!$B$2:$B$379,'00_SKU_Master'!$F$2:$F$379,0)*AB119,"")</f>
        <v>0</v>
      </c>
      <c r="H119" s="182">
        <f>_xlfn.IFNA(_xlfn.XLOOKUP(X119,'00_SKU_Master'!$B$2:$B$379,'00_SKU_Master'!$F$2:$F$379,0)*AC119,"")</f>
        <v>0</v>
      </c>
      <c r="I119" s="182">
        <f>_xlfn.IFNA(_xlfn.XLOOKUP(X119,'00_SKU_Master'!$B$2:$B$379,'00_SKU_Master'!$F$2:$F$379,0)*AD119,"")</f>
        <v>0</v>
      </c>
      <c r="J119" s="182">
        <f>_xlfn.IFNA(_xlfn.XLOOKUP(X119,'00_SKU_Master'!$B$2:$B$379,'00_SKU_Master'!$F$2:$F$379,0)*AE119,"")</f>
        <v>0</v>
      </c>
      <c r="K119" s="183">
        <f t="shared" si="5"/>
        <v>0</v>
      </c>
      <c r="L119" s="184" t="str">
        <f>_xlfn.XLOOKUP(X119,'00_SKU_Master'!$B$2:$B$379,'00_SKU_Master'!$K$2:$K$379)</f>
        <v>Fast</v>
      </c>
      <c r="M119" s="185">
        <f t="shared" si="6"/>
        <v>7179</v>
      </c>
      <c r="N119" s="186">
        <f>IFERROR(D119/_xlfn.XLOOKUP($M119,'00_SKU_Master'!$B$2:$B$379,'00_SKU_Master'!$M$2:$M$379,0),"0")</f>
        <v>0</v>
      </c>
      <c r="O119" s="186">
        <f>IFERROR(E119/_xlfn.XLOOKUP($M119,'00_SKU_Master'!$B$2:$B$379,'00_SKU_Master'!$M$2:$M$379,0),"0")</f>
        <v>0</v>
      </c>
      <c r="P119" s="186">
        <f>IFERROR(F119/_xlfn.XLOOKUP($M119,'00_SKU_Master'!$B$2:$B$379,'00_SKU_Master'!$M$2:$M$379,0),"0")</f>
        <v>0</v>
      </c>
      <c r="Q119" s="186">
        <f>IFERROR(G119/_xlfn.XLOOKUP($M119,'00_SKU_Master'!$B$2:$B$379,'00_SKU_Master'!$M$2:$M$379,0),"0")</f>
        <v>0</v>
      </c>
      <c r="R119" s="186">
        <f>IFERROR(H119/_xlfn.XLOOKUP($M119,'00_SKU_Master'!$B$2:$B$379,'00_SKU_Master'!$M$2:$M$379,0),"0")</f>
        <v>0</v>
      </c>
      <c r="S119" s="186">
        <f>IFERROR(I119/_xlfn.XLOOKUP($M119,'00_SKU_Master'!$B$2:$B$379,'00_SKU_Master'!$M$2:$M$379,0),"0")</f>
        <v>0</v>
      </c>
      <c r="T119" s="186">
        <f>IFERROR(J119/_xlfn.XLOOKUP($M119,'00_SKU_Master'!$B$2:$B$379,'00_SKU_Master'!$M$2:$M$379,0),"0")</f>
        <v>0</v>
      </c>
      <c r="U119" s="186">
        <f t="shared" si="7"/>
        <v>0</v>
      </c>
      <c r="V119" s="186" t="str">
        <f>_xlfn.XLOOKUP(M119,'00_SKU_Master'!$B$2:$B$379,'00_SKU_Master'!$D$2:$D$379)</f>
        <v>LCL</v>
      </c>
      <c r="W119" s="1"/>
      <c r="X119" s="2">
        <f>'05_Daily_Orders'!C120</f>
        <v>7179</v>
      </c>
      <c r="Y119" s="289"/>
      <c r="Z119" s="289">
        <v>0</v>
      </c>
      <c r="AA119" s="289">
        <v>0</v>
      </c>
      <c r="AB119" s="289">
        <v>0</v>
      </c>
      <c r="AC119" s="289">
        <v>0</v>
      </c>
      <c r="AD119" s="289">
        <v>0</v>
      </c>
      <c r="AE119" s="289">
        <v>0</v>
      </c>
      <c r="AF119" s="7">
        <f t="shared" si="8"/>
        <v>0</v>
      </c>
      <c r="AQ119" s="70">
        <v>0</v>
      </c>
      <c r="AR119" s="70">
        <v>0</v>
      </c>
      <c r="AS119" s="3">
        <f t="shared" si="9"/>
        <v>0</v>
      </c>
    </row>
    <row r="120" spans="1:45" x14ac:dyDescent="0.35">
      <c r="A120" s="181">
        <f>_xlfn.XLOOKUP(X120,'00_SKU_Master'!$B$2:$B$379,'00_SKU_Master'!$C$2:$C$379)</f>
        <v>61072</v>
      </c>
      <c r="B120" s="181" t="str">
        <f>_xlfn.XLOOKUP(X120,tblSKU[SKU],tblSKU[Product_Group])</f>
        <v>Drum</v>
      </c>
      <c r="C120" s="181" t="str">
        <f>_xlfn.XLOOKUP(X120,tblSKU[SKU],tblSKU[Tray_Type])</f>
        <v>PET 8</v>
      </c>
      <c r="D120" s="182">
        <f>_xlfn.IFNA(_xlfn.XLOOKUP(X120,'00_SKU_Master'!$B$2:$B$379,'00_SKU_Master'!$F$2:$F$379,0)*Y120,"")</f>
        <v>0</v>
      </c>
      <c r="E120" s="182">
        <f>_xlfn.IFNA(_xlfn.XLOOKUP(X120,'00_SKU_Master'!$B$2:$B$379,'00_SKU_Master'!$F$2:$F$379,0)*Z120,"")</f>
        <v>0</v>
      </c>
      <c r="F120" s="182">
        <f>_xlfn.IFNA(_xlfn.XLOOKUP(X120,'00_SKU_Master'!$B$2:$B$379,'00_SKU_Master'!$F$2:$F$379,0)*AA120,"")</f>
        <v>0</v>
      </c>
      <c r="G120" s="182">
        <f>_xlfn.IFNA(_xlfn.XLOOKUP(X120,'00_SKU_Master'!$B$2:$B$379,'00_SKU_Master'!$F$2:$F$379,0)*AB120,"")</f>
        <v>0</v>
      </c>
      <c r="H120" s="182">
        <f>_xlfn.IFNA(_xlfn.XLOOKUP(X120,'00_SKU_Master'!$B$2:$B$379,'00_SKU_Master'!$F$2:$F$379,0)*AC120,"")</f>
        <v>0</v>
      </c>
      <c r="I120" s="182">
        <f>_xlfn.IFNA(_xlfn.XLOOKUP(X120,'00_SKU_Master'!$B$2:$B$379,'00_SKU_Master'!$F$2:$F$379,0)*AD120,"")</f>
        <v>0</v>
      </c>
      <c r="J120" s="182">
        <f>_xlfn.IFNA(_xlfn.XLOOKUP(X120,'00_SKU_Master'!$B$2:$B$379,'00_SKU_Master'!$F$2:$F$379,0)*AE120,"")</f>
        <v>0</v>
      </c>
      <c r="K120" s="183">
        <f t="shared" si="5"/>
        <v>0</v>
      </c>
      <c r="L120" s="184" t="str">
        <f>_xlfn.XLOOKUP(X120,'00_SKU_Master'!$B$2:$B$379,'00_SKU_Master'!$K$2:$K$379)</f>
        <v>Fast</v>
      </c>
      <c r="M120" s="185">
        <f t="shared" si="6"/>
        <v>7188</v>
      </c>
      <c r="N120" s="186">
        <f>IFERROR(D120/_xlfn.XLOOKUP($M120,'00_SKU_Master'!$B$2:$B$379,'00_SKU_Master'!$M$2:$M$379,0),"0")</f>
        <v>0</v>
      </c>
      <c r="O120" s="186">
        <f>IFERROR(E120/_xlfn.XLOOKUP($M120,'00_SKU_Master'!$B$2:$B$379,'00_SKU_Master'!$M$2:$M$379,0),"0")</f>
        <v>0</v>
      </c>
      <c r="P120" s="186">
        <f>IFERROR(F120/_xlfn.XLOOKUP($M120,'00_SKU_Master'!$B$2:$B$379,'00_SKU_Master'!$M$2:$M$379,0),"0")</f>
        <v>0</v>
      </c>
      <c r="Q120" s="186">
        <f>IFERROR(G120/_xlfn.XLOOKUP($M120,'00_SKU_Master'!$B$2:$B$379,'00_SKU_Master'!$M$2:$M$379,0),"0")</f>
        <v>0</v>
      </c>
      <c r="R120" s="186">
        <f>IFERROR(H120/_xlfn.XLOOKUP($M120,'00_SKU_Master'!$B$2:$B$379,'00_SKU_Master'!$M$2:$M$379,0),"0")</f>
        <v>0</v>
      </c>
      <c r="S120" s="186">
        <f>IFERROR(I120/_xlfn.XLOOKUP($M120,'00_SKU_Master'!$B$2:$B$379,'00_SKU_Master'!$M$2:$M$379,0),"0")</f>
        <v>0</v>
      </c>
      <c r="T120" s="186">
        <f>IFERROR(J120/_xlfn.XLOOKUP($M120,'00_SKU_Master'!$B$2:$B$379,'00_SKU_Master'!$M$2:$M$379,0),"0")</f>
        <v>0</v>
      </c>
      <c r="U120" s="186">
        <f t="shared" si="7"/>
        <v>0</v>
      </c>
      <c r="V120" s="186" t="str">
        <f>_xlfn.XLOOKUP(M120,'00_SKU_Master'!$B$2:$B$379,'00_SKU_Master'!$D$2:$D$379)</f>
        <v>LCL</v>
      </c>
      <c r="W120" s="1"/>
      <c r="X120" s="2">
        <f>'05_Daily_Orders'!C121</f>
        <v>7188</v>
      </c>
      <c r="Y120" s="289"/>
      <c r="Z120" s="289">
        <v>0</v>
      </c>
      <c r="AA120" s="289">
        <v>0</v>
      </c>
      <c r="AB120" s="289">
        <v>0</v>
      </c>
      <c r="AC120" s="289">
        <v>0</v>
      </c>
      <c r="AD120" s="289">
        <v>0</v>
      </c>
      <c r="AE120" s="289">
        <v>0</v>
      </c>
      <c r="AF120" s="7">
        <f t="shared" si="8"/>
        <v>0</v>
      </c>
      <c r="AQ120" s="70">
        <v>0</v>
      </c>
      <c r="AR120" s="70">
        <v>0</v>
      </c>
      <c r="AS120" s="3">
        <f t="shared" si="9"/>
        <v>0</v>
      </c>
    </row>
    <row r="121" spans="1:45" x14ac:dyDescent="0.35">
      <c r="A121" s="181">
        <f>_xlfn.XLOOKUP(X121,'00_SKU_Master'!$B$2:$B$379,'00_SKU_Master'!$C$2:$C$379)</f>
        <v>61077</v>
      </c>
      <c r="B121" s="181" t="str">
        <f>_xlfn.XLOOKUP(X121,tblSKU[SKU],tblSKU[Product_Group])</f>
        <v>Thigh</v>
      </c>
      <c r="C121" s="181" t="str">
        <f>_xlfn.XLOOKUP(X121,tblSKU[SKU],tblSKU[Tray_Type])</f>
        <v>PET 8</v>
      </c>
      <c r="D121" s="182">
        <f>_xlfn.IFNA(_xlfn.XLOOKUP(X121,'00_SKU_Master'!$B$2:$B$379,'00_SKU_Master'!$F$2:$F$379,0)*Y121,"")</f>
        <v>0</v>
      </c>
      <c r="E121" s="182">
        <f>_xlfn.IFNA(_xlfn.XLOOKUP(X121,'00_SKU_Master'!$B$2:$B$379,'00_SKU_Master'!$F$2:$F$379,0)*Z121,"")</f>
        <v>0</v>
      </c>
      <c r="F121" s="182">
        <f>_xlfn.IFNA(_xlfn.XLOOKUP(X121,'00_SKU_Master'!$B$2:$B$379,'00_SKU_Master'!$F$2:$F$379,0)*AA121,"")</f>
        <v>0</v>
      </c>
      <c r="G121" s="182">
        <f>_xlfn.IFNA(_xlfn.XLOOKUP(X121,'00_SKU_Master'!$B$2:$B$379,'00_SKU_Master'!$F$2:$F$379,0)*AB121,"")</f>
        <v>0</v>
      </c>
      <c r="H121" s="182">
        <f>_xlfn.IFNA(_xlfn.XLOOKUP(X121,'00_SKU_Master'!$B$2:$B$379,'00_SKU_Master'!$F$2:$F$379,0)*AC121,"")</f>
        <v>0</v>
      </c>
      <c r="I121" s="182">
        <f>_xlfn.IFNA(_xlfn.XLOOKUP(X121,'00_SKU_Master'!$B$2:$B$379,'00_SKU_Master'!$F$2:$F$379,0)*AD121,"")</f>
        <v>0</v>
      </c>
      <c r="J121" s="182">
        <f>_xlfn.IFNA(_xlfn.XLOOKUP(X121,'00_SKU_Master'!$B$2:$B$379,'00_SKU_Master'!$F$2:$F$379,0)*AE121,"")</f>
        <v>0</v>
      </c>
      <c r="K121" s="183">
        <f t="shared" si="5"/>
        <v>0</v>
      </c>
      <c r="L121" s="184" t="str">
        <f>_xlfn.XLOOKUP(X121,'00_SKU_Master'!$B$2:$B$379,'00_SKU_Master'!$K$2:$K$379)</f>
        <v>Fast</v>
      </c>
      <c r="M121" s="185">
        <f t="shared" si="6"/>
        <v>7189</v>
      </c>
      <c r="N121" s="186">
        <f>IFERROR(D121/_xlfn.XLOOKUP($M121,'00_SKU_Master'!$B$2:$B$379,'00_SKU_Master'!$M$2:$M$379,0),"0")</f>
        <v>0</v>
      </c>
      <c r="O121" s="186">
        <f>IFERROR(E121/_xlfn.XLOOKUP($M121,'00_SKU_Master'!$B$2:$B$379,'00_SKU_Master'!$M$2:$M$379,0),"0")</f>
        <v>0</v>
      </c>
      <c r="P121" s="186">
        <f>IFERROR(F121/_xlfn.XLOOKUP($M121,'00_SKU_Master'!$B$2:$B$379,'00_SKU_Master'!$M$2:$M$379,0),"0")</f>
        <v>0</v>
      </c>
      <c r="Q121" s="186">
        <f>IFERROR(G121/_xlfn.XLOOKUP($M121,'00_SKU_Master'!$B$2:$B$379,'00_SKU_Master'!$M$2:$M$379,0),"0")</f>
        <v>0</v>
      </c>
      <c r="R121" s="186">
        <f>IFERROR(H121/_xlfn.XLOOKUP($M121,'00_SKU_Master'!$B$2:$B$379,'00_SKU_Master'!$M$2:$M$379,0),"0")</f>
        <v>0</v>
      </c>
      <c r="S121" s="186">
        <f>IFERROR(I121/_xlfn.XLOOKUP($M121,'00_SKU_Master'!$B$2:$B$379,'00_SKU_Master'!$M$2:$M$379,0),"0")</f>
        <v>0</v>
      </c>
      <c r="T121" s="186">
        <f>IFERROR(J121/_xlfn.XLOOKUP($M121,'00_SKU_Master'!$B$2:$B$379,'00_SKU_Master'!$M$2:$M$379,0),"0")</f>
        <v>0</v>
      </c>
      <c r="U121" s="186">
        <f t="shared" si="7"/>
        <v>0</v>
      </c>
      <c r="V121" s="186" t="str">
        <f>_xlfn.XLOOKUP(M121,'00_SKU_Master'!$B$2:$B$379,'00_SKU_Master'!$D$2:$D$379)</f>
        <v>LCL</v>
      </c>
      <c r="W121" s="1"/>
      <c r="X121" s="2">
        <f>'05_Daily_Orders'!C122</f>
        <v>7189</v>
      </c>
      <c r="Y121" s="289"/>
      <c r="Z121" s="289">
        <v>0</v>
      </c>
      <c r="AA121" s="289">
        <v>0</v>
      </c>
      <c r="AB121" s="289">
        <v>0</v>
      </c>
      <c r="AC121" s="289">
        <v>0</v>
      </c>
      <c r="AD121" s="289">
        <v>0</v>
      </c>
      <c r="AE121" s="289">
        <v>0</v>
      </c>
      <c r="AF121" s="7">
        <f t="shared" si="8"/>
        <v>0</v>
      </c>
      <c r="AQ121" s="70">
        <v>0</v>
      </c>
      <c r="AR121" s="70">
        <v>0</v>
      </c>
      <c r="AS121" s="3">
        <f t="shared" si="9"/>
        <v>0</v>
      </c>
    </row>
    <row r="122" spans="1:45" x14ac:dyDescent="0.35">
      <c r="A122" s="181">
        <f>_xlfn.XLOOKUP(X122,'00_SKU_Master'!$B$2:$B$379,'00_SKU_Master'!$C$2:$C$379)</f>
        <v>61061</v>
      </c>
      <c r="B122" s="181" t="str">
        <f>_xlfn.XLOOKUP(X122,tblSKU[SKU],tblSKU[Product_Group])</f>
        <v>BA</v>
      </c>
      <c r="C122" s="181" t="str">
        <f>_xlfn.XLOOKUP(X122,tblSKU[SKU],tblSKU[Tray_Type])</f>
        <v>PET 8</v>
      </c>
      <c r="D122" s="182">
        <f>_xlfn.IFNA(_xlfn.XLOOKUP(X122,'00_SKU_Master'!$B$2:$B$379,'00_SKU_Master'!$F$2:$F$379,0)*Y122,"")</f>
        <v>0</v>
      </c>
      <c r="E122" s="182">
        <f>_xlfn.IFNA(_xlfn.XLOOKUP(X122,'00_SKU_Master'!$B$2:$B$379,'00_SKU_Master'!$F$2:$F$379,0)*Z122,"")</f>
        <v>0</v>
      </c>
      <c r="F122" s="182">
        <f>_xlfn.IFNA(_xlfn.XLOOKUP(X122,'00_SKU_Master'!$B$2:$B$379,'00_SKU_Master'!$F$2:$F$379,0)*AA122,"")</f>
        <v>0</v>
      </c>
      <c r="G122" s="182">
        <f>_xlfn.IFNA(_xlfn.XLOOKUP(X122,'00_SKU_Master'!$B$2:$B$379,'00_SKU_Master'!$F$2:$F$379,0)*AB122,"")</f>
        <v>0</v>
      </c>
      <c r="H122" s="182">
        <f>_xlfn.IFNA(_xlfn.XLOOKUP(X122,'00_SKU_Master'!$B$2:$B$379,'00_SKU_Master'!$F$2:$F$379,0)*AC122,"")</f>
        <v>0</v>
      </c>
      <c r="I122" s="182">
        <f>_xlfn.IFNA(_xlfn.XLOOKUP(X122,'00_SKU_Master'!$B$2:$B$379,'00_SKU_Master'!$F$2:$F$379,0)*AD122,"")</f>
        <v>0</v>
      </c>
      <c r="J122" s="182">
        <f>_xlfn.IFNA(_xlfn.XLOOKUP(X122,'00_SKU_Master'!$B$2:$B$379,'00_SKU_Master'!$F$2:$F$379,0)*AE122,"")</f>
        <v>0</v>
      </c>
      <c r="K122" s="183">
        <f t="shared" si="5"/>
        <v>0</v>
      </c>
      <c r="L122" s="184" t="str">
        <f>_xlfn.XLOOKUP(X122,'00_SKU_Master'!$B$2:$B$379,'00_SKU_Master'!$K$2:$K$379)</f>
        <v>Fast</v>
      </c>
      <c r="M122" s="185">
        <f t="shared" si="6"/>
        <v>7191</v>
      </c>
      <c r="N122" s="186">
        <f>IFERROR(D122/_xlfn.XLOOKUP($M122,'00_SKU_Master'!$B$2:$B$379,'00_SKU_Master'!$M$2:$M$379,0),"0")</f>
        <v>0</v>
      </c>
      <c r="O122" s="186">
        <f>IFERROR(E122/_xlfn.XLOOKUP($M122,'00_SKU_Master'!$B$2:$B$379,'00_SKU_Master'!$M$2:$M$379,0),"0")</f>
        <v>0</v>
      </c>
      <c r="P122" s="186">
        <f>IFERROR(F122/_xlfn.XLOOKUP($M122,'00_SKU_Master'!$B$2:$B$379,'00_SKU_Master'!$M$2:$M$379,0),"0")</f>
        <v>0</v>
      </c>
      <c r="Q122" s="186">
        <f>IFERROR(G122/_xlfn.XLOOKUP($M122,'00_SKU_Master'!$B$2:$B$379,'00_SKU_Master'!$M$2:$M$379,0),"0")</f>
        <v>0</v>
      </c>
      <c r="R122" s="186">
        <f>IFERROR(H122/_xlfn.XLOOKUP($M122,'00_SKU_Master'!$B$2:$B$379,'00_SKU_Master'!$M$2:$M$379,0),"0")</f>
        <v>0</v>
      </c>
      <c r="S122" s="186">
        <f>IFERROR(I122/_xlfn.XLOOKUP($M122,'00_SKU_Master'!$B$2:$B$379,'00_SKU_Master'!$M$2:$M$379,0),"0")</f>
        <v>0</v>
      </c>
      <c r="T122" s="186">
        <f>IFERROR(J122/_xlfn.XLOOKUP($M122,'00_SKU_Master'!$B$2:$B$379,'00_SKU_Master'!$M$2:$M$379,0),"0")</f>
        <v>0</v>
      </c>
      <c r="U122" s="186">
        <f t="shared" si="7"/>
        <v>0</v>
      </c>
      <c r="V122" s="186" t="str">
        <f>_xlfn.XLOOKUP(M122,'00_SKU_Master'!$B$2:$B$379,'00_SKU_Master'!$D$2:$D$379)</f>
        <v>LCL</v>
      </c>
      <c r="W122" s="1"/>
      <c r="X122" s="2">
        <f>'05_Daily_Orders'!C123</f>
        <v>7191</v>
      </c>
      <c r="Y122" s="289"/>
      <c r="Z122" s="289">
        <v>0</v>
      </c>
      <c r="AA122" s="289">
        <v>0</v>
      </c>
      <c r="AB122" s="289">
        <v>0</v>
      </c>
      <c r="AC122" s="289">
        <v>0</v>
      </c>
      <c r="AD122" s="289">
        <v>0</v>
      </c>
      <c r="AE122" s="289">
        <v>0</v>
      </c>
      <c r="AF122" s="7">
        <f t="shared" si="8"/>
        <v>0</v>
      </c>
      <c r="AQ122" s="70">
        <v>0</v>
      </c>
      <c r="AR122" s="70">
        <v>0</v>
      </c>
      <c r="AS122" s="3">
        <f t="shared" si="9"/>
        <v>0</v>
      </c>
    </row>
    <row r="123" spans="1:45" x14ac:dyDescent="0.35">
      <c r="A123" s="181">
        <f>_xlfn.XLOOKUP(X123,'00_SKU_Master'!$B$2:$B$379,'00_SKU_Master'!$C$2:$C$379)</f>
        <v>203152</v>
      </c>
      <c r="B123" s="181" t="str">
        <f>_xlfn.XLOOKUP(X123,tblSKU[SKU],tblSKU[Product_Group])</f>
        <v>Whole Bird-Large</v>
      </c>
      <c r="C123" s="181" t="str">
        <f>_xlfn.XLOOKUP(X123,tblSKU[SKU],tblSKU[Tray_Type])</f>
        <v>PET 9</v>
      </c>
      <c r="D123" s="182">
        <f>_xlfn.IFNA(_xlfn.XLOOKUP(X123,'00_SKU_Master'!$B$2:$B$379,'00_SKU_Master'!$F$2:$F$379,0)*Y123,"")</f>
        <v>0</v>
      </c>
      <c r="E123" s="182">
        <f>_xlfn.IFNA(_xlfn.XLOOKUP(X123,'00_SKU_Master'!$B$2:$B$379,'00_SKU_Master'!$F$2:$F$379,0)*Z123,"")</f>
        <v>0</v>
      </c>
      <c r="F123" s="182">
        <f>_xlfn.IFNA(_xlfn.XLOOKUP(X123,'00_SKU_Master'!$B$2:$B$379,'00_SKU_Master'!$F$2:$F$379,0)*AA123,"")</f>
        <v>0</v>
      </c>
      <c r="G123" s="182">
        <f>_xlfn.IFNA(_xlfn.XLOOKUP(X123,'00_SKU_Master'!$B$2:$B$379,'00_SKU_Master'!$F$2:$F$379,0)*AB123,"")</f>
        <v>0</v>
      </c>
      <c r="H123" s="182">
        <f>_xlfn.IFNA(_xlfn.XLOOKUP(X123,'00_SKU_Master'!$B$2:$B$379,'00_SKU_Master'!$F$2:$F$379,0)*AC123,"")</f>
        <v>0</v>
      </c>
      <c r="I123" s="182">
        <f>_xlfn.IFNA(_xlfn.XLOOKUP(X123,'00_SKU_Master'!$B$2:$B$379,'00_SKU_Master'!$F$2:$F$379,0)*AD123,"")</f>
        <v>0</v>
      </c>
      <c r="J123" s="182">
        <f>_xlfn.IFNA(_xlfn.XLOOKUP(X123,'00_SKU_Master'!$B$2:$B$379,'00_SKU_Master'!$F$2:$F$379,0)*AE123,"")</f>
        <v>0</v>
      </c>
      <c r="K123" s="183">
        <f t="shared" si="5"/>
        <v>0</v>
      </c>
      <c r="L123" s="184" t="str">
        <f>_xlfn.XLOOKUP(X123,'00_SKU_Master'!$B$2:$B$379,'00_SKU_Master'!$K$2:$K$379)</f>
        <v>Fast</v>
      </c>
      <c r="M123" s="185">
        <f t="shared" si="6"/>
        <v>7192</v>
      </c>
      <c r="N123" s="186">
        <f>IFERROR(D123/_xlfn.XLOOKUP($M123,'00_SKU_Master'!$B$2:$B$379,'00_SKU_Master'!$M$2:$M$379,0),"0")</f>
        <v>0</v>
      </c>
      <c r="O123" s="186">
        <f>IFERROR(E123/_xlfn.XLOOKUP($M123,'00_SKU_Master'!$B$2:$B$379,'00_SKU_Master'!$M$2:$M$379,0),"0")</f>
        <v>0</v>
      </c>
      <c r="P123" s="186">
        <f>IFERROR(F123/_xlfn.XLOOKUP($M123,'00_SKU_Master'!$B$2:$B$379,'00_SKU_Master'!$M$2:$M$379,0),"0")</f>
        <v>0</v>
      </c>
      <c r="Q123" s="186">
        <f>IFERROR(G123/_xlfn.XLOOKUP($M123,'00_SKU_Master'!$B$2:$B$379,'00_SKU_Master'!$M$2:$M$379,0),"0")</f>
        <v>0</v>
      </c>
      <c r="R123" s="186">
        <f>IFERROR(H123/_xlfn.XLOOKUP($M123,'00_SKU_Master'!$B$2:$B$379,'00_SKU_Master'!$M$2:$M$379,0),"0")</f>
        <v>0</v>
      </c>
      <c r="S123" s="186">
        <f>IFERROR(I123/_xlfn.XLOOKUP($M123,'00_SKU_Master'!$B$2:$B$379,'00_SKU_Master'!$M$2:$M$379,0),"0")</f>
        <v>0</v>
      </c>
      <c r="T123" s="186">
        <f>IFERROR(J123/_xlfn.XLOOKUP($M123,'00_SKU_Master'!$B$2:$B$379,'00_SKU_Master'!$M$2:$M$379,0),"0")</f>
        <v>0</v>
      </c>
      <c r="U123" s="186">
        <f t="shared" si="7"/>
        <v>0</v>
      </c>
      <c r="V123" s="186" t="str">
        <f>_xlfn.XLOOKUP(M123,'00_SKU_Master'!$B$2:$B$379,'00_SKU_Master'!$D$2:$D$379)</f>
        <v>RWA</v>
      </c>
      <c r="W123" s="1"/>
      <c r="X123" s="2">
        <f>'05_Daily_Orders'!C124</f>
        <v>7192</v>
      </c>
      <c r="Y123" s="289"/>
      <c r="Z123" s="289">
        <v>0</v>
      </c>
      <c r="AA123" s="289">
        <v>0</v>
      </c>
      <c r="AB123" s="289">
        <v>0</v>
      </c>
      <c r="AC123" s="289">
        <v>0</v>
      </c>
      <c r="AD123" s="289">
        <v>0</v>
      </c>
      <c r="AE123" s="289">
        <v>0</v>
      </c>
      <c r="AF123" s="7">
        <f t="shared" si="8"/>
        <v>0</v>
      </c>
      <c r="AQ123" s="70">
        <v>0</v>
      </c>
      <c r="AR123" s="70">
        <v>0</v>
      </c>
      <c r="AS123" s="3">
        <f t="shared" si="9"/>
        <v>0</v>
      </c>
    </row>
    <row r="124" spans="1:45" x14ac:dyDescent="0.35">
      <c r="A124" s="181" t="str">
        <f>_xlfn.XLOOKUP(X124,'00_SKU_Master'!$B$2:$B$379,'00_SKU_Master'!$C$2:$C$379)</f>
        <v>61072#2</v>
      </c>
      <c r="B124" s="181" t="str">
        <f>_xlfn.XLOOKUP(X124,tblSKU[SKU],tblSKU[Product_Group])</f>
        <v>Drum</v>
      </c>
      <c r="C124" s="181" t="str">
        <f>_xlfn.XLOOKUP(X124,tblSKU[SKU],tblSKU[Tray_Type])</f>
        <v>LT 14D</v>
      </c>
      <c r="D124" s="182">
        <f>_xlfn.IFNA(_xlfn.XLOOKUP(X124,'00_SKU_Master'!$B$2:$B$379,'00_SKU_Master'!$F$2:$F$379,0)*Y124,"")</f>
        <v>0</v>
      </c>
      <c r="E124" s="182">
        <f>_xlfn.IFNA(_xlfn.XLOOKUP(X124,'00_SKU_Master'!$B$2:$B$379,'00_SKU_Master'!$F$2:$F$379,0)*Z124,"")</f>
        <v>0</v>
      </c>
      <c r="F124" s="182">
        <f>_xlfn.IFNA(_xlfn.XLOOKUP(X124,'00_SKU_Master'!$B$2:$B$379,'00_SKU_Master'!$F$2:$F$379,0)*AA124,"")</f>
        <v>0</v>
      </c>
      <c r="G124" s="182">
        <f>_xlfn.IFNA(_xlfn.XLOOKUP(X124,'00_SKU_Master'!$B$2:$B$379,'00_SKU_Master'!$F$2:$F$379,0)*AB124,"")</f>
        <v>0</v>
      </c>
      <c r="H124" s="182">
        <f>_xlfn.IFNA(_xlfn.XLOOKUP(X124,'00_SKU_Master'!$B$2:$B$379,'00_SKU_Master'!$F$2:$F$379,0)*AC124,"")</f>
        <v>0</v>
      </c>
      <c r="I124" s="182">
        <f>_xlfn.IFNA(_xlfn.XLOOKUP(X124,'00_SKU_Master'!$B$2:$B$379,'00_SKU_Master'!$F$2:$F$379,0)*AD124,"")</f>
        <v>0</v>
      </c>
      <c r="J124" s="182">
        <f>_xlfn.IFNA(_xlfn.XLOOKUP(X124,'00_SKU_Master'!$B$2:$B$379,'00_SKU_Master'!$F$2:$F$379,0)*AE124,"")</f>
        <v>0</v>
      </c>
      <c r="K124" s="183">
        <f t="shared" si="5"/>
        <v>0</v>
      </c>
      <c r="L124" s="184" t="str">
        <f>_xlfn.XLOOKUP(X124,'00_SKU_Master'!$B$2:$B$379,'00_SKU_Master'!$K$2:$K$379)</f>
        <v>Fast</v>
      </c>
      <c r="M124" s="185">
        <f t="shared" si="6"/>
        <v>7193</v>
      </c>
      <c r="N124" s="186">
        <f>IFERROR(D124/_xlfn.XLOOKUP($M124,'00_SKU_Master'!$B$2:$B$379,'00_SKU_Master'!$M$2:$M$379,0),"0")</f>
        <v>0</v>
      </c>
      <c r="O124" s="186">
        <f>IFERROR(E124/_xlfn.XLOOKUP($M124,'00_SKU_Master'!$B$2:$B$379,'00_SKU_Master'!$M$2:$M$379,0),"0")</f>
        <v>0</v>
      </c>
      <c r="P124" s="186">
        <f>IFERROR(F124/_xlfn.XLOOKUP($M124,'00_SKU_Master'!$B$2:$B$379,'00_SKU_Master'!$M$2:$M$379,0),"0")</f>
        <v>0</v>
      </c>
      <c r="Q124" s="186">
        <f>IFERROR(G124/_xlfn.XLOOKUP($M124,'00_SKU_Master'!$B$2:$B$379,'00_SKU_Master'!$M$2:$M$379,0),"0")</f>
        <v>0</v>
      </c>
      <c r="R124" s="186">
        <f>IFERROR(H124/_xlfn.XLOOKUP($M124,'00_SKU_Master'!$B$2:$B$379,'00_SKU_Master'!$M$2:$M$379,0),"0")</f>
        <v>0</v>
      </c>
      <c r="S124" s="186">
        <f>IFERROR(I124/_xlfn.XLOOKUP($M124,'00_SKU_Master'!$B$2:$B$379,'00_SKU_Master'!$M$2:$M$379,0),"0")</f>
        <v>0</v>
      </c>
      <c r="T124" s="186">
        <f>IFERROR(J124/_xlfn.XLOOKUP($M124,'00_SKU_Master'!$B$2:$B$379,'00_SKU_Master'!$M$2:$M$379,0),"0")</f>
        <v>0</v>
      </c>
      <c r="U124" s="186">
        <f t="shared" si="7"/>
        <v>0</v>
      </c>
      <c r="V124" s="186" t="str">
        <f>_xlfn.XLOOKUP(M124,'00_SKU_Master'!$B$2:$B$379,'00_SKU_Master'!$D$2:$D$379)</f>
        <v>LCL</v>
      </c>
      <c r="W124" s="1"/>
      <c r="X124" s="2">
        <f>'05_Daily_Orders'!C125</f>
        <v>7193</v>
      </c>
      <c r="Y124" s="289"/>
      <c r="Z124" s="289">
        <v>0</v>
      </c>
      <c r="AA124" s="289">
        <v>0</v>
      </c>
      <c r="AB124" s="289">
        <v>0</v>
      </c>
      <c r="AC124" s="289">
        <v>0</v>
      </c>
      <c r="AD124" s="289">
        <v>0</v>
      </c>
      <c r="AE124" s="289">
        <v>0</v>
      </c>
      <c r="AF124" s="7">
        <f t="shared" si="8"/>
        <v>0</v>
      </c>
      <c r="AQ124" s="70">
        <v>0</v>
      </c>
      <c r="AR124" s="70">
        <v>0</v>
      </c>
      <c r="AS124" s="3">
        <f t="shared" si="9"/>
        <v>0</v>
      </c>
    </row>
    <row r="125" spans="1:45" x14ac:dyDescent="0.35">
      <c r="A125" s="181">
        <f>_xlfn.XLOOKUP(X125,'00_SKU_Master'!$B$2:$B$379,'00_SKU_Master'!$C$2:$C$379)</f>
        <v>61042</v>
      </c>
      <c r="B125" s="181" t="str">
        <f>_xlfn.XLOOKUP(X125,tblSKU[SKU],tblSKU[Product_Group])</f>
        <v>SplitBreast</v>
      </c>
      <c r="C125" s="181" t="str">
        <f>_xlfn.XLOOKUP(X125,tblSKU[SKU],tblSKU[Tray_Type])</f>
        <v>PET 3</v>
      </c>
      <c r="D125" s="182">
        <f>_xlfn.IFNA(_xlfn.XLOOKUP(X125,'00_SKU_Master'!$B$2:$B$379,'00_SKU_Master'!$F$2:$F$379,0)*Y125,"")</f>
        <v>0</v>
      </c>
      <c r="E125" s="182">
        <f>_xlfn.IFNA(_xlfn.XLOOKUP(X125,'00_SKU_Master'!$B$2:$B$379,'00_SKU_Master'!$F$2:$F$379,0)*Z125,"")</f>
        <v>0</v>
      </c>
      <c r="F125" s="182">
        <f>_xlfn.IFNA(_xlfn.XLOOKUP(X125,'00_SKU_Master'!$B$2:$B$379,'00_SKU_Master'!$F$2:$F$379,0)*AA125,"")</f>
        <v>0</v>
      </c>
      <c r="G125" s="182">
        <f>_xlfn.IFNA(_xlfn.XLOOKUP(X125,'00_SKU_Master'!$B$2:$B$379,'00_SKU_Master'!$F$2:$F$379,0)*AB125,"")</f>
        <v>0</v>
      </c>
      <c r="H125" s="182">
        <f>_xlfn.IFNA(_xlfn.XLOOKUP(X125,'00_SKU_Master'!$B$2:$B$379,'00_SKU_Master'!$F$2:$F$379,0)*AC125,"")</f>
        <v>0</v>
      </c>
      <c r="I125" s="182">
        <f>_xlfn.IFNA(_xlfn.XLOOKUP(X125,'00_SKU_Master'!$B$2:$B$379,'00_SKU_Master'!$F$2:$F$379,0)*AD125,"")</f>
        <v>0</v>
      </c>
      <c r="J125" s="182">
        <f>_xlfn.IFNA(_xlfn.XLOOKUP(X125,'00_SKU_Master'!$B$2:$B$379,'00_SKU_Master'!$F$2:$F$379,0)*AE125,"")</f>
        <v>0</v>
      </c>
      <c r="K125" s="183">
        <f t="shared" si="5"/>
        <v>0</v>
      </c>
      <c r="L125" s="184" t="str">
        <f>_xlfn.XLOOKUP(X125,'00_SKU_Master'!$B$2:$B$379,'00_SKU_Master'!$K$2:$K$379)</f>
        <v>Fast</v>
      </c>
      <c r="M125" s="185">
        <f t="shared" si="6"/>
        <v>7229</v>
      </c>
      <c r="N125" s="186">
        <f>IFERROR(D125/_xlfn.XLOOKUP($M125,'00_SKU_Master'!$B$2:$B$379,'00_SKU_Master'!$M$2:$M$379,0),"0")</f>
        <v>0</v>
      </c>
      <c r="O125" s="186">
        <f>IFERROR(E125/_xlfn.XLOOKUP($M125,'00_SKU_Master'!$B$2:$B$379,'00_SKU_Master'!$M$2:$M$379,0),"0")</f>
        <v>0</v>
      </c>
      <c r="P125" s="186">
        <f>IFERROR(F125/_xlfn.XLOOKUP($M125,'00_SKU_Master'!$B$2:$B$379,'00_SKU_Master'!$M$2:$M$379,0),"0")</f>
        <v>0</v>
      </c>
      <c r="Q125" s="186">
        <f>IFERROR(G125/_xlfn.XLOOKUP($M125,'00_SKU_Master'!$B$2:$B$379,'00_SKU_Master'!$M$2:$M$379,0),"0")</f>
        <v>0</v>
      </c>
      <c r="R125" s="186">
        <f>IFERROR(H125/_xlfn.XLOOKUP($M125,'00_SKU_Master'!$B$2:$B$379,'00_SKU_Master'!$M$2:$M$379,0),"0")</f>
        <v>0</v>
      </c>
      <c r="S125" s="186">
        <f>IFERROR(I125/_xlfn.XLOOKUP($M125,'00_SKU_Master'!$B$2:$B$379,'00_SKU_Master'!$M$2:$M$379,0),"0")</f>
        <v>0</v>
      </c>
      <c r="T125" s="186">
        <f>IFERROR(J125/_xlfn.XLOOKUP($M125,'00_SKU_Master'!$B$2:$B$379,'00_SKU_Master'!$M$2:$M$379,0),"0")</f>
        <v>0</v>
      </c>
      <c r="U125" s="186">
        <f t="shared" si="7"/>
        <v>0</v>
      </c>
      <c r="V125" s="186" t="str">
        <f>_xlfn.XLOOKUP(M125,'00_SKU_Master'!$B$2:$B$379,'00_SKU_Master'!$D$2:$D$379)</f>
        <v>RWA</v>
      </c>
      <c r="W125" s="1"/>
      <c r="X125" s="2">
        <f>'05_Daily_Orders'!C126</f>
        <v>7229</v>
      </c>
      <c r="Y125" s="289"/>
      <c r="Z125" s="289">
        <v>0</v>
      </c>
      <c r="AA125" s="289">
        <v>0</v>
      </c>
      <c r="AB125" s="289">
        <v>0</v>
      </c>
      <c r="AC125" s="289">
        <v>0</v>
      </c>
      <c r="AD125" s="289">
        <v>0</v>
      </c>
      <c r="AE125" s="289">
        <v>0</v>
      </c>
      <c r="AF125" s="7">
        <f t="shared" si="8"/>
        <v>0</v>
      </c>
      <c r="AQ125" s="70">
        <v>0</v>
      </c>
      <c r="AR125" s="70">
        <v>0</v>
      </c>
      <c r="AS125" s="3">
        <f t="shared" si="9"/>
        <v>0</v>
      </c>
    </row>
    <row r="126" spans="1:45" x14ac:dyDescent="0.35">
      <c r="A126" s="181">
        <f>_xlfn.XLOOKUP(X126,'00_SKU_Master'!$B$2:$B$379,'00_SKU_Master'!$C$2:$C$379)</f>
        <v>61049</v>
      </c>
      <c r="B126" s="181" t="str">
        <f>_xlfn.XLOOKUP(X126,tblSKU[SKU],tblSKU[Product_Group])</f>
        <v>SplitBreast</v>
      </c>
      <c r="C126" s="181" t="str">
        <f>_xlfn.XLOOKUP(X126,tblSKU[SKU],tblSKU[Tray_Type])</f>
        <v>PET 3</v>
      </c>
      <c r="D126" s="182">
        <f>_xlfn.IFNA(_xlfn.XLOOKUP(X126,'00_SKU_Master'!$B$2:$B$379,'00_SKU_Master'!$F$2:$F$379,0)*Y126,"")</f>
        <v>0</v>
      </c>
      <c r="E126" s="182">
        <f>_xlfn.IFNA(_xlfn.XLOOKUP(X126,'00_SKU_Master'!$B$2:$B$379,'00_SKU_Master'!$F$2:$F$379,0)*Z126,"")</f>
        <v>0</v>
      </c>
      <c r="F126" s="182">
        <f>_xlfn.IFNA(_xlfn.XLOOKUP(X126,'00_SKU_Master'!$B$2:$B$379,'00_SKU_Master'!$F$2:$F$379,0)*AA126,"")</f>
        <v>0</v>
      </c>
      <c r="G126" s="182">
        <f>_xlfn.IFNA(_xlfn.XLOOKUP(X126,'00_SKU_Master'!$B$2:$B$379,'00_SKU_Master'!$F$2:$F$379,0)*AB126,"")</f>
        <v>0</v>
      </c>
      <c r="H126" s="182">
        <f>_xlfn.IFNA(_xlfn.XLOOKUP(X126,'00_SKU_Master'!$B$2:$B$379,'00_SKU_Master'!$F$2:$F$379,0)*AC126,"")</f>
        <v>0</v>
      </c>
      <c r="I126" s="182">
        <f>_xlfn.IFNA(_xlfn.XLOOKUP(X126,'00_SKU_Master'!$B$2:$B$379,'00_SKU_Master'!$F$2:$F$379,0)*AD126,"")</f>
        <v>0</v>
      </c>
      <c r="J126" s="182">
        <f>_xlfn.IFNA(_xlfn.XLOOKUP(X126,'00_SKU_Master'!$B$2:$B$379,'00_SKU_Master'!$F$2:$F$379,0)*AE126,"")</f>
        <v>0</v>
      </c>
      <c r="K126" s="183">
        <f t="shared" si="5"/>
        <v>0</v>
      </c>
      <c r="L126" s="184" t="str">
        <f>_xlfn.XLOOKUP(X126,'00_SKU_Master'!$B$2:$B$379,'00_SKU_Master'!$K$2:$K$379)</f>
        <v>Fast</v>
      </c>
      <c r="M126" s="185">
        <f t="shared" si="6"/>
        <v>7230</v>
      </c>
      <c r="N126" s="186">
        <f>IFERROR(D126/_xlfn.XLOOKUP($M126,'00_SKU_Master'!$B$2:$B$379,'00_SKU_Master'!$M$2:$M$379,0),"0")</f>
        <v>0</v>
      </c>
      <c r="O126" s="186">
        <f>IFERROR(E126/_xlfn.XLOOKUP($M126,'00_SKU_Master'!$B$2:$B$379,'00_SKU_Master'!$M$2:$M$379,0),"0")</f>
        <v>0</v>
      </c>
      <c r="P126" s="186">
        <f>IFERROR(F126/_xlfn.XLOOKUP($M126,'00_SKU_Master'!$B$2:$B$379,'00_SKU_Master'!$M$2:$M$379,0),"0")</f>
        <v>0</v>
      </c>
      <c r="Q126" s="186">
        <f>IFERROR(G126/_xlfn.XLOOKUP($M126,'00_SKU_Master'!$B$2:$B$379,'00_SKU_Master'!$M$2:$M$379,0),"0")</f>
        <v>0</v>
      </c>
      <c r="R126" s="186">
        <f>IFERROR(H126/_xlfn.XLOOKUP($M126,'00_SKU_Master'!$B$2:$B$379,'00_SKU_Master'!$M$2:$M$379,0),"0")</f>
        <v>0</v>
      </c>
      <c r="S126" s="186">
        <f>IFERROR(I126/_xlfn.XLOOKUP($M126,'00_SKU_Master'!$B$2:$B$379,'00_SKU_Master'!$M$2:$M$379,0),"0")</f>
        <v>0</v>
      </c>
      <c r="T126" s="186">
        <f>IFERROR(J126/_xlfn.XLOOKUP($M126,'00_SKU_Master'!$B$2:$B$379,'00_SKU_Master'!$M$2:$M$379,0),"0")</f>
        <v>0</v>
      </c>
      <c r="U126" s="186">
        <f t="shared" si="7"/>
        <v>0</v>
      </c>
      <c r="V126" s="186" t="str">
        <f>_xlfn.XLOOKUP(M126,'00_SKU_Master'!$B$2:$B$379,'00_SKU_Master'!$D$2:$D$379)</f>
        <v>RWA</v>
      </c>
      <c r="W126" s="1"/>
      <c r="X126" s="2">
        <f>'05_Daily_Orders'!C127</f>
        <v>7230</v>
      </c>
      <c r="Y126" s="289"/>
      <c r="Z126" s="289">
        <v>0</v>
      </c>
      <c r="AA126" s="289">
        <v>0</v>
      </c>
      <c r="AB126" s="289">
        <v>0</v>
      </c>
      <c r="AC126" s="289">
        <v>0</v>
      </c>
      <c r="AD126" s="289">
        <v>0</v>
      </c>
      <c r="AE126" s="289">
        <v>0</v>
      </c>
      <c r="AF126" s="7">
        <f t="shared" si="8"/>
        <v>0</v>
      </c>
      <c r="AQ126" s="70">
        <v>0</v>
      </c>
      <c r="AR126" s="70">
        <v>0</v>
      </c>
      <c r="AS126" s="3">
        <f t="shared" si="9"/>
        <v>0</v>
      </c>
    </row>
    <row r="127" spans="1:45" x14ac:dyDescent="0.35">
      <c r="A127" s="181">
        <f>_xlfn.XLOOKUP(X127,'00_SKU_Master'!$B$2:$B$379,'00_SKU_Master'!$C$2:$C$379)</f>
        <v>61051</v>
      </c>
      <c r="B127" s="181" t="str">
        <f>_xlfn.XLOOKUP(X127,tblSKU[SKU],tblSKU[Product_Group])</f>
        <v>BSB</v>
      </c>
      <c r="C127" s="181" t="str">
        <f>_xlfn.XLOOKUP(X127,tblSKU[SKU],tblSKU[Tray_Type])</f>
        <v>PET 3</v>
      </c>
      <c r="D127" s="182">
        <f>_xlfn.IFNA(_xlfn.XLOOKUP(X127,'00_SKU_Master'!$B$2:$B$379,'00_SKU_Master'!$F$2:$F$379,0)*Y127,"")</f>
        <v>0</v>
      </c>
      <c r="E127" s="182">
        <f>_xlfn.IFNA(_xlfn.XLOOKUP(X127,'00_SKU_Master'!$B$2:$B$379,'00_SKU_Master'!$F$2:$F$379,0)*Z127,"")</f>
        <v>0</v>
      </c>
      <c r="F127" s="182">
        <f>_xlfn.IFNA(_xlfn.XLOOKUP(X127,'00_SKU_Master'!$B$2:$B$379,'00_SKU_Master'!$F$2:$F$379,0)*AA127,"")</f>
        <v>0</v>
      </c>
      <c r="G127" s="182">
        <f>_xlfn.IFNA(_xlfn.XLOOKUP(X127,'00_SKU_Master'!$B$2:$B$379,'00_SKU_Master'!$F$2:$F$379,0)*AB127,"")</f>
        <v>0</v>
      </c>
      <c r="H127" s="182">
        <f>_xlfn.IFNA(_xlfn.XLOOKUP(X127,'00_SKU_Master'!$B$2:$B$379,'00_SKU_Master'!$F$2:$F$379,0)*AC127,"")</f>
        <v>0</v>
      </c>
      <c r="I127" s="182">
        <f>_xlfn.IFNA(_xlfn.XLOOKUP(X127,'00_SKU_Master'!$B$2:$B$379,'00_SKU_Master'!$F$2:$F$379,0)*AD127,"")</f>
        <v>0</v>
      </c>
      <c r="J127" s="182">
        <f>_xlfn.IFNA(_xlfn.XLOOKUP(X127,'00_SKU_Master'!$B$2:$B$379,'00_SKU_Master'!$F$2:$F$379,0)*AE127,"")</f>
        <v>0</v>
      </c>
      <c r="K127" s="183">
        <f t="shared" si="5"/>
        <v>0</v>
      </c>
      <c r="L127" s="184" t="str">
        <f>_xlfn.XLOOKUP(X127,'00_SKU_Master'!$B$2:$B$379,'00_SKU_Master'!$K$2:$K$379)</f>
        <v>Fast</v>
      </c>
      <c r="M127" s="185">
        <f t="shared" si="6"/>
        <v>7231</v>
      </c>
      <c r="N127" s="186">
        <f>IFERROR(D127/_xlfn.XLOOKUP($M127,'00_SKU_Master'!$B$2:$B$379,'00_SKU_Master'!$M$2:$M$379,0),"0")</f>
        <v>0</v>
      </c>
      <c r="O127" s="186">
        <f>IFERROR(E127/_xlfn.XLOOKUP($M127,'00_SKU_Master'!$B$2:$B$379,'00_SKU_Master'!$M$2:$M$379,0),"0")</f>
        <v>0</v>
      </c>
      <c r="P127" s="186">
        <f>IFERROR(F127/_xlfn.XLOOKUP($M127,'00_SKU_Master'!$B$2:$B$379,'00_SKU_Master'!$M$2:$M$379,0),"0")</f>
        <v>0</v>
      </c>
      <c r="Q127" s="186">
        <f>IFERROR(G127/_xlfn.XLOOKUP($M127,'00_SKU_Master'!$B$2:$B$379,'00_SKU_Master'!$M$2:$M$379,0),"0")</f>
        <v>0</v>
      </c>
      <c r="R127" s="186">
        <f>IFERROR(H127/_xlfn.XLOOKUP($M127,'00_SKU_Master'!$B$2:$B$379,'00_SKU_Master'!$M$2:$M$379,0),"0")</f>
        <v>0</v>
      </c>
      <c r="S127" s="186">
        <f>IFERROR(I127/_xlfn.XLOOKUP($M127,'00_SKU_Master'!$B$2:$B$379,'00_SKU_Master'!$M$2:$M$379,0),"0")</f>
        <v>0</v>
      </c>
      <c r="T127" s="186">
        <f>IFERROR(J127/_xlfn.XLOOKUP($M127,'00_SKU_Master'!$B$2:$B$379,'00_SKU_Master'!$M$2:$M$379,0),"0")</f>
        <v>0</v>
      </c>
      <c r="U127" s="186">
        <f t="shared" si="7"/>
        <v>0</v>
      </c>
      <c r="V127" s="186" t="str">
        <f>_xlfn.XLOOKUP(M127,'00_SKU_Master'!$B$2:$B$379,'00_SKU_Master'!$D$2:$D$379)</f>
        <v>RWA</v>
      </c>
      <c r="W127" s="1"/>
      <c r="X127" s="2">
        <f>'05_Daily_Orders'!C128</f>
        <v>7231</v>
      </c>
      <c r="Y127" s="289"/>
      <c r="Z127" s="289">
        <v>0</v>
      </c>
      <c r="AA127" s="289">
        <v>0</v>
      </c>
      <c r="AB127" s="289">
        <v>0</v>
      </c>
      <c r="AC127" s="289">
        <v>0</v>
      </c>
      <c r="AD127" s="289">
        <v>0</v>
      </c>
      <c r="AE127" s="289">
        <v>0</v>
      </c>
      <c r="AF127" s="7">
        <f t="shared" si="8"/>
        <v>0</v>
      </c>
      <c r="AQ127" s="70">
        <v>0</v>
      </c>
      <c r="AR127" s="70">
        <v>0</v>
      </c>
      <c r="AS127" s="3">
        <f t="shared" si="9"/>
        <v>0</v>
      </c>
    </row>
    <row r="128" spans="1:45" x14ac:dyDescent="0.35">
      <c r="A128" s="181">
        <f>_xlfn.XLOOKUP(X128,'00_SKU_Master'!$B$2:$B$379,'00_SKU_Master'!$C$2:$C$379)</f>
        <v>61069</v>
      </c>
      <c r="B128" s="181" t="str">
        <f>_xlfn.XLOOKUP(X128,tblSKU[SKU],tblSKU[Product_Group])</f>
        <v>BSB</v>
      </c>
      <c r="C128" s="181" t="str">
        <f>_xlfn.XLOOKUP(X128,tblSKU[SKU],tblSKU[Tray_Type])</f>
        <v>PET 3</v>
      </c>
      <c r="D128" s="182">
        <f>_xlfn.IFNA(_xlfn.XLOOKUP(X128,'00_SKU_Master'!$B$2:$B$379,'00_SKU_Master'!$F$2:$F$379,0)*Y128,"")</f>
        <v>0</v>
      </c>
      <c r="E128" s="182">
        <f>_xlfn.IFNA(_xlfn.XLOOKUP(X128,'00_SKU_Master'!$B$2:$B$379,'00_SKU_Master'!$F$2:$F$379,0)*Z128,"")</f>
        <v>0</v>
      </c>
      <c r="F128" s="182">
        <f>_xlfn.IFNA(_xlfn.XLOOKUP(X128,'00_SKU_Master'!$B$2:$B$379,'00_SKU_Master'!$F$2:$F$379,0)*AA128,"")</f>
        <v>0</v>
      </c>
      <c r="G128" s="182">
        <f>_xlfn.IFNA(_xlfn.XLOOKUP(X128,'00_SKU_Master'!$B$2:$B$379,'00_SKU_Master'!$F$2:$F$379,0)*AB128,"")</f>
        <v>0</v>
      </c>
      <c r="H128" s="182">
        <f>_xlfn.IFNA(_xlfn.XLOOKUP(X128,'00_SKU_Master'!$B$2:$B$379,'00_SKU_Master'!$F$2:$F$379,0)*AC128,"")</f>
        <v>0</v>
      </c>
      <c r="I128" s="182">
        <f>_xlfn.IFNA(_xlfn.XLOOKUP(X128,'00_SKU_Master'!$B$2:$B$379,'00_SKU_Master'!$F$2:$F$379,0)*AD128,"")</f>
        <v>0</v>
      </c>
      <c r="J128" s="182">
        <f>_xlfn.IFNA(_xlfn.XLOOKUP(X128,'00_SKU_Master'!$B$2:$B$379,'00_SKU_Master'!$F$2:$F$379,0)*AE128,"")</f>
        <v>0</v>
      </c>
      <c r="K128" s="183">
        <f t="shared" si="5"/>
        <v>0</v>
      </c>
      <c r="L128" s="184" t="str">
        <f>_xlfn.XLOOKUP(X128,'00_SKU_Master'!$B$2:$B$379,'00_SKU_Master'!$K$2:$K$379)</f>
        <v>Fast</v>
      </c>
      <c r="M128" s="185">
        <f t="shared" si="6"/>
        <v>7232</v>
      </c>
      <c r="N128" s="186">
        <f>IFERROR(D128/_xlfn.XLOOKUP($M128,'00_SKU_Master'!$B$2:$B$379,'00_SKU_Master'!$M$2:$M$379,0),"0")</f>
        <v>0</v>
      </c>
      <c r="O128" s="186">
        <f>IFERROR(E128/_xlfn.XLOOKUP($M128,'00_SKU_Master'!$B$2:$B$379,'00_SKU_Master'!$M$2:$M$379,0),"0")</f>
        <v>0</v>
      </c>
      <c r="P128" s="186">
        <f>IFERROR(F128/_xlfn.XLOOKUP($M128,'00_SKU_Master'!$B$2:$B$379,'00_SKU_Master'!$M$2:$M$379,0),"0")</f>
        <v>0</v>
      </c>
      <c r="Q128" s="186">
        <f>IFERROR(G128/_xlfn.XLOOKUP($M128,'00_SKU_Master'!$B$2:$B$379,'00_SKU_Master'!$M$2:$M$379,0),"0")</f>
        <v>0</v>
      </c>
      <c r="R128" s="186">
        <f>IFERROR(H128/_xlfn.XLOOKUP($M128,'00_SKU_Master'!$B$2:$B$379,'00_SKU_Master'!$M$2:$M$379,0),"0")</f>
        <v>0</v>
      </c>
      <c r="S128" s="186">
        <f>IFERROR(I128/_xlfn.XLOOKUP($M128,'00_SKU_Master'!$B$2:$B$379,'00_SKU_Master'!$M$2:$M$379,0),"0")</f>
        <v>0</v>
      </c>
      <c r="T128" s="186">
        <f>IFERROR(J128/_xlfn.XLOOKUP($M128,'00_SKU_Master'!$B$2:$B$379,'00_SKU_Master'!$M$2:$M$379,0),"0")</f>
        <v>0</v>
      </c>
      <c r="U128" s="186">
        <f t="shared" si="7"/>
        <v>0</v>
      </c>
      <c r="V128" s="186" t="str">
        <f>_xlfn.XLOOKUP(M128,'00_SKU_Master'!$B$2:$B$379,'00_SKU_Master'!$D$2:$D$379)</f>
        <v>RWA</v>
      </c>
      <c r="W128" s="1"/>
      <c r="X128" s="2">
        <f>'05_Daily_Orders'!C129</f>
        <v>7232</v>
      </c>
      <c r="Y128" s="289"/>
      <c r="Z128" s="289">
        <v>0</v>
      </c>
      <c r="AA128" s="289">
        <v>0</v>
      </c>
      <c r="AB128" s="289">
        <v>0</v>
      </c>
      <c r="AC128" s="289">
        <v>0</v>
      </c>
      <c r="AD128" s="289">
        <v>0</v>
      </c>
      <c r="AE128" s="289">
        <v>0</v>
      </c>
      <c r="AF128" s="7">
        <f t="shared" si="8"/>
        <v>0</v>
      </c>
      <c r="AQ128" s="70">
        <v>0</v>
      </c>
      <c r="AR128" s="70">
        <v>0</v>
      </c>
      <c r="AS128" s="3">
        <f t="shared" si="9"/>
        <v>0</v>
      </c>
    </row>
    <row r="129" spans="1:45" x14ac:dyDescent="0.35">
      <c r="A129" s="181">
        <f>_xlfn.XLOOKUP(X129,'00_SKU_Master'!$B$2:$B$379,'00_SKU_Master'!$C$2:$C$379)</f>
        <v>61070</v>
      </c>
      <c r="B129" s="181" t="str">
        <f>_xlfn.XLOOKUP(X129,tblSKU[SKU],tblSKU[Product_Group])</f>
        <v>BSB</v>
      </c>
      <c r="C129" s="181" t="str">
        <f>_xlfn.XLOOKUP(X129,tblSKU[SKU],tblSKU[Tray_Type])</f>
        <v>PET 3</v>
      </c>
      <c r="D129" s="182">
        <f>_xlfn.IFNA(_xlfn.XLOOKUP(X129,'00_SKU_Master'!$B$2:$B$379,'00_SKU_Master'!$F$2:$F$379,0)*Y129,"")</f>
        <v>0</v>
      </c>
      <c r="E129" s="182">
        <f>_xlfn.IFNA(_xlfn.XLOOKUP(X129,'00_SKU_Master'!$B$2:$B$379,'00_SKU_Master'!$F$2:$F$379,0)*Z129,"")</f>
        <v>0</v>
      </c>
      <c r="F129" s="182">
        <f>_xlfn.IFNA(_xlfn.XLOOKUP(X129,'00_SKU_Master'!$B$2:$B$379,'00_SKU_Master'!$F$2:$F$379,0)*AA129,"")</f>
        <v>0</v>
      </c>
      <c r="G129" s="182">
        <f>_xlfn.IFNA(_xlfn.XLOOKUP(X129,'00_SKU_Master'!$B$2:$B$379,'00_SKU_Master'!$F$2:$F$379,0)*AB129,"")</f>
        <v>0</v>
      </c>
      <c r="H129" s="182">
        <f>_xlfn.IFNA(_xlfn.XLOOKUP(X129,'00_SKU_Master'!$B$2:$B$379,'00_SKU_Master'!$F$2:$F$379,0)*AC129,"")</f>
        <v>0</v>
      </c>
      <c r="I129" s="182">
        <f>_xlfn.IFNA(_xlfn.XLOOKUP(X129,'00_SKU_Master'!$B$2:$B$379,'00_SKU_Master'!$F$2:$F$379,0)*AD129,"")</f>
        <v>0</v>
      </c>
      <c r="J129" s="182">
        <f>_xlfn.IFNA(_xlfn.XLOOKUP(X129,'00_SKU_Master'!$B$2:$B$379,'00_SKU_Master'!$F$2:$F$379,0)*AE129,"")</f>
        <v>0</v>
      </c>
      <c r="K129" s="183">
        <f t="shared" si="5"/>
        <v>0</v>
      </c>
      <c r="L129" s="184" t="str">
        <f>_xlfn.XLOOKUP(X129,'00_SKU_Master'!$B$2:$B$379,'00_SKU_Master'!$K$2:$K$379)</f>
        <v>Fast</v>
      </c>
      <c r="M129" s="185">
        <f t="shared" si="6"/>
        <v>7233</v>
      </c>
      <c r="N129" s="186">
        <f>IFERROR(D129/_xlfn.XLOOKUP($M129,'00_SKU_Master'!$B$2:$B$379,'00_SKU_Master'!$M$2:$M$379,0),"0")</f>
        <v>0</v>
      </c>
      <c r="O129" s="186">
        <f>IFERROR(E129/_xlfn.XLOOKUP($M129,'00_SKU_Master'!$B$2:$B$379,'00_SKU_Master'!$M$2:$M$379,0),"0")</f>
        <v>0</v>
      </c>
      <c r="P129" s="186">
        <f>IFERROR(F129/_xlfn.XLOOKUP($M129,'00_SKU_Master'!$B$2:$B$379,'00_SKU_Master'!$M$2:$M$379,0),"0")</f>
        <v>0</v>
      </c>
      <c r="Q129" s="186">
        <f>IFERROR(G129/_xlfn.XLOOKUP($M129,'00_SKU_Master'!$B$2:$B$379,'00_SKU_Master'!$M$2:$M$379,0),"0")</f>
        <v>0</v>
      </c>
      <c r="R129" s="186">
        <f>IFERROR(H129/_xlfn.XLOOKUP($M129,'00_SKU_Master'!$B$2:$B$379,'00_SKU_Master'!$M$2:$M$379,0),"0")</f>
        <v>0</v>
      </c>
      <c r="S129" s="186">
        <f>IFERROR(I129/_xlfn.XLOOKUP($M129,'00_SKU_Master'!$B$2:$B$379,'00_SKU_Master'!$M$2:$M$379,0),"0")</f>
        <v>0</v>
      </c>
      <c r="T129" s="186">
        <f>IFERROR(J129/_xlfn.XLOOKUP($M129,'00_SKU_Master'!$B$2:$B$379,'00_SKU_Master'!$M$2:$M$379,0),"0")</f>
        <v>0</v>
      </c>
      <c r="U129" s="186">
        <f t="shared" si="7"/>
        <v>0</v>
      </c>
      <c r="V129" s="186" t="str">
        <f>_xlfn.XLOOKUP(M129,'00_SKU_Master'!$B$2:$B$379,'00_SKU_Master'!$D$2:$D$379)</f>
        <v>RWA</v>
      </c>
      <c r="W129" s="1"/>
      <c r="X129" s="2">
        <f>'05_Daily_Orders'!C130</f>
        <v>7233</v>
      </c>
      <c r="Y129" s="289"/>
      <c r="Z129" s="289">
        <v>0</v>
      </c>
      <c r="AA129" s="289">
        <v>0</v>
      </c>
      <c r="AB129" s="289">
        <v>0</v>
      </c>
      <c r="AC129" s="289">
        <v>0</v>
      </c>
      <c r="AD129" s="289">
        <v>0</v>
      </c>
      <c r="AE129" s="289">
        <v>0</v>
      </c>
      <c r="AF129" s="7">
        <f t="shared" si="8"/>
        <v>0</v>
      </c>
      <c r="AQ129" s="70">
        <v>0</v>
      </c>
      <c r="AR129" s="70">
        <v>0</v>
      </c>
      <c r="AS129" s="3">
        <f t="shared" si="9"/>
        <v>0</v>
      </c>
    </row>
    <row r="130" spans="1:45" x14ac:dyDescent="0.35">
      <c r="A130" s="181">
        <f>_xlfn.XLOOKUP(X130,'00_SKU_Master'!$B$2:$B$379,'00_SKU_Master'!$C$2:$C$379)</f>
        <v>61079</v>
      </c>
      <c r="B130" s="181" t="str">
        <f>_xlfn.XLOOKUP(X130,tblSKU[SKU],tblSKU[Product_Group])</f>
        <v>Thigh</v>
      </c>
      <c r="C130" s="181" t="str">
        <f>_xlfn.XLOOKUP(X130,tblSKU[SKU],tblSKU[Tray_Type])</f>
        <v>PET 3</v>
      </c>
      <c r="D130" s="182">
        <f>_xlfn.IFNA(_xlfn.XLOOKUP(X130,'00_SKU_Master'!$B$2:$B$379,'00_SKU_Master'!$F$2:$F$379,0)*Y130,"")</f>
        <v>0</v>
      </c>
      <c r="E130" s="182">
        <f>_xlfn.IFNA(_xlfn.XLOOKUP(X130,'00_SKU_Master'!$B$2:$B$379,'00_SKU_Master'!$F$2:$F$379,0)*Z130,"")</f>
        <v>0</v>
      </c>
      <c r="F130" s="182">
        <f>_xlfn.IFNA(_xlfn.XLOOKUP(X130,'00_SKU_Master'!$B$2:$B$379,'00_SKU_Master'!$F$2:$F$379,0)*AA130,"")</f>
        <v>0</v>
      </c>
      <c r="G130" s="182">
        <f>_xlfn.IFNA(_xlfn.XLOOKUP(X130,'00_SKU_Master'!$B$2:$B$379,'00_SKU_Master'!$F$2:$F$379,0)*AB130,"")</f>
        <v>0</v>
      </c>
      <c r="H130" s="182">
        <f>_xlfn.IFNA(_xlfn.XLOOKUP(X130,'00_SKU_Master'!$B$2:$B$379,'00_SKU_Master'!$F$2:$F$379,0)*AC130,"")</f>
        <v>0</v>
      </c>
      <c r="I130" s="182">
        <f>_xlfn.IFNA(_xlfn.XLOOKUP(X130,'00_SKU_Master'!$B$2:$B$379,'00_SKU_Master'!$F$2:$F$379,0)*AD130,"")</f>
        <v>0</v>
      </c>
      <c r="J130" s="182">
        <f>_xlfn.IFNA(_xlfn.XLOOKUP(X130,'00_SKU_Master'!$B$2:$B$379,'00_SKU_Master'!$F$2:$F$379,0)*AE130,"")</f>
        <v>0</v>
      </c>
      <c r="K130" s="183">
        <f t="shared" ref="K130:K193" si="10">SUM(D130:J130)</f>
        <v>0</v>
      </c>
      <c r="L130" s="184" t="str">
        <f>_xlfn.XLOOKUP(X130,'00_SKU_Master'!$B$2:$B$379,'00_SKU_Master'!$K$2:$K$379)</f>
        <v>Fast</v>
      </c>
      <c r="M130" s="185">
        <f t="shared" ref="M130:M193" si="11">X130</f>
        <v>7234</v>
      </c>
      <c r="N130" s="186">
        <f>IFERROR(D130/_xlfn.XLOOKUP($M130,'00_SKU_Master'!$B$2:$B$379,'00_SKU_Master'!$M$2:$M$379,0),"0")</f>
        <v>0</v>
      </c>
      <c r="O130" s="186">
        <f>IFERROR(E130/_xlfn.XLOOKUP($M130,'00_SKU_Master'!$B$2:$B$379,'00_SKU_Master'!$M$2:$M$379,0),"0")</f>
        <v>0</v>
      </c>
      <c r="P130" s="186">
        <f>IFERROR(F130/_xlfn.XLOOKUP($M130,'00_SKU_Master'!$B$2:$B$379,'00_SKU_Master'!$M$2:$M$379,0),"0")</f>
        <v>0</v>
      </c>
      <c r="Q130" s="186">
        <f>IFERROR(G130/_xlfn.XLOOKUP($M130,'00_SKU_Master'!$B$2:$B$379,'00_SKU_Master'!$M$2:$M$379,0),"0")</f>
        <v>0</v>
      </c>
      <c r="R130" s="186">
        <f>IFERROR(H130/_xlfn.XLOOKUP($M130,'00_SKU_Master'!$B$2:$B$379,'00_SKU_Master'!$M$2:$M$379,0),"0")</f>
        <v>0</v>
      </c>
      <c r="S130" s="186">
        <f>IFERROR(I130/_xlfn.XLOOKUP($M130,'00_SKU_Master'!$B$2:$B$379,'00_SKU_Master'!$M$2:$M$379,0),"0")</f>
        <v>0</v>
      </c>
      <c r="T130" s="186">
        <f>IFERROR(J130/_xlfn.XLOOKUP($M130,'00_SKU_Master'!$B$2:$B$379,'00_SKU_Master'!$M$2:$M$379,0),"0")</f>
        <v>0</v>
      </c>
      <c r="U130" s="186">
        <f t="shared" ref="U130:U193" si="12">SUM(N130:T130)</f>
        <v>0</v>
      </c>
      <c r="V130" s="186" t="str">
        <f>_xlfn.XLOOKUP(M130,'00_SKU_Master'!$B$2:$B$379,'00_SKU_Master'!$D$2:$D$379)</f>
        <v>RWA</v>
      </c>
      <c r="W130" s="1"/>
      <c r="X130" s="2">
        <f>'05_Daily_Orders'!C131</f>
        <v>7234</v>
      </c>
      <c r="Y130" s="289"/>
      <c r="Z130" s="289">
        <v>0</v>
      </c>
      <c r="AA130" s="289">
        <v>0</v>
      </c>
      <c r="AB130" s="289">
        <v>0</v>
      </c>
      <c r="AC130" s="289">
        <v>0</v>
      </c>
      <c r="AD130" s="289">
        <v>0</v>
      </c>
      <c r="AE130" s="289">
        <v>0</v>
      </c>
      <c r="AF130" s="7">
        <f t="shared" ref="AF130:AF193" si="13">SUM(Y130:AE130)</f>
        <v>0</v>
      </c>
      <c r="AQ130" s="70">
        <v>0</v>
      </c>
      <c r="AR130" s="70">
        <v>0</v>
      </c>
      <c r="AS130" s="3">
        <f t="shared" si="9"/>
        <v>0</v>
      </c>
    </row>
    <row r="131" spans="1:45" x14ac:dyDescent="0.35">
      <c r="A131" s="181">
        <f>_xlfn.XLOOKUP(X131,'00_SKU_Master'!$B$2:$B$379,'00_SKU_Master'!$C$2:$C$379)</f>
        <v>61087</v>
      </c>
      <c r="B131" s="181" t="str">
        <f>_xlfn.XLOOKUP(X131,tblSKU[SKU],tblSKU[Product_Group])</f>
        <v>ThighMeat</v>
      </c>
      <c r="C131" s="181" t="str">
        <f>_xlfn.XLOOKUP(X131,tblSKU[SKU],tblSKU[Tray_Type])</f>
        <v>PET 3</v>
      </c>
      <c r="D131" s="182">
        <f>_xlfn.IFNA(_xlfn.XLOOKUP(X131,'00_SKU_Master'!$B$2:$B$379,'00_SKU_Master'!$F$2:$F$379,0)*Y131,"")</f>
        <v>0</v>
      </c>
      <c r="E131" s="182">
        <f>_xlfn.IFNA(_xlfn.XLOOKUP(X131,'00_SKU_Master'!$B$2:$B$379,'00_SKU_Master'!$F$2:$F$379,0)*Z131,"")</f>
        <v>0</v>
      </c>
      <c r="F131" s="182">
        <f>_xlfn.IFNA(_xlfn.XLOOKUP(X131,'00_SKU_Master'!$B$2:$B$379,'00_SKU_Master'!$F$2:$F$379,0)*AA131,"")</f>
        <v>0</v>
      </c>
      <c r="G131" s="182">
        <f>_xlfn.IFNA(_xlfn.XLOOKUP(X131,'00_SKU_Master'!$B$2:$B$379,'00_SKU_Master'!$F$2:$F$379,0)*AB131,"")</f>
        <v>0</v>
      </c>
      <c r="H131" s="182">
        <f>_xlfn.IFNA(_xlfn.XLOOKUP(X131,'00_SKU_Master'!$B$2:$B$379,'00_SKU_Master'!$F$2:$F$379,0)*AC131,"")</f>
        <v>0</v>
      </c>
      <c r="I131" s="182">
        <f>_xlfn.IFNA(_xlfn.XLOOKUP(X131,'00_SKU_Master'!$B$2:$B$379,'00_SKU_Master'!$F$2:$F$379,0)*AD131,"")</f>
        <v>0</v>
      </c>
      <c r="J131" s="182">
        <f>_xlfn.IFNA(_xlfn.XLOOKUP(X131,'00_SKU_Master'!$B$2:$B$379,'00_SKU_Master'!$F$2:$F$379,0)*AE131,"")</f>
        <v>0</v>
      </c>
      <c r="K131" s="183">
        <f t="shared" si="10"/>
        <v>0</v>
      </c>
      <c r="L131" s="184" t="str">
        <f>_xlfn.XLOOKUP(X131,'00_SKU_Master'!$B$2:$B$379,'00_SKU_Master'!$K$2:$K$379)</f>
        <v>Slow</v>
      </c>
      <c r="M131" s="185">
        <f t="shared" si="11"/>
        <v>7235</v>
      </c>
      <c r="N131" s="186">
        <f>IFERROR(D131/_xlfn.XLOOKUP($M131,'00_SKU_Master'!$B$2:$B$379,'00_SKU_Master'!$M$2:$M$379,0),"0")</f>
        <v>0</v>
      </c>
      <c r="O131" s="186">
        <f>IFERROR(E131/_xlfn.XLOOKUP($M131,'00_SKU_Master'!$B$2:$B$379,'00_SKU_Master'!$M$2:$M$379,0),"0")</f>
        <v>0</v>
      </c>
      <c r="P131" s="186">
        <f>IFERROR(F131/_xlfn.XLOOKUP($M131,'00_SKU_Master'!$B$2:$B$379,'00_SKU_Master'!$M$2:$M$379,0),"0")</f>
        <v>0</v>
      </c>
      <c r="Q131" s="186">
        <f>IFERROR(G131/_xlfn.XLOOKUP($M131,'00_SKU_Master'!$B$2:$B$379,'00_SKU_Master'!$M$2:$M$379,0),"0")</f>
        <v>0</v>
      </c>
      <c r="R131" s="186">
        <f>IFERROR(H131/_xlfn.XLOOKUP($M131,'00_SKU_Master'!$B$2:$B$379,'00_SKU_Master'!$M$2:$M$379,0),"0")</f>
        <v>0</v>
      </c>
      <c r="S131" s="186">
        <f>IFERROR(I131/_xlfn.XLOOKUP($M131,'00_SKU_Master'!$B$2:$B$379,'00_SKU_Master'!$M$2:$M$379,0),"0")</f>
        <v>0</v>
      </c>
      <c r="T131" s="186">
        <f>IFERROR(J131/_xlfn.XLOOKUP($M131,'00_SKU_Master'!$B$2:$B$379,'00_SKU_Master'!$M$2:$M$379,0),"0")</f>
        <v>0</v>
      </c>
      <c r="U131" s="186">
        <f t="shared" si="12"/>
        <v>0</v>
      </c>
      <c r="V131" s="186" t="str">
        <f>_xlfn.XLOOKUP(M131,'00_SKU_Master'!$B$2:$B$379,'00_SKU_Master'!$D$2:$D$379)</f>
        <v>RWA</v>
      </c>
      <c r="W131" s="1"/>
      <c r="X131" s="2">
        <f>'05_Daily_Orders'!C132</f>
        <v>7235</v>
      </c>
      <c r="Y131" s="289"/>
      <c r="Z131" s="289">
        <v>0</v>
      </c>
      <c r="AA131" s="289">
        <v>0</v>
      </c>
      <c r="AB131" s="289">
        <v>0</v>
      </c>
      <c r="AC131" s="289">
        <v>0</v>
      </c>
      <c r="AD131" s="289">
        <v>0</v>
      </c>
      <c r="AE131" s="289">
        <v>0</v>
      </c>
      <c r="AF131" s="7">
        <f t="shared" si="13"/>
        <v>0</v>
      </c>
      <c r="AQ131" s="70">
        <v>0</v>
      </c>
      <c r="AR131" s="70">
        <v>0</v>
      </c>
      <c r="AS131" s="3">
        <f t="shared" ref="AS131:AS194" si="14">AR131-AQ131</f>
        <v>0</v>
      </c>
    </row>
    <row r="132" spans="1:45" x14ac:dyDescent="0.35">
      <c r="A132" s="181">
        <f>_xlfn.XLOOKUP(X132,'00_SKU_Master'!$B$2:$B$379,'00_SKU_Master'!$C$2:$C$379)</f>
        <v>61074</v>
      </c>
      <c r="B132" s="181" t="str">
        <f>_xlfn.XLOOKUP(X132,tblSKU[SKU],tblSKU[Product_Group])</f>
        <v>Drum</v>
      </c>
      <c r="C132" s="181" t="str">
        <f>_xlfn.XLOOKUP(X132,tblSKU[SKU],tblSKU[Tray_Type])</f>
        <v>PET 3</v>
      </c>
      <c r="D132" s="182">
        <f>_xlfn.IFNA(_xlfn.XLOOKUP(X132,'00_SKU_Master'!$B$2:$B$379,'00_SKU_Master'!$F$2:$F$379,0)*Y132,"")</f>
        <v>0</v>
      </c>
      <c r="E132" s="182">
        <f>_xlfn.IFNA(_xlfn.XLOOKUP(X132,'00_SKU_Master'!$B$2:$B$379,'00_SKU_Master'!$F$2:$F$379,0)*Z132,"")</f>
        <v>0</v>
      </c>
      <c r="F132" s="182">
        <f>_xlfn.IFNA(_xlfn.XLOOKUP(X132,'00_SKU_Master'!$B$2:$B$379,'00_SKU_Master'!$F$2:$F$379,0)*AA132,"")</f>
        <v>0</v>
      </c>
      <c r="G132" s="182">
        <f>_xlfn.IFNA(_xlfn.XLOOKUP(X132,'00_SKU_Master'!$B$2:$B$379,'00_SKU_Master'!$F$2:$F$379,0)*AB132,"")</f>
        <v>0</v>
      </c>
      <c r="H132" s="182">
        <f>_xlfn.IFNA(_xlfn.XLOOKUP(X132,'00_SKU_Master'!$B$2:$B$379,'00_SKU_Master'!$F$2:$F$379,0)*AC132,"")</f>
        <v>0</v>
      </c>
      <c r="I132" s="182">
        <f>_xlfn.IFNA(_xlfn.XLOOKUP(X132,'00_SKU_Master'!$B$2:$B$379,'00_SKU_Master'!$F$2:$F$379,0)*AD132,"")</f>
        <v>0</v>
      </c>
      <c r="J132" s="182">
        <f>_xlfn.IFNA(_xlfn.XLOOKUP(X132,'00_SKU_Master'!$B$2:$B$379,'00_SKU_Master'!$F$2:$F$379,0)*AE132,"")</f>
        <v>0</v>
      </c>
      <c r="K132" s="183">
        <f t="shared" si="10"/>
        <v>0</v>
      </c>
      <c r="L132" s="184" t="str">
        <f>_xlfn.XLOOKUP(X132,'00_SKU_Master'!$B$2:$B$379,'00_SKU_Master'!$K$2:$K$379)</f>
        <v>Fast</v>
      </c>
      <c r="M132" s="185">
        <f t="shared" si="11"/>
        <v>7236</v>
      </c>
      <c r="N132" s="186">
        <f>IFERROR(D132/_xlfn.XLOOKUP($M132,'00_SKU_Master'!$B$2:$B$379,'00_SKU_Master'!$M$2:$M$379,0),"0")</f>
        <v>0</v>
      </c>
      <c r="O132" s="186">
        <f>IFERROR(E132/_xlfn.XLOOKUP($M132,'00_SKU_Master'!$B$2:$B$379,'00_SKU_Master'!$M$2:$M$379,0),"0")</f>
        <v>0</v>
      </c>
      <c r="P132" s="186">
        <f>IFERROR(F132/_xlfn.XLOOKUP($M132,'00_SKU_Master'!$B$2:$B$379,'00_SKU_Master'!$M$2:$M$379,0),"0")</f>
        <v>0</v>
      </c>
      <c r="Q132" s="186">
        <f>IFERROR(G132/_xlfn.XLOOKUP($M132,'00_SKU_Master'!$B$2:$B$379,'00_SKU_Master'!$M$2:$M$379,0),"0")</f>
        <v>0</v>
      </c>
      <c r="R132" s="186">
        <f>IFERROR(H132/_xlfn.XLOOKUP($M132,'00_SKU_Master'!$B$2:$B$379,'00_SKU_Master'!$M$2:$M$379,0),"0")</f>
        <v>0</v>
      </c>
      <c r="S132" s="186">
        <f>IFERROR(I132/_xlfn.XLOOKUP($M132,'00_SKU_Master'!$B$2:$B$379,'00_SKU_Master'!$M$2:$M$379,0),"0")</f>
        <v>0</v>
      </c>
      <c r="T132" s="186">
        <f>IFERROR(J132/_xlfn.XLOOKUP($M132,'00_SKU_Master'!$B$2:$B$379,'00_SKU_Master'!$M$2:$M$379,0),"0")</f>
        <v>0</v>
      </c>
      <c r="U132" s="186">
        <f t="shared" si="12"/>
        <v>0</v>
      </c>
      <c r="V132" s="186" t="str">
        <f>_xlfn.XLOOKUP(M132,'00_SKU_Master'!$B$2:$B$379,'00_SKU_Master'!$D$2:$D$379)</f>
        <v>RWA</v>
      </c>
      <c r="W132" s="1"/>
      <c r="X132" s="2">
        <f>'05_Daily_Orders'!C133</f>
        <v>7236</v>
      </c>
      <c r="Y132" s="289"/>
      <c r="Z132" s="289">
        <v>0</v>
      </c>
      <c r="AA132" s="289">
        <v>0</v>
      </c>
      <c r="AB132" s="289">
        <v>0</v>
      </c>
      <c r="AC132" s="289">
        <v>0</v>
      </c>
      <c r="AD132" s="289">
        <v>0</v>
      </c>
      <c r="AE132" s="289">
        <v>0</v>
      </c>
      <c r="AF132" s="7">
        <f t="shared" si="13"/>
        <v>0</v>
      </c>
      <c r="AQ132" s="70">
        <v>0</v>
      </c>
      <c r="AR132" s="70">
        <v>0</v>
      </c>
      <c r="AS132" s="3">
        <f t="shared" si="14"/>
        <v>0</v>
      </c>
    </row>
    <row r="133" spans="1:45" x14ac:dyDescent="0.35">
      <c r="A133" s="181">
        <f>_xlfn.XLOOKUP(X133,'00_SKU_Master'!$B$2:$B$379,'00_SKU_Master'!$C$2:$C$379)</f>
        <v>61071</v>
      </c>
      <c r="B133" s="181" t="str">
        <f>_xlfn.XLOOKUP(X133,tblSKU[SKU],tblSKU[Product_Group])</f>
        <v>Drum</v>
      </c>
      <c r="C133" s="181" t="str">
        <f>_xlfn.XLOOKUP(X133,tblSKU[SKU],tblSKU[Tray_Type])</f>
        <v>ST 2HP</v>
      </c>
      <c r="D133" s="182">
        <f>_xlfn.IFNA(_xlfn.XLOOKUP(X133,'00_SKU_Master'!$B$2:$B$379,'00_SKU_Master'!$F$2:$F$379,0)*Y133,"")</f>
        <v>0</v>
      </c>
      <c r="E133" s="182">
        <f>_xlfn.IFNA(_xlfn.XLOOKUP(X133,'00_SKU_Master'!$B$2:$B$379,'00_SKU_Master'!$F$2:$F$379,0)*Z133,"")</f>
        <v>0</v>
      </c>
      <c r="F133" s="182">
        <f>_xlfn.IFNA(_xlfn.XLOOKUP(X133,'00_SKU_Master'!$B$2:$B$379,'00_SKU_Master'!$F$2:$F$379,0)*AA133,"")</f>
        <v>0</v>
      </c>
      <c r="G133" s="182">
        <f>_xlfn.IFNA(_xlfn.XLOOKUP(X133,'00_SKU_Master'!$B$2:$B$379,'00_SKU_Master'!$F$2:$F$379,0)*AB133,"")</f>
        <v>0</v>
      </c>
      <c r="H133" s="182">
        <f>_xlfn.IFNA(_xlfn.XLOOKUP(X133,'00_SKU_Master'!$B$2:$B$379,'00_SKU_Master'!$F$2:$F$379,0)*AC133,"")</f>
        <v>0</v>
      </c>
      <c r="I133" s="182">
        <f>_xlfn.IFNA(_xlfn.XLOOKUP(X133,'00_SKU_Master'!$B$2:$B$379,'00_SKU_Master'!$F$2:$F$379,0)*AD133,"")</f>
        <v>0</v>
      </c>
      <c r="J133" s="182">
        <f>_xlfn.IFNA(_xlfn.XLOOKUP(X133,'00_SKU_Master'!$B$2:$B$379,'00_SKU_Master'!$F$2:$F$379,0)*AE133,"")</f>
        <v>0</v>
      </c>
      <c r="K133" s="183">
        <f t="shared" si="10"/>
        <v>0</v>
      </c>
      <c r="L133" s="184" t="str">
        <f>_xlfn.XLOOKUP(X133,'00_SKU_Master'!$B$2:$B$379,'00_SKU_Master'!$K$2:$K$379)</f>
        <v>Fast</v>
      </c>
      <c r="M133" s="185">
        <f t="shared" si="11"/>
        <v>7237</v>
      </c>
      <c r="N133" s="186">
        <f>IFERROR(D133/_xlfn.XLOOKUP($M133,'00_SKU_Master'!$B$2:$B$379,'00_SKU_Master'!$M$2:$M$379,0),"0")</f>
        <v>0</v>
      </c>
      <c r="O133" s="186">
        <f>IFERROR(E133/_xlfn.XLOOKUP($M133,'00_SKU_Master'!$B$2:$B$379,'00_SKU_Master'!$M$2:$M$379,0),"0")</f>
        <v>0</v>
      </c>
      <c r="P133" s="186">
        <f>IFERROR(F133/_xlfn.XLOOKUP($M133,'00_SKU_Master'!$B$2:$B$379,'00_SKU_Master'!$M$2:$M$379,0),"0")</f>
        <v>0</v>
      </c>
      <c r="Q133" s="186">
        <f>IFERROR(G133/_xlfn.XLOOKUP($M133,'00_SKU_Master'!$B$2:$B$379,'00_SKU_Master'!$M$2:$M$379,0),"0")</f>
        <v>0</v>
      </c>
      <c r="R133" s="186">
        <f>IFERROR(H133/_xlfn.XLOOKUP($M133,'00_SKU_Master'!$B$2:$B$379,'00_SKU_Master'!$M$2:$M$379,0),"0")</f>
        <v>0</v>
      </c>
      <c r="S133" s="186">
        <f>IFERROR(I133/_xlfn.XLOOKUP($M133,'00_SKU_Master'!$B$2:$B$379,'00_SKU_Master'!$M$2:$M$379,0),"0")</f>
        <v>0</v>
      </c>
      <c r="T133" s="186">
        <f>IFERROR(J133/_xlfn.XLOOKUP($M133,'00_SKU_Master'!$B$2:$B$379,'00_SKU_Master'!$M$2:$M$379,0),"0")</f>
        <v>0</v>
      </c>
      <c r="U133" s="186">
        <f t="shared" si="12"/>
        <v>0</v>
      </c>
      <c r="V133" s="186" t="str">
        <f>_xlfn.XLOOKUP(M133,'00_SKU_Master'!$B$2:$B$379,'00_SKU_Master'!$D$2:$D$379)</f>
        <v>RWA</v>
      </c>
      <c r="W133" s="1"/>
      <c r="X133" s="2">
        <f>'05_Daily_Orders'!C134</f>
        <v>7237</v>
      </c>
      <c r="Y133" s="289"/>
      <c r="Z133" s="289">
        <v>0</v>
      </c>
      <c r="AA133" s="289">
        <v>0</v>
      </c>
      <c r="AB133" s="289">
        <v>0</v>
      </c>
      <c r="AC133" s="289">
        <v>0</v>
      </c>
      <c r="AD133" s="289">
        <v>0</v>
      </c>
      <c r="AE133" s="289">
        <v>0</v>
      </c>
      <c r="AF133" s="7">
        <f t="shared" si="13"/>
        <v>0</v>
      </c>
      <c r="AQ133" s="70">
        <v>0</v>
      </c>
      <c r="AR133" s="70">
        <v>0</v>
      </c>
      <c r="AS133" s="3">
        <f t="shared" si="14"/>
        <v>0</v>
      </c>
    </row>
    <row r="134" spans="1:45" x14ac:dyDescent="0.35">
      <c r="A134" s="181">
        <f>_xlfn.XLOOKUP(X134,'00_SKU_Master'!$B$2:$B$379,'00_SKU_Master'!$C$2:$C$379)</f>
        <v>61016</v>
      </c>
      <c r="B134" s="181" t="str">
        <f>_xlfn.XLOOKUP(X134,tblSKU[SKU],tblSKU[Product_Group])</f>
        <v>SplitWing</v>
      </c>
      <c r="C134" s="181" t="str">
        <f>_xlfn.XLOOKUP(X134,tblSKU[SKU],tblSKU[Tray_Type])</f>
        <v>PET 3</v>
      </c>
      <c r="D134" s="182">
        <f>_xlfn.IFNA(_xlfn.XLOOKUP(X134,'00_SKU_Master'!$B$2:$B$379,'00_SKU_Master'!$F$2:$F$379,0)*Y134,"")</f>
        <v>0</v>
      </c>
      <c r="E134" s="182">
        <f>_xlfn.IFNA(_xlfn.XLOOKUP(X134,'00_SKU_Master'!$B$2:$B$379,'00_SKU_Master'!$F$2:$F$379,0)*Z134,"")</f>
        <v>0</v>
      </c>
      <c r="F134" s="182">
        <f>_xlfn.IFNA(_xlfn.XLOOKUP(X134,'00_SKU_Master'!$B$2:$B$379,'00_SKU_Master'!$F$2:$F$379,0)*AA134,"")</f>
        <v>0</v>
      </c>
      <c r="G134" s="182">
        <f>_xlfn.IFNA(_xlfn.XLOOKUP(X134,'00_SKU_Master'!$B$2:$B$379,'00_SKU_Master'!$F$2:$F$379,0)*AB134,"")</f>
        <v>0</v>
      </c>
      <c r="H134" s="182">
        <f>_xlfn.IFNA(_xlfn.XLOOKUP(X134,'00_SKU_Master'!$B$2:$B$379,'00_SKU_Master'!$F$2:$F$379,0)*AC134,"")</f>
        <v>0</v>
      </c>
      <c r="I134" s="182">
        <f>_xlfn.IFNA(_xlfn.XLOOKUP(X134,'00_SKU_Master'!$B$2:$B$379,'00_SKU_Master'!$F$2:$F$379,0)*AD134,"")</f>
        <v>0</v>
      </c>
      <c r="J134" s="182">
        <f>_xlfn.IFNA(_xlfn.XLOOKUP(X134,'00_SKU_Master'!$B$2:$B$379,'00_SKU_Master'!$F$2:$F$379,0)*AE134,"")</f>
        <v>0</v>
      </c>
      <c r="K134" s="183">
        <f t="shared" si="10"/>
        <v>0</v>
      </c>
      <c r="L134" s="184" t="str">
        <f>_xlfn.XLOOKUP(X134,'00_SKU_Master'!$B$2:$B$379,'00_SKU_Master'!$K$2:$K$379)</f>
        <v>Slow</v>
      </c>
      <c r="M134" s="185">
        <f t="shared" si="11"/>
        <v>7238</v>
      </c>
      <c r="N134" s="186">
        <f>IFERROR(D134/_xlfn.XLOOKUP($M134,'00_SKU_Master'!$B$2:$B$379,'00_SKU_Master'!$M$2:$M$379,0),"0")</f>
        <v>0</v>
      </c>
      <c r="O134" s="186">
        <f>IFERROR(E134/_xlfn.XLOOKUP($M134,'00_SKU_Master'!$B$2:$B$379,'00_SKU_Master'!$M$2:$M$379,0),"0")</f>
        <v>0</v>
      </c>
      <c r="P134" s="186">
        <f>IFERROR(F134/_xlfn.XLOOKUP($M134,'00_SKU_Master'!$B$2:$B$379,'00_SKU_Master'!$M$2:$M$379,0),"0")</f>
        <v>0</v>
      </c>
      <c r="Q134" s="186">
        <f>IFERROR(G134/_xlfn.XLOOKUP($M134,'00_SKU_Master'!$B$2:$B$379,'00_SKU_Master'!$M$2:$M$379,0),"0")</f>
        <v>0</v>
      </c>
      <c r="R134" s="186">
        <f>IFERROR(H134/_xlfn.XLOOKUP($M134,'00_SKU_Master'!$B$2:$B$379,'00_SKU_Master'!$M$2:$M$379,0),"0")</f>
        <v>0</v>
      </c>
      <c r="S134" s="186">
        <f>IFERROR(I134/_xlfn.XLOOKUP($M134,'00_SKU_Master'!$B$2:$B$379,'00_SKU_Master'!$M$2:$M$379,0),"0")</f>
        <v>0</v>
      </c>
      <c r="T134" s="186">
        <f>IFERROR(J134/_xlfn.XLOOKUP($M134,'00_SKU_Master'!$B$2:$B$379,'00_SKU_Master'!$M$2:$M$379,0),"0")</f>
        <v>0</v>
      </c>
      <c r="U134" s="186">
        <f t="shared" si="12"/>
        <v>0</v>
      </c>
      <c r="V134" s="186" t="str">
        <f>_xlfn.XLOOKUP(M134,'00_SKU_Master'!$B$2:$B$379,'00_SKU_Master'!$D$2:$D$379)</f>
        <v>RWA</v>
      </c>
      <c r="W134" s="1"/>
      <c r="X134" s="2">
        <f>'05_Daily_Orders'!C135</f>
        <v>7238</v>
      </c>
      <c r="Y134" s="289"/>
      <c r="Z134" s="289">
        <v>0</v>
      </c>
      <c r="AA134" s="289">
        <v>0</v>
      </c>
      <c r="AB134" s="289">
        <v>0</v>
      </c>
      <c r="AC134" s="289">
        <v>0</v>
      </c>
      <c r="AD134" s="289">
        <v>0</v>
      </c>
      <c r="AE134" s="289">
        <v>0</v>
      </c>
      <c r="AF134" s="7">
        <f t="shared" si="13"/>
        <v>0</v>
      </c>
      <c r="AQ134" s="70">
        <v>0</v>
      </c>
      <c r="AR134" s="70">
        <v>0</v>
      </c>
      <c r="AS134" s="3">
        <f t="shared" si="14"/>
        <v>0</v>
      </c>
    </row>
    <row r="135" spans="1:45" x14ac:dyDescent="0.35">
      <c r="A135" s="181">
        <f>_xlfn.XLOOKUP(X135,'00_SKU_Master'!$B$2:$B$379,'00_SKU_Master'!$C$2:$C$379)</f>
        <v>203151</v>
      </c>
      <c r="B135" s="181" t="str">
        <f>_xlfn.XLOOKUP(X135,tblSKU[SKU],tblSKU[Product_Group])</f>
        <v>Whole Bird-Small</v>
      </c>
      <c r="C135" s="181" t="str">
        <f>_xlfn.XLOOKUP(X135,tblSKU[SKU],tblSKU[Tray_Type])</f>
        <v>PET 3</v>
      </c>
      <c r="D135" s="182">
        <f>_xlfn.IFNA(_xlfn.XLOOKUP(X135,'00_SKU_Master'!$B$2:$B$379,'00_SKU_Master'!$F$2:$F$379,0)*Y135,"")</f>
        <v>0</v>
      </c>
      <c r="E135" s="182">
        <f>_xlfn.IFNA(_xlfn.XLOOKUP(X135,'00_SKU_Master'!$B$2:$B$379,'00_SKU_Master'!$F$2:$F$379,0)*Z135,"")</f>
        <v>0</v>
      </c>
      <c r="F135" s="182">
        <f>_xlfn.IFNA(_xlfn.XLOOKUP(X135,'00_SKU_Master'!$B$2:$B$379,'00_SKU_Master'!$F$2:$F$379,0)*AA135,"")</f>
        <v>0</v>
      </c>
      <c r="G135" s="182">
        <f>_xlfn.IFNA(_xlfn.XLOOKUP(X135,'00_SKU_Master'!$B$2:$B$379,'00_SKU_Master'!$F$2:$F$379,0)*AB135,"")</f>
        <v>0</v>
      </c>
      <c r="H135" s="182">
        <f>_xlfn.IFNA(_xlfn.XLOOKUP(X135,'00_SKU_Master'!$B$2:$B$379,'00_SKU_Master'!$F$2:$F$379,0)*AC135,"")</f>
        <v>0</v>
      </c>
      <c r="I135" s="182">
        <f>_xlfn.IFNA(_xlfn.XLOOKUP(X135,'00_SKU_Master'!$B$2:$B$379,'00_SKU_Master'!$F$2:$F$379,0)*AD135,"")</f>
        <v>0</v>
      </c>
      <c r="J135" s="182">
        <f>_xlfn.IFNA(_xlfn.XLOOKUP(X135,'00_SKU_Master'!$B$2:$B$379,'00_SKU_Master'!$F$2:$F$379,0)*AE135,"")</f>
        <v>0</v>
      </c>
      <c r="K135" s="183">
        <f t="shared" si="10"/>
        <v>0</v>
      </c>
      <c r="L135" s="184" t="str">
        <f>_xlfn.XLOOKUP(X135,'00_SKU_Master'!$B$2:$B$379,'00_SKU_Master'!$K$2:$K$379)</f>
        <v>Fast</v>
      </c>
      <c r="M135" s="185">
        <f t="shared" si="11"/>
        <v>7239</v>
      </c>
      <c r="N135" s="186">
        <f>IFERROR(D135/_xlfn.XLOOKUP($M135,'00_SKU_Master'!$B$2:$B$379,'00_SKU_Master'!$M$2:$M$379,0),"0")</f>
        <v>0</v>
      </c>
      <c r="O135" s="186">
        <f>IFERROR(E135/_xlfn.XLOOKUP($M135,'00_SKU_Master'!$B$2:$B$379,'00_SKU_Master'!$M$2:$M$379,0),"0")</f>
        <v>0</v>
      </c>
      <c r="P135" s="186">
        <f>IFERROR(F135/_xlfn.XLOOKUP($M135,'00_SKU_Master'!$B$2:$B$379,'00_SKU_Master'!$M$2:$M$379,0),"0")</f>
        <v>0</v>
      </c>
      <c r="Q135" s="186">
        <f>IFERROR(G135/_xlfn.XLOOKUP($M135,'00_SKU_Master'!$B$2:$B$379,'00_SKU_Master'!$M$2:$M$379,0),"0")</f>
        <v>0</v>
      </c>
      <c r="R135" s="186">
        <f>IFERROR(H135/_xlfn.XLOOKUP($M135,'00_SKU_Master'!$B$2:$B$379,'00_SKU_Master'!$M$2:$M$379,0),"0")</f>
        <v>0</v>
      </c>
      <c r="S135" s="186">
        <f>IFERROR(I135/_xlfn.XLOOKUP($M135,'00_SKU_Master'!$B$2:$B$379,'00_SKU_Master'!$M$2:$M$379,0),"0")</f>
        <v>0</v>
      </c>
      <c r="T135" s="186">
        <f>IFERROR(J135/_xlfn.XLOOKUP($M135,'00_SKU_Master'!$B$2:$B$379,'00_SKU_Master'!$M$2:$M$379,0),"0")</f>
        <v>0</v>
      </c>
      <c r="U135" s="186">
        <f t="shared" si="12"/>
        <v>0</v>
      </c>
      <c r="V135" s="186" t="str">
        <f>_xlfn.XLOOKUP(M135,'00_SKU_Master'!$B$2:$B$379,'00_SKU_Master'!$D$2:$D$379)</f>
        <v>RWA</v>
      </c>
      <c r="W135" s="1"/>
      <c r="X135" s="2">
        <f>'05_Daily_Orders'!C136</f>
        <v>7239</v>
      </c>
      <c r="Y135" s="289"/>
      <c r="Z135" s="289">
        <v>0</v>
      </c>
      <c r="AA135" s="289">
        <v>0</v>
      </c>
      <c r="AB135" s="289">
        <v>0</v>
      </c>
      <c r="AC135" s="289">
        <v>0</v>
      </c>
      <c r="AD135" s="289">
        <v>0</v>
      </c>
      <c r="AE135" s="289">
        <v>0</v>
      </c>
      <c r="AF135" s="7">
        <f t="shared" si="13"/>
        <v>0</v>
      </c>
      <c r="AQ135" s="70">
        <v>0</v>
      </c>
      <c r="AR135" s="70">
        <v>0</v>
      </c>
      <c r="AS135" s="3">
        <f t="shared" si="14"/>
        <v>0</v>
      </c>
    </row>
    <row r="136" spans="1:45" x14ac:dyDescent="0.35">
      <c r="A136" s="181">
        <f>_xlfn.XLOOKUP(X136,'00_SKU_Master'!$B$2:$B$379,'00_SKU_Master'!$C$2:$C$379)</f>
        <v>61051</v>
      </c>
      <c r="B136" s="181" t="str">
        <f>_xlfn.XLOOKUP(X136,tblSKU[SKU],tblSKU[Product_Group])</f>
        <v>BSB</v>
      </c>
      <c r="C136" s="181" t="str">
        <f>_xlfn.XLOOKUP(X136,tblSKU[SKU],tblSKU[Tray_Type])</f>
        <v>PET 8</v>
      </c>
      <c r="D136" s="182">
        <f>_xlfn.IFNA(_xlfn.XLOOKUP(X136,'00_SKU_Master'!$B$2:$B$379,'00_SKU_Master'!$F$2:$F$379,0)*Y136,"")</f>
        <v>0</v>
      </c>
      <c r="E136" s="182">
        <f>_xlfn.IFNA(_xlfn.XLOOKUP(X136,'00_SKU_Master'!$B$2:$B$379,'00_SKU_Master'!$F$2:$F$379,0)*Z136,"")</f>
        <v>0</v>
      </c>
      <c r="F136" s="182">
        <f>_xlfn.IFNA(_xlfn.XLOOKUP(X136,'00_SKU_Master'!$B$2:$B$379,'00_SKU_Master'!$F$2:$F$379,0)*AA136,"")</f>
        <v>0</v>
      </c>
      <c r="G136" s="182">
        <f>_xlfn.IFNA(_xlfn.XLOOKUP(X136,'00_SKU_Master'!$B$2:$B$379,'00_SKU_Master'!$F$2:$F$379,0)*AB136,"")</f>
        <v>0</v>
      </c>
      <c r="H136" s="182">
        <f>_xlfn.IFNA(_xlfn.XLOOKUP(X136,'00_SKU_Master'!$B$2:$B$379,'00_SKU_Master'!$F$2:$F$379,0)*AC136,"")</f>
        <v>0</v>
      </c>
      <c r="I136" s="182">
        <f>_xlfn.IFNA(_xlfn.XLOOKUP(X136,'00_SKU_Master'!$B$2:$B$379,'00_SKU_Master'!$F$2:$F$379,0)*AD136,"")</f>
        <v>0</v>
      </c>
      <c r="J136" s="182">
        <f>_xlfn.IFNA(_xlfn.XLOOKUP(X136,'00_SKU_Master'!$B$2:$B$379,'00_SKU_Master'!$F$2:$F$379,0)*AE136,"")</f>
        <v>0</v>
      </c>
      <c r="K136" s="183">
        <f t="shared" si="10"/>
        <v>0</v>
      </c>
      <c r="L136" s="184" t="str">
        <f>_xlfn.XLOOKUP(X136,'00_SKU_Master'!$B$2:$B$379,'00_SKU_Master'!$K$2:$K$379)</f>
        <v>Fast</v>
      </c>
      <c r="M136" s="185">
        <f t="shared" si="11"/>
        <v>7240</v>
      </c>
      <c r="N136" s="186">
        <f>IFERROR(D136/_xlfn.XLOOKUP($M136,'00_SKU_Master'!$B$2:$B$379,'00_SKU_Master'!$M$2:$M$379,0),"0")</f>
        <v>0</v>
      </c>
      <c r="O136" s="186">
        <f>IFERROR(E136/_xlfn.XLOOKUP($M136,'00_SKU_Master'!$B$2:$B$379,'00_SKU_Master'!$M$2:$M$379,0),"0")</f>
        <v>0</v>
      </c>
      <c r="P136" s="186">
        <f>IFERROR(F136/_xlfn.XLOOKUP($M136,'00_SKU_Master'!$B$2:$B$379,'00_SKU_Master'!$M$2:$M$379,0),"0")</f>
        <v>0</v>
      </c>
      <c r="Q136" s="186">
        <f>IFERROR(G136/_xlfn.XLOOKUP($M136,'00_SKU_Master'!$B$2:$B$379,'00_SKU_Master'!$M$2:$M$379,0),"0")</f>
        <v>0</v>
      </c>
      <c r="R136" s="186">
        <f>IFERROR(H136/_xlfn.XLOOKUP($M136,'00_SKU_Master'!$B$2:$B$379,'00_SKU_Master'!$M$2:$M$379,0),"0")</f>
        <v>0</v>
      </c>
      <c r="S136" s="186">
        <f>IFERROR(I136/_xlfn.XLOOKUP($M136,'00_SKU_Master'!$B$2:$B$379,'00_SKU_Master'!$M$2:$M$379,0),"0")</f>
        <v>0</v>
      </c>
      <c r="T136" s="186">
        <f>IFERROR(J136/_xlfn.XLOOKUP($M136,'00_SKU_Master'!$B$2:$B$379,'00_SKU_Master'!$M$2:$M$379,0),"0")</f>
        <v>0</v>
      </c>
      <c r="U136" s="186">
        <f t="shared" si="12"/>
        <v>0</v>
      </c>
      <c r="V136" s="186" t="str">
        <f>_xlfn.XLOOKUP(M136,'00_SKU_Master'!$B$2:$B$379,'00_SKU_Master'!$D$2:$D$379)</f>
        <v>RWA</v>
      </c>
      <c r="W136" s="1"/>
      <c r="X136" s="2">
        <f>'05_Daily_Orders'!C137</f>
        <v>7240</v>
      </c>
      <c r="Y136" s="289"/>
      <c r="Z136" s="289">
        <v>0</v>
      </c>
      <c r="AA136" s="289">
        <v>0</v>
      </c>
      <c r="AB136" s="289">
        <v>0</v>
      </c>
      <c r="AC136" s="289">
        <v>0</v>
      </c>
      <c r="AD136" s="289">
        <v>0</v>
      </c>
      <c r="AE136" s="289">
        <v>0</v>
      </c>
      <c r="AF136" s="7">
        <f t="shared" si="13"/>
        <v>0</v>
      </c>
      <c r="AQ136" s="70">
        <v>0</v>
      </c>
      <c r="AR136" s="70">
        <v>0</v>
      </c>
      <c r="AS136" s="3">
        <f t="shared" si="14"/>
        <v>0</v>
      </c>
    </row>
    <row r="137" spans="1:45" x14ac:dyDescent="0.35">
      <c r="A137" s="181">
        <f>_xlfn.XLOOKUP(X137,'00_SKU_Master'!$B$2:$B$379,'00_SKU_Master'!$C$2:$C$379)</f>
        <v>61087</v>
      </c>
      <c r="B137" s="181" t="str">
        <f>_xlfn.XLOOKUP(X137,tblSKU[SKU],tblSKU[Product_Group])</f>
        <v>ThighMeat</v>
      </c>
      <c r="C137" s="181" t="str">
        <f>_xlfn.XLOOKUP(X137,tblSKU[SKU],tblSKU[Tray_Type])</f>
        <v>PET 8</v>
      </c>
      <c r="D137" s="182">
        <f>_xlfn.IFNA(_xlfn.XLOOKUP(X137,'00_SKU_Master'!$B$2:$B$379,'00_SKU_Master'!$F$2:$F$379,0)*Y137,"")</f>
        <v>0</v>
      </c>
      <c r="E137" s="182">
        <f>_xlfn.IFNA(_xlfn.XLOOKUP(X137,'00_SKU_Master'!$B$2:$B$379,'00_SKU_Master'!$F$2:$F$379,0)*Z137,"")</f>
        <v>0</v>
      </c>
      <c r="F137" s="182">
        <f>_xlfn.IFNA(_xlfn.XLOOKUP(X137,'00_SKU_Master'!$B$2:$B$379,'00_SKU_Master'!$F$2:$F$379,0)*AA137,"")</f>
        <v>0</v>
      </c>
      <c r="G137" s="182">
        <f>_xlfn.IFNA(_xlfn.XLOOKUP(X137,'00_SKU_Master'!$B$2:$B$379,'00_SKU_Master'!$F$2:$F$379,0)*AB137,"")</f>
        <v>0</v>
      </c>
      <c r="H137" s="182">
        <f>_xlfn.IFNA(_xlfn.XLOOKUP(X137,'00_SKU_Master'!$B$2:$B$379,'00_SKU_Master'!$F$2:$F$379,0)*AC137,"")</f>
        <v>0</v>
      </c>
      <c r="I137" s="182">
        <f>_xlfn.IFNA(_xlfn.XLOOKUP(X137,'00_SKU_Master'!$B$2:$B$379,'00_SKU_Master'!$F$2:$F$379,0)*AD137,"")</f>
        <v>0</v>
      </c>
      <c r="J137" s="182">
        <f>_xlfn.IFNA(_xlfn.XLOOKUP(X137,'00_SKU_Master'!$B$2:$B$379,'00_SKU_Master'!$F$2:$F$379,0)*AE137,"")</f>
        <v>0</v>
      </c>
      <c r="K137" s="183">
        <f t="shared" si="10"/>
        <v>0</v>
      </c>
      <c r="L137" s="184" t="str">
        <f>_xlfn.XLOOKUP(X137,'00_SKU_Master'!$B$2:$B$379,'00_SKU_Master'!$K$2:$K$379)</f>
        <v>Slow</v>
      </c>
      <c r="M137" s="185">
        <f t="shared" si="11"/>
        <v>7241</v>
      </c>
      <c r="N137" s="186">
        <f>IFERROR(D137/_xlfn.XLOOKUP($M137,'00_SKU_Master'!$B$2:$B$379,'00_SKU_Master'!$M$2:$M$379,0),"0")</f>
        <v>0</v>
      </c>
      <c r="O137" s="186">
        <f>IFERROR(E137/_xlfn.XLOOKUP($M137,'00_SKU_Master'!$B$2:$B$379,'00_SKU_Master'!$M$2:$M$379,0),"0")</f>
        <v>0</v>
      </c>
      <c r="P137" s="186">
        <f>IFERROR(F137/_xlfn.XLOOKUP($M137,'00_SKU_Master'!$B$2:$B$379,'00_SKU_Master'!$M$2:$M$379,0),"0")</f>
        <v>0</v>
      </c>
      <c r="Q137" s="186">
        <f>IFERROR(G137/_xlfn.XLOOKUP($M137,'00_SKU_Master'!$B$2:$B$379,'00_SKU_Master'!$M$2:$M$379,0),"0")</f>
        <v>0</v>
      </c>
      <c r="R137" s="186">
        <f>IFERROR(H137/_xlfn.XLOOKUP($M137,'00_SKU_Master'!$B$2:$B$379,'00_SKU_Master'!$M$2:$M$379,0),"0")</f>
        <v>0</v>
      </c>
      <c r="S137" s="186">
        <f>IFERROR(I137/_xlfn.XLOOKUP($M137,'00_SKU_Master'!$B$2:$B$379,'00_SKU_Master'!$M$2:$M$379,0),"0")</f>
        <v>0</v>
      </c>
      <c r="T137" s="186">
        <f>IFERROR(J137/_xlfn.XLOOKUP($M137,'00_SKU_Master'!$B$2:$B$379,'00_SKU_Master'!$M$2:$M$379,0),"0")</f>
        <v>0</v>
      </c>
      <c r="U137" s="186">
        <f t="shared" si="12"/>
        <v>0</v>
      </c>
      <c r="V137" s="186" t="str">
        <f>_xlfn.XLOOKUP(M137,'00_SKU_Master'!$B$2:$B$379,'00_SKU_Master'!$D$2:$D$379)</f>
        <v>RWA</v>
      </c>
      <c r="W137" s="1"/>
      <c r="X137" s="2">
        <f>'05_Daily_Orders'!C138</f>
        <v>7241</v>
      </c>
      <c r="Y137" s="289"/>
      <c r="Z137" s="289">
        <v>0</v>
      </c>
      <c r="AA137" s="289">
        <v>0</v>
      </c>
      <c r="AB137" s="289">
        <v>0</v>
      </c>
      <c r="AC137" s="289">
        <v>0</v>
      </c>
      <c r="AD137" s="289">
        <v>0</v>
      </c>
      <c r="AE137" s="289">
        <v>0</v>
      </c>
      <c r="AF137" s="7">
        <f t="shared" si="13"/>
        <v>0</v>
      </c>
      <c r="AQ137" s="70">
        <v>0</v>
      </c>
      <c r="AR137" s="70">
        <v>0</v>
      </c>
      <c r="AS137" s="3">
        <f t="shared" si="14"/>
        <v>0</v>
      </c>
    </row>
    <row r="138" spans="1:45" x14ac:dyDescent="0.35">
      <c r="A138" s="181">
        <f>_xlfn.XLOOKUP(X138,'00_SKU_Master'!$B$2:$B$379,'00_SKU_Master'!$C$2:$C$379)</f>
        <v>61016</v>
      </c>
      <c r="B138" s="181" t="str">
        <f>_xlfn.XLOOKUP(X138,tblSKU[SKU],tblSKU[Product_Group])</f>
        <v>SplitWing</v>
      </c>
      <c r="C138" s="181" t="str">
        <f>_xlfn.XLOOKUP(X138,tblSKU[SKU],tblSKU[Tray_Type])</f>
        <v>PET 8</v>
      </c>
      <c r="D138" s="182">
        <f>_xlfn.IFNA(_xlfn.XLOOKUP(X138,'00_SKU_Master'!$B$2:$B$379,'00_SKU_Master'!$F$2:$F$379,0)*Y138,"")</f>
        <v>0</v>
      </c>
      <c r="E138" s="182">
        <f>_xlfn.IFNA(_xlfn.XLOOKUP(X138,'00_SKU_Master'!$B$2:$B$379,'00_SKU_Master'!$F$2:$F$379,0)*Z138,"")</f>
        <v>0</v>
      </c>
      <c r="F138" s="182">
        <f>_xlfn.IFNA(_xlfn.XLOOKUP(X138,'00_SKU_Master'!$B$2:$B$379,'00_SKU_Master'!$F$2:$F$379,0)*AA138,"")</f>
        <v>0</v>
      </c>
      <c r="G138" s="182">
        <f>_xlfn.IFNA(_xlfn.XLOOKUP(X138,'00_SKU_Master'!$B$2:$B$379,'00_SKU_Master'!$F$2:$F$379,0)*AB138,"")</f>
        <v>0</v>
      </c>
      <c r="H138" s="182">
        <f>_xlfn.IFNA(_xlfn.XLOOKUP(X138,'00_SKU_Master'!$B$2:$B$379,'00_SKU_Master'!$F$2:$F$379,0)*AC138,"")</f>
        <v>0</v>
      </c>
      <c r="I138" s="182">
        <f>_xlfn.IFNA(_xlfn.XLOOKUP(X138,'00_SKU_Master'!$B$2:$B$379,'00_SKU_Master'!$F$2:$F$379,0)*AD138,"")</f>
        <v>0</v>
      </c>
      <c r="J138" s="182">
        <f>_xlfn.IFNA(_xlfn.XLOOKUP(X138,'00_SKU_Master'!$B$2:$B$379,'00_SKU_Master'!$F$2:$F$379,0)*AE138,"")</f>
        <v>0</v>
      </c>
      <c r="K138" s="183">
        <f t="shared" si="10"/>
        <v>0</v>
      </c>
      <c r="L138" s="184" t="str">
        <f>_xlfn.XLOOKUP(X138,'00_SKU_Master'!$B$2:$B$379,'00_SKU_Master'!$K$2:$K$379)</f>
        <v>Slow</v>
      </c>
      <c r="M138" s="185">
        <f t="shared" si="11"/>
        <v>7242</v>
      </c>
      <c r="N138" s="186">
        <f>IFERROR(D138/_xlfn.XLOOKUP($M138,'00_SKU_Master'!$B$2:$B$379,'00_SKU_Master'!$M$2:$M$379,0),"0")</f>
        <v>0</v>
      </c>
      <c r="O138" s="186">
        <f>IFERROR(E138/_xlfn.XLOOKUP($M138,'00_SKU_Master'!$B$2:$B$379,'00_SKU_Master'!$M$2:$M$379,0),"0")</f>
        <v>0</v>
      </c>
      <c r="P138" s="186">
        <f>IFERROR(F138/_xlfn.XLOOKUP($M138,'00_SKU_Master'!$B$2:$B$379,'00_SKU_Master'!$M$2:$M$379,0),"0")</f>
        <v>0</v>
      </c>
      <c r="Q138" s="186">
        <f>IFERROR(G138/_xlfn.XLOOKUP($M138,'00_SKU_Master'!$B$2:$B$379,'00_SKU_Master'!$M$2:$M$379,0),"0")</f>
        <v>0</v>
      </c>
      <c r="R138" s="186">
        <f>IFERROR(H138/_xlfn.XLOOKUP($M138,'00_SKU_Master'!$B$2:$B$379,'00_SKU_Master'!$M$2:$M$379,0),"0")</f>
        <v>0</v>
      </c>
      <c r="S138" s="186">
        <f>IFERROR(I138/_xlfn.XLOOKUP($M138,'00_SKU_Master'!$B$2:$B$379,'00_SKU_Master'!$M$2:$M$379,0),"0")</f>
        <v>0</v>
      </c>
      <c r="T138" s="186">
        <f>IFERROR(J138/_xlfn.XLOOKUP($M138,'00_SKU_Master'!$B$2:$B$379,'00_SKU_Master'!$M$2:$M$379,0),"0")</f>
        <v>0</v>
      </c>
      <c r="U138" s="186">
        <f t="shared" si="12"/>
        <v>0</v>
      </c>
      <c r="V138" s="186" t="str">
        <f>_xlfn.XLOOKUP(M138,'00_SKU_Master'!$B$2:$B$379,'00_SKU_Master'!$D$2:$D$379)</f>
        <v>RWA</v>
      </c>
      <c r="W138" s="1"/>
      <c r="X138" s="2">
        <f>'05_Daily_Orders'!C139</f>
        <v>7242</v>
      </c>
      <c r="Y138" s="289"/>
      <c r="Z138" s="289">
        <v>0</v>
      </c>
      <c r="AA138" s="289">
        <v>0</v>
      </c>
      <c r="AB138" s="289">
        <v>0</v>
      </c>
      <c r="AC138" s="289">
        <v>0</v>
      </c>
      <c r="AD138" s="289">
        <v>0</v>
      </c>
      <c r="AE138" s="289">
        <v>0</v>
      </c>
      <c r="AF138" s="7">
        <f t="shared" si="13"/>
        <v>0</v>
      </c>
      <c r="AQ138" s="70">
        <v>0</v>
      </c>
      <c r="AR138" s="70">
        <v>0</v>
      </c>
      <c r="AS138" s="3">
        <f t="shared" si="14"/>
        <v>0</v>
      </c>
    </row>
    <row r="139" spans="1:45" x14ac:dyDescent="0.35">
      <c r="A139" s="181">
        <f>_xlfn.XLOOKUP(X139,'00_SKU_Master'!$B$2:$B$379,'00_SKU_Master'!$C$2:$C$379)</f>
        <v>61074</v>
      </c>
      <c r="B139" s="181" t="str">
        <f>_xlfn.XLOOKUP(X139,tblSKU[SKU],tblSKU[Product_Group])</f>
        <v>Drum</v>
      </c>
      <c r="C139" s="181" t="str">
        <f>_xlfn.XLOOKUP(X139,tblSKU[SKU],tblSKU[Tray_Type])</f>
        <v>ST 2HP</v>
      </c>
      <c r="D139" s="182">
        <f>_xlfn.IFNA(_xlfn.XLOOKUP(X139,'00_SKU_Master'!$B$2:$B$379,'00_SKU_Master'!$F$2:$F$379,0)*Y139,"")</f>
        <v>0</v>
      </c>
      <c r="E139" s="182">
        <f>_xlfn.IFNA(_xlfn.XLOOKUP(X139,'00_SKU_Master'!$B$2:$B$379,'00_SKU_Master'!$F$2:$F$379,0)*Z139,"")</f>
        <v>0</v>
      </c>
      <c r="F139" s="182">
        <f>_xlfn.IFNA(_xlfn.XLOOKUP(X139,'00_SKU_Master'!$B$2:$B$379,'00_SKU_Master'!$F$2:$F$379,0)*AA139,"")</f>
        <v>0</v>
      </c>
      <c r="G139" s="182">
        <f>_xlfn.IFNA(_xlfn.XLOOKUP(X139,'00_SKU_Master'!$B$2:$B$379,'00_SKU_Master'!$F$2:$F$379,0)*AB139,"")</f>
        <v>0</v>
      </c>
      <c r="H139" s="182">
        <f>_xlfn.IFNA(_xlfn.XLOOKUP(X139,'00_SKU_Master'!$B$2:$B$379,'00_SKU_Master'!$F$2:$F$379,0)*AC139,"")</f>
        <v>0</v>
      </c>
      <c r="I139" s="182">
        <f>_xlfn.IFNA(_xlfn.XLOOKUP(X139,'00_SKU_Master'!$B$2:$B$379,'00_SKU_Master'!$F$2:$F$379,0)*AD139,"")</f>
        <v>0</v>
      </c>
      <c r="J139" s="182">
        <f>_xlfn.IFNA(_xlfn.XLOOKUP(X139,'00_SKU_Master'!$B$2:$B$379,'00_SKU_Master'!$F$2:$F$379,0)*AE139,"")</f>
        <v>0</v>
      </c>
      <c r="K139" s="183">
        <f t="shared" si="10"/>
        <v>0</v>
      </c>
      <c r="L139" s="184" t="str">
        <f>_xlfn.XLOOKUP(X139,'00_SKU_Master'!$B$2:$B$379,'00_SKU_Master'!$K$2:$K$379)</f>
        <v>Fast</v>
      </c>
      <c r="M139" s="185">
        <f t="shared" si="11"/>
        <v>7245</v>
      </c>
      <c r="N139" s="186">
        <f>IFERROR(D139/_xlfn.XLOOKUP($M139,'00_SKU_Master'!$B$2:$B$379,'00_SKU_Master'!$M$2:$M$379,0),"0")</f>
        <v>0</v>
      </c>
      <c r="O139" s="186">
        <f>IFERROR(E139/_xlfn.XLOOKUP($M139,'00_SKU_Master'!$B$2:$B$379,'00_SKU_Master'!$M$2:$M$379,0),"0")</f>
        <v>0</v>
      </c>
      <c r="P139" s="186">
        <f>IFERROR(F139/_xlfn.XLOOKUP($M139,'00_SKU_Master'!$B$2:$B$379,'00_SKU_Master'!$M$2:$M$379,0),"0")</f>
        <v>0</v>
      </c>
      <c r="Q139" s="186">
        <f>IFERROR(G139/_xlfn.XLOOKUP($M139,'00_SKU_Master'!$B$2:$B$379,'00_SKU_Master'!$M$2:$M$379,0),"0")</f>
        <v>0</v>
      </c>
      <c r="R139" s="186">
        <f>IFERROR(H139/_xlfn.XLOOKUP($M139,'00_SKU_Master'!$B$2:$B$379,'00_SKU_Master'!$M$2:$M$379,0),"0")</f>
        <v>0</v>
      </c>
      <c r="S139" s="186">
        <f>IFERROR(I139/_xlfn.XLOOKUP($M139,'00_SKU_Master'!$B$2:$B$379,'00_SKU_Master'!$M$2:$M$379,0),"0")</f>
        <v>0</v>
      </c>
      <c r="T139" s="186">
        <f>IFERROR(J139/_xlfn.XLOOKUP($M139,'00_SKU_Master'!$B$2:$B$379,'00_SKU_Master'!$M$2:$M$379,0),"0")</f>
        <v>0</v>
      </c>
      <c r="U139" s="186">
        <f t="shared" si="12"/>
        <v>0</v>
      </c>
      <c r="V139" s="186" t="str">
        <f>_xlfn.XLOOKUP(M139,'00_SKU_Master'!$B$2:$B$379,'00_SKU_Master'!$D$2:$D$379)</f>
        <v>RWA</v>
      </c>
      <c r="W139" s="1"/>
      <c r="X139" s="2">
        <f>'05_Daily_Orders'!C140</f>
        <v>7245</v>
      </c>
      <c r="Y139" s="289"/>
      <c r="Z139" s="289">
        <v>0</v>
      </c>
      <c r="AA139" s="289">
        <v>0</v>
      </c>
      <c r="AB139" s="289">
        <v>0</v>
      </c>
      <c r="AC139" s="289">
        <v>0</v>
      </c>
      <c r="AD139" s="289">
        <v>0</v>
      </c>
      <c r="AE139" s="289">
        <v>0</v>
      </c>
      <c r="AF139" s="7">
        <f t="shared" si="13"/>
        <v>0</v>
      </c>
      <c r="AQ139" s="70">
        <v>0</v>
      </c>
      <c r="AR139" s="70">
        <v>0</v>
      </c>
      <c r="AS139" s="3">
        <f t="shared" si="14"/>
        <v>0</v>
      </c>
    </row>
    <row r="140" spans="1:45" x14ac:dyDescent="0.35">
      <c r="A140" s="181">
        <f>_xlfn.XLOOKUP(X140,'00_SKU_Master'!$B$2:$B$379,'00_SKU_Master'!$C$2:$C$379)</f>
        <v>61051</v>
      </c>
      <c r="B140" s="181" t="str">
        <f>_xlfn.XLOOKUP(X140,tblSKU[SKU],tblSKU[Product_Group])</f>
        <v>Drum</v>
      </c>
      <c r="C140" s="181" t="str">
        <f>_xlfn.XLOOKUP(X140,tblSKU[SKU],tblSKU[Tray_Type])</f>
        <v>ST 2HP</v>
      </c>
      <c r="D140" s="182">
        <f>_xlfn.IFNA(_xlfn.XLOOKUP(X140,'00_SKU_Master'!$B$2:$B$379,'00_SKU_Master'!$F$2:$F$379,0)*Y140,"")</f>
        <v>0</v>
      </c>
      <c r="E140" s="182">
        <f>_xlfn.IFNA(_xlfn.XLOOKUP(X140,'00_SKU_Master'!$B$2:$B$379,'00_SKU_Master'!$F$2:$F$379,0)*Z140,"")</f>
        <v>0</v>
      </c>
      <c r="F140" s="182">
        <f>_xlfn.IFNA(_xlfn.XLOOKUP(X140,'00_SKU_Master'!$B$2:$B$379,'00_SKU_Master'!$F$2:$F$379,0)*AA140,"")</f>
        <v>0</v>
      </c>
      <c r="G140" s="182">
        <f>_xlfn.IFNA(_xlfn.XLOOKUP(X140,'00_SKU_Master'!$B$2:$B$379,'00_SKU_Master'!$F$2:$F$379,0)*AB140,"")</f>
        <v>0</v>
      </c>
      <c r="H140" s="182">
        <f>_xlfn.IFNA(_xlfn.XLOOKUP(X140,'00_SKU_Master'!$B$2:$B$379,'00_SKU_Master'!$F$2:$F$379,0)*AC140,"")</f>
        <v>0</v>
      </c>
      <c r="I140" s="182">
        <f>_xlfn.IFNA(_xlfn.XLOOKUP(X140,'00_SKU_Master'!$B$2:$B$379,'00_SKU_Master'!$F$2:$F$379,0)*AD140,"")</f>
        <v>0</v>
      </c>
      <c r="J140" s="182">
        <f>_xlfn.IFNA(_xlfn.XLOOKUP(X140,'00_SKU_Master'!$B$2:$B$379,'00_SKU_Master'!$F$2:$F$379,0)*AE140,"")</f>
        <v>0</v>
      </c>
      <c r="K140" s="183">
        <f t="shared" si="10"/>
        <v>0</v>
      </c>
      <c r="L140" s="184" t="str">
        <f>_xlfn.XLOOKUP(X140,'00_SKU_Master'!$B$2:$B$379,'00_SKU_Master'!$K$2:$K$379)</f>
        <v>Fast</v>
      </c>
      <c r="M140" s="185">
        <f t="shared" si="11"/>
        <v>7246</v>
      </c>
      <c r="N140" s="186">
        <f>IFERROR(D140/_xlfn.XLOOKUP($M140,'00_SKU_Master'!$B$2:$B$379,'00_SKU_Master'!$M$2:$M$379,0),"0")</f>
        <v>0</v>
      </c>
      <c r="O140" s="186">
        <f>IFERROR(E140/_xlfn.XLOOKUP($M140,'00_SKU_Master'!$B$2:$B$379,'00_SKU_Master'!$M$2:$M$379,0),"0")</f>
        <v>0</v>
      </c>
      <c r="P140" s="186">
        <f>IFERROR(F140/_xlfn.XLOOKUP($M140,'00_SKU_Master'!$B$2:$B$379,'00_SKU_Master'!$M$2:$M$379,0),"0")</f>
        <v>0</v>
      </c>
      <c r="Q140" s="186">
        <f>IFERROR(G140/_xlfn.XLOOKUP($M140,'00_SKU_Master'!$B$2:$B$379,'00_SKU_Master'!$M$2:$M$379,0),"0")</f>
        <v>0</v>
      </c>
      <c r="R140" s="186">
        <f>IFERROR(H140/_xlfn.XLOOKUP($M140,'00_SKU_Master'!$B$2:$B$379,'00_SKU_Master'!$M$2:$M$379,0),"0")</f>
        <v>0</v>
      </c>
      <c r="S140" s="186">
        <f>IFERROR(I140/_xlfn.XLOOKUP($M140,'00_SKU_Master'!$B$2:$B$379,'00_SKU_Master'!$M$2:$M$379,0),"0")</f>
        <v>0</v>
      </c>
      <c r="T140" s="186">
        <f>IFERROR(J140/_xlfn.XLOOKUP($M140,'00_SKU_Master'!$B$2:$B$379,'00_SKU_Master'!$M$2:$M$379,0),"0")</f>
        <v>0</v>
      </c>
      <c r="U140" s="186">
        <f t="shared" si="12"/>
        <v>0</v>
      </c>
      <c r="V140" s="186" t="str">
        <f>_xlfn.XLOOKUP(M140,'00_SKU_Master'!$B$2:$B$379,'00_SKU_Master'!$D$2:$D$379)</f>
        <v>RWA</v>
      </c>
      <c r="W140" s="1"/>
      <c r="X140" s="2">
        <f>'05_Daily_Orders'!C141</f>
        <v>7246</v>
      </c>
      <c r="Y140" s="289"/>
      <c r="Z140" s="289">
        <v>0</v>
      </c>
      <c r="AA140" s="289">
        <v>0</v>
      </c>
      <c r="AB140" s="289">
        <v>0</v>
      </c>
      <c r="AC140" s="289">
        <v>0</v>
      </c>
      <c r="AD140" s="289">
        <v>0</v>
      </c>
      <c r="AE140" s="289">
        <v>0</v>
      </c>
      <c r="AF140" s="7">
        <f t="shared" si="13"/>
        <v>0</v>
      </c>
      <c r="AQ140" s="70">
        <v>0</v>
      </c>
      <c r="AR140" s="70">
        <v>0</v>
      </c>
      <c r="AS140" s="3">
        <f t="shared" si="14"/>
        <v>0</v>
      </c>
    </row>
    <row r="141" spans="1:45" x14ac:dyDescent="0.35">
      <c r="A141" s="181">
        <f>_xlfn.XLOOKUP(X141,'00_SKU_Master'!$B$2:$B$379,'00_SKU_Master'!$C$2:$C$379)</f>
        <v>203151</v>
      </c>
      <c r="B141" s="181" t="str">
        <f>_xlfn.XLOOKUP(X141,tblSKU[SKU],tblSKU[Product_Group])</f>
        <v>Whole Bird-Small</v>
      </c>
      <c r="C141" s="181" t="str">
        <f>_xlfn.XLOOKUP(X141,tblSKU[SKU],tblSKU[Tray_Type])</f>
        <v>ST 3XP</v>
      </c>
      <c r="D141" s="182">
        <f>_xlfn.IFNA(_xlfn.XLOOKUP(X141,'00_SKU_Master'!$B$2:$B$379,'00_SKU_Master'!$F$2:$F$379,0)*Y141,"")</f>
        <v>0</v>
      </c>
      <c r="E141" s="182">
        <f>_xlfn.IFNA(_xlfn.XLOOKUP(X141,'00_SKU_Master'!$B$2:$B$379,'00_SKU_Master'!$F$2:$F$379,0)*Z141,"")</f>
        <v>0</v>
      </c>
      <c r="F141" s="182">
        <f>_xlfn.IFNA(_xlfn.XLOOKUP(X141,'00_SKU_Master'!$B$2:$B$379,'00_SKU_Master'!$F$2:$F$379,0)*AA141,"")</f>
        <v>0</v>
      </c>
      <c r="G141" s="182">
        <f>_xlfn.IFNA(_xlfn.XLOOKUP(X141,'00_SKU_Master'!$B$2:$B$379,'00_SKU_Master'!$F$2:$F$379,0)*AB141,"")</f>
        <v>0</v>
      </c>
      <c r="H141" s="182">
        <f>_xlfn.IFNA(_xlfn.XLOOKUP(X141,'00_SKU_Master'!$B$2:$B$379,'00_SKU_Master'!$F$2:$F$379,0)*AC141,"")</f>
        <v>0</v>
      </c>
      <c r="I141" s="182">
        <f>_xlfn.IFNA(_xlfn.XLOOKUP(X141,'00_SKU_Master'!$B$2:$B$379,'00_SKU_Master'!$F$2:$F$379,0)*AD141,"")</f>
        <v>0</v>
      </c>
      <c r="J141" s="182">
        <f>_xlfn.IFNA(_xlfn.XLOOKUP(X141,'00_SKU_Master'!$B$2:$B$379,'00_SKU_Master'!$F$2:$F$379,0)*AE141,"")</f>
        <v>0</v>
      </c>
      <c r="K141" s="183">
        <f t="shared" si="10"/>
        <v>0</v>
      </c>
      <c r="L141" s="184" t="str">
        <f>_xlfn.XLOOKUP(X141,'00_SKU_Master'!$B$2:$B$379,'00_SKU_Master'!$K$2:$K$379)</f>
        <v>Fast</v>
      </c>
      <c r="M141" s="185">
        <f t="shared" si="11"/>
        <v>7247</v>
      </c>
      <c r="N141" s="186">
        <f>IFERROR(D141/_xlfn.XLOOKUP($M141,'00_SKU_Master'!$B$2:$B$379,'00_SKU_Master'!$M$2:$M$379,0),"0")</f>
        <v>0</v>
      </c>
      <c r="O141" s="186">
        <f>IFERROR(E141/_xlfn.XLOOKUP($M141,'00_SKU_Master'!$B$2:$B$379,'00_SKU_Master'!$M$2:$M$379,0),"0")</f>
        <v>0</v>
      </c>
      <c r="P141" s="186">
        <f>IFERROR(F141/_xlfn.XLOOKUP($M141,'00_SKU_Master'!$B$2:$B$379,'00_SKU_Master'!$M$2:$M$379,0),"0")</f>
        <v>0</v>
      </c>
      <c r="Q141" s="186">
        <f>IFERROR(G141/_xlfn.XLOOKUP($M141,'00_SKU_Master'!$B$2:$B$379,'00_SKU_Master'!$M$2:$M$379,0),"0")</f>
        <v>0</v>
      </c>
      <c r="R141" s="186">
        <f>IFERROR(H141/_xlfn.XLOOKUP($M141,'00_SKU_Master'!$B$2:$B$379,'00_SKU_Master'!$M$2:$M$379,0),"0")</f>
        <v>0</v>
      </c>
      <c r="S141" s="186">
        <f>IFERROR(I141/_xlfn.XLOOKUP($M141,'00_SKU_Master'!$B$2:$B$379,'00_SKU_Master'!$M$2:$M$379,0),"0")</f>
        <v>0</v>
      </c>
      <c r="T141" s="186">
        <f>IFERROR(J141/_xlfn.XLOOKUP($M141,'00_SKU_Master'!$B$2:$B$379,'00_SKU_Master'!$M$2:$M$379,0),"0")</f>
        <v>0</v>
      </c>
      <c r="U141" s="186">
        <f t="shared" si="12"/>
        <v>0</v>
      </c>
      <c r="V141" s="186" t="str">
        <f>_xlfn.XLOOKUP(M141,'00_SKU_Master'!$B$2:$B$379,'00_SKU_Master'!$D$2:$D$379)</f>
        <v>RWA</v>
      </c>
      <c r="W141" s="1"/>
      <c r="X141" s="2">
        <f>'05_Daily_Orders'!C142</f>
        <v>7247</v>
      </c>
      <c r="Y141" s="289"/>
      <c r="Z141" s="289">
        <v>0</v>
      </c>
      <c r="AA141" s="289">
        <v>0</v>
      </c>
      <c r="AB141" s="289">
        <v>0</v>
      </c>
      <c r="AC141" s="289">
        <v>0</v>
      </c>
      <c r="AD141" s="289">
        <v>0</v>
      </c>
      <c r="AE141" s="289">
        <v>0</v>
      </c>
      <c r="AF141" s="7">
        <f t="shared" si="13"/>
        <v>0</v>
      </c>
      <c r="AQ141" s="70">
        <v>0</v>
      </c>
      <c r="AR141" s="70">
        <v>0</v>
      </c>
      <c r="AS141" s="3">
        <f t="shared" si="14"/>
        <v>0</v>
      </c>
    </row>
    <row r="142" spans="1:45" x14ac:dyDescent="0.35">
      <c r="A142" s="181">
        <f>_xlfn.XLOOKUP(X142,'00_SKU_Master'!$B$2:$B$379,'00_SKU_Master'!$C$2:$C$379)</f>
        <v>61087</v>
      </c>
      <c r="B142" s="181" t="str">
        <f>_xlfn.XLOOKUP(X142,tblSKU[SKU],tblSKU[Product_Group])</f>
        <v>ThighMeat</v>
      </c>
      <c r="C142" s="181" t="str">
        <f>_xlfn.XLOOKUP(X142,tblSKU[SKU],tblSKU[Tray_Type])</f>
        <v>LT 8XP</v>
      </c>
      <c r="D142" s="182">
        <f>_xlfn.IFNA(_xlfn.XLOOKUP(X142,'00_SKU_Master'!$B$2:$B$379,'00_SKU_Master'!$F$2:$F$379,0)*Y142,"")</f>
        <v>0</v>
      </c>
      <c r="E142" s="182">
        <f>_xlfn.IFNA(_xlfn.XLOOKUP(X142,'00_SKU_Master'!$B$2:$B$379,'00_SKU_Master'!$F$2:$F$379,0)*Z142,"")</f>
        <v>0</v>
      </c>
      <c r="F142" s="182">
        <f>_xlfn.IFNA(_xlfn.XLOOKUP(X142,'00_SKU_Master'!$B$2:$B$379,'00_SKU_Master'!$F$2:$F$379,0)*AA142,"")</f>
        <v>0</v>
      </c>
      <c r="G142" s="182">
        <f>_xlfn.IFNA(_xlfn.XLOOKUP(X142,'00_SKU_Master'!$B$2:$B$379,'00_SKU_Master'!$F$2:$F$379,0)*AB142,"")</f>
        <v>0</v>
      </c>
      <c r="H142" s="182">
        <f>_xlfn.IFNA(_xlfn.XLOOKUP(X142,'00_SKU_Master'!$B$2:$B$379,'00_SKU_Master'!$F$2:$F$379,0)*AC142,"")</f>
        <v>0</v>
      </c>
      <c r="I142" s="182">
        <f>_xlfn.IFNA(_xlfn.XLOOKUP(X142,'00_SKU_Master'!$B$2:$B$379,'00_SKU_Master'!$F$2:$F$379,0)*AD142,"")</f>
        <v>0</v>
      </c>
      <c r="J142" s="182">
        <f>_xlfn.IFNA(_xlfn.XLOOKUP(X142,'00_SKU_Master'!$B$2:$B$379,'00_SKU_Master'!$F$2:$F$379,0)*AE142,"")</f>
        <v>0</v>
      </c>
      <c r="K142" s="183">
        <f t="shared" si="10"/>
        <v>0</v>
      </c>
      <c r="L142" s="184" t="str">
        <f>_xlfn.XLOOKUP(X142,'00_SKU_Master'!$B$2:$B$379,'00_SKU_Master'!$K$2:$K$379)</f>
        <v>Slow</v>
      </c>
      <c r="M142" s="185">
        <f t="shared" si="11"/>
        <v>7248</v>
      </c>
      <c r="N142" s="186">
        <f>IFERROR(D142/_xlfn.XLOOKUP($M142,'00_SKU_Master'!$B$2:$B$379,'00_SKU_Master'!$M$2:$M$379,0),"0")</f>
        <v>0</v>
      </c>
      <c r="O142" s="186">
        <f>IFERROR(E142/_xlfn.XLOOKUP($M142,'00_SKU_Master'!$B$2:$B$379,'00_SKU_Master'!$M$2:$M$379,0),"0")</f>
        <v>0</v>
      </c>
      <c r="P142" s="186">
        <f>IFERROR(F142/_xlfn.XLOOKUP($M142,'00_SKU_Master'!$B$2:$B$379,'00_SKU_Master'!$M$2:$M$379,0),"0")</f>
        <v>0</v>
      </c>
      <c r="Q142" s="186">
        <f>IFERROR(G142/_xlfn.XLOOKUP($M142,'00_SKU_Master'!$B$2:$B$379,'00_SKU_Master'!$M$2:$M$379,0),"0")</f>
        <v>0</v>
      </c>
      <c r="R142" s="186">
        <f>IFERROR(H142/_xlfn.XLOOKUP($M142,'00_SKU_Master'!$B$2:$B$379,'00_SKU_Master'!$M$2:$M$379,0),"0")</f>
        <v>0</v>
      </c>
      <c r="S142" s="186">
        <f>IFERROR(I142/_xlfn.XLOOKUP($M142,'00_SKU_Master'!$B$2:$B$379,'00_SKU_Master'!$M$2:$M$379,0),"0")</f>
        <v>0</v>
      </c>
      <c r="T142" s="186">
        <f>IFERROR(J142/_xlfn.XLOOKUP($M142,'00_SKU_Master'!$B$2:$B$379,'00_SKU_Master'!$M$2:$M$379,0),"0")</f>
        <v>0</v>
      </c>
      <c r="U142" s="186">
        <f t="shared" si="12"/>
        <v>0</v>
      </c>
      <c r="V142" s="186" t="str">
        <f>_xlfn.XLOOKUP(M142,'00_SKU_Master'!$B$2:$B$379,'00_SKU_Master'!$D$2:$D$379)</f>
        <v>RWA</v>
      </c>
      <c r="W142" s="1"/>
      <c r="X142" s="2">
        <f>'05_Daily_Orders'!C143</f>
        <v>7248</v>
      </c>
      <c r="Y142" s="289"/>
      <c r="Z142" s="289">
        <v>0</v>
      </c>
      <c r="AA142" s="289">
        <v>0</v>
      </c>
      <c r="AB142" s="289">
        <v>0</v>
      </c>
      <c r="AC142" s="289">
        <v>0</v>
      </c>
      <c r="AD142" s="289">
        <v>0</v>
      </c>
      <c r="AE142" s="289">
        <v>0</v>
      </c>
      <c r="AF142" s="7">
        <f t="shared" si="13"/>
        <v>0</v>
      </c>
      <c r="AQ142" s="70">
        <v>0</v>
      </c>
      <c r="AR142" s="70">
        <v>0</v>
      </c>
      <c r="AS142" s="3">
        <f t="shared" si="14"/>
        <v>0</v>
      </c>
    </row>
    <row r="143" spans="1:45" x14ac:dyDescent="0.35">
      <c r="A143" s="181">
        <f>_xlfn.XLOOKUP(X143,'00_SKU_Master'!$B$2:$B$379,'00_SKU_Master'!$C$2:$C$379)</f>
        <v>61016</v>
      </c>
      <c r="B143" s="181" t="str">
        <f>_xlfn.XLOOKUP(X143,tblSKU[SKU],tblSKU[Product_Group])</f>
        <v>SplitWing</v>
      </c>
      <c r="C143" s="181" t="str">
        <f>_xlfn.XLOOKUP(X143,tblSKU[SKU],tblSKU[Tray_Type])</f>
        <v>LT 8XP</v>
      </c>
      <c r="D143" s="182">
        <f>_xlfn.IFNA(_xlfn.XLOOKUP(X143,'00_SKU_Master'!$B$2:$B$379,'00_SKU_Master'!$F$2:$F$379,0)*Y143,"")</f>
        <v>0</v>
      </c>
      <c r="E143" s="182">
        <f>_xlfn.IFNA(_xlfn.XLOOKUP(X143,'00_SKU_Master'!$B$2:$B$379,'00_SKU_Master'!$F$2:$F$379,0)*Z143,"")</f>
        <v>0</v>
      </c>
      <c r="F143" s="182">
        <f>_xlfn.IFNA(_xlfn.XLOOKUP(X143,'00_SKU_Master'!$B$2:$B$379,'00_SKU_Master'!$F$2:$F$379,0)*AA143,"")</f>
        <v>0</v>
      </c>
      <c r="G143" s="182">
        <f>_xlfn.IFNA(_xlfn.XLOOKUP(X143,'00_SKU_Master'!$B$2:$B$379,'00_SKU_Master'!$F$2:$F$379,0)*AB143,"")</f>
        <v>0</v>
      </c>
      <c r="H143" s="182">
        <f>_xlfn.IFNA(_xlfn.XLOOKUP(X143,'00_SKU_Master'!$B$2:$B$379,'00_SKU_Master'!$F$2:$F$379,0)*AC143,"")</f>
        <v>0</v>
      </c>
      <c r="I143" s="182">
        <f>_xlfn.IFNA(_xlfn.XLOOKUP(X143,'00_SKU_Master'!$B$2:$B$379,'00_SKU_Master'!$F$2:$F$379,0)*AD143,"")</f>
        <v>0</v>
      </c>
      <c r="J143" s="182">
        <f>_xlfn.IFNA(_xlfn.XLOOKUP(X143,'00_SKU_Master'!$B$2:$B$379,'00_SKU_Master'!$F$2:$F$379,0)*AE143,"")</f>
        <v>0</v>
      </c>
      <c r="K143" s="183">
        <f t="shared" si="10"/>
        <v>0</v>
      </c>
      <c r="L143" s="184" t="str">
        <f>_xlfn.XLOOKUP(X143,'00_SKU_Master'!$B$2:$B$379,'00_SKU_Master'!$K$2:$K$379)</f>
        <v>Slow</v>
      </c>
      <c r="M143" s="185">
        <f t="shared" si="11"/>
        <v>7249</v>
      </c>
      <c r="N143" s="186">
        <f>IFERROR(D143/_xlfn.XLOOKUP($M143,'00_SKU_Master'!$B$2:$B$379,'00_SKU_Master'!$M$2:$M$379,0),"0")</f>
        <v>0</v>
      </c>
      <c r="O143" s="186">
        <f>IFERROR(E143/_xlfn.XLOOKUP($M143,'00_SKU_Master'!$B$2:$B$379,'00_SKU_Master'!$M$2:$M$379,0),"0")</f>
        <v>0</v>
      </c>
      <c r="P143" s="186">
        <f>IFERROR(F143/_xlfn.XLOOKUP($M143,'00_SKU_Master'!$B$2:$B$379,'00_SKU_Master'!$M$2:$M$379,0),"0")</f>
        <v>0</v>
      </c>
      <c r="Q143" s="186">
        <f>IFERROR(G143/_xlfn.XLOOKUP($M143,'00_SKU_Master'!$B$2:$B$379,'00_SKU_Master'!$M$2:$M$379,0),"0")</f>
        <v>0</v>
      </c>
      <c r="R143" s="186">
        <f>IFERROR(H143/_xlfn.XLOOKUP($M143,'00_SKU_Master'!$B$2:$B$379,'00_SKU_Master'!$M$2:$M$379,0),"0")</f>
        <v>0</v>
      </c>
      <c r="S143" s="186">
        <f>IFERROR(I143/_xlfn.XLOOKUP($M143,'00_SKU_Master'!$B$2:$B$379,'00_SKU_Master'!$M$2:$M$379,0),"0")</f>
        <v>0</v>
      </c>
      <c r="T143" s="186">
        <f>IFERROR(J143/_xlfn.XLOOKUP($M143,'00_SKU_Master'!$B$2:$B$379,'00_SKU_Master'!$M$2:$M$379,0),"0")</f>
        <v>0</v>
      </c>
      <c r="U143" s="186">
        <f t="shared" si="12"/>
        <v>0</v>
      </c>
      <c r="V143" s="186" t="str">
        <f>_xlfn.XLOOKUP(M143,'00_SKU_Master'!$B$2:$B$379,'00_SKU_Master'!$D$2:$D$379)</f>
        <v>RWA</v>
      </c>
      <c r="W143" s="1"/>
      <c r="X143" s="2">
        <f>'05_Daily_Orders'!C144</f>
        <v>7249</v>
      </c>
      <c r="Y143" s="289"/>
      <c r="Z143" s="289">
        <v>0</v>
      </c>
      <c r="AA143" s="289">
        <v>0</v>
      </c>
      <c r="AB143" s="289">
        <v>0</v>
      </c>
      <c r="AC143" s="289">
        <v>0</v>
      </c>
      <c r="AD143" s="289">
        <v>0</v>
      </c>
      <c r="AE143" s="289">
        <v>0</v>
      </c>
      <c r="AF143" s="7">
        <f t="shared" si="13"/>
        <v>0</v>
      </c>
      <c r="AQ143" s="70">
        <v>0</v>
      </c>
      <c r="AR143" s="70">
        <v>0</v>
      </c>
      <c r="AS143" s="3">
        <f t="shared" si="14"/>
        <v>0</v>
      </c>
    </row>
    <row r="144" spans="1:45" x14ac:dyDescent="0.35">
      <c r="A144" s="181">
        <f>_xlfn.XLOOKUP(X144,'00_SKU_Master'!$B$2:$B$379,'00_SKU_Master'!$C$2:$C$379)</f>
        <v>61074</v>
      </c>
      <c r="B144" s="181" t="str">
        <f>_xlfn.XLOOKUP(X144,tblSKU[SKU],tblSKU[Product_Group])</f>
        <v>Drum</v>
      </c>
      <c r="C144" s="181" t="str">
        <f>_xlfn.XLOOKUP(X144,tblSKU[SKU],tblSKU[Tray_Type])</f>
        <v>PET 8</v>
      </c>
      <c r="D144" s="182">
        <f>_xlfn.IFNA(_xlfn.XLOOKUP(X144,'00_SKU_Master'!$B$2:$B$379,'00_SKU_Master'!$F$2:$F$379,0)*Y144,"")</f>
        <v>0</v>
      </c>
      <c r="E144" s="182">
        <f>_xlfn.IFNA(_xlfn.XLOOKUP(X144,'00_SKU_Master'!$B$2:$B$379,'00_SKU_Master'!$F$2:$F$379,0)*Z144,"")</f>
        <v>0</v>
      </c>
      <c r="F144" s="182">
        <f>_xlfn.IFNA(_xlfn.XLOOKUP(X144,'00_SKU_Master'!$B$2:$B$379,'00_SKU_Master'!$F$2:$F$379,0)*AA144,"")</f>
        <v>0</v>
      </c>
      <c r="G144" s="182">
        <f>_xlfn.IFNA(_xlfn.XLOOKUP(X144,'00_SKU_Master'!$B$2:$B$379,'00_SKU_Master'!$F$2:$F$379,0)*AB144,"")</f>
        <v>0</v>
      </c>
      <c r="H144" s="182">
        <f>_xlfn.IFNA(_xlfn.XLOOKUP(X144,'00_SKU_Master'!$B$2:$B$379,'00_SKU_Master'!$F$2:$F$379,0)*AC144,"")</f>
        <v>0</v>
      </c>
      <c r="I144" s="182">
        <f>_xlfn.IFNA(_xlfn.XLOOKUP(X144,'00_SKU_Master'!$B$2:$B$379,'00_SKU_Master'!$F$2:$F$379,0)*AD144,"")</f>
        <v>0</v>
      </c>
      <c r="J144" s="182">
        <f>_xlfn.IFNA(_xlfn.XLOOKUP(X144,'00_SKU_Master'!$B$2:$B$379,'00_SKU_Master'!$F$2:$F$379,0)*AE144,"")</f>
        <v>0</v>
      </c>
      <c r="K144" s="183">
        <f t="shared" si="10"/>
        <v>0</v>
      </c>
      <c r="L144" s="184" t="str">
        <f>_xlfn.XLOOKUP(X144,'00_SKU_Master'!$B$2:$B$379,'00_SKU_Master'!$K$2:$K$379)</f>
        <v>Fast</v>
      </c>
      <c r="M144" s="185">
        <f t="shared" si="11"/>
        <v>7250</v>
      </c>
      <c r="N144" s="186">
        <f>IFERROR(D144/_xlfn.XLOOKUP($M144,'00_SKU_Master'!$B$2:$B$379,'00_SKU_Master'!$M$2:$M$379,0),"0")</f>
        <v>0</v>
      </c>
      <c r="O144" s="186">
        <f>IFERROR(E144/_xlfn.XLOOKUP($M144,'00_SKU_Master'!$B$2:$B$379,'00_SKU_Master'!$M$2:$M$379,0),"0")</f>
        <v>0</v>
      </c>
      <c r="P144" s="186">
        <f>IFERROR(F144/_xlfn.XLOOKUP($M144,'00_SKU_Master'!$B$2:$B$379,'00_SKU_Master'!$M$2:$M$379,0),"0")</f>
        <v>0</v>
      </c>
      <c r="Q144" s="186">
        <f>IFERROR(G144/_xlfn.XLOOKUP($M144,'00_SKU_Master'!$B$2:$B$379,'00_SKU_Master'!$M$2:$M$379,0),"0")</f>
        <v>0</v>
      </c>
      <c r="R144" s="186">
        <f>IFERROR(H144/_xlfn.XLOOKUP($M144,'00_SKU_Master'!$B$2:$B$379,'00_SKU_Master'!$M$2:$M$379,0),"0")</f>
        <v>0</v>
      </c>
      <c r="S144" s="186">
        <f>IFERROR(I144/_xlfn.XLOOKUP($M144,'00_SKU_Master'!$B$2:$B$379,'00_SKU_Master'!$M$2:$M$379,0),"0")</f>
        <v>0</v>
      </c>
      <c r="T144" s="186">
        <f>IFERROR(J144/_xlfn.XLOOKUP($M144,'00_SKU_Master'!$B$2:$B$379,'00_SKU_Master'!$M$2:$M$379,0),"0")</f>
        <v>0</v>
      </c>
      <c r="U144" s="186">
        <f t="shared" si="12"/>
        <v>0</v>
      </c>
      <c r="V144" s="186" t="str">
        <f>_xlfn.XLOOKUP(M144,'00_SKU_Master'!$B$2:$B$379,'00_SKU_Master'!$D$2:$D$379)</f>
        <v>RWA</v>
      </c>
      <c r="W144" s="1"/>
      <c r="X144" s="2">
        <f>'05_Daily_Orders'!C145</f>
        <v>7250</v>
      </c>
      <c r="Y144" s="289"/>
      <c r="Z144" s="289">
        <v>0</v>
      </c>
      <c r="AA144" s="289">
        <v>0</v>
      </c>
      <c r="AB144" s="289">
        <v>0</v>
      </c>
      <c r="AC144" s="289">
        <v>0</v>
      </c>
      <c r="AD144" s="289">
        <v>0</v>
      </c>
      <c r="AE144" s="289">
        <v>0</v>
      </c>
      <c r="AF144" s="7">
        <f t="shared" si="13"/>
        <v>0</v>
      </c>
      <c r="AQ144" s="70">
        <v>0</v>
      </c>
      <c r="AR144" s="70">
        <v>0</v>
      </c>
      <c r="AS144" s="3">
        <f t="shared" si="14"/>
        <v>0</v>
      </c>
    </row>
    <row r="145" spans="1:45" x14ac:dyDescent="0.35">
      <c r="A145" s="181">
        <f>_xlfn.XLOOKUP(X145,'00_SKU_Master'!$B$2:$B$379,'00_SKU_Master'!$C$2:$C$379)</f>
        <v>61079</v>
      </c>
      <c r="B145" s="181" t="str">
        <f>_xlfn.XLOOKUP(X145,tblSKU[SKU],tblSKU[Product_Group])</f>
        <v>Thigh</v>
      </c>
      <c r="C145" s="181" t="str">
        <f>_xlfn.XLOOKUP(X145,tblSKU[SKU],tblSKU[Tray_Type])</f>
        <v>PET 8</v>
      </c>
      <c r="D145" s="182">
        <f>_xlfn.IFNA(_xlfn.XLOOKUP(X145,'00_SKU_Master'!$B$2:$B$379,'00_SKU_Master'!$F$2:$F$379,0)*Y145,"")</f>
        <v>0</v>
      </c>
      <c r="E145" s="182">
        <f>_xlfn.IFNA(_xlfn.XLOOKUP(X145,'00_SKU_Master'!$B$2:$B$379,'00_SKU_Master'!$F$2:$F$379,0)*Z145,"")</f>
        <v>0</v>
      </c>
      <c r="F145" s="182">
        <f>_xlfn.IFNA(_xlfn.XLOOKUP(X145,'00_SKU_Master'!$B$2:$B$379,'00_SKU_Master'!$F$2:$F$379,0)*AA145,"")</f>
        <v>0</v>
      </c>
      <c r="G145" s="182">
        <f>_xlfn.IFNA(_xlfn.XLOOKUP(X145,'00_SKU_Master'!$B$2:$B$379,'00_SKU_Master'!$F$2:$F$379,0)*AB145,"")</f>
        <v>0</v>
      </c>
      <c r="H145" s="182">
        <f>_xlfn.IFNA(_xlfn.XLOOKUP(X145,'00_SKU_Master'!$B$2:$B$379,'00_SKU_Master'!$F$2:$F$379,0)*AC145,"")</f>
        <v>0</v>
      </c>
      <c r="I145" s="182">
        <f>_xlfn.IFNA(_xlfn.XLOOKUP(X145,'00_SKU_Master'!$B$2:$B$379,'00_SKU_Master'!$F$2:$F$379,0)*AD145,"")</f>
        <v>0</v>
      </c>
      <c r="J145" s="182">
        <f>_xlfn.IFNA(_xlfn.XLOOKUP(X145,'00_SKU_Master'!$B$2:$B$379,'00_SKU_Master'!$F$2:$F$379,0)*AE145,"")</f>
        <v>0</v>
      </c>
      <c r="K145" s="183">
        <f t="shared" si="10"/>
        <v>0</v>
      </c>
      <c r="L145" s="184" t="str">
        <f>_xlfn.XLOOKUP(X145,'00_SKU_Master'!$B$2:$B$379,'00_SKU_Master'!$K$2:$K$379)</f>
        <v>Fast</v>
      </c>
      <c r="M145" s="185">
        <f t="shared" si="11"/>
        <v>7251</v>
      </c>
      <c r="N145" s="186">
        <f>IFERROR(D145/_xlfn.XLOOKUP($M145,'00_SKU_Master'!$B$2:$B$379,'00_SKU_Master'!$M$2:$M$379,0),"0")</f>
        <v>0</v>
      </c>
      <c r="O145" s="186">
        <f>IFERROR(E145/_xlfn.XLOOKUP($M145,'00_SKU_Master'!$B$2:$B$379,'00_SKU_Master'!$M$2:$M$379,0),"0")</f>
        <v>0</v>
      </c>
      <c r="P145" s="186">
        <f>IFERROR(F145/_xlfn.XLOOKUP($M145,'00_SKU_Master'!$B$2:$B$379,'00_SKU_Master'!$M$2:$M$379,0),"0")</f>
        <v>0</v>
      </c>
      <c r="Q145" s="186">
        <f>IFERROR(G145/_xlfn.XLOOKUP($M145,'00_SKU_Master'!$B$2:$B$379,'00_SKU_Master'!$M$2:$M$379,0),"0")</f>
        <v>0</v>
      </c>
      <c r="R145" s="186">
        <f>IFERROR(H145/_xlfn.XLOOKUP($M145,'00_SKU_Master'!$B$2:$B$379,'00_SKU_Master'!$M$2:$M$379,0),"0")</f>
        <v>0</v>
      </c>
      <c r="S145" s="186">
        <f>IFERROR(I145/_xlfn.XLOOKUP($M145,'00_SKU_Master'!$B$2:$B$379,'00_SKU_Master'!$M$2:$M$379,0),"0")</f>
        <v>0</v>
      </c>
      <c r="T145" s="186">
        <f>IFERROR(J145/_xlfn.XLOOKUP($M145,'00_SKU_Master'!$B$2:$B$379,'00_SKU_Master'!$M$2:$M$379,0),"0")</f>
        <v>0</v>
      </c>
      <c r="U145" s="186">
        <f t="shared" si="12"/>
        <v>0</v>
      </c>
      <c r="V145" s="186" t="str">
        <f>_xlfn.XLOOKUP(M145,'00_SKU_Master'!$B$2:$B$379,'00_SKU_Master'!$D$2:$D$379)</f>
        <v>RWA</v>
      </c>
      <c r="W145" s="1"/>
      <c r="X145" s="2">
        <f>'05_Daily_Orders'!C146</f>
        <v>7251</v>
      </c>
      <c r="Y145" s="289"/>
      <c r="Z145" s="289">
        <v>0</v>
      </c>
      <c r="AA145" s="289">
        <v>0</v>
      </c>
      <c r="AB145" s="289">
        <v>0</v>
      </c>
      <c r="AC145" s="289">
        <v>0</v>
      </c>
      <c r="AD145" s="289">
        <v>0</v>
      </c>
      <c r="AE145" s="289">
        <v>0</v>
      </c>
      <c r="AF145" s="7">
        <f t="shared" si="13"/>
        <v>0</v>
      </c>
      <c r="AQ145" s="70">
        <v>0</v>
      </c>
      <c r="AR145" s="70">
        <v>0</v>
      </c>
      <c r="AS145" s="3">
        <f t="shared" si="14"/>
        <v>0</v>
      </c>
    </row>
    <row r="146" spans="1:45" x14ac:dyDescent="0.35">
      <c r="A146" s="181">
        <f>_xlfn.XLOOKUP(X146,'00_SKU_Master'!$B$2:$B$379,'00_SKU_Master'!$C$2:$C$379)</f>
        <v>61051</v>
      </c>
      <c r="B146" s="181" t="str">
        <f>_xlfn.XLOOKUP(X146,tblSKU[SKU],tblSKU[Product_Group])</f>
        <v>BSB</v>
      </c>
      <c r="C146" s="181" t="str">
        <f>_xlfn.XLOOKUP(X146,tblSKU[SKU],tblSKU[Tray_Type])</f>
        <v>LT 8XP</v>
      </c>
      <c r="D146" s="182">
        <f>_xlfn.IFNA(_xlfn.XLOOKUP(X146,'00_SKU_Master'!$B$2:$B$379,'00_SKU_Master'!$F$2:$F$379,0)*Y146,"")</f>
        <v>0</v>
      </c>
      <c r="E146" s="182">
        <f>_xlfn.IFNA(_xlfn.XLOOKUP(X146,'00_SKU_Master'!$B$2:$B$379,'00_SKU_Master'!$F$2:$F$379,0)*Z146,"")</f>
        <v>0</v>
      </c>
      <c r="F146" s="182">
        <f>_xlfn.IFNA(_xlfn.XLOOKUP(X146,'00_SKU_Master'!$B$2:$B$379,'00_SKU_Master'!$F$2:$F$379,0)*AA146,"")</f>
        <v>0</v>
      </c>
      <c r="G146" s="182">
        <f>_xlfn.IFNA(_xlfn.XLOOKUP(X146,'00_SKU_Master'!$B$2:$B$379,'00_SKU_Master'!$F$2:$F$379,0)*AB146,"")</f>
        <v>0</v>
      </c>
      <c r="H146" s="182">
        <f>_xlfn.IFNA(_xlfn.XLOOKUP(X146,'00_SKU_Master'!$B$2:$B$379,'00_SKU_Master'!$F$2:$F$379,0)*AC146,"")</f>
        <v>0</v>
      </c>
      <c r="I146" s="182">
        <f>_xlfn.IFNA(_xlfn.XLOOKUP(X146,'00_SKU_Master'!$B$2:$B$379,'00_SKU_Master'!$F$2:$F$379,0)*AD146,"")</f>
        <v>0</v>
      </c>
      <c r="J146" s="182">
        <f>_xlfn.IFNA(_xlfn.XLOOKUP(X146,'00_SKU_Master'!$B$2:$B$379,'00_SKU_Master'!$F$2:$F$379,0)*AE146,"")</f>
        <v>0</v>
      </c>
      <c r="K146" s="183">
        <f t="shared" si="10"/>
        <v>0</v>
      </c>
      <c r="L146" s="184" t="str">
        <f>_xlfn.XLOOKUP(X146,'00_SKU_Master'!$B$2:$B$379,'00_SKU_Master'!$K$2:$K$379)</f>
        <v>Fast</v>
      </c>
      <c r="M146" s="185">
        <f t="shared" si="11"/>
        <v>7252</v>
      </c>
      <c r="N146" s="186">
        <f>IFERROR(D146/_xlfn.XLOOKUP($M146,'00_SKU_Master'!$B$2:$B$379,'00_SKU_Master'!$M$2:$M$379,0),"0")</f>
        <v>0</v>
      </c>
      <c r="O146" s="186">
        <f>IFERROR(E146/_xlfn.XLOOKUP($M146,'00_SKU_Master'!$B$2:$B$379,'00_SKU_Master'!$M$2:$M$379,0),"0")</f>
        <v>0</v>
      </c>
      <c r="P146" s="186">
        <f>IFERROR(F146/_xlfn.XLOOKUP($M146,'00_SKU_Master'!$B$2:$B$379,'00_SKU_Master'!$M$2:$M$379,0),"0")</f>
        <v>0</v>
      </c>
      <c r="Q146" s="186">
        <f>IFERROR(G146/_xlfn.XLOOKUP($M146,'00_SKU_Master'!$B$2:$B$379,'00_SKU_Master'!$M$2:$M$379,0),"0")</f>
        <v>0</v>
      </c>
      <c r="R146" s="186">
        <f>IFERROR(H146/_xlfn.XLOOKUP($M146,'00_SKU_Master'!$B$2:$B$379,'00_SKU_Master'!$M$2:$M$379,0),"0")</f>
        <v>0</v>
      </c>
      <c r="S146" s="186">
        <f>IFERROR(I146/_xlfn.XLOOKUP($M146,'00_SKU_Master'!$B$2:$B$379,'00_SKU_Master'!$M$2:$M$379,0),"0")</f>
        <v>0</v>
      </c>
      <c r="T146" s="186">
        <f>IFERROR(J146/_xlfn.XLOOKUP($M146,'00_SKU_Master'!$B$2:$B$379,'00_SKU_Master'!$M$2:$M$379,0),"0")</f>
        <v>0</v>
      </c>
      <c r="U146" s="186">
        <f t="shared" si="12"/>
        <v>0</v>
      </c>
      <c r="V146" s="186" t="str">
        <f>_xlfn.XLOOKUP(M146,'00_SKU_Master'!$B$2:$B$379,'00_SKU_Master'!$D$2:$D$379)</f>
        <v>RWA</v>
      </c>
      <c r="W146" s="1"/>
      <c r="X146" s="2">
        <f>'05_Daily_Orders'!C147</f>
        <v>7252</v>
      </c>
      <c r="Y146" s="289"/>
      <c r="Z146" s="289">
        <v>0</v>
      </c>
      <c r="AA146" s="289">
        <v>0</v>
      </c>
      <c r="AB146" s="289">
        <v>0</v>
      </c>
      <c r="AC146" s="289">
        <v>0</v>
      </c>
      <c r="AD146" s="289">
        <v>0</v>
      </c>
      <c r="AE146" s="289">
        <v>0</v>
      </c>
      <c r="AF146" s="7">
        <f t="shared" si="13"/>
        <v>0</v>
      </c>
      <c r="AQ146" s="70">
        <v>0</v>
      </c>
      <c r="AR146" s="70">
        <v>0</v>
      </c>
      <c r="AS146" s="3">
        <f t="shared" si="14"/>
        <v>0</v>
      </c>
    </row>
    <row r="147" spans="1:45" x14ac:dyDescent="0.35">
      <c r="A147" s="181">
        <f>_xlfn.XLOOKUP(X147,'00_SKU_Master'!$B$2:$B$379,'00_SKU_Master'!$C$2:$C$379)</f>
        <v>61079</v>
      </c>
      <c r="B147" s="181" t="str">
        <f>_xlfn.XLOOKUP(X147,tblSKU[SKU],tblSKU[Product_Group])</f>
        <v>Thigh</v>
      </c>
      <c r="C147" s="181" t="str">
        <f>_xlfn.XLOOKUP(X147,tblSKU[SKU],tblSKU[Tray_Type])</f>
        <v>LT 8XP</v>
      </c>
      <c r="D147" s="182">
        <f>_xlfn.IFNA(_xlfn.XLOOKUP(X147,'00_SKU_Master'!$B$2:$B$379,'00_SKU_Master'!$F$2:$F$379,0)*Y147,"")</f>
        <v>0</v>
      </c>
      <c r="E147" s="182">
        <f>_xlfn.IFNA(_xlfn.XLOOKUP(X147,'00_SKU_Master'!$B$2:$B$379,'00_SKU_Master'!$F$2:$F$379,0)*Z147,"")</f>
        <v>0</v>
      </c>
      <c r="F147" s="182">
        <f>_xlfn.IFNA(_xlfn.XLOOKUP(X147,'00_SKU_Master'!$B$2:$B$379,'00_SKU_Master'!$F$2:$F$379,0)*AA147,"")</f>
        <v>0</v>
      </c>
      <c r="G147" s="182">
        <f>_xlfn.IFNA(_xlfn.XLOOKUP(X147,'00_SKU_Master'!$B$2:$B$379,'00_SKU_Master'!$F$2:$F$379,0)*AB147,"")</f>
        <v>0</v>
      </c>
      <c r="H147" s="182">
        <f>_xlfn.IFNA(_xlfn.XLOOKUP(X147,'00_SKU_Master'!$B$2:$B$379,'00_SKU_Master'!$F$2:$F$379,0)*AC147,"")</f>
        <v>0</v>
      </c>
      <c r="I147" s="182">
        <f>_xlfn.IFNA(_xlfn.XLOOKUP(X147,'00_SKU_Master'!$B$2:$B$379,'00_SKU_Master'!$F$2:$F$379,0)*AD147,"")</f>
        <v>0</v>
      </c>
      <c r="J147" s="182">
        <f>_xlfn.IFNA(_xlfn.XLOOKUP(X147,'00_SKU_Master'!$B$2:$B$379,'00_SKU_Master'!$F$2:$F$379,0)*AE147,"")</f>
        <v>0</v>
      </c>
      <c r="K147" s="183">
        <f t="shared" si="10"/>
        <v>0</v>
      </c>
      <c r="L147" s="184" t="str">
        <f>_xlfn.XLOOKUP(X147,'00_SKU_Master'!$B$2:$B$379,'00_SKU_Master'!$K$2:$K$379)</f>
        <v>Fast</v>
      </c>
      <c r="M147" s="185">
        <f t="shared" si="11"/>
        <v>7253</v>
      </c>
      <c r="N147" s="186">
        <f>IFERROR(D147/_xlfn.XLOOKUP($M147,'00_SKU_Master'!$B$2:$B$379,'00_SKU_Master'!$M$2:$M$379,0),"0")</f>
        <v>0</v>
      </c>
      <c r="O147" s="186">
        <f>IFERROR(E147/_xlfn.XLOOKUP($M147,'00_SKU_Master'!$B$2:$B$379,'00_SKU_Master'!$M$2:$M$379,0),"0")</f>
        <v>0</v>
      </c>
      <c r="P147" s="186">
        <f>IFERROR(F147/_xlfn.XLOOKUP($M147,'00_SKU_Master'!$B$2:$B$379,'00_SKU_Master'!$M$2:$M$379,0),"0")</f>
        <v>0</v>
      </c>
      <c r="Q147" s="186">
        <f>IFERROR(G147/_xlfn.XLOOKUP($M147,'00_SKU_Master'!$B$2:$B$379,'00_SKU_Master'!$M$2:$M$379,0),"0")</f>
        <v>0</v>
      </c>
      <c r="R147" s="186">
        <f>IFERROR(H147/_xlfn.XLOOKUP($M147,'00_SKU_Master'!$B$2:$B$379,'00_SKU_Master'!$M$2:$M$379,0),"0")</f>
        <v>0</v>
      </c>
      <c r="S147" s="186">
        <f>IFERROR(I147/_xlfn.XLOOKUP($M147,'00_SKU_Master'!$B$2:$B$379,'00_SKU_Master'!$M$2:$M$379,0),"0")</f>
        <v>0</v>
      </c>
      <c r="T147" s="186">
        <f>IFERROR(J147/_xlfn.XLOOKUP($M147,'00_SKU_Master'!$B$2:$B$379,'00_SKU_Master'!$M$2:$M$379,0),"0")</f>
        <v>0</v>
      </c>
      <c r="U147" s="186">
        <f t="shared" si="12"/>
        <v>0</v>
      </c>
      <c r="V147" s="186" t="str">
        <f>_xlfn.XLOOKUP(M147,'00_SKU_Master'!$B$2:$B$379,'00_SKU_Master'!$D$2:$D$379)</f>
        <v>RWA</v>
      </c>
      <c r="W147" s="1"/>
      <c r="X147" s="2">
        <f>'05_Daily_Orders'!C148</f>
        <v>7253</v>
      </c>
      <c r="Y147" s="289"/>
      <c r="Z147" s="289">
        <v>0</v>
      </c>
      <c r="AA147" s="289">
        <v>0</v>
      </c>
      <c r="AB147" s="289">
        <v>0</v>
      </c>
      <c r="AC147" s="289">
        <v>0</v>
      </c>
      <c r="AD147" s="289">
        <v>0</v>
      </c>
      <c r="AE147" s="289">
        <v>0</v>
      </c>
      <c r="AF147" s="7">
        <f t="shared" si="13"/>
        <v>0</v>
      </c>
      <c r="AQ147" s="70">
        <v>0</v>
      </c>
      <c r="AR147" s="70">
        <v>0</v>
      </c>
      <c r="AS147" s="3">
        <f t="shared" si="14"/>
        <v>0</v>
      </c>
    </row>
    <row r="148" spans="1:45" x14ac:dyDescent="0.35">
      <c r="A148" s="181">
        <f>_xlfn.XLOOKUP(X148,'00_SKU_Master'!$B$2:$B$379,'00_SKU_Master'!$C$2:$C$379)</f>
        <v>61074</v>
      </c>
      <c r="B148" s="181" t="str">
        <f>_xlfn.XLOOKUP(X148,tblSKU[SKU],tblSKU[Product_Group])</f>
        <v>Drum</v>
      </c>
      <c r="C148" s="181" t="str">
        <f>_xlfn.XLOOKUP(X148,tblSKU[SKU],tblSKU[Tray_Type])</f>
        <v>LT 8XP</v>
      </c>
      <c r="D148" s="182">
        <f>_xlfn.IFNA(_xlfn.XLOOKUP(X148,'00_SKU_Master'!$B$2:$B$379,'00_SKU_Master'!$F$2:$F$379,0)*Y148,"")</f>
        <v>0</v>
      </c>
      <c r="E148" s="182">
        <f>_xlfn.IFNA(_xlfn.XLOOKUP(X148,'00_SKU_Master'!$B$2:$B$379,'00_SKU_Master'!$F$2:$F$379,0)*Z148,"")</f>
        <v>0</v>
      </c>
      <c r="F148" s="182">
        <f>_xlfn.IFNA(_xlfn.XLOOKUP(X148,'00_SKU_Master'!$B$2:$B$379,'00_SKU_Master'!$F$2:$F$379,0)*AA148,"")</f>
        <v>0</v>
      </c>
      <c r="G148" s="182">
        <f>_xlfn.IFNA(_xlfn.XLOOKUP(X148,'00_SKU_Master'!$B$2:$B$379,'00_SKU_Master'!$F$2:$F$379,0)*AB148,"")</f>
        <v>0</v>
      </c>
      <c r="H148" s="182">
        <f>_xlfn.IFNA(_xlfn.XLOOKUP(X148,'00_SKU_Master'!$B$2:$B$379,'00_SKU_Master'!$F$2:$F$379,0)*AC148,"")</f>
        <v>0</v>
      </c>
      <c r="I148" s="182">
        <f>_xlfn.IFNA(_xlfn.XLOOKUP(X148,'00_SKU_Master'!$B$2:$B$379,'00_SKU_Master'!$F$2:$F$379,0)*AD148,"")</f>
        <v>0</v>
      </c>
      <c r="J148" s="182">
        <f>_xlfn.IFNA(_xlfn.XLOOKUP(X148,'00_SKU_Master'!$B$2:$B$379,'00_SKU_Master'!$F$2:$F$379,0)*AE148,"")</f>
        <v>0</v>
      </c>
      <c r="K148" s="183">
        <f t="shared" si="10"/>
        <v>0</v>
      </c>
      <c r="L148" s="184" t="str">
        <f>_xlfn.XLOOKUP(X148,'00_SKU_Master'!$B$2:$B$379,'00_SKU_Master'!$K$2:$K$379)</f>
        <v>Fast</v>
      </c>
      <c r="M148" s="185">
        <f t="shared" si="11"/>
        <v>7254</v>
      </c>
      <c r="N148" s="186">
        <f>IFERROR(D148/_xlfn.XLOOKUP($M148,'00_SKU_Master'!$B$2:$B$379,'00_SKU_Master'!$M$2:$M$379,0),"0")</f>
        <v>0</v>
      </c>
      <c r="O148" s="186">
        <f>IFERROR(E148/_xlfn.XLOOKUP($M148,'00_SKU_Master'!$B$2:$B$379,'00_SKU_Master'!$M$2:$M$379,0),"0")</f>
        <v>0</v>
      </c>
      <c r="P148" s="186">
        <f>IFERROR(F148/_xlfn.XLOOKUP($M148,'00_SKU_Master'!$B$2:$B$379,'00_SKU_Master'!$M$2:$M$379,0),"0")</f>
        <v>0</v>
      </c>
      <c r="Q148" s="186">
        <f>IFERROR(G148/_xlfn.XLOOKUP($M148,'00_SKU_Master'!$B$2:$B$379,'00_SKU_Master'!$M$2:$M$379,0),"0")</f>
        <v>0</v>
      </c>
      <c r="R148" s="186">
        <f>IFERROR(H148/_xlfn.XLOOKUP($M148,'00_SKU_Master'!$B$2:$B$379,'00_SKU_Master'!$M$2:$M$379,0),"0")</f>
        <v>0</v>
      </c>
      <c r="S148" s="186">
        <f>IFERROR(I148/_xlfn.XLOOKUP($M148,'00_SKU_Master'!$B$2:$B$379,'00_SKU_Master'!$M$2:$M$379,0),"0")</f>
        <v>0</v>
      </c>
      <c r="T148" s="186">
        <f>IFERROR(J148/_xlfn.XLOOKUP($M148,'00_SKU_Master'!$B$2:$B$379,'00_SKU_Master'!$M$2:$M$379,0),"0")</f>
        <v>0</v>
      </c>
      <c r="U148" s="186">
        <f t="shared" si="12"/>
        <v>0</v>
      </c>
      <c r="V148" s="186" t="str">
        <f>_xlfn.XLOOKUP(M148,'00_SKU_Master'!$B$2:$B$379,'00_SKU_Master'!$D$2:$D$379)</f>
        <v>RWA</v>
      </c>
      <c r="W148" s="1"/>
      <c r="X148" s="2">
        <f>'05_Daily_Orders'!C149</f>
        <v>7254</v>
      </c>
      <c r="Y148" s="289"/>
      <c r="Z148" s="289">
        <v>0</v>
      </c>
      <c r="AA148" s="289">
        <v>0</v>
      </c>
      <c r="AB148" s="289">
        <v>0</v>
      </c>
      <c r="AC148" s="289">
        <v>0</v>
      </c>
      <c r="AD148" s="289">
        <v>0</v>
      </c>
      <c r="AE148" s="289">
        <v>0</v>
      </c>
      <c r="AF148" s="7">
        <f t="shared" si="13"/>
        <v>0</v>
      </c>
      <c r="AQ148" s="70">
        <v>0</v>
      </c>
      <c r="AR148" s="70">
        <v>0</v>
      </c>
      <c r="AS148" s="3">
        <f t="shared" si="14"/>
        <v>0</v>
      </c>
    </row>
    <row r="149" spans="1:45" x14ac:dyDescent="0.35">
      <c r="A149" s="181" t="str">
        <f>_xlfn.XLOOKUP(X149,'00_SKU_Master'!$B$2:$B$379,'00_SKU_Master'!$C$2:$C$379)</f>
        <v>61050#2</v>
      </c>
      <c r="B149" s="181" t="str">
        <f>_xlfn.XLOOKUP(X149,tblSKU[SKU],tblSKU[Product_Group])</f>
        <v>BSB</v>
      </c>
      <c r="C149" s="181" t="str">
        <f>_xlfn.XLOOKUP(X149,tblSKU[SKU],tblSKU[Tray_Type])</f>
        <v>PET 8</v>
      </c>
      <c r="D149" s="182">
        <f>_xlfn.IFNA(_xlfn.XLOOKUP(X149,'00_SKU_Master'!$B$2:$B$379,'00_SKU_Master'!$F$2:$F$379,0)*Y149,"")</f>
        <v>0</v>
      </c>
      <c r="E149" s="182">
        <f>_xlfn.IFNA(_xlfn.XLOOKUP(X149,'00_SKU_Master'!$B$2:$B$379,'00_SKU_Master'!$F$2:$F$379,0)*Z149,"")</f>
        <v>0</v>
      </c>
      <c r="F149" s="182">
        <f>_xlfn.IFNA(_xlfn.XLOOKUP(X149,'00_SKU_Master'!$B$2:$B$379,'00_SKU_Master'!$F$2:$F$379,0)*AA149,"")</f>
        <v>0</v>
      </c>
      <c r="G149" s="182">
        <f>_xlfn.IFNA(_xlfn.XLOOKUP(X149,'00_SKU_Master'!$B$2:$B$379,'00_SKU_Master'!$F$2:$F$379,0)*AB149,"")</f>
        <v>0</v>
      </c>
      <c r="H149" s="182">
        <f>_xlfn.IFNA(_xlfn.XLOOKUP(X149,'00_SKU_Master'!$B$2:$B$379,'00_SKU_Master'!$F$2:$F$379,0)*AC149,"")</f>
        <v>0</v>
      </c>
      <c r="I149" s="182">
        <f>_xlfn.IFNA(_xlfn.XLOOKUP(X149,'00_SKU_Master'!$B$2:$B$379,'00_SKU_Master'!$F$2:$F$379,0)*AD149,"")</f>
        <v>0</v>
      </c>
      <c r="J149" s="182">
        <f>_xlfn.IFNA(_xlfn.XLOOKUP(X149,'00_SKU_Master'!$B$2:$B$379,'00_SKU_Master'!$F$2:$F$379,0)*AE149,"")</f>
        <v>0</v>
      </c>
      <c r="K149" s="183">
        <f t="shared" si="10"/>
        <v>0</v>
      </c>
      <c r="L149" s="184" t="str">
        <f>_xlfn.XLOOKUP(X149,'00_SKU_Master'!$B$2:$B$379,'00_SKU_Master'!$K$2:$K$379)</f>
        <v>Fast</v>
      </c>
      <c r="M149" s="185">
        <f t="shared" si="11"/>
        <v>7260</v>
      </c>
      <c r="N149" s="186">
        <f>IFERROR(D149/_xlfn.XLOOKUP($M149,'00_SKU_Master'!$B$2:$B$379,'00_SKU_Master'!$M$2:$M$379,0),"0")</f>
        <v>0</v>
      </c>
      <c r="O149" s="186">
        <f>IFERROR(E149/_xlfn.XLOOKUP($M149,'00_SKU_Master'!$B$2:$B$379,'00_SKU_Master'!$M$2:$M$379,0),"0")</f>
        <v>0</v>
      </c>
      <c r="P149" s="186">
        <f>IFERROR(F149/_xlfn.XLOOKUP($M149,'00_SKU_Master'!$B$2:$B$379,'00_SKU_Master'!$M$2:$M$379,0),"0")</f>
        <v>0</v>
      </c>
      <c r="Q149" s="186">
        <f>IFERROR(G149/_xlfn.XLOOKUP($M149,'00_SKU_Master'!$B$2:$B$379,'00_SKU_Master'!$M$2:$M$379,0),"0")</f>
        <v>0</v>
      </c>
      <c r="R149" s="186">
        <f>IFERROR(H149/_xlfn.XLOOKUP($M149,'00_SKU_Master'!$B$2:$B$379,'00_SKU_Master'!$M$2:$M$379,0),"0")</f>
        <v>0</v>
      </c>
      <c r="S149" s="186">
        <f>IFERROR(I149/_xlfn.XLOOKUP($M149,'00_SKU_Master'!$B$2:$B$379,'00_SKU_Master'!$M$2:$M$379,0),"0")</f>
        <v>0</v>
      </c>
      <c r="T149" s="186">
        <f>IFERROR(J149/_xlfn.XLOOKUP($M149,'00_SKU_Master'!$B$2:$B$379,'00_SKU_Master'!$M$2:$M$379,0),"0")</f>
        <v>0</v>
      </c>
      <c r="U149" s="186">
        <f t="shared" si="12"/>
        <v>0</v>
      </c>
      <c r="V149" s="186" t="str">
        <f>_xlfn.XLOOKUP(M149,'00_SKU_Master'!$B$2:$B$379,'00_SKU_Master'!$D$2:$D$379)</f>
        <v>LCL</v>
      </c>
      <c r="W149" s="1"/>
      <c r="X149" s="2">
        <f>'05_Daily_Orders'!C150</f>
        <v>7260</v>
      </c>
      <c r="Y149" s="289"/>
      <c r="Z149" s="289">
        <v>0</v>
      </c>
      <c r="AA149" s="289">
        <v>0</v>
      </c>
      <c r="AB149" s="289">
        <v>0</v>
      </c>
      <c r="AC149" s="289">
        <v>0</v>
      </c>
      <c r="AD149" s="289">
        <v>0</v>
      </c>
      <c r="AE149" s="289">
        <v>0</v>
      </c>
      <c r="AF149" s="7">
        <f t="shared" si="13"/>
        <v>0</v>
      </c>
      <c r="AQ149" s="70">
        <v>0</v>
      </c>
      <c r="AR149" s="70">
        <v>0</v>
      </c>
      <c r="AS149" s="3">
        <f t="shared" si="14"/>
        <v>0</v>
      </c>
    </row>
    <row r="150" spans="1:45" x14ac:dyDescent="0.35">
      <c r="A150" s="181">
        <f>_xlfn.XLOOKUP(X150,'00_SKU_Master'!$B$2:$B$379,'00_SKU_Master'!$C$2:$C$379)</f>
        <v>203136</v>
      </c>
      <c r="B150" s="181" t="str">
        <f>_xlfn.XLOOKUP(X150,tblSKU[SKU],tblSKU[Product_Group])</f>
        <v>Whole Bird-Small</v>
      </c>
      <c r="C150" s="181" t="str">
        <f>_xlfn.XLOOKUP(X150,tblSKU[SKU],tblSKU[Tray_Type])</f>
        <v>ST 3XP</v>
      </c>
      <c r="D150" s="182">
        <f>_xlfn.IFNA(_xlfn.XLOOKUP(X150,'00_SKU_Master'!$B$2:$B$379,'00_SKU_Master'!$F$2:$F$379,0)*Y150,"")</f>
        <v>0</v>
      </c>
      <c r="E150" s="182">
        <f>_xlfn.IFNA(_xlfn.XLOOKUP(X150,'00_SKU_Master'!$B$2:$B$379,'00_SKU_Master'!$F$2:$F$379,0)*Z150,"")</f>
        <v>0</v>
      </c>
      <c r="F150" s="182">
        <f>_xlfn.IFNA(_xlfn.XLOOKUP(X150,'00_SKU_Master'!$B$2:$B$379,'00_SKU_Master'!$F$2:$F$379,0)*AA150,"")</f>
        <v>0</v>
      </c>
      <c r="G150" s="182">
        <f>_xlfn.IFNA(_xlfn.XLOOKUP(X150,'00_SKU_Master'!$B$2:$B$379,'00_SKU_Master'!$F$2:$F$379,0)*AB150,"")</f>
        <v>0</v>
      </c>
      <c r="H150" s="182">
        <f>_xlfn.IFNA(_xlfn.XLOOKUP(X150,'00_SKU_Master'!$B$2:$B$379,'00_SKU_Master'!$F$2:$F$379,0)*AC150,"")</f>
        <v>0</v>
      </c>
      <c r="I150" s="182">
        <f>_xlfn.IFNA(_xlfn.XLOOKUP(X150,'00_SKU_Master'!$B$2:$B$379,'00_SKU_Master'!$F$2:$F$379,0)*AD150,"")</f>
        <v>0</v>
      </c>
      <c r="J150" s="182">
        <f>_xlfn.IFNA(_xlfn.XLOOKUP(X150,'00_SKU_Master'!$B$2:$B$379,'00_SKU_Master'!$F$2:$F$379,0)*AE150,"")</f>
        <v>0</v>
      </c>
      <c r="K150" s="183">
        <f t="shared" si="10"/>
        <v>0</v>
      </c>
      <c r="L150" s="184" t="str">
        <f>_xlfn.XLOOKUP(X150,'00_SKU_Master'!$B$2:$B$379,'00_SKU_Master'!$K$2:$K$379)</f>
        <v>Fast</v>
      </c>
      <c r="M150" s="185">
        <f t="shared" si="11"/>
        <v>7268</v>
      </c>
      <c r="N150" s="186">
        <f>IFERROR(D150/_xlfn.XLOOKUP($M150,'00_SKU_Master'!$B$2:$B$379,'00_SKU_Master'!$M$2:$M$379,0),"0")</f>
        <v>0</v>
      </c>
      <c r="O150" s="186">
        <f>IFERROR(E150/_xlfn.XLOOKUP($M150,'00_SKU_Master'!$B$2:$B$379,'00_SKU_Master'!$M$2:$M$379,0),"0")</f>
        <v>0</v>
      </c>
      <c r="P150" s="186">
        <f>IFERROR(F150/_xlfn.XLOOKUP($M150,'00_SKU_Master'!$B$2:$B$379,'00_SKU_Master'!$M$2:$M$379,0),"0")</f>
        <v>0</v>
      </c>
      <c r="Q150" s="186">
        <f>IFERROR(G150/_xlfn.XLOOKUP($M150,'00_SKU_Master'!$B$2:$B$379,'00_SKU_Master'!$M$2:$M$379,0),"0")</f>
        <v>0</v>
      </c>
      <c r="R150" s="186">
        <f>IFERROR(H150/_xlfn.XLOOKUP($M150,'00_SKU_Master'!$B$2:$B$379,'00_SKU_Master'!$M$2:$M$379,0),"0")</f>
        <v>0</v>
      </c>
      <c r="S150" s="186">
        <f>IFERROR(I150/_xlfn.XLOOKUP($M150,'00_SKU_Master'!$B$2:$B$379,'00_SKU_Master'!$M$2:$M$379,0),"0")</f>
        <v>0</v>
      </c>
      <c r="T150" s="186">
        <f>IFERROR(J150/_xlfn.XLOOKUP($M150,'00_SKU_Master'!$B$2:$B$379,'00_SKU_Master'!$M$2:$M$379,0),"0")</f>
        <v>0</v>
      </c>
      <c r="U150" s="186">
        <f t="shared" si="12"/>
        <v>0</v>
      </c>
      <c r="V150" s="186" t="str">
        <f>_xlfn.XLOOKUP(M150,'00_SKU_Master'!$B$2:$B$379,'00_SKU_Master'!$D$2:$D$379)</f>
        <v>LCL</v>
      </c>
      <c r="W150" s="1"/>
      <c r="X150" s="2">
        <f>'05_Daily_Orders'!C151</f>
        <v>7268</v>
      </c>
      <c r="Y150" s="289"/>
      <c r="Z150" s="289">
        <v>0</v>
      </c>
      <c r="AA150" s="289">
        <v>0</v>
      </c>
      <c r="AB150" s="289">
        <v>0</v>
      </c>
      <c r="AC150" s="289">
        <v>0</v>
      </c>
      <c r="AD150" s="289">
        <v>0</v>
      </c>
      <c r="AE150" s="289">
        <v>0</v>
      </c>
      <c r="AF150" s="7">
        <f t="shared" si="13"/>
        <v>0</v>
      </c>
      <c r="AQ150" s="70">
        <v>0</v>
      </c>
      <c r="AR150" s="70">
        <v>0</v>
      </c>
      <c r="AS150" s="3">
        <f t="shared" si="14"/>
        <v>0</v>
      </c>
    </row>
    <row r="151" spans="1:45" x14ac:dyDescent="0.35">
      <c r="A151" s="181">
        <f>_xlfn.XLOOKUP(X151,'00_SKU_Master'!$B$2:$B$379,'00_SKU_Master'!$C$2:$C$379)</f>
        <v>61014</v>
      </c>
      <c r="B151" s="181" t="str">
        <f>_xlfn.XLOOKUP(X151,tblSKU[SKU],tblSKU[Product_Group])</f>
        <v>SplitWing</v>
      </c>
      <c r="C151" s="181" t="str">
        <f>_xlfn.XLOOKUP(X151,tblSKU[SKU],tblSKU[Tray_Type])</f>
        <v>PET 3</v>
      </c>
      <c r="D151" s="182">
        <f>_xlfn.IFNA(_xlfn.XLOOKUP(X151,'00_SKU_Master'!$B$2:$B$379,'00_SKU_Master'!$F$2:$F$379,0)*Y151,"")</f>
        <v>0</v>
      </c>
      <c r="E151" s="182">
        <f>_xlfn.IFNA(_xlfn.XLOOKUP(X151,'00_SKU_Master'!$B$2:$B$379,'00_SKU_Master'!$F$2:$F$379,0)*Z151,"")</f>
        <v>0</v>
      </c>
      <c r="F151" s="182">
        <f>_xlfn.IFNA(_xlfn.XLOOKUP(X151,'00_SKU_Master'!$B$2:$B$379,'00_SKU_Master'!$F$2:$F$379,0)*AA151,"")</f>
        <v>0</v>
      </c>
      <c r="G151" s="182">
        <f>_xlfn.IFNA(_xlfn.XLOOKUP(X151,'00_SKU_Master'!$B$2:$B$379,'00_SKU_Master'!$F$2:$F$379,0)*AB151,"")</f>
        <v>0</v>
      </c>
      <c r="H151" s="182">
        <f>_xlfn.IFNA(_xlfn.XLOOKUP(X151,'00_SKU_Master'!$B$2:$B$379,'00_SKU_Master'!$F$2:$F$379,0)*AC151,"")</f>
        <v>0</v>
      </c>
      <c r="I151" s="182">
        <f>_xlfn.IFNA(_xlfn.XLOOKUP(X151,'00_SKU_Master'!$B$2:$B$379,'00_SKU_Master'!$F$2:$F$379,0)*AD151,"")</f>
        <v>0</v>
      </c>
      <c r="J151" s="182">
        <f>_xlfn.IFNA(_xlfn.XLOOKUP(X151,'00_SKU_Master'!$B$2:$B$379,'00_SKU_Master'!$F$2:$F$379,0)*AE151,"")</f>
        <v>0</v>
      </c>
      <c r="K151" s="183">
        <f t="shared" si="10"/>
        <v>0</v>
      </c>
      <c r="L151" s="184" t="str">
        <f>_xlfn.XLOOKUP(X151,'00_SKU_Master'!$B$2:$B$379,'00_SKU_Master'!$K$2:$K$379)</f>
        <v>Slow</v>
      </c>
      <c r="M151" s="185">
        <f t="shared" si="11"/>
        <v>7269</v>
      </c>
      <c r="N151" s="186">
        <f>IFERROR(D151/_xlfn.XLOOKUP($M151,'00_SKU_Master'!$B$2:$B$379,'00_SKU_Master'!$M$2:$M$379,0),"0")</f>
        <v>0</v>
      </c>
      <c r="O151" s="186">
        <f>IFERROR(E151/_xlfn.XLOOKUP($M151,'00_SKU_Master'!$B$2:$B$379,'00_SKU_Master'!$M$2:$M$379,0),"0")</f>
        <v>0</v>
      </c>
      <c r="P151" s="186">
        <f>IFERROR(F151/_xlfn.XLOOKUP($M151,'00_SKU_Master'!$B$2:$B$379,'00_SKU_Master'!$M$2:$M$379,0),"0")</f>
        <v>0</v>
      </c>
      <c r="Q151" s="186">
        <f>IFERROR(G151/_xlfn.XLOOKUP($M151,'00_SKU_Master'!$B$2:$B$379,'00_SKU_Master'!$M$2:$M$379,0),"0")</f>
        <v>0</v>
      </c>
      <c r="R151" s="186">
        <f>IFERROR(H151/_xlfn.XLOOKUP($M151,'00_SKU_Master'!$B$2:$B$379,'00_SKU_Master'!$M$2:$M$379,0),"0")</f>
        <v>0</v>
      </c>
      <c r="S151" s="186">
        <f>IFERROR(I151/_xlfn.XLOOKUP($M151,'00_SKU_Master'!$B$2:$B$379,'00_SKU_Master'!$M$2:$M$379,0),"0")</f>
        <v>0</v>
      </c>
      <c r="T151" s="186">
        <f>IFERROR(J151/_xlfn.XLOOKUP($M151,'00_SKU_Master'!$B$2:$B$379,'00_SKU_Master'!$M$2:$M$379,0),"0")</f>
        <v>0</v>
      </c>
      <c r="U151" s="186">
        <f t="shared" si="12"/>
        <v>0</v>
      </c>
      <c r="V151" s="186" t="str">
        <f>_xlfn.XLOOKUP(M151,'00_SKU_Master'!$B$2:$B$379,'00_SKU_Master'!$D$2:$D$379)</f>
        <v>LCL</v>
      </c>
      <c r="W151" s="1"/>
      <c r="X151" s="2">
        <f>'05_Daily_Orders'!C152</f>
        <v>7269</v>
      </c>
      <c r="Y151" s="289"/>
      <c r="Z151" s="289">
        <v>0</v>
      </c>
      <c r="AA151" s="289">
        <v>0</v>
      </c>
      <c r="AB151" s="289">
        <v>0</v>
      </c>
      <c r="AC151" s="289">
        <v>0</v>
      </c>
      <c r="AD151" s="289">
        <v>0</v>
      </c>
      <c r="AE151" s="289">
        <v>0</v>
      </c>
      <c r="AF151" s="7">
        <f t="shared" si="13"/>
        <v>0</v>
      </c>
      <c r="AQ151" s="70">
        <v>0</v>
      </c>
      <c r="AR151" s="70">
        <v>0</v>
      </c>
      <c r="AS151" s="3">
        <f t="shared" si="14"/>
        <v>0</v>
      </c>
    </row>
    <row r="152" spans="1:45" x14ac:dyDescent="0.35">
      <c r="A152" s="181">
        <f>_xlfn.XLOOKUP(X152,'00_SKU_Master'!$B$2:$B$379,'00_SKU_Master'!$C$2:$C$379)</f>
        <v>61048</v>
      </c>
      <c r="B152" s="181" t="str">
        <f>_xlfn.XLOOKUP(X152,tblSKU[SKU],tblSKU[Product_Group])</f>
        <v>SplitBreast</v>
      </c>
      <c r="C152" s="181" t="str">
        <f>_xlfn.XLOOKUP(X152,tblSKU[SKU],tblSKU[Tray_Type])</f>
        <v>PET 8</v>
      </c>
      <c r="D152" s="182">
        <f>_xlfn.IFNA(_xlfn.XLOOKUP(X152,'00_SKU_Master'!$B$2:$B$379,'00_SKU_Master'!$F$2:$F$379,0)*Y152,"")</f>
        <v>0</v>
      </c>
      <c r="E152" s="182">
        <f>_xlfn.IFNA(_xlfn.XLOOKUP(X152,'00_SKU_Master'!$B$2:$B$379,'00_SKU_Master'!$F$2:$F$379,0)*Z152,"")</f>
        <v>0</v>
      </c>
      <c r="F152" s="182">
        <f>_xlfn.IFNA(_xlfn.XLOOKUP(X152,'00_SKU_Master'!$B$2:$B$379,'00_SKU_Master'!$F$2:$F$379,0)*AA152,"")</f>
        <v>0</v>
      </c>
      <c r="G152" s="182">
        <f>_xlfn.IFNA(_xlfn.XLOOKUP(X152,'00_SKU_Master'!$B$2:$B$379,'00_SKU_Master'!$F$2:$F$379,0)*AB152,"")</f>
        <v>0</v>
      </c>
      <c r="H152" s="182">
        <f>_xlfn.IFNA(_xlfn.XLOOKUP(X152,'00_SKU_Master'!$B$2:$B$379,'00_SKU_Master'!$F$2:$F$379,0)*AC152,"")</f>
        <v>0</v>
      </c>
      <c r="I152" s="182">
        <f>_xlfn.IFNA(_xlfn.XLOOKUP(X152,'00_SKU_Master'!$B$2:$B$379,'00_SKU_Master'!$F$2:$F$379,0)*AD152,"")</f>
        <v>0</v>
      </c>
      <c r="J152" s="182">
        <f>_xlfn.IFNA(_xlfn.XLOOKUP(X152,'00_SKU_Master'!$B$2:$B$379,'00_SKU_Master'!$F$2:$F$379,0)*AE152,"")</f>
        <v>0</v>
      </c>
      <c r="K152" s="183">
        <f t="shared" si="10"/>
        <v>0</v>
      </c>
      <c r="L152" s="184" t="str">
        <f>_xlfn.XLOOKUP(X152,'00_SKU_Master'!$B$2:$B$379,'00_SKU_Master'!$K$2:$K$379)</f>
        <v>Fast</v>
      </c>
      <c r="M152" s="185">
        <f t="shared" si="11"/>
        <v>7275</v>
      </c>
      <c r="N152" s="186">
        <f>IFERROR(D152/_xlfn.XLOOKUP($M152,'00_SKU_Master'!$B$2:$B$379,'00_SKU_Master'!$M$2:$M$379,0),"0")</f>
        <v>0</v>
      </c>
      <c r="O152" s="186">
        <f>IFERROR(E152/_xlfn.XLOOKUP($M152,'00_SKU_Master'!$B$2:$B$379,'00_SKU_Master'!$M$2:$M$379,0),"0")</f>
        <v>0</v>
      </c>
      <c r="P152" s="186">
        <f>IFERROR(F152/_xlfn.XLOOKUP($M152,'00_SKU_Master'!$B$2:$B$379,'00_SKU_Master'!$M$2:$M$379,0),"0")</f>
        <v>0</v>
      </c>
      <c r="Q152" s="186">
        <f>IFERROR(G152/_xlfn.XLOOKUP($M152,'00_SKU_Master'!$B$2:$B$379,'00_SKU_Master'!$M$2:$M$379,0),"0")</f>
        <v>0</v>
      </c>
      <c r="R152" s="186">
        <f>IFERROR(H152/_xlfn.XLOOKUP($M152,'00_SKU_Master'!$B$2:$B$379,'00_SKU_Master'!$M$2:$M$379,0),"0")</f>
        <v>0</v>
      </c>
      <c r="S152" s="186">
        <f>IFERROR(I152/_xlfn.XLOOKUP($M152,'00_SKU_Master'!$B$2:$B$379,'00_SKU_Master'!$M$2:$M$379,0),"0")</f>
        <v>0</v>
      </c>
      <c r="T152" s="186">
        <f>IFERROR(J152/_xlfn.XLOOKUP($M152,'00_SKU_Master'!$B$2:$B$379,'00_SKU_Master'!$M$2:$M$379,0),"0")</f>
        <v>0</v>
      </c>
      <c r="U152" s="186">
        <f t="shared" si="12"/>
        <v>0</v>
      </c>
      <c r="V152" s="186" t="str">
        <f>_xlfn.XLOOKUP(M152,'00_SKU_Master'!$B$2:$B$379,'00_SKU_Master'!$D$2:$D$379)</f>
        <v>LCL</v>
      </c>
      <c r="W152" s="1"/>
      <c r="X152" s="2">
        <f>'05_Daily_Orders'!C153</f>
        <v>7275</v>
      </c>
      <c r="Y152" s="289"/>
      <c r="Z152" s="289">
        <v>0</v>
      </c>
      <c r="AA152" s="289">
        <v>0</v>
      </c>
      <c r="AB152" s="289">
        <v>0</v>
      </c>
      <c r="AC152" s="289">
        <v>0</v>
      </c>
      <c r="AD152" s="289">
        <v>0</v>
      </c>
      <c r="AE152" s="289">
        <v>0</v>
      </c>
      <c r="AF152" s="7">
        <f t="shared" si="13"/>
        <v>0</v>
      </c>
      <c r="AQ152" s="70">
        <v>0</v>
      </c>
      <c r="AR152" s="70">
        <v>0</v>
      </c>
      <c r="AS152" s="3">
        <f t="shared" si="14"/>
        <v>0</v>
      </c>
    </row>
    <row r="153" spans="1:45" x14ac:dyDescent="0.35">
      <c r="A153" s="181" t="str">
        <f>_xlfn.XLOOKUP(X153,'00_SKU_Master'!$B$2:$B$379,'00_SKU_Master'!$C$2:$C$379)</f>
        <v>61086#2</v>
      </c>
      <c r="B153" s="181" t="str">
        <f>_xlfn.XLOOKUP(X153,tblSKU[SKU],tblSKU[Product_Group])</f>
        <v>ThighMeat</v>
      </c>
      <c r="C153" s="181" t="str">
        <f>_xlfn.XLOOKUP(X153,tblSKU[SKU],tblSKU[Tray_Type])</f>
        <v>PET 8</v>
      </c>
      <c r="D153" s="182">
        <f>_xlfn.IFNA(_xlfn.XLOOKUP(X153,'00_SKU_Master'!$B$2:$B$379,'00_SKU_Master'!$F$2:$F$379,0)*Y153,"")</f>
        <v>0</v>
      </c>
      <c r="E153" s="182">
        <f>_xlfn.IFNA(_xlfn.XLOOKUP(X153,'00_SKU_Master'!$B$2:$B$379,'00_SKU_Master'!$F$2:$F$379,0)*Z153,"")</f>
        <v>0</v>
      </c>
      <c r="F153" s="182">
        <f>_xlfn.IFNA(_xlfn.XLOOKUP(X153,'00_SKU_Master'!$B$2:$B$379,'00_SKU_Master'!$F$2:$F$379,0)*AA153,"")</f>
        <v>0</v>
      </c>
      <c r="G153" s="182">
        <f>_xlfn.IFNA(_xlfn.XLOOKUP(X153,'00_SKU_Master'!$B$2:$B$379,'00_SKU_Master'!$F$2:$F$379,0)*AB153,"")</f>
        <v>0</v>
      </c>
      <c r="H153" s="182">
        <f>_xlfn.IFNA(_xlfn.XLOOKUP(X153,'00_SKU_Master'!$B$2:$B$379,'00_SKU_Master'!$F$2:$F$379,0)*AC153,"")</f>
        <v>0</v>
      </c>
      <c r="I153" s="182">
        <f>_xlfn.IFNA(_xlfn.XLOOKUP(X153,'00_SKU_Master'!$B$2:$B$379,'00_SKU_Master'!$F$2:$F$379,0)*AD153,"")</f>
        <v>0</v>
      </c>
      <c r="J153" s="182">
        <f>_xlfn.IFNA(_xlfn.XLOOKUP(X153,'00_SKU_Master'!$B$2:$B$379,'00_SKU_Master'!$F$2:$F$379,0)*AE153,"")</f>
        <v>0</v>
      </c>
      <c r="K153" s="183">
        <f t="shared" si="10"/>
        <v>0</v>
      </c>
      <c r="L153" s="184" t="str">
        <f>_xlfn.XLOOKUP(X153,'00_SKU_Master'!$B$2:$B$379,'00_SKU_Master'!$K$2:$K$379)</f>
        <v>Slow</v>
      </c>
      <c r="M153" s="185">
        <f t="shared" si="11"/>
        <v>7278</v>
      </c>
      <c r="N153" s="186">
        <f>IFERROR(D153/_xlfn.XLOOKUP($M153,'00_SKU_Master'!$B$2:$B$379,'00_SKU_Master'!$M$2:$M$379,0),"0")</f>
        <v>0</v>
      </c>
      <c r="O153" s="186">
        <f>IFERROR(E153/_xlfn.XLOOKUP($M153,'00_SKU_Master'!$B$2:$B$379,'00_SKU_Master'!$M$2:$M$379,0),"0")</f>
        <v>0</v>
      </c>
      <c r="P153" s="186">
        <f>IFERROR(F153/_xlfn.XLOOKUP($M153,'00_SKU_Master'!$B$2:$B$379,'00_SKU_Master'!$M$2:$M$379,0),"0")</f>
        <v>0</v>
      </c>
      <c r="Q153" s="186">
        <f>IFERROR(G153/_xlfn.XLOOKUP($M153,'00_SKU_Master'!$B$2:$B$379,'00_SKU_Master'!$M$2:$M$379,0),"0")</f>
        <v>0</v>
      </c>
      <c r="R153" s="186">
        <f>IFERROR(H153/_xlfn.XLOOKUP($M153,'00_SKU_Master'!$B$2:$B$379,'00_SKU_Master'!$M$2:$M$379,0),"0")</f>
        <v>0</v>
      </c>
      <c r="S153" s="186">
        <f>IFERROR(I153/_xlfn.XLOOKUP($M153,'00_SKU_Master'!$B$2:$B$379,'00_SKU_Master'!$M$2:$M$379,0),"0")</f>
        <v>0</v>
      </c>
      <c r="T153" s="186">
        <f>IFERROR(J153/_xlfn.XLOOKUP($M153,'00_SKU_Master'!$B$2:$B$379,'00_SKU_Master'!$M$2:$M$379,0),"0")</f>
        <v>0</v>
      </c>
      <c r="U153" s="186">
        <f t="shared" si="12"/>
        <v>0</v>
      </c>
      <c r="V153" s="186" t="str">
        <f>_xlfn.XLOOKUP(M153,'00_SKU_Master'!$B$2:$B$379,'00_SKU_Master'!$D$2:$D$379)</f>
        <v>LCL</v>
      </c>
      <c r="W153" s="1"/>
      <c r="X153" s="2">
        <f>'05_Daily_Orders'!C154</f>
        <v>7278</v>
      </c>
      <c r="Y153" s="289"/>
      <c r="Z153" s="289">
        <v>0</v>
      </c>
      <c r="AA153" s="289">
        <v>0</v>
      </c>
      <c r="AB153" s="289">
        <v>0</v>
      </c>
      <c r="AC153" s="289">
        <v>0</v>
      </c>
      <c r="AD153" s="289">
        <v>0</v>
      </c>
      <c r="AE153" s="289">
        <v>0</v>
      </c>
      <c r="AF153" s="7">
        <f t="shared" si="13"/>
        <v>0</v>
      </c>
      <c r="AQ153" s="70">
        <v>0</v>
      </c>
      <c r="AR153" s="70">
        <v>0</v>
      </c>
      <c r="AS153" s="3">
        <f t="shared" si="14"/>
        <v>0</v>
      </c>
    </row>
    <row r="154" spans="1:45" x14ac:dyDescent="0.35">
      <c r="A154" s="181" t="str">
        <f>_xlfn.XLOOKUP(X154,'00_SKU_Master'!$B$2:$B$379,'00_SKU_Master'!$C$2:$C$379)</f>
        <v>61014#2</v>
      </c>
      <c r="B154" s="181" t="str">
        <f>_xlfn.XLOOKUP(X154,tblSKU[SKU],tblSKU[Product_Group])</f>
        <v>SplitWing</v>
      </c>
      <c r="C154" s="181" t="str">
        <f>_xlfn.XLOOKUP(X154,tblSKU[SKU],tblSKU[Tray_Type])</f>
        <v>PET 8</v>
      </c>
      <c r="D154" s="182">
        <f>_xlfn.IFNA(_xlfn.XLOOKUP(X154,'00_SKU_Master'!$B$2:$B$379,'00_SKU_Master'!$F$2:$F$379,0)*Y154,"")</f>
        <v>0</v>
      </c>
      <c r="E154" s="182">
        <f>_xlfn.IFNA(_xlfn.XLOOKUP(X154,'00_SKU_Master'!$B$2:$B$379,'00_SKU_Master'!$F$2:$F$379,0)*Z154,"")</f>
        <v>0</v>
      </c>
      <c r="F154" s="182">
        <f>_xlfn.IFNA(_xlfn.XLOOKUP(X154,'00_SKU_Master'!$B$2:$B$379,'00_SKU_Master'!$F$2:$F$379,0)*AA154,"")</f>
        <v>0</v>
      </c>
      <c r="G154" s="182">
        <f>_xlfn.IFNA(_xlfn.XLOOKUP(X154,'00_SKU_Master'!$B$2:$B$379,'00_SKU_Master'!$F$2:$F$379,0)*AB154,"")</f>
        <v>0</v>
      </c>
      <c r="H154" s="182">
        <f>_xlfn.IFNA(_xlfn.XLOOKUP(X154,'00_SKU_Master'!$B$2:$B$379,'00_SKU_Master'!$F$2:$F$379,0)*AC154,"")</f>
        <v>0</v>
      </c>
      <c r="I154" s="182">
        <f>_xlfn.IFNA(_xlfn.XLOOKUP(X154,'00_SKU_Master'!$B$2:$B$379,'00_SKU_Master'!$F$2:$F$379,0)*AD154,"")</f>
        <v>0</v>
      </c>
      <c r="J154" s="182">
        <f>_xlfn.IFNA(_xlfn.XLOOKUP(X154,'00_SKU_Master'!$B$2:$B$379,'00_SKU_Master'!$F$2:$F$379,0)*AE154,"")</f>
        <v>0</v>
      </c>
      <c r="K154" s="183">
        <f t="shared" si="10"/>
        <v>0</v>
      </c>
      <c r="L154" s="184" t="str">
        <f>_xlfn.XLOOKUP(X154,'00_SKU_Master'!$B$2:$B$379,'00_SKU_Master'!$K$2:$K$379)</f>
        <v>Slow</v>
      </c>
      <c r="M154" s="185">
        <f t="shared" si="11"/>
        <v>7287</v>
      </c>
      <c r="N154" s="186">
        <f>IFERROR(D154/_xlfn.XLOOKUP($M154,'00_SKU_Master'!$B$2:$B$379,'00_SKU_Master'!$M$2:$M$379,0),"0")</f>
        <v>0</v>
      </c>
      <c r="O154" s="186">
        <f>IFERROR(E154/_xlfn.XLOOKUP($M154,'00_SKU_Master'!$B$2:$B$379,'00_SKU_Master'!$M$2:$M$379,0),"0")</f>
        <v>0</v>
      </c>
      <c r="P154" s="186">
        <f>IFERROR(F154/_xlfn.XLOOKUP($M154,'00_SKU_Master'!$B$2:$B$379,'00_SKU_Master'!$M$2:$M$379,0),"0")</f>
        <v>0</v>
      </c>
      <c r="Q154" s="186">
        <f>IFERROR(G154/_xlfn.XLOOKUP($M154,'00_SKU_Master'!$B$2:$B$379,'00_SKU_Master'!$M$2:$M$379,0),"0")</f>
        <v>0</v>
      </c>
      <c r="R154" s="186">
        <f>IFERROR(H154/_xlfn.XLOOKUP($M154,'00_SKU_Master'!$B$2:$B$379,'00_SKU_Master'!$M$2:$M$379,0),"0")</f>
        <v>0</v>
      </c>
      <c r="S154" s="186">
        <f>IFERROR(I154/_xlfn.XLOOKUP($M154,'00_SKU_Master'!$B$2:$B$379,'00_SKU_Master'!$M$2:$M$379,0),"0")</f>
        <v>0</v>
      </c>
      <c r="T154" s="186">
        <f>IFERROR(J154/_xlfn.XLOOKUP($M154,'00_SKU_Master'!$B$2:$B$379,'00_SKU_Master'!$M$2:$M$379,0),"0")</f>
        <v>0</v>
      </c>
      <c r="U154" s="186">
        <f t="shared" si="12"/>
        <v>0</v>
      </c>
      <c r="V154" s="186" t="str">
        <f>_xlfn.XLOOKUP(M154,'00_SKU_Master'!$B$2:$B$379,'00_SKU_Master'!$D$2:$D$379)</f>
        <v>LCL</v>
      </c>
      <c r="W154" s="1"/>
      <c r="X154" s="2">
        <f>'05_Daily_Orders'!C155</f>
        <v>7287</v>
      </c>
      <c r="Y154" s="289"/>
      <c r="Z154" s="289">
        <v>0</v>
      </c>
      <c r="AA154" s="289">
        <v>0</v>
      </c>
      <c r="AB154" s="289">
        <v>0</v>
      </c>
      <c r="AC154" s="289">
        <v>0</v>
      </c>
      <c r="AD154" s="289">
        <v>0</v>
      </c>
      <c r="AE154" s="289">
        <v>0</v>
      </c>
      <c r="AF154" s="7">
        <f t="shared" si="13"/>
        <v>0</v>
      </c>
      <c r="AQ154" s="70">
        <v>0</v>
      </c>
      <c r="AR154" s="70">
        <v>0</v>
      </c>
      <c r="AS154" s="3">
        <f t="shared" si="14"/>
        <v>0</v>
      </c>
    </row>
    <row r="155" spans="1:45" x14ac:dyDescent="0.35">
      <c r="A155" s="181">
        <f>_xlfn.XLOOKUP(X155,'00_SKU_Master'!$B$2:$B$379,'00_SKU_Master'!$C$2:$C$379)</f>
        <v>61014</v>
      </c>
      <c r="B155" s="181" t="str">
        <f>_xlfn.XLOOKUP(X155,tblSKU[SKU],tblSKU[Product_Group])</f>
        <v>SplitWing</v>
      </c>
      <c r="C155" s="181" t="str">
        <f>_xlfn.XLOOKUP(X155,tblSKU[SKU],tblSKU[Tray_Type])</f>
        <v>PET 8</v>
      </c>
      <c r="D155" s="182">
        <f>_xlfn.IFNA(_xlfn.XLOOKUP(X155,'00_SKU_Master'!$B$2:$B$379,'00_SKU_Master'!$F$2:$F$379,0)*Y155,"")</f>
        <v>0</v>
      </c>
      <c r="E155" s="182">
        <f>_xlfn.IFNA(_xlfn.XLOOKUP(X155,'00_SKU_Master'!$B$2:$B$379,'00_SKU_Master'!$F$2:$F$379,0)*Z155,"")</f>
        <v>0</v>
      </c>
      <c r="F155" s="182">
        <f>_xlfn.IFNA(_xlfn.XLOOKUP(X155,'00_SKU_Master'!$B$2:$B$379,'00_SKU_Master'!$F$2:$F$379,0)*AA155,"")</f>
        <v>0</v>
      </c>
      <c r="G155" s="182">
        <f>_xlfn.IFNA(_xlfn.XLOOKUP(X155,'00_SKU_Master'!$B$2:$B$379,'00_SKU_Master'!$F$2:$F$379,0)*AB155,"")</f>
        <v>0</v>
      </c>
      <c r="H155" s="182">
        <f>_xlfn.IFNA(_xlfn.XLOOKUP(X155,'00_SKU_Master'!$B$2:$B$379,'00_SKU_Master'!$F$2:$F$379,0)*AC155,"")</f>
        <v>0</v>
      </c>
      <c r="I155" s="182">
        <f>_xlfn.IFNA(_xlfn.XLOOKUP(X155,'00_SKU_Master'!$B$2:$B$379,'00_SKU_Master'!$F$2:$F$379,0)*AD155,"")</f>
        <v>0</v>
      </c>
      <c r="J155" s="182">
        <f>_xlfn.IFNA(_xlfn.XLOOKUP(X155,'00_SKU_Master'!$B$2:$B$379,'00_SKU_Master'!$F$2:$F$379,0)*AE155,"")</f>
        <v>0</v>
      </c>
      <c r="K155" s="183">
        <f t="shared" si="10"/>
        <v>0</v>
      </c>
      <c r="L155" s="184" t="str">
        <f>_xlfn.XLOOKUP(X155,'00_SKU_Master'!$B$2:$B$379,'00_SKU_Master'!$K$2:$K$379)</f>
        <v>Slow</v>
      </c>
      <c r="M155" s="185">
        <f t="shared" si="11"/>
        <v>7289</v>
      </c>
      <c r="N155" s="186">
        <f>IFERROR(D155/_xlfn.XLOOKUP($M155,'00_SKU_Master'!$B$2:$B$379,'00_SKU_Master'!$M$2:$M$379,0),"0")</f>
        <v>0</v>
      </c>
      <c r="O155" s="186">
        <f>IFERROR(E155/_xlfn.XLOOKUP($M155,'00_SKU_Master'!$B$2:$B$379,'00_SKU_Master'!$M$2:$M$379,0),"0")</f>
        <v>0</v>
      </c>
      <c r="P155" s="186">
        <f>IFERROR(F155/_xlfn.XLOOKUP($M155,'00_SKU_Master'!$B$2:$B$379,'00_SKU_Master'!$M$2:$M$379,0),"0")</f>
        <v>0</v>
      </c>
      <c r="Q155" s="186">
        <f>IFERROR(G155/_xlfn.XLOOKUP($M155,'00_SKU_Master'!$B$2:$B$379,'00_SKU_Master'!$M$2:$M$379,0),"0")</f>
        <v>0</v>
      </c>
      <c r="R155" s="186">
        <f>IFERROR(H155/_xlfn.XLOOKUP($M155,'00_SKU_Master'!$B$2:$B$379,'00_SKU_Master'!$M$2:$M$379,0),"0")</f>
        <v>0</v>
      </c>
      <c r="S155" s="186">
        <f>IFERROR(I155/_xlfn.XLOOKUP($M155,'00_SKU_Master'!$B$2:$B$379,'00_SKU_Master'!$M$2:$M$379,0),"0")</f>
        <v>0</v>
      </c>
      <c r="T155" s="186">
        <f>IFERROR(J155/_xlfn.XLOOKUP($M155,'00_SKU_Master'!$B$2:$B$379,'00_SKU_Master'!$M$2:$M$379,0),"0")</f>
        <v>0</v>
      </c>
      <c r="U155" s="186">
        <f t="shared" si="12"/>
        <v>0</v>
      </c>
      <c r="V155" s="186" t="str">
        <f>_xlfn.XLOOKUP(M155,'00_SKU_Master'!$B$2:$B$379,'00_SKU_Master'!$D$2:$D$379)</f>
        <v>LCL</v>
      </c>
      <c r="W155" s="1"/>
      <c r="X155" s="2">
        <f>'05_Daily_Orders'!C156</f>
        <v>7289</v>
      </c>
      <c r="Y155" s="289"/>
      <c r="Z155" s="289">
        <v>0</v>
      </c>
      <c r="AA155" s="289">
        <v>0</v>
      </c>
      <c r="AB155" s="289">
        <v>0</v>
      </c>
      <c r="AC155" s="289">
        <v>0</v>
      </c>
      <c r="AD155" s="289">
        <v>0</v>
      </c>
      <c r="AE155" s="289">
        <v>0</v>
      </c>
      <c r="AF155" s="7">
        <f t="shared" si="13"/>
        <v>0</v>
      </c>
      <c r="AQ155" s="70">
        <v>0</v>
      </c>
      <c r="AR155" s="70">
        <v>0</v>
      </c>
      <c r="AS155" s="3">
        <f t="shared" si="14"/>
        <v>0</v>
      </c>
    </row>
    <row r="156" spans="1:45" x14ac:dyDescent="0.35">
      <c r="A156" s="181">
        <f>_xlfn.XLOOKUP(X156,'00_SKU_Master'!$B$2:$B$379,'00_SKU_Master'!$C$2:$C$379)</f>
        <v>61054</v>
      </c>
      <c r="B156" s="181" t="str">
        <f>_xlfn.XLOOKUP(X156,tblSKU[SKU],tblSKU[Product_Group])</f>
        <v>Fillet</v>
      </c>
      <c r="C156" s="181" t="str">
        <f>_xlfn.XLOOKUP(X156,tblSKU[SKU],tblSKU[Tray_Type])</f>
        <v>ST 3XP</v>
      </c>
      <c r="D156" s="182">
        <f>_xlfn.IFNA(_xlfn.XLOOKUP(X156,'00_SKU_Master'!$B$2:$B$379,'00_SKU_Master'!$F$2:$F$379,0)*Y156,"")</f>
        <v>0</v>
      </c>
      <c r="E156" s="182">
        <f>_xlfn.IFNA(_xlfn.XLOOKUP(X156,'00_SKU_Master'!$B$2:$B$379,'00_SKU_Master'!$F$2:$F$379,0)*Z156,"")</f>
        <v>0</v>
      </c>
      <c r="F156" s="182">
        <f>_xlfn.IFNA(_xlfn.XLOOKUP(X156,'00_SKU_Master'!$B$2:$B$379,'00_SKU_Master'!$F$2:$F$379,0)*AA156,"")</f>
        <v>0</v>
      </c>
      <c r="G156" s="182">
        <f>_xlfn.IFNA(_xlfn.XLOOKUP(X156,'00_SKU_Master'!$B$2:$B$379,'00_SKU_Master'!$F$2:$F$379,0)*AB156,"")</f>
        <v>0</v>
      </c>
      <c r="H156" s="182">
        <f>_xlfn.IFNA(_xlfn.XLOOKUP(X156,'00_SKU_Master'!$B$2:$B$379,'00_SKU_Master'!$F$2:$F$379,0)*AC156,"")</f>
        <v>0</v>
      </c>
      <c r="I156" s="182">
        <f>_xlfn.IFNA(_xlfn.XLOOKUP(X156,'00_SKU_Master'!$B$2:$B$379,'00_SKU_Master'!$F$2:$F$379,0)*AD156,"")</f>
        <v>0</v>
      </c>
      <c r="J156" s="182">
        <f>_xlfn.IFNA(_xlfn.XLOOKUP(X156,'00_SKU_Master'!$B$2:$B$379,'00_SKU_Master'!$F$2:$F$379,0)*AE156,"")</f>
        <v>0</v>
      </c>
      <c r="K156" s="183">
        <f t="shared" si="10"/>
        <v>0</v>
      </c>
      <c r="L156" s="184" t="str">
        <f>_xlfn.XLOOKUP(X156,'00_SKU_Master'!$B$2:$B$379,'00_SKU_Master'!$K$2:$K$379)</f>
        <v>Slow</v>
      </c>
      <c r="M156" s="185">
        <f t="shared" si="11"/>
        <v>7300</v>
      </c>
      <c r="N156" s="186">
        <f>IFERROR(D156/_xlfn.XLOOKUP($M156,'00_SKU_Master'!$B$2:$B$379,'00_SKU_Master'!$M$2:$M$379,0),"0")</f>
        <v>0</v>
      </c>
      <c r="O156" s="186">
        <f>IFERROR(E156/_xlfn.XLOOKUP($M156,'00_SKU_Master'!$B$2:$B$379,'00_SKU_Master'!$M$2:$M$379,0),"0")</f>
        <v>0</v>
      </c>
      <c r="P156" s="186">
        <f>IFERROR(F156/_xlfn.XLOOKUP($M156,'00_SKU_Master'!$B$2:$B$379,'00_SKU_Master'!$M$2:$M$379,0),"0")</f>
        <v>0</v>
      </c>
      <c r="Q156" s="186">
        <f>IFERROR(G156/_xlfn.XLOOKUP($M156,'00_SKU_Master'!$B$2:$B$379,'00_SKU_Master'!$M$2:$M$379,0),"0")</f>
        <v>0</v>
      </c>
      <c r="R156" s="186">
        <f>IFERROR(H156/_xlfn.XLOOKUP($M156,'00_SKU_Master'!$B$2:$B$379,'00_SKU_Master'!$M$2:$M$379,0),"0")</f>
        <v>0</v>
      </c>
      <c r="S156" s="186">
        <f>IFERROR(I156/_xlfn.XLOOKUP($M156,'00_SKU_Master'!$B$2:$B$379,'00_SKU_Master'!$M$2:$M$379,0),"0")</f>
        <v>0</v>
      </c>
      <c r="T156" s="186">
        <f>IFERROR(J156/_xlfn.XLOOKUP($M156,'00_SKU_Master'!$B$2:$B$379,'00_SKU_Master'!$M$2:$M$379,0),"0")</f>
        <v>0</v>
      </c>
      <c r="U156" s="186">
        <f t="shared" si="12"/>
        <v>0</v>
      </c>
      <c r="V156" s="186" t="str">
        <f>_xlfn.XLOOKUP(M156,'00_SKU_Master'!$B$2:$B$379,'00_SKU_Master'!$D$2:$D$379)</f>
        <v>LCL</v>
      </c>
      <c r="W156" s="1"/>
      <c r="X156" s="2">
        <f>'05_Daily_Orders'!C157</f>
        <v>7300</v>
      </c>
      <c r="Y156" s="289"/>
      <c r="Z156" s="289">
        <v>0</v>
      </c>
      <c r="AA156" s="289">
        <v>0</v>
      </c>
      <c r="AB156" s="289">
        <v>0</v>
      </c>
      <c r="AC156" s="289">
        <v>0</v>
      </c>
      <c r="AD156" s="289">
        <v>0</v>
      </c>
      <c r="AE156" s="289">
        <v>0</v>
      </c>
      <c r="AF156" s="7">
        <f t="shared" si="13"/>
        <v>0</v>
      </c>
      <c r="AQ156" s="70">
        <v>0</v>
      </c>
      <c r="AR156" s="70">
        <v>0</v>
      </c>
      <c r="AS156" s="3">
        <f t="shared" si="14"/>
        <v>0</v>
      </c>
    </row>
    <row r="157" spans="1:45" x14ac:dyDescent="0.35">
      <c r="A157" s="181">
        <f>_xlfn.XLOOKUP(X157,'00_SKU_Master'!$B$2:$B$379,'00_SKU_Master'!$C$2:$C$379)</f>
        <v>61054</v>
      </c>
      <c r="B157" s="181" t="str">
        <f>_xlfn.XLOOKUP(X157,tblSKU[SKU],tblSKU[Product_Group])</f>
        <v>Fillet</v>
      </c>
      <c r="C157" s="181" t="str">
        <f>_xlfn.XLOOKUP(X157,tblSKU[SKU],tblSKU[Tray_Type])</f>
        <v>PET 8</v>
      </c>
      <c r="D157" s="182">
        <f>_xlfn.IFNA(_xlfn.XLOOKUP(X157,'00_SKU_Master'!$B$2:$B$379,'00_SKU_Master'!$F$2:$F$379,0)*Y157,"")</f>
        <v>0</v>
      </c>
      <c r="E157" s="182">
        <f>_xlfn.IFNA(_xlfn.XLOOKUP(X157,'00_SKU_Master'!$B$2:$B$379,'00_SKU_Master'!$F$2:$F$379,0)*Z157,"")</f>
        <v>0</v>
      </c>
      <c r="F157" s="182">
        <f>_xlfn.IFNA(_xlfn.XLOOKUP(X157,'00_SKU_Master'!$B$2:$B$379,'00_SKU_Master'!$F$2:$F$379,0)*AA157,"")</f>
        <v>0</v>
      </c>
      <c r="G157" s="182">
        <f>_xlfn.IFNA(_xlfn.XLOOKUP(X157,'00_SKU_Master'!$B$2:$B$379,'00_SKU_Master'!$F$2:$F$379,0)*AB157,"")</f>
        <v>0</v>
      </c>
      <c r="H157" s="182">
        <f>_xlfn.IFNA(_xlfn.XLOOKUP(X157,'00_SKU_Master'!$B$2:$B$379,'00_SKU_Master'!$F$2:$F$379,0)*AC157,"")</f>
        <v>0</v>
      </c>
      <c r="I157" s="182">
        <f>_xlfn.IFNA(_xlfn.XLOOKUP(X157,'00_SKU_Master'!$B$2:$B$379,'00_SKU_Master'!$F$2:$F$379,0)*AD157,"")</f>
        <v>0</v>
      </c>
      <c r="J157" s="182">
        <f>_xlfn.IFNA(_xlfn.XLOOKUP(X157,'00_SKU_Master'!$B$2:$B$379,'00_SKU_Master'!$F$2:$F$379,0)*AE157,"")</f>
        <v>0</v>
      </c>
      <c r="K157" s="183">
        <f t="shared" si="10"/>
        <v>0</v>
      </c>
      <c r="L157" s="184" t="str">
        <f>_xlfn.XLOOKUP(X157,'00_SKU_Master'!$B$2:$B$379,'00_SKU_Master'!$K$2:$K$379)</f>
        <v>Slow</v>
      </c>
      <c r="M157" s="185">
        <f t="shared" si="11"/>
        <v>7303</v>
      </c>
      <c r="N157" s="186">
        <f>IFERROR(D157/_xlfn.XLOOKUP($M157,'00_SKU_Master'!$B$2:$B$379,'00_SKU_Master'!$M$2:$M$379,0),"0")</f>
        <v>0</v>
      </c>
      <c r="O157" s="186">
        <f>IFERROR(E157/_xlfn.XLOOKUP($M157,'00_SKU_Master'!$B$2:$B$379,'00_SKU_Master'!$M$2:$M$379,0),"0")</f>
        <v>0</v>
      </c>
      <c r="P157" s="186">
        <f>IFERROR(F157/_xlfn.XLOOKUP($M157,'00_SKU_Master'!$B$2:$B$379,'00_SKU_Master'!$M$2:$M$379,0),"0")</f>
        <v>0</v>
      </c>
      <c r="Q157" s="186">
        <f>IFERROR(G157/_xlfn.XLOOKUP($M157,'00_SKU_Master'!$B$2:$B$379,'00_SKU_Master'!$M$2:$M$379,0),"0")</f>
        <v>0</v>
      </c>
      <c r="R157" s="186">
        <f>IFERROR(H157/_xlfn.XLOOKUP($M157,'00_SKU_Master'!$B$2:$B$379,'00_SKU_Master'!$M$2:$M$379,0),"0")</f>
        <v>0</v>
      </c>
      <c r="S157" s="186">
        <f>IFERROR(I157/_xlfn.XLOOKUP($M157,'00_SKU_Master'!$B$2:$B$379,'00_SKU_Master'!$M$2:$M$379,0),"0")</f>
        <v>0</v>
      </c>
      <c r="T157" s="186">
        <f>IFERROR(J157/_xlfn.XLOOKUP($M157,'00_SKU_Master'!$B$2:$B$379,'00_SKU_Master'!$M$2:$M$379,0),"0")</f>
        <v>0</v>
      </c>
      <c r="U157" s="186">
        <f t="shared" si="12"/>
        <v>0</v>
      </c>
      <c r="V157" s="186" t="str">
        <f>_xlfn.XLOOKUP(M157,'00_SKU_Master'!$B$2:$B$379,'00_SKU_Master'!$D$2:$D$379)</f>
        <v>LCL</v>
      </c>
      <c r="W157" s="1"/>
      <c r="X157" s="2">
        <f>'05_Daily_Orders'!C158</f>
        <v>7303</v>
      </c>
      <c r="Y157" s="289"/>
      <c r="Z157" s="289">
        <v>0</v>
      </c>
      <c r="AA157" s="289">
        <v>0</v>
      </c>
      <c r="AB157" s="289">
        <v>0</v>
      </c>
      <c r="AC157" s="289">
        <v>0</v>
      </c>
      <c r="AD157" s="289">
        <v>0</v>
      </c>
      <c r="AE157" s="289">
        <v>0</v>
      </c>
      <c r="AF157" s="7">
        <f t="shared" si="13"/>
        <v>0</v>
      </c>
      <c r="AQ157" s="70">
        <v>0</v>
      </c>
      <c r="AR157" s="70">
        <v>0</v>
      </c>
      <c r="AS157" s="3">
        <f t="shared" si="14"/>
        <v>0</v>
      </c>
    </row>
    <row r="158" spans="1:45" x14ac:dyDescent="0.35">
      <c r="A158" s="181">
        <f>_xlfn.XLOOKUP(X158,'00_SKU_Master'!$B$2:$B$379,'00_SKU_Master'!$C$2:$C$379)</f>
        <v>61054</v>
      </c>
      <c r="B158" s="181" t="str">
        <f>_xlfn.XLOOKUP(X158,tblSKU[SKU],tblSKU[Product_Group])</f>
        <v>Fillet</v>
      </c>
      <c r="C158" s="181" t="str">
        <f>_xlfn.XLOOKUP(X158,tblSKU[SKU],tblSKU[Tray_Type])</f>
        <v>PET 8</v>
      </c>
      <c r="D158" s="182">
        <f>_xlfn.IFNA(_xlfn.XLOOKUP(X158,'00_SKU_Master'!$B$2:$B$379,'00_SKU_Master'!$F$2:$F$379,0)*Y158,"")</f>
        <v>0</v>
      </c>
      <c r="E158" s="182">
        <f>_xlfn.IFNA(_xlfn.XLOOKUP(X158,'00_SKU_Master'!$B$2:$B$379,'00_SKU_Master'!$F$2:$F$379,0)*Z158,"")</f>
        <v>0</v>
      </c>
      <c r="F158" s="182">
        <f>_xlfn.IFNA(_xlfn.XLOOKUP(X158,'00_SKU_Master'!$B$2:$B$379,'00_SKU_Master'!$F$2:$F$379,0)*AA158,"")</f>
        <v>0</v>
      </c>
      <c r="G158" s="182">
        <f>_xlfn.IFNA(_xlfn.XLOOKUP(X158,'00_SKU_Master'!$B$2:$B$379,'00_SKU_Master'!$F$2:$F$379,0)*AB158,"")</f>
        <v>0</v>
      </c>
      <c r="H158" s="182">
        <f>_xlfn.IFNA(_xlfn.XLOOKUP(X158,'00_SKU_Master'!$B$2:$B$379,'00_SKU_Master'!$F$2:$F$379,0)*AC158,"")</f>
        <v>0</v>
      </c>
      <c r="I158" s="182">
        <f>_xlfn.IFNA(_xlfn.XLOOKUP(X158,'00_SKU_Master'!$B$2:$B$379,'00_SKU_Master'!$F$2:$F$379,0)*AD158,"")</f>
        <v>0</v>
      </c>
      <c r="J158" s="182">
        <f>_xlfn.IFNA(_xlfn.XLOOKUP(X158,'00_SKU_Master'!$B$2:$B$379,'00_SKU_Master'!$F$2:$F$379,0)*AE158,"")</f>
        <v>0</v>
      </c>
      <c r="K158" s="183">
        <f t="shared" si="10"/>
        <v>0</v>
      </c>
      <c r="L158" s="184" t="str">
        <f>_xlfn.XLOOKUP(X158,'00_SKU_Master'!$B$2:$B$379,'00_SKU_Master'!$K$2:$K$379)</f>
        <v>Slow</v>
      </c>
      <c r="M158" s="185">
        <f t="shared" si="11"/>
        <v>7304</v>
      </c>
      <c r="N158" s="186">
        <f>IFERROR(D158/_xlfn.XLOOKUP($M158,'00_SKU_Master'!$B$2:$B$379,'00_SKU_Master'!$M$2:$M$379,0),"0")</f>
        <v>0</v>
      </c>
      <c r="O158" s="186">
        <f>IFERROR(E158/_xlfn.XLOOKUP($M158,'00_SKU_Master'!$B$2:$B$379,'00_SKU_Master'!$M$2:$M$379,0),"0")</f>
        <v>0</v>
      </c>
      <c r="P158" s="186">
        <f>IFERROR(F158/_xlfn.XLOOKUP($M158,'00_SKU_Master'!$B$2:$B$379,'00_SKU_Master'!$M$2:$M$379,0),"0")</f>
        <v>0</v>
      </c>
      <c r="Q158" s="186">
        <f>IFERROR(G158/_xlfn.XLOOKUP($M158,'00_SKU_Master'!$B$2:$B$379,'00_SKU_Master'!$M$2:$M$379,0),"0")</f>
        <v>0</v>
      </c>
      <c r="R158" s="186">
        <f>IFERROR(H158/_xlfn.XLOOKUP($M158,'00_SKU_Master'!$B$2:$B$379,'00_SKU_Master'!$M$2:$M$379,0),"0")</f>
        <v>0</v>
      </c>
      <c r="S158" s="186">
        <f>IFERROR(I158/_xlfn.XLOOKUP($M158,'00_SKU_Master'!$B$2:$B$379,'00_SKU_Master'!$M$2:$M$379,0),"0")</f>
        <v>0</v>
      </c>
      <c r="T158" s="186">
        <f>IFERROR(J158/_xlfn.XLOOKUP($M158,'00_SKU_Master'!$B$2:$B$379,'00_SKU_Master'!$M$2:$M$379,0),"0")</f>
        <v>0</v>
      </c>
      <c r="U158" s="186">
        <f t="shared" si="12"/>
        <v>0</v>
      </c>
      <c r="V158" s="186" t="str">
        <f>_xlfn.XLOOKUP(M158,'00_SKU_Master'!$B$2:$B$379,'00_SKU_Master'!$D$2:$D$379)</f>
        <v>LCL</v>
      </c>
      <c r="W158" s="1"/>
      <c r="X158" s="2">
        <f>'05_Daily_Orders'!C159</f>
        <v>7304</v>
      </c>
      <c r="Y158" s="289"/>
      <c r="Z158" s="289">
        <v>0</v>
      </c>
      <c r="AA158" s="289">
        <v>0</v>
      </c>
      <c r="AB158" s="289">
        <v>0</v>
      </c>
      <c r="AC158" s="289">
        <v>0</v>
      </c>
      <c r="AD158" s="289">
        <v>0</v>
      </c>
      <c r="AE158" s="289">
        <v>0</v>
      </c>
      <c r="AF158" s="7">
        <f t="shared" si="13"/>
        <v>0</v>
      </c>
      <c r="AQ158" s="70">
        <v>0</v>
      </c>
      <c r="AR158" s="70">
        <v>0</v>
      </c>
      <c r="AS158" s="3">
        <f t="shared" si="14"/>
        <v>0</v>
      </c>
    </row>
    <row r="159" spans="1:45" x14ac:dyDescent="0.35">
      <c r="A159" s="181">
        <f>_xlfn.XLOOKUP(X159,'00_SKU_Master'!$B$2:$B$379,'00_SKU_Master'!$C$2:$C$379)</f>
        <v>61104</v>
      </c>
      <c r="B159" s="181" t="str">
        <f>_xlfn.XLOOKUP(X159,tblSKU[SKU],tblSKU[Product_Group])</f>
        <v>BSB</v>
      </c>
      <c r="C159" s="181" t="str">
        <f>_xlfn.XLOOKUP(X159,tblSKU[SKU],tblSKU[Tray_Type])</f>
        <v>LT 8XP</v>
      </c>
      <c r="D159" s="182">
        <f>_xlfn.IFNA(_xlfn.XLOOKUP(X159,'00_SKU_Master'!$B$2:$B$379,'00_SKU_Master'!$F$2:$F$379,0)*Y159,"")</f>
        <v>0</v>
      </c>
      <c r="E159" s="182">
        <f>_xlfn.IFNA(_xlfn.XLOOKUP(X159,'00_SKU_Master'!$B$2:$B$379,'00_SKU_Master'!$F$2:$F$379,0)*Z159,"")</f>
        <v>0</v>
      </c>
      <c r="F159" s="182">
        <f>_xlfn.IFNA(_xlfn.XLOOKUP(X159,'00_SKU_Master'!$B$2:$B$379,'00_SKU_Master'!$F$2:$F$379,0)*AA159,"")</f>
        <v>0</v>
      </c>
      <c r="G159" s="182">
        <f>_xlfn.IFNA(_xlfn.XLOOKUP(X159,'00_SKU_Master'!$B$2:$B$379,'00_SKU_Master'!$F$2:$F$379,0)*AB159,"")</f>
        <v>0</v>
      </c>
      <c r="H159" s="182">
        <f>_xlfn.IFNA(_xlfn.XLOOKUP(X159,'00_SKU_Master'!$B$2:$B$379,'00_SKU_Master'!$F$2:$F$379,0)*AC159,"")</f>
        <v>0</v>
      </c>
      <c r="I159" s="182">
        <f>_xlfn.IFNA(_xlfn.XLOOKUP(X159,'00_SKU_Master'!$B$2:$B$379,'00_SKU_Master'!$F$2:$F$379,0)*AD159,"")</f>
        <v>0</v>
      </c>
      <c r="J159" s="182">
        <f>_xlfn.IFNA(_xlfn.XLOOKUP(X159,'00_SKU_Master'!$B$2:$B$379,'00_SKU_Master'!$F$2:$F$379,0)*AE159,"")</f>
        <v>0</v>
      </c>
      <c r="K159" s="183">
        <f t="shared" si="10"/>
        <v>0</v>
      </c>
      <c r="L159" s="184" t="str">
        <f>_xlfn.XLOOKUP(X159,'00_SKU_Master'!$B$2:$B$379,'00_SKU_Master'!$K$2:$K$379)</f>
        <v>Fast</v>
      </c>
      <c r="M159" s="185">
        <f t="shared" si="11"/>
        <v>7310</v>
      </c>
      <c r="N159" s="186">
        <f>IFERROR(D159/_xlfn.XLOOKUP($M159,'00_SKU_Master'!$B$2:$B$379,'00_SKU_Master'!$M$2:$M$379,0),"0")</f>
        <v>0</v>
      </c>
      <c r="O159" s="186">
        <f>IFERROR(E159/_xlfn.XLOOKUP($M159,'00_SKU_Master'!$B$2:$B$379,'00_SKU_Master'!$M$2:$M$379,0),"0")</f>
        <v>0</v>
      </c>
      <c r="P159" s="186">
        <f>IFERROR(F159/_xlfn.XLOOKUP($M159,'00_SKU_Master'!$B$2:$B$379,'00_SKU_Master'!$M$2:$M$379,0),"0")</f>
        <v>0</v>
      </c>
      <c r="Q159" s="186">
        <f>IFERROR(G159/_xlfn.XLOOKUP($M159,'00_SKU_Master'!$B$2:$B$379,'00_SKU_Master'!$M$2:$M$379,0),"0")</f>
        <v>0</v>
      </c>
      <c r="R159" s="186">
        <f>IFERROR(H159/_xlfn.XLOOKUP($M159,'00_SKU_Master'!$B$2:$B$379,'00_SKU_Master'!$M$2:$M$379,0),"0")</f>
        <v>0</v>
      </c>
      <c r="S159" s="186">
        <f>IFERROR(I159/_xlfn.XLOOKUP($M159,'00_SKU_Master'!$B$2:$B$379,'00_SKU_Master'!$M$2:$M$379,0),"0")</f>
        <v>0</v>
      </c>
      <c r="T159" s="186">
        <f>IFERROR(J159/_xlfn.XLOOKUP($M159,'00_SKU_Master'!$B$2:$B$379,'00_SKU_Master'!$M$2:$M$379,0),"0")</f>
        <v>0</v>
      </c>
      <c r="U159" s="186">
        <f t="shared" si="12"/>
        <v>0</v>
      </c>
      <c r="V159" s="186" t="str">
        <f>_xlfn.XLOOKUP(M159,'00_SKU_Master'!$B$2:$B$379,'00_SKU_Master'!$D$2:$D$379)</f>
        <v>LCL</v>
      </c>
      <c r="W159" s="1"/>
      <c r="X159" s="2">
        <f>'05_Daily_Orders'!C160</f>
        <v>7310</v>
      </c>
      <c r="Y159" s="289"/>
      <c r="Z159" s="289">
        <v>0</v>
      </c>
      <c r="AA159" s="289">
        <v>0</v>
      </c>
      <c r="AB159" s="289">
        <v>0</v>
      </c>
      <c r="AC159" s="289">
        <v>0</v>
      </c>
      <c r="AD159" s="289">
        <v>0</v>
      </c>
      <c r="AE159" s="289">
        <v>0</v>
      </c>
      <c r="AF159" s="7">
        <f t="shared" si="13"/>
        <v>0</v>
      </c>
      <c r="AQ159" s="70">
        <v>0</v>
      </c>
      <c r="AR159" s="70">
        <v>0</v>
      </c>
      <c r="AS159" s="3">
        <f t="shared" si="14"/>
        <v>0</v>
      </c>
    </row>
    <row r="160" spans="1:45" x14ac:dyDescent="0.35">
      <c r="A160" s="181">
        <f>_xlfn.XLOOKUP(X160,'00_SKU_Master'!$B$2:$B$379,'00_SKU_Master'!$C$2:$C$379)</f>
        <v>203891</v>
      </c>
      <c r="B160" s="181" t="str">
        <f>_xlfn.XLOOKUP(X160,tblSKU[SKU],tblSKU[Product_Group])</f>
        <v>Whole Bird-Small</v>
      </c>
      <c r="C160" s="181" t="str">
        <f>_xlfn.XLOOKUP(X160,tblSKU[SKU],tblSKU[Tray_Type])</f>
        <v>PET 3</v>
      </c>
      <c r="D160" s="182">
        <f>_xlfn.IFNA(_xlfn.XLOOKUP(X160,'00_SKU_Master'!$B$2:$B$379,'00_SKU_Master'!$F$2:$F$379,0)*Y160,"")</f>
        <v>0</v>
      </c>
      <c r="E160" s="182">
        <f>_xlfn.IFNA(_xlfn.XLOOKUP(X160,'00_SKU_Master'!$B$2:$B$379,'00_SKU_Master'!$F$2:$F$379,0)*Z160,"")</f>
        <v>0</v>
      </c>
      <c r="F160" s="182">
        <f>_xlfn.IFNA(_xlfn.XLOOKUP(X160,'00_SKU_Master'!$B$2:$B$379,'00_SKU_Master'!$F$2:$F$379,0)*AA160,"")</f>
        <v>0</v>
      </c>
      <c r="G160" s="182">
        <f>_xlfn.IFNA(_xlfn.XLOOKUP(X160,'00_SKU_Master'!$B$2:$B$379,'00_SKU_Master'!$F$2:$F$379,0)*AB160,"")</f>
        <v>0</v>
      </c>
      <c r="H160" s="182">
        <f>_xlfn.IFNA(_xlfn.XLOOKUP(X160,'00_SKU_Master'!$B$2:$B$379,'00_SKU_Master'!$F$2:$F$379,0)*AC160,"")</f>
        <v>0</v>
      </c>
      <c r="I160" s="182">
        <f>_xlfn.IFNA(_xlfn.XLOOKUP(X160,'00_SKU_Master'!$B$2:$B$379,'00_SKU_Master'!$F$2:$F$379,0)*AD160,"")</f>
        <v>0</v>
      </c>
      <c r="J160" s="182">
        <f>_xlfn.IFNA(_xlfn.XLOOKUP(X160,'00_SKU_Master'!$B$2:$B$379,'00_SKU_Master'!$F$2:$F$379,0)*AE160,"")</f>
        <v>0</v>
      </c>
      <c r="K160" s="183">
        <f t="shared" si="10"/>
        <v>0</v>
      </c>
      <c r="L160" s="184" t="str">
        <f>_xlfn.XLOOKUP(X160,'00_SKU_Master'!$B$2:$B$379,'00_SKU_Master'!$K$2:$K$379)</f>
        <v>Fast</v>
      </c>
      <c r="M160" s="185">
        <f t="shared" si="11"/>
        <v>7340</v>
      </c>
      <c r="N160" s="186">
        <f>IFERROR(D160/_xlfn.XLOOKUP($M160,'00_SKU_Master'!$B$2:$B$379,'00_SKU_Master'!$M$2:$M$379,0),"0")</f>
        <v>0</v>
      </c>
      <c r="O160" s="186">
        <f>IFERROR(E160/_xlfn.XLOOKUP($M160,'00_SKU_Master'!$B$2:$B$379,'00_SKU_Master'!$M$2:$M$379,0),"0")</f>
        <v>0</v>
      </c>
      <c r="P160" s="186">
        <f>IFERROR(F160/_xlfn.XLOOKUP($M160,'00_SKU_Master'!$B$2:$B$379,'00_SKU_Master'!$M$2:$M$379,0),"0")</f>
        <v>0</v>
      </c>
      <c r="Q160" s="186">
        <f>IFERROR(G160/_xlfn.XLOOKUP($M160,'00_SKU_Master'!$B$2:$B$379,'00_SKU_Master'!$M$2:$M$379,0),"0")</f>
        <v>0</v>
      </c>
      <c r="R160" s="186">
        <f>IFERROR(H160/_xlfn.XLOOKUP($M160,'00_SKU_Master'!$B$2:$B$379,'00_SKU_Master'!$M$2:$M$379,0),"0")</f>
        <v>0</v>
      </c>
      <c r="S160" s="186">
        <f>IFERROR(I160/_xlfn.XLOOKUP($M160,'00_SKU_Master'!$B$2:$B$379,'00_SKU_Master'!$M$2:$M$379,0),"0")</f>
        <v>0</v>
      </c>
      <c r="T160" s="186">
        <f>IFERROR(J160/_xlfn.XLOOKUP($M160,'00_SKU_Master'!$B$2:$B$379,'00_SKU_Master'!$M$2:$M$379,0),"0")</f>
        <v>0</v>
      </c>
      <c r="U160" s="186">
        <f t="shared" si="12"/>
        <v>0</v>
      </c>
      <c r="V160" s="186" t="str">
        <f>_xlfn.XLOOKUP(M160,'00_SKU_Master'!$B$2:$B$379,'00_SKU_Master'!$D$2:$D$379)</f>
        <v>LCL</v>
      </c>
      <c r="W160" s="1"/>
      <c r="X160" s="2">
        <f>'05_Daily_Orders'!C161</f>
        <v>7340</v>
      </c>
      <c r="Y160" s="289"/>
      <c r="Z160" s="289">
        <v>0</v>
      </c>
      <c r="AA160" s="289">
        <v>0</v>
      </c>
      <c r="AB160" s="289">
        <v>0</v>
      </c>
      <c r="AC160" s="289">
        <v>0</v>
      </c>
      <c r="AD160" s="289">
        <v>0</v>
      </c>
      <c r="AE160" s="289">
        <v>0</v>
      </c>
      <c r="AF160" s="7">
        <f t="shared" si="13"/>
        <v>0</v>
      </c>
      <c r="AQ160" s="70">
        <v>0</v>
      </c>
      <c r="AR160" s="70">
        <v>0</v>
      </c>
      <c r="AS160" s="3">
        <f t="shared" si="14"/>
        <v>0</v>
      </c>
    </row>
    <row r="161" spans="1:45" x14ac:dyDescent="0.35">
      <c r="A161" s="181">
        <f>_xlfn.XLOOKUP(X161,'00_SKU_Master'!$B$2:$B$379,'00_SKU_Master'!$C$2:$C$379)</f>
        <v>203891</v>
      </c>
      <c r="B161" s="181" t="str">
        <f>_xlfn.XLOOKUP(X161,tblSKU[SKU],tblSKU[Product_Group])</f>
        <v>Whole Bird-Small</v>
      </c>
      <c r="C161" s="181" t="str">
        <f>_xlfn.XLOOKUP(X161,tblSKU[SKU],tblSKU[Tray_Type])</f>
        <v>PET 3</v>
      </c>
      <c r="D161" s="182">
        <f>_xlfn.IFNA(_xlfn.XLOOKUP(X161,'00_SKU_Master'!$B$2:$B$379,'00_SKU_Master'!$F$2:$F$379,0)*Y161,"")</f>
        <v>0</v>
      </c>
      <c r="E161" s="182">
        <f>_xlfn.IFNA(_xlfn.XLOOKUP(X161,'00_SKU_Master'!$B$2:$B$379,'00_SKU_Master'!$F$2:$F$379,0)*Z161,"")</f>
        <v>0</v>
      </c>
      <c r="F161" s="182">
        <f>_xlfn.IFNA(_xlfn.XLOOKUP(X161,'00_SKU_Master'!$B$2:$B$379,'00_SKU_Master'!$F$2:$F$379,0)*AA161,"")</f>
        <v>0</v>
      </c>
      <c r="G161" s="182">
        <f>_xlfn.IFNA(_xlfn.XLOOKUP(X161,'00_SKU_Master'!$B$2:$B$379,'00_SKU_Master'!$F$2:$F$379,0)*AB161,"")</f>
        <v>0</v>
      </c>
      <c r="H161" s="182">
        <f>_xlfn.IFNA(_xlfn.XLOOKUP(X161,'00_SKU_Master'!$B$2:$B$379,'00_SKU_Master'!$F$2:$F$379,0)*AC161,"")</f>
        <v>0</v>
      </c>
      <c r="I161" s="182">
        <f>_xlfn.IFNA(_xlfn.XLOOKUP(X161,'00_SKU_Master'!$B$2:$B$379,'00_SKU_Master'!$F$2:$F$379,0)*AD161,"")</f>
        <v>0</v>
      </c>
      <c r="J161" s="182">
        <f>_xlfn.IFNA(_xlfn.XLOOKUP(X161,'00_SKU_Master'!$B$2:$B$379,'00_SKU_Master'!$F$2:$F$379,0)*AE161,"")</f>
        <v>0</v>
      </c>
      <c r="K161" s="183">
        <f t="shared" si="10"/>
        <v>0</v>
      </c>
      <c r="L161" s="184" t="str">
        <f>_xlfn.XLOOKUP(X161,'00_SKU_Master'!$B$2:$B$379,'00_SKU_Master'!$K$2:$K$379)</f>
        <v>Fast</v>
      </c>
      <c r="M161" s="185">
        <f t="shared" si="11"/>
        <v>7341</v>
      </c>
      <c r="N161" s="186">
        <f>IFERROR(D161/_xlfn.XLOOKUP($M161,'00_SKU_Master'!$B$2:$B$379,'00_SKU_Master'!$M$2:$M$379,0),"0")</f>
        <v>0</v>
      </c>
      <c r="O161" s="186">
        <f>IFERROR(E161/_xlfn.XLOOKUP($M161,'00_SKU_Master'!$B$2:$B$379,'00_SKU_Master'!$M$2:$M$379,0),"0")</f>
        <v>0</v>
      </c>
      <c r="P161" s="186">
        <f>IFERROR(F161/_xlfn.XLOOKUP($M161,'00_SKU_Master'!$B$2:$B$379,'00_SKU_Master'!$M$2:$M$379,0),"0")</f>
        <v>0</v>
      </c>
      <c r="Q161" s="186">
        <f>IFERROR(G161/_xlfn.XLOOKUP($M161,'00_SKU_Master'!$B$2:$B$379,'00_SKU_Master'!$M$2:$M$379,0),"0")</f>
        <v>0</v>
      </c>
      <c r="R161" s="186">
        <f>IFERROR(H161/_xlfn.XLOOKUP($M161,'00_SKU_Master'!$B$2:$B$379,'00_SKU_Master'!$M$2:$M$379,0),"0")</f>
        <v>0</v>
      </c>
      <c r="S161" s="186">
        <f>IFERROR(I161/_xlfn.XLOOKUP($M161,'00_SKU_Master'!$B$2:$B$379,'00_SKU_Master'!$M$2:$M$379,0),"0")</f>
        <v>0</v>
      </c>
      <c r="T161" s="186">
        <f>IFERROR(J161/_xlfn.XLOOKUP($M161,'00_SKU_Master'!$B$2:$B$379,'00_SKU_Master'!$M$2:$M$379,0),"0")</f>
        <v>0</v>
      </c>
      <c r="U161" s="186">
        <f t="shared" si="12"/>
        <v>0</v>
      </c>
      <c r="V161" s="186" t="str">
        <f>_xlfn.XLOOKUP(M161,'00_SKU_Master'!$B$2:$B$379,'00_SKU_Master'!$D$2:$D$379)</f>
        <v>LCL</v>
      </c>
      <c r="W161" s="1"/>
      <c r="X161" s="2">
        <f>'05_Daily_Orders'!C162</f>
        <v>7341</v>
      </c>
      <c r="Y161" s="289"/>
      <c r="Z161" s="289">
        <v>0</v>
      </c>
      <c r="AA161" s="289">
        <v>0</v>
      </c>
      <c r="AB161" s="289">
        <v>0</v>
      </c>
      <c r="AC161" s="289">
        <v>0</v>
      </c>
      <c r="AD161" s="289">
        <v>0</v>
      </c>
      <c r="AE161" s="289">
        <v>0</v>
      </c>
      <c r="AF161" s="7">
        <f t="shared" si="13"/>
        <v>0</v>
      </c>
      <c r="AQ161" s="70">
        <v>0</v>
      </c>
      <c r="AR161" s="70">
        <v>0</v>
      </c>
      <c r="AS161" s="3">
        <f t="shared" si="14"/>
        <v>0</v>
      </c>
    </row>
    <row r="162" spans="1:45" x14ac:dyDescent="0.35">
      <c r="A162" s="181">
        <f>_xlfn.XLOOKUP(X162,'00_SKU_Master'!$B$2:$B$379,'00_SKU_Master'!$C$2:$C$379)</f>
        <v>61061</v>
      </c>
      <c r="B162" s="181" t="str">
        <f>_xlfn.XLOOKUP(X162,tblSKU[SKU],tblSKU[Product_Group])</f>
        <v>BA</v>
      </c>
      <c r="C162" s="181" t="str">
        <f>_xlfn.XLOOKUP(X162,tblSKU[SKU],tblSKU[Tray_Type])</f>
        <v>PET 8</v>
      </c>
      <c r="D162" s="182">
        <f>_xlfn.IFNA(_xlfn.XLOOKUP(X162,'00_SKU_Master'!$B$2:$B$379,'00_SKU_Master'!$F$2:$F$379,0)*Y162,"")</f>
        <v>0</v>
      </c>
      <c r="E162" s="182">
        <f>_xlfn.IFNA(_xlfn.XLOOKUP(X162,'00_SKU_Master'!$B$2:$B$379,'00_SKU_Master'!$F$2:$F$379,0)*Z162,"")</f>
        <v>0</v>
      </c>
      <c r="F162" s="182">
        <f>_xlfn.IFNA(_xlfn.XLOOKUP(X162,'00_SKU_Master'!$B$2:$B$379,'00_SKU_Master'!$F$2:$F$379,0)*AA162,"")</f>
        <v>0</v>
      </c>
      <c r="G162" s="182">
        <f>_xlfn.IFNA(_xlfn.XLOOKUP(X162,'00_SKU_Master'!$B$2:$B$379,'00_SKU_Master'!$F$2:$F$379,0)*AB162,"")</f>
        <v>0</v>
      </c>
      <c r="H162" s="182">
        <f>_xlfn.IFNA(_xlfn.XLOOKUP(X162,'00_SKU_Master'!$B$2:$B$379,'00_SKU_Master'!$F$2:$F$379,0)*AC162,"")</f>
        <v>0</v>
      </c>
      <c r="I162" s="182">
        <f>_xlfn.IFNA(_xlfn.XLOOKUP(X162,'00_SKU_Master'!$B$2:$B$379,'00_SKU_Master'!$F$2:$F$379,0)*AD162,"")</f>
        <v>0</v>
      </c>
      <c r="J162" s="182">
        <f>_xlfn.IFNA(_xlfn.XLOOKUP(X162,'00_SKU_Master'!$B$2:$B$379,'00_SKU_Master'!$F$2:$F$379,0)*AE162,"")</f>
        <v>0</v>
      </c>
      <c r="K162" s="183">
        <f t="shared" si="10"/>
        <v>0</v>
      </c>
      <c r="L162" s="184" t="str">
        <f>_xlfn.XLOOKUP(X162,'00_SKU_Master'!$B$2:$B$379,'00_SKU_Master'!$K$2:$K$379)</f>
        <v>Fast</v>
      </c>
      <c r="M162" s="185">
        <f t="shared" si="11"/>
        <v>7342</v>
      </c>
      <c r="N162" s="186">
        <f>IFERROR(D162/_xlfn.XLOOKUP($M162,'00_SKU_Master'!$B$2:$B$379,'00_SKU_Master'!$M$2:$M$379,0),"0")</f>
        <v>0</v>
      </c>
      <c r="O162" s="186">
        <f>IFERROR(E162/_xlfn.XLOOKUP($M162,'00_SKU_Master'!$B$2:$B$379,'00_SKU_Master'!$M$2:$M$379,0),"0")</f>
        <v>0</v>
      </c>
      <c r="P162" s="186">
        <f>IFERROR(F162/_xlfn.XLOOKUP($M162,'00_SKU_Master'!$B$2:$B$379,'00_SKU_Master'!$M$2:$M$379,0),"0")</f>
        <v>0</v>
      </c>
      <c r="Q162" s="186">
        <f>IFERROR(G162/_xlfn.XLOOKUP($M162,'00_SKU_Master'!$B$2:$B$379,'00_SKU_Master'!$M$2:$M$379,0),"0")</f>
        <v>0</v>
      </c>
      <c r="R162" s="186">
        <f>IFERROR(H162/_xlfn.XLOOKUP($M162,'00_SKU_Master'!$B$2:$B$379,'00_SKU_Master'!$M$2:$M$379,0),"0")</f>
        <v>0</v>
      </c>
      <c r="S162" s="186">
        <f>IFERROR(I162/_xlfn.XLOOKUP($M162,'00_SKU_Master'!$B$2:$B$379,'00_SKU_Master'!$M$2:$M$379,0),"0")</f>
        <v>0</v>
      </c>
      <c r="T162" s="186">
        <f>IFERROR(J162/_xlfn.XLOOKUP($M162,'00_SKU_Master'!$B$2:$B$379,'00_SKU_Master'!$M$2:$M$379,0),"0")</f>
        <v>0</v>
      </c>
      <c r="U162" s="186">
        <f t="shared" si="12"/>
        <v>0</v>
      </c>
      <c r="V162" s="186" t="str">
        <f>_xlfn.XLOOKUP(M162,'00_SKU_Master'!$B$2:$B$379,'00_SKU_Master'!$D$2:$D$379)</f>
        <v>LCL</v>
      </c>
      <c r="W162" s="1"/>
      <c r="X162" s="2">
        <f>'05_Daily_Orders'!C163</f>
        <v>7342</v>
      </c>
      <c r="Y162" s="289"/>
      <c r="Z162" s="289">
        <v>0</v>
      </c>
      <c r="AA162" s="289">
        <v>0</v>
      </c>
      <c r="AB162" s="289">
        <v>0</v>
      </c>
      <c r="AC162" s="289">
        <v>0</v>
      </c>
      <c r="AD162" s="289">
        <v>0</v>
      </c>
      <c r="AE162" s="289">
        <v>0</v>
      </c>
      <c r="AF162" s="7">
        <f t="shared" si="13"/>
        <v>0</v>
      </c>
      <c r="AQ162" s="70">
        <v>0</v>
      </c>
      <c r="AR162" s="70">
        <v>0</v>
      </c>
      <c r="AS162" s="3">
        <f t="shared" si="14"/>
        <v>0</v>
      </c>
    </row>
    <row r="163" spans="1:45" x14ac:dyDescent="0.35">
      <c r="A163" s="181" t="str">
        <f>_xlfn.XLOOKUP(X163,'00_SKU_Master'!$B$2:$B$379,'00_SKU_Master'!$C$2:$C$379)</f>
        <v>61050#2</v>
      </c>
      <c r="B163" s="181" t="str">
        <f>_xlfn.XLOOKUP(X163,tblSKU[SKU],tblSKU[Product_Group])</f>
        <v>BSB</v>
      </c>
      <c r="C163" s="181" t="str">
        <f>_xlfn.XLOOKUP(X163,tblSKU[SKU],tblSKU[Tray_Type])</f>
        <v>PET 6</v>
      </c>
      <c r="D163" s="182">
        <f>_xlfn.IFNA(_xlfn.XLOOKUP(X163,'00_SKU_Master'!$B$2:$B$379,'00_SKU_Master'!$F$2:$F$379,0)*Y163,"")</f>
        <v>0</v>
      </c>
      <c r="E163" s="182">
        <f>_xlfn.IFNA(_xlfn.XLOOKUP(X163,'00_SKU_Master'!$B$2:$B$379,'00_SKU_Master'!$F$2:$F$379,0)*Z163,"")</f>
        <v>0</v>
      </c>
      <c r="F163" s="182">
        <f>_xlfn.IFNA(_xlfn.XLOOKUP(X163,'00_SKU_Master'!$B$2:$B$379,'00_SKU_Master'!$F$2:$F$379,0)*AA163,"")</f>
        <v>0</v>
      </c>
      <c r="G163" s="182">
        <f>_xlfn.IFNA(_xlfn.XLOOKUP(X163,'00_SKU_Master'!$B$2:$B$379,'00_SKU_Master'!$F$2:$F$379,0)*AB163,"")</f>
        <v>0</v>
      </c>
      <c r="H163" s="182">
        <f>_xlfn.IFNA(_xlfn.XLOOKUP(X163,'00_SKU_Master'!$B$2:$B$379,'00_SKU_Master'!$F$2:$F$379,0)*AC163,"")</f>
        <v>0</v>
      </c>
      <c r="I163" s="182">
        <f>_xlfn.IFNA(_xlfn.XLOOKUP(X163,'00_SKU_Master'!$B$2:$B$379,'00_SKU_Master'!$F$2:$F$379,0)*AD163,"")</f>
        <v>0</v>
      </c>
      <c r="J163" s="182">
        <f>_xlfn.IFNA(_xlfn.XLOOKUP(X163,'00_SKU_Master'!$B$2:$B$379,'00_SKU_Master'!$F$2:$F$379,0)*AE163,"")</f>
        <v>0</v>
      </c>
      <c r="K163" s="183">
        <f t="shared" si="10"/>
        <v>0</v>
      </c>
      <c r="L163" s="184" t="str">
        <f>_xlfn.XLOOKUP(X163,'00_SKU_Master'!$B$2:$B$379,'00_SKU_Master'!$K$2:$K$379)</f>
        <v>Fast</v>
      </c>
      <c r="M163" s="185">
        <f t="shared" si="11"/>
        <v>7343</v>
      </c>
      <c r="N163" s="186">
        <f>IFERROR(D163/_xlfn.XLOOKUP($M163,'00_SKU_Master'!$B$2:$B$379,'00_SKU_Master'!$M$2:$M$379,0),"0")</f>
        <v>0</v>
      </c>
      <c r="O163" s="186">
        <f>IFERROR(E163/_xlfn.XLOOKUP($M163,'00_SKU_Master'!$B$2:$B$379,'00_SKU_Master'!$M$2:$M$379,0),"0")</f>
        <v>0</v>
      </c>
      <c r="P163" s="186">
        <f>IFERROR(F163/_xlfn.XLOOKUP($M163,'00_SKU_Master'!$B$2:$B$379,'00_SKU_Master'!$M$2:$M$379,0),"0")</f>
        <v>0</v>
      </c>
      <c r="Q163" s="186">
        <f>IFERROR(G163/_xlfn.XLOOKUP($M163,'00_SKU_Master'!$B$2:$B$379,'00_SKU_Master'!$M$2:$M$379,0),"0")</f>
        <v>0</v>
      </c>
      <c r="R163" s="186">
        <f>IFERROR(H163/_xlfn.XLOOKUP($M163,'00_SKU_Master'!$B$2:$B$379,'00_SKU_Master'!$M$2:$M$379,0),"0")</f>
        <v>0</v>
      </c>
      <c r="S163" s="186">
        <f>IFERROR(I163/_xlfn.XLOOKUP($M163,'00_SKU_Master'!$B$2:$B$379,'00_SKU_Master'!$M$2:$M$379,0),"0")</f>
        <v>0</v>
      </c>
      <c r="T163" s="186">
        <f>IFERROR(J163/_xlfn.XLOOKUP($M163,'00_SKU_Master'!$B$2:$B$379,'00_SKU_Master'!$M$2:$M$379,0),"0")</f>
        <v>0</v>
      </c>
      <c r="U163" s="186">
        <f t="shared" si="12"/>
        <v>0</v>
      </c>
      <c r="V163" s="186" t="str">
        <f>_xlfn.XLOOKUP(M163,'00_SKU_Master'!$B$2:$B$379,'00_SKU_Master'!$D$2:$D$379)</f>
        <v>LCL</v>
      </c>
      <c r="W163" s="1"/>
      <c r="X163" s="2">
        <f>'05_Daily_Orders'!C164</f>
        <v>7343</v>
      </c>
      <c r="Y163" s="289"/>
      <c r="Z163" s="289">
        <v>0</v>
      </c>
      <c r="AA163" s="289">
        <v>0</v>
      </c>
      <c r="AB163" s="289">
        <v>0</v>
      </c>
      <c r="AC163" s="289">
        <v>0</v>
      </c>
      <c r="AD163" s="289">
        <v>0</v>
      </c>
      <c r="AE163" s="289">
        <v>0</v>
      </c>
      <c r="AF163" s="7">
        <f t="shared" si="13"/>
        <v>0</v>
      </c>
      <c r="AQ163" s="70">
        <v>0</v>
      </c>
      <c r="AR163" s="70">
        <v>0</v>
      </c>
      <c r="AS163" s="3">
        <f t="shared" si="14"/>
        <v>0</v>
      </c>
    </row>
    <row r="164" spans="1:45" x14ac:dyDescent="0.35">
      <c r="A164" s="181">
        <f>_xlfn.XLOOKUP(X164,'00_SKU_Master'!$B$2:$B$379,'00_SKU_Master'!$C$2:$C$379)</f>
        <v>61061</v>
      </c>
      <c r="B164" s="181" t="str">
        <f>_xlfn.XLOOKUP(X164,tblSKU[SKU],tblSKU[Product_Group])</f>
        <v>BA</v>
      </c>
      <c r="C164" s="181" t="str">
        <f>_xlfn.XLOOKUP(X164,tblSKU[SKU],tblSKU[Tray_Type])</f>
        <v>PET 8</v>
      </c>
      <c r="D164" s="182">
        <f>_xlfn.IFNA(_xlfn.XLOOKUP(X164,'00_SKU_Master'!$B$2:$B$379,'00_SKU_Master'!$F$2:$F$379,0)*Y164,"")</f>
        <v>0</v>
      </c>
      <c r="E164" s="182">
        <f>_xlfn.IFNA(_xlfn.XLOOKUP(X164,'00_SKU_Master'!$B$2:$B$379,'00_SKU_Master'!$F$2:$F$379,0)*Z164,"")</f>
        <v>0</v>
      </c>
      <c r="F164" s="182">
        <f>_xlfn.IFNA(_xlfn.XLOOKUP(X164,'00_SKU_Master'!$B$2:$B$379,'00_SKU_Master'!$F$2:$F$379,0)*AA164,"")</f>
        <v>0</v>
      </c>
      <c r="G164" s="182">
        <f>_xlfn.IFNA(_xlfn.XLOOKUP(X164,'00_SKU_Master'!$B$2:$B$379,'00_SKU_Master'!$F$2:$F$379,0)*AB164,"")</f>
        <v>0</v>
      </c>
      <c r="H164" s="182">
        <f>_xlfn.IFNA(_xlfn.XLOOKUP(X164,'00_SKU_Master'!$B$2:$B$379,'00_SKU_Master'!$F$2:$F$379,0)*AC164,"")</f>
        <v>0</v>
      </c>
      <c r="I164" s="182">
        <f>_xlfn.IFNA(_xlfn.XLOOKUP(X164,'00_SKU_Master'!$B$2:$B$379,'00_SKU_Master'!$F$2:$F$379,0)*AD164,"")</f>
        <v>0</v>
      </c>
      <c r="J164" s="182">
        <f>_xlfn.IFNA(_xlfn.XLOOKUP(X164,'00_SKU_Master'!$B$2:$B$379,'00_SKU_Master'!$F$2:$F$379,0)*AE164,"")</f>
        <v>0</v>
      </c>
      <c r="K164" s="183">
        <f t="shared" si="10"/>
        <v>0</v>
      </c>
      <c r="L164" s="184" t="str">
        <f>_xlfn.XLOOKUP(X164,'00_SKU_Master'!$B$2:$B$379,'00_SKU_Master'!$K$2:$K$379)</f>
        <v>Fast</v>
      </c>
      <c r="M164" s="185">
        <f t="shared" si="11"/>
        <v>7378</v>
      </c>
      <c r="N164" s="186">
        <f>IFERROR(D164/_xlfn.XLOOKUP($M164,'00_SKU_Master'!$B$2:$B$379,'00_SKU_Master'!$M$2:$M$379,0),"0")</f>
        <v>0</v>
      </c>
      <c r="O164" s="186">
        <f>IFERROR(E164/_xlfn.XLOOKUP($M164,'00_SKU_Master'!$B$2:$B$379,'00_SKU_Master'!$M$2:$M$379,0),"0")</f>
        <v>0</v>
      </c>
      <c r="P164" s="186">
        <f>IFERROR(F164/_xlfn.XLOOKUP($M164,'00_SKU_Master'!$B$2:$B$379,'00_SKU_Master'!$M$2:$M$379,0),"0")</f>
        <v>0</v>
      </c>
      <c r="Q164" s="186">
        <f>IFERROR(G164/_xlfn.XLOOKUP($M164,'00_SKU_Master'!$B$2:$B$379,'00_SKU_Master'!$M$2:$M$379,0),"0")</f>
        <v>0</v>
      </c>
      <c r="R164" s="186">
        <f>IFERROR(H164/_xlfn.XLOOKUP($M164,'00_SKU_Master'!$B$2:$B$379,'00_SKU_Master'!$M$2:$M$379,0),"0")</f>
        <v>0</v>
      </c>
      <c r="S164" s="186">
        <f>IFERROR(I164/_xlfn.XLOOKUP($M164,'00_SKU_Master'!$B$2:$B$379,'00_SKU_Master'!$M$2:$M$379,0),"0")</f>
        <v>0</v>
      </c>
      <c r="T164" s="186">
        <f>IFERROR(J164/_xlfn.XLOOKUP($M164,'00_SKU_Master'!$B$2:$B$379,'00_SKU_Master'!$M$2:$M$379,0),"0")</f>
        <v>0</v>
      </c>
      <c r="U164" s="186">
        <f t="shared" si="12"/>
        <v>0</v>
      </c>
      <c r="V164" s="186" t="str">
        <f>_xlfn.XLOOKUP(M164,'00_SKU_Master'!$B$2:$B$379,'00_SKU_Master'!$D$2:$D$379)</f>
        <v>LCL</v>
      </c>
      <c r="W164" s="1"/>
      <c r="X164" s="2">
        <f>'05_Daily_Orders'!C165</f>
        <v>7378</v>
      </c>
      <c r="Y164" s="289"/>
      <c r="Z164" s="289">
        <v>0</v>
      </c>
      <c r="AA164" s="289">
        <v>0</v>
      </c>
      <c r="AB164" s="289">
        <v>0</v>
      </c>
      <c r="AC164" s="289">
        <v>0</v>
      </c>
      <c r="AD164" s="289">
        <v>0</v>
      </c>
      <c r="AE164" s="289">
        <v>0</v>
      </c>
      <c r="AF164" s="7">
        <f t="shared" si="13"/>
        <v>0</v>
      </c>
      <c r="AQ164" s="70">
        <v>0</v>
      </c>
      <c r="AR164" s="70">
        <v>0</v>
      </c>
      <c r="AS164" s="3">
        <f t="shared" si="14"/>
        <v>0</v>
      </c>
    </row>
    <row r="165" spans="1:45" x14ac:dyDescent="0.35">
      <c r="A165" s="181" t="str">
        <f>_xlfn.XLOOKUP(X165,'00_SKU_Master'!$B$2:$B$379,'00_SKU_Master'!$C$2:$C$379)</f>
        <v>61072#2</v>
      </c>
      <c r="B165" s="181" t="str">
        <f>_xlfn.XLOOKUP(X165,tblSKU[SKU],tblSKU[Product_Group])</f>
        <v>Drum</v>
      </c>
      <c r="C165" s="181" t="str">
        <f>_xlfn.XLOOKUP(X165,tblSKU[SKU],tblSKU[Tray_Type])</f>
        <v>ST 3XP</v>
      </c>
      <c r="D165" s="182">
        <f>_xlfn.IFNA(_xlfn.XLOOKUP(X165,'00_SKU_Master'!$B$2:$B$379,'00_SKU_Master'!$F$2:$F$379,0)*Y165,"")</f>
        <v>0</v>
      </c>
      <c r="E165" s="182">
        <f>_xlfn.IFNA(_xlfn.XLOOKUP(X165,'00_SKU_Master'!$B$2:$B$379,'00_SKU_Master'!$F$2:$F$379,0)*Z165,"")</f>
        <v>0</v>
      </c>
      <c r="F165" s="182">
        <f>_xlfn.IFNA(_xlfn.XLOOKUP(X165,'00_SKU_Master'!$B$2:$B$379,'00_SKU_Master'!$F$2:$F$379,0)*AA165,"")</f>
        <v>0</v>
      </c>
      <c r="G165" s="182">
        <f>_xlfn.IFNA(_xlfn.XLOOKUP(X165,'00_SKU_Master'!$B$2:$B$379,'00_SKU_Master'!$F$2:$F$379,0)*AB165,"")</f>
        <v>0</v>
      </c>
      <c r="H165" s="182">
        <f>_xlfn.IFNA(_xlfn.XLOOKUP(X165,'00_SKU_Master'!$B$2:$B$379,'00_SKU_Master'!$F$2:$F$379,0)*AC165,"")</f>
        <v>0</v>
      </c>
      <c r="I165" s="182">
        <f>_xlfn.IFNA(_xlfn.XLOOKUP(X165,'00_SKU_Master'!$B$2:$B$379,'00_SKU_Master'!$F$2:$F$379,0)*AD165,"")</f>
        <v>0</v>
      </c>
      <c r="J165" s="182">
        <f>_xlfn.IFNA(_xlfn.XLOOKUP(X165,'00_SKU_Master'!$B$2:$B$379,'00_SKU_Master'!$F$2:$F$379,0)*AE165,"")</f>
        <v>0</v>
      </c>
      <c r="K165" s="183">
        <f t="shared" si="10"/>
        <v>0</v>
      </c>
      <c r="L165" s="184" t="str">
        <f>_xlfn.XLOOKUP(X165,'00_SKU_Master'!$B$2:$B$379,'00_SKU_Master'!$K$2:$K$379)</f>
        <v>Fast</v>
      </c>
      <c r="M165" s="185">
        <f t="shared" si="11"/>
        <v>7396</v>
      </c>
      <c r="N165" s="186">
        <f>IFERROR(D165/_xlfn.XLOOKUP($M165,'00_SKU_Master'!$B$2:$B$379,'00_SKU_Master'!$M$2:$M$379,0),"0")</f>
        <v>0</v>
      </c>
      <c r="O165" s="186">
        <f>IFERROR(E165/_xlfn.XLOOKUP($M165,'00_SKU_Master'!$B$2:$B$379,'00_SKU_Master'!$M$2:$M$379,0),"0")</f>
        <v>0</v>
      </c>
      <c r="P165" s="186">
        <f>IFERROR(F165/_xlfn.XLOOKUP($M165,'00_SKU_Master'!$B$2:$B$379,'00_SKU_Master'!$M$2:$M$379,0),"0")</f>
        <v>0</v>
      </c>
      <c r="Q165" s="186">
        <f>IFERROR(G165/_xlfn.XLOOKUP($M165,'00_SKU_Master'!$B$2:$B$379,'00_SKU_Master'!$M$2:$M$379,0),"0")</f>
        <v>0</v>
      </c>
      <c r="R165" s="186">
        <f>IFERROR(H165/_xlfn.XLOOKUP($M165,'00_SKU_Master'!$B$2:$B$379,'00_SKU_Master'!$M$2:$M$379,0),"0")</f>
        <v>0</v>
      </c>
      <c r="S165" s="186">
        <f>IFERROR(I165/_xlfn.XLOOKUP($M165,'00_SKU_Master'!$B$2:$B$379,'00_SKU_Master'!$M$2:$M$379,0),"0")</f>
        <v>0</v>
      </c>
      <c r="T165" s="186">
        <f>IFERROR(J165/_xlfn.XLOOKUP($M165,'00_SKU_Master'!$B$2:$B$379,'00_SKU_Master'!$M$2:$M$379,0),"0")</f>
        <v>0</v>
      </c>
      <c r="U165" s="186">
        <f t="shared" si="12"/>
        <v>0</v>
      </c>
      <c r="V165" s="186" t="str">
        <f>_xlfn.XLOOKUP(M165,'00_SKU_Master'!$B$2:$B$379,'00_SKU_Master'!$D$2:$D$379)</f>
        <v>FB</v>
      </c>
      <c r="W165" s="1"/>
      <c r="X165" s="2">
        <f>'05_Daily_Orders'!C166</f>
        <v>7396</v>
      </c>
      <c r="Y165" s="289"/>
      <c r="Z165" s="289">
        <v>0</v>
      </c>
      <c r="AA165" s="289">
        <v>0</v>
      </c>
      <c r="AB165" s="289">
        <v>0</v>
      </c>
      <c r="AC165" s="289">
        <v>0</v>
      </c>
      <c r="AD165" s="289">
        <v>0</v>
      </c>
      <c r="AE165" s="289">
        <v>0</v>
      </c>
      <c r="AF165" s="7">
        <f t="shared" si="13"/>
        <v>0</v>
      </c>
      <c r="AQ165" s="70">
        <v>0</v>
      </c>
      <c r="AR165" s="70">
        <v>0</v>
      </c>
      <c r="AS165" s="3">
        <f t="shared" si="14"/>
        <v>0</v>
      </c>
    </row>
    <row r="166" spans="1:45" x14ac:dyDescent="0.35">
      <c r="A166" s="181">
        <f>_xlfn.XLOOKUP(X166,'00_SKU_Master'!$B$2:$B$379,'00_SKU_Master'!$C$2:$C$379)</f>
        <v>61082</v>
      </c>
      <c r="B166" s="181" t="str">
        <f>_xlfn.XLOOKUP(X166,tblSKU[SKU],tblSKU[Product_Group])</f>
        <v>Thigh</v>
      </c>
      <c r="C166" s="181" t="str">
        <f>_xlfn.XLOOKUP(X166,tblSKU[SKU],tblSKU[Tray_Type])</f>
        <v>ST 3XP</v>
      </c>
      <c r="D166" s="182">
        <f>_xlfn.IFNA(_xlfn.XLOOKUP(X166,'00_SKU_Master'!$B$2:$B$379,'00_SKU_Master'!$F$2:$F$379,0)*Y166,"")</f>
        <v>0</v>
      </c>
      <c r="E166" s="182">
        <f>_xlfn.IFNA(_xlfn.XLOOKUP(X166,'00_SKU_Master'!$B$2:$B$379,'00_SKU_Master'!$F$2:$F$379,0)*Z166,"")</f>
        <v>0</v>
      </c>
      <c r="F166" s="182">
        <f>_xlfn.IFNA(_xlfn.XLOOKUP(X166,'00_SKU_Master'!$B$2:$B$379,'00_SKU_Master'!$F$2:$F$379,0)*AA166,"")</f>
        <v>0</v>
      </c>
      <c r="G166" s="182">
        <f>_xlfn.IFNA(_xlfn.XLOOKUP(X166,'00_SKU_Master'!$B$2:$B$379,'00_SKU_Master'!$F$2:$F$379,0)*AB166,"")</f>
        <v>0</v>
      </c>
      <c r="H166" s="182">
        <f>_xlfn.IFNA(_xlfn.XLOOKUP(X166,'00_SKU_Master'!$B$2:$B$379,'00_SKU_Master'!$F$2:$F$379,0)*AC166,"")</f>
        <v>0</v>
      </c>
      <c r="I166" s="182">
        <f>_xlfn.IFNA(_xlfn.XLOOKUP(X166,'00_SKU_Master'!$B$2:$B$379,'00_SKU_Master'!$F$2:$F$379,0)*AD166,"")</f>
        <v>0</v>
      </c>
      <c r="J166" s="182">
        <f>_xlfn.IFNA(_xlfn.XLOOKUP(X166,'00_SKU_Master'!$B$2:$B$379,'00_SKU_Master'!$F$2:$F$379,0)*AE166,"")</f>
        <v>0</v>
      </c>
      <c r="K166" s="183">
        <f t="shared" si="10"/>
        <v>0</v>
      </c>
      <c r="L166" s="184" t="str">
        <f>_xlfn.XLOOKUP(X166,'00_SKU_Master'!$B$2:$B$379,'00_SKU_Master'!$K$2:$K$379)</f>
        <v>Fast</v>
      </c>
      <c r="M166" s="185">
        <f t="shared" si="11"/>
        <v>7397</v>
      </c>
      <c r="N166" s="186">
        <f>IFERROR(D166/_xlfn.XLOOKUP($M166,'00_SKU_Master'!$B$2:$B$379,'00_SKU_Master'!$M$2:$M$379,0),"0")</f>
        <v>0</v>
      </c>
      <c r="O166" s="186">
        <f>IFERROR(E166/_xlfn.XLOOKUP($M166,'00_SKU_Master'!$B$2:$B$379,'00_SKU_Master'!$M$2:$M$379,0),"0")</f>
        <v>0</v>
      </c>
      <c r="P166" s="186">
        <f>IFERROR(F166/_xlfn.XLOOKUP($M166,'00_SKU_Master'!$B$2:$B$379,'00_SKU_Master'!$M$2:$M$379,0),"0")</f>
        <v>0</v>
      </c>
      <c r="Q166" s="186">
        <f>IFERROR(G166/_xlfn.XLOOKUP($M166,'00_SKU_Master'!$B$2:$B$379,'00_SKU_Master'!$M$2:$M$379,0),"0")</f>
        <v>0</v>
      </c>
      <c r="R166" s="186">
        <f>IFERROR(H166/_xlfn.XLOOKUP($M166,'00_SKU_Master'!$B$2:$B$379,'00_SKU_Master'!$M$2:$M$379,0),"0")</f>
        <v>0</v>
      </c>
      <c r="S166" s="186">
        <f>IFERROR(I166/_xlfn.XLOOKUP($M166,'00_SKU_Master'!$B$2:$B$379,'00_SKU_Master'!$M$2:$M$379,0),"0")</f>
        <v>0</v>
      </c>
      <c r="T166" s="186">
        <f>IFERROR(J166/_xlfn.XLOOKUP($M166,'00_SKU_Master'!$B$2:$B$379,'00_SKU_Master'!$M$2:$M$379,0),"0")</f>
        <v>0</v>
      </c>
      <c r="U166" s="186">
        <f t="shared" si="12"/>
        <v>0</v>
      </c>
      <c r="V166" s="186" t="str">
        <f>_xlfn.XLOOKUP(M166,'00_SKU_Master'!$B$2:$B$379,'00_SKU_Master'!$D$2:$D$379)</f>
        <v>FB</v>
      </c>
      <c r="W166" s="1"/>
      <c r="X166" s="2">
        <f>'05_Daily_Orders'!C167</f>
        <v>7397</v>
      </c>
      <c r="Y166" s="289"/>
      <c r="Z166" s="289">
        <v>0</v>
      </c>
      <c r="AA166" s="289">
        <v>0</v>
      </c>
      <c r="AB166" s="289">
        <v>0</v>
      </c>
      <c r="AC166" s="289">
        <v>0</v>
      </c>
      <c r="AD166" s="289">
        <v>0</v>
      </c>
      <c r="AE166" s="289">
        <v>0</v>
      </c>
      <c r="AF166" s="7">
        <f t="shared" si="13"/>
        <v>0</v>
      </c>
      <c r="AQ166" s="70">
        <v>0</v>
      </c>
      <c r="AR166" s="70">
        <v>0</v>
      </c>
      <c r="AS166" s="3">
        <f t="shared" si="14"/>
        <v>0</v>
      </c>
    </row>
    <row r="167" spans="1:45" x14ac:dyDescent="0.35">
      <c r="A167" s="181" t="str">
        <f>_xlfn.XLOOKUP(X167,'00_SKU_Master'!$B$2:$B$379,'00_SKU_Master'!$C$2:$C$379)</f>
        <v>61050#2</v>
      </c>
      <c r="B167" s="181" t="str">
        <f>_xlfn.XLOOKUP(X167,tblSKU[SKU],tblSKU[Product_Group])</f>
        <v>BSB</v>
      </c>
      <c r="C167" s="181" t="str">
        <f>_xlfn.XLOOKUP(X167,tblSKU[SKU],tblSKU[Tray_Type])</f>
        <v>LT 8XP</v>
      </c>
      <c r="D167" s="182">
        <f>_xlfn.IFNA(_xlfn.XLOOKUP(X167,'00_SKU_Master'!$B$2:$B$379,'00_SKU_Master'!$F$2:$F$379,0)*Y167,"")</f>
        <v>0</v>
      </c>
      <c r="E167" s="182">
        <f>_xlfn.IFNA(_xlfn.XLOOKUP(X167,'00_SKU_Master'!$B$2:$B$379,'00_SKU_Master'!$F$2:$F$379,0)*Z167,"")</f>
        <v>0</v>
      </c>
      <c r="F167" s="182">
        <f>_xlfn.IFNA(_xlfn.XLOOKUP(X167,'00_SKU_Master'!$B$2:$B$379,'00_SKU_Master'!$F$2:$F$379,0)*AA167,"")</f>
        <v>0</v>
      </c>
      <c r="G167" s="182">
        <f>_xlfn.IFNA(_xlfn.XLOOKUP(X167,'00_SKU_Master'!$B$2:$B$379,'00_SKU_Master'!$F$2:$F$379,0)*AB167,"")</f>
        <v>0</v>
      </c>
      <c r="H167" s="182">
        <f>_xlfn.IFNA(_xlfn.XLOOKUP(X167,'00_SKU_Master'!$B$2:$B$379,'00_SKU_Master'!$F$2:$F$379,0)*AC167,"")</f>
        <v>0</v>
      </c>
      <c r="I167" s="182">
        <f>_xlfn.IFNA(_xlfn.XLOOKUP(X167,'00_SKU_Master'!$B$2:$B$379,'00_SKU_Master'!$F$2:$F$379,0)*AD167,"")</f>
        <v>0</v>
      </c>
      <c r="J167" s="182">
        <f>_xlfn.IFNA(_xlfn.XLOOKUP(X167,'00_SKU_Master'!$B$2:$B$379,'00_SKU_Master'!$F$2:$F$379,0)*AE167,"")</f>
        <v>0</v>
      </c>
      <c r="K167" s="183">
        <f t="shared" si="10"/>
        <v>0</v>
      </c>
      <c r="L167" s="184" t="str">
        <f>_xlfn.XLOOKUP(X167,'00_SKU_Master'!$B$2:$B$379,'00_SKU_Master'!$K$2:$K$379)</f>
        <v>Fast</v>
      </c>
      <c r="M167" s="185">
        <f t="shared" si="11"/>
        <v>7398</v>
      </c>
      <c r="N167" s="186">
        <f>IFERROR(D167/_xlfn.XLOOKUP($M167,'00_SKU_Master'!$B$2:$B$379,'00_SKU_Master'!$M$2:$M$379,0),"0")</f>
        <v>0</v>
      </c>
      <c r="O167" s="186">
        <f>IFERROR(E167/_xlfn.XLOOKUP($M167,'00_SKU_Master'!$B$2:$B$379,'00_SKU_Master'!$M$2:$M$379,0),"0")</f>
        <v>0</v>
      </c>
      <c r="P167" s="186">
        <f>IFERROR(F167/_xlfn.XLOOKUP($M167,'00_SKU_Master'!$B$2:$B$379,'00_SKU_Master'!$M$2:$M$379,0),"0")</f>
        <v>0</v>
      </c>
      <c r="Q167" s="186">
        <f>IFERROR(G167/_xlfn.XLOOKUP($M167,'00_SKU_Master'!$B$2:$B$379,'00_SKU_Master'!$M$2:$M$379,0),"0")</f>
        <v>0</v>
      </c>
      <c r="R167" s="186">
        <f>IFERROR(H167/_xlfn.XLOOKUP($M167,'00_SKU_Master'!$B$2:$B$379,'00_SKU_Master'!$M$2:$M$379,0),"0")</f>
        <v>0</v>
      </c>
      <c r="S167" s="186">
        <f>IFERROR(I167/_xlfn.XLOOKUP($M167,'00_SKU_Master'!$B$2:$B$379,'00_SKU_Master'!$M$2:$M$379,0),"0")</f>
        <v>0</v>
      </c>
      <c r="T167" s="186">
        <f>IFERROR(J167/_xlfn.XLOOKUP($M167,'00_SKU_Master'!$B$2:$B$379,'00_SKU_Master'!$M$2:$M$379,0),"0")</f>
        <v>0</v>
      </c>
      <c r="U167" s="186">
        <f t="shared" si="12"/>
        <v>0</v>
      </c>
      <c r="V167" s="186" t="str">
        <f>_xlfn.XLOOKUP(M167,'00_SKU_Master'!$B$2:$B$379,'00_SKU_Master'!$D$2:$D$379)</f>
        <v>FB</v>
      </c>
      <c r="W167" s="1"/>
      <c r="X167" s="2">
        <f>'05_Daily_Orders'!C168</f>
        <v>7398</v>
      </c>
      <c r="Y167" s="289"/>
      <c r="Z167" s="289">
        <v>0</v>
      </c>
      <c r="AA167" s="289">
        <v>0</v>
      </c>
      <c r="AB167" s="289">
        <v>0</v>
      </c>
      <c r="AC167" s="289">
        <v>0</v>
      </c>
      <c r="AD167" s="289">
        <v>0</v>
      </c>
      <c r="AE167" s="289">
        <v>0</v>
      </c>
      <c r="AF167" s="7">
        <f t="shared" si="13"/>
        <v>0</v>
      </c>
      <c r="AQ167" s="70">
        <v>0</v>
      </c>
      <c r="AR167" s="70">
        <v>0</v>
      </c>
      <c r="AS167" s="3">
        <f t="shared" si="14"/>
        <v>0</v>
      </c>
    </row>
    <row r="168" spans="1:45" x14ac:dyDescent="0.35">
      <c r="A168" s="181">
        <f>_xlfn.XLOOKUP(X168,'00_SKU_Master'!$B$2:$B$379,'00_SKU_Master'!$C$2:$C$379)</f>
        <v>203891</v>
      </c>
      <c r="B168" s="181" t="str">
        <f>_xlfn.XLOOKUP(X168,tblSKU[SKU],tblSKU[Product_Group])</f>
        <v>Whole Bird-Small</v>
      </c>
      <c r="C168" s="181" t="str">
        <f>_xlfn.XLOOKUP(X168,tblSKU[SKU],tblSKU[Tray_Type])</f>
        <v>ST 3XP</v>
      </c>
      <c r="D168" s="182">
        <f>_xlfn.IFNA(_xlfn.XLOOKUP(X168,'00_SKU_Master'!$B$2:$B$379,'00_SKU_Master'!$F$2:$F$379,0)*Y168,"")</f>
        <v>0</v>
      </c>
      <c r="E168" s="182">
        <f>_xlfn.IFNA(_xlfn.XLOOKUP(X168,'00_SKU_Master'!$B$2:$B$379,'00_SKU_Master'!$F$2:$F$379,0)*Z168,"")</f>
        <v>0</v>
      </c>
      <c r="F168" s="182">
        <f>_xlfn.IFNA(_xlfn.XLOOKUP(X168,'00_SKU_Master'!$B$2:$B$379,'00_SKU_Master'!$F$2:$F$379,0)*AA168,"")</f>
        <v>0</v>
      </c>
      <c r="G168" s="182">
        <f>_xlfn.IFNA(_xlfn.XLOOKUP(X168,'00_SKU_Master'!$B$2:$B$379,'00_SKU_Master'!$F$2:$F$379,0)*AB168,"")</f>
        <v>0</v>
      </c>
      <c r="H168" s="182">
        <f>_xlfn.IFNA(_xlfn.XLOOKUP(X168,'00_SKU_Master'!$B$2:$B$379,'00_SKU_Master'!$F$2:$F$379,0)*AC168,"")</f>
        <v>0</v>
      </c>
      <c r="I168" s="182">
        <f>_xlfn.IFNA(_xlfn.XLOOKUP(X168,'00_SKU_Master'!$B$2:$B$379,'00_SKU_Master'!$F$2:$F$379,0)*AD168,"")</f>
        <v>0</v>
      </c>
      <c r="J168" s="182">
        <f>_xlfn.IFNA(_xlfn.XLOOKUP(X168,'00_SKU_Master'!$B$2:$B$379,'00_SKU_Master'!$F$2:$F$379,0)*AE168,"")</f>
        <v>0</v>
      </c>
      <c r="K168" s="183">
        <f t="shared" si="10"/>
        <v>0</v>
      </c>
      <c r="L168" s="184" t="str">
        <f>_xlfn.XLOOKUP(X168,'00_SKU_Master'!$B$2:$B$379,'00_SKU_Master'!$K$2:$K$379)</f>
        <v>Fast</v>
      </c>
      <c r="M168" s="185">
        <f t="shared" si="11"/>
        <v>7416</v>
      </c>
      <c r="N168" s="186">
        <f>IFERROR(D168/_xlfn.XLOOKUP($M168,'00_SKU_Master'!$B$2:$B$379,'00_SKU_Master'!$M$2:$M$379,0),"0")</f>
        <v>0</v>
      </c>
      <c r="O168" s="186">
        <f>IFERROR(E168/_xlfn.XLOOKUP($M168,'00_SKU_Master'!$B$2:$B$379,'00_SKU_Master'!$M$2:$M$379,0),"0")</f>
        <v>0</v>
      </c>
      <c r="P168" s="186">
        <f>IFERROR(F168/_xlfn.XLOOKUP($M168,'00_SKU_Master'!$B$2:$B$379,'00_SKU_Master'!$M$2:$M$379,0),"0")</f>
        <v>0</v>
      </c>
      <c r="Q168" s="186">
        <f>IFERROR(G168/_xlfn.XLOOKUP($M168,'00_SKU_Master'!$B$2:$B$379,'00_SKU_Master'!$M$2:$M$379,0),"0")</f>
        <v>0</v>
      </c>
      <c r="R168" s="186">
        <f>IFERROR(H168/_xlfn.XLOOKUP($M168,'00_SKU_Master'!$B$2:$B$379,'00_SKU_Master'!$M$2:$M$379,0),"0")</f>
        <v>0</v>
      </c>
      <c r="S168" s="186">
        <f>IFERROR(I168/_xlfn.XLOOKUP($M168,'00_SKU_Master'!$B$2:$B$379,'00_SKU_Master'!$M$2:$M$379,0),"0")</f>
        <v>0</v>
      </c>
      <c r="T168" s="186">
        <f>IFERROR(J168/_xlfn.XLOOKUP($M168,'00_SKU_Master'!$B$2:$B$379,'00_SKU_Master'!$M$2:$M$379,0),"0")</f>
        <v>0</v>
      </c>
      <c r="U168" s="186">
        <f t="shared" si="12"/>
        <v>0</v>
      </c>
      <c r="V168" s="186" t="str">
        <f>_xlfn.XLOOKUP(M168,'00_SKU_Master'!$B$2:$B$379,'00_SKU_Master'!$D$2:$D$379)</f>
        <v>FB</v>
      </c>
      <c r="W168" s="1"/>
      <c r="X168" s="2">
        <f>'05_Daily_Orders'!C169</f>
        <v>7416</v>
      </c>
      <c r="Y168" s="289"/>
      <c r="Z168" s="289">
        <v>0</v>
      </c>
      <c r="AA168" s="289">
        <v>0</v>
      </c>
      <c r="AB168" s="289">
        <v>0</v>
      </c>
      <c r="AC168" s="289">
        <v>0</v>
      </c>
      <c r="AD168" s="289">
        <v>0</v>
      </c>
      <c r="AE168" s="289">
        <v>0</v>
      </c>
      <c r="AF168" s="7">
        <f t="shared" si="13"/>
        <v>0</v>
      </c>
      <c r="AQ168" s="70">
        <v>0</v>
      </c>
      <c r="AR168" s="70">
        <v>0</v>
      </c>
      <c r="AS168" s="3">
        <f t="shared" si="14"/>
        <v>0</v>
      </c>
    </row>
    <row r="169" spans="1:45" x14ac:dyDescent="0.35">
      <c r="A169" s="181" t="str">
        <f>_xlfn.XLOOKUP(X169,'00_SKU_Master'!$B$2:$B$379,'00_SKU_Master'!$C$2:$C$379)</f>
        <v>61086#2</v>
      </c>
      <c r="B169" s="181" t="str">
        <f>_xlfn.XLOOKUP(X169,tblSKU[SKU],tblSKU[Product_Group])</f>
        <v>ThighMeat</v>
      </c>
      <c r="C169" s="181" t="str">
        <f>_xlfn.XLOOKUP(X169,tblSKU[SKU],tblSKU[Tray_Type])</f>
        <v>ST 3XP</v>
      </c>
      <c r="D169" s="182">
        <f>_xlfn.IFNA(_xlfn.XLOOKUP(X169,'00_SKU_Master'!$B$2:$B$379,'00_SKU_Master'!$F$2:$F$379,0)*Y169,"")</f>
        <v>0</v>
      </c>
      <c r="E169" s="182">
        <f>_xlfn.IFNA(_xlfn.XLOOKUP(X169,'00_SKU_Master'!$B$2:$B$379,'00_SKU_Master'!$F$2:$F$379,0)*Z169,"")</f>
        <v>0</v>
      </c>
      <c r="F169" s="182">
        <f>_xlfn.IFNA(_xlfn.XLOOKUP(X169,'00_SKU_Master'!$B$2:$B$379,'00_SKU_Master'!$F$2:$F$379,0)*AA169,"")</f>
        <v>0</v>
      </c>
      <c r="G169" s="182">
        <f>_xlfn.IFNA(_xlfn.XLOOKUP(X169,'00_SKU_Master'!$B$2:$B$379,'00_SKU_Master'!$F$2:$F$379,0)*AB169,"")</f>
        <v>0</v>
      </c>
      <c r="H169" s="182">
        <f>_xlfn.IFNA(_xlfn.XLOOKUP(X169,'00_SKU_Master'!$B$2:$B$379,'00_SKU_Master'!$F$2:$F$379,0)*AC169,"")</f>
        <v>0</v>
      </c>
      <c r="I169" s="182">
        <f>_xlfn.IFNA(_xlfn.XLOOKUP(X169,'00_SKU_Master'!$B$2:$B$379,'00_SKU_Master'!$F$2:$F$379,0)*AD169,"")</f>
        <v>0</v>
      </c>
      <c r="J169" s="182">
        <f>_xlfn.IFNA(_xlfn.XLOOKUP(X169,'00_SKU_Master'!$B$2:$B$379,'00_SKU_Master'!$F$2:$F$379,0)*AE169,"")</f>
        <v>0</v>
      </c>
      <c r="K169" s="183">
        <f t="shared" si="10"/>
        <v>0</v>
      </c>
      <c r="L169" s="184" t="str">
        <f>_xlfn.XLOOKUP(X169,'00_SKU_Master'!$B$2:$B$379,'00_SKU_Master'!$K$2:$K$379)</f>
        <v>Slow</v>
      </c>
      <c r="M169" s="185">
        <f t="shared" si="11"/>
        <v>7522</v>
      </c>
      <c r="N169" s="186">
        <f>IFERROR(D169/_xlfn.XLOOKUP($M169,'00_SKU_Master'!$B$2:$B$379,'00_SKU_Master'!$M$2:$M$379,0),"0")</f>
        <v>0</v>
      </c>
      <c r="O169" s="186">
        <f>IFERROR(E169/_xlfn.XLOOKUP($M169,'00_SKU_Master'!$B$2:$B$379,'00_SKU_Master'!$M$2:$M$379,0),"0")</f>
        <v>0</v>
      </c>
      <c r="P169" s="186">
        <f>IFERROR(F169/_xlfn.XLOOKUP($M169,'00_SKU_Master'!$B$2:$B$379,'00_SKU_Master'!$M$2:$M$379,0),"0")</f>
        <v>0</v>
      </c>
      <c r="Q169" s="186">
        <f>IFERROR(G169/_xlfn.XLOOKUP($M169,'00_SKU_Master'!$B$2:$B$379,'00_SKU_Master'!$M$2:$M$379,0),"0")</f>
        <v>0</v>
      </c>
      <c r="R169" s="186">
        <f>IFERROR(H169/_xlfn.XLOOKUP($M169,'00_SKU_Master'!$B$2:$B$379,'00_SKU_Master'!$M$2:$M$379,0),"0")</f>
        <v>0</v>
      </c>
      <c r="S169" s="186">
        <f>IFERROR(I169/_xlfn.XLOOKUP($M169,'00_SKU_Master'!$B$2:$B$379,'00_SKU_Master'!$M$2:$M$379,0),"0")</f>
        <v>0</v>
      </c>
      <c r="T169" s="186">
        <f>IFERROR(J169/_xlfn.XLOOKUP($M169,'00_SKU_Master'!$B$2:$B$379,'00_SKU_Master'!$M$2:$M$379,0),"0")</f>
        <v>0</v>
      </c>
      <c r="U169" s="186">
        <f t="shared" si="12"/>
        <v>0</v>
      </c>
      <c r="V169" s="186" t="str">
        <f>_xlfn.XLOOKUP(M169,'00_SKU_Master'!$B$2:$B$379,'00_SKU_Master'!$D$2:$D$379)</f>
        <v>FB</v>
      </c>
      <c r="W169" s="1"/>
      <c r="X169" s="2">
        <f>'05_Daily_Orders'!C170</f>
        <v>7522</v>
      </c>
      <c r="Y169" s="289"/>
      <c r="Z169" s="289">
        <v>0</v>
      </c>
      <c r="AA169" s="289">
        <v>0</v>
      </c>
      <c r="AB169" s="289">
        <v>0</v>
      </c>
      <c r="AC169" s="289">
        <v>0</v>
      </c>
      <c r="AD169" s="289">
        <v>0</v>
      </c>
      <c r="AE169" s="289">
        <v>0</v>
      </c>
      <c r="AF169" s="7">
        <f t="shared" si="13"/>
        <v>0</v>
      </c>
      <c r="AQ169" s="70">
        <v>0</v>
      </c>
      <c r="AR169" s="70">
        <v>0</v>
      </c>
      <c r="AS169" s="3">
        <f t="shared" si="14"/>
        <v>0</v>
      </c>
    </row>
    <row r="170" spans="1:45" x14ac:dyDescent="0.35">
      <c r="A170" s="181" t="str">
        <f>_xlfn.XLOOKUP(X170,'00_SKU_Master'!$B$2:$B$379,'00_SKU_Master'!$C$2:$C$379)</f>
        <v>61040#2</v>
      </c>
      <c r="B170" s="181" t="str">
        <f>_xlfn.XLOOKUP(X170,tblSKU[SKU],tblSKU[Product_Group])</f>
        <v>SplitBreast</v>
      </c>
      <c r="C170" s="181" t="str">
        <f>_xlfn.XLOOKUP(X170,tblSKU[SKU],tblSKU[Tray_Type])</f>
        <v>ST 3XP</v>
      </c>
      <c r="D170" s="182">
        <f>_xlfn.IFNA(_xlfn.XLOOKUP(X170,'00_SKU_Master'!$B$2:$B$379,'00_SKU_Master'!$F$2:$F$379,0)*Y170,"")</f>
        <v>0</v>
      </c>
      <c r="E170" s="182">
        <f>_xlfn.IFNA(_xlfn.XLOOKUP(X170,'00_SKU_Master'!$B$2:$B$379,'00_SKU_Master'!$F$2:$F$379,0)*Z170,"")</f>
        <v>0</v>
      </c>
      <c r="F170" s="182">
        <f>_xlfn.IFNA(_xlfn.XLOOKUP(X170,'00_SKU_Master'!$B$2:$B$379,'00_SKU_Master'!$F$2:$F$379,0)*AA170,"")</f>
        <v>0</v>
      </c>
      <c r="G170" s="182">
        <f>_xlfn.IFNA(_xlfn.XLOOKUP(X170,'00_SKU_Master'!$B$2:$B$379,'00_SKU_Master'!$F$2:$F$379,0)*AB170,"")</f>
        <v>0</v>
      </c>
      <c r="H170" s="182">
        <f>_xlfn.IFNA(_xlfn.XLOOKUP(X170,'00_SKU_Master'!$B$2:$B$379,'00_SKU_Master'!$F$2:$F$379,0)*AC170,"")</f>
        <v>0</v>
      </c>
      <c r="I170" s="182">
        <f>_xlfn.IFNA(_xlfn.XLOOKUP(X170,'00_SKU_Master'!$B$2:$B$379,'00_SKU_Master'!$F$2:$F$379,0)*AD170,"")</f>
        <v>0</v>
      </c>
      <c r="J170" s="182">
        <f>_xlfn.IFNA(_xlfn.XLOOKUP(X170,'00_SKU_Master'!$B$2:$B$379,'00_SKU_Master'!$F$2:$F$379,0)*AE170,"")</f>
        <v>0</v>
      </c>
      <c r="K170" s="183">
        <f t="shared" si="10"/>
        <v>0</v>
      </c>
      <c r="L170" s="184" t="str">
        <f>_xlfn.XLOOKUP(X170,'00_SKU_Master'!$B$2:$B$379,'00_SKU_Master'!$K$2:$K$379)</f>
        <v>Fast</v>
      </c>
      <c r="M170" s="185">
        <f t="shared" si="11"/>
        <v>7553</v>
      </c>
      <c r="N170" s="186">
        <f>IFERROR(D170/_xlfn.XLOOKUP($M170,'00_SKU_Master'!$B$2:$B$379,'00_SKU_Master'!$M$2:$M$379,0),"0")</f>
        <v>0</v>
      </c>
      <c r="O170" s="186">
        <f>IFERROR(E170/_xlfn.XLOOKUP($M170,'00_SKU_Master'!$B$2:$B$379,'00_SKU_Master'!$M$2:$M$379,0),"0")</f>
        <v>0</v>
      </c>
      <c r="P170" s="186">
        <f>IFERROR(F170/_xlfn.XLOOKUP($M170,'00_SKU_Master'!$B$2:$B$379,'00_SKU_Master'!$M$2:$M$379,0),"0")</f>
        <v>0</v>
      </c>
      <c r="Q170" s="186">
        <f>IFERROR(G170/_xlfn.XLOOKUP($M170,'00_SKU_Master'!$B$2:$B$379,'00_SKU_Master'!$M$2:$M$379,0),"0")</f>
        <v>0</v>
      </c>
      <c r="R170" s="186">
        <f>IFERROR(H170/_xlfn.XLOOKUP($M170,'00_SKU_Master'!$B$2:$B$379,'00_SKU_Master'!$M$2:$M$379,0),"0")</f>
        <v>0</v>
      </c>
      <c r="S170" s="186">
        <f>IFERROR(I170/_xlfn.XLOOKUP($M170,'00_SKU_Master'!$B$2:$B$379,'00_SKU_Master'!$M$2:$M$379,0),"0")</f>
        <v>0</v>
      </c>
      <c r="T170" s="186">
        <f>IFERROR(J170/_xlfn.XLOOKUP($M170,'00_SKU_Master'!$B$2:$B$379,'00_SKU_Master'!$M$2:$M$379,0),"0")</f>
        <v>0</v>
      </c>
      <c r="U170" s="186">
        <f t="shared" si="12"/>
        <v>0</v>
      </c>
      <c r="V170" s="186" t="str">
        <f>_xlfn.XLOOKUP(M170,'00_SKU_Master'!$B$2:$B$379,'00_SKU_Master'!$D$2:$D$379)</f>
        <v>FB</v>
      </c>
      <c r="W170" s="1"/>
      <c r="X170" s="2">
        <f>'05_Daily_Orders'!C171</f>
        <v>7553</v>
      </c>
      <c r="Y170" s="289"/>
      <c r="Z170" s="289">
        <v>0</v>
      </c>
      <c r="AA170" s="289">
        <v>0</v>
      </c>
      <c r="AB170" s="289">
        <v>0</v>
      </c>
      <c r="AC170" s="289">
        <v>0</v>
      </c>
      <c r="AD170" s="289">
        <v>0</v>
      </c>
      <c r="AE170" s="289">
        <v>0</v>
      </c>
      <c r="AF170" s="7">
        <f t="shared" si="13"/>
        <v>0</v>
      </c>
      <c r="AQ170" s="70">
        <v>0</v>
      </c>
      <c r="AR170" s="70">
        <v>0</v>
      </c>
      <c r="AS170" s="3">
        <f t="shared" si="14"/>
        <v>0</v>
      </c>
    </row>
    <row r="171" spans="1:45" x14ac:dyDescent="0.35">
      <c r="A171" s="181" t="str">
        <f>_xlfn.XLOOKUP(X171,'00_SKU_Master'!$B$2:$B$379,'00_SKU_Master'!$C$2:$C$379)</f>
        <v>61048#2</v>
      </c>
      <c r="B171" s="181" t="str">
        <f>_xlfn.XLOOKUP(X171,tblSKU[SKU],tblSKU[Product_Group])</f>
        <v>SplitBreast</v>
      </c>
      <c r="C171" s="181" t="str">
        <f>_xlfn.XLOOKUP(X171,tblSKU[SKU],tblSKU[Tray_Type])</f>
        <v>ST 3XP</v>
      </c>
      <c r="D171" s="182">
        <f>_xlfn.IFNA(_xlfn.XLOOKUP(X171,'00_SKU_Master'!$B$2:$B$379,'00_SKU_Master'!$F$2:$F$379,0)*Y171,"")</f>
        <v>0</v>
      </c>
      <c r="E171" s="182">
        <f>_xlfn.IFNA(_xlfn.XLOOKUP(X171,'00_SKU_Master'!$B$2:$B$379,'00_SKU_Master'!$F$2:$F$379,0)*Z171,"")</f>
        <v>0</v>
      </c>
      <c r="F171" s="182">
        <f>_xlfn.IFNA(_xlfn.XLOOKUP(X171,'00_SKU_Master'!$B$2:$B$379,'00_SKU_Master'!$F$2:$F$379,0)*AA171,"")</f>
        <v>0</v>
      </c>
      <c r="G171" s="182">
        <f>_xlfn.IFNA(_xlfn.XLOOKUP(X171,'00_SKU_Master'!$B$2:$B$379,'00_SKU_Master'!$F$2:$F$379,0)*AB171,"")</f>
        <v>0</v>
      </c>
      <c r="H171" s="182">
        <f>_xlfn.IFNA(_xlfn.XLOOKUP(X171,'00_SKU_Master'!$B$2:$B$379,'00_SKU_Master'!$F$2:$F$379,0)*AC171,"")</f>
        <v>0</v>
      </c>
      <c r="I171" s="182">
        <f>_xlfn.IFNA(_xlfn.XLOOKUP(X171,'00_SKU_Master'!$B$2:$B$379,'00_SKU_Master'!$F$2:$F$379,0)*AD171,"")</f>
        <v>0</v>
      </c>
      <c r="J171" s="182">
        <f>_xlfn.IFNA(_xlfn.XLOOKUP(X171,'00_SKU_Master'!$B$2:$B$379,'00_SKU_Master'!$F$2:$F$379,0)*AE171,"")</f>
        <v>0</v>
      </c>
      <c r="K171" s="183">
        <f t="shared" si="10"/>
        <v>0</v>
      </c>
      <c r="L171" s="184" t="str">
        <f>_xlfn.XLOOKUP(X171,'00_SKU_Master'!$B$2:$B$379,'00_SKU_Master'!$K$2:$K$379)</f>
        <v>Fast</v>
      </c>
      <c r="M171" s="185">
        <f t="shared" si="11"/>
        <v>7554</v>
      </c>
      <c r="N171" s="186">
        <f>IFERROR(D171/_xlfn.XLOOKUP($M171,'00_SKU_Master'!$B$2:$B$379,'00_SKU_Master'!$M$2:$M$379,0),"0")</f>
        <v>0</v>
      </c>
      <c r="O171" s="186">
        <f>IFERROR(E171/_xlfn.XLOOKUP($M171,'00_SKU_Master'!$B$2:$B$379,'00_SKU_Master'!$M$2:$M$379,0),"0")</f>
        <v>0</v>
      </c>
      <c r="P171" s="186">
        <f>IFERROR(F171/_xlfn.XLOOKUP($M171,'00_SKU_Master'!$B$2:$B$379,'00_SKU_Master'!$M$2:$M$379,0),"0")</f>
        <v>0</v>
      </c>
      <c r="Q171" s="186">
        <f>IFERROR(G171/_xlfn.XLOOKUP($M171,'00_SKU_Master'!$B$2:$B$379,'00_SKU_Master'!$M$2:$M$379,0),"0")</f>
        <v>0</v>
      </c>
      <c r="R171" s="186">
        <f>IFERROR(H171/_xlfn.XLOOKUP($M171,'00_SKU_Master'!$B$2:$B$379,'00_SKU_Master'!$M$2:$M$379,0),"0")</f>
        <v>0</v>
      </c>
      <c r="S171" s="186">
        <f>IFERROR(I171/_xlfn.XLOOKUP($M171,'00_SKU_Master'!$B$2:$B$379,'00_SKU_Master'!$M$2:$M$379,0),"0")</f>
        <v>0</v>
      </c>
      <c r="T171" s="186">
        <f>IFERROR(J171/_xlfn.XLOOKUP($M171,'00_SKU_Master'!$B$2:$B$379,'00_SKU_Master'!$M$2:$M$379,0),"0")</f>
        <v>0</v>
      </c>
      <c r="U171" s="186">
        <f t="shared" si="12"/>
        <v>0</v>
      </c>
      <c r="V171" s="186" t="str">
        <f>_xlfn.XLOOKUP(M171,'00_SKU_Master'!$B$2:$B$379,'00_SKU_Master'!$D$2:$D$379)</f>
        <v>FB</v>
      </c>
      <c r="W171" s="1"/>
      <c r="X171" s="2">
        <f>'05_Daily_Orders'!C172</f>
        <v>7554</v>
      </c>
      <c r="Y171" s="289"/>
      <c r="Z171" s="289">
        <v>0</v>
      </c>
      <c r="AA171" s="289">
        <v>0</v>
      </c>
      <c r="AB171" s="289">
        <v>0</v>
      </c>
      <c r="AC171" s="289">
        <v>0</v>
      </c>
      <c r="AD171" s="289">
        <v>0</v>
      </c>
      <c r="AE171" s="289">
        <v>0</v>
      </c>
      <c r="AF171" s="7">
        <f t="shared" si="13"/>
        <v>0</v>
      </c>
      <c r="AQ171" s="70">
        <v>0</v>
      </c>
      <c r="AR171" s="70">
        <v>0</v>
      </c>
      <c r="AS171" s="3">
        <f t="shared" si="14"/>
        <v>0</v>
      </c>
    </row>
    <row r="172" spans="1:45" x14ac:dyDescent="0.35">
      <c r="A172" s="181" t="str">
        <f>_xlfn.XLOOKUP(X172,'00_SKU_Master'!$B$2:$B$379,'00_SKU_Master'!$C$2:$C$379)</f>
        <v>61048#2</v>
      </c>
      <c r="B172" s="181" t="str">
        <f>_xlfn.XLOOKUP(X172,tblSKU[SKU],tblSKU[Product_Group])</f>
        <v>SplitBreast</v>
      </c>
      <c r="C172" s="181" t="str">
        <f>_xlfn.XLOOKUP(X172,tblSKU[SKU],tblSKU[Tray_Type])</f>
        <v>LT 8XP</v>
      </c>
      <c r="D172" s="182">
        <f>_xlfn.IFNA(_xlfn.XLOOKUP(X172,'00_SKU_Master'!$B$2:$B$379,'00_SKU_Master'!$F$2:$F$379,0)*Y172,"")</f>
        <v>0</v>
      </c>
      <c r="E172" s="182">
        <f>_xlfn.IFNA(_xlfn.XLOOKUP(X172,'00_SKU_Master'!$B$2:$B$379,'00_SKU_Master'!$F$2:$F$379,0)*Z172,"")</f>
        <v>0</v>
      </c>
      <c r="F172" s="182">
        <f>_xlfn.IFNA(_xlfn.XLOOKUP(X172,'00_SKU_Master'!$B$2:$B$379,'00_SKU_Master'!$F$2:$F$379,0)*AA172,"")</f>
        <v>0</v>
      </c>
      <c r="G172" s="182">
        <f>_xlfn.IFNA(_xlfn.XLOOKUP(X172,'00_SKU_Master'!$B$2:$B$379,'00_SKU_Master'!$F$2:$F$379,0)*AB172,"")</f>
        <v>0</v>
      </c>
      <c r="H172" s="182">
        <f>_xlfn.IFNA(_xlfn.XLOOKUP(X172,'00_SKU_Master'!$B$2:$B$379,'00_SKU_Master'!$F$2:$F$379,0)*AC172,"")</f>
        <v>0</v>
      </c>
      <c r="I172" s="182">
        <f>_xlfn.IFNA(_xlfn.XLOOKUP(X172,'00_SKU_Master'!$B$2:$B$379,'00_SKU_Master'!$F$2:$F$379,0)*AD172,"")</f>
        <v>0</v>
      </c>
      <c r="J172" s="182">
        <f>_xlfn.IFNA(_xlfn.XLOOKUP(X172,'00_SKU_Master'!$B$2:$B$379,'00_SKU_Master'!$F$2:$F$379,0)*AE172,"")</f>
        <v>0</v>
      </c>
      <c r="K172" s="183">
        <f t="shared" si="10"/>
        <v>0</v>
      </c>
      <c r="L172" s="184" t="str">
        <f>_xlfn.XLOOKUP(X172,'00_SKU_Master'!$B$2:$B$379,'00_SKU_Master'!$K$2:$K$379)</f>
        <v>Fast</v>
      </c>
      <c r="M172" s="185">
        <f t="shared" si="11"/>
        <v>7557</v>
      </c>
      <c r="N172" s="186">
        <f>IFERROR(D172/_xlfn.XLOOKUP($M172,'00_SKU_Master'!$B$2:$B$379,'00_SKU_Master'!$M$2:$M$379,0),"0")</f>
        <v>0</v>
      </c>
      <c r="O172" s="186">
        <f>IFERROR(E172/_xlfn.XLOOKUP($M172,'00_SKU_Master'!$B$2:$B$379,'00_SKU_Master'!$M$2:$M$379,0),"0")</f>
        <v>0</v>
      </c>
      <c r="P172" s="186">
        <f>IFERROR(F172/_xlfn.XLOOKUP($M172,'00_SKU_Master'!$B$2:$B$379,'00_SKU_Master'!$M$2:$M$379,0),"0")</f>
        <v>0</v>
      </c>
      <c r="Q172" s="186">
        <f>IFERROR(G172/_xlfn.XLOOKUP($M172,'00_SKU_Master'!$B$2:$B$379,'00_SKU_Master'!$M$2:$M$379,0),"0")</f>
        <v>0</v>
      </c>
      <c r="R172" s="186">
        <f>IFERROR(H172/_xlfn.XLOOKUP($M172,'00_SKU_Master'!$B$2:$B$379,'00_SKU_Master'!$M$2:$M$379,0),"0")</f>
        <v>0</v>
      </c>
      <c r="S172" s="186">
        <f>IFERROR(I172/_xlfn.XLOOKUP($M172,'00_SKU_Master'!$B$2:$B$379,'00_SKU_Master'!$M$2:$M$379,0),"0")</f>
        <v>0</v>
      </c>
      <c r="T172" s="186">
        <f>IFERROR(J172/_xlfn.XLOOKUP($M172,'00_SKU_Master'!$B$2:$B$379,'00_SKU_Master'!$M$2:$M$379,0),"0")</f>
        <v>0</v>
      </c>
      <c r="U172" s="186">
        <f t="shared" si="12"/>
        <v>0</v>
      </c>
      <c r="V172" s="186" t="str">
        <f>_xlfn.XLOOKUP(M172,'00_SKU_Master'!$B$2:$B$379,'00_SKU_Master'!$D$2:$D$379)</f>
        <v>FB</v>
      </c>
      <c r="W172" s="1"/>
      <c r="X172" s="2">
        <f>'05_Daily_Orders'!C173</f>
        <v>7557</v>
      </c>
      <c r="Y172" s="289"/>
      <c r="Z172" s="289">
        <v>0</v>
      </c>
      <c r="AA172" s="289">
        <v>0</v>
      </c>
      <c r="AB172" s="289">
        <v>0</v>
      </c>
      <c r="AC172" s="289">
        <v>0</v>
      </c>
      <c r="AD172" s="289">
        <v>0</v>
      </c>
      <c r="AE172" s="289">
        <v>0</v>
      </c>
      <c r="AF172" s="7">
        <f t="shared" si="13"/>
        <v>0</v>
      </c>
      <c r="AQ172" s="70">
        <v>0</v>
      </c>
      <c r="AR172" s="70">
        <v>0</v>
      </c>
      <c r="AS172" s="3">
        <f t="shared" si="14"/>
        <v>0</v>
      </c>
    </row>
    <row r="173" spans="1:45" x14ac:dyDescent="0.35">
      <c r="A173" s="181">
        <f>_xlfn.XLOOKUP(X173,'00_SKU_Master'!$B$2:$B$379,'00_SKU_Master'!$C$2:$C$379)</f>
        <v>61055</v>
      </c>
      <c r="B173" s="181" t="str">
        <f>_xlfn.XLOOKUP(X173,tblSKU[SKU],tblSKU[Product_Group])</f>
        <v>BSB</v>
      </c>
      <c r="C173" s="181" t="str">
        <f>_xlfn.XLOOKUP(X173,tblSKU[SKU],tblSKU[Tray_Type])</f>
        <v>PET 8</v>
      </c>
      <c r="D173" s="182">
        <f>_xlfn.IFNA(_xlfn.XLOOKUP(X173,'00_SKU_Master'!$B$2:$B$379,'00_SKU_Master'!$F$2:$F$379,0)*Y173,"")</f>
        <v>0</v>
      </c>
      <c r="E173" s="182">
        <f>_xlfn.IFNA(_xlfn.XLOOKUP(X173,'00_SKU_Master'!$B$2:$B$379,'00_SKU_Master'!$F$2:$F$379,0)*Z173,"")</f>
        <v>0</v>
      </c>
      <c r="F173" s="182">
        <f>_xlfn.IFNA(_xlfn.XLOOKUP(X173,'00_SKU_Master'!$B$2:$B$379,'00_SKU_Master'!$F$2:$F$379,0)*AA173,"")</f>
        <v>0</v>
      </c>
      <c r="G173" s="182">
        <f>_xlfn.IFNA(_xlfn.XLOOKUP(X173,'00_SKU_Master'!$B$2:$B$379,'00_SKU_Master'!$F$2:$F$379,0)*AB173,"")</f>
        <v>0</v>
      </c>
      <c r="H173" s="182">
        <f>_xlfn.IFNA(_xlfn.XLOOKUP(X173,'00_SKU_Master'!$B$2:$B$379,'00_SKU_Master'!$F$2:$F$379,0)*AC173,"")</f>
        <v>0</v>
      </c>
      <c r="I173" s="182">
        <f>_xlfn.IFNA(_xlfn.XLOOKUP(X173,'00_SKU_Master'!$B$2:$B$379,'00_SKU_Master'!$F$2:$F$379,0)*AD173,"")</f>
        <v>0</v>
      </c>
      <c r="J173" s="182">
        <f>_xlfn.IFNA(_xlfn.XLOOKUP(X173,'00_SKU_Master'!$B$2:$B$379,'00_SKU_Master'!$F$2:$F$379,0)*AE173,"")</f>
        <v>0</v>
      </c>
      <c r="K173" s="183">
        <f t="shared" si="10"/>
        <v>0</v>
      </c>
      <c r="L173" s="184" t="str">
        <f>_xlfn.XLOOKUP(X173,'00_SKU_Master'!$B$2:$B$379,'00_SKU_Master'!$K$2:$K$379)</f>
        <v>Fast</v>
      </c>
      <c r="M173" s="185">
        <f t="shared" si="11"/>
        <v>7605</v>
      </c>
      <c r="N173" s="186">
        <f>IFERROR(D173/_xlfn.XLOOKUP($M173,'00_SKU_Master'!$B$2:$B$379,'00_SKU_Master'!$M$2:$M$379,0),"0")</f>
        <v>0</v>
      </c>
      <c r="O173" s="186">
        <f>IFERROR(E173/_xlfn.XLOOKUP($M173,'00_SKU_Master'!$B$2:$B$379,'00_SKU_Master'!$M$2:$M$379,0),"0")</f>
        <v>0</v>
      </c>
      <c r="P173" s="186">
        <f>IFERROR(F173/_xlfn.XLOOKUP($M173,'00_SKU_Master'!$B$2:$B$379,'00_SKU_Master'!$M$2:$M$379,0),"0")</f>
        <v>0</v>
      </c>
      <c r="Q173" s="186">
        <f>IFERROR(G173/_xlfn.XLOOKUP($M173,'00_SKU_Master'!$B$2:$B$379,'00_SKU_Master'!$M$2:$M$379,0),"0")</f>
        <v>0</v>
      </c>
      <c r="R173" s="186">
        <f>IFERROR(H173/_xlfn.XLOOKUP($M173,'00_SKU_Master'!$B$2:$B$379,'00_SKU_Master'!$M$2:$M$379,0),"0")</f>
        <v>0</v>
      </c>
      <c r="S173" s="186">
        <f>IFERROR(I173/_xlfn.XLOOKUP($M173,'00_SKU_Master'!$B$2:$B$379,'00_SKU_Master'!$M$2:$M$379,0),"0")</f>
        <v>0</v>
      </c>
      <c r="T173" s="186">
        <f>IFERROR(J173/_xlfn.XLOOKUP($M173,'00_SKU_Master'!$B$2:$B$379,'00_SKU_Master'!$M$2:$M$379,0),"0")</f>
        <v>0</v>
      </c>
      <c r="U173" s="186">
        <f t="shared" si="12"/>
        <v>0</v>
      </c>
      <c r="V173" s="186" t="str">
        <f>_xlfn.XLOOKUP(M173,'00_SKU_Master'!$B$2:$B$379,'00_SKU_Master'!$D$2:$D$379)</f>
        <v>LCL</v>
      </c>
      <c r="W173" s="1"/>
      <c r="X173" s="2">
        <f>'05_Daily_Orders'!C174</f>
        <v>7605</v>
      </c>
      <c r="Y173" s="289"/>
      <c r="Z173" s="289">
        <v>0</v>
      </c>
      <c r="AA173" s="289">
        <v>0</v>
      </c>
      <c r="AB173" s="289">
        <v>0</v>
      </c>
      <c r="AC173" s="289">
        <v>0</v>
      </c>
      <c r="AD173" s="289">
        <v>0</v>
      </c>
      <c r="AE173" s="289">
        <v>0</v>
      </c>
      <c r="AF173" s="7">
        <f t="shared" si="13"/>
        <v>0</v>
      </c>
      <c r="AQ173" s="70">
        <v>0</v>
      </c>
      <c r="AR173" s="70">
        <v>0</v>
      </c>
      <c r="AS173" s="3">
        <f t="shared" si="14"/>
        <v>0</v>
      </c>
    </row>
    <row r="174" spans="1:45" x14ac:dyDescent="0.35">
      <c r="A174" s="181">
        <f>_xlfn.XLOOKUP(X174,'00_SKU_Master'!$B$2:$B$379,'00_SKU_Master'!$C$2:$C$379)</f>
        <v>61055</v>
      </c>
      <c r="B174" s="181" t="str">
        <f>_xlfn.XLOOKUP(X174,tblSKU[SKU],tblSKU[Product_Group])</f>
        <v>BSB</v>
      </c>
      <c r="C174" s="181" t="str">
        <f>_xlfn.XLOOKUP(X174,tblSKU[SKU],tblSKU[Tray_Type])</f>
        <v>PET 8</v>
      </c>
      <c r="D174" s="182">
        <f>_xlfn.IFNA(_xlfn.XLOOKUP(X174,'00_SKU_Master'!$B$2:$B$379,'00_SKU_Master'!$F$2:$F$379,0)*Y174,"")</f>
        <v>0</v>
      </c>
      <c r="E174" s="182">
        <f>_xlfn.IFNA(_xlfn.XLOOKUP(X174,'00_SKU_Master'!$B$2:$B$379,'00_SKU_Master'!$F$2:$F$379,0)*Z174,"")</f>
        <v>0</v>
      </c>
      <c r="F174" s="182">
        <f>_xlfn.IFNA(_xlfn.XLOOKUP(X174,'00_SKU_Master'!$B$2:$B$379,'00_SKU_Master'!$F$2:$F$379,0)*AA174,"")</f>
        <v>0</v>
      </c>
      <c r="G174" s="182">
        <f>_xlfn.IFNA(_xlfn.XLOOKUP(X174,'00_SKU_Master'!$B$2:$B$379,'00_SKU_Master'!$F$2:$F$379,0)*AB174,"")</f>
        <v>0</v>
      </c>
      <c r="H174" s="182">
        <f>_xlfn.IFNA(_xlfn.XLOOKUP(X174,'00_SKU_Master'!$B$2:$B$379,'00_SKU_Master'!$F$2:$F$379,0)*AC174,"")</f>
        <v>0</v>
      </c>
      <c r="I174" s="182">
        <f>_xlfn.IFNA(_xlfn.XLOOKUP(X174,'00_SKU_Master'!$B$2:$B$379,'00_SKU_Master'!$F$2:$F$379,0)*AD174,"")</f>
        <v>0</v>
      </c>
      <c r="J174" s="182">
        <f>_xlfn.IFNA(_xlfn.XLOOKUP(X174,'00_SKU_Master'!$B$2:$B$379,'00_SKU_Master'!$F$2:$F$379,0)*AE174,"")</f>
        <v>0</v>
      </c>
      <c r="K174" s="183">
        <f t="shared" si="10"/>
        <v>0</v>
      </c>
      <c r="L174" s="184" t="str">
        <f>_xlfn.XLOOKUP(X174,'00_SKU_Master'!$B$2:$B$379,'00_SKU_Master'!$K$2:$K$379)</f>
        <v>Fast</v>
      </c>
      <c r="M174" s="185">
        <f t="shared" si="11"/>
        <v>7606</v>
      </c>
      <c r="N174" s="186">
        <f>IFERROR(D174/_xlfn.XLOOKUP($M174,'00_SKU_Master'!$B$2:$B$379,'00_SKU_Master'!$M$2:$M$379,0),"0")</f>
        <v>0</v>
      </c>
      <c r="O174" s="186">
        <f>IFERROR(E174/_xlfn.XLOOKUP($M174,'00_SKU_Master'!$B$2:$B$379,'00_SKU_Master'!$M$2:$M$379,0),"0")</f>
        <v>0</v>
      </c>
      <c r="P174" s="186">
        <f>IFERROR(F174/_xlfn.XLOOKUP($M174,'00_SKU_Master'!$B$2:$B$379,'00_SKU_Master'!$M$2:$M$379,0),"0")</f>
        <v>0</v>
      </c>
      <c r="Q174" s="186">
        <f>IFERROR(G174/_xlfn.XLOOKUP($M174,'00_SKU_Master'!$B$2:$B$379,'00_SKU_Master'!$M$2:$M$379,0),"0")</f>
        <v>0</v>
      </c>
      <c r="R174" s="186">
        <f>IFERROR(H174/_xlfn.XLOOKUP($M174,'00_SKU_Master'!$B$2:$B$379,'00_SKU_Master'!$M$2:$M$379,0),"0")</f>
        <v>0</v>
      </c>
      <c r="S174" s="186">
        <f>IFERROR(I174/_xlfn.XLOOKUP($M174,'00_SKU_Master'!$B$2:$B$379,'00_SKU_Master'!$M$2:$M$379,0),"0")</f>
        <v>0</v>
      </c>
      <c r="T174" s="186">
        <f>IFERROR(J174/_xlfn.XLOOKUP($M174,'00_SKU_Master'!$B$2:$B$379,'00_SKU_Master'!$M$2:$M$379,0),"0")</f>
        <v>0</v>
      </c>
      <c r="U174" s="186">
        <f t="shared" si="12"/>
        <v>0</v>
      </c>
      <c r="V174" s="186" t="str">
        <f>_xlfn.XLOOKUP(M174,'00_SKU_Master'!$B$2:$B$379,'00_SKU_Master'!$D$2:$D$379)</f>
        <v>LCL</v>
      </c>
      <c r="W174" s="1"/>
      <c r="X174" s="2">
        <f>'05_Daily_Orders'!C175</f>
        <v>7606</v>
      </c>
      <c r="Y174" s="289"/>
      <c r="Z174" s="289">
        <v>0</v>
      </c>
      <c r="AA174" s="289">
        <v>0</v>
      </c>
      <c r="AB174" s="289">
        <v>0</v>
      </c>
      <c r="AC174" s="289">
        <v>0</v>
      </c>
      <c r="AD174" s="289">
        <v>0</v>
      </c>
      <c r="AE174" s="289">
        <v>0</v>
      </c>
      <c r="AF174" s="7">
        <f t="shared" si="13"/>
        <v>0</v>
      </c>
      <c r="AQ174" s="70">
        <v>0</v>
      </c>
      <c r="AR174" s="70">
        <v>0</v>
      </c>
      <c r="AS174" s="3">
        <f t="shared" si="14"/>
        <v>0</v>
      </c>
    </row>
    <row r="175" spans="1:45" x14ac:dyDescent="0.35">
      <c r="A175" s="181">
        <f>_xlfn.XLOOKUP(X175,'00_SKU_Master'!$B$2:$B$379,'00_SKU_Master'!$C$2:$C$379)</f>
        <v>61055</v>
      </c>
      <c r="B175" s="181" t="str">
        <f>_xlfn.XLOOKUP(X175,tblSKU[SKU],tblSKU[Product_Group])</f>
        <v>BSB</v>
      </c>
      <c r="C175" s="181" t="str">
        <f>_xlfn.XLOOKUP(X175,tblSKU[SKU],tblSKU[Tray_Type])</f>
        <v>PET 8</v>
      </c>
      <c r="D175" s="182">
        <f>_xlfn.IFNA(_xlfn.XLOOKUP(X175,'00_SKU_Master'!$B$2:$B$379,'00_SKU_Master'!$F$2:$F$379,0)*Y175,"")</f>
        <v>0</v>
      </c>
      <c r="E175" s="182">
        <f>_xlfn.IFNA(_xlfn.XLOOKUP(X175,'00_SKU_Master'!$B$2:$B$379,'00_SKU_Master'!$F$2:$F$379,0)*Z175,"")</f>
        <v>0</v>
      </c>
      <c r="F175" s="182">
        <f>_xlfn.IFNA(_xlfn.XLOOKUP(X175,'00_SKU_Master'!$B$2:$B$379,'00_SKU_Master'!$F$2:$F$379,0)*AA175,"")</f>
        <v>0</v>
      </c>
      <c r="G175" s="182">
        <f>_xlfn.IFNA(_xlfn.XLOOKUP(X175,'00_SKU_Master'!$B$2:$B$379,'00_SKU_Master'!$F$2:$F$379,0)*AB175,"")</f>
        <v>0</v>
      </c>
      <c r="H175" s="182">
        <f>_xlfn.IFNA(_xlfn.XLOOKUP(X175,'00_SKU_Master'!$B$2:$B$379,'00_SKU_Master'!$F$2:$F$379,0)*AC175,"")</f>
        <v>0</v>
      </c>
      <c r="I175" s="182">
        <f>_xlfn.IFNA(_xlfn.XLOOKUP(X175,'00_SKU_Master'!$B$2:$B$379,'00_SKU_Master'!$F$2:$F$379,0)*AD175,"")</f>
        <v>0</v>
      </c>
      <c r="J175" s="182">
        <f>_xlfn.IFNA(_xlfn.XLOOKUP(X175,'00_SKU_Master'!$B$2:$B$379,'00_SKU_Master'!$F$2:$F$379,0)*AE175,"")</f>
        <v>0</v>
      </c>
      <c r="K175" s="183">
        <f t="shared" si="10"/>
        <v>0</v>
      </c>
      <c r="L175" s="184" t="str">
        <f>_xlfn.XLOOKUP(X175,'00_SKU_Master'!$B$2:$B$379,'00_SKU_Master'!$K$2:$K$379)</f>
        <v>Fast</v>
      </c>
      <c r="M175" s="185">
        <f t="shared" si="11"/>
        <v>7607</v>
      </c>
      <c r="N175" s="186">
        <f>IFERROR(D175/_xlfn.XLOOKUP($M175,'00_SKU_Master'!$B$2:$B$379,'00_SKU_Master'!$M$2:$M$379,0),"0")</f>
        <v>0</v>
      </c>
      <c r="O175" s="186">
        <f>IFERROR(E175/_xlfn.XLOOKUP($M175,'00_SKU_Master'!$B$2:$B$379,'00_SKU_Master'!$M$2:$M$379,0),"0")</f>
        <v>0</v>
      </c>
      <c r="P175" s="186">
        <f>IFERROR(F175/_xlfn.XLOOKUP($M175,'00_SKU_Master'!$B$2:$B$379,'00_SKU_Master'!$M$2:$M$379,0),"0")</f>
        <v>0</v>
      </c>
      <c r="Q175" s="186">
        <f>IFERROR(G175/_xlfn.XLOOKUP($M175,'00_SKU_Master'!$B$2:$B$379,'00_SKU_Master'!$M$2:$M$379,0),"0")</f>
        <v>0</v>
      </c>
      <c r="R175" s="186">
        <f>IFERROR(H175/_xlfn.XLOOKUP($M175,'00_SKU_Master'!$B$2:$B$379,'00_SKU_Master'!$M$2:$M$379,0),"0")</f>
        <v>0</v>
      </c>
      <c r="S175" s="186">
        <f>IFERROR(I175/_xlfn.XLOOKUP($M175,'00_SKU_Master'!$B$2:$B$379,'00_SKU_Master'!$M$2:$M$379,0),"0")</f>
        <v>0</v>
      </c>
      <c r="T175" s="186">
        <f>IFERROR(J175/_xlfn.XLOOKUP($M175,'00_SKU_Master'!$B$2:$B$379,'00_SKU_Master'!$M$2:$M$379,0),"0")</f>
        <v>0</v>
      </c>
      <c r="U175" s="186">
        <f t="shared" si="12"/>
        <v>0</v>
      </c>
      <c r="V175" s="186" t="str">
        <f>_xlfn.XLOOKUP(M175,'00_SKU_Master'!$B$2:$B$379,'00_SKU_Master'!$D$2:$D$379)</f>
        <v>LCL</v>
      </c>
      <c r="W175" s="1"/>
      <c r="X175" s="2">
        <f>'05_Daily_Orders'!C176</f>
        <v>7607</v>
      </c>
      <c r="Y175" s="289"/>
      <c r="Z175" s="289">
        <v>0</v>
      </c>
      <c r="AA175" s="289">
        <v>0</v>
      </c>
      <c r="AB175" s="289">
        <v>0</v>
      </c>
      <c r="AC175" s="289">
        <v>0</v>
      </c>
      <c r="AD175" s="289">
        <v>0</v>
      </c>
      <c r="AE175" s="289">
        <v>0</v>
      </c>
      <c r="AF175" s="7">
        <f t="shared" si="13"/>
        <v>0</v>
      </c>
      <c r="AQ175" s="70">
        <v>0</v>
      </c>
      <c r="AR175" s="70">
        <v>0</v>
      </c>
      <c r="AS175" s="3">
        <f t="shared" si="14"/>
        <v>0</v>
      </c>
    </row>
    <row r="176" spans="1:45" x14ac:dyDescent="0.35">
      <c r="A176" s="181">
        <f>_xlfn.XLOOKUP(X176,'00_SKU_Master'!$B$2:$B$379,'00_SKU_Master'!$C$2:$C$379)</f>
        <v>61055</v>
      </c>
      <c r="B176" s="181" t="str">
        <f>_xlfn.XLOOKUP(X176,tblSKU[SKU],tblSKU[Product_Group])</f>
        <v>BSB</v>
      </c>
      <c r="C176" s="181" t="str">
        <f>_xlfn.XLOOKUP(X176,tblSKU[SKU],tblSKU[Tray_Type])</f>
        <v>PET 8</v>
      </c>
      <c r="D176" s="182">
        <f>_xlfn.IFNA(_xlfn.XLOOKUP(X176,'00_SKU_Master'!$B$2:$B$379,'00_SKU_Master'!$F$2:$F$379,0)*Y176,"")</f>
        <v>0</v>
      </c>
      <c r="E176" s="182">
        <f>_xlfn.IFNA(_xlfn.XLOOKUP(X176,'00_SKU_Master'!$B$2:$B$379,'00_SKU_Master'!$F$2:$F$379,0)*Z176,"")</f>
        <v>0</v>
      </c>
      <c r="F176" s="182">
        <f>_xlfn.IFNA(_xlfn.XLOOKUP(X176,'00_SKU_Master'!$B$2:$B$379,'00_SKU_Master'!$F$2:$F$379,0)*AA176,"")</f>
        <v>0</v>
      </c>
      <c r="G176" s="182">
        <f>_xlfn.IFNA(_xlfn.XLOOKUP(X176,'00_SKU_Master'!$B$2:$B$379,'00_SKU_Master'!$F$2:$F$379,0)*AB176,"")</f>
        <v>0</v>
      </c>
      <c r="H176" s="182">
        <f>_xlfn.IFNA(_xlfn.XLOOKUP(X176,'00_SKU_Master'!$B$2:$B$379,'00_SKU_Master'!$F$2:$F$379,0)*AC176,"")</f>
        <v>0</v>
      </c>
      <c r="I176" s="182">
        <f>_xlfn.IFNA(_xlfn.XLOOKUP(X176,'00_SKU_Master'!$B$2:$B$379,'00_SKU_Master'!$F$2:$F$379,0)*AD176,"")</f>
        <v>0</v>
      </c>
      <c r="J176" s="182">
        <f>_xlfn.IFNA(_xlfn.XLOOKUP(X176,'00_SKU_Master'!$B$2:$B$379,'00_SKU_Master'!$F$2:$F$379,0)*AE176,"")</f>
        <v>0</v>
      </c>
      <c r="K176" s="183">
        <f t="shared" si="10"/>
        <v>0</v>
      </c>
      <c r="L176" s="184" t="str">
        <f>_xlfn.XLOOKUP(X176,'00_SKU_Master'!$B$2:$B$379,'00_SKU_Master'!$K$2:$K$379)</f>
        <v>Fast</v>
      </c>
      <c r="M176" s="185">
        <f t="shared" si="11"/>
        <v>7608</v>
      </c>
      <c r="N176" s="186">
        <f>IFERROR(D176/_xlfn.XLOOKUP($M176,'00_SKU_Master'!$B$2:$B$379,'00_SKU_Master'!$M$2:$M$379,0),"0")</f>
        <v>0</v>
      </c>
      <c r="O176" s="186">
        <f>IFERROR(E176/_xlfn.XLOOKUP($M176,'00_SKU_Master'!$B$2:$B$379,'00_SKU_Master'!$M$2:$M$379,0),"0")</f>
        <v>0</v>
      </c>
      <c r="P176" s="186">
        <f>IFERROR(F176/_xlfn.XLOOKUP($M176,'00_SKU_Master'!$B$2:$B$379,'00_SKU_Master'!$M$2:$M$379,0),"0")</f>
        <v>0</v>
      </c>
      <c r="Q176" s="186">
        <f>IFERROR(G176/_xlfn.XLOOKUP($M176,'00_SKU_Master'!$B$2:$B$379,'00_SKU_Master'!$M$2:$M$379,0),"0")</f>
        <v>0</v>
      </c>
      <c r="R176" s="186">
        <f>IFERROR(H176/_xlfn.XLOOKUP($M176,'00_SKU_Master'!$B$2:$B$379,'00_SKU_Master'!$M$2:$M$379,0),"0")</f>
        <v>0</v>
      </c>
      <c r="S176" s="186">
        <f>IFERROR(I176/_xlfn.XLOOKUP($M176,'00_SKU_Master'!$B$2:$B$379,'00_SKU_Master'!$M$2:$M$379,0),"0")</f>
        <v>0</v>
      </c>
      <c r="T176" s="186">
        <f>IFERROR(J176/_xlfn.XLOOKUP($M176,'00_SKU_Master'!$B$2:$B$379,'00_SKU_Master'!$M$2:$M$379,0),"0")</f>
        <v>0</v>
      </c>
      <c r="U176" s="186">
        <f t="shared" si="12"/>
        <v>0</v>
      </c>
      <c r="V176" s="186" t="str">
        <f>_xlfn.XLOOKUP(M176,'00_SKU_Master'!$B$2:$B$379,'00_SKU_Master'!$D$2:$D$379)</f>
        <v>LCL</v>
      </c>
      <c r="W176" s="1"/>
      <c r="X176" s="2">
        <f>'05_Daily_Orders'!C177</f>
        <v>7608</v>
      </c>
      <c r="Y176" s="289"/>
      <c r="Z176" s="289">
        <v>0</v>
      </c>
      <c r="AA176" s="289">
        <v>0</v>
      </c>
      <c r="AB176" s="289">
        <v>0</v>
      </c>
      <c r="AC176" s="289">
        <v>0</v>
      </c>
      <c r="AD176" s="289">
        <v>0</v>
      </c>
      <c r="AE176" s="289">
        <v>0</v>
      </c>
      <c r="AF176" s="7">
        <f t="shared" si="13"/>
        <v>0</v>
      </c>
      <c r="AQ176" s="70">
        <v>0</v>
      </c>
      <c r="AR176" s="70">
        <v>0</v>
      </c>
      <c r="AS176" s="3">
        <f t="shared" si="14"/>
        <v>0</v>
      </c>
    </row>
    <row r="177" spans="1:45" x14ac:dyDescent="0.35">
      <c r="A177" s="181">
        <f>_xlfn.XLOOKUP(X177,'00_SKU_Master'!$B$2:$B$379,'00_SKU_Master'!$C$2:$C$379)</f>
        <v>61050</v>
      </c>
      <c r="B177" s="181" t="str">
        <f>_xlfn.XLOOKUP(X177,tblSKU[SKU],tblSKU[Product_Group])</f>
        <v>BSB</v>
      </c>
      <c r="C177" s="181" t="str">
        <f>_xlfn.XLOOKUP(X177,tblSKU[SKU],tblSKU[Tray_Type])</f>
        <v>ST 3D</v>
      </c>
      <c r="D177" s="182">
        <f>_xlfn.IFNA(_xlfn.XLOOKUP(X177,'00_SKU_Master'!$B$2:$B$379,'00_SKU_Master'!$F$2:$F$379,0)*Y177,"")</f>
        <v>0</v>
      </c>
      <c r="E177" s="182">
        <f>_xlfn.IFNA(_xlfn.XLOOKUP(X177,'00_SKU_Master'!$B$2:$B$379,'00_SKU_Master'!$F$2:$F$379,0)*Z177,"")</f>
        <v>0</v>
      </c>
      <c r="F177" s="182">
        <f>_xlfn.IFNA(_xlfn.XLOOKUP(X177,'00_SKU_Master'!$B$2:$B$379,'00_SKU_Master'!$F$2:$F$379,0)*AA177,"")</f>
        <v>0</v>
      </c>
      <c r="G177" s="182">
        <f>_xlfn.IFNA(_xlfn.XLOOKUP(X177,'00_SKU_Master'!$B$2:$B$379,'00_SKU_Master'!$F$2:$F$379,0)*AB177,"")</f>
        <v>0</v>
      </c>
      <c r="H177" s="182">
        <f>_xlfn.IFNA(_xlfn.XLOOKUP(X177,'00_SKU_Master'!$B$2:$B$379,'00_SKU_Master'!$F$2:$F$379,0)*AC177,"")</f>
        <v>0</v>
      </c>
      <c r="I177" s="182">
        <f>_xlfn.IFNA(_xlfn.XLOOKUP(X177,'00_SKU_Master'!$B$2:$B$379,'00_SKU_Master'!$F$2:$F$379,0)*AD177,"")</f>
        <v>0</v>
      </c>
      <c r="J177" s="182">
        <f>_xlfn.IFNA(_xlfn.XLOOKUP(X177,'00_SKU_Master'!$B$2:$B$379,'00_SKU_Master'!$F$2:$F$379,0)*AE177,"")</f>
        <v>0</v>
      </c>
      <c r="K177" s="183">
        <f t="shared" si="10"/>
        <v>0</v>
      </c>
      <c r="L177" s="184" t="str">
        <f>_xlfn.XLOOKUP(X177,'00_SKU_Master'!$B$2:$B$379,'00_SKU_Master'!$K$2:$K$379)</f>
        <v>Fast</v>
      </c>
      <c r="M177" s="185">
        <f t="shared" si="11"/>
        <v>7811</v>
      </c>
      <c r="N177" s="186">
        <f>IFERROR(D177/_xlfn.XLOOKUP($M177,'00_SKU_Master'!$B$2:$B$379,'00_SKU_Master'!$M$2:$M$379,0),"0")</f>
        <v>0</v>
      </c>
      <c r="O177" s="186">
        <f>IFERROR(E177/_xlfn.XLOOKUP($M177,'00_SKU_Master'!$B$2:$B$379,'00_SKU_Master'!$M$2:$M$379,0),"0")</f>
        <v>0</v>
      </c>
      <c r="P177" s="186">
        <f>IFERROR(F177/_xlfn.XLOOKUP($M177,'00_SKU_Master'!$B$2:$B$379,'00_SKU_Master'!$M$2:$M$379,0),"0")</f>
        <v>0</v>
      </c>
      <c r="Q177" s="186">
        <f>IFERROR(G177/_xlfn.XLOOKUP($M177,'00_SKU_Master'!$B$2:$B$379,'00_SKU_Master'!$M$2:$M$379,0),"0")</f>
        <v>0</v>
      </c>
      <c r="R177" s="186">
        <f>IFERROR(H177/_xlfn.XLOOKUP($M177,'00_SKU_Master'!$B$2:$B$379,'00_SKU_Master'!$M$2:$M$379,0),"0")</f>
        <v>0</v>
      </c>
      <c r="S177" s="186">
        <f>IFERROR(I177/_xlfn.XLOOKUP($M177,'00_SKU_Master'!$B$2:$B$379,'00_SKU_Master'!$M$2:$M$379,0),"0")</f>
        <v>0</v>
      </c>
      <c r="T177" s="186">
        <f>IFERROR(J177/_xlfn.XLOOKUP($M177,'00_SKU_Master'!$B$2:$B$379,'00_SKU_Master'!$M$2:$M$379,0),"0")</f>
        <v>0</v>
      </c>
      <c r="U177" s="186">
        <f t="shared" si="12"/>
        <v>0</v>
      </c>
      <c r="V177" s="186" t="str">
        <f>_xlfn.XLOOKUP(M177,'00_SKU_Master'!$B$2:$B$379,'00_SKU_Master'!$D$2:$D$379)</f>
        <v>LCL</v>
      </c>
      <c r="W177" s="1"/>
      <c r="X177" s="2">
        <f>'05_Daily_Orders'!C178</f>
        <v>7811</v>
      </c>
      <c r="Y177" s="289"/>
      <c r="Z177" s="289">
        <v>0</v>
      </c>
      <c r="AA177" s="289">
        <v>0</v>
      </c>
      <c r="AB177" s="289">
        <v>0</v>
      </c>
      <c r="AC177" s="289">
        <v>0</v>
      </c>
      <c r="AD177" s="289">
        <v>0</v>
      </c>
      <c r="AE177" s="289">
        <v>0</v>
      </c>
      <c r="AF177" s="7">
        <f t="shared" si="13"/>
        <v>0</v>
      </c>
      <c r="AQ177" s="70">
        <v>0</v>
      </c>
      <c r="AR177" s="70">
        <v>0</v>
      </c>
      <c r="AS177" s="3">
        <f t="shared" si="14"/>
        <v>0</v>
      </c>
    </row>
    <row r="178" spans="1:45" x14ac:dyDescent="0.35">
      <c r="A178" s="181">
        <f>_xlfn.XLOOKUP(X178,'00_SKU_Master'!$B$2:$B$379,'00_SKU_Master'!$C$2:$C$379)</f>
        <v>61050</v>
      </c>
      <c r="B178" s="181" t="str">
        <f>_xlfn.XLOOKUP(X178,tblSKU[SKU],tblSKU[Product_Group])</f>
        <v>BSB</v>
      </c>
      <c r="C178" s="181" t="str">
        <f>_xlfn.XLOOKUP(X178,tblSKU[SKU],tblSKU[Tray_Type])</f>
        <v>LT 6D</v>
      </c>
      <c r="D178" s="182">
        <f>_xlfn.IFNA(_xlfn.XLOOKUP(X178,'00_SKU_Master'!$B$2:$B$379,'00_SKU_Master'!$F$2:$F$379,0)*Y178,"")</f>
        <v>0</v>
      </c>
      <c r="E178" s="182">
        <f>_xlfn.IFNA(_xlfn.XLOOKUP(X178,'00_SKU_Master'!$B$2:$B$379,'00_SKU_Master'!$F$2:$F$379,0)*Z178,"")</f>
        <v>0</v>
      </c>
      <c r="F178" s="182">
        <f>_xlfn.IFNA(_xlfn.XLOOKUP(X178,'00_SKU_Master'!$B$2:$B$379,'00_SKU_Master'!$F$2:$F$379,0)*AA178,"")</f>
        <v>0</v>
      </c>
      <c r="G178" s="182">
        <f>_xlfn.IFNA(_xlfn.XLOOKUP(X178,'00_SKU_Master'!$B$2:$B$379,'00_SKU_Master'!$F$2:$F$379,0)*AB178,"")</f>
        <v>0</v>
      </c>
      <c r="H178" s="182">
        <f>_xlfn.IFNA(_xlfn.XLOOKUP(X178,'00_SKU_Master'!$B$2:$B$379,'00_SKU_Master'!$F$2:$F$379,0)*AC178,"")</f>
        <v>0</v>
      </c>
      <c r="I178" s="182">
        <f>_xlfn.IFNA(_xlfn.XLOOKUP(X178,'00_SKU_Master'!$B$2:$B$379,'00_SKU_Master'!$F$2:$F$379,0)*AD178,"")</f>
        <v>0</v>
      </c>
      <c r="J178" s="182">
        <f>_xlfn.IFNA(_xlfn.XLOOKUP(X178,'00_SKU_Master'!$B$2:$B$379,'00_SKU_Master'!$F$2:$F$379,0)*AE178,"")</f>
        <v>0</v>
      </c>
      <c r="K178" s="183">
        <f t="shared" si="10"/>
        <v>0</v>
      </c>
      <c r="L178" s="184" t="str">
        <f>_xlfn.XLOOKUP(X178,'00_SKU_Master'!$B$2:$B$379,'00_SKU_Master'!$K$2:$K$379)</f>
        <v>Fast</v>
      </c>
      <c r="M178" s="185">
        <f t="shared" si="11"/>
        <v>7812</v>
      </c>
      <c r="N178" s="186">
        <f>IFERROR(D178/_xlfn.XLOOKUP($M178,'00_SKU_Master'!$B$2:$B$379,'00_SKU_Master'!$M$2:$M$379,0),"0")</f>
        <v>0</v>
      </c>
      <c r="O178" s="186">
        <f>IFERROR(E178/_xlfn.XLOOKUP($M178,'00_SKU_Master'!$B$2:$B$379,'00_SKU_Master'!$M$2:$M$379,0),"0")</f>
        <v>0</v>
      </c>
      <c r="P178" s="186">
        <f>IFERROR(F178/_xlfn.XLOOKUP($M178,'00_SKU_Master'!$B$2:$B$379,'00_SKU_Master'!$M$2:$M$379,0),"0")</f>
        <v>0</v>
      </c>
      <c r="Q178" s="186">
        <f>IFERROR(G178/_xlfn.XLOOKUP($M178,'00_SKU_Master'!$B$2:$B$379,'00_SKU_Master'!$M$2:$M$379,0),"0")</f>
        <v>0</v>
      </c>
      <c r="R178" s="186">
        <f>IFERROR(H178/_xlfn.XLOOKUP($M178,'00_SKU_Master'!$B$2:$B$379,'00_SKU_Master'!$M$2:$M$379,0),"0")</f>
        <v>0</v>
      </c>
      <c r="S178" s="186">
        <f>IFERROR(I178/_xlfn.XLOOKUP($M178,'00_SKU_Master'!$B$2:$B$379,'00_SKU_Master'!$M$2:$M$379,0),"0")</f>
        <v>0</v>
      </c>
      <c r="T178" s="186">
        <f>IFERROR(J178/_xlfn.XLOOKUP($M178,'00_SKU_Master'!$B$2:$B$379,'00_SKU_Master'!$M$2:$M$379,0),"0")</f>
        <v>0</v>
      </c>
      <c r="U178" s="186">
        <f t="shared" si="12"/>
        <v>0</v>
      </c>
      <c r="V178" s="186" t="str">
        <f>_xlfn.XLOOKUP(M178,'00_SKU_Master'!$B$2:$B$379,'00_SKU_Master'!$D$2:$D$379)</f>
        <v>LCL</v>
      </c>
      <c r="W178" s="1"/>
      <c r="X178" s="2">
        <f>'05_Daily_Orders'!C179</f>
        <v>7812</v>
      </c>
      <c r="Y178" s="289"/>
      <c r="Z178" s="289">
        <v>0</v>
      </c>
      <c r="AA178" s="289">
        <v>0</v>
      </c>
      <c r="AB178" s="289">
        <v>0</v>
      </c>
      <c r="AC178" s="289">
        <v>0</v>
      </c>
      <c r="AD178" s="289">
        <v>0</v>
      </c>
      <c r="AE178" s="289">
        <v>0</v>
      </c>
      <c r="AF178" s="7">
        <f t="shared" si="13"/>
        <v>0</v>
      </c>
      <c r="AQ178" s="70">
        <v>0</v>
      </c>
      <c r="AR178" s="70">
        <v>0</v>
      </c>
      <c r="AS178" s="3">
        <f t="shared" si="14"/>
        <v>0</v>
      </c>
    </row>
    <row r="179" spans="1:45" x14ac:dyDescent="0.35">
      <c r="A179" s="181">
        <f>_xlfn.XLOOKUP(X179,'00_SKU_Master'!$B$2:$B$379,'00_SKU_Master'!$C$2:$C$379)</f>
        <v>61050</v>
      </c>
      <c r="B179" s="181" t="str">
        <f>_xlfn.XLOOKUP(X179,tblSKU[SKU],tblSKU[Product_Group])</f>
        <v>BSB</v>
      </c>
      <c r="C179" s="181" t="str">
        <f>_xlfn.XLOOKUP(X179,tblSKU[SKU],tblSKU[Tray_Type])</f>
        <v>PET 8</v>
      </c>
      <c r="D179" s="182">
        <f>_xlfn.IFNA(_xlfn.XLOOKUP(X179,'00_SKU_Master'!$B$2:$B$379,'00_SKU_Master'!$F$2:$F$379,0)*Y179,"")</f>
        <v>0</v>
      </c>
      <c r="E179" s="182">
        <f>_xlfn.IFNA(_xlfn.XLOOKUP(X179,'00_SKU_Master'!$B$2:$B$379,'00_SKU_Master'!$F$2:$F$379,0)*Z179,"")</f>
        <v>0</v>
      </c>
      <c r="F179" s="182">
        <f>_xlfn.IFNA(_xlfn.XLOOKUP(X179,'00_SKU_Master'!$B$2:$B$379,'00_SKU_Master'!$F$2:$F$379,0)*AA179,"")</f>
        <v>0</v>
      </c>
      <c r="G179" s="182">
        <f>_xlfn.IFNA(_xlfn.XLOOKUP(X179,'00_SKU_Master'!$B$2:$B$379,'00_SKU_Master'!$F$2:$F$379,0)*AB179,"")</f>
        <v>0</v>
      </c>
      <c r="H179" s="182">
        <f>_xlfn.IFNA(_xlfn.XLOOKUP(X179,'00_SKU_Master'!$B$2:$B$379,'00_SKU_Master'!$F$2:$F$379,0)*AC179,"")</f>
        <v>0</v>
      </c>
      <c r="I179" s="182">
        <f>_xlfn.IFNA(_xlfn.XLOOKUP(X179,'00_SKU_Master'!$B$2:$B$379,'00_SKU_Master'!$F$2:$F$379,0)*AD179,"")</f>
        <v>0</v>
      </c>
      <c r="J179" s="182">
        <f>_xlfn.IFNA(_xlfn.XLOOKUP(X179,'00_SKU_Master'!$B$2:$B$379,'00_SKU_Master'!$F$2:$F$379,0)*AE179,"")</f>
        <v>0</v>
      </c>
      <c r="K179" s="183">
        <f t="shared" si="10"/>
        <v>0</v>
      </c>
      <c r="L179" s="184" t="str">
        <f>_xlfn.XLOOKUP(X179,'00_SKU_Master'!$B$2:$B$379,'00_SKU_Master'!$K$2:$K$379)</f>
        <v>Fast</v>
      </c>
      <c r="M179" s="185">
        <f t="shared" si="11"/>
        <v>7813</v>
      </c>
      <c r="N179" s="186">
        <f>IFERROR(D179/_xlfn.XLOOKUP($M179,'00_SKU_Master'!$B$2:$B$379,'00_SKU_Master'!$M$2:$M$379,0),"0")</f>
        <v>0</v>
      </c>
      <c r="O179" s="186">
        <f>IFERROR(E179/_xlfn.XLOOKUP($M179,'00_SKU_Master'!$B$2:$B$379,'00_SKU_Master'!$M$2:$M$379,0),"0")</f>
        <v>0</v>
      </c>
      <c r="P179" s="186">
        <f>IFERROR(F179/_xlfn.XLOOKUP($M179,'00_SKU_Master'!$B$2:$B$379,'00_SKU_Master'!$M$2:$M$379,0),"0")</f>
        <v>0</v>
      </c>
      <c r="Q179" s="186">
        <f>IFERROR(G179/_xlfn.XLOOKUP($M179,'00_SKU_Master'!$B$2:$B$379,'00_SKU_Master'!$M$2:$M$379,0),"0")</f>
        <v>0</v>
      </c>
      <c r="R179" s="186">
        <f>IFERROR(H179/_xlfn.XLOOKUP($M179,'00_SKU_Master'!$B$2:$B$379,'00_SKU_Master'!$M$2:$M$379,0),"0")</f>
        <v>0</v>
      </c>
      <c r="S179" s="186">
        <f>IFERROR(I179/_xlfn.XLOOKUP($M179,'00_SKU_Master'!$B$2:$B$379,'00_SKU_Master'!$M$2:$M$379,0),"0")</f>
        <v>0</v>
      </c>
      <c r="T179" s="186">
        <f>IFERROR(J179/_xlfn.XLOOKUP($M179,'00_SKU_Master'!$B$2:$B$379,'00_SKU_Master'!$M$2:$M$379,0),"0")</f>
        <v>0</v>
      </c>
      <c r="U179" s="186">
        <f t="shared" si="12"/>
        <v>0</v>
      </c>
      <c r="V179" s="186" t="str">
        <f>_xlfn.XLOOKUP(M179,'00_SKU_Master'!$B$2:$B$379,'00_SKU_Master'!$D$2:$D$379)</f>
        <v>LCL</v>
      </c>
      <c r="W179" s="1"/>
      <c r="X179" s="2">
        <f>'05_Daily_Orders'!C180</f>
        <v>7813</v>
      </c>
      <c r="Y179" s="289"/>
      <c r="Z179" s="289">
        <v>0</v>
      </c>
      <c r="AA179" s="289">
        <v>0</v>
      </c>
      <c r="AB179" s="289">
        <v>0</v>
      </c>
      <c r="AC179" s="289">
        <v>0</v>
      </c>
      <c r="AD179" s="289">
        <v>0</v>
      </c>
      <c r="AE179" s="289">
        <v>0</v>
      </c>
      <c r="AF179" s="7">
        <f t="shared" si="13"/>
        <v>0</v>
      </c>
      <c r="AQ179" s="70">
        <v>0</v>
      </c>
      <c r="AR179" s="70">
        <v>0</v>
      </c>
      <c r="AS179" s="3">
        <f t="shared" si="14"/>
        <v>0</v>
      </c>
    </row>
    <row r="180" spans="1:45" x14ac:dyDescent="0.35">
      <c r="A180" s="181">
        <f>_xlfn.XLOOKUP(X180,'00_SKU_Master'!$B$2:$B$379,'00_SKU_Master'!$C$2:$C$379)</f>
        <v>61069</v>
      </c>
      <c r="B180" s="181" t="str">
        <f>_xlfn.XLOOKUP(X180,tblSKU[SKU],tblSKU[Product_Group])</f>
        <v>BSB</v>
      </c>
      <c r="C180" s="181" t="str">
        <f>_xlfn.XLOOKUP(X180,tblSKU[SKU],tblSKU[Tray_Type])</f>
        <v>ST 3XP</v>
      </c>
      <c r="D180" s="182">
        <f>_xlfn.IFNA(_xlfn.XLOOKUP(X180,'00_SKU_Master'!$B$2:$B$379,'00_SKU_Master'!$F$2:$F$379,0)*Y180,"")</f>
        <v>0</v>
      </c>
      <c r="E180" s="182">
        <f>_xlfn.IFNA(_xlfn.XLOOKUP(X180,'00_SKU_Master'!$B$2:$B$379,'00_SKU_Master'!$F$2:$F$379,0)*Z180,"")</f>
        <v>0</v>
      </c>
      <c r="F180" s="182">
        <f>_xlfn.IFNA(_xlfn.XLOOKUP(X180,'00_SKU_Master'!$B$2:$B$379,'00_SKU_Master'!$F$2:$F$379,0)*AA180,"")</f>
        <v>0</v>
      </c>
      <c r="G180" s="182">
        <f>_xlfn.IFNA(_xlfn.XLOOKUP(X180,'00_SKU_Master'!$B$2:$B$379,'00_SKU_Master'!$F$2:$F$379,0)*AB180,"")</f>
        <v>0</v>
      </c>
      <c r="H180" s="182">
        <f>_xlfn.IFNA(_xlfn.XLOOKUP(X180,'00_SKU_Master'!$B$2:$B$379,'00_SKU_Master'!$F$2:$F$379,0)*AC180,"")</f>
        <v>0</v>
      </c>
      <c r="I180" s="182">
        <f>_xlfn.IFNA(_xlfn.XLOOKUP(X180,'00_SKU_Master'!$B$2:$B$379,'00_SKU_Master'!$F$2:$F$379,0)*AD180,"")</f>
        <v>0</v>
      </c>
      <c r="J180" s="182">
        <f>_xlfn.IFNA(_xlfn.XLOOKUP(X180,'00_SKU_Master'!$B$2:$B$379,'00_SKU_Master'!$F$2:$F$379,0)*AE180,"")</f>
        <v>0</v>
      </c>
      <c r="K180" s="183">
        <f t="shared" si="10"/>
        <v>0</v>
      </c>
      <c r="L180" s="184" t="str">
        <f>_xlfn.XLOOKUP(X180,'00_SKU_Master'!$B$2:$B$379,'00_SKU_Master'!$K$2:$K$379)</f>
        <v>Fast</v>
      </c>
      <c r="M180" s="185">
        <f t="shared" si="11"/>
        <v>7814</v>
      </c>
      <c r="N180" s="186">
        <f>IFERROR(D180/_xlfn.XLOOKUP($M180,'00_SKU_Master'!$B$2:$B$379,'00_SKU_Master'!$M$2:$M$379,0),"0")</f>
        <v>0</v>
      </c>
      <c r="O180" s="186">
        <f>IFERROR(E180/_xlfn.XLOOKUP($M180,'00_SKU_Master'!$B$2:$B$379,'00_SKU_Master'!$M$2:$M$379,0),"0")</f>
        <v>0</v>
      </c>
      <c r="P180" s="186">
        <f>IFERROR(F180/_xlfn.XLOOKUP($M180,'00_SKU_Master'!$B$2:$B$379,'00_SKU_Master'!$M$2:$M$379,0),"0")</f>
        <v>0</v>
      </c>
      <c r="Q180" s="186">
        <f>IFERROR(G180/_xlfn.XLOOKUP($M180,'00_SKU_Master'!$B$2:$B$379,'00_SKU_Master'!$M$2:$M$379,0),"0")</f>
        <v>0</v>
      </c>
      <c r="R180" s="186">
        <f>IFERROR(H180/_xlfn.XLOOKUP($M180,'00_SKU_Master'!$B$2:$B$379,'00_SKU_Master'!$M$2:$M$379,0),"0")</f>
        <v>0</v>
      </c>
      <c r="S180" s="186">
        <f>IFERROR(I180/_xlfn.XLOOKUP($M180,'00_SKU_Master'!$B$2:$B$379,'00_SKU_Master'!$M$2:$M$379,0),"0")</f>
        <v>0</v>
      </c>
      <c r="T180" s="186">
        <f>IFERROR(J180/_xlfn.XLOOKUP($M180,'00_SKU_Master'!$B$2:$B$379,'00_SKU_Master'!$M$2:$M$379,0),"0")</f>
        <v>0</v>
      </c>
      <c r="U180" s="186">
        <f t="shared" si="12"/>
        <v>0</v>
      </c>
      <c r="V180" s="186" t="str">
        <f>_xlfn.XLOOKUP(M180,'00_SKU_Master'!$B$2:$B$379,'00_SKU_Master'!$D$2:$D$379)</f>
        <v>LCL</v>
      </c>
      <c r="W180" s="1"/>
      <c r="X180" s="2">
        <f>'05_Daily_Orders'!C181</f>
        <v>7814</v>
      </c>
      <c r="Y180" s="289"/>
      <c r="Z180" s="289">
        <v>0</v>
      </c>
      <c r="AA180" s="289">
        <v>0</v>
      </c>
      <c r="AB180" s="289">
        <v>0</v>
      </c>
      <c r="AC180" s="289">
        <v>0</v>
      </c>
      <c r="AD180" s="289">
        <v>0</v>
      </c>
      <c r="AE180" s="289">
        <v>0</v>
      </c>
      <c r="AF180" s="7">
        <f t="shared" si="13"/>
        <v>0</v>
      </c>
      <c r="AQ180" s="70">
        <v>0</v>
      </c>
      <c r="AR180" s="70">
        <v>0</v>
      </c>
      <c r="AS180" s="3">
        <f t="shared" si="14"/>
        <v>0</v>
      </c>
    </row>
    <row r="181" spans="1:45" x14ac:dyDescent="0.35">
      <c r="A181" s="181">
        <f>_xlfn.XLOOKUP(X181,'00_SKU_Master'!$B$2:$B$379,'00_SKU_Master'!$C$2:$C$379)</f>
        <v>61054</v>
      </c>
      <c r="B181" s="181" t="str">
        <f>_xlfn.XLOOKUP(X181,tblSKU[SKU],tblSKU[Product_Group])</f>
        <v>Fillet</v>
      </c>
      <c r="C181" s="181" t="str">
        <f>_xlfn.XLOOKUP(X181,tblSKU[SKU],tblSKU[Tray_Type])</f>
        <v>ST 3XP</v>
      </c>
      <c r="D181" s="182">
        <f>_xlfn.IFNA(_xlfn.XLOOKUP(X181,'00_SKU_Master'!$B$2:$B$379,'00_SKU_Master'!$F$2:$F$379,0)*Y181,"")</f>
        <v>0</v>
      </c>
      <c r="E181" s="182">
        <f>_xlfn.IFNA(_xlfn.XLOOKUP(X181,'00_SKU_Master'!$B$2:$B$379,'00_SKU_Master'!$F$2:$F$379,0)*Z181,"")</f>
        <v>0</v>
      </c>
      <c r="F181" s="182">
        <f>_xlfn.IFNA(_xlfn.XLOOKUP(X181,'00_SKU_Master'!$B$2:$B$379,'00_SKU_Master'!$F$2:$F$379,0)*AA181,"")</f>
        <v>0</v>
      </c>
      <c r="G181" s="182">
        <f>_xlfn.IFNA(_xlfn.XLOOKUP(X181,'00_SKU_Master'!$B$2:$B$379,'00_SKU_Master'!$F$2:$F$379,0)*AB181,"")</f>
        <v>0</v>
      </c>
      <c r="H181" s="182">
        <f>_xlfn.IFNA(_xlfn.XLOOKUP(X181,'00_SKU_Master'!$B$2:$B$379,'00_SKU_Master'!$F$2:$F$379,0)*AC181,"")</f>
        <v>0</v>
      </c>
      <c r="I181" s="182">
        <f>_xlfn.IFNA(_xlfn.XLOOKUP(X181,'00_SKU_Master'!$B$2:$B$379,'00_SKU_Master'!$F$2:$F$379,0)*AD181,"")</f>
        <v>0</v>
      </c>
      <c r="J181" s="182">
        <f>_xlfn.IFNA(_xlfn.XLOOKUP(X181,'00_SKU_Master'!$B$2:$B$379,'00_SKU_Master'!$F$2:$F$379,0)*AE181,"")</f>
        <v>0</v>
      </c>
      <c r="K181" s="183">
        <f t="shared" si="10"/>
        <v>0</v>
      </c>
      <c r="L181" s="184" t="str">
        <f>_xlfn.XLOOKUP(X181,'00_SKU_Master'!$B$2:$B$379,'00_SKU_Master'!$K$2:$K$379)</f>
        <v>Slow</v>
      </c>
      <c r="M181" s="185">
        <f t="shared" si="11"/>
        <v>7815</v>
      </c>
      <c r="N181" s="186">
        <f>IFERROR(D181/_xlfn.XLOOKUP($M181,'00_SKU_Master'!$B$2:$B$379,'00_SKU_Master'!$M$2:$M$379,0),"0")</f>
        <v>0</v>
      </c>
      <c r="O181" s="186">
        <f>IFERROR(E181/_xlfn.XLOOKUP($M181,'00_SKU_Master'!$B$2:$B$379,'00_SKU_Master'!$M$2:$M$379,0),"0")</f>
        <v>0</v>
      </c>
      <c r="P181" s="186">
        <f>IFERROR(F181/_xlfn.XLOOKUP($M181,'00_SKU_Master'!$B$2:$B$379,'00_SKU_Master'!$M$2:$M$379,0),"0")</f>
        <v>0</v>
      </c>
      <c r="Q181" s="186">
        <f>IFERROR(G181/_xlfn.XLOOKUP($M181,'00_SKU_Master'!$B$2:$B$379,'00_SKU_Master'!$M$2:$M$379,0),"0")</f>
        <v>0</v>
      </c>
      <c r="R181" s="186">
        <f>IFERROR(H181/_xlfn.XLOOKUP($M181,'00_SKU_Master'!$B$2:$B$379,'00_SKU_Master'!$M$2:$M$379,0),"0")</f>
        <v>0</v>
      </c>
      <c r="S181" s="186">
        <f>IFERROR(I181/_xlfn.XLOOKUP($M181,'00_SKU_Master'!$B$2:$B$379,'00_SKU_Master'!$M$2:$M$379,0),"0")</f>
        <v>0</v>
      </c>
      <c r="T181" s="186">
        <f>IFERROR(J181/_xlfn.XLOOKUP($M181,'00_SKU_Master'!$B$2:$B$379,'00_SKU_Master'!$M$2:$M$379,0),"0")</f>
        <v>0</v>
      </c>
      <c r="U181" s="186">
        <f t="shared" si="12"/>
        <v>0</v>
      </c>
      <c r="V181" s="186" t="str">
        <f>_xlfn.XLOOKUP(M181,'00_SKU_Master'!$B$2:$B$379,'00_SKU_Master'!$D$2:$D$379)</f>
        <v>LCL</v>
      </c>
      <c r="W181" s="1"/>
      <c r="X181" s="2">
        <f>'05_Daily_Orders'!C182</f>
        <v>7815</v>
      </c>
      <c r="Y181" s="289"/>
      <c r="Z181" s="289">
        <v>0</v>
      </c>
      <c r="AA181" s="289">
        <v>0</v>
      </c>
      <c r="AB181" s="289">
        <v>0</v>
      </c>
      <c r="AC181" s="289">
        <v>0</v>
      </c>
      <c r="AD181" s="289">
        <v>0</v>
      </c>
      <c r="AE181" s="289">
        <v>0</v>
      </c>
      <c r="AF181" s="7">
        <f t="shared" si="13"/>
        <v>0</v>
      </c>
      <c r="AQ181" s="70">
        <v>0</v>
      </c>
      <c r="AR181" s="70">
        <v>0</v>
      </c>
      <c r="AS181" s="3">
        <f t="shared" si="14"/>
        <v>0</v>
      </c>
    </row>
    <row r="182" spans="1:45" x14ac:dyDescent="0.35">
      <c r="A182" s="181">
        <f>_xlfn.XLOOKUP(X182,'00_SKU_Master'!$B$2:$B$379,'00_SKU_Master'!$C$2:$C$379)</f>
        <v>61086</v>
      </c>
      <c r="B182" s="181" t="str">
        <f>_xlfn.XLOOKUP(X182,tblSKU[SKU],tblSKU[Product_Group])</f>
        <v>ThighMeat</v>
      </c>
      <c r="C182" s="181" t="str">
        <f>_xlfn.XLOOKUP(X182,tblSKU[SKU],tblSKU[Tray_Type])</f>
        <v>LT 6D</v>
      </c>
      <c r="D182" s="182">
        <f>_xlfn.IFNA(_xlfn.XLOOKUP(X182,'00_SKU_Master'!$B$2:$B$379,'00_SKU_Master'!$F$2:$F$379,0)*Y182,"")</f>
        <v>0</v>
      </c>
      <c r="E182" s="182">
        <f>_xlfn.IFNA(_xlfn.XLOOKUP(X182,'00_SKU_Master'!$B$2:$B$379,'00_SKU_Master'!$F$2:$F$379,0)*Z182,"")</f>
        <v>0</v>
      </c>
      <c r="F182" s="182">
        <f>_xlfn.IFNA(_xlfn.XLOOKUP(X182,'00_SKU_Master'!$B$2:$B$379,'00_SKU_Master'!$F$2:$F$379,0)*AA182,"")</f>
        <v>0</v>
      </c>
      <c r="G182" s="182">
        <f>_xlfn.IFNA(_xlfn.XLOOKUP(X182,'00_SKU_Master'!$B$2:$B$379,'00_SKU_Master'!$F$2:$F$379,0)*AB182,"")</f>
        <v>0</v>
      </c>
      <c r="H182" s="182">
        <f>_xlfn.IFNA(_xlfn.XLOOKUP(X182,'00_SKU_Master'!$B$2:$B$379,'00_SKU_Master'!$F$2:$F$379,0)*AC182,"")</f>
        <v>0</v>
      </c>
      <c r="I182" s="182">
        <f>_xlfn.IFNA(_xlfn.XLOOKUP(X182,'00_SKU_Master'!$B$2:$B$379,'00_SKU_Master'!$F$2:$F$379,0)*AD182,"")</f>
        <v>0</v>
      </c>
      <c r="J182" s="182">
        <f>_xlfn.IFNA(_xlfn.XLOOKUP(X182,'00_SKU_Master'!$B$2:$B$379,'00_SKU_Master'!$F$2:$F$379,0)*AE182,"")</f>
        <v>0</v>
      </c>
      <c r="K182" s="183">
        <f t="shared" si="10"/>
        <v>0</v>
      </c>
      <c r="L182" s="184" t="str">
        <f>_xlfn.XLOOKUP(X182,'00_SKU_Master'!$B$2:$B$379,'00_SKU_Master'!$K$2:$K$379)</f>
        <v>Slow</v>
      </c>
      <c r="M182" s="185">
        <f t="shared" si="11"/>
        <v>7816</v>
      </c>
      <c r="N182" s="186">
        <f>IFERROR(D182/_xlfn.XLOOKUP($M182,'00_SKU_Master'!$B$2:$B$379,'00_SKU_Master'!$M$2:$M$379,0),"0")</f>
        <v>0</v>
      </c>
      <c r="O182" s="186">
        <f>IFERROR(E182/_xlfn.XLOOKUP($M182,'00_SKU_Master'!$B$2:$B$379,'00_SKU_Master'!$M$2:$M$379,0),"0")</f>
        <v>0</v>
      </c>
      <c r="P182" s="186">
        <f>IFERROR(F182/_xlfn.XLOOKUP($M182,'00_SKU_Master'!$B$2:$B$379,'00_SKU_Master'!$M$2:$M$379,0),"0")</f>
        <v>0</v>
      </c>
      <c r="Q182" s="186">
        <f>IFERROR(G182/_xlfn.XLOOKUP($M182,'00_SKU_Master'!$B$2:$B$379,'00_SKU_Master'!$M$2:$M$379,0),"0")</f>
        <v>0</v>
      </c>
      <c r="R182" s="186">
        <f>IFERROR(H182/_xlfn.XLOOKUP($M182,'00_SKU_Master'!$B$2:$B$379,'00_SKU_Master'!$M$2:$M$379,0),"0")</f>
        <v>0</v>
      </c>
      <c r="S182" s="186">
        <f>IFERROR(I182/_xlfn.XLOOKUP($M182,'00_SKU_Master'!$B$2:$B$379,'00_SKU_Master'!$M$2:$M$379,0),"0")</f>
        <v>0</v>
      </c>
      <c r="T182" s="186">
        <f>IFERROR(J182/_xlfn.XLOOKUP($M182,'00_SKU_Master'!$B$2:$B$379,'00_SKU_Master'!$M$2:$M$379,0),"0")</f>
        <v>0</v>
      </c>
      <c r="U182" s="186">
        <f t="shared" si="12"/>
        <v>0</v>
      </c>
      <c r="V182" s="186" t="str">
        <f>_xlfn.XLOOKUP(M182,'00_SKU_Master'!$B$2:$B$379,'00_SKU_Master'!$D$2:$D$379)</f>
        <v>LCL</v>
      </c>
      <c r="W182" s="1"/>
      <c r="X182" s="2">
        <f>'05_Daily_Orders'!C183</f>
        <v>7816</v>
      </c>
      <c r="Y182" s="289"/>
      <c r="Z182" s="289">
        <v>0</v>
      </c>
      <c r="AA182" s="289">
        <v>0</v>
      </c>
      <c r="AB182" s="289">
        <v>0</v>
      </c>
      <c r="AC182" s="289">
        <v>0</v>
      </c>
      <c r="AD182" s="289">
        <v>0</v>
      </c>
      <c r="AE182" s="289">
        <v>0</v>
      </c>
      <c r="AF182" s="7">
        <f t="shared" si="13"/>
        <v>0</v>
      </c>
      <c r="AQ182" s="70">
        <v>0</v>
      </c>
      <c r="AR182" s="70">
        <v>0</v>
      </c>
      <c r="AS182" s="3">
        <f t="shared" si="14"/>
        <v>0</v>
      </c>
    </row>
    <row r="183" spans="1:45" x14ac:dyDescent="0.35">
      <c r="A183" s="181">
        <f>_xlfn.XLOOKUP(X183,'00_SKU_Master'!$B$2:$B$379,'00_SKU_Master'!$C$2:$C$379)</f>
        <v>61077</v>
      </c>
      <c r="B183" s="181" t="str">
        <f>_xlfn.XLOOKUP(X183,tblSKU[SKU],tblSKU[Product_Group])</f>
        <v>Thigh</v>
      </c>
      <c r="C183" s="181" t="str">
        <f>_xlfn.XLOOKUP(X183,tblSKU[SKU],tblSKU[Tray_Type])</f>
        <v>LT 6D</v>
      </c>
      <c r="D183" s="182">
        <f>_xlfn.IFNA(_xlfn.XLOOKUP(X183,'00_SKU_Master'!$B$2:$B$379,'00_SKU_Master'!$F$2:$F$379,0)*Y183,"")</f>
        <v>0</v>
      </c>
      <c r="E183" s="182">
        <f>_xlfn.IFNA(_xlfn.XLOOKUP(X183,'00_SKU_Master'!$B$2:$B$379,'00_SKU_Master'!$F$2:$F$379,0)*Z183,"")</f>
        <v>0</v>
      </c>
      <c r="F183" s="182">
        <f>_xlfn.IFNA(_xlfn.XLOOKUP(X183,'00_SKU_Master'!$B$2:$B$379,'00_SKU_Master'!$F$2:$F$379,0)*AA183,"")</f>
        <v>0</v>
      </c>
      <c r="G183" s="182">
        <f>_xlfn.IFNA(_xlfn.XLOOKUP(X183,'00_SKU_Master'!$B$2:$B$379,'00_SKU_Master'!$F$2:$F$379,0)*AB183,"")</f>
        <v>0</v>
      </c>
      <c r="H183" s="182">
        <f>_xlfn.IFNA(_xlfn.XLOOKUP(X183,'00_SKU_Master'!$B$2:$B$379,'00_SKU_Master'!$F$2:$F$379,0)*AC183,"")</f>
        <v>0</v>
      </c>
      <c r="I183" s="182">
        <f>_xlfn.IFNA(_xlfn.XLOOKUP(X183,'00_SKU_Master'!$B$2:$B$379,'00_SKU_Master'!$F$2:$F$379,0)*AD183,"")</f>
        <v>0</v>
      </c>
      <c r="J183" s="182">
        <f>_xlfn.IFNA(_xlfn.XLOOKUP(X183,'00_SKU_Master'!$B$2:$B$379,'00_SKU_Master'!$F$2:$F$379,0)*AE183,"")</f>
        <v>0</v>
      </c>
      <c r="K183" s="183">
        <f t="shared" si="10"/>
        <v>0</v>
      </c>
      <c r="L183" s="184" t="str">
        <f>_xlfn.XLOOKUP(X183,'00_SKU_Master'!$B$2:$B$379,'00_SKU_Master'!$K$2:$K$379)</f>
        <v>Fast</v>
      </c>
      <c r="M183" s="185">
        <f t="shared" si="11"/>
        <v>7817</v>
      </c>
      <c r="N183" s="186">
        <f>IFERROR(D183/_xlfn.XLOOKUP($M183,'00_SKU_Master'!$B$2:$B$379,'00_SKU_Master'!$M$2:$M$379,0),"0")</f>
        <v>0</v>
      </c>
      <c r="O183" s="186">
        <f>IFERROR(E183/_xlfn.XLOOKUP($M183,'00_SKU_Master'!$B$2:$B$379,'00_SKU_Master'!$M$2:$M$379,0),"0")</f>
        <v>0</v>
      </c>
      <c r="P183" s="186">
        <f>IFERROR(F183/_xlfn.XLOOKUP($M183,'00_SKU_Master'!$B$2:$B$379,'00_SKU_Master'!$M$2:$M$379,0),"0")</f>
        <v>0</v>
      </c>
      <c r="Q183" s="186">
        <f>IFERROR(G183/_xlfn.XLOOKUP($M183,'00_SKU_Master'!$B$2:$B$379,'00_SKU_Master'!$M$2:$M$379,0),"0")</f>
        <v>0</v>
      </c>
      <c r="R183" s="186">
        <f>IFERROR(H183/_xlfn.XLOOKUP($M183,'00_SKU_Master'!$B$2:$B$379,'00_SKU_Master'!$M$2:$M$379,0),"0")</f>
        <v>0</v>
      </c>
      <c r="S183" s="186">
        <f>IFERROR(I183/_xlfn.XLOOKUP($M183,'00_SKU_Master'!$B$2:$B$379,'00_SKU_Master'!$M$2:$M$379,0),"0")</f>
        <v>0</v>
      </c>
      <c r="T183" s="186">
        <f>IFERROR(J183/_xlfn.XLOOKUP($M183,'00_SKU_Master'!$B$2:$B$379,'00_SKU_Master'!$M$2:$M$379,0),"0")</f>
        <v>0</v>
      </c>
      <c r="U183" s="186">
        <f t="shared" si="12"/>
        <v>0</v>
      </c>
      <c r="V183" s="186" t="str">
        <f>_xlfn.XLOOKUP(M183,'00_SKU_Master'!$B$2:$B$379,'00_SKU_Master'!$D$2:$D$379)</f>
        <v>LCL</v>
      </c>
      <c r="W183" s="1"/>
      <c r="X183" s="2">
        <f>'05_Daily_Orders'!C184</f>
        <v>7817</v>
      </c>
      <c r="Y183" s="289"/>
      <c r="Z183" s="289">
        <v>0</v>
      </c>
      <c r="AA183" s="289">
        <v>0</v>
      </c>
      <c r="AB183" s="289">
        <v>0</v>
      </c>
      <c r="AC183" s="289">
        <v>0</v>
      </c>
      <c r="AD183" s="289">
        <v>0</v>
      </c>
      <c r="AE183" s="289">
        <v>0</v>
      </c>
      <c r="AF183" s="7">
        <f t="shared" si="13"/>
        <v>0</v>
      </c>
      <c r="AQ183" s="70">
        <v>0</v>
      </c>
      <c r="AR183" s="70">
        <v>0</v>
      </c>
      <c r="AS183" s="3">
        <f t="shared" si="14"/>
        <v>0</v>
      </c>
    </row>
    <row r="184" spans="1:45" x14ac:dyDescent="0.35">
      <c r="A184" s="181" t="str">
        <f>_xlfn.XLOOKUP(X184,'00_SKU_Master'!$B$2:$B$379,'00_SKU_Master'!$C$2:$C$379)</f>
        <v>61072F</v>
      </c>
      <c r="B184" s="181" t="str">
        <f>_xlfn.XLOOKUP(X184,tblSKU[SKU],tblSKU[Product_Group])</f>
        <v>Drum</v>
      </c>
      <c r="C184" s="181" t="str">
        <f>_xlfn.XLOOKUP(X184,tblSKU[SKU],tblSKU[Tray_Type])</f>
        <v>LT 6D</v>
      </c>
      <c r="D184" s="182">
        <f>_xlfn.IFNA(_xlfn.XLOOKUP(X184,'00_SKU_Master'!$B$2:$B$379,'00_SKU_Master'!$F$2:$F$379,0)*Y184,"")</f>
        <v>0</v>
      </c>
      <c r="E184" s="182">
        <f>_xlfn.IFNA(_xlfn.XLOOKUP(X184,'00_SKU_Master'!$B$2:$B$379,'00_SKU_Master'!$F$2:$F$379,0)*Z184,"")</f>
        <v>0</v>
      </c>
      <c r="F184" s="182">
        <f>_xlfn.IFNA(_xlfn.XLOOKUP(X184,'00_SKU_Master'!$B$2:$B$379,'00_SKU_Master'!$F$2:$F$379,0)*AA184,"")</f>
        <v>0</v>
      </c>
      <c r="G184" s="182">
        <f>_xlfn.IFNA(_xlfn.XLOOKUP(X184,'00_SKU_Master'!$B$2:$B$379,'00_SKU_Master'!$F$2:$F$379,0)*AB184,"")</f>
        <v>0</v>
      </c>
      <c r="H184" s="182">
        <f>_xlfn.IFNA(_xlfn.XLOOKUP(X184,'00_SKU_Master'!$B$2:$B$379,'00_SKU_Master'!$F$2:$F$379,0)*AC184,"")</f>
        <v>0</v>
      </c>
      <c r="I184" s="182">
        <f>_xlfn.IFNA(_xlfn.XLOOKUP(X184,'00_SKU_Master'!$B$2:$B$379,'00_SKU_Master'!$F$2:$F$379,0)*AD184,"")</f>
        <v>0</v>
      </c>
      <c r="J184" s="182">
        <f>_xlfn.IFNA(_xlfn.XLOOKUP(X184,'00_SKU_Master'!$B$2:$B$379,'00_SKU_Master'!$F$2:$F$379,0)*AE184,"")</f>
        <v>0</v>
      </c>
      <c r="K184" s="183">
        <f t="shared" si="10"/>
        <v>0</v>
      </c>
      <c r="L184" s="184" t="str">
        <f>_xlfn.XLOOKUP(X184,'00_SKU_Master'!$B$2:$B$379,'00_SKU_Master'!$K$2:$K$379)</f>
        <v>Fast</v>
      </c>
      <c r="M184" s="185">
        <f t="shared" si="11"/>
        <v>7818</v>
      </c>
      <c r="N184" s="186">
        <f>IFERROR(D184/_xlfn.XLOOKUP($M184,'00_SKU_Master'!$B$2:$B$379,'00_SKU_Master'!$M$2:$M$379,0),"0")</f>
        <v>0</v>
      </c>
      <c r="O184" s="186">
        <f>IFERROR(E184/_xlfn.XLOOKUP($M184,'00_SKU_Master'!$B$2:$B$379,'00_SKU_Master'!$M$2:$M$379,0),"0")</f>
        <v>0</v>
      </c>
      <c r="P184" s="186">
        <f>IFERROR(F184/_xlfn.XLOOKUP($M184,'00_SKU_Master'!$B$2:$B$379,'00_SKU_Master'!$M$2:$M$379,0),"0")</f>
        <v>0</v>
      </c>
      <c r="Q184" s="186">
        <f>IFERROR(G184/_xlfn.XLOOKUP($M184,'00_SKU_Master'!$B$2:$B$379,'00_SKU_Master'!$M$2:$M$379,0),"0")</f>
        <v>0</v>
      </c>
      <c r="R184" s="186">
        <f>IFERROR(H184/_xlfn.XLOOKUP($M184,'00_SKU_Master'!$B$2:$B$379,'00_SKU_Master'!$M$2:$M$379,0),"0")</f>
        <v>0</v>
      </c>
      <c r="S184" s="186">
        <f>IFERROR(I184/_xlfn.XLOOKUP($M184,'00_SKU_Master'!$B$2:$B$379,'00_SKU_Master'!$M$2:$M$379,0),"0")</f>
        <v>0</v>
      </c>
      <c r="T184" s="186">
        <f>IFERROR(J184/_xlfn.XLOOKUP($M184,'00_SKU_Master'!$B$2:$B$379,'00_SKU_Master'!$M$2:$M$379,0),"0")</f>
        <v>0</v>
      </c>
      <c r="U184" s="186">
        <f t="shared" si="12"/>
        <v>0</v>
      </c>
      <c r="V184" s="186" t="str">
        <f>_xlfn.XLOOKUP(M184,'00_SKU_Master'!$B$2:$B$379,'00_SKU_Master'!$D$2:$D$379)</f>
        <v>LCL</v>
      </c>
      <c r="W184" s="1"/>
      <c r="X184" s="2">
        <f>'05_Daily_Orders'!C185</f>
        <v>7818</v>
      </c>
      <c r="Y184" s="289"/>
      <c r="Z184" s="289">
        <v>0</v>
      </c>
      <c r="AA184" s="289">
        <v>0</v>
      </c>
      <c r="AB184" s="289">
        <v>0</v>
      </c>
      <c r="AC184" s="289">
        <v>0</v>
      </c>
      <c r="AD184" s="289">
        <v>0</v>
      </c>
      <c r="AE184" s="289">
        <v>0</v>
      </c>
      <c r="AF184" s="7">
        <f t="shared" si="13"/>
        <v>0</v>
      </c>
      <c r="AQ184" s="70">
        <v>0</v>
      </c>
      <c r="AR184" s="70">
        <v>0</v>
      </c>
      <c r="AS184" s="3">
        <f t="shared" si="14"/>
        <v>0</v>
      </c>
    </row>
    <row r="185" spans="1:45" x14ac:dyDescent="0.35">
      <c r="A185" s="181" t="str">
        <f>_xlfn.XLOOKUP(X185,'00_SKU_Master'!$B$2:$B$379,'00_SKU_Master'!$C$2:$C$379)</f>
        <v>61014F</v>
      </c>
      <c r="B185" s="181" t="str">
        <f>_xlfn.XLOOKUP(X185,tblSKU[SKU],tblSKU[Product_Group])</f>
        <v>SplitWing</v>
      </c>
      <c r="C185" s="181" t="str">
        <f>_xlfn.XLOOKUP(X185,tblSKU[SKU],tblSKU[Tray_Type])</f>
        <v>LT 6D</v>
      </c>
      <c r="D185" s="182">
        <f>_xlfn.IFNA(_xlfn.XLOOKUP(X185,'00_SKU_Master'!$B$2:$B$379,'00_SKU_Master'!$F$2:$F$379,0)*Y185,"")</f>
        <v>0</v>
      </c>
      <c r="E185" s="182">
        <f>_xlfn.IFNA(_xlfn.XLOOKUP(X185,'00_SKU_Master'!$B$2:$B$379,'00_SKU_Master'!$F$2:$F$379,0)*Z185,"")</f>
        <v>0</v>
      </c>
      <c r="F185" s="182">
        <f>_xlfn.IFNA(_xlfn.XLOOKUP(X185,'00_SKU_Master'!$B$2:$B$379,'00_SKU_Master'!$F$2:$F$379,0)*AA185,"")</f>
        <v>0</v>
      </c>
      <c r="G185" s="182">
        <f>_xlfn.IFNA(_xlfn.XLOOKUP(X185,'00_SKU_Master'!$B$2:$B$379,'00_SKU_Master'!$F$2:$F$379,0)*AB185,"")</f>
        <v>0</v>
      </c>
      <c r="H185" s="182">
        <f>_xlfn.IFNA(_xlfn.XLOOKUP(X185,'00_SKU_Master'!$B$2:$B$379,'00_SKU_Master'!$F$2:$F$379,0)*AC185,"")</f>
        <v>0</v>
      </c>
      <c r="I185" s="182">
        <f>_xlfn.IFNA(_xlfn.XLOOKUP(X185,'00_SKU_Master'!$B$2:$B$379,'00_SKU_Master'!$F$2:$F$379,0)*AD185,"")</f>
        <v>0</v>
      </c>
      <c r="J185" s="182">
        <f>_xlfn.IFNA(_xlfn.XLOOKUP(X185,'00_SKU_Master'!$B$2:$B$379,'00_SKU_Master'!$F$2:$F$379,0)*AE185,"")</f>
        <v>0</v>
      </c>
      <c r="K185" s="183">
        <f t="shared" si="10"/>
        <v>0</v>
      </c>
      <c r="L185" s="184" t="str">
        <f>_xlfn.XLOOKUP(X185,'00_SKU_Master'!$B$2:$B$379,'00_SKU_Master'!$K$2:$K$379)</f>
        <v>Slow</v>
      </c>
      <c r="M185" s="185">
        <f t="shared" si="11"/>
        <v>7819</v>
      </c>
      <c r="N185" s="186">
        <f>IFERROR(D185/_xlfn.XLOOKUP($M185,'00_SKU_Master'!$B$2:$B$379,'00_SKU_Master'!$M$2:$M$379,0),"0")</f>
        <v>0</v>
      </c>
      <c r="O185" s="186">
        <f>IFERROR(E185/_xlfn.XLOOKUP($M185,'00_SKU_Master'!$B$2:$B$379,'00_SKU_Master'!$M$2:$M$379,0),"0")</f>
        <v>0</v>
      </c>
      <c r="P185" s="186">
        <f>IFERROR(F185/_xlfn.XLOOKUP($M185,'00_SKU_Master'!$B$2:$B$379,'00_SKU_Master'!$M$2:$M$379,0),"0")</f>
        <v>0</v>
      </c>
      <c r="Q185" s="186">
        <f>IFERROR(G185/_xlfn.XLOOKUP($M185,'00_SKU_Master'!$B$2:$B$379,'00_SKU_Master'!$M$2:$M$379,0),"0")</f>
        <v>0</v>
      </c>
      <c r="R185" s="186">
        <f>IFERROR(H185/_xlfn.XLOOKUP($M185,'00_SKU_Master'!$B$2:$B$379,'00_SKU_Master'!$M$2:$M$379,0),"0")</f>
        <v>0</v>
      </c>
      <c r="S185" s="186">
        <f>IFERROR(I185/_xlfn.XLOOKUP($M185,'00_SKU_Master'!$B$2:$B$379,'00_SKU_Master'!$M$2:$M$379,0),"0")</f>
        <v>0</v>
      </c>
      <c r="T185" s="186">
        <f>IFERROR(J185/_xlfn.XLOOKUP($M185,'00_SKU_Master'!$B$2:$B$379,'00_SKU_Master'!$M$2:$M$379,0),"0")</f>
        <v>0</v>
      </c>
      <c r="U185" s="186">
        <f t="shared" si="12"/>
        <v>0</v>
      </c>
      <c r="V185" s="186" t="str">
        <f>_xlfn.XLOOKUP(M185,'00_SKU_Master'!$B$2:$B$379,'00_SKU_Master'!$D$2:$D$379)</f>
        <v>LCL</v>
      </c>
      <c r="W185" s="1"/>
      <c r="X185" s="2">
        <f>'05_Daily_Orders'!C186</f>
        <v>7819</v>
      </c>
      <c r="Y185" s="289"/>
      <c r="Z185" s="289">
        <v>0</v>
      </c>
      <c r="AA185" s="289">
        <v>0</v>
      </c>
      <c r="AB185" s="289">
        <v>0</v>
      </c>
      <c r="AC185" s="289">
        <v>0</v>
      </c>
      <c r="AD185" s="289">
        <v>0</v>
      </c>
      <c r="AE185" s="289">
        <v>0</v>
      </c>
      <c r="AF185" s="7">
        <f t="shared" si="13"/>
        <v>0</v>
      </c>
      <c r="AQ185" s="70">
        <v>0</v>
      </c>
      <c r="AR185" s="70">
        <v>0</v>
      </c>
      <c r="AS185" s="3">
        <f t="shared" si="14"/>
        <v>0</v>
      </c>
    </row>
    <row r="186" spans="1:45" x14ac:dyDescent="0.35">
      <c r="A186" s="181">
        <f>_xlfn.XLOOKUP(X186,'00_SKU_Master'!$B$2:$B$379,'00_SKU_Master'!$C$2:$C$379)</f>
        <v>61050</v>
      </c>
      <c r="B186" s="181" t="str">
        <f>_xlfn.XLOOKUP(X186,tblSKU[SKU],tblSKU[Product_Group])</f>
        <v>BSB</v>
      </c>
      <c r="C186" s="181" t="str">
        <f>_xlfn.XLOOKUP(X186,tblSKU[SKU],tblSKU[Tray_Type])</f>
        <v>PET 8</v>
      </c>
      <c r="D186" s="182">
        <f>_xlfn.IFNA(_xlfn.XLOOKUP(X186,'00_SKU_Master'!$B$2:$B$379,'00_SKU_Master'!$F$2:$F$379,0)*Y186,"")</f>
        <v>0</v>
      </c>
      <c r="E186" s="182">
        <f>_xlfn.IFNA(_xlfn.XLOOKUP(X186,'00_SKU_Master'!$B$2:$B$379,'00_SKU_Master'!$F$2:$F$379,0)*Z186,"")</f>
        <v>0</v>
      </c>
      <c r="F186" s="182">
        <f>_xlfn.IFNA(_xlfn.XLOOKUP(X186,'00_SKU_Master'!$B$2:$B$379,'00_SKU_Master'!$F$2:$F$379,0)*AA186,"")</f>
        <v>0</v>
      </c>
      <c r="G186" s="182">
        <f>_xlfn.IFNA(_xlfn.XLOOKUP(X186,'00_SKU_Master'!$B$2:$B$379,'00_SKU_Master'!$F$2:$F$379,0)*AB186,"")</f>
        <v>0</v>
      </c>
      <c r="H186" s="182">
        <f>_xlfn.IFNA(_xlfn.XLOOKUP(X186,'00_SKU_Master'!$B$2:$B$379,'00_SKU_Master'!$F$2:$F$379,0)*AC186,"")</f>
        <v>0</v>
      </c>
      <c r="I186" s="182">
        <f>_xlfn.IFNA(_xlfn.XLOOKUP(X186,'00_SKU_Master'!$B$2:$B$379,'00_SKU_Master'!$F$2:$F$379,0)*AD186,"")</f>
        <v>0</v>
      </c>
      <c r="J186" s="182">
        <f>_xlfn.IFNA(_xlfn.XLOOKUP(X186,'00_SKU_Master'!$B$2:$B$379,'00_SKU_Master'!$F$2:$F$379,0)*AE186,"")</f>
        <v>0</v>
      </c>
      <c r="K186" s="183">
        <f t="shared" si="10"/>
        <v>0</v>
      </c>
      <c r="L186" s="184" t="str">
        <f>_xlfn.XLOOKUP(X186,'00_SKU_Master'!$B$2:$B$379,'00_SKU_Master'!$K$2:$K$379)</f>
        <v>Fast</v>
      </c>
      <c r="M186" s="185">
        <f t="shared" si="11"/>
        <v>7821</v>
      </c>
      <c r="N186" s="186">
        <f>IFERROR(D186/_xlfn.XLOOKUP($M186,'00_SKU_Master'!$B$2:$B$379,'00_SKU_Master'!$M$2:$M$379,0),"0")</f>
        <v>0</v>
      </c>
      <c r="O186" s="186">
        <f>IFERROR(E186/_xlfn.XLOOKUP($M186,'00_SKU_Master'!$B$2:$B$379,'00_SKU_Master'!$M$2:$M$379,0),"0")</f>
        <v>0</v>
      </c>
      <c r="P186" s="186">
        <f>IFERROR(F186/_xlfn.XLOOKUP($M186,'00_SKU_Master'!$B$2:$B$379,'00_SKU_Master'!$M$2:$M$379,0),"0")</f>
        <v>0</v>
      </c>
      <c r="Q186" s="186">
        <f>IFERROR(G186/_xlfn.XLOOKUP($M186,'00_SKU_Master'!$B$2:$B$379,'00_SKU_Master'!$M$2:$M$379,0),"0")</f>
        <v>0</v>
      </c>
      <c r="R186" s="186">
        <f>IFERROR(H186/_xlfn.XLOOKUP($M186,'00_SKU_Master'!$B$2:$B$379,'00_SKU_Master'!$M$2:$M$379,0),"0")</f>
        <v>0</v>
      </c>
      <c r="S186" s="186">
        <f>IFERROR(I186/_xlfn.XLOOKUP($M186,'00_SKU_Master'!$B$2:$B$379,'00_SKU_Master'!$M$2:$M$379,0),"0")</f>
        <v>0</v>
      </c>
      <c r="T186" s="186">
        <f>IFERROR(J186/_xlfn.XLOOKUP($M186,'00_SKU_Master'!$B$2:$B$379,'00_SKU_Master'!$M$2:$M$379,0),"0")</f>
        <v>0</v>
      </c>
      <c r="U186" s="186">
        <f t="shared" si="12"/>
        <v>0</v>
      </c>
      <c r="V186" s="186" t="str">
        <f>_xlfn.XLOOKUP(M186,'00_SKU_Master'!$B$2:$B$379,'00_SKU_Master'!$D$2:$D$379)</f>
        <v>LCL</v>
      </c>
      <c r="W186" s="1"/>
      <c r="X186" s="2">
        <f>'05_Daily_Orders'!C187</f>
        <v>7821</v>
      </c>
      <c r="Y186" s="289"/>
      <c r="Z186" s="289">
        <v>0</v>
      </c>
      <c r="AA186" s="289">
        <v>0</v>
      </c>
      <c r="AB186" s="289">
        <v>0</v>
      </c>
      <c r="AC186" s="289">
        <v>0</v>
      </c>
      <c r="AD186" s="289">
        <v>0</v>
      </c>
      <c r="AE186" s="289">
        <v>0</v>
      </c>
      <c r="AF186" s="7">
        <f t="shared" si="13"/>
        <v>0</v>
      </c>
      <c r="AQ186" s="70">
        <v>0</v>
      </c>
      <c r="AR186" s="70">
        <v>0</v>
      </c>
      <c r="AS186" s="3">
        <f t="shared" si="14"/>
        <v>0</v>
      </c>
    </row>
    <row r="187" spans="1:45" x14ac:dyDescent="0.35">
      <c r="A187" s="181">
        <f>_xlfn.XLOOKUP(X187,'00_SKU_Master'!$B$2:$B$379,'00_SKU_Master'!$C$2:$C$379)</f>
        <v>61077</v>
      </c>
      <c r="B187" s="181" t="str">
        <f>_xlfn.XLOOKUP(X187,tblSKU[SKU],tblSKU[Product_Group])</f>
        <v>Thigh</v>
      </c>
      <c r="C187" s="181" t="str">
        <f>_xlfn.XLOOKUP(X187,tblSKU[SKU],tblSKU[Tray_Type])</f>
        <v>PET 6</v>
      </c>
      <c r="D187" s="182">
        <f>_xlfn.IFNA(_xlfn.XLOOKUP(X187,'00_SKU_Master'!$B$2:$B$379,'00_SKU_Master'!$F$2:$F$379,0)*Y187,"")</f>
        <v>0</v>
      </c>
      <c r="E187" s="182">
        <f>_xlfn.IFNA(_xlfn.XLOOKUP(X187,'00_SKU_Master'!$B$2:$B$379,'00_SKU_Master'!$F$2:$F$379,0)*Z187,"")</f>
        <v>-6.4512988560533797</v>
      </c>
      <c r="F187" s="182">
        <f>_xlfn.IFNA(_xlfn.XLOOKUP(X187,'00_SKU_Master'!$B$2:$B$379,'00_SKU_Master'!$F$2:$F$379,0)*AA187,"")</f>
        <v>1006.4026215443272</v>
      </c>
      <c r="G187" s="182">
        <f>_xlfn.IFNA(_xlfn.XLOOKUP(X187,'00_SKU_Master'!$B$2:$B$379,'00_SKU_Master'!$F$2:$F$379,0)*AB187,"")</f>
        <v>754.80196615824548</v>
      </c>
      <c r="H187" s="182">
        <f>_xlfn.IFNA(_xlfn.XLOOKUP(X187,'00_SKU_Master'!$B$2:$B$379,'00_SKU_Master'!$F$2:$F$379,0)*AC187,"")</f>
        <v>780.60716158245896</v>
      </c>
      <c r="I187" s="182">
        <f>_xlfn.IFNA(_xlfn.XLOOKUP(X187,'00_SKU_Master'!$B$2:$B$379,'00_SKU_Master'!$F$2:$F$379,0)*AD187,"")</f>
        <v>793.5097592945657</v>
      </c>
      <c r="J187" s="182">
        <f>_xlfn.IFNA(_xlfn.XLOOKUP(X187,'00_SKU_Master'!$B$2:$B$379,'00_SKU_Master'!$F$2:$F$379,0)*AE187,"")</f>
        <v>529.00650619637713</v>
      </c>
      <c r="K187" s="183">
        <f t="shared" si="10"/>
        <v>3857.8767159199215</v>
      </c>
      <c r="L187" s="184" t="str">
        <f>_xlfn.XLOOKUP(X187,'00_SKU_Master'!$B$2:$B$379,'00_SKU_Master'!$K$2:$K$379)</f>
        <v>Fast</v>
      </c>
      <c r="M187" s="185">
        <f t="shared" si="11"/>
        <v>7823</v>
      </c>
      <c r="N187" s="186">
        <f>IFERROR(D187/_xlfn.XLOOKUP($M187,'00_SKU_Master'!$B$2:$B$379,'00_SKU_Master'!$M$2:$M$379,0),"0")</f>
        <v>0</v>
      </c>
      <c r="O187" s="186">
        <f>IFERROR(E187/_xlfn.XLOOKUP($M187,'00_SKU_Master'!$B$2:$B$379,'00_SKU_Master'!$M$2:$M$379,0),"0")</f>
        <v>-0.17511668990372908</v>
      </c>
      <c r="P187" s="186">
        <f>IFERROR(F187/_xlfn.XLOOKUP($M187,'00_SKU_Master'!$B$2:$B$379,'00_SKU_Master'!$M$2:$M$379,0),"0")</f>
        <v>27.318203624981734</v>
      </c>
      <c r="Q187" s="186">
        <f>IFERROR(G187/_xlfn.XLOOKUP($M187,'00_SKU_Master'!$B$2:$B$379,'00_SKU_Master'!$M$2:$M$379,0),"0")</f>
        <v>20.488652718736304</v>
      </c>
      <c r="R187" s="186">
        <f>IFERROR(H187/_xlfn.XLOOKUP($M187,'00_SKU_Master'!$B$2:$B$379,'00_SKU_Master'!$M$2:$M$379,0),"0")</f>
        <v>21.18911947835122</v>
      </c>
      <c r="S187" s="186">
        <f>IFERROR(I187/_xlfn.XLOOKUP($M187,'00_SKU_Master'!$B$2:$B$379,'00_SKU_Master'!$M$2:$M$379,0),"0")</f>
        <v>21.539352858158676</v>
      </c>
      <c r="T187" s="186">
        <f>IFERROR(J187/_xlfn.XLOOKUP($M187,'00_SKU_Master'!$B$2:$B$379,'00_SKU_Master'!$M$2:$M$379,0),"0")</f>
        <v>14.359568572105784</v>
      </c>
      <c r="U187" s="186">
        <f t="shared" si="12"/>
        <v>104.71978056242999</v>
      </c>
      <c r="V187" s="186" t="str">
        <f>_xlfn.XLOOKUP(M187,'00_SKU_Master'!$B$2:$B$379,'00_SKU_Master'!$D$2:$D$379)</f>
        <v>LCL</v>
      </c>
      <c r="W187" s="1"/>
      <c r="X187" s="2">
        <f>'05_Daily_Orders'!C188</f>
        <v>7823</v>
      </c>
      <c r="Y187" s="289"/>
      <c r="Z187" s="289">
        <v>-1</v>
      </c>
      <c r="AA187" s="289">
        <v>156</v>
      </c>
      <c r="AB187" s="289">
        <v>117</v>
      </c>
      <c r="AC187" s="289">
        <v>121</v>
      </c>
      <c r="AD187" s="289">
        <v>123</v>
      </c>
      <c r="AE187" s="289">
        <v>82</v>
      </c>
      <c r="AF187" s="7">
        <f t="shared" si="13"/>
        <v>598</v>
      </c>
      <c r="AQ187" s="70">
        <v>1</v>
      </c>
      <c r="AR187" s="70">
        <v>0</v>
      </c>
      <c r="AS187" s="3">
        <f t="shared" si="14"/>
        <v>-1</v>
      </c>
    </row>
    <row r="188" spans="1:45" x14ac:dyDescent="0.35">
      <c r="A188" s="181" t="str">
        <f>_xlfn.XLOOKUP(X188,'00_SKU_Master'!$B$2:$B$379,'00_SKU_Master'!$C$2:$C$379)</f>
        <v>61072F</v>
      </c>
      <c r="B188" s="181" t="str">
        <f>_xlfn.XLOOKUP(X188,tblSKU[SKU],tblSKU[Product_Group])</f>
        <v>Drum</v>
      </c>
      <c r="C188" s="181" t="str">
        <f>_xlfn.XLOOKUP(X188,tblSKU[SKU],tblSKU[Tray_Type])</f>
        <v>PET 6</v>
      </c>
      <c r="D188" s="182">
        <f>_xlfn.IFNA(_xlfn.XLOOKUP(X188,'00_SKU_Master'!$B$2:$B$379,'00_SKU_Master'!$F$2:$F$379,0)*Y188,"")</f>
        <v>0</v>
      </c>
      <c r="E188" s="182">
        <f>_xlfn.IFNA(_xlfn.XLOOKUP(X188,'00_SKU_Master'!$B$2:$B$379,'00_SKU_Master'!$F$2:$F$379,0)*Z188,"")</f>
        <v>0</v>
      </c>
      <c r="F188" s="182">
        <f>_xlfn.IFNA(_xlfn.XLOOKUP(X188,'00_SKU_Master'!$B$2:$B$379,'00_SKU_Master'!$F$2:$F$379,0)*AA188,"")</f>
        <v>688.04671446384043</v>
      </c>
      <c r="G188" s="182">
        <f>_xlfn.IFNA(_xlfn.XLOOKUP(X188,'00_SKU_Master'!$B$2:$B$379,'00_SKU_Master'!$F$2:$F$379,0)*AB188,"")</f>
        <v>493.20162718204489</v>
      </c>
      <c r="H188" s="182">
        <f>_xlfn.IFNA(_xlfn.XLOOKUP(X188,'00_SKU_Master'!$B$2:$B$379,'00_SKU_Master'!$F$2:$F$379,0)*AC188,"")</f>
        <v>517.5572630922693</v>
      </c>
      <c r="I188" s="182">
        <f>_xlfn.IFNA(_xlfn.XLOOKUP(X188,'00_SKU_Master'!$B$2:$B$379,'00_SKU_Master'!$F$2:$F$379,0)*AD188,"")</f>
        <v>511.46835411471324</v>
      </c>
      <c r="J188" s="182">
        <f>_xlfn.IFNA(_xlfn.XLOOKUP(X188,'00_SKU_Master'!$B$2:$B$379,'00_SKU_Master'!$F$2:$F$379,0)*AE188,"")</f>
        <v>359.24562967581051</v>
      </c>
      <c r="K188" s="183">
        <f t="shared" si="10"/>
        <v>2569.5195885286785</v>
      </c>
      <c r="L188" s="184" t="str">
        <f>_xlfn.XLOOKUP(X188,'00_SKU_Master'!$B$2:$B$379,'00_SKU_Master'!$K$2:$K$379)</f>
        <v>Fast</v>
      </c>
      <c r="M188" s="185">
        <f t="shared" si="11"/>
        <v>7824</v>
      </c>
      <c r="N188" s="186">
        <f>IFERROR(D188/_xlfn.XLOOKUP($M188,'00_SKU_Master'!$B$2:$B$379,'00_SKU_Master'!$M$2:$M$379,0),"0")</f>
        <v>0</v>
      </c>
      <c r="O188" s="186">
        <f>IFERROR(E188/_xlfn.XLOOKUP($M188,'00_SKU_Master'!$B$2:$B$379,'00_SKU_Master'!$M$2:$M$379,0),"0")</f>
        <v>0</v>
      </c>
      <c r="P188" s="186">
        <f>IFERROR(F188/_xlfn.XLOOKUP($M188,'00_SKU_Master'!$B$2:$B$379,'00_SKU_Master'!$M$2:$M$379,0),"0")</f>
        <v>15.87189652742423</v>
      </c>
      <c r="Q188" s="186">
        <f>IFERROR(G188/_xlfn.XLOOKUP($M188,'00_SKU_Master'!$B$2:$B$379,'00_SKU_Master'!$M$2:$M$379,0),"0")</f>
        <v>11.377200165675776</v>
      </c>
      <c r="R188" s="186">
        <f>IFERROR(H188/_xlfn.XLOOKUP($M188,'00_SKU_Master'!$B$2:$B$379,'00_SKU_Master'!$M$2:$M$379,0),"0")</f>
        <v>11.939037210894332</v>
      </c>
      <c r="S188" s="186">
        <f>IFERROR(I188/_xlfn.XLOOKUP($M188,'00_SKU_Master'!$B$2:$B$379,'00_SKU_Master'!$M$2:$M$379,0),"0")</f>
        <v>11.798577949589694</v>
      </c>
      <c r="T188" s="186">
        <f>IFERROR(J188/_xlfn.XLOOKUP($M188,'00_SKU_Master'!$B$2:$B$379,'00_SKU_Master'!$M$2:$M$379,0),"0")</f>
        <v>8.2870964169737142</v>
      </c>
      <c r="U188" s="186">
        <f t="shared" si="12"/>
        <v>59.273808270557751</v>
      </c>
      <c r="V188" s="186" t="str">
        <f>_xlfn.XLOOKUP(M188,'00_SKU_Master'!$B$2:$B$379,'00_SKU_Master'!$D$2:$D$379)</f>
        <v>LCL</v>
      </c>
      <c r="W188" s="1"/>
      <c r="X188" s="2">
        <f>'05_Daily_Orders'!C189</f>
        <v>7824</v>
      </c>
      <c r="Y188" s="289"/>
      <c r="Z188" s="289">
        <v>0</v>
      </c>
      <c r="AA188" s="289">
        <v>113</v>
      </c>
      <c r="AB188" s="289">
        <v>81</v>
      </c>
      <c r="AC188" s="289">
        <v>85</v>
      </c>
      <c r="AD188" s="289">
        <v>84</v>
      </c>
      <c r="AE188" s="289">
        <v>59</v>
      </c>
      <c r="AF188" s="7">
        <f t="shared" si="13"/>
        <v>422</v>
      </c>
      <c r="AQ188" s="70">
        <v>0</v>
      </c>
      <c r="AR188" s="70">
        <v>0</v>
      </c>
      <c r="AS188" s="3">
        <f t="shared" si="14"/>
        <v>0</v>
      </c>
    </row>
    <row r="189" spans="1:45" x14ac:dyDescent="0.35">
      <c r="A189" s="181" t="str">
        <f>_xlfn.XLOOKUP(X189,'00_SKU_Master'!$B$2:$B$379,'00_SKU_Master'!$C$2:$C$379)</f>
        <v>61014F</v>
      </c>
      <c r="B189" s="181" t="str">
        <f>_xlfn.XLOOKUP(X189,tblSKU[SKU],tblSKU[Product_Group])</f>
        <v>SplitWing</v>
      </c>
      <c r="C189" s="181" t="str">
        <f>_xlfn.XLOOKUP(X189,tblSKU[SKU],tblSKU[Tray_Type])</f>
        <v>PET 6</v>
      </c>
      <c r="D189" s="182">
        <f>_xlfn.IFNA(_xlfn.XLOOKUP(X189,'00_SKU_Master'!$B$2:$B$379,'00_SKU_Master'!$F$2:$F$379,0)*Y189,"")</f>
        <v>0</v>
      </c>
      <c r="E189" s="182">
        <f>_xlfn.IFNA(_xlfn.XLOOKUP(X189,'00_SKU_Master'!$B$2:$B$379,'00_SKU_Master'!$F$2:$F$379,0)*Z189,"")</f>
        <v>0</v>
      </c>
      <c r="F189" s="182">
        <f>_xlfn.IFNA(_xlfn.XLOOKUP(X189,'00_SKU_Master'!$B$2:$B$379,'00_SKU_Master'!$F$2:$F$379,0)*AA189,"")</f>
        <v>1406.3582856048249</v>
      </c>
      <c r="G189" s="182">
        <f>_xlfn.IFNA(_xlfn.XLOOKUP(X189,'00_SKU_Master'!$B$2:$B$379,'00_SKU_Master'!$F$2:$F$379,0)*AB189,"")</f>
        <v>1080.8692500718305</v>
      </c>
      <c r="H189" s="182">
        <f>_xlfn.IFNA(_xlfn.XLOOKUP(X189,'00_SKU_Master'!$B$2:$B$379,'00_SKU_Master'!$F$2:$F$379,0)*AC189,"")</f>
        <v>1105.4344603007357</v>
      </c>
      <c r="I189" s="182">
        <f>_xlfn.IFNA(_xlfn.XLOOKUP(X189,'00_SKU_Master'!$B$2:$B$379,'00_SKU_Master'!$F$2:$F$379,0)*AD189,"")</f>
        <v>1074.7279475146042</v>
      </c>
      <c r="J189" s="182">
        <f>_xlfn.IFNA(_xlfn.XLOOKUP(X189,'00_SKU_Master'!$B$2:$B$379,'00_SKU_Master'!$F$2:$F$379,0)*AE189,"")</f>
        <v>564.99983526482049</v>
      </c>
      <c r="K189" s="183">
        <f t="shared" si="10"/>
        <v>5232.3897787568158</v>
      </c>
      <c r="L189" s="184" t="str">
        <f>_xlfn.XLOOKUP(X189,'00_SKU_Master'!$B$2:$B$379,'00_SKU_Master'!$K$2:$K$379)</f>
        <v>Slow</v>
      </c>
      <c r="M189" s="185">
        <f t="shared" si="11"/>
        <v>7825</v>
      </c>
      <c r="N189" s="186">
        <f>IFERROR(D189/_xlfn.XLOOKUP($M189,'00_SKU_Master'!$B$2:$B$379,'00_SKU_Master'!$M$2:$M$379,0),"0")</f>
        <v>0</v>
      </c>
      <c r="O189" s="186">
        <f>IFERROR(E189/_xlfn.XLOOKUP($M189,'00_SKU_Master'!$B$2:$B$379,'00_SKU_Master'!$M$2:$M$379,0),"0")</f>
        <v>0</v>
      </c>
      <c r="P189" s="186">
        <f>IFERROR(F189/_xlfn.XLOOKUP($M189,'00_SKU_Master'!$B$2:$B$379,'00_SKU_Master'!$M$2:$M$379,0),"0")</f>
        <v>58.598261900201038</v>
      </c>
      <c r="Q189" s="186">
        <f>IFERROR(G189/_xlfn.XLOOKUP($M189,'00_SKU_Master'!$B$2:$B$379,'00_SKU_Master'!$M$2:$M$379,0),"0")</f>
        <v>45.036218752992937</v>
      </c>
      <c r="R189" s="186">
        <f>IFERROR(H189/_xlfn.XLOOKUP($M189,'00_SKU_Master'!$B$2:$B$379,'00_SKU_Master'!$M$2:$M$379,0),"0")</f>
        <v>46.059769179197325</v>
      </c>
      <c r="S189" s="186">
        <f>IFERROR(I189/_xlfn.XLOOKUP($M189,'00_SKU_Master'!$B$2:$B$379,'00_SKU_Master'!$M$2:$M$379,0),"0")</f>
        <v>44.780331146441846</v>
      </c>
      <c r="T189" s="186">
        <f>IFERROR(J189/_xlfn.XLOOKUP($M189,'00_SKU_Master'!$B$2:$B$379,'00_SKU_Master'!$M$2:$M$379,0),"0")</f>
        <v>23.541659802700853</v>
      </c>
      <c r="U189" s="186">
        <f t="shared" si="12"/>
        <v>218.01624078153401</v>
      </c>
      <c r="V189" s="186" t="str">
        <f>_xlfn.XLOOKUP(M189,'00_SKU_Master'!$B$2:$B$379,'00_SKU_Master'!$D$2:$D$379)</f>
        <v>LCL</v>
      </c>
      <c r="W189" s="1"/>
      <c r="X189" s="2">
        <f>'05_Daily_Orders'!C190</f>
        <v>7825</v>
      </c>
      <c r="Y189" s="289"/>
      <c r="Z189" s="289">
        <v>0</v>
      </c>
      <c r="AA189" s="289">
        <v>229</v>
      </c>
      <c r="AB189" s="289">
        <v>176</v>
      </c>
      <c r="AC189" s="289">
        <v>180</v>
      </c>
      <c r="AD189" s="289">
        <v>175</v>
      </c>
      <c r="AE189" s="289">
        <v>92</v>
      </c>
      <c r="AF189" s="7">
        <f t="shared" si="13"/>
        <v>852</v>
      </c>
      <c r="AQ189" s="70">
        <v>0</v>
      </c>
      <c r="AR189" s="70">
        <v>0</v>
      </c>
      <c r="AS189" s="3">
        <f t="shared" si="14"/>
        <v>0</v>
      </c>
    </row>
    <row r="190" spans="1:45" x14ac:dyDescent="0.35">
      <c r="A190" s="181" t="str">
        <f>_xlfn.XLOOKUP(X190,'00_SKU_Master'!$B$2:$B$379,'00_SKU_Master'!$C$2:$C$379)</f>
        <v>61050F</v>
      </c>
      <c r="B190" s="181" t="str">
        <f>_xlfn.XLOOKUP(X190,tblSKU[SKU],tblSKU[Product_Group])</f>
        <v>BSB</v>
      </c>
      <c r="C190" s="181" t="str">
        <f>_xlfn.XLOOKUP(X190,tblSKU[SKU],tblSKU[Tray_Type])</f>
        <v>PET 3</v>
      </c>
      <c r="D190" s="182">
        <f>_xlfn.IFNA(_xlfn.XLOOKUP(X190,'00_SKU_Master'!$B$2:$B$379,'00_SKU_Master'!$F$2:$F$379,0)*Y190,"")</f>
        <v>0</v>
      </c>
      <c r="E190" s="182">
        <f>_xlfn.IFNA(_xlfn.XLOOKUP(X190,'00_SKU_Master'!$B$2:$B$379,'00_SKU_Master'!$F$2:$F$379,0)*Z190,"")</f>
        <v>0</v>
      </c>
      <c r="F190" s="182">
        <f>_xlfn.IFNA(_xlfn.XLOOKUP(X190,'00_SKU_Master'!$B$2:$B$379,'00_SKU_Master'!$F$2:$F$379,0)*AA190,"")</f>
        <v>5939.998743048186</v>
      </c>
      <c r="G190" s="182">
        <f>_xlfn.IFNA(_xlfn.XLOOKUP(X190,'00_SKU_Master'!$B$2:$B$379,'00_SKU_Master'!$F$2:$F$379,0)*AB190,"")</f>
        <v>4790.054696692061</v>
      </c>
      <c r="H190" s="182">
        <f>_xlfn.IFNA(_xlfn.XLOOKUP(X190,'00_SKU_Master'!$B$2:$B$379,'00_SKU_Master'!$F$2:$F$379,0)*AC190,"")</f>
        <v>3937.9378853634216</v>
      </c>
      <c r="I190" s="182">
        <f>_xlfn.IFNA(_xlfn.XLOOKUP(X190,'00_SKU_Master'!$B$2:$B$379,'00_SKU_Master'!$F$2:$F$379,0)*AD190,"")</f>
        <v>3921.3919278618946</v>
      </c>
      <c r="J190" s="182">
        <f>_xlfn.IFNA(_xlfn.XLOOKUP(X190,'00_SKU_Master'!$B$2:$B$379,'00_SKU_Master'!$F$2:$F$379,0)*AE190,"")</f>
        <v>2663.8991577458441</v>
      </c>
      <c r="K190" s="183">
        <f t="shared" si="10"/>
        <v>21253.28241071141</v>
      </c>
      <c r="L190" s="184" t="str">
        <f>_xlfn.XLOOKUP(X190,'00_SKU_Master'!$B$2:$B$379,'00_SKU_Master'!$K$2:$K$379)</f>
        <v>Fast</v>
      </c>
      <c r="M190" s="185">
        <f t="shared" si="11"/>
        <v>7826</v>
      </c>
      <c r="N190" s="186">
        <f>IFERROR(D190/_xlfn.XLOOKUP($M190,'00_SKU_Master'!$B$2:$B$379,'00_SKU_Master'!$M$2:$M$379,0),"0")</f>
        <v>0</v>
      </c>
      <c r="O190" s="186">
        <f>IFERROR(E190/_xlfn.XLOOKUP($M190,'00_SKU_Master'!$B$2:$B$379,'00_SKU_Master'!$M$2:$M$379,0),"0")</f>
        <v>0</v>
      </c>
      <c r="P190" s="186">
        <f>IFERROR(F190/_xlfn.XLOOKUP($M190,'00_SKU_Master'!$B$2:$B$379,'00_SKU_Master'!$M$2:$M$379,0),"0")</f>
        <v>60.30455576698666</v>
      </c>
      <c r="Q190" s="186">
        <f>IFERROR(G190/_xlfn.XLOOKUP($M190,'00_SKU_Master'!$B$2:$B$379,'00_SKU_Master'!$M$2:$M$379,0),"0")</f>
        <v>48.629996920731585</v>
      </c>
      <c r="R190" s="186">
        <f>IFERROR(H190/_xlfn.XLOOKUP($M190,'00_SKU_Master'!$B$2:$B$379,'00_SKU_Master'!$M$2:$M$379,0),"0")</f>
        <v>39.979064826024583</v>
      </c>
      <c r="S190" s="186">
        <f>IFERROR(I190/_xlfn.XLOOKUP($M190,'00_SKU_Master'!$B$2:$B$379,'00_SKU_Master'!$M$2:$M$379,0),"0")</f>
        <v>39.811085562049691</v>
      </c>
      <c r="T190" s="186">
        <f>IFERROR(J190/_xlfn.XLOOKUP($M190,'00_SKU_Master'!$B$2:$B$379,'00_SKU_Master'!$M$2:$M$379,0),"0")</f>
        <v>27.044661499957808</v>
      </c>
      <c r="U190" s="186">
        <f t="shared" si="12"/>
        <v>215.76936457575036</v>
      </c>
      <c r="V190" s="186" t="str">
        <f>_xlfn.XLOOKUP(M190,'00_SKU_Master'!$B$2:$B$379,'00_SKU_Master'!$D$2:$D$379)</f>
        <v>LCL</v>
      </c>
      <c r="W190" s="1"/>
      <c r="X190" s="2">
        <f>'05_Daily_Orders'!C191</f>
        <v>7826</v>
      </c>
      <c r="Y190" s="289"/>
      <c r="Z190" s="289">
        <v>0</v>
      </c>
      <c r="AA190" s="289">
        <v>718</v>
      </c>
      <c r="AB190" s="289">
        <v>579</v>
      </c>
      <c r="AC190" s="289">
        <v>476</v>
      </c>
      <c r="AD190" s="289">
        <v>474</v>
      </c>
      <c r="AE190" s="289">
        <v>322</v>
      </c>
      <c r="AF190" s="7">
        <f t="shared" si="13"/>
        <v>2569</v>
      </c>
      <c r="AQ190" s="70">
        <v>0</v>
      </c>
      <c r="AR190" s="70">
        <v>0</v>
      </c>
      <c r="AS190" s="3">
        <f t="shared" si="14"/>
        <v>0</v>
      </c>
    </row>
    <row r="191" spans="1:45" x14ac:dyDescent="0.35">
      <c r="A191" s="181">
        <f>_xlfn.XLOOKUP(X191,'00_SKU_Master'!$B$2:$B$379,'00_SKU_Master'!$C$2:$C$379)</f>
        <v>61050</v>
      </c>
      <c r="B191" s="181" t="str">
        <f>_xlfn.XLOOKUP(X191,tblSKU[SKU],tblSKU[Product_Group])</f>
        <v>BSB</v>
      </c>
      <c r="C191" s="181" t="str">
        <f>_xlfn.XLOOKUP(X191,tblSKU[SKU],tblSKU[Tray_Type])</f>
        <v>PET 8</v>
      </c>
      <c r="D191" s="182">
        <f>_xlfn.IFNA(_xlfn.XLOOKUP(X191,'00_SKU_Master'!$B$2:$B$379,'00_SKU_Master'!$F$2:$F$379,0)*Y191,"")</f>
        <v>0</v>
      </c>
      <c r="E191" s="182">
        <f>_xlfn.IFNA(_xlfn.XLOOKUP(X191,'00_SKU_Master'!$B$2:$B$379,'00_SKU_Master'!$F$2:$F$379,0)*Z191,"")</f>
        <v>21.804584553722801</v>
      </c>
      <c r="F191" s="182">
        <f>_xlfn.IFNA(_xlfn.XLOOKUP(X191,'00_SKU_Master'!$B$2:$B$379,'00_SKU_Master'!$F$2:$F$379,0)*AA191,"")</f>
        <v>872.18338214891207</v>
      </c>
      <c r="G191" s="182">
        <f>_xlfn.IFNA(_xlfn.XLOOKUP(X191,'00_SKU_Master'!$B$2:$B$379,'00_SKU_Master'!$F$2:$F$379,0)*AB191,"")</f>
        <v>872.18338214891207</v>
      </c>
      <c r="H191" s="182">
        <f>_xlfn.IFNA(_xlfn.XLOOKUP(X191,'00_SKU_Master'!$B$2:$B$379,'00_SKU_Master'!$F$2:$F$379,0)*AC191,"")</f>
        <v>872.18338214891207</v>
      </c>
      <c r="I191" s="182">
        <f>_xlfn.IFNA(_xlfn.XLOOKUP(X191,'00_SKU_Master'!$B$2:$B$379,'00_SKU_Master'!$F$2:$F$379,0)*AD191,"")</f>
        <v>763.16045938029799</v>
      </c>
      <c r="J191" s="182">
        <f>_xlfn.IFNA(_xlfn.XLOOKUP(X191,'00_SKU_Master'!$B$2:$B$379,'00_SKU_Master'!$F$2:$F$379,0)*AE191,"")</f>
        <v>697.74670571912964</v>
      </c>
      <c r="K191" s="183">
        <f t="shared" si="10"/>
        <v>4099.2618960998871</v>
      </c>
      <c r="L191" s="184" t="str">
        <f>_xlfn.XLOOKUP(X191,'00_SKU_Master'!$B$2:$B$379,'00_SKU_Master'!$K$2:$K$379)</f>
        <v>Fast</v>
      </c>
      <c r="M191" s="185">
        <f t="shared" si="11"/>
        <v>7827</v>
      </c>
      <c r="N191" s="186">
        <f>IFERROR(D191/_xlfn.XLOOKUP($M191,'00_SKU_Master'!$B$2:$B$379,'00_SKU_Master'!$M$2:$M$379,0),"0")</f>
        <v>0</v>
      </c>
      <c r="O191" s="186">
        <f>IFERROR(E191/_xlfn.XLOOKUP($M191,'00_SKU_Master'!$B$2:$B$379,'00_SKU_Master'!$M$2:$M$379,0),"0")</f>
        <v>0.15490611362406084</v>
      </c>
      <c r="P191" s="186">
        <f>IFERROR(F191/_xlfn.XLOOKUP($M191,'00_SKU_Master'!$B$2:$B$379,'00_SKU_Master'!$M$2:$M$379,0),"0")</f>
        <v>6.1962445449624335</v>
      </c>
      <c r="Q191" s="186">
        <f>IFERROR(G191/_xlfn.XLOOKUP($M191,'00_SKU_Master'!$B$2:$B$379,'00_SKU_Master'!$M$2:$M$379,0),"0")</f>
        <v>6.1962445449624335</v>
      </c>
      <c r="R191" s="186">
        <f>IFERROR(H191/_xlfn.XLOOKUP($M191,'00_SKU_Master'!$B$2:$B$379,'00_SKU_Master'!$M$2:$M$379,0),"0")</f>
        <v>6.1962445449624335</v>
      </c>
      <c r="S191" s="186">
        <f>IFERROR(I191/_xlfn.XLOOKUP($M191,'00_SKU_Master'!$B$2:$B$379,'00_SKU_Master'!$M$2:$M$379,0),"0")</f>
        <v>5.4217139768421285</v>
      </c>
      <c r="T191" s="186">
        <f>IFERROR(J191/_xlfn.XLOOKUP($M191,'00_SKU_Master'!$B$2:$B$379,'00_SKU_Master'!$M$2:$M$379,0),"0")</f>
        <v>4.956995635969947</v>
      </c>
      <c r="U191" s="186">
        <f t="shared" si="12"/>
        <v>29.122349361323433</v>
      </c>
      <c r="V191" s="186" t="str">
        <f>_xlfn.XLOOKUP(M191,'00_SKU_Master'!$B$2:$B$379,'00_SKU_Master'!$D$2:$D$379)</f>
        <v>LCL</v>
      </c>
      <c r="W191" s="1"/>
      <c r="X191" s="2">
        <f>'05_Daily_Orders'!C192</f>
        <v>7827</v>
      </c>
      <c r="Y191" s="289"/>
      <c r="Z191" s="289">
        <v>2</v>
      </c>
      <c r="AA191" s="289">
        <v>80</v>
      </c>
      <c r="AB191" s="289">
        <v>80</v>
      </c>
      <c r="AC191" s="289">
        <v>80</v>
      </c>
      <c r="AD191" s="289">
        <v>70</v>
      </c>
      <c r="AE191" s="289">
        <v>64</v>
      </c>
      <c r="AF191" s="7">
        <f t="shared" si="13"/>
        <v>376</v>
      </c>
      <c r="AQ191" s="70">
        <v>0</v>
      </c>
      <c r="AR191" s="70">
        <v>2</v>
      </c>
      <c r="AS191" s="3">
        <f t="shared" si="14"/>
        <v>2</v>
      </c>
    </row>
    <row r="192" spans="1:45" x14ac:dyDescent="0.35">
      <c r="A192" s="181">
        <f>_xlfn.XLOOKUP(X192,'00_SKU_Master'!$B$2:$B$379,'00_SKU_Master'!$C$2:$C$379)</f>
        <v>61052</v>
      </c>
      <c r="B192" s="181" t="str">
        <f>_xlfn.XLOOKUP(X192,tblSKU[SKU],tblSKU[Product_Group])</f>
        <v>Fillet</v>
      </c>
      <c r="C192" s="181" t="str">
        <f>_xlfn.XLOOKUP(X192,tblSKU[SKU],tblSKU[Tray_Type])</f>
        <v>PET 3</v>
      </c>
      <c r="D192" s="182">
        <f>_xlfn.IFNA(_xlfn.XLOOKUP(X192,'00_SKU_Master'!$B$2:$B$379,'00_SKU_Master'!$F$2:$F$379,0)*Y192,"")</f>
        <v>0</v>
      </c>
      <c r="E192" s="182">
        <f>_xlfn.IFNA(_xlfn.XLOOKUP(X192,'00_SKU_Master'!$B$2:$B$379,'00_SKU_Master'!$F$2:$F$379,0)*Z192,"")</f>
        <v>0</v>
      </c>
      <c r="F192" s="182">
        <f>_xlfn.IFNA(_xlfn.XLOOKUP(X192,'00_SKU_Master'!$B$2:$B$379,'00_SKU_Master'!$F$2:$F$379,0)*AA192,"")</f>
        <v>0</v>
      </c>
      <c r="G192" s="182">
        <f>_xlfn.IFNA(_xlfn.XLOOKUP(X192,'00_SKU_Master'!$B$2:$B$379,'00_SKU_Master'!$F$2:$F$379,0)*AB192,"")</f>
        <v>0</v>
      </c>
      <c r="H192" s="182">
        <f>_xlfn.IFNA(_xlfn.XLOOKUP(X192,'00_SKU_Master'!$B$2:$B$379,'00_SKU_Master'!$F$2:$F$379,0)*AC192,"")</f>
        <v>0</v>
      </c>
      <c r="I192" s="182">
        <f>_xlfn.IFNA(_xlfn.XLOOKUP(X192,'00_SKU_Master'!$B$2:$B$379,'00_SKU_Master'!$F$2:$F$379,0)*AD192,"")</f>
        <v>0</v>
      </c>
      <c r="J192" s="182">
        <f>_xlfn.IFNA(_xlfn.XLOOKUP(X192,'00_SKU_Master'!$B$2:$B$379,'00_SKU_Master'!$F$2:$F$379,0)*AE192,"")</f>
        <v>0</v>
      </c>
      <c r="K192" s="183">
        <f t="shared" si="10"/>
        <v>0</v>
      </c>
      <c r="L192" s="184" t="str">
        <f>_xlfn.XLOOKUP(X192,'00_SKU_Master'!$B$2:$B$379,'00_SKU_Master'!$K$2:$K$379)</f>
        <v>Slow</v>
      </c>
      <c r="M192" s="185">
        <f t="shared" si="11"/>
        <v>7828</v>
      </c>
      <c r="N192" s="186">
        <f>IFERROR(D192/_xlfn.XLOOKUP($M192,'00_SKU_Master'!$B$2:$B$379,'00_SKU_Master'!$M$2:$M$379,0),"0")</f>
        <v>0</v>
      </c>
      <c r="O192" s="186">
        <f>IFERROR(E192/_xlfn.XLOOKUP($M192,'00_SKU_Master'!$B$2:$B$379,'00_SKU_Master'!$M$2:$M$379,0),"0")</f>
        <v>0</v>
      </c>
      <c r="P192" s="186">
        <f>IFERROR(F192/_xlfn.XLOOKUP($M192,'00_SKU_Master'!$B$2:$B$379,'00_SKU_Master'!$M$2:$M$379,0),"0")</f>
        <v>0</v>
      </c>
      <c r="Q192" s="186">
        <f>IFERROR(G192/_xlfn.XLOOKUP($M192,'00_SKU_Master'!$B$2:$B$379,'00_SKU_Master'!$M$2:$M$379,0),"0")</f>
        <v>0</v>
      </c>
      <c r="R192" s="186">
        <f>IFERROR(H192/_xlfn.XLOOKUP($M192,'00_SKU_Master'!$B$2:$B$379,'00_SKU_Master'!$M$2:$M$379,0),"0")</f>
        <v>0</v>
      </c>
      <c r="S192" s="186">
        <f>IFERROR(I192/_xlfn.XLOOKUP($M192,'00_SKU_Master'!$B$2:$B$379,'00_SKU_Master'!$M$2:$M$379,0),"0")</f>
        <v>0</v>
      </c>
      <c r="T192" s="186">
        <f>IFERROR(J192/_xlfn.XLOOKUP($M192,'00_SKU_Master'!$B$2:$B$379,'00_SKU_Master'!$M$2:$M$379,0),"0")</f>
        <v>0</v>
      </c>
      <c r="U192" s="186">
        <f t="shared" si="12"/>
        <v>0</v>
      </c>
      <c r="V192" s="186" t="str">
        <f>_xlfn.XLOOKUP(M192,'00_SKU_Master'!$B$2:$B$379,'00_SKU_Master'!$D$2:$D$379)</f>
        <v>LCL</v>
      </c>
      <c r="W192" s="1"/>
      <c r="X192" s="2">
        <f>'05_Daily_Orders'!C193</f>
        <v>7828</v>
      </c>
      <c r="Y192" s="289"/>
      <c r="Z192" s="289">
        <v>0</v>
      </c>
      <c r="AA192" s="289">
        <v>0</v>
      </c>
      <c r="AB192" s="289">
        <v>0</v>
      </c>
      <c r="AC192" s="289">
        <v>0</v>
      </c>
      <c r="AD192" s="289">
        <v>0</v>
      </c>
      <c r="AE192" s="289">
        <v>0</v>
      </c>
      <c r="AF192" s="7">
        <f t="shared" si="13"/>
        <v>0</v>
      </c>
      <c r="AQ192" s="70">
        <v>0</v>
      </c>
      <c r="AR192" s="70">
        <v>0</v>
      </c>
      <c r="AS192" s="3">
        <f t="shared" si="14"/>
        <v>0</v>
      </c>
    </row>
    <row r="193" spans="1:45" x14ac:dyDescent="0.35">
      <c r="A193" s="181">
        <f>_xlfn.XLOOKUP(X193,'00_SKU_Master'!$B$2:$B$379,'00_SKU_Master'!$C$2:$C$379)</f>
        <v>61054</v>
      </c>
      <c r="B193" s="181" t="str">
        <f>_xlfn.XLOOKUP(X193,tblSKU[SKU],tblSKU[Product_Group])</f>
        <v>Fillet</v>
      </c>
      <c r="C193" s="181" t="str">
        <f>_xlfn.XLOOKUP(X193,tblSKU[SKU],tblSKU[Tray_Type])</f>
        <v>PET 3</v>
      </c>
      <c r="D193" s="182">
        <f>_xlfn.IFNA(_xlfn.XLOOKUP(X193,'00_SKU_Master'!$B$2:$B$379,'00_SKU_Master'!$F$2:$F$379,0)*Y193,"")</f>
        <v>0</v>
      </c>
      <c r="E193" s="182">
        <f>_xlfn.IFNA(_xlfn.XLOOKUP(X193,'00_SKU_Master'!$B$2:$B$379,'00_SKU_Master'!$F$2:$F$379,0)*Z193,"")</f>
        <v>132.47991446222071</v>
      </c>
      <c r="F193" s="182">
        <f>_xlfn.IFNA(_xlfn.XLOOKUP(X193,'00_SKU_Master'!$B$2:$B$379,'00_SKU_Master'!$F$2:$F$379,0)*AA193,"")</f>
        <v>123.64792016473932</v>
      </c>
      <c r="G193" s="182">
        <f>_xlfn.IFNA(_xlfn.XLOOKUP(X193,'00_SKU_Master'!$B$2:$B$379,'00_SKU_Master'!$F$2:$F$379,0)*AB193,"")</f>
        <v>114.81592586725793</v>
      </c>
      <c r="H193" s="182">
        <f>_xlfn.IFNA(_xlfn.XLOOKUP(X193,'00_SKU_Master'!$B$2:$B$379,'00_SKU_Master'!$F$2:$F$379,0)*AC193,"")</f>
        <v>132.47991446222071</v>
      </c>
      <c r="I193" s="182">
        <f>_xlfn.IFNA(_xlfn.XLOOKUP(X193,'00_SKU_Master'!$B$2:$B$379,'00_SKU_Master'!$F$2:$F$379,0)*AD193,"")</f>
        <v>105.98393156977656</v>
      </c>
      <c r="J193" s="182">
        <f>_xlfn.IFNA(_xlfn.XLOOKUP(X193,'00_SKU_Master'!$B$2:$B$379,'00_SKU_Master'!$F$2:$F$379,0)*AE193,"")</f>
        <v>101.56793442103587</v>
      </c>
      <c r="K193" s="183">
        <f t="shared" si="10"/>
        <v>710.97554094725103</v>
      </c>
      <c r="L193" s="184" t="str">
        <f>_xlfn.XLOOKUP(X193,'00_SKU_Master'!$B$2:$B$379,'00_SKU_Master'!$K$2:$K$379)</f>
        <v>Slow</v>
      </c>
      <c r="M193" s="185">
        <f t="shared" si="11"/>
        <v>7829</v>
      </c>
      <c r="N193" s="186">
        <f>IFERROR(D193/_xlfn.XLOOKUP($M193,'00_SKU_Master'!$B$2:$B$379,'00_SKU_Master'!$M$2:$M$379,0),"0")</f>
        <v>0</v>
      </c>
      <c r="O193" s="186">
        <f>IFERROR(E193/_xlfn.XLOOKUP($M193,'00_SKU_Master'!$B$2:$B$379,'00_SKU_Master'!$M$2:$M$379,0),"0")</f>
        <v>9.0677559522396098</v>
      </c>
      <c r="P193" s="186">
        <f>IFERROR(F193/_xlfn.XLOOKUP($M193,'00_SKU_Master'!$B$2:$B$379,'00_SKU_Master'!$M$2:$M$379,0),"0")</f>
        <v>8.4632388887569689</v>
      </c>
      <c r="Q193" s="186">
        <f>IFERROR(G193/_xlfn.XLOOKUP($M193,'00_SKU_Master'!$B$2:$B$379,'00_SKU_Master'!$M$2:$M$379,0),"0")</f>
        <v>7.8587218252743281</v>
      </c>
      <c r="R193" s="186">
        <f>IFERROR(H193/_xlfn.XLOOKUP($M193,'00_SKU_Master'!$B$2:$B$379,'00_SKU_Master'!$M$2:$M$379,0),"0")</f>
        <v>9.0677559522396098</v>
      </c>
      <c r="S193" s="186">
        <f>IFERROR(I193/_xlfn.XLOOKUP($M193,'00_SKU_Master'!$B$2:$B$379,'00_SKU_Master'!$M$2:$M$379,0),"0")</f>
        <v>7.254204761791688</v>
      </c>
      <c r="T193" s="186">
        <f>IFERROR(J193/_xlfn.XLOOKUP($M193,'00_SKU_Master'!$B$2:$B$379,'00_SKU_Master'!$M$2:$M$379,0),"0")</f>
        <v>6.9519462300503676</v>
      </c>
      <c r="U193" s="186">
        <f t="shared" si="12"/>
        <v>48.663623610352573</v>
      </c>
      <c r="V193" s="186" t="str">
        <f>_xlfn.XLOOKUP(M193,'00_SKU_Master'!$B$2:$B$379,'00_SKU_Master'!$D$2:$D$379)</f>
        <v>LCL</v>
      </c>
      <c r="W193" s="1"/>
      <c r="X193" s="2">
        <f>'05_Daily_Orders'!C194</f>
        <v>7829</v>
      </c>
      <c r="Y193" s="289"/>
      <c r="Z193" s="289">
        <v>30</v>
      </c>
      <c r="AA193" s="289">
        <v>28</v>
      </c>
      <c r="AB193" s="289">
        <v>26</v>
      </c>
      <c r="AC193" s="289">
        <v>30</v>
      </c>
      <c r="AD193" s="289">
        <v>24</v>
      </c>
      <c r="AE193" s="289">
        <v>23</v>
      </c>
      <c r="AF193" s="7">
        <f t="shared" si="13"/>
        <v>161</v>
      </c>
      <c r="AQ193" s="70">
        <v>0</v>
      </c>
      <c r="AR193" s="70">
        <v>30</v>
      </c>
      <c r="AS193" s="3">
        <f t="shared" si="14"/>
        <v>30</v>
      </c>
    </row>
    <row r="194" spans="1:45" x14ac:dyDescent="0.35">
      <c r="A194" s="181" t="str">
        <f>_xlfn.XLOOKUP(X194,'00_SKU_Master'!$B$2:$B$379,'00_SKU_Master'!$C$2:$C$379)</f>
        <v>61086F</v>
      </c>
      <c r="B194" s="181" t="str">
        <f>_xlfn.XLOOKUP(X194,tblSKU[SKU],tblSKU[Product_Group])</f>
        <v>ThighMeat</v>
      </c>
      <c r="C194" s="181" t="str">
        <f>_xlfn.XLOOKUP(X194,tblSKU[SKU],tblSKU[Tray_Type])</f>
        <v>PET 6</v>
      </c>
      <c r="D194" s="182">
        <f>_xlfn.IFNA(_xlfn.XLOOKUP(X194,'00_SKU_Master'!$B$2:$B$379,'00_SKU_Master'!$F$2:$F$379,0)*Y194,"")</f>
        <v>0</v>
      </c>
      <c r="E194" s="182">
        <f>_xlfn.IFNA(_xlfn.XLOOKUP(X194,'00_SKU_Master'!$B$2:$B$379,'00_SKU_Master'!$F$2:$F$379,0)*Z194,"")</f>
        <v>1145.5582104609634</v>
      </c>
      <c r="F194" s="182">
        <f>_xlfn.IFNA(_xlfn.XLOOKUP(X194,'00_SKU_Master'!$B$2:$B$379,'00_SKU_Master'!$F$2:$F$379,0)*AA194,"")</f>
        <v>2238.7812742511214</v>
      </c>
      <c r="G194" s="182">
        <f>_xlfn.IFNA(_xlfn.XLOOKUP(X194,'00_SKU_Master'!$B$2:$B$379,'00_SKU_Master'!$F$2:$F$379,0)*AB194,"")</f>
        <v>1948.0304594133136</v>
      </c>
      <c r="H194" s="182">
        <f>_xlfn.IFNA(_xlfn.XLOOKUP(X194,'00_SKU_Master'!$B$2:$B$379,'00_SKU_Master'!$F$2:$F$379,0)*AC194,"")</f>
        <v>1994.5505897873629</v>
      </c>
      <c r="I194" s="182">
        <f>_xlfn.IFNA(_xlfn.XLOOKUP(X194,'00_SKU_Master'!$B$2:$B$379,'00_SKU_Master'!$F$2:$F$379,0)*AD194,"")</f>
        <v>1907.3253453360205</v>
      </c>
      <c r="J194" s="182">
        <f>_xlfn.IFNA(_xlfn.XLOOKUP(X194,'00_SKU_Master'!$B$2:$B$379,'00_SKU_Master'!$F$2:$F$379,0)*AE194,"")</f>
        <v>1192.0783408350128</v>
      </c>
      <c r="K194" s="183">
        <f t="shared" ref="K194:K257" si="15">SUM(D194:J194)</f>
        <v>10426.324220083794</v>
      </c>
      <c r="L194" s="184" t="str">
        <f>_xlfn.XLOOKUP(X194,'00_SKU_Master'!$B$2:$B$379,'00_SKU_Master'!$K$2:$K$379)</f>
        <v>Slow</v>
      </c>
      <c r="M194" s="185">
        <f t="shared" ref="M194:M257" si="16">X194</f>
        <v>7830</v>
      </c>
      <c r="N194" s="186">
        <f>IFERROR(D194/_xlfn.XLOOKUP($M194,'00_SKU_Master'!$B$2:$B$379,'00_SKU_Master'!$M$2:$M$379,0),"0")</f>
        <v>0</v>
      </c>
      <c r="O194" s="186">
        <f>IFERROR(E194/_xlfn.XLOOKUP($M194,'00_SKU_Master'!$B$2:$B$379,'00_SKU_Master'!$M$2:$M$379,0),"0")</f>
        <v>45.154048500629223</v>
      </c>
      <c r="P194" s="186">
        <f>IFERROR(F194/_xlfn.XLOOKUP($M194,'00_SKU_Master'!$B$2:$B$379,'00_SKU_Master'!$M$2:$M$379,0),"0")</f>
        <v>88.245221689046957</v>
      </c>
      <c r="Q194" s="186">
        <f>IFERROR(G194/_xlfn.XLOOKUP($M194,'00_SKU_Master'!$B$2:$B$379,'00_SKU_Master'!$M$2:$M$379,0),"0")</f>
        <v>76.784803287872037</v>
      </c>
      <c r="R194" s="186">
        <f>IFERROR(H194/_xlfn.XLOOKUP($M194,'00_SKU_Master'!$B$2:$B$379,'00_SKU_Master'!$M$2:$M$379,0),"0")</f>
        <v>78.618470232060019</v>
      </c>
      <c r="S194" s="186">
        <f>IFERROR(I194/_xlfn.XLOOKUP($M194,'00_SKU_Master'!$B$2:$B$379,'00_SKU_Master'!$M$2:$M$379,0),"0")</f>
        <v>75.180344711707548</v>
      </c>
      <c r="T194" s="186">
        <f>IFERROR(J194/_xlfn.XLOOKUP($M194,'00_SKU_Master'!$B$2:$B$379,'00_SKU_Master'!$M$2:$M$379,0),"0")</f>
        <v>46.987715444817212</v>
      </c>
      <c r="U194" s="186">
        <f t="shared" ref="U194:U257" si="17">SUM(N194:T194)</f>
        <v>410.97060386613305</v>
      </c>
      <c r="V194" s="186" t="str">
        <f>_xlfn.XLOOKUP(M194,'00_SKU_Master'!$B$2:$B$379,'00_SKU_Master'!$D$2:$D$379)</f>
        <v>LCL</v>
      </c>
      <c r="W194" s="1"/>
      <c r="X194" s="2">
        <f>'05_Daily_Orders'!C195</f>
        <v>7830</v>
      </c>
      <c r="Y194" s="289"/>
      <c r="Z194" s="289">
        <v>197</v>
      </c>
      <c r="AA194" s="289">
        <v>385</v>
      </c>
      <c r="AB194" s="289">
        <v>335</v>
      </c>
      <c r="AC194" s="289">
        <v>343</v>
      </c>
      <c r="AD194" s="289">
        <v>328</v>
      </c>
      <c r="AE194" s="289">
        <v>205</v>
      </c>
      <c r="AF194" s="7">
        <f t="shared" ref="AF194:AF257" si="18">SUM(Y194:AE194)</f>
        <v>1793</v>
      </c>
      <c r="AQ194" s="70">
        <v>0</v>
      </c>
      <c r="AR194" s="70">
        <v>197</v>
      </c>
      <c r="AS194" s="3">
        <f t="shared" si="14"/>
        <v>197</v>
      </c>
    </row>
    <row r="195" spans="1:45" x14ac:dyDescent="0.35">
      <c r="A195" s="181" t="str">
        <f>_xlfn.XLOOKUP(X195,'00_SKU_Master'!$B$2:$B$379,'00_SKU_Master'!$C$2:$C$379)</f>
        <v>61050F</v>
      </c>
      <c r="B195" s="181" t="str">
        <f>_xlfn.XLOOKUP(X195,tblSKU[SKU],tblSKU[Product_Group])</f>
        <v>BSB</v>
      </c>
      <c r="C195" s="181" t="str">
        <f>_xlfn.XLOOKUP(X195,tblSKU[SKU],tblSKU[Tray_Type])</f>
        <v>PET 8</v>
      </c>
      <c r="D195" s="182">
        <f>_xlfn.IFNA(_xlfn.XLOOKUP(X195,'00_SKU_Master'!$B$2:$B$379,'00_SKU_Master'!$F$2:$F$379,0)*Y195,"")</f>
        <v>0</v>
      </c>
      <c r="E195" s="182">
        <f>_xlfn.IFNA(_xlfn.XLOOKUP(X195,'00_SKU_Master'!$B$2:$B$379,'00_SKU_Master'!$F$2:$F$379,0)*Z195,"")</f>
        <v>-9.3727030913012204</v>
      </c>
      <c r="F195" s="182">
        <f>_xlfn.IFNA(_xlfn.XLOOKUP(X195,'00_SKU_Master'!$B$2:$B$379,'00_SKU_Master'!$F$2:$F$379,0)*AA195,"")</f>
        <v>5033.1415600287555</v>
      </c>
      <c r="G195" s="182">
        <f>_xlfn.IFNA(_xlfn.XLOOKUP(X195,'00_SKU_Master'!$B$2:$B$379,'00_SKU_Master'!$F$2:$F$379,0)*AB195,"")</f>
        <v>4264.5799065420551</v>
      </c>
      <c r="H195" s="182">
        <f>_xlfn.IFNA(_xlfn.XLOOKUP(X195,'00_SKU_Master'!$B$2:$B$379,'00_SKU_Master'!$F$2:$F$379,0)*AC195,"")</f>
        <v>4236.4617972681517</v>
      </c>
      <c r="I195" s="182">
        <f>_xlfn.IFNA(_xlfn.XLOOKUP(X195,'00_SKU_Master'!$B$2:$B$379,'00_SKU_Master'!$F$2:$F$379,0)*AD195,"")</f>
        <v>4020.8896261682235</v>
      </c>
      <c r="J195" s="182">
        <f>_xlfn.IFNA(_xlfn.XLOOKUP(X195,'00_SKU_Master'!$B$2:$B$379,'00_SKU_Master'!$F$2:$F$379,0)*AE195,"")</f>
        <v>1574.614119338605</v>
      </c>
      <c r="K195" s="183">
        <f t="shared" si="15"/>
        <v>19120.314306254491</v>
      </c>
      <c r="L195" s="184" t="str">
        <f>_xlfn.XLOOKUP(X195,'00_SKU_Master'!$B$2:$B$379,'00_SKU_Master'!$K$2:$K$379)</f>
        <v>Fast</v>
      </c>
      <c r="M195" s="185">
        <f t="shared" si="16"/>
        <v>7831</v>
      </c>
      <c r="N195" s="186">
        <f>IFERROR(D195/_xlfn.XLOOKUP($M195,'00_SKU_Master'!$B$2:$B$379,'00_SKU_Master'!$M$2:$M$379,0),"0")</f>
        <v>0</v>
      </c>
      <c r="O195" s="186">
        <f>IFERROR(E195/_xlfn.XLOOKUP($M195,'00_SKU_Master'!$B$2:$B$379,'00_SKU_Master'!$M$2:$M$379,0),"0")</f>
        <v>-8.5783480608651111E-2</v>
      </c>
      <c r="P195" s="186">
        <f>IFERROR(F195/_xlfn.XLOOKUP($M195,'00_SKU_Master'!$B$2:$B$379,'00_SKU_Master'!$M$2:$M$379,0),"0")</f>
        <v>46.065729086845643</v>
      </c>
      <c r="Q195" s="186">
        <f>IFERROR(G195/_xlfn.XLOOKUP($M195,'00_SKU_Master'!$B$2:$B$379,'00_SKU_Master'!$M$2:$M$379,0),"0")</f>
        <v>39.031483676936254</v>
      </c>
      <c r="R195" s="186">
        <f>IFERROR(H195/_xlfn.XLOOKUP($M195,'00_SKU_Master'!$B$2:$B$379,'00_SKU_Master'!$M$2:$M$379,0),"0")</f>
        <v>38.774133235110298</v>
      </c>
      <c r="S195" s="186">
        <f>IFERROR(I195/_xlfn.XLOOKUP($M195,'00_SKU_Master'!$B$2:$B$379,'00_SKU_Master'!$M$2:$M$379,0),"0")</f>
        <v>36.801113181111326</v>
      </c>
      <c r="T195" s="186">
        <f>IFERROR(J195/_xlfn.XLOOKUP($M195,'00_SKU_Master'!$B$2:$B$379,'00_SKU_Master'!$M$2:$M$379,0),"0")</f>
        <v>14.411624742253386</v>
      </c>
      <c r="U195" s="186">
        <f t="shared" si="17"/>
        <v>174.99830044164827</v>
      </c>
      <c r="V195" s="186" t="str">
        <f>_xlfn.XLOOKUP(M195,'00_SKU_Master'!$B$2:$B$379,'00_SKU_Master'!$D$2:$D$379)</f>
        <v>LCL</v>
      </c>
      <c r="W195" s="1"/>
      <c r="X195" s="2">
        <f>'05_Daily_Orders'!C196</f>
        <v>7831</v>
      </c>
      <c r="Y195" s="289"/>
      <c r="Z195" s="289">
        <v>-1</v>
      </c>
      <c r="AA195" s="289">
        <v>537</v>
      </c>
      <c r="AB195" s="289">
        <v>455</v>
      </c>
      <c r="AC195" s="289">
        <v>452</v>
      </c>
      <c r="AD195" s="289">
        <v>429</v>
      </c>
      <c r="AE195" s="289">
        <v>168</v>
      </c>
      <c r="AF195" s="7">
        <f t="shared" si="18"/>
        <v>2040</v>
      </c>
      <c r="AQ195" s="70">
        <v>1</v>
      </c>
      <c r="AR195" s="70">
        <v>0</v>
      </c>
      <c r="AS195" s="3">
        <f t="shared" ref="AS195:AS258" si="19">AR195-AQ195</f>
        <v>-1</v>
      </c>
    </row>
    <row r="196" spans="1:45" x14ac:dyDescent="0.35">
      <c r="A196" s="181">
        <f>_xlfn.XLOOKUP(X196,'00_SKU_Master'!$B$2:$B$379,'00_SKU_Master'!$C$2:$C$379)</f>
        <v>203135</v>
      </c>
      <c r="B196" s="181" t="str">
        <f>_xlfn.XLOOKUP(X196,tblSKU[SKU],tblSKU[Product_Group])</f>
        <v>Whole Bird-Small</v>
      </c>
      <c r="C196" s="181" t="str">
        <f>_xlfn.XLOOKUP(X196,tblSKU[SKU],tblSKU[Tray_Type])</f>
        <v>PET 3</v>
      </c>
      <c r="D196" s="182">
        <f>_xlfn.IFNA(_xlfn.XLOOKUP(X196,'00_SKU_Master'!$B$2:$B$379,'00_SKU_Master'!$F$2:$F$379,0)*Y196,"")</f>
        <v>0</v>
      </c>
      <c r="E196" s="182">
        <f>_xlfn.IFNA(_xlfn.XLOOKUP(X196,'00_SKU_Master'!$B$2:$B$379,'00_SKU_Master'!$F$2:$F$379,0)*Z196,"")</f>
        <v>4404.9121109399075</v>
      </c>
      <c r="F196" s="182">
        <f>_xlfn.IFNA(_xlfn.XLOOKUP(X196,'00_SKU_Master'!$B$2:$B$379,'00_SKU_Master'!$F$2:$F$379,0)*AA196,"")</f>
        <v>5270.1627041602469</v>
      </c>
      <c r="G196" s="182">
        <f>_xlfn.IFNA(_xlfn.XLOOKUP(X196,'00_SKU_Master'!$B$2:$B$379,'00_SKU_Master'!$F$2:$F$379,0)*AB196,"")</f>
        <v>5604.4640697226505</v>
      </c>
      <c r="H196" s="182">
        <f>_xlfn.IFNA(_xlfn.XLOOKUP(X196,'00_SKU_Master'!$B$2:$B$379,'00_SKU_Master'!$F$2:$F$379,0)*AC196,"")</f>
        <v>3038.2094693759632</v>
      </c>
      <c r="I196" s="182">
        <f>_xlfn.IFNA(_xlfn.XLOOKUP(X196,'00_SKU_Master'!$B$2:$B$379,'00_SKU_Master'!$F$2:$F$379,0)*AD196,"")</f>
        <v>0</v>
      </c>
      <c r="J196" s="182">
        <f>_xlfn.IFNA(_xlfn.XLOOKUP(X196,'00_SKU_Master'!$B$2:$B$379,'00_SKU_Master'!$F$2:$F$379,0)*AE196,"")</f>
        <v>0</v>
      </c>
      <c r="K196" s="183">
        <f t="shared" si="15"/>
        <v>18317.748354198768</v>
      </c>
      <c r="L196" s="184" t="str">
        <f>_xlfn.XLOOKUP(X196,'00_SKU_Master'!$B$2:$B$379,'00_SKU_Master'!$K$2:$K$379)</f>
        <v>Fast</v>
      </c>
      <c r="M196" s="185">
        <f t="shared" si="16"/>
        <v>7833</v>
      </c>
      <c r="N196" s="186">
        <f>IFERROR(D196/_xlfn.XLOOKUP($M196,'00_SKU_Master'!$B$2:$B$379,'00_SKU_Master'!$M$2:$M$379,0),"0")</f>
        <v>0</v>
      </c>
      <c r="O196" s="186">
        <f>IFERROR(E196/_xlfn.XLOOKUP($M196,'00_SKU_Master'!$B$2:$B$379,'00_SKU_Master'!$M$2:$M$379,0),"0")</f>
        <v>28.334697741797935</v>
      </c>
      <c r="P196" s="186">
        <f>IFERROR(F196/_xlfn.XLOOKUP($M196,'00_SKU_Master'!$B$2:$B$379,'00_SKU_Master'!$M$2:$M$379,0),"0")</f>
        <v>33.900441941079677</v>
      </c>
      <c r="Q196" s="186">
        <f>IFERROR(G196/_xlfn.XLOOKUP($M196,'00_SKU_Master'!$B$2:$B$379,'00_SKU_Master'!$M$2:$M$379,0),"0")</f>
        <v>36.050843108983983</v>
      </c>
      <c r="R196" s="186">
        <f>IFERROR(H196/_xlfn.XLOOKUP($M196,'00_SKU_Master'!$B$2:$B$379,'00_SKU_Master'!$M$2:$M$379,0),"0")</f>
        <v>19.543351790659738</v>
      </c>
      <c r="S196" s="186">
        <f>IFERROR(I196/_xlfn.XLOOKUP($M196,'00_SKU_Master'!$B$2:$B$379,'00_SKU_Master'!$M$2:$M$379,0),"0")</f>
        <v>0</v>
      </c>
      <c r="T196" s="186">
        <f>IFERROR(J196/_xlfn.XLOOKUP($M196,'00_SKU_Master'!$B$2:$B$379,'00_SKU_Master'!$M$2:$M$379,0),"0")</f>
        <v>0</v>
      </c>
      <c r="U196" s="186">
        <f t="shared" si="17"/>
        <v>117.82933458252134</v>
      </c>
      <c r="V196" s="186" t="str">
        <f>_xlfn.XLOOKUP(M196,'00_SKU_Master'!$B$2:$B$379,'00_SKU_Master'!$D$2:$D$379)</f>
        <v>LCL</v>
      </c>
      <c r="W196" s="1"/>
      <c r="X196" s="2">
        <f>'05_Daily_Orders'!C197</f>
        <v>7833</v>
      </c>
      <c r="Y196" s="289"/>
      <c r="Z196" s="289">
        <v>448</v>
      </c>
      <c r="AA196" s="289">
        <v>536</v>
      </c>
      <c r="AB196" s="289">
        <v>570</v>
      </c>
      <c r="AC196" s="289">
        <v>309</v>
      </c>
      <c r="AD196" s="289">
        <v>0</v>
      </c>
      <c r="AE196" s="289">
        <v>0</v>
      </c>
      <c r="AF196" s="7">
        <f t="shared" si="18"/>
        <v>1863</v>
      </c>
      <c r="AQ196" s="70">
        <v>0</v>
      </c>
      <c r="AR196" s="70">
        <v>448</v>
      </c>
      <c r="AS196" s="3">
        <f t="shared" si="19"/>
        <v>448</v>
      </c>
    </row>
    <row r="197" spans="1:45" x14ac:dyDescent="0.35">
      <c r="A197" s="181">
        <f>_xlfn.XLOOKUP(X197,'00_SKU_Master'!$B$2:$B$379,'00_SKU_Master'!$C$2:$C$379)</f>
        <v>203135</v>
      </c>
      <c r="B197" s="181" t="str">
        <f>_xlfn.XLOOKUP(X197,tblSKU[SKU],tblSKU[Product_Group])</f>
        <v>Whole Bird-Small</v>
      </c>
      <c r="C197" s="181" t="str">
        <f>_xlfn.XLOOKUP(X197,tblSKU[SKU],tblSKU[Tray_Type])</f>
        <v>PET 3</v>
      </c>
      <c r="D197" s="182">
        <f>_xlfn.IFNA(_xlfn.XLOOKUP(X197,'00_SKU_Master'!$B$2:$B$379,'00_SKU_Master'!$F$2:$F$379,0)*Y197,"")</f>
        <v>0</v>
      </c>
      <c r="E197" s="182">
        <f>_xlfn.IFNA(_xlfn.XLOOKUP(X197,'00_SKU_Master'!$B$2:$B$379,'00_SKU_Master'!$F$2:$F$379,0)*Z197,"")</f>
        <v>0</v>
      </c>
      <c r="F197" s="182">
        <f>_xlfn.IFNA(_xlfn.XLOOKUP(X197,'00_SKU_Master'!$B$2:$B$379,'00_SKU_Master'!$F$2:$F$379,0)*AA197,"")</f>
        <v>0</v>
      </c>
      <c r="G197" s="182">
        <f>_xlfn.IFNA(_xlfn.XLOOKUP(X197,'00_SKU_Master'!$B$2:$B$379,'00_SKU_Master'!$F$2:$F$379,0)*AB197,"")</f>
        <v>0</v>
      </c>
      <c r="H197" s="182">
        <f>_xlfn.IFNA(_xlfn.XLOOKUP(X197,'00_SKU_Master'!$B$2:$B$379,'00_SKU_Master'!$F$2:$F$379,0)*AC197,"")</f>
        <v>0</v>
      </c>
      <c r="I197" s="182">
        <f>_xlfn.IFNA(_xlfn.XLOOKUP(X197,'00_SKU_Master'!$B$2:$B$379,'00_SKU_Master'!$F$2:$F$379,0)*AD197,"")</f>
        <v>0</v>
      </c>
      <c r="J197" s="182">
        <f>_xlfn.IFNA(_xlfn.XLOOKUP(X197,'00_SKU_Master'!$B$2:$B$379,'00_SKU_Master'!$F$2:$F$379,0)*AE197,"")</f>
        <v>0</v>
      </c>
      <c r="K197" s="183">
        <f t="shared" si="15"/>
        <v>0</v>
      </c>
      <c r="L197" s="184" t="str">
        <f>_xlfn.XLOOKUP(X197,'00_SKU_Master'!$B$2:$B$379,'00_SKU_Master'!$K$2:$K$379)</f>
        <v>Fast</v>
      </c>
      <c r="M197" s="185">
        <f t="shared" si="16"/>
        <v>7834</v>
      </c>
      <c r="N197" s="186">
        <f>IFERROR(D197/_xlfn.XLOOKUP($M197,'00_SKU_Master'!$B$2:$B$379,'00_SKU_Master'!$M$2:$M$379,0),"0")</f>
        <v>0</v>
      </c>
      <c r="O197" s="186">
        <f>IFERROR(E197/_xlfn.XLOOKUP($M197,'00_SKU_Master'!$B$2:$B$379,'00_SKU_Master'!$M$2:$M$379,0),"0")</f>
        <v>0</v>
      </c>
      <c r="P197" s="186">
        <f>IFERROR(F197/_xlfn.XLOOKUP($M197,'00_SKU_Master'!$B$2:$B$379,'00_SKU_Master'!$M$2:$M$379,0),"0")</f>
        <v>0</v>
      </c>
      <c r="Q197" s="186">
        <f>IFERROR(G197/_xlfn.XLOOKUP($M197,'00_SKU_Master'!$B$2:$B$379,'00_SKU_Master'!$M$2:$M$379,0),"0")</f>
        <v>0</v>
      </c>
      <c r="R197" s="186">
        <f>IFERROR(H197/_xlfn.XLOOKUP($M197,'00_SKU_Master'!$B$2:$B$379,'00_SKU_Master'!$M$2:$M$379,0),"0")</f>
        <v>0</v>
      </c>
      <c r="S197" s="186">
        <f>IFERROR(I197/_xlfn.XLOOKUP($M197,'00_SKU_Master'!$B$2:$B$379,'00_SKU_Master'!$M$2:$M$379,0),"0")</f>
        <v>0</v>
      </c>
      <c r="T197" s="186">
        <f>IFERROR(J197/_xlfn.XLOOKUP($M197,'00_SKU_Master'!$B$2:$B$379,'00_SKU_Master'!$M$2:$M$379,0),"0")</f>
        <v>0</v>
      </c>
      <c r="U197" s="186">
        <f t="shared" si="17"/>
        <v>0</v>
      </c>
      <c r="V197" s="186" t="str">
        <f>_xlfn.XLOOKUP(M197,'00_SKU_Master'!$B$2:$B$379,'00_SKU_Master'!$D$2:$D$379)</f>
        <v>LCL</v>
      </c>
      <c r="W197" s="1"/>
      <c r="X197" s="2">
        <f>'05_Daily_Orders'!C198</f>
        <v>7834</v>
      </c>
      <c r="Y197" s="289"/>
      <c r="Z197" s="289">
        <v>0</v>
      </c>
      <c r="AA197" s="289">
        <v>0</v>
      </c>
      <c r="AB197" s="289">
        <v>0</v>
      </c>
      <c r="AC197" s="289">
        <v>0</v>
      </c>
      <c r="AD197" s="289">
        <v>0</v>
      </c>
      <c r="AE197" s="289">
        <v>0</v>
      </c>
      <c r="AF197" s="7">
        <f t="shared" si="18"/>
        <v>0</v>
      </c>
      <c r="AQ197" s="70">
        <v>0</v>
      </c>
      <c r="AR197" s="70">
        <v>0</v>
      </c>
      <c r="AS197" s="3">
        <f t="shared" si="19"/>
        <v>0</v>
      </c>
    </row>
    <row r="198" spans="1:45" x14ac:dyDescent="0.35">
      <c r="A198" s="181" t="str">
        <f>_xlfn.XLOOKUP(X198,'00_SKU_Master'!$B$2:$B$379,'00_SKU_Master'!$C$2:$C$379)</f>
        <v>61050F</v>
      </c>
      <c r="B198" s="181" t="str">
        <f>_xlfn.XLOOKUP(X198,tblSKU[SKU],tblSKU[Product_Group])</f>
        <v>BSB</v>
      </c>
      <c r="C198" s="181" t="str">
        <f>_xlfn.XLOOKUP(X198,tblSKU[SKU],tblSKU[Tray_Type])</f>
        <v>ST 3D</v>
      </c>
      <c r="D198" s="182">
        <f>_xlfn.IFNA(_xlfn.XLOOKUP(X198,'00_SKU_Master'!$B$2:$B$379,'00_SKU_Master'!$F$2:$F$379,0)*Y198,"")</f>
        <v>0</v>
      </c>
      <c r="E198" s="182">
        <f>_xlfn.IFNA(_xlfn.XLOOKUP(X198,'00_SKU_Master'!$B$2:$B$379,'00_SKU_Master'!$F$2:$F$379,0)*Z198,"")</f>
        <v>0</v>
      </c>
      <c r="F198" s="182">
        <f>_xlfn.IFNA(_xlfn.XLOOKUP(X198,'00_SKU_Master'!$B$2:$B$379,'00_SKU_Master'!$F$2:$F$379,0)*AA198,"")</f>
        <v>0</v>
      </c>
      <c r="G198" s="182">
        <f>_xlfn.IFNA(_xlfn.XLOOKUP(X198,'00_SKU_Master'!$B$2:$B$379,'00_SKU_Master'!$F$2:$F$379,0)*AB198,"")</f>
        <v>0</v>
      </c>
      <c r="H198" s="182">
        <f>_xlfn.IFNA(_xlfn.XLOOKUP(X198,'00_SKU_Master'!$B$2:$B$379,'00_SKU_Master'!$F$2:$F$379,0)*AC198,"")</f>
        <v>0</v>
      </c>
      <c r="I198" s="182">
        <f>_xlfn.IFNA(_xlfn.XLOOKUP(X198,'00_SKU_Master'!$B$2:$B$379,'00_SKU_Master'!$F$2:$F$379,0)*AD198,"")</f>
        <v>0</v>
      </c>
      <c r="J198" s="182">
        <f>_xlfn.IFNA(_xlfn.XLOOKUP(X198,'00_SKU_Master'!$B$2:$B$379,'00_SKU_Master'!$F$2:$F$379,0)*AE198,"")</f>
        <v>0</v>
      </c>
      <c r="K198" s="183">
        <f t="shared" si="15"/>
        <v>0</v>
      </c>
      <c r="L198" s="184" t="str">
        <f>_xlfn.XLOOKUP(X198,'00_SKU_Master'!$B$2:$B$379,'00_SKU_Master'!$K$2:$K$379)</f>
        <v>Fast</v>
      </c>
      <c r="M198" s="185">
        <f t="shared" si="16"/>
        <v>7840</v>
      </c>
      <c r="N198" s="186">
        <f>IFERROR(D198/_xlfn.XLOOKUP($M198,'00_SKU_Master'!$B$2:$B$379,'00_SKU_Master'!$M$2:$M$379,0),"0")</f>
        <v>0</v>
      </c>
      <c r="O198" s="186">
        <f>IFERROR(E198/_xlfn.XLOOKUP($M198,'00_SKU_Master'!$B$2:$B$379,'00_SKU_Master'!$M$2:$M$379,0),"0")</f>
        <v>0</v>
      </c>
      <c r="P198" s="186">
        <f>IFERROR(F198/_xlfn.XLOOKUP($M198,'00_SKU_Master'!$B$2:$B$379,'00_SKU_Master'!$M$2:$M$379,0),"0")</f>
        <v>0</v>
      </c>
      <c r="Q198" s="186">
        <f>IFERROR(G198/_xlfn.XLOOKUP($M198,'00_SKU_Master'!$B$2:$B$379,'00_SKU_Master'!$M$2:$M$379,0),"0")</f>
        <v>0</v>
      </c>
      <c r="R198" s="186">
        <f>IFERROR(H198/_xlfn.XLOOKUP($M198,'00_SKU_Master'!$B$2:$B$379,'00_SKU_Master'!$M$2:$M$379,0),"0")</f>
        <v>0</v>
      </c>
      <c r="S198" s="186">
        <f>IFERROR(I198/_xlfn.XLOOKUP($M198,'00_SKU_Master'!$B$2:$B$379,'00_SKU_Master'!$M$2:$M$379,0),"0")</f>
        <v>0</v>
      </c>
      <c r="T198" s="186">
        <f>IFERROR(J198/_xlfn.XLOOKUP($M198,'00_SKU_Master'!$B$2:$B$379,'00_SKU_Master'!$M$2:$M$379,0),"0")</f>
        <v>0</v>
      </c>
      <c r="U198" s="186">
        <f t="shared" si="17"/>
        <v>0</v>
      </c>
      <c r="V198" s="186" t="str">
        <f>_xlfn.XLOOKUP(M198,'00_SKU_Master'!$B$2:$B$379,'00_SKU_Master'!$D$2:$D$379)</f>
        <v>LCL</v>
      </c>
      <c r="W198" s="1"/>
      <c r="X198" s="2">
        <f>'05_Daily_Orders'!C199</f>
        <v>7840</v>
      </c>
      <c r="Y198" s="289"/>
      <c r="Z198" s="289">
        <v>0</v>
      </c>
      <c r="AA198" s="289">
        <v>0</v>
      </c>
      <c r="AB198" s="289">
        <v>0</v>
      </c>
      <c r="AC198" s="289">
        <v>0</v>
      </c>
      <c r="AD198" s="289">
        <v>0</v>
      </c>
      <c r="AE198" s="289">
        <v>0</v>
      </c>
      <c r="AF198" s="7">
        <f t="shared" si="18"/>
        <v>0</v>
      </c>
      <c r="AQ198" s="70">
        <v>0</v>
      </c>
      <c r="AR198" s="70">
        <v>0</v>
      </c>
      <c r="AS198" s="3">
        <f t="shared" si="19"/>
        <v>0</v>
      </c>
    </row>
    <row r="199" spans="1:45" x14ac:dyDescent="0.35">
      <c r="A199" s="181" t="str">
        <f>_xlfn.XLOOKUP(X199,'00_SKU_Master'!$B$2:$B$379,'00_SKU_Master'!$C$2:$C$379)</f>
        <v>61050F</v>
      </c>
      <c r="B199" s="181" t="str">
        <f>_xlfn.XLOOKUP(X199,tblSKU[SKU],tblSKU[Product_Group])</f>
        <v>BSB</v>
      </c>
      <c r="C199" s="181" t="str">
        <f>_xlfn.XLOOKUP(X199,tblSKU[SKU],tblSKU[Tray_Type])</f>
        <v>LT 6D</v>
      </c>
      <c r="D199" s="182">
        <f>_xlfn.IFNA(_xlfn.XLOOKUP(X199,'00_SKU_Master'!$B$2:$B$379,'00_SKU_Master'!$F$2:$F$379,0)*Y199,"")</f>
        <v>0</v>
      </c>
      <c r="E199" s="182">
        <f>_xlfn.IFNA(_xlfn.XLOOKUP(X199,'00_SKU_Master'!$B$2:$B$379,'00_SKU_Master'!$F$2:$F$379,0)*Z199,"")</f>
        <v>0</v>
      </c>
      <c r="F199" s="182">
        <f>_xlfn.IFNA(_xlfn.XLOOKUP(X199,'00_SKU_Master'!$B$2:$B$379,'00_SKU_Master'!$F$2:$F$379,0)*AA199,"")</f>
        <v>0</v>
      </c>
      <c r="G199" s="182">
        <f>_xlfn.IFNA(_xlfn.XLOOKUP(X199,'00_SKU_Master'!$B$2:$B$379,'00_SKU_Master'!$F$2:$F$379,0)*AB199,"")</f>
        <v>0</v>
      </c>
      <c r="H199" s="182">
        <f>_xlfn.IFNA(_xlfn.XLOOKUP(X199,'00_SKU_Master'!$B$2:$B$379,'00_SKU_Master'!$F$2:$F$379,0)*AC199,"")</f>
        <v>0</v>
      </c>
      <c r="I199" s="182">
        <f>_xlfn.IFNA(_xlfn.XLOOKUP(X199,'00_SKU_Master'!$B$2:$B$379,'00_SKU_Master'!$F$2:$F$379,0)*AD199,"")</f>
        <v>0</v>
      </c>
      <c r="J199" s="182">
        <f>_xlfn.IFNA(_xlfn.XLOOKUP(X199,'00_SKU_Master'!$B$2:$B$379,'00_SKU_Master'!$F$2:$F$379,0)*AE199,"")</f>
        <v>0</v>
      </c>
      <c r="K199" s="183">
        <f t="shared" si="15"/>
        <v>0</v>
      </c>
      <c r="L199" s="184" t="str">
        <f>_xlfn.XLOOKUP(X199,'00_SKU_Master'!$B$2:$B$379,'00_SKU_Master'!$K$2:$K$379)</f>
        <v>Fast</v>
      </c>
      <c r="M199" s="185">
        <f t="shared" si="16"/>
        <v>7841</v>
      </c>
      <c r="N199" s="186">
        <f>IFERROR(D199/_xlfn.XLOOKUP($M199,'00_SKU_Master'!$B$2:$B$379,'00_SKU_Master'!$M$2:$M$379,0),"0")</f>
        <v>0</v>
      </c>
      <c r="O199" s="186">
        <f>IFERROR(E199/_xlfn.XLOOKUP($M199,'00_SKU_Master'!$B$2:$B$379,'00_SKU_Master'!$M$2:$M$379,0),"0")</f>
        <v>0</v>
      </c>
      <c r="P199" s="186">
        <f>IFERROR(F199/_xlfn.XLOOKUP($M199,'00_SKU_Master'!$B$2:$B$379,'00_SKU_Master'!$M$2:$M$379,0),"0")</f>
        <v>0</v>
      </c>
      <c r="Q199" s="186">
        <f>IFERROR(G199/_xlfn.XLOOKUP($M199,'00_SKU_Master'!$B$2:$B$379,'00_SKU_Master'!$M$2:$M$379,0),"0")</f>
        <v>0</v>
      </c>
      <c r="R199" s="186">
        <f>IFERROR(H199/_xlfn.XLOOKUP($M199,'00_SKU_Master'!$B$2:$B$379,'00_SKU_Master'!$M$2:$M$379,0),"0")</f>
        <v>0</v>
      </c>
      <c r="S199" s="186">
        <f>IFERROR(I199/_xlfn.XLOOKUP($M199,'00_SKU_Master'!$B$2:$B$379,'00_SKU_Master'!$M$2:$M$379,0),"0")</f>
        <v>0</v>
      </c>
      <c r="T199" s="186">
        <f>IFERROR(J199/_xlfn.XLOOKUP($M199,'00_SKU_Master'!$B$2:$B$379,'00_SKU_Master'!$M$2:$M$379,0),"0")</f>
        <v>0</v>
      </c>
      <c r="U199" s="186">
        <f t="shared" si="17"/>
        <v>0</v>
      </c>
      <c r="V199" s="186" t="str">
        <f>_xlfn.XLOOKUP(M199,'00_SKU_Master'!$B$2:$B$379,'00_SKU_Master'!$D$2:$D$379)</f>
        <v>LCL</v>
      </c>
      <c r="W199" s="1"/>
      <c r="X199" s="2">
        <f>'05_Daily_Orders'!C200</f>
        <v>7841</v>
      </c>
      <c r="Y199" s="289"/>
      <c r="Z199" s="289">
        <v>0</v>
      </c>
      <c r="AA199" s="289">
        <v>0</v>
      </c>
      <c r="AB199" s="289">
        <v>0</v>
      </c>
      <c r="AC199" s="289">
        <v>0</v>
      </c>
      <c r="AD199" s="289">
        <v>0</v>
      </c>
      <c r="AE199" s="289">
        <v>0</v>
      </c>
      <c r="AF199" s="7">
        <f t="shared" si="18"/>
        <v>0</v>
      </c>
      <c r="AQ199" s="70">
        <v>0</v>
      </c>
      <c r="AR199" s="70">
        <v>0</v>
      </c>
      <c r="AS199" s="3">
        <f t="shared" si="19"/>
        <v>0</v>
      </c>
    </row>
    <row r="200" spans="1:45" x14ac:dyDescent="0.35">
      <c r="A200" s="181" t="str">
        <f>_xlfn.XLOOKUP(X200,'00_SKU_Master'!$B$2:$B$379,'00_SKU_Master'!$C$2:$C$379)</f>
        <v>61050F</v>
      </c>
      <c r="B200" s="181" t="str">
        <f>_xlfn.XLOOKUP(X200,tblSKU[SKU],tblSKU[Product_Group])</f>
        <v>BSB</v>
      </c>
      <c r="C200" s="181" t="str">
        <f>_xlfn.XLOOKUP(X200,tblSKU[SKU],tblSKU[Tray_Type])</f>
        <v>PET 8</v>
      </c>
      <c r="D200" s="182">
        <f>_xlfn.IFNA(_xlfn.XLOOKUP(X200,'00_SKU_Master'!$B$2:$B$379,'00_SKU_Master'!$F$2:$F$379,0)*Y200,"")</f>
        <v>0</v>
      </c>
      <c r="E200" s="182">
        <f>_xlfn.IFNA(_xlfn.XLOOKUP(X200,'00_SKU_Master'!$B$2:$B$379,'00_SKU_Master'!$F$2:$F$379,0)*Z200,"")</f>
        <v>0</v>
      </c>
      <c r="F200" s="182">
        <f>_xlfn.IFNA(_xlfn.XLOOKUP(X200,'00_SKU_Master'!$B$2:$B$379,'00_SKU_Master'!$F$2:$F$379,0)*AA200,"")</f>
        <v>0</v>
      </c>
      <c r="G200" s="182">
        <f>_xlfn.IFNA(_xlfn.XLOOKUP(X200,'00_SKU_Master'!$B$2:$B$379,'00_SKU_Master'!$F$2:$F$379,0)*AB200,"")</f>
        <v>0</v>
      </c>
      <c r="H200" s="182">
        <f>_xlfn.IFNA(_xlfn.XLOOKUP(X200,'00_SKU_Master'!$B$2:$B$379,'00_SKU_Master'!$F$2:$F$379,0)*AC200,"")</f>
        <v>0</v>
      </c>
      <c r="I200" s="182">
        <f>_xlfn.IFNA(_xlfn.XLOOKUP(X200,'00_SKU_Master'!$B$2:$B$379,'00_SKU_Master'!$F$2:$F$379,0)*AD200,"")</f>
        <v>0</v>
      </c>
      <c r="J200" s="182">
        <f>_xlfn.IFNA(_xlfn.XLOOKUP(X200,'00_SKU_Master'!$B$2:$B$379,'00_SKU_Master'!$F$2:$F$379,0)*AE200,"")</f>
        <v>0</v>
      </c>
      <c r="K200" s="183">
        <f t="shared" si="15"/>
        <v>0</v>
      </c>
      <c r="L200" s="184" t="str">
        <f>_xlfn.XLOOKUP(X200,'00_SKU_Master'!$B$2:$B$379,'00_SKU_Master'!$K$2:$K$379)</f>
        <v>Fast</v>
      </c>
      <c r="M200" s="185">
        <f t="shared" si="16"/>
        <v>7842</v>
      </c>
      <c r="N200" s="186">
        <f>IFERROR(D200/_xlfn.XLOOKUP($M200,'00_SKU_Master'!$B$2:$B$379,'00_SKU_Master'!$M$2:$M$379,0),"0")</f>
        <v>0</v>
      </c>
      <c r="O200" s="186">
        <f>IFERROR(E200/_xlfn.XLOOKUP($M200,'00_SKU_Master'!$B$2:$B$379,'00_SKU_Master'!$M$2:$M$379,0),"0")</f>
        <v>0</v>
      </c>
      <c r="P200" s="186">
        <f>IFERROR(F200/_xlfn.XLOOKUP($M200,'00_SKU_Master'!$B$2:$B$379,'00_SKU_Master'!$M$2:$M$379,0),"0")</f>
        <v>0</v>
      </c>
      <c r="Q200" s="186">
        <f>IFERROR(G200/_xlfn.XLOOKUP($M200,'00_SKU_Master'!$B$2:$B$379,'00_SKU_Master'!$M$2:$M$379,0),"0")</f>
        <v>0</v>
      </c>
      <c r="R200" s="186">
        <f>IFERROR(H200/_xlfn.XLOOKUP($M200,'00_SKU_Master'!$B$2:$B$379,'00_SKU_Master'!$M$2:$M$379,0),"0")</f>
        <v>0</v>
      </c>
      <c r="S200" s="186">
        <f>IFERROR(I200/_xlfn.XLOOKUP($M200,'00_SKU_Master'!$B$2:$B$379,'00_SKU_Master'!$M$2:$M$379,0),"0")</f>
        <v>0</v>
      </c>
      <c r="T200" s="186">
        <f>IFERROR(J200/_xlfn.XLOOKUP($M200,'00_SKU_Master'!$B$2:$B$379,'00_SKU_Master'!$M$2:$M$379,0),"0")</f>
        <v>0</v>
      </c>
      <c r="U200" s="186">
        <f t="shared" si="17"/>
        <v>0</v>
      </c>
      <c r="V200" s="186" t="str">
        <f>_xlfn.XLOOKUP(M200,'00_SKU_Master'!$B$2:$B$379,'00_SKU_Master'!$D$2:$D$379)</f>
        <v>LCL</v>
      </c>
      <c r="W200" s="1"/>
      <c r="X200" s="2">
        <f>'05_Daily_Orders'!C201</f>
        <v>7842</v>
      </c>
      <c r="Y200" s="289"/>
      <c r="Z200" s="289">
        <v>0</v>
      </c>
      <c r="AA200" s="289">
        <v>0</v>
      </c>
      <c r="AB200" s="289">
        <v>0</v>
      </c>
      <c r="AC200" s="289">
        <v>0</v>
      </c>
      <c r="AD200" s="289">
        <v>0</v>
      </c>
      <c r="AE200" s="289">
        <v>0</v>
      </c>
      <c r="AF200" s="7">
        <f t="shared" si="18"/>
        <v>0</v>
      </c>
      <c r="AQ200" s="70">
        <v>0</v>
      </c>
      <c r="AR200" s="70">
        <v>0</v>
      </c>
      <c r="AS200" s="3">
        <f t="shared" si="19"/>
        <v>0</v>
      </c>
    </row>
    <row r="201" spans="1:45" x14ac:dyDescent="0.35">
      <c r="A201" s="181" t="str">
        <f>_xlfn.XLOOKUP(X201,'00_SKU_Master'!$B$2:$B$379,'00_SKU_Master'!$C$2:$C$379)</f>
        <v>61050#2</v>
      </c>
      <c r="B201" s="181" t="str">
        <f>_xlfn.XLOOKUP(X201,tblSKU[SKU],tblSKU[Product_Group])</f>
        <v>BSB</v>
      </c>
      <c r="C201" s="181" t="str">
        <f>_xlfn.XLOOKUP(X201,tblSKU[SKU],tblSKU[Tray_Type])</f>
        <v>LT 6D</v>
      </c>
      <c r="D201" s="182">
        <f>_xlfn.IFNA(_xlfn.XLOOKUP(X201,'00_SKU_Master'!$B$2:$B$379,'00_SKU_Master'!$F$2:$F$379,0)*Y201,"")</f>
        <v>0</v>
      </c>
      <c r="E201" s="182">
        <f>_xlfn.IFNA(_xlfn.XLOOKUP(X201,'00_SKU_Master'!$B$2:$B$379,'00_SKU_Master'!$F$2:$F$379,0)*Z201,"")</f>
        <v>0</v>
      </c>
      <c r="F201" s="182">
        <f>_xlfn.IFNA(_xlfn.XLOOKUP(X201,'00_SKU_Master'!$B$2:$B$379,'00_SKU_Master'!$F$2:$F$379,0)*AA201,"")</f>
        <v>0</v>
      </c>
      <c r="G201" s="182">
        <f>_xlfn.IFNA(_xlfn.XLOOKUP(X201,'00_SKU_Master'!$B$2:$B$379,'00_SKU_Master'!$F$2:$F$379,0)*AB201,"")</f>
        <v>0</v>
      </c>
      <c r="H201" s="182">
        <f>_xlfn.IFNA(_xlfn.XLOOKUP(X201,'00_SKU_Master'!$B$2:$B$379,'00_SKU_Master'!$F$2:$F$379,0)*AC201,"")</f>
        <v>0</v>
      </c>
      <c r="I201" s="182">
        <f>_xlfn.IFNA(_xlfn.XLOOKUP(X201,'00_SKU_Master'!$B$2:$B$379,'00_SKU_Master'!$F$2:$F$379,0)*AD201,"")</f>
        <v>0</v>
      </c>
      <c r="J201" s="182">
        <f>_xlfn.IFNA(_xlfn.XLOOKUP(X201,'00_SKU_Master'!$B$2:$B$379,'00_SKU_Master'!$F$2:$F$379,0)*AE201,"")</f>
        <v>0</v>
      </c>
      <c r="K201" s="183">
        <f t="shared" si="15"/>
        <v>0</v>
      </c>
      <c r="L201" s="184" t="str">
        <f>_xlfn.XLOOKUP(X201,'00_SKU_Master'!$B$2:$B$379,'00_SKU_Master'!$K$2:$K$379)</f>
        <v>Fast</v>
      </c>
      <c r="M201" s="185">
        <f t="shared" si="16"/>
        <v>7843</v>
      </c>
      <c r="N201" s="186">
        <f>IFERROR(D201/_xlfn.XLOOKUP($M201,'00_SKU_Master'!$B$2:$B$379,'00_SKU_Master'!$M$2:$M$379,0),"0")</f>
        <v>0</v>
      </c>
      <c r="O201" s="186">
        <f>IFERROR(E201/_xlfn.XLOOKUP($M201,'00_SKU_Master'!$B$2:$B$379,'00_SKU_Master'!$M$2:$M$379,0),"0")</f>
        <v>0</v>
      </c>
      <c r="P201" s="186">
        <f>IFERROR(F201/_xlfn.XLOOKUP($M201,'00_SKU_Master'!$B$2:$B$379,'00_SKU_Master'!$M$2:$M$379,0),"0")</f>
        <v>0</v>
      </c>
      <c r="Q201" s="186">
        <f>IFERROR(G201/_xlfn.XLOOKUP($M201,'00_SKU_Master'!$B$2:$B$379,'00_SKU_Master'!$M$2:$M$379,0),"0")</f>
        <v>0</v>
      </c>
      <c r="R201" s="186">
        <f>IFERROR(H201/_xlfn.XLOOKUP($M201,'00_SKU_Master'!$B$2:$B$379,'00_SKU_Master'!$M$2:$M$379,0),"0")</f>
        <v>0</v>
      </c>
      <c r="S201" s="186">
        <f>IFERROR(I201/_xlfn.XLOOKUP($M201,'00_SKU_Master'!$B$2:$B$379,'00_SKU_Master'!$M$2:$M$379,0),"0")</f>
        <v>0</v>
      </c>
      <c r="T201" s="186">
        <f>IFERROR(J201/_xlfn.XLOOKUP($M201,'00_SKU_Master'!$B$2:$B$379,'00_SKU_Master'!$M$2:$M$379,0),"0")</f>
        <v>0</v>
      </c>
      <c r="U201" s="186">
        <f t="shared" si="17"/>
        <v>0</v>
      </c>
      <c r="V201" s="186" t="str">
        <f>_xlfn.XLOOKUP(M201,'00_SKU_Master'!$B$2:$B$379,'00_SKU_Master'!$D$2:$D$379)</f>
        <v>LCL</v>
      </c>
      <c r="W201" s="1"/>
      <c r="X201" s="2">
        <f>'05_Daily_Orders'!C202</f>
        <v>7843</v>
      </c>
      <c r="Y201" s="289"/>
      <c r="Z201" s="289">
        <v>0</v>
      </c>
      <c r="AA201" s="289">
        <v>0</v>
      </c>
      <c r="AB201" s="289">
        <v>0</v>
      </c>
      <c r="AC201" s="289">
        <v>0</v>
      </c>
      <c r="AD201" s="289">
        <v>0</v>
      </c>
      <c r="AE201" s="289">
        <v>0</v>
      </c>
      <c r="AF201" s="7">
        <f t="shared" si="18"/>
        <v>0</v>
      </c>
      <c r="AQ201" s="70">
        <v>0</v>
      </c>
      <c r="AR201" s="70">
        <v>0</v>
      </c>
      <c r="AS201" s="3">
        <f t="shared" si="19"/>
        <v>0</v>
      </c>
    </row>
    <row r="202" spans="1:45" x14ac:dyDescent="0.35">
      <c r="A202" s="181">
        <f>_xlfn.XLOOKUP(X202,'00_SKU_Master'!$B$2:$B$379,'00_SKU_Master'!$C$2:$C$379)</f>
        <v>61050</v>
      </c>
      <c r="B202" s="181" t="str">
        <f>_xlfn.XLOOKUP(X202,tblSKU[SKU],tblSKU[Product_Group])</f>
        <v>BSB</v>
      </c>
      <c r="C202" s="181" t="str">
        <f>_xlfn.XLOOKUP(X202,tblSKU[SKU],tblSKU[Tray_Type])</f>
        <v>PET 3</v>
      </c>
      <c r="D202" s="182">
        <f>_xlfn.IFNA(_xlfn.XLOOKUP(X202,'00_SKU_Master'!$B$2:$B$379,'00_SKU_Master'!$F$2:$F$379,0)*Y202,"")</f>
        <v>0</v>
      </c>
      <c r="E202" s="182">
        <f>_xlfn.IFNA(_xlfn.XLOOKUP(X202,'00_SKU_Master'!$B$2:$B$379,'00_SKU_Master'!$F$2:$F$379,0)*Z202,"")</f>
        <v>-10.83599280270956</v>
      </c>
      <c r="F202" s="182">
        <f>_xlfn.IFNA(_xlfn.XLOOKUP(X202,'00_SKU_Master'!$B$2:$B$379,'00_SKU_Master'!$F$2:$F$379,0)*AA202,"")</f>
        <v>921.05938823031261</v>
      </c>
      <c r="G202" s="182">
        <f>_xlfn.IFNA(_xlfn.XLOOKUP(X202,'00_SKU_Master'!$B$2:$B$379,'00_SKU_Master'!$F$2:$F$379,0)*AB202,"")</f>
        <v>953.56736663844129</v>
      </c>
      <c r="H202" s="182">
        <f>_xlfn.IFNA(_xlfn.XLOOKUP(X202,'00_SKU_Master'!$B$2:$B$379,'00_SKU_Master'!$F$2:$F$379,0)*AC202,"")</f>
        <v>850.62543501270045</v>
      </c>
      <c r="I202" s="182">
        <f>_xlfn.IFNA(_xlfn.XLOOKUP(X202,'00_SKU_Master'!$B$2:$B$379,'00_SKU_Master'!$F$2:$F$379,0)*AD202,"")</f>
        <v>942.73137383573169</v>
      </c>
      <c r="J202" s="182">
        <f>_xlfn.IFNA(_xlfn.XLOOKUP(X202,'00_SKU_Master'!$B$2:$B$379,'00_SKU_Master'!$F$2:$F$379,0)*AE202,"")</f>
        <v>530.96364733276846</v>
      </c>
      <c r="K202" s="183">
        <f t="shared" si="15"/>
        <v>4188.1112182472452</v>
      </c>
      <c r="L202" s="184" t="str">
        <f>_xlfn.XLOOKUP(X202,'00_SKU_Master'!$B$2:$B$379,'00_SKU_Master'!$K$2:$K$379)</f>
        <v>Fast</v>
      </c>
      <c r="M202" s="185">
        <f t="shared" si="16"/>
        <v>7851</v>
      </c>
      <c r="N202" s="186">
        <f>IFERROR(D202/_xlfn.XLOOKUP($M202,'00_SKU_Master'!$B$2:$B$379,'00_SKU_Master'!$M$2:$M$379,0),"0")</f>
        <v>0</v>
      </c>
      <c r="O202" s="186">
        <f>IFERROR(E202/_xlfn.XLOOKUP($M202,'00_SKU_Master'!$B$2:$B$379,'00_SKU_Master'!$M$2:$M$379,0),"0")</f>
        <v>-0.23114319118407764</v>
      </c>
      <c r="P202" s="186">
        <f>IFERROR(F202/_xlfn.XLOOKUP($M202,'00_SKU_Master'!$B$2:$B$379,'00_SKU_Master'!$M$2:$M$379,0),"0")</f>
        <v>19.647171250646601</v>
      </c>
      <c r="Q202" s="186">
        <f>IFERROR(G202/_xlfn.XLOOKUP($M202,'00_SKU_Master'!$B$2:$B$379,'00_SKU_Master'!$M$2:$M$379,0),"0")</f>
        <v>20.34060082419883</v>
      </c>
      <c r="R202" s="186">
        <f>IFERROR(H202/_xlfn.XLOOKUP($M202,'00_SKU_Master'!$B$2:$B$379,'00_SKU_Master'!$M$2:$M$379,0),"0")</f>
        <v>18.144740507950093</v>
      </c>
      <c r="S202" s="186">
        <f>IFERROR(I202/_xlfn.XLOOKUP($M202,'00_SKU_Master'!$B$2:$B$379,'00_SKU_Master'!$M$2:$M$379,0),"0")</f>
        <v>20.109457633014753</v>
      </c>
      <c r="T202" s="186">
        <f>IFERROR(J202/_xlfn.XLOOKUP($M202,'00_SKU_Master'!$B$2:$B$379,'00_SKU_Master'!$M$2:$M$379,0),"0")</f>
        <v>11.326016368019804</v>
      </c>
      <c r="U202" s="186">
        <f t="shared" si="17"/>
        <v>89.336843392646003</v>
      </c>
      <c r="V202" s="186" t="str">
        <f>_xlfn.XLOOKUP(M202,'00_SKU_Master'!$B$2:$B$379,'00_SKU_Master'!$D$2:$D$379)</f>
        <v>LCL</v>
      </c>
      <c r="W202" s="1"/>
      <c r="X202" s="2">
        <f>'05_Daily_Orders'!C203</f>
        <v>7851</v>
      </c>
      <c r="Y202" s="289"/>
      <c r="Z202" s="289">
        <v>-2</v>
      </c>
      <c r="AA202" s="289">
        <v>170</v>
      </c>
      <c r="AB202" s="289">
        <v>176</v>
      </c>
      <c r="AC202" s="289">
        <v>157</v>
      </c>
      <c r="AD202" s="289">
        <v>174</v>
      </c>
      <c r="AE202" s="289">
        <v>98</v>
      </c>
      <c r="AF202" s="7">
        <f t="shared" si="18"/>
        <v>773</v>
      </c>
      <c r="AQ202" s="70">
        <v>2</v>
      </c>
      <c r="AR202" s="70">
        <v>0</v>
      </c>
      <c r="AS202" s="3">
        <f t="shared" si="19"/>
        <v>-2</v>
      </c>
    </row>
    <row r="203" spans="1:45" x14ac:dyDescent="0.35">
      <c r="A203" s="181">
        <f>_xlfn.XLOOKUP(X203,'00_SKU_Master'!$B$2:$B$379,'00_SKU_Master'!$C$2:$C$379)</f>
        <v>61050</v>
      </c>
      <c r="B203" s="181" t="str">
        <f>_xlfn.XLOOKUP(X203,tblSKU[SKU],tblSKU[Product_Group])</f>
        <v>BSB</v>
      </c>
      <c r="C203" s="181" t="str">
        <f>_xlfn.XLOOKUP(X203,tblSKU[SKU],tblSKU[Tray_Type])</f>
        <v>PET 6</v>
      </c>
      <c r="D203" s="182">
        <f>_xlfn.IFNA(_xlfn.XLOOKUP(X203,'00_SKU_Master'!$B$2:$B$379,'00_SKU_Master'!$F$2:$F$379,0)*Y203,"")</f>
        <v>0</v>
      </c>
      <c r="E203" s="182">
        <f>_xlfn.IFNA(_xlfn.XLOOKUP(X203,'00_SKU_Master'!$B$2:$B$379,'00_SKU_Master'!$F$2:$F$379,0)*Z203,"")</f>
        <v>-7.1096843935164697</v>
      </c>
      <c r="F203" s="182">
        <f>_xlfn.IFNA(_xlfn.XLOOKUP(X203,'00_SKU_Master'!$B$2:$B$379,'00_SKU_Master'!$F$2:$F$379,0)*AA203,"")</f>
        <v>2815.4350198325219</v>
      </c>
      <c r="G203" s="182">
        <f>_xlfn.IFNA(_xlfn.XLOOKUP(X203,'00_SKU_Master'!$B$2:$B$379,'00_SKU_Master'!$F$2:$F$379,0)*AB203,"")</f>
        <v>2978.9577608834006</v>
      </c>
      <c r="H203" s="182">
        <f>_xlfn.IFNA(_xlfn.XLOOKUP(X203,'00_SKU_Master'!$B$2:$B$379,'00_SKU_Master'!$F$2:$F$379,0)*AC203,"")</f>
        <v>2687.4607007492255</v>
      </c>
      <c r="I203" s="182">
        <f>_xlfn.IFNA(_xlfn.XLOOKUP(X203,'00_SKU_Master'!$B$2:$B$379,'00_SKU_Master'!$F$2:$F$379,0)*AD203,"")</f>
        <v>2893.641548161203</v>
      </c>
      <c r="J203" s="182">
        <f>_xlfn.IFNA(_xlfn.XLOOKUP(X203,'00_SKU_Master'!$B$2:$B$379,'00_SKU_Master'!$F$2:$F$379,0)*AE203,"")</f>
        <v>1301.0722440135139</v>
      </c>
      <c r="K203" s="183">
        <f t="shared" si="15"/>
        <v>12669.457589246347</v>
      </c>
      <c r="L203" s="184" t="str">
        <f>_xlfn.XLOOKUP(X203,'00_SKU_Master'!$B$2:$B$379,'00_SKU_Master'!$K$2:$K$379)</f>
        <v>Fast</v>
      </c>
      <c r="M203" s="185">
        <f t="shared" si="16"/>
        <v>7852</v>
      </c>
      <c r="N203" s="186">
        <f>IFERROR(D203/_xlfn.XLOOKUP($M203,'00_SKU_Master'!$B$2:$B$379,'00_SKU_Master'!$M$2:$M$379,0),"0")</f>
        <v>0</v>
      </c>
      <c r="O203" s="186">
        <f>IFERROR(E203/_xlfn.XLOOKUP($M203,'00_SKU_Master'!$B$2:$B$379,'00_SKU_Master'!$M$2:$M$379,0),"0")</f>
        <v>-6.9295169527450975E-2</v>
      </c>
      <c r="P203" s="186">
        <f>IFERROR(F203/_xlfn.XLOOKUP($M203,'00_SKU_Master'!$B$2:$B$379,'00_SKU_Master'!$M$2:$M$379,0),"0")</f>
        <v>27.440887132870586</v>
      </c>
      <c r="Q203" s="186">
        <f>IFERROR(G203/_xlfn.XLOOKUP($M203,'00_SKU_Master'!$B$2:$B$379,'00_SKU_Master'!$M$2:$M$379,0),"0")</f>
        <v>29.034676032001958</v>
      </c>
      <c r="R203" s="186">
        <f>IFERROR(H203/_xlfn.XLOOKUP($M203,'00_SKU_Master'!$B$2:$B$379,'00_SKU_Master'!$M$2:$M$379,0),"0")</f>
        <v>26.193574081376468</v>
      </c>
      <c r="S203" s="186">
        <f>IFERROR(I203/_xlfn.XLOOKUP($M203,'00_SKU_Master'!$B$2:$B$379,'00_SKU_Master'!$M$2:$M$379,0),"0")</f>
        <v>28.203133997672545</v>
      </c>
      <c r="T203" s="186">
        <f>IFERROR(J203/_xlfn.XLOOKUP($M203,'00_SKU_Master'!$B$2:$B$379,'00_SKU_Master'!$M$2:$M$379,0),"0")</f>
        <v>12.681016023523528</v>
      </c>
      <c r="U203" s="186">
        <f t="shared" si="17"/>
        <v>123.48399209791764</v>
      </c>
      <c r="V203" s="186" t="str">
        <f>_xlfn.XLOOKUP(M203,'00_SKU_Master'!$B$2:$B$379,'00_SKU_Master'!$D$2:$D$379)</f>
        <v>LCL</v>
      </c>
      <c r="W203" s="1"/>
      <c r="X203" s="2">
        <f>'05_Daily_Orders'!C204</f>
        <v>7852</v>
      </c>
      <c r="Y203" s="289"/>
      <c r="Z203" s="289">
        <v>-1</v>
      </c>
      <c r="AA203" s="289">
        <v>396</v>
      </c>
      <c r="AB203" s="289">
        <v>419</v>
      </c>
      <c r="AC203" s="289">
        <v>378</v>
      </c>
      <c r="AD203" s="289">
        <v>407</v>
      </c>
      <c r="AE203" s="289">
        <v>183</v>
      </c>
      <c r="AF203" s="7">
        <f t="shared" si="18"/>
        <v>1782</v>
      </c>
      <c r="AQ203" s="70">
        <v>1</v>
      </c>
      <c r="AR203" s="70">
        <v>0</v>
      </c>
      <c r="AS203" s="3">
        <f t="shared" si="19"/>
        <v>-1</v>
      </c>
    </row>
    <row r="204" spans="1:45" x14ac:dyDescent="0.35">
      <c r="A204" s="181">
        <f>_xlfn.XLOOKUP(X204,'00_SKU_Master'!$B$2:$B$379,'00_SKU_Master'!$C$2:$C$379)</f>
        <v>61077</v>
      </c>
      <c r="B204" s="181" t="str">
        <f>_xlfn.XLOOKUP(X204,tblSKU[SKU],tblSKU[Product_Group])</f>
        <v>Thigh</v>
      </c>
      <c r="C204" s="181" t="str">
        <f>_xlfn.XLOOKUP(X204,tblSKU[SKU],tblSKU[Tray_Type])</f>
        <v>PET 6</v>
      </c>
      <c r="D204" s="182">
        <f>_xlfn.IFNA(_xlfn.XLOOKUP(X204,'00_SKU_Master'!$B$2:$B$379,'00_SKU_Master'!$F$2:$F$379,0)*Y204,"")</f>
        <v>0</v>
      </c>
      <c r="E204" s="182">
        <f>_xlfn.IFNA(_xlfn.XLOOKUP(X204,'00_SKU_Master'!$B$2:$B$379,'00_SKU_Master'!$F$2:$F$379,0)*Z204,"")</f>
        <v>122.58587645279401</v>
      </c>
      <c r="F204" s="182">
        <f>_xlfn.IFNA(_xlfn.XLOOKUP(X204,'00_SKU_Master'!$B$2:$B$379,'00_SKU_Master'!$F$2:$F$379,0)*AA204,"")</f>
        <v>1348.4446409807342</v>
      </c>
      <c r="G204" s="182">
        <f>_xlfn.IFNA(_xlfn.XLOOKUP(X204,'00_SKU_Master'!$B$2:$B$379,'00_SKU_Master'!$F$2:$F$379,0)*AB204,"")</f>
        <v>1174.2436586530796</v>
      </c>
      <c r="H204" s="182">
        <f>_xlfn.IFNA(_xlfn.XLOOKUP(X204,'00_SKU_Master'!$B$2:$B$379,'00_SKU_Master'!$F$2:$F$379,0)*AC204,"")</f>
        <v>838.74547046648536</v>
      </c>
      <c r="I204" s="182">
        <f>_xlfn.IFNA(_xlfn.XLOOKUP(X204,'00_SKU_Master'!$B$2:$B$379,'00_SKU_Master'!$F$2:$F$379,0)*AD204,"")</f>
        <v>754.8709234198368</v>
      </c>
      <c r="J204" s="182">
        <f>_xlfn.IFNA(_xlfn.XLOOKUP(X204,'00_SKU_Master'!$B$2:$B$379,'00_SKU_Master'!$F$2:$F$379,0)*AE204,"")</f>
        <v>593.57371756089731</v>
      </c>
      <c r="K204" s="183">
        <f t="shared" si="15"/>
        <v>4832.4642875338277</v>
      </c>
      <c r="L204" s="184" t="str">
        <f>_xlfn.XLOOKUP(X204,'00_SKU_Master'!$B$2:$B$379,'00_SKU_Master'!$K$2:$K$379)</f>
        <v>Fast</v>
      </c>
      <c r="M204" s="185">
        <f t="shared" si="16"/>
        <v>7853</v>
      </c>
      <c r="N204" s="186">
        <f>IFERROR(D204/_xlfn.XLOOKUP($M204,'00_SKU_Master'!$B$2:$B$379,'00_SKU_Master'!$M$2:$M$379,0),"0")</f>
        <v>0</v>
      </c>
      <c r="O204" s="186">
        <f>IFERROR(E204/_xlfn.XLOOKUP($M204,'00_SKU_Master'!$B$2:$B$379,'00_SKU_Master'!$M$2:$M$379,0),"0")</f>
        <v>3.3275210763516285</v>
      </c>
      <c r="P204" s="186">
        <f>IFERROR(F204/_xlfn.XLOOKUP($M204,'00_SKU_Master'!$B$2:$B$379,'00_SKU_Master'!$M$2:$M$379,0),"0")</f>
        <v>36.602731839867921</v>
      </c>
      <c r="Q204" s="186">
        <f>IFERROR(G204/_xlfn.XLOOKUP($M204,'00_SKU_Master'!$B$2:$B$379,'00_SKU_Master'!$M$2:$M$379,0),"0")</f>
        <v>31.874149257684024</v>
      </c>
      <c r="R204" s="186">
        <f>IFERROR(H204/_xlfn.XLOOKUP($M204,'00_SKU_Master'!$B$2:$B$379,'00_SKU_Master'!$M$2:$M$379,0),"0")</f>
        <v>22.767249469774303</v>
      </c>
      <c r="S204" s="186">
        <f>IFERROR(I204/_xlfn.XLOOKUP($M204,'00_SKU_Master'!$B$2:$B$379,'00_SKU_Master'!$M$2:$M$379,0),"0")</f>
        <v>20.490524522796871</v>
      </c>
      <c r="T204" s="186">
        <f>IFERROR(J204/_xlfn.XLOOKUP($M204,'00_SKU_Master'!$B$2:$B$379,'00_SKU_Master'!$M$2:$M$379,0),"0")</f>
        <v>16.112207317071043</v>
      </c>
      <c r="U204" s="186">
        <f t="shared" si="17"/>
        <v>131.1743834835458</v>
      </c>
      <c r="V204" s="186" t="str">
        <f>_xlfn.XLOOKUP(M204,'00_SKU_Master'!$B$2:$B$379,'00_SKU_Master'!$D$2:$D$379)</f>
        <v>LCL</v>
      </c>
      <c r="W204" s="1"/>
      <c r="X204" s="2">
        <f>'05_Daily_Orders'!C205</f>
        <v>7853</v>
      </c>
      <c r="Y204" s="289"/>
      <c r="Z204" s="289">
        <v>19</v>
      </c>
      <c r="AA204" s="289">
        <v>209</v>
      </c>
      <c r="AB204" s="289">
        <v>182</v>
      </c>
      <c r="AC204" s="289">
        <v>130</v>
      </c>
      <c r="AD204" s="289">
        <v>117</v>
      </c>
      <c r="AE204" s="289">
        <v>92</v>
      </c>
      <c r="AF204" s="7">
        <f t="shared" si="18"/>
        <v>749</v>
      </c>
      <c r="AQ204" s="70">
        <v>0</v>
      </c>
      <c r="AR204" s="70">
        <v>19</v>
      </c>
      <c r="AS204" s="3">
        <f t="shared" si="19"/>
        <v>19</v>
      </c>
    </row>
    <row r="205" spans="1:45" x14ac:dyDescent="0.35">
      <c r="A205" s="181" t="str">
        <f>_xlfn.XLOOKUP(X205,'00_SKU_Master'!$B$2:$B$379,'00_SKU_Master'!$C$2:$C$379)</f>
        <v>61072F</v>
      </c>
      <c r="B205" s="181" t="str">
        <f>_xlfn.XLOOKUP(X205,tblSKU[SKU],tblSKU[Product_Group])</f>
        <v>Drum</v>
      </c>
      <c r="C205" s="181" t="str">
        <f>_xlfn.XLOOKUP(X205,tblSKU[SKU],tblSKU[Tray_Type])</f>
        <v>PET 6</v>
      </c>
      <c r="D205" s="182">
        <f>_xlfn.IFNA(_xlfn.XLOOKUP(X205,'00_SKU_Master'!$B$2:$B$379,'00_SKU_Master'!$F$2:$F$379,0)*Y205,"")</f>
        <v>0</v>
      </c>
      <c r="E205" s="182">
        <f>_xlfn.IFNA(_xlfn.XLOOKUP(X205,'00_SKU_Master'!$B$2:$B$379,'00_SKU_Master'!$F$2:$F$379,0)*Z205,"")</f>
        <v>0</v>
      </c>
      <c r="F205" s="182">
        <f>_xlfn.IFNA(_xlfn.XLOOKUP(X205,'00_SKU_Master'!$B$2:$B$379,'00_SKU_Master'!$F$2:$F$379,0)*AA205,"")</f>
        <v>1062.9151260857375</v>
      </c>
      <c r="G205" s="182">
        <f>_xlfn.IFNA(_xlfn.XLOOKUP(X205,'00_SKU_Master'!$B$2:$B$379,'00_SKU_Master'!$F$2:$F$379,0)*AB205,"")</f>
        <v>849.11035934435358</v>
      </c>
      <c r="H205" s="182">
        <f>_xlfn.IFNA(_xlfn.XLOOKUP(X205,'00_SKU_Master'!$B$2:$B$379,'00_SKU_Master'!$F$2:$F$379,0)*AC205,"")</f>
        <v>641.41430022415193</v>
      </c>
      <c r="I205" s="182">
        <f>_xlfn.IFNA(_xlfn.XLOOKUP(X205,'00_SKU_Master'!$B$2:$B$379,'00_SKU_Master'!$F$2:$F$379,0)*AD205,"")</f>
        <v>568.10980876996314</v>
      </c>
      <c r="J205" s="182">
        <f>_xlfn.IFNA(_xlfn.XLOOKUP(X205,'00_SKU_Master'!$B$2:$B$379,'00_SKU_Master'!$F$2:$F$379,0)*AE205,"")</f>
        <v>415.39211824040319</v>
      </c>
      <c r="K205" s="183">
        <f t="shared" si="15"/>
        <v>3536.941712664609</v>
      </c>
      <c r="L205" s="184" t="str">
        <f>_xlfn.XLOOKUP(X205,'00_SKU_Master'!$B$2:$B$379,'00_SKU_Master'!$K$2:$K$379)</f>
        <v>Fast</v>
      </c>
      <c r="M205" s="185">
        <f t="shared" si="16"/>
        <v>7854</v>
      </c>
      <c r="N205" s="186">
        <f>IFERROR(D205/_xlfn.XLOOKUP($M205,'00_SKU_Master'!$B$2:$B$379,'00_SKU_Master'!$M$2:$M$379,0),"0")</f>
        <v>0</v>
      </c>
      <c r="O205" s="186">
        <f>IFERROR(E205/_xlfn.XLOOKUP($M205,'00_SKU_Master'!$B$2:$B$379,'00_SKU_Master'!$M$2:$M$379,0),"0")</f>
        <v>0</v>
      </c>
      <c r="P205" s="186">
        <f>IFERROR(F205/_xlfn.XLOOKUP($M205,'00_SKU_Master'!$B$2:$B$379,'00_SKU_Master'!$M$2:$M$379,0),"0")</f>
        <v>24.519380071181949</v>
      </c>
      <c r="Q205" s="186">
        <f>IFERROR(G205/_xlfn.XLOOKUP($M205,'00_SKU_Master'!$B$2:$B$379,'00_SKU_Master'!$M$2:$M$379,0),"0")</f>
        <v>19.587320861461443</v>
      </c>
      <c r="R205" s="186">
        <f>IFERROR(H205/_xlfn.XLOOKUP($M205,'00_SKU_Master'!$B$2:$B$379,'00_SKU_Master'!$M$2:$M$379,0),"0")</f>
        <v>14.796177629161521</v>
      </c>
      <c r="S205" s="186">
        <f>IFERROR(I205/_xlfn.XLOOKUP($M205,'00_SKU_Master'!$B$2:$B$379,'00_SKU_Master'!$M$2:$M$379,0),"0")</f>
        <v>13.10518590011449</v>
      </c>
      <c r="T205" s="186">
        <f>IFERROR(J205/_xlfn.XLOOKUP($M205,'00_SKU_Master'!$B$2:$B$379,'00_SKU_Master'!$M$2:$M$379,0),"0")</f>
        <v>9.5822864645998429</v>
      </c>
      <c r="U205" s="186">
        <f t="shared" si="17"/>
        <v>81.59035092651925</v>
      </c>
      <c r="V205" s="186" t="str">
        <f>_xlfn.XLOOKUP(M205,'00_SKU_Master'!$B$2:$B$379,'00_SKU_Master'!$D$2:$D$379)</f>
        <v>LCL</v>
      </c>
      <c r="W205" s="1"/>
      <c r="X205" s="2">
        <f>'05_Daily_Orders'!C206</f>
        <v>7854</v>
      </c>
      <c r="Y205" s="289"/>
      <c r="Z205" s="289">
        <v>0</v>
      </c>
      <c r="AA205" s="289">
        <v>174</v>
      </c>
      <c r="AB205" s="289">
        <v>139</v>
      </c>
      <c r="AC205" s="289">
        <v>105</v>
      </c>
      <c r="AD205" s="289">
        <v>93</v>
      </c>
      <c r="AE205" s="289">
        <v>68</v>
      </c>
      <c r="AF205" s="7">
        <f t="shared" si="18"/>
        <v>579</v>
      </c>
      <c r="AQ205" s="70">
        <v>0</v>
      </c>
      <c r="AR205" s="70">
        <v>0</v>
      </c>
      <c r="AS205" s="3">
        <f t="shared" si="19"/>
        <v>0</v>
      </c>
    </row>
    <row r="206" spans="1:45" x14ac:dyDescent="0.35">
      <c r="A206" s="181" t="str">
        <f>_xlfn.XLOOKUP(X206,'00_SKU_Master'!$B$2:$B$379,'00_SKU_Master'!$C$2:$C$379)</f>
        <v>61014F</v>
      </c>
      <c r="B206" s="181" t="str">
        <f>_xlfn.XLOOKUP(X206,tblSKU[SKU],tblSKU[Product_Group])</f>
        <v>SplitWing</v>
      </c>
      <c r="C206" s="181" t="str">
        <f>_xlfn.XLOOKUP(X206,tblSKU[SKU],tblSKU[Tray_Type])</f>
        <v>PET 6</v>
      </c>
      <c r="D206" s="182">
        <f>_xlfn.IFNA(_xlfn.XLOOKUP(X206,'00_SKU_Master'!$B$2:$B$379,'00_SKU_Master'!$F$2:$F$379,0)*Y206,"")</f>
        <v>0</v>
      </c>
      <c r="E206" s="182">
        <f>_xlfn.IFNA(_xlfn.XLOOKUP(X206,'00_SKU_Master'!$B$2:$B$379,'00_SKU_Master'!$F$2:$F$379,0)*Z206,"")</f>
        <v>0</v>
      </c>
      <c r="F206" s="182">
        <f>_xlfn.IFNA(_xlfn.XLOOKUP(X206,'00_SKU_Master'!$B$2:$B$379,'00_SKU_Master'!$F$2:$F$379,0)*AA206,"")</f>
        <v>723.03684176075853</v>
      </c>
      <c r="G206" s="182">
        <f>_xlfn.IFNA(_xlfn.XLOOKUP(X206,'00_SKU_Master'!$B$2:$B$379,'00_SKU_Master'!$F$2:$F$379,0)*AB206,"")</f>
        <v>723.03684176075853</v>
      </c>
      <c r="H206" s="182">
        <f>_xlfn.IFNA(_xlfn.XLOOKUP(X206,'00_SKU_Master'!$B$2:$B$379,'00_SKU_Master'!$F$2:$F$379,0)*AC206,"")</f>
        <v>643.38024054982748</v>
      </c>
      <c r="I206" s="182">
        <f>_xlfn.IFNA(_xlfn.XLOOKUP(X206,'00_SKU_Master'!$B$2:$B$379,'00_SKU_Master'!$F$2:$F$379,0)*AD206,"")</f>
        <v>686.27225658648263</v>
      </c>
      <c r="J206" s="182">
        <f>_xlfn.IFNA(_xlfn.XLOOKUP(X206,'00_SKU_Master'!$B$2:$B$379,'00_SKU_Master'!$F$2:$F$379,0)*AE206,"")</f>
        <v>324.75383570610342</v>
      </c>
      <c r="K206" s="183">
        <f t="shared" si="15"/>
        <v>3100.4800163639306</v>
      </c>
      <c r="L206" s="184" t="str">
        <f>_xlfn.XLOOKUP(X206,'00_SKU_Master'!$B$2:$B$379,'00_SKU_Master'!$K$2:$K$379)</f>
        <v>Slow</v>
      </c>
      <c r="M206" s="185">
        <f t="shared" si="16"/>
        <v>7855</v>
      </c>
      <c r="N206" s="186">
        <f>IFERROR(D206/_xlfn.XLOOKUP($M206,'00_SKU_Master'!$B$2:$B$379,'00_SKU_Master'!$M$2:$M$379,0),"0")</f>
        <v>0</v>
      </c>
      <c r="O206" s="186">
        <f>IFERROR(E206/_xlfn.XLOOKUP($M206,'00_SKU_Master'!$B$2:$B$379,'00_SKU_Master'!$M$2:$M$379,0),"0")</f>
        <v>0</v>
      </c>
      <c r="P206" s="186">
        <f>IFERROR(F206/_xlfn.XLOOKUP($M206,'00_SKU_Master'!$B$2:$B$379,'00_SKU_Master'!$M$2:$M$379,0),"0")</f>
        <v>30.126535073364938</v>
      </c>
      <c r="Q206" s="186">
        <f>IFERROR(G206/_xlfn.XLOOKUP($M206,'00_SKU_Master'!$B$2:$B$379,'00_SKU_Master'!$M$2:$M$379,0),"0")</f>
        <v>30.126535073364938</v>
      </c>
      <c r="R206" s="186">
        <f>IFERROR(H206/_xlfn.XLOOKUP($M206,'00_SKU_Master'!$B$2:$B$379,'00_SKU_Master'!$M$2:$M$379,0),"0")</f>
        <v>26.807510022909479</v>
      </c>
      <c r="S206" s="186">
        <f>IFERROR(I206/_xlfn.XLOOKUP($M206,'00_SKU_Master'!$B$2:$B$379,'00_SKU_Master'!$M$2:$M$379,0),"0")</f>
        <v>28.594677357770109</v>
      </c>
      <c r="T206" s="186">
        <f>IFERROR(J206/_xlfn.XLOOKUP($M206,'00_SKU_Master'!$B$2:$B$379,'00_SKU_Master'!$M$2:$M$379,0),"0")</f>
        <v>13.531409821087642</v>
      </c>
      <c r="U206" s="186">
        <f t="shared" si="17"/>
        <v>129.18666734849711</v>
      </c>
      <c r="V206" s="186" t="str">
        <f>_xlfn.XLOOKUP(M206,'00_SKU_Master'!$B$2:$B$379,'00_SKU_Master'!$D$2:$D$379)</f>
        <v>LCL</v>
      </c>
      <c r="W206" s="1"/>
      <c r="X206" s="2">
        <f>'05_Daily_Orders'!C207</f>
        <v>7855</v>
      </c>
      <c r="Y206" s="289"/>
      <c r="Z206" s="289">
        <v>0</v>
      </c>
      <c r="AA206" s="289">
        <v>118</v>
      </c>
      <c r="AB206" s="289">
        <v>118</v>
      </c>
      <c r="AC206" s="289">
        <v>105</v>
      </c>
      <c r="AD206" s="289">
        <v>112</v>
      </c>
      <c r="AE206" s="289">
        <v>53</v>
      </c>
      <c r="AF206" s="7">
        <f t="shared" si="18"/>
        <v>506</v>
      </c>
      <c r="AQ206" s="70">
        <v>0</v>
      </c>
      <c r="AR206" s="70">
        <v>0</v>
      </c>
      <c r="AS206" s="3">
        <f t="shared" si="19"/>
        <v>0</v>
      </c>
    </row>
    <row r="207" spans="1:45" x14ac:dyDescent="0.35">
      <c r="A207" s="181">
        <f>_xlfn.XLOOKUP(X207,'00_SKU_Master'!$B$2:$B$379,'00_SKU_Master'!$C$2:$C$379)</f>
        <v>61052</v>
      </c>
      <c r="B207" s="181" t="str">
        <f>_xlfn.XLOOKUP(X207,tblSKU[SKU],tblSKU[Product_Group])</f>
        <v>BSB</v>
      </c>
      <c r="C207" s="181" t="str">
        <f>_xlfn.XLOOKUP(X207,tblSKU[SKU],tblSKU[Tray_Type])</f>
        <v>PET 3</v>
      </c>
      <c r="D207" s="182">
        <f>_xlfn.IFNA(_xlfn.XLOOKUP(X207,'00_SKU_Master'!$B$2:$B$379,'00_SKU_Master'!$F$2:$F$379,0)*Y207,"")</f>
        <v>0</v>
      </c>
      <c r="E207" s="182">
        <f>_xlfn.IFNA(_xlfn.XLOOKUP(X207,'00_SKU_Master'!$B$2:$B$379,'00_SKU_Master'!$F$2:$F$379,0)*Z207,"")</f>
        <v>0</v>
      </c>
      <c r="F207" s="182">
        <f>_xlfn.IFNA(_xlfn.XLOOKUP(X207,'00_SKU_Master'!$B$2:$B$379,'00_SKU_Master'!$F$2:$F$379,0)*AA207,"")</f>
        <v>0</v>
      </c>
      <c r="G207" s="182">
        <f>_xlfn.IFNA(_xlfn.XLOOKUP(X207,'00_SKU_Master'!$B$2:$B$379,'00_SKU_Master'!$F$2:$F$379,0)*AB207,"")</f>
        <v>0</v>
      </c>
      <c r="H207" s="182">
        <f>_xlfn.IFNA(_xlfn.XLOOKUP(X207,'00_SKU_Master'!$B$2:$B$379,'00_SKU_Master'!$F$2:$F$379,0)*AC207,"")</f>
        <v>0</v>
      </c>
      <c r="I207" s="182">
        <f>_xlfn.IFNA(_xlfn.XLOOKUP(X207,'00_SKU_Master'!$B$2:$B$379,'00_SKU_Master'!$F$2:$F$379,0)*AD207,"")</f>
        <v>0</v>
      </c>
      <c r="J207" s="182">
        <f>_xlfn.IFNA(_xlfn.XLOOKUP(X207,'00_SKU_Master'!$B$2:$B$379,'00_SKU_Master'!$F$2:$F$379,0)*AE207,"")</f>
        <v>0</v>
      </c>
      <c r="K207" s="183">
        <f t="shared" si="15"/>
        <v>0</v>
      </c>
      <c r="L207" s="184" t="str">
        <f>_xlfn.XLOOKUP(X207,'00_SKU_Master'!$B$2:$B$379,'00_SKU_Master'!$K$2:$K$379)</f>
        <v>Fast</v>
      </c>
      <c r="M207" s="185">
        <f t="shared" si="16"/>
        <v>7858</v>
      </c>
      <c r="N207" s="186">
        <f>IFERROR(D207/_xlfn.XLOOKUP($M207,'00_SKU_Master'!$B$2:$B$379,'00_SKU_Master'!$M$2:$M$379,0),"0")</f>
        <v>0</v>
      </c>
      <c r="O207" s="186">
        <f>IFERROR(E207/_xlfn.XLOOKUP($M207,'00_SKU_Master'!$B$2:$B$379,'00_SKU_Master'!$M$2:$M$379,0),"0")</f>
        <v>0</v>
      </c>
      <c r="P207" s="186">
        <f>IFERROR(F207/_xlfn.XLOOKUP($M207,'00_SKU_Master'!$B$2:$B$379,'00_SKU_Master'!$M$2:$M$379,0),"0")</f>
        <v>0</v>
      </c>
      <c r="Q207" s="186">
        <f>IFERROR(G207/_xlfn.XLOOKUP($M207,'00_SKU_Master'!$B$2:$B$379,'00_SKU_Master'!$M$2:$M$379,0),"0")</f>
        <v>0</v>
      </c>
      <c r="R207" s="186">
        <f>IFERROR(H207/_xlfn.XLOOKUP($M207,'00_SKU_Master'!$B$2:$B$379,'00_SKU_Master'!$M$2:$M$379,0),"0")</f>
        <v>0</v>
      </c>
      <c r="S207" s="186">
        <f>IFERROR(I207/_xlfn.XLOOKUP($M207,'00_SKU_Master'!$B$2:$B$379,'00_SKU_Master'!$M$2:$M$379,0),"0")</f>
        <v>0</v>
      </c>
      <c r="T207" s="186">
        <f>IFERROR(J207/_xlfn.XLOOKUP($M207,'00_SKU_Master'!$B$2:$B$379,'00_SKU_Master'!$M$2:$M$379,0),"0")</f>
        <v>0</v>
      </c>
      <c r="U207" s="186">
        <f t="shared" si="17"/>
        <v>0</v>
      </c>
      <c r="V207" s="186" t="str">
        <f>_xlfn.XLOOKUP(M207,'00_SKU_Master'!$B$2:$B$379,'00_SKU_Master'!$D$2:$D$379)</f>
        <v>LCL</v>
      </c>
      <c r="W207" s="1"/>
      <c r="X207" s="2">
        <f>'05_Daily_Orders'!C208</f>
        <v>7858</v>
      </c>
      <c r="Y207" s="289"/>
      <c r="Z207" s="289">
        <v>0</v>
      </c>
      <c r="AA207" s="289">
        <v>0</v>
      </c>
      <c r="AB207" s="289">
        <v>0</v>
      </c>
      <c r="AC207" s="289">
        <v>0</v>
      </c>
      <c r="AD207" s="289">
        <v>0</v>
      </c>
      <c r="AE207" s="289">
        <v>0</v>
      </c>
      <c r="AF207" s="7">
        <f t="shared" si="18"/>
        <v>0</v>
      </c>
      <c r="AQ207" s="70">
        <v>0</v>
      </c>
      <c r="AR207" s="70">
        <v>0</v>
      </c>
      <c r="AS207" s="3">
        <f t="shared" si="19"/>
        <v>0</v>
      </c>
    </row>
    <row r="208" spans="1:45" x14ac:dyDescent="0.35">
      <c r="A208" s="181">
        <f>_xlfn.XLOOKUP(X208,'00_SKU_Master'!$B$2:$B$379,'00_SKU_Master'!$C$2:$C$379)</f>
        <v>61054</v>
      </c>
      <c r="B208" s="181" t="str">
        <f>_xlfn.XLOOKUP(X208,tblSKU[SKU],tblSKU[Product_Group])</f>
        <v>Fillet</v>
      </c>
      <c r="C208" s="181" t="str">
        <f>_xlfn.XLOOKUP(X208,tblSKU[SKU],tblSKU[Tray_Type])</f>
        <v>PET 3</v>
      </c>
      <c r="D208" s="182">
        <f>_xlfn.IFNA(_xlfn.XLOOKUP(X208,'00_SKU_Master'!$B$2:$B$379,'00_SKU_Master'!$F$2:$F$379,0)*Y208,"")</f>
        <v>0</v>
      </c>
      <c r="E208" s="182">
        <f>_xlfn.IFNA(_xlfn.XLOOKUP(X208,'00_SKU_Master'!$B$2:$B$379,'00_SKU_Master'!$F$2:$F$379,0)*Z208,"")</f>
        <v>45.017009900990047</v>
      </c>
      <c r="F208" s="182">
        <f>_xlfn.IFNA(_xlfn.XLOOKUP(X208,'00_SKU_Master'!$B$2:$B$379,'00_SKU_Master'!$F$2:$F$379,0)*AA208,"")</f>
        <v>45.017009900990047</v>
      </c>
      <c r="G208" s="182">
        <f>_xlfn.IFNA(_xlfn.XLOOKUP(X208,'00_SKU_Master'!$B$2:$B$379,'00_SKU_Master'!$F$2:$F$379,0)*AB208,"")</f>
        <v>49.109465346534598</v>
      </c>
      <c r="H208" s="182">
        <f>_xlfn.IFNA(_xlfn.XLOOKUP(X208,'00_SKU_Master'!$B$2:$B$379,'00_SKU_Master'!$F$2:$F$379,0)*AC208,"")</f>
        <v>49.109465346534598</v>
      </c>
      <c r="I208" s="182">
        <f>_xlfn.IFNA(_xlfn.XLOOKUP(X208,'00_SKU_Master'!$B$2:$B$379,'00_SKU_Master'!$F$2:$F$379,0)*AD208,"")</f>
        <v>45.017009900990047</v>
      </c>
      <c r="J208" s="182">
        <f>_xlfn.IFNA(_xlfn.XLOOKUP(X208,'00_SKU_Master'!$B$2:$B$379,'00_SKU_Master'!$F$2:$F$379,0)*AE208,"")</f>
        <v>32.739643564356399</v>
      </c>
      <c r="K208" s="183">
        <f t="shared" si="15"/>
        <v>266.00960396039574</v>
      </c>
      <c r="L208" s="184" t="str">
        <f>_xlfn.XLOOKUP(X208,'00_SKU_Master'!$B$2:$B$379,'00_SKU_Master'!$K$2:$K$379)</f>
        <v>Slow</v>
      </c>
      <c r="M208" s="185">
        <f t="shared" si="16"/>
        <v>7859</v>
      </c>
      <c r="N208" s="186">
        <f>IFERROR(D208/_xlfn.XLOOKUP($M208,'00_SKU_Master'!$B$2:$B$379,'00_SKU_Master'!$M$2:$M$379,0),"0")</f>
        <v>0</v>
      </c>
      <c r="O208" s="186">
        <f>IFERROR(E208/_xlfn.XLOOKUP($M208,'00_SKU_Master'!$B$2:$B$379,'00_SKU_Master'!$M$2:$M$379,0),"0")</f>
        <v>3.0812463997939799</v>
      </c>
      <c r="P208" s="186">
        <f>IFERROR(F208/_xlfn.XLOOKUP($M208,'00_SKU_Master'!$B$2:$B$379,'00_SKU_Master'!$M$2:$M$379,0),"0")</f>
        <v>3.0812463997939799</v>
      </c>
      <c r="Q208" s="186">
        <f>IFERROR(G208/_xlfn.XLOOKUP($M208,'00_SKU_Master'!$B$2:$B$379,'00_SKU_Master'!$M$2:$M$379,0),"0")</f>
        <v>3.3613597088661602</v>
      </c>
      <c r="R208" s="186">
        <f>IFERROR(H208/_xlfn.XLOOKUP($M208,'00_SKU_Master'!$B$2:$B$379,'00_SKU_Master'!$M$2:$M$379,0),"0")</f>
        <v>3.3613597088661602</v>
      </c>
      <c r="S208" s="186">
        <f>IFERROR(I208/_xlfn.XLOOKUP($M208,'00_SKU_Master'!$B$2:$B$379,'00_SKU_Master'!$M$2:$M$379,0),"0")</f>
        <v>3.0812463997939799</v>
      </c>
      <c r="T208" s="186">
        <f>IFERROR(J208/_xlfn.XLOOKUP($M208,'00_SKU_Master'!$B$2:$B$379,'00_SKU_Master'!$M$2:$M$379,0),"0")</f>
        <v>2.2409064725774401</v>
      </c>
      <c r="U208" s="186">
        <f t="shared" si="17"/>
        <v>18.207365089691699</v>
      </c>
      <c r="V208" s="186" t="str">
        <f>_xlfn.XLOOKUP(M208,'00_SKU_Master'!$B$2:$B$379,'00_SKU_Master'!$D$2:$D$379)</f>
        <v>LCL</v>
      </c>
      <c r="W208" s="1"/>
      <c r="X208" s="2">
        <f>'05_Daily_Orders'!C209</f>
        <v>7859</v>
      </c>
      <c r="Y208" s="289"/>
      <c r="Z208" s="289">
        <v>11</v>
      </c>
      <c r="AA208" s="289">
        <v>11</v>
      </c>
      <c r="AB208" s="289">
        <v>12</v>
      </c>
      <c r="AC208" s="289">
        <v>12</v>
      </c>
      <c r="AD208" s="289">
        <v>11</v>
      </c>
      <c r="AE208" s="289">
        <v>8</v>
      </c>
      <c r="AF208" s="7">
        <f t="shared" si="18"/>
        <v>65</v>
      </c>
      <c r="AQ208" s="70">
        <v>0</v>
      </c>
      <c r="AR208" s="70">
        <v>11</v>
      </c>
      <c r="AS208" s="3">
        <f t="shared" si="19"/>
        <v>11</v>
      </c>
    </row>
    <row r="209" spans="1:45" x14ac:dyDescent="0.35">
      <c r="A209" s="181">
        <f>_xlfn.XLOOKUP(X209,'00_SKU_Master'!$B$2:$B$379,'00_SKU_Master'!$C$2:$C$379)</f>
        <v>61086</v>
      </c>
      <c r="B209" s="181" t="str">
        <f>_xlfn.XLOOKUP(X209,tblSKU[SKU],tblSKU[Product_Group])</f>
        <v>ThighMeat</v>
      </c>
      <c r="C209" s="181" t="str">
        <f>_xlfn.XLOOKUP(X209,tblSKU[SKU],tblSKU[Tray_Type])</f>
        <v>PET 6</v>
      </c>
      <c r="D209" s="182">
        <f>_xlfn.IFNA(_xlfn.XLOOKUP(X209,'00_SKU_Master'!$B$2:$B$379,'00_SKU_Master'!$F$2:$F$379,0)*Y209,"")</f>
        <v>0</v>
      </c>
      <c r="E209" s="182">
        <f>_xlfn.IFNA(_xlfn.XLOOKUP(X209,'00_SKU_Master'!$B$2:$B$379,'00_SKU_Master'!$F$2:$F$379,0)*Z209,"")</f>
        <v>889.70666513339381</v>
      </c>
      <c r="F209" s="182">
        <f>_xlfn.IFNA(_xlfn.XLOOKUP(X209,'00_SKU_Master'!$B$2:$B$379,'00_SKU_Master'!$F$2:$F$379,0)*AA209,"")</f>
        <v>1467.4382658693639</v>
      </c>
      <c r="G209" s="182">
        <f>_xlfn.IFNA(_xlfn.XLOOKUP(X209,'00_SKU_Master'!$B$2:$B$379,'00_SKU_Master'!$F$2:$F$379,0)*AB209,"")</f>
        <v>1513.6567939282415</v>
      </c>
      <c r="H209" s="182">
        <f>_xlfn.IFNA(_xlfn.XLOOKUP(X209,'00_SKU_Master'!$B$2:$B$379,'00_SKU_Master'!$F$2:$F$379,0)*AC209,"")</f>
        <v>1375.0012097516087</v>
      </c>
      <c r="I209" s="182">
        <f>_xlfn.IFNA(_xlfn.XLOOKUP(X209,'00_SKU_Master'!$B$2:$B$379,'00_SKU_Master'!$F$2:$F$379,0)*AD209,"")</f>
        <v>1490.5475298988026</v>
      </c>
      <c r="J209" s="182">
        <f>_xlfn.IFNA(_xlfn.XLOOKUP(X209,'00_SKU_Master'!$B$2:$B$379,'00_SKU_Master'!$F$2:$F$379,0)*AE209,"")</f>
        <v>693.27792088316403</v>
      </c>
      <c r="K209" s="183">
        <f t="shared" si="15"/>
        <v>7429.6283854645744</v>
      </c>
      <c r="L209" s="184" t="str">
        <f>_xlfn.XLOOKUP(X209,'00_SKU_Master'!$B$2:$B$379,'00_SKU_Master'!$K$2:$K$379)</f>
        <v>Slow</v>
      </c>
      <c r="M209" s="185">
        <f t="shared" si="16"/>
        <v>7860</v>
      </c>
      <c r="N209" s="186">
        <f>IFERROR(D209/_xlfn.XLOOKUP($M209,'00_SKU_Master'!$B$2:$B$379,'00_SKU_Master'!$M$2:$M$379,0),"0")</f>
        <v>0</v>
      </c>
      <c r="O209" s="186">
        <f>IFERROR(E209/_xlfn.XLOOKUP($M209,'00_SKU_Master'!$B$2:$B$379,'00_SKU_Master'!$M$2:$M$379,0),"0")</f>
        <v>35.069241826306417</v>
      </c>
      <c r="P209" s="186">
        <f>IFERROR(F209/_xlfn.XLOOKUP($M209,'00_SKU_Master'!$B$2:$B$379,'00_SKU_Master'!$M$2:$M$379,0),"0")</f>
        <v>57.84147677845344</v>
      </c>
      <c r="Q209" s="186">
        <f>IFERROR(G209/_xlfn.XLOOKUP($M209,'00_SKU_Master'!$B$2:$B$379,'00_SKU_Master'!$M$2:$M$379,0),"0")</f>
        <v>59.663255574625204</v>
      </c>
      <c r="R209" s="186">
        <f>IFERROR(H209/_xlfn.XLOOKUP($M209,'00_SKU_Master'!$B$2:$B$379,'00_SKU_Master'!$M$2:$M$379,0),"0")</f>
        <v>54.197919186109921</v>
      </c>
      <c r="S209" s="186">
        <f>IFERROR(I209/_xlfn.XLOOKUP($M209,'00_SKU_Master'!$B$2:$B$379,'00_SKU_Master'!$M$2:$M$379,0),"0")</f>
        <v>58.752366176539319</v>
      </c>
      <c r="T209" s="186">
        <f>IFERROR(J209/_xlfn.XLOOKUP($M209,'00_SKU_Master'!$B$2:$B$379,'00_SKU_Master'!$M$2:$M$379,0),"0")</f>
        <v>27.326681942576428</v>
      </c>
      <c r="U209" s="186">
        <f t="shared" si="17"/>
        <v>292.85094148461076</v>
      </c>
      <c r="V209" s="186" t="str">
        <f>_xlfn.XLOOKUP(M209,'00_SKU_Master'!$B$2:$B$379,'00_SKU_Master'!$D$2:$D$379)</f>
        <v>LCL</v>
      </c>
      <c r="W209" s="1"/>
      <c r="X209" s="2">
        <f>'05_Daily_Orders'!C210</f>
        <v>7860</v>
      </c>
      <c r="Y209" s="289"/>
      <c r="Z209" s="289">
        <v>154</v>
      </c>
      <c r="AA209" s="289">
        <v>254</v>
      </c>
      <c r="AB209" s="289">
        <v>262</v>
      </c>
      <c r="AC209" s="289">
        <v>238</v>
      </c>
      <c r="AD209" s="289">
        <v>258</v>
      </c>
      <c r="AE209" s="289">
        <v>120</v>
      </c>
      <c r="AF209" s="7">
        <f t="shared" si="18"/>
        <v>1286</v>
      </c>
      <c r="AQ209" s="70">
        <v>0</v>
      </c>
      <c r="AR209" s="70">
        <v>154</v>
      </c>
      <c r="AS209" s="3">
        <f t="shared" si="19"/>
        <v>154</v>
      </c>
    </row>
    <row r="210" spans="1:45" x14ac:dyDescent="0.35">
      <c r="A210" s="181" t="str">
        <f>_xlfn.XLOOKUP(X210,'00_SKU_Master'!$B$2:$B$379,'00_SKU_Master'!$C$2:$C$379)</f>
        <v>61072#2</v>
      </c>
      <c r="B210" s="181" t="str">
        <f>_xlfn.XLOOKUP(X210,tblSKU[SKU],tblSKU[Product_Group])</f>
        <v>Drum</v>
      </c>
      <c r="C210" s="181" t="str">
        <f>_xlfn.XLOOKUP(X210,tblSKU[SKU],tblSKU[Tray_Type])</f>
        <v>PET 8</v>
      </c>
      <c r="D210" s="182">
        <f>_xlfn.IFNA(_xlfn.XLOOKUP(X210,'00_SKU_Master'!$B$2:$B$379,'00_SKU_Master'!$F$2:$F$379,0)*Y210,"")</f>
        <v>0</v>
      </c>
      <c r="E210" s="182">
        <f>_xlfn.IFNA(_xlfn.XLOOKUP(X210,'00_SKU_Master'!$B$2:$B$379,'00_SKU_Master'!$F$2:$F$379,0)*Z210,"")</f>
        <v>0</v>
      </c>
      <c r="F210" s="182">
        <f>_xlfn.IFNA(_xlfn.XLOOKUP(X210,'00_SKU_Master'!$B$2:$B$379,'00_SKU_Master'!$F$2:$F$379,0)*AA210,"")</f>
        <v>0</v>
      </c>
      <c r="G210" s="182">
        <f>_xlfn.IFNA(_xlfn.XLOOKUP(X210,'00_SKU_Master'!$B$2:$B$379,'00_SKU_Master'!$F$2:$F$379,0)*AB210,"")</f>
        <v>0</v>
      </c>
      <c r="H210" s="182">
        <f>_xlfn.IFNA(_xlfn.XLOOKUP(X210,'00_SKU_Master'!$B$2:$B$379,'00_SKU_Master'!$F$2:$F$379,0)*AC210,"")</f>
        <v>0</v>
      </c>
      <c r="I210" s="182">
        <f>_xlfn.IFNA(_xlfn.XLOOKUP(X210,'00_SKU_Master'!$B$2:$B$379,'00_SKU_Master'!$F$2:$F$379,0)*AD210,"")</f>
        <v>0</v>
      </c>
      <c r="J210" s="182">
        <f>_xlfn.IFNA(_xlfn.XLOOKUP(X210,'00_SKU_Master'!$B$2:$B$379,'00_SKU_Master'!$F$2:$F$379,0)*AE210,"")</f>
        <v>0</v>
      </c>
      <c r="K210" s="183">
        <f t="shared" si="15"/>
        <v>0</v>
      </c>
      <c r="L210" s="184" t="str">
        <f>_xlfn.XLOOKUP(X210,'00_SKU_Master'!$B$2:$B$379,'00_SKU_Master'!$K$2:$K$379)</f>
        <v>Fast</v>
      </c>
      <c r="M210" s="185">
        <f t="shared" si="16"/>
        <v>7862</v>
      </c>
      <c r="N210" s="186">
        <f>IFERROR(D210/_xlfn.XLOOKUP($M210,'00_SKU_Master'!$B$2:$B$379,'00_SKU_Master'!$M$2:$M$379,0),"0")</f>
        <v>0</v>
      </c>
      <c r="O210" s="186">
        <f>IFERROR(E210/_xlfn.XLOOKUP($M210,'00_SKU_Master'!$B$2:$B$379,'00_SKU_Master'!$M$2:$M$379,0),"0")</f>
        <v>0</v>
      </c>
      <c r="P210" s="186">
        <f>IFERROR(F210/_xlfn.XLOOKUP($M210,'00_SKU_Master'!$B$2:$B$379,'00_SKU_Master'!$M$2:$M$379,0),"0")</f>
        <v>0</v>
      </c>
      <c r="Q210" s="186">
        <f>IFERROR(G210/_xlfn.XLOOKUP($M210,'00_SKU_Master'!$B$2:$B$379,'00_SKU_Master'!$M$2:$M$379,0),"0")</f>
        <v>0</v>
      </c>
      <c r="R210" s="186">
        <f>IFERROR(H210/_xlfn.XLOOKUP($M210,'00_SKU_Master'!$B$2:$B$379,'00_SKU_Master'!$M$2:$M$379,0),"0")</f>
        <v>0</v>
      </c>
      <c r="S210" s="186">
        <f>IFERROR(I210/_xlfn.XLOOKUP($M210,'00_SKU_Master'!$B$2:$B$379,'00_SKU_Master'!$M$2:$M$379,0),"0")</f>
        <v>0</v>
      </c>
      <c r="T210" s="186">
        <f>IFERROR(J210/_xlfn.XLOOKUP($M210,'00_SKU_Master'!$B$2:$B$379,'00_SKU_Master'!$M$2:$M$379,0),"0")</f>
        <v>0</v>
      </c>
      <c r="U210" s="186">
        <f t="shared" si="17"/>
        <v>0</v>
      </c>
      <c r="V210" s="186" t="str">
        <f>_xlfn.XLOOKUP(M210,'00_SKU_Master'!$B$2:$B$379,'00_SKU_Master'!$D$2:$D$379)</f>
        <v>LCL</v>
      </c>
      <c r="W210" s="1"/>
      <c r="X210" s="2">
        <f>'05_Daily_Orders'!C211</f>
        <v>7862</v>
      </c>
      <c r="Y210" s="289"/>
      <c r="Z210" s="289">
        <v>0</v>
      </c>
      <c r="AA210" s="289">
        <v>0</v>
      </c>
      <c r="AB210" s="289">
        <v>0</v>
      </c>
      <c r="AC210" s="289">
        <v>0</v>
      </c>
      <c r="AD210" s="289">
        <v>0</v>
      </c>
      <c r="AE210" s="289">
        <v>0</v>
      </c>
      <c r="AF210" s="7">
        <f t="shared" si="18"/>
        <v>0</v>
      </c>
      <c r="AQ210" s="70">
        <v>0</v>
      </c>
      <c r="AR210" s="70">
        <v>0</v>
      </c>
      <c r="AS210" s="3">
        <f t="shared" si="19"/>
        <v>0</v>
      </c>
    </row>
    <row r="211" spans="1:45" x14ac:dyDescent="0.35">
      <c r="A211" s="181" t="str">
        <f>_xlfn.XLOOKUP(X211,'00_SKU_Master'!$B$2:$B$379,'00_SKU_Master'!$C$2:$C$379)</f>
        <v>61050#2</v>
      </c>
      <c r="B211" s="181" t="str">
        <f>_xlfn.XLOOKUP(X211,tblSKU[SKU],tblSKU[Product_Group])</f>
        <v>BSB</v>
      </c>
      <c r="C211" s="181" t="str">
        <f>_xlfn.XLOOKUP(X211,tblSKU[SKU],tblSKU[Tray_Type])</f>
        <v>PET 8</v>
      </c>
      <c r="D211" s="182">
        <f>_xlfn.IFNA(_xlfn.XLOOKUP(X211,'00_SKU_Master'!$B$2:$B$379,'00_SKU_Master'!$F$2:$F$379,0)*Y211,"")</f>
        <v>0</v>
      </c>
      <c r="E211" s="182">
        <f>_xlfn.IFNA(_xlfn.XLOOKUP(X211,'00_SKU_Master'!$B$2:$B$379,'00_SKU_Master'!$F$2:$F$379,0)*Z211,"")</f>
        <v>0</v>
      </c>
      <c r="F211" s="182">
        <f>_xlfn.IFNA(_xlfn.XLOOKUP(X211,'00_SKU_Master'!$B$2:$B$379,'00_SKU_Master'!$F$2:$F$379,0)*AA211,"")</f>
        <v>0</v>
      </c>
      <c r="G211" s="182">
        <f>_xlfn.IFNA(_xlfn.XLOOKUP(X211,'00_SKU_Master'!$B$2:$B$379,'00_SKU_Master'!$F$2:$F$379,0)*AB211,"")</f>
        <v>0</v>
      </c>
      <c r="H211" s="182">
        <f>_xlfn.IFNA(_xlfn.XLOOKUP(X211,'00_SKU_Master'!$B$2:$B$379,'00_SKU_Master'!$F$2:$F$379,0)*AC211,"")</f>
        <v>0</v>
      </c>
      <c r="I211" s="182">
        <f>_xlfn.IFNA(_xlfn.XLOOKUP(X211,'00_SKU_Master'!$B$2:$B$379,'00_SKU_Master'!$F$2:$F$379,0)*AD211,"")</f>
        <v>0</v>
      </c>
      <c r="J211" s="182">
        <f>_xlfn.IFNA(_xlfn.XLOOKUP(X211,'00_SKU_Master'!$B$2:$B$379,'00_SKU_Master'!$F$2:$F$379,0)*AE211,"")</f>
        <v>0</v>
      </c>
      <c r="K211" s="183">
        <f t="shared" si="15"/>
        <v>0</v>
      </c>
      <c r="L211" s="184" t="str">
        <f>_xlfn.XLOOKUP(X211,'00_SKU_Master'!$B$2:$B$379,'00_SKU_Master'!$K$2:$K$379)</f>
        <v>Fast</v>
      </c>
      <c r="M211" s="185">
        <f t="shared" si="16"/>
        <v>7863</v>
      </c>
      <c r="N211" s="186">
        <f>IFERROR(D211/_xlfn.XLOOKUP($M211,'00_SKU_Master'!$B$2:$B$379,'00_SKU_Master'!$M$2:$M$379,0),"0")</f>
        <v>0</v>
      </c>
      <c r="O211" s="186">
        <f>IFERROR(E211/_xlfn.XLOOKUP($M211,'00_SKU_Master'!$B$2:$B$379,'00_SKU_Master'!$M$2:$M$379,0),"0")</f>
        <v>0</v>
      </c>
      <c r="P211" s="186">
        <f>IFERROR(F211/_xlfn.XLOOKUP($M211,'00_SKU_Master'!$B$2:$B$379,'00_SKU_Master'!$M$2:$M$379,0),"0")</f>
        <v>0</v>
      </c>
      <c r="Q211" s="186">
        <f>IFERROR(G211/_xlfn.XLOOKUP($M211,'00_SKU_Master'!$B$2:$B$379,'00_SKU_Master'!$M$2:$M$379,0),"0")</f>
        <v>0</v>
      </c>
      <c r="R211" s="186">
        <f>IFERROR(H211/_xlfn.XLOOKUP($M211,'00_SKU_Master'!$B$2:$B$379,'00_SKU_Master'!$M$2:$M$379,0),"0")</f>
        <v>0</v>
      </c>
      <c r="S211" s="186">
        <f>IFERROR(I211/_xlfn.XLOOKUP($M211,'00_SKU_Master'!$B$2:$B$379,'00_SKU_Master'!$M$2:$M$379,0),"0")</f>
        <v>0</v>
      </c>
      <c r="T211" s="186">
        <f>IFERROR(J211/_xlfn.XLOOKUP($M211,'00_SKU_Master'!$B$2:$B$379,'00_SKU_Master'!$M$2:$M$379,0),"0")</f>
        <v>0</v>
      </c>
      <c r="U211" s="186">
        <f t="shared" si="17"/>
        <v>0</v>
      </c>
      <c r="V211" s="186" t="str">
        <f>_xlfn.XLOOKUP(M211,'00_SKU_Master'!$B$2:$B$379,'00_SKU_Master'!$D$2:$D$379)</f>
        <v>LCL</v>
      </c>
      <c r="W211" s="1"/>
      <c r="X211" s="2">
        <f>'05_Daily_Orders'!C212</f>
        <v>7863</v>
      </c>
      <c r="Y211" s="289"/>
      <c r="Z211" s="289">
        <v>0</v>
      </c>
      <c r="AA211" s="289">
        <v>0</v>
      </c>
      <c r="AB211" s="289">
        <v>0</v>
      </c>
      <c r="AC211" s="289">
        <v>0</v>
      </c>
      <c r="AD211" s="289">
        <v>0</v>
      </c>
      <c r="AE211" s="289">
        <v>0</v>
      </c>
      <c r="AF211" s="7">
        <f t="shared" si="18"/>
        <v>0</v>
      </c>
      <c r="AQ211" s="70">
        <v>0</v>
      </c>
      <c r="AR211" s="70">
        <v>0</v>
      </c>
      <c r="AS211" s="3">
        <f t="shared" si="19"/>
        <v>0</v>
      </c>
    </row>
    <row r="212" spans="1:45" x14ac:dyDescent="0.35">
      <c r="A212" s="181">
        <f>_xlfn.XLOOKUP(X212,'00_SKU_Master'!$B$2:$B$379,'00_SKU_Master'!$C$2:$C$379)</f>
        <v>203891</v>
      </c>
      <c r="B212" s="181" t="str">
        <f>_xlfn.XLOOKUP(X212,tblSKU[SKU],tblSKU[Product_Group])</f>
        <v>Whole Bird-Large</v>
      </c>
      <c r="C212" s="181" t="str">
        <f>_xlfn.XLOOKUP(X212,tblSKU[SKU],tblSKU[Tray_Type])</f>
        <v>PET 9</v>
      </c>
      <c r="D212" s="182">
        <f>_xlfn.IFNA(_xlfn.XLOOKUP(X212,'00_SKU_Master'!$B$2:$B$379,'00_SKU_Master'!$F$2:$F$379,0)*Y212,"")</f>
        <v>0</v>
      </c>
      <c r="E212" s="182">
        <f>_xlfn.IFNA(_xlfn.XLOOKUP(X212,'00_SKU_Master'!$B$2:$B$379,'00_SKU_Master'!$F$2:$F$379,0)*Z212,"")</f>
        <v>0</v>
      </c>
      <c r="F212" s="182">
        <f>_xlfn.IFNA(_xlfn.XLOOKUP(X212,'00_SKU_Master'!$B$2:$B$379,'00_SKU_Master'!$F$2:$F$379,0)*AA212,"")</f>
        <v>0</v>
      </c>
      <c r="G212" s="182">
        <f>_xlfn.IFNA(_xlfn.XLOOKUP(X212,'00_SKU_Master'!$B$2:$B$379,'00_SKU_Master'!$F$2:$F$379,0)*AB212,"")</f>
        <v>0</v>
      </c>
      <c r="H212" s="182">
        <f>_xlfn.IFNA(_xlfn.XLOOKUP(X212,'00_SKU_Master'!$B$2:$B$379,'00_SKU_Master'!$F$2:$F$379,0)*AC212,"")</f>
        <v>0</v>
      </c>
      <c r="I212" s="182">
        <f>_xlfn.IFNA(_xlfn.XLOOKUP(X212,'00_SKU_Master'!$B$2:$B$379,'00_SKU_Master'!$F$2:$F$379,0)*AD212,"")</f>
        <v>0</v>
      </c>
      <c r="J212" s="182">
        <f>_xlfn.IFNA(_xlfn.XLOOKUP(X212,'00_SKU_Master'!$B$2:$B$379,'00_SKU_Master'!$F$2:$F$379,0)*AE212,"")</f>
        <v>0</v>
      </c>
      <c r="K212" s="183">
        <f t="shared" si="15"/>
        <v>0</v>
      </c>
      <c r="L212" s="184" t="str">
        <f>_xlfn.XLOOKUP(X212,'00_SKU_Master'!$B$2:$B$379,'00_SKU_Master'!$K$2:$K$379)</f>
        <v>Fast</v>
      </c>
      <c r="M212" s="185">
        <f t="shared" si="16"/>
        <v>7864</v>
      </c>
      <c r="N212" s="186">
        <f>IFERROR(D212/_xlfn.XLOOKUP($M212,'00_SKU_Master'!$B$2:$B$379,'00_SKU_Master'!$M$2:$M$379,0),"0")</f>
        <v>0</v>
      </c>
      <c r="O212" s="186">
        <f>IFERROR(E212/_xlfn.XLOOKUP($M212,'00_SKU_Master'!$B$2:$B$379,'00_SKU_Master'!$M$2:$M$379,0),"0")</f>
        <v>0</v>
      </c>
      <c r="P212" s="186">
        <f>IFERROR(F212/_xlfn.XLOOKUP($M212,'00_SKU_Master'!$B$2:$B$379,'00_SKU_Master'!$M$2:$M$379,0),"0")</f>
        <v>0</v>
      </c>
      <c r="Q212" s="186">
        <f>IFERROR(G212/_xlfn.XLOOKUP($M212,'00_SKU_Master'!$B$2:$B$379,'00_SKU_Master'!$M$2:$M$379,0),"0")</f>
        <v>0</v>
      </c>
      <c r="R212" s="186">
        <f>IFERROR(H212/_xlfn.XLOOKUP($M212,'00_SKU_Master'!$B$2:$B$379,'00_SKU_Master'!$M$2:$M$379,0),"0")</f>
        <v>0</v>
      </c>
      <c r="S212" s="186">
        <f>IFERROR(I212/_xlfn.XLOOKUP($M212,'00_SKU_Master'!$B$2:$B$379,'00_SKU_Master'!$M$2:$M$379,0),"0")</f>
        <v>0</v>
      </c>
      <c r="T212" s="186">
        <f>IFERROR(J212/_xlfn.XLOOKUP($M212,'00_SKU_Master'!$B$2:$B$379,'00_SKU_Master'!$M$2:$M$379,0),"0")</f>
        <v>0</v>
      </c>
      <c r="U212" s="186">
        <f t="shared" si="17"/>
        <v>0</v>
      </c>
      <c r="V212" s="186" t="str">
        <f>_xlfn.XLOOKUP(M212,'00_SKU_Master'!$B$2:$B$379,'00_SKU_Master'!$D$2:$D$379)</f>
        <v>LCL</v>
      </c>
      <c r="W212" s="1"/>
      <c r="X212" s="2">
        <f>'05_Daily_Orders'!C213</f>
        <v>7864</v>
      </c>
      <c r="Y212" s="289"/>
      <c r="Z212" s="289">
        <v>0</v>
      </c>
      <c r="AA212" s="289">
        <v>0</v>
      </c>
      <c r="AB212" s="289">
        <v>0</v>
      </c>
      <c r="AC212" s="289">
        <v>0</v>
      </c>
      <c r="AD212" s="289">
        <v>0</v>
      </c>
      <c r="AE212" s="289">
        <v>0</v>
      </c>
      <c r="AF212" s="7">
        <f t="shared" si="18"/>
        <v>0</v>
      </c>
      <c r="AQ212" s="70">
        <v>0</v>
      </c>
      <c r="AR212" s="70">
        <v>0</v>
      </c>
      <c r="AS212" s="3">
        <f t="shared" si="19"/>
        <v>0</v>
      </c>
    </row>
    <row r="213" spans="1:45" x14ac:dyDescent="0.35">
      <c r="A213" s="181">
        <f>_xlfn.XLOOKUP(X213,'00_SKU_Master'!$B$2:$B$379,'00_SKU_Master'!$C$2:$C$379)</f>
        <v>61082</v>
      </c>
      <c r="B213" s="181" t="str">
        <f>_xlfn.XLOOKUP(X213,tblSKU[SKU],tblSKU[Product_Group])</f>
        <v>Thigh</v>
      </c>
      <c r="C213" s="181" t="str">
        <f>_xlfn.XLOOKUP(X213,tblSKU[SKU],tblSKU[Tray_Type])</f>
        <v>PET 8</v>
      </c>
      <c r="D213" s="182">
        <f>_xlfn.IFNA(_xlfn.XLOOKUP(X213,'00_SKU_Master'!$B$2:$B$379,'00_SKU_Master'!$F$2:$F$379,0)*Y213,"")</f>
        <v>0</v>
      </c>
      <c r="E213" s="182">
        <f>_xlfn.IFNA(_xlfn.XLOOKUP(X213,'00_SKU_Master'!$B$2:$B$379,'00_SKU_Master'!$F$2:$F$379,0)*Z213,"")</f>
        <v>0</v>
      </c>
      <c r="F213" s="182">
        <f>_xlfn.IFNA(_xlfn.XLOOKUP(X213,'00_SKU_Master'!$B$2:$B$379,'00_SKU_Master'!$F$2:$F$379,0)*AA213,"")</f>
        <v>0</v>
      </c>
      <c r="G213" s="182">
        <f>_xlfn.IFNA(_xlfn.XLOOKUP(X213,'00_SKU_Master'!$B$2:$B$379,'00_SKU_Master'!$F$2:$F$379,0)*AB213,"")</f>
        <v>0</v>
      </c>
      <c r="H213" s="182">
        <f>_xlfn.IFNA(_xlfn.XLOOKUP(X213,'00_SKU_Master'!$B$2:$B$379,'00_SKU_Master'!$F$2:$F$379,0)*AC213,"")</f>
        <v>0</v>
      </c>
      <c r="I213" s="182">
        <f>_xlfn.IFNA(_xlfn.XLOOKUP(X213,'00_SKU_Master'!$B$2:$B$379,'00_SKU_Master'!$F$2:$F$379,0)*AD213,"")</f>
        <v>0</v>
      </c>
      <c r="J213" s="182">
        <f>_xlfn.IFNA(_xlfn.XLOOKUP(X213,'00_SKU_Master'!$B$2:$B$379,'00_SKU_Master'!$F$2:$F$379,0)*AE213,"")</f>
        <v>0</v>
      </c>
      <c r="K213" s="183">
        <f t="shared" si="15"/>
        <v>0</v>
      </c>
      <c r="L213" s="184" t="str">
        <f>_xlfn.XLOOKUP(X213,'00_SKU_Master'!$B$2:$B$379,'00_SKU_Master'!$K$2:$K$379)</f>
        <v>Fast</v>
      </c>
      <c r="M213" s="185">
        <f t="shared" si="16"/>
        <v>7865</v>
      </c>
      <c r="N213" s="186">
        <f>IFERROR(D213/_xlfn.XLOOKUP($M213,'00_SKU_Master'!$B$2:$B$379,'00_SKU_Master'!$M$2:$M$379,0),"0")</f>
        <v>0</v>
      </c>
      <c r="O213" s="186">
        <f>IFERROR(E213/_xlfn.XLOOKUP($M213,'00_SKU_Master'!$B$2:$B$379,'00_SKU_Master'!$M$2:$M$379,0),"0")</f>
        <v>0</v>
      </c>
      <c r="P213" s="186">
        <f>IFERROR(F213/_xlfn.XLOOKUP($M213,'00_SKU_Master'!$B$2:$B$379,'00_SKU_Master'!$M$2:$M$379,0),"0")</f>
        <v>0</v>
      </c>
      <c r="Q213" s="186">
        <f>IFERROR(G213/_xlfn.XLOOKUP($M213,'00_SKU_Master'!$B$2:$B$379,'00_SKU_Master'!$M$2:$M$379,0),"0")</f>
        <v>0</v>
      </c>
      <c r="R213" s="186">
        <f>IFERROR(H213/_xlfn.XLOOKUP($M213,'00_SKU_Master'!$B$2:$B$379,'00_SKU_Master'!$M$2:$M$379,0),"0")</f>
        <v>0</v>
      </c>
      <c r="S213" s="186">
        <f>IFERROR(I213/_xlfn.XLOOKUP($M213,'00_SKU_Master'!$B$2:$B$379,'00_SKU_Master'!$M$2:$M$379,0),"0")</f>
        <v>0</v>
      </c>
      <c r="T213" s="186">
        <f>IFERROR(J213/_xlfn.XLOOKUP($M213,'00_SKU_Master'!$B$2:$B$379,'00_SKU_Master'!$M$2:$M$379,0),"0")</f>
        <v>0</v>
      </c>
      <c r="U213" s="186">
        <f t="shared" si="17"/>
        <v>0</v>
      </c>
      <c r="V213" s="186" t="str">
        <f>_xlfn.XLOOKUP(M213,'00_SKU_Master'!$B$2:$B$379,'00_SKU_Master'!$D$2:$D$379)</f>
        <v>LCL</v>
      </c>
      <c r="W213" s="1"/>
      <c r="X213" s="2">
        <f>'05_Daily_Orders'!C214</f>
        <v>7865</v>
      </c>
      <c r="Y213" s="289"/>
      <c r="Z213" s="289">
        <v>0</v>
      </c>
      <c r="AA213" s="289">
        <v>0</v>
      </c>
      <c r="AB213" s="289">
        <v>0</v>
      </c>
      <c r="AC213" s="289">
        <v>0</v>
      </c>
      <c r="AD213" s="289">
        <v>0</v>
      </c>
      <c r="AE213" s="289">
        <v>0</v>
      </c>
      <c r="AF213" s="7">
        <f t="shared" si="18"/>
        <v>0</v>
      </c>
      <c r="AQ213" s="70">
        <v>0</v>
      </c>
      <c r="AR213" s="70">
        <v>0</v>
      </c>
      <c r="AS213" s="3">
        <f t="shared" si="19"/>
        <v>0</v>
      </c>
    </row>
    <row r="214" spans="1:45" x14ac:dyDescent="0.35">
      <c r="A214" s="181">
        <f>_xlfn.XLOOKUP(X214,'00_SKU_Master'!$B$2:$B$379,'00_SKU_Master'!$C$2:$C$379)</f>
        <v>61061</v>
      </c>
      <c r="B214" s="181" t="str">
        <f>_xlfn.XLOOKUP(X214,tblSKU[SKU],tblSKU[Product_Group])</f>
        <v>BA</v>
      </c>
      <c r="C214" s="181" t="str">
        <f>_xlfn.XLOOKUP(X214,tblSKU[SKU],tblSKU[Tray_Type])</f>
        <v>PET 8</v>
      </c>
      <c r="D214" s="182">
        <f>_xlfn.IFNA(_xlfn.XLOOKUP(X214,'00_SKU_Master'!$B$2:$B$379,'00_SKU_Master'!$F$2:$F$379,0)*Y214,"")</f>
        <v>0</v>
      </c>
      <c r="E214" s="182">
        <f>_xlfn.IFNA(_xlfn.XLOOKUP(X214,'00_SKU_Master'!$B$2:$B$379,'00_SKU_Master'!$F$2:$F$379,0)*Z214,"")</f>
        <v>0</v>
      </c>
      <c r="F214" s="182">
        <f>_xlfn.IFNA(_xlfn.XLOOKUP(X214,'00_SKU_Master'!$B$2:$B$379,'00_SKU_Master'!$F$2:$F$379,0)*AA214,"")</f>
        <v>0</v>
      </c>
      <c r="G214" s="182">
        <f>_xlfn.IFNA(_xlfn.XLOOKUP(X214,'00_SKU_Master'!$B$2:$B$379,'00_SKU_Master'!$F$2:$F$379,0)*AB214,"")</f>
        <v>0</v>
      </c>
      <c r="H214" s="182">
        <f>_xlfn.IFNA(_xlfn.XLOOKUP(X214,'00_SKU_Master'!$B$2:$B$379,'00_SKU_Master'!$F$2:$F$379,0)*AC214,"")</f>
        <v>0</v>
      </c>
      <c r="I214" s="182">
        <f>_xlfn.IFNA(_xlfn.XLOOKUP(X214,'00_SKU_Master'!$B$2:$B$379,'00_SKU_Master'!$F$2:$F$379,0)*AD214,"")</f>
        <v>0</v>
      </c>
      <c r="J214" s="182">
        <f>_xlfn.IFNA(_xlfn.XLOOKUP(X214,'00_SKU_Master'!$B$2:$B$379,'00_SKU_Master'!$F$2:$F$379,0)*AE214,"")</f>
        <v>0</v>
      </c>
      <c r="K214" s="183">
        <f t="shared" si="15"/>
        <v>0</v>
      </c>
      <c r="L214" s="184" t="str">
        <f>_xlfn.XLOOKUP(X214,'00_SKU_Master'!$B$2:$B$379,'00_SKU_Master'!$K$2:$K$379)</f>
        <v>Fast</v>
      </c>
      <c r="M214" s="185">
        <f t="shared" si="16"/>
        <v>7866</v>
      </c>
      <c r="N214" s="186">
        <f>IFERROR(D214/_xlfn.XLOOKUP($M214,'00_SKU_Master'!$B$2:$B$379,'00_SKU_Master'!$M$2:$M$379,0),"0")</f>
        <v>0</v>
      </c>
      <c r="O214" s="186">
        <f>IFERROR(E214/_xlfn.XLOOKUP($M214,'00_SKU_Master'!$B$2:$B$379,'00_SKU_Master'!$M$2:$M$379,0),"0")</f>
        <v>0</v>
      </c>
      <c r="P214" s="186">
        <f>IFERROR(F214/_xlfn.XLOOKUP($M214,'00_SKU_Master'!$B$2:$B$379,'00_SKU_Master'!$M$2:$M$379,0),"0")</f>
        <v>0</v>
      </c>
      <c r="Q214" s="186">
        <f>IFERROR(G214/_xlfn.XLOOKUP($M214,'00_SKU_Master'!$B$2:$B$379,'00_SKU_Master'!$M$2:$M$379,0),"0")</f>
        <v>0</v>
      </c>
      <c r="R214" s="186">
        <f>IFERROR(H214/_xlfn.XLOOKUP($M214,'00_SKU_Master'!$B$2:$B$379,'00_SKU_Master'!$M$2:$M$379,0),"0")</f>
        <v>0</v>
      </c>
      <c r="S214" s="186">
        <f>IFERROR(I214/_xlfn.XLOOKUP($M214,'00_SKU_Master'!$B$2:$B$379,'00_SKU_Master'!$M$2:$M$379,0),"0")</f>
        <v>0</v>
      </c>
      <c r="T214" s="186">
        <f>IFERROR(J214/_xlfn.XLOOKUP($M214,'00_SKU_Master'!$B$2:$B$379,'00_SKU_Master'!$M$2:$M$379,0),"0")</f>
        <v>0</v>
      </c>
      <c r="U214" s="186">
        <f t="shared" si="17"/>
        <v>0</v>
      </c>
      <c r="V214" s="186" t="str">
        <f>_xlfn.XLOOKUP(M214,'00_SKU_Master'!$B$2:$B$379,'00_SKU_Master'!$D$2:$D$379)</f>
        <v>LCL</v>
      </c>
      <c r="W214" s="1"/>
      <c r="X214" s="2">
        <f>'05_Daily_Orders'!C215</f>
        <v>7866</v>
      </c>
      <c r="Y214" s="289"/>
      <c r="Z214" s="289">
        <v>0</v>
      </c>
      <c r="AA214" s="289">
        <v>0</v>
      </c>
      <c r="AB214" s="289">
        <v>0</v>
      </c>
      <c r="AC214" s="289">
        <v>0</v>
      </c>
      <c r="AD214" s="289">
        <v>0</v>
      </c>
      <c r="AE214" s="289">
        <v>0</v>
      </c>
      <c r="AF214" s="7">
        <f t="shared" si="18"/>
        <v>0</v>
      </c>
      <c r="AQ214" s="70">
        <v>0</v>
      </c>
      <c r="AR214" s="70">
        <v>0</v>
      </c>
      <c r="AS214" s="3">
        <f t="shared" si="19"/>
        <v>0</v>
      </c>
    </row>
    <row r="215" spans="1:45" x14ac:dyDescent="0.35">
      <c r="A215" s="181" t="str">
        <f>_xlfn.XLOOKUP(X215,'00_SKU_Master'!$B$2:$B$379,'00_SKU_Master'!$C$2:$C$379)</f>
        <v>61086#2</v>
      </c>
      <c r="B215" s="181" t="str">
        <f>_xlfn.XLOOKUP(X215,tblSKU[SKU],tblSKU[Product_Group])</f>
        <v>ThighMeat</v>
      </c>
      <c r="C215" s="181" t="str">
        <f>_xlfn.XLOOKUP(X215,tblSKU[SKU],tblSKU[Tray_Type])</f>
        <v>PET 8</v>
      </c>
      <c r="D215" s="182">
        <f>_xlfn.IFNA(_xlfn.XLOOKUP(X215,'00_SKU_Master'!$B$2:$B$379,'00_SKU_Master'!$F$2:$F$379,0)*Y215,"")</f>
        <v>0</v>
      </c>
      <c r="E215" s="182">
        <f>_xlfn.IFNA(_xlfn.XLOOKUP(X215,'00_SKU_Master'!$B$2:$B$379,'00_SKU_Master'!$F$2:$F$379,0)*Z215,"")</f>
        <v>0</v>
      </c>
      <c r="F215" s="182">
        <f>_xlfn.IFNA(_xlfn.XLOOKUP(X215,'00_SKU_Master'!$B$2:$B$379,'00_SKU_Master'!$F$2:$F$379,0)*AA215,"")</f>
        <v>0</v>
      </c>
      <c r="G215" s="182">
        <f>_xlfn.IFNA(_xlfn.XLOOKUP(X215,'00_SKU_Master'!$B$2:$B$379,'00_SKU_Master'!$F$2:$F$379,0)*AB215,"")</f>
        <v>0</v>
      </c>
      <c r="H215" s="182">
        <f>_xlfn.IFNA(_xlfn.XLOOKUP(X215,'00_SKU_Master'!$B$2:$B$379,'00_SKU_Master'!$F$2:$F$379,0)*AC215,"")</f>
        <v>0</v>
      </c>
      <c r="I215" s="182">
        <f>_xlfn.IFNA(_xlfn.XLOOKUP(X215,'00_SKU_Master'!$B$2:$B$379,'00_SKU_Master'!$F$2:$F$379,0)*AD215,"")</f>
        <v>0</v>
      </c>
      <c r="J215" s="182">
        <f>_xlfn.IFNA(_xlfn.XLOOKUP(X215,'00_SKU_Master'!$B$2:$B$379,'00_SKU_Master'!$F$2:$F$379,0)*AE215,"")</f>
        <v>0</v>
      </c>
      <c r="K215" s="183">
        <f t="shared" si="15"/>
        <v>0</v>
      </c>
      <c r="L215" s="184" t="str">
        <f>_xlfn.XLOOKUP(X215,'00_SKU_Master'!$B$2:$B$379,'00_SKU_Master'!$K$2:$K$379)</f>
        <v>Slow</v>
      </c>
      <c r="M215" s="185">
        <f t="shared" si="16"/>
        <v>7867</v>
      </c>
      <c r="N215" s="186">
        <f>IFERROR(D215/_xlfn.XLOOKUP($M215,'00_SKU_Master'!$B$2:$B$379,'00_SKU_Master'!$M$2:$M$379,0),"0")</f>
        <v>0</v>
      </c>
      <c r="O215" s="186">
        <f>IFERROR(E215/_xlfn.XLOOKUP($M215,'00_SKU_Master'!$B$2:$B$379,'00_SKU_Master'!$M$2:$M$379,0),"0")</f>
        <v>0</v>
      </c>
      <c r="P215" s="186">
        <f>IFERROR(F215/_xlfn.XLOOKUP($M215,'00_SKU_Master'!$B$2:$B$379,'00_SKU_Master'!$M$2:$M$379,0),"0")</f>
        <v>0</v>
      </c>
      <c r="Q215" s="186">
        <f>IFERROR(G215/_xlfn.XLOOKUP($M215,'00_SKU_Master'!$B$2:$B$379,'00_SKU_Master'!$M$2:$M$379,0),"0")</f>
        <v>0</v>
      </c>
      <c r="R215" s="186">
        <f>IFERROR(H215/_xlfn.XLOOKUP($M215,'00_SKU_Master'!$B$2:$B$379,'00_SKU_Master'!$M$2:$M$379,0),"0")</f>
        <v>0</v>
      </c>
      <c r="S215" s="186">
        <f>IFERROR(I215/_xlfn.XLOOKUP($M215,'00_SKU_Master'!$B$2:$B$379,'00_SKU_Master'!$M$2:$M$379,0),"0")</f>
        <v>0</v>
      </c>
      <c r="T215" s="186">
        <f>IFERROR(J215/_xlfn.XLOOKUP($M215,'00_SKU_Master'!$B$2:$B$379,'00_SKU_Master'!$M$2:$M$379,0),"0")</f>
        <v>0</v>
      </c>
      <c r="U215" s="186">
        <f t="shared" si="17"/>
        <v>0</v>
      </c>
      <c r="V215" s="186" t="str">
        <f>_xlfn.XLOOKUP(M215,'00_SKU_Master'!$B$2:$B$379,'00_SKU_Master'!$D$2:$D$379)</f>
        <v>LCL</v>
      </c>
      <c r="W215" s="1"/>
      <c r="X215" s="2">
        <f>'05_Daily_Orders'!C216</f>
        <v>7867</v>
      </c>
      <c r="Y215" s="289"/>
      <c r="Z215" s="289">
        <v>0</v>
      </c>
      <c r="AA215" s="289">
        <v>0</v>
      </c>
      <c r="AB215" s="289">
        <v>0</v>
      </c>
      <c r="AC215" s="289">
        <v>0</v>
      </c>
      <c r="AD215" s="289">
        <v>0</v>
      </c>
      <c r="AE215" s="289">
        <v>0</v>
      </c>
      <c r="AF215" s="7">
        <f t="shared" si="18"/>
        <v>0</v>
      </c>
      <c r="AQ215" s="70">
        <v>0</v>
      </c>
      <c r="AR215" s="70">
        <v>0</v>
      </c>
      <c r="AS215" s="3">
        <f t="shared" si="19"/>
        <v>0</v>
      </c>
    </row>
    <row r="216" spans="1:45" x14ac:dyDescent="0.35">
      <c r="A216" s="181">
        <f>_xlfn.XLOOKUP(X216,'00_SKU_Master'!$B$2:$B$379,'00_SKU_Master'!$C$2:$C$379)</f>
        <v>61064</v>
      </c>
      <c r="B216" s="181" t="str">
        <f>_xlfn.XLOOKUP(X216,tblSKU[SKU],tblSKU[Product_Group])</f>
        <v>BSB</v>
      </c>
      <c r="C216" s="181" t="str">
        <f>_xlfn.XLOOKUP(X216,tblSKU[SKU],tblSKU[Tray_Type])</f>
        <v>PET 6</v>
      </c>
      <c r="D216" s="182">
        <f>_xlfn.IFNA(_xlfn.XLOOKUP(X216,'00_SKU_Master'!$B$2:$B$379,'00_SKU_Master'!$F$2:$F$379,0)*Y216,"")</f>
        <v>0</v>
      </c>
      <c r="E216" s="182">
        <f>_xlfn.IFNA(_xlfn.XLOOKUP(X216,'00_SKU_Master'!$B$2:$B$379,'00_SKU_Master'!$F$2:$F$379,0)*Z216,"")</f>
        <v>0</v>
      </c>
      <c r="F216" s="182">
        <f>_xlfn.IFNA(_xlfn.XLOOKUP(X216,'00_SKU_Master'!$B$2:$B$379,'00_SKU_Master'!$F$2:$F$379,0)*AA216,"")</f>
        <v>0</v>
      </c>
      <c r="G216" s="182">
        <f>_xlfn.IFNA(_xlfn.XLOOKUP(X216,'00_SKU_Master'!$B$2:$B$379,'00_SKU_Master'!$F$2:$F$379,0)*AB216,"")</f>
        <v>0</v>
      </c>
      <c r="H216" s="182">
        <f>_xlfn.IFNA(_xlfn.XLOOKUP(X216,'00_SKU_Master'!$B$2:$B$379,'00_SKU_Master'!$F$2:$F$379,0)*AC216,"")</f>
        <v>0</v>
      </c>
      <c r="I216" s="182">
        <f>_xlfn.IFNA(_xlfn.XLOOKUP(X216,'00_SKU_Master'!$B$2:$B$379,'00_SKU_Master'!$F$2:$F$379,0)*AD216,"")</f>
        <v>0</v>
      </c>
      <c r="J216" s="182">
        <f>_xlfn.IFNA(_xlfn.XLOOKUP(X216,'00_SKU_Master'!$B$2:$B$379,'00_SKU_Master'!$F$2:$F$379,0)*AE216,"")</f>
        <v>0</v>
      </c>
      <c r="K216" s="183">
        <f t="shared" si="15"/>
        <v>0</v>
      </c>
      <c r="L216" s="184" t="str">
        <f>_xlfn.XLOOKUP(X216,'00_SKU_Master'!$B$2:$B$379,'00_SKU_Master'!$K$2:$K$379)</f>
        <v>Fast</v>
      </c>
      <c r="M216" s="185">
        <f t="shared" si="16"/>
        <v>7868</v>
      </c>
      <c r="N216" s="186">
        <f>IFERROR(D216/_xlfn.XLOOKUP($M216,'00_SKU_Master'!$B$2:$B$379,'00_SKU_Master'!$M$2:$M$379,0),"0")</f>
        <v>0</v>
      </c>
      <c r="O216" s="186">
        <f>IFERROR(E216/_xlfn.XLOOKUP($M216,'00_SKU_Master'!$B$2:$B$379,'00_SKU_Master'!$M$2:$M$379,0),"0")</f>
        <v>0</v>
      </c>
      <c r="P216" s="186">
        <f>IFERROR(F216/_xlfn.XLOOKUP($M216,'00_SKU_Master'!$B$2:$B$379,'00_SKU_Master'!$M$2:$M$379,0),"0")</f>
        <v>0</v>
      </c>
      <c r="Q216" s="186">
        <f>IFERROR(G216/_xlfn.XLOOKUP($M216,'00_SKU_Master'!$B$2:$B$379,'00_SKU_Master'!$M$2:$M$379,0),"0")</f>
        <v>0</v>
      </c>
      <c r="R216" s="186">
        <f>IFERROR(H216/_xlfn.XLOOKUP($M216,'00_SKU_Master'!$B$2:$B$379,'00_SKU_Master'!$M$2:$M$379,0),"0")</f>
        <v>0</v>
      </c>
      <c r="S216" s="186">
        <f>IFERROR(I216/_xlfn.XLOOKUP($M216,'00_SKU_Master'!$B$2:$B$379,'00_SKU_Master'!$M$2:$M$379,0),"0")</f>
        <v>0</v>
      </c>
      <c r="T216" s="186">
        <f>IFERROR(J216/_xlfn.XLOOKUP($M216,'00_SKU_Master'!$B$2:$B$379,'00_SKU_Master'!$M$2:$M$379,0),"0")</f>
        <v>0</v>
      </c>
      <c r="U216" s="186">
        <f t="shared" si="17"/>
        <v>0</v>
      </c>
      <c r="V216" s="186" t="str">
        <f>_xlfn.XLOOKUP(M216,'00_SKU_Master'!$B$2:$B$379,'00_SKU_Master'!$D$2:$D$379)</f>
        <v>LCL</v>
      </c>
      <c r="W216" s="1"/>
      <c r="X216" s="2">
        <f>'05_Daily_Orders'!C217</f>
        <v>7868</v>
      </c>
      <c r="Y216" s="289"/>
      <c r="Z216" s="289">
        <v>0</v>
      </c>
      <c r="AA216" s="289">
        <v>0</v>
      </c>
      <c r="AB216" s="289">
        <v>0</v>
      </c>
      <c r="AC216" s="289">
        <v>0</v>
      </c>
      <c r="AD216" s="289">
        <v>0</v>
      </c>
      <c r="AE216" s="289">
        <v>0</v>
      </c>
      <c r="AF216" s="7">
        <f t="shared" si="18"/>
        <v>0</v>
      </c>
      <c r="AQ216" s="70">
        <v>0</v>
      </c>
      <c r="AR216" s="70">
        <v>0</v>
      </c>
      <c r="AS216" s="3">
        <f t="shared" si="19"/>
        <v>0</v>
      </c>
    </row>
    <row r="217" spans="1:45" x14ac:dyDescent="0.35">
      <c r="A217" s="181">
        <f>_xlfn.XLOOKUP(X217,'00_SKU_Master'!$B$2:$B$379,'00_SKU_Master'!$C$2:$C$379)</f>
        <v>61064</v>
      </c>
      <c r="B217" s="181" t="str">
        <f>_xlfn.XLOOKUP(X217,tblSKU[SKU],tblSKU[Product_Group])</f>
        <v>BSB</v>
      </c>
      <c r="C217" s="181" t="str">
        <f>_xlfn.XLOOKUP(X217,tblSKU[SKU],tblSKU[Tray_Type])</f>
        <v>PET 6</v>
      </c>
      <c r="D217" s="182">
        <f>_xlfn.IFNA(_xlfn.XLOOKUP(X217,'00_SKU_Master'!$B$2:$B$379,'00_SKU_Master'!$F$2:$F$379,0)*Y217,"")</f>
        <v>0</v>
      </c>
      <c r="E217" s="182">
        <f>_xlfn.IFNA(_xlfn.XLOOKUP(X217,'00_SKU_Master'!$B$2:$B$379,'00_SKU_Master'!$F$2:$F$379,0)*Z217,"")</f>
        <v>22.38</v>
      </c>
      <c r="F217" s="182">
        <f>_xlfn.IFNA(_xlfn.XLOOKUP(X217,'00_SKU_Master'!$B$2:$B$379,'00_SKU_Master'!$F$2:$F$379,0)*AA217,"")</f>
        <v>115.63</v>
      </c>
      <c r="G217" s="182">
        <f>_xlfn.IFNA(_xlfn.XLOOKUP(X217,'00_SKU_Master'!$B$2:$B$379,'00_SKU_Master'!$F$2:$F$379,0)*AB217,"")</f>
        <v>111.9</v>
      </c>
      <c r="H217" s="182">
        <f>_xlfn.IFNA(_xlfn.XLOOKUP(X217,'00_SKU_Master'!$B$2:$B$379,'00_SKU_Master'!$F$2:$F$379,0)*AC217,"")</f>
        <v>134.28</v>
      </c>
      <c r="I217" s="182">
        <f>_xlfn.IFNA(_xlfn.XLOOKUP(X217,'00_SKU_Master'!$B$2:$B$379,'00_SKU_Master'!$F$2:$F$379,0)*AD217,"")</f>
        <v>100.71</v>
      </c>
      <c r="J217" s="182">
        <f>_xlfn.IFNA(_xlfn.XLOOKUP(X217,'00_SKU_Master'!$B$2:$B$379,'00_SKU_Master'!$F$2:$F$379,0)*AE217,"")</f>
        <v>74.599999999999994</v>
      </c>
      <c r="K217" s="183">
        <f t="shared" si="15"/>
        <v>559.5</v>
      </c>
      <c r="L217" s="184" t="str">
        <f>_xlfn.XLOOKUP(X217,'00_SKU_Master'!$B$2:$B$379,'00_SKU_Master'!$K$2:$K$379)</f>
        <v>Fast</v>
      </c>
      <c r="M217" s="185">
        <f t="shared" si="16"/>
        <v>7869</v>
      </c>
      <c r="N217" s="186">
        <f>IFERROR(D217/_xlfn.XLOOKUP($M217,'00_SKU_Master'!$B$2:$B$379,'00_SKU_Master'!$M$2:$M$379,0),"0")</f>
        <v>0</v>
      </c>
      <c r="O217" s="186">
        <f>IFERROR(E217/_xlfn.XLOOKUP($M217,'00_SKU_Master'!$B$2:$B$379,'00_SKU_Master'!$M$2:$M$379,0),"0")</f>
        <v>0.36924599901006433</v>
      </c>
      <c r="P217" s="186">
        <f>IFERROR(F217/_xlfn.XLOOKUP($M217,'00_SKU_Master'!$B$2:$B$379,'00_SKU_Master'!$M$2:$M$379,0),"0")</f>
        <v>1.9077709948853323</v>
      </c>
      <c r="Q217" s="186">
        <f>IFERROR(G217/_xlfn.XLOOKUP($M217,'00_SKU_Master'!$B$2:$B$379,'00_SKU_Master'!$M$2:$M$379,0),"0")</f>
        <v>1.8462299950503218</v>
      </c>
      <c r="R217" s="186">
        <f>IFERROR(H217/_xlfn.XLOOKUP($M217,'00_SKU_Master'!$B$2:$B$379,'00_SKU_Master'!$M$2:$M$379,0),"0")</f>
        <v>2.2154759940603861</v>
      </c>
      <c r="S217" s="186">
        <f>IFERROR(I217/_xlfn.XLOOKUP($M217,'00_SKU_Master'!$B$2:$B$379,'00_SKU_Master'!$M$2:$M$379,0),"0")</f>
        <v>1.6616069955452895</v>
      </c>
      <c r="T217" s="186">
        <f>IFERROR(J217/_xlfn.XLOOKUP($M217,'00_SKU_Master'!$B$2:$B$379,'00_SKU_Master'!$M$2:$M$379,0),"0")</f>
        <v>1.2308199967002145</v>
      </c>
      <c r="U217" s="186">
        <f t="shared" si="17"/>
        <v>9.2311499752516077</v>
      </c>
      <c r="V217" s="186" t="str">
        <f>_xlfn.XLOOKUP(M217,'00_SKU_Master'!$B$2:$B$379,'00_SKU_Master'!$D$2:$D$379)</f>
        <v>LCL</v>
      </c>
      <c r="W217" s="1"/>
      <c r="X217" s="2">
        <f>'05_Daily_Orders'!C218</f>
        <v>7869</v>
      </c>
      <c r="Y217" s="289"/>
      <c r="Z217" s="289">
        <v>6</v>
      </c>
      <c r="AA217" s="289">
        <v>31</v>
      </c>
      <c r="AB217" s="289">
        <v>30</v>
      </c>
      <c r="AC217" s="289">
        <v>36</v>
      </c>
      <c r="AD217" s="289">
        <v>27</v>
      </c>
      <c r="AE217" s="289">
        <v>20</v>
      </c>
      <c r="AF217" s="7">
        <f t="shared" si="18"/>
        <v>150</v>
      </c>
      <c r="AQ217" s="70">
        <v>0</v>
      </c>
      <c r="AR217" s="70">
        <v>6</v>
      </c>
      <c r="AS217" s="3">
        <f t="shared" si="19"/>
        <v>6</v>
      </c>
    </row>
    <row r="218" spans="1:45" x14ac:dyDescent="0.35">
      <c r="A218" s="181" t="str">
        <f>_xlfn.XLOOKUP(X218,'00_SKU_Master'!$B$2:$B$379,'00_SKU_Master'!$C$2:$C$379)</f>
        <v>61040#2</v>
      </c>
      <c r="B218" s="181" t="str">
        <f>_xlfn.XLOOKUP(X218,tblSKU[SKU],tblSKU[Product_Group])</f>
        <v>SplitBreast</v>
      </c>
      <c r="C218" s="181" t="str">
        <f>_xlfn.XLOOKUP(X218,tblSKU[SKU],tblSKU[Tray_Type])</f>
        <v>LT 8XP</v>
      </c>
      <c r="D218" s="182">
        <f>_xlfn.IFNA(_xlfn.XLOOKUP(X218,'00_SKU_Master'!$B$2:$B$379,'00_SKU_Master'!$F$2:$F$379,0)*Y218,"")</f>
        <v>0</v>
      </c>
      <c r="E218" s="182">
        <f>_xlfn.IFNA(_xlfn.XLOOKUP(X218,'00_SKU_Master'!$B$2:$B$379,'00_SKU_Master'!$F$2:$F$379,0)*Z218,"")</f>
        <v>0</v>
      </c>
      <c r="F218" s="182">
        <f>_xlfn.IFNA(_xlfn.XLOOKUP(X218,'00_SKU_Master'!$B$2:$B$379,'00_SKU_Master'!$F$2:$F$379,0)*AA218,"")</f>
        <v>0</v>
      </c>
      <c r="G218" s="182">
        <f>_xlfn.IFNA(_xlfn.XLOOKUP(X218,'00_SKU_Master'!$B$2:$B$379,'00_SKU_Master'!$F$2:$F$379,0)*AB218,"")</f>
        <v>0</v>
      </c>
      <c r="H218" s="182">
        <f>_xlfn.IFNA(_xlfn.XLOOKUP(X218,'00_SKU_Master'!$B$2:$B$379,'00_SKU_Master'!$F$2:$F$379,0)*AC218,"")</f>
        <v>0</v>
      </c>
      <c r="I218" s="182">
        <f>_xlfn.IFNA(_xlfn.XLOOKUP(X218,'00_SKU_Master'!$B$2:$B$379,'00_SKU_Master'!$F$2:$F$379,0)*AD218,"")</f>
        <v>0</v>
      </c>
      <c r="J218" s="182">
        <f>_xlfn.IFNA(_xlfn.XLOOKUP(X218,'00_SKU_Master'!$B$2:$B$379,'00_SKU_Master'!$F$2:$F$379,0)*AE218,"")</f>
        <v>0</v>
      </c>
      <c r="K218" s="183">
        <f t="shared" si="15"/>
        <v>0</v>
      </c>
      <c r="L218" s="184" t="str">
        <f>_xlfn.XLOOKUP(X218,'00_SKU_Master'!$B$2:$B$379,'00_SKU_Master'!$K$2:$K$379)</f>
        <v>Fast</v>
      </c>
      <c r="M218" s="185">
        <f t="shared" si="16"/>
        <v>7912</v>
      </c>
      <c r="N218" s="186">
        <f>IFERROR(D218/_xlfn.XLOOKUP($M218,'00_SKU_Master'!$B$2:$B$379,'00_SKU_Master'!$M$2:$M$379,0),"0")</f>
        <v>0</v>
      </c>
      <c r="O218" s="186">
        <f>IFERROR(E218/_xlfn.XLOOKUP($M218,'00_SKU_Master'!$B$2:$B$379,'00_SKU_Master'!$M$2:$M$379,0),"0")</f>
        <v>0</v>
      </c>
      <c r="P218" s="186">
        <f>IFERROR(F218/_xlfn.XLOOKUP($M218,'00_SKU_Master'!$B$2:$B$379,'00_SKU_Master'!$M$2:$M$379,0),"0")</f>
        <v>0</v>
      </c>
      <c r="Q218" s="186">
        <f>IFERROR(G218/_xlfn.XLOOKUP($M218,'00_SKU_Master'!$B$2:$B$379,'00_SKU_Master'!$M$2:$M$379,0),"0")</f>
        <v>0</v>
      </c>
      <c r="R218" s="186">
        <f>IFERROR(H218/_xlfn.XLOOKUP($M218,'00_SKU_Master'!$B$2:$B$379,'00_SKU_Master'!$M$2:$M$379,0),"0")</f>
        <v>0</v>
      </c>
      <c r="S218" s="186">
        <f>IFERROR(I218/_xlfn.XLOOKUP($M218,'00_SKU_Master'!$B$2:$B$379,'00_SKU_Master'!$M$2:$M$379,0),"0")</f>
        <v>0</v>
      </c>
      <c r="T218" s="186">
        <f>IFERROR(J218/_xlfn.XLOOKUP($M218,'00_SKU_Master'!$B$2:$B$379,'00_SKU_Master'!$M$2:$M$379,0),"0")</f>
        <v>0</v>
      </c>
      <c r="U218" s="186">
        <f t="shared" si="17"/>
        <v>0</v>
      </c>
      <c r="V218" s="186" t="str">
        <f>_xlfn.XLOOKUP(M218,'00_SKU_Master'!$B$2:$B$379,'00_SKU_Master'!$D$2:$D$379)</f>
        <v>FB</v>
      </c>
      <c r="W218" s="1"/>
      <c r="X218" s="2">
        <f>'05_Daily_Orders'!C219</f>
        <v>7912</v>
      </c>
      <c r="Y218" s="289"/>
      <c r="Z218" s="289">
        <v>0</v>
      </c>
      <c r="AA218" s="289">
        <v>0</v>
      </c>
      <c r="AB218" s="289">
        <v>0</v>
      </c>
      <c r="AC218" s="289">
        <v>0</v>
      </c>
      <c r="AD218" s="289">
        <v>0</v>
      </c>
      <c r="AE218" s="289">
        <v>0</v>
      </c>
      <c r="AF218" s="7">
        <f t="shared" si="18"/>
        <v>0</v>
      </c>
      <c r="AQ218" s="70">
        <v>0</v>
      </c>
      <c r="AR218" s="70">
        <v>0</v>
      </c>
      <c r="AS218" s="3">
        <f t="shared" si="19"/>
        <v>0</v>
      </c>
    </row>
    <row r="219" spans="1:45" x14ac:dyDescent="0.35">
      <c r="A219" s="181">
        <f>_xlfn.XLOOKUP(X219,'00_SKU_Master'!$B$2:$B$379,'00_SKU_Master'!$C$2:$C$379)</f>
        <v>61010</v>
      </c>
      <c r="B219" s="181" t="str">
        <f>_xlfn.XLOOKUP(X219,tblSKU[SKU],tblSKU[Product_Group])</f>
        <v>Wing</v>
      </c>
      <c r="C219" s="181" t="str">
        <f>_xlfn.XLOOKUP(X219,tblSKU[SKU],tblSKU[Tray_Type])</f>
        <v>LT 14D</v>
      </c>
      <c r="D219" s="182">
        <f>_xlfn.IFNA(_xlfn.XLOOKUP(X219,'00_SKU_Master'!$B$2:$B$379,'00_SKU_Master'!$F$2:$F$379,0)*Y219,"")</f>
        <v>0</v>
      </c>
      <c r="E219" s="182">
        <f>_xlfn.IFNA(_xlfn.XLOOKUP(X219,'00_SKU_Master'!$B$2:$B$379,'00_SKU_Master'!$F$2:$F$379,0)*Z219,"")</f>
        <v>0</v>
      </c>
      <c r="F219" s="182">
        <f>_xlfn.IFNA(_xlfn.XLOOKUP(X219,'00_SKU_Master'!$B$2:$B$379,'00_SKU_Master'!$F$2:$F$379,0)*AA219,"")</f>
        <v>0</v>
      </c>
      <c r="G219" s="182">
        <f>_xlfn.IFNA(_xlfn.XLOOKUP(X219,'00_SKU_Master'!$B$2:$B$379,'00_SKU_Master'!$F$2:$F$379,0)*AB219,"")</f>
        <v>0</v>
      </c>
      <c r="H219" s="182">
        <f>_xlfn.IFNA(_xlfn.XLOOKUP(X219,'00_SKU_Master'!$B$2:$B$379,'00_SKU_Master'!$F$2:$F$379,0)*AC219,"")</f>
        <v>0</v>
      </c>
      <c r="I219" s="182">
        <f>_xlfn.IFNA(_xlfn.XLOOKUP(X219,'00_SKU_Master'!$B$2:$B$379,'00_SKU_Master'!$F$2:$F$379,0)*AD219,"")</f>
        <v>0</v>
      </c>
      <c r="J219" s="182">
        <f>_xlfn.IFNA(_xlfn.XLOOKUP(X219,'00_SKU_Master'!$B$2:$B$379,'00_SKU_Master'!$F$2:$F$379,0)*AE219,"")</f>
        <v>0</v>
      </c>
      <c r="K219" s="183">
        <f t="shared" si="15"/>
        <v>0</v>
      </c>
      <c r="L219" s="184" t="str">
        <f>_xlfn.XLOOKUP(X219,'00_SKU_Master'!$B$2:$B$379,'00_SKU_Master'!$K$2:$K$379)</f>
        <v>Fast</v>
      </c>
      <c r="M219" s="185">
        <f t="shared" si="16"/>
        <v>7939</v>
      </c>
      <c r="N219" s="186">
        <f>IFERROR(D219/_xlfn.XLOOKUP($M219,'00_SKU_Master'!$B$2:$B$379,'00_SKU_Master'!$M$2:$M$379,0),"0")</f>
        <v>0</v>
      </c>
      <c r="O219" s="186">
        <f>IFERROR(E219/_xlfn.XLOOKUP($M219,'00_SKU_Master'!$B$2:$B$379,'00_SKU_Master'!$M$2:$M$379,0),"0")</f>
        <v>0</v>
      </c>
      <c r="P219" s="186">
        <f>IFERROR(F219/_xlfn.XLOOKUP($M219,'00_SKU_Master'!$B$2:$B$379,'00_SKU_Master'!$M$2:$M$379,0),"0")</f>
        <v>0</v>
      </c>
      <c r="Q219" s="186">
        <f>IFERROR(G219/_xlfn.XLOOKUP($M219,'00_SKU_Master'!$B$2:$B$379,'00_SKU_Master'!$M$2:$M$379,0),"0")</f>
        <v>0</v>
      </c>
      <c r="R219" s="186">
        <f>IFERROR(H219/_xlfn.XLOOKUP($M219,'00_SKU_Master'!$B$2:$B$379,'00_SKU_Master'!$M$2:$M$379,0),"0")</f>
        <v>0</v>
      </c>
      <c r="S219" s="186">
        <f>IFERROR(I219/_xlfn.XLOOKUP($M219,'00_SKU_Master'!$B$2:$B$379,'00_SKU_Master'!$M$2:$M$379,0),"0")</f>
        <v>0</v>
      </c>
      <c r="T219" s="186">
        <f>IFERROR(J219/_xlfn.XLOOKUP($M219,'00_SKU_Master'!$B$2:$B$379,'00_SKU_Master'!$M$2:$M$379,0),"0")</f>
        <v>0</v>
      </c>
      <c r="U219" s="186">
        <f t="shared" si="17"/>
        <v>0</v>
      </c>
      <c r="V219" s="186" t="str">
        <f>_xlfn.XLOOKUP(M219,'00_SKU_Master'!$B$2:$B$379,'00_SKU_Master'!$D$2:$D$379)</f>
        <v>FB</v>
      </c>
      <c r="W219" s="1"/>
      <c r="X219" s="2">
        <f>'05_Daily_Orders'!C220</f>
        <v>7939</v>
      </c>
      <c r="Y219" s="289"/>
      <c r="Z219" s="289">
        <v>0</v>
      </c>
      <c r="AA219" s="289">
        <v>0</v>
      </c>
      <c r="AB219" s="289">
        <v>0</v>
      </c>
      <c r="AC219" s="289">
        <v>0</v>
      </c>
      <c r="AD219" s="289">
        <v>0</v>
      </c>
      <c r="AE219" s="289">
        <v>0</v>
      </c>
      <c r="AF219" s="7">
        <f t="shared" si="18"/>
        <v>0</v>
      </c>
      <c r="AQ219" s="70">
        <v>0</v>
      </c>
      <c r="AR219" s="70">
        <v>0</v>
      </c>
      <c r="AS219" s="3">
        <f t="shared" si="19"/>
        <v>0</v>
      </c>
    </row>
    <row r="220" spans="1:45" x14ac:dyDescent="0.35">
      <c r="A220" s="181">
        <f>_xlfn.XLOOKUP(X220,'00_SKU_Master'!$B$2:$B$379,'00_SKU_Master'!$C$2:$C$379)</f>
        <v>61061</v>
      </c>
      <c r="B220" s="181" t="str">
        <f>_xlfn.XLOOKUP(X220,tblSKU[SKU],tblSKU[Product_Group])</f>
        <v>BA</v>
      </c>
      <c r="C220" s="181" t="str">
        <f>_xlfn.XLOOKUP(X220,tblSKU[SKU],tblSKU[Tray_Type])</f>
        <v>LT 14D</v>
      </c>
      <c r="D220" s="182">
        <f>_xlfn.IFNA(_xlfn.XLOOKUP(X220,'00_SKU_Master'!$B$2:$B$379,'00_SKU_Master'!$F$2:$F$379,0)*Y220,"")</f>
        <v>0</v>
      </c>
      <c r="E220" s="182">
        <f>_xlfn.IFNA(_xlfn.XLOOKUP(X220,'00_SKU_Master'!$B$2:$B$379,'00_SKU_Master'!$F$2:$F$379,0)*Z220,"")</f>
        <v>0</v>
      </c>
      <c r="F220" s="182">
        <f>_xlfn.IFNA(_xlfn.XLOOKUP(X220,'00_SKU_Master'!$B$2:$B$379,'00_SKU_Master'!$F$2:$F$379,0)*AA220,"")</f>
        <v>0</v>
      </c>
      <c r="G220" s="182">
        <f>_xlfn.IFNA(_xlfn.XLOOKUP(X220,'00_SKU_Master'!$B$2:$B$379,'00_SKU_Master'!$F$2:$F$379,0)*AB220,"")</f>
        <v>0</v>
      </c>
      <c r="H220" s="182">
        <f>_xlfn.IFNA(_xlfn.XLOOKUP(X220,'00_SKU_Master'!$B$2:$B$379,'00_SKU_Master'!$F$2:$F$379,0)*AC220,"")</f>
        <v>0</v>
      </c>
      <c r="I220" s="182">
        <f>_xlfn.IFNA(_xlfn.XLOOKUP(X220,'00_SKU_Master'!$B$2:$B$379,'00_SKU_Master'!$F$2:$F$379,0)*AD220,"")</f>
        <v>0</v>
      </c>
      <c r="J220" s="182">
        <f>_xlfn.IFNA(_xlfn.XLOOKUP(X220,'00_SKU_Master'!$B$2:$B$379,'00_SKU_Master'!$F$2:$F$379,0)*AE220,"")</f>
        <v>0</v>
      </c>
      <c r="K220" s="183">
        <f t="shared" si="15"/>
        <v>0</v>
      </c>
      <c r="L220" s="184" t="str">
        <f>_xlfn.XLOOKUP(X220,'00_SKU_Master'!$B$2:$B$379,'00_SKU_Master'!$K$2:$K$379)</f>
        <v>Fast</v>
      </c>
      <c r="M220" s="185">
        <f t="shared" si="16"/>
        <v>7976</v>
      </c>
      <c r="N220" s="186">
        <f>IFERROR(D220/_xlfn.XLOOKUP($M220,'00_SKU_Master'!$B$2:$B$379,'00_SKU_Master'!$M$2:$M$379,0),"0")</f>
        <v>0</v>
      </c>
      <c r="O220" s="186">
        <f>IFERROR(E220/_xlfn.XLOOKUP($M220,'00_SKU_Master'!$B$2:$B$379,'00_SKU_Master'!$M$2:$M$379,0),"0")</f>
        <v>0</v>
      </c>
      <c r="P220" s="186">
        <f>IFERROR(F220/_xlfn.XLOOKUP($M220,'00_SKU_Master'!$B$2:$B$379,'00_SKU_Master'!$M$2:$M$379,0),"0")</f>
        <v>0</v>
      </c>
      <c r="Q220" s="186">
        <f>IFERROR(G220/_xlfn.XLOOKUP($M220,'00_SKU_Master'!$B$2:$B$379,'00_SKU_Master'!$M$2:$M$379,0),"0")</f>
        <v>0</v>
      </c>
      <c r="R220" s="186">
        <f>IFERROR(H220/_xlfn.XLOOKUP($M220,'00_SKU_Master'!$B$2:$B$379,'00_SKU_Master'!$M$2:$M$379,0),"0")</f>
        <v>0</v>
      </c>
      <c r="S220" s="186">
        <f>IFERROR(I220/_xlfn.XLOOKUP($M220,'00_SKU_Master'!$B$2:$B$379,'00_SKU_Master'!$M$2:$M$379,0),"0")</f>
        <v>0</v>
      </c>
      <c r="T220" s="186">
        <f>IFERROR(J220/_xlfn.XLOOKUP($M220,'00_SKU_Master'!$B$2:$B$379,'00_SKU_Master'!$M$2:$M$379,0),"0")</f>
        <v>0</v>
      </c>
      <c r="U220" s="186">
        <f t="shared" si="17"/>
        <v>0</v>
      </c>
      <c r="V220" s="186" t="str">
        <f>_xlfn.XLOOKUP(M220,'00_SKU_Master'!$B$2:$B$379,'00_SKU_Master'!$D$2:$D$379)</f>
        <v>FB</v>
      </c>
      <c r="W220" s="1"/>
      <c r="X220" s="2">
        <f>'05_Daily_Orders'!C221</f>
        <v>7976</v>
      </c>
      <c r="Y220" s="289"/>
      <c r="Z220" s="289">
        <v>0</v>
      </c>
      <c r="AA220" s="289">
        <v>0</v>
      </c>
      <c r="AB220" s="289">
        <v>0</v>
      </c>
      <c r="AC220" s="289">
        <v>0</v>
      </c>
      <c r="AD220" s="289">
        <v>0</v>
      </c>
      <c r="AE220" s="289">
        <v>0</v>
      </c>
      <c r="AF220" s="7">
        <f t="shared" si="18"/>
        <v>0</v>
      </c>
      <c r="AQ220" s="70">
        <v>0</v>
      </c>
      <c r="AR220" s="70">
        <v>0</v>
      </c>
      <c r="AS220" s="3">
        <f t="shared" si="19"/>
        <v>0</v>
      </c>
    </row>
    <row r="221" spans="1:45" x14ac:dyDescent="0.35">
      <c r="A221" s="181" t="str">
        <f>_xlfn.XLOOKUP(X221,'00_SKU_Master'!$B$2:$B$379,'00_SKU_Master'!$C$2:$C$379)</f>
        <v>61050#2</v>
      </c>
      <c r="B221" s="181" t="str">
        <f>_xlfn.XLOOKUP(X221,tblSKU[SKU],tblSKU[Product_Group])</f>
        <v>BSB</v>
      </c>
      <c r="C221" s="181" t="str">
        <f>_xlfn.XLOOKUP(X221,tblSKU[SKU],tblSKU[Tray_Type])</f>
        <v>ST 3XP</v>
      </c>
      <c r="D221" s="182">
        <f>_xlfn.IFNA(_xlfn.XLOOKUP(X221,'00_SKU_Master'!$B$2:$B$379,'00_SKU_Master'!$F$2:$F$379,0)*Y221,"")</f>
        <v>0</v>
      </c>
      <c r="E221" s="182">
        <f>_xlfn.IFNA(_xlfn.XLOOKUP(X221,'00_SKU_Master'!$B$2:$B$379,'00_SKU_Master'!$F$2:$F$379,0)*Z221,"")</f>
        <v>0</v>
      </c>
      <c r="F221" s="182">
        <f>_xlfn.IFNA(_xlfn.XLOOKUP(X221,'00_SKU_Master'!$B$2:$B$379,'00_SKU_Master'!$F$2:$F$379,0)*AA221,"")</f>
        <v>0</v>
      </c>
      <c r="G221" s="182">
        <f>_xlfn.IFNA(_xlfn.XLOOKUP(X221,'00_SKU_Master'!$B$2:$B$379,'00_SKU_Master'!$F$2:$F$379,0)*AB221,"")</f>
        <v>0</v>
      </c>
      <c r="H221" s="182">
        <f>_xlfn.IFNA(_xlfn.XLOOKUP(X221,'00_SKU_Master'!$B$2:$B$379,'00_SKU_Master'!$F$2:$F$379,0)*AC221,"")</f>
        <v>0</v>
      </c>
      <c r="I221" s="182">
        <f>_xlfn.IFNA(_xlfn.XLOOKUP(X221,'00_SKU_Master'!$B$2:$B$379,'00_SKU_Master'!$F$2:$F$379,0)*AD221,"")</f>
        <v>0</v>
      </c>
      <c r="J221" s="182">
        <f>_xlfn.IFNA(_xlfn.XLOOKUP(X221,'00_SKU_Master'!$B$2:$B$379,'00_SKU_Master'!$F$2:$F$379,0)*AE221,"")</f>
        <v>0</v>
      </c>
      <c r="K221" s="183">
        <f t="shared" si="15"/>
        <v>0</v>
      </c>
      <c r="L221" s="184" t="str">
        <f>_xlfn.XLOOKUP(X221,'00_SKU_Master'!$B$2:$B$379,'00_SKU_Master'!$K$2:$K$379)</f>
        <v>Fast</v>
      </c>
      <c r="M221" s="185">
        <f t="shared" si="16"/>
        <v>7978</v>
      </c>
      <c r="N221" s="186">
        <f>IFERROR(D221/_xlfn.XLOOKUP($M221,'00_SKU_Master'!$B$2:$B$379,'00_SKU_Master'!$M$2:$M$379,0),"0")</f>
        <v>0</v>
      </c>
      <c r="O221" s="186">
        <f>IFERROR(E221/_xlfn.XLOOKUP($M221,'00_SKU_Master'!$B$2:$B$379,'00_SKU_Master'!$M$2:$M$379,0),"0")</f>
        <v>0</v>
      </c>
      <c r="P221" s="186">
        <f>IFERROR(F221/_xlfn.XLOOKUP($M221,'00_SKU_Master'!$B$2:$B$379,'00_SKU_Master'!$M$2:$M$379,0),"0")</f>
        <v>0</v>
      </c>
      <c r="Q221" s="186">
        <f>IFERROR(G221/_xlfn.XLOOKUP($M221,'00_SKU_Master'!$B$2:$B$379,'00_SKU_Master'!$M$2:$M$379,0),"0")</f>
        <v>0</v>
      </c>
      <c r="R221" s="186">
        <f>IFERROR(H221/_xlfn.XLOOKUP($M221,'00_SKU_Master'!$B$2:$B$379,'00_SKU_Master'!$M$2:$M$379,0),"0")</f>
        <v>0</v>
      </c>
      <c r="S221" s="186">
        <f>IFERROR(I221/_xlfn.XLOOKUP($M221,'00_SKU_Master'!$B$2:$B$379,'00_SKU_Master'!$M$2:$M$379,0),"0")</f>
        <v>0</v>
      </c>
      <c r="T221" s="186">
        <f>IFERROR(J221/_xlfn.XLOOKUP($M221,'00_SKU_Master'!$B$2:$B$379,'00_SKU_Master'!$M$2:$M$379,0),"0")</f>
        <v>0</v>
      </c>
      <c r="U221" s="186">
        <f t="shared" si="17"/>
        <v>0</v>
      </c>
      <c r="V221" s="186" t="str">
        <f>_xlfn.XLOOKUP(M221,'00_SKU_Master'!$B$2:$B$379,'00_SKU_Master'!$D$2:$D$379)</f>
        <v>FB</v>
      </c>
      <c r="W221" s="1"/>
      <c r="X221" s="2">
        <f>'05_Daily_Orders'!C222</f>
        <v>7978</v>
      </c>
      <c r="Y221" s="289"/>
      <c r="Z221" s="289">
        <v>0</v>
      </c>
      <c r="AA221" s="289">
        <v>0</v>
      </c>
      <c r="AB221" s="289">
        <v>0</v>
      </c>
      <c r="AC221" s="289">
        <v>0</v>
      </c>
      <c r="AD221" s="289">
        <v>0</v>
      </c>
      <c r="AE221" s="289">
        <v>0</v>
      </c>
      <c r="AF221" s="7">
        <f t="shared" si="18"/>
        <v>0</v>
      </c>
      <c r="AQ221" s="70">
        <v>0</v>
      </c>
      <c r="AR221" s="70">
        <v>0</v>
      </c>
      <c r="AS221" s="3">
        <f t="shared" si="19"/>
        <v>0</v>
      </c>
    </row>
    <row r="222" spans="1:45" x14ac:dyDescent="0.35">
      <c r="A222" s="181" t="str">
        <f>_xlfn.XLOOKUP(X222,'00_SKU_Master'!$B$2:$B$379,'00_SKU_Master'!$C$2:$C$379)</f>
        <v>61050#2</v>
      </c>
      <c r="B222" s="181" t="str">
        <f>_xlfn.XLOOKUP(X222,tblSKU[SKU],tblSKU[Product_Group])</f>
        <v>BSB</v>
      </c>
      <c r="C222" s="181" t="str">
        <f>_xlfn.XLOOKUP(X222,tblSKU[SKU],tblSKU[Tray_Type])</f>
        <v>LT 8XP</v>
      </c>
      <c r="D222" s="182">
        <f>_xlfn.IFNA(_xlfn.XLOOKUP(X222,'00_SKU_Master'!$B$2:$B$379,'00_SKU_Master'!$F$2:$F$379,0)*Y222,"")</f>
        <v>0</v>
      </c>
      <c r="E222" s="182">
        <f>_xlfn.IFNA(_xlfn.XLOOKUP(X222,'00_SKU_Master'!$B$2:$B$379,'00_SKU_Master'!$F$2:$F$379,0)*Z222,"")</f>
        <v>0</v>
      </c>
      <c r="F222" s="182">
        <f>_xlfn.IFNA(_xlfn.XLOOKUP(X222,'00_SKU_Master'!$B$2:$B$379,'00_SKU_Master'!$F$2:$F$379,0)*AA222,"")</f>
        <v>0</v>
      </c>
      <c r="G222" s="182">
        <f>_xlfn.IFNA(_xlfn.XLOOKUP(X222,'00_SKU_Master'!$B$2:$B$379,'00_SKU_Master'!$F$2:$F$379,0)*AB222,"")</f>
        <v>0</v>
      </c>
      <c r="H222" s="182">
        <f>_xlfn.IFNA(_xlfn.XLOOKUP(X222,'00_SKU_Master'!$B$2:$B$379,'00_SKU_Master'!$F$2:$F$379,0)*AC222,"")</f>
        <v>0</v>
      </c>
      <c r="I222" s="182">
        <f>_xlfn.IFNA(_xlfn.XLOOKUP(X222,'00_SKU_Master'!$B$2:$B$379,'00_SKU_Master'!$F$2:$F$379,0)*AD222,"")</f>
        <v>0</v>
      </c>
      <c r="J222" s="182">
        <f>_xlfn.IFNA(_xlfn.XLOOKUP(X222,'00_SKU_Master'!$B$2:$B$379,'00_SKU_Master'!$F$2:$F$379,0)*AE222,"")</f>
        <v>0</v>
      </c>
      <c r="K222" s="183">
        <f t="shared" si="15"/>
        <v>0</v>
      </c>
      <c r="L222" s="184" t="str">
        <f>_xlfn.XLOOKUP(X222,'00_SKU_Master'!$B$2:$B$379,'00_SKU_Master'!$K$2:$K$379)</f>
        <v>Fast</v>
      </c>
      <c r="M222" s="185">
        <f t="shared" si="16"/>
        <v>7979</v>
      </c>
      <c r="N222" s="186">
        <f>IFERROR(D222/_xlfn.XLOOKUP($M222,'00_SKU_Master'!$B$2:$B$379,'00_SKU_Master'!$M$2:$M$379,0),"0")</f>
        <v>0</v>
      </c>
      <c r="O222" s="186">
        <f>IFERROR(E222/_xlfn.XLOOKUP($M222,'00_SKU_Master'!$B$2:$B$379,'00_SKU_Master'!$M$2:$M$379,0),"0")</f>
        <v>0</v>
      </c>
      <c r="P222" s="186">
        <f>IFERROR(F222/_xlfn.XLOOKUP($M222,'00_SKU_Master'!$B$2:$B$379,'00_SKU_Master'!$M$2:$M$379,0),"0")</f>
        <v>0</v>
      </c>
      <c r="Q222" s="186">
        <f>IFERROR(G222/_xlfn.XLOOKUP($M222,'00_SKU_Master'!$B$2:$B$379,'00_SKU_Master'!$M$2:$M$379,0),"0")</f>
        <v>0</v>
      </c>
      <c r="R222" s="186">
        <f>IFERROR(H222/_xlfn.XLOOKUP($M222,'00_SKU_Master'!$B$2:$B$379,'00_SKU_Master'!$M$2:$M$379,0),"0")</f>
        <v>0</v>
      </c>
      <c r="S222" s="186">
        <f>IFERROR(I222/_xlfn.XLOOKUP($M222,'00_SKU_Master'!$B$2:$B$379,'00_SKU_Master'!$M$2:$M$379,0),"0")</f>
        <v>0</v>
      </c>
      <c r="T222" s="186">
        <f>IFERROR(J222/_xlfn.XLOOKUP($M222,'00_SKU_Master'!$B$2:$B$379,'00_SKU_Master'!$M$2:$M$379,0),"0")</f>
        <v>0</v>
      </c>
      <c r="U222" s="186">
        <f t="shared" si="17"/>
        <v>0</v>
      </c>
      <c r="V222" s="186" t="str">
        <f>_xlfn.XLOOKUP(M222,'00_SKU_Master'!$B$2:$B$379,'00_SKU_Master'!$D$2:$D$379)</f>
        <v>FB</v>
      </c>
      <c r="W222" s="1"/>
      <c r="X222" s="2">
        <f>'05_Daily_Orders'!C223</f>
        <v>7979</v>
      </c>
      <c r="Y222" s="289"/>
      <c r="Z222" s="289">
        <v>0</v>
      </c>
      <c r="AA222" s="289">
        <v>0</v>
      </c>
      <c r="AB222" s="289">
        <v>0</v>
      </c>
      <c r="AC222" s="289">
        <v>0</v>
      </c>
      <c r="AD222" s="289">
        <v>0</v>
      </c>
      <c r="AE222" s="289">
        <v>0</v>
      </c>
      <c r="AF222" s="7">
        <f t="shared" si="18"/>
        <v>0</v>
      </c>
      <c r="AQ222" s="70">
        <v>0</v>
      </c>
      <c r="AR222" s="70">
        <v>0</v>
      </c>
      <c r="AS222" s="3">
        <f t="shared" si="19"/>
        <v>0</v>
      </c>
    </row>
    <row r="223" spans="1:45" x14ac:dyDescent="0.35">
      <c r="A223" s="181">
        <f>_xlfn.XLOOKUP(X223,'00_SKU_Master'!$B$2:$B$379,'00_SKU_Master'!$C$2:$C$379)</f>
        <v>61061</v>
      </c>
      <c r="B223" s="181" t="str">
        <f>_xlfn.XLOOKUP(X223,tblSKU[SKU],tblSKU[Product_Group])</f>
        <v>BA</v>
      </c>
      <c r="C223" s="181" t="str">
        <f>_xlfn.XLOOKUP(X223,tblSKU[SKU],tblSKU[Tray_Type])</f>
        <v>LT 8XP</v>
      </c>
      <c r="D223" s="182">
        <f>_xlfn.IFNA(_xlfn.XLOOKUP(X223,'00_SKU_Master'!$B$2:$B$379,'00_SKU_Master'!$F$2:$F$379,0)*Y223,"")</f>
        <v>0</v>
      </c>
      <c r="E223" s="182">
        <f>_xlfn.IFNA(_xlfn.XLOOKUP(X223,'00_SKU_Master'!$B$2:$B$379,'00_SKU_Master'!$F$2:$F$379,0)*Z223,"")</f>
        <v>2795.5567252630167</v>
      </c>
      <c r="F223" s="182">
        <f>_xlfn.IFNA(_xlfn.XLOOKUP(X223,'00_SKU_Master'!$B$2:$B$379,'00_SKU_Master'!$F$2:$F$379,0)*AA223,"")</f>
        <v>3437.1599081102663</v>
      </c>
      <c r="G223" s="182">
        <f>_xlfn.IFNA(_xlfn.XLOOKUP(X223,'00_SKU_Master'!$B$2:$B$379,'00_SKU_Master'!$F$2:$F$379,0)*AB223,"")</f>
        <v>916.57597549607101</v>
      </c>
      <c r="H223" s="182">
        <f>_xlfn.IFNA(_xlfn.XLOOKUP(X223,'00_SKU_Master'!$B$2:$B$379,'00_SKU_Master'!$F$2:$F$379,0)*AC223,"")</f>
        <v>0</v>
      </c>
      <c r="I223" s="182">
        <f>_xlfn.IFNA(_xlfn.XLOOKUP(X223,'00_SKU_Master'!$B$2:$B$379,'00_SKU_Master'!$F$2:$F$379,0)*AD223,"")</f>
        <v>183.31519509921421</v>
      </c>
      <c r="J223" s="182">
        <f>_xlfn.IFNA(_xlfn.XLOOKUP(X223,'00_SKU_Master'!$B$2:$B$379,'00_SKU_Master'!$F$2:$F$379,0)*AE223,"")</f>
        <v>0</v>
      </c>
      <c r="K223" s="183">
        <f t="shared" si="15"/>
        <v>7332.6078039685681</v>
      </c>
      <c r="L223" s="184" t="str">
        <f>_xlfn.XLOOKUP(X223,'00_SKU_Master'!$B$2:$B$379,'00_SKU_Master'!$K$2:$K$379)</f>
        <v>Fast</v>
      </c>
      <c r="M223" s="185">
        <f t="shared" si="16"/>
        <v>200168</v>
      </c>
      <c r="N223" s="186">
        <f>IFERROR(D223/_xlfn.XLOOKUP($M223,'00_SKU_Master'!$B$2:$B$379,'00_SKU_Master'!$M$2:$M$379,0),"0")</f>
        <v>0</v>
      </c>
      <c r="O223" s="186">
        <f>IFERROR(E223/_xlfn.XLOOKUP($M223,'00_SKU_Master'!$B$2:$B$379,'00_SKU_Master'!$M$2:$M$379,0),"0")</f>
        <v>31.151735293771083</v>
      </c>
      <c r="P223" s="186">
        <f>IFERROR(F223/_xlfn.XLOOKUP($M223,'00_SKU_Master'!$B$2:$B$379,'00_SKU_Master'!$M$2:$M$379,0),"0")</f>
        <v>38.301313885784118</v>
      </c>
      <c r="Q223" s="186">
        <f>IFERROR(G223/_xlfn.XLOOKUP($M223,'00_SKU_Master'!$B$2:$B$379,'00_SKU_Master'!$M$2:$M$379,0),"0")</f>
        <v>10.213683702875764</v>
      </c>
      <c r="R223" s="186">
        <f>IFERROR(H223/_xlfn.XLOOKUP($M223,'00_SKU_Master'!$B$2:$B$379,'00_SKU_Master'!$M$2:$M$379,0),"0")</f>
        <v>0</v>
      </c>
      <c r="S223" s="186">
        <f>IFERROR(I223/_xlfn.XLOOKUP($M223,'00_SKU_Master'!$B$2:$B$379,'00_SKU_Master'!$M$2:$M$379,0),"0")</f>
        <v>2.0427367405751529</v>
      </c>
      <c r="T223" s="186">
        <f>IFERROR(J223/_xlfn.XLOOKUP($M223,'00_SKU_Master'!$B$2:$B$379,'00_SKU_Master'!$M$2:$M$379,0),"0")</f>
        <v>0</v>
      </c>
      <c r="U223" s="186">
        <f t="shared" si="17"/>
        <v>81.709469623006115</v>
      </c>
      <c r="V223" s="186" t="str">
        <f>_xlfn.XLOOKUP(M223,'00_SKU_Master'!$B$2:$B$379,'00_SKU_Master'!$D$2:$D$379)</f>
        <v>FB</v>
      </c>
      <c r="W223" s="1"/>
      <c r="X223" s="2">
        <f>'05_Daily_Orders'!C224</f>
        <v>200168</v>
      </c>
      <c r="Y223" s="289"/>
      <c r="Z223" s="289">
        <v>305</v>
      </c>
      <c r="AA223" s="289">
        <v>375</v>
      </c>
      <c r="AB223" s="289">
        <v>100</v>
      </c>
      <c r="AC223" s="289">
        <v>0</v>
      </c>
      <c r="AD223" s="289">
        <v>20</v>
      </c>
      <c r="AE223" s="289">
        <v>0</v>
      </c>
      <c r="AF223" s="7">
        <f t="shared" si="18"/>
        <v>800</v>
      </c>
      <c r="AQ223" s="70">
        <v>0</v>
      </c>
      <c r="AR223" s="70">
        <v>305</v>
      </c>
      <c r="AS223" s="3">
        <f t="shared" si="19"/>
        <v>305</v>
      </c>
    </row>
    <row r="224" spans="1:45" x14ac:dyDescent="0.35">
      <c r="A224" s="181" t="str">
        <f>_xlfn.XLOOKUP(X224,'00_SKU_Master'!$B$2:$B$379,'00_SKU_Master'!$C$2:$C$379)</f>
        <v>61050F</v>
      </c>
      <c r="B224" s="181" t="str">
        <f>_xlfn.XLOOKUP(X224,tblSKU[SKU],tblSKU[Product_Group])</f>
        <v>BSB</v>
      </c>
      <c r="C224" s="181" t="str">
        <f>_xlfn.XLOOKUP(X224,tblSKU[SKU],tblSKU[Tray_Type])</f>
        <v>ST 3D</v>
      </c>
      <c r="D224" s="182">
        <f>_xlfn.IFNA(_xlfn.XLOOKUP(X224,'00_SKU_Master'!$B$2:$B$379,'00_SKU_Master'!$F$2:$F$379,0)*Y224,"")</f>
        <v>0</v>
      </c>
      <c r="E224" s="182">
        <f>_xlfn.IFNA(_xlfn.XLOOKUP(X224,'00_SKU_Master'!$B$2:$B$379,'00_SKU_Master'!$F$2:$F$379,0)*Z224,"")</f>
        <v>3.6839776525642201</v>
      </c>
      <c r="F224" s="182">
        <f>_xlfn.IFNA(_xlfn.XLOOKUP(X224,'00_SKU_Master'!$B$2:$B$379,'00_SKU_Master'!$F$2:$F$379,0)*AA224,"")</f>
        <v>202.61877089103211</v>
      </c>
      <c r="G224" s="182">
        <f>_xlfn.IFNA(_xlfn.XLOOKUP(X224,'00_SKU_Master'!$B$2:$B$379,'00_SKU_Master'!$F$2:$F$379,0)*AB224,"")</f>
        <v>287.35025690000919</v>
      </c>
      <c r="H224" s="182">
        <f>_xlfn.IFNA(_xlfn.XLOOKUP(X224,'00_SKU_Master'!$B$2:$B$379,'00_SKU_Master'!$F$2:$F$379,0)*AC224,"")</f>
        <v>364.71378760385778</v>
      </c>
      <c r="I224" s="182">
        <f>_xlfn.IFNA(_xlfn.XLOOKUP(X224,'00_SKU_Master'!$B$2:$B$379,'00_SKU_Master'!$F$2:$F$379,0)*AD224,"")</f>
        <v>0</v>
      </c>
      <c r="J224" s="182">
        <f>_xlfn.IFNA(_xlfn.XLOOKUP(X224,'00_SKU_Master'!$B$2:$B$379,'00_SKU_Master'!$F$2:$F$379,0)*AE224,"")</f>
        <v>386.81765351924309</v>
      </c>
      <c r="K224" s="183">
        <f t="shared" si="15"/>
        <v>1245.1844465667064</v>
      </c>
      <c r="L224" s="184" t="str">
        <f>_xlfn.XLOOKUP(X224,'00_SKU_Master'!$B$2:$B$379,'00_SKU_Master'!$K$2:$K$379)</f>
        <v>Fast</v>
      </c>
      <c r="M224" s="185">
        <f t="shared" si="16"/>
        <v>200703</v>
      </c>
      <c r="N224" s="186">
        <f>IFERROR(D224/_xlfn.XLOOKUP($M224,'00_SKU_Master'!$B$2:$B$379,'00_SKU_Master'!$M$2:$M$379,0),"0")</f>
        <v>0</v>
      </c>
      <c r="O224" s="186">
        <f>IFERROR(E224/_xlfn.XLOOKUP($M224,'00_SKU_Master'!$B$2:$B$379,'00_SKU_Master'!$M$2:$M$379,0),"0")</f>
        <v>4.8697655684920287E-2</v>
      </c>
      <c r="P224" s="186">
        <f>IFERROR(F224/_xlfn.XLOOKUP($M224,'00_SKU_Master'!$B$2:$B$379,'00_SKU_Master'!$M$2:$M$379,0),"0")</f>
        <v>2.6783710626706161</v>
      </c>
      <c r="Q224" s="186">
        <f>IFERROR(G224/_xlfn.XLOOKUP($M224,'00_SKU_Master'!$B$2:$B$379,'00_SKU_Master'!$M$2:$M$379,0),"0")</f>
        <v>3.7984171434237828</v>
      </c>
      <c r="R224" s="186">
        <f>IFERROR(H224/_xlfn.XLOOKUP($M224,'00_SKU_Master'!$B$2:$B$379,'00_SKU_Master'!$M$2:$M$379,0),"0")</f>
        <v>4.8210679128071083</v>
      </c>
      <c r="S224" s="186">
        <f>IFERROR(I224/_xlfn.XLOOKUP($M224,'00_SKU_Master'!$B$2:$B$379,'00_SKU_Master'!$M$2:$M$379,0),"0")</f>
        <v>0</v>
      </c>
      <c r="T224" s="186">
        <f>IFERROR(J224/_xlfn.XLOOKUP($M224,'00_SKU_Master'!$B$2:$B$379,'00_SKU_Master'!$M$2:$M$379,0),"0")</f>
        <v>5.1132538469166304</v>
      </c>
      <c r="U224" s="186">
        <f t="shared" si="17"/>
        <v>16.45980762150306</v>
      </c>
      <c r="V224" s="186" t="str">
        <f>_xlfn.XLOOKUP(M224,'00_SKU_Master'!$B$2:$B$379,'00_SKU_Master'!$D$2:$D$379)</f>
        <v>FB</v>
      </c>
      <c r="W224" s="1"/>
      <c r="X224" s="2">
        <f>'05_Daily_Orders'!C225</f>
        <v>200703</v>
      </c>
      <c r="Y224" s="289"/>
      <c r="Z224" s="289">
        <v>1</v>
      </c>
      <c r="AA224" s="289">
        <v>55</v>
      </c>
      <c r="AB224" s="289">
        <v>78</v>
      </c>
      <c r="AC224" s="289">
        <v>99</v>
      </c>
      <c r="AD224" s="289">
        <v>0</v>
      </c>
      <c r="AE224" s="289">
        <v>105</v>
      </c>
      <c r="AF224" s="7">
        <f t="shared" si="18"/>
        <v>338</v>
      </c>
      <c r="AQ224" s="70">
        <v>0</v>
      </c>
      <c r="AR224" s="70">
        <v>1</v>
      </c>
      <c r="AS224" s="3">
        <f t="shared" si="19"/>
        <v>1</v>
      </c>
    </row>
    <row r="225" spans="1:45" x14ac:dyDescent="0.35">
      <c r="A225" s="181">
        <f>_xlfn.XLOOKUP(X225,'00_SKU_Master'!$B$2:$B$379,'00_SKU_Master'!$C$2:$C$379)</f>
        <v>203021</v>
      </c>
      <c r="B225" s="181" t="str">
        <f>_xlfn.XLOOKUP(X225,tblSKU[SKU],tblSKU[Product_Group])</f>
        <v>Whole Bird-Small</v>
      </c>
      <c r="C225" s="181" t="str">
        <f>_xlfn.XLOOKUP(X225,tblSKU[SKU],tblSKU[Tray_Type])</f>
        <v>ST 3XP</v>
      </c>
      <c r="D225" s="182">
        <f>_xlfn.IFNA(_xlfn.XLOOKUP(X225,'00_SKU_Master'!$B$2:$B$379,'00_SKU_Master'!$F$2:$F$379,0)*Y225,"")</f>
        <v>0</v>
      </c>
      <c r="E225" s="182">
        <f>_xlfn.IFNA(_xlfn.XLOOKUP(X225,'00_SKU_Master'!$B$2:$B$379,'00_SKU_Master'!$F$2:$F$379,0)*Z225,"")</f>
        <v>903.20626344261188</v>
      </c>
      <c r="F225" s="182">
        <f>_xlfn.IFNA(_xlfn.XLOOKUP(X225,'00_SKU_Master'!$B$2:$B$379,'00_SKU_Master'!$F$2:$F$379,0)*AA225,"")</f>
        <v>739.76893958156779</v>
      </c>
      <c r="G225" s="182">
        <f>_xlfn.IFNA(_xlfn.XLOOKUP(X225,'00_SKU_Master'!$B$2:$B$379,'00_SKU_Master'!$F$2:$F$379,0)*AB225,"")</f>
        <v>868.79840578765527</v>
      </c>
      <c r="H225" s="182">
        <f>_xlfn.IFNA(_xlfn.XLOOKUP(X225,'00_SKU_Master'!$B$2:$B$379,'00_SKU_Master'!$F$2:$F$379,0)*AC225,"")</f>
        <v>1049.4396584761776</v>
      </c>
      <c r="I225" s="182">
        <f>_xlfn.IFNA(_xlfn.XLOOKUP(X225,'00_SKU_Master'!$B$2:$B$379,'00_SKU_Master'!$F$2:$F$379,0)*AD225,"")</f>
        <v>0</v>
      </c>
      <c r="J225" s="182">
        <f>_xlfn.IFNA(_xlfn.XLOOKUP(X225,'00_SKU_Master'!$B$2:$B$379,'00_SKU_Master'!$F$2:$F$379,0)*AE225,"")</f>
        <v>1187.0710890960042</v>
      </c>
      <c r="K225" s="183">
        <f t="shared" si="15"/>
        <v>4748.284356384017</v>
      </c>
      <c r="L225" s="184" t="str">
        <f>_xlfn.XLOOKUP(X225,'00_SKU_Master'!$B$2:$B$379,'00_SKU_Master'!$K$2:$K$379)</f>
        <v>Fast</v>
      </c>
      <c r="M225" s="185">
        <f t="shared" si="16"/>
        <v>200704</v>
      </c>
      <c r="N225" s="186">
        <f>IFERROR(D225/_xlfn.XLOOKUP($M225,'00_SKU_Master'!$B$2:$B$379,'00_SKU_Master'!$M$2:$M$379,0),"0")</f>
        <v>0</v>
      </c>
      <c r="O225" s="186">
        <f>IFERROR(E225/_xlfn.XLOOKUP($M225,'00_SKU_Master'!$B$2:$B$379,'00_SKU_Master'!$M$2:$M$379,0),"0")</f>
        <v>6.9429338415144271</v>
      </c>
      <c r="P225" s="186">
        <f>IFERROR(F225/_xlfn.XLOOKUP($M225,'00_SKU_Master'!$B$2:$B$379,'00_SKU_Master'!$M$2:$M$379,0),"0")</f>
        <v>5.6865934320975304</v>
      </c>
      <c r="Q225" s="186">
        <f>IFERROR(G225/_xlfn.XLOOKUP($M225,'00_SKU_Master'!$B$2:$B$379,'00_SKU_Master'!$M$2:$M$379,0),"0")</f>
        <v>6.6784411237424495</v>
      </c>
      <c r="R225" s="186">
        <f>IFERROR(H225/_xlfn.XLOOKUP($M225,'00_SKU_Master'!$B$2:$B$379,'00_SKU_Master'!$M$2:$M$379,0),"0")</f>
        <v>8.0670278920453349</v>
      </c>
      <c r="S225" s="186">
        <f>IFERROR(I225/_xlfn.XLOOKUP($M225,'00_SKU_Master'!$B$2:$B$379,'00_SKU_Master'!$M$2:$M$379,0),"0")</f>
        <v>0</v>
      </c>
      <c r="T225" s="186">
        <f>IFERROR(J225/_xlfn.XLOOKUP($M225,'00_SKU_Master'!$B$2:$B$379,'00_SKU_Master'!$M$2:$M$379,0),"0")</f>
        <v>9.124998763133247</v>
      </c>
      <c r="U225" s="186">
        <f t="shared" si="17"/>
        <v>36.499995052532988</v>
      </c>
      <c r="V225" s="186" t="str">
        <f>_xlfn.XLOOKUP(M225,'00_SKU_Master'!$B$2:$B$379,'00_SKU_Master'!$D$2:$D$379)</f>
        <v>FB</v>
      </c>
      <c r="W225" s="1"/>
      <c r="X225" s="2">
        <f>'05_Daily_Orders'!C226</f>
        <v>200704</v>
      </c>
      <c r="Y225" s="289"/>
      <c r="Z225" s="289">
        <v>105</v>
      </c>
      <c r="AA225" s="289">
        <v>86</v>
      </c>
      <c r="AB225" s="289">
        <v>101</v>
      </c>
      <c r="AC225" s="289">
        <v>122</v>
      </c>
      <c r="AD225" s="289">
        <v>0</v>
      </c>
      <c r="AE225" s="289">
        <v>138</v>
      </c>
      <c r="AF225" s="7">
        <f t="shared" si="18"/>
        <v>552</v>
      </c>
      <c r="AQ225" s="70">
        <v>0</v>
      </c>
      <c r="AR225" s="70">
        <v>105</v>
      </c>
      <c r="AS225" s="3">
        <f t="shared" si="19"/>
        <v>105</v>
      </c>
    </row>
    <row r="226" spans="1:45" x14ac:dyDescent="0.35">
      <c r="A226" s="181">
        <f>_xlfn.XLOOKUP(X226,'00_SKU_Master'!$B$2:$B$379,'00_SKU_Master'!$C$2:$C$379)</f>
        <v>61072</v>
      </c>
      <c r="B226" s="181" t="str">
        <f>_xlfn.XLOOKUP(X226,tblSKU[SKU],tblSKU[Product_Group])</f>
        <v>Drum</v>
      </c>
      <c r="C226" s="181" t="str">
        <f>_xlfn.XLOOKUP(X226,tblSKU[SKU],tblSKU[Tray_Type])</f>
        <v>ST 3D</v>
      </c>
      <c r="D226" s="182">
        <f>_xlfn.IFNA(_xlfn.XLOOKUP(X226,'00_SKU_Master'!$B$2:$B$379,'00_SKU_Master'!$F$2:$F$379,0)*Y226,"")</f>
        <v>0</v>
      </c>
      <c r="E226" s="182">
        <f>_xlfn.IFNA(_xlfn.XLOOKUP(X226,'00_SKU_Master'!$B$2:$B$379,'00_SKU_Master'!$F$2:$F$379,0)*Z226,"")</f>
        <v>-7.6876303680981399</v>
      </c>
      <c r="F226" s="182">
        <f>_xlfn.IFNA(_xlfn.XLOOKUP(X226,'00_SKU_Master'!$B$2:$B$379,'00_SKU_Master'!$F$2:$F$379,0)*AA226,"")</f>
        <v>46.125782208588838</v>
      </c>
      <c r="G226" s="182">
        <f>_xlfn.IFNA(_xlfn.XLOOKUP(X226,'00_SKU_Master'!$B$2:$B$379,'00_SKU_Master'!$F$2:$F$379,0)*AB226,"")</f>
        <v>92.251564417177676</v>
      </c>
      <c r="H226" s="182">
        <f>_xlfn.IFNA(_xlfn.XLOOKUP(X226,'00_SKU_Master'!$B$2:$B$379,'00_SKU_Master'!$F$2:$F$379,0)*AC226,"")</f>
        <v>126.8459010736193</v>
      </c>
      <c r="I226" s="182">
        <f>_xlfn.IFNA(_xlfn.XLOOKUP(X226,'00_SKU_Master'!$B$2:$B$379,'00_SKU_Master'!$F$2:$F$379,0)*AD226,"")</f>
        <v>0</v>
      </c>
      <c r="J226" s="182">
        <f>_xlfn.IFNA(_xlfn.XLOOKUP(X226,'00_SKU_Master'!$B$2:$B$379,'00_SKU_Master'!$F$2:$F$379,0)*AE226,"")</f>
        <v>138.37734662576651</v>
      </c>
      <c r="K226" s="183">
        <f t="shared" si="15"/>
        <v>395.91296395705416</v>
      </c>
      <c r="L226" s="184" t="str">
        <f>_xlfn.XLOOKUP(X226,'00_SKU_Master'!$B$2:$B$379,'00_SKU_Master'!$K$2:$K$379)</f>
        <v>Fast</v>
      </c>
      <c r="M226" s="185">
        <f t="shared" si="16"/>
        <v>200705</v>
      </c>
      <c r="N226" s="186">
        <f>IFERROR(D226/_xlfn.XLOOKUP($M226,'00_SKU_Master'!$B$2:$B$379,'00_SKU_Master'!$M$2:$M$379,0),"0")</f>
        <v>0</v>
      </c>
      <c r="O226" s="186">
        <f>IFERROR(E226/_xlfn.XLOOKUP($M226,'00_SKU_Master'!$B$2:$B$379,'00_SKU_Master'!$M$2:$M$379,0),"0")</f>
        <v>-0.10932352628125912</v>
      </c>
      <c r="P226" s="186">
        <f>IFERROR(F226/_xlfn.XLOOKUP($M226,'00_SKU_Master'!$B$2:$B$379,'00_SKU_Master'!$M$2:$M$379,0),"0")</f>
        <v>0.65594115768755468</v>
      </c>
      <c r="Q226" s="186">
        <f>IFERROR(G226/_xlfn.XLOOKUP($M226,'00_SKU_Master'!$B$2:$B$379,'00_SKU_Master'!$M$2:$M$379,0),"0")</f>
        <v>1.3118823153751094</v>
      </c>
      <c r="R226" s="186">
        <f>IFERROR(H226/_xlfn.XLOOKUP($M226,'00_SKU_Master'!$B$2:$B$379,'00_SKU_Master'!$M$2:$M$379,0),"0")</f>
        <v>1.8038381836407753</v>
      </c>
      <c r="S226" s="186">
        <f>IFERROR(I226/_xlfn.XLOOKUP($M226,'00_SKU_Master'!$B$2:$B$379,'00_SKU_Master'!$M$2:$M$379,0),"0")</f>
        <v>0</v>
      </c>
      <c r="T226" s="186">
        <f>IFERROR(J226/_xlfn.XLOOKUP($M226,'00_SKU_Master'!$B$2:$B$379,'00_SKU_Master'!$M$2:$M$379,0),"0")</f>
        <v>1.9678234730626638</v>
      </c>
      <c r="U226" s="186">
        <f t="shared" si="17"/>
        <v>5.6301616034848436</v>
      </c>
      <c r="V226" s="186" t="str">
        <f>_xlfn.XLOOKUP(M226,'00_SKU_Master'!$B$2:$B$379,'00_SKU_Master'!$D$2:$D$379)</f>
        <v>FB</v>
      </c>
      <c r="W226" s="1"/>
      <c r="X226" s="2">
        <f>'05_Daily_Orders'!C227</f>
        <v>200705</v>
      </c>
      <c r="Y226" s="289"/>
      <c r="Z226" s="289">
        <v>-2</v>
      </c>
      <c r="AA226" s="289">
        <v>12</v>
      </c>
      <c r="AB226" s="289">
        <v>24</v>
      </c>
      <c r="AC226" s="289">
        <v>33</v>
      </c>
      <c r="AD226" s="289">
        <v>0</v>
      </c>
      <c r="AE226" s="289">
        <v>36</v>
      </c>
      <c r="AF226" s="7">
        <f t="shared" si="18"/>
        <v>103</v>
      </c>
      <c r="AQ226" s="70">
        <v>2</v>
      </c>
      <c r="AR226" s="70">
        <v>0</v>
      </c>
      <c r="AS226" s="3">
        <f t="shared" si="19"/>
        <v>-2</v>
      </c>
    </row>
    <row r="227" spans="1:45" x14ac:dyDescent="0.35">
      <c r="A227" s="181" t="str">
        <f>_xlfn.XLOOKUP(X227,'00_SKU_Master'!$B$2:$B$379,'00_SKU_Master'!$C$2:$C$379)</f>
        <v>61086F</v>
      </c>
      <c r="B227" s="181" t="str">
        <f>_xlfn.XLOOKUP(X227,tblSKU[SKU],tblSKU[Product_Group])</f>
        <v>ThighMeat</v>
      </c>
      <c r="C227" s="181" t="str">
        <f>_xlfn.XLOOKUP(X227,tblSKU[SKU],tblSKU[Tray_Type])</f>
        <v>ST 3D</v>
      </c>
      <c r="D227" s="182">
        <f>_xlfn.IFNA(_xlfn.XLOOKUP(X227,'00_SKU_Master'!$B$2:$B$379,'00_SKU_Master'!$F$2:$F$379,0)*Y227,"")</f>
        <v>0</v>
      </c>
      <c r="E227" s="182">
        <f>_xlfn.IFNA(_xlfn.XLOOKUP(X227,'00_SKU_Master'!$B$2:$B$379,'00_SKU_Master'!$F$2:$F$379,0)*Z227,"")</f>
        <v>24.807899189918942</v>
      </c>
      <c r="F227" s="182">
        <f>_xlfn.IFNA(_xlfn.XLOOKUP(X227,'00_SKU_Master'!$B$2:$B$379,'00_SKU_Master'!$F$2:$F$379,0)*AA227,"")</f>
        <v>173.65529432943259</v>
      </c>
      <c r="G227" s="182">
        <f>_xlfn.IFNA(_xlfn.XLOOKUP(X227,'00_SKU_Master'!$B$2:$B$379,'00_SKU_Master'!$F$2:$F$379,0)*AB227,"")</f>
        <v>215.00179297929748</v>
      </c>
      <c r="H227" s="182">
        <f>_xlfn.IFNA(_xlfn.XLOOKUP(X227,'00_SKU_Master'!$B$2:$B$379,'00_SKU_Master'!$F$2:$F$379,0)*AC227,"")</f>
        <v>231.54039243924345</v>
      </c>
      <c r="I227" s="182">
        <f>_xlfn.IFNA(_xlfn.XLOOKUP(X227,'00_SKU_Master'!$B$2:$B$379,'00_SKU_Master'!$F$2:$F$379,0)*AD227,"")</f>
        <v>0</v>
      </c>
      <c r="J227" s="182">
        <f>_xlfn.IFNA(_xlfn.XLOOKUP(X227,'00_SKU_Master'!$B$2:$B$379,'00_SKU_Master'!$F$2:$F$379,0)*AE227,"")</f>
        <v>268.75224122412186</v>
      </c>
      <c r="K227" s="183">
        <f t="shared" si="15"/>
        <v>913.75762016201429</v>
      </c>
      <c r="L227" s="184" t="str">
        <f>_xlfn.XLOOKUP(X227,'00_SKU_Master'!$B$2:$B$379,'00_SKU_Master'!$K$2:$K$379)</f>
        <v>Slow</v>
      </c>
      <c r="M227" s="185">
        <f t="shared" si="16"/>
        <v>200706</v>
      </c>
      <c r="N227" s="186">
        <f>IFERROR(D227/_xlfn.XLOOKUP($M227,'00_SKU_Master'!$B$2:$B$379,'00_SKU_Master'!$M$2:$M$379,0),"0")</f>
        <v>0</v>
      </c>
      <c r="O227" s="186">
        <f>IFERROR(E227/_xlfn.XLOOKUP($M227,'00_SKU_Master'!$B$2:$B$379,'00_SKU_Master'!$M$2:$M$379,0),"0")</f>
        <v>0.97900154656349414</v>
      </c>
      <c r="P227" s="186">
        <f>IFERROR(F227/_xlfn.XLOOKUP($M227,'00_SKU_Master'!$B$2:$B$379,'00_SKU_Master'!$M$2:$M$379,0),"0")</f>
        <v>6.8530108259444589</v>
      </c>
      <c r="Q227" s="186">
        <f>IFERROR(G227/_xlfn.XLOOKUP($M227,'00_SKU_Master'!$B$2:$B$379,'00_SKU_Master'!$M$2:$M$379,0),"0")</f>
        <v>8.4846800702169478</v>
      </c>
      <c r="R227" s="186">
        <f>IFERROR(H227/_xlfn.XLOOKUP($M227,'00_SKU_Master'!$B$2:$B$379,'00_SKU_Master'!$M$2:$M$379,0),"0")</f>
        <v>9.1373477679259452</v>
      </c>
      <c r="S227" s="186">
        <f>IFERROR(I227/_xlfn.XLOOKUP($M227,'00_SKU_Master'!$B$2:$B$379,'00_SKU_Master'!$M$2:$M$379,0),"0")</f>
        <v>0</v>
      </c>
      <c r="T227" s="186">
        <f>IFERROR(J227/_xlfn.XLOOKUP($M227,'00_SKU_Master'!$B$2:$B$379,'00_SKU_Master'!$M$2:$M$379,0),"0")</f>
        <v>10.605850087771186</v>
      </c>
      <c r="U227" s="186">
        <f t="shared" si="17"/>
        <v>36.059890298422033</v>
      </c>
      <c r="V227" s="186" t="str">
        <f>_xlfn.XLOOKUP(M227,'00_SKU_Master'!$B$2:$B$379,'00_SKU_Master'!$D$2:$D$379)</f>
        <v>FB</v>
      </c>
      <c r="W227" s="1"/>
      <c r="X227" s="2">
        <f>'05_Daily_Orders'!C228</f>
        <v>200706</v>
      </c>
      <c r="Y227" s="289"/>
      <c r="Z227" s="289">
        <v>6</v>
      </c>
      <c r="AA227" s="289">
        <v>42</v>
      </c>
      <c r="AB227" s="289">
        <v>52</v>
      </c>
      <c r="AC227" s="289">
        <v>56</v>
      </c>
      <c r="AD227" s="289">
        <v>0</v>
      </c>
      <c r="AE227" s="289">
        <v>65</v>
      </c>
      <c r="AF227" s="7">
        <f t="shared" si="18"/>
        <v>221</v>
      </c>
      <c r="AQ227" s="70">
        <v>0</v>
      </c>
      <c r="AR227" s="70">
        <v>6</v>
      </c>
      <c r="AS227" s="3">
        <f t="shared" si="19"/>
        <v>6</v>
      </c>
    </row>
    <row r="228" spans="1:45" x14ac:dyDescent="0.35">
      <c r="A228" s="181">
        <f>_xlfn.XLOOKUP(X228,'00_SKU_Master'!$B$2:$B$379,'00_SKU_Master'!$C$2:$C$379)</f>
        <v>61077</v>
      </c>
      <c r="B228" s="181" t="str">
        <f>_xlfn.XLOOKUP(X228,tblSKU[SKU],tblSKU[Product_Group])</f>
        <v>Thigh</v>
      </c>
      <c r="C228" s="181" t="str">
        <f>_xlfn.XLOOKUP(X228,tblSKU[SKU],tblSKU[Tray_Type])</f>
        <v>ST 3D</v>
      </c>
      <c r="D228" s="182">
        <f>_xlfn.IFNA(_xlfn.XLOOKUP(X228,'00_SKU_Master'!$B$2:$B$379,'00_SKU_Master'!$F$2:$F$379,0)*Y228,"")</f>
        <v>0</v>
      </c>
      <c r="E228" s="182">
        <f>_xlfn.IFNA(_xlfn.XLOOKUP(X228,'00_SKU_Master'!$B$2:$B$379,'00_SKU_Master'!$F$2:$F$379,0)*Z228,"")</f>
        <v>106.69005743000699</v>
      </c>
      <c r="F228" s="182">
        <f>_xlfn.IFNA(_xlfn.XLOOKUP(X228,'00_SKU_Master'!$B$2:$B$379,'00_SKU_Master'!$F$2:$F$379,0)*AA228,"")</f>
        <v>55.478829863603636</v>
      </c>
      <c r="G228" s="182">
        <f>_xlfn.IFNA(_xlfn.XLOOKUP(X228,'00_SKU_Master'!$B$2:$B$379,'00_SKU_Master'!$F$2:$F$379,0)*AB228,"")</f>
        <v>68.281636755204474</v>
      </c>
      <c r="H228" s="182">
        <f>_xlfn.IFNA(_xlfn.XLOOKUP(X228,'00_SKU_Master'!$B$2:$B$379,'00_SKU_Master'!$F$2:$F$379,0)*AC228,"")</f>
        <v>110.95765972720727</v>
      </c>
      <c r="I228" s="182">
        <f>_xlfn.IFNA(_xlfn.XLOOKUP(X228,'00_SKU_Master'!$B$2:$B$379,'00_SKU_Master'!$F$2:$F$379,0)*AD228,"")</f>
        <v>0</v>
      </c>
      <c r="J228" s="182">
        <f>_xlfn.IFNA(_xlfn.XLOOKUP(X228,'00_SKU_Master'!$B$2:$B$379,'00_SKU_Master'!$F$2:$F$379,0)*AE228,"")</f>
        <v>119.49286432160783</v>
      </c>
      <c r="K228" s="183">
        <f t="shared" si="15"/>
        <v>460.90104809763022</v>
      </c>
      <c r="L228" s="184" t="str">
        <f>_xlfn.XLOOKUP(X228,'00_SKU_Master'!$B$2:$B$379,'00_SKU_Master'!$K$2:$K$379)</f>
        <v>Fast</v>
      </c>
      <c r="M228" s="185">
        <f t="shared" si="16"/>
        <v>200707</v>
      </c>
      <c r="N228" s="186">
        <f>IFERROR(D228/_xlfn.XLOOKUP($M228,'00_SKU_Master'!$B$2:$B$379,'00_SKU_Master'!$M$2:$M$379,0),"0")</f>
        <v>0</v>
      </c>
      <c r="O228" s="186">
        <f>IFERROR(E228/_xlfn.XLOOKUP($M228,'00_SKU_Master'!$B$2:$B$379,'00_SKU_Master'!$M$2:$M$379,0),"0")</f>
        <v>2.0862349908096789</v>
      </c>
      <c r="P228" s="186">
        <f>IFERROR(F228/_xlfn.XLOOKUP($M228,'00_SKU_Master'!$B$2:$B$379,'00_SKU_Master'!$M$2:$M$379,0),"0")</f>
        <v>1.0848421952210332</v>
      </c>
      <c r="Q228" s="186">
        <f>IFERROR(G228/_xlfn.XLOOKUP($M228,'00_SKU_Master'!$B$2:$B$379,'00_SKU_Master'!$M$2:$M$379,0),"0")</f>
        <v>1.3351903941181946</v>
      </c>
      <c r="R228" s="186">
        <f>IFERROR(H228/_xlfn.XLOOKUP($M228,'00_SKU_Master'!$B$2:$B$379,'00_SKU_Master'!$M$2:$M$379,0),"0")</f>
        <v>2.1696843904420664</v>
      </c>
      <c r="S228" s="186">
        <f>IFERROR(I228/_xlfn.XLOOKUP($M228,'00_SKU_Master'!$B$2:$B$379,'00_SKU_Master'!$M$2:$M$379,0),"0")</f>
        <v>0</v>
      </c>
      <c r="T228" s="186">
        <f>IFERROR(J228/_xlfn.XLOOKUP($M228,'00_SKU_Master'!$B$2:$B$379,'00_SKU_Master'!$M$2:$M$379,0),"0")</f>
        <v>2.3365831897068405</v>
      </c>
      <c r="U228" s="186">
        <f t="shared" si="17"/>
        <v>9.0125351602978139</v>
      </c>
      <c r="V228" s="186" t="str">
        <f>_xlfn.XLOOKUP(M228,'00_SKU_Master'!$B$2:$B$379,'00_SKU_Master'!$D$2:$D$379)</f>
        <v>FB</v>
      </c>
      <c r="W228" s="1"/>
      <c r="X228" s="2">
        <f>'05_Daily_Orders'!C229</f>
        <v>200707</v>
      </c>
      <c r="Y228" s="289"/>
      <c r="Z228" s="289">
        <v>25</v>
      </c>
      <c r="AA228" s="289">
        <v>13</v>
      </c>
      <c r="AB228" s="289">
        <v>16</v>
      </c>
      <c r="AC228" s="289">
        <v>26</v>
      </c>
      <c r="AD228" s="289">
        <v>0</v>
      </c>
      <c r="AE228" s="289">
        <v>28</v>
      </c>
      <c r="AF228" s="7">
        <f t="shared" si="18"/>
        <v>108</v>
      </c>
      <c r="AQ228" s="70">
        <v>0</v>
      </c>
      <c r="AR228" s="70">
        <v>25</v>
      </c>
      <c r="AS228" s="3">
        <f t="shared" si="19"/>
        <v>25</v>
      </c>
    </row>
    <row r="229" spans="1:45" x14ac:dyDescent="0.35">
      <c r="A229" s="181">
        <f>_xlfn.XLOOKUP(X229,'00_SKU_Master'!$B$2:$B$379,'00_SKU_Master'!$C$2:$C$379)</f>
        <v>61014</v>
      </c>
      <c r="B229" s="181" t="str">
        <f>_xlfn.XLOOKUP(X229,tblSKU[SKU],tblSKU[Product_Group])</f>
        <v>SplitWing</v>
      </c>
      <c r="C229" s="181" t="str">
        <f>_xlfn.XLOOKUP(X229,tblSKU[SKU],tblSKU[Tray_Type])</f>
        <v>ST 3D</v>
      </c>
      <c r="D229" s="182">
        <f>_xlfn.IFNA(_xlfn.XLOOKUP(X229,'00_SKU_Master'!$B$2:$B$379,'00_SKU_Master'!$F$2:$F$379,0)*Y229,"")</f>
        <v>0</v>
      </c>
      <c r="E229" s="182">
        <f>_xlfn.IFNA(_xlfn.XLOOKUP(X229,'00_SKU_Master'!$B$2:$B$379,'00_SKU_Master'!$F$2:$F$379,0)*Z229,"")</f>
        <v>0</v>
      </c>
      <c r="F229" s="182">
        <f>_xlfn.IFNA(_xlfn.XLOOKUP(X229,'00_SKU_Master'!$B$2:$B$379,'00_SKU_Master'!$F$2:$F$379,0)*AA229,"")</f>
        <v>0</v>
      </c>
      <c r="G229" s="182">
        <f>_xlfn.IFNA(_xlfn.XLOOKUP(X229,'00_SKU_Master'!$B$2:$B$379,'00_SKU_Master'!$F$2:$F$379,0)*AB229,"")</f>
        <v>0</v>
      </c>
      <c r="H229" s="182">
        <f>_xlfn.IFNA(_xlfn.XLOOKUP(X229,'00_SKU_Master'!$B$2:$B$379,'00_SKU_Master'!$F$2:$F$379,0)*AC229,"")</f>
        <v>0</v>
      </c>
      <c r="I229" s="182">
        <f>_xlfn.IFNA(_xlfn.XLOOKUP(X229,'00_SKU_Master'!$B$2:$B$379,'00_SKU_Master'!$F$2:$F$379,0)*AD229,"")</f>
        <v>0</v>
      </c>
      <c r="J229" s="182">
        <f>_xlfn.IFNA(_xlfn.XLOOKUP(X229,'00_SKU_Master'!$B$2:$B$379,'00_SKU_Master'!$F$2:$F$379,0)*AE229,"")</f>
        <v>0</v>
      </c>
      <c r="K229" s="183">
        <f t="shared" si="15"/>
        <v>0</v>
      </c>
      <c r="L229" s="184" t="str">
        <f>_xlfn.XLOOKUP(X229,'00_SKU_Master'!$B$2:$B$379,'00_SKU_Master'!$K$2:$K$379)</f>
        <v>Slow</v>
      </c>
      <c r="M229" s="185">
        <f t="shared" si="16"/>
        <v>200708</v>
      </c>
      <c r="N229" s="186">
        <f>IFERROR(D229/_xlfn.XLOOKUP($M229,'00_SKU_Master'!$B$2:$B$379,'00_SKU_Master'!$M$2:$M$379,0),"0")</f>
        <v>0</v>
      </c>
      <c r="O229" s="186">
        <f>IFERROR(E229/_xlfn.XLOOKUP($M229,'00_SKU_Master'!$B$2:$B$379,'00_SKU_Master'!$M$2:$M$379,0),"0")</f>
        <v>0</v>
      </c>
      <c r="P229" s="186">
        <f>IFERROR(F229/_xlfn.XLOOKUP($M229,'00_SKU_Master'!$B$2:$B$379,'00_SKU_Master'!$M$2:$M$379,0),"0")</f>
        <v>0</v>
      </c>
      <c r="Q229" s="186">
        <f>IFERROR(G229/_xlfn.XLOOKUP($M229,'00_SKU_Master'!$B$2:$B$379,'00_SKU_Master'!$M$2:$M$379,0),"0")</f>
        <v>0</v>
      </c>
      <c r="R229" s="186">
        <f>IFERROR(H229/_xlfn.XLOOKUP($M229,'00_SKU_Master'!$B$2:$B$379,'00_SKU_Master'!$M$2:$M$379,0),"0")</f>
        <v>0</v>
      </c>
      <c r="S229" s="186">
        <f>IFERROR(I229/_xlfn.XLOOKUP($M229,'00_SKU_Master'!$B$2:$B$379,'00_SKU_Master'!$M$2:$M$379,0),"0")</f>
        <v>0</v>
      </c>
      <c r="T229" s="186">
        <f>IFERROR(J229/_xlfn.XLOOKUP($M229,'00_SKU_Master'!$B$2:$B$379,'00_SKU_Master'!$M$2:$M$379,0),"0")</f>
        <v>0</v>
      </c>
      <c r="U229" s="186">
        <f t="shared" si="17"/>
        <v>0</v>
      </c>
      <c r="V229" s="186" t="str">
        <f>_xlfn.XLOOKUP(M229,'00_SKU_Master'!$B$2:$B$379,'00_SKU_Master'!$D$2:$D$379)</f>
        <v>FB</v>
      </c>
      <c r="W229" s="1"/>
      <c r="X229" s="2">
        <f>'05_Daily_Orders'!C230</f>
        <v>200708</v>
      </c>
      <c r="Y229" s="289"/>
      <c r="Z229" s="289">
        <v>0</v>
      </c>
      <c r="AA229" s="289">
        <v>0</v>
      </c>
      <c r="AB229" s="289">
        <v>0</v>
      </c>
      <c r="AC229" s="289">
        <v>0</v>
      </c>
      <c r="AD229" s="289">
        <v>0</v>
      </c>
      <c r="AE229" s="289">
        <v>0</v>
      </c>
      <c r="AF229" s="7">
        <f t="shared" si="18"/>
        <v>0</v>
      </c>
      <c r="AQ229" s="70">
        <v>0</v>
      </c>
      <c r="AR229" s="70">
        <v>0</v>
      </c>
      <c r="AS229" s="3">
        <f t="shared" si="19"/>
        <v>0</v>
      </c>
    </row>
    <row r="230" spans="1:45" x14ac:dyDescent="0.35">
      <c r="A230" s="181" t="str">
        <f>_xlfn.XLOOKUP(X230,'00_SKU_Master'!$B$2:$B$379,'00_SKU_Master'!$C$2:$C$379)</f>
        <v>61050F</v>
      </c>
      <c r="B230" s="181" t="str">
        <f>_xlfn.XLOOKUP(X230,tblSKU[SKU],tblSKU[Product_Group])</f>
        <v>BSB</v>
      </c>
      <c r="C230" s="181" t="str">
        <f>_xlfn.XLOOKUP(X230,tblSKU[SKU],tblSKU[Tray_Type])</f>
        <v>ST 3D</v>
      </c>
      <c r="D230" s="182">
        <f>_xlfn.IFNA(_xlfn.XLOOKUP(X230,'00_SKU_Master'!$B$2:$B$379,'00_SKU_Master'!$F$2:$F$379,0)*Y230,"")</f>
        <v>0</v>
      </c>
      <c r="E230" s="182">
        <f>_xlfn.IFNA(_xlfn.XLOOKUP(X230,'00_SKU_Master'!$B$2:$B$379,'00_SKU_Master'!$F$2:$F$379,0)*Z230,"")</f>
        <v>7.5687503266607399</v>
      </c>
      <c r="F230" s="182">
        <f>_xlfn.IFNA(_xlfn.XLOOKUP(X230,'00_SKU_Master'!$B$2:$B$379,'00_SKU_Master'!$F$2:$F$379,0)*AA230,"")</f>
        <v>662.26565358281471</v>
      </c>
      <c r="G230" s="182">
        <f>_xlfn.IFNA(_xlfn.XLOOKUP(X230,'00_SKU_Master'!$B$2:$B$379,'00_SKU_Master'!$F$2:$F$379,0)*AB230,"")</f>
        <v>454.12501959964442</v>
      </c>
      <c r="H230" s="182">
        <f>_xlfn.IFNA(_xlfn.XLOOKUP(X230,'00_SKU_Master'!$B$2:$B$379,'00_SKU_Master'!$F$2:$F$379,0)*AC230,"")</f>
        <v>0</v>
      </c>
      <c r="I230" s="182">
        <f>_xlfn.IFNA(_xlfn.XLOOKUP(X230,'00_SKU_Master'!$B$2:$B$379,'00_SKU_Master'!$F$2:$F$379,0)*AD230,"")</f>
        <v>359.51564051638513</v>
      </c>
      <c r="J230" s="182">
        <f>_xlfn.IFNA(_xlfn.XLOOKUP(X230,'00_SKU_Master'!$B$2:$B$379,'00_SKU_Master'!$F$2:$F$379,0)*AE230,"")</f>
        <v>0</v>
      </c>
      <c r="K230" s="183">
        <f t="shared" si="15"/>
        <v>1483.4750640255052</v>
      </c>
      <c r="L230" s="184" t="str">
        <f>_xlfn.XLOOKUP(X230,'00_SKU_Master'!$B$2:$B$379,'00_SKU_Master'!$K$2:$K$379)</f>
        <v>Fast</v>
      </c>
      <c r="M230" s="185">
        <f t="shared" si="16"/>
        <v>200709</v>
      </c>
      <c r="N230" s="186">
        <f>IFERROR(D230/_xlfn.XLOOKUP($M230,'00_SKU_Master'!$B$2:$B$379,'00_SKU_Master'!$M$2:$M$379,0),"0")</f>
        <v>0</v>
      </c>
      <c r="O230" s="186">
        <f>IFERROR(E230/_xlfn.XLOOKUP($M230,'00_SKU_Master'!$B$2:$B$379,'00_SKU_Master'!$M$2:$M$379,0),"0")</f>
        <v>0.10004957470800713</v>
      </c>
      <c r="P230" s="186">
        <f>IFERROR(F230/_xlfn.XLOOKUP($M230,'00_SKU_Master'!$B$2:$B$379,'00_SKU_Master'!$M$2:$M$379,0),"0")</f>
        <v>8.7543377869506234</v>
      </c>
      <c r="Q230" s="186">
        <f>IFERROR(G230/_xlfn.XLOOKUP($M230,'00_SKU_Master'!$B$2:$B$379,'00_SKU_Master'!$M$2:$M$379,0),"0")</f>
        <v>6.0029744824804281</v>
      </c>
      <c r="R230" s="186">
        <f>IFERROR(H230/_xlfn.XLOOKUP($M230,'00_SKU_Master'!$B$2:$B$379,'00_SKU_Master'!$M$2:$M$379,0),"0")</f>
        <v>0</v>
      </c>
      <c r="S230" s="186">
        <f>IFERROR(I230/_xlfn.XLOOKUP($M230,'00_SKU_Master'!$B$2:$B$379,'00_SKU_Master'!$M$2:$M$379,0),"0")</f>
        <v>4.7523547986303383</v>
      </c>
      <c r="T230" s="186">
        <f>IFERROR(J230/_xlfn.XLOOKUP($M230,'00_SKU_Master'!$B$2:$B$379,'00_SKU_Master'!$M$2:$M$379,0),"0")</f>
        <v>0</v>
      </c>
      <c r="U230" s="186">
        <f t="shared" si="17"/>
        <v>19.609716642769399</v>
      </c>
      <c r="V230" s="186" t="str">
        <f>_xlfn.XLOOKUP(M230,'00_SKU_Master'!$B$2:$B$379,'00_SKU_Master'!$D$2:$D$379)</f>
        <v>METRO</v>
      </c>
      <c r="W230" s="1"/>
      <c r="X230" s="2">
        <f>'05_Daily_Orders'!C231</f>
        <v>200709</v>
      </c>
      <c r="Y230" s="289"/>
      <c r="Z230" s="289">
        <v>2</v>
      </c>
      <c r="AA230" s="289">
        <v>175</v>
      </c>
      <c r="AB230" s="289">
        <v>120</v>
      </c>
      <c r="AC230" s="289">
        <v>0</v>
      </c>
      <c r="AD230" s="289">
        <v>95</v>
      </c>
      <c r="AE230" s="289">
        <v>0</v>
      </c>
      <c r="AF230" s="7">
        <f t="shared" si="18"/>
        <v>392</v>
      </c>
      <c r="AQ230" s="70">
        <v>0</v>
      </c>
      <c r="AR230" s="70">
        <v>2</v>
      </c>
      <c r="AS230" s="3">
        <f t="shared" si="19"/>
        <v>2</v>
      </c>
    </row>
    <row r="231" spans="1:45" x14ac:dyDescent="0.35">
      <c r="A231" s="181">
        <f>_xlfn.XLOOKUP(X231,'00_SKU_Master'!$B$2:$B$379,'00_SKU_Master'!$C$2:$C$379)</f>
        <v>203021</v>
      </c>
      <c r="B231" s="181" t="str">
        <f>_xlfn.XLOOKUP(X231,tblSKU[SKU],tblSKU[Product_Group])</f>
        <v>Whole Bird-Small</v>
      </c>
      <c r="C231" s="181" t="str">
        <f>_xlfn.XLOOKUP(X231,tblSKU[SKU],tblSKU[Tray_Type])</f>
        <v>ST 3XP</v>
      </c>
      <c r="D231" s="182">
        <f>_xlfn.IFNA(_xlfn.XLOOKUP(X231,'00_SKU_Master'!$B$2:$B$379,'00_SKU_Master'!$F$2:$F$379,0)*Y231,"")</f>
        <v>0</v>
      </c>
      <c r="E231" s="182">
        <f>_xlfn.IFNA(_xlfn.XLOOKUP(X231,'00_SKU_Master'!$B$2:$B$379,'00_SKU_Master'!$F$2:$F$379,0)*Z231,"")</f>
        <v>427.77171406610302</v>
      </c>
      <c r="F231" s="182">
        <f>_xlfn.IFNA(_xlfn.XLOOKUP(X231,'00_SKU_Master'!$B$2:$B$379,'00_SKU_Master'!$F$2:$F$379,0)*AA231,"")</f>
        <v>427.77171406610302</v>
      </c>
      <c r="G231" s="182">
        <f>_xlfn.IFNA(_xlfn.XLOOKUP(X231,'00_SKU_Master'!$B$2:$B$379,'00_SKU_Master'!$F$2:$F$379,0)*AB231,"")</f>
        <v>427.77171406610302</v>
      </c>
      <c r="H231" s="182">
        <f>_xlfn.IFNA(_xlfn.XLOOKUP(X231,'00_SKU_Master'!$B$2:$B$379,'00_SKU_Master'!$F$2:$F$379,0)*AC231,"")</f>
        <v>0</v>
      </c>
      <c r="I231" s="182">
        <f>_xlfn.IFNA(_xlfn.XLOOKUP(X231,'00_SKU_Master'!$B$2:$B$379,'00_SKU_Master'!$F$2:$F$379,0)*AD231,"")</f>
        <v>256.66302843966184</v>
      </c>
      <c r="J231" s="182">
        <f>_xlfn.IFNA(_xlfn.XLOOKUP(X231,'00_SKU_Master'!$B$2:$B$379,'00_SKU_Master'!$F$2:$F$379,0)*AE231,"")</f>
        <v>0</v>
      </c>
      <c r="K231" s="183">
        <f t="shared" si="15"/>
        <v>1539.9781706379708</v>
      </c>
      <c r="L231" s="184" t="str">
        <f>_xlfn.XLOOKUP(X231,'00_SKU_Master'!$B$2:$B$379,'00_SKU_Master'!$K$2:$K$379)</f>
        <v>Fast</v>
      </c>
      <c r="M231" s="185">
        <f t="shared" si="16"/>
        <v>200710</v>
      </c>
      <c r="N231" s="186">
        <f>IFERROR(D231/_xlfn.XLOOKUP($M231,'00_SKU_Master'!$B$2:$B$379,'00_SKU_Master'!$M$2:$M$379,0),"0")</f>
        <v>0</v>
      </c>
      <c r="O231" s="186">
        <f>IFERROR(E231/_xlfn.XLOOKUP($M231,'00_SKU_Master'!$B$2:$B$379,'00_SKU_Master'!$M$2:$M$379,0),"0")</f>
        <v>3.288275148482612</v>
      </c>
      <c r="P231" s="186">
        <f>IFERROR(F231/_xlfn.XLOOKUP($M231,'00_SKU_Master'!$B$2:$B$379,'00_SKU_Master'!$M$2:$M$379,0),"0")</f>
        <v>3.288275148482612</v>
      </c>
      <c r="Q231" s="186">
        <f>IFERROR(G231/_xlfn.XLOOKUP($M231,'00_SKU_Master'!$B$2:$B$379,'00_SKU_Master'!$M$2:$M$379,0),"0")</f>
        <v>3.288275148482612</v>
      </c>
      <c r="R231" s="186">
        <f>IFERROR(H231/_xlfn.XLOOKUP($M231,'00_SKU_Master'!$B$2:$B$379,'00_SKU_Master'!$M$2:$M$379,0),"0")</f>
        <v>0</v>
      </c>
      <c r="S231" s="186">
        <f>IFERROR(I231/_xlfn.XLOOKUP($M231,'00_SKU_Master'!$B$2:$B$379,'00_SKU_Master'!$M$2:$M$379,0),"0")</f>
        <v>1.9729650890895676</v>
      </c>
      <c r="T231" s="186">
        <f>IFERROR(J231/_xlfn.XLOOKUP($M231,'00_SKU_Master'!$B$2:$B$379,'00_SKU_Master'!$M$2:$M$379,0),"0")</f>
        <v>0</v>
      </c>
      <c r="U231" s="186">
        <f t="shared" si="17"/>
        <v>11.837790534537405</v>
      </c>
      <c r="V231" s="186" t="str">
        <f>_xlfn.XLOOKUP(M231,'00_SKU_Master'!$B$2:$B$379,'00_SKU_Master'!$D$2:$D$379)</f>
        <v>METRO</v>
      </c>
      <c r="W231" s="1"/>
      <c r="X231" s="2">
        <f>'05_Daily_Orders'!C232</f>
        <v>200710</v>
      </c>
      <c r="Y231" s="289"/>
      <c r="Z231" s="289">
        <v>50</v>
      </c>
      <c r="AA231" s="289">
        <v>50</v>
      </c>
      <c r="AB231" s="289">
        <v>50</v>
      </c>
      <c r="AC231" s="289">
        <v>0</v>
      </c>
      <c r="AD231" s="289">
        <v>30</v>
      </c>
      <c r="AE231" s="289">
        <v>0</v>
      </c>
      <c r="AF231" s="7">
        <f t="shared" si="18"/>
        <v>180</v>
      </c>
      <c r="AQ231" s="70">
        <v>0</v>
      </c>
      <c r="AR231" s="70">
        <v>50</v>
      </c>
      <c r="AS231" s="3">
        <f t="shared" si="19"/>
        <v>50</v>
      </c>
    </row>
    <row r="232" spans="1:45" x14ac:dyDescent="0.35">
      <c r="A232" s="181">
        <f>_xlfn.XLOOKUP(X232,'00_SKU_Master'!$B$2:$B$379,'00_SKU_Master'!$C$2:$C$379)</f>
        <v>61072</v>
      </c>
      <c r="B232" s="181" t="str">
        <f>_xlfn.XLOOKUP(X232,tblSKU[SKU],tblSKU[Product_Group])</f>
        <v>Drum</v>
      </c>
      <c r="C232" s="181" t="str">
        <f>_xlfn.XLOOKUP(X232,tblSKU[SKU],tblSKU[Tray_Type])</f>
        <v>ST 3D</v>
      </c>
      <c r="D232" s="182">
        <f>_xlfn.IFNA(_xlfn.XLOOKUP(X232,'00_SKU_Master'!$B$2:$B$379,'00_SKU_Master'!$F$2:$F$379,0)*Y232,"")</f>
        <v>0</v>
      </c>
      <c r="E232" s="182">
        <f>_xlfn.IFNA(_xlfn.XLOOKUP(X232,'00_SKU_Master'!$B$2:$B$379,'00_SKU_Master'!$F$2:$F$379,0)*Z232,"")</f>
        <v>0</v>
      </c>
      <c r="F232" s="182">
        <f>_xlfn.IFNA(_xlfn.XLOOKUP(X232,'00_SKU_Master'!$B$2:$B$379,'00_SKU_Master'!$F$2:$F$379,0)*AA232,"")</f>
        <v>233.0197365579786</v>
      </c>
      <c r="G232" s="182">
        <f>_xlfn.IFNA(_xlfn.XLOOKUP(X232,'00_SKU_Master'!$B$2:$B$379,'00_SKU_Master'!$F$2:$F$379,0)*AB232,"")</f>
        <v>233.0197365579786</v>
      </c>
      <c r="H232" s="182">
        <f>_xlfn.IFNA(_xlfn.XLOOKUP(X232,'00_SKU_Master'!$B$2:$B$379,'00_SKU_Master'!$F$2:$F$379,0)*AC232,"")</f>
        <v>0</v>
      </c>
      <c r="I232" s="182">
        <f>_xlfn.IFNA(_xlfn.XLOOKUP(X232,'00_SKU_Master'!$B$2:$B$379,'00_SKU_Master'!$F$2:$F$379,0)*AD232,"")</f>
        <v>116.5098682789893</v>
      </c>
      <c r="J232" s="182">
        <f>_xlfn.IFNA(_xlfn.XLOOKUP(X232,'00_SKU_Master'!$B$2:$B$379,'00_SKU_Master'!$F$2:$F$379,0)*AE232,"")</f>
        <v>0</v>
      </c>
      <c r="K232" s="183">
        <f t="shared" si="15"/>
        <v>582.54934139494651</v>
      </c>
      <c r="L232" s="184" t="str">
        <f>_xlfn.XLOOKUP(X232,'00_SKU_Master'!$B$2:$B$379,'00_SKU_Master'!$K$2:$K$379)</f>
        <v>Fast</v>
      </c>
      <c r="M232" s="185">
        <f t="shared" si="16"/>
        <v>200711</v>
      </c>
      <c r="N232" s="186">
        <f>IFERROR(D232/_xlfn.XLOOKUP($M232,'00_SKU_Master'!$B$2:$B$379,'00_SKU_Master'!$M$2:$M$379,0),"0")</f>
        <v>0</v>
      </c>
      <c r="O232" s="186">
        <f>IFERROR(E232/_xlfn.XLOOKUP($M232,'00_SKU_Master'!$B$2:$B$379,'00_SKU_Master'!$M$2:$M$379,0),"0")</f>
        <v>0</v>
      </c>
      <c r="P232" s="186">
        <f>IFERROR(F232/_xlfn.XLOOKUP($M232,'00_SKU_Master'!$B$2:$B$379,'00_SKU_Master'!$M$2:$M$379,0),"0")</f>
        <v>3.3137050136231316</v>
      </c>
      <c r="Q232" s="186">
        <f>IFERROR(G232/_xlfn.XLOOKUP($M232,'00_SKU_Master'!$B$2:$B$379,'00_SKU_Master'!$M$2:$M$379,0),"0")</f>
        <v>3.3137050136231316</v>
      </c>
      <c r="R232" s="186">
        <f>IFERROR(H232/_xlfn.XLOOKUP($M232,'00_SKU_Master'!$B$2:$B$379,'00_SKU_Master'!$M$2:$M$379,0),"0")</f>
        <v>0</v>
      </c>
      <c r="S232" s="186">
        <f>IFERROR(I232/_xlfn.XLOOKUP($M232,'00_SKU_Master'!$B$2:$B$379,'00_SKU_Master'!$M$2:$M$379,0),"0")</f>
        <v>1.6568525068115658</v>
      </c>
      <c r="T232" s="186">
        <f>IFERROR(J232/_xlfn.XLOOKUP($M232,'00_SKU_Master'!$B$2:$B$379,'00_SKU_Master'!$M$2:$M$379,0),"0")</f>
        <v>0</v>
      </c>
      <c r="U232" s="186">
        <f t="shared" si="17"/>
        <v>8.2842625340578291</v>
      </c>
      <c r="V232" s="186" t="str">
        <f>_xlfn.XLOOKUP(M232,'00_SKU_Master'!$B$2:$B$379,'00_SKU_Master'!$D$2:$D$379)</f>
        <v>METRO</v>
      </c>
      <c r="W232" s="1"/>
      <c r="X232" s="2">
        <f>'05_Daily_Orders'!C233</f>
        <v>200711</v>
      </c>
      <c r="Y232" s="289"/>
      <c r="Z232" s="289">
        <v>0</v>
      </c>
      <c r="AA232" s="289">
        <v>60</v>
      </c>
      <c r="AB232" s="289">
        <v>60</v>
      </c>
      <c r="AC232" s="289">
        <v>0</v>
      </c>
      <c r="AD232" s="289">
        <v>30</v>
      </c>
      <c r="AE232" s="289">
        <v>0</v>
      </c>
      <c r="AF232" s="7">
        <f t="shared" si="18"/>
        <v>150</v>
      </c>
      <c r="AQ232" s="70">
        <v>0</v>
      </c>
      <c r="AR232" s="70">
        <v>0</v>
      </c>
      <c r="AS232" s="3">
        <f t="shared" si="19"/>
        <v>0</v>
      </c>
    </row>
    <row r="233" spans="1:45" x14ac:dyDescent="0.35">
      <c r="A233" s="181" t="str">
        <f>_xlfn.XLOOKUP(X233,'00_SKU_Master'!$B$2:$B$379,'00_SKU_Master'!$C$2:$C$379)</f>
        <v>61086F</v>
      </c>
      <c r="B233" s="181" t="str">
        <f>_xlfn.XLOOKUP(X233,tblSKU[SKU],tblSKU[Product_Group])</f>
        <v>ThighMeat</v>
      </c>
      <c r="C233" s="181" t="str">
        <f>_xlfn.XLOOKUP(X233,tblSKU[SKU],tblSKU[Tray_Type])</f>
        <v>ST 3D</v>
      </c>
      <c r="D233" s="182">
        <f>_xlfn.IFNA(_xlfn.XLOOKUP(X233,'00_SKU_Master'!$B$2:$B$379,'00_SKU_Master'!$F$2:$F$379,0)*Y233,"")</f>
        <v>0</v>
      </c>
      <c r="E233" s="182">
        <f>_xlfn.IFNA(_xlfn.XLOOKUP(X233,'00_SKU_Master'!$B$2:$B$379,'00_SKU_Master'!$F$2:$F$379,0)*Z233,"")</f>
        <v>197.79057095625635</v>
      </c>
      <c r="F233" s="182">
        <f>_xlfn.IFNA(_xlfn.XLOOKUP(X233,'00_SKU_Master'!$B$2:$B$379,'00_SKU_Master'!$F$2:$F$379,0)*AA233,"")</f>
        <v>252.49860122075279</v>
      </c>
      <c r="G233" s="182">
        <f>_xlfn.IFNA(_xlfn.XLOOKUP(X233,'00_SKU_Master'!$B$2:$B$379,'00_SKU_Master'!$F$2:$F$379,0)*AB233,"")</f>
        <v>168.33240081383519</v>
      </c>
      <c r="H233" s="182">
        <f>_xlfn.IFNA(_xlfn.XLOOKUP(X233,'00_SKU_Master'!$B$2:$B$379,'00_SKU_Master'!$F$2:$F$379,0)*AC233,"")</f>
        <v>0</v>
      </c>
      <c r="I233" s="182">
        <f>_xlfn.IFNA(_xlfn.XLOOKUP(X233,'00_SKU_Master'!$B$2:$B$379,'00_SKU_Master'!$F$2:$F$379,0)*AD233,"")</f>
        <v>84.166200406917596</v>
      </c>
      <c r="J233" s="182">
        <f>_xlfn.IFNA(_xlfn.XLOOKUP(X233,'00_SKU_Master'!$B$2:$B$379,'00_SKU_Master'!$F$2:$F$379,0)*AE233,"")</f>
        <v>0</v>
      </c>
      <c r="K233" s="183">
        <f t="shared" si="15"/>
        <v>702.78777339776195</v>
      </c>
      <c r="L233" s="184" t="str">
        <f>_xlfn.XLOOKUP(X233,'00_SKU_Master'!$B$2:$B$379,'00_SKU_Master'!$K$2:$K$379)</f>
        <v>Slow</v>
      </c>
      <c r="M233" s="185">
        <f t="shared" si="16"/>
        <v>200712</v>
      </c>
      <c r="N233" s="186">
        <f>IFERROR(D233/_xlfn.XLOOKUP($M233,'00_SKU_Master'!$B$2:$B$379,'00_SKU_Master'!$M$2:$M$379,0),"0")</f>
        <v>0</v>
      </c>
      <c r="O233" s="186">
        <f>IFERROR(E233/_xlfn.XLOOKUP($M233,'00_SKU_Master'!$B$2:$B$379,'00_SKU_Master'!$M$2:$M$379,0),"0")</f>
        <v>7.8054684670977252</v>
      </c>
      <c r="P233" s="186">
        <f>IFERROR(F233/_xlfn.XLOOKUP($M233,'00_SKU_Master'!$B$2:$B$379,'00_SKU_Master'!$M$2:$M$379,0),"0")</f>
        <v>9.964427830337522</v>
      </c>
      <c r="Q233" s="186">
        <f>IFERROR(G233/_xlfn.XLOOKUP($M233,'00_SKU_Master'!$B$2:$B$379,'00_SKU_Master'!$M$2:$M$379,0),"0")</f>
        <v>6.642951886891681</v>
      </c>
      <c r="R233" s="186">
        <f>IFERROR(H233/_xlfn.XLOOKUP($M233,'00_SKU_Master'!$B$2:$B$379,'00_SKU_Master'!$M$2:$M$379,0),"0")</f>
        <v>0</v>
      </c>
      <c r="S233" s="186">
        <f>IFERROR(I233/_xlfn.XLOOKUP($M233,'00_SKU_Master'!$B$2:$B$379,'00_SKU_Master'!$M$2:$M$379,0),"0")</f>
        <v>3.3214759434458405</v>
      </c>
      <c r="T233" s="186">
        <f>IFERROR(J233/_xlfn.XLOOKUP($M233,'00_SKU_Master'!$B$2:$B$379,'00_SKU_Master'!$M$2:$M$379,0),"0")</f>
        <v>0</v>
      </c>
      <c r="U233" s="186">
        <f t="shared" si="17"/>
        <v>27.734324127772766</v>
      </c>
      <c r="V233" s="186" t="str">
        <f>_xlfn.XLOOKUP(M233,'00_SKU_Master'!$B$2:$B$379,'00_SKU_Master'!$D$2:$D$379)</f>
        <v>METRO</v>
      </c>
      <c r="W233" s="1"/>
      <c r="X233" s="2">
        <f>'05_Daily_Orders'!C234</f>
        <v>200712</v>
      </c>
      <c r="Y233" s="289"/>
      <c r="Z233" s="289">
        <v>47</v>
      </c>
      <c r="AA233" s="289">
        <v>60</v>
      </c>
      <c r="AB233" s="289">
        <v>40</v>
      </c>
      <c r="AC233" s="289">
        <v>0</v>
      </c>
      <c r="AD233" s="289">
        <v>20</v>
      </c>
      <c r="AE233" s="289">
        <v>0</v>
      </c>
      <c r="AF233" s="7">
        <f t="shared" si="18"/>
        <v>167</v>
      </c>
      <c r="AQ233" s="70">
        <v>0</v>
      </c>
      <c r="AR233" s="70">
        <v>47</v>
      </c>
      <c r="AS233" s="3">
        <f t="shared" si="19"/>
        <v>47</v>
      </c>
    </row>
    <row r="234" spans="1:45" x14ac:dyDescent="0.35">
      <c r="A234" s="181">
        <f>_xlfn.XLOOKUP(X234,'00_SKU_Master'!$B$2:$B$379,'00_SKU_Master'!$C$2:$C$379)</f>
        <v>61077</v>
      </c>
      <c r="B234" s="181" t="str">
        <f>_xlfn.XLOOKUP(X234,tblSKU[SKU],tblSKU[Product_Group])</f>
        <v>Thigh</v>
      </c>
      <c r="C234" s="181" t="str">
        <f>_xlfn.XLOOKUP(X234,tblSKU[SKU],tblSKU[Tray_Type])</f>
        <v>ST 3D</v>
      </c>
      <c r="D234" s="182">
        <f>_xlfn.IFNA(_xlfn.XLOOKUP(X234,'00_SKU_Master'!$B$2:$B$379,'00_SKU_Master'!$F$2:$F$379,0)*Y234,"")</f>
        <v>0</v>
      </c>
      <c r="E234" s="182">
        <f>_xlfn.IFNA(_xlfn.XLOOKUP(X234,'00_SKU_Master'!$B$2:$B$379,'00_SKU_Master'!$F$2:$F$379,0)*Z234,"")</f>
        <v>197.42597818181815</v>
      </c>
      <c r="F234" s="182">
        <f>_xlfn.IFNA(_xlfn.XLOOKUP(X234,'00_SKU_Master'!$B$2:$B$379,'00_SKU_Master'!$F$2:$F$379,0)*AA234,"")</f>
        <v>214.59345454545451</v>
      </c>
      <c r="G234" s="182">
        <f>_xlfn.IFNA(_xlfn.XLOOKUP(X234,'00_SKU_Master'!$B$2:$B$379,'00_SKU_Master'!$F$2:$F$379,0)*AB234,"")</f>
        <v>236.05279999999996</v>
      </c>
      <c r="H234" s="182">
        <f>_xlfn.IFNA(_xlfn.XLOOKUP(X234,'00_SKU_Master'!$B$2:$B$379,'00_SKU_Master'!$F$2:$F$379,0)*AC234,"")</f>
        <v>0</v>
      </c>
      <c r="I234" s="182">
        <f>_xlfn.IFNA(_xlfn.XLOOKUP(X234,'00_SKU_Master'!$B$2:$B$379,'00_SKU_Master'!$F$2:$F$379,0)*AD234,"")</f>
        <v>171.67476363636359</v>
      </c>
      <c r="J234" s="182">
        <f>_xlfn.IFNA(_xlfn.XLOOKUP(X234,'00_SKU_Master'!$B$2:$B$379,'00_SKU_Master'!$F$2:$F$379,0)*AE234,"")</f>
        <v>0</v>
      </c>
      <c r="K234" s="183">
        <f t="shared" si="15"/>
        <v>819.7469963636363</v>
      </c>
      <c r="L234" s="184" t="str">
        <f>_xlfn.XLOOKUP(X234,'00_SKU_Master'!$B$2:$B$379,'00_SKU_Master'!$K$2:$K$379)</f>
        <v>Fast</v>
      </c>
      <c r="M234" s="185">
        <f t="shared" si="16"/>
        <v>200713</v>
      </c>
      <c r="N234" s="186">
        <f>IFERROR(D234/_xlfn.XLOOKUP($M234,'00_SKU_Master'!$B$2:$B$379,'00_SKU_Master'!$M$2:$M$379,0),"0")</f>
        <v>0</v>
      </c>
      <c r="O234" s="186">
        <f>IFERROR(E234/_xlfn.XLOOKUP($M234,'00_SKU_Master'!$B$2:$B$379,'00_SKU_Master'!$M$2:$M$379,0),"0")</f>
        <v>3.8605001599886224</v>
      </c>
      <c r="P234" s="186">
        <f>IFERROR(F234/_xlfn.XLOOKUP($M234,'00_SKU_Master'!$B$2:$B$379,'00_SKU_Master'!$M$2:$M$379,0),"0")</f>
        <v>4.1961958260745895</v>
      </c>
      <c r="Q234" s="186">
        <f>IFERROR(G234/_xlfn.XLOOKUP($M234,'00_SKU_Master'!$B$2:$B$379,'00_SKU_Master'!$M$2:$M$379,0),"0")</f>
        <v>4.6158154086820486</v>
      </c>
      <c r="R234" s="186">
        <f>IFERROR(H234/_xlfn.XLOOKUP($M234,'00_SKU_Master'!$B$2:$B$379,'00_SKU_Master'!$M$2:$M$379,0),"0")</f>
        <v>0</v>
      </c>
      <c r="S234" s="186">
        <f>IFERROR(I234/_xlfn.XLOOKUP($M234,'00_SKU_Master'!$B$2:$B$379,'00_SKU_Master'!$M$2:$M$379,0),"0")</f>
        <v>3.3569566608596713</v>
      </c>
      <c r="T234" s="186">
        <f>IFERROR(J234/_xlfn.XLOOKUP($M234,'00_SKU_Master'!$B$2:$B$379,'00_SKU_Master'!$M$2:$M$379,0),"0")</f>
        <v>0</v>
      </c>
      <c r="U234" s="186">
        <f t="shared" si="17"/>
        <v>16.02946805560493</v>
      </c>
      <c r="V234" s="186" t="str">
        <f>_xlfn.XLOOKUP(M234,'00_SKU_Master'!$B$2:$B$379,'00_SKU_Master'!$D$2:$D$379)</f>
        <v>METRO</v>
      </c>
      <c r="W234" s="1"/>
      <c r="X234" s="2">
        <f>'05_Daily_Orders'!C235</f>
        <v>200713</v>
      </c>
      <c r="Y234" s="289"/>
      <c r="Z234" s="289">
        <v>46</v>
      </c>
      <c r="AA234" s="289">
        <v>50</v>
      </c>
      <c r="AB234" s="289">
        <v>55</v>
      </c>
      <c r="AC234" s="289">
        <v>0</v>
      </c>
      <c r="AD234" s="289">
        <v>40</v>
      </c>
      <c r="AE234" s="289">
        <v>0</v>
      </c>
      <c r="AF234" s="7">
        <f t="shared" si="18"/>
        <v>191</v>
      </c>
      <c r="AQ234" s="70">
        <v>0</v>
      </c>
      <c r="AR234" s="70">
        <v>46</v>
      </c>
      <c r="AS234" s="3">
        <f t="shared" si="19"/>
        <v>46</v>
      </c>
    </row>
    <row r="235" spans="1:45" x14ac:dyDescent="0.35">
      <c r="A235" s="181">
        <f>_xlfn.XLOOKUP(X235,'00_SKU_Master'!$B$2:$B$379,'00_SKU_Master'!$C$2:$C$379)</f>
        <v>61014</v>
      </c>
      <c r="B235" s="181" t="str">
        <f>_xlfn.XLOOKUP(X235,tblSKU[SKU],tblSKU[Product_Group])</f>
        <v>SplitWing</v>
      </c>
      <c r="C235" s="181" t="str">
        <f>_xlfn.XLOOKUP(X235,tblSKU[SKU],tblSKU[Tray_Type])</f>
        <v>ST 3D</v>
      </c>
      <c r="D235" s="182">
        <f>_xlfn.IFNA(_xlfn.XLOOKUP(X235,'00_SKU_Master'!$B$2:$B$379,'00_SKU_Master'!$F$2:$F$379,0)*Y235,"")</f>
        <v>0</v>
      </c>
      <c r="E235" s="182">
        <f>_xlfn.IFNA(_xlfn.XLOOKUP(X235,'00_SKU_Master'!$B$2:$B$379,'00_SKU_Master'!$F$2:$F$379,0)*Z235,"")</f>
        <v>77.8021655668866</v>
      </c>
      <c r="F235" s="182">
        <f>_xlfn.IFNA(_xlfn.XLOOKUP(X235,'00_SKU_Master'!$B$2:$B$379,'00_SKU_Master'!$F$2:$F$379,0)*AA235,"")</f>
        <v>111.14595080983801</v>
      </c>
      <c r="G235" s="182">
        <f>_xlfn.IFNA(_xlfn.XLOOKUP(X235,'00_SKU_Master'!$B$2:$B$379,'00_SKU_Master'!$F$2:$F$379,0)*AB235,"")</f>
        <v>148.19460107978401</v>
      </c>
      <c r="H235" s="182">
        <f>_xlfn.IFNA(_xlfn.XLOOKUP(X235,'00_SKU_Master'!$B$2:$B$379,'00_SKU_Master'!$F$2:$F$379,0)*AC235,"")</f>
        <v>0</v>
      </c>
      <c r="I235" s="182">
        <f>_xlfn.IFNA(_xlfn.XLOOKUP(X235,'00_SKU_Master'!$B$2:$B$379,'00_SKU_Master'!$F$2:$F$379,0)*AD235,"")</f>
        <v>74.097300539892004</v>
      </c>
      <c r="J235" s="182">
        <f>_xlfn.IFNA(_xlfn.XLOOKUP(X235,'00_SKU_Master'!$B$2:$B$379,'00_SKU_Master'!$F$2:$F$379,0)*AE235,"")</f>
        <v>0</v>
      </c>
      <c r="K235" s="183">
        <f t="shared" si="15"/>
        <v>411.24001799640064</v>
      </c>
      <c r="L235" s="184" t="str">
        <f>_xlfn.XLOOKUP(X235,'00_SKU_Master'!$B$2:$B$379,'00_SKU_Master'!$K$2:$K$379)</f>
        <v>Slow</v>
      </c>
      <c r="M235" s="185">
        <f t="shared" si="16"/>
        <v>200714</v>
      </c>
      <c r="N235" s="186">
        <f>IFERROR(D235/_xlfn.XLOOKUP($M235,'00_SKU_Master'!$B$2:$B$379,'00_SKU_Master'!$M$2:$M$379,0),"0")</f>
        <v>0</v>
      </c>
      <c r="O235" s="186">
        <f>IFERROR(E235/_xlfn.XLOOKUP($M235,'00_SKU_Master'!$B$2:$B$379,'00_SKU_Master'!$M$2:$M$379,0),"0")</f>
        <v>2.6708604726016687</v>
      </c>
      <c r="P235" s="186">
        <f>IFERROR(F235/_xlfn.XLOOKUP($M235,'00_SKU_Master'!$B$2:$B$379,'00_SKU_Master'!$M$2:$M$379,0),"0")</f>
        <v>3.8155149608595269</v>
      </c>
      <c r="Q235" s="186">
        <f>IFERROR(G235/_xlfn.XLOOKUP($M235,'00_SKU_Master'!$B$2:$B$379,'00_SKU_Master'!$M$2:$M$379,0),"0")</f>
        <v>5.0873532811460356</v>
      </c>
      <c r="R235" s="186">
        <f>IFERROR(H235/_xlfn.XLOOKUP($M235,'00_SKU_Master'!$B$2:$B$379,'00_SKU_Master'!$M$2:$M$379,0),"0")</f>
        <v>0</v>
      </c>
      <c r="S235" s="186">
        <f>IFERROR(I235/_xlfn.XLOOKUP($M235,'00_SKU_Master'!$B$2:$B$379,'00_SKU_Master'!$M$2:$M$379,0),"0")</f>
        <v>2.5436766405730178</v>
      </c>
      <c r="T235" s="186">
        <f>IFERROR(J235/_xlfn.XLOOKUP($M235,'00_SKU_Master'!$B$2:$B$379,'00_SKU_Master'!$M$2:$M$379,0),"0")</f>
        <v>0</v>
      </c>
      <c r="U235" s="186">
        <f t="shared" si="17"/>
        <v>14.117405355180249</v>
      </c>
      <c r="V235" s="186" t="str">
        <f>_xlfn.XLOOKUP(M235,'00_SKU_Master'!$B$2:$B$379,'00_SKU_Master'!$D$2:$D$379)</f>
        <v>METRO</v>
      </c>
      <c r="W235" s="1"/>
      <c r="X235" s="2">
        <f>'05_Daily_Orders'!C236</f>
        <v>200714</v>
      </c>
      <c r="Y235" s="289"/>
      <c r="Z235" s="289">
        <v>21</v>
      </c>
      <c r="AA235" s="289">
        <v>30</v>
      </c>
      <c r="AB235" s="289">
        <v>40</v>
      </c>
      <c r="AC235" s="289">
        <v>0</v>
      </c>
      <c r="AD235" s="289">
        <v>20</v>
      </c>
      <c r="AE235" s="289">
        <v>0</v>
      </c>
      <c r="AF235" s="7">
        <f t="shared" si="18"/>
        <v>111</v>
      </c>
      <c r="AQ235" s="70">
        <v>0</v>
      </c>
      <c r="AR235" s="70">
        <v>21</v>
      </c>
      <c r="AS235" s="3">
        <f t="shared" si="19"/>
        <v>21</v>
      </c>
    </row>
    <row r="236" spans="1:45" x14ac:dyDescent="0.35">
      <c r="A236" s="181" t="str">
        <f>_xlfn.XLOOKUP(X236,'00_SKU_Master'!$B$2:$B$379,'00_SKU_Master'!$C$2:$C$379)</f>
        <v>61050F</v>
      </c>
      <c r="B236" s="181" t="str">
        <f>_xlfn.XLOOKUP(X236,tblSKU[SKU],tblSKU[Product_Group])</f>
        <v>BSB</v>
      </c>
      <c r="C236" s="181" t="str">
        <f>_xlfn.XLOOKUP(X236,tblSKU[SKU],tblSKU[Tray_Type])</f>
        <v>LT 8XP</v>
      </c>
      <c r="D236" s="182">
        <f>_xlfn.IFNA(_xlfn.XLOOKUP(X236,'00_SKU_Master'!$B$2:$B$379,'00_SKU_Master'!$F$2:$F$379,0)*Y236,"")</f>
        <v>0</v>
      </c>
      <c r="E236" s="182">
        <f>_xlfn.IFNA(_xlfn.XLOOKUP(X236,'00_SKU_Master'!$B$2:$B$379,'00_SKU_Master'!$F$2:$F$379,0)*Z236,"")</f>
        <v>0</v>
      </c>
      <c r="F236" s="182">
        <f>_xlfn.IFNA(_xlfn.XLOOKUP(X236,'00_SKU_Master'!$B$2:$B$379,'00_SKU_Master'!$F$2:$F$379,0)*AA236,"")</f>
        <v>0</v>
      </c>
      <c r="G236" s="182">
        <f>_xlfn.IFNA(_xlfn.XLOOKUP(X236,'00_SKU_Master'!$B$2:$B$379,'00_SKU_Master'!$F$2:$F$379,0)*AB236,"")</f>
        <v>0</v>
      </c>
      <c r="H236" s="182">
        <f>_xlfn.IFNA(_xlfn.XLOOKUP(X236,'00_SKU_Master'!$B$2:$B$379,'00_SKU_Master'!$F$2:$F$379,0)*AC236,"")</f>
        <v>0</v>
      </c>
      <c r="I236" s="182">
        <f>_xlfn.IFNA(_xlfn.XLOOKUP(X236,'00_SKU_Master'!$B$2:$B$379,'00_SKU_Master'!$F$2:$F$379,0)*AD236,"")</f>
        <v>0</v>
      </c>
      <c r="J236" s="182">
        <f>_xlfn.IFNA(_xlfn.XLOOKUP(X236,'00_SKU_Master'!$B$2:$B$379,'00_SKU_Master'!$F$2:$F$379,0)*AE236,"")</f>
        <v>0</v>
      </c>
      <c r="K236" s="183">
        <f t="shared" si="15"/>
        <v>0</v>
      </c>
      <c r="L236" s="184" t="str">
        <f>_xlfn.XLOOKUP(X236,'00_SKU_Master'!$B$2:$B$379,'00_SKU_Master'!$K$2:$K$379)</f>
        <v>Fast</v>
      </c>
      <c r="M236" s="185">
        <f t="shared" si="16"/>
        <v>200715</v>
      </c>
      <c r="N236" s="186">
        <f>IFERROR(D236/_xlfn.XLOOKUP($M236,'00_SKU_Master'!$B$2:$B$379,'00_SKU_Master'!$M$2:$M$379,0),"0")</f>
        <v>0</v>
      </c>
      <c r="O236" s="186">
        <f>IFERROR(E236/_xlfn.XLOOKUP($M236,'00_SKU_Master'!$B$2:$B$379,'00_SKU_Master'!$M$2:$M$379,0),"0")</f>
        <v>0</v>
      </c>
      <c r="P236" s="186">
        <f>IFERROR(F236/_xlfn.XLOOKUP($M236,'00_SKU_Master'!$B$2:$B$379,'00_SKU_Master'!$M$2:$M$379,0),"0")</f>
        <v>0</v>
      </c>
      <c r="Q236" s="186">
        <f>IFERROR(G236/_xlfn.XLOOKUP($M236,'00_SKU_Master'!$B$2:$B$379,'00_SKU_Master'!$M$2:$M$379,0),"0")</f>
        <v>0</v>
      </c>
      <c r="R236" s="186">
        <f>IFERROR(H236/_xlfn.XLOOKUP($M236,'00_SKU_Master'!$B$2:$B$379,'00_SKU_Master'!$M$2:$M$379,0),"0")</f>
        <v>0</v>
      </c>
      <c r="S236" s="186">
        <f>IFERROR(I236/_xlfn.XLOOKUP($M236,'00_SKU_Master'!$B$2:$B$379,'00_SKU_Master'!$M$2:$M$379,0),"0")</f>
        <v>0</v>
      </c>
      <c r="T236" s="186">
        <f>IFERROR(J236/_xlfn.XLOOKUP($M236,'00_SKU_Master'!$B$2:$B$379,'00_SKU_Master'!$M$2:$M$379,0),"0")</f>
        <v>0</v>
      </c>
      <c r="U236" s="186">
        <f t="shared" si="17"/>
        <v>0</v>
      </c>
      <c r="V236" s="186" t="str">
        <f>_xlfn.XLOOKUP(M236,'00_SKU_Master'!$B$2:$B$379,'00_SKU_Master'!$D$2:$D$379)</f>
        <v>FB</v>
      </c>
      <c r="W236" s="1"/>
      <c r="X236" s="2">
        <f>'05_Daily_Orders'!C237</f>
        <v>200715</v>
      </c>
      <c r="Y236" s="289"/>
      <c r="Z236" s="289">
        <v>0</v>
      </c>
      <c r="AA236" s="289">
        <v>0</v>
      </c>
      <c r="AB236" s="289">
        <v>0</v>
      </c>
      <c r="AC236" s="289">
        <v>0</v>
      </c>
      <c r="AD236" s="289">
        <v>0</v>
      </c>
      <c r="AE236" s="289">
        <v>0</v>
      </c>
      <c r="AF236" s="7">
        <f t="shared" si="18"/>
        <v>0</v>
      </c>
      <c r="AQ236" s="70">
        <v>0</v>
      </c>
      <c r="AR236" s="70">
        <v>0</v>
      </c>
      <c r="AS236" s="3">
        <f t="shared" si="19"/>
        <v>0</v>
      </c>
    </row>
    <row r="237" spans="1:45" x14ac:dyDescent="0.35">
      <c r="A237" s="181">
        <f>_xlfn.XLOOKUP(X237,'00_SKU_Master'!$B$2:$B$379,'00_SKU_Master'!$C$2:$C$379)</f>
        <v>61077</v>
      </c>
      <c r="B237" s="181" t="str">
        <f>_xlfn.XLOOKUP(X237,tblSKU[SKU],tblSKU[Product_Group])</f>
        <v>Thigh</v>
      </c>
      <c r="C237" s="181" t="str">
        <f>_xlfn.XLOOKUP(X237,tblSKU[SKU],tblSKU[Tray_Type])</f>
        <v>LT 8XP</v>
      </c>
      <c r="D237" s="182">
        <f>_xlfn.IFNA(_xlfn.XLOOKUP(X237,'00_SKU_Master'!$B$2:$B$379,'00_SKU_Master'!$F$2:$F$379,0)*Y237,"")</f>
        <v>0</v>
      </c>
      <c r="E237" s="182">
        <f>_xlfn.IFNA(_xlfn.XLOOKUP(X237,'00_SKU_Master'!$B$2:$B$379,'00_SKU_Master'!$F$2:$F$379,0)*Z237,"")</f>
        <v>641.53086552989407</v>
      </c>
      <c r="F237" s="182">
        <f>_xlfn.IFNA(_xlfn.XLOOKUP(X237,'00_SKU_Master'!$B$2:$B$379,'00_SKU_Master'!$F$2:$F$379,0)*AA237,"")</f>
        <v>419.1334988128641</v>
      </c>
      <c r="G237" s="182">
        <f>_xlfn.IFNA(_xlfn.XLOOKUP(X237,'00_SKU_Master'!$B$2:$B$379,'00_SKU_Master'!$F$2:$F$379,0)*AB237,"")</f>
        <v>538.88592704511098</v>
      </c>
      <c r="H237" s="182">
        <f>_xlfn.IFNA(_xlfn.XLOOKUP(X237,'00_SKU_Master'!$B$2:$B$379,'00_SKU_Master'!$F$2:$F$379,0)*AC237,"")</f>
        <v>658.63835527735785</v>
      </c>
      <c r="I237" s="182">
        <f>_xlfn.IFNA(_xlfn.XLOOKUP(X237,'00_SKU_Master'!$B$2:$B$379,'00_SKU_Master'!$F$2:$F$379,0)*AD237,"")</f>
        <v>0</v>
      </c>
      <c r="J237" s="182">
        <f>_xlfn.IFNA(_xlfn.XLOOKUP(X237,'00_SKU_Master'!$B$2:$B$379,'00_SKU_Master'!$F$2:$F$379,0)*AE237,"")</f>
        <v>701.40707964601745</v>
      </c>
      <c r="K237" s="183">
        <f t="shared" si="15"/>
        <v>2959.5957263112446</v>
      </c>
      <c r="L237" s="184" t="str">
        <f>_xlfn.XLOOKUP(X237,'00_SKU_Master'!$B$2:$B$379,'00_SKU_Master'!$K$2:$K$379)</f>
        <v>Fast</v>
      </c>
      <c r="M237" s="185">
        <f t="shared" si="16"/>
        <v>200716</v>
      </c>
      <c r="N237" s="186">
        <f>IFERROR(D237/_xlfn.XLOOKUP($M237,'00_SKU_Master'!$B$2:$B$379,'00_SKU_Master'!$M$2:$M$379,0),"0")</f>
        <v>0</v>
      </c>
      <c r="O237" s="186">
        <f>IFERROR(E237/_xlfn.XLOOKUP($M237,'00_SKU_Master'!$B$2:$B$379,'00_SKU_Master'!$M$2:$M$379,0),"0")</f>
        <v>8.9064398935151203</v>
      </c>
      <c r="P237" s="186">
        <f>IFERROR(F237/_xlfn.XLOOKUP($M237,'00_SKU_Master'!$B$2:$B$379,'00_SKU_Master'!$M$2:$M$379,0),"0")</f>
        <v>5.8188740637632108</v>
      </c>
      <c r="Q237" s="186">
        <f>IFERROR(G237/_xlfn.XLOOKUP($M237,'00_SKU_Master'!$B$2:$B$379,'00_SKU_Master'!$M$2:$M$379,0),"0")</f>
        <v>7.4814095105526999</v>
      </c>
      <c r="R237" s="186">
        <f>IFERROR(H237/_xlfn.XLOOKUP($M237,'00_SKU_Master'!$B$2:$B$379,'00_SKU_Master'!$M$2:$M$379,0),"0")</f>
        <v>9.1439449573421889</v>
      </c>
      <c r="S237" s="186">
        <f>IFERROR(I237/_xlfn.XLOOKUP($M237,'00_SKU_Master'!$B$2:$B$379,'00_SKU_Master'!$M$2:$M$379,0),"0")</f>
        <v>0</v>
      </c>
      <c r="T237" s="186">
        <f>IFERROR(J237/_xlfn.XLOOKUP($M237,'00_SKU_Master'!$B$2:$B$379,'00_SKU_Master'!$M$2:$M$379,0),"0")</f>
        <v>9.737707616909864</v>
      </c>
      <c r="U237" s="186">
        <f t="shared" si="17"/>
        <v>41.088376042083084</v>
      </c>
      <c r="V237" s="186" t="str">
        <f>_xlfn.XLOOKUP(M237,'00_SKU_Master'!$B$2:$B$379,'00_SKU_Master'!$D$2:$D$379)</f>
        <v>FB</v>
      </c>
      <c r="W237" s="1"/>
      <c r="X237" s="2">
        <f>'05_Daily_Orders'!C238</f>
        <v>200716</v>
      </c>
      <c r="Y237" s="289"/>
      <c r="Z237" s="289">
        <v>75</v>
      </c>
      <c r="AA237" s="289">
        <v>49</v>
      </c>
      <c r="AB237" s="289">
        <v>63</v>
      </c>
      <c r="AC237" s="289">
        <v>77</v>
      </c>
      <c r="AD237" s="289">
        <v>0</v>
      </c>
      <c r="AE237" s="289">
        <v>82</v>
      </c>
      <c r="AF237" s="7">
        <f t="shared" si="18"/>
        <v>346</v>
      </c>
      <c r="AQ237" s="70">
        <v>0</v>
      </c>
      <c r="AR237" s="70">
        <v>75</v>
      </c>
      <c r="AS237" s="3">
        <f t="shared" si="19"/>
        <v>75</v>
      </c>
    </row>
    <row r="238" spans="1:45" x14ac:dyDescent="0.35">
      <c r="A238" s="181">
        <f>_xlfn.XLOOKUP(X238,'00_SKU_Master'!$B$2:$B$379,'00_SKU_Master'!$C$2:$C$379)</f>
        <v>61072</v>
      </c>
      <c r="B238" s="181" t="str">
        <f>_xlfn.XLOOKUP(X238,tblSKU[SKU],tblSKU[Product_Group])</f>
        <v>Drum</v>
      </c>
      <c r="C238" s="181" t="str">
        <f>_xlfn.XLOOKUP(X238,tblSKU[SKU],tblSKU[Tray_Type])</f>
        <v>LT 8XP</v>
      </c>
      <c r="D238" s="182">
        <f>_xlfn.IFNA(_xlfn.XLOOKUP(X238,'00_SKU_Master'!$B$2:$B$379,'00_SKU_Master'!$F$2:$F$379,0)*Y238,"")</f>
        <v>0</v>
      </c>
      <c r="E238" s="182">
        <f>_xlfn.IFNA(_xlfn.XLOOKUP(X238,'00_SKU_Master'!$B$2:$B$379,'00_SKU_Master'!$F$2:$F$379,0)*Z238,"")</f>
        <v>132.45957843638217</v>
      </c>
      <c r="F238" s="182">
        <f>_xlfn.IFNA(_xlfn.XLOOKUP(X238,'00_SKU_Master'!$B$2:$B$379,'00_SKU_Master'!$F$2:$F$379,0)*AA238,"")</f>
        <v>225.96045733265191</v>
      </c>
      <c r="G238" s="182">
        <f>_xlfn.IFNA(_xlfn.XLOOKUP(X238,'00_SKU_Master'!$B$2:$B$379,'00_SKU_Master'!$F$2:$F$379,0)*AB238,"")</f>
        <v>420.75395503321391</v>
      </c>
      <c r="H238" s="182">
        <f>_xlfn.IFNA(_xlfn.XLOOKUP(X238,'00_SKU_Master'!$B$2:$B$379,'00_SKU_Master'!$F$2:$F$379,0)*AC238,"")</f>
        <v>451.92091466530383</v>
      </c>
      <c r="I238" s="182">
        <f>_xlfn.IFNA(_xlfn.XLOOKUP(X238,'00_SKU_Master'!$B$2:$B$379,'00_SKU_Master'!$F$2:$F$379,0)*AD238,"")</f>
        <v>0</v>
      </c>
      <c r="J238" s="182">
        <f>_xlfn.IFNA(_xlfn.XLOOKUP(X238,'00_SKU_Master'!$B$2:$B$379,'00_SKU_Master'!$F$2:$F$379,0)*AE238,"")</f>
        <v>522.04657383750612</v>
      </c>
      <c r="K238" s="183">
        <f t="shared" si="15"/>
        <v>1753.1414793050581</v>
      </c>
      <c r="L238" s="184" t="str">
        <f>_xlfn.XLOOKUP(X238,'00_SKU_Master'!$B$2:$B$379,'00_SKU_Master'!$K$2:$K$379)</f>
        <v>Fast</v>
      </c>
      <c r="M238" s="185">
        <f t="shared" si="16"/>
        <v>200717</v>
      </c>
      <c r="N238" s="186">
        <f>IFERROR(D238/_xlfn.XLOOKUP($M238,'00_SKU_Master'!$B$2:$B$379,'00_SKU_Master'!$M$2:$M$379,0),"0")</f>
        <v>0</v>
      </c>
      <c r="O238" s="186">
        <f>IFERROR(E238/_xlfn.XLOOKUP($M238,'00_SKU_Master'!$B$2:$B$379,'00_SKU_Master'!$M$2:$M$379,0),"0")</f>
        <v>2.280640124593357</v>
      </c>
      <c r="P238" s="186">
        <f>IFERROR(F238/_xlfn.XLOOKUP($M238,'00_SKU_Master'!$B$2:$B$379,'00_SKU_Master'!$M$2:$M$379,0),"0")</f>
        <v>3.8905037419533732</v>
      </c>
      <c r="Q238" s="186">
        <f>IFERROR(G238/_xlfn.XLOOKUP($M238,'00_SKU_Master'!$B$2:$B$379,'00_SKU_Master'!$M$2:$M$379,0),"0")</f>
        <v>7.2443862781200741</v>
      </c>
      <c r="R238" s="186">
        <f>IFERROR(H238/_xlfn.XLOOKUP($M238,'00_SKU_Master'!$B$2:$B$379,'00_SKU_Master'!$M$2:$M$379,0),"0")</f>
        <v>7.7810074839067465</v>
      </c>
      <c r="S238" s="186">
        <f>IFERROR(I238/_xlfn.XLOOKUP($M238,'00_SKU_Master'!$B$2:$B$379,'00_SKU_Master'!$M$2:$M$379,0),"0")</f>
        <v>0</v>
      </c>
      <c r="T238" s="186">
        <f>IFERROR(J238/_xlfn.XLOOKUP($M238,'00_SKU_Master'!$B$2:$B$379,'00_SKU_Master'!$M$2:$M$379,0),"0")</f>
        <v>8.9884051969267578</v>
      </c>
      <c r="U238" s="186">
        <f t="shared" si="17"/>
        <v>30.184942825500308</v>
      </c>
      <c r="V238" s="186" t="str">
        <f>_xlfn.XLOOKUP(M238,'00_SKU_Master'!$B$2:$B$379,'00_SKU_Master'!$D$2:$D$379)</f>
        <v>FB</v>
      </c>
      <c r="W238" s="1"/>
      <c r="X238" s="2">
        <f>'05_Daily_Orders'!C239</f>
        <v>200717</v>
      </c>
      <c r="Y238" s="289"/>
      <c r="Z238" s="289">
        <v>17</v>
      </c>
      <c r="AA238" s="289">
        <v>29</v>
      </c>
      <c r="AB238" s="289">
        <v>54</v>
      </c>
      <c r="AC238" s="289">
        <v>58</v>
      </c>
      <c r="AD238" s="289">
        <v>0</v>
      </c>
      <c r="AE238" s="289">
        <v>67</v>
      </c>
      <c r="AF238" s="7">
        <f t="shared" si="18"/>
        <v>225</v>
      </c>
      <c r="AQ238" s="70">
        <v>0</v>
      </c>
      <c r="AR238" s="70">
        <v>17</v>
      </c>
      <c r="AS238" s="3">
        <f t="shared" si="19"/>
        <v>17</v>
      </c>
    </row>
    <row r="239" spans="1:45" x14ac:dyDescent="0.35">
      <c r="A239" s="181">
        <f>_xlfn.XLOOKUP(X239,'00_SKU_Master'!$B$2:$B$379,'00_SKU_Master'!$C$2:$C$379)</f>
        <v>61050</v>
      </c>
      <c r="B239" s="181" t="str">
        <f>_xlfn.XLOOKUP(X239,tblSKU[SKU],tblSKU[Product_Group])</f>
        <v>BSB</v>
      </c>
      <c r="C239" s="181" t="str">
        <f>_xlfn.XLOOKUP(X239,tblSKU[SKU],tblSKU[Tray_Type])</f>
        <v>LT 8XP</v>
      </c>
      <c r="D239" s="182">
        <f>_xlfn.IFNA(_xlfn.XLOOKUP(X239,'00_SKU_Master'!$B$2:$B$379,'00_SKU_Master'!$F$2:$F$379,0)*Y239,"")</f>
        <v>0</v>
      </c>
      <c r="E239" s="182">
        <f>_xlfn.IFNA(_xlfn.XLOOKUP(X239,'00_SKU_Master'!$B$2:$B$379,'00_SKU_Master'!$F$2:$F$379,0)*Z239,"")</f>
        <v>0</v>
      </c>
      <c r="F239" s="182">
        <f>_xlfn.IFNA(_xlfn.XLOOKUP(X239,'00_SKU_Master'!$B$2:$B$379,'00_SKU_Master'!$F$2:$F$379,0)*AA239,"")</f>
        <v>0</v>
      </c>
      <c r="G239" s="182">
        <f>_xlfn.IFNA(_xlfn.XLOOKUP(X239,'00_SKU_Master'!$B$2:$B$379,'00_SKU_Master'!$F$2:$F$379,0)*AB239,"")</f>
        <v>0</v>
      </c>
      <c r="H239" s="182">
        <f>_xlfn.IFNA(_xlfn.XLOOKUP(X239,'00_SKU_Master'!$B$2:$B$379,'00_SKU_Master'!$F$2:$F$379,0)*AC239,"")</f>
        <v>0</v>
      </c>
      <c r="I239" s="182">
        <f>_xlfn.IFNA(_xlfn.XLOOKUP(X239,'00_SKU_Master'!$B$2:$B$379,'00_SKU_Master'!$F$2:$F$379,0)*AD239,"")</f>
        <v>0</v>
      </c>
      <c r="J239" s="182">
        <f>_xlfn.IFNA(_xlfn.XLOOKUP(X239,'00_SKU_Master'!$B$2:$B$379,'00_SKU_Master'!$F$2:$F$379,0)*AE239,"")</f>
        <v>0</v>
      </c>
      <c r="K239" s="183">
        <f t="shared" si="15"/>
        <v>0</v>
      </c>
      <c r="L239" s="184" t="str">
        <f>_xlfn.XLOOKUP(X239,'00_SKU_Master'!$B$2:$B$379,'00_SKU_Master'!$K$2:$K$379)</f>
        <v>Fast</v>
      </c>
      <c r="M239" s="185">
        <f t="shared" si="16"/>
        <v>200718</v>
      </c>
      <c r="N239" s="186">
        <f>IFERROR(D239/_xlfn.XLOOKUP($M239,'00_SKU_Master'!$B$2:$B$379,'00_SKU_Master'!$M$2:$M$379,0),"0")</f>
        <v>0</v>
      </c>
      <c r="O239" s="186">
        <f>IFERROR(E239/_xlfn.XLOOKUP($M239,'00_SKU_Master'!$B$2:$B$379,'00_SKU_Master'!$M$2:$M$379,0),"0")</f>
        <v>0</v>
      </c>
      <c r="P239" s="186">
        <f>IFERROR(F239/_xlfn.XLOOKUP($M239,'00_SKU_Master'!$B$2:$B$379,'00_SKU_Master'!$M$2:$M$379,0),"0")</f>
        <v>0</v>
      </c>
      <c r="Q239" s="186">
        <f>IFERROR(G239/_xlfn.XLOOKUP($M239,'00_SKU_Master'!$B$2:$B$379,'00_SKU_Master'!$M$2:$M$379,0),"0")</f>
        <v>0</v>
      </c>
      <c r="R239" s="186">
        <f>IFERROR(H239/_xlfn.XLOOKUP($M239,'00_SKU_Master'!$B$2:$B$379,'00_SKU_Master'!$M$2:$M$379,0),"0")</f>
        <v>0</v>
      </c>
      <c r="S239" s="186">
        <f>IFERROR(I239/_xlfn.XLOOKUP($M239,'00_SKU_Master'!$B$2:$B$379,'00_SKU_Master'!$M$2:$M$379,0),"0")</f>
        <v>0</v>
      </c>
      <c r="T239" s="186">
        <f>IFERROR(J239/_xlfn.XLOOKUP($M239,'00_SKU_Master'!$B$2:$B$379,'00_SKU_Master'!$M$2:$M$379,0),"0")</f>
        <v>0</v>
      </c>
      <c r="U239" s="186">
        <f t="shared" si="17"/>
        <v>0</v>
      </c>
      <c r="V239" s="186" t="str">
        <f>_xlfn.XLOOKUP(M239,'00_SKU_Master'!$B$2:$B$379,'00_SKU_Master'!$D$2:$D$379)</f>
        <v>FB</v>
      </c>
      <c r="W239" s="1"/>
      <c r="X239" s="2">
        <f>'05_Daily_Orders'!C240</f>
        <v>200718</v>
      </c>
      <c r="Y239" s="289"/>
      <c r="Z239" s="289">
        <v>0</v>
      </c>
      <c r="AA239" s="289">
        <v>0</v>
      </c>
      <c r="AB239" s="289">
        <v>0</v>
      </c>
      <c r="AC239" s="289">
        <v>0</v>
      </c>
      <c r="AD239" s="289">
        <v>0</v>
      </c>
      <c r="AE239" s="289">
        <v>0</v>
      </c>
      <c r="AF239" s="7">
        <f t="shared" si="18"/>
        <v>0</v>
      </c>
      <c r="AQ239" s="70">
        <v>0</v>
      </c>
      <c r="AR239" s="70">
        <v>0</v>
      </c>
      <c r="AS239" s="3">
        <f t="shared" si="19"/>
        <v>0</v>
      </c>
    </row>
    <row r="240" spans="1:45" x14ac:dyDescent="0.35">
      <c r="A240" s="181">
        <f>_xlfn.XLOOKUP(X240,'00_SKU_Master'!$B$2:$B$379,'00_SKU_Master'!$C$2:$C$379)</f>
        <v>61077</v>
      </c>
      <c r="B240" s="181" t="str">
        <f>_xlfn.XLOOKUP(X240,tblSKU[SKU],tblSKU[Product_Group])</f>
        <v>Thigh</v>
      </c>
      <c r="C240" s="181" t="str">
        <f>_xlfn.XLOOKUP(X240,tblSKU[SKU],tblSKU[Tray_Type])</f>
        <v>LT 8XP</v>
      </c>
      <c r="D240" s="182">
        <f>_xlfn.IFNA(_xlfn.XLOOKUP(X240,'00_SKU_Master'!$B$2:$B$379,'00_SKU_Master'!$F$2:$F$379,0)*Y240,"")</f>
        <v>0</v>
      </c>
      <c r="E240" s="182">
        <f>_xlfn.IFNA(_xlfn.XLOOKUP(X240,'00_SKU_Master'!$B$2:$B$379,'00_SKU_Master'!$F$2:$F$379,0)*Z240,"")</f>
        <v>0</v>
      </c>
      <c r="F240" s="182">
        <f>_xlfn.IFNA(_xlfn.XLOOKUP(X240,'00_SKU_Master'!$B$2:$B$379,'00_SKU_Master'!$F$2:$F$379,0)*AA240,"")</f>
        <v>0</v>
      </c>
      <c r="G240" s="182">
        <f>_xlfn.IFNA(_xlfn.XLOOKUP(X240,'00_SKU_Master'!$B$2:$B$379,'00_SKU_Master'!$F$2:$F$379,0)*AB240,"")</f>
        <v>0</v>
      </c>
      <c r="H240" s="182">
        <f>_xlfn.IFNA(_xlfn.XLOOKUP(X240,'00_SKU_Master'!$B$2:$B$379,'00_SKU_Master'!$F$2:$F$379,0)*AC240,"")</f>
        <v>0</v>
      </c>
      <c r="I240" s="182">
        <f>_xlfn.IFNA(_xlfn.XLOOKUP(X240,'00_SKU_Master'!$B$2:$B$379,'00_SKU_Master'!$F$2:$F$379,0)*AD240,"")</f>
        <v>0</v>
      </c>
      <c r="J240" s="182">
        <f>_xlfn.IFNA(_xlfn.XLOOKUP(X240,'00_SKU_Master'!$B$2:$B$379,'00_SKU_Master'!$F$2:$F$379,0)*AE240,"")</f>
        <v>0</v>
      </c>
      <c r="K240" s="183">
        <f t="shared" si="15"/>
        <v>0</v>
      </c>
      <c r="L240" s="184" t="str">
        <f>_xlfn.XLOOKUP(X240,'00_SKU_Master'!$B$2:$B$379,'00_SKU_Master'!$K$2:$K$379)</f>
        <v>Fast</v>
      </c>
      <c r="M240" s="185">
        <f t="shared" si="16"/>
        <v>200721</v>
      </c>
      <c r="N240" s="186">
        <f>IFERROR(D240/_xlfn.XLOOKUP($M240,'00_SKU_Master'!$B$2:$B$379,'00_SKU_Master'!$M$2:$M$379,0),"0")</f>
        <v>0</v>
      </c>
      <c r="O240" s="186">
        <f>IFERROR(E240/_xlfn.XLOOKUP($M240,'00_SKU_Master'!$B$2:$B$379,'00_SKU_Master'!$M$2:$M$379,0),"0")</f>
        <v>0</v>
      </c>
      <c r="P240" s="186">
        <f>IFERROR(F240/_xlfn.XLOOKUP($M240,'00_SKU_Master'!$B$2:$B$379,'00_SKU_Master'!$M$2:$M$379,0),"0")</f>
        <v>0</v>
      </c>
      <c r="Q240" s="186">
        <f>IFERROR(G240/_xlfn.XLOOKUP($M240,'00_SKU_Master'!$B$2:$B$379,'00_SKU_Master'!$M$2:$M$379,0),"0")</f>
        <v>0</v>
      </c>
      <c r="R240" s="186">
        <f>IFERROR(H240/_xlfn.XLOOKUP($M240,'00_SKU_Master'!$B$2:$B$379,'00_SKU_Master'!$M$2:$M$379,0),"0")</f>
        <v>0</v>
      </c>
      <c r="S240" s="186">
        <f>IFERROR(I240/_xlfn.XLOOKUP($M240,'00_SKU_Master'!$B$2:$B$379,'00_SKU_Master'!$M$2:$M$379,0),"0")</f>
        <v>0</v>
      </c>
      <c r="T240" s="186">
        <f>IFERROR(J240/_xlfn.XLOOKUP($M240,'00_SKU_Master'!$B$2:$B$379,'00_SKU_Master'!$M$2:$M$379,0),"0")</f>
        <v>0</v>
      </c>
      <c r="U240" s="186">
        <f t="shared" si="17"/>
        <v>0</v>
      </c>
      <c r="V240" s="186" t="str">
        <f>_xlfn.XLOOKUP(M240,'00_SKU_Master'!$B$2:$B$379,'00_SKU_Master'!$D$2:$D$379)</f>
        <v>FB</v>
      </c>
      <c r="W240" s="1"/>
      <c r="X240" s="2">
        <f>'05_Daily_Orders'!C241</f>
        <v>200721</v>
      </c>
      <c r="Y240" s="289"/>
      <c r="Z240" s="289">
        <v>0</v>
      </c>
      <c r="AA240" s="289">
        <v>0</v>
      </c>
      <c r="AB240" s="289">
        <v>0</v>
      </c>
      <c r="AC240" s="289">
        <v>0</v>
      </c>
      <c r="AD240" s="289">
        <v>0</v>
      </c>
      <c r="AE240" s="289">
        <v>0</v>
      </c>
      <c r="AF240" s="7">
        <f t="shared" si="18"/>
        <v>0</v>
      </c>
      <c r="AQ240" s="70">
        <v>0</v>
      </c>
      <c r="AR240" s="70">
        <v>0</v>
      </c>
      <c r="AS240" s="3">
        <f t="shared" si="19"/>
        <v>0</v>
      </c>
    </row>
    <row r="241" spans="1:45" x14ac:dyDescent="0.35">
      <c r="A241" s="181">
        <f>_xlfn.XLOOKUP(X241,'00_SKU_Master'!$B$2:$B$379,'00_SKU_Master'!$C$2:$C$379)</f>
        <v>61072</v>
      </c>
      <c r="B241" s="181" t="str">
        <f>_xlfn.XLOOKUP(X241,tblSKU[SKU],tblSKU[Product_Group])</f>
        <v>Drum</v>
      </c>
      <c r="C241" s="181" t="str">
        <f>_xlfn.XLOOKUP(X241,tblSKU[SKU],tblSKU[Tray_Type])</f>
        <v>LT 8XP</v>
      </c>
      <c r="D241" s="182">
        <f>_xlfn.IFNA(_xlfn.XLOOKUP(X241,'00_SKU_Master'!$B$2:$B$379,'00_SKU_Master'!$F$2:$F$379,0)*Y241,"")</f>
        <v>0</v>
      </c>
      <c r="E241" s="182">
        <f>_xlfn.IFNA(_xlfn.XLOOKUP(X241,'00_SKU_Master'!$B$2:$B$379,'00_SKU_Master'!$F$2:$F$379,0)*Z241,"")</f>
        <v>0</v>
      </c>
      <c r="F241" s="182">
        <f>_xlfn.IFNA(_xlfn.XLOOKUP(X241,'00_SKU_Master'!$B$2:$B$379,'00_SKU_Master'!$F$2:$F$379,0)*AA241,"")</f>
        <v>0</v>
      </c>
      <c r="G241" s="182">
        <f>_xlfn.IFNA(_xlfn.XLOOKUP(X241,'00_SKU_Master'!$B$2:$B$379,'00_SKU_Master'!$F$2:$F$379,0)*AB241,"")</f>
        <v>0</v>
      </c>
      <c r="H241" s="182">
        <f>_xlfn.IFNA(_xlfn.XLOOKUP(X241,'00_SKU_Master'!$B$2:$B$379,'00_SKU_Master'!$F$2:$F$379,0)*AC241,"")</f>
        <v>0</v>
      </c>
      <c r="I241" s="182">
        <f>_xlfn.IFNA(_xlfn.XLOOKUP(X241,'00_SKU_Master'!$B$2:$B$379,'00_SKU_Master'!$F$2:$F$379,0)*AD241,"")</f>
        <v>0</v>
      </c>
      <c r="J241" s="182">
        <f>_xlfn.IFNA(_xlfn.XLOOKUP(X241,'00_SKU_Master'!$B$2:$B$379,'00_SKU_Master'!$F$2:$F$379,0)*AE241,"")</f>
        <v>0</v>
      </c>
      <c r="K241" s="183">
        <f t="shared" si="15"/>
        <v>0</v>
      </c>
      <c r="L241" s="184" t="str">
        <f>_xlfn.XLOOKUP(X241,'00_SKU_Master'!$B$2:$B$379,'00_SKU_Master'!$K$2:$K$379)</f>
        <v>Fast</v>
      </c>
      <c r="M241" s="185">
        <f t="shared" si="16"/>
        <v>200722</v>
      </c>
      <c r="N241" s="186">
        <f>IFERROR(D241/_xlfn.XLOOKUP($M241,'00_SKU_Master'!$B$2:$B$379,'00_SKU_Master'!$M$2:$M$379,0),"0")</f>
        <v>0</v>
      </c>
      <c r="O241" s="186">
        <f>IFERROR(E241/_xlfn.XLOOKUP($M241,'00_SKU_Master'!$B$2:$B$379,'00_SKU_Master'!$M$2:$M$379,0),"0")</f>
        <v>0</v>
      </c>
      <c r="P241" s="186">
        <f>IFERROR(F241/_xlfn.XLOOKUP($M241,'00_SKU_Master'!$B$2:$B$379,'00_SKU_Master'!$M$2:$M$379,0),"0")</f>
        <v>0</v>
      </c>
      <c r="Q241" s="186">
        <f>IFERROR(G241/_xlfn.XLOOKUP($M241,'00_SKU_Master'!$B$2:$B$379,'00_SKU_Master'!$M$2:$M$379,0),"0")</f>
        <v>0</v>
      </c>
      <c r="R241" s="186">
        <f>IFERROR(H241/_xlfn.XLOOKUP($M241,'00_SKU_Master'!$B$2:$B$379,'00_SKU_Master'!$M$2:$M$379,0),"0")</f>
        <v>0</v>
      </c>
      <c r="S241" s="186">
        <f>IFERROR(I241/_xlfn.XLOOKUP($M241,'00_SKU_Master'!$B$2:$B$379,'00_SKU_Master'!$M$2:$M$379,0),"0")</f>
        <v>0</v>
      </c>
      <c r="T241" s="186">
        <f>IFERROR(J241/_xlfn.XLOOKUP($M241,'00_SKU_Master'!$B$2:$B$379,'00_SKU_Master'!$M$2:$M$379,0),"0")</f>
        <v>0</v>
      </c>
      <c r="U241" s="186">
        <f t="shared" si="17"/>
        <v>0</v>
      </c>
      <c r="V241" s="186" t="str">
        <f>_xlfn.XLOOKUP(M241,'00_SKU_Master'!$B$2:$B$379,'00_SKU_Master'!$D$2:$D$379)</f>
        <v>FB</v>
      </c>
      <c r="W241" s="1"/>
      <c r="X241" s="2">
        <f>'05_Daily_Orders'!C242</f>
        <v>200722</v>
      </c>
      <c r="Y241" s="289"/>
      <c r="Z241" s="289">
        <v>0</v>
      </c>
      <c r="AA241" s="289">
        <v>0</v>
      </c>
      <c r="AB241" s="289">
        <v>0</v>
      </c>
      <c r="AC241" s="289">
        <v>0</v>
      </c>
      <c r="AD241" s="289">
        <v>0</v>
      </c>
      <c r="AE241" s="289">
        <v>0</v>
      </c>
      <c r="AF241" s="7">
        <f t="shared" si="18"/>
        <v>0</v>
      </c>
      <c r="AQ241" s="70">
        <v>0</v>
      </c>
      <c r="AR241" s="70">
        <v>0</v>
      </c>
      <c r="AS241" s="3">
        <f t="shared" si="19"/>
        <v>0</v>
      </c>
    </row>
    <row r="242" spans="1:45" x14ac:dyDescent="0.35">
      <c r="A242" s="181" t="str">
        <f>_xlfn.XLOOKUP(X242,'00_SKU_Master'!$B$2:$B$379,'00_SKU_Master'!$C$2:$C$379)</f>
        <v>61050F</v>
      </c>
      <c r="B242" s="181" t="str">
        <f>_xlfn.XLOOKUP(X242,tblSKU[SKU],tblSKU[Product_Group])</f>
        <v>BSB</v>
      </c>
      <c r="C242" s="181" t="str">
        <f>_xlfn.XLOOKUP(X242,tblSKU[SKU],tblSKU[Tray_Type])</f>
        <v>LT 8XP</v>
      </c>
      <c r="D242" s="182">
        <f>_xlfn.IFNA(_xlfn.XLOOKUP(X242,'00_SKU_Master'!$B$2:$B$379,'00_SKU_Master'!$F$2:$F$379,0)*Y242,"")</f>
        <v>0</v>
      </c>
      <c r="E242" s="182">
        <f>_xlfn.IFNA(_xlfn.XLOOKUP(X242,'00_SKU_Master'!$B$2:$B$379,'00_SKU_Master'!$F$2:$F$379,0)*Z242,"")</f>
        <v>475.29148387096751</v>
      </c>
      <c r="F242" s="182">
        <f>_xlfn.IFNA(_xlfn.XLOOKUP(X242,'00_SKU_Master'!$B$2:$B$379,'00_SKU_Master'!$F$2:$F$379,0)*AA242,"")</f>
        <v>698.95806451612873</v>
      </c>
      <c r="G242" s="182">
        <f>_xlfn.IFNA(_xlfn.XLOOKUP(X242,'00_SKU_Master'!$B$2:$B$379,'00_SKU_Master'!$F$2:$F$379,0)*AB242,"")</f>
        <v>1724.0965591397842</v>
      </c>
      <c r="H242" s="182">
        <f>_xlfn.IFNA(_xlfn.XLOOKUP(X242,'00_SKU_Master'!$B$2:$B$379,'00_SKU_Master'!$F$2:$F$379,0)*AC242,"")</f>
        <v>1397.9161290322575</v>
      </c>
      <c r="I242" s="182">
        <f>_xlfn.IFNA(_xlfn.XLOOKUP(X242,'00_SKU_Master'!$B$2:$B$379,'00_SKU_Master'!$F$2:$F$379,0)*AD242,"")</f>
        <v>0</v>
      </c>
      <c r="J242" s="182">
        <f>_xlfn.IFNA(_xlfn.XLOOKUP(X242,'00_SKU_Master'!$B$2:$B$379,'00_SKU_Master'!$F$2:$F$379,0)*AE242,"")</f>
        <v>698.95806451612873</v>
      </c>
      <c r="K242" s="183">
        <f t="shared" si="15"/>
        <v>4995.2203010752664</v>
      </c>
      <c r="L242" s="184" t="str">
        <f>_xlfn.XLOOKUP(X242,'00_SKU_Master'!$B$2:$B$379,'00_SKU_Master'!$K$2:$K$379)</f>
        <v>Fast</v>
      </c>
      <c r="M242" s="185">
        <f t="shared" si="16"/>
        <v>200723</v>
      </c>
      <c r="N242" s="186">
        <f>IFERROR(D242/_xlfn.XLOOKUP($M242,'00_SKU_Master'!$B$2:$B$379,'00_SKU_Master'!$M$2:$M$379,0),"0")</f>
        <v>0</v>
      </c>
      <c r="O242" s="186">
        <f>IFERROR(E242/_xlfn.XLOOKUP($M242,'00_SKU_Master'!$B$2:$B$379,'00_SKU_Master'!$M$2:$M$379,0),"0")</f>
        <v>3.2933168228309833</v>
      </c>
      <c r="P242" s="186">
        <f>IFERROR(F242/_xlfn.XLOOKUP($M242,'00_SKU_Master'!$B$2:$B$379,'00_SKU_Master'!$M$2:$M$379,0),"0")</f>
        <v>4.8431129747514463</v>
      </c>
      <c r="Q242" s="186">
        <f>IFERROR(G242/_xlfn.XLOOKUP($M242,'00_SKU_Master'!$B$2:$B$379,'00_SKU_Master'!$M$2:$M$379,0),"0")</f>
        <v>11.946345337720235</v>
      </c>
      <c r="R242" s="186">
        <f>IFERROR(H242/_xlfn.XLOOKUP($M242,'00_SKU_Master'!$B$2:$B$379,'00_SKU_Master'!$M$2:$M$379,0),"0")</f>
        <v>9.6862259495028926</v>
      </c>
      <c r="S242" s="186">
        <f>IFERROR(I242/_xlfn.XLOOKUP($M242,'00_SKU_Master'!$B$2:$B$379,'00_SKU_Master'!$M$2:$M$379,0),"0")</f>
        <v>0</v>
      </c>
      <c r="T242" s="186">
        <f>IFERROR(J242/_xlfn.XLOOKUP($M242,'00_SKU_Master'!$B$2:$B$379,'00_SKU_Master'!$M$2:$M$379,0),"0")</f>
        <v>4.8431129747514463</v>
      </c>
      <c r="U242" s="186">
        <f t="shared" si="17"/>
        <v>34.612114059557008</v>
      </c>
      <c r="V242" s="186" t="str">
        <f>_xlfn.XLOOKUP(M242,'00_SKU_Master'!$B$2:$B$379,'00_SKU_Master'!$D$2:$D$379)</f>
        <v>FB</v>
      </c>
      <c r="W242" s="1"/>
      <c r="X242" s="2">
        <f>'05_Daily_Orders'!C243</f>
        <v>200723</v>
      </c>
      <c r="Y242" s="289"/>
      <c r="Z242" s="289">
        <v>51</v>
      </c>
      <c r="AA242" s="289">
        <v>75</v>
      </c>
      <c r="AB242" s="289">
        <v>185</v>
      </c>
      <c r="AC242" s="289">
        <v>150</v>
      </c>
      <c r="AD242" s="289">
        <v>0</v>
      </c>
      <c r="AE242" s="289">
        <v>75</v>
      </c>
      <c r="AF242" s="7">
        <f t="shared" si="18"/>
        <v>536</v>
      </c>
      <c r="AQ242" s="70">
        <v>0</v>
      </c>
      <c r="AR242" s="70">
        <v>51</v>
      </c>
      <c r="AS242" s="3">
        <f t="shared" si="19"/>
        <v>51</v>
      </c>
    </row>
    <row r="243" spans="1:45" x14ac:dyDescent="0.35">
      <c r="A243" s="181">
        <f>_xlfn.XLOOKUP(X243,'00_SKU_Master'!$B$2:$B$379,'00_SKU_Master'!$C$2:$C$379)</f>
        <v>61071</v>
      </c>
      <c r="B243" s="181" t="str">
        <f>_xlfn.XLOOKUP(X243,tblSKU[SKU],tblSKU[Product_Group])</f>
        <v>Drum</v>
      </c>
      <c r="C243" s="181" t="str">
        <f>_xlfn.XLOOKUP(X243,tblSKU[SKU],tblSKU[Tray_Type])</f>
        <v>ST 3D</v>
      </c>
      <c r="D243" s="182">
        <f>_xlfn.IFNA(_xlfn.XLOOKUP(X243,'00_SKU_Master'!$B$2:$B$379,'00_SKU_Master'!$F$2:$F$379,0)*Y243,"")</f>
        <v>0</v>
      </c>
      <c r="E243" s="182">
        <f>_xlfn.IFNA(_xlfn.XLOOKUP(X243,'00_SKU_Master'!$B$2:$B$379,'00_SKU_Master'!$F$2:$F$379,0)*Z243,"")</f>
        <v>126.09634205557026</v>
      </c>
      <c r="F243" s="182">
        <f>_xlfn.IFNA(_xlfn.XLOOKUP(X243,'00_SKU_Master'!$B$2:$B$379,'00_SKU_Master'!$F$2:$F$379,0)*AA243,"")</f>
        <v>0</v>
      </c>
      <c r="G243" s="182">
        <f>_xlfn.IFNA(_xlfn.XLOOKUP(X243,'00_SKU_Master'!$B$2:$B$379,'00_SKU_Master'!$F$2:$F$379,0)*AB243,"")</f>
        <v>111.2614782843267</v>
      </c>
      <c r="H243" s="182">
        <f>_xlfn.IFNA(_xlfn.XLOOKUP(X243,'00_SKU_Master'!$B$2:$B$379,'00_SKU_Master'!$F$2:$F$379,0)*AC243,"")</f>
        <v>148.34863771243559</v>
      </c>
      <c r="I243" s="182">
        <f>_xlfn.IFNA(_xlfn.XLOOKUP(X243,'00_SKU_Master'!$B$2:$B$379,'00_SKU_Master'!$F$2:$F$379,0)*AD243,"")</f>
        <v>0</v>
      </c>
      <c r="J243" s="182">
        <f>_xlfn.IFNA(_xlfn.XLOOKUP(X243,'00_SKU_Master'!$B$2:$B$379,'00_SKU_Master'!$F$2:$F$379,0)*AE243,"")</f>
        <v>148.34863771243559</v>
      </c>
      <c r="K243" s="183">
        <f t="shared" si="15"/>
        <v>534.05509576476811</v>
      </c>
      <c r="L243" s="184" t="str">
        <f>_xlfn.XLOOKUP(X243,'00_SKU_Master'!$B$2:$B$379,'00_SKU_Master'!$K$2:$K$379)</f>
        <v>Fast</v>
      </c>
      <c r="M243" s="185">
        <f t="shared" si="16"/>
        <v>200724</v>
      </c>
      <c r="N243" s="186">
        <f>IFERROR(D243/_xlfn.XLOOKUP($M243,'00_SKU_Master'!$B$2:$B$379,'00_SKU_Master'!$M$2:$M$379,0),"0")</f>
        <v>0</v>
      </c>
      <c r="O243" s="186">
        <f>IFERROR(E243/_xlfn.XLOOKUP($M243,'00_SKU_Master'!$B$2:$B$379,'00_SKU_Master'!$M$2:$M$379,0),"0")</f>
        <v>2.4498997873629351</v>
      </c>
      <c r="P243" s="186">
        <f>IFERROR(F243/_xlfn.XLOOKUP($M243,'00_SKU_Master'!$B$2:$B$379,'00_SKU_Master'!$M$2:$M$379,0),"0")</f>
        <v>0</v>
      </c>
      <c r="Q243" s="186">
        <f>IFERROR(G243/_xlfn.XLOOKUP($M243,'00_SKU_Master'!$B$2:$B$379,'00_SKU_Master'!$M$2:$M$379,0),"0")</f>
        <v>2.1616762829672957</v>
      </c>
      <c r="R243" s="186">
        <f>IFERROR(H243/_xlfn.XLOOKUP($M243,'00_SKU_Master'!$B$2:$B$379,'00_SKU_Master'!$M$2:$M$379,0),"0")</f>
        <v>2.8822350439563937</v>
      </c>
      <c r="S243" s="186">
        <f>IFERROR(I243/_xlfn.XLOOKUP($M243,'00_SKU_Master'!$B$2:$B$379,'00_SKU_Master'!$M$2:$M$379,0),"0")</f>
        <v>0</v>
      </c>
      <c r="T243" s="186">
        <f>IFERROR(J243/_xlfn.XLOOKUP($M243,'00_SKU_Master'!$B$2:$B$379,'00_SKU_Master'!$M$2:$M$379,0),"0")</f>
        <v>2.8822350439563937</v>
      </c>
      <c r="U243" s="186">
        <f t="shared" si="17"/>
        <v>10.376046158243017</v>
      </c>
      <c r="V243" s="186" t="str">
        <f>_xlfn.XLOOKUP(M243,'00_SKU_Master'!$B$2:$B$379,'00_SKU_Master'!$D$2:$D$379)</f>
        <v>FB</v>
      </c>
      <c r="W243" s="1"/>
      <c r="X243" s="2">
        <f>'05_Daily_Orders'!C244</f>
        <v>200724</v>
      </c>
      <c r="Y243" s="289"/>
      <c r="Z243" s="289">
        <v>34</v>
      </c>
      <c r="AA243" s="289">
        <v>0</v>
      </c>
      <c r="AB243" s="289">
        <v>30</v>
      </c>
      <c r="AC243" s="289">
        <v>40</v>
      </c>
      <c r="AD243" s="289">
        <v>0</v>
      </c>
      <c r="AE243" s="289">
        <v>40</v>
      </c>
      <c r="AF243" s="7">
        <f t="shared" si="18"/>
        <v>144</v>
      </c>
      <c r="AQ243" s="70">
        <v>0</v>
      </c>
      <c r="AR243" s="70">
        <v>34</v>
      </c>
      <c r="AS243" s="3">
        <f t="shared" si="19"/>
        <v>34</v>
      </c>
    </row>
    <row r="244" spans="1:45" x14ac:dyDescent="0.35">
      <c r="A244" s="181">
        <f>_xlfn.XLOOKUP(X244,'00_SKU_Master'!$B$2:$B$379,'00_SKU_Master'!$C$2:$C$379)</f>
        <v>61050</v>
      </c>
      <c r="B244" s="181" t="str">
        <f>_xlfn.XLOOKUP(X244,tblSKU[SKU],tblSKU[Product_Group])</f>
        <v>BSB</v>
      </c>
      <c r="C244" s="181" t="str">
        <f>_xlfn.XLOOKUP(X244,tblSKU[SKU],tblSKU[Tray_Type])</f>
        <v>LT 8XP</v>
      </c>
      <c r="D244" s="182">
        <f>_xlfn.IFNA(_xlfn.XLOOKUP(X244,'00_SKU_Master'!$B$2:$B$379,'00_SKU_Master'!$F$2:$F$379,0)*Y244,"")</f>
        <v>0</v>
      </c>
      <c r="E244" s="182">
        <f>_xlfn.IFNA(_xlfn.XLOOKUP(X244,'00_SKU_Master'!$B$2:$B$379,'00_SKU_Master'!$F$2:$F$379,0)*Z244,"")</f>
        <v>0</v>
      </c>
      <c r="F244" s="182">
        <f>_xlfn.IFNA(_xlfn.XLOOKUP(X244,'00_SKU_Master'!$B$2:$B$379,'00_SKU_Master'!$F$2:$F$379,0)*AA244,"")</f>
        <v>0</v>
      </c>
      <c r="G244" s="182">
        <f>_xlfn.IFNA(_xlfn.XLOOKUP(X244,'00_SKU_Master'!$B$2:$B$379,'00_SKU_Master'!$F$2:$F$379,0)*AB244,"")</f>
        <v>0</v>
      </c>
      <c r="H244" s="182">
        <f>_xlfn.IFNA(_xlfn.XLOOKUP(X244,'00_SKU_Master'!$B$2:$B$379,'00_SKU_Master'!$F$2:$F$379,0)*AC244,"")</f>
        <v>0</v>
      </c>
      <c r="I244" s="182">
        <f>_xlfn.IFNA(_xlfn.XLOOKUP(X244,'00_SKU_Master'!$B$2:$B$379,'00_SKU_Master'!$F$2:$F$379,0)*AD244,"")</f>
        <v>0</v>
      </c>
      <c r="J244" s="182">
        <f>_xlfn.IFNA(_xlfn.XLOOKUP(X244,'00_SKU_Master'!$B$2:$B$379,'00_SKU_Master'!$F$2:$F$379,0)*AE244,"")</f>
        <v>0</v>
      </c>
      <c r="K244" s="183">
        <f t="shared" si="15"/>
        <v>0</v>
      </c>
      <c r="L244" s="184" t="str">
        <f>_xlfn.XLOOKUP(X244,'00_SKU_Master'!$B$2:$B$379,'00_SKU_Master'!$K$2:$K$379)</f>
        <v>Fast</v>
      </c>
      <c r="M244" s="185">
        <f t="shared" si="16"/>
        <v>200725</v>
      </c>
      <c r="N244" s="186">
        <f>IFERROR(D244/_xlfn.XLOOKUP($M244,'00_SKU_Master'!$B$2:$B$379,'00_SKU_Master'!$M$2:$M$379,0),"0")</f>
        <v>0</v>
      </c>
      <c r="O244" s="186">
        <f>IFERROR(E244/_xlfn.XLOOKUP($M244,'00_SKU_Master'!$B$2:$B$379,'00_SKU_Master'!$M$2:$M$379,0),"0")</f>
        <v>0</v>
      </c>
      <c r="P244" s="186">
        <f>IFERROR(F244/_xlfn.XLOOKUP($M244,'00_SKU_Master'!$B$2:$B$379,'00_SKU_Master'!$M$2:$M$379,0),"0")</f>
        <v>0</v>
      </c>
      <c r="Q244" s="186">
        <f>IFERROR(G244/_xlfn.XLOOKUP($M244,'00_SKU_Master'!$B$2:$B$379,'00_SKU_Master'!$M$2:$M$379,0),"0")</f>
        <v>0</v>
      </c>
      <c r="R244" s="186">
        <f>IFERROR(H244/_xlfn.XLOOKUP($M244,'00_SKU_Master'!$B$2:$B$379,'00_SKU_Master'!$M$2:$M$379,0),"0")</f>
        <v>0</v>
      </c>
      <c r="S244" s="186">
        <f>IFERROR(I244/_xlfn.XLOOKUP($M244,'00_SKU_Master'!$B$2:$B$379,'00_SKU_Master'!$M$2:$M$379,0),"0")</f>
        <v>0</v>
      </c>
      <c r="T244" s="186">
        <f>IFERROR(J244/_xlfn.XLOOKUP($M244,'00_SKU_Master'!$B$2:$B$379,'00_SKU_Master'!$M$2:$M$379,0),"0")</f>
        <v>0</v>
      </c>
      <c r="U244" s="186">
        <f t="shared" si="17"/>
        <v>0</v>
      </c>
      <c r="V244" s="186" t="str">
        <f>_xlfn.XLOOKUP(M244,'00_SKU_Master'!$B$2:$B$379,'00_SKU_Master'!$D$2:$D$379)</f>
        <v>METRO</v>
      </c>
      <c r="W244" s="1"/>
      <c r="X244" s="2">
        <f>'05_Daily_Orders'!C245</f>
        <v>200725</v>
      </c>
      <c r="Y244" s="289"/>
      <c r="Z244" s="289">
        <v>0</v>
      </c>
      <c r="AA244" s="289">
        <v>0</v>
      </c>
      <c r="AB244" s="289">
        <v>0</v>
      </c>
      <c r="AC244" s="289">
        <v>0</v>
      </c>
      <c r="AD244" s="289">
        <v>0</v>
      </c>
      <c r="AE244" s="289">
        <v>0</v>
      </c>
      <c r="AF244" s="7">
        <f t="shared" si="18"/>
        <v>0</v>
      </c>
      <c r="AQ244" s="70">
        <v>0</v>
      </c>
      <c r="AR244" s="70">
        <v>0</v>
      </c>
      <c r="AS244" s="3">
        <f t="shared" si="19"/>
        <v>0</v>
      </c>
    </row>
    <row r="245" spans="1:45" x14ac:dyDescent="0.35">
      <c r="A245" s="181">
        <f>_xlfn.XLOOKUP(X245,'00_SKU_Master'!$B$2:$B$379,'00_SKU_Master'!$C$2:$C$379)</f>
        <v>61077</v>
      </c>
      <c r="B245" s="181" t="str">
        <f>_xlfn.XLOOKUP(X245,tblSKU[SKU],tblSKU[Product_Group])</f>
        <v>Thigh</v>
      </c>
      <c r="C245" s="181" t="str">
        <f>_xlfn.XLOOKUP(X245,tblSKU[SKU],tblSKU[Tray_Type])</f>
        <v>LT 8XP</v>
      </c>
      <c r="D245" s="182">
        <f>_xlfn.IFNA(_xlfn.XLOOKUP(X245,'00_SKU_Master'!$B$2:$B$379,'00_SKU_Master'!$F$2:$F$379,0)*Y245,"")</f>
        <v>0</v>
      </c>
      <c r="E245" s="182">
        <f>_xlfn.IFNA(_xlfn.XLOOKUP(X245,'00_SKU_Master'!$B$2:$B$379,'00_SKU_Master'!$F$2:$F$379,0)*Z245,"")</f>
        <v>0</v>
      </c>
      <c r="F245" s="182">
        <f>_xlfn.IFNA(_xlfn.XLOOKUP(X245,'00_SKU_Master'!$B$2:$B$379,'00_SKU_Master'!$F$2:$F$379,0)*AA245,"")</f>
        <v>0</v>
      </c>
      <c r="G245" s="182">
        <f>_xlfn.IFNA(_xlfn.XLOOKUP(X245,'00_SKU_Master'!$B$2:$B$379,'00_SKU_Master'!$F$2:$F$379,0)*AB245,"")</f>
        <v>0</v>
      </c>
      <c r="H245" s="182">
        <f>_xlfn.IFNA(_xlfn.XLOOKUP(X245,'00_SKU_Master'!$B$2:$B$379,'00_SKU_Master'!$F$2:$F$379,0)*AC245,"")</f>
        <v>0</v>
      </c>
      <c r="I245" s="182">
        <f>_xlfn.IFNA(_xlfn.XLOOKUP(X245,'00_SKU_Master'!$B$2:$B$379,'00_SKU_Master'!$F$2:$F$379,0)*AD245,"")</f>
        <v>0</v>
      </c>
      <c r="J245" s="182">
        <f>_xlfn.IFNA(_xlfn.XLOOKUP(X245,'00_SKU_Master'!$B$2:$B$379,'00_SKU_Master'!$F$2:$F$379,0)*AE245,"")</f>
        <v>0</v>
      </c>
      <c r="K245" s="183">
        <f t="shared" si="15"/>
        <v>0</v>
      </c>
      <c r="L245" s="184" t="str">
        <f>_xlfn.XLOOKUP(X245,'00_SKU_Master'!$B$2:$B$379,'00_SKU_Master'!$K$2:$K$379)</f>
        <v>Fast</v>
      </c>
      <c r="M245" s="185">
        <f t="shared" si="16"/>
        <v>200726</v>
      </c>
      <c r="N245" s="186">
        <f>IFERROR(D245/_xlfn.XLOOKUP($M245,'00_SKU_Master'!$B$2:$B$379,'00_SKU_Master'!$M$2:$M$379,0),"0")</f>
        <v>0</v>
      </c>
      <c r="O245" s="186">
        <f>IFERROR(E245/_xlfn.XLOOKUP($M245,'00_SKU_Master'!$B$2:$B$379,'00_SKU_Master'!$M$2:$M$379,0),"0")</f>
        <v>0</v>
      </c>
      <c r="P245" s="186">
        <f>IFERROR(F245/_xlfn.XLOOKUP($M245,'00_SKU_Master'!$B$2:$B$379,'00_SKU_Master'!$M$2:$M$379,0),"0")</f>
        <v>0</v>
      </c>
      <c r="Q245" s="186">
        <f>IFERROR(G245/_xlfn.XLOOKUP($M245,'00_SKU_Master'!$B$2:$B$379,'00_SKU_Master'!$M$2:$M$379,0),"0")</f>
        <v>0</v>
      </c>
      <c r="R245" s="186">
        <f>IFERROR(H245/_xlfn.XLOOKUP($M245,'00_SKU_Master'!$B$2:$B$379,'00_SKU_Master'!$M$2:$M$379,0),"0")</f>
        <v>0</v>
      </c>
      <c r="S245" s="186">
        <f>IFERROR(I245/_xlfn.XLOOKUP($M245,'00_SKU_Master'!$B$2:$B$379,'00_SKU_Master'!$M$2:$M$379,0),"0")</f>
        <v>0</v>
      </c>
      <c r="T245" s="186">
        <f>IFERROR(J245/_xlfn.XLOOKUP($M245,'00_SKU_Master'!$B$2:$B$379,'00_SKU_Master'!$M$2:$M$379,0),"0")</f>
        <v>0</v>
      </c>
      <c r="U245" s="186">
        <f t="shared" si="17"/>
        <v>0</v>
      </c>
      <c r="V245" s="186" t="str">
        <f>_xlfn.XLOOKUP(M245,'00_SKU_Master'!$B$2:$B$379,'00_SKU_Master'!$D$2:$D$379)</f>
        <v>METRO</v>
      </c>
      <c r="W245" s="1"/>
      <c r="X245" s="2">
        <f>'05_Daily_Orders'!C246</f>
        <v>200726</v>
      </c>
      <c r="Y245" s="289"/>
      <c r="Z245" s="289">
        <v>0</v>
      </c>
      <c r="AA245" s="289">
        <v>0</v>
      </c>
      <c r="AB245" s="289">
        <v>0</v>
      </c>
      <c r="AC245" s="289">
        <v>0</v>
      </c>
      <c r="AD245" s="289">
        <v>0</v>
      </c>
      <c r="AE245" s="289">
        <v>0</v>
      </c>
      <c r="AF245" s="7">
        <f t="shared" si="18"/>
        <v>0</v>
      </c>
      <c r="AQ245" s="70">
        <v>0</v>
      </c>
      <c r="AR245" s="70">
        <v>0</v>
      </c>
      <c r="AS245" s="3">
        <f t="shared" si="19"/>
        <v>0</v>
      </c>
    </row>
    <row r="246" spans="1:45" x14ac:dyDescent="0.35">
      <c r="A246" s="181">
        <f>_xlfn.XLOOKUP(X246,'00_SKU_Master'!$B$2:$B$379,'00_SKU_Master'!$C$2:$C$379)</f>
        <v>61072</v>
      </c>
      <c r="B246" s="181" t="str">
        <f>_xlfn.XLOOKUP(X246,tblSKU[SKU],tblSKU[Product_Group])</f>
        <v>Drum</v>
      </c>
      <c r="C246" s="181" t="str">
        <f>_xlfn.XLOOKUP(X246,tblSKU[SKU],tblSKU[Tray_Type])</f>
        <v>LT 8XP</v>
      </c>
      <c r="D246" s="182">
        <f>_xlfn.IFNA(_xlfn.XLOOKUP(X246,'00_SKU_Master'!$B$2:$B$379,'00_SKU_Master'!$F$2:$F$379,0)*Y246,"")</f>
        <v>0</v>
      </c>
      <c r="E246" s="182">
        <f>_xlfn.IFNA(_xlfn.XLOOKUP(X246,'00_SKU_Master'!$B$2:$B$379,'00_SKU_Master'!$F$2:$F$379,0)*Z246,"")</f>
        <v>0</v>
      </c>
      <c r="F246" s="182">
        <f>_xlfn.IFNA(_xlfn.XLOOKUP(X246,'00_SKU_Master'!$B$2:$B$379,'00_SKU_Master'!$F$2:$F$379,0)*AA246,"")</f>
        <v>0</v>
      </c>
      <c r="G246" s="182">
        <f>_xlfn.IFNA(_xlfn.XLOOKUP(X246,'00_SKU_Master'!$B$2:$B$379,'00_SKU_Master'!$F$2:$F$379,0)*AB246,"")</f>
        <v>0</v>
      </c>
      <c r="H246" s="182">
        <f>_xlfn.IFNA(_xlfn.XLOOKUP(X246,'00_SKU_Master'!$B$2:$B$379,'00_SKU_Master'!$F$2:$F$379,0)*AC246,"")</f>
        <v>0</v>
      </c>
      <c r="I246" s="182">
        <f>_xlfn.IFNA(_xlfn.XLOOKUP(X246,'00_SKU_Master'!$B$2:$B$379,'00_SKU_Master'!$F$2:$F$379,0)*AD246,"")</f>
        <v>0</v>
      </c>
      <c r="J246" s="182">
        <f>_xlfn.IFNA(_xlfn.XLOOKUP(X246,'00_SKU_Master'!$B$2:$B$379,'00_SKU_Master'!$F$2:$F$379,0)*AE246,"")</f>
        <v>0</v>
      </c>
      <c r="K246" s="183">
        <f t="shared" si="15"/>
        <v>0</v>
      </c>
      <c r="L246" s="184" t="str">
        <f>_xlfn.XLOOKUP(X246,'00_SKU_Master'!$B$2:$B$379,'00_SKU_Master'!$K$2:$K$379)</f>
        <v>Fast</v>
      </c>
      <c r="M246" s="185">
        <f t="shared" si="16"/>
        <v>200727</v>
      </c>
      <c r="N246" s="186">
        <f>IFERROR(D246/_xlfn.XLOOKUP($M246,'00_SKU_Master'!$B$2:$B$379,'00_SKU_Master'!$M$2:$M$379,0),"0")</f>
        <v>0</v>
      </c>
      <c r="O246" s="186">
        <f>IFERROR(E246/_xlfn.XLOOKUP($M246,'00_SKU_Master'!$B$2:$B$379,'00_SKU_Master'!$M$2:$M$379,0),"0")</f>
        <v>0</v>
      </c>
      <c r="P246" s="186">
        <f>IFERROR(F246/_xlfn.XLOOKUP($M246,'00_SKU_Master'!$B$2:$B$379,'00_SKU_Master'!$M$2:$M$379,0),"0")</f>
        <v>0</v>
      </c>
      <c r="Q246" s="186">
        <f>IFERROR(G246/_xlfn.XLOOKUP($M246,'00_SKU_Master'!$B$2:$B$379,'00_SKU_Master'!$M$2:$M$379,0),"0")</f>
        <v>0</v>
      </c>
      <c r="R246" s="186">
        <f>IFERROR(H246/_xlfn.XLOOKUP($M246,'00_SKU_Master'!$B$2:$B$379,'00_SKU_Master'!$M$2:$M$379,0),"0")</f>
        <v>0</v>
      </c>
      <c r="S246" s="186">
        <f>IFERROR(I246/_xlfn.XLOOKUP($M246,'00_SKU_Master'!$B$2:$B$379,'00_SKU_Master'!$M$2:$M$379,0),"0")</f>
        <v>0</v>
      </c>
      <c r="T246" s="186">
        <f>IFERROR(J246/_xlfn.XLOOKUP($M246,'00_SKU_Master'!$B$2:$B$379,'00_SKU_Master'!$M$2:$M$379,0),"0")</f>
        <v>0</v>
      </c>
      <c r="U246" s="186">
        <f t="shared" si="17"/>
        <v>0</v>
      </c>
      <c r="V246" s="186" t="str">
        <f>_xlfn.XLOOKUP(M246,'00_SKU_Master'!$B$2:$B$379,'00_SKU_Master'!$D$2:$D$379)</f>
        <v>METRO</v>
      </c>
      <c r="W246" s="1"/>
      <c r="X246" s="2">
        <f>'05_Daily_Orders'!C247</f>
        <v>200727</v>
      </c>
      <c r="Y246" s="289"/>
      <c r="Z246" s="289">
        <v>0</v>
      </c>
      <c r="AA246" s="289">
        <v>0</v>
      </c>
      <c r="AB246" s="289">
        <v>0</v>
      </c>
      <c r="AC246" s="289">
        <v>0</v>
      </c>
      <c r="AD246" s="289">
        <v>0</v>
      </c>
      <c r="AE246" s="289">
        <v>0</v>
      </c>
      <c r="AF246" s="7">
        <f t="shared" si="18"/>
        <v>0</v>
      </c>
      <c r="AQ246" s="70">
        <v>0</v>
      </c>
      <c r="AR246" s="70">
        <v>0</v>
      </c>
      <c r="AS246" s="3">
        <f t="shared" si="19"/>
        <v>0</v>
      </c>
    </row>
    <row r="247" spans="1:45" x14ac:dyDescent="0.35">
      <c r="A247" s="181">
        <f>_xlfn.XLOOKUP(X247,'00_SKU_Master'!$B$2:$B$379,'00_SKU_Master'!$C$2:$C$379)</f>
        <v>61077</v>
      </c>
      <c r="B247" s="181" t="str">
        <f>_xlfn.XLOOKUP(X247,tblSKU[SKU],tblSKU[Product_Group])</f>
        <v>Thigh</v>
      </c>
      <c r="C247" s="181" t="str">
        <f>_xlfn.XLOOKUP(X247,tblSKU[SKU],tblSKU[Tray_Type])</f>
        <v>LT 8XP</v>
      </c>
      <c r="D247" s="182">
        <f>_xlfn.IFNA(_xlfn.XLOOKUP(X247,'00_SKU_Master'!$B$2:$B$379,'00_SKU_Master'!$F$2:$F$379,0)*Y247,"")</f>
        <v>0</v>
      </c>
      <c r="E247" s="182">
        <f>_xlfn.IFNA(_xlfn.XLOOKUP(X247,'00_SKU_Master'!$B$2:$B$379,'00_SKU_Master'!$F$2:$F$379,0)*Z247,"")</f>
        <v>0</v>
      </c>
      <c r="F247" s="182">
        <f>_xlfn.IFNA(_xlfn.XLOOKUP(X247,'00_SKU_Master'!$B$2:$B$379,'00_SKU_Master'!$F$2:$F$379,0)*AA247,"")</f>
        <v>0</v>
      </c>
      <c r="G247" s="182">
        <f>_xlfn.IFNA(_xlfn.XLOOKUP(X247,'00_SKU_Master'!$B$2:$B$379,'00_SKU_Master'!$F$2:$F$379,0)*AB247,"")</f>
        <v>0</v>
      </c>
      <c r="H247" s="182">
        <f>_xlfn.IFNA(_xlfn.XLOOKUP(X247,'00_SKU_Master'!$B$2:$B$379,'00_SKU_Master'!$F$2:$F$379,0)*AC247,"")</f>
        <v>0</v>
      </c>
      <c r="I247" s="182">
        <f>_xlfn.IFNA(_xlfn.XLOOKUP(X247,'00_SKU_Master'!$B$2:$B$379,'00_SKU_Master'!$F$2:$F$379,0)*AD247,"")</f>
        <v>0</v>
      </c>
      <c r="J247" s="182">
        <f>_xlfn.IFNA(_xlfn.XLOOKUP(X247,'00_SKU_Master'!$B$2:$B$379,'00_SKU_Master'!$F$2:$F$379,0)*AE247,"")</f>
        <v>0</v>
      </c>
      <c r="K247" s="183">
        <f t="shared" si="15"/>
        <v>0</v>
      </c>
      <c r="L247" s="184" t="str">
        <f>_xlfn.XLOOKUP(X247,'00_SKU_Master'!$B$2:$B$379,'00_SKU_Master'!$K$2:$K$379)</f>
        <v>Fast</v>
      </c>
      <c r="M247" s="185">
        <f t="shared" si="16"/>
        <v>200736</v>
      </c>
      <c r="N247" s="186">
        <f>IFERROR(D247/_xlfn.XLOOKUP($M247,'00_SKU_Master'!$B$2:$B$379,'00_SKU_Master'!$M$2:$M$379,0),"0")</f>
        <v>0</v>
      </c>
      <c r="O247" s="186">
        <f>IFERROR(E247/_xlfn.XLOOKUP($M247,'00_SKU_Master'!$B$2:$B$379,'00_SKU_Master'!$M$2:$M$379,0),"0")</f>
        <v>0</v>
      </c>
      <c r="P247" s="186">
        <f>IFERROR(F247/_xlfn.XLOOKUP($M247,'00_SKU_Master'!$B$2:$B$379,'00_SKU_Master'!$M$2:$M$379,0),"0")</f>
        <v>0</v>
      </c>
      <c r="Q247" s="186">
        <f>IFERROR(G247/_xlfn.XLOOKUP($M247,'00_SKU_Master'!$B$2:$B$379,'00_SKU_Master'!$M$2:$M$379,0),"0")</f>
        <v>0</v>
      </c>
      <c r="R247" s="186">
        <f>IFERROR(H247/_xlfn.XLOOKUP($M247,'00_SKU_Master'!$B$2:$B$379,'00_SKU_Master'!$M$2:$M$379,0),"0")</f>
        <v>0</v>
      </c>
      <c r="S247" s="186">
        <f>IFERROR(I247/_xlfn.XLOOKUP($M247,'00_SKU_Master'!$B$2:$B$379,'00_SKU_Master'!$M$2:$M$379,0),"0")</f>
        <v>0</v>
      </c>
      <c r="T247" s="186">
        <f>IFERROR(J247/_xlfn.XLOOKUP($M247,'00_SKU_Master'!$B$2:$B$379,'00_SKU_Master'!$M$2:$M$379,0),"0")</f>
        <v>0</v>
      </c>
      <c r="U247" s="186">
        <f t="shared" si="17"/>
        <v>0</v>
      </c>
      <c r="V247" s="186" t="str">
        <f>_xlfn.XLOOKUP(M247,'00_SKU_Master'!$B$2:$B$379,'00_SKU_Master'!$D$2:$D$379)</f>
        <v>FB</v>
      </c>
      <c r="W247" s="1"/>
      <c r="X247" s="2">
        <f>'05_Daily_Orders'!C248</f>
        <v>200736</v>
      </c>
      <c r="Y247" s="289"/>
      <c r="Z247" s="289">
        <v>0</v>
      </c>
      <c r="AA247" s="289">
        <v>0</v>
      </c>
      <c r="AB247" s="289">
        <v>0</v>
      </c>
      <c r="AC247" s="289">
        <v>0</v>
      </c>
      <c r="AD247" s="289">
        <v>0</v>
      </c>
      <c r="AE247" s="289">
        <v>0</v>
      </c>
      <c r="AF247" s="7">
        <f t="shared" si="18"/>
        <v>0</v>
      </c>
      <c r="AQ247" s="70">
        <v>0</v>
      </c>
      <c r="AR247" s="70">
        <v>0</v>
      </c>
      <c r="AS247" s="3">
        <f t="shared" si="19"/>
        <v>0</v>
      </c>
    </row>
    <row r="248" spans="1:45" x14ac:dyDescent="0.35">
      <c r="A248" s="181">
        <f>_xlfn.XLOOKUP(X248,'00_SKU_Master'!$B$2:$B$379,'00_SKU_Master'!$C$2:$C$379)</f>
        <v>61072</v>
      </c>
      <c r="B248" s="181" t="str">
        <f>_xlfn.XLOOKUP(X248,tblSKU[SKU],tblSKU[Product_Group])</f>
        <v>Drum</v>
      </c>
      <c r="C248" s="181" t="str">
        <f>_xlfn.XLOOKUP(X248,tblSKU[SKU],tblSKU[Tray_Type])</f>
        <v>LT 8XP</v>
      </c>
      <c r="D248" s="182">
        <f>_xlfn.IFNA(_xlfn.XLOOKUP(X248,'00_SKU_Master'!$B$2:$B$379,'00_SKU_Master'!$F$2:$F$379,0)*Y248,"")</f>
        <v>0</v>
      </c>
      <c r="E248" s="182">
        <f>_xlfn.IFNA(_xlfn.XLOOKUP(X248,'00_SKU_Master'!$B$2:$B$379,'00_SKU_Master'!$F$2:$F$379,0)*Z248,"")</f>
        <v>0</v>
      </c>
      <c r="F248" s="182">
        <f>_xlfn.IFNA(_xlfn.XLOOKUP(X248,'00_SKU_Master'!$B$2:$B$379,'00_SKU_Master'!$F$2:$F$379,0)*AA248,"")</f>
        <v>0</v>
      </c>
      <c r="G248" s="182">
        <f>_xlfn.IFNA(_xlfn.XLOOKUP(X248,'00_SKU_Master'!$B$2:$B$379,'00_SKU_Master'!$F$2:$F$379,0)*AB248,"")</f>
        <v>0</v>
      </c>
      <c r="H248" s="182">
        <f>_xlfn.IFNA(_xlfn.XLOOKUP(X248,'00_SKU_Master'!$B$2:$B$379,'00_SKU_Master'!$F$2:$F$379,0)*AC248,"")</f>
        <v>0</v>
      </c>
      <c r="I248" s="182">
        <f>_xlfn.IFNA(_xlfn.XLOOKUP(X248,'00_SKU_Master'!$B$2:$B$379,'00_SKU_Master'!$F$2:$F$379,0)*AD248,"")</f>
        <v>0</v>
      </c>
      <c r="J248" s="182">
        <f>_xlfn.IFNA(_xlfn.XLOOKUP(X248,'00_SKU_Master'!$B$2:$B$379,'00_SKU_Master'!$F$2:$F$379,0)*AE248,"")</f>
        <v>0</v>
      </c>
      <c r="K248" s="183">
        <f t="shared" si="15"/>
        <v>0</v>
      </c>
      <c r="L248" s="184" t="str">
        <f>_xlfn.XLOOKUP(X248,'00_SKU_Master'!$B$2:$B$379,'00_SKU_Master'!$K$2:$K$379)</f>
        <v>Fast</v>
      </c>
      <c r="M248" s="185">
        <f t="shared" si="16"/>
        <v>200737</v>
      </c>
      <c r="N248" s="186">
        <f>IFERROR(D248/_xlfn.XLOOKUP($M248,'00_SKU_Master'!$B$2:$B$379,'00_SKU_Master'!$M$2:$M$379,0),"0")</f>
        <v>0</v>
      </c>
      <c r="O248" s="186">
        <f>IFERROR(E248/_xlfn.XLOOKUP($M248,'00_SKU_Master'!$B$2:$B$379,'00_SKU_Master'!$M$2:$M$379,0),"0")</f>
        <v>0</v>
      </c>
      <c r="P248" s="186">
        <f>IFERROR(F248/_xlfn.XLOOKUP($M248,'00_SKU_Master'!$B$2:$B$379,'00_SKU_Master'!$M$2:$M$379,0),"0")</f>
        <v>0</v>
      </c>
      <c r="Q248" s="186">
        <f>IFERROR(G248/_xlfn.XLOOKUP($M248,'00_SKU_Master'!$B$2:$B$379,'00_SKU_Master'!$M$2:$M$379,0),"0")</f>
        <v>0</v>
      </c>
      <c r="R248" s="186">
        <f>IFERROR(H248/_xlfn.XLOOKUP($M248,'00_SKU_Master'!$B$2:$B$379,'00_SKU_Master'!$M$2:$M$379,0),"0")</f>
        <v>0</v>
      </c>
      <c r="S248" s="186">
        <f>IFERROR(I248/_xlfn.XLOOKUP($M248,'00_SKU_Master'!$B$2:$B$379,'00_SKU_Master'!$M$2:$M$379,0),"0")</f>
        <v>0</v>
      </c>
      <c r="T248" s="186">
        <f>IFERROR(J248/_xlfn.XLOOKUP($M248,'00_SKU_Master'!$B$2:$B$379,'00_SKU_Master'!$M$2:$M$379,0),"0")</f>
        <v>0</v>
      </c>
      <c r="U248" s="186">
        <f t="shared" si="17"/>
        <v>0</v>
      </c>
      <c r="V248" s="186" t="str">
        <f>_xlfn.XLOOKUP(M248,'00_SKU_Master'!$B$2:$B$379,'00_SKU_Master'!$D$2:$D$379)</f>
        <v>FB</v>
      </c>
      <c r="W248" s="1"/>
      <c r="X248" s="2">
        <f>'05_Daily_Orders'!C249</f>
        <v>200737</v>
      </c>
      <c r="Y248" s="289"/>
      <c r="Z248" s="289">
        <v>0</v>
      </c>
      <c r="AA248" s="289">
        <v>0</v>
      </c>
      <c r="AB248" s="289">
        <v>0</v>
      </c>
      <c r="AC248" s="289">
        <v>0</v>
      </c>
      <c r="AD248" s="289">
        <v>0</v>
      </c>
      <c r="AE248" s="289">
        <v>0</v>
      </c>
      <c r="AF248" s="7">
        <f t="shared" si="18"/>
        <v>0</v>
      </c>
      <c r="AQ248" s="70">
        <v>0</v>
      </c>
      <c r="AR248" s="70">
        <v>0</v>
      </c>
      <c r="AS248" s="3">
        <f t="shared" si="19"/>
        <v>0</v>
      </c>
    </row>
    <row r="249" spans="1:45" x14ac:dyDescent="0.35">
      <c r="A249" s="181">
        <f>_xlfn.XLOOKUP(X249,'00_SKU_Master'!$B$2:$B$379,'00_SKU_Master'!$C$2:$C$379)</f>
        <v>203021</v>
      </c>
      <c r="B249" s="181" t="str">
        <f>_xlfn.XLOOKUP(X249,tblSKU[SKU],tblSKU[Product_Group])</f>
        <v>Whole Bird-Small</v>
      </c>
      <c r="C249" s="181" t="str">
        <f>_xlfn.XLOOKUP(X249,tblSKU[SKU],tblSKU[Tray_Type])</f>
        <v>ST 3XP</v>
      </c>
      <c r="D249" s="182">
        <f>_xlfn.IFNA(_xlfn.XLOOKUP(X249,'00_SKU_Master'!$B$2:$B$379,'00_SKU_Master'!$F$2:$F$379,0)*Y249,"")</f>
        <v>0</v>
      </c>
      <c r="E249" s="182">
        <f>_xlfn.IFNA(_xlfn.XLOOKUP(X249,'00_SKU_Master'!$B$2:$B$379,'00_SKU_Master'!$F$2:$F$379,0)*Z249,"")</f>
        <v>0</v>
      </c>
      <c r="F249" s="182">
        <f>_xlfn.IFNA(_xlfn.XLOOKUP(X249,'00_SKU_Master'!$B$2:$B$379,'00_SKU_Master'!$F$2:$F$379,0)*AA249,"")</f>
        <v>0</v>
      </c>
      <c r="G249" s="182">
        <f>_xlfn.IFNA(_xlfn.XLOOKUP(X249,'00_SKU_Master'!$B$2:$B$379,'00_SKU_Master'!$F$2:$F$379,0)*AB249,"")</f>
        <v>0</v>
      </c>
      <c r="H249" s="182">
        <f>_xlfn.IFNA(_xlfn.XLOOKUP(X249,'00_SKU_Master'!$B$2:$B$379,'00_SKU_Master'!$F$2:$F$379,0)*AC249,"")</f>
        <v>0</v>
      </c>
      <c r="I249" s="182">
        <f>_xlfn.IFNA(_xlfn.XLOOKUP(X249,'00_SKU_Master'!$B$2:$B$379,'00_SKU_Master'!$F$2:$F$379,0)*AD249,"")</f>
        <v>0</v>
      </c>
      <c r="J249" s="182">
        <f>_xlfn.IFNA(_xlfn.XLOOKUP(X249,'00_SKU_Master'!$B$2:$B$379,'00_SKU_Master'!$F$2:$F$379,0)*AE249,"")</f>
        <v>0</v>
      </c>
      <c r="K249" s="183">
        <f t="shared" si="15"/>
        <v>0</v>
      </c>
      <c r="L249" s="184" t="str">
        <f>_xlfn.XLOOKUP(X249,'00_SKU_Master'!$B$2:$B$379,'00_SKU_Master'!$K$2:$K$379)</f>
        <v>Fast</v>
      </c>
      <c r="M249" s="185">
        <f t="shared" si="16"/>
        <v>200738</v>
      </c>
      <c r="N249" s="186">
        <f>IFERROR(D249/_xlfn.XLOOKUP($M249,'00_SKU_Master'!$B$2:$B$379,'00_SKU_Master'!$M$2:$M$379,0),"0")</f>
        <v>0</v>
      </c>
      <c r="O249" s="186">
        <f>IFERROR(E249/_xlfn.XLOOKUP($M249,'00_SKU_Master'!$B$2:$B$379,'00_SKU_Master'!$M$2:$M$379,0),"0")</f>
        <v>0</v>
      </c>
      <c r="P249" s="186">
        <f>IFERROR(F249/_xlfn.XLOOKUP($M249,'00_SKU_Master'!$B$2:$B$379,'00_SKU_Master'!$M$2:$M$379,0),"0")</f>
        <v>0</v>
      </c>
      <c r="Q249" s="186">
        <f>IFERROR(G249/_xlfn.XLOOKUP($M249,'00_SKU_Master'!$B$2:$B$379,'00_SKU_Master'!$M$2:$M$379,0),"0")</f>
        <v>0</v>
      </c>
      <c r="R249" s="186">
        <f>IFERROR(H249/_xlfn.XLOOKUP($M249,'00_SKU_Master'!$B$2:$B$379,'00_SKU_Master'!$M$2:$M$379,0),"0")</f>
        <v>0</v>
      </c>
      <c r="S249" s="186">
        <f>IFERROR(I249/_xlfn.XLOOKUP($M249,'00_SKU_Master'!$B$2:$B$379,'00_SKU_Master'!$M$2:$M$379,0),"0")</f>
        <v>0</v>
      </c>
      <c r="T249" s="186">
        <f>IFERROR(J249/_xlfn.XLOOKUP($M249,'00_SKU_Master'!$B$2:$B$379,'00_SKU_Master'!$M$2:$M$379,0),"0")</f>
        <v>0</v>
      </c>
      <c r="U249" s="186">
        <f t="shared" si="17"/>
        <v>0</v>
      </c>
      <c r="V249" s="186" t="str">
        <f>_xlfn.XLOOKUP(M249,'00_SKU_Master'!$B$2:$B$379,'00_SKU_Master'!$D$2:$D$379)</f>
        <v>FB</v>
      </c>
      <c r="W249" s="1"/>
      <c r="X249" s="2">
        <f>'05_Daily_Orders'!C250</f>
        <v>200738</v>
      </c>
      <c r="Y249" s="289"/>
      <c r="Z249" s="289">
        <v>0</v>
      </c>
      <c r="AA249" s="289">
        <v>0</v>
      </c>
      <c r="AB249" s="289">
        <v>0</v>
      </c>
      <c r="AC249" s="289">
        <v>0</v>
      </c>
      <c r="AD249" s="289">
        <v>0</v>
      </c>
      <c r="AE249" s="289">
        <v>0</v>
      </c>
      <c r="AF249" s="7">
        <f t="shared" si="18"/>
        <v>0</v>
      </c>
      <c r="AQ249" s="70">
        <v>0</v>
      </c>
      <c r="AR249" s="70">
        <v>0</v>
      </c>
      <c r="AS249" s="3">
        <f t="shared" si="19"/>
        <v>0</v>
      </c>
    </row>
    <row r="250" spans="1:45" x14ac:dyDescent="0.35">
      <c r="A250" s="181" t="str">
        <f>_xlfn.XLOOKUP(X250,'00_SKU_Master'!$B$2:$B$379,'00_SKU_Master'!$C$2:$C$379)</f>
        <v>61050F</v>
      </c>
      <c r="B250" s="181" t="str">
        <f>_xlfn.XLOOKUP(X250,tblSKU[SKU],tblSKU[Product_Group])</f>
        <v>BSB</v>
      </c>
      <c r="C250" s="181" t="str">
        <f>_xlfn.XLOOKUP(X250,tblSKU[SKU],tblSKU[Tray_Type])</f>
        <v>ST 3D</v>
      </c>
      <c r="D250" s="182">
        <f>_xlfn.IFNA(_xlfn.XLOOKUP(X250,'00_SKU_Master'!$B$2:$B$379,'00_SKU_Master'!$F$2:$F$379,0)*Y250,"")</f>
        <v>0</v>
      </c>
      <c r="E250" s="182">
        <f>_xlfn.IFNA(_xlfn.XLOOKUP(X250,'00_SKU_Master'!$B$2:$B$379,'00_SKU_Master'!$F$2:$F$379,0)*Z250,"")</f>
        <v>0</v>
      </c>
      <c r="F250" s="182">
        <f>_xlfn.IFNA(_xlfn.XLOOKUP(X250,'00_SKU_Master'!$B$2:$B$379,'00_SKU_Master'!$F$2:$F$379,0)*AA250,"")</f>
        <v>0</v>
      </c>
      <c r="G250" s="182">
        <f>_xlfn.IFNA(_xlfn.XLOOKUP(X250,'00_SKU_Master'!$B$2:$B$379,'00_SKU_Master'!$F$2:$F$379,0)*AB250,"")</f>
        <v>0</v>
      </c>
      <c r="H250" s="182">
        <f>_xlfn.IFNA(_xlfn.XLOOKUP(X250,'00_SKU_Master'!$B$2:$B$379,'00_SKU_Master'!$F$2:$F$379,0)*AC250,"")</f>
        <v>0</v>
      </c>
      <c r="I250" s="182">
        <f>_xlfn.IFNA(_xlfn.XLOOKUP(X250,'00_SKU_Master'!$B$2:$B$379,'00_SKU_Master'!$F$2:$F$379,0)*AD250,"")</f>
        <v>0</v>
      </c>
      <c r="J250" s="182">
        <f>_xlfn.IFNA(_xlfn.XLOOKUP(X250,'00_SKU_Master'!$B$2:$B$379,'00_SKU_Master'!$F$2:$F$379,0)*AE250,"")</f>
        <v>0</v>
      </c>
      <c r="K250" s="183">
        <f t="shared" si="15"/>
        <v>0</v>
      </c>
      <c r="L250" s="184" t="str">
        <f>_xlfn.XLOOKUP(X250,'00_SKU_Master'!$B$2:$B$379,'00_SKU_Master'!$K$2:$K$379)</f>
        <v>Fast</v>
      </c>
      <c r="M250" s="185">
        <f t="shared" si="16"/>
        <v>200745</v>
      </c>
      <c r="N250" s="186">
        <f>IFERROR(D250/_xlfn.XLOOKUP($M250,'00_SKU_Master'!$B$2:$B$379,'00_SKU_Master'!$M$2:$M$379,0),"0")</f>
        <v>0</v>
      </c>
      <c r="O250" s="186">
        <f>IFERROR(E250/_xlfn.XLOOKUP($M250,'00_SKU_Master'!$B$2:$B$379,'00_SKU_Master'!$M$2:$M$379,0),"0")</f>
        <v>0</v>
      </c>
      <c r="P250" s="186">
        <f>IFERROR(F250/_xlfn.XLOOKUP($M250,'00_SKU_Master'!$B$2:$B$379,'00_SKU_Master'!$M$2:$M$379,0),"0")</f>
        <v>0</v>
      </c>
      <c r="Q250" s="186">
        <f>IFERROR(G250/_xlfn.XLOOKUP($M250,'00_SKU_Master'!$B$2:$B$379,'00_SKU_Master'!$M$2:$M$379,0),"0")</f>
        <v>0</v>
      </c>
      <c r="R250" s="186">
        <f>IFERROR(H250/_xlfn.XLOOKUP($M250,'00_SKU_Master'!$B$2:$B$379,'00_SKU_Master'!$M$2:$M$379,0),"0")</f>
        <v>0</v>
      </c>
      <c r="S250" s="186">
        <f>IFERROR(I250/_xlfn.XLOOKUP($M250,'00_SKU_Master'!$B$2:$B$379,'00_SKU_Master'!$M$2:$M$379,0),"0")</f>
        <v>0</v>
      </c>
      <c r="T250" s="186">
        <f>IFERROR(J250/_xlfn.XLOOKUP($M250,'00_SKU_Master'!$B$2:$B$379,'00_SKU_Master'!$M$2:$M$379,0),"0")</f>
        <v>0</v>
      </c>
      <c r="U250" s="186">
        <f t="shared" si="17"/>
        <v>0</v>
      </c>
      <c r="V250" s="186" t="str">
        <f>_xlfn.XLOOKUP(M250,'00_SKU_Master'!$B$2:$B$379,'00_SKU_Master'!$D$2:$D$379)</f>
        <v>SHP</v>
      </c>
      <c r="W250" s="1"/>
      <c r="X250" s="2">
        <f>'05_Daily_Orders'!C251</f>
        <v>200745</v>
      </c>
      <c r="Y250" s="289"/>
      <c r="Z250" s="289">
        <v>0</v>
      </c>
      <c r="AA250" s="289">
        <v>0</v>
      </c>
      <c r="AB250" s="289">
        <v>0</v>
      </c>
      <c r="AC250" s="289">
        <v>0</v>
      </c>
      <c r="AD250" s="289">
        <v>0</v>
      </c>
      <c r="AE250" s="289">
        <v>0</v>
      </c>
      <c r="AF250" s="7">
        <f t="shared" si="18"/>
        <v>0</v>
      </c>
      <c r="AQ250" s="70">
        <v>0</v>
      </c>
      <c r="AR250" s="70">
        <v>0</v>
      </c>
      <c r="AS250" s="3">
        <f t="shared" si="19"/>
        <v>0</v>
      </c>
    </row>
    <row r="251" spans="1:45" x14ac:dyDescent="0.35">
      <c r="A251" s="181">
        <f>_xlfn.XLOOKUP(X251,'00_SKU_Master'!$B$2:$B$379,'00_SKU_Master'!$C$2:$C$379)</f>
        <v>61077</v>
      </c>
      <c r="B251" s="181" t="str">
        <f>_xlfn.XLOOKUP(X251,tblSKU[SKU],tblSKU[Product_Group])</f>
        <v>Thigh</v>
      </c>
      <c r="C251" s="181" t="str">
        <f>_xlfn.XLOOKUP(X251,tblSKU[SKU],tblSKU[Tray_Type])</f>
        <v>ST 3D</v>
      </c>
      <c r="D251" s="182">
        <f>_xlfn.IFNA(_xlfn.XLOOKUP(X251,'00_SKU_Master'!$B$2:$B$379,'00_SKU_Master'!$F$2:$F$379,0)*Y251,"")</f>
        <v>0</v>
      </c>
      <c r="E251" s="182">
        <f>_xlfn.IFNA(_xlfn.XLOOKUP(X251,'00_SKU_Master'!$B$2:$B$379,'00_SKU_Master'!$F$2:$F$379,0)*Z251,"")</f>
        <v>0</v>
      </c>
      <c r="F251" s="182">
        <f>_xlfn.IFNA(_xlfn.XLOOKUP(X251,'00_SKU_Master'!$B$2:$B$379,'00_SKU_Master'!$F$2:$F$379,0)*AA251,"")</f>
        <v>0</v>
      </c>
      <c r="G251" s="182">
        <f>_xlfn.IFNA(_xlfn.XLOOKUP(X251,'00_SKU_Master'!$B$2:$B$379,'00_SKU_Master'!$F$2:$F$379,0)*AB251,"")</f>
        <v>0</v>
      </c>
      <c r="H251" s="182">
        <f>_xlfn.IFNA(_xlfn.XLOOKUP(X251,'00_SKU_Master'!$B$2:$B$379,'00_SKU_Master'!$F$2:$F$379,0)*AC251,"")</f>
        <v>0</v>
      </c>
      <c r="I251" s="182">
        <f>_xlfn.IFNA(_xlfn.XLOOKUP(X251,'00_SKU_Master'!$B$2:$B$379,'00_SKU_Master'!$F$2:$F$379,0)*AD251,"")</f>
        <v>0</v>
      </c>
      <c r="J251" s="182">
        <f>_xlfn.IFNA(_xlfn.XLOOKUP(X251,'00_SKU_Master'!$B$2:$B$379,'00_SKU_Master'!$F$2:$F$379,0)*AE251,"")</f>
        <v>0</v>
      </c>
      <c r="K251" s="183">
        <f t="shared" si="15"/>
        <v>0</v>
      </c>
      <c r="L251" s="184" t="str">
        <f>_xlfn.XLOOKUP(X251,'00_SKU_Master'!$B$2:$B$379,'00_SKU_Master'!$K$2:$K$379)</f>
        <v>Fast</v>
      </c>
      <c r="M251" s="185">
        <f t="shared" si="16"/>
        <v>200746</v>
      </c>
      <c r="N251" s="186">
        <f>IFERROR(D251/_xlfn.XLOOKUP($M251,'00_SKU_Master'!$B$2:$B$379,'00_SKU_Master'!$M$2:$M$379,0),"0")</f>
        <v>0</v>
      </c>
      <c r="O251" s="186">
        <f>IFERROR(E251/_xlfn.XLOOKUP($M251,'00_SKU_Master'!$B$2:$B$379,'00_SKU_Master'!$M$2:$M$379,0),"0")</f>
        <v>0</v>
      </c>
      <c r="P251" s="186">
        <f>IFERROR(F251/_xlfn.XLOOKUP($M251,'00_SKU_Master'!$B$2:$B$379,'00_SKU_Master'!$M$2:$M$379,0),"0")</f>
        <v>0</v>
      </c>
      <c r="Q251" s="186">
        <f>IFERROR(G251/_xlfn.XLOOKUP($M251,'00_SKU_Master'!$B$2:$B$379,'00_SKU_Master'!$M$2:$M$379,0),"0")</f>
        <v>0</v>
      </c>
      <c r="R251" s="186">
        <f>IFERROR(H251/_xlfn.XLOOKUP($M251,'00_SKU_Master'!$B$2:$B$379,'00_SKU_Master'!$M$2:$M$379,0),"0")</f>
        <v>0</v>
      </c>
      <c r="S251" s="186">
        <f>IFERROR(I251/_xlfn.XLOOKUP($M251,'00_SKU_Master'!$B$2:$B$379,'00_SKU_Master'!$M$2:$M$379,0),"0")</f>
        <v>0</v>
      </c>
      <c r="T251" s="186">
        <f>IFERROR(J251/_xlfn.XLOOKUP($M251,'00_SKU_Master'!$B$2:$B$379,'00_SKU_Master'!$M$2:$M$379,0),"0")</f>
        <v>0</v>
      </c>
      <c r="U251" s="186">
        <f t="shared" si="17"/>
        <v>0</v>
      </c>
      <c r="V251" s="186" t="str">
        <f>_xlfn.XLOOKUP(M251,'00_SKU_Master'!$B$2:$B$379,'00_SKU_Master'!$D$2:$D$379)</f>
        <v>SHP</v>
      </c>
      <c r="W251" s="1"/>
      <c r="X251" s="2">
        <f>'05_Daily_Orders'!C252</f>
        <v>200746</v>
      </c>
      <c r="Y251" s="289"/>
      <c r="Z251" s="289">
        <v>0</v>
      </c>
      <c r="AA251" s="289">
        <v>0</v>
      </c>
      <c r="AB251" s="289">
        <v>0</v>
      </c>
      <c r="AC251" s="289">
        <v>0</v>
      </c>
      <c r="AD251" s="289">
        <v>0</v>
      </c>
      <c r="AE251" s="289">
        <v>0</v>
      </c>
      <c r="AF251" s="7">
        <f t="shared" si="18"/>
        <v>0</v>
      </c>
      <c r="AQ251" s="70">
        <v>0</v>
      </c>
      <c r="AR251" s="70">
        <v>0</v>
      </c>
      <c r="AS251" s="3">
        <f t="shared" si="19"/>
        <v>0</v>
      </c>
    </row>
    <row r="252" spans="1:45" x14ac:dyDescent="0.35">
      <c r="A252" s="181" t="str">
        <f>_xlfn.XLOOKUP(X252,'00_SKU_Master'!$B$2:$B$379,'00_SKU_Master'!$C$2:$C$379)</f>
        <v>61086F</v>
      </c>
      <c r="B252" s="181" t="str">
        <f>_xlfn.XLOOKUP(X252,tblSKU[SKU],tblSKU[Product_Group])</f>
        <v>ThighMeat</v>
      </c>
      <c r="C252" s="181" t="str">
        <f>_xlfn.XLOOKUP(X252,tblSKU[SKU],tblSKU[Tray_Type])</f>
        <v>ST 3D</v>
      </c>
      <c r="D252" s="182">
        <f>_xlfn.IFNA(_xlfn.XLOOKUP(X252,'00_SKU_Master'!$B$2:$B$379,'00_SKU_Master'!$F$2:$F$379,0)*Y252,"")</f>
        <v>0</v>
      </c>
      <c r="E252" s="182">
        <f>_xlfn.IFNA(_xlfn.XLOOKUP(X252,'00_SKU_Master'!$B$2:$B$379,'00_SKU_Master'!$F$2:$F$379,0)*Z252,"")</f>
        <v>0</v>
      </c>
      <c r="F252" s="182">
        <f>_xlfn.IFNA(_xlfn.XLOOKUP(X252,'00_SKU_Master'!$B$2:$B$379,'00_SKU_Master'!$F$2:$F$379,0)*AA252,"")</f>
        <v>0</v>
      </c>
      <c r="G252" s="182">
        <f>_xlfn.IFNA(_xlfn.XLOOKUP(X252,'00_SKU_Master'!$B$2:$B$379,'00_SKU_Master'!$F$2:$F$379,0)*AB252,"")</f>
        <v>0</v>
      </c>
      <c r="H252" s="182">
        <f>_xlfn.IFNA(_xlfn.XLOOKUP(X252,'00_SKU_Master'!$B$2:$B$379,'00_SKU_Master'!$F$2:$F$379,0)*AC252,"")</f>
        <v>0</v>
      </c>
      <c r="I252" s="182">
        <f>_xlfn.IFNA(_xlfn.XLOOKUP(X252,'00_SKU_Master'!$B$2:$B$379,'00_SKU_Master'!$F$2:$F$379,0)*AD252,"")</f>
        <v>0</v>
      </c>
      <c r="J252" s="182">
        <f>_xlfn.IFNA(_xlfn.XLOOKUP(X252,'00_SKU_Master'!$B$2:$B$379,'00_SKU_Master'!$F$2:$F$379,0)*AE252,"")</f>
        <v>0</v>
      </c>
      <c r="K252" s="183">
        <f t="shared" si="15"/>
        <v>0</v>
      </c>
      <c r="L252" s="184" t="str">
        <f>_xlfn.XLOOKUP(X252,'00_SKU_Master'!$B$2:$B$379,'00_SKU_Master'!$K$2:$K$379)</f>
        <v>Slow</v>
      </c>
      <c r="M252" s="185">
        <f t="shared" si="16"/>
        <v>200747</v>
      </c>
      <c r="N252" s="186">
        <f>IFERROR(D252/_xlfn.XLOOKUP($M252,'00_SKU_Master'!$B$2:$B$379,'00_SKU_Master'!$M$2:$M$379,0),"0")</f>
        <v>0</v>
      </c>
      <c r="O252" s="186">
        <f>IFERROR(E252/_xlfn.XLOOKUP($M252,'00_SKU_Master'!$B$2:$B$379,'00_SKU_Master'!$M$2:$M$379,0),"0")</f>
        <v>0</v>
      </c>
      <c r="P252" s="186">
        <f>IFERROR(F252/_xlfn.XLOOKUP($M252,'00_SKU_Master'!$B$2:$B$379,'00_SKU_Master'!$M$2:$M$379,0),"0")</f>
        <v>0</v>
      </c>
      <c r="Q252" s="186">
        <f>IFERROR(G252/_xlfn.XLOOKUP($M252,'00_SKU_Master'!$B$2:$B$379,'00_SKU_Master'!$M$2:$M$379,0),"0")</f>
        <v>0</v>
      </c>
      <c r="R252" s="186">
        <f>IFERROR(H252/_xlfn.XLOOKUP($M252,'00_SKU_Master'!$B$2:$B$379,'00_SKU_Master'!$M$2:$M$379,0),"0")</f>
        <v>0</v>
      </c>
      <c r="S252" s="186">
        <f>IFERROR(I252/_xlfn.XLOOKUP($M252,'00_SKU_Master'!$B$2:$B$379,'00_SKU_Master'!$M$2:$M$379,0),"0")</f>
        <v>0</v>
      </c>
      <c r="T252" s="186">
        <f>IFERROR(J252/_xlfn.XLOOKUP($M252,'00_SKU_Master'!$B$2:$B$379,'00_SKU_Master'!$M$2:$M$379,0),"0")</f>
        <v>0</v>
      </c>
      <c r="U252" s="186">
        <f t="shared" si="17"/>
        <v>0</v>
      </c>
      <c r="V252" s="186" t="str">
        <f>_xlfn.XLOOKUP(M252,'00_SKU_Master'!$B$2:$B$379,'00_SKU_Master'!$D$2:$D$379)</f>
        <v>SHP</v>
      </c>
      <c r="W252" s="1"/>
      <c r="X252" s="2">
        <f>'05_Daily_Orders'!C253</f>
        <v>200747</v>
      </c>
      <c r="Y252" s="289"/>
      <c r="Z252" s="289">
        <v>0</v>
      </c>
      <c r="AA252" s="289">
        <v>0</v>
      </c>
      <c r="AB252" s="289">
        <v>0</v>
      </c>
      <c r="AC252" s="289">
        <v>0</v>
      </c>
      <c r="AD252" s="289">
        <v>0</v>
      </c>
      <c r="AE252" s="289">
        <v>0</v>
      </c>
      <c r="AF252" s="7">
        <f t="shared" si="18"/>
        <v>0</v>
      </c>
      <c r="AQ252" s="70">
        <v>0</v>
      </c>
      <c r="AR252" s="70">
        <v>0</v>
      </c>
      <c r="AS252" s="3">
        <f t="shared" si="19"/>
        <v>0</v>
      </c>
    </row>
    <row r="253" spans="1:45" x14ac:dyDescent="0.35">
      <c r="A253" s="181">
        <f>_xlfn.XLOOKUP(X253,'00_SKU_Master'!$B$2:$B$379,'00_SKU_Master'!$C$2:$C$379)</f>
        <v>61072</v>
      </c>
      <c r="B253" s="181" t="str">
        <f>_xlfn.XLOOKUP(X253,tblSKU[SKU],tblSKU[Product_Group])</f>
        <v>Drum</v>
      </c>
      <c r="C253" s="181" t="str">
        <f>_xlfn.XLOOKUP(X253,tblSKU[SKU],tblSKU[Tray_Type])</f>
        <v>ST 3D</v>
      </c>
      <c r="D253" s="182">
        <f>_xlfn.IFNA(_xlfn.XLOOKUP(X253,'00_SKU_Master'!$B$2:$B$379,'00_SKU_Master'!$F$2:$F$379,0)*Y253,"")</f>
        <v>0</v>
      </c>
      <c r="E253" s="182">
        <f>_xlfn.IFNA(_xlfn.XLOOKUP(X253,'00_SKU_Master'!$B$2:$B$379,'00_SKU_Master'!$F$2:$F$379,0)*Z253,"")</f>
        <v>0</v>
      </c>
      <c r="F253" s="182">
        <f>_xlfn.IFNA(_xlfn.XLOOKUP(X253,'00_SKU_Master'!$B$2:$B$379,'00_SKU_Master'!$F$2:$F$379,0)*AA253,"")</f>
        <v>0</v>
      </c>
      <c r="G253" s="182">
        <f>_xlfn.IFNA(_xlfn.XLOOKUP(X253,'00_SKU_Master'!$B$2:$B$379,'00_SKU_Master'!$F$2:$F$379,0)*AB253,"")</f>
        <v>0</v>
      </c>
      <c r="H253" s="182">
        <f>_xlfn.IFNA(_xlfn.XLOOKUP(X253,'00_SKU_Master'!$B$2:$B$379,'00_SKU_Master'!$F$2:$F$379,0)*AC253,"")</f>
        <v>0</v>
      </c>
      <c r="I253" s="182">
        <f>_xlfn.IFNA(_xlfn.XLOOKUP(X253,'00_SKU_Master'!$B$2:$B$379,'00_SKU_Master'!$F$2:$F$379,0)*AD253,"")</f>
        <v>0</v>
      </c>
      <c r="J253" s="182">
        <f>_xlfn.IFNA(_xlfn.XLOOKUP(X253,'00_SKU_Master'!$B$2:$B$379,'00_SKU_Master'!$F$2:$F$379,0)*AE253,"")</f>
        <v>0</v>
      </c>
      <c r="K253" s="183">
        <f t="shared" si="15"/>
        <v>0</v>
      </c>
      <c r="L253" s="184" t="str">
        <f>_xlfn.XLOOKUP(X253,'00_SKU_Master'!$B$2:$B$379,'00_SKU_Master'!$K$2:$K$379)</f>
        <v>Fast</v>
      </c>
      <c r="M253" s="185">
        <f t="shared" si="16"/>
        <v>200748</v>
      </c>
      <c r="N253" s="186">
        <f>IFERROR(D253/_xlfn.XLOOKUP($M253,'00_SKU_Master'!$B$2:$B$379,'00_SKU_Master'!$M$2:$M$379,0),"0")</f>
        <v>0</v>
      </c>
      <c r="O253" s="186">
        <f>IFERROR(E253/_xlfn.XLOOKUP($M253,'00_SKU_Master'!$B$2:$B$379,'00_SKU_Master'!$M$2:$M$379,0),"0")</f>
        <v>0</v>
      </c>
      <c r="P253" s="186">
        <f>IFERROR(F253/_xlfn.XLOOKUP($M253,'00_SKU_Master'!$B$2:$B$379,'00_SKU_Master'!$M$2:$M$379,0),"0")</f>
        <v>0</v>
      </c>
      <c r="Q253" s="186">
        <f>IFERROR(G253/_xlfn.XLOOKUP($M253,'00_SKU_Master'!$B$2:$B$379,'00_SKU_Master'!$M$2:$M$379,0),"0")</f>
        <v>0</v>
      </c>
      <c r="R253" s="186">
        <f>IFERROR(H253/_xlfn.XLOOKUP($M253,'00_SKU_Master'!$B$2:$B$379,'00_SKU_Master'!$M$2:$M$379,0),"0")</f>
        <v>0</v>
      </c>
      <c r="S253" s="186">
        <f>IFERROR(I253/_xlfn.XLOOKUP($M253,'00_SKU_Master'!$B$2:$B$379,'00_SKU_Master'!$M$2:$M$379,0),"0")</f>
        <v>0</v>
      </c>
      <c r="T253" s="186">
        <f>IFERROR(J253/_xlfn.XLOOKUP($M253,'00_SKU_Master'!$B$2:$B$379,'00_SKU_Master'!$M$2:$M$379,0),"0")</f>
        <v>0</v>
      </c>
      <c r="U253" s="186">
        <f t="shared" si="17"/>
        <v>0</v>
      </c>
      <c r="V253" s="186" t="str">
        <f>_xlfn.XLOOKUP(M253,'00_SKU_Master'!$B$2:$B$379,'00_SKU_Master'!$D$2:$D$379)</f>
        <v>SHP</v>
      </c>
      <c r="W253" s="1"/>
      <c r="X253" s="2">
        <f>'05_Daily_Orders'!C254</f>
        <v>200748</v>
      </c>
      <c r="Y253" s="289"/>
      <c r="Z253" s="289">
        <v>0</v>
      </c>
      <c r="AA253" s="289">
        <v>0</v>
      </c>
      <c r="AB253" s="289">
        <v>0</v>
      </c>
      <c r="AC253" s="289">
        <v>0</v>
      </c>
      <c r="AD253" s="289">
        <v>0</v>
      </c>
      <c r="AE253" s="289">
        <v>0</v>
      </c>
      <c r="AF253" s="7">
        <f t="shared" si="18"/>
        <v>0</v>
      </c>
      <c r="AQ253" s="70">
        <v>0</v>
      </c>
      <c r="AR253" s="70">
        <v>0</v>
      </c>
      <c r="AS253" s="3">
        <f t="shared" si="19"/>
        <v>0</v>
      </c>
    </row>
    <row r="254" spans="1:45" x14ac:dyDescent="0.35">
      <c r="A254" s="181">
        <f>_xlfn.XLOOKUP(X254,'00_SKU_Master'!$B$2:$B$379,'00_SKU_Master'!$C$2:$C$379)</f>
        <v>61078</v>
      </c>
      <c r="B254" s="181" t="str">
        <f>_xlfn.XLOOKUP(X254,tblSKU[SKU],tblSKU[Product_Group])</f>
        <v>Thigh</v>
      </c>
      <c r="C254" s="181" t="str">
        <f>_xlfn.XLOOKUP(X254,tblSKU[SKU],tblSKU[Tray_Type])</f>
        <v>LT 14D</v>
      </c>
      <c r="D254" s="182">
        <f>_xlfn.IFNA(_xlfn.XLOOKUP(X254,'00_SKU_Master'!$B$2:$B$379,'00_SKU_Master'!$F$2:$F$379,0)*Y254,"")</f>
        <v>0</v>
      </c>
      <c r="E254" s="182">
        <f>_xlfn.IFNA(_xlfn.XLOOKUP(X254,'00_SKU_Master'!$B$2:$B$379,'00_SKU_Master'!$F$2:$F$379,0)*Z254,"")</f>
        <v>2977.7595013953469</v>
      </c>
      <c r="F254" s="182">
        <f>_xlfn.IFNA(_xlfn.XLOOKUP(X254,'00_SKU_Master'!$B$2:$B$379,'00_SKU_Master'!$F$2:$F$379,0)*AA254,"")</f>
        <v>3059.3419534883701</v>
      </c>
      <c r="G254" s="182">
        <f>_xlfn.IFNA(_xlfn.XLOOKUP(X254,'00_SKU_Master'!$B$2:$B$379,'00_SKU_Master'!$F$2:$F$379,0)*AB254,"")</f>
        <v>3059.3419534883701</v>
      </c>
      <c r="H254" s="182">
        <f>_xlfn.IFNA(_xlfn.XLOOKUP(X254,'00_SKU_Master'!$B$2:$B$379,'00_SKU_Master'!$F$2:$F$379,0)*AC254,"")</f>
        <v>3059.3419534883701</v>
      </c>
      <c r="I254" s="182">
        <f>_xlfn.IFNA(_xlfn.XLOOKUP(X254,'00_SKU_Master'!$B$2:$B$379,'00_SKU_Master'!$F$2:$F$379,0)*AD254,"")</f>
        <v>0</v>
      </c>
      <c r="J254" s="182">
        <f>_xlfn.IFNA(_xlfn.XLOOKUP(X254,'00_SKU_Master'!$B$2:$B$379,'00_SKU_Master'!$F$2:$F$379,0)*AE254,"")</f>
        <v>0</v>
      </c>
      <c r="K254" s="183">
        <f t="shared" si="15"/>
        <v>12155.785361860459</v>
      </c>
      <c r="L254" s="184" t="str">
        <f>_xlfn.XLOOKUP(X254,'00_SKU_Master'!$B$2:$B$379,'00_SKU_Master'!$K$2:$K$379)</f>
        <v>Fast</v>
      </c>
      <c r="M254" s="185">
        <f t="shared" si="16"/>
        <v>201851</v>
      </c>
      <c r="N254" s="186">
        <f>IFERROR(D254/_xlfn.XLOOKUP($M254,'00_SKU_Master'!$B$2:$B$379,'00_SKU_Master'!$M$2:$M$379,0),"0")</f>
        <v>0</v>
      </c>
      <c r="O254" s="186">
        <f>IFERROR(E254/_xlfn.XLOOKUP($M254,'00_SKU_Master'!$B$2:$B$379,'00_SKU_Master'!$M$2:$M$379,0),"0")</f>
        <v>70.747434103001822</v>
      </c>
      <c r="P254" s="186">
        <f>IFERROR(F254/_xlfn.XLOOKUP($M254,'00_SKU_Master'!$B$2:$B$379,'00_SKU_Master'!$M$2:$M$379,0),"0")</f>
        <v>72.685719968837489</v>
      </c>
      <c r="Q254" s="186">
        <f>IFERROR(G254/_xlfn.XLOOKUP($M254,'00_SKU_Master'!$B$2:$B$379,'00_SKU_Master'!$M$2:$M$379,0),"0")</f>
        <v>72.685719968837489</v>
      </c>
      <c r="R254" s="186">
        <f>IFERROR(H254/_xlfn.XLOOKUP($M254,'00_SKU_Master'!$B$2:$B$379,'00_SKU_Master'!$M$2:$M$379,0),"0")</f>
        <v>72.685719968837489</v>
      </c>
      <c r="S254" s="186">
        <f>IFERROR(I254/_xlfn.XLOOKUP($M254,'00_SKU_Master'!$B$2:$B$379,'00_SKU_Master'!$M$2:$M$379,0),"0")</f>
        <v>0</v>
      </c>
      <c r="T254" s="186">
        <f>IFERROR(J254/_xlfn.XLOOKUP($M254,'00_SKU_Master'!$B$2:$B$379,'00_SKU_Master'!$M$2:$M$379,0),"0")</f>
        <v>0</v>
      </c>
      <c r="U254" s="186">
        <f t="shared" si="17"/>
        <v>288.80459400951429</v>
      </c>
      <c r="V254" s="186" t="str">
        <f>_xlfn.XLOOKUP(M254,'00_SKU_Master'!$B$2:$B$379,'00_SKU_Master'!$D$2:$D$379)</f>
        <v>COSTCO</v>
      </c>
      <c r="W254" s="1"/>
      <c r="X254" s="2">
        <f>'05_Daily_Orders'!C255</f>
        <v>201851</v>
      </c>
      <c r="Y254" s="289"/>
      <c r="Z254" s="289">
        <v>146</v>
      </c>
      <c r="AA254" s="289">
        <v>150</v>
      </c>
      <c r="AB254" s="289">
        <v>150</v>
      </c>
      <c r="AC254" s="289">
        <v>150</v>
      </c>
      <c r="AD254" s="289">
        <v>0</v>
      </c>
      <c r="AE254" s="289">
        <v>0</v>
      </c>
      <c r="AF254" s="7">
        <f t="shared" si="18"/>
        <v>596</v>
      </c>
      <c r="AQ254" s="70">
        <v>0</v>
      </c>
      <c r="AR254" s="70">
        <v>146</v>
      </c>
      <c r="AS254" s="3">
        <f t="shared" si="19"/>
        <v>146</v>
      </c>
    </row>
    <row r="255" spans="1:45" x14ac:dyDescent="0.35">
      <c r="A255" s="181" t="str">
        <f>_xlfn.XLOOKUP(X255,'00_SKU_Master'!$B$2:$B$379,'00_SKU_Master'!$C$2:$C$379)</f>
        <v>61050C</v>
      </c>
      <c r="B255" s="181" t="str">
        <f>_xlfn.XLOOKUP(X255,tblSKU[SKU],tblSKU[Product_Group])</f>
        <v>SplitBreast</v>
      </c>
      <c r="C255" s="181" t="str">
        <f>_xlfn.XLOOKUP(X255,tblSKU[SKU],tblSKU[Tray_Type])</f>
        <v>LT 14D</v>
      </c>
      <c r="D255" s="182">
        <f>_xlfn.IFNA(_xlfn.XLOOKUP(X255,'00_SKU_Master'!$B$2:$B$379,'00_SKU_Master'!$F$2:$F$379,0)*Y255,"")</f>
        <v>0</v>
      </c>
      <c r="E255" s="182">
        <f>_xlfn.IFNA(_xlfn.XLOOKUP(X255,'00_SKU_Master'!$B$2:$B$379,'00_SKU_Master'!$F$2:$F$379,0)*Z255,"")</f>
        <v>9182.5942700139349</v>
      </c>
      <c r="F255" s="182">
        <f>_xlfn.IFNA(_xlfn.XLOOKUP(X255,'00_SKU_Master'!$B$2:$B$379,'00_SKU_Master'!$F$2:$F$379,0)*AA255,"")</f>
        <v>11623.53705065055</v>
      </c>
      <c r="G255" s="182">
        <f>_xlfn.IFNA(_xlfn.XLOOKUP(X255,'00_SKU_Master'!$B$2:$B$379,'00_SKU_Master'!$F$2:$F$379,0)*AB255,"")</f>
        <v>11623.53705065055</v>
      </c>
      <c r="H255" s="182">
        <f>_xlfn.IFNA(_xlfn.XLOOKUP(X255,'00_SKU_Master'!$B$2:$B$379,'00_SKU_Master'!$F$2:$F$379,0)*AC255,"")</f>
        <v>11623.53705065055</v>
      </c>
      <c r="I255" s="182">
        <f>_xlfn.IFNA(_xlfn.XLOOKUP(X255,'00_SKU_Master'!$B$2:$B$379,'00_SKU_Master'!$F$2:$F$379,0)*AD255,"")</f>
        <v>0</v>
      </c>
      <c r="J255" s="182">
        <f>_xlfn.IFNA(_xlfn.XLOOKUP(X255,'00_SKU_Master'!$B$2:$B$379,'00_SKU_Master'!$F$2:$F$379,0)*AE255,"")</f>
        <v>0</v>
      </c>
      <c r="K255" s="183">
        <f t="shared" si="15"/>
        <v>44053.205421965584</v>
      </c>
      <c r="L255" s="184" t="str">
        <f>_xlfn.XLOOKUP(X255,'00_SKU_Master'!$B$2:$B$379,'00_SKU_Master'!$K$2:$K$379)</f>
        <v>Fast</v>
      </c>
      <c r="M255" s="185">
        <f t="shared" si="16"/>
        <v>201853</v>
      </c>
      <c r="N255" s="186">
        <f>IFERROR(D255/_xlfn.XLOOKUP($M255,'00_SKU_Master'!$B$2:$B$379,'00_SKU_Master'!$M$2:$M$379,0),"0")</f>
        <v>0</v>
      </c>
      <c r="O255" s="186">
        <f>IFERROR(E255/_xlfn.XLOOKUP($M255,'00_SKU_Master'!$B$2:$B$379,'00_SKU_Master'!$M$2:$M$379,0),"0")</f>
        <v>146.54634966508036</v>
      </c>
      <c r="P255" s="186">
        <f>IFERROR(F255/_xlfn.XLOOKUP($M255,'00_SKU_Master'!$B$2:$B$379,'00_SKU_Master'!$M$2:$M$379,0),"0")</f>
        <v>185.50170843681056</v>
      </c>
      <c r="Q255" s="186">
        <f>IFERROR(G255/_xlfn.XLOOKUP($M255,'00_SKU_Master'!$B$2:$B$379,'00_SKU_Master'!$M$2:$M$379,0),"0")</f>
        <v>185.50170843681056</v>
      </c>
      <c r="R255" s="186">
        <f>IFERROR(H255/_xlfn.XLOOKUP($M255,'00_SKU_Master'!$B$2:$B$379,'00_SKU_Master'!$M$2:$M$379,0),"0")</f>
        <v>185.50170843681056</v>
      </c>
      <c r="S255" s="186">
        <f>IFERROR(I255/_xlfn.XLOOKUP($M255,'00_SKU_Master'!$B$2:$B$379,'00_SKU_Master'!$M$2:$M$379,0),"0")</f>
        <v>0</v>
      </c>
      <c r="T255" s="186">
        <f>IFERROR(J255/_xlfn.XLOOKUP($M255,'00_SKU_Master'!$B$2:$B$379,'00_SKU_Master'!$M$2:$M$379,0),"0")</f>
        <v>0</v>
      </c>
      <c r="U255" s="186">
        <f t="shared" si="17"/>
        <v>703.05147497551195</v>
      </c>
      <c r="V255" s="186" t="str">
        <f>_xlfn.XLOOKUP(M255,'00_SKU_Master'!$B$2:$B$379,'00_SKU_Master'!$D$2:$D$379)</f>
        <v>COSTCO</v>
      </c>
      <c r="W255" s="1"/>
      <c r="X255" s="2">
        <f>'05_Daily_Orders'!C256</f>
        <v>201853</v>
      </c>
      <c r="Y255" s="289"/>
      <c r="Z255" s="289">
        <v>711</v>
      </c>
      <c r="AA255" s="289">
        <v>900</v>
      </c>
      <c r="AB255" s="289">
        <v>900</v>
      </c>
      <c r="AC255" s="289">
        <v>900</v>
      </c>
      <c r="AD255" s="289">
        <v>0</v>
      </c>
      <c r="AE255" s="289">
        <v>0</v>
      </c>
      <c r="AF255" s="7">
        <f t="shared" si="18"/>
        <v>3411</v>
      </c>
      <c r="AQ255" s="70">
        <v>0</v>
      </c>
      <c r="AR255" s="70">
        <v>711</v>
      </c>
      <c r="AS255" s="3">
        <f t="shared" si="19"/>
        <v>711</v>
      </c>
    </row>
    <row r="256" spans="1:45" x14ac:dyDescent="0.35">
      <c r="A256" s="181" t="str">
        <f>_xlfn.XLOOKUP(X256,'00_SKU_Master'!$B$2:$B$379,'00_SKU_Master'!$C$2:$C$379)</f>
        <v>61086C</v>
      </c>
      <c r="B256" s="181" t="str">
        <f>_xlfn.XLOOKUP(X256,tblSKU[SKU],tblSKU[Product_Group])</f>
        <v>ThighMeat</v>
      </c>
      <c r="C256" s="181" t="str">
        <f>_xlfn.XLOOKUP(X256,tblSKU[SKU],tblSKU[Tray_Type])</f>
        <v>LT 14D</v>
      </c>
      <c r="D256" s="182">
        <f>_xlfn.IFNA(_xlfn.XLOOKUP(X256,'00_SKU_Master'!$B$2:$B$379,'00_SKU_Master'!$F$2:$F$379,0)*Y256,"")</f>
        <v>0</v>
      </c>
      <c r="E256" s="182">
        <f>_xlfn.IFNA(_xlfn.XLOOKUP(X256,'00_SKU_Master'!$B$2:$B$379,'00_SKU_Master'!$F$2:$F$379,0)*Z256,"")</f>
        <v>1319.60526993075</v>
      </c>
      <c r="F256" s="182">
        <f>_xlfn.IFNA(_xlfn.XLOOKUP(X256,'00_SKU_Master'!$B$2:$B$379,'00_SKU_Master'!$F$2:$F$379,0)*AA256,"")</f>
        <v>1439.5693853789999</v>
      </c>
      <c r="G256" s="182">
        <f>_xlfn.IFNA(_xlfn.XLOOKUP(X256,'00_SKU_Master'!$B$2:$B$379,'00_SKU_Master'!$F$2:$F$379,0)*AB256,"")</f>
        <v>1439.5693853789999</v>
      </c>
      <c r="H256" s="182">
        <f>_xlfn.IFNA(_xlfn.XLOOKUP(X256,'00_SKU_Master'!$B$2:$B$379,'00_SKU_Master'!$F$2:$F$379,0)*AC256,"")</f>
        <v>1439.5693853789999</v>
      </c>
      <c r="I256" s="182">
        <f>_xlfn.IFNA(_xlfn.XLOOKUP(X256,'00_SKU_Master'!$B$2:$B$379,'00_SKU_Master'!$F$2:$F$379,0)*AD256,"")</f>
        <v>0</v>
      </c>
      <c r="J256" s="182">
        <f>_xlfn.IFNA(_xlfn.XLOOKUP(X256,'00_SKU_Master'!$B$2:$B$379,'00_SKU_Master'!$F$2:$F$379,0)*AE256,"")</f>
        <v>0</v>
      </c>
      <c r="K256" s="183">
        <f t="shared" si="15"/>
        <v>5638.3134260677498</v>
      </c>
      <c r="L256" s="184" t="str">
        <f>_xlfn.XLOOKUP(X256,'00_SKU_Master'!$B$2:$B$379,'00_SKU_Master'!$K$2:$K$379)</f>
        <v>Slow</v>
      </c>
      <c r="M256" s="185">
        <f t="shared" si="16"/>
        <v>201854</v>
      </c>
      <c r="N256" s="186">
        <f>IFERROR(D256/_xlfn.XLOOKUP($M256,'00_SKU_Master'!$B$2:$B$379,'00_SKU_Master'!$M$2:$M$379,0),"0")</f>
        <v>0</v>
      </c>
      <c r="O256" s="186">
        <f>IFERROR(E256/_xlfn.XLOOKUP($M256,'00_SKU_Master'!$B$2:$B$379,'00_SKU_Master'!$M$2:$M$379,0),"0")</f>
        <v>57.979141912598848</v>
      </c>
      <c r="P256" s="186">
        <f>IFERROR(F256/_xlfn.XLOOKUP($M256,'00_SKU_Master'!$B$2:$B$379,'00_SKU_Master'!$M$2:$M$379,0),"0")</f>
        <v>63.249972995562381</v>
      </c>
      <c r="Q256" s="186">
        <f>IFERROR(G256/_xlfn.XLOOKUP($M256,'00_SKU_Master'!$B$2:$B$379,'00_SKU_Master'!$M$2:$M$379,0),"0")</f>
        <v>63.249972995562381</v>
      </c>
      <c r="R256" s="186">
        <f>IFERROR(H256/_xlfn.XLOOKUP($M256,'00_SKU_Master'!$B$2:$B$379,'00_SKU_Master'!$M$2:$M$379,0),"0")</f>
        <v>63.249972995562381</v>
      </c>
      <c r="S256" s="186">
        <f>IFERROR(I256/_xlfn.XLOOKUP($M256,'00_SKU_Master'!$B$2:$B$379,'00_SKU_Master'!$M$2:$M$379,0),"0")</f>
        <v>0</v>
      </c>
      <c r="T256" s="186">
        <f>IFERROR(J256/_xlfn.XLOOKUP($M256,'00_SKU_Master'!$B$2:$B$379,'00_SKU_Master'!$M$2:$M$379,0),"0")</f>
        <v>0</v>
      </c>
      <c r="U256" s="186">
        <f t="shared" si="17"/>
        <v>247.729060899286</v>
      </c>
      <c r="V256" s="186" t="str">
        <f>_xlfn.XLOOKUP(M256,'00_SKU_Master'!$B$2:$B$379,'00_SKU_Master'!$D$2:$D$379)</f>
        <v>COSTCO</v>
      </c>
      <c r="W256" s="1"/>
      <c r="X256" s="2">
        <f>'05_Daily_Orders'!C257</f>
        <v>201854</v>
      </c>
      <c r="Y256" s="289"/>
      <c r="Z256" s="289">
        <v>110</v>
      </c>
      <c r="AA256" s="289">
        <v>120</v>
      </c>
      <c r="AB256" s="289">
        <v>120</v>
      </c>
      <c r="AC256" s="289">
        <v>120</v>
      </c>
      <c r="AD256" s="289">
        <v>0</v>
      </c>
      <c r="AE256" s="289">
        <v>0</v>
      </c>
      <c r="AF256" s="7">
        <f t="shared" si="18"/>
        <v>470</v>
      </c>
      <c r="AQ256" s="70">
        <v>0</v>
      </c>
      <c r="AR256" s="70">
        <v>110</v>
      </c>
      <c r="AS256" s="3">
        <f t="shared" si="19"/>
        <v>110</v>
      </c>
    </row>
    <row r="257" spans="1:45" x14ac:dyDescent="0.35">
      <c r="A257" s="181">
        <f>_xlfn.XLOOKUP(X257,'00_SKU_Master'!$B$2:$B$379,'00_SKU_Master'!$C$2:$C$379)</f>
        <v>61072</v>
      </c>
      <c r="B257" s="181" t="str">
        <f>_xlfn.XLOOKUP(X257,tblSKU[SKU],tblSKU[Product_Group])</f>
        <v>Drum</v>
      </c>
      <c r="C257" s="181" t="str">
        <f>_xlfn.XLOOKUP(X257,tblSKU[SKU],tblSKU[Tray_Type])</f>
        <v>LT 14D</v>
      </c>
      <c r="D257" s="182">
        <f>_xlfn.IFNA(_xlfn.XLOOKUP(X257,'00_SKU_Master'!$B$2:$B$379,'00_SKU_Master'!$F$2:$F$379,0)*Y257,"")</f>
        <v>0</v>
      </c>
      <c r="E257" s="182">
        <f>_xlfn.IFNA(_xlfn.XLOOKUP(X257,'00_SKU_Master'!$B$2:$B$379,'00_SKU_Master'!$F$2:$F$379,0)*Z257,"")</f>
        <v>-16.608195976638498</v>
      </c>
      <c r="F257" s="182">
        <f>_xlfn.IFNA(_xlfn.XLOOKUP(X257,'00_SKU_Master'!$B$2:$B$379,'00_SKU_Master'!$F$2:$F$379,0)*AA257,"")</f>
        <v>0</v>
      </c>
      <c r="G257" s="182">
        <f>_xlfn.IFNA(_xlfn.XLOOKUP(X257,'00_SKU_Master'!$B$2:$B$379,'00_SKU_Master'!$F$2:$F$379,0)*AB257,"")</f>
        <v>0</v>
      </c>
      <c r="H257" s="182">
        <f>_xlfn.IFNA(_xlfn.XLOOKUP(X257,'00_SKU_Master'!$B$2:$B$379,'00_SKU_Master'!$F$2:$F$379,0)*AC257,"")</f>
        <v>0</v>
      </c>
      <c r="I257" s="182">
        <f>_xlfn.IFNA(_xlfn.XLOOKUP(X257,'00_SKU_Master'!$B$2:$B$379,'00_SKU_Master'!$F$2:$F$379,0)*AD257,"")</f>
        <v>0</v>
      </c>
      <c r="J257" s="182">
        <f>_xlfn.IFNA(_xlfn.XLOOKUP(X257,'00_SKU_Master'!$B$2:$B$379,'00_SKU_Master'!$F$2:$F$379,0)*AE257,"")</f>
        <v>0</v>
      </c>
      <c r="K257" s="183">
        <f t="shared" si="15"/>
        <v>-16.608195976638498</v>
      </c>
      <c r="L257" s="184" t="str">
        <f>_xlfn.XLOOKUP(X257,'00_SKU_Master'!$B$2:$B$379,'00_SKU_Master'!$K$2:$K$379)</f>
        <v>Fast</v>
      </c>
      <c r="M257" s="185">
        <f t="shared" si="16"/>
        <v>201855</v>
      </c>
      <c r="N257" s="186">
        <f>IFERROR(D257/_xlfn.XLOOKUP($M257,'00_SKU_Master'!$B$2:$B$379,'00_SKU_Master'!$M$2:$M$379,0),"0")</f>
        <v>0</v>
      </c>
      <c r="O257" s="186">
        <f>IFERROR(E257/_xlfn.XLOOKUP($M257,'00_SKU_Master'!$B$2:$B$379,'00_SKU_Master'!$M$2:$M$379,0),"0")</f>
        <v>-0.36421482404908989</v>
      </c>
      <c r="P257" s="186">
        <f>IFERROR(F257/_xlfn.XLOOKUP($M257,'00_SKU_Master'!$B$2:$B$379,'00_SKU_Master'!$M$2:$M$379,0),"0")</f>
        <v>0</v>
      </c>
      <c r="Q257" s="186">
        <f>IFERROR(G257/_xlfn.XLOOKUP($M257,'00_SKU_Master'!$B$2:$B$379,'00_SKU_Master'!$M$2:$M$379,0),"0")</f>
        <v>0</v>
      </c>
      <c r="R257" s="186">
        <f>IFERROR(H257/_xlfn.XLOOKUP($M257,'00_SKU_Master'!$B$2:$B$379,'00_SKU_Master'!$M$2:$M$379,0),"0")</f>
        <v>0</v>
      </c>
      <c r="S257" s="186">
        <f>IFERROR(I257/_xlfn.XLOOKUP($M257,'00_SKU_Master'!$B$2:$B$379,'00_SKU_Master'!$M$2:$M$379,0),"0")</f>
        <v>0</v>
      </c>
      <c r="T257" s="186">
        <f>IFERROR(J257/_xlfn.XLOOKUP($M257,'00_SKU_Master'!$B$2:$B$379,'00_SKU_Master'!$M$2:$M$379,0),"0")</f>
        <v>0</v>
      </c>
      <c r="U257" s="186">
        <f t="shared" si="17"/>
        <v>-0.36421482404908989</v>
      </c>
      <c r="V257" s="186" t="str">
        <f>_xlfn.XLOOKUP(M257,'00_SKU_Master'!$B$2:$B$379,'00_SKU_Master'!$D$2:$D$379)</f>
        <v>COSTCO</v>
      </c>
      <c r="W257" s="1"/>
      <c r="X257" s="2">
        <f>'05_Daily_Orders'!C258</f>
        <v>201855</v>
      </c>
      <c r="Y257" s="289"/>
      <c r="Z257" s="289">
        <v>-1</v>
      </c>
      <c r="AA257" s="289">
        <v>0</v>
      </c>
      <c r="AB257" s="289">
        <v>0</v>
      </c>
      <c r="AC257" s="289">
        <v>0</v>
      </c>
      <c r="AD257" s="289">
        <v>0</v>
      </c>
      <c r="AE257" s="289">
        <v>0</v>
      </c>
      <c r="AF257" s="7">
        <f t="shared" si="18"/>
        <v>-1</v>
      </c>
      <c r="AQ257" s="243">
        <v>1</v>
      </c>
      <c r="AR257" s="243">
        <v>0</v>
      </c>
      <c r="AS257" s="3">
        <f t="shared" si="19"/>
        <v>-1</v>
      </c>
    </row>
    <row r="258" spans="1:45" x14ac:dyDescent="0.35">
      <c r="A258" s="181">
        <f>_xlfn.XLOOKUP(X258,'00_SKU_Master'!$B$2:$B$379,'00_SKU_Master'!$C$2:$C$379)</f>
        <v>61014</v>
      </c>
      <c r="B258" s="181" t="str">
        <f>_xlfn.XLOOKUP(X258,tblSKU[SKU],tblSKU[Product_Group])</f>
        <v>SplitWing</v>
      </c>
      <c r="C258" s="181" t="str">
        <f>_xlfn.XLOOKUP(X258,tblSKU[SKU],tblSKU[Tray_Type])</f>
        <v>LT 14D</v>
      </c>
      <c r="D258" s="182">
        <f>_xlfn.IFNA(_xlfn.XLOOKUP(X258,'00_SKU_Master'!$B$2:$B$379,'00_SKU_Master'!$F$2:$F$379,0)*Y258,"")</f>
        <v>0</v>
      </c>
      <c r="E258" s="182">
        <f>_xlfn.IFNA(_xlfn.XLOOKUP(X258,'00_SKU_Master'!$B$2:$B$379,'00_SKU_Master'!$F$2:$F$379,0)*Z258,"")</f>
        <v>0</v>
      </c>
      <c r="F258" s="182">
        <f>_xlfn.IFNA(_xlfn.XLOOKUP(X258,'00_SKU_Master'!$B$2:$B$379,'00_SKU_Master'!$F$2:$F$379,0)*AA258,"")</f>
        <v>0</v>
      </c>
      <c r="G258" s="182">
        <f>_xlfn.IFNA(_xlfn.XLOOKUP(X258,'00_SKU_Master'!$B$2:$B$379,'00_SKU_Master'!$F$2:$F$379,0)*AB258,"")</f>
        <v>0</v>
      </c>
      <c r="H258" s="182">
        <f>_xlfn.IFNA(_xlfn.XLOOKUP(X258,'00_SKU_Master'!$B$2:$B$379,'00_SKU_Master'!$F$2:$F$379,0)*AC258,"")</f>
        <v>0</v>
      </c>
      <c r="I258" s="182">
        <f>_xlfn.IFNA(_xlfn.XLOOKUP(X258,'00_SKU_Master'!$B$2:$B$379,'00_SKU_Master'!$F$2:$F$379,0)*AD258,"")</f>
        <v>0</v>
      </c>
      <c r="J258" s="182">
        <f>_xlfn.IFNA(_xlfn.XLOOKUP(X258,'00_SKU_Master'!$B$2:$B$379,'00_SKU_Master'!$F$2:$F$379,0)*AE258,"")</f>
        <v>0</v>
      </c>
      <c r="K258" s="183">
        <f t="shared" ref="K258:K272" si="20">SUM(D258:J258)</f>
        <v>0</v>
      </c>
      <c r="L258" s="184" t="str">
        <f>_xlfn.XLOOKUP(X258,'00_SKU_Master'!$B$2:$B$379,'00_SKU_Master'!$K$2:$K$379)</f>
        <v>Slow</v>
      </c>
      <c r="M258" s="185">
        <f t="shared" ref="M258:M272" si="21">X258</f>
        <v>201856</v>
      </c>
      <c r="N258" s="186">
        <f>IFERROR(D258/_xlfn.XLOOKUP($M258,'00_SKU_Master'!$B$2:$B$379,'00_SKU_Master'!$M$2:$M$379,0),"0")</f>
        <v>0</v>
      </c>
      <c r="O258" s="186">
        <f>IFERROR(E258/_xlfn.XLOOKUP($M258,'00_SKU_Master'!$B$2:$B$379,'00_SKU_Master'!$M$2:$M$379,0),"0")</f>
        <v>0</v>
      </c>
      <c r="P258" s="186">
        <f>IFERROR(F258/_xlfn.XLOOKUP($M258,'00_SKU_Master'!$B$2:$B$379,'00_SKU_Master'!$M$2:$M$379,0),"0")</f>
        <v>0</v>
      </c>
      <c r="Q258" s="186">
        <f>IFERROR(G258/_xlfn.XLOOKUP($M258,'00_SKU_Master'!$B$2:$B$379,'00_SKU_Master'!$M$2:$M$379,0),"0")</f>
        <v>0</v>
      </c>
      <c r="R258" s="186">
        <f>IFERROR(H258/_xlfn.XLOOKUP($M258,'00_SKU_Master'!$B$2:$B$379,'00_SKU_Master'!$M$2:$M$379,0),"0")</f>
        <v>0</v>
      </c>
      <c r="S258" s="186">
        <f>IFERROR(I258/_xlfn.XLOOKUP($M258,'00_SKU_Master'!$B$2:$B$379,'00_SKU_Master'!$M$2:$M$379,0),"0")</f>
        <v>0</v>
      </c>
      <c r="T258" s="186">
        <f>IFERROR(J258/_xlfn.XLOOKUP($M258,'00_SKU_Master'!$B$2:$B$379,'00_SKU_Master'!$M$2:$M$379,0),"0")</f>
        <v>0</v>
      </c>
      <c r="U258" s="186">
        <f t="shared" ref="U258:U272" si="22">SUM(N258:T258)</f>
        <v>0</v>
      </c>
      <c r="V258" s="186" t="str">
        <f>_xlfn.XLOOKUP(M258,'00_SKU_Master'!$B$2:$B$379,'00_SKU_Master'!$D$2:$D$379)</f>
        <v>COSTCO</v>
      </c>
      <c r="W258" s="1"/>
      <c r="X258" s="2">
        <f>'05_Daily_Orders'!C259</f>
        <v>201856</v>
      </c>
      <c r="Y258" s="289"/>
      <c r="Z258" s="289">
        <v>0</v>
      </c>
      <c r="AA258" s="289">
        <v>0</v>
      </c>
      <c r="AB258" s="289">
        <v>0</v>
      </c>
      <c r="AC258" s="289">
        <v>0</v>
      </c>
      <c r="AD258" s="289">
        <v>0</v>
      </c>
      <c r="AE258" s="289">
        <v>0</v>
      </c>
      <c r="AF258" s="7">
        <f t="shared" ref="AF258:AF272" si="23">SUM(Y258:AE258)</f>
        <v>0</v>
      </c>
      <c r="AQ258" s="236">
        <v>0</v>
      </c>
      <c r="AR258" s="236">
        <v>0</v>
      </c>
      <c r="AS258" s="3">
        <f t="shared" si="19"/>
        <v>0</v>
      </c>
    </row>
    <row r="259" spans="1:45" x14ac:dyDescent="0.35">
      <c r="A259" s="181">
        <f>_xlfn.XLOOKUP(X259,'00_SKU_Master'!$B$2:$B$379,'00_SKU_Master'!$C$2:$C$379)</f>
        <v>61077</v>
      </c>
      <c r="B259" s="181" t="str">
        <f>_xlfn.XLOOKUP(X259,tblSKU[SKU],tblSKU[Product_Group])</f>
        <v>Thigh</v>
      </c>
      <c r="C259" s="181" t="str">
        <f>_xlfn.XLOOKUP(X259,tblSKU[SKU],tblSKU[Tray_Type])</f>
        <v>LT 8XP</v>
      </c>
      <c r="D259" s="182">
        <f>_xlfn.IFNA(_xlfn.XLOOKUP(X259,'00_SKU_Master'!$B$2:$B$379,'00_SKU_Master'!$F$2:$F$379,0)*Y259,"")</f>
        <v>0</v>
      </c>
      <c r="E259" s="182">
        <f>_xlfn.IFNA(_xlfn.XLOOKUP(X259,'00_SKU_Master'!$B$2:$B$379,'00_SKU_Master'!$F$2:$F$379,0)*Z259,"")</f>
        <v>0</v>
      </c>
      <c r="F259" s="182">
        <f>_xlfn.IFNA(_xlfn.XLOOKUP(X259,'00_SKU_Master'!$B$2:$B$379,'00_SKU_Master'!$F$2:$F$379,0)*AA259,"")</f>
        <v>0</v>
      </c>
      <c r="G259" s="182">
        <f>_xlfn.IFNA(_xlfn.XLOOKUP(X259,'00_SKU_Master'!$B$2:$B$379,'00_SKU_Master'!$F$2:$F$379,0)*AB259,"")</f>
        <v>0</v>
      </c>
      <c r="H259" s="182">
        <f>_xlfn.IFNA(_xlfn.XLOOKUP(X259,'00_SKU_Master'!$B$2:$B$379,'00_SKU_Master'!$F$2:$F$379,0)*AC259,"")</f>
        <v>0</v>
      </c>
      <c r="I259" s="182">
        <f>_xlfn.IFNA(_xlfn.XLOOKUP(X259,'00_SKU_Master'!$B$2:$B$379,'00_SKU_Master'!$F$2:$F$379,0)*AD259,"")</f>
        <v>0</v>
      </c>
      <c r="J259" s="182">
        <f>_xlfn.IFNA(_xlfn.XLOOKUP(X259,'00_SKU_Master'!$B$2:$B$379,'00_SKU_Master'!$F$2:$F$379,0)*AE259,"")</f>
        <v>0</v>
      </c>
      <c r="K259" s="183">
        <f t="shared" si="20"/>
        <v>0</v>
      </c>
      <c r="L259" s="184" t="str">
        <f>_xlfn.XLOOKUP(X259,'00_SKU_Master'!$B$2:$B$379,'00_SKU_Master'!$K$2:$K$379)</f>
        <v>Fast</v>
      </c>
      <c r="M259" s="185">
        <f t="shared" si="21"/>
        <v>207101</v>
      </c>
      <c r="N259" s="186">
        <f>IFERROR(D259/_xlfn.XLOOKUP($M259,'00_SKU_Master'!$B$2:$B$379,'00_SKU_Master'!$M$2:$M$379,0),"0")</f>
        <v>0</v>
      </c>
      <c r="O259" s="186">
        <f>IFERROR(E259/_xlfn.XLOOKUP($M259,'00_SKU_Master'!$B$2:$B$379,'00_SKU_Master'!$M$2:$M$379,0),"0")</f>
        <v>0</v>
      </c>
      <c r="P259" s="186">
        <f>IFERROR(F259/_xlfn.XLOOKUP($M259,'00_SKU_Master'!$B$2:$B$379,'00_SKU_Master'!$M$2:$M$379,0),"0")</f>
        <v>0</v>
      </c>
      <c r="Q259" s="186">
        <f>IFERROR(G259/_xlfn.XLOOKUP($M259,'00_SKU_Master'!$B$2:$B$379,'00_SKU_Master'!$M$2:$M$379,0),"0")</f>
        <v>0</v>
      </c>
      <c r="R259" s="186">
        <f>IFERROR(H259/_xlfn.XLOOKUP($M259,'00_SKU_Master'!$B$2:$B$379,'00_SKU_Master'!$M$2:$M$379,0),"0")</f>
        <v>0</v>
      </c>
      <c r="S259" s="186">
        <f>IFERROR(I259/_xlfn.XLOOKUP($M259,'00_SKU_Master'!$B$2:$B$379,'00_SKU_Master'!$M$2:$M$379,0),"0")</f>
        <v>0</v>
      </c>
      <c r="T259" s="186">
        <f>IFERROR(J259/_xlfn.XLOOKUP($M259,'00_SKU_Master'!$B$2:$B$379,'00_SKU_Master'!$M$2:$M$379,0),"0")</f>
        <v>0</v>
      </c>
      <c r="U259" s="186">
        <f t="shared" si="22"/>
        <v>0</v>
      </c>
      <c r="V259" s="186" t="str">
        <f>_xlfn.XLOOKUP(M259,'00_SKU_Master'!$B$2:$B$379,'00_SKU_Master'!$D$2:$D$379)</f>
        <v>LCL</v>
      </c>
      <c r="W259" s="1"/>
      <c r="X259" s="2">
        <f>'05_Daily_Orders'!C260</f>
        <v>207101</v>
      </c>
      <c r="Y259" s="289"/>
      <c r="Z259" s="289">
        <v>0</v>
      </c>
      <c r="AA259" s="289">
        <v>0</v>
      </c>
      <c r="AB259" s="289">
        <v>0</v>
      </c>
      <c r="AC259" s="289">
        <v>0</v>
      </c>
      <c r="AD259" s="289">
        <v>0</v>
      </c>
      <c r="AE259" s="289">
        <v>0</v>
      </c>
      <c r="AF259" s="7">
        <f t="shared" si="23"/>
        <v>0</v>
      </c>
      <c r="AQ259" s="236">
        <v>0</v>
      </c>
      <c r="AR259" s="236">
        <v>0</v>
      </c>
      <c r="AS259" s="3">
        <f t="shared" ref="AS259:AS264" si="24">AR259-AQ259</f>
        <v>0</v>
      </c>
    </row>
    <row r="260" spans="1:45" x14ac:dyDescent="0.35">
      <c r="A260" s="181">
        <f>_xlfn.XLOOKUP(X260,'00_SKU_Master'!$B$2:$B$379,'00_SKU_Master'!$C$2:$C$379)</f>
        <v>61072</v>
      </c>
      <c r="B260" s="181" t="str">
        <f>_xlfn.XLOOKUP(X260,tblSKU[SKU],tblSKU[Product_Group])</f>
        <v>Drum</v>
      </c>
      <c r="C260" s="181" t="str">
        <f>_xlfn.XLOOKUP(X260,tblSKU[SKU],tblSKU[Tray_Type])</f>
        <v>LT 8XP</v>
      </c>
      <c r="D260" s="182">
        <f>_xlfn.IFNA(_xlfn.XLOOKUP(X260,'00_SKU_Master'!$B$2:$B$379,'00_SKU_Master'!$F$2:$F$379,0)*Y260,"")</f>
        <v>0</v>
      </c>
      <c r="E260" s="182">
        <f>_xlfn.IFNA(_xlfn.XLOOKUP(X260,'00_SKU_Master'!$B$2:$B$379,'00_SKU_Master'!$F$2:$F$379,0)*Z260,"")</f>
        <v>0</v>
      </c>
      <c r="F260" s="182">
        <f>_xlfn.IFNA(_xlfn.XLOOKUP(X260,'00_SKU_Master'!$B$2:$B$379,'00_SKU_Master'!$F$2:$F$379,0)*AA260,"")</f>
        <v>0</v>
      </c>
      <c r="G260" s="182">
        <f>_xlfn.IFNA(_xlfn.XLOOKUP(X260,'00_SKU_Master'!$B$2:$B$379,'00_SKU_Master'!$F$2:$F$379,0)*AB260,"")</f>
        <v>0</v>
      </c>
      <c r="H260" s="182">
        <f>_xlfn.IFNA(_xlfn.XLOOKUP(X260,'00_SKU_Master'!$B$2:$B$379,'00_SKU_Master'!$F$2:$F$379,0)*AC260,"")</f>
        <v>0</v>
      </c>
      <c r="I260" s="182">
        <f>_xlfn.IFNA(_xlfn.XLOOKUP(X260,'00_SKU_Master'!$B$2:$B$379,'00_SKU_Master'!$F$2:$F$379,0)*AD260,"")</f>
        <v>0</v>
      </c>
      <c r="J260" s="182">
        <f>_xlfn.IFNA(_xlfn.XLOOKUP(X260,'00_SKU_Master'!$B$2:$B$379,'00_SKU_Master'!$F$2:$F$379,0)*AE260,"")</f>
        <v>0</v>
      </c>
      <c r="K260" s="183">
        <f t="shared" si="20"/>
        <v>0</v>
      </c>
      <c r="L260" s="184" t="str">
        <f>_xlfn.XLOOKUP(X260,'00_SKU_Master'!$B$2:$B$379,'00_SKU_Master'!$K$2:$K$379)</f>
        <v>Fast</v>
      </c>
      <c r="M260" s="185">
        <f t="shared" si="21"/>
        <v>207102</v>
      </c>
      <c r="N260" s="186">
        <f>IFERROR(D260/_xlfn.XLOOKUP($M260,'00_SKU_Master'!$B$2:$B$379,'00_SKU_Master'!$M$2:$M$379,0),"0")</f>
        <v>0</v>
      </c>
      <c r="O260" s="186">
        <f>IFERROR(E260/_xlfn.XLOOKUP($M260,'00_SKU_Master'!$B$2:$B$379,'00_SKU_Master'!$M$2:$M$379,0),"0")</f>
        <v>0</v>
      </c>
      <c r="P260" s="186">
        <f>IFERROR(F260/_xlfn.XLOOKUP($M260,'00_SKU_Master'!$B$2:$B$379,'00_SKU_Master'!$M$2:$M$379,0),"0")</f>
        <v>0</v>
      </c>
      <c r="Q260" s="186">
        <f>IFERROR(G260/_xlfn.XLOOKUP($M260,'00_SKU_Master'!$B$2:$B$379,'00_SKU_Master'!$M$2:$M$379,0),"0")</f>
        <v>0</v>
      </c>
      <c r="R260" s="186">
        <f>IFERROR(H260/_xlfn.XLOOKUP($M260,'00_SKU_Master'!$B$2:$B$379,'00_SKU_Master'!$M$2:$M$379,0),"0")</f>
        <v>0</v>
      </c>
      <c r="S260" s="186">
        <f>IFERROR(I260/_xlfn.XLOOKUP($M260,'00_SKU_Master'!$B$2:$B$379,'00_SKU_Master'!$M$2:$M$379,0),"0")</f>
        <v>0</v>
      </c>
      <c r="T260" s="186">
        <f>IFERROR(J260/_xlfn.XLOOKUP($M260,'00_SKU_Master'!$B$2:$B$379,'00_SKU_Master'!$M$2:$M$379,0),"0")</f>
        <v>0</v>
      </c>
      <c r="U260" s="186">
        <f t="shared" si="22"/>
        <v>0</v>
      </c>
      <c r="V260" s="186" t="str">
        <f>_xlfn.XLOOKUP(M260,'00_SKU_Master'!$B$2:$B$379,'00_SKU_Master'!$D$2:$D$379)</f>
        <v>LCL</v>
      </c>
      <c r="W260" s="1"/>
      <c r="X260" s="2">
        <f>'05_Daily_Orders'!C261</f>
        <v>207102</v>
      </c>
      <c r="Y260" s="289"/>
      <c r="Z260" s="289">
        <v>0</v>
      </c>
      <c r="AA260" s="289">
        <v>0</v>
      </c>
      <c r="AB260" s="289">
        <v>0</v>
      </c>
      <c r="AC260" s="289">
        <v>0</v>
      </c>
      <c r="AD260" s="289">
        <v>0</v>
      </c>
      <c r="AE260" s="289">
        <v>0</v>
      </c>
      <c r="AF260" s="7">
        <f t="shared" si="23"/>
        <v>0</v>
      </c>
      <c r="AQ260" s="236">
        <v>0</v>
      </c>
      <c r="AR260" s="236">
        <v>0</v>
      </c>
      <c r="AS260" s="3">
        <f t="shared" si="24"/>
        <v>0</v>
      </c>
    </row>
    <row r="261" spans="1:45" x14ac:dyDescent="0.35">
      <c r="A261" s="181">
        <f>_xlfn.XLOOKUP(X261,'00_SKU_Master'!$B$2:$B$379,'00_SKU_Master'!$C$2:$C$379)</f>
        <v>203136</v>
      </c>
      <c r="B261" s="181" t="str">
        <f>_xlfn.XLOOKUP(X261,tblSKU[SKU],tblSKU[Product_Group])</f>
        <v>Whole Bird-Small</v>
      </c>
      <c r="C261" s="181" t="str">
        <f>_xlfn.XLOOKUP(X261,tblSKU[SKU],tblSKU[Tray_Type])</f>
        <v>ST 3XP</v>
      </c>
      <c r="D261" s="182">
        <f>_xlfn.IFNA(_xlfn.XLOOKUP(X261,'00_SKU_Master'!$B$2:$B$379,'00_SKU_Master'!$F$2:$F$379,0)*Y261,"")</f>
        <v>0</v>
      </c>
      <c r="E261" s="182">
        <f>_xlfn.IFNA(_xlfn.XLOOKUP(X261,'00_SKU_Master'!$B$2:$B$379,'00_SKU_Master'!$F$2:$F$379,0)*Z261,"")</f>
        <v>0</v>
      </c>
      <c r="F261" s="182">
        <f>_xlfn.IFNA(_xlfn.XLOOKUP(X261,'00_SKU_Master'!$B$2:$B$379,'00_SKU_Master'!$F$2:$F$379,0)*AA261,"")</f>
        <v>0</v>
      </c>
      <c r="G261" s="182">
        <f>_xlfn.IFNA(_xlfn.XLOOKUP(X261,'00_SKU_Master'!$B$2:$B$379,'00_SKU_Master'!$F$2:$F$379,0)*AB261,"")</f>
        <v>0</v>
      </c>
      <c r="H261" s="182">
        <f>_xlfn.IFNA(_xlfn.XLOOKUP(X261,'00_SKU_Master'!$B$2:$B$379,'00_SKU_Master'!$F$2:$F$379,0)*AC261,"")</f>
        <v>0</v>
      </c>
      <c r="I261" s="182">
        <f>_xlfn.IFNA(_xlfn.XLOOKUP(X261,'00_SKU_Master'!$B$2:$B$379,'00_SKU_Master'!$F$2:$F$379,0)*AD261,"")</f>
        <v>0</v>
      </c>
      <c r="J261" s="182">
        <f>_xlfn.IFNA(_xlfn.XLOOKUP(X261,'00_SKU_Master'!$B$2:$B$379,'00_SKU_Master'!$F$2:$F$379,0)*AE261,"")</f>
        <v>0</v>
      </c>
      <c r="K261" s="183">
        <f t="shared" si="20"/>
        <v>0</v>
      </c>
      <c r="L261" s="184" t="str">
        <f>_xlfn.XLOOKUP(X261,'00_SKU_Master'!$B$2:$B$379,'00_SKU_Master'!$K$2:$K$379)</f>
        <v>Fast</v>
      </c>
      <c r="M261" s="185">
        <f t="shared" si="21"/>
        <v>207103</v>
      </c>
      <c r="N261" s="186">
        <f>IFERROR(D261/_xlfn.XLOOKUP($M261,'00_SKU_Master'!$B$2:$B$379,'00_SKU_Master'!$M$2:$M$379,0),"0")</f>
        <v>0</v>
      </c>
      <c r="O261" s="186">
        <f>IFERROR(E261/_xlfn.XLOOKUP($M261,'00_SKU_Master'!$B$2:$B$379,'00_SKU_Master'!$M$2:$M$379,0),"0")</f>
        <v>0</v>
      </c>
      <c r="P261" s="186">
        <f>IFERROR(F261/_xlfn.XLOOKUP($M261,'00_SKU_Master'!$B$2:$B$379,'00_SKU_Master'!$M$2:$M$379,0),"0")</f>
        <v>0</v>
      </c>
      <c r="Q261" s="186">
        <f>IFERROR(G261/_xlfn.XLOOKUP($M261,'00_SKU_Master'!$B$2:$B$379,'00_SKU_Master'!$M$2:$M$379,0),"0")</f>
        <v>0</v>
      </c>
      <c r="R261" s="186">
        <f>IFERROR(H261/_xlfn.XLOOKUP($M261,'00_SKU_Master'!$B$2:$B$379,'00_SKU_Master'!$M$2:$M$379,0),"0")</f>
        <v>0</v>
      </c>
      <c r="S261" s="186">
        <f>IFERROR(I261/_xlfn.XLOOKUP($M261,'00_SKU_Master'!$B$2:$B$379,'00_SKU_Master'!$M$2:$M$379,0),"0")</f>
        <v>0</v>
      </c>
      <c r="T261" s="186">
        <f>IFERROR(J261/_xlfn.XLOOKUP($M261,'00_SKU_Master'!$B$2:$B$379,'00_SKU_Master'!$M$2:$M$379,0),"0")</f>
        <v>0</v>
      </c>
      <c r="U261" s="186">
        <f t="shared" si="22"/>
        <v>0</v>
      </c>
      <c r="V261" s="186" t="str">
        <f>_xlfn.XLOOKUP(M261,'00_SKU_Master'!$B$2:$B$379,'00_SKU_Master'!$D$2:$D$379)</f>
        <v>LCL</v>
      </c>
      <c r="W261" s="1"/>
      <c r="X261" s="2">
        <f>'05_Daily_Orders'!C262</f>
        <v>207103</v>
      </c>
      <c r="Y261" s="289"/>
      <c r="Z261" s="289">
        <v>0</v>
      </c>
      <c r="AA261" s="289">
        <v>0</v>
      </c>
      <c r="AB261" s="289">
        <v>0</v>
      </c>
      <c r="AC261" s="289">
        <v>0</v>
      </c>
      <c r="AD261" s="289">
        <v>0</v>
      </c>
      <c r="AE261" s="289">
        <v>0</v>
      </c>
      <c r="AF261" s="7">
        <f t="shared" si="23"/>
        <v>0</v>
      </c>
      <c r="AQ261" s="236">
        <v>0</v>
      </c>
      <c r="AR261" s="236">
        <v>0</v>
      </c>
      <c r="AS261" s="3">
        <f t="shared" si="24"/>
        <v>0</v>
      </c>
    </row>
    <row r="262" spans="1:45" x14ac:dyDescent="0.35">
      <c r="A262" s="181">
        <f>_xlfn.XLOOKUP(X262,'00_SKU_Master'!$B$2:$B$379,'00_SKU_Master'!$C$2:$C$379)</f>
        <v>61050</v>
      </c>
      <c r="B262" s="181" t="str">
        <f>_xlfn.XLOOKUP(X262,tblSKU[SKU],tblSKU[Product_Group])</f>
        <v>BSB</v>
      </c>
      <c r="C262" s="181" t="str">
        <f>_xlfn.XLOOKUP(X262,tblSKU[SKU],tblSKU[Tray_Type])</f>
        <v>PET 8</v>
      </c>
      <c r="D262" s="182">
        <f>_xlfn.IFNA(_xlfn.XLOOKUP(X262,'00_SKU_Master'!$B$2:$B$379,'00_SKU_Master'!$F$2:$F$379,0)*Y262,"")</f>
        <v>0</v>
      </c>
      <c r="E262" s="182">
        <f>_xlfn.IFNA(_xlfn.XLOOKUP(X262,'00_SKU_Master'!$B$2:$B$379,'00_SKU_Master'!$F$2:$F$379,0)*Z262,"")</f>
        <v>0</v>
      </c>
      <c r="F262" s="182">
        <f>_xlfn.IFNA(_xlfn.XLOOKUP(X262,'00_SKU_Master'!$B$2:$B$379,'00_SKU_Master'!$F$2:$F$379,0)*AA262,"")</f>
        <v>0</v>
      </c>
      <c r="G262" s="182">
        <f>_xlfn.IFNA(_xlfn.XLOOKUP(X262,'00_SKU_Master'!$B$2:$B$379,'00_SKU_Master'!$F$2:$F$379,0)*AB262,"")</f>
        <v>0</v>
      </c>
      <c r="H262" s="182">
        <f>_xlfn.IFNA(_xlfn.XLOOKUP(X262,'00_SKU_Master'!$B$2:$B$379,'00_SKU_Master'!$F$2:$F$379,0)*AC262,"")</f>
        <v>0</v>
      </c>
      <c r="I262" s="182">
        <f>_xlfn.IFNA(_xlfn.XLOOKUP(X262,'00_SKU_Master'!$B$2:$B$379,'00_SKU_Master'!$F$2:$F$379,0)*AD262,"")</f>
        <v>0</v>
      </c>
      <c r="J262" s="182">
        <f>_xlfn.IFNA(_xlfn.XLOOKUP(X262,'00_SKU_Master'!$B$2:$B$379,'00_SKU_Master'!$F$2:$F$379,0)*AE262,"")</f>
        <v>0</v>
      </c>
      <c r="K262" s="183">
        <f t="shared" si="20"/>
        <v>0</v>
      </c>
      <c r="L262" s="184" t="str">
        <f>_xlfn.XLOOKUP(X262,'00_SKU_Master'!$B$2:$B$379,'00_SKU_Master'!$K$2:$K$379)</f>
        <v>Fast</v>
      </c>
      <c r="M262" s="185">
        <f t="shared" si="21"/>
        <v>207104</v>
      </c>
      <c r="N262" s="186">
        <f>IFERROR(D262/_xlfn.XLOOKUP($M262,'00_SKU_Master'!$B$2:$B$379,'00_SKU_Master'!$M$2:$M$379,0),"0")</f>
        <v>0</v>
      </c>
      <c r="O262" s="186">
        <f>IFERROR(E262/_xlfn.XLOOKUP($M262,'00_SKU_Master'!$B$2:$B$379,'00_SKU_Master'!$M$2:$M$379,0),"0")</f>
        <v>0</v>
      </c>
      <c r="P262" s="186">
        <f>IFERROR(F262/_xlfn.XLOOKUP($M262,'00_SKU_Master'!$B$2:$B$379,'00_SKU_Master'!$M$2:$M$379,0),"0")</f>
        <v>0</v>
      </c>
      <c r="Q262" s="186">
        <f>IFERROR(G262/_xlfn.XLOOKUP($M262,'00_SKU_Master'!$B$2:$B$379,'00_SKU_Master'!$M$2:$M$379,0),"0")</f>
        <v>0</v>
      </c>
      <c r="R262" s="186">
        <f>IFERROR(H262/_xlfn.XLOOKUP($M262,'00_SKU_Master'!$B$2:$B$379,'00_SKU_Master'!$M$2:$M$379,0),"0")</f>
        <v>0</v>
      </c>
      <c r="S262" s="186">
        <f>IFERROR(I262/_xlfn.XLOOKUP($M262,'00_SKU_Master'!$B$2:$B$379,'00_SKU_Master'!$M$2:$M$379,0),"0")</f>
        <v>0</v>
      </c>
      <c r="T262" s="186">
        <f>IFERROR(J262/_xlfn.XLOOKUP($M262,'00_SKU_Master'!$B$2:$B$379,'00_SKU_Master'!$M$2:$M$379,0),"0")</f>
        <v>0</v>
      </c>
      <c r="U262" s="186">
        <f t="shared" si="22"/>
        <v>0</v>
      </c>
      <c r="V262" s="186" t="str">
        <f>_xlfn.XLOOKUP(M262,'00_SKU_Master'!$B$2:$B$379,'00_SKU_Master'!$D$2:$D$379)</f>
        <v>LCL</v>
      </c>
      <c r="W262" s="1"/>
      <c r="X262" s="2">
        <f>'05_Daily_Orders'!C263</f>
        <v>207104</v>
      </c>
      <c r="Y262" s="289"/>
      <c r="Z262" s="289">
        <v>0</v>
      </c>
      <c r="AA262" s="289">
        <v>0</v>
      </c>
      <c r="AB262" s="289">
        <v>0</v>
      </c>
      <c r="AC262" s="289">
        <v>0</v>
      </c>
      <c r="AD262" s="289">
        <v>0</v>
      </c>
      <c r="AE262" s="289">
        <v>0</v>
      </c>
      <c r="AF262" s="7">
        <f t="shared" si="23"/>
        <v>0</v>
      </c>
      <c r="AQ262" s="236">
        <v>0</v>
      </c>
      <c r="AR262" s="236">
        <v>0</v>
      </c>
      <c r="AS262" s="3">
        <f t="shared" si="24"/>
        <v>0</v>
      </c>
    </row>
    <row r="263" spans="1:45" x14ac:dyDescent="0.35">
      <c r="A263" s="181">
        <f>_xlfn.XLOOKUP(X263,'00_SKU_Master'!$B$2:$B$379,'00_SKU_Master'!$C$2:$C$379)</f>
        <v>61014</v>
      </c>
      <c r="B263" s="181" t="str">
        <f>_xlfn.XLOOKUP(X263,tblSKU[SKU],tblSKU[Product_Group])</f>
        <v>SplitWing</v>
      </c>
      <c r="C263" s="181" t="str">
        <f>_xlfn.XLOOKUP(X263,tblSKU[SKU],tblSKU[Tray_Type])</f>
        <v>LT 6D</v>
      </c>
      <c r="D263" s="182">
        <f>_xlfn.IFNA(_xlfn.XLOOKUP(X263,'00_SKU_Master'!$B$2:$B$379,'00_SKU_Master'!$F$2:$F$379,0)*Y263,"")</f>
        <v>0</v>
      </c>
      <c r="E263" s="182">
        <f>_xlfn.IFNA(_xlfn.XLOOKUP(X263,'00_SKU_Master'!$B$2:$B$379,'00_SKU_Master'!$F$2:$F$379,0)*Z263,"")</f>
        <v>0</v>
      </c>
      <c r="F263" s="182">
        <f>_xlfn.IFNA(_xlfn.XLOOKUP(X263,'00_SKU_Master'!$B$2:$B$379,'00_SKU_Master'!$F$2:$F$379,0)*AA263,"")</f>
        <v>0</v>
      </c>
      <c r="G263" s="182">
        <f>_xlfn.IFNA(_xlfn.XLOOKUP(X263,'00_SKU_Master'!$B$2:$B$379,'00_SKU_Master'!$F$2:$F$379,0)*AB263,"")</f>
        <v>0</v>
      </c>
      <c r="H263" s="182">
        <f>_xlfn.IFNA(_xlfn.XLOOKUP(X263,'00_SKU_Master'!$B$2:$B$379,'00_SKU_Master'!$F$2:$F$379,0)*AC263,"")</f>
        <v>0</v>
      </c>
      <c r="I263" s="182">
        <f>_xlfn.IFNA(_xlfn.XLOOKUP(X263,'00_SKU_Master'!$B$2:$B$379,'00_SKU_Master'!$F$2:$F$379,0)*AD263,"")</f>
        <v>0</v>
      </c>
      <c r="J263" s="182">
        <f>_xlfn.IFNA(_xlfn.XLOOKUP(X263,'00_SKU_Master'!$B$2:$B$379,'00_SKU_Master'!$F$2:$F$379,0)*AE263,"")</f>
        <v>0</v>
      </c>
      <c r="K263" s="183">
        <f t="shared" si="20"/>
        <v>0</v>
      </c>
      <c r="L263" s="184" t="str">
        <f>_xlfn.XLOOKUP(X263,'00_SKU_Master'!$B$2:$B$379,'00_SKU_Master'!$K$2:$K$379)</f>
        <v>Slow</v>
      </c>
      <c r="M263" s="185">
        <f t="shared" si="21"/>
        <v>207127</v>
      </c>
      <c r="N263" s="186">
        <f>IFERROR(D263/_xlfn.XLOOKUP($M263,'00_SKU_Master'!$B$2:$B$379,'00_SKU_Master'!$M$2:$M$379,0),"0")</f>
        <v>0</v>
      </c>
      <c r="O263" s="186">
        <f>IFERROR(E263/_xlfn.XLOOKUP($M263,'00_SKU_Master'!$B$2:$B$379,'00_SKU_Master'!$M$2:$M$379,0),"0")</f>
        <v>0</v>
      </c>
      <c r="P263" s="186">
        <f>IFERROR(F263/_xlfn.XLOOKUP($M263,'00_SKU_Master'!$B$2:$B$379,'00_SKU_Master'!$M$2:$M$379,0),"0")</f>
        <v>0</v>
      </c>
      <c r="Q263" s="186">
        <f>IFERROR(G263/_xlfn.XLOOKUP($M263,'00_SKU_Master'!$B$2:$B$379,'00_SKU_Master'!$M$2:$M$379,0),"0")</f>
        <v>0</v>
      </c>
      <c r="R263" s="186">
        <f>IFERROR(H263/_xlfn.XLOOKUP($M263,'00_SKU_Master'!$B$2:$B$379,'00_SKU_Master'!$M$2:$M$379,0),"0")</f>
        <v>0</v>
      </c>
      <c r="S263" s="186">
        <f>IFERROR(I263/_xlfn.XLOOKUP($M263,'00_SKU_Master'!$B$2:$B$379,'00_SKU_Master'!$M$2:$M$379,0),"0")</f>
        <v>0</v>
      </c>
      <c r="T263" s="186">
        <f>IFERROR(J263/_xlfn.XLOOKUP($M263,'00_SKU_Master'!$B$2:$B$379,'00_SKU_Master'!$M$2:$M$379,0),"0")</f>
        <v>0</v>
      </c>
      <c r="U263" s="186">
        <f t="shared" si="22"/>
        <v>0</v>
      </c>
      <c r="V263" s="186" t="str">
        <f>_xlfn.XLOOKUP(M263,'00_SKU_Master'!$B$2:$B$379,'00_SKU_Master'!$D$2:$D$379)</f>
        <v>LCL</v>
      </c>
      <c r="W263" s="1"/>
      <c r="X263" s="2">
        <f>'05_Daily_Orders'!C264</f>
        <v>207127</v>
      </c>
      <c r="Y263" s="289"/>
      <c r="Z263" s="289">
        <v>0</v>
      </c>
      <c r="AA263" s="289">
        <v>0</v>
      </c>
      <c r="AB263" s="289">
        <v>0</v>
      </c>
      <c r="AC263" s="289">
        <v>0</v>
      </c>
      <c r="AD263" s="289">
        <v>0</v>
      </c>
      <c r="AE263" s="289">
        <v>0</v>
      </c>
      <c r="AF263" s="7">
        <f t="shared" si="23"/>
        <v>0</v>
      </c>
      <c r="AQ263" s="236">
        <v>0</v>
      </c>
      <c r="AR263" s="236">
        <v>0</v>
      </c>
      <c r="AS263" s="3">
        <f t="shared" si="24"/>
        <v>0</v>
      </c>
    </row>
    <row r="264" spans="1:45" x14ac:dyDescent="0.35">
      <c r="A264" s="181">
        <f>_xlfn.XLOOKUP(X264,'00_SKU_Master'!$B$2:$B$379,'00_SKU_Master'!$C$2:$C$379)</f>
        <v>203021</v>
      </c>
      <c r="B264" s="181" t="str">
        <f>_xlfn.XLOOKUP(X264,tblSKU[SKU],tblSKU[Product_Group])</f>
        <v>Whole Bird-Small</v>
      </c>
      <c r="C264" s="181" t="str">
        <f>_xlfn.XLOOKUP(X264,tblSKU[SKU],tblSKU[Tray_Type])</f>
        <v>ST 3XP</v>
      </c>
      <c r="D264" s="182">
        <f>_xlfn.IFNA(_xlfn.XLOOKUP(X264,'00_SKU_Master'!$B$2:$B$379,'00_SKU_Master'!$F$2:$F$379,0)*Y264,"")</f>
        <v>0</v>
      </c>
      <c r="E264" s="182">
        <f>_xlfn.IFNA(_xlfn.XLOOKUP(X264,'00_SKU_Master'!$B$2:$B$379,'00_SKU_Master'!$F$2:$F$379,0)*Z264,"")</f>
        <v>0</v>
      </c>
      <c r="F264" s="182">
        <f>_xlfn.IFNA(_xlfn.XLOOKUP(X264,'00_SKU_Master'!$B$2:$B$379,'00_SKU_Master'!$F$2:$F$379,0)*AA264,"")</f>
        <v>0</v>
      </c>
      <c r="G264" s="182">
        <f>_xlfn.IFNA(_xlfn.XLOOKUP(X264,'00_SKU_Master'!$B$2:$B$379,'00_SKU_Master'!$F$2:$F$379,0)*AB264,"")</f>
        <v>0</v>
      </c>
      <c r="H264" s="182">
        <f>_xlfn.IFNA(_xlfn.XLOOKUP(X264,'00_SKU_Master'!$B$2:$B$379,'00_SKU_Master'!$F$2:$F$379,0)*AC264,"")</f>
        <v>0</v>
      </c>
      <c r="I264" s="182">
        <f>_xlfn.IFNA(_xlfn.XLOOKUP(X264,'00_SKU_Master'!$B$2:$B$379,'00_SKU_Master'!$F$2:$F$379,0)*AD264,"")</f>
        <v>0</v>
      </c>
      <c r="J264" s="182">
        <f>_xlfn.IFNA(_xlfn.XLOOKUP(X264,'00_SKU_Master'!$B$2:$B$379,'00_SKU_Master'!$F$2:$F$379,0)*AE264,"")</f>
        <v>0</v>
      </c>
      <c r="K264" s="183">
        <f t="shared" si="20"/>
        <v>0</v>
      </c>
      <c r="L264" s="184" t="str">
        <f>_xlfn.XLOOKUP(X264,'00_SKU_Master'!$B$2:$B$379,'00_SKU_Master'!$K$2:$K$379)</f>
        <v>Fast</v>
      </c>
      <c r="M264" s="185">
        <f t="shared" si="21"/>
        <v>207128</v>
      </c>
      <c r="N264" s="186">
        <f>IFERROR(D264/_xlfn.XLOOKUP($M264,'00_SKU_Master'!$B$2:$B$379,'00_SKU_Master'!$M$2:$M$379,0),"0")</f>
        <v>0</v>
      </c>
      <c r="O264" s="186">
        <f>IFERROR(E264/_xlfn.XLOOKUP($M264,'00_SKU_Master'!$B$2:$B$379,'00_SKU_Master'!$M$2:$M$379,0),"0")</f>
        <v>0</v>
      </c>
      <c r="P264" s="186">
        <f>IFERROR(F264/_xlfn.XLOOKUP($M264,'00_SKU_Master'!$B$2:$B$379,'00_SKU_Master'!$M$2:$M$379,0),"0")</f>
        <v>0</v>
      </c>
      <c r="Q264" s="186">
        <f>IFERROR(G264/_xlfn.XLOOKUP($M264,'00_SKU_Master'!$B$2:$B$379,'00_SKU_Master'!$M$2:$M$379,0),"0")</f>
        <v>0</v>
      </c>
      <c r="R264" s="186">
        <f>IFERROR(H264/_xlfn.XLOOKUP($M264,'00_SKU_Master'!$B$2:$B$379,'00_SKU_Master'!$M$2:$M$379,0),"0")</f>
        <v>0</v>
      </c>
      <c r="S264" s="186">
        <f>IFERROR(I264/_xlfn.XLOOKUP($M264,'00_SKU_Master'!$B$2:$B$379,'00_SKU_Master'!$M$2:$M$379,0),"0")</f>
        <v>0</v>
      </c>
      <c r="T264" s="186">
        <f>IFERROR(J264/_xlfn.XLOOKUP($M264,'00_SKU_Master'!$B$2:$B$379,'00_SKU_Master'!$M$2:$M$379,0),"0")</f>
        <v>0</v>
      </c>
      <c r="U264" s="186">
        <f t="shared" si="22"/>
        <v>0</v>
      </c>
      <c r="V264" s="186" t="str">
        <f>_xlfn.XLOOKUP(M264,'00_SKU_Master'!$B$2:$B$379,'00_SKU_Master'!$D$2:$D$379)</f>
        <v>LCL</v>
      </c>
      <c r="W264" s="1"/>
      <c r="X264" s="2">
        <f>'05_Daily_Orders'!C265</f>
        <v>207128</v>
      </c>
      <c r="Y264" s="289"/>
      <c r="Z264" s="289">
        <v>0</v>
      </c>
      <c r="AA264" s="289">
        <v>0</v>
      </c>
      <c r="AB264" s="289">
        <v>0</v>
      </c>
      <c r="AC264" s="289">
        <v>0</v>
      </c>
      <c r="AD264" s="289">
        <v>0</v>
      </c>
      <c r="AE264" s="289">
        <v>0</v>
      </c>
      <c r="AF264" s="7">
        <f t="shared" si="23"/>
        <v>0</v>
      </c>
      <c r="AQ264" s="236">
        <v>0</v>
      </c>
      <c r="AR264" s="236">
        <v>0</v>
      </c>
      <c r="AS264" s="3">
        <f t="shared" si="24"/>
        <v>0</v>
      </c>
    </row>
    <row r="265" spans="1:45" x14ac:dyDescent="0.35">
      <c r="A265" s="181" t="e">
        <f>_xlfn.XLOOKUP(X265,'00_SKU_Master'!$B$2:$B$379,'00_SKU_Master'!$C$2:$C$379)</f>
        <v>#N/A</v>
      </c>
      <c r="B265" s="181" t="e">
        <f>_xlfn.XLOOKUP(X265,tblSKU[SKU],tblSKU[Product_Group])</f>
        <v>#N/A</v>
      </c>
      <c r="C265" s="181" t="e">
        <f>_xlfn.XLOOKUP(X265,tblSKU[SKU],tblSKU[Tray_Type])</f>
        <v>#N/A</v>
      </c>
      <c r="D265" s="182">
        <f>_xlfn.IFNA(_xlfn.XLOOKUP(X265,'00_SKU_Master'!$B$2:$B$379,'00_SKU_Master'!$F$2:$F$379,0)*Y265,"")</f>
        <v>0</v>
      </c>
      <c r="E265" s="182">
        <f>_xlfn.IFNA(_xlfn.XLOOKUP(X265,'00_SKU_Master'!$B$2:$B$379,'00_SKU_Master'!$F$2:$F$379,0)*Z265,"")</f>
        <v>0</v>
      </c>
      <c r="F265" s="182">
        <f>_xlfn.IFNA(_xlfn.XLOOKUP(X265,'00_SKU_Master'!$B$2:$B$379,'00_SKU_Master'!$F$2:$F$379,0)*AA265,"")</f>
        <v>0</v>
      </c>
      <c r="G265" s="182">
        <f>_xlfn.IFNA(_xlfn.XLOOKUP(X265,'00_SKU_Master'!$B$2:$B$379,'00_SKU_Master'!$F$2:$F$379,0)*AB265,"")</f>
        <v>0</v>
      </c>
      <c r="H265" s="182">
        <f>_xlfn.IFNA(_xlfn.XLOOKUP(X265,'00_SKU_Master'!$B$2:$B$379,'00_SKU_Master'!$F$2:$F$379,0)*AC265,"")</f>
        <v>0</v>
      </c>
      <c r="I265" s="182">
        <f>_xlfn.IFNA(_xlfn.XLOOKUP(X265,'00_SKU_Master'!$B$2:$B$379,'00_SKU_Master'!$F$2:$F$379,0)*AD265,"")</f>
        <v>0</v>
      </c>
      <c r="J265" s="182">
        <f>_xlfn.IFNA(_xlfn.XLOOKUP(X265,'00_SKU_Master'!$B$2:$B$379,'00_SKU_Master'!$F$2:$F$379,0)*AE265,"")</f>
        <v>0</v>
      </c>
      <c r="K265" s="183">
        <f t="shared" si="20"/>
        <v>0</v>
      </c>
      <c r="L265" s="184" t="e">
        <f>_xlfn.XLOOKUP(X265,'00_SKU_Master'!$B$2:$B$379,'00_SKU_Master'!$K$2:$K$379)</f>
        <v>#N/A</v>
      </c>
      <c r="M265" s="185">
        <f t="shared" si="21"/>
        <v>0</v>
      </c>
      <c r="N265" s="186" t="str">
        <f>IFERROR(D265/_xlfn.XLOOKUP($M265,'00_SKU_Master'!$B$2:$B$379,'00_SKU_Master'!$M$2:$M$379,0),"0")</f>
        <v>0</v>
      </c>
      <c r="O265" s="186" t="str">
        <f>IFERROR(E265/_xlfn.XLOOKUP($M265,'00_SKU_Master'!$B$2:$B$379,'00_SKU_Master'!$M$2:$M$379,0),"0")</f>
        <v>0</v>
      </c>
      <c r="P265" s="186" t="str">
        <f>IFERROR(F265/_xlfn.XLOOKUP($M265,'00_SKU_Master'!$B$2:$B$379,'00_SKU_Master'!$M$2:$M$379,0),"0")</f>
        <v>0</v>
      </c>
      <c r="Q265" s="186" t="str">
        <f>IFERROR(G265/_xlfn.XLOOKUP($M265,'00_SKU_Master'!$B$2:$B$379,'00_SKU_Master'!$M$2:$M$379,0),"0")</f>
        <v>0</v>
      </c>
      <c r="R265" s="186" t="str">
        <f>IFERROR(H265/_xlfn.XLOOKUP($M265,'00_SKU_Master'!$B$2:$B$379,'00_SKU_Master'!$M$2:$M$379,0),"0")</f>
        <v>0</v>
      </c>
      <c r="S265" s="186" t="str">
        <f>IFERROR(I265/_xlfn.XLOOKUP($M265,'00_SKU_Master'!$B$2:$B$379,'00_SKU_Master'!$M$2:$M$379,0),"0")</f>
        <v>0</v>
      </c>
      <c r="T265" s="186" t="str">
        <f>IFERROR(J265/_xlfn.XLOOKUP($M265,'00_SKU_Master'!$B$2:$B$379,'00_SKU_Master'!$M$2:$M$379,0),"0")</f>
        <v>0</v>
      </c>
      <c r="U265" s="186">
        <f t="shared" si="22"/>
        <v>0</v>
      </c>
      <c r="V265" s="186" t="e">
        <f>_xlfn.XLOOKUP(M265,'00_SKU_Master'!$B$2:$B$379,'00_SKU_Master'!$D$2:$D$379)</f>
        <v>#N/A</v>
      </c>
      <c r="W265" s="1"/>
      <c r="X265" s="185">
        <f>'05_Daily_Orders'!C266</f>
        <v>0</v>
      </c>
      <c r="Y265" s="291"/>
      <c r="Z265" s="291"/>
      <c r="AA265" s="291"/>
      <c r="AB265" s="291"/>
      <c r="AC265" s="291"/>
      <c r="AD265" s="291"/>
      <c r="AE265" s="291"/>
      <c r="AF265" s="7">
        <f t="shared" si="23"/>
        <v>0</v>
      </c>
      <c r="AQ265" s="32"/>
      <c r="AR265" s="32"/>
    </row>
    <row r="266" spans="1:45" x14ac:dyDescent="0.35">
      <c r="A266" s="181" t="e">
        <f>_xlfn.XLOOKUP(X266,'00_SKU_Master'!$B$2:$B$379,'00_SKU_Master'!$C$2:$C$379)</f>
        <v>#N/A</v>
      </c>
      <c r="B266" s="181" t="e">
        <f>_xlfn.XLOOKUP(X266,tblSKU[SKU],tblSKU[Product_Group])</f>
        <v>#N/A</v>
      </c>
      <c r="C266" s="181" t="e">
        <f>_xlfn.XLOOKUP(X266,tblSKU[SKU],tblSKU[Tray_Type])</f>
        <v>#N/A</v>
      </c>
      <c r="D266" s="182">
        <f>_xlfn.IFNA(_xlfn.XLOOKUP(X266,'00_SKU_Master'!$B$2:$B$379,'00_SKU_Master'!$F$2:$F$379,0)*Y266,"")</f>
        <v>0</v>
      </c>
      <c r="E266" s="182">
        <f>_xlfn.IFNA(_xlfn.XLOOKUP(X266,'00_SKU_Master'!$B$2:$B$379,'00_SKU_Master'!$F$2:$F$379,0)*Z266,"")</f>
        <v>0</v>
      </c>
      <c r="F266" s="182">
        <f>_xlfn.IFNA(_xlfn.XLOOKUP(X266,'00_SKU_Master'!$B$2:$B$379,'00_SKU_Master'!$F$2:$F$379,0)*AA266,"")</f>
        <v>0</v>
      </c>
      <c r="G266" s="182">
        <f>_xlfn.IFNA(_xlfn.XLOOKUP(X266,'00_SKU_Master'!$B$2:$B$379,'00_SKU_Master'!$F$2:$F$379,0)*AB266,"")</f>
        <v>0</v>
      </c>
      <c r="H266" s="182">
        <f>_xlfn.IFNA(_xlfn.XLOOKUP(X266,'00_SKU_Master'!$B$2:$B$379,'00_SKU_Master'!$F$2:$F$379,0)*AC266,"")</f>
        <v>0</v>
      </c>
      <c r="I266" s="182">
        <f>_xlfn.IFNA(_xlfn.XLOOKUP(X266,'00_SKU_Master'!$B$2:$B$379,'00_SKU_Master'!$F$2:$F$379,0)*AD266,"")</f>
        <v>0</v>
      </c>
      <c r="J266" s="182">
        <f>_xlfn.IFNA(_xlfn.XLOOKUP(X266,'00_SKU_Master'!$B$2:$B$379,'00_SKU_Master'!$F$2:$F$379,0)*AE266,"")</f>
        <v>0</v>
      </c>
      <c r="K266" s="183">
        <f t="shared" si="20"/>
        <v>0</v>
      </c>
      <c r="L266" s="184" t="e">
        <f>_xlfn.XLOOKUP(X266,'00_SKU_Master'!$B$2:$B$379,'00_SKU_Master'!$K$2:$K$379)</f>
        <v>#N/A</v>
      </c>
      <c r="M266" s="185">
        <f t="shared" si="21"/>
        <v>0</v>
      </c>
      <c r="N266" s="186" t="str">
        <f>IFERROR(D266/_xlfn.XLOOKUP($M266,'00_SKU_Master'!$B$2:$B$379,'00_SKU_Master'!$M$2:$M$379,0),"0")</f>
        <v>0</v>
      </c>
      <c r="O266" s="186" t="str">
        <f>IFERROR(E266/_xlfn.XLOOKUP($M266,'00_SKU_Master'!$B$2:$B$379,'00_SKU_Master'!$M$2:$M$379,0),"0")</f>
        <v>0</v>
      </c>
      <c r="P266" s="186" t="str">
        <f>IFERROR(F266/_xlfn.XLOOKUP($M266,'00_SKU_Master'!$B$2:$B$379,'00_SKU_Master'!$M$2:$M$379,0),"0")</f>
        <v>0</v>
      </c>
      <c r="Q266" s="186" t="str">
        <f>IFERROR(G266/_xlfn.XLOOKUP($M266,'00_SKU_Master'!$B$2:$B$379,'00_SKU_Master'!$M$2:$M$379,0),"0")</f>
        <v>0</v>
      </c>
      <c r="R266" s="186" t="str">
        <f>IFERROR(H266/_xlfn.XLOOKUP($M266,'00_SKU_Master'!$B$2:$B$379,'00_SKU_Master'!$M$2:$M$379,0),"0")</f>
        <v>0</v>
      </c>
      <c r="S266" s="186" t="str">
        <f>IFERROR(I266/_xlfn.XLOOKUP($M266,'00_SKU_Master'!$B$2:$B$379,'00_SKU_Master'!$M$2:$M$379,0),"0")</f>
        <v>0</v>
      </c>
      <c r="T266" s="186" t="str">
        <f>IFERROR(J266/_xlfn.XLOOKUP($M266,'00_SKU_Master'!$B$2:$B$379,'00_SKU_Master'!$M$2:$M$379,0),"0")</f>
        <v>0</v>
      </c>
      <c r="U266" s="186">
        <f t="shared" si="22"/>
        <v>0</v>
      </c>
      <c r="V266" s="186" t="e">
        <f>_xlfn.XLOOKUP(M266,'00_SKU_Master'!$B$2:$B$379,'00_SKU_Master'!$D$2:$D$379)</f>
        <v>#N/A</v>
      </c>
      <c r="W266" s="1"/>
      <c r="X266" s="185">
        <f>'05_Daily_Orders'!C267</f>
        <v>0</v>
      </c>
      <c r="Y266" s="291"/>
      <c r="Z266" s="291"/>
      <c r="AA266" s="291"/>
      <c r="AB266" s="291"/>
      <c r="AC266" s="291"/>
      <c r="AD266" s="291"/>
      <c r="AE266" s="291"/>
      <c r="AF266" s="7">
        <f t="shared" si="23"/>
        <v>0</v>
      </c>
      <c r="AQ266" s="32"/>
      <c r="AR266" s="32"/>
    </row>
    <row r="267" spans="1:45" x14ac:dyDescent="0.35">
      <c r="A267" s="181" t="e">
        <f>_xlfn.XLOOKUP(X267,'00_SKU_Master'!$B$2:$B$379,'00_SKU_Master'!$C$2:$C$379)</f>
        <v>#N/A</v>
      </c>
      <c r="B267" s="181" t="e">
        <f>_xlfn.XLOOKUP(X267,tblSKU[SKU],tblSKU[Product_Group])</f>
        <v>#N/A</v>
      </c>
      <c r="C267" s="181" t="e">
        <f>_xlfn.XLOOKUP(X267,tblSKU[SKU],tblSKU[Tray_Type])</f>
        <v>#N/A</v>
      </c>
      <c r="D267" s="182">
        <f>_xlfn.IFNA(_xlfn.XLOOKUP(X267,'00_SKU_Master'!$B$2:$B$379,'00_SKU_Master'!$F$2:$F$379,0)*Y267,"")</f>
        <v>0</v>
      </c>
      <c r="E267" s="182">
        <f>_xlfn.IFNA(_xlfn.XLOOKUP(X267,'00_SKU_Master'!$B$2:$B$379,'00_SKU_Master'!$F$2:$F$379,0)*Z267,"")</f>
        <v>0</v>
      </c>
      <c r="F267" s="182">
        <f>_xlfn.IFNA(_xlfn.XLOOKUP(X267,'00_SKU_Master'!$B$2:$B$379,'00_SKU_Master'!$F$2:$F$379,0)*AA267,"")</f>
        <v>0</v>
      </c>
      <c r="G267" s="182">
        <f>_xlfn.IFNA(_xlfn.XLOOKUP(X267,'00_SKU_Master'!$B$2:$B$379,'00_SKU_Master'!$F$2:$F$379,0)*AB267,"")</f>
        <v>0</v>
      </c>
      <c r="H267" s="182">
        <f>_xlfn.IFNA(_xlfn.XLOOKUP(X267,'00_SKU_Master'!$B$2:$B$379,'00_SKU_Master'!$F$2:$F$379,0)*AC267,"")</f>
        <v>0</v>
      </c>
      <c r="I267" s="182">
        <f>_xlfn.IFNA(_xlfn.XLOOKUP(X267,'00_SKU_Master'!$B$2:$B$379,'00_SKU_Master'!$F$2:$F$379,0)*AD267,"")</f>
        <v>0</v>
      </c>
      <c r="J267" s="182">
        <f>_xlfn.IFNA(_xlfn.XLOOKUP(X267,'00_SKU_Master'!$B$2:$B$379,'00_SKU_Master'!$F$2:$F$379,0)*AE267,"")</f>
        <v>0</v>
      </c>
      <c r="K267" s="183">
        <f t="shared" si="20"/>
        <v>0</v>
      </c>
      <c r="L267" s="184" t="e">
        <f>_xlfn.XLOOKUP(X267,'00_SKU_Master'!$B$2:$B$379,'00_SKU_Master'!$K$2:$K$379)</f>
        <v>#N/A</v>
      </c>
      <c r="M267" s="185">
        <f t="shared" si="21"/>
        <v>0</v>
      </c>
      <c r="N267" s="186" t="str">
        <f>IFERROR(D267/_xlfn.XLOOKUP($M267,'00_SKU_Master'!$B$2:$B$379,'00_SKU_Master'!$M$2:$M$379,0),"0")</f>
        <v>0</v>
      </c>
      <c r="O267" s="186" t="str">
        <f>IFERROR(E267/_xlfn.XLOOKUP($M267,'00_SKU_Master'!$B$2:$B$379,'00_SKU_Master'!$M$2:$M$379,0),"0")</f>
        <v>0</v>
      </c>
      <c r="P267" s="186" t="str">
        <f>IFERROR(F267/_xlfn.XLOOKUP($M267,'00_SKU_Master'!$B$2:$B$379,'00_SKU_Master'!$M$2:$M$379,0),"0")</f>
        <v>0</v>
      </c>
      <c r="Q267" s="186" t="str">
        <f>IFERROR(G267/_xlfn.XLOOKUP($M267,'00_SKU_Master'!$B$2:$B$379,'00_SKU_Master'!$M$2:$M$379,0),"0")</f>
        <v>0</v>
      </c>
      <c r="R267" s="186" t="str">
        <f>IFERROR(H267/_xlfn.XLOOKUP($M267,'00_SKU_Master'!$B$2:$B$379,'00_SKU_Master'!$M$2:$M$379,0),"0")</f>
        <v>0</v>
      </c>
      <c r="S267" s="186" t="str">
        <f>IFERROR(I267/_xlfn.XLOOKUP($M267,'00_SKU_Master'!$B$2:$B$379,'00_SKU_Master'!$M$2:$M$379,0),"0")</f>
        <v>0</v>
      </c>
      <c r="T267" s="186" t="str">
        <f>IFERROR(J267/_xlfn.XLOOKUP($M267,'00_SKU_Master'!$B$2:$B$379,'00_SKU_Master'!$M$2:$M$379,0),"0")</f>
        <v>0</v>
      </c>
      <c r="U267" s="186">
        <f t="shared" si="22"/>
        <v>0</v>
      </c>
      <c r="V267" s="186" t="e">
        <f>_xlfn.XLOOKUP(M267,'00_SKU_Master'!$B$2:$B$379,'00_SKU_Master'!$D$2:$D$379)</f>
        <v>#N/A</v>
      </c>
      <c r="W267" s="1"/>
      <c r="X267" s="185">
        <f>'05_Daily_Orders'!C268</f>
        <v>0</v>
      </c>
      <c r="Y267" s="291"/>
      <c r="Z267" s="291"/>
      <c r="AA267" s="291"/>
      <c r="AB267" s="291"/>
      <c r="AC267" s="291"/>
      <c r="AD267" s="291"/>
      <c r="AE267" s="291"/>
      <c r="AF267" s="7">
        <f t="shared" si="23"/>
        <v>0</v>
      </c>
      <c r="AQ267" s="32"/>
      <c r="AR267" s="32"/>
    </row>
    <row r="268" spans="1:45" x14ac:dyDescent="0.35">
      <c r="A268" s="181" t="e">
        <f>_xlfn.XLOOKUP(X268,'00_SKU_Master'!$B$2:$B$379,'00_SKU_Master'!$C$2:$C$379)</f>
        <v>#N/A</v>
      </c>
      <c r="B268" s="181" t="e">
        <f>_xlfn.XLOOKUP(X268,tblSKU[SKU],tblSKU[Product_Group])</f>
        <v>#N/A</v>
      </c>
      <c r="C268" s="181" t="e">
        <f>_xlfn.XLOOKUP(X268,tblSKU[SKU],tblSKU[Tray_Type])</f>
        <v>#N/A</v>
      </c>
      <c r="D268" s="182">
        <f>_xlfn.IFNA(_xlfn.XLOOKUP(X268,'00_SKU_Master'!$B$2:$B$379,'00_SKU_Master'!$F$2:$F$379,0)*Y268,"")</f>
        <v>0</v>
      </c>
      <c r="E268" s="182">
        <f>_xlfn.IFNA(_xlfn.XLOOKUP(X268,'00_SKU_Master'!$B$2:$B$379,'00_SKU_Master'!$F$2:$F$379,0)*Z268,"")</f>
        <v>0</v>
      </c>
      <c r="F268" s="182">
        <f>_xlfn.IFNA(_xlfn.XLOOKUP(X268,'00_SKU_Master'!$B$2:$B$379,'00_SKU_Master'!$F$2:$F$379,0)*AA268,"")</f>
        <v>0</v>
      </c>
      <c r="G268" s="182">
        <f>_xlfn.IFNA(_xlfn.XLOOKUP(X268,'00_SKU_Master'!$B$2:$B$379,'00_SKU_Master'!$F$2:$F$379,0)*AB268,"")</f>
        <v>0</v>
      </c>
      <c r="H268" s="182">
        <f>_xlfn.IFNA(_xlfn.XLOOKUP(X268,'00_SKU_Master'!$B$2:$B$379,'00_SKU_Master'!$F$2:$F$379,0)*AC268,"")</f>
        <v>0</v>
      </c>
      <c r="I268" s="182">
        <f>_xlfn.IFNA(_xlfn.XLOOKUP(X268,'00_SKU_Master'!$B$2:$B$379,'00_SKU_Master'!$F$2:$F$379,0)*AD268,"")</f>
        <v>0</v>
      </c>
      <c r="J268" s="182">
        <f>_xlfn.IFNA(_xlfn.XLOOKUP(X268,'00_SKU_Master'!$B$2:$B$379,'00_SKU_Master'!$F$2:$F$379,0)*AE268,"")</f>
        <v>0</v>
      </c>
      <c r="K268" s="183">
        <f t="shared" si="20"/>
        <v>0</v>
      </c>
      <c r="L268" s="184" t="e">
        <f>_xlfn.XLOOKUP(X268,'00_SKU_Master'!$B$2:$B$379,'00_SKU_Master'!$K$2:$K$379)</f>
        <v>#N/A</v>
      </c>
      <c r="M268" s="185">
        <f t="shared" si="21"/>
        <v>0</v>
      </c>
      <c r="N268" s="186" t="str">
        <f>IFERROR(D268/_xlfn.XLOOKUP($M268,'00_SKU_Master'!$B$2:$B$379,'00_SKU_Master'!$M$2:$M$379,0),"0")</f>
        <v>0</v>
      </c>
      <c r="O268" s="186" t="str">
        <f>IFERROR(E268/_xlfn.XLOOKUP($M268,'00_SKU_Master'!$B$2:$B$379,'00_SKU_Master'!$M$2:$M$379,0),"0")</f>
        <v>0</v>
      </c>
      <c r="P268" s="186" t="str">
        <f>IFERROR(F268/_xlfn.XLOOKUP($M268,'00_SKU_Master'!$B$2:$B$379,'00_SKU_Master'!$M$2:$M$379,0),"0")</f>
        <v>0</v>
      </c>
      <c r="Q268" s="186" t="str">
        <f>IFERROR(G268/_xlfn.XLOOKUP($M268,'00_SKU_Master'!$B$2:$B$379,'00_SKU_Master'!$M$2:$M$379,0),"0")</f>
        <v>0</v>
      </c>
      <c r="R268" s="186" t="str">
        <f>IFERROR(H268/_xlfn.XLOOKUP($M268,'00_SKU_Master'!$B$2:$B$379,'00_SKU_Master'!$M$2:$M$379,0),"0")</f>
        <v>0</v>
      </c>
      <c r="S268" s="186" t="str">
        <f>IFERROR(I268/_xlfn.XLOOKUP($M268,'00_SKU_Master'!$B$2:$B$379,'00_SKU_Master'!$M$2:$M$379,0),"0")</f>
        <v>0</v>
      </c>
      <c r="T268" s="186" t="str">
        <f>IFERROR(J268/_xlfn.XLOOKUP($M268,'00_SKU_Master'!$B$2:$B$379,'00_SKU_Master'!$M$2:$M$379,0),"0")</f>
        <v>0</v>
      </c>
      <c r="U268" s="186">
        <f t="shared" si="22"/>
        <v>0</v>
      </c>
      <c r="V268" s="186" t="e">
        <f>_xlfn.XLOOKUP(M268,'00_SKU_Master'!$B$2:$B$379,'00_SKU_Master'!$D$2:$D$379)</f>
        <v>#N/A</v>
      </c>
      <c r="W268" s="1"/>
      <c r="X268" s="185">
        <f>'05_Daily_Orders'!C269</f>
        <v>0</v>
      </c>
      <c r="Y268" s="291"/>
      <c r="Z268" s="291"/>
      <c r="AA268" s="291"/>
      <c r="AB268" s="291"/>
      <c r="AC268" s="291"/>
      <c r="AD268" s="291"/>
      <c r="AE268" s="291"/>
      <c r="AF268" s="7">
        <f t="shared" si="23"/>
        <v>0</v>
      </c>
      <c r="AQ268" s="32"/>
      <c r="AR268" s="32"/>
    </row>
    <row r="269" spans="1:45" x14ac:dyDescent="0.35">
      <c r="A269" s="181" t="e">
        <f>_xlfn.XLOOKUP(X269,'00_SKU_Master'!$B$2:$B$379,'00_SKU_Master'!$C$2:$C$379)</f>
        <v>#N/A</v>
      </c>
      <c r="B269" s="181" t="e">
        <f>_xlfn.XLOOKUP(X269,tblSKU[SKU],tblSKU[Product_Group])</f>
        <v>#N/A</v>
      </c>
      <c r="C269" s="181" t="e">
        <f>_xlfn.XLOOKUP(X269,tblSKU[SKU],tblSKU[Tray_Type])</f>
        <v>#N/A</v>
      </c>
      <c r="D269" s="182">
        <f>_xlfn.IFNA(_xlfn.XLOOKUP(X269,'00_SKU_Master'!$B$2:$B$379,'00_SKU_Master'!$F$2:$F$379,0)*Y269,"")</f>
        <v>0</v>
      </c>
      <c r="E269" s="182">
        <f>_xlfn.IFNA(_xlfn.XLOOKUP(X269,'00_SKU_Master'!$B$2:$B$379,'00_SKU_Master'!$F$2:$F$379,0)*Z269,"")</f>
        <v>0</v>
      </c>
      <c r="F269" s="182">
        <f>_xlfn.IFNA(_xlfn.XLOOKUP(X269,'00_SKU_Master'!$B$2:$B$379,'00_SKU_Master'!$F$2:$F$379,0)*AA269,"")</f>
        <v>0</v>
      </c>
      <c r="G269" s="182">
        <f>_xlfn.IFNA(_xlfn.XLOOKUP(X269,'00_SKU_Master'!$B$2:$B$379,'00_SKU_Master'!$F$2:$F$379,0)*AB269,"")</f>
        <v>0</v>
      </c>
      <c r="H269" s="182">
        <f>_xlfn.IFNA(_xlfn.XLOOKUP(X269,'00_SKU_Master'!$B$2:$B$379,'00_SKU_Master'!$F$2:$F$379,0)*AC269,"")</f>
        <v>0</v>
      </c>
      <c r="I269" s="182">
        <f>_xlfn.IFNA(_xlfn.XLOOKUP(X269,'00_SKU_Master'!$B$2:$B$379,'00_SKU_Master'!$F$2:$F$379,0)*AD269,"")</f>
        <v>0</v>
      </c>
      <c r="J269" s="182">
        <f>_xlfn.IFNA(_xlfn.XLOOKUP(X269,'00_SKU_Master'!$B$2:$B$379,'00_SKU_Master'!$F$2:$F$379,0)*AE269,"")</f>
        <v>0</v>
      </c>
      <c r="K269" s="183">
        <f t="shared" si="20"/>
        <v>0</v>
      </c>
      <c r="L269" s="184" t="e">
        <f>_xlfn.XLOOKUP(X269,'00_SKU_Master'!$B$2:$B$379,'00_SKU_Master'!$K$2:$K$379)</f>
        <v>#N/A</v>
      </c>
      <c r="M269" s="185">
        <f t="shared" si="21"/>
        <v>0</v>
      </c>
      <c r="N269" s="186" t="str">
        <f>IFERROR(D269/_xlfn.XLOOKUP($M269,'00_SKU_Master'!$B$2:$B$379,'00_SKU_Master'!$M$2:$M$379,0),"0")</f>
        <v>0</v>
      </c>
      <c r="O269" s="186" t="str">
        <f>IFERROR(E269/_xlfn.XLOOKUP($M269,'00_SKU_Master'!$B$2:$B$379,'00_SKU_Master'!$M$2:$M$379,0),"0")</f>
        <v>0</v>
      </c>
      <c r="P269" s="186" t="str">
        <f>IFERROR(F269/_xlfn.XLOOKUP($M269,'00_SKU_Master'!$B$2:$B$379,'00_SKU_Master'!$M$2:$M$379,0),"0")</f>
        <v>0</v>
      </c>
      <c r="Q269" s="186" t="str">
        <f>IFERROR(G269/_xlfn.XLOOKUP($M269,'00_SKU_Master'!$B$2:$B$379,'00_SKU_Master'!$M$2:$M$379,0),"0")</f>
        <v>0</v>
      </c>
      <c r="R269" s="186" t="str">
        <f>IFERROR(H269/_xlfn.XLOOKUP($M269,'00_SKU_Master'!$B$2:$B$379,'00_SKU_Master'!$M$2:$M$379,0),"0")</f>
        <v>0</v>
      </c>
      <c r="S269" s="186" t="str">
        <f>IFERROR(I269/_xlfn.XLOOKUP($M269,'00_SKU_Master'!$B$2:$B$379,'00_SKU_Master'!$M$2:$M$379,0),"0")</f>
        <v>0</v>
      </c>
      <c r="T269" s="186" t="str">
        <f>IFERROR(J269/_xlfn.XLOOKUP($M269,'00_SKU_Master'!$B$2:$B$379,'00_SKU_Master'!$M$2:$M$379,0),"0")</f>
        <v>0</v>
      </c>
      <c r="U269" s="186">
        <f t="shared" si="22"/>
        <v>0</v>
      </c>
      <c r="V269" s="186" t="e">
        <f>_xlfn.XLOOKUP(M269,'00_SKU_Master'!$B$2:$B$379,'00_SKU_Master'!$D$2:$D$379)</f>
        <v>#N/A</v>
      </c>
      <c r="W269" s="1"/>
      <c r="X269" s="185">
        <f>'05_Daily_Orders'!C270</f>
        <v>0</v>
      </c>
      <c r="Y269" s="291"/>
      <c r="Z269" s="291"/>
      <c r="AA269" s="291"/>
      <c r="AB269" s="291"/>
      <c r="AC269" s="291"/>
      <c r="AD269" s="291"/>
      <c r="AE269" s="291"/>
      <c r="AF269" s="7">
        <f t="shared" si="23"/>
        <v>0</v>
      </c>
      <c r="AQ269" s="32"/>
      <c r="AR269" s="32"/>
    </row>
    <row r="270" spans="1:45" x14ac:dyDescent="0.35">
      <c r="A270" s="181" t="e">
        <f>_xlfn.XLOOKUP(X270,'00_SKU_Master'!$B$2:$B$379,'00_SKU_Master'!$C$2:$C$379)</f>
        <v>#N/A</v>
      </c>
      <c r="B270" s="181" t="e">
        <f>_xlfn.XLOOKUP(X270,tblSKU[SKU],tblSKU[Product_Group])</f>
        <v>#N/A</v>
      </c>
      <c r="C270" s="181" t="e">
        <f>_xlfn.XLOOKUP(X270,tblSKU[SKU],tblSKU[Tray_Type])</f>
        <v>#N/A</v>
      </c>
      <c r="D270" s="182">
        <f>_xlfn.IFNA(_xlfn.XLOOKUP(X270,'00_SKU_Master'!$B$2:$B$379,'00_SKU_Master'!$F$2:$F$379,0)*Y270,"")</f>
        <v>0</v>
      </c>
      <c r="E270" s="182">
        <f>_xlfn.IFNA(_xlfn.XLOOKUP(X270,'00_SKU_Master'!$B$2:$B$379,'00_SKU_Master'!$F$2:$F$379,0)*Z270,"")</f>
        <v>0</v>
      </c>
      <c r="F270" s="182">
        <f>_xlfn.IFNA(_xlfn.XLOOKUP(X270,'00_SKU_Master'!$B$2:$B$379,'00_SKU_Master'!$F$2:$F$379,0)*AA270,"")</f>
        <v>0</v>
      </c>
      <c r="G270" s="182">
        <f>_xlfn.IFNA(_xlfn.XLOOKUP(X270,'00_SKU_Master'!$B$2:$B$379,'00_SKU_Master'!$F$2:$F$379,0)*AB270,"")</f>
        <v>0</v>
      </c>
      <c r="H270" s="182">
        <f>_xlfn.IFNA(_xlfn.XLOOKUP(X270,'00_SKU_Master'!$B$2:$B$379,'00_SKU_Master'!$F$2:$F$379,0)*AC270,"")</f>
        <v>0</v>
      </c>
      <c r="I270" s="182">
        <f>_xlfn.IFNA(_xlfn.XLOOKUP(X270,'00_SKU_Master'!$B$2:$B$379,'00_SKU_Master'!$F$2:$F$379,0)*AD270,"")</f>
        <v>0</v>
      </c>
      <c r="J270" s="182">
        <f>_xlfn.IFNA(_xlfn.XLOOKUP(X270,'00_SKU_Master'!$B$2:$B$379,'00_SKU_Master'!$F$2:$F$379,0)*AE270,"")</f>
        <v>0</v>
      </c>
      <c r="K270" s="183">
        <f t="shared" si="20"/>
        <v>0</v>
      </c>
      <c r="L270" s="184" t="e">
        <f>_xlfn.XLOOKUP(X270,'00_SKU_Master'!$B$2:$B$379,'00_SKU_Master'!$K$2:$K$379)</f>
        <v>#N/A</v>
      </c>
      <c r="M270" s="185">
        <f t="shared" si="21"/>
        <v>0</v>
      </c>
      <c r="N270" s="186" t="str">
        <f>IFERROR(D270/_xlfn.XLOOKUP($M270,'00_SKU_Master'!$B$2:$B$379,'00_SKU_Master'!$M$2:$M$379,0),"0")</f>
        <v>0</v>
      </c>
      <c r="O270" s="186" t="str">
        <f>IFERROR(E270/_xlfn.XLOOKUP($M270,'00_SKU_Master'!$B$2:$B$379,'00_SKU_Master'!$M$2:$M$379,0),"0")</f>
        <v>0</v>
      </c>
      <c r="P270" s="186" t="str">
        <f>IFERROR(F270/_xlfn.XLOOKUP($M270,'00_SKU_Master'!$B$2:$B$379,'00_SKU_Master'!$M$2:$M$379,0),"0")</f>
        <v>0</v>
      </c>
      <c r="Q270" s="186" t="str">
        <f>IFERROR(G270/_xlfn.XLOOKUP($M270,'00_SKU_Master'!$B$2:$B$379,'00_SKU_Master'!$M$2:$M$379,0),"0")</f>
        <v>0</v>
      </c>
      <c r="R270" s="186" t="str">
        <f>IFERROR(H270/_xlfn.XLOOKUP($M270,'00_SKU_Master'!$B$2:$B$379,'00_SKU_Master'!$M$2:$M$379,0),"0")</f>
        <v>0</v>
      </c>
      <c r="S270" s="186" t="str">
        <f>IFERROR(I270/_xlfn.XLOOKUP($M270,'00_SKU_Master'!$B$2:$B$379,'00_SKU_Master'!$M$2:$M$379,0),"0")</f>
        <v>0</v>
      </c>
      <c r="T270" s="186" t="str">
        <f>IFERROR(J270/_xlfn.XLOOKUP($M270,'00_SKU_Master'!$B$2:$B$379,'00_SKU_Master'!$M$2:$M$379,0),"0")</f>
        <v>0</v>
      </c>
      <c r="U270" s="186">
        <f t="shared" si="22"/>
        <v>0</v>
      </c>
      <c r="V270" s="186" t="e">
        <f>_xlfn.XLOOKUP(M270,'00_SKU_Master'!$B$2:$B$379,'00_SKU_Master'!$D$2:$D$379)</f>
        <v>#N/A</v>
      </c>
      <c r="W270" s="1"/>
      <c r="X270" s="185">
        <f>'05_Daily_Orders'!C271</f>
        <v>0</v>
      </c>
      <c r="Y270" s="291"/>
      <c r="Z270" s="291"/>
      <c r="AA270" s="291"/>
      <c r="AB270" s="291"/>
      <c r="AC270" s="291"/>
      <c r="AD270" s="291"/>
      <c r="AE270" s="291"/>
      <c r="AF270" s="7">
        <f t="shared" si="23"/>
        <v>0</v>
      </c>
      <c r="AQ270" s="32"/>
      <c r="AR270" s="32"/>
    </row>
    <row r="271" spans="1:45" x14ac:dyDescent="0.35">
      <c r="A271" s="181" t="e">
        <f>_xlfn.XLOOKUP(X271,'00_SKU_Master'!$B$2:$B$379,'00_SKU_Master'!$C$2:$C$379)</f>
        <v>#N/A</v>
      </c>
      <c r="B271" s="181" t="e">
        <f>_xlfn.XLOOKUP(X271,tblSKU[SKU],tblSKU[Product_Group])</f>
        <v>#N/A</v>
      </c>
      <c r="C271" s="181" t="e">
        <f>_xlfn.XLOOKUP(X271,tblSKU[SKU],tblSKU[Tray_Type])</f>
        <v>#N/A</v>
      </c>
      <c r="D271" s="182">
        <f>_xlfn.IFNA(_xlfn.XLOOKUP(X271,'00_SKU_Master'!$B$2:$B$379,'00_SKU_Master'!$F$2:$F$379,0)*Y271,"")</f>
        <v>0</v>
      </c>
      <c r="E271" s="182">
        <f>_xlfn.IFNA(_xlfn.XLOOKUP(X271,'00_SKU_Master'!$B$2:$B$379,'00_SKU_Master'!$F$2:$F$379,0)*Z271,"")</f>
        <v>0</v>
      </c>
      <c r="F271" s="182">
        <f>_xlfn.IFNA(_xlfn.XLOOKUP(X271,'00_SKU_Master'!$B$2:$B$379,'00_SKU_Master'!$F$2:$F$379,0)*AA271,"")</f>
        <v>0</v>
      </c>
      <c r="G271" s="182">
        <f>_xlfn.IFNA(_xlfn.XLOOKUP(X271,'00_SKU_Master'!$B$2:$B$379,'00_SKU_Master'!$F$2:$F$379,0)*AB271,"")</f>
        <v>0</v>
      </c>
      <c r="H271" s="182">
        <f>_xlfn.IFNA(_xlfn.XLOOKUP(X271,'00_SKU_Master'!$B$2:$B$379,'00_SKU_Master'!$F$2:$F$379,0)*AC271,"")</f>
        <v>0</v>
      </c>
      <c r="I271" s="182">
        <f>_xlfn.IFNA(_xlfn.XLOOKUP(X271,'00_SKU_Master'!$B$2:$B$379,'00_SKU_Master'!$F$2:$F$379,0)*AD271,"")</f>
        <v>0</v>
      </c>
      <c r="J271" s="182">
        <f>_xlfn.IFNA(_xlfn.XLOOKUP(X271,'00_SKU_Master'!$B$2:$B$379,'00_SKU_Master'!$F$2:$F$379,0)*AE271,"")</f>
        <v>0</v>
      </c>
      <c r="K271" s="183">
        <f t="shared" si="20"/>
        <v>0</v>
      </c>
      <c r="L271" s="184" t="e">
        <f>_xlfn.XLOOKUP(X271,'00_SKU_Master'!$B$2:$B$379,'00_SKU_Master'!$K$2:$K$379)</f>
        <v>#N/A</v>
      </c>
      <c r="M271" s="185">
        <f t="shared" si="21"/>
        <v>0</v>
      </c>
      <c r="N271" s="186" t="str">
        <f>IFERROR(D271/_xlfn.XLOOKUP($M271,'00_SKU_Master'!$B$2:$B$379,'00_SKU_Master'!$M$2:$M$379,0),"0")</f>
        <v>0</v>
      </c>
      <c r="O271" s="186" t="str">
        <f>IFERROR(E271/_xlfn.XLOOKUP($M271,'00_SKU_Master'!$B$2:$B$379,'00_SKU_Master'!$M$2:$M$379,0),"0")</f>
        <v>0</v>
      </c>
      <c r="P271" s="186" t="str">
        <f>IFERROR(F271/_xlfn.XLOOKUP($M271,'00_SKU_Master'!$B$2:$B$379,'00_SKU_Master'!$M$2:$M$379,0),"0")</f>
        <v>0</v>
      </c>
      <c r="Q271" s="186" t="str">
        <f>IFERROR(G271/_xlfn.XLOOKUP($M271,'00_SKU_Master'!$B$2:$B$379,'00_SKU_Master'!$M$2:$M$379,0),"0")</f>
        <v>0</v>
      </c>
      <c r="R271" s="186" t="str">
        <f>IFERROR(H271/_xlfn.XLOOKUP($M271,'00_SKU_Master'!$B$2:$B$379,'00_SKU_Master'!$M$2:$M$379,0),"0")</f>
        <v>0</v>
      </c>
      <c r="S271" s="186" t="str">
        <f>IFERROR(I271/_xlfn.XLOOKUP($M271,'00_SKU_Master'!$B$2:$B$379,'00_SKU_Master'!$M$2:$M$379,0),"0")</f>
        <v>0</v>
      </c>
      <c r="T271" s="186" t="str">
        <f>IFERROR(J271/_xlfn.XLOOKUP($M271,'00_SKU_Master'!$B$2:$B$379,'00_SKU_Master'!$M$2:$M$379,0),"0")</f>
        <v>0</v>
      </c>
      <c r="U271" s="186">
        <f t="shared" si="22"/>
        <v>0</v>
      </c>
      <c r="V271" s="186" t="e">
        <f>_xlfn.XLOOKUP(M271,'00_SKU_Master'!$B$2:$B$379,'00_SKU_Master'!$D$2:$D$379)</f>
        <v>#N/A</v>
      </c>
      <c r="W271" s="1"/>
      <c r="X271" s="185">
        <f>'05_Daily_Orders'!C272</f>
        <v>0</v>
      </c>
      <c r="Y271" s="291"/>
      <c r="Z271" s="291"/>
      <c r="AA271" s="291"/>
      <c r="AB271" s="291"/>
      <c r="AC271" s="291"/>
      <c r="AD271" s="291"/>
      <c r="AE271" s="291"/>
      <c r="AF271" s="7">
        <f t="shared" si="23"/>
        <v>0</v>
      </c>
      <c r="AQ271" s="32"/>
      <c r="AR271" s="32"/>
    </row>
    <row r="272" spans="1:45" x14ac:dyDescent="0.35">
      <c r="A272" s="181" t="e">
        <f>_xlfn.XLOOKUP(X272,'00_SKU_Master'!$B$2:$B$379,'00_SKU_Master'!$C$2:$C$379)</f>
        <v>#N/A</v>
      </c>
      <c r="B272" s="181" t="e">
        <f>_xlfn.XLOOKUP(X272,tblSKU[SKU],tblSKU[Product_Group])</f>
        <v>#N/A</v>
      </c>
      <c r="C272" s="181" t="e">
        <f>_xlfn.XLOOKUP(X272,tblSKU[SKU],tblSKU[Tray_Type])</f>
        <v>#N/A</v>
      </c>
      <c r="D272" s="182">
        <f>_xlfn.IFNA(_xlfn.XLOOKUP(X272,'00_SKU_Master'!$B$2:$B$379,'00_SKU_Master'!$F$2:$F$379,0)*Y272,"")</f>
        <v>0</v>
      </c>
      <c r="E272" s="182">
        <f>_xlfn.IFNA(_xlfn.XLOOKUP(X272,'00_SKU_Master'!$B$2:$B$379,'00_SKU_Master'!$F$2:$F$379,0)*Z272,"")</f>
        <v>0</v>
      </c>
      <c r="F272" s="182">
        <f>_xlfn.IFNA(_xlfn.XLOOKUP(X272,'00_SKU_Master'!$B$2:$B$379,'00_SKU_Master'!$F$2:$F$379,0)*AA272,"")</f>
        <v>0</v>
      </c>
      <c r="G272" s="182">
        <f>_xlfn.IFNA(_xlfn.XLOOKUP(X272,'00_SKU_Master'!$B$2:$B$379,'00_SKU_Master'!$F$2:$F$379,0)*AB272,"")</f>
        <v>0</v>
      </c>
      <c r="H272" s="182">
        <f>_xlfn.IFNA(_xlfn.XLOOKUP(X272,'00_SKU_Master'!$B$2:$B$379,'00_SKU_Master'!$F$2:$F$379,0)*AC272,"")</f>
        <v>0</v>
      </c>
      <c r="I272" s="182">
        <f>_xlfn.IFNA(_xlfn.XLOOKUP(X272,'00_SKU_Master'!$B$2:$B$379,'00_SKU_Master'!$F$2:$F$379,0)*AD272,"")</f>
        <v>0</v>
      </c>
      <c r="J272" s="182">
        <f>_xlfn.IFNA(_xlfn.XLOOKUP(X272,'00_SKU_Master'!$B$2:$B$379,'00_SKU_Master'!$F$2:$F$379,0)*AE272,"")</f>
        <v>0</v>
      </c>
      <c r="K272" s="183">
        <f t="shared" si="20"/>
        <v>0</v>
      </c>
      <c r="L272" s="184" t="e">
        <f>_xlfn.XLOOKUP(X272,'00_SKU_Master'!$B$2:$B$379,'00_SKU_Master'!$K$2:$K$379)</f>
        <v>#N/A</v>
      </c>
      <c r="M272" s="185">
        <f t="shared" si="21"/>
        <v>0</v>
      </c>
      <c r="N272" s="186" t="str">
        <f>IFERROR(D272/_xlfn.XLOOKUP($M272,'00_SKU_Master'!$B$2:$B$379,'00_SKU_Master'!$M$2:$M$379,0),"0")</f>
        <v>0</v>
      </c>
      <c r="O272" s="186" t="str">
        <f>IFERROR(E272/_xlfn.XLOOKUP($M272,'00_SKU_Master'!$B$2:$B$379,'00_SKU_Master'!$M$2:$M$379,0),"0")</f>
        <v>0</v>
      </c>
      <c r="P272" s="186" t="str">
        <f>IFERROR(F272/_xlfn.XLOOKUP($M272,'00_SKU_Master'!$B$2:$B$379,'00_SKU_Master'!$M$2:$M$379,0),"0")</f>
        <v>0</v>
      </c>
      <c r="Q272" s="186" t="str">
        <f>IFERROR(G272/_xlfn.XLOOKUP($M272,'00_SKU_Master'!$B$2:$B$379,'00_SKU_Master'!$M$2:$M$379,0),"0")</f>
        <v>0</v>
      </c>
      <c r="R272" s="186" t="str">
        <f>IFERROR(H272/_xlfn.XLOOKUP($M272,'00_SKU_Master'!$B$2:$B$379,'00_SKU_Master'!$M$2:$M$379,0),"0")</f>
        <v>0</v>
      </c>
      <c r="S272" s="186" t="str">
        <f>IFERROR(I272/_xlfn.XLOOKUP($M272,'00_SKU_Master'!$B$2:$B$379,'00_SKU_Master'!$M$2:$M$379,0),"0")</f>
        <v>0</v>
      </c>
      <c r="T272" s="186" t="str">
        <f>IFERROR(J272/_xlfn.XLOOKUP($M272,'00_SKU_Master'!$B$2:$B$379,'00_SKU_Master'!$M$2:$M$379,0),"0")</f>
        <v>0</v>
      </c>
      <c r="U272" s="186">
        <f t="shared" si="22"/>
        <v>0</v>
      </c>
      <c r="V272" s="186" t="e">
        <f>_xlfn.XLOOKUP(M272,'00_SKU_Master'!$B$2:$B$379,'00_SKU_Master'!$D$2:$D$379)</f>
        <v>#N/A</v>
      </c>
      <c r="W272" s="1"/>
      <c r="X272" s="185">
        <f>'05_Daily_Orders'!C273</f>
        <v>0</v>
      </c>
      <c r="Y272" s="291"/>
      <c r="Z272" s="291"/>
      <c r="AA272" s="291"/>
      <c r="AB272" s="291"/>
      <c r="AC272" s="291"/>
      <c r="AD272" s="291"/>
      <c r="AE272" s="291"/>
      <c r="AF272" s="7">
        <f t="shared" si="23"/>
        <v>0</v>
      </c>
      <c r="AQ272" s="32"/>
      <c r="AR272" s="32"/>
    </row>
  </sheetData>
  <sheetProtection sheet="1" objects="1" scenarios="1"/>
  <autoFilter ref="A1:AS272" xr:uid="{00000000-0009-0000-0000-00000E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 tint="0.499984740745262"/>
  </sheetPr>
  <dimension ref="A1:I67"/>
  <sheetViews>
    <sheetView workbookViewId="0">
      <selection activeCell="H8" sqref="H8"/>
    </sheetView>
  </sheetViews>
  <sheetFormatPr defaultColWidth="8.81640625" defaultRowHeight="14.5" x14ac:dyDescent="0.35"/>
  <cols>
    <col min="1" max="1" width="38.54296875" bestFit="1" customWidth="1"/>
    <col min="2" max="2" width="10.36328125" bestFit="1" customWidth="1"/>
    <col min="3" max="3" width="12" bestFit="1" customWidth="1"/>
    <col min="4" max="4" width="24.90625" bestFit="1" customWidth="1"/>
    <col min="5" max="5" width="10.7265625" bestFit="1" customWidth="1"/>
    <col min="6" max="6" width="11.54296875" bestFit="1" customWidth="1"/>
  </cols>
  <sheetData>
    <row r="1" spans="1:9" ht="8" customHeight="1" x14ac:dyDescent="0.35">
      <c r="A1" s="197"/>
      <c r="B1" s="196"/>
      <c r="C1" s="196"/>
      <c r="D1" s="196"/>
      <c r="E1" s="196"/>
      <c r="F1" s="196"/>
    </row>
    <row r="2" spans="1:9" x14ac:dyDescent="0.35">
      <c r="A2" s="198" t="s">
        <v>737</v>
      </c>
      <c r="B2" s="198" t="s">
        <v>598</v>
      </c>
      <c r="C2" s="198" t="s">
        <v>738</v>
      </c>
      <c r="D2" s="198" t="s">
        <v>739</v>
      </c>
      <c r="E2" s="196"/>
      <c r="F2" s="196"/>
    </row>
    <row r="3" spans="1:9" ht="15.5" customHeight="1" x14ac:dyDescent="0.35">
      <c r="A3" s="199" t="s">
        <v>740</v>
      </c>
      <c r="B3" s="212">
        <v>95</v>
      </c>
      <c r="C3" s="193" t="s">
        <v>776</v>
      </c>
      <c r="D3" s="199" t="s">
        <v>741</v>
      </c>
      <c r="E3" s="196"/>
      <c r="F3" s="196"/>
    </row>
    <row r="4" spans="1:9" x14ac:dyDescent="0.35">
      <c r="A4" s="199" t="s">
        <v>742</v>
      </c>
      <c r="B4" s="199">
        <v>2</v>
      </c>
      <c r="C4" s="199" t="s">
        <v>743</v>
      </c>
      <c r="D4" s="199" t="s">
        <v>744</v>
      </c>
      <c r="E4" s="196"/>
      <c r="F4" s="196"/>
    </row>
    <row r="5" spans="1:9" x14ac:dyDescent="0.35">
      <c r="A5" s="199" t="s">
        <v>745</v>
      </c>
      <c r="B5" s="199">
        <v>8</v>
      </c>
      <c r="C5" s="199" t="s">
        <v>746</v>
      </c>
      <c r="D5" s="199" t="s">
        <v>747</v>
      </c>
      <c r="E5" s="196"/>
      <c r="F5" s="196"/>
    </row>
    <row r="6" spans="1:9" x14ac:dyDescent="0.35">
      <c r="A6" s="199" t="s">
        <v>748</v>
      </c>
      <c r="B6" s="199">
        <v>1</v>
      </c>
      <c r="C6" s="199" t="s">
        <v>743</v>
      </c>
      <c r="D6" s="199" t="s">
        <v>749</v>
      </c>
      <c r="E6" s="196"/>
      <c r="F6" s="196"/>
    </row>
    <row r="7" spans="1:9" ht="15.5" customHeight="1" x14ac:dyDescent="0.35">
      <c r="A7" s="199" t="s">
        <v>750</v>
      </c>
      <c r="B7" s="292">
        <v>1</v>
      </c>
      <c r="C7" s="199"/>
      <c r="D7" s="199" t="s">
        <v>751</v>
      </c>
      <c r="E7" s="196"/>
      <c r="F7" s="196"/>
      <c r="G7" s="196"/>
      <c r="H7" s="196"/>
    </row>
    <row r="8" spans="1:9" ht="15.5" x14ac:dyDescent="0.35">
      <c r="A8" s="199" t="s">
        <v>807</v>
      </c>
      <c r="B8" s="293">
        <v>4</v>
      </c>
      <c r="C8" s="199" t="s">
        <v>752</v>
      </c>
      <c r="D8" s="199" t="s">
        <v>753</v>
      </c>
      <c r="E8" s="196"/>
      <c r="F8" s="196"/>
      <c r="G8" s="196"/>
      <c r="H8" s="196"/>
    </row>
    <row r="9" spans="1:9" ht="10" customHeight="1" x14ac:dyDescent="0.35">
      <c r="A9" s="223"/>
      <c r="B9" s="223"/>
      <c r="C9" s="223"/>
      <c r="D9" s="223"/>
      <c r="E9" s="196"/>
      <c r="F9" s="196"/>
      <c r="G9" s="196"/>
      <c r="H9" s="196"/>
      <c r="I9" s="196"/>
    </row>
    <row r="10" spans="1:9" ht="30" customHeight="1" x14ac:dyDescent="0.35">
      <c r="A10" s="224" t="s">
        <v>754</v>
      </c>
      <c r="B10" s="223"/>
      <c r="C10" s="223"/>
      <c r="D10" s="223"/>
      <c r="E10" s="196"/>
      <c r="F10" s="196"/>
      <c r="G10" s="196"/>
      <c r="H10" s="196"/>
      <c r="I10" s="196"/>
    </row>
    <row r="11" spans="1:9" ht="5.5" customHeight="1" x14ac:dyDescent="0.35">
      <c r="A11" s="223"/>
      <c r="B11" s="223"/>
      <c r="C11" s="223"/>
      <c r="D11" s="223"/>
      <c r="E11" s="196"/>
      <c r="F11" s="196"/>
      <c r="G11" s="196"/>
      <c r="H11" s="196"/>
      <c r="I11" s="196"/>
    </row>
    <row r="12" spans="1:9" x14ac:dyDescent="0.35">
      <c r="A12" s="201" t="s">
        <v>755</v>
      </c>
      <c r="B12" s="198" t="s">
        <v>598</v>
      </c>
      <c r="C12" s="198" t="s">
        <v>738</v>
      </c>
      <c r="D12" s="198" t="s">
        <v>739</v>
      </c>
      <c r="E12" s="196"/>
      <c r="F12" s="196"/>
      <c r="G12" s="196"/>
      <c r="H12" s="196"/>
    </row>
    <row r="13" spans="1:9" x14ac:dyDescent="0.35">
      <c r="A13" s="193" t="s">
        <v>795</v>
      </c>
      <c r="B13" s="208">
        <f>SUM(D32:D38)</f>
        <v>5635.95226788728</v>
      </c>
      <c r="C13" s="194" t="s">
        <v>756</v>
      </c>
      <c r="D13" s="194" t="s">
        <v>757</v>
      </c>
      <c r="E13" s="196"/>
      <c r="F13" s="196"/>
      <c r="G13" s="196"/>
      <c r="H13" s="196"/>
    </row>
    <row r="14" spans="1:9" x14ac:dyDescent="0.35">
      <c r="A14" s="193" t="s">
        <v>796</v>
      </c>
      <c r="B14" s="210">
        <f>B13*$B$7</f>
        <v>5635.95226788728</v>
      </c>
      <c r="C14" s="195" t="s">
        <v>756</v>
      </c>
      <c r="D14" s="195" t="s">
        <v>758</v>
      </c>
      <c r="E14" s="196"/>
      <c r="F14" s="196"/>
      <c r="G14" s="196"/>
      <c r="H14" s="196"/>
    </row>
    <row r="15" spans="1:9" x14ac:dyDescent="0.35">
      <c r="A15" s="193" t="s">
        <v>759</v>
      </c>
      <c r="B15" s="208">
        <f>$B$3*$B$4*$B$5*5</f>
        <v>7600</v>
      </c>
      <c r="C15" s="195" t="s">
        <v>756</v>
      </c>
      <c r="D15" s="195"/>
      <c r="E15" s="196"/>
      <c r="F15" s="196"/>
    </row>
    <row r="16" spans="1:9" x14ac:dyDescent="0.35">
      <c r="A16" s="193" t="s">
        <v>760</v>
      </c>
      <c r="B16" s="202">
        <f>IF(B15&gt;0, B15/B14, 1)</f>
        <v>1.3484855156250237</v>
      </c>
      <c r="C16" s="195" t="s">
        <v>761</v>
      </c>
      <c r="D16" s="195" t="s">
        <v>762</v>
      </c>
      <c r="E16" s="196"/>
      <c r="F16" s="196"/>
    </row>
    <row r="17" spans="1:6" x14ac:dyDescent="0.35">
      <c r="A17" s="200"/>
      <c r="B17" s="200"/>
      <c r="C17" s="200"/>
      <c r="D17" s="200"/>
      <c r="E17" s="196"/>
      <c r="F17" s="196"/>
    </row>
    <row r="18" spans="1:6" x14ac:dyDescent="0.35">
      <c r="A18" s="201" t="s">
        <v>763</v>
      </c>
      <c r="B18" s="198" t="s">
        <v>598</v>
      </c>
      <c r="C18" s="198" t="s">
        <v>738</v>
      </c>
      <c r="D18" s="198" t="s">
        <v>739</v>
      </c>
      <c r="E18" s="196"/>
      <c r="F18" s="196"/>
    </row>
    <row r="19" spans="1:6" ht="15.5" customHeight="1" x14ac:dyDescent="0.35">
      <c r="A19" s="193" t="s">
        <v>764</v>
      </c>
      <c r="B19" s="208">
        <f>B14/B8</f>
        <v>1408.98806697182</v>
      </c>
      <c r="C19" s="193" t="s">
        <v>765</v>
      </c>
      <c r="D19" s="193"/>
      <c r="E19" s="196"/>
      <c r="F19" s="196"/>
    </row>
    <row r="20" spans="1:6" x14ac:dyDescent="0.35">
      <c r="A20" s="193" t="s">
        <v>766</v>
      </c>
      <c r="B20" s="209">
        <f>$B$3*$B$4</f>
        <v>190</v>
      </c>
      <c r="C20" s="193" t="s">
        <v>767</v>
      </c>
      <c r="D20" s="193"/>
      <c r="E20" s="196"/>
      <c r="F20" s="196"/>
    </row>
    <row r="21" spans="1:6" x14ac:dyDescent="0.35">
      <c r="A21" s="193" t="s">
        <v>768</v>
      </c>
      <c r="B21" s="208">
        <f>ROUNDUP(B19/$B$5, 0)</f>
        <v>177</v>
      </c>
      <c r="C21" s="195" t="s">
        <v>767</v>
      </c>
      <c r="D21" s="193" t="s">
        <v>769</v>
      </c>
      <c r="E21" s="196"/>
      <c r="F21" s="196"/>
    </row>
    <row r="22" spans="1:6" x14ac:dyDescent="0.35">
      <c r="A22" s="193" t="s">
        <v>770</v>
      </c>
      <c r="B22" s="202">
        <f>IF(B21&gt;0, B20/B21, 1)</f>
        <v>1.0734463276836159</v>
      </c>
      <c r="C22" s="195" t="s">
        <v>761</v>
      </c>
      <c r="D22" s="193" t="s">
        <v>771</v>
      </c>
      <c r="E22" s="196"/>
      <c r="F22" s="196"/>
    </row>
    <row r="23" spans="1:6" x14ac:dyDescent="0.35">
      <c r="A23" s="200"/>
      <c r="B23" s="200"/>
      <c r="C23" s="200"/>
      <c r="D23" s="200"/>
      <c r="E23" s="196"/>
      <c r="F23" s="196"/>
    </row>
    <row r="24" spans="1:6" x14ac:dyDescent="0.35">
      <c r="A24" s="214" t="s">
        <v>797</v>
      </c>
      <c r="B24" s="198" t="s">
        <v>598</v>
      </c>
      <c r="C24" s="198" t="s">
        <v>738</v>
      </c>
      <c r="D24" s="198" t="s">
        <v>739</v>
      </c>
      <c r="E24" s="196"/>
      <c r="F24" s="196"/>
    </row>
    <row r="25" spans="1:6" x14ac:dyDescent="0.35">
      <c r="A25" s="193" t="s">
        <v>772</v>
      </c>
      <c r="B25" s="202" t="str">
        <f>IF(B14&lt;=B15, "YES", "NO")</f>
        <v>YES</v>
      </c>
      <c r="C25" s="195"/>
      <c r="D25" s="195" t="s">
        <v>773</v>
      </c>
      <c r="E25" s="196"/>
      <c r="F25" s="196"/>
    </row>
    <row r="26" spans="1:6" x14ac:dyDescent="0.35">
      <c r="A26" s="215" t="s">
        <v>798</v>
      </c>
      <c r="B26" s="202" t="str">
        <f>IF(B25="NO",(MAX(0, D39-B15)),"0")</f>
        <v>0</v>
      </c>
      <c r="C26" s="193" t="s">
        <v>756</v>
      </c>
      <c r="D26" s="193" t="s">
        <v>774</v>
      </c>
      <c r="E26" s="196"/>
      <c r="F26" s="196"/>
    </row>
    <row r="27" spans="1:6" x14ac:dyDescent="0.35">
      <c r="A27" s="215" t="s">
        <v>799</v>
      </c>
      <c r="B27" s="202">
        <f>IF(B26&gt;0, ROUNDUP(B26/($B$3*$B$5), 1), 0)</f>
        <v>0</v>
      </c>
      <c r="C27" s="193" t="s">
        <v>743</v>
      </c>
      <c r="D27" s="193" t="s">
        <v>775</v>
      </c>
      <c r="E27" s="196"/>
      <c r="F27" s="196"/>
    </row>
    <row r="28" spans="1:6" x14ac:dyDescent="0.35">
      <c r="A28" s="215" t="s">
        <v>800</v>
      </c>
      <c r="B28" s="202">
        <f>IF(B26&gt;0, ROUNDUP(B26/$B$5, 0), 0)</f>
        <v>0</v>
      </c>
      <c r="C28" s="193" t="s">
        <v>776</v>
      </c>
      <c r="D28" s="193" t="s">
        <v>777</v>
      </c>
      <c r="E28" s="196"/>
      <c r="F28" s="196"/>
    </row>
    <row r="29" spans="1:6" x14ac:dyDescent="0.35">
      <c r="A29" s="204"/>
      <c r="B29" s="204"/>
      <c r="C29" s="213"/>
      <c r="D29" s="204"/>
      <c r="E29" s="204"/>
      <c r="F29" s="204"/>
    </row>
    <row r="30" spans="1:6" x14ac:dyDescent="0.35">
      <c r="A30" s="201" t="s">
        <v>782</v>
      </c>
      <c r="B30" s="205"/>
      <c r="C30" s="206"/>
      <c r="D30" s="205"/>
      <c r="E30" s="205"/>
      <c r="F30" s="205"/>
    </row>
    <row r="31" spans="1:6" ht="29" x14ac:dyDescent="0.35">
      <c r="A31" s="201" t="s">
        <v>778</v>
      </c>
      <c r="B31" s="201" t="s">
        <v>783</v>
      </c>
      <c r="C31" s="203" t="s">
        <v>784</v>
      </c>
      <c r="D31" s="201" t="s">
        <v>785</v>
      </c>
      <c r="E31" s="201" t="s">
        <v>786</v>
      </c>
      <c r="F31" s="201" t="s">
        <v>787</v>
      </c>
    </row>
    <row r="32" spans="1:6" x14ac:dyDescent="0.35">
      <c r="A32" s="193" t="s">
        <v>788</v>
      </c>
      <c r="B32" s="202">
        <f>SUM('15_5Day_Forecast'!Y2:Y272)</f>
        <v>0</v>
      </c>
      <c r="C32" s="202">
        <f>SUM('15_5Day_Forecast'!D2:D272)</f>
        <v>0</v>
      </c>
      <c r="D32" s="202">
        <f>SUM('15_5Day_Forecast'!N2:N272)</f>
        <v>0</v>
      </c>
      <c r="E32" s="202">
        <f t="shared" ref="E32:E38" si="0">D32/$B$5</f>
        <v>0</v>
      </c>
      <c r="F32" s="202">
        <f t="shared" ref="F32:F38" si="1">D32/($B$5*$B$4)</f>
        <v>0</v>
      </c>
    </row>
    <row r="33" spans="1:6" x14ac:dyDescent="0.35">
      <c r="A33" s="193" t="s">
        <v>789</v>
      </c>
      <c r="B33" s="208">
        <f>SUM('15_5Day_Forecast'!Z2:Z272)</f>
        <v>3423</v>
      </c>
      <c r="C33" s="208">
        <f>SUM('15_5Day_Forecast'!E2:E272)</f>
        <v>32868.10486332421</v>
      </c>
      <c r="D33" s="208">
        <f>SUM('15_5Day_Forecast'!O2:O272)</f>
        <v>573.3225692309627</v>
      </c>
      <c r="E33" s="208">
        <f t="shared" si="0"/>
        <v>71.665321153870337</v>
      </c>
      <c r="F33" s="208">
        <f t="shared" si="1"/>
        <v>35.832660576935169</v>
      </c>
    </row>
    <row r="34" spans="1:6" x14ac:dyDescent="0.35">
      <c r="A34" s="193" t="s">
        <v>779</v>
      </c>
      <c r="B34" s="208">
        <f>SUM('15_5Day_Forecast'!AA2:AA272)</f>
        <v>8481</v>
      </c>
      <c r="C34" s="208">
        <f>SUM('15_5Day_Forecast'!F2:F272)</f>
        <v>70593.522502662425</v>
      </c>
      <c r="D34" s="208">
        <f>SUM('15_5Day_Forecast'!P2:P272)</f>
        <v>1240.0614082799279</v>
      </c>
      <c r="E34" s="208">
        <f t="shared" si="0"/>
        <v>155.00767603499099</v>
      </c>
      <c r="F34" s="208">
        <f t="shared" si="1"/>
        <v>77.503838017495497</v>
      </c>
    </row>
    <row r="35" spans="1:6" x14ac:dyDescent="0.35">
      <c r="A35" s="193" t="s">
        <v>780</v>
      </c>
      <c r="B35" s="208">
        <f>SUM('15_5Day_Forecast'!AB2:AB272)</f>
        <v>8805</v>
      </c>
      <c r="C35" s="208">
        <f>SUM('15_5Day_Forecast'!G2:G272)</f>
        <v>73029.225825840578</v>
      </c>
      <c r="D35" s="208">
        <f>SUM('15_5Day_Forecast'!Q2:Q272)</f>
        <v>1291.8253971272591</v>
      </c>
      <c r="E35" s="208">
        <f t="shared" si="0"/>
        <v>161.47817464090738</v>
      </c>
      <c r="F35" s="208">
        <f t="shared" si="1"/>
        <v>80.739087320453692</v>
      </c>
    </row>
    <row r="36" spans="1:6" x14ac:dyDescent="0.35">
      <c r="A36" s="193" t="s">
        <v>781</v>
      </c>
      <c r="B36" s="208">
        <f>SUM('15_5Day_Forecast'!AC2:AC272)</f>
        <v>9287</v>
      </c>
      <c r="C36" s="208">
        <f>SUM('15_5Day_Forecast'!H2:H272)</f>
        <v>77401.288762275915</v>
      </c>
      <c r="D36" s="208">
        <f>SUM('15_5Day_Forecast'!R2:R272)</f>
        <v>1392.824949841048</v>
      </c>
      <c r="E36" s="208">
        <f t="shared" si="0"/>
        <v>174.103118730131</v>
      </c>
      <c r="F36" s="208">
        <f t="shared" si="1"/>
        <v>87.051559365065501</v>
      </c>
    </row>
    <row r="37" spans="1:6" x14ac:dyDescent="0.35">
      <c r="A37" s="193" t="s">
        <v>790</v>
      </c>
      <c r="B37" s="208">
        <f>SUM('15_5Day_Forecast'!AD2:AD272)</f>
        <v>3198</v>
      </c>
      <c r="C37" s="208">
        <f>SUM('15_5Day_Forecast'!I2:I272)</f>
        <v>22180.659732059437</v>
      </c>
      <c r="D37" s="208">
        <f>SUM('15_5Day_Forecast'!S2:S272)</f>
        <v>444.89340271142737</v>
      </c>
      <c r="E37" s="208">
        <f t="shared" si="0"/>
        <v>55.611675338928421</v>
      </c>
      <c r="F37" s="208">
        <f t="shared" si="1"/>
        <v>27.805837669464211</v>
      </c>
    </row>
    <row r="38" spans="1:6" ht="15.5" customHeight="1" x14ac:dyDescent="0.35">
      <c r="A38" s="193" t="s">
        <v>791</v>
      </c>
      <c r="B38" s="208">
        <f>SUM('15_5Day_Forecast'!AE2:AE272)</f>
        <v>5006</v>
      </c>
      <c r="C38" s="208">
        <f>SUM('15_5Day_Forecast'!J2:J272)</f>
        <v>37281.185166905154</v>
      </c>
      <c r="D38" s="208">
        <f>SUM('15_5Day_Forecast'!T2:T272)</f>
        <v>693.02454069665475</v>
      </c>
      <c r="E38" s="208">
        <f t="shared" si="0"/>
        <v>86.628067587081844</v>
      </c>
      <c r="F38" s="208">
        <f t="shared" si="1"/>
        <v>43.314033793540922</v>
      </c>
    </row>
    <row r="39" spans="1:6" x14ac:dyDescent="0.35">
      <c r="A39" s="201" t="s">
        <v>792</v>
      </c>
      <c r="B39" s="252">
        <f>SUM(B32:B38)</f>
        <v>38200</v>
      </c>
      <c r="C39" s="252">
        <f>SUM(C32:C38)</f>
        <v>313353.98685306776</v>
      </c>
      <c r="D39" s="252">
        <f>SUM(D32:D38)</f>
        <v>5635.95226788728</v>
      </c>
      <c r="E39" s="252">
        <f>SUM(E32:E38)</f>
        <v>704.49403348590999</v>
      </c>
      <c r="F39" s="252">
        <f>SUM(F32:F38)</f>
        <v>352.247016742955</v>
      </c>
    </row>
    <row r="40" spans="1:6" ht="15.5" customHeight="1" x14ac:dyDescent="0.35">
      <c r="A40" s="193" t="s">
        <v>793</v>
      </c>
      <c r="B40" s="207"/>
      <c r="C40" s="207"/>
      <c r="D40" s="210">
        <f>SUM(D32:D36)</f>
        <v>4498.0343244791975</v>
      </c>
      <c r="E40" s="216" t="s">
        <v>801</v>
      </c>
      <c r="F40" s="211">
        <f>F39/B8</f>
        <v>88.061754185738749</v>
      </c>
    </row>
    <row r="41" spans="1:6" x14ac:dyDescent="0.35">
      <c r="A41" s="193" t="s">
        <v>794</v>
      </c>
      <c r="B41" s="205"/>
      <c r="C41" s="206"/>
      <c r="D41" s="208">
        <f>SUM(D37:D38)</f>
        <v>1137.917943408082</v>
      </c>
      <c r="E41" s="205"/>
      <c r="F41" s="205"/>
    </row>
    <row r="42" spans="1:6" x14ac:dyDescent="0.35">
      <c r="A42" s="192"/>
      <c r="B42" s="192"/>
      <c r="C42" s="192"/>
      <c r="D42" s="192"/>
      <c r="E42" s="192"/>
      <c r="F42" s="192"/>
    </row>
    <row r="43" spans="1:6" x14ac:dyDescent="0.35">
      <c r="A43" s="225" t="s">
        <v>7</v>
      </c>
      <c r="B43" s="225" t="s">
        <v>802</v>
      </c>
      <c r="C43" s="225" t="s">
        <v>803</v>
      </c>
      <c r="D43" s="225" t="s">
        <v>804</v>
      </c>
      <c r="E43" s="225" t="s">
        <v>805</v>
      </c>
      <c r="F43" s="225" t="s">
        <v>806</v>
      </c>
    </row>
    <row r="44" spans="1:6" x14ac:dyDescent="0.35">
      <c r="A44" t="s">
        <v>23</v>
      </c>
      <c r="B44">
        <v>1397.72</v>
      </c>
      <c r="C44" s="226">
        <v>0.248</v>
      </c>
      <c r="D44" t="s">
        <v>808</v>
      </c>
      <c r="E44" t="s">
        <v>809</v>
      </c>
      <c r="F44" t="s">
        <v>810</v>
      </c>
    </row>
    <row r="45" spans="1:6" x14ac:dyDescent="0.35">
      <c r="A45" t="s">
        <v>27</v>
      </c>
      <c r="B45">
        <v>1006.33</v>
      </c>
      <c r="C45" s="226">
        <v>0.17899999999999999</v>
      </c>
      <c r="D45" t="s">
        <v>811</v>
      </c>
      <c r="E45" t="s">
        <v>812</v>
      </c>
      <c r="F45" t="s">
        <v>813</v>
      </c>
    </row>
    <row r="46" spans="1:6" x14ac:dyDescent="0.35">
      <c r="A46" t="s">
        <v>33</v>
      </c>
      <c r="B46">
        <v>896.72</v>
      </c>
      <c r="C46" s="226">
        <v>0.159</v>
      </c>
      <c r="D46" t="s">
        <v>814</v>
      </c>
      <c r="E46" t="s">
        <v>815</v>
      </c>
      <c r="F46" t="s">
        <v>816</v>
      </c>
    </row>
    <row r="47" spans="1:6" x14ac:dyDescent="0.35">
      <c r="A47" t="s">
        <v>43</v>
      </c>
      <c r="B47">
        <v>817.7</v>
      </c>
      <c r="C47" s="226">
        <v>0.14499999999999999</v>
      </c>
      <c r="D47" t="s">
        <v>817</v>
      </c>
      <c r="E47" t="s">
        <v>818</v>
      </c>
      <c r="F47" t="s">
        <v>819</v>
      </c>
    </row>
    <row r="48" spans="1:6" x14ac:dyDescent="0.35">
      <c r="A48" t="s">
        <v>37</v>
      </c>
      <c r="B48">
        <v>594.02</v>
      </c>
      <c r="C48" s="226">
        <v>0.105</v>
      </c>
      <c r="D48" t="s">
        <v>820</v>
      </c>
      <c r="E48" t="s">
        <v>821</v>
      </c>
      <c r="F48" t="s">
        <v>822</v>
      </c>
    </row>
    <row r="49" spans="1:6" x14ac:dyDescent="0.35">
      <c r="A49" t="s">
        <v>31</v>
      </c>
      <c r="B49">
        <v>363.65</v>
      </c>
      <c r="C49" s="226">
        <v>6.5000000000000002E-2</v>
      </c>
      <c r="D49" t="s">
        <v>823</v>
      </c>
      <c r="E49" t="s">
        <v>824</v>
      </c>
      <c r="F49" t="s">
        <v>825</v>
      </c>
    </row>
    <row r="50" spans="1:6" x14ac:dyDescent="0.35">
      <c r="A50" t="s">
        <v>153</v>
      </c>
      <c r="B50">
        <v>255.06</v>
      </c>
      <c r="C50" s="226">
        <v>4.4999999999999998E-2</v>
      </c>
      <c r="D50" t="s">
        <v>826</v>
      </c>
      <c r="E50" t="s">
        <v>827</v>
      </c>
      <c r="F50" t="s">
        <v>828</v>
      </c>
    </row>
    <row r="51" spans="1:6" x14ac:dyDescent="0.35">
      <c r="A51" t="s">
        <v>29</v>
      </c>
      <c r="B51">
        <v>167.11</v>
      </c>
      <c r="C51" s="226">
        <v>0.03</v>
      </c>
      <c r="D51" t="s">
        <v>829</v>
      </c>
      <c r="E51" t="s">
        <v>830</v>
      </c>
      <c r="F51" t="s">
        <v>831</v>
      </c>
    </row>
    <row r="52" spans="1:6" x14ac:dyDescent="0.35">
      <c r="A52" t="s">
        <v>197</v>
      </c>
      <c r="B52">
        <v>66.87</v>
      </c>
      <c r="C52" s="226">
        <v>1.2E-2</v>
      </c>
      <c r="D52" t="s">
        <v>832</v>
      </c>
      <c r="E52" t="s">
        <v>833</v>
      </c>
    </row>
    <row r="53" spans="1:6" x14ac:dyDescent="0.35">
      <c r="A53" t="s">
        <v>97</v>
      </c>
      <c r="B53">
        <v>38.32</v>
      </c>
      <c r="C53" s="226">
        <v>7.0000000000000001E-3</v>
      </c>
      <c r="D53" t="s">
        <v>834</v>
      </c>
      <c r="E53" t="s">
        <v>835</v>
      </c>
    </row>
    <row r="54" spans="1:6" x14ac:dyDescent="0.35">
      <c r="A54" t="s">
        <v>41</v>
      </c>
      <c r="B54">
        <v>32.81</v>
      </c>
      <c r="C54" s="226">
        <v>6.0000000000000001E-3</v>
      </c>
      <c r="D54" t="s">
        <v>836</v>
      </c>
    </row>
    <row r="57" spans="1:6" x14ac:dyDescent="0.35">
      <c r="A57" s="225" t="s">
        <v>10</v>
      </c>
      <c r="B57" s="225" t="s">
        <v>802</v>
      </c>
      <c r="C57" s="225" t="s">
        <v>803</v>
      </c>
      <c r="D57" s="225" t="s">
        <v>804</v>
      </c>
      <c r="E57" s="225" t="s">
        <v>805</v>
      </c>
    </row>
    <row r="58" spans="1:6" x14ac:dyDescent="0.35">
      <c r="A58" t="s">
        <v>298</v>
      </c>
      <c r="B58">
        <v>1560.5</v>
      </c>
      <c r="C58" s="226">
        <v>0.27700000000000002</v>
      </c>
      <c r="D58" t="s">
        <v>808</v>
      </c>
      <c r="E58" t="s">
        <v>809</v>
      </c>
    </row>
    <row r="59" spans="1:6" x14ac:dyDescent="0.35">
      <c r="A59" t="s">
        <v>145</v>
      </c>
      <c r="B59">
        <v>1472.79</v>
      </c>
      <c r="C59" s="226">
        <v>0.26100000000000001</v>
      </c>
      <c r="D59" t="s">
        <v>817</v>
      </c>
      <c r="E59" t="s">
        <v>814</v>
      </c>
    </row>
    <row r="60" spans="1:6" x14ac:dyDescent="0.35">
      <c r="A60" t="s">
        <v>141</v>
      </c>
      <c r="B60">
        <v>942.71</v>
      </c>
      <c r="C60" s="226">
        <v>0.16700000000000001</v>
      </c>
      <c r="D60" t="s">
        <v>837</v>
      </c>
      <c r="E60" t="s">
        <v>821</v>
      </c>
    </row>
    <row r="61" spans="1:6" x14ac:dyDescent="0.35">
      <c r="A61" t="s">
        <v>135</v>
      </c>
      <c r="B61">
        <v>533.37</v>
      </c>
      <c r="C61" s="226">
        <v>9.5000000000000001E-2</v>
      </c>
      <c r="D61" t="s">
        <v>838</v>
      </c>
      <c r="E61" t="s">
        <v>839</v>
      </c>
    </row>
    <row r="62" spans="1:6" x14ac:dyDescent="0.35">
      <c r="A62" t="s">
        <v>261</v>
      </c>
      <c r="B62">
        <v>489.81</v>
      </c>
      <c r="C62" s="226">
        <v>8.6999999999999994E-2</v>
      </c>
      <c r="D62" t="s">
        <v>811</v>
      </c>
      <c r="E62" t="s">
        <v>826</v>
      </c>
    </row>
    <row r="63" spans="1:6" x14ac:dyDescent="0.35">
      <c r="A63" t="s">
        <v>151</v>
      </c>
      <c r="B63">
        <v>238.22</v>
      </c>
      <c r="C63" s="226">
        <v>4.2000000000000003E-2</v>
      </c>
      <c r="D63" t="s">
        <v>840</v>
      </c>
      <c r="E63" t="s">
        <v>841</v>
      </c>
    </row>
    <row r="64" spans="1:6" x14ac:dyDescent="0.35">
      <c r="A64" t="s">
        <v>128</v>
      </c>
      <c r="B64">
        <v>204.12</v>
      </c>
      <c r="C64" s="226">
        <v>3.5999999999999997E-2</v>
      </c>
      <c r="D64" t="s">
        <v>812</v>
      </c>
      <c r="E64" t="s">
        <v>842</v>
      </c>
    </row>
    <row r="65" spans="1:5" x14ac:dyDescent="0.35">
      <c r="A65" t="s">
        <v>195</v>
      </c>
      <c r="B65">
        <v>194.8</v>
      </c>
      <c r="C65" s="226">
        <v>3.5000000000000003E-2</v>
      </c>
      <c r="D65" t="s">
        <v>843</v>
      </c>
      <c r="E65" t="s">
        <v>844</v>
      </c>
    </row>
    <row r="67" spans="1:5" x14ac:dyDescent="0.35">
      <c r="A67" t="s">
        <v>845</v>
      </c>
    </row>
  </sheetData>
  <sheetProtection sheet="1" objects="1" scenarios="1"/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8B489A7F119641A3C2733AC92437D7" ma:contentTypeVersion="18" ma:contentTypeDescription="Create a new document." ma:contentTypeScope="" ma:versionID="e066668830ba1834d3dca7a4b1cb5033">
  <xsd:schema xmlns:xsd="http://www.w3.org/2001/XMLSchema" xmlns:xs="http://www.w3.org/2001/XMLSchema" xmlns:p="http://schemas.microsoft.com/office/2006/metadata/properties" xmlns:ns3="7791f031-6b50-4856-b847-36f9bd43febc" xmlns:ns4="d6e58a05-6d6c-4984-a3f5-33db3a083ddb" targetNamespace="http://schemas.microsoft.com/office/2006/metadata/properties" ma:root="true" ma:fieldsID="35be6f330de3b09c057f1c516662f71d" ns3:_="" ns4:_="">
    <xsd:import namespace="7791f031-6b50-4856-b847-36f9bd43febc"/>
    <xsd:import namespace="d6e58a05-6d6c-4984-a3f5-33db3a083ddb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MediaLengthInSeconds" minOccurs="0"/>
                <xsd:element ref="ns4:MediaServiceAutoKeyPoints" minOccurs="0"/>
                <xsd:element ref="ns4:MediaServiceKeyPoints" minOccurs="0"/>
                <xsd:element ref="ns4:MediaServiceSearchProperties" minOccurs="0"/>
                <xsd:element ref="ns4:_activity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91f031-6b50-4856-b847-36f9bd43fe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e58a05-6d6c-4984-a3f5-33db3a083d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e58a05-6d6c-4984-a3f5-33db3a083ddb" xsi:nil="true"/>
  </documentManagement>
</p:properties>
</file>

<file path=customXml/item4.xml><?xml version="1.0" encoding="utf-8"?>
<scriptIds xmlns="http://schemas.microsoft.com/office/extensibility/maker/v1.0" id="script-ids-node-id">
  <scriptId id="ms-officescript%3A%2F%2Fonedrive_business_itemlink%2F01BFCTYKGXZDSFSGAXHNA2CUDR3P6XABUN:ms-officescript%3A%2F%2Fonedrive_business_sharinglink%2Fu!aHR0cHM6Ly9tYXBsZWxvZGdlZmFybXMtbXkuc2hhcmVwb2ludC5jb20vOnU6L3Avc3lpbmcvSVFEWHlPUlpHQmM3UWFGUWNkdjljQWFOQVRkT3lUUjlhdkR3LXpyam5RSVZNTTA"/>
</scriptIds>
</file>

<file path=customXml/itemProps1.xml><?xml version="1.0" encoding="utf-8"?>
<ds:datastoreItem xmlns:ds="http://schemas.openxmlformats.org/officeDocument/2006/customXml" ds:itemID="{8BD72FD7-BD4B-4071-8B94-B8AFB12198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91f031-6b50-4856-b847-36f9bd43febc"/>
    <ds:schemaRef ds:uri="d6e58a05-6d6c-4984-a3f5-33db3a083d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CCA4FD4-D980-4762-B2A4-976998889F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A02FEC-A2A9-4A13-A488-823377045D90}">
  <ds:schemaRefs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d6e58a05-6d6c-4984-a3f5-33db3a083ddb"/>
    <ds:schemaRef ds:uri="7791f031-6b50-4856-b847-36f9bd43febc"/>
    <ds:schemaRef ds:uri="http://www.w3.org/XML/1998/namespace"/>
  </ds:schemaRefs>
</ds:datastoreItem>
</file>

<file path=customXml/itemProps4.xml><?xml version="1.0" encoding="utf-8"?>
<ds:datastoreItem xmlns:ds="http://schemas.openxmlformats.org/officeDocument/2006/customXml" ds:itemID="{3BA84BCA-7475-4E15-9375-416CAC35DCA7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00_SKU_Master</vt:lpstr>
      <vt:lpstr>00_Yield_Rates</vt:lpstr>
      <vt:lpstr>01_Cages_Plan</vt:lpstr>
      <vt:lpstr>02_TrayPack_Order</vt:lpstr>
      <vt:lpstr>03_BulkPack_Order</vt:lpstr>
      <vt:lpstr>04_Bagging_Order</vt:lpstr>
      <vt:lpstr>05_Daily_Orders</vt:lpstr>
      <vt:lpstr>06_Resource_Plan</vt:lpstr>
      <vt:lpstr>12_Executive_Dash</vt:lpstr>
      <vt:lpstr>13_Progress_Track</vt:lpstr>
      <vt:lpstr>14_Demand_Aggregation</vt:lpstr>
      <vt:lpstr>14_Production_Planning</vt:lpstr>
      <vt:lpstr>15_5Day_Forecast</vt:lpstr>
      <vt:lpstr>15_Weekly_Plan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Ying Sun</cp:lastModifiedBy>
  <dcterms:created xsi:type="dcterms:W3CDTF">2026-01-01T16:53:26Z</dcterms:created>
  <dcterms:modified xsi:type="dcterms:W3CDTF">2026-01-07T04:14:50Z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0x010100DA8B489A7F119641A3C2733AC92437D7</vt:lpwstr>
  </property>
</Properties>
</file>