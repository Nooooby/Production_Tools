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912" firstSheet="1" activeTab="12" autoFilterDateGrouping="1"/>
  </bookViews>
  <sheets>
    <sheet name="00_SKU_Master" sheetId="1" state="hidden" r:id="rId1"/>
    <sheet name="01_Cages_Plan" sheetId="2" state="visible" r:id="rId2"/>
    <sheet name="02_TrayPack_Order" sheetId="3" state="visible" r:id="rId3"/>
    <sheet name="03_BulkPack_Order" sheetId="4" state="visible" r:id="rId4"/>
    <sheet name="04_Bagging_Order" sheetId="5" state="visible" r:id="rId5"/>
    <sheet name="05_Daily_Orders" sheetId="6" state="visible" r:id="rId6"/>
    <sheet name="06_Resource_Plan" sheetId="7" state="visible" r:id="rId7"/>
    <sheet name="07_Labor_Calc" sheetId="8" state="hidden" r:id="rId8"/>
    <sheet name="08_Chart_Data" sheetId="9" state="hidden" r:id="rId9"/>
    <sheet name="09_Pallet_Space" sheetId="10" state="hidden" r:id="rId10"/>
    <sheet name="10_Cone_Line" sheetId="11" state="hidden" r:id="rId11"/>
    <sheet name="00_Yield_Rates" sheetId="12" state="hidden" r:id="rId12"/>
    <sheet name="12_Executive_Dash" sheetId="13" state="visible" r:id="rId13"/>
    <sheet name="13_Progress_Track" sheetId="14" state="visible" r:id="rId14"/>
    <sheet name="14_Weekly_Plan" sheetId="15" state="hidden" r:id="rId15"/>
    <sheet name="15_5Day_Forecast" sheetId="16" state="hidden" r:id="rId16"/>
  </sheets>
  <externalReferences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0.0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h:mm;@"/>
    <numFmt numFmtId="169" formatCode="0_);[Red]\(0\)"/>
    <numFmt numFmtId="170" formatCode="0.000"/>
    <numFmt numFmtId="171" formatCode="0.00000"/>
    <numFmt numFmtId="172" formatCode="0.0000000"/>
    <numFmt numFmtId="173" formatCode="[$-F400]h:mm:ss\ AM/PM"/>
    <numFmt numFmtId="174" formatCode="[$-409]h:mm\ AM/PM;@"/>
    <numFmt numFmtId="175" formatCode="yyyy\-mm\-dd;@"/>
    <numFmt numFmtId="176" formatCode="0.0&quot; hr&quot;"/>
    <numFmt numFmtId="177" formatCode="0&quot; hr&quot;"/>
    <numFmt numFmtId="178" formatCode="0&quot; EEs&quot;"/>
    <numFmt numFmtId="179" formatCode="0;\-0;;@"/>
  </numFmts>
  <fonts count="6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3"/>
      <color theme="1"/>
      <sz val="9"/>
      <scheme val="minor"/>
    </font>
    <font>
      <name val="Calibri"/>
      <family val="3"/>
      <sz val="9"/>
      <scheme val="minor"/>
    </font>
    <font>
      <name val="Calibri"/>
      <family val="3"/>
      <b val="1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3"/>
      <b val="1"/>
      <sz val="9"/>
      <scheme val="minor"/>
    </font>
    <font>
      <name val="Times New Roman"/>
      <family val="1"/>
      <color theme="1"/>
      <sz val="10"/>
    </font>
    <font>
      <name val="Aptos"/>
      <family val="2"/>
      <color theme="1"/>
      <sz val="11"/>
    </font>
    <font>
      <name val="Aptos"/>
      <family val="2"/>
      <b val="1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14"/>
    </font>
    <font>
      <name val="Arial"/>
      <family val="2"/>
      <b val="1"/>
      <color theme="1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color theme="1"/>
      <sz val="18"/>
      <scheme val="minor"/>
    </font>
    <font>
      <name val="Arial"/>
      <family val="2"/>
      <color theme="1"/>
      <sz val="9"/>
    </font>
    <font>
      <name val="Arial"/>
      <family val="2"/>
      <b val="1"/>
      <color rgb="FFFF0000"/>
      <sz val="10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family val="2"/>
      <color rgb="FFFF0000"/>
      <sz val="10"/>
    </font>
    <font>
      <name val="Arial"/>
      <family val="2"/>
      <sz val="10"/>
    </font>
    <font>
      <name val="Verdana"/>
      <family val="2"/>
      <color rgb="FF000000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9"/>
    </font>
    <font>
      <name val="Calibri"/>
      <family val="2"/>
      <color theme="0"/>
      <sz val="9"/>
      <scheme val="minor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mbria"/>
      <family val="2"/>
      <color theme="1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sz val="9"/>
    </font>
    <font>
      <name val="Verdana"/>
      <family val="2"/>
      <b val="1"/>
      <color rgb="FF000000"/>
      <sz val="8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幼圆"/>
      <charset val="134"/>
      <family val="3"/>
      <b val="1"/>
      <color theme="1"/>
      <sz val="14"/>
    </font>
    <font>
      <name val="Cambria"/>
      <family val="2"/>
      <sz val="12"/>
      <scheme val="major"/>
    </font>
    <font>
      <name val="Cambria"/>
      <family val="2"/>
      <sz val="10"/>
      <scheme val="major"/>
    </font>
    <font>
      <name val="Cambria"/>
      <family val="3"/>
      <color rgb="FF000000"/>
      <sz val="10"/>
      <scheme val="major"/>
    </font>
    <font>
      <name val="Cambria"/>
      <family val="3"/>
      <color theme="1"/>
      <sz val="10"/>
      <scheme val="major"/>
    </font>
    <font>
      <name val="Cambria"/>
      <family val="2"/>
      <color theme="1"/>
      <sz val="12"/>
      <scheme val="major"/>
    </font>
    <font>
      <name val="DengXian"/>
      <charset val="134"/>
      <family val="3"/>
      <color rgb="FF000000"/>
      <sz val="11"/>
    </font>
    <font>
      <name val="Cambria"/>
      <family val="3"/>
      <sz val="10"/>
      <scheme val="major"/>
    </font>
    <font>
      <name val="DengXian"/>
      <charset val="134"/>
      <family val="3"/>
      <sz val="11"/>
    </font>
    <font>
      <name val="DengXian"/>
      <charset val="134"/>
      <family val="3"/>
      <color theme="1"/>
      <sz val="11"/>
    </font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  <font>
      <name val="Cambria"/>
      <family val="2"/>
      <color rgb="FF000000"/>
      <sz val="11"/>
      <scheme val="major"/>
    </font>
    <font>
      <name val="Cambria"/>
      <family val="2"/>
      <sz val="11"/>
      <scheme val="major"/>
    </font>
    <font>
      <name val="Microsoft JhengHei"/>
      <family val="2"/>
      <b val="1"/>
      <color theme="1"/>
      <sz val="28"/>
    </font>
    <font>
      <name val="Microsoft JhengHei"/>
      <family val="2"/>
      <b val="1"/>
      <color theme="1"/>
      <sz val="36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0"/>
      <sz val="9"/>
    </font>
    <font>
      <name val="Calibri"/>
      <family val="2"/>
      <sz val="10"/>
      <scheme val="minor"/>
    </font>
    <font>
      <name val="Calibri"/>
      <b val="1"/>
      <color rgb="00FFFFFF"/>
      <sz val="12"/>
    </font>
    <font>
      <name val="Calibri"/>
      <b val="1"/>
      <color rgb="00343A40"/>
      <sz val="11"/>
    </font>
    <font>
      <name val="Calibri"/>
      <color rgb="00000000"/>
      <sz val="10"/>
    </font>
  </fonts>
  <fills count="50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5" tint="0.7999816888943144"/>
        <bgColor rgb="FF000000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343A40"/>
        <bgColor rgb="00343A40"/>
      </patternFill>
    </fill>
    <fill>
      <patternFill patternType="solid">
        <fgColor rgb="00495057"/>
        <bgColor rgb="00495057"/>
      </patternFill>
    </fill>
    <fill>
      <patternFill patternType="solid">
        <fgColor rgb="00ADB5BD"/>
        <bgColor rgb="00ADB5BD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  <fill>
      <patternFill patternType="solid">
        <fgColor rgb="00DEE2E6"/>
        <bgColor rgb="00DEE2E6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00CED4DA"/>
      </left>
      <right style="thin">
        <color rgb="00CED4DA"/>
      </right>
      <top style="thin">
        <color rgb="00CED4DA"/>
      </top>
      <bottom style="thin">
        <color rgb="00CED4DA"/>
      </bottom>
    </border>
  </borders>
  <cellStyleXfs count="1">
    <xf numFmtId="0" fontId="2" fillId="0" borderId="0"/>
  </cellStyleXfs>
  <cellXfs count="681">
    <xf numFmtId="0" fontId="0" fillId="0" borderId="0" pivotButton="0" quotePrefix="0" xfId="0"/>
    <xf numFmtId="0" fontId="1" fillId="0" borderId="1" applyAlignment="1" pivotButton="0" quotePrefix="0" xfId="0">
      <alignment horizontal="centerContinuous" vertical="center"/>
    </xf>
    <xf numFmtId="20" fontId="2" fillId="0" borderId="1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Continuous"/>
    </xf>
    <xf numFmtId="0" fontId="3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 vertical="center"/>
    </xf>
    <xf numFmtId="2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4" fillId="2" borderId="1" applyAlignment="1" pivotButton="0" quotePrefix="0" xfId="0">
      <alignment horizontal="center" vertical="center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/>
    </xf>
    <xf numFmtId="164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2" fontId="2" fillId="0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43" fontId="4" fillId="4" borderId="1" applyAlignment="1" pivotButton="0" quotePrefix="0" xfId="0">
      <alignment horizontal="center" vertical="center"/>
    </xf>
    <xf numFmtId="0" fontId="4" fillId="3" borderId="1" pivotButton="0" quotePrefix="0" xfId="0"/>
    <xf numFmtId="165" fontId="4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7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top"/>
    </xf>
    <xf numFmtId="1" fontId="2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4" fillId="0" borderId="1" pivotButton="0" quotePrefix="0" xfId="0"/>
    <xf numFmtId="1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6" fontId="3" fillId="2" borderId="1" applyAlignment="1" pivotButton="0" quotePrefix="0" xfId="0">
      <alignment horizontal="center" vertical="center"/>
    </xf>
    <xf numFmtId="1" fontId="3" fillId="2" borderId="1" applyAlignment="1" pivotButton="0" quotePrefix="0" xfId="0">
      <alignment horizontal="center" vertical="center"/>
    </xf>
    <xf numFmtId="167" fontId="3" fillId="2" borderId="1" applyAlignment="1" pivotButton="0" quotePrefix="0" xfId="0">
      <alignment horizontal="right"/>
    </xf>
    <xf numFmtId="1" fontId="3" fillId="2" borderId="1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6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164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/>
    </xf>
    <xf numFmtId="1" fontId="3" fillId="6" borderId="1" applyAlignment="1" pivotButton="0" quotePrefix="0" xfId="0">
      <alignment horizontal="center"/>
    </xf>
    <xf numFmtId="168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right"/>
    </xf>
    <xf numFmtId="1" fontId="3" fillId="7" borderId="1" applyAlignment="1" pivotButton="0" quotePrefix="0" xfId="0">
      <alignment horizontal="center"/>
    </xf>
    <xf numFmtId="168" fontId="3" fillId="7" borderId="1" applyAlignment="1" pivotButton="0" quotePrefix="0" xfId="0">
      <alignment horizontal="center"/>
    </xf>
    <xf numFmtId="164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166" fontId="3" fillId="8" borderId="1" applyAlignment="1" pivotButton="0" quotePrefix="0" xfId="0">
      <alignment horizontal="center" vertical="center"/>
    </xf>
    <xf numFmtId="1" fontId="3" fillId="8" borderId="1" applyAlignment="1" pivotButton="0" quotePrefix="0" xfId="0">
      <alignment horizontal="center" vertical="center"/>
    </xf>
    <xf numFmtId="167" fontId="3" fillId="8" borderId="1" applyAlignment="1" pivotButton="0" quotePrefix="0" xfId="0">
      <alignment horizontal="right"/>
    </xf>
    <xf numFmtId="1" fontId="3" fillId="8" borderId="1" applyAlignment="1" pivotButton="0" quotePrefix="0" xfId="0">
      <alignment horizontal="center"/>
    </xf>
    <xf numFmtId="168" fontId="3" fillId="8" borderId="1" applyAlignment="1" pivotButton="0" quotePrefix="0" xfId="0">
      <alignment horizontal="center"/>
    </xf>
    <xf numFmtId="164" fontId="3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 vertical="center"/>
    </xf>
    <xf numFmtId="166" fontId="3" fillId="9" borderId="1" applyAlignment="1" pivotButton="0" quotePrefix="0" xfId="0">
      <alignment horizontal="center" vertical="center"/>
    </xf>
    <xf numFmtId="1" fontId="3" fillId="9" borderId="1" applyAlignment="1" pivotButton="0" quotePrefix="0" xfId="0">
      <alignment horizontal="center" vertical="center"/>
    </xf>
    <xf numFmtId="167" fontId="3" fillId="9" borderId="1" applyAlignment="1" pivotButton="0" quotePrefix="0" xfId="0">
      <alignment horizontal="right"/>
    </xf>
    <xf numFmtId="1" fontId="3" fillId="9" borderId="1" applyAlignment="1" pivotButton="0" quotePrefix="0" xfId="0">
      <alignment horizontal="center"/>
    </xf>
    <xf numFmtId="168" fontId="3" fillId="9" borderId="1" applyAlignment="1" pivotButton="0" quotePrefix="0" xfId="0">
      <alignment horizontal="center"/>
    </xf>
    <xf numFmtId="164" fontId="3" fillId="1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/>
    </xf>
    <xf numFmtId="166" fontId="3" fillId="10" borderId="1" applyAlignment="1" pivotButton="0" quotePrefix="0" xfId="0">
      <alignment horizontal="center" vertical="center"/>
    </xf>
    <xf numFmtId="1" fontId="3" fillId="10" borderId="1" applyAlignment="1" pivotButton="0" quotePrefix="0" xfId="0">
      <alignment horizontal="center" vertical="center"/>
    </xf>
    <xf numFmtId="167" fontId="3" fillId="10" borderId="1" applyAlignment="1" pivotButton="0" quotePrefix="0" xfId="0">
      <alignment horizontal="right"/>
    </xf>
    <xf numFmtId="1" fontId="3" fillId="10" borderId="1" applyAlignment="1" pivotButton="0" quotePrefix="0" xfId="0">
      <alignment horizontal="center"/>
    </xf>
    <xf numFmtId="168" fontId="3" fillId="10" borderId="1" applyAlignment="1" pivotButton="0" quotePrefix="0" xfId="0">
      <alignment horizontal="center"/>
    </xf>
    <xf numFmtId="0" fontId="12" fillId="11" borderId="0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center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15" borderId="0" applyAlignment="1" pivotButton="0" quotePrefix="0" xfId="0">
      <alignment horizontal="center" vertical="center" wrapText="1"/>
    </xf>
    <xf numFmtId="0" fontId="15" fillId="16" borderId="0" applyAlignment="1" pivotButton="0" quotePrefix="0" xfId="0">
      <alignment horizontal="center" vertical="center" wrapText="1"/>
    </xf>
    <xf numFmtId="169" fontId="16" fillId="11" borderId="0" applyAlignment="1" pivotButton="0" quotePrefix="0" xfId="0">
      <alignment horizontal="center" vertical="center"/>
    </xf>
    <xf numFmtId="0" fontId="16" fillId="13" borderId="0" applyAlignment="1" pivotButton="0" quotePrefix="0" xfId="0">
      <alignment horizontal="center" vertical="center"/>
    </xf>
    <xf numFmtId="1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1" fontId="17" fillId="17" borderId="0" applyAlignment="1" pivotButton="0" quotePrefix="0" xfId="0">
      <alignment horizontal="center" vertical="center"/>
    </xf>
    <xf numFmtId="1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0" pivotButton="0" quotePrefix="0" xfId="0"/>
    <xf numFmtId="0" fontId="3" fillId="18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applyAlignment="1" pivotButton="0" quotePrefix="0" xfId="0">
      <alignment horizontal="centerContinuous" vertical="center"/>
    </xf>
    <xf numFmtId="0" fontId="15" fillId="19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20" borderId="1" applyAlignment="1" pivotButton="0" quotePrefix="0" xfId="0">
      <alignment horizontal="center" vertical="center"/>
    </xf>
    <xf numFmtId="0" fontId="22" fillId="0" borderId="1" pivotButton="0" quotePrefix="0" xfId="0"/>
    <xf numFmtId="15" fontId="15" fillId="0" borderId="0" applyAlignment="1" pivotButton="0" quotePrefix="0" xfId="0">
      <alignment horizontal="center" vertical="center"/>
    </xf>
    <xf numFmtId="1" fontId="23" fillId="0" borderId="0" applyAlignment="1" pivotButton="0" quotePrefix="0" xfId="0">
      <alignment horizontal="center" vertical="center"/>
    </xf>
    <xf numFmtId="0" fontId="24" fillId="21" borderId="1" applyAlignment="1" pivotButton="0" quotePrefix="0" xfId="0">
      <alignment horizontal="center" vertical="center"/>
    </xf>
    <xf numFmtId="15" fontId="24" fillId="0" borderId="0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/>
    </xf>
    <xf numFmtId="15" fontId="19" fillId="0" borderId="1" applyAlignment="1" pivotButton="0" quotePrefix="0" xfId="0">
      <alignment horizontal="center" vertical="center" wrapText="1"/>
    </xf>
    <xf numFmtId="15" fontId="19" fillId="3" borderId="1" applyAlignment="1" pivotButton="0" quotePrefix="0" xfId="0">
      <alignment horizontal="center" vertical="center" wrapText="1"/>
    </xf>
    <xf numFmtId="15" fontId="19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4" fontId="16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2" fillId="0" borderId="0" pivotButton="0" quotePrefix="0" xfId="0"/>
    <xf numFmtId="0" fontId="2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" fontId="2" fillId="0" borderId="3" pivotButton="0" quotePrefix="0" xfId="0"/>
    <xf numFmtId="164" fontId="2" fillId="3" borderId="1" applyAlignment="1" pivotButton="0" quotePrefix="0" xfId="0">
      <alignment horizontal="center" vertical="center"/>
    </xf>
    <xf numFmtId="2" fontId="2" fillId="0" borderId="0" pivotButton="0" quotePrefix="0" xfId="0"/>
    <xf numFmtId="0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center"/>
    </xf>
    <xf numFmtId="0" fontId="29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4" fontId="2" fillId="0" borderId="0" pivotButton="0" quotePrefix="0" xfId="0"/>
    <xf numFmtId="0" fontId="28" fillId="22" borderId="1" applyAlignment="1" pivotButton="0" quotePrefix="0" xfId="0">
      <alignment horizontal="center" vertical="center" wrapText="1"/>
    </xf>
    <xf numFmtId="164" fontId="2" fillId="22" borderId="1" applyAlignment="1" pivotButton="0" quotePrefix="0" xfId="0">
      <alignment horizontal="center" vertical="center"/>
    </xf>
    <xf numFmtId="9" fontId="2" fillId="22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5" fillId="16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0" fontId="27" fillId="0" borderId="0" pivotButton="0" quotePrefix="0" xfId="0"/>
    <xf numFmtId="0" fontId="27" fillId="0" borderId="1" applyAlignment="1" pivotButton="0" quotePrefix="0" xfId="0">
      <alignment horizontal="center" vertical="center"/>
    </xf>
    <xf numFmtId="1" fontId="2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16" fillId="0" borderId="0" pivotButton="0" quotePrefix="0" xfId="0"/>
    <xf numFmtId="0" fontId="16" fillId="0" borderId="1" pivotButton="0" quotePrefix="0" xfId="0"/>
    <xf numFmtId="0" fontId="16" fillId="23" borderId="4" applyAlignment="1" pivotButton="0" quotePrefix="0" xfId="0">
      <alignment horizontal="center" vertical="center"/>
    </xf>
    <xf numFmtId="0" fontId="16" fillId="23" borderId="1" applyAlignment="1" pivotButton="0" quotePrefix="0" xfId="0">
      <alignment horizontal="center" vertical="center"/>
    </xf>
    <xf numFmtId="0" fontId="23" fillId="23" borderId="1" applyAlignment="1" pivotButton="0" quotePrefix="0" xfId="0">
      <alignment horizontal="center" vertical="center"/>
    </xf>
    <xf numFmtId="1" fontId="27" fillId="23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16" fillId="23" borderId="3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6" fillId="18" borderId="6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3" fillId="18" borderId="1" applyAlignment="1" pivotButton="0" quotePrefix="0" xfId="0">
      <alignment horizontal="center" vertical="center"/>
    </xf>
    <xf numFmtId="0" fontId="16" fillId="18" borderId="7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0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1" fillId="5" borderId="0" applyAlignment="1" pivotButton="0" quotePrefix="0" xfId="0">
      <alignment horizontal="left"/>
    </xf>
    <xf numFmtId="0" fontId="7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 vertical="center"/>
    </xf>
    <xf numFmtId="164" fontId="17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2" fontId="33" fillId="5" borderId="0" applyAlignment="1" pivotButton="0" quotePrefix="0" xfId="0">
      <alignment horizontal="left"/>
    </xf>
    <xf numFmtId="2" fontId="33" fillId="0" borderId="0" applyAlignment="1" pivotButton="0" quotePrefix="0" xfId="0">
      <alignment horizontal="left"/>
    </xf>
    <xf numFmtId="0" fontId="17" fillId="9" borderId="1" applyAlignment="1" pivotButton="0" quotePrefix="0" xfId="0">
      <alignment horizontal="left" vertical="top"/>
    </xf>
    <xf numFmtId="0" fontId="17" fillId="0" borderId="1" applyAlignment="1" pivotButton="0" quotePrefix="0" xfId="0">
      <alignment horizontal="left"/>
    </xf>
    <xf numFmtId="0" fontId="3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2" fontId="2" fillId="5" borderId="0" applyAlignment="1" pivotButton="0" quotePrefix="0" xfId="0">
      <alignment horizontal="left"/>
    </xf>
    <xf numFmtId="0" fontId="34" fillId="5" borderId="0" applyAlignment="1" pivotButton="0" quotePrefix="0" xfId="0">
      <alignment horizontal="left"/>
    </xf>
    <xf numFmtId="0" fontId="35" fillId="0" borderId="1" applyAlignment="1" pivotButton="0" quotePrefix="0" xfId="0">
      <alignment horizontal="left" vertical="center"/>
    </xf>
    <xf numFmtId="0" fontId="36" fillId="5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  <xf numFmtId="0" fontId="33" fillId="0" borderId="1" applyAlignment="1" pivotButton="0" quotePrefix="0" xfId="0">
      <alignment horizontal="left"/>
    </xf>
    <xf numFmtId="0" fontId="37" fillId="0" borderId="0" pivotButton="0" quotePrefix="0" xfId="0"/>
    <xf numFmtId="0" fontId="33" fillId="0" borderId="1" pivotButton="0" quotePrefix="0" xfId="0"/>
    <xf numFmtId="1" fontId="2" fillId="0" borderId="1" applyAlignment="1" pivotButton="0" quotePrefix="0" xfId="0">
      <alignment horizontal="left"/>
    </xf>
    <xf numFmtId="1" fontId="2" fillId="0" borderId="1" applyAlignment="1" pivotButton="0" quotePrefix="0" xfId="0">
      <alignment horizontal="center"/>
    </xf>
    <xf numFmtId="0" fontId="23" fillId="24" borderId="1" applyAlignment="1" pivotButton="0" quotePrefix="0" xfId="0">
      <alignment horizontal="center" vertical="center"/>
    </xf>
    <xf numFmtId="0" fontId="27" fillId="0" borderId="0" applyAlignment="1" pivotButton="0" quotePrefix="0" xfId="0">
      <alignment horizontal="right" vertical="center"/>
    </xf>
    <xf numFmtId="0" fontId="38" fillId="24" borderId="1" pivotButton="0" quotePrefix="0" xfId="0"/>
    <xf numFmtId="0" fontId="23" fillId="24" borderId="1" applyAlignment="1" pivotButton="0" quotePrefix="0" xfId="0">
      <alignment horizontal="right" vertical="center"/>
    </xf>
    <xf numFmtId="0" fontId="27" fillId="0" borderId="8" pivotButton="0" quotePrefix="0" xfId="0"/>
    <xf numFmtId="170" fontId="27" fillId="24" borderId="1" pivotButton="0" quotePrefix="0" xfId="0"/>
    <xf numFmtId="1" fontId="27" fillId="24" borderId="1" applyAlignment="1" pivotButton="0" quotePrefix="0" xfId="0">
      <alignment horizontal="right" vertical="center"/>
    </xf>
    <xf numFmtId="164" fontId="27" fillId="24" borderId="1" pivotButton="0" quotePrefix="0" xfId="0"/>
    <xf numFmtId="2" fontId="27" fillId="0" borderId="0" applyAlignment="1" pivotButton="0" quotePrefix="0" xfId="0">
      <alignment horizontal="right" vertical="center"/>
    </xf>
    <xf numFmtId="0" fontId="27" fillId="21" borderId="1" pivotButton="0" quotePrefix="0" xfId="0"/>
    <xf numFmtId="1" fontId="23" fillId="21" borderId="1" applyAlignment="1" pivotButton="0" quotePrefix="0" xfId="0">
      <alignment horizontal="right"/>
    </xf>
    <xf numFmtId="0" fontId="23" fillId="0" borderId="0" applyAlignment="1" pivotButton="0" quotePrefix="0" xfId="0">
      <alignment horizontal="center"/>
    </xf>
    <xf numFmtId="0" fontId="27" fillId="25" borderId="1" pivotButton="0" quotePrefix="0" xfId="0"/>
    <xf numFmtId="0" fontId="27" fillId="25" borderId="1" applyAlignment="1" pivotButton="0" quotePrefix="0" xfId="0">
      <alignment horizontal="center"/>
    </xf>
    <xf numFmtId="0" fontId="23" fillId="26" borderId="1" applyAlignment="1" pivotButton="0" quotePrefix="0" xfId="0">
      <alignment horizontal="center" vertical="center"/>
    </xf>
    <xf numFmtId="0" fontId="39" fillId="24" borderId="1" applyAlignment="1" pivotButton="0" quotePrefix="0" xfId="0">
      <alignment horizontal="right" vertical="center" wrapText="1"/>
    </xf>
    <xf numFmtId="1" fontId="27" fillId="0" borderId="0" applyAlignment="1" pivotButton="0" quotePrefix="0" xfId="0">
      <alignment horizontal="right" vertical="center"/>
    </xf>
    <xf numFmtId="0" fontId="23" fillId="24" borderId="1" pivotButton="0" quotePrefix="0" xfId="0"/>
    <xf numFmtId="1" fontId="23" fillId="24" borderId="1" applyAlignment="1" pivotButton="0" quotePrefix="0" xfId="0">
      <alignment horizontal="right"/>
    </xf>
    <xf numFmtId="164" fontId="27" fillId="25" borderId="1" pivotButton="0" quotePrefix="0" xfId="0"/>
    <xf numFmtId="0" fontId="27" fillId="24" borderId="1" pivotButton="0" quotePrefix="0" xfId="0"/>
    <xf numFmtId="0" fontId="27" fillId="26" borderId="1" pivotButton="0" quotePrefix="0" xfId="0"/>
    <xf numFmtId="2" fontId="27" fillId="0" borderId="1" applyAlignment="1" pivotButton="0" quotePrefix="0" xfId="0">
      <alignment horizontal="center" vertical="center"/>
    </xf>
    <xf numFmtId="20" fontId="27" fillId="24" borderId="1" applyAlignment="1" pivotButton="0" quotePrefix="0" xfId="0">
      <alignment horizontal="center" vertical="center"/>
    </xf>
    <xf numFmtId="166" fontId="2" fillId="24" borderId="1" applyAlignment="1" pivotButton="0" quotePrefix="0" xfId="0">
      <alignment horizontal="center" vertical="center"/>
    </xf>
    <xf numFmtId="20" fontId="2" fillId="0" borderId="0" pivotButton="0" quotePrefix="0" xfId="0"/>
    <xf numFmtId="171" fontId="27" fillId="0" borderId="0" applyAlignment="1" pivotButton="0" quotePrefix="0" xfId="0">
      <alignment horizontal="right" vertical="center"/>
    </xf>
    <xf numFmtId="0" fontId="23" fillId="21" borderId="1" pivotButton="0" quotePrefix="0" xfId="0"/>
    <xf numFmtId="2" fontId="23" fillId="21" borderId="1" applyAlignment="1" pivotButton="0" quotePrefix="0" xfId="0">
      <alignment horizontal="right"/>
    </xf>
    <xf numFmtId="2" fontId="23" fillId="24" borderId="1" applyAlignment="1" pivotButton="0" quotePrefix="0" xfId="0">
      <alignment horizontal="right"/>
    </xf>
    <xf numFmtId="2" fontId="27" fillId="25" borderId="1" pivotButton="0" quotePrefix="0" xfId="0"/>
    <xf numFmtId="172" fontId="27" fillId="0" borderId="0" pivotButton="0" quotePrefix="0" xfId="0"/>
    <xf numFmtId="0" fontId="23" fillId="27" borderId="1" pivotButton="0" quotePrefix="0" xfId="0"/>
    <xf numFmtId="2" fontId="23" fillId="15" borderId="1" applyAlignment="1" pivotButton="0" quotePrefix="0" xfId="0">
      <alignment horizontal="right"/>
    </xf>
    <xf numFmtId="0" fontId="23" fillId="15" borderId="1" pivotButton="0" quotePrefix="0" xfId="0"/>
    <xf numFmtId="166" fontId="23" fillId="14" borderId="1" applyAlignment="1" pivotButton="0" quotePrefix="0" xfId="0">
      <alignment horizontal="right"/>
    </xf>
    <xf numFmtId="166" fontId="23" fillId="0" borderId="0" applyAlignment="1" pivotButton="0" quotePrefix="0" xfId="0">
      <alignment horizontal="center" vertical="center"/>
    </xf>
    <xf numFmtId="166" fontId="38" fillId="14" borderId="1" applyAlignment="1" pivotButton="0" quotePrefix="0" xfId="0">
      <alignment horizontal="right"/>
    </xf>
    <xf numFmtId="173" fontId="27" fillId="0" borderId="0" pivotButton="0" quotePrefix="0" xfId="0"/>
    <xf numFmtId="0" fontId="23" fillId="15" borderId="9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1" fontId="27" fillId="0" borderId="9" applyAlignment="1" pivotButton="0" quotePrefix="0" xfId="0">
      <alignment horizontal="center" vertical="center"/>
    </xf>
    <xf numFmtId="20" fontId="27" fillId="0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" fontId="2" fillId="0" borderId="9" applyAlignment="1" pivotButton="0" quotePrefix="0" xfId="0">
      <alignment horizontal="center" vertical="center"/>
    </xf>
    <xf numFmtId="2" fontId="23" fillId="0" borderId="1" applyAlignment="1" pivotButton="0" quotePrefix="0" xfId="0">
      <alignment horizontal="center" vertical="center"/>
    </xf>
    <xf numFmtId="1" fontId="2" fillId="3" borderId="9" applyAlignment="1" pivotButton="0" quotePrefix="0" xfId="0">
      <alignment horizontal="center" vertical="center"/>
    </xf>
    <xf numFmtId="20" fontId="2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20" fontId="27" fillId="0" borderId="0" pivotButton="0" quotePrefix="0" xfId="0"/>
    <xf numFmtId="164" fontId="27" fillId="24" borderId="3" pivotButton="0" quotePrefix="0" xfId="0"/>
    <xf numFmtId="2" fontId="27" fillId="0" borderId="0" applyAlignment="1" pivotButton="0" quotePrefix="0" xfId="0">
      <alignment horizontal="left"/>
    </xf>
    <xf numFmtId="169" fontId="27" fillId="0" borderId="0" applyAlignment="1" pivotButton="0" quotePrefix="0" xfId="0">
      <alignment horizontal="center"/>
    </xf>
    <xf numFmtId="1" fontId="27" fillId="0" borderId="0" applyAlignment="1" pivotButton="0" quotePrefix="0" xfId="0">
      <alignment horizontal="center" vertical="center"/>
    </xf>
    <xf numFmtId="2" fontId="27" fillId="0" borderId="0" pivotButton="0" quotePrefix="0" xfId="0"/>
    <xf numFmtId="171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/>
    </xf>
    <xf numFmtId="2" fontId="27" fillId="0" borderId="0" applyAlignment="1" pivotButton="0" quotePrefix="0" xfId="0">
      <alignment horizontal="center"/>
    </xf>
    <xf numFmtId="172" fontId="27" fillId="0" borderId="0" applyAlignment="1" pivotButton="0" quotePrefix="0" xfId="0">
      <alignment horizontal="left"/>
    </xf>
    <xf numFmtId="1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center"/>
    </xf>
    <xf numFmtId="2" fontId="27" fillId="0" borderId="0" applyAlignment="1" pivotButton="0" quotePrefix="0" xfId="0">
      <alignment horizontal="center" vertical="center"/>
    </xf>
    <xf numFmtId="1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/>
    </xf>
    <xf numFmtId="164" fontId="27" fillId="0" borderId="0" applyAlignment="1" pivotButton="0" quotePrefix="0" xfId="0">
      <alignment horizontal="center" vertical="center"/>
    </xf>
    <xf numFmtId="164" fontId="27" fillId="0" borderId="0" applyAlignment="1" pivotButton="0" quotePrefix="0" xfId="0">
      <alignment horizontal="center"/>
    </xf>
    <xf numFmtId="174" fontId="27" fillId="0" borderId="0" pivotButton="0" quotePrefix="0" xfId="0"/>
    <xf numFmtId="0" fontId="27" fillId="0" borderId="0" applyAlignment="1" pivotButton="0" quotePrefix="0" xfId="0">
      <alignment horizontal="right"/>
    </xf>
    <xf numFmtId="170" fontId="27" fillId="0" borderId="0" applyAlignment="1" pivotButton="0" quotePrefix="0" xfId="0">
      <alignment horizontal="center"/>
    </xf>
    <xf numFmtId="0" fontId="26" fillId="0" borderId="0" pivotButton="0" quotePrefix="0" xfId="0"/>
    <xf numFmtId="1" fontId="27" fillId="0" borderId="0" pivotButton="0" quotePrefix="0" xfId="0"/>
    <xf numFmtId="170" fontId="27" fillId="28" borderId="1" pivotButton="0" quotePrefix="0" xfId="0"/>
    <xf numFmtId="0" fontId="27" fillId="29" borderId="0" pivotButton="0" quotePrefix="0" xfId="0"/>
    <xf numFmtId="1" fontId="27" fillId="29" borderId="0" pivotButton="0" quotePrefix="0" xfId="0"/>
    <xf numFmtId="0" fontId="7" fillId="0" borderId="1" applyAlignment="1" pivotButton="0" quotePrefix="0" xfId="0">
      <alignment horizontal="center" vertical="center"/>
    </xf>
    <xf numFmtId="170" fontId="2" fillId="24" borderId="1" pivotButton="0" quotePrefix="0" xfId="0"/>
    <xf numFmtId="0" fontId="16" fillId="4" borderId="1" applyAlignment="1" pivotButton="0" quotePrefix="0" xfId="0">
      <alignment horizontal="center" vertical="center"/>
    </xf>
    <xf numFmtId="0" fontId="16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right" vertical="center"/>
    </xf>
    <xf numFmtId="0" fontId="27" fillId="0" borderId="1" pivotButton="0" quotePrefix="0" xfId="0"/>
    <xf numFmtId="170" fontId="27" fillId="0" borderId="1" pivotButton="0" quotePrefix="0" xfId="0"/>
    <xf numFmtId="164" fontId="27" fillId="0" borderId="0" pivotButton="0" quotePrefix="0" xfId="0"/>
    <xf numFmtId="166" fontId="2" fillId="0" borderId="1" pivotButton="0" quotePrefix="0" xfId="0"/>
    <xf numFmtId="10" fontId="2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right"/>
    </xf>
    <xf numFmtId="10" fontId="33" fillId="3" borderId="3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6" fontId="2" fillId="0" borderId="9" applyAlignment="1" pivotButton="0" quotePrefix="0" xfId="0">
      <alignment horizontal="center"/>
    </xf>
    <xf numFmtId="9" fontId="2" fillId="0" borderId="0" pivotButton="0" quotePrefix="0" xfId="0"/>
    <xf numFmtId="10" fontId="3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0" fontId="33" fillId="3" borderId="1" applyAlignment="1" pivotButton="0" quotePrefix="0" xfId="0">
      <alignment horizontal="center" vertical="center"/>
    </xf>
    <xf numFmtId="10" fontId="22" fillId="0" borderId="1" applyAlignment="1" pivotButton="0" quotePrefix="0" xfId="0">
      <alignment horizontal="center" vertical="center"/>
    </xf>
    <xf numFmtId="10" fontId="33" fillId="0" borderId="1" applyAlignment="1" pivotButton="0" quotePrefix="0" xfId="0">
      <alignment horizontal="center" vertical="center"/>
    </xf>
    <xf numFmtId="9" fontId="33" fillId="0" borderId="1" applyAlignment="1" pivotButton="0" quotePrefix="0" xfId="0">
      <alignment horizontal="center" vertical="center"/>
    </xf>
    <xf numFmtId="9" fontId="22" fillId="0" borderId="1" applyAlignment="1" pivotButton="0" quotePrefix="0" xfId="0">
      <alignment horizontal="center" vertical="center"/>
    </xf>
    <xf numFmtId="9" fontId="2" fillId="0" borderId="9" applyAlignment="1" pivotButton="0" quotePrefix="0" xfId="0">
      <alignment horizontal="center"/>
    </xf>
    <xf numFmtId="9" fontId="2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/>
    </xf>
    <xf numFmtId="10" fontId="33" fillId="0" borderId="10" applyAlignment="1" pivotButton="0" quotePrefix="0" xfId="0">
      <alignment horizontal="center" vertical="center"/>
    </xf>
    <xf numFmtId="0" fontId="2" fillId="0" borderId="11" pivotButton="0" quotePrefix="0" xfId="0"/>
    <xf numFmtId="166" fontId="2" fillId="0" borderId="0" applyAlignment="1" pivotButton="0" quotePrefix="0" xfId="0">
      <alignment horizontal="right"/>
    </xf>
    <xf numFmtId="10" fontId="2" fillId="3" borderId="0" applyAlignment="1" pivotButton="0" quotePrefix="0" xfId="0">
      <alignment horizontal="center" vertical="center"/>
    </xf>
    <xf numFmtId="10" fontId="33" fillId="0" borderId="1" applyAlignment="1" pivotButton="0" quotePrefix="0" xfId="0">
      <alignment horizontal="left" vertical="center"/>
    </xf>
    <xf numFmtId="0" fontId="40" fillId="0" borderId="0" applyAlignment="1" pivotButton="0" quotePrefix="0" xfId="0">
      <alignment vertical="center"/>
    </xf>
    <xf numFmtId="4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0" fontId="2" fillId="29" borderId="1" applyAlignment="1" pivotButton="0" quotePrefix="0" xfId="0">
      <alignment horizontal="center" vertical="center"/>
    </xf>
    <xf numFmtId="166" fontId="2" fillId="29" borderId="1" applyAlignment="1" pivotButton="0" quotePrefix="0" xfId="0">
      <alignment horizontal="center" vertical="center"/>
    </xf>
    <xf numFmtId="0" fontId="41" fillId="29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/>
    </xf>
    <xf numFmtId="9" fontId="2" fillId="10" borderId="0" pivotButton="0" quotePrefix="0" xfId="0"/>
    <xf numFmtId="0" fontId="42" fillId="34" borderId="1" applyAlignment="1" pivotButton="0" quotePrefix="0" xfId="0">
      <alignment horizontal="center" vertical="center"/>
    </xf>
    <xf numFmtId="0" fontId="43" fillId="6" borderId="1" applyAlignment="1" pivotButton="0" quotePrefix="0" xfId="0">
      <alignment horizontal="center" vertical="center" wrapText="1"/>
    </xf>
    <xf numFmtId="0" fontId="44" fillId="6" borderId="1" applyAlignment="1" pivotButton="0" quotePrefix="0" xfId="0">
      <alignment horizontal="center" vertical="center" wrapText="1"/>
    </xf>
    <xf numFmtId="0" fontId="45" fillId="6" borderId="1" applyAlignment="1" pivotButton="0" quotePrefix="0" xfId="0">
      <alignment horizontal="center" vertical="center" wrapText="1"/>
    </xf>
    <xf numFmtId="0" fontId="46" fillId="6" borderId="1" applyAlignment="1" pivotButton="0" quotePrefix="0" xfId="0">
      <alignment horizontal="center" vertical="center" wrapText="1"/>
    </xf>
    <xf numFmtId="0" fontId="47" fillId="6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left"/>
    </xf>
    <xf numFmtId="1" fontId="49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64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 wrapText="1"/>
    </xf>
    <xf numFmtId="1" fontId="47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left"/>
    </xf>
    <xf numFmtId="0" fontId="51" fillId="0" borderId="1" pivotButton="0" quotePrefix="0" xfId="0"/>
    <xf numFmtId="0" fontId="50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/>
    </xf>
    <xf numFmtId="0" fontId="51" fillId="0" borderId="1" applyAlignment="1" pivotButton="0" quotePrefix="0" xfId="0">
      <alignment horizontal="left" vertical="center"/>
    </xf>
    <xf numFmtId="0" fontId="43" fillId="35" borderId="1" applyAlignment="1" pivotButton="0" quotePrefix="0" xfId="0">
      <alignment horizontal="center" vertical="center"/>
    </xf>
    <xf numFmtId="0" fontId="50" fillId="36" borderId="1" applyAlignment="1" pivotButton="0" quotePrefix="0" xfId="0">
      <alignment horizontal="left" vertical="center"/>
    </xf>
    <xf numFmtId="1" fontId="49" fillId="35" borderId="1" applyAlignment="1" pivotButton="0" quotePrefix="0" xfId="0">
      <alignment horizontal="center" vertical="center" wrapText="1"/>
    </xf>
    <xf numFmtId="1" fontId="45" fillId="35" borderId="1" applyAlignment="1" pivotButton="0" quotePrefix="0" xfId="0">
      <alignment horizontal="center" vertical="center" wrapText="1"/>
    </xf>
    <xf numFmtId="164" fontId="45" fillId="35" borderId="1" applyAlignment="1" pivotButton="0" quotePrefix="0" xfId="0">
      <alignment horizontal="center" vertical="center" wrapText="1"/>
    </xf>
    <xf numFmtId="0" fontId="43" fillId="23" borderId="1" applyAlignment="1" pivotButton="0" quotePrefix="0" xfId="0">
      <alignment horizontal="center" vertical="center"/>
    </xf>
    <xf numFmtId="0" fontId="50" fillId="37" borderId="1" applyAlignment="1" pivotButton="0" quotePrefix="0" xfId="0">
      <alignment horizontal="left" vertical="center"/>
    </xf>
    <xf numFmtId="1" fontId="49" fillId="23" borderId="1" applyAlignment="1" pivotButton="0" quotePrefix="0" xfId="0">
      <alignment horizontal="center" vertical="center" wrapText="1"/>
    </xf>
    <xf numFmtId="0" fontId="43" fillId="13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 vertical="center"/>
    </xf>
    <xf numFmtId="1" fontId="49" fillId="6" borderId="1" applyAlignment="1" pivotButton="0" quotePrefix="0" xfId="0">
      <alignment horizontal="center" vertical="center" wrapText="1"/>
    </xf>
    <xf numFmtId="164" fontId="45" fillId="6" borderId="1" applyAlignment="1" pivotButton="0" quotePrefix="0" xfId="0">
      <alignment horizontal="center" vertical="center" wrapText="1"/>
    </xf>
    <xf numFmtId="1" fontId="46" fillId="6" borderId="1" applyAlignment="1" pivotButton="0" quotePrefix="0" xfId="0">
      <alignment horizontal="center" vertical="center" wrapText="1"/>
    </xf>
    <xf numFmtId="0" fontId="50" fillId="38" borderId="1" applyAlignment="1" pivotButton="0" quotePrefix="0" xfId="0">
      <alignment horizontal="left" vertical="center"/>
    </xf>
    <xf numFmtId="0" fontId="50" fillId="39" borderId="1" applyAlignment="1" pivotButton="0" quotePrefix="0" xfId="0">
      <alignment horizontal="left" vertical="center"/>
    </xf>
    <xf numFmtId="0" fontId="48" fillId="0" borderId="1" pivotButton="0" quotePrefix="0" xfId="0"/>
    <xf numFmtId="0" fontId="50" fillId="40" borderId="1" applyAlignment="1" pivotButton="0" quotePrefix="0" xfId="0">
      <alignment horizontal="left" vertical="center"/>
    </xf>
    <xf numFmtId="0" fontId="47" fillId="0" borderId="1" applyAlignment="1" pivotButton="0" quotePrefix="0" xfId="0">
      <alignment horizontal="center" vertical="center"/>
    </xf>
    <xf numFmtId="0" fontId="50" fillId="6" borderId="1" applyAlignment="1" pivotButton="0" quotePrefix="0" xfId="0">
      <alignment horizontal="left"/>
    </xf>
    <xf numFmtId="0" fontId="43" fillId="6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/>
    </xf>
    <xf numFmtId="1" fontId="49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164" fontId="45" fillId="3" borderId="1" applyAlignment="1" pivotButton="0" quotePrefix="0" xfId="0">
      <alignment horizontal="center" vertical="center" wrapText="1"/>
    </xf>
    <xf numFmtId="1" fontId="46" fillId="3" borderId="1" applyAlignment="1" pivotButton="0" quotePrefix="0" xfId="0">
      <alignment horizontal="center" vertical="center" wrapText="1"/>
    </xf>
    <xf numFmtId="1" fontId="47" fillId="3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9" pivotButton="0" quotePrefix="0" xfId="0"/>
    <xf numFmtId="0" fontId="52" fillId="0" borderId="0" pivotButton="0" quotePrefix="0" xfId="0"/>
    <xf numFmtId="0" fontId="2" fillId="0" borderId="13" pivotButton="0" quotePrefix="0" xfId="0"/>
    <xf numFmtId="0" fontId="2" fillId="3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vertical="center"/>
    </xf>
    <xf numFmtId="0" fontId="29" fillId="0" borderId="1" pivotButton="0" quotePrefix="0" xfId="0"/>
    <xf numFmtId="0" fontId="29" fillId="0" borderId="1" applyAlignment="1" pivotButton="0" quotePrefix="0" xfId="0">
      <alignment wrapText="1"/>
    </xf>
    <xf numFmtId="20" fontId="2" fillId="3" borderId="1" pivotButton="0" quotePrefix="0" xfId="0"/>
    <xf numFmtId="0" fontId="2" fillId="6" borderId="1" pivotButton="0" quotePrefix="0" xfId="0"/>
    <xf numFmtId="20" fontId="2" fillId="6" borderId="1" pivotButton="0" quotePrefix="0" xfId="0"/>
    <xf numFmtId="0" fontId="2" fillId="10" borderId="1" pivotButton="0" quotePrefix="0" xfId="0"/>
    <xf numFmtId="1" fontId="2" fillId="3" borderId="0" pivotButton="0" quotePrefix="0" xfId="0"/>
    <xf numFmtId="0" fontId="2" fillId="6" borderId="0" pivotButton="0" quotePrefix="0" xfId="0"/>
    <xf numFmtId="0" fontId="2" fillId="10" borderId="0" pivotButton="0" quotePrefix="0" xfId="0"/>
    <xf numFmtId="1" fontId="2" fillId="3" borderId="1" pivotButton="0" quotePrefix="0" xfId="0"/>
    <xf numFmtId="0" fontId="54" fillId="13" borderId="1" applyAlignment="1" pivotButton="0" quotePrefix="0" xfId="0">
      <alignment horizontal="left" vertical="center" wrapText="1"/>
    </xf>
    <xf numFmtId="1" fontId="54" fillId="13" borderId="1" applyAlignment="1" pivotButton="0" quotePrefix="0" xfId="0">
      <alignment horizontal="right" wrapText="1"/>
    </xf>
    <xf numFmtId="0" fontId="54" fillId="10" borderId="1" applyAlignment="1" pivotButton="0" quotePrefix="0" xfId="0">
      <alignment horizontal="left" vertical="center" wrapText="1"/>
    </xf>
    <xf numFmtId="1" fontId="2" fillId="10" borderId="1" pivotButton="0" quotePrefix="0" xfId="0"/>
    <xf numFmtId="0" fontId="55" fillId="13" borderId="1" applyAlignment="1" pivotButton="0" quotePrefix="0" xfId="0">
      <alignment horizontal="left" vertical="center" wrapText="1"/>
    </xf>
    <xf numFmtId="0" fontId="54" fillId="13" borderId="1" applyAlignment="1" pivotButton="0" quotePrefix="0" xfId="0">
      <alignment horizontal="right" wrapText="1"/>
    </xf>
    <xf numFmtId="0" fontId="2" fillId="10" borderId="1" applyAlignment="1" pivotButton="0" quotePrefix="0" xfId="0">
      <alignment horizontal="left"/>
    </xf>
    <xf numFmtId="1" fontId="2" fillId="0" borderId="1" pivotButton="0" quotePrefix="0" xfId="0"/>
    <xf numFmtId="0" fontId="2" fillId="0" borderId="0" applyAlignment="1" pivotButton="0" quotePrefix="0" xfId="0">
      <alignment vertical="center"/>
    </xf>
    <xf numFmtId="173" fontId="2" fillId="0" borderId="0" pivotButton="0" quotePrefix="0" xfId="0"/>
    <xf numFmtId="0" fontId="56" fillId="0" borderId="0" applyAlignment="1" pivotButton="0" quotePrefix="0" xfId="0">
      <alignment horizontal="centerContinuous" vertical="center"/>
    </xf>
    <xf numFmtId="0" fontId="57" fillId="0" borderId="0" applyAlignment="1" pivotButton="0" quotePrefix="0" xfId="0">
      <alignment horizontal="centerContinuous" vertical="center"/>
    </xf>
    <xf numFmtId="1" fontId="58" fillId="0" borderId="14" applyAlignment="1" pivotButton="0" quotePrefix="0" xfId="0">
      <alignment horizontal="center" vertical="center" wrapText="1"/>
    </xf>
    <xf numFmtId="175" fontId="58" fillId="0" borderId="15" applyAlignment="1" pivotButton="0" quotePrefix="0" xfId="0">
      <alignment horizontal="center" vertical="center" wrapText="1"/>
    </xf>
    <xf numFmtId="0" fontId="58" fillId="6" borderId="15" applyAlignment="1" pivotButton="0" quotePrefix="0" xfId="0">
      <alignment horizontal="center" vertical="center"/>
    </xf>
    <xf numFmtId="0" fontId="58" fillId="6" borderId="21" applyAlignment="1" pivotButton="0" quotePrefix="0" xfId="0">
      <alignment horizontal="center" vertical="center"/>
    </xf>
    <xf numFmtId="0" fontId="53" fillId="0" borderId="0" pivotButton="0" quotePrefix="0" xfId="0"/>
    <xf numFmtId="0" fontId="58" fillId="6" borderId="14" applyAlignment="1" pivotButton="0" quotePrefix="0" xfId="0">
      <alignment horizontal="center" vertical="center"/>
    </xf>
    <xf numFmtId="0" fontId="58" fillId="6" borderId="22" applyAlignment="1" pivotButton="0" quotePrefix="0" xfId="0">
      <alignment horizontal="center" vertical="center"/>
    </xf>
    <xf numFmtId="0" fontId="58" fillId="6" borderId="1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/>
    </xf>
    <xf numFmtId="1" fontId="53" fillId="6" borderId="1" applyAlignment="1" pivotButton="0" quotePrefix="0" xfId="0">
      <alignment horizontal="center"/>
    </xf>
    <xf numFmtId="1" fontId="53" fillId="6" borderId="23" applyAlignment="1" pivotButton="0" quotePrefix="0" xfId="0">
      <alignment horizontal="center"/>
    </xf>
    <xf numFmtId="1" fontId="2" fillId="1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/>
    </xf>
    <xf numFmtId="0" fontId="2" fillId="10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right" vertical="center"/>
    </xf>
    <xf numFmtId="0" fontId="2" fillId="0" borderId="2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176" fontId="2" fillId="9" borderId="1" applyAlignment="1" pivotButton="0" quotePrefix="0" xfId="0">
      <alignment horizontal="center" vertical="center"/>
    </xf>
    <xf numFmtId="176" fontId="2" fillId="9" borderId="23" applyAlignment="1" pivotButton="0" quotePrefix="0" xfId="0">
      <alignment horizontal="center" vertical="center"/>
    </xf>
    <xf numFmtId="177" fontId="2" fillId="0" borderId="4" applyAlignment="1" pivotButton="0" quotePrefix="0" xfId="0">
      <alignment horizontal="center" vertical="center"/>
    </xf>
    <xf numFmtId="177" fontId="2" fillId="0" borderId="17" applyAlignment="1" pivotButton="0" quotePrefix="0" xfId="0">
      <alignment horizontal="center"/>
    </xf>
    <xf numFmtId="1" fontId="2" fillId="1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right" vertical="center"/>
    </xf>
    <xf numFmtId="0" fontId="2" fillId="0" borderId="17" applyAlignment="1" pivotButton="0" quotePrefix="0" xfId="0">
      <alignment horizontal="center" vertical="center"/>
    </xf>
    <xf numFmtId="0" fontId="33" fillId="9" borderId="4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164" fontId="2" fillId="9" borderId="23" applyAlignment="1" pivotButton="0" quotePrefix="0" xfId="0">
      <alignment horizontal="center" vertical="center"/>
    </xf>
    <xf numFmtId="1" fontId="2" fillId="0" borderId="4" applyAlignment="1" pivotButton="0" quotePrefix="0" xfId="0">
      <alignment horizontal="center" vertical="center"/>
    </xf>
    <xf numFmtId="1" fontId="2" fillId="0" borderId="17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9" fontId="2" fillId="9" borderId="1" applyAlignment="1" pivotButton="0" quotePrefix="0" xfId="0">
      <alignment horizontal="center" vertical="center"/>
    </xf>
    <xf numFmtId="166" fontId="2" fillId="9" borderId="17" applyAlignment="1" pivotButton="0" quotePrefix="0" xfId="0">
      <alignment horizontal="center"/>
    </xf>
    <xf numFmtId="164" fontId="2" fillId="0" borderId="17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76" fontId="2" fillId="17" borderId="1" applyAlignment="1" pivotButton="0" quotePrefix="0" xfId="0">
      <alignment horizontal="center" vertical="center"/>
    </xf>
    <xf numFmtId="176" fontId="2" fillId="17" borderId="23" applyAlignment="1" pivotButton="0" quotePrefix="0" xfId="0">
      <alignment horizontal="center" vertical="center"/>
    </xf>
    <xf numFmtId="0" fontId="2" fillId="10" borderId="4" applyAlignment="1" pivotButton="0" quotePrefix="0" xfId="0">
      <alignment horizontal="right" vertical="center"/>
    </xf>
    <xf numFmtId="9" fontId="2" fillId="10" borderId="17" applyAlignment="1" pivotButton="0" quotePrefix="0" xfId="0">
      <alignment horizontal="center" vertical="center"/>
    </xf>
    <xf numFmtId="0" fontId="33" fillId="17" borderId="4" applyAlignment="1" pivotButton="0" quotePrefix="0" xfId="0">
      <alignment horizontal="center" vertical="center"/>
    </xf>
    <xf numFmtId="164" fontId="2" fillId="17" borderId="1" applyAlignment="1" pivotButton="0" quotePrefix="0" xfId="0">
      <alignment horizontal="center" vertical="center"/>
    </xf>
    <xf numFmtId="164" fontId="2" fillId="17" borderId="23" applyAlignment="1" pivotButton="0" quotePrefix="0" xfId="0">
      <alignment horizontal="center" vertical="center"/>
    </xf>
    <xf numFmtId="0" fontId="33" fillId="33" borderId="4" applyAlignment="1" pivotButton="0" quotePrefix="0" xfId="0">
      <alignment horizontal="center" vertical="center"/>
    </xf>
    <xf numFmtId="9" fontId="2" fillId="17" borderId="1" applyAlignment="1" pivotButton="0" quotePrefix="0" xfId="0">
      <alignment horizontal="center"/>
    </xf>
    <xf numFmtId="0" fontId="2" fillId="33" borderId="4" applyAlignment="1" pivotButton="0" quotePrefix="0" xfId="0">
      <alignment horizontal="center" vertical="center"/>
    </xf>
    <xf numFmtId="176" fontId="2" fillId="33" borderId="1" applyAlignment="1" pivotButton="0" quotePrefix="0" xfId="0">
      <alignment horizontal="center" vertical="center"/>
    </xf>
    <xf numFmtId="176" fontId="2" fillId="33" borderId="23" applyAlignment="1" pivotButton="0" quotePrefix="0" xfId="0">
      <alignment horizontal="center" vertical="center"/>
    </xf>
    <xf numFmtId="164" fontId="2" fillId="33" borderId="1" applyAlignment="1" pivotButton="0" quotePrefix="0" xfId="0">
      <alignment horizontal="center" vertical="center"/>
    </xf>
    <xf numFmtId="164" fontId="2" fillId="33" borderId="23" applyAlignment="1" pivotButton="0" quotePrefix="0" xfId="0">
      <alignment horizontal="center" vertical="center"/>
    </xf>
    <xf numFmtId="9" fontId="2" fillId="33" borderId="1" applyAlignment="1" pivotButton="0" quotePrefix="0" xfId="0">
      <alignment horizontal="center" vertical="center"/>
    </xf>
    <xf numFmtId="0" fontId="33" fillId="9" borderId="18" applyAlignment="1" pivotButton="0" quotePrefix="0" xfId="0">
      <alignment horizontal="center" vertical="center"/>
    </xf>
    <xf numFmtId="0" fontId="2" fillId="0" borderId="24" pivotButton="0" quotePrefix="0" xfId="0"/>
    <xf numFmtId="164" fontId="2" fillId="0" borderId="19" applyAlignment="1" pivotButton="0" quotePrefix="0" xfId="0">
      <alignment horizontal="center" vertical="center"/>
    </xf>
    <xf numFmtId="164" fontId="2" fillId="0" borderId="25" applyAlignment="1" pivotButton="0" quotePrefix="0" xfId="0">
      <alignment horizontal="center" vertical="center"/>
    </xf>
    <xf numFmtId="1" fontId="2" fillId="0" borderId="18" applyAlignment="1" pivotButton="0" quotePrefix="0" xfId="0">
      <alignment horizontal="center" vertical="center"/>
    </xf>
    <xf numFmtId="1" fontId="2" fillId="0" borderId="20" applyAlignment="1" pivotButton="0" quotePrefix="0" xfId="0">
      <alignment horizontal="center"/>
    </xf>
    <xf numFmtId="0" fontId="53" fillId="0" borderId="26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/>
    </xf>
    <xf numFmtId="0" fontId="29" fillId="2" borderId="27" applyAlignment="1" pivotButton="0" quotePrefix="0" xfId="0">
      <alignment horizontal="center" vertical="center"/>
    </xf>
    <xf numFmtId="0" fontId="2" fillId="2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9" borderId="26" applyAlignment="1" pivotButton="0" quotePrefix="0" xfId="0">
      <alignment horizontal="centerContinuous" vertical="center" wrapText="1"/>
    </xf>
    <xf numFmtId="0" fontId="2" fillId="9" borderId="28" applyAlignment="1" pivotButton="0" quotePrefix="0" xfId="0">
      <alignment horizontal="centerContinuous" vertical="center" wrapText="1"/>
    </xf>
    <xf numFmtId="1" fontId="33" fillId="0" borderId="14" applyAlignment="1" pivotButton="0" quotePrefix="0" xfId="0">
      <alignment horizontal="center" vertical="center"/>
    </xf>
    <xf numFmtId="0" fontId="58" fillId="6" borderId="1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0" fontId="29" fillId="3" borderId="4" applyAlignment="1" pivotButton="0" quotePrefix="0" xfId="0">
      <alignment horizontal="center" vertical="center"/>
    </xf>
    <xf numFmtId="0" fontId="2" fillId="9" borderId="29" applyAlignment="1" pivotButton="0" quotePrefix="0" xfId="0">
      <alignment horizontal="centerContinuous" vertical="center" wrapText="1"/>
    </xf>
    <xf numFmtId="0" fontId="2" fillId="9" borderId="30" applyAlignment="1" pivotButton="0" quotePrefix="0" xfId="0">
      <alignment horizontal="centerContinuous" vertical="center" wrapText="1"/>
    </xf>
    <xf numFmtId="178" fontId="2" fillId="0" borderId="4" applyAlignment="1" pivotButton="0" quotePrefix="0" xfId="0">
      <alignment horizontal="center" vertical="center"/>
    </xf>
    <xf numFmtId="178" fontId="2" fillId="0" borderId="17" applyAlignment="1" pivotButton="0" quotePrefix="0" xfId="0">
      <alignment horizontal="center"/>
    </xf>
    <xf numFmtId="0" fontId="29" fillId="3" borderId="31" applyAlignment="1" pivotButton="0" quotePrefix="0" xfId="0">
      <alignment vertical="center"/>
    </xf>
    <xf numFmtId="0" fontId="2" fillId="3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/>
    </xf>
    <xf numFmtId="0" fontId="2" fillId="9" borderId="33" applyAlignment="1" pivotButton="0" quotePrefix="0" xfId="0">
      <alignment horizontal="centerContinuous" vertical="center" wrapText="1"/>
    </xf>
    <xf numFmtId="0" fontId="2" fillId="9" borderId="34" applyAlignment="1" pivotButton="0" quotePrefix="0" xfId="0">
      <alignment horizontal="centerContinuous" vertical="center" wrapText="1"/>
    </xf>
    <xf numFmtId="0" fontId="2" fillId="0" borderId="35" applyAlignment="1" pivotButton="0" quotePrefix="0" xfId="0">
      <alignment horizontal="center"/>
    </xf>
    <xf numFmtId="0" fontId="2" fillId="0" borderId="18" applyAlignment="1" pivotButton="0" quotePrefix="0" xfId="0">
      <alignment horizontal="right" vertical="center"/>
    </xf>
    <xf numFmtId="1" fontId="2" fillId="0" borderId="20" applyAlignment="1" pivotButton="0" quotePrefix="0" xfId="0">
      <alignment horizontal="center" vertical="center"/>
    </xf>
    <xf numFmtId="0" fontId="29" fillId="6" borderId="36" applyAlignment="1" pivotButton="0" quotePrefix="0" xfId="0">
      <alignment horizontal="center" vertical="center"/>
    </xf>
    <xf numFmtId="0" fontId="2" fillId="6" borderId="15" applyAlignment="1" pivotButton="0" quotePrefix="0" xfId="0">
      <alignment horizontal="center" vertical="center"/>
    </xf>
    <xf numFmtId="178" fontId="2" fillId="0" borderId="16" applyAlignment="1" pivotButton="0" quotePrefix="0" xfId="0">
      <alignment horizontal="center" vertical="center"/>
    </xf>
    <xf numFmtId="178" fontId="2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2" fillId="0" borderId="22" pivotButton="0" quotePrefix="0" xfId="0"/>
    <xf numFmtId="1" fontId="2" fillId="10" borderId="14" applyAlignment="1" pivotButton="0" quotePrefix="0" xfId="0">
      <alignment horizontal="center" vertical="center"/>
    </xf>
    <xf numFmtId="1" fontId="2" fillId="0" borderId="22" applyAlignment="1" pivotButton="0" quotePrefix="0" xfId="0">
      <alignment horizontal="center"/>
    </xf>
    <xf numFmtId="0" fontId="2" fillId="0" borderId="31" pivotButton="0" quotePrefix="0" xfId="0"/>
    <xf numFmtId="0" fontId="2" fillId="6" borderId="19" applyAlignment="1" pivotButton="0" quotePrefix="0" xfId="0">
      <alignment horizontal="center" vertical="center"/>
    </xf>
    <xf numFmtId="164" fontId="2" fillId="0" borderId="32" applyAlignment="1" pivotButton="0" quotePrefix="0" xfId="0">
      <alignment horizontal="center"/>
    </xf>
    <xf numFmtId="0" fontId="2" fillId="0" borderId="19" pivotButton="0" quotePrefix="0" xfId="0"/>
    <xf numFmtId="0" fontId="2" fillId="0" borderId="20" pivotButton="0" quotePrefix="0" xfId="0"/>
    <xf numFmtId="164" fontId="2" fillId="0" borderId="18" applyAlignment="1" pivotButton="0" quotePrefix="0" xfId="0">
      <alignment horizontal="center" vertical="center"/>
    </xf>
    <xf numFmtId="1" fontId="2" fillId="3" borderId="22" applyAlignment="1" pivotButton="0" quotePrefix="0" xfId="0">
      <alignment horizontal="center" vertical="center"/>
    </xf>
    <xf numFmtId="1" fontId="2" fillId="3" borderId="17" applyAlignment="1" pivotButton="0" quotePrefix="0" xfId="0">
      <alignment horizontal="center" vertical="center"/>
    </xf>
    <xf numFmtId="0" fontId="59" fillId="7" borderId="14" applyAlignment="1" pivotButton="0" quotePrefix="0" xfId="0">
      <alignment vertical="center"/>
    </xf>
    <xf numFmtId="0" fontId="33" fillId="7" borderId="15" applyAlignment="1" pivotButton="0" quotePrefix="0" xfId="0">
      <alignment horizontal="center" vertical="center"/>
    </xf>
    <xf numFmtId="0" fontId="33" fillId="0" borderId="16" applyAlignment="1" pivotButton="0" quotePrefix="0" xfId="0">
      <alignment horizontal="center" vertical="center"/>
    </xf>
    <xf numFmtId="0" fontId="33" fillId="0" borderId="37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" fontId="2" fillId="0" borderId="0" pivotButton="0" quotePrefix="0" xfId="0"/>
    <xf numFmtId="1" fontId="2" fillId="3" borderId="20" applyAlignment="1" pivotButton="0" quotePrefix="0" xfId="0">
      <alignment horizontal="center" vertical="center"/>
    </xf>
    <xf numFmtId="0" fontId="59" fillId="9" borderId="4" applyAlignment="1" pivotButton="0" quotePrefix="0" xfId="0">
      <alignment vertical="center"/>
    </xf>
    <xf numFmtId="0" fontId="33" fillId="9" borderId="1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3" fillId="0" borderId="17" pivotButton="0" quotePrefix="0" xfId="0"/>
    <xf numFmtId="0" fontId="59" fillId="9" borderId="18" applyAlignment="1" pivotButton="0" quotePrefix="0" xfId="0">
      <alignment vertical="center"/>
    </xf>
    <xf numFmtId="0" fontId="33" fillId="9" borderId="19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 vertical="center"/>
    </xf>
    <xf numFmtId="0" fontId="33" fillId="0" borderId="19" applyAlignment="1" pivotButton="0" quotePrefix="0" xfId="0">
      <alignment horizontal="center"/>
    </xf>
    <xf numFmtId="0" fontId="33" fillId="0" borderId="19" pivotButton="0" quotePrefix="0" xfId="0"/>
    <xf numFmtId="0" fontId="33" fillId="0" borderId="20" pivotButton="0" quotePrefix="0" xfId="0"/>
    <xf numFmtId="0" fontId="59" fillId="0" borderId="38" applyAlignment="1" pivotButton="0" quotePrefix="0" xfId="0">
      <alignment vertical="center"/>
    </xf>
    <xf numFmtId="0" fontId="33" fillId="0" borderId="38" applyAlignment="1" pivotButton="0" quotePrefix="0" xfId="0">
      <alignment horizontal="center" vertical="center"/>
    </xf>
    <xf numFmtId="0" fontId="33" fillId="0" borderId="38" applyAlignment="1" pivotButton="0" quotePrefix="0" xfId="0">
      <alignment horizontal="center"/>
    </xf>
    <xf numFmtId="0" fontId="33" fillId="0" borderId="38" pivotButton="0" quotePrefix="0" xfId="0"/>
    <xf numFmtId="0" fontId="59" fillId="41" borderId="14" applyAlignment="1" pivotButton="0" quotePrefix="0" xfId="0">
      <alignment horizontal="center" vertical="center"/>
    </xf>
    <xf numFmtId="0" fontId="33" fillId="41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center" vertical="center"/>
    </xf>
    <xf numFmtId="1" fontId="33" fillId="0" borderId="15" applyAlignment="1" pivotButton="0" quotePrefix="0" xfId="0">
      <alignment horizontal="center"/>
    </xf>
    <xf numFmtId="0" fontId="33" fillId="0" borderId="15" applyAlignment="1" pivotButton="0" quotePrefix="0" xfId="0">
      <alignment horizontal="center"/>
    </xf>
    <xf numFmtId="0" fontId="33" fillId="0" borderId="22" applyAlignment="1" pivotButton="0" quotePrefix="0" xfId="0">
      <alignment horizontal="center"/>
    </xf>
    <xf numFmtId="1" fontId="2" fillId="0" borderId="39" applyAlignment="1" pivotButton="0" quotePrefix="0" xfId="0">
      <alignment horizontal="center" vertical="center"/>
    </xf>
    <xf numFmtId="0" fontId="59" fillId="41" borderId="4" applyAlignment="1" pivotButton="0" quotePrefix="0" xfId="0">
      <alignment horizontal="center" vertical="center"/>
    </xf>
    <xf numFmtId="0" fontId="33" fillId="41" borderId="1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/>
    </xf>
    <xf numFmtId="0" fontId="33" fillId="0" borderId="17" applyAlignment="1" pivotButton="0" quotePrefix="0" xfId="0">
      <alignment horizontal="center"/>
    </xf>
    <xf numFmtId="0" fontId="2" fillId="0" borderId="40" pivotButton="0" quotePrefix="0" xfId="0"/>
    <xf numFmtId="0" fontId="59" fillId="41" borderId="18" applyAlignment="1" pivotButton="0" quotePrefix="0" xfId="0">
      <alignment horizontal="center" vertical="center"/>
    </xf>
    <xf numFmtId="0" fontId="33" fillId="41" borderId="19" applyAlignment="1" pivotButton="0" quotePrefix="0" xfId="0">
      <alignment horizontal="left" vertical="center"/>
    </xf>
    <xf numFmtId="0" fontId="33" fillId="0" borderId="20" applyAlignment="1" pivotButton="0" quotePrefix="0" xfId="0">
      <alignment horizontal="center"/>
    </xf>
    <xf numFmtId="0" fontId="2" fillId="0" borderId="41" pivotButton="0" quotePrefix="0" xfId="0"/>
    <xf numFmtId="0" fontId="2" fillId="0" borderId="20" applyAlignment="1" pivotButton="0" quotePrefix="0" xfId="0">
      <alignment horizontal="center" vertical="center"/>
    </xf>
    <xf numFmtId="15" fontId="27" fillId="0" borderId="42" applyAlignment="1" pivotButton="0" quotePrefix="0" xfId="0">
      <alignment horizontal="center" vertical="center"/>
    </xf>
    <xf numFmtId="2" fontId="27" fillId="0" borderId="42" applyAlignment="1" pivotButton="0" quotePrefix="0" xfId="0">
      <alignment horizontal="center" vertical="center"/>
    </xf>
    <xf numFmtId="2" fontId="33" fillId="0" borderId="42" applyAlignment="1" pivotButton="0" quotePrefix="0" xfId="0">
      <alignment horizontal="center" vertical="center"/>
    </xf>
    <xf numFmtId="15" fontId="32" fillId="0" borderId="14" applyAlignment="1" pivotButton="0" quotePrefix="0" xfId="0">
      <alignment horizontal="centerContinuous" vertical="center"/>
    </xf>
    <xf numFmtId="15" fontId="32" fillId="0" borderId="15" applyAlignment="1" pivotButton="0" quotePrefix="0" xfId="0">
      <alignment horizontal="centerContinuous" vertical="center"/>
    </xf>
    <xf numFmtId="0" fontId="2" fillId="42" borderId="15" applyAlignment="1" pivotButton="0" quotePrefix="0" xfId="0">
      <alignment horizontal="center" vertical="center" wrapText="1"/>
    </xf>
    <xf numFmtId="0" fontId="2" fillId="9" borderId="15" applyAlignment="1" pivotButton="0" quotePrefix="0" xfId="0">
      <alignment horizontal="center" vertical="center" wrapText="1"/>
    </xf>
    <xf numFmtId="0" fontId="2" fillId="9" borderId="2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/>
    </xf>
    <xf numFmtId="0" fontId="37" fillId="0" borderId="4" applyAlignment="1" pivotButton="0" quotePrefix="0" xfId="0">
      <alignment horizontal="left"/>
    </xf>
    <xf numFmtId="1" fontId="2" fillId="3" borderId="1" applyAlignment="1" pivotButton="0" quotePrefix="0" xfId="0">
      <alignment horizontal="center"/>
    </xf>
    <xf numFmtId="0" fontId="2" fillId="0" borderId="18" applyAlignment="1" pivotButton="0" quotePrefix="0" xfId="0">
      <alignment horizontal="left"/>
    </xf>
    <xf numFmtId="1" fontId="2" fillId="3" borderId="19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/>
    </xf>
    <xf numFmtId="1" fontId="2" fillId="0" borderId="19" applyAlignment="1" pivotButton="0" quotePrefix="0" xfId="0">
      <alignment horizontal="center" vertical="center"/>
    </xf>
    <xf numFmtId="0" fontId="2" fillId="0" borderId="43" applyAlignment="1" pivotButton="0" quotePrefix="0" xfId="0">
      <alignment horizontal="center" vertical="center"/>
    </xf>
    <xf numFmtId="0" fontId="29" fillId="0" borderId="14" applyAlignment="1" pivotButton="0" quotePrefix="0" xfId="0">
      <alignment horizontal="center" vertical="center"/>
    </xf>
    <xf numFmtId="0" fontId="2" fillId="0" borderId="44" pivotButton="0" quotePrefix="0" xfId="0"/>
    <xf numFmtId="0" fontId="2" fillId="0" borderId="45" pivotButton="0" quotePrefix="0" xfId="0"/>
    <xf numFmtId="1" fontId="53" fillId="0" borderId="19" applyAlignment="1" pivotButton="0" quotePrefix="0" xfId="0">
      <alignment horizontal="center"/>
    </xf>
    <xf numFmtId="0" fontId="24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9" fillId="18" borderId="1" applyAlignment="1" pivotButton="0" quotePrefix="0" xfId="0">
      <alignment horizontal="center" vertical="center"/>
    </xf>
    <xf numFmtId="0" fontId="15" fillId="30" borderId="1" applyAlignment="1" pivotButton="0" quotePrefix="0" xfId="0">
      <alignment horizontal="center" vertical="center"/>
    </xf>
    <xf numFmtId="0" fontId="60" fillId="3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1" fontId="2" fillId="4" borderId="6" applyAlignment="1" pivotButton="0" quotePrefix="0" xfId="0">
      <alignment horizontal="center" vertical="center"/>
    </xf>
    <xf numFmtId="1" fontId="2" fillId="3" borderId="6" applyAlignment="1" pivotButton="0" quotePrefix="0" xfId="0">
      <alignment horizontal="center" vertical="center"/>
    </xf>
    <xf numFmtId="0" fontId="30" fillId="0" borderId="9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2" fontId="30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left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27" fillId="6" borderId="9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/>
    </xf>
    <xf numFmtId="2" fontId="27" fillId="6" borderId="1" applyAlignment="1" pivotButton="0" quotePrefix="0" xfId="0">
      <alignment horizontal="center" vertical="center"/>
    </xf>
    <xf numFmtId="0" fontId="27" fillId="6" borderId="3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 vertical="center"/>
    </xf>
    <xf numFmtId="1" fontId="27" fillId="6" borderId="1" applyAlignment="1" pivotButton="0" quotePrefix="0" xfId="0">
      <alignment horizontal="center"/>
    </xf>
    <xf numFmtId="2" fontId="27" fillId="6" borderId="1" applyAlignment="1" pivotButton="0" quotePrefix="0" xfId="0">
      <alignment horizontal="center"/>
    </xf>
    <xf numFmtId="0" fontId="27" fillId="6" borderId="9" applyAlignment="1" pivotButton="0" quotePrefix="0" xfId="0">
      <alignment horizontal="center"/>
    </xf>
    <xf numFmtId="0" fontId="27" fillId="6" borderId="1" applyAlignment="1" pivotButton="0" quotePrefix="0" xfId="0">
      <alignment horizontal="center"/>
    </xf>
    <xf numFmtId="2" fontId="27" fillId="6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 wrapText="1"/>
    </xf>
    <xf numFmtId="0" fontId="27" fillId="7" borderId="9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1" fontId="27" fillId="7" borderId="1" applyAlignment="1" pivotButton="0" quotePrefix="0" xfId="0">
      <alignment horizontal="center"/>
    </xf>
    <xf numFmtId="2" fontId="27" fillId="7" borderId="1" applyAlignment="1" pivotButton="0" quotePrefix="0" xfId="0">
      <alignment horizontal="center"/>
    </xf>
    <xf numFmtId="0" fontId="27" fillId="7" borderId="3" applyAlignment="1" pivotButton="0" quotePrefix="0" xfId="0">
      <alignment horizontal="center" vertical="center"/>
    </xf>
    <xf numFmtId="1" fontId="27" fillId="7" borderId="1" applyAlignment="1" pivotButton="0" quotePrefix="0" xfId="0">
      <alignment horizontal="center" vertical="center"/>
    </xf>
    <xf numFmtId="2" fontId="27" fillId="7" borderId="1" applyAlignment="1" pivotButton="0" quotePrefix="0" xfId="0">
      <alignment horizontal="center" vertical="center"/>
    </xf>
    <xf numFmtId="2" fontId="27" fillId="7" borderId="3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/>
    </xf>
    <xf numFmtId="0" fontId="27" fillId="7" borderId="9" applyAlignment="1" pivotButton="0" quotePrefix="0" xfId="0">
      <alignment horizontal="center"/>
    </xf>
    <xf numFmtId="0" fontId="27" fillId="43" borderId="1" pivotButton="0" quotePrefix="0" xfId="0"/>
    <xf numFmtId="0" fontId="27" fillId="43" borderId="9" applyAlignment="1" pivotButton="0" quotePrefix="0" xfId="0">
      <alignment horizontal="center" vertical="center"/>
    </xf>
    <xf numFmtId="0" fontId="27" fillId="43" borderId="1" applyAlignment="1" pivotButton="0" quotePrefix="0" xfId="0">
      <alignment horizontal="center" vertical="center"/>
    </xf>
    <xf numFmtId="0" fontId="27" fillId="43" borderId="1" applyAlignment="1" pivotButton="0" quotePrefix="0" xfId="0">
      <alignment horizontal="left" vertical="center"/>
    </xf>
    <xf numFmtId="1" fontId="27" fillId="43" borderId="1" applyAlignment="1" pivotButton="0" quotePrefix="0" xfId="0">
      <alignment horizontal="center" vertical="center"/>
    </xf>
    <xf numFmtId="2" fontId="27" fillId="43" borderId="1" applyAlignment="1" pivotButton="0" quotePrefix="0" xfId="0">
      <alignment horizontal="center" vertical="center"/>
    </xf>
    <xf numFmtId="0" fontId="27" fillId="43" borderId="3" applyAlignment="1" pivotButton="0" quotePrefix="0" xfId="0">
      <alignment horizontal="center" vertical="center"/>
    </xf>
    <xf numFmtId="1" fontId="27" fillId="43" borderId="1" applyAlignment="1" pivotButton="0" quotePrefix="0" xfId="0">
      <alignment horizontal="center"/>
    </xf>
    <xf numFmtId="2" fontId="27" fillId="43" borderId="1" applyAlignment="1" pivotButton="0" quotePrefix="0" xfId="0">
      <alignment horizontal="center"/>
    </xf>
    <xf numFmtId="0" fontId="27" fillId="43" borderId="9" applyAlignment="1" pivotButton="0" quotePrefix="0" xfId="0">
      <alignment horizontal="center"/>
    </xf>
    <xf numFmtId="0" fontId="27" fillId="43" borderId="1" applyAlignment="1" pivotButton="0" quotePrefix="0" xfId="0">
      <alignment horizontal="center"/>
    </xf>
    <xf numFmtId="0" fontId="27" fillId="43" borderId="1" applyAlignment="1" pivotButton="0" quotePrefix="0" xfId="0">
      <alignment horizontal="left"/>
    </xf>
    <xf numFmtId="1" fontId="27" fillId="43" borderId="1" pivotButton="0" quotePrefix="0" xfId="0"/>
    <xf numFmtId="2" fontId="27" fillId="43" borderId="1" pivotButton="0" quotePrefix="0" xfId="0"/>
    <xf numFmtId="0" fontId="33" fillId="43" borderId="1" applyAlignment="1" pivotButton="0" quotePrefix="0" xfId="0">
      <alignment horizontal="left"/>
    </xf>
    <xf numFmtId="0" fontId="27" fillId="43" borderId="3" applyAlignment="1" pivotButton="0" quotePrefix="0" xfId="0">
      <alignment horizontal="center"/>
    </xf>
    <xf numFmtId="0" fontId="2" fillId="43" borderId="1" pivotButton="0" quotePrefix="0" xfId="0"/>
    <xf numFmtId="0" fontId="61" fillId="43" borderId="9" applyAlignment="1" pivotButton="0" quotePrefix="0" xfId="0">
      <alignment horizontal="center"/>
    </xf>
    <xf numFmtId="2" fontId="27" fillId="43" borderId="3" applyAlignment="1" pivotButton="0" quotePrefix="0" xfId="0">
      <alignment horizontal="center" vertical="center"/>
    </xf>
    <xf numFmtId="0" fontId="33" fillId="43" borderId="1" applyAlignment="1" pivotButton="0" quotePrefix="0" xfId="0">
      <alignment horizontal="left" vertical="center"/>
    </xf>
    <xf numFmtId="179" fontId="27" fillId="43" borderId="1" applyAlignment="1" pivotButton="0" quotePrefix="0" xfId="0">
      <alignment horizontal="center" vertical="center"/>
    </xf>
    <xf numFmtId="0" fontId="33" fillId="43" borderId="0" pivotButton="0" quotePrefix="0" xfId="0"/>
    <xf numFmtId="0" fontId="27" fillId="13" borderId="1" pivotButton="0" quotePrefix="0" xfId="0"/>
    <xf numFmtId="0" fontId="27" fillId="13" borderId="9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left" vertical="center"/>
    </xf>
    <xf numFmtId="2" fontId="27" fillId="13" borderId="3" applyAlignment="1" pivotButton="0" quotePrefix="0" xfId="0">
      <alignment horizontal="center" vertical="center"/>
    </xf>
    <xf numFmtId="2" fontId="27" fillId="13" borderId="1" applyAlignment="1" pivotButton="0" quotePrefix="0" xfId="0">
      <alignment horizontal="center" vertical="center"/>
    </xf>
    <xf numFmtId="0" fontId="27" fillId="13" borderId="46" applyAlignment="1" pivotButton="0" quotePrefix="0" xfId="0">
      <alignment horizontal="center" vertical="center"/>
    </xf>
    <xf numFmtId="0" fontId="27" fillId="13" borderId="6" applyAlignment="1" pivotButton="0" quotePrefix="0" xfId="0">
      <alignment horizontal="center" vertical="center"/>
    </xf>
    <xf numFmtId="0" fontId="27" fillId="13" borderId="6" applyAlignment="1" pivotButton="0" quotePrefix="0" xfId="0">
      <alignment horizontal="left" vertical="center"/>
    </xf>
    <xf numFmtId="2" fontId="27" fillId="13" borderId="47" applyAlignment="1" pivotButton="0" quotePrefix="0" xfId="0">
      <alignment horizontal="center" vertical="center"/>
    </xf>
    <xf numFmtId="2" fontId="27" fillId="13" borderId="6" applyAlignment="1" pivotButton="0" quotePrefix="0" xfId="0">
      <alignment horizontal="center" vertical="center"/>
    </xf>
    <xf numFmtId="0" fontId="27" fillId="4" borderId="1" pivotButton="0" quotePrefix="0" xfId="0"/>
    <xf numFmtId="0" fontId="27" fillId="4" borderId="46" applyAlignment="1" pivotButton="0" quotePrefix="0" xfId="0">
      <alignment horizontal="center" vertical="center"/>
    </xf>
    <xf numFmtId="0" fontId="27" fillId="4" borderId="6" applyAlignment="1" pivotButton="0" quotePrefix="0" xfId="0">
      <alignment horizontal="center" vertical="center"/>
    </xf>
    <xf numFmtId="0" fontId="27" fillId="4" borderId="6" applyAlignment="1" pivotButton="0" quotePrefix="0" xfId="0">
      <alignment horizontal="left" vertical="center"/>
    </xf>
    <xf numFmtId="2" fontId="27" fillId="4" borderId="47" applyAlignment="1" pivotButton="0" quotePrefix="0" xfId="0">
      <alignment horizontal="center" vertical="center"/>
    </xf>
    <xf numFmtId="2" fontId="27" fillId="4" borderId="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left" vertical="center"/>
    </xf>
    <xf numFmtId="2" fontId="27" fillId="4" borderId="3" applyAlignment="1" pivotButton="0" quotePrefix="0" xfId="0">
      <alignment horizontal="center" vertical="center"/>
    </xf>
    <xf numFmtId="2" fontId="27" fillId="4" borderId="1" applyAlignment="1" pivotButton="0" quotePrefix="0" xfId="0">
      <alignment horizontal="center" vertical="center"/>
    </xf>
    <xf numFmtId="0" fontId="62" fillId="44" borderId="48" applyAlignment="1" pivotButton="0" quotePrefix="0" xfId="0">
      <alignment horizontal="center" vertical="center"/>
    </xf>
    <xf numFmtId="0" fontId="62" fillId="45" borderId="48" applyAlignment="1" pivotButton="0" quotePrefix="0" xfId="0">
      <alignment horizontal="center" vertical="center"/>
    </xf>
    <xf numFmtId="0" fontId="63" fillId="46" borderId="48" applyAlignment="1" pivotButton="0" quotePrefix="0" xfId="0">
      <alignment horizontal="center" vertical="center"/>
    </xf>
    <xf numFmtId="20" fontId="63" fillId="46" borderId="48" applyAlignment="1" pivotButton="0" quotePrefix="0" xfId="0">
      <alignment horizontal="center" vertical="center"/>
    </xf>
    <xf numFmtId="0" fontId="64" fillId="47" borderId="48" applyAlignment="1" pivotButton="0" quotePrefix="0" xfId="0">
      <alignment horizontal="left" vertical="center"/>
    </xf>
    <xf numFmtId="20" fontId="64" fillId="47" borderId="48" applyAlignment="1" pivotButton="0" quotePrefix="0" xfId="0">
      <alignment horizontal="left" vertical="center"/>
    </xf>
    <xf numFmtId="0" fontId="64" fillId="48" borderId="48" applyAlignment="1" pivotButton="0" quotePrefix="0" xfId="0">
      <alignment horizontal="left" vertical="center"/>
    </xf>
    <xf numFmtId="20" fontId="64" fillId="48" borderId="48" applyAlignment="1" pivotButton="0" quotePrefix="0" xfId="0">
      <alignment horizontal="left" vertical="center"/>
    </xf>
    <xf numFmtId="0" fontId="64" fillId="49" borderId="48" applyAlignment="1" pivotButton="0" quotePrefix="0" xfId="0">
      <alignment horizontal="left" vertical="center"/>
    </xf>
    <xf numFmtId="0" fontId="64" fillId="49" borderId="48" applyAlignment="1" pivotButton="0" quotePrefix="0" xfId="0">
      <alignment horizontal="right" vertical="center"/>
    </xf>
    <xf numFmtId="1" fontId="64" fillId="47" borderId="48" applyAlignment="1" pivotButton="0" quotePrefix="0" xfId="0">
      <alignment horizontal="left" vertical="center"/>
    </xf>
    <xf numFmtId="1" fontId="64" fillId="48" borderId="48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externalLink" Target="/xl/externalLinks/externalLink1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l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3" displayName="Table3" ref="B1:P378" headerRowCount="1">
  <autoFilter ref="B1:P378"/>
  <tableColumns count="15">
    <tableColumn id="2" name="SKU"/>
    <tableColumn id="3" name="RAW_WIP_CODE"/>
    <tableColumn id="4" name="Customer"/>
    <tableColumn id="5" name="Product_Group"/>
    <tableColumn id="6" name="Avg_Case_Weight"/>
    <tableColumn id="7" name="Trays_Per_Case"/>
    <tableColumn id="8" name="Tray_Type"/>
    <tableColumn id="9" name="Tray_Size"/>
    <tableColumn id="10" name="SKU_Desc"/>
    <tableColumn id="11" name="Tray Pack Speed"/>
    <tableColumn id="12" name="Package_Type"/>
    <tableColumn id="13" name="STD"/>
    <tableColumn id="14" name="Class"/>
    <tableColumn id="15" name="Weight"/>
    <tableColumn id="16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on_Report" displayName="Production_Report" ref="A1:L108" headerRowCount="1">
  <autoFilter ref="A1:L108"/>
  <tableColumns count="12">
    <tableColumn id="1" name="Code"/>
    <tableColumn id="2" name="Description"/>
    <tableColumn id="3" name="Planned"/>
    <tableColumn id="4" name="Require"/>
    <tableColumn id="5" name="Produced"/>
    <tableColumn id="6" name="Diff"/>
    <tableColumn id="7" name="Net WT"/>
    <tableColumn id="8" name="Gross WT"/>
    <tableColumn id="9" name="% Tare"/>
    <tableColumn id="10" name="Under"/>
    <tableColumn id="11" name="Over"/>
    <tableColumn id="12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"/>
  <sheetViews>
    <sheetView workbookViewId="0">
      <selection activeCell="A1" sqref="A1"/>
    </sheetView>
  </sheetViews>
  <sheetFormatPr baseColWidth="8" defaultRowHeight="14.5"/>
  <cols>
    <col width="8.7265625" customWidth="1" min="1" max="1"/>
    <col width="8" customWidth="1" min="2" max="2"/>
    <col width="17.26953125" customWidth="1" min="3" max="3"/>
    <col width="11.26953125" customWidth="1" min="4" max="4"/>
    <col width="19.08984375" customWidth="1" min="5" max="5"/>
    <col width="17.26953125" customWidth="1" min="6" max="6"/>
    <col width="16.26953125" customWidth="1" min="7" max="7"/>
    <col width="12.26953125" customWidth="1" min="8" max="8"/>
    <col width="11.7265625" customWidth="1" min="9" max="9"/>
    <col width="57.26953125" customWidth="1" min="10" max="10"/>
    <col width="11.7265625" customWidth="1" min="11" max="11"/>
    <col width="15" customWidth="1" min="12" max="12"/>
    <col width="8" customWidth="1" min="13" max="13"/>
    <col width="8.7265625" customWidth="1" min="14" max="14"/>
    <col width="9.54296875" customWidth="1" min="15" max="15"/>
    <col width="8.54296875" customWidth="1" min="16" max="16"/>
    <col width="14.26953125" customWidth="1" min="19" max="19"/>
    <col width="8.54296875" customWidth="1" min="20" max="20"/>
  </cols>
  <sheetData>
    <row r="1" ht="25" customHeight="1">
      <c r="A1" s="175" t="inlineStr">
        <is>
          <t>Dept</t>
        </is>
      </c>
      <c r="B1" s="594" t="inlineStr">
        <is>
          <t>SKU</t>
        </is>
      </c>
      <c r="C1" s="595" t="inlineStr">
        <is>
          <t>RAW_WIP_CODE</t>
        </is>
      </c>
      <c r="D1" s="595" t="inlineStr">
        <is>
          <t>Customer</t>
        </is>
      </c>
      <c r="E1" s="595" t="inlineStr">
        <is>
          <t>Product_Group</t>
        </is>
      </c>
      <c r="F1" s="596" t="inlineStr">
        <is>
          <t>Avg_Case_Weight</t>
        </is>
      </c>
      <c r="G1" s="595" t="inlineStr">
        <is>
          <t>Trays_Per_Case</t>
        </is>
      </c>
      <c r="H1" s="595" t="inlineStr">
        <is>
          <t>Tray_Type</t>
        </is>
      </c>
      <c r="I1" s="595" t="inlineStr">
        <is>
          <t>Tray_Size</t>
        </is>
      </c>
      <c r="J1" s="597" t="inlineStr">
        <is>
          <t>SKU_Desc</t>
        </is>
      </c>
      <c r="K1" s="598" t="inlineStr">
        <is>
          <t>Tray Pack Speed</t>
        </is>
      </c>
      <c r="L1" s="598" t="inlineStr">
        <is>
          <t>Package_Type</t>
        </is>
      </c>
      <c r="M1" s="598" t="inlineStr">
        <is>
          <t>STD</t>
        </is>
      </c>
      <c r="N1" s="598" t="inlineStr">
        <is>
          <t>Class</t>
        </is>
      </c>
      <c r="O1" s="595" t="inlineStr">
        <is>
          <t>Weight</t>
        </is>
      </c>
      <c r="P1" s="599" t="inlineStr">
        <is>
          <t>Column1</t>
        </is>
      </c>
      <c r="R1" s="600" t="inlineStr">
        <is>
          <t>ORDER</t>
        </is>
      </c>
      <c r="S1" s="600" t="inlineStr">
        <is>
          <t>RAW Request_KG</t>
        </is>
      </c>
      <c r="T1" s="175" t="inlineStr">
        <is>
          <t>Yield</t>
        </is>
      </c>
    </row>
    <row r="2">
      <c r="A2" s="601" t="inlineStr">
        <is>
          <t>Cut_up</t>
        </is>
      </c>
      <c r="B2" s="602" t="n">
        <v>64</v>
      </c>
      <c r="C2" s="603" t="n"/>
      <c r="D2" s="603" t="inlineStr">
        <is>
          <t>Bulk Pack</t>
        </is>
      </c>
      <c r="E2" s="603" t="inlineStr">
        <is>
          <t>ThighMeat</t>
        </is>
      </c>
      <c r="F2" s="603" t="n">
        <v>5</v>
      </c>
      <c r="G2" s="603" t="n"/>
      <c r="H2" s="603" t="n"/>
      <c r="I2" s="603" t="n"/>
      <c r="J2" s="604" t="inlineStr">
        <is>
          <t>MB BSTHIGH AC BG 5KG</t>
        </is>
      </c>
      <c r="K2" s="605" t="n"/>
      <c r="L2" s="605" t="n"/>
      <c r="M2" s="605" t="n"/>
      <c r="N2" s="606" t="inlineStr">
        <is>
          <t>SILVER</t>
        </is>
      </c>
      <c r="O2" s="603" t="n"/>
      <c r="P2" s="154" t="n"/>
      <c r="R2" s="600">
        <f>_xludf.IFNA(_xlfn.XLOOKUP(Table3[[#This Row],[SKU]],'03_BulkPack_Order'!$A$2:$A$67,'03_BulkPack_Order'!C:C),"")</f>
        <v/>
      </c>
      <c r="S2" s="600">
        <f>IFERROR(R2*1,"")</f>
        <v/>
      </c>
      <c r="T2" s="600">
        <f>_xludf.IFNA(_xlfn.XLOOKUP(Table3[[#This Row],[SKU]],'00_Yield_Rates'!$B$2:$B$17,'00_Yield_Rates'!$E$2:$E$17),"")</f>
        <v/>
      </c>
    </row>
    <row r="3">
      <c r="A3" s="601" t="inlineStr">
        <is>
          <t>Cut_up</t>
        </is>
      </c>
      <c r="B3" s="602" t="n">
        <v>65</v>
      </c>
      <c r="C3" s="603" t="n"/>
      <c r="D3" s="603" t="inlineStr">
        <is>
          <t>Bulk Pack</t>
        </is>
      </c>
      <c r="E3" s="603" t="inlineStr">
        <is>
          <t>BSB</t>
        </is>
      </c>
      <c r="F3" s="603" t="n">
        <v>5</v>
      </c>
      <c r="G3" s="603" t="n"/>
      <c r="H3" s="603" t="n"/>
      <c r="I3" s="603" t="n"/>
      <c r="J3" s="604" t="inlineStr">
        <is>
          <t>MB BSHB AC RND 5KG</t>
        </is>
      </c>
      <c r="K3" s="605" t="n"/>
      <c r="L3" s="605" t="n"/>
      <c r="M3" s="605" t="n"/>
      <c r="N3" s="606" t="inlineStr">
        <is>
          <t>SILVER</t>
        </is>
      </c>
      <c r="O3" s="603" t="n"/>
      <c r="P3" s="154" t="n"/>
      <c r="R3" s="600">
        <f>_xludf.IFNA(_xlfn.XLOOKUP(Table3[[#This Row],[SKU]],'03_BulkPack_Order'!$A$2:$A$67,'03_BulkPack_Order'!C:C),"")</f>
        <v/>
      </c>
      <c r="S3" s="600">
        <f>IFERROR(R3*1,"")</f>
        <v/>
      </c>
      <c r="T3" s="600">
        <f>_xludf.IFNA(_xlfn.XLOOKUP(Table3[[#This Row],[SKU]],'00_Yield_Rates'!$B$2:$B$17,'00_Yield_Rates'!$E$2:$E$17),"")</f>
        <v/>
      </c>
    </row>
    <row r="4">
      <c r="A4" s="601" t="inlineStr">
        <is>
          <t>Cut_up</t>
        </is>
      </c>
      <c r="B4" s="602" t="n">
        <v>159</v>
      </c>
      <c r="C4" s="603" t="n"/>
      <c r="D4" s="603" t="inlineStr">
        <is>
          <t>Bulk Pack</t>
        </is>
      </c>
      <c r="E4" s="603" t="inlineStr">
        <is>
          <t>BA</t>
        </is>
      </c>
      <c r="F4" s="603" t="n"/>
      <c r="G4" s="603" t="n"/>
      <c r="H4" s="603" t="n"/>
      <c r="I4" s="603" t="n"/>
      <c r="J4" s="604" t="inlineStr">
        <is>
          <t>MS LEG BA 18KG</t>
        </is>
      </c>
      <c r="K4" s="605" t="n"/>
      <c r="L4" s="605" t="n"/>
      <c r="M4" s="605" t="n"/>
      <c r="N4" s="606" t="inlineStr">
        <is>
          <t>SILVER</t>
        </is>
      </c>
      <c r="O4" s="603" t="n"/>
      <c r="P4" s="154" t="n"/>
      <c r="R4" s="600">
        <f>_xludf.IFNA(_xlfn.XLOOKUP(Table3[[#This Row],[SKU]],'03_BulkPack_Order'!$A$2:$A$67,'03_BulkPack_Order'!C:C),"")</f>
        <v/>
      </c>
      <c r="S4" s="600">
        <f>IFERROR(R4*1,"")</f>
        <v/>
      </c>
      <c r="T4" s="600">
        <f>_xludf.IFNA(_xlfn.XLOOKUP(Table3[[#This Row],[SKU]],'00_Yield_Rates'!$B$2:$B$17,'00_Yield_Rates'!$E$2:$E$17),"")</f>
        <v/>
      </c>
    </row>
    <row r="5">
      <c r="A5" s="601" t="inlineStr">
        <is>
          <t>Cut_up</t>
        </is>
      </c>
      <c r="B5" s="602" t="n">
        <v>160</v>
      </c>
      <c r="C5" s="603" t="n"/>
      <c r="D5" s="603" t="inlineStr">
        <is>
          <t>Bulk Pack</t>
        </is>
      </c>
      <c r="E5" s="603" t="inlineStr">
        <is>
          <t>DRUM</t>
        </is>
      </c>
      <c r="F5" s="603" t="n"/>
      <c r="G5" s="603" t="n"/>
      <c r="H5" s="603" t="n"/>
      <c r="I5" s="603" t="n"/>
      <c r="J5" s="604" t="inlineStr">
        <is>
          <t>MS DRUM 18KG</t>
        </is>
      </c>
      <c r="K5" s="605" t="n"/>
      <c r="L5" s="605" t="n"/>
      <c r="M5" s="605" t="n"/>
      <c r="N5" s="606" t="inlineStr">
        <is>
          <t>SILVER</t>
        </is>
      </c>
      <c r="O5" s="603" t="n"/>
      <c r="P5" s="154" t="n"/>
      <c r="R5" s="600">
        <f>_xludf.IFNA(_xlfn.XLOOKUP(Table3[[#This Row],[SKU]],'03_BulkPack_Order'!$A$2:$A$67,'03_BulkPack_Order'!C:C),"")</f>
        <v/>
      </c>
      <c r="S5" s="600">
        <f>IFERROR(R5*1,"")</f>
        <v/>
      </c>
      <c r="T5" s="600">
        <f>_xludf.IFNA(_xlfn.XLOOKUP(Table3[[#This Row],[SKU]],'00_Yield_Rates'!$B$2:$B$17,'00_Yield_Rates'!$E$2:$E$17),"")</f>
        <v/>
      </c>
    </row>
    <row r="6">
      <c r="A6" s="601" t="inlineStr">
        <is>
          <t>Cut_up</t>
        </is>
      </c>
      <c r="B6" s="602" t="n">
        <v>161</v>
      </c>
      <c r="C6" s="603" t="n"/>
      <c r="D6" s="603" t="inlineStr">
        <is>
          <t>Bulk Pack</t>
        </is>
      </c>
      <c r="E6" s="603" t="inlineStr">
        <is>
          <t>Thigh</t>
        </is>
      </c>
      <c r="F6" s="603" t="n"/>
      <c r="G6" s="603" t="n"/>
      <c r="H6" s="603" t="n"/>
      <c r="I6" s="603" t="n"/>
      <c r="J6" s="604" t="inlineStr">
        <is>
          <t>MB THIGH 20KG</t>
        </is>
      </c>
      <c r="K6" s="605" t="n"/>
      <c r="L6" s="605" t="n"/>
      <c r="M6" s="605" t="n"/>
      <c r="N6" s="606" t="inlineStr">
        <is>
          <t>SILVER</t>
        </is>
      </c>
      <c r="O6" s="603" t="n"/>
      <c r="P6" s="154" t="n"/>
      <c r="R6" s="600">
        <f>_xludf.IFNA(_xlfn.XLOOKUP(Table3[[#This Row],[SKU]],'03_BulkPack_Order'!$A$2:$A$67,'03_BulkPack_Order'!C:C),"")</f>
        <v/>
      </c>
      <c r="S6" s="600">
        <f>IFERROR(R6*1,"")</f>
        <v/>
      </c>
      <c r="T6" s="600">
        <f>_xludf.IFNA(_xlfn.XLOOKUP(Table3[[#This Row],[SKU]],'00_Yield_Rates'!$B$2:$B$17,'00_Yield_Rates'!$E$2:$E$17),"")</f>
        <v/>
      </c>
    </row>
    <row r="7">
      <c r="A7" s="601" t="inlineStr">
        <is>
          <t>Cut_up</t>
        </is>
      </c>
      <c r="B7" s="602" t="n">
        <v>165</v>
      </c>
      <c r="C7" s="603" t="n"/>
      <c r="D7" s="603" t="inlineStr">
        <is>
          <t>Bulk Pack</t>
        </is>
      </c>
      <c r="E7" s="603" t="inlineStr">
        <is>
          <t>BSB</t>
        </is>
      </c>
      <c r="F7" s="603" t="n">
        <v>10</v>
      </c>
      <c r="G7" s="603" t="n"/>
      <c r="H7" s="603" t="n"/>
      <c r="I7" s="603" t="n"/>
      <c r="J7" s="604" t="inlineStr">
        <is>
          <t>MB BSHB AC RND 10KG</t>
        </is>
      </c>
      <c r="K7" s="605" t="n"/>
      <c r="L7" s="605" t="n"/>
      <c r="M7" s="605" t="n"/>
      <c r="N7" s="606" t="inlineStr">
        <is>
          <t>SILVER</t>
        </is>
      </c>
      <c r="O7" s="603" t="n"/>
      <c r="P7" s="154" t="n"/>
      <c r="R7" s="600">
        <f>_xludf.IFNA(_xlfn.XLOOKUP(Table3[[#This Row],[SKU]],'03_BulkPack_Order'!$A$2:$A$67,'03_BulkPack_Order'!C:C),"")</f>
        <v/>
      </c>
      <c r="S7" s="600">
        <f>IFERROR(R7*1,"")</f>
        <v/>
      </c>
      <c r="T7" s="600">
        <f>_xludf.IFNA(_xlfn.XLOOKUP(Table3[[#This Row],[SKU]],'00_Yield_Rates'!$B$2:$B$17,'00_Yield_Rates'!$E$2:$E$17),"")</f>
        <v/>
      </c>
    </row>
    <row r="8">
      <c r="A8" s="601" t="inlineStr">
        <is>
          <t>Cut_up</t>
        </is>
      </c>
      <c r="B8" s="602" t="n">
        <v>834</v>
      </c>
      <c r="C8" s="603" t="n"/>
      <c r="D8" s="603" t="inlineStr">
        <is>
          <t>Bulk Pack</t>
        </is>
      </c>
      <c r="E8" s="603" t="inlineStr">
        <is>
          <t>Thigh</t>
        </is>
      </c>
      <c r="F8" s="603" t="n">
        <v>18</v>
      </c>
      <c r="G8" s="603" t="n"/>
      <c r="H8" s="603" t="n"/>
      <c r="I8" s="603" t="n"/>
      <c r="J8" s="604" t="inlineStr">
        <is>
          <t>THIGH 18KG</t>
        </is>
      </c>
      <c r="K8" s="607" t="n"/>
      <c r="L8" s="607" t="n"/>
      <c r="M8" s="605" t="n"/>
      <c r="N8" s="606" t="inlineStr">
        <is>
          <t>SILVER</t>
        </is>
      </c>
      <c r="O8" s="603" t="n"/>
      <c r="P8" s="154" t="n"/>
      <c r="R8" s="600">
        <f>_xludf.IFNA(_xlfn.XLOOKUP(Table3[[#This Row],[SKU]],'03_BulkPack_Order'!$A$2:$A$67,'03_BulkPack_Order'!C:C),"")</f>
        <v/>
      </c>
      <c r="S8" s="600">
        <f>IFERROR(R8*1,"")</f>
        <v/>
      </c>
      <c r="T8" s="600">
        <f>_xludf.IFNA(_xlfn.XLOOKUP(Table3[[#This Row],[SKU]],'00_Yield_Rates'!$B$2:$B$17,'00_Yield_Rates'!$E$2:$E$17),"")</f>
        <v/>
      </c>
    </row>
    <row r="9">
      <c r="A9" s="601" t="inlineStr">
        <is>
          <t>Cut_up</t>
        </is>
      </c>
      <c r="B9" s="602" t="n">
        <v>868</v>
      </c>
      <c r="C9" s="603" t="n"/>
      <c r="D9" s="603" t="inlineStr">
        <is>
          <t>Bulk Pack</t>
        </is>
      </c>
      <c r="E9" s="603" t="inlineStr">
        <is>
          <t>SplitWing</t>
        </is>
      </c>
      <c r="F9" s="603" t="n">
        <v>18</v>
      </c>
      <c r="G9" s="603" t="n"/>
      <c r="H9" s="603" t="n"/>
      <c r="I9" s="603" t="n"/>
      <c r="J9" s="604" t="inlineStr">
        <is>
          <t>MB SPL WING 18KG</t>
        </is>
      </c>
      <c r="K9" s="608" t="n"/>
      <c r="L9" s="608" t="n"/>
      <c r="M9" s="609" t="n"/>
      <c r="N9" s="606" t="inlineStr">
        <is>
          <t>SILVER</t>
        </is>
      </c>
      <c r="O9" s="603" t="n"/>
      <c r="P9" s="154" t="n"/>
      <c r="R9" s="600">
        <f>_xludf.IFNA(_xlfn.XLOOKUP(Table3[[#This Row],[SKU]],'03_BulkPack_Order'!$A$2:$A$67,'03_BulkPack_Order'!C:C),"")</f>
        <v/>
      </c>
      <c r="S9" s="600">
        <f>IFERROR(R9*1,"")</f>
        <v/>
      </c>
      <c r="T9" s="600">
        <f>_xludf.IFNA(_xlfn.XLOOKUP(Table3[[#This Row],[SKU]],'00_Yield_Rates'!$B$2:$B$17,'00_Yield_Rates'!$E$2:$E$17),"")</f>
        <v/>
      </c>
    </row>
    <row r="10">
      <c r="A10" s="601" t="inlineStr">
        <is>
          <t>Cut_up</t>
        </is>
      </c>
      <c r="B10" s="602" t="n">
        <v>895</v>
      </c>
      <c r="C10" s="603" t="n"/>
      <c r="D10" s="603" t="inlineStr">
        <is>
          <t>Bulk Pack</t>
        </is>
      </c>
      <c r="E10" s="603" t="inlineStr">
        <is>
          <t>DRUM</t>
        </is>
      </c>
      <c r="F10" s="603" t="n"/>
      <c r="G10" s="603" t="n"/>
      <c r="H10" s="603" t="n"/>
      <c r="I10" s="603" t="n"/>
      <c r="J10" s="604" t="inlineStr">
        <is>
          <t>MB DRUM AC 18KG</t>
        </is>
      </c>
      <c r="K10" s="607" t="n"/>
      <c r="L10" s="607" t="n"/>
      <c r="M10" s="605" t="n"/>
      <c r="N10" s="606" t="inlineStr">
        <is>
          <t>GOLD</t>
        </is>
      </c>
      <c r="O10" s="603" t="n"/>
      <c r="P10" s="154" t="n"/>
      <c r="R10" s="600">
        <f>_xludf.IFNA(_xlfn.XLOOKUP(Table3[[#This Row],[SKU]],'03_BulkPack_Order'!$A$2:$A$67,'03_BulkPack_Order'!C:C),"")</f>
        <v/>
      </c>
      <c r="S10" s="600">
        <f>IFERROR(R10*1,"")</f>
        <v/>
      </c>
      <c r="T10" s="600">
        <f>_xludf.IFNA(_xlfn.XLOOKUP(Table3[[#This Row],[SKU]],'00_Yield_Rates'!$B$2:$B$17,'00_Yield_Rates'!$E$2:$E$17),"")</f>
        <v/>
      </c>
    </row>
    <row r="11">
      <c r="A11" s="601" t="inlineStr">
        <is>
          <t>Cut_up</t>
        </is>
      </c>
      <c r="B11" s="602" t="n">
        <v>902</v>
      </c>
      <c r="C11" s="603" t="n"/>
      <c r="D11" s="603" t="inlineStr">
        <is>
          <t>Bulk Pack</t>
        </is>
      </c>
      <c r="E11" s="603" t="inlineStr">
        <is>
          <t>Thigh</t>
        </is>
      </c>
      <c r="F11" s="603" t="n"/>
      <c r="G11" s="603" t="n"/>
      <c r="H11" s="603" t="n"/>
      <c r="I11" s="603" t="n"/>
      <c r="J11" s="604" t="n"/>
      <c r="K11" s="607" t="n"/>
      <c r="L11" s="607" t="n"/>
      <c r="M11" s="605" t="n"/>
      <c r="N11" s="606" t="inlineStr">
        <is>
          <t>SILVER</t>
        </is>
      </c>
      <c r="O11" s="603" t="n"/>
      <c r="P11" s="154" t="n"/>
      <c r="R11" s="600">
        <f>_xludf.IFNA(_xlfn.XLOOKUP(Table3[[#This Row],[SKU]],'03_BulkPack_Order'!$A$2:$A$67,'03_BulkPack_Order'!C:C),"")</f>
        <v/>
      </c>
      <c r="S11" s="600">
        <f>IFERROR(R11*1,"")</f>
        <v/>
      </c>
      <c r="T11" s="600">
        <f>_xludf.IFNA(_xlfn.XLOOKUP(Table3[[#This Row],[SKU]],'00_Yield_Rates'!$B$2:$B$17,'00_Yield_Rates'!$E$2:$E$17),"")</f>
        <v/>
      </c>
    </row>
    <row r="12">
      <c r="A12" s="601" t="inlineStr">
        <is>
          <t>Cut_up</t>
        </is>
      </c>
      <c r="B12" s="610" t="n">
        <v>904</v>
      </c>
      <c r="C12" s="603" t="n"/>
      <c r="D12" s="603" t="inlineStr">
        <is>
          <t>Bulk Pack</t>
        </is>
      </c>
      <c r="E12" s="603" t="inlineStr">
        <is>
          <t>WING</t>
        </is>
      </c>
      <c r="F12" s="605" t="n">
        <v>18</v>
      </c>
      <c r="G12" s="603" t="n"/>
      <c r="H12" s="603" t="n"/>
      <c r="I12" s="603" t="n"/>
      <c r="J12" s="604" t="inlineStr">
        <is>
          <t>MB WING AC 18KG</t>
        </is>
      </c>
      <c r="K12" s="607" t="n"/>
      <c r="L12" s="607" t="n"/>
      <c r="M12" s="605" t="n"/>
      <c r="N12" s="606" t="inlineStr">
        <is>
          <t>SILVER</t>
        </is>
      </c>
      <c r="O12" s="603" t="n"/>
      <c r="P12" s="154" t="n"/>
      <c r="R12" s="600">
        <f>_xludf.IFNA(_xlfn.XLOOKUP(Table3[[#This Row],[SKU]],'03_BulkPack_Order'!$A$2:$A$67,'03_BulkPack_Order'!C:C),"")</f>
        <v/>
      </c>
      <c r="S12" s="600">
        <f>IFERROR(R12*1,"")</f>
        <v/>
      </c>
      <c r="T12" s="600">
        <f>_xludf.IFNA(_xlfn.XLOOKUP(Table3[[#This Row],[SKU]],'00_Yield_Rates'!$B$2:$B$17,'00_Yield_Rates'!$E$2:$E$17),"")</f>
        <v/>
      </c>
    </row>
    <row r="13">
      <c r="A13" s="601" t="inlineStr">
        <is>
          <t>Cut_up</t>
        </is>
      </c>
      <c r="B13" s="602" t="n">
        <v>1026</v>
      </c>
      <c r="C13" s="603" t="n"/>
      <c r="D13" s="603" t="inlineStr">
        <is>
          <t>Bulk Pack</t>
        </is>
      </c>
      <c r="E13" s="603" t="inlineStr">
        <is>
          <t>WING</t>
        </is>
      </c>
      <c r="F13" s="603" t="n"/>
      <c r="G13" s="603" t="n"/>
      <c r="H13" s="603" t="n"/>
      <c r="I13" s="603" t="n"/>
      <c r="J13" s="604" t="n"/>
      <c r="K13" s="607" t="n"/>
      <c r="L13" s="607" t="n"/>
      <c r="M13" s="605" t="n"/>
      <c r="N13" s="606" t="inlineStr">
        <is>
          <t>SILVER</t>
        </is>
      </c>
      <c r="O13" s="603" t="n"/>
      <c r="P13" s="154" t="n"/>
      <c r="R13" s="600">
        <f>_xludf.IFNA(_xlfn.XLOOKUP(Table3[[#This Row],[SKU]],'03_BulkPack_Order'!$A$2:$A$67,'03_BulkPack_Order'!C:C),"")</f>
        <v/>
      </c>
      <c r="S13" s="600">
        <f>IFERROR(R13*1,"")</f>
        <v/>
      </c>
      <c r="T13" s="600">
        <f>_xludf.IFNA(_xlfn.XLOOKUP(Table3[[#This Row],[SKU]],'00_Yield_Rates'!$B$2:$B$17,'00_Yield_Rates'!$E$2:$E$17),"")</f>
        <v/>
      </c>
    </row>
    <row r="14">
      <c r="A14" s="601" t="inlineStr">
        <is>
          <t>Cut_up</t>
        </is>
      </c>
      <c r="B14" s="602" t="n">
        <v>1081</v>
      </c>
      <c r="C14" s="603" t="n"/>
      <c r="D14" s="603" t="inlineStr">
        <is>
          <t>Bulk Pack</t>
        </is>
      </c>
      <c r="E14" s="603" t="inlineStr">
        <is>
          <t>BSB</t>
        </is>
      </c>
      <c r="F14" s="603" t="n"/>
      <c r="G14" s="603" t="n"/>
      <c r="H14" s="603" t="n"/>
      <c r="I14" s="603" t="n"/>
      <c r="J14" s="604" t="n"/>
      <c r="K14" s="607" t="n"/>
      <c r="L14" s="607" t="n"/>
      <c r="M14" s="605" t="n"/>
      <c r="N14" s="606" t="inlineStr">
        <is>
          <t>SILVER</t>
        </is>
      </c>
      <c r="O14" s="603" t="n"/>
      <c r="P14" s="154" t="n"/>
      <c r="R14" s="600">
        <f>_xludf.IFNA(_xlfn.XLOOKUP(Table3[[#This Row],[SKU]],'03_BulkPack_Order'!$A$2:$A$67,'03_BulkPack_Order'!C:C),"")</f>
        <v/>
      </c>
      <c r="S14" s="600">
        <f>IFERROR(R14*1,"")</f>
        <v/>
      </c>
      <c r="T14" s="600">
        <f>_xludf.IFNA(_xlfn.XLOOKUP(Table3[[#This Row],[SKU]],'00_Yield_Rates'!$B$2:$B$17,'00_Yield_Rates'!$E$2:$E$17),"")</f>
        <v/>
      </c>
    </row>
    <row r="15">
      <c r="A15" s="601" t="inlineStr">
        <is>
          <t>Cut_up</t>
        </is>
      </c>
      <c r="B15" s="602" t="n">
        <v>1446</v>
      </c>
      <c r="C15" s="603" t="n"/>
      <c r="D15" s="603" t="inlineStr">
        <is>
          <t>Bulk Pack</t>
        </is>
      </c>
      <c r="E15" s="603" t="inlineStr">
        <is>
          <t>BSB</t>
        </is>
      </c>
      <c r="F15" s="603" t="n"/>
      <c r="G15" s="603" t="n"/>
      <c r="H15" s="603" t="n"/>
      <c r="I15" s="603" t="n"/>
      <c r="J15" s="604" t="n"/>
      <c r="K15" s="607" t="n"/>
      <c r="L15" s="607" t="n"/>
      <c r="M15" s="605" t="n"/>
      <c r="N15" s="606" t="inlineStr">
        <is>
          <t>SILVER</t>
        </is>
      </c>
      <c r="O15" s="603" t="n"/>
      <c r="P15" s="154" t="n"/>
      <c r="R15" s="600">
        <f>_xludf.IFNA(_xlfn.XLOOKUP(Table3[[#This Row],[SKU]],'03_BulkPack_Order'!$A$2:$A$67,'03_BulkPack_Order'!C:C),"")</f>
        <v/>
      </c>
      <c r="S15" s="600">
        <f>IFERROR(R15*1,"")</f>
        <v/>
      </c>
      <c r="T15" s="600">
        <f>_xludf.IFNA(_xlfn.XLOOKUP(Table3[[#This Row],[SKU]],'00_Yield_Rates'!$B$2:$B$17,'00_Yield_Rates'!$E$2:$E$17),"")</f>
        <v/>
      </c>
    </row>
    <row r="16">
      <c r="A16" s="601" t="inlineStr">
        <is>
          <t>Cut_up</t>
        </is>
      </c>
      <c r="B16" s="602" t="n">
        <v>1887</v>
      </c>
      <c r="C16" s="603" t="n"/>
      <c r="D16" s="603" t="inlineStr">
        <is>
          <t>Bulk Pack</t>
        </is>
      </c>
      <c r="E16" s="603" t="inlineStr">
        <is>
          <t>BA</t>
        </is>
      </c>
      <c r="F16" s="603" t="n"/>
      <c r="G16" s="603" t="n"/>
      <c r="H16" s="603" t="n"/>
      <c r="I16" s="603" t="n"/>
      <c r="J16" s="604" t="n"/>
      <c r="K16" s="608" t="n"/>
      <c r="L16" s="608" t="n"/>
      <c r="M16" s="609" t="n"/>
      <c r="N16" s="606" t="inlineStr">
        <is>
          <t>GOLD</t>
        </is>
      </c>
      <c r="O16" s="603" t="n"/>
      <c r="P16" s="154" t="n"/>
      <c r="R16" s="600">
        <f>_xludf.IFNA(_xlfn.XLOOKUP(Table3[[#This Row],[SKU]],'03_BulkPack_Order'!$A$2:$A$67,'03_BulkPack_Order'!C:C),"")</f>
        <v/>
      </c>
      <c r="S16" s="600">
        <f>IFERROR(R16*1,"")</f>
        <v/>
      </c>
      <c r="T16" s="600">
        <f>_xludf.IFNA(_xlfn.XLOOKUP(Table3[[#This Row],[SKU]],'00_Yield_Rates'!$B$2:$B$17,'00_Yield_Rates'!$E$2:$E$17),"")</f>
        <v/>
      </c>
    </row>
    <row r="17">
      <c r="A17" s="601" t="inlineStr">
        <is>
          <t>Cut_up</t>
        </is>
      </c>
      <c r="B17" s="602" t="n">
        <v>1888</v>
      </c>
      <c r="C17" s="603" t="n"/>
      <c r="D17" s="603" t="inlineStr">
        <is>
          <t>Bulk Pack</t>
        </is>
      </c>
      <c r="E17" s="611" t="inlineStr">
        <is>
          <t>SplitBreast</t>
        </is>
      </c>
      <c r="F17" s="603" t="n"/>
      <c r="G17" s="603" t="n"/>
      <c r="H17" s="603" t="n"/>
      <c r="I17" s="603" t="n"/>
      <c r="J17" s="604" t="n"/>
      <c r="K17" s="607" t="n"/>
      <c r="L17" s="607" t="n"/>
      <c r="M17" s="605" t="n"/>
      <c r="N17" s="606" t="inlineStr">
        <is>
          <t>GOLD</t>
        </is>
      </c>
      <c r="O17" s="603" t="n"/>
      <c r="P17" s="154" t="n"/>
      <c r="R17" s="600">
        <f>_xludf.IFNA(_xlfn.XLOOKUP(Table3[[#This Row],[SKU]],'03_BulkPack_Order'!$A$2:$A$67,'03_BulkPack_Order'!C:C),"")</f>
        <v/>
      </c>
      <c r="S17" s="600">
        <f>IFERROR(R17*1,"")</f>
        <v/>
      </c>
      <c r="T17" s="600">
        <f>_xludf.IFNA(_xlfn.XLOOKUP(Table3[[#This Row],[SKU]],'00_Yield_Rates'!$B$2:$B$17,'00_Yield_Rates'!$E$2:$E$17),"")</f>
        <v/>
      </c>
    </row>
    <row r="18">
      <c r="A18" s="601" t="inlineStr">
        <is>
          <t>Cut_up</t>
        </is>
      </c>
      <c r="B18" s="602" t="n">
        <v>1894</v>
      </c>
      <c r="C18" s="603" t="n"/>
      <c r="D18" s="603" t="inlineStr">
        <is>
          <t>Bulk Pack</t>
        </is>
      </c>
      <c r="E18" s="603" t="inlineStr">
        <is>
          <t>BSB</t>
        </is>
      </c>
      <c r="F18" s="603" t="n"/>
      <c r="G18" s="603" t="n"/>
      <c r="H18" s="603" t="n"/>
      <c r="I18" s="603" t="n"/>
      <c r="J18" s="604" t="inlineStr">
        <is>
          <t>MB BSHB RND AC 18KG</t>
        </is>
      </c>
      <c r="K18" s="607" t="n"/>
      <c r="L18" s="607" t="n"/>
      <c r="M18" s="605" t="n"/>
      <c r="N18" s="606" t="inlineStr">
        <is>
          <t>SILVER</t>
        </is>
      </c>
      <c r="O18" s="603" t="n"/>
      <c r="P18" s="154" t="n"/>
      <c r="R18" s="600">
        <f>_xludf.IFNA(_xlfn.XLOOKUP(Table3[[#This Row],[SKU]],'03_BulkPack_Order'!$A$2:$A$67,'03_BulkPack_Order'!C:C),"")</f>
        <v/>
      </c>
      <c r="S18" s="600">
        <f>IFERROR(R18*1,"")</f>
        <v/>
      </c>
      <c r="T18" s="600">
        <f>_xludf.IFNA(_xlfn.XLOOKUP(Table3[[#This Row],[SKU]],'00_Yield_Rates'!$B$2:$B$17,'00_Yield_Rates'!$E$2:$E$17),"")</f>
        <v/>
      </c>
    </row>
    <row r="19">
      <c r="A19" s="601" t="inlineStr">
        <is>
          <t>Cut_up</t>
        </is>
      </c>
      <c r="B19" s="602" t="n">
        <v>2233</v>
      </c>
      <c r="C19" s="603" t="n"/>
      <c r="D19" s="603" t="inlineStr">
        <is>
          <t>Bulk Pack</t>
        </is>
      </c>
      <c r="E19" s="603" t="inlineStr">
        <is>
          <t>SplitWing</t>
        </is>
      </c>
      <c r="F19" s="603" t="n"/>
      <c r="G19" s="603" t="n"/>
      <c r="H19" s="603" t="n"/>
      <c r="I19" s="603" t="n"/>
      <c r="J19" s="604" t="inlineStr">
        <is>
          <t>24839 MB COS SPL WING AC</t>
        </is>
      </c>
      <c r="K19" s="608" t="n"/>
      <c r="L19" s="608" t="n"/>
      <c r="M19" s="609" t="n"/>
      <c r="N19" s="606" t="inlineStr">
        <is>
          <t>GOLD</t>
        </is>
      </c>
      <c r="O19" s="603" t="n"/>
      <c r="P19" s="154" t="n"/>
      <c r="R19" s="600">
        <f>_xludf.IFNA(_xlfn.XLOOKUP(Table3[[#This Row],[SKU]],'03_BulkPack_Order'!$A$2:$A$67,'03_BulkPack_Order'!C:C),"")</f>
        <v/>
      </c>
      <c r="S19" s="600">
        <f>IFERROR(R19*1,"")</f>
        <v/>
      </c>
      <c r="T19" s="600">
        <f>_xludf.IFNA(_xlfn.XLOOKUP(Table3[[#This Row],[SKU]],'00_Yield_Rates'!$B$2:$B$17,'00_Yield_Rates'!$E$2:$E$17),"")</f>
        <v/>
      </c>
    </row>
    <row r="20">
      <c r="A20" s="601" t="inlineStr">
        <is>
          <t>Cut_up</t>
        </is>
      </c>
      <c r="B20" s="602" t="n">
        <v>2235</v>
      </c>
      <c r="C20" s="603" t="n"/>
      <c r="D20" s="603" t="inlineStr">
        <is>
          <t>Bulk Pack</t>
        </is>
      </c>
      <c r="E20" s="603" t="inlineStr">
        <is>
          <t>DRUM</t>
        </is>
      </c>
      <c r="F20" s="603" t="n"/>
      <c r="G20" s="603" t="n"/>
      <c r="H20" s="603" t="n"/>
      <c r="I20" s="603" t="n"/>
      <c r="J20" s="604" t="n"/>
      <c r="K20" s="607" t="n"/>
      <c r="L20" s="607" t="n"/>
      <c r="M20" s="605" t="n"/>
      <c r="N20" s="606" t="inlineStr">
        <is>
          <t>GOLD</t>
        </is>
      </c>
      <c r="O20" s="603" t="n"/>
      <c r="P20" s="154" t="n"/>
      <c r="R20" s="600">
        <f>_xludf.IFNA(_xlfn.XLOOKUP(Table3[[#This Row],[SKU]],'03_BulkPack_Order'!$A$2:$A$67,'03_BulkPack_Order'!C:C),"")</f>
        <v/>
      </c>
      <c r="S20" s="600">
        <f>IFERROR(R20*1,"")</f>
        <v/>
      </c>
      <c r="T20" s="600">
        <f>_xludf.IFNA(_xlfn.XLOOKUP(Table3[[#This Row],[SKU]],'00_Yield_Rates'!$B$2:$B$17,'00_Yield_Rates'!$E$2:$E$17),"")</f>
        <v/>
      </c>
    </row>
    <row r="21">
      <c r="A21" s="601" t="inlineStr">
        <is>
          <t>Cut_up</t>
        </is>
      </c>
      <c r="B21" s="602" t="n">
        <v>2236</v>
      </c>
      <c r="C21" s="603" t="n"/>
      <c r="D21" s="603" t="inlineStr">
        <is>
          <t>Bulk Pack</t>
        </is>
      </c>
      <c r="E21" s="603" t="inlineStr">
        <is>
          <t>BSB</t>
        </is>
      </c>
      <c r="F21" s="603" t="n">
        <v>20</v>
      </c>
      <c r="G21" s="603" t="n"/>
      <c r="H21" s="603" t="n"/>
      <c r="I21" s="603" t="n"/>
      <c r="J21" s="604" t="inlineStr">
        <is>
          <t>17219 MB COS BSHB AC</t>
        </is>
      </c>
      <c r="K21" s="607" t="n"/>
      <c r="L21" s="607" t="n"/>
      <c r="M21" s="605" t="n"/>
      <c r="N21" s="606" t="inlineStr">
        <is>
          <t>PLATINUM</t>
        </is>
      </c>
      <c r="O21" s="603" t="n"/>
      <c r="P21" s="154" t="n"/>
      <c r="R21" s="600">
        <f>_xludf.IFNA(_xlfn.XLOOKUP(Table3[[#This Row],[SKU]],'03_BulkPack_Order'!$A$2:$A$67,'03_BulkPack_Order'!C:C),"")</f>
        <v/>
      </c>
      <c r="S21" s="600">
        <f>IFERROR(R21*1,"")</f>
        <v/>
      </c>
      <c r="T21" s="600">
        <f>_xludf.IFNA(_xlfn.XLOOKUP(Table3[[#This Row],[SKU]],'00_Yield_Rates'!$B$2:$B$17,'00_Yield_Rates'!$E$2:$E$17),"")</f>
        <v/>
      </c>
    </row>
    <row r="22">
      <c r="A22" s="601" t="inlineStr">
        <is>
          <t>Cut_up</t>
        </is>
      </c>
      <c r="B22" s="602" t="n">
        <v>200064</v>
      </c>
      <c r="C22" s="603" t="n"/>
      <c r="D22" s="603" t="inlineStr">
        <is>
          <t>Bulk Pack</t>
        </is>
      </c>
      <c r="E22" s="603" t="inlineStr">
        <is>
          <t>ThighMeat</t>
        </is>
      </c>
      <c r="F22" s="603" t="n">
        <v>5</v>
      </c>
      <c r="G22" s="611" t="n"/>
      <c r="H22" s="611" t="n"/>
      <c r="I22" s="611" t="n"/>
      <c r="J22" s="604" t="inlineStr">
        <is>
          <t>MB HA BSTHIGH AC BG 5KG</t>
        </is>
      </c>
      <c r="K22" s="608" t="n"/>
      <c r="L22" s="608" t="n"/>
      <c r="M22" s="609" t="n"/>
      <c r="N22" s="606" t="inlineStr">
        <is>
          <t>SILVER</t>
        </is>
      </c>
      <c r="O22" s="603" t="n"/>
      <c r="P22" s="154" t="n"/>
      <c r="R22" s="600">
        <f>_xludf.IFNA(_xlfn.XLOOKUP(Table3[[#This Row],[SKU]],'03_BulkPack_Order'!$A$2:$A$67,'03_BulkPack_Order'!C:C),"")</f>
        <v/>
      </c>
      <c r="S22" s="600">
        <f>IFERROR(R22*1,"")</f>
        <v/>
      </c>
      <c r="T22" s="600">
        <f>_xludf.IFNA(_xlfn.XLOOKUP(Table3[[#This Row],[SKU]],'00_Yield_Rates'!$B$2:$B$17,'00_Yield_Rates'!$E$2:$E$17),"")</f>
        <v/>
      </c>
    </row>
    <row r="23">
      <c r="A23" s="601" t="inlineStr">
        <is>
          <t>Cut_up</t>
        </is>
      </c>
      <c r="B23" s="602" t="n">
        <v>200083</v>
      </c>
      <c r="C23" s="603" t="n"/>
      <c r="D23" s="603" t="inlineStr">
        <is>
          <t>Bulk Pack</t>
        </is>
      </c>
      <c r="E23" s="603" t="inlineStr">
        <is>
          <t>SplitBreast</t>
        </is>
      </c>
      <c r="F23" s="603" t="n"/>
      <c r="G23" s="611" t="n"/>
      <c r="H23" s="611" t="n"/>
      <c r="I23" s="611" t="n"/>
      <c r="J23" s="604" t="inlineStr">
        <is>
          <t>MB HA FB BA AC COMBO</t>
        </is>
      </c>
      <c r="K23" s="607" t="n"/>
      <c r="L23" s="607" t="n"/>
      <c r="M23" s="605" t="n"/>
      <c r="N23" s="606" t="inlineStr">
        <is>
          <t>SILVER</t>
        </is>
      </c>
      <c r="O23" s="603" t="n"/>
      <c r="P23" s="154" t="n"/>
      <c r="R23" s="600">
        <f>_xludf.IFNA(_xlfn.XLOOKUP(Table3[[#This Row],[SKU]],'03_BulkPack_Order'!$A$2:$A$67,'03_BulkPack_Order'!C:C),"")</f>
        <v/>
      </c>
      <c r="S23" s="600">
        <f>IFERROR(R23*1,"")</f>
        <v/>
      </c>
      <c r="T23" s="600">
        <f>_xludf.IFNA(_xlfn.XLOOKUP(Table3[[#This Row],[SKU]],'00_Yield_Rates'!$B$2:$B$17,'00_Yield_Rates'!$E$2:$E$17),"")</f>
        <v/>
      </c>
    </row>
    <row r="24">
      <c r="A24" s="601" t="inlineStr">
        <is>
          <t>Cut_up</t>
        </is>
      </c>
      <c r="B24" s="602" t="n">
        <v>200089</v>
      </c>
      <c r="C24" s="603" t="n"/>
      <c r="D24" s="603" t="inlineStr">
        <is>
          <t>Bulk Pack</t>
        </is>
      </c>
      <c r="E24" s="611" t="inlineStr">
        <is>
          <t>SplitBreast</t>
        </is>
      </c>
      <c r="F24" s="603" t="n">
        <v>585</v>
      </c>
      <c r="G24" s="603" t="n"/>
      <c r="H24" s="603" t="n"/>
      <c r="I24" s="603" t="n"/>
      <c r="J24" s="604" t="inlineStr">
        <is>
          <t>MB HA FB AC COMBO</t>
        </is>
      </c>
      <c r="K24" s="607" t="n"/>
      <c r="L24" s="607" t="n"/>
      <c r="M24" s="605" t="n"/>
      <c r="N24" s="606" t="inlineStr">
        <is>
          <t>SILVER</t>
        </is>
      </c>
      <c r="O24" s="603" t="n"/>
      <c r="P24" s="154" t="n"/>
      <c r="R24" s="600">
        <f>_xludf.IFNA(_xlfn.XLOOKUP(Table3[[#This Row],[SKU]],'03_BulkPack_Order'!$A$2:$A$67,'03_BulkPack_Order'!C:C),"")</f>
        <v/>
      </c>
      <c r="S24" s="600">
        <f>IFERROR(R24*1,"")</f>
        <v/>
      </c>
      <c r="T24" s="600">
        <f>_xludf.IFNA(_xlfn.XLOOKUP(Table3[[#This Row],[SKU]],'00_Yield_Rates'!$B$2:$B$17,'00_Yield_Rates'!$E$2:$E$17),"")</f>
        <v/>
      </c>
    </row>
    <row r="25">
      <c r="A25" s="601" t="inlineStr">
        <is>
          <t>Cut_up</t>
        </is>
      </c>
      <c r="B25" s="602" t="n">
        <v>200095</v>
      </c>
      <c r="C25" s="603" t="n"/>
      <c r="D25" s="603" t="inlineStr">
        <is>
          <t>Bulk Pack</t>
        </is>
      </c>
      <c r="E25" s="603" t="inlineStr">
        <is>
          <t>DRUM</t>
        </is>
      </c>
      <c r="F25" s="603" t="n"/>
      <c r="G25" s="603" t="n"/>
      <c r="H25" s="603" t="n"/>
      <c r="I25" s="603" t="n"/>
      <c r="J25" s="604" t="inlineStr">
        <is>
          <t>MS HA DRUM 18KG</t>
        </is>
      </c>
      <c r="K25" s="607" t="n"/>
      <c r="L25" s="607" t="n"/>
      <c r="M25" s="605" t="n"/>
      <c r="N25" s="606" t="inlineStr">
        <is>
          <t>SILVER</t>
        </is>
      </c>
      <c r="O25" s="603" t="n"/>
      <c r="P25" s="154" t="n"/>
      <c r="R25" s="600">
        <f>_xludf.IFNA(_xlfn.XLOOKUP(Table3[[#This Row],[SKU]],'03_BulkPack_Order'!$A$2:$A$67,'03_BulkPack_Order'!C:C),"")</f>
        <v/>
      </c>
      <c r="S25" s="600">
        <f>IFERROR(R25*1,"")</f>
        <v/>
      </c>
      <c r="T25" s="600">
        <f>_xludf.IFNA(_xlfn.XLOOKUP(Table3[[#This Row],[SKU]],'00_Yield_Rates'!$B$2:$B$17,'00_Yield_Rates'!$E$2:$E$17),"")</f>
        <v/>
      </c>
    </row>
    <row r="26">
      <c r="A26" s="601" t="inlineStr">
        <is>
          <t>Cut_up</t>
        </is>
      </c>
      <c r="B26" s="602" t="n">
        <v>200159</v>
      </c>
      <c r="C26" s="603" t="n"/>
      <c r="D26" s="603" t="inlineStr">
        <is>
          <t>Bulk Pack</t>
        </is>
      </c>
      <c r="E26" s="603" t="inlineStr">
        <is>
          <t>BA</t>
        </is>
      </c>
      <c r="F26" s="603" t="n"/>
      <c r="G26" s="603" t="n"/>
      <c r="H26" s="603" t="n"/>
      <c r="I26" s="603" t="n"/>
      <c r="J26" s="604" t="inlineStr">
        <is>
          <t>MS HA LEG BA 18KG</t>
        </is>
      </c>
      <c r="K26" s="607" t="n"/>
      <c r="L26" s="607" t="n"/>
      <c r="M26" s="605" t="n"/>
      <c r="N26" s="606" t="inlineStr">
        <is>
          <t>SILVER</t>
        </is>
      </c>
      <c r="O26" s="603" t="n"/>
      <c r="P26" s="154" t="n"/>
      <c r="R26" s="600">
        <f>_xludf.IFNA(_xlfn.XLOOKUP(Table3[[#This Row],[SKU]],'03_BulkPack_Order'!$A$2:$A$67,'03_BulkPack_Order'!C:C),"")</f>
        <v/>
      </c>
      <c r="S26" s="600">
        <f>IFERROR(R26*1,"")</f>
        <v/>
      </c>
      <c r="T26" s="600">
        <f>_xludf.IFNA(_xlfn.XLOOKUP(Table3[[#This Row],[SKU]],'00_Yield_Rates'!$B$2:$B$17,'00_Yield_Rates'!$E$2:$E$17),"")</f>
        <v/>
      </c>
    </row>
    <row r="27">
      <c r="A27" s="601" t="inlineStr">
        <is>
          <t>Cut_up</t>
        </is>
      </c>
      <c r="B27" s="602" t="n">
        <v>200902</v>
      </c>
      <c r="C27" s="603" t="n"/>
      <c r="D27" s="603" t="inlineStr">
        <is>
          <t>Bulk Pack</t>
        </is>
      </c>
      <c r="E27" s="603" t="inlineStr">
        <is>
          <t>Thigh</t>
        </is>
      </c>
      <c r="F27" s="603" t="n"/>
      <c r="G27" s="603" t="n"/>
      <c r="H27" s="603" t="n"/>
      <c r="I27" s="603" t="n"/>
      <c r="J27" s="604" t="inlineStr">
        <is>
          <t>HA THIGH AC 18KG</t>
        </is>
      </c>
      <c r="K27" s="607" t="n"/>
      <c r="L27" s="607" t="n"/>
      <c r="M27" s="605" t="n"/>
      <c r="N27" s="606" t="inlineStr">
        <is>
          <t>SILVER</t>
        </is>
      </c>
      <c r="O27" s="603" t="n"/>
      <c r="P27" s="154" t="n"/>
      <c r="R27" s="600">
        <f>_xludf.IFNA(_xlfn.XLOOKUP(Table3[[#This Row],[SKU]],'03_BulkPack_Order'!$A$2:$A$67,'03_BulkPack_Order'!C:C),"")</f>
        <v/>
      </c>
      <c r="S27" s="600">
        <f>IFERROR(R27*1,"")</f>
        <v/>
      </c>
      <c r="T27" s="600">
        <f>_xludf.IFNA(_xlfn.XLOOKUP(Table3[[#This Row],[SKU]],'00_Yield_Rates'!$B$2:$B$17,'00_Yield_Rates'!$E$2:$E$17),"")</f>
        <v/>
      </c>
    </row>
    <row r="28">
      <c r="A28" s="601" t="inlineStr">
        <is>
          <t>Cut_up</t>
        </is>
      </c>
      <c r="B28" s="602" t="n">
        <v>200903</v>
      </c>
      <c r="C28" s="603" t="n"/>
      <c r="D28" s="603" t="inlineStr">
        <is>
          <t>Bulk Pack</t>
        </is>
      </c>
      <c r="E28" s="603" t="inlineStr">
        <is>
          <t>BA</t>
        </is>
      </c>
      <c r="F28" s="603" t="n"/>
      <c r="G28" s="603" t="n"/>
      <c r="H28" s="603" t="n"/>
      <c r="I28" s="603" t="n"/>
      <c r="J28" s="604" t="inlineStr">
        <is>
          <t>HA LEG BA AC 18KG</t>
        </is>
      </c>
      <c r="K28" s="607" t="n"/>
      <c r="L28" s="607" t="n"/>
      <c r="M28" s="605" t="n"/>
      <c r="N28" s="606" t="inlineStr">
        <is>
          <t>SILVER</t>
        </is>
      </c>
      <c r="O28" s="603" t="n"/>
      <c r="P28" s="154" t="n"/>
      <c r="R28" s="600">
        <f>_xludf.IFNA(_xlfn.XLOOKUP(Table3[[#This Row],[SKU]],'03_BulkPack_Order'!$A$2:$A$67,'03_BulkPack_Order'!C:C),"")</f>
        <v/>
      </c>
      <c r="S28" s="600">
        <f>IFERROR(R28*1,"")</f>
        <v/>
      </c>
      <c r="T28" s="600">
        <f>_xludf.IFNA(_xlfn.XLOOKUP(Table3[[#This Row],[SKU]],'00_Yield_Rates'!$B$2:$B$17,'00_Yield_Rates'!$E$2:$E$17),"")</f>
        <v/>
      </c>
    </row>
    <row r="29">
      <c r="A29" s="601" t="inlineStr">
        <is>
          <t>Cut_up</t>
        </is>
      </c>
      <c r="B29" s="602" t="n">
        <v>200904</v>
      </c>
      <c r="C29" s="603" t="n"/>
      <c r="D29" s="603" t="inlineStr">
        <is>
          <t>Bulk Pack</t>
        </is>
      </c>
      <c r="E29" s="603" t="inlineStr">
        <is>
          <t>WING</t>
        </is>
      </c>
      <c r="F29" s="603" t="n">
        <v>18</v>
      </c>
      <c r="G29" s="603" t="n"/>
      <c r="H29" s="603" t="n"/>
      <c r="I29" s="603" t="n"/>
      <c r="J29" s="604" t="inlineStr">
        <is>
          <t>MB HA WING AC 18KG</t>
        </is>
      </c>
      <c r="K29" s="607" t="n"/>
      <c r="L29" s="607" t="n"/>
      <c r="M29" s="605" t="n"/>
      <c r="N29" s="606" t="inlineStr">
        <is>
          <t>SILVER</t>
        </is>
      </c>
      <c r="O29" s="603" t="n"/>
      <c r="P29" s="154" t="n"/>
      <c r="R29" s="600">
        <f>_xludf.IFNA(_xlfn.XLOOKUP(Table3[[#This Row],[SKU]],'03_BulkPack_Order'!$A$2:$A$67,'03_BulkPack_Order'!C:C),"")</f>
        <v/>
      </c>
      <c r="S29" s="600">
        <f>IFERROR(R29*1,"")</f>
        <v/>
      </c>
      <c r="T29" s="600">
        <f>_xludf.IFNA(_xlfn.XLOOKUP(Table3[[#This Row],[SKU]],'00_Yield_Rates'!$B$2:$B$17,'00_Yield_Rates'!$E$2:$E$17),"")</f>
        <v/>
      </c>
    </row>
    <row r="30">
      <c r="A30" s="601" t="inlineStr">
        <is>
          <t>Cut_up</t>
        </is>
      </c>
      <c r="B30" s="602" t="n">
        <v>201894</v>
      </c>
      <c r="C30" s="603" t="n"/>
      <c r="D30" s="603" t="inlineStr">
        <is>
          <t>Bulk Pack</t>
        </is>
      </c>
      <c r="E30" s="603" t="inlineStr">
        <is>
          <t>BSB</t>
        </is>
      </c>
      <c r="F30" s="603" t="n">
        <v>18</v>
      </c>
      <c r="G30" s="603" t="n"/>
      <c r="H30" s="603" t="n"/>
      <c r="I30" s="603" t="n"/>
      <c r="J30" s="604" t="inlineStr">
        <is>
          <t>MB HA BSHB RND AC 18KG</t>
        </is>
      </c>
      <c r="K30" s="612" t="n"/>
      <c r="L30" s="612" t="n"/>
      <c r="M30" s="605" t="n"/>
      <c r="N30" s="606" t="inlineStr">
        <is>
          <t>SILVER</t>
        </is>
      </c>
      <c r="O30" s="603" t="n"/>
      <c r="P30" s="154" t="n"/>
      <c r="R30" s="600">
        <f>_xludf.IFNA(_xlfn.XLOOKUP(Table3[[#This Row],[SKU]],'03_BulkPack_Order'!$A$2:$A$67,'03_BulkPack_Order'!C:C),"")</f>
        <v/>
      </c>
      <c r="S30" s="600">
        <f>IFERROR(R30*1,"")</f>
        <v/>
      </c>
      <c r="T30" s="600">
        <f>_xludf.IFNA(_xlfn.XLOOKUP(Table3[[#This Row],[SKU]],'00_Yield_Rates'!$B$2:$B$17,'00_Yield_Rates'!$E$2:$E$17),"")</f>
        <v/>
      </c>
    </row>
    <row r="31">
      <c r="A31" s="601" t="inlineStr">
        <is>
          <t>Cut_up</t>
        </is>
      </c>
      <c r="B31" s="602" t="n">
        <v>201895</v>
      </c>
      <c r="C31" s="603" t="n"/>
      <c r="D31" s="603" t="inlineStr">
        <is>
          <t>Bulk Pack</t>
        </is>
      </c>
      <c r="E31" s="603" t="inlineStr">
        <is>
          <t>BSB</t>
        </is>
      </c>
      <c r="F31" s="603" t="n">
        <v>18</v>
      </c>
      <c r="G31" s="603" t="n"/>
      <c r="H31" s="603" t="n"/>
      <c r="I31" s="603" t="n"/>
      <c r="J31" s="604" t="inlineStr">
        <is>
          <t>MB HA BSHB RND AC 18KG FFF</t>
        </is>
      </c>
      <c r="K31" s="612" t="n"/>
      <c r="L31" s="612" t="n"/>
      <c r="M31" s="605" t="n"/>
      <c r="N31" s="606" t="inlineStr">
        <is>
          <t>SILVER</t>
        </is>
      </c>
      <c r="O31" s="603" t="n"/>
      <c r="P31" s="154" t="n"/>
      <c r="R31" s="600">
        <f>_xludf.IFNA(_xlfn.XLOOKUP(Table3[[#This Row],[SKU]],'03_BulkPack_Order'!$A$2:$A$67,'03_BulkPack_Order'!C:C),"")</f>
        <v/>
      </c>
      <c r="S31" s="600">
        <f>IFERROR(R31*1,"")</f>
        <v/>
      </c>
      <c r="T31" s="600">
        <f>_xludf.IFNA(_xlfn.XLOOKUP(Table3[[#This Row],[SKU]],'00_Yield_Rates'!$B$2:$B$17,'00_Yield_Rates'!$E$2:$E$17),"")</f>
        <v/>
      </c>
    </row>
    <row r="32">
      <c r="A32" s="601" t="inlineStr">
        <is>
          <t>Cut_up</t>
        </is>
      </c>
      <c r="B32" s="602" t="n">
        <v>201899</v>
      </c>
      <c r="C32" s="603" t="n"/>
      <c r="D32" s="603" t="inlineStr">
        <is>
          <t>Bulk Pack</t>
        </is>
      </c>
      <c r="E32" s="603" t="inlineStr">
        <is>
          <t>BSB</t>
        </is>
      </c>
      <c r="F32" s="603" t="n">
        <v>10</v>
      </c>
      <c r="G32" s="603" t="n"/>
      <c r="H32" s="603" t="n"/>
      <c r="I32" s="603" t="n"/>
      <c r="J32" s="604" t="inlineStr">
        <is>
          <t>MB HA BSHB 2ND 10KG</t>
        </is>
      </c>
      <c r="K32" s="608" t="n"/>
      <c r="L32" s="608" t="n"/>
      <c r="M32" s="609" t="n"/>
      <c r="N32" s="606" t="inlineStr">
        <is>
          <t>SILVER</t>
        </is>
      </c>
      <c r="O32" s="603" t="n"/>
      <c r="P32" s="154" t="n"/>
      <c r="R32" s="600">
        <f>_xludf.IFNA(_xlfn.XLOOKUP(Table3[[#This Row],[SKU]],'03_BulkPack_Order'!$A$2:$A$67,'03_BulkPack_Order'!C:C),"")</f>
        <v/>
      </c>
      <c r="S32" s="600">
        <f>IFERROR(R32*1,"")</f>
        <v/>
      </c>
      <c r="T32" s="600">
        <f>_xludf.IFNA(_xlfn.XLOOKUP(Table3[[#This Row],[SKU]],'00_Yield_Rates'!$B$2:$B$17,'00_Yield_Rates'!$E$2:$E$17),"")</f>
        <v/>
      </c>
    </row>
    <row r="33">
      <c r="A33" s="601" t="inlineStr">
        <is>
          <t>Cut_up</t>
        </is>
      </c>
      <c r="B33" s="602" t="n">
        <v>203033</v>
      </c>
      <c r="C33" s="603" t="n"/>
      <c r="D33" s="603" t="inlineStr">
        <is>
          <t>Bulk Pack</t>
        </is>
      </c>
      <c r="E33" s="603" t="inlineStr">
        <is>
          <t>BA</t>
        </is>
      </c>
      <c r="F33" s="603" t="n"/>
      <c r="G33" s="603" t="n"/>
      <c r="H33" s="603" t="n"/>
      <c r="I33" s="603" t="n"/>
      <c r="J33" s="604" t="n"/>
      <c r="K33" s="607" t="n"/>
      <c r="L33" s="607" t="n"/>
      <c r="M33" s="605" t="n"/>
      <c r="N33" s="606" t="inlineStr">
        <is>
          <t>SILVER</t>
        </is>
      </c>
      <c r="O33" s="603" t="n"/>
      <c r="P33" s="154" t="n"/>
      <c r="R33" s="600">
        <f>_xludf.IFNA(_xlfn.XLOOKUP(Table3[[#This Row],[SKU]],'03_BulkPack_Order'!$A$2:$A$67,'03_BulkPack_Order'!C:C),"")</f>
        <v/>
      </c>
      <c r="S33" s="600">
        <f>IFERROR(R33*1,"")</f>
        <v/>
      </c>
      <c r="T33" s="600">
        <f>_xludf.IFNA(_xlfn.XLOOKUP(Table3[[#This Row],[SKU]],'00_Yield_Rates'!$B$2:$B$17,'00_Yield_Rates'!$E$2:$E$17),"")</f>
        <v/>
      </c>
    </row>
    <row r="34">
      <c r="A34" s="601" t="inlineStr">
        <is>
          <t>Cut_up</t>
        </is>
      </c>
      <c r="B34" s="602" t="n">
        <v>203035</v>
      </c>
      <c r="C34" s="603" t="n"/>
      <c r="D34" s="603" t="inlineStr">
        <is>
          <t>Bulk Pack</t>
        </is>
      </c>
      <c r="E34" s="603" t="inlineStr">
        <is>
          <t>SplitWing</t>
        </is>
      </c>
      <c r="F34" s="603" t="n">
        <v>23</v>
      </c>
      <c r="G34" s="603" t="n"/>
      <c r="H34" s="603" t="n"/>
      <c r="I34" s="603" t="n"/>
      <c r="J34" s="604" t="inlineStr">
        <is>
          <t>MB HA SPL WING AC RET 23KG</t>
        </is>
      </c>
      <c r="K34" s="607" t="n"/>
      <c r="L34" s="607" t="n"/>
      <c r="M34" s="605" t="n"/>
      <c r="N34" s="606" t="inlineStr">
        <is>
          <t>PLATINUM</t>
        </is>
      </c>
      <c r="O34" s="603" t="n"/>
      <c r="P34" s="154" t="n"/>
      <c r="R34" s="600">
        <f>_xludf.IFNA(_xlfn.XLOOKUP(Table3[[#This Row],[SKU]],'03_BulkPack_Order'!$A$2:$A$67,'03_BulkPack_Order'!C:C),"")</f>
        <v/>
      </c>
      <c r="S34" s="600">
        <f>IFERROR(R34*1,"")</f>
        <v/>
      </c>
      <c r="T34" s="600">
        <f>_xludf.IFNA(_xlfn.XLOOKUP(Table3[[#This Row],[SKU]],'00_Yield_Rates'!$B$2:$B$17,'00_Yield_Rates'!$E$2:$E$17),"")</f>
        <v/>
      </c>
    </row>
    <row r="35">
      <c r="A35" s="601" t="inlineStr">
        <is>
          <t>Cut_up</t>
        </is>
      </c>
      <c r="B35" s="602" t="n">
        <v>203087</v>
      </c>
      <c r="C35" s="603" t="n"/>
      <c r="D35" s="603" t="inlineStr">
        <is>
          <t>Bulk Pack</t>
        </is>
      </c>
      <c r="E35" s="603" t="inlineStr">
        <is>
          <t>BSB</t>
        </is>
      </c>
      <c r="F35" s="603" t="n"/>
      <c r="G35" s="603" t="n"/>
      <c r="H35" s="603" t="n"/>
      <c r="I35" s="603" t="n"/>
      <c r="J35" s="604" t="n"/>
      <c r="K35" s="607" t="n"/>
      <c r="L35" s="607" t="n"/>
      <c r="M35" s="605" t="n"/>
      <c r="N35" s="606" t="inlineStr">
        <is>
          <t>PLATINUM</t>
        </is>
      </c>
      <c r="O35" s="603" t="n"/>
      <c r="P35" s="154" t="n"/>
      <c r="R35" s="600">
        <f>_xludf.IFNA(_xlfn.XLOOKUP(Table3[[#This Row],[SKU]],'03_BulkPack_Order'!$A$2:$A$67,'03_BulkPack_Order'!C:C),"")</f>
        <v/>
      </c>
      <c r="S35" s="600">
        <f>IFERROR(R35*1,"")</f>
        <v/>
      </c>
      <c r="T35" s="600">
        <f>_xludf.IFNA(_xlfn.XLOOKUP(Table3[[#This Row],[SKU]],'00_Yield_Rates'!$B$2:$B$17,'00_Yield_Rates'!$E$2:$E$17),"")</f>
        <v/>
      </c>
    </row>
    <row r="36">
      <c r="A36" s="601" t="inlineStr">
        <is>
          <t>Cut_up</t>
        </is>
      </c>
      <c r="B36" s="602" t="n">
        <v>203169</v>
      </c>
      <c r="C36" s="603" t="n"/>
      <c r="D36" s="603" t="inlineStr">
        <is>
          <t>Bulk Pack</t>
        </is>
      </c>
      <c r="E36" s="603" t="inlineStr">
        <is>
          <t>BSB</t>
        </is>
      </c>
      <c r="F36" s="603" t="n"/>
      <c r="G36" s="603" t="n"/>
      <c r="H36" s="603" t="n"/>
      <c r="I36" s="603" t="n"/>
      <c r="J36" s="604" t="n"/>
      <c r="K36" s="608" t="n"/>
      <c r="L36" s="608" t="n"/>
      <c r="M36" s="609" t="n"/>
      <c r="N36" s="606" t="inlineStr">
        <is>
          <t>SILVER</t>
        </is>
      </c>
      <c r="O36" s="603" t="n"/>
      <c r="P36" s="154" t="n"/>
      <c r="R36" s="600">
        <f>_xludf.IFNA(_xlfn.XLOOKUP(Table3[[#This Row],[SKU]],'03_BulkPack_Order'!$A$2:$A$67,'03_BulkPack_Order'!C:C),"")</f>
        <v/>
      </c>
      <c r="S36" s="600">
        <f>IFERROR(R36*1,"")</f>
        <v/>
      </c>
      <c r="T36" s="600">
        <f>_xludf.IFNA(_xlfn.XLOOKUP(Table3[[#This Row],[SKU]],'00_Yield_Rates'!$B$2:$B$17,'00_Yield_Rates'!$E$2:$E$17),"")</f>
        <v/>
      </c>
    </row>
    <row r="37">
      <c r="A37" s="601" t="inlineStr">
        <is>
          <t>Cut_up</t>
        </is>
      </c>
      <c r="B37" s="602" t="n">
        <v>203171</v>
      </c>
      <c r="C37" s="603" t="n"/>
      <c r="D37" s="603" t="inlineStr">
        <is>
          <t>Bulk Pack</t>
        </is>
      </c>
      <c r="E37" s="603" t="inlineStr">
        <is>
          <t>DRUM</t>
        </is>
      </c>
      <c r="F37" s="603" t="n"/>
      <c r="G37" s="603" t="n"/>
      <c r="H37" s="603" t="n"/>
      <c r="I37" s="603" t="n"/>
      <c r="J37" s="604" t="n"/>
      <c r="K37" s="607" t="n"/>
      <c r="L37" s="607" t="n"/>
      <c r="M37" s="605" t="n"/>
      <c r="N37" s="606" t="inlineStr">
        <is>
          <t>SILVER</t>
        </is>
      </c>
      <c r="O37" s="603" t="n"/>
      <c r="P37" s="154" t="n"/>
      <c r="R37" s="600">
        <f>_xludf.IFNA(_xlfn.XLOOKUP(Table3[[#This Row],[SKU]],'03_BulkPack_Order'!$A$2:$A$67,'03_BulkPack_Order'!C:C),"")</f>
        <v/>
      </c>
      <c r="S37" s="600">
        <f>IFERROR(R37*1,"")</f>
        <v/>
      </c>
      <c r="T37" s="600">
        <f>_xludf.IFNA(_xlfn.XLOOKUP(Table3[[#This Row],[SKU]],'00_Yield_Rates'!$B$2:$B$17,'00_Yield_Rates'!$E$2:$E$17),"")</f>
        <v/>
      </c>
    </row>
    <row r="38">
      <c r="A38" s="601" t="inlineStr">
        <is>
          <t>Cut_up</t>
        </is>
      </c>
      <c r="B38" s="602" t="n">
        <v>203172</v>
      </c>
      <c r="C38" s="603" t="n"/>
      <c r="D38" s="603" t="inlineStr">
        <is>
          <t>Bulk Pack</t>
        </is>
      </c>
      <c r="E38" s="603" t="inlineStr">
        <is>
          <t>WING</t>
        </is>
      </c>
      <c r="F38" s="603" t="n">
        <v>25</v>
      </c>
      <c r="G38" s="603" t="n"/>
      <c r="H38" s="603" t="n"/>
      <c r="I38" s="603" t="n"/>
      <c r="J38" s="604" t="inlineStr">
        <is>
          <t>MS HA WING RET 25KG</t>
        </is>
      </c>
      <c r="K38" s="607" t="n"/>
      <c r="L38" s="607" t="n"/>
      <c r="M38" s="605" t="n"/>
      <c r="N38" s="606" t="inlineStr">
        <is>
          <t>SILVER</t>
        </is>
      </c>
      <c r="O38" s="603" t="n"/>
      <c r="P38" s="154" t="n"/>
      <c r="R38" s="600">
        <f>_xludf.IFNA(_xlfn.XLOOKUP(Table3[[#This Row],[SKU]],'03_BulkPack_Order'!$A$2:$A$67,'03_BulkPack_Order'!C:C),"")</f>
        <v/>
      </c>
      <c r="S38" s="600">
        <f>IFERROR(R38*1,"")</f>
        <v/>
      </c>
      <c r="T38" s="600">
        <f>_xludf.IFNA(_xlfn.XLOOKUP(Table3[[#This Row],[SKU]],'00_Yield_Rates'!$B$2:$B$17,'00_Yield_Rates'!$E$2:$E$17),"")</f>
        <v/>
      </c>
    </row>
    <row r="39">
      <c r="A39" s="601" t="inlineStr">
        <is>
          <t>Cut_up</t>
        </is>
      </c>
      <c r="B39" s="602" t="n">
        <v>203173</v>
      </c>
      <c r="C39" s="603" t="n"/>
      <c r="D39" s="603" t="inlineStr">
        <is>
          <t>Bulk Pack</t>
        </is>
      </c>
      <c r="E39" s="603" t="inlineStr">
        <is>
          <t>SplitWing</t>
        </is>
      </c>
      <c r="F39" s="603" t="n"/>
      <c r="G39" s="603" t="n"/>
      <c r="H39" s="603" t="n"/>
      <c r="I39" s="603" t="n"/>
      <c r="J39" s="604" t="inlineStr">
        <is>
          <t>MS HA SPL WING RET 25KG</t>
        </is>
      </c>
      <c r="K39" s="607" t="n"/>
      <c r="L39" s="607" t="n"/>
      <c r="M39" s="605" t="n"/>
      <c r="N39" s="606" t="inlineStr">
        <is>
          <t>SILVER</t>
        </is>
      </c>
      <c r="O39" s="603" t="n"/>
      <c r="P39" s="154" t="n"/>
      <c r="R39" s="600">
        <f>_xludf.IFNA(_xlfn.XLOOKUP(Table3[[#This Row],[SKU]],'03_BulkPack_Order'!$A$2:$A$67,'03_BulkPack_Order'!C:C),"")</f>
        <v/>
      </c>
      <c r="S39" s="600">
        <f>IFERROR(R39*1,"")</f>
        <v/>
      </c>
      <c r="T39" s="600">
        <f>_xludf.IFNA(_xlfn.XLOOKUP(Table3[[#This Row],[SKU]],'00_Yield_Rates'!$B$2:$B$17,'00_Yield_Rates'!$E$2:$E$17),"")</f>
        <v/>
      </c>
    </row>
    <row r="40">
      <c r="A40" s="601" t="inlineStr">
        <is>
          <t>Cut_up</t>
        </is>
      </c>
      <c r="B40" s="602" t="n">
        <v>203174</v>
      </c>
      <c r="C40" s="603" t="n"/>
      <c r="D40" s="603" t="inlineStr">
        <is>
          <t>Bulk Pack</t>
        </is>
      </c>
      <c r="E40" s="603" t="inlineStr">
        <is>
          <t>ThighMeat</t>
        </is>
      </c>
      <c r="F40" s="603" t="n"/>
      <c r="G40" s="603" t="n"/>
      <c r="H40" s="603" t="n"/>
      <c r="I40" s="603" t="n"/>
      <c r="J40" s="604" t="n"/>
      <c r="K40" s="607" t="n"/>
      <c r="L40" s="607" t="n"/>
      <c r="M40" s="605" t="n"/>
      <c r="N40" s="606" t="inlineStr">
        <is>
          <t>SILVER</t>
        </is>
      </c>
      <c r="O40" s="603" t="n"/>
      <c r="P40" s="154" t="n"/>
      <c r="R40" s="600">
        <f>_xludf.IFNA(_xlfn.XLOOKUP(Table3[[#This Row],[SKU]],'03_BulkPack_Order'!$A$2:$A$67,'03_BulkPack_Order'!C:C),"")</f>
        <v/>
      </c>
      <c r="S40" s="600">
        <f>IFERROR(R40*1,"")</f>
        <v/>
      </c>
      <c r="T40" s="600">
        <f>_xludf.IFNA(_xlfn.XLOOKUP(Table3[[#This Row],[SKU]],'00_Yield_Rates'!$B$2:$B$17,'00_Yield_Rates'!$E$2:$E$17),"")</f>
        <v/>
      </c>
    </row>
    <row r="41">
      <c r="A41" s="601" t="inlineStr">
        <is>
          <t>Cut_up</t>
        </is>
      </c>
      <c r="B41" s="602" t="n">
        <v>203175</v>
      </c>
      <c r="C41" s="603" t="n"/>
      <c r="D41" s="603" t="inlineStr">
        <is>
          <t>Bulk Pack</t>
        </is>
      </c>
      <c r="E41" s="603" t="inlineStr">
        <is>
          <t>Thigh</t>
        </is>
      </c>
      <c r="F41" s="603" t="n"/>
      <c r="G41" s="603" t="n"/>
      <c r="H41" s="603" t="n"/>
      <c r="I41" s="603" t="n"/>
      <c r="J41" s="604" t="n"/>
      <c r="K41" s="607" t="n"/>
      <c r="L41" s="607" t="n"/>
      <c r="M41" s="605" t="n"/>
      <c r="N41" s="606" t="inlineStr">
        <is>
          <t>SILVER</t>
        </is>
      </c>
      <c r="O41" s="603" t="n"/>
      <c r="P41" s="154" t="n"/>
      <c r="R41" s="600">
        <f>_xludf.IFNA(_xlfn.XLOOKUP(Table3[[#This Row],[SKU]],'03_BulkPack_Order'!$A$2:$A$67,'03_BulkPack_Order'!C:C),"")</f>
        <v/>
      </c>
      <c r="S41" s="600">
        <f>IFERROR(R41*1,"")</f>
        <v/>
      </c>
      <c r="T41" s="600">
        <f>_xludf.IFNA(_xlfn.XLOOKUP(Table3[[#This Row],[SKU]],'00_Yield_Rates'!$B$2:$B$17,'00_Yield_Rates'!$E$2:$E$17),"")</f>
        <v/>
      </c>
    </row>
    <row r="42">
      <c r="A42" s="601" t="inlineStr">
        <is>
          <t>Cut_up</t>
        </is>
      </c>
      <c r="B42" s="610" t="n">
        <v>203193</v>
      </c>
      <c r="C42" s="603" t="n"/>
      <c r="D42" s="603" t="inlineStr">
        <is>
          <t>Bulk Pack</t>
        </is>
      </c>
      <c r="E42" s="603" t="inlineStr">
        <is>
          <t>SplitWing</t>
        </is>
      </c>
      <c r="F42" s="605" t="n">
        <v>25</v>
      </c>
      <c r="G42" s="603" t="n"/>
      <c r="H42" s="603" t="n"/>
      <c r="I42" s="603" t="n"/>
      <c r="J42" s="604" t="inlineStr">
        <is>
          <t>MB HA WINGLET AC 25 KG RET</t>
        </is>
      </c>
      <c r="K42" s="607" t="n"/>
      <c r="L42" s="607" t="n"/>
      <c r="M42" s="605" t="n"/>
      <c r="N42" s="606" t="inlineStr">
        <is>
          <t>SILVER</t>
        </is>
      </c>
      <c r="O42" s="603" t="n"/>
      <c r="P42" s="154" t="n"/>
      <c r="R42" s="600">
        <f>_xludf.IFNA(_xlfn.XLOOKUP(Table3[[#This Row],[SKU]],'03_BulkPack_Order'!$A$2:$A$67,'03_BulkPack_Order'!C:C),"")</f>
        <v/>
      </c>
      <c r="S42" s="600">
        <f>IFERROR(R42*1,"")</f>
        <v/>
      </c>
      <c r="T42" s="600">
        <f>_xludf.IFNA(_xlfn.XLOOKUP(Table3[[#This Row],[SKU]],'00_Yield_Rates'!$B$2:$B$17,'00_Yield_Rates'!$E$2:$E$17),"")</f>
        <v/>
      </c>
    </row>
    <row r="43">
      <c r="A43" s="601" t="inlineStr">
        <is>
          <t>Cut_up</t>
        </is>
      </c>
      <c r="B43" s="602" t="n">
        <v>203194</v>
      </c>
      <c r="C43" s="603" t="n"/>
      <c r="D43" s="603" t="inlineStr">
        <is>
          <t>Bulk Pack</t>
        </is>
      </c>
      <c r="E43" s="603" t="inlineStr">
        <is>
          <t>SplitWing</t>
        </is>
      </c>
      <c r="F43" s="603" t="n">
        <v>25</v>
      </c>
      <c r="G43" s="603" t="n"/>
      <c r="H43" s="603" t="n"/>
      <c r="I43" s="603" t="n"/>
      <c r="J43" s="604" t="inlineStr">
        <is>
          <t>MB HA DRUMETTE AC 25 KG RET</t>
        </is>
      </c>
      <c r="K43" s="607" t="n"/>
      <c r="L43" s="607" t="n"/>
      <c r="M43" s="605" t="n"/>
      <c r="N43" s="606" t="inlineStr">
        <is>
          <t>SILVER</t>
        </is>
      </c>
      <c r="O43" s="603" t="n"/>
      <c r="P43" s="154" t="n"/>
      <c r="R43" s="600">
        <f>_xludf.IFNA(_xlfn.XLOOKUP(Table3[[#This Row],[SKU]],'03_BulkPack_Order'!$A$2:$A$67,'03_BulkPack_Order'!C:C),"")</f>
        <v/>
      </c>
      <c r="S43" s="600">
        <f>IFERROR(R43*1,"")</f>
        <v/>
      </c>
      <c r="T43" s="600">
        <f>_xludf.IFNA(_xlfn.XLOOKUP(Table3[[#This Row],[SKU]],'00_Yield_Rates'!$B$2:$B$17,'00_Yield_Rates'!$E$2:$E$17),"")</f>
        <v/>
      </c>
    </row>
    <row r="44">
      <c r="A44" s="601" t="inlineStr">
        <is>
          <t>Cut_up</t>
        </is>
      </c>
      <c r="B44" s="602" t="n">
        <v>203624</v>
      </c>
      <c r="C44" s="603" t="n"/>
      <c r="D44" s="603" t="inlineStr">
        <is>
          <t>Bulk Pack</t>
        </is>
      </c>
      <c r="E44" s="611" t="inlineStr">
        <is>
          <t>FAT</t>
        </is>
      </c>
      <c r="F44" s="603" t="n">
        <v>25</v>
      </c>
      <c r="G44" s="603" t="n"/>
      <c r="H44" s="603" t="n"/>
      <c r="I44" s="603" t="n"/>
      <c r="J44" s="604" t="inlineStr">
        <is>
          <t>MS HA FFP FAT RET 25KG</t>
        </is>
      </c>
      <c r="K44" s="607" t="n"/>
      <c r="L44" s="607" t="n"/>
      <c r="M44" s="605" t="n"/>
      <c r="N44" s="606" t="inlineStr">
        <is>
          <t>SILVER</t>
        </is>
      </c>
      <c r="O44" s="603" t="n"/>
      <c r="P44" s="154" t="n"/>
      <c r="R44" s="600">
        <f>_xludf.IFNA(_xlfn.XLOOKUP(Table3[[#This Row],[SKU]],'03_BulkPack_Order'!$A$2:$A$67,'03_BulkPack_Order'!C:C),"")</f>
        <v/>
      </c>
      <c r="S44" s="600">
        <f>IFERROR(R44*1,"")</f>
        <v/>
      </c>
      <c r="T44" s="600">
        <f>_xludf.IFNA(_xlfn.XLOOKUP(Table3[[#This Row],[SKU]],'00_Yield_Rates'!$B$2:$B$17,'00_Yield_Rates'!$E$2:$E$17),"")</f>
        <v/>
      </c>
    </row>
    <row r="45">
      <c r="A45" s="601" t="inlineStr">
        <is>
          <t>Cut_up</t>
        </is>
      </c>
      <c r="B45" s="602" t="n">
        <v>203839</v>
      </c>
      <c r="C45" s="603" t="n"/>
      <c r="D45" s="603" t="inlineStr">
        <is>
          <t>Bulk Pack</t>
        </is>
      </c>
      <c r="E45" s="603" t="inlineStr">
        <is>
          <t>ThighMeat</t>
        </is>
      </c>
      <c r="F45" s="603" t="n"/>
      <c r="G45" s="603" t="n"/>
      <c r="H45" s="603" t="n"/>
      <c r="I45" s="603" t="n"/>
      <c r="J45" s="604" t="n"/>
      <c r="K45" s="607" t="n"/>
      <c r="L45" s="607" t="n"/>
      <c r="M45" s="605" t="n"/>
      <c r="N45" s="606" t="inlineStr">
        <is>
          <t>SILVER</t>
        </is>
      </c>
      <c r="O45" s="603" t="n"/>
      <c r="P45" s="154" t="n"/>
      <c r="R45" s="600">
        <f>_xludf.IFNA(_xlfn.XLOOKUP(Table3[[#This Row],[SKU]],'03_BulkPack_Order'!$A$2:$A$67,'03_BulkPack_Order'!C:C),"")</f>
        <v/>
      </c>
      <c r="S45" s="600">
        <f>IFERROR(R45*1,"")</f>
        <v/>
      </c>
      <c r="T45" s="600">
        <f>_xludf.IFNA(_xlfn.XLOOKUP(Table3[[#This Row],[SKU]],'00_Yield_Rates'!$B$2:$B$17,'00_Yield_Rates'!$E$2:$E$17),"")</f>
        <v/>
      </c>
    </row>
    <row r="46">
      <c r="A46" s="601" t="inlineStr">
        <is>
          <t>Cut_up</t>
        </is>
      </c>
      <c r="B46" s="602" t="n">
        <v>203846</v>
      </c>
      <c r="C46" s="603" t="n"/>
      <c r="D46" s="603" t="inlineStr">
        <is>
          <t>Bulk Pack</t>
        </is>
      </c>
      <c r="E46" s="603" t="inlineStr">
        <is>
          <t>SplitBreast</t>
        </is>
      </c>
      <c r="F46" s="603" t="n"/>
      <c r="G46" s="603" t="n"/>
      <c r="H46" s="603" t="n"/>
      <c r="I46" s="603" t="n"/>
      <c r="J46" s="604" t="n"/>
      <c r="K46" s="607" t="n"/>
      <c r="L46" s="607" t="n"/>
      <c r="M46" s="605" t="n"/>
      <c r="N46" s="606" t="inlineStr">
        <is>
          <t>SILVER</t>
        </is>
      </c>
      <c r="O46" s="603" t="n"/>
      <c r="P46" s="154" t="n"/>
      <c r="R46" s="600">
        <f>_xludf.IFNA(_xlfn.XLOOKUP(Table3[[#This Row],[SKU]],'03_BulkPack_Order'!$A$2:$A$67,'03_BulkPack_Order'!C:C),"")</f>
        <v/>
      </c>
      <c r="S46" s="600">
        <f>IFERROR(R46*1,"")</f>
        <v/>
      </c>
      <c r="T46" s="600">
        <f>_xludf.IFNA(_xlfn.XLOOKUP(Table3[[#This Row],[SKU]],'00_Yield_Rates'!$B$2:$B$17,'00_Yield_Rates'!$E$2:$E$17),"")</f>
        <v/>
      </c>
    </row>
    <row r="47">
      <c r="A47" s="613" t="inlineStr">
        <is>
          <t>Cut_up</t>
        </is>
      </c>
      <c r="B47" s="614" t="n">
        <v>61010</v>
      </c>
      <c r="C47" s="615" t="n"/>
      <c r="D47" s="615" t="inlineStr">
        <is>
          <t>WIP</t>
        </is>
      </c>
      <c r="E47" s="615" t="inlineStr">
        <is>
          <t>WING</t>
        </is>
      </c>
      <c r="F47" s="615" t="n"/>
      <c r="G47" s="615" t="n"/>
      <c r="H47" s="615" t="n"/>
      <c r="I47" s="615" t="n"/>
      <c r="J47" s="616" t="inlineStr">
        <is>
          <t>MS WIP AC WINGS WHOLE</t>
        </is>
      </c>
      <c r="K47" s="617" t="n"/>
      <c r="L47" s="617" t="n"/>
      <c r="M47" s="618" t="n"/>
      <c r="N47" s="619" t="inlineStr">
        <is>
          <t>SILVER</t>
        </is>
      </c>
      <c r="O47" s="615" t="n"/>
      <c r="P47" s="154" t="n"/>
      <c r="R47" s="600">
        <f>_xludf.IFNA(_xlfn.XLOOKUP(Table3[[#This Row],[SKU]],'03_BulkPack_Order'!$A$2:$A$67,'03_BulkPack_Order'!C:C),"")</f>
        <v/>
      </c>
      <c r="S47" s="175">
        <f>_xludf.IFNA(_xlfn.XLOOKUP(Table3[[#This Row],[SKU]],'06_Resource_Plan'!$C$2:$C$58,'06_Resource_Plan'!F:F),"")</f>
        <v/>
      </c>
      <c r="T47" s="600">
        <f>_xludf.IFNA(_xlfn.XLOOKUP(Table3[[#This Row],[SKU]],'00_Yield_Rates'!$B$2:$B$17,'00_Yield_Rates'!$E$2:$E$17),"")</f>
        <v/>
      </c>
    </row>
    <row r="48">
      <c r="A48" s="613" t="inlineStr">
        <is>
          <t>Cut_up</t>
        </is>
      </c>
      <c r="B48" s="614" t="n">
        <v>61014</v>
      </c>
      <c r="C48" s="615" t="n"/>
      <c r="D48" s="615" t="inlineStr">
        <is>
          <t>WIP</t>
        </is>
      </c>
      <c r="E48" s="615" t="inlineStr">
        <is>
          <t>SplitWing</t>
        </is>
      </c>
      <c r="F48" s="615" t="n"/>
      <c r="G48" s="615" t="n"/>
      <c r="H48" s="615" t="n"/>
      <c r="I48" s="615" t="n"/>
      <c r="J48" s="616" t="inlineStr">
        <is>
          <t>MS WIP AC WINGS SPLIT</t>
        </is>
      </c>
      <c r="K48" s="620" t="n"/>
      <c r="L48" s="620" t="n"/>
      <c r="M48" s="621" t="n"/>
      <c r="N48" s="619" t="inlineStr">
        <is>
          <t>PLATINUM</t>
        </is>
      </c>
      <c r="O48" s="615" t="n"/>
      <c r="P48" s="154" t="n"/>
      <c r="R48" s="600">
        <f>_xludf.IFNA(_xlfn.XLOOKUP(Table3[[#This Row],[SKU]],'03_BulkPack_Order'!$A$2:$A$67,'03_BulkPack_Order'!C:C),"")</f>
        <v/>
      </c>
      <c r="S48" s="175">
        <f>_xludf.IFNA(_xlfn.XLOOKUP(Table3[[#This Row],[SKU]],'06_Resource_Plan'!$C$2:$C$58,'06_Resource_Plan'!F:F),"")</f>
        <v/>
      </c>
      <c r="T48" s="600">
        <f>_xludf.IFNA(_xlfn.XLOOKUP(Table3[[#This Row],[SKU]],'00_Yield_Rates'!$B$2:$B$17,'00_Yield_Rates'!$E$2:$E$17),"")</f>
        <v/>
      </c>
    </row>
    <row r="49">
      <c r="A49" s="613" t="inlineStr">
        <is>
          <t>Cut_up</t>
        </is>
      </c>
      <c r="B49" s="614" t="n">
        <v>61016</v>
      </c>
      <c r="C49" s="615" t="n"/>
      <c r="D49" s="615" t="inlineStr">
        <is>
          <t>WIP</t>
        </is>
      </c>
      <c r="E49" s="615" t="inlineStr">
        <is>
          <t>SplitWing</t>
        </is>
      </c>
      <c r="F49" s="615" t="n"/>
      <c r="G49" s="615" t="n"/>
      <c r="H49" s="615" t="n"/>
      <c r="I49" s="615" t="n"/>
      <c r="J49" s="616" t="inlineStr">
        <is>
          <t>MS WIP AC RWA SPLIT WINGS</t>
        </is>
      </c>
      <c r="K49" s="620" t="n"/>
      <c r="L49" s="620" t="n"/>
      <c r="M49" s="621" t="n"/>
      <c r="N49" s="619" t="inlineStr">
        <is>
          <t>PLATINUM</t>
        </is>
      </c>
      <c r="O49" s="615" t="n"/>
      <c r="P49" s="154" t="n"/>
      <c r="R49" s="600">
        <f>_xludf.IFNA(_xlfn.XLOOKUP(Table3[[#This Row],[SKU]],'03_BulkPack_Order'!$A$2:$A$67,'03_BulkPack_Order'!C:C),"")</f>
        <v/>
      </c>
      <c r="S49" s="175">
        <f>_xludf.IFNA(_xlfn.XLOOKUP(Table3[[#This Row],[SKU]],'06_Resource_Plan'!$C$2:$C$58,'06_Resource_Plan'!F:F),"")</f>
        <v/>
      </c>
      <c r="T49" s="600">
        <f>_xludf.IFNA(_xlfn.XLOOKUP(Table3[[#This Row],[SKU]],'00_Yield_Rates'!$B$2:$B$17,'00_Yield_Rates'!$E$2:$E$17),"")</f>
        <v/>
      </c>
    </row>
    <row r="50">
      <c r="A50" s="613" t="inlineStr">
        <is>
          <t>Cut_up</t>
        </is>
      </c>
      <c r="B50" s="614" t="n">
        <v>61018</v>
      </c>
      <c r="C50" s="615" t="n"/>
      <c r="D50" s="615" t="inlineStr">
        <is>
          <t>WIP</t>
        </is>
      </c>
      <c r="E50" s="615" t="inlineStr">
        <is>
          <t>WING</t>
        </is>
      </c>
      <c r="F50" s="615" t="n"/>
      <c r="G50" s="615" t="n"/>
      <c r="H50" s="615" t="n"/>
      <c r="I50" s="615" t="n"/>
      <c r="J50" s="616" t="inlineStr">
        <is>
          <t>MS WIP AC WINGS WHOLE CAGE</t>
        </is>
      </c>
      <c r="K50" s="622" t="n"/>
      <c r="L50" s="622" t="n"/>
      <c r="M50" s="621" t="n"/>
      <c r="N50" s="615" t="inlineStr">
        <is>
          <t>SILVER</t>
        </is>
      </c>
      <c r="O50" s="615" t="n"/>
      <c r="P50" s="154" t="n"/>
      <c r="R50" s="600">
        <f>_xludf.IFNA(_xlfn.XLOOKUP(Table3[[#This Row],[SKU]],'03_BulkPack_Order'!$A$2:$A$67,'03_BulkPack_Order'!C:C),"")</f>
        <v/>
      </c>
      <c r="S50" s="175" t="n"/>
      <c r="T50" s="600">
        <f>_xludf.IFNA(_xlfn.XLOOKUP(Table3[[#This Row],[SKU]],'00_Yield_Rates'!$B$2:$B$17,'00_Yield_Rates'!$E$2:$E$17),"")</f>
        <v/>
      </c>
    </row>
    <row r="51">
      <c r="A51" s="613" t="inlineStr">
        <is>
          <t>Cut_up</t>
        </is>
      </c>
      <c r="B51" s="614" t="n">
        <v>61040</v>
      </c>
      <c r="C51" s="615" t="n"/>
      <c r="D51" s="615" t="inlineStr">
        <is>
          <t>WIP</t>
        </is>
      </c>
      <c r="E51" s="623" t="inlineStr">
        <is>
          <t>SplitBreast</t>
        </is>
      </c>
      <c r="F51" s="615" t="n"/>
      <c r="G51" s="615" t="n"/>
      <c r="H51" s="615" t="n"/>
      <c r="I51" s="615" t="n"/>
      <c r="J51" s="616" t="inlineStr">
        <is>
          <t>MS WIP AC BREAST BACK OFF SPLIT</t>
        </is>
      </c>
      <c r="K51" s="620" t="n"/>
      <c r="L51" s="620" t="n"/>
      <c r="M51" s="621" t="n"/>
      <c r="N51" s="619" t="inlineStr">
        <is>
          <t>SILVER</t>
        </is>
      </c>
      <c r="O51" s="615" t="n"/>
      <c r="P51" s="154" t="n"/>
      <c r="R51" s="600">
        <f>_xludf.IFNA(_xlfn.XLOOKUP(Table3[[#This Row],[SKU]],'03_BulkPack_Order'!$A$2:$A$67,'03_BulkPack_Order'!C:C),"")</f>
        <v/>
      </c>
      <c r="S51" s="175">
        <f>_xludf.IFNA(_xlfn.XLOOKUP(Table3[[#This Row],[SKU]],'06_Resource_Plan'!$C$2:$C$58,'06_Resource_Plan'!F:F),"")</f>
        <v/>
      </c>
      <c r="T51" s="600">
        <f>_xludf.IFNA(_xlfn.XLOOKUP(Table3[[#This Row],[SKU]],'00_Yield_Rates'!$B$2:$B$17,'00_Yield_Rates'!$E$2:$E$17),"")</f>
        <v/>
      </c>
    </row>
    <row r="52">
      <c r="A52" s="613" t="inlineStr">
        <is>
          <t>Cut_up</t>
        </is>
      </c>
      <c r="B52" s="614" t="n">
        <v>61042</v>
      </c>
      <c r="C52" s="615" t="n"/>
      <c r="D52" s="615" t="inlineStr">
        <is>
          <t>WIP</t>
        </is>
      </c>
      <c r="E52" s="623" t="inlineStr">
        <is>
          <t>SplitBreast</t>
        </is>
      </c>
      <c r="F52" s="615" t="n"/>
      <c r="G52" s="615" t="n"/>
      <c r="H52" s="615" t="n"/>
      <c r="I52" s="615" t="n"/>
      <c r="J52" s="616" t="inlineStr">
        <is>
          <t>MS WIP AC RWA BREAST BACK OFF SPLIT</t>
        </is>
      </c>
      <c r="K52" s="620" t="n"/>
      <c r="L52" s="620" t="n"/>
      <c r="M52" s="621" t="n"/>
      <c r="N52" s="619" t="inlineStr">
        <is>
          <t>PLATINUM</t>
        </is>
      </c>
      <c r="O52" s="615" t="n"/>
      <c r="P52" s="154" t="n"/>
      <c r="R52" s="600">
        <f>_xludf.IFNA(_xlfn.XLOOKUP(Table3[[#This Row],[SKU]],'03_BulkPack_Order'!$A$2:$A$67,'03_BulkPack_Order'!C:C),"")</f>
        <v/>
      </c>
      <c r="S52" s="175">
        <f>_xludf.IFNA(_xlfn.XLOOKUP(Table3[[#This Row],[SKU]],'06_Resource_Plan'!$C$2:$C$58,'06_Resource_Plan'!F:F),"")</f>
        <v/>
      </c>
      <c r="T52" s="600">
        <f>_xludf.IFNA(_xlfn.XLOOKUP(Table3[[#This Row],[SKU]],'00_Yield_Rates'!$B$2:$B$17,'00_Yield_Rates'!$E$2:$E$17),"")</f>
        <v/>
      </c>
    </row>
    <row r="53">
      <c r="A53" s="613" t="inlineStr">
        <is>
          <t>Cut_up</t>
        </is>
      </c>
      <c r="B53" s="614" t="n">
        <v>61048</v>
      </c>
      <c r="C53" s="615" t="n"/>
      <c r="D53" s="615" t="inlineStr">
        <is>
          <t>WIP</t>
        </is>
      </c>
      <c r="E53" s="615" t="inlineStr">
        <is>
          <t>SplitBreast</t>
        </is>
      </c>
      <c r="F53" s="615" t="n"/>
      <c r="G53" s="615" t="n"/>
      <c r="H53" s="615" t="n"/>
      <c r="I53" s="615" t="n"/>
      <c r="J53" s="616" t="inlineStr">
        <is>
          <t>MS WIP AC BREAST BACK OFF SPLIT SKNLS</t>
        </is>
      </c>
      <c r="K53" s="620" t="n"/>
      <c r="L53" s="620" t="n"/>
      <c r="M53" s="621" t="n"/>
      <c r="N53" s="619" t="inlineStr">
        <is>
          <t>SILVER</t>
        </is>
      </c>
      <c r="O53" s="615" t="n"/>
      <c r="P53" s="154" t="n"/>
      <c r="R53" s="600">
        <f>_xludf.IFNA(_xlfn.XLOOKUP(Table3[[#This Row],[SKU]],'03_BulkPack_Order'!$A$2:$A$67,'03_BulkPack_Order'!C:C),"")</f>
        <v/>
      </c>
      <c r="S53" s="175">
        <f>_xludf.IFNA(_xlfn.XLOOKUP(Table3[[#This Row],[SKU]],'06_Resource_Plan'!$C$2:$C$58,'06_Resource_Plan'!F:F),"")</f>
        <v/>
      </c>
      <c r="T53" s="600">
        <f>_xludf.IFNA(_xlfn.XLOOKUP(Table3[[#This Row],[SKU]],'00_Yield_Rates'!$B$2:$B$17,'00_Yield_Rates'!$E$2:$E$17),"")</f>
        <v/>
      </c>
    </row>
    <row r="54">
      <c r="A54" s="613" t="inlineStr">
        <is>
          <t>Cut_up</t>
        </is>
      </c>
      <c r="B54" s="614" t="n">
        <v>61049</v>
      </c>
      <c r="C54" s="615" t="n"/>
      <c r="D54" s="615" t="inlineStr">
        <is>
          <t>WIP</t>
        </is>
      </c>
      <c r="E54" s="623" t="inlineStr">
        <is>
          <t>SplitBreast</t>
        </is>
      </c>
      <c r="F54" s="615" t="n"/>
      <c r="G54" s="615" t="n"/>
      <c r="H54" s="615" t="n"/>
      <c r="I54" s="615" t="n"/>
      <c r="J54" s="616" t="inlineStr">
        <is>
          <t>MS WIP AC RWA BREAST BACK SKNLS OFF SPLIT</t>
        </is>
      </c>
      <c r="K54" s="617" t="n"/>
      <c r="L54" s="617" t="n"/>
      <c r="M54" s="618" t="n"/>
      <c r="N54" s="619" t="inlineStr">
        <is>
          <t>PLATINUM</t>
        </is>
      </c>
      <c r="O54" s="615" t="n"/>
      <c r="P54" s="154" t="n"/>
      <c r="R54" s="600">
        <f>_xludf.IFNA(_xlfn.XLOOKUP(Table3[[#This Row],[SKU]],'03_BulkPack_Order'!$A$2:$A$67,'03_BulkPack_Order'!C:C),"")</f>
        <v/>
      </c>
      <c r="S54" s="175">
        <f>_xludf.IFNA(_xlfn.XLOOKUP(Table3[[#This Row],[SKU]],'06_Resource_Plan'!$C$2:$C$58,'06_Resource_Plan'!F:F),"")</f>
        <v/>
      </c>
      <c r="T54" s="600">
        <f>_xludf.IFNA(_xlfn.XLOOKUP(Table3[[#This Row],[SKU]],'00_Yield_Rates'!$B$2:$B$17,'00_Yield_Rates'!$E$2:$E$17),"")</f>
        <v/>
      </c>
    </row>
    <row r="55">
      <c r="A55" s="613" t="inlineStr">
        <is>
          <t>Cut_up</t>
        </is>
      </c>
      <c r="B55" s="614" t="n">
        <v>61050</v>
      </c>
      <c r="C55" s="615" t="n"/>
      <c r="D55" s="615" t="inlineStr">
        <is>
          <t>WIP</t>
        </is>
      </c>
      <c r="E55" s="615" t="inlineStr">
        <is>
          <t>BSB</t>
        </is>
      </c>
      <c r="F55" s="615" t="n"/>
      <c r="G55" s="615" t="n"/>
      <c r="H55" s="615" t="n"/>
      <c r="I55" s="615" t="n"/>
      <c r="J55" s="616" t="inlineStr">
        <is>
          <t>MS WIP AC BREAST MEAT W/FILLET</t>
        </is>
      </c>
      <c r="K55" s="617" t="n"/>
      <c r="L55" s="617" t="n"/>
      <c r="M55" s="618" t="n"/>
      <c r="N55" s="619" t="inlineStr">
        <is>
          <t>PLATINUM</t>
        </is>
      </c>
      <c r="O55" s="615" t="n"/>
      <c r="P55" s="154" t="n"/>
      <c r="R55" s="600">
        <f>_xludf.IFNA(_xlfn.XLOOKUP(Table3[[#This Row],[SKU]],'03_BulkPack_Order'!$A$2:$A$67,'03_BulkPack_Order'!C:C),"")</f>
        <v/>
      </c>
      <c r="S55" s="175">
        <f>_xludf.IFNA(_xlfn.XLOOKUP(Table3[[#This Row],[SKU]],'06_Resource_Plan'!$C$2:$C$58,'06_Resource_Plan'!F:F),"")</f>
        <v/>
      </c>
      <c r="T55" s="600">
        <f>_xludf.IFNA(_xlfn.XLOOKUP(Table3[[#This Row],[SKU]],'00_Yield_Rates'!$B$2:$B$17,'00_Yield_Rates'!$E$2:$E$17),"")</f>
        <v/>
      </c>
    </row>
    <row r="56">
      <c r="A56" s="613" t="inlineStr">
        <is>
          <t>Cut_up</t>
        </is>
      </c>
      <c r="B56" s="614" t="n">
        <v>61051</v>
      </c>
      <c r="C56" s="615" t="n"/>
      <c r="D56" s="615" t="inlineStr">
        <is>
          <t>WIP</t>
        </is>
      </c>
      <c r="E56" s="615" t="inlineStr">
        <is>
          <t>BSB</t>
        </is>
      </c>
      <c r="F56" s="615" t="n"/>
      <c r="G56" s="615" t="n"/>
      <c r="H56" s="615" t="n"/>
      <c r="I56" s="615" t="n"/>
      <c r="J56" s="616" t="inlineStr">
        <is>
          <t>MS WIP AC RWA BREAST MEAT W/FILLET</t>
        </is>
      </c>
      <c r="K56" s="620" t="n"/>
      <c r="L56" s="620" t="n"/>
      <c r="M56" s="621" t="n"/>
      <c r="N56" s="619" t="inlineStr">
        <is>
          <t>PLATINUM</t>
        </is>
      </c>
      <c r="O56" s="615" t="n"/>
      <c r="P56" s="154" t="n"/>
      <c r="R56" s="600">
        <f>_xludf.IFNA(_xlfn.XLOOKUP(Table3[[#This Row],[SKU]],'03_BulkPack_Order'!$A$2:$A$67,'03_BulkPack_Order'!C:C),"")</f>
        <v/>
      </c>
      <c r="S56" s="175">
        <f>_xludf.IFNA(_xlfn.XLOOKUP(Table3[[#This Row],[SKU]],'06_Resource_Plan'!$C$2:$C$58,'06_Resource_Plan'!F:F),"")</f>
        <v/>
      </c>
      <c r="T56" s="600">
        <f>_xludf.IFNA(_xlfn.XLOOKUP(Table3[[#This Row],[SKU]],'00_Yield_Rates'!$B$2:$B$17,'00_Yield_Rates'!$E$2:$E$17),"")</f>
        <v/>
      </c>
    </row>
    <row r="57">
      <c r="A57" s="613" t="inlineStr">
        <is>
          <t>Cut_up</t>
        </is>
      </c>
      <c r="B57" s="614" t="n">
        <v>61054</v>
      </c>
      <c r="C57" s="615" t="n"/>
      <c r="D57" s="615" t="inlineStr">
        <is>
          <t>WIP</t>
        </is>
      </c>
      <c r="E57" s="615" t="inlineStr">
        <is>
          <t>FILLET</t>
        </is>
      </c>
      <c r="F57" s="615" t="n"/>
      <c r="G57" s="615" t="n"/>
      <c r="H57" s="615" t="n"/>
      <c r="I57" s="615" t="n"/>
      <c r="J57" s="616" t="inlineStr">
        <is>
          <t>MS WIP AC FILLET</t>
        </is>
      </c>
      <c r="K57" s="620" t="n"/>
      <c r="L57" s="620" t="n"/>
      <c r="M57" s="621" t="n"/>
      <c r="N57" s="619" t="inlineStr">
        <is>
          <t>PLATINUM</t>
        </is>
      </c>
      <c r="O57" s="615" t="n"/>
      <c r="P57" s="154" t="n"/>
      <c r="R57" s="600">
        <f>_xludf.IFNA(_xlfn.XLOOKUP(Table3[[#This Row],[SKU]],'03_BulkPack_Order'!$A$2:$A$67,'03_BulkPack_Order'!C:C),"")</f>
        <v/>
      </c>
      <c r="S57" s="175">
        <f>_xludf.IFNA(_xlfn.XLOOKUP(Table3[[#This Row],[SKU]],'06_Resource_Plan'!$C$2:$C$58,'06_Resource_Plan'!F:F),"")</f>
        <v/>
      </c>
      <c r="T57" s="600">
        <f>_xludf.IFNA(_xlfn.XLOOKUP(Table3[[#This Row],[SKU]],'00_Yield_Rates'!$B$2:$B$17,'00_Yield_Rates'!$E$2:$E$17),"")</f>
        <v/>
      </c>
    </row>
    <row r="58">
      <c r="A58" s="613" t="inlineStr">
        <is>
          <t>Cut_up</t>
        </is>
      </c>
      <c r="B58" s="614" t="n">
        <v>61055</v>
      </c>
      <c r="C58" s="615" t="n"/>
      <c r="D58" s="615" t="inlineStr">
        <is>
          <t>WIP</t>
        </is>
      </c>
      <c r="E58" s="615" t="inlineStr">
        <is>
          <t>WOF</t>
        </is>
      </c>
      <c r="F58" s="615" t="n"/>
      <c r="G58" s="615" t="n"/>
      <c r="H58" s="615" t="n"/>
      <c r="I58" s="615" t="n"/>
      <c r="J58" s="616" t="inlineStr">
        <is>
          <t>MS WIP AC BREAST MEAT WOF LCL</t>
        </is>
      </c>
      <c r="K58" s="622" t="n"/>
      <c r="L58" s="622" t="n"/>
      <c r="M58" s="621" t="n"/>
      <c r="N58" s="615" t="inlineStr">
        <is>
          <t>SILVER</t>
        </is>
      </c>
      <c r="O58" s="615" t="n"/>
      <c r="P58" s="154" t="n"/>
      <c r="R58" s="600">
        <f>_xludf.IFNA(_xlfn.XLOOKUP(Table3[[#This Row],[SKU]],'03_BulkPack_Order'!$A$2:$A$67,'03_BulkPack_Order'!C:C),"")</f>
        <v/>
      </c>
      <c r="S58" s="175">
        <f>_xludf.IFNA(_xlfn.XLOOKUP(Table3[[#This Row],[SKU]],'06_Resource_Plan'!$C$2:$C$58,'06_Resource_Plan'!F:F),"")</f>
        <v/>
      </c>
      <c r="T58" s="600">
        <f>_xludf.IFNA(_xlfn.XLOOKUP(Table3[[#This Row],[SKU]],'00_Yield_Rates'!$B$2:$B$17,'00_Yield_Rates'!$E$2:$E$17),"")</f>
        <v/>
      </c>
    </row>
    <row r="59">
      <c r="A59" s="613" t="inlineStr">
        <is>
          <t>Cut_up</t>
        </is>
      </c>
      <c r="B59" s="614" t="n">
        <v>61061</v>
      </c>
      <c r="C59" s="615" t="n"/>
      <c r="D59" s="615" t="inlineStr">
        <is>
          <t>WIP</t>
        </is>
      </c>
      <c r="E59" s="615" t="inlineStr">
        <is>
          <t>BA</t>
        </is>
      </c>
      <c r="F59" s="615" t="n"/>
      <c r="G59" s="615" t="n"/>
      <c r="H59" s="615" t="n"/>
      <c r="I59" s="615" t="n"/>
      <c r="J59" s="616" t="inlineStr">
        <is>
          <t>MS WIP AC LEG BA</t>
        </is>
      </c>
      <c r="K59" s="617" t="n"/>
      <c r="L59" s="617" t="n"/>
      <c r="M59" s="618" t="n"/>
      <c r="N59" s="619" t="inlineStr">
        <is>
          <t>SILVER</t>
        </is>
      </c>
      <c r="O59" s="615" t="n"/>
      <c r="P59" s="154" t="n"/>
      <c r="R59" s="175" t="n"/>
      <c r="S59" s="175">
        <f>_xludf.IFNA(_xlfn.XLOOKUP(Table3[[#This Row],[SKU]],'06_Resource_Plan'!$C$2:$C$58,'06_Resource_Plan'!F:F),"")</f>
        <v/>
      </c>
      <c r="T59" s="600">
        <f>_xludf.IFNA(_xlfn.XLOOKUP(Table3[[#This Row],[SKU]],'00_Yield_Rates'!$B$2:$B$17,'00_Yield_Rates'!$E$2:$E$17),"")</f>
        <v/>
      </c>
    </row>
    <row r="60">
      <c r="A60" s="613" t="inlineStr">
        <is>
          <t>Cut_up</t>
        </is>
      </c>
      <c r="B60" s="614" t="n">
        <v>61062</v>
      </c>
      <c r="C60" s="615" t="n"/>
      <c r="D60" s="615" t="inlineStr">
        <is>
          <t>WIP</t>
        </is>
      </c>
      <c r="E60" s="615" t="inlineStr">
        <is>
          <t>BA</t>
        </is>
      </c>
      <c r="F60" s="615" t="n"/>
      <c r="G60" s="615" t="n"/>
      <c r="H60" s="615" t="n"/>
      <c r="I60" s="615" t="n"/>
      <c r="J60" s="616" t="inlineStr">
        <is>
          <t>MS WIP AC LEG BA CAGE</t>
        </is>
      </c>
      <c r="K60" s="620" t="n"/>
      <c r="L60" s="620" t="n"/>
      <c r="M60" s="621" t="n"/>
      <c r="N60" s="619" t="inlineStr">
        <is>
          <t>SILVER</t>
        </is>
      </c>
      <c r="O60" s="615" t="n"/>
      <c r="P60" s="154" t="n"/>
      <c r="R60" s="175" t="n"/>
      <c r="S60" s="175">
        <f>_xludf.IFNA(_xlfn.XLOOKUP(Table3[[#This Row],[SKU]],'06_Resource_Plan'!$C$2:$C$58,'06_Resource_Plan'!F:F),"")</f>
        <v/>
      </c>
      <c r="T60" s="600">
        <f>_xludf.IFNA(_xlfn.XLOOKUP(Table3[[#This Row],[SKU]],'00_Yield_Rates'!$B$2:$B$17,'00_Yield_Rates'!$E$2:$E$17),"")</f>
        <v/>
      </c>
    </row>
    <row r="61">
      <c r="A61" s="613" t="inlineStr">
        <is>
          <t>Cut_up</t>
        </is>
      </c>
      <c r="B61" s="614" t="n">
        <v>61064</v>
      </c>
      <c r="C61" s="615" t="n"/>
      <c r="D61" s="615" t="inlineStr">
        <is>
          <t>WIP</t>
        </is>
      </c>
      <c r="E61" s="615" t="inlineStr">
        <is>
          <t>BSB</t>
        </is>
      </c>
      <c r="F61" s="615" t="n"/>
      <c r="G61" s="615" t="n"/>
      <c r="H61" s="615" t="n"/>
      <c r="I61" s="615" t="n"/>
      <c r="J61" s="616" t="inlineStr">
        <is>
          <t>MS WIP ACCUTLET</t>
        </is>
      </c>
      <c r="K61" s="620" t="n"/>
      <c r="L61" s="620" t="n"/>
      <c r="M61" s="621" t="n"/>
      <c r="N61" s="619" t="inlineStr">
        <is>
          <t>PLATINUM</t>
        </is>
      </c>
      <c r="O61" s="615" t="n"/>
      <c r="P61" s="154" t="n"/>
      <c r="R61" s="175" t="n"/>
      <c r="S61" s="175">
        <f>_xludf.IFNA(_xlfn.XLOOKUP(Table3[[#This Row],[SKU]],'06_Resource_Plan'!$C$2:$C$58,'06_Resource_Plan'!F:F),"")</f>
        <v/>
      </c>
      <c r="T61" s="600">
        <f>_xludf.IFNA(_xlfn.XLOOKUP(Table3[[#This Row],[SKU]],'00_Yield_Rates'!$B$2:$B$17,'00_Yield_Rates'!$E$2:$E$17),"")</f>
        <v/>
      </c>
    </row>
    <row r="62">
      <c r="A62" s="613" t="inlineStr">
        <is>
          <t>Cut_up</t>
        </is>
      </c>
      <c r="B62" s="614" t="n">
        <v>61069</v>
      </c>
      <c r="C62" s="615" t="n"/>
      <c r="D62" s="615" t="inlineStr">
        <is>
          <t>WIP</t>
        </is>
      </c>
      <c r="E62" s="615" t="inlineStr">
        <is>
          <t>BSB</t>
        </is>
      </c>
      <c r="F62" s="615" t="n"/>
      <c r="G62" s="615" t="n"/>
      <c r="H62" s="615" t="n"/>
      <c r="I62" s="615" t="n"/>
      <c r="J62" s="616" t="inlineStr">
        <is>
          <t>MS WIP AC RWA CUTLET</t>
        </is>
      </c>
      <c r="K62" s="620" t="n"/>
      <c r="L62" s="620" t="n"/>
      <c r="M62" s="621" t="n"/>
      <c r="N62" s="619" t="inlineStr">
        <is>
          <t>PLATINUM</t>
        </is>
      </c>
      <c r="O62" s="615" t="n"/>
      <c r="P62" s="154" t="n"/>
      <c r="R62" s="175" t="n"/>
      <c r="S62" s="175">
        <f>_xludf.IFNA(_xlfn.XLOOKUP(Table3[[#This Row],[SKU]],'06_Resource_Plan'!$C$2:$C$58,'06_Resource_Plan'!F:F),"")</f>
        <v/>
      </c>
      <c r="T62" s="600">
        <f>_xludf.IFNA(_xlfn.XLOOKUP(Table3[[#This Row],[SKU]],'00_Yield_Rates'!$B$2:$B$17,'00_Yield_Rates'!$E$2:$E$17),"")</f>
        <v/>
      </c>
    </row>
    <row r="63">
      <c r="A63" s="613" t="inlineStr">
        <is>
          <t>Cut_up</t>
        </is>
      </c>
      <c r="B63" s="614" t="n">
        <v>61070</v>
      </c>
      <c r="C63" s="615" t="n"/>
      <c r="D63" s="615" t="inlineStr">
        <is>
          <t>WIP</t>
        </is>
      </c>
      <c r="E63" s="615" t="inlineStr">
        <is>
          <t>BSB</t>
        </is>
      </c>
      <c r="F63" s="615" t="n"/>
      <c r="G63" s="615" t="n"/>
      <c r="H63" s="615" t="n"/>
      <c r="I63" s="615" t="n"/>
      <c r="J63" s="616" t="n"/>
      <c r="K63" s="620" t="n"/>
      <c r="L63" s="620" t="n"/>
      <c r="M63" s="621" t="n"/>
      <c r="N63" s="619" t="inlineStr">
        <is>
          <t>PLATINUM</t>
        </is>
      </c>
      <c r="O63" s="615" t="n"/>
      <c r="P63" s="154" t="n"/>
      <c r="R63" s="175" t="n"/>
      <c r="S63" s="175">
        <f>_xludf.IFNA(_xlfn.XLOOKUP(Table3[[#This Row],[SKU]],'06_Resource_Plan'!$C$2:$C$58,'06_Resource_Plan'!F:F),"")</f>
        <v/>
      </c>
      <c r="T63" s="600">
        <f>_xludf.IFNA(_xlfn.XLOOKUP(Table3[[#This Row],[SKU]],'00_Yield_Rates'!$B$2:$B$17,'00_Yield_Rates'!$E$2:$E$17),"")</f>
        <v/>
      </c>
    </row>
    <row r="64">
      <c r="A64" s="613" t="inlineStr">
        <is>
          <t>Cut_up</t>
        </is>
      </c>
      <c r="B64" s="614" t="n">
        <v>61072</v>
      </c>
      <c r="C64" s="615" t="n"/>
      <c r="D64" s="615" t="inlineStr">
        <is>
          <t>WIP</t>
        </is>
      </c>
      <c r="E64" s="615" t="inlineStr">
        <is>
          <t>DRUM</t>
        </is>
      </c>
      <c r="F64" s="615" t="n"/>
      <c r="G64" s="615" t="n"/>
      <c r="H64" s="615" t="n"/>
      <c r="I64" s="615" t="n"/>
      <c r="J64" s="616" t="inlineStr">
        <is>
          <t>MS WIP AC DRUM TRIMMED</t>
        </is>
      </c>
      <c r="K64" s="620" t="n"/>
      <c r="L64" s="620" t="n"/>
      <c r="M64" s="621" t="n"/>
      <c r="N64" s="619" t="inlineStr">
        <is>
          <t>PLATINUM</t>
        </is>
      </c>
      <c r="O64" s="615" t="n"/>
      <c r="P64" s="154" t="n"/>
      <c r="R64" s="175" t="n"/>
      <c r="S64" s="175">
        <f>_xludf.IFNA(_xlfn.XLOOKUP(Table3[[#This Row],[SKU]],'06_Resource_Plan'!$C$2:$C$58,'06_Resource_Plan'!F:F),"")</f>
        <v/>
      </c>
      <c r="T64" s="600">
        <f>_xludf.IFNA(_xlfn.XLOOKUP(Table3[[#This Row],[SKU]],'00_Yield_Rates'!$B$2:$B$17,'00_Yield_Rates'!$E$2:$E$17),"")</f>
        <v/>
      </c>
    </row>
    <row r="65">
      <c r="A65" s="613" t="inlineStr">
        <is>
          <t>Cut_up</t>
        </is>
      </c>
      <c r="B65" s="614" t="n">
        <v>61073</v>
      </c>
      <c r="C65" s="615" t="n"/>
      <c r="D65" s="615" t="inlineStr">
        <is>
          <t>WIP</t>
        </is>
      </c>
      <c r="E65" s="615" t="inlineStr">
        <is>
          <t>DRUM</t>
        </is>
      </c>
      <c r="F65" s="615" t="n"/>
      <c r="G65" s="615" t="n"/>
      <c r="H65" s="615" t="n"/>
      <c r="I65" s="615" t="n"/>
      <c r="J65" s="616" t="inlineStr">
        <is>
          <t>MS WIP AC DRUM TRIMMED CAGE</t>
        </is>
      </c>
      <c r="K65" s="620" t="n"/>
      <c r="L65" s="620" t="n"/>
      <c r="M65" s="621" t="n"/>
      <c r="N65" s="619" t="inlineStr">
        <is>
          <t>SILVER</t>
        </is>
      </c>
      <c r="O65" s="615" t="n"/>
      <c r="P65" s="154" t="n"/>
      <c r="R65" s="175" t="n"/>
      <c r="S65" s="175">
        <f>_xludf.IFNA(_xlfn.XLOOKUP(Table3[[#This Row],[SKU]],'06_Resource_Plan'!$C$2:$C$58,'06_Resource_Plan'!F:F),"")</f>
        <v/>
      </c>
      <c r="T65" s="600">
        <f>_xludf.IFNA(_xlfn.XLOOKUP(Table3[[#This Row],[SKU]],'00_Yield_Rates'!$B$2:$B$17,'00_Yield_Rates'!$E$2:$E$17),"")</f>
        <v/>
      </c>
    </row>
    <row r="66">
      <c r="A66" s="613" t="inlineStr">
        <is>
          <t>Cut_up</t>
        </is>
      </c>
      <c r="B66" s="614" t="n">
        <v>61074</v>
      </c>
      <c r="C66" s="615" t="n"/>
      <c r="D66" s="615" t="inlineStr">
        <is>
          <t>WIP</t>
        </is>
      </c>
      <c r="E66" s="615" t="inlineStr">
        <is>
          <t>DRUM</t>
        </is>
      </c>
      <c r="F66" s="615" t="n"/>
      <c r="G66" s="615" t="n"/>
      <c r="H66" s="615" t="n"/>
      <c r="I66" s="615" t="n"/>
      <c r="J66" s="616" t="inlineStr">
        <is>
          <t>MS WIP AC RWA DRUM TRIMMED</t>
        </is>
      </c>
      <c r="K66" s="620" t="n"/>
      <c r="L66" s="620" t="n"/>
      <c r="M66" s="621" t="n"/>
      <c r="N66" s="619" t="inlineStr">
        <is>
          <t>PLATINUM</t>
        </is>
      </c>
      <c r="O66" s="615" t="n"/>
      <c r="P66" s="154" t="n"/>
      <c r="R66" s="175" t="n"/>
      <c r="S66" s="175">
        <f>_xludf.IFNA(_xlfn.XLOOKUP(Table3[[#This Row],[SKU]],'06_Resource_Plan'!$C$2:$C$58,'06_Resource_Plan'!F:F),"")</f>
        <v/>
      </c>
      <c r="T66" s="600">
        <f>_xludf.IFNA(_xlfn.XLOOKUP(Table3[[#This Row],[SKU]],'00_Yield_Rates'!$B$2:$B$17,'00_Yield_Rates'!$E$2:$E$17),"")</f>
        <v/>
      </c>
    </row>
    <row r="67">
      <c r="A67" s="613" t="inlineStr">
        <is>
          <t>Cut_up</t>
        </is>
      </c>
      <c r="B67" s="614" t="n">
        <v>61075</v>
      </c>
      <c r="C67" s="615" t="n"/>
      <c r="D67" s="615" t="inlineStr">
        <is>
          <t>WIP</t>
        </is>
      </c>
      <c r="E67" s="615" t="inlineStr">
        <is>
          <t>DRUM</t>
        </is>
      </c>
      <c r="F67" s="615" t="n"/>
      <c r="G67" s="615" t="n"/>
      <c r="H67" s="615" t="n"/>
      <c r="I67" s="615" t="n"/>
      <c r="J67" s="616" t="inlineStr">
        <is>
          <t>MS WIP AC RWA DRUM TRIMMED CAGE</t>
        </is>
      </c>
      <c r="K67" s="620" t="n"/>
      <c r="L67" s="620" t="n"/>
      <c r="M67" s="621" t="n"/>
      <c r="N67" s="619" t="inlineStr">
        <is>
          <t>SILVER</t>
        </is>
      </c>
      <c r="O67" s="615" t="n"/>
      <c r="P67" s="154" t="n"/>
      <c r="R67" s="175" t="n"/>
      <c r="S67" s="175">
        <f>_xludf.IFNA(_xlfn.XLOOKUP(Table3[[#This Row],[SKU]],'06_Resource_Plan'!$C$2:$C$58,'06_Resource_Plan'!F:F),"")</f>
        <v/>
      </c>
      <c r="T67" s="600">
        <f>_xludf.IFNA(_xlfn.XLOOKUP(Table3[[#This Row],[SKU]],'00_Yield_Rates'!$B$2:$B$17,'00_Yield_Rates'!$E$2:$E$17),"")</f>
        <v/>
      </c>
    </row>
    <row r="68">
      <c r="A68" s="613" t="inlineStr">
        <is>
          <t>Cut_up</t>
        </is>
      </c>
      <c r="B68" s="614" t="n">
        <v>61076</v>
      </c>
      <c r="C68" s="615" t="n"/>
      <c r="D68" s="615" t="inlineStr">
        <is>
          <t>WIP</t>
        </is>
      </c>
      <c r="E68" s="615" t="inlineStr">
        <is>
          <t>DRUM</t>
        </is>
      </c>
      <c r="F68" s="615" t="n"/>
      <c r="G68" s="615" t="n"/>
      <c r="H68" s="615" t="n"/>
      <c r="I68" s="615" t="n"/>
      <c r="J68" s="616" t="n"/>
      <c r="K68" s="620" t="n"/>
      <c r="L68" s="620" t="n"/>
      <c r="M68" s="621" t="n"/>
      <c r="N68" s="619" t="inlineStr">
        <is>
          <t>PLATINUM</t>
        </is>
      </c>
      <c r="O68" s="615" t="n"/>
      <c r="P68" s="154" t="n"/>
      <c r="R68" s="175" t="n"/>
      <c r="S68" s="175">
        <f>_xludf.IFNA(_xlfn.XLOOKUP(Table3[[#This Row],[SKU]],'06_Resource_Plan'!$C$2:$C$58,'06_Resource_Plan'!F:F),"")</f>
        <v/>
      </c>
      <c r="T68" s="600">
        <f>_xludf.IFNA(_xlfn.XLOOKUP(Table3[[#This Row],[SKU]],'00_Yield_Rates'!$B$2:$B$17,'00_Yield_Rates'!$E$2:$E$17),"")</f>
        <v/>
      </c>
    </row>
    <row r="69">
      <c r="A69" s="613" t="inlineStr">
        <is>
          <t>Cut_up</t>
        </is>
      </c>
      <c r="B69" s="614" t="n">
        <v>61077</v>
      </c>
      <c r="C69" s="615" t="n"/>
      <c r="D69" s="615" t="inlineStr">
        <is>
          <t>WIP</t>
        </is>
      </c>
      <c r="E69" s="615" t="inlineStr">
        <is>
          <t>Thigh</t>
        </is>
      </c>
      <c r="F69" s="615" t="n"/>
      <c r="G69" s="615" t="n"/>
      <c r="H69" s="615" t="n"/>
      <c r="I69" s="615" t="n"/>
      <c r="J69" s="616" t="inlineStr">
        <is>
          <t>MS WIP AC THIGH PC TRIM</t>
        </is>
      </c>
      <c r="K69" s="620" t="n"/>
      <c r="L69" s="620" t="n"/>
      <c r="M69" s="621" t="n"/>
      <c r="N69" s="619" t="inlineStr">
        <is>
          <t>PLATINUM</t>
        </is>
      </c>
      <c r="O69" s="615" t="n"/>
      <c r="P69" s="154" t="n"/>
      <c r="R69" s="175" t="n"/>
      <c r="S69" s="175">
        <f>_xludf.IFNA(_xlfn.XLOOKUP(Table3[[#This Row],[SKU]],'06_Resource_Plan'!$C$2:$C$58,'06_Resource_Plan'!F:F),"")</f>
        <v/>
      </c>
      <c r="T69" s="600">
        <f>_xludf.IFNA(_xlfn.XLOOKUP(Table3[[#This Row],[SKU]],'00_Yield_Rates'!$B$2:$B$17,'00_Yield_Rates'!$E$2:$E$17),"")</f>
        <v/>
      </c>
    </row>
    <row r="70">
      <c r="A70" s="613" t="inlineStr">
        <is>
          <t>Cut_up</t>
        </is>
      </c>
      <c r="B70" s="614" t="n">
        <v>61078</v>
      </c>
      <c r="C70" s="615" t="n"/>
      <c r="D70" s="615" t="inlineStr">
        <is>
          <t>WIP</t>
        </is>
      </c>
      <c r="E70" s="615" t="inlineStr">
        <is>
          <t>Thigh</t>
        </is>
      </c>
      <c r="F70" s="615" t="n"/>
      <c r="G70" s="615" t="n"/>
      <c r="H70" s="615" t="n"/>
      <c r="I70" s="615" t="n"/>
      <c r="J70" s="616" t="inlineStr">
        <is>
          <t>MS WIP AC THIGH COSTCO TRIM</t>
        </is>
      </c>
      <c r="K70" s="620" t="n"/>
      <c r="L70" s="620" t="n"/>
      <c r="M70" s="621" t="n"/>
      <c r="N70" s="619" t="inlineStr">
        <is>
          <t>GOLD</t>
        </is>
      </c>
      <c r="O70" s="615" t="n"/>
      <c r="P70" s="154" t="n"/>
      <c r="R70" s="175" t="n"/>
      <c r="S70" s="175">
        <f>_xludf.IFNA(_xlfn.XLOOKUP(Table3[[#This Row],[SKU]],'06_Resource_Plan'!$C$2:$C$58,'06_Resource_Plan'!F:F),"")</f>
        <v/>
      </c>
      <c r="T70" s="600">
        <f>_xludf.IFNA(_xlfn.XLOOKUP(Table3[[#This Row],[SKU]],'00_Yield_Rates'!$B$2:$B$17,'00_Yield_Rates'!$E$2:$E$17),"")</f>
        <v/>
      </c>
    </row>
    <row r="71">
      <c r="A71" s="613" t="inlineStr">
        <is>
          <t>Cut_up</t>
        </is>
      </c>
      <c r="B71" s="614" t="n">
        <v>61079</v>
      </c>
      <c r="C71" s="615" t="n"/>
      <c r="D71" s="615" t="inlineStr">
        <is>
          <t>WIP</t>
        </is>
      </c>
      <c r="E71" s="615" t="inlineStr">
        <is>
          <t>Thigh</t>
        </is>
      </c>
      <c r="F71" s="615" t="n"/>
      <c r="G71" s="615" t="n"/>
      <c r="H71" s="615" t="n"/>
      <c r="I71" s="615" t="n"/>
      <c r="J71" s="616" t="inlineStr">
        <is>
          <t>MS WIP RWA THIGH TRIM - PC</t>
        </is>
      </c>
      <c r="K71" s="620" t="n"/>
      <c r="L71" s="620" t="n"/>
      <c r="M71" s="621" t="n"/>
      <c r="N71" s="619" t="inlineStr">
        <is>
          <t>PLATINUM</t>
        </is>
      </c>
      <c r="O71" s="615" t="n"/>
      <c r="P71" s="154" t="n"/>
      <c r="R71" s="175" t="n"/>
      <c r="S71" s="175">
        <f>_xludf.IFNA(_xlfn.XLOOKUP(Table3[[#This Row],[SKU]],'06_Resource_Plan'!$C$2:$C$58,'06_Resource_Plan'!F:F),"")</f>
        <v/>
      </c>
      <c r="T71" s="600">
        <f>_xludf.IFNA(_xlfn.XLOOKUP(Table3[[#This Row],[SKU]],'00_Yield_Rates'!$B$2:$B$17,'00_Yield_Rates'!$E$2:$E$17),"")</f>
        <v/>
      </c>
    </row>
    <row r="72">
      <c r="A72" s="613" t="inlineStr">
        <is>
          <t>Cut_up</t>
        </is>
      </c>
      <c r="B72" s="614" t="n">
        <v>61082</v>
      </c>
      <c r="C72" s="615" t="n"/>
      <c r="D72" s="615" t="inlineStr">
        <is>
          <t>WIP</t>
        </is>
      </c>
      <c r="E72" s="615" t="inlineStr">
        <is>
          <t>Thigh</t>
        </is>
      </c>
      <c r="F72" s="615" t="n"/>
      <c r="G72" s="615" t="n"/>
      <c r="H72" s="615" t="n"/>
      <c r="I72" s="615" t="n"/>
      <c r="J72" s="616" t="inlineStr">
        <is>
          <t>MS WIP AC THIGHS</t>
        </is>
      </c>
      <c r="K72" s="620" t="n"/>
      <c r="L72" s="620" t="n"/>
      <c r="M72" s="621" t="n"/>
      <c r="N72" s="619" t="inlineStr">
        <is>
          <t>SILVER</t>
        </is>
      </c>
      <c r="O72" s="615" t="n"/>
      <c r="P72" s="154" t="n"/>
      <c r="R72" s="175" t="n"/>
      <c r="S72" s="175">
        <f>_xludf.IFNA(_xlfn.XLOOKUP(Table3[[#This Row],[SKU]],'06_Resource_Plan'!$C$2:$C$58,'06_Resource_Plan'!F:F),"")</f>
        <v/>
      </c>
      <c r="T72" s="600">
        <f>_xludf.IFNA(_xlfn.XLOOKUP(Table3[[#This Row],[SKU]],'00_Yield_Rates'!$B$2:$B$17,'00_Yield_Rates'!$E$2:$E$17),"")</f>
        <v/>
      </c>
    </row>
    <row r="73">
      <c r="A73" s="613" t="inlineStr">
        <is>
          <t>Cut_up</t>
        </is>
      </c>
      <c r="B73" s="614" t="n">
        <v>61086</v>
      </c>
      <c r="C73" s="615" t="n"/>
      <c r="D73" s="615" t="inlineStr">
        <is>
          <t>WIP</t>
        </is>
      </c>
      <c r="E73" s="615" t="inlineStr">
        <is>
          <t>ThighMeat</t>
        </is>
      </c>
      <c r="F73" s="615" t="n"/>
      <c r="G73" s="615" t="n"/>
      <c r="H73" s="615" t="n"/>
      <c r="I73" s="615" t="n"/>
      <c r="J73" s="616" t="inlineStr">
        <is>
          <t>MS WIP AC THIGH MEAT</t>
        </is>
      </c>
      <c r="K73" s="620" t="n"/>
      <c r="L73" s="620" t="n"/>
      <c r="M73" s="621" t="n"/>
      <c r="N73" s="619" t="inlineStr">
        <is>
          <t>PLATINUM</t>
        </is>
      </c>
      <c r="O73" s="615" t="n"/>
      <c r="P73" s="154" t="n"/>
      <c r="R73" s="175" t="n"/>
      <c r="S73" s="175">
        <f>_xludf.IFNA(_xlfn.XLOOKUP(Table3[[#This Row],[SKU]],'06_Resource_Plan'!$C$2:$C$58,'06_Resource_Plan'!F:F),"")</f>
        <v/>
      </c>
      <c r="T73" s="600">
        <f>_xludf.IFNA(_xlfn.XLOOKUP(Table3[[#This Row],[SKU]],'00_Yield_Rates'!$B$2:$B$17,'00_Yield_Rates'!$E$2:$E$17),"")</f>
        <v/>
      </c>
    </row>
    <row r="74">
      <c r="A74" s="613" t="inlineStr">
        <is>
          <t>Cut_up</t>
        </is>
      </c>
      <c r="B74" s="614" t="n">
        <v>61087</v>
      </c>
      <c r="C74" s="615" t="n"/>
      <c r="D74" s="615" t="inlineStr">
        <is>
          <t>WIP</t>
        </is>
      </c>
      <c r="E74" s="615" t="inlineStr">
        <is>
          <t>ThighMeat</t>
        </is>
      </c>
      <c r="F74" s="615" t="n"/>
      <c r="G74" s="615" t="n"/>
      <c r="H74" s="615" t="n"/>
      <c r="I74" s="615" t="n"/>
      <c r="J74" s="616" t="inlineStr">
        <is>
          <t>MS WIP AC RWA THIGH MEAT</t>
        </is>
      </c>
      <c r="K74" s="620" t="n"/>
      <c r="L74" s="620" t="n"/>
      <c r="M74" s="621" t="n"/>
      <c r="N74" s="619" t="inlineStr">
        <is>
          <t>PLATINUM</t>
        </is>
      </c>
      <c r="O74" s="615" t="n"/>
      <c r="P74" s="154" t="n"/>
      <c r="R74" s="175" t="n"/>
      <c r="S74" s="175">
        <f>_xludf.IFNA(_xlfn.XLOOKUP(Table3[[#This Row],[SKU]],'06_Resource_Plan'!$C$2:$C$58,'06_Resource_Plan'!F:F),"")</f>
        <v/>
      </c>
      <c r="T74" s="600">
        <f>_xludf.IFNA(_xlfn.XLOOKUP(Table3[[#This Row],[SKU]],'00_Yield_Rates'!$B$2:$B$17,'00_Yield_Rates'!$E$2:$E$17),"")</f>
        <v/>
      </c>
    </row>
    <row r="75">
      <c r="A75" s="613" t="inlineStr">
        <is>
          <t>Cut_up</t>
        </is>
      </c>
      <c r="B75" s="614" t="n">
        <v>61104</v>
      </c>
      <c r="C75" s="615" t="n"/>
      <c r="D75" s="615" t="inlineStr">
        <is>
          <t>WIP</t>
        </is>
      </c>
      <c r="E75" s="615" t="inlineStr">
        <is>
          <t>BSB</t>
        </is>
      </c>
      <c r="F75" s="615" t="n"/>
      <c r="G75" s="615" t="n"/>
      <c r="H75" s="615" t="n"/>
      <c r="I75" s="615" t="n"/>
      <c r="J75" s="616" t="inlineStr">
        <is>
          <t>MS WIP AC CHUNK MEAT</t>
        </is>
      </c>
      <c r="K75" s="620" t="n"/>
      <c r="L75" s="620" t="n"/>
      <c r="M75" s="621" t="n"/>
      <c r="N75" s="619" t="inlineStr">
        <is>
          <t>SILVER</t>
        </is>
      </c>
      <c r="O75" s="615" t="n"/>
      <c r="P75" s="154" t="n"/>
      <c r="R75" s="175" t="n"/>
      <c r="S75" s="175">
        <f>_xludf.IFNA(_xlfn.XLOOKUP(Table3[[#This Row],[SKU]],'06_Resource_Plan'!$C$2:$C$58,'06_Resource_Plan'!F:F),"")</f>
        <v/>
      </c>
      <c r="T75" s="600">
        <f>_xludf.IFNA(_xlfn.XLOOKUP(Table3[[#This Row],[SKU]],'00_Yield_Rates'!$B$2:$B$17,'00_Yield_Rates'!$E$2:$E$17),"")</f>
        <v/>
      </c>
    </row>
    <row r="76">
      <c r="A76" s="613" t="inlineStr">
        <is>
          <t>Cut_up</t>
        </is>
      </c>
      <c r="B76" s="614" t="n">
        <v>61121</v>
      </c>
      <c r="C76" s="615" t="n"/>
      <c r="D76" s="615" t="inlineStr">
        <is>
          <t>WIP</t>
        </is>
      </c>
      <c r="E76" s="615" t="inlineStr">
        <is>
          <t>BACKBONE</t>
        </is>
      </c>
      <c r="F76" s="615" t="n"/>
      <c r="G76" s="615" t="n"/>
      <c r="H76" s="615" t="n"/>
      <c r="I76" s="615" t="n"/>
      <c r="J76" s="616" t="inlineStr">
        <is>
          <t>MS WIP AC BACKS</t>
        </is>
      </c>
      <c r="K76" s="620" t="n"/>
      <c r="L76" s="620" t="n"/>
      <c r="M76" s="621" t="n"/>
      <c r="N76" s="619" t="inlineStr">
        <is>
          <t>SILVER</t>
        </is>
      </c>
      <c r="O76" s="615" t="n"/>
      <c r="P76" s="154" t="n"/>
      <c r="R76" s="175" t="n"/>
      <c r="S76" s="175">
        <f>_xludf.IFNA(_xlfn.XLOOKUP(Table3[[#This Row],[SKU]],'06_Resource_Plan'!$C$2:$C$58,'06_Resource_Plan'!F:F),"")</f>
        <v/>
      </c>
      <c r="T76" s="600">
        <f>_xludf.IFNA(_xlfn.XLOOKUP(Table3[[#This Row],[SKU]],'00_Yield_Rates'!$B$2:$B$17,'00_Yield_Rates'!$E$2:$E$17),"")</f>
        <v/>
      </c>
    </row>
    <row r="77">
      <c r="A77" s="613" t="inlineStr">
        <is>
          <t>Cut_up</t>
        </is>
      </c>
      <c r="B77" s="614" t="inlineStr">
        <is>
          <t>61014#2</t>
        </is>
      </c>
      <c r="C77" s="615" t="n"/>
      <c r="D77" s="615" t="inlineStr">
        <is>
          <t>WIP</t>
        </is>
      </c>
      <c r="E77" s="615" t="inlineStr">
        <is>
          <t>SplitWing</t>
        </is>
      </c>
      <c r="F77" s="615" t="n"/>
      <c r="G77" s="615" t="n"/>
      <c r="H77" s="615" t="n"/>
      <c r="I77" s="615" t="n"/>
      <c r="J77" s="616" t="inlineStr">
        <is>
          <t>MS WIP AC WINGS SPLIT</t>
        </is>
      </c>
      <c r="K77" s="620" t="n"/>
      <c r="L77" s="620" t="n"/>
      <c r="M77" s="621" t="n"/>
      <c r="N77" s="619" t="inlineStr">
        <is>
          <t>SILVER</t>
        </is>
      </c>
      <c r="O77" s="615" t="n"/>
      <c r="P77" s="154" t="n"/>
      <c r="R77" s="175" t="n"/>
      <c r="S77" s="175">
        <f>_xludf.IFNA(_xlfn.XLOOKUP(Table3[[#This Row],[SKU]],'06_Resource_Plan'!$C$2:$C$58,'06_Resource_Plan'!F:F),"")</f>
        <v/>
      </c>
      <c r="T77" s="600">
        <f>_xludf.IFNA(_xlfn.XLOOKUP(Table3[[#This Row],[SKU]],'00_Yield_Rates'!$B$2:$B$17,'00_Yield_Rates'!$E$2:$E$17),"")</f>
        <v/>
      </c>
    </row>
    <row r="78">
      <c r="A78" s="613" t="inlineStr">
        <is>
          <t>Cut_up</t>
        </is>
      </c>
      <c r="B78" s="614" t="inlineStr">
        <is>
          <t>61014C</t>
        </is>
      </c>
      <c r="C78" s="615" t="n"/>
      <c r="D78" s="615" t="inlineStr">
        <is>
          <t>WIP</t>
        </is>
      </c>
      <c r="E78" s="615" t="inlineStr">
        <is>
          <t>SplitWing</t>
        </is>
      </c>
      <c r="F78" s="615" t="n"/>
      <c r="G78" s="615" t="n"/>
      <c r="H78" s="615" t="n"/>
      <c r="I78" s="615" t="n"/>
      <c r="J78" s="616" t="inlineStr">
        <is>
          <t>MS WIP AC WINGS SPLIT</t>
        </is>
      </c>
      <c r="K78" s="620" t="n"/>
      <c r="L78" s="620" t="n"/>
      <c r="M78" s="621" t="n"/>
      <c r="N78" s="619" t="inlineStr">
        <is>
          <t>GOLD</t>
        </is>
      </c>
      <c r="O78" s="615" t="n"/>
      <c r="P78" s="154" t="n"/>
      <c r="R78" s="175" t="n"/>
      <c r="S78" s="175">
        <f>_xludf.IFNA(_xlfn.XLOOKUP(Table3[[#This Row],[SKU]],'06_Resource_Plan'!$C$2:$C$58,'06_Resource_Plan'!F:F),"")</f>
        <v/>
      </c>
      <c r="T78" s="600">
        <f>_xludf.IFNA(_xlfn.XLOOKUP(Table3[[#This Row],[SKU]],'00_Yield_Rates'!$B$2:$B$17,'00_Yield_Rates'!$E$2:$E$17),"")</f>
        <v/>
      </c>
    </row>
    <row r="79">
      <c r="A79" s="613" t="inlineStr">
        <is>
          <t>Cut_up</t>
        </is>
      </c>
      <c r="B79" s="614" t="inlineStr">
        <is>
          <t>61014F</t>
        </is>
      </c>
      <c r="C79" s="615" t="n"/>
      <c r="D79" s="615" t="inlineStr">
        <is>
          <t>WIP</t>
        </is>
      </c>
      <c r="E79" s="615" t="inlineStr">
        <is>
          <t>SplitWing</t>
        </is>
      </c>
      <c r="F79" s="615" t="n"/>
      <c r="G79" s="615" t="n"/>
      <c r="H79" s="615" t="n"/>
      <c r="I79" s="615" t="n"/>
      <c r="J79" s="616" t="inlineStr">
        <is>
          <t>MS WIP AC WINGS SPLIT FFF</t>
        </is>
      </c>
      <c r="K79" s="617" t="n"/>
      <c r="L79" s="617" t="n"/>
      <c r="M79" s="618" t="n"/>
      <c r="N79" s="619" t="inlineStr">
        <is>
          <t>PLATINUM</t>
        </is>
      </c>
      <c r="O79" s="615" t="n"/>
      <c r="P79" s="154" t="n"/>
      <c r="R79" s="175" t="n"/>
      <c r="S79" s="175">
        <f>_xludf.IFNA(_xlfn.XLOOKUP(Table3[[#This Row],[SKU]],'06_Resource_Plan'!$C$2:$C$58,'06_Resource_Plan'!F:F),"")</f>
        <v/>
      </c>
      <c r="T79" s="600">
        <f>_xludf.IFNA(_xlfn.XLOOKUP(Table3[[#This Row],[SKU]],'00_Yield_Rates'!$B$2:$B$17,'00_Yield_Rates'!$E$2:$E$17),"")</f>
        <v/>
      </c>
    </row>
    <row r="80">
      <c r="A80" s="613" t="inlineStr">
        <is>
          <t>Cut_up</t>
        </is>
      </c>
      <c r="B80" s="614" t="inlineStr">
        <is>
          <t>61014B</t>
        </is>
      </c>
      <c r="C80" s="615" t="n"/>
      <c r="D80" s="615" t="inlineStr">
        <is>
          <t>WIP</t>
        </is>
      </c>
      <c r="E80" s="615" t="inlineStr">
        <is>
          <t>SplitWing</t>
        </is>
      </c>
      <c r="F80" s="615" t="n"/>
      <c r="G80" s="615" t="n"/>
      <c r="H80" s="615" t="n"/>
      <c r="I80" s="615" t="n"/>
      <c r="J80" s="616" t="inlineStr">
        <is>
          <t>MS WIP AC WINGS SPLIT</t>
        </is>
      </c>
      <c r="K80" s="622" t="n"/>
      <c r="L80" s="622" t="n"/>
      <c r="M80" s="621" t="n"/>
      <c r="N80" s="615" t="inlineStr">
        <is>
          <t>SILVER</t>
        </is>
      </c>
      <c r="O80" s="615" t="n"/>
      <c r="P80" s="154" t="n"/>
      <c r="R80" s="175" t="n"/>
      <c r="S80" s="175">
        <f>_xludf.IFNA(_xlfn.XLOOKUP(Table3[[#This Row],[SKU]],'06_Resource_Plan'!$C$2:$C$58,'06_Resource_Plan'!F:F),"")</f>
        <v/>
      </c>
      <c r="T80" s="600">
        <f>_xludf.IFNA(_xlfn.XLOOKUP(Table3[[#This Row],[SKU]],'00_Yield_Rates'!$B$2:$B$17,'00_Yield_Rates'!$E$2:$E$17),"")</f>
        <v/>
      </c>
    </row>
    <row r="81">
      <c r="A81" s="613" t="inlineStr">
        <is>
          <t>Cut_up</t>
        </is>
      </c>
      <c r="B81" s="614" t="inlineStr">
        <is>
          <t>61040#2</t>
        </is>
      </c>
      <c r="C81" s="615" t="n"/>
      <c r="D81" s="615" t="inlineStr">
        <is>
          <t>WIP</t>
        </is>
      </c>
      <c r="E81" s="623" t="inlineStr">
        <is>
          <t>SplitBreast</t>
        </is>
      </c>
      <c r="F81" s="615" t="n"/>
      <c r="G81" s="615" t="n"/>
      <c r="H81" s="615" t="n"/>
      <c r="I81" s="615" t="n"/>
      <c r="J81" s="616" t="inlineStr">
        <is>
          <t>MS WIP AC BREAST BACK OFF SPLIT</t>
        </is>
      </c>
      <c r="K81" s="620" t="n"/>
      <c r="L81" s="620" t="n"/>
      <c r="M81" s="621" t="n"/>
      <c r="N81" s="619" t="inlineStr">
        <is>
          <t>SILVER</t>
        </is>
      </c>
      <c r="O81" s="615" t="n"/>
      <c r="P81" s="154" t="n"/>
      <c r="R81" s="175" t="n"/>
      <c r="S81" s="175">
        <f>_xludf.IFNA(_xlfn.XLOOKUP(Table3[[#This Row],[SKU]],'06_Resource_Plan'!$C$2:$C$58,'06_Resource_Plan'!F:F),"")</f>
        <v/>
      </c>
      <c r="T81" s="600">
        <f>_xludf.IFNA(_xlfn.XLOOKUP(Table3[[#This Row],[SKU]],'00_Yield_Rates'!$B$2:$B$17,'00_Yield_Rates'!$E$2:$E$17),"")</f>
        <v/>
      </c>
    </row>
    <row r="82">
      <c r="A82" s="613" t="inlineStr">
        <is>
          <t>Cut_up</t>
        </is>
      </c>
      <c r="B82" s="614" t="inlineStr">
        <is>
          <t>61048#2</t>
        </is>
      </c>
      <c r="C82" s="615" t="n"/>
      <c r="D82" s="615" t="inlineStr">
        <is>
          <t>WIP</t>
        </is>
      </c>
      <c r="E82" s="615" t="inlineStr">
        <is>
          <t>SplitBreast</t>
        </is>
      </c>
      <c r="F82" s="615" t="n"/>
      <c r="G82" s="615" t="n"/>
      <c r="H82" s="615" t="n"/>
      <c r="I82" s="615" t="n"/>
      <c r="J82" s="616" t="inlineStr">
        <is>
          <t>MS WIP AC BREAST BACK OFF SPLIT SKNLS</t>
        </is>
      </c>
      <c r="K82" s="620" t="n"/>
      <c r="L82" s="620" t="n"/>
      <c r="M82" s="621" t="n"/>
      <c r="N82" s="619" t="inlineStr">
        <is>
          <t>SILVER</t>
        </is>
      </c>
      <c r="O82" s="615" t="n"/>
      <c r="P82" s="154" t="n"/>
      <c r="R82" s="175" t="n"/>
      <c r="S82" s="175">
        <f>_xludf.IFNA(_xlfn.XLOOKUP(Table3[[#This Row],[SKU]],'06_Resource_Plan'!$C$2:$C$58,'06_Resource_Plan'!F:F),"")</f>
        <v/>
      </c>
      <c r="T82" s="600">
        <f>_xludf.IFNA(_xlfn.XLOOKUP(Table3[[#This Row],[SKU]],'00_Yield_Rates'!$B$2:$B$17,'00_Yield_Rates'!$E$2:$E$17),"")</f>
        <v/>
      </c>
    </row>
    <row r="83">
      <c r="A83" s="613" t="inlineStr">
        <is>
          <t>Cut_up</t>
        </is>
      </c>
      <c r="B83" s="624" t="inlineStr">
        <is>
          <t>61050#2</t>
        </is>
      </c>
      <c r="C83" s="615" t="n"/>
      <c r="D83" s="615" t="inlineStr">
        <is>
          <t>WIP</t>
        </is>
      </c>
      <c r="E83" s="615" t="inlineStr">
        <is>
          <t>BSB</t>
        </is>
      </c>
      <c r="F83" s="621" t="n"/>
      <c r="G83" s="615" t="n"/>
      <c r="H83" s="615" t="n"/>
      <c r="I83" s="615" t="n"/>
      <c r="J83" s="616" t="inlineStr">
        <is>
          <t>MS WIP AC BREAST MEAT W/FILLET SILVER</t>
        </is>
      </c>
      <c r="K83" s="620" t="n"/>
      <c r="L83" s="620" t="n"/>
      <c r="M83" s="621" t="n"/>
      <c r="N83" s="619" t="inlineStr">
        <is>
          <t>SILVER</t>
        </is>
      </c>
      <c r="O83" s="615" t="n"/>
      <c r="P83" s="154" t="n"/>
      <c r="R83" s="175" t="n"/>
      <c r="S83" s="175">
        <f>_xludf.IFNA(_xlfn.XLOOKUP(Table3[[#This Row],[SKU]],'06_Resource_Plan'!$C$2:$C$58,'06_Resource_Plan'!F:F),"")</f>
        <v/>
      </c>
      <c r="T83" s="600">
        <f>_xludf.IFNA(_xlfn.XLOOKUP(Table3[[#This Row],[SKU]],'00_Yield_Rates'!$B$2:$B$17,'00_Yield_Rates'!$E$2:$E$17),"")</f>
        <v/>
      </c>
    </row>
    <row r="84">
      <c r="A84" s="613" t="inlineStr">
        <is>
          <t>Cut_up</t>
        </is>
      </c>
      <c r="B84" s="614" t="inlineStr">
        <is>
          <t>61050C</t>
        </is>
      </c>
      <c r="C84" s="615" t="n"/>
      <c r="D84" s="615" t="inlineStr">
        <is>
          <t>WIP</t>
        </is>
      </c>
      <c r="E84" s="615" t="inlineStr">
        <is>
          <t>BSB</t>
        </is>
      </c>
      <c r="F84" s="615" t="n"/>
      <c r="G84" s="615" t="n"/>
      <c r="H84" s="615" t="n"/>
      <c r="I84" s="615" t="n"/>
      <c r="J84" s="616" t="inlineStr">
        <is>
          <t>MS WIP AC BREAST MEAT W/FILLET COSTCO</t>
        </is>
      </c>
      <c r="K84" s="620" t="n"/>
      <c r="L84" s="620" t="n"/>
      <c r="M84" s="621" t="n"/>
      <c r="N84" s="619" t="inlineStr">
        <is>
          <t>PLATINUM</t>
        </is>
      </c>
      <c r="O84" s="615" t="n"/>
      <c r="P84" s="154" t="n"/>
      <c r="R84" s="175" t="n"/>
      <c r="S84" s="175">
        <f>_xludf.IFNA(_xlfn.XLOOKUP(Table3[[#This Row],[SKU]],'06_Resource_Plan'!$C$2:$C$58,'06_Resource_Plan'!F:F),"")</f>
        <v/>
      </c>
      <c r="T84" s="600">
        <f>_xludf.IFNA(_xlfn.XLOOKUP(Table3[[#This Row],[SKU]],'00_Yield_Rates'!$B$2:$B$17,'00_Yield_Rates'!$E$2:$E$17),"")</f>
        <v/>
      </c>
    </row>
    <row r="85">
      <c r="A85" s="613" t="inlineStr">
        <is>
          <t>Cut_up</t>
        </is>
      </c>
      <c r="B85" s="614" t="inlineStr">
        <is>
          <t>61050F</t>
        </is>
      </c>
      <c r="C85" s="615" t="n"/>
      <c r="D85" s="615" t="inlineStr">
        <is>
          <t>WIP</t>
        </is>
      </c>
      <c r="E85" s="615" t="inlineStr">
        <is>
          <t>BSB</t>
        </is>
      </c>
      <c r="F85" s="615" t="n"/>
      <c r="G85" s="615" t="n"/>
      <c r="H85" s="615" t="n"/>
      <c r="I85" s="615" t="n"/>
      <c r="J85" s="616" t="inlineStr">
        <is>
          <t>MS WIP AC BREAST MEAT W/FILLET FFF</t>
        </is>
      </c>
      <c r="K85" s="620" t="n"/>
      <c r="L85" s="620" t="n"/>
      <c r="M85" s="621" t="n"/>
      <c r="N85" s="619" t="inlineStr">
        <is>
          <t>PLATINUM</t>
        </is>
      </c>
      <c r="O85" s="615" t="n"/>
      <c r="P85" s="154" t="n"/>
      <c r="R85" s="175" t="n"/>
      <c r="S85" s="175">
        <f>_xludf.IFNA(_xlfn.XLOOKUP(Table3[[#This Row],[SKU]],'06_Resource_Plan'!$C$2:$C$58,'06_Resource_Plan'!F:F),"")</f>
        <v/>
      </c>
      <c r="T85" s="600">
        <f>_xludf.IFNA(_xlfn.XLOOKUP(Table3[[#This Row],[SKU]],'00_Yield_Rates'!$B$2:$B$17,'00_Yield_Rates'!$E$2:$E$17),"")</f>
        <v/>
      </c>
    </row>
    <row r="86">
      <c r="A86" s="613" t="inlineStr">
        <is>
          <t>Cut_up</t>
        </is>
      </c>
      <c r="B86" s="614" t="inlineStr">
        <is>
          <t>61061F</t>
        </is>
      </c>
      <c r="C86" s="615" t="n"/>
      <c r="D86" s="615" t="inlineStr">
        <is>
          <t>WIP</t>
        </is>
      </c>
      <c r="E86" s="615" t="inlineStr">
        <is>
          <t>BA</t>
        </is>
      </c>
      <c r="F86" s="615" t="n"/>
      <c r="G86" s="615" t="n"/>
      <c r="H86" s="615" t="n"/>
      <c r="I86" s="615" t="n"/>
      <c r="J86" s="616" t="inlineStr">
        <is>
          <t>ZH LCL LEG BA FFF</t>
        </is>
      </c>
      <c r="K86" s="615" t="n"/>
      <c r="L86" s="615" t="n"/>
      <c r="M86" s="621" t="n"/>
      <c r="N86" s="619" t="inlineStr">
        <is>
          <t>PLATINUM</t>
        </is>
      </c>
      <c r="O86" s="615" t="n"/>
      <c r="P86" s="154" t="n"/>
      <c r="R86" s="175" t="n"/>
      <c r="S86" s="175">
        <f>_xludf.IFNA(_xlfn.XLOOKUP(Table3[[#This Row],[SKU]],'06_Resource_Plan'!$C$2:$C$58,'06_Resource_Plan'!F:F),"")</f>
        <v/>
      </c>
      <c r="T86" s="600">
        <f>_xludf.IFNA(_xlfn.XLOOKUP(Table3[[#This Row],[SKU]],'00_Yield_Rates'!$B$2:$B$17,'00_Yield_Rates'!$E$2:$E$17),"")</f>
        <v/>
      </c>
    </row>
    <row r="87">
      <c r="A87" s="613" t="inlineStr">
        <is>
          <t>Cut_up</t>
        </is>
      </c>
      <c r="B87" s="614" t="inlineStr">
        <is>
          <t>61072#2</t>
        </is>
      </c>
      <c r="C87" s="615" t="n"/>
      <c r="D87" s="615" t="inlineStr">
        <is>
          <t>WIP</t>
        </is>
      </c>
      <c r="E87" s="615" t="inlineStr">
        <is>
          <t>DRUM</t>
        </is>
      </c>
      <c r="F87" s="615" t="n"/>
      <c r="G87" s="615" t="n"/>
      <c r="H87" s="615" t="n"/>
      <c r="I87" s="615" t="n"/>
      <c r="J87" s="616" t="inlineStr">
        <is>
          <t>WetChill Drums</t>
        </is>
      </c>
      <c r="K87" s="615" t="n"/>
      <c r="L87" s="615" t="n"/>
      <c r="M87" s="621" t="n"/>
      <c r="N87" s="619" t="inlineStr">
        <is>
          <t>SILVER</t>
        </is>
      </c>
      <c r="O87" s="615" t="n"/>
      <c r="P87" s="154" t="n"/>
      <c r="R87" s="175" t="n"/>
      <c r="S87" s="175">
        <f>_xludf.IFNA(_xlfn.XLOOKUP(Table3[[#This Row],[SKU]],'06_Resource_Plan'!$C$2:$C$58,'06_Resource_Plan'!F:F),"")</f>
        <v/>
      </c>
      <c r="T87" s="600">
        <f>_xludf.IFNA(_xlfn.XLOOKUP(Table3[[#This Row],[SKU]],'00_Yield_Rates'!$B$2:$B$17,'00_Yield_Rates'!$E$2:$E$17),"")</f>
        <v/>
      </c>
    </row>
    <row r="88">
      <c r="A88" s="613" t="inlineStr">
        <is>
          <t>Cut_up</t>
        </is>
      </c>
      <c r="B88" s="614" t="inlineStr">
        <is>
          <t>61072C</t>
        </is>
      </c>
      <c r="C88" s="615" t="n"/>
      <c r="D88" s="615" t="inlineStr">
        <is>
          <t>WIP</t>
        </is>
      </c>
      <c r="E88" s="615" t="inlineStr">
        <is>
          <t>DRUM</t>
        </is>
      </c>
      <c r="F88" s="615" t="n"/>
      <c r="G88" s="615" t="n"/>
      <c r="H88" s="615" t="n"/>
      <c r="I88" s="615" t="n"/>
      <c r="J88" s="616" t="inlineStr">
        <is>
          <t>MS COS DRUMS</t>
        </is>
      </c>
      <c r="K88" s="620" t="n"/>
      <c r="L88" s="620" t="n"/>
      <c r="M88" s="621" t="n"/>
      <c r="N88" s="619" t="inlineStr">
        <is>
          <t>GOLD</t>
        </is>
      </c>
      <c r="O88" s="615" t="n"/>
      <c r="P88" s="154" t="n"/>
      <c r="R88" s="175" t="n"/>
      <c r="S88" s="175">
        <f>_xludf.IFNA(_xlfn.XLOOKUP(Table3[[#This Row],[SKU]],'06_Resource_Plan'!$C$2:$C$58,'06_Resource_Plan'!F:F),"")</f>
        <v/>
      </c>
      <c r="T88" s="600">
        <f>_xludf.IFNA(_xlfn.XLOOKUP(Table3[[#This Row],[SKU]],'00_Yield_Rates'!$B$2:$B$17,'00_Yield_Rates'!$E$2:$E$17),"")</f>
        <v/>
      </c>
    </row>
    <row r="89">
      <c r="A89" s="613" t="inlineStr">
        <is>
          <t>Cut_up</t>
        </is>
      </c>
      <c r="B89" s="614" t="inlineStr">
        <is>
          <t>61072F</t>
        </is>
      </c>
      <c r="C89" s="615" t="n"/>
      <c r="D89" s="615" t="inlineStr">
        <is>
          <t>WIP</t>
        </is>
      </c>
      <c r="E89" s="615" t="inlineStr">
        <is>
          <t>DRUM</t>
        </is>
      </c>
      <c r="F89" s="615" t="n"/>
      <c r="G89" s="615" t="n"/>
      <c r="H89" s="615" t="n"/>
      <c r="I89" s="615" t="n"/>
      <c r="J89" s="616" t="inlineStr">
        <is>
          <t>MS MLF DRUM AC FFF</t>
        </is>
      </c>
      <c r="K89" s="620" t="n"/>
      <c r="L89" s="620" t="n"/>
      <c r="M89" s="621" t="n"/>
      <c r="N89" s="619" t="inlineStr">
        <is>
          <t>PLATINUM</t>
        </is>
      </c>
      <c r="O89" s="615" t="n"/>
      <c r="P89" s="154" t="n"/>
      <c r="R89" s="175" t="n"/>
      <c r="S89" s="175">
        <f>_xludf.IFNA(_xlfn.XLOOKUP(Table3[[#This Row],[SKU]],'06_Resource_Plan'!$C$2:$C$58,'06_Resource_Plan'!F:F),"")</f>
        <v/>
      </c>
      <c r="T89" s="600">
        <f>_xludf.IFNA(_xlfn.XLOOKUP(Table3[[#This Row],[SKU]],'00_Yield_Rates'!$B$2:$B$17,'00_Yield_Rates'!$E$2:$E$17),"")</f>
        <v/>
      </c>
    </row>
    <row r="90">
      <c r="A90" s="613" t="inlineStr">
        <is>
          <t>Cut_up</t>
        </is>
      </c>
      <c r="B90" s="614" t="inlineStr">
        <is>
          <t>61077F</t>
        </is>
      </c>
      <c r="C90" s="615" t="n"/>
      <c r="D90" s="615" t="inlineStr">
        <is>
          <t>WIP</t>
        </is>
      </c>
      <c r="E90" s="615" t="inlineStr">
        <is>
          <t>Thigh</t>
        </is>
      </c>
      <c r="F90" s="615" t="n"/>
      <c r="G90" s="615" t="n"/>
      <c r="H90" s="615" t="n"/>
      <c r="I90" s="615" t="n"/>
      <c r="J90" s="616" t="inlineStr">
        <is>
          <t>MS MLF THIGH AC FFF</t>
        </is>
      </c>
      <c r="K90" s="620" t="n"/>
      <c r="L90" s="620" t="n"/>
      <c r="M90" s="621" t="n"/>
      <c r="N90" s="619" t="inlineStr">
        <is>
          <t>PLATINUM</t>
        </is>
      </c>
      <c r="O90" s="615" t="n"/>
      <c r="P90" s="154" t="n"/>
      <c r="R90" s="175" t="n"/>
      <c r="S90" s="175">
        <f>_xludf.IFNA(_xlfn.XLOOKUP(Table3[[#This Row],[SKU]],'06_Resource_Plan'!$C$2:$C$58,'06_Resource_Plan'!F:F),"")</f>
        <v/>
      </c>
      <c r="T90" s="600">
        <f>_xludf.IFNA(_xlfn.XLOOKUP(Table3[[#This Row],[SKU]],'00_Yield_Rates'!$B$2:$B$17,'00_Yield_Rates'!$E$2:$E$17),"")</f>
        <v/>
      </c>
    </row>
    <row r="91">
      <c r="A91" s="613" t="inlineStr">
        <is>
          <t>Cut_up</t>
        </is>
      </c>
      <c r="B91" s="614" t="inlineStr">
        <is>
          <t>61086#2</t>
        </is>
      </c>
      <c r="C91" s="615" t="n"/>
      <c r="D91" s="615" t="inlineStr">
        <is>
          <t>WIP</t>
        </is>
      </c>
      <c r="E91" s="615" t="inlineStr">
        <is>
          <t>ThighMeat</t>
        </is>
      </c>
      <c r="F91" s="615" t="n"/>
      <c r="G91" s="615" t="n"/>
      <c r="H91" s="615" t="n"/>
      <c r="I91" s="615" t="n"/>
      <c r="J91" s="616" t="inlineStr">
        <is>
          <t>MS WIP AC THIGH MEAT SILVER</t>
        </is>
      </c>
      <c r="K91" s="620" t="n"/>
      <c r="L91" s="620" t="n"/>
      <c r="M91" s="621" t="n"/>
      <c r="N91" s="619" t="inlineStr">
        <is>
          <t>SILVER</t>
        </is>
      </c>
      <c r="O91" s="615" t="n"/>
      <c r="P91" s="154" t="n"/>
      <c r="R91" s="175" t="n"/>
      <c r="S91" s="175">
        <f>_xludf.IFNA(_xlfn.XLOOKUP(Table3[[#This Row],[SKU]],'06_Resource_Plan'!$C$2:$C$58,'06_Resource_Plan'!F:F),"")</f>
        <v/>
      </c>
      <c r="T91" s="600">
        <f>_xludf.IFNA(_xlfn.XLOOKUP(Table3[[#This Row],[SKU]],'00_Yield_Rates'!$B$2:$B$17,'00_Yield_Rates'!$E$2:$E$17),"")</f>
        <v/>
      </c>
    </row>
    <row r="92">
      <c r="A92" s="613" t="inlineStr">
        <is>
          <t>Cut_up</t>
        </is>
      </c>
      <c r="B92" s="614" t="inlineStr">
        <is>
          <t>61086C</t>
        </is>
      </c>
      <c r="C92" s="615" t="n"/>
      <c r="D92" s="615" t="inlineStr">
        <is>
          <t>WIP</t>
        </is>
      </c>
      <c r="E92" s="615" t="inlineStr">
        <is>
          <t>ThighMeat</t>
        </is>
      </c>
      <c r="F92" s="615" t="n"/>
      <c r="G92" s="615" t="n"/>
      <c r="H92" s="615" t="n"/>
      <c r="I92" s="615" t="n"/>
      <c r="J92" s="616" t="inlineStr">
        <is>
          <t>MS WIP AC THIGH MEAT COSTCO</t>
        </is>
      </c>
      <c r="K92" s="617" t="n"/>
      <c r="L92" s="617" t="n"/>
      <c r="M92" s="618" t="n"/>
      <c r="N92" s="619" t="inlineStr">
        <is>
          <t>GOLD</t>
        </is>
      </c>
      <c r="O92" s="615" t="n"/>
      <c r="P92" s="154" t="n"/>
      <c r="R92" s="175" t="n"/>
      <c r="S92" s="175">
        <f>_xludf.IFNA(_xlfn.XLOOKUP(Table3[[#This Row],[SKU]],'06_Resource_Plan'!$C$2:$C$58,'06_Resource_Plan'!F:F),"")</f>
        <v/>
      </c>
      <c r="T92" s="600">
        <f>_xludf.IFNA(_xlfn.XLOOKUP(Table3[[#This Row],[SKU]],'00_Yield_Rates'!$B$2:$B$17,'00_Yield_Rates'!$E$2:$E$17),"")</f>
        <v/>
      </c>
    </row>
    <row r="93">
      <c r="A93" s="613" t="inlineStr">
        <is>
          <t>Cut_up</t>
        </is>
      </c>
      <c r="B93" s="624" t="inlineStr">
        <is>
          <t>61086F</t>
        </is>
      </c>
      <c r="C93" s="615" t="n"/>
      <c r="D93" s="615" t="inlineStr">
        <is>
          <t>WIP</t>
        </is>
      </c>
      <c r="E93" s="615" t="inlineStr">
        <is>
          <t>ThighMeat</t>
        </is>
      </c>
      <c r="F93" s="621" t="n"/>
      <c r="G93" s="615" t="n"/>
      <c r="H93" s="615" t="n"/>
      <c r="I93" s="615" t="n"/>
      <c r="J93" s="616" t="inlineStr">
        <is>
          <t>MS WIP AC THIGH MEAT FFF</t>
        </is>
      </c>
      <c r="K93" s="620" t="n"/>
      <c r="L93" s="620" t="n"/>
      <c r="M93" s="621" t="n"/>
      <c r="N93" s="619" t="inlineStr">
        <is>
          <t>PLATINUM</t>
        </is>
      </c>
      <c r="O93" s="615" t="n"/>
      <c r="P93" s="154" t="n"/>
      <c r="R93" s="175" t="n"/>
      <c r="S93" s="175" t="n"/>
      <c r="T93" s="600">
        <f>_xludf.IFNA(_xlfn.XLOOKUP(Table3[[#This Row],[SKU]],'00_Yield_Rates'!$B$2:$B$17,'00_Yield_Rates'!$E$2:$E$17),"")</f>
        <v/>
      </c>
    </row>
    <row r="94">
      <c r="A94" s="625" t="inlineStr">
        <is>
          <t>Tray_Pack</t>
        </is>
      </c>
      <c r="B94" s="626" t="n">
        <v>260</v>
      </c>
      <c r="C94" s="627" t="inlineStr">
        <is>
          <t>61050#2</t>
        </is>
      </c>
      <c r="D94" s="627" t="inlineStr">
        <is>
          <t>LCL</t>
        </is>
      </c>
      <c r="E94" s="627" t="inlineStr">
        <is>
          <t>BSB</t>
        </is>
      </c>
      <c r="F94" s="627" t="n"/>
      <c r="G94" s="627" t="n">
        <v>8</v>
      </c>
      <c r="H94" s="627" t="inlineStr">
        <is>
          <t>PET 8</t>
        </is>
      </c>
      <c r="I94" s="627" t="inlineStr">
        <is>
          <t>Small</t>
        </is>
      </c>
      <c r="J94" s="628" t="inlineStr">
        <is>
          <t>MS LCL BSHB PET8 PP</t>
        </is>
      </c>
      <c r="K94" s="629" t="inlineStr">
        <is>
          <t>Fast</t>
        </is>
      </c>
      <c r="L94" s="629" t="inlineStr">
        <is>
          <t>BOX</t>
        </is>
      </c>
      <c r="M94" s="630" t="n">
        <v>109.6</v>
      </c>
      <c r="N94" s="631" t="inlineStr">
        <is>
          <t>SILVER</t>
        </is>
      </c>
      <c r="O94" s="627" t="n">
        <v>25</v>
      </c>
      <c r="P94" s="154" t="inlineStr">
        <is>
          <t>61050#2</t>
        </is>
      </c>
      <c r="R94" s="175">
        <f>_xlfn.XLOOKUP(Table3[[#This Row],[SKU]],'05_Daily_Orders'!$B$2:$B$328,'05_Daily_Orders'!G:G)</f>
        <v/>
      </c>
      <c r="S94" s="176">
        <f>IFERROR(R94*1,"")</f>
        <v/>
      </c>
      <c r="T94" s="600">
        <f>_xludf.IFNA(_xlfn.XLOOKUP(Table3[[#This Row],[SKU]],'00_Yield_Rates'!$B$2:$B$17,'00_Yield_Rates'!$E$2:$E$17),"")</f>
        <v/>
      </c>
    </row>
    <row r="95">
      <c r="A95" s="625" t="inlineStr">
        <is>
          <t>Tray_Pack</t>
        </is>
      </c>
      <c r="B95" s="626" t="n">
        <v>331</v>
      </c>
      <c r="C95" s="627" t="n">
        <v>61061</v>
      </c>
      <c r="D95" s="627" t="inlineStr">
        <is>
          <t>METRO</t>
        </is>
      </c>
      <c r="E95" s="627" t="inlineStr">
        <is>
          <t>BA</t>
        </is>
      </c>
      <c r="F95" s="627" t="n">
        <v>10.0088994565217</v>
      </c>
      <c r="G95" s="627" t="n">
        <v>16</v>
      </c>
      <c r="H95" s="627" t="inlineStr">
        <is>
          <t>ST 3XP</t>
        </is>
      </c>
      <c r="I95" s="627" t="inlineStr">
        <is>
          <t>Small</t>
        </is>
      </c>
      <c r="J95" s="628" t="inlineStr">
        <is>
          <t>MS LEG BA ST</t>
        </is>
      </c>
      <c r="K95" s="629" t="inlineStr">
        <is>
          <t>Fast</t>
        </is>
      </c>
      <c r="L95" s="629" t="inlineStr">
        <is>
          <t>6.5 BOX</t>
        </is>
      </c>
      <c r="M95" s="630" t="n">
        <v>32.31</v>
      </c>
      <c r="N95" s="631" t="inlineStr">
        <is>
          <t>SILVER</t>
        </is>
      </c>
      <c r="O95" s="627" t="n">
        <v>25</v>
      </c>
      <c r="P95" s="154" t="n">
        <v>61061</v>
      </c>
      <c r="R95" s="175">
        <f>_xlfn.XLOOKUP(Table3[[#This Row],[SKU]],'05_Daily_Orders'!$B$2:$B$328,'05_Daily_Orders'!G:G)</f>
        <v/>
      </c>
      <c r="S95" s="176">
        <f>IFERROR(R95*1,"")</f>
        <v/>
      </c>
      <c r="T95" s="600">
        <f>_xludf.IFNA(_xlfn.XLOOKUP(Table3[[#This Row],[SKU]],'00_Yield_Rates'!$B$2:$B$17,'00_Yield_Rates'!$E$2:$E$17),"")</f>
        <v/>
      </c>
    </row>
    <row r="96">
      <c r="A96" s="625" t="inlineStr">
        <is>
          <t>Tray_Pack</t>
        </is>
      </c>
      <c r="B96" s="626" t="n">
        <v>349</v>
      </c>
      <c r="C96" s="627" t="inlineStr">
        <is>
          <t>61040#2</t>
        </is>
      </c>
      <c r="D96" s="627" t="inlineStr">
        <is>
          <t>FB</t>
        </is>
      </c>
      <c r="E96" s="627" t="inlineStr">
        <is>
          <t>SplitBreast</t>
        </is>
      </c>
      <c r="F96" s="627" t="n"/>
      <c r="G96" s="627" t="n">
        <v>16</v>
      </c>
      <c r="H96" s="627" t="inlineStr">
        <is>
          <t>ST 3XP</t>
        </is>
      </c>
      <c r="I96" s="627" t="inlineStr">
        <is>
          <t>Small</t>
        </is>
      </c>
      <c r="J96" s="628" t="inlineStr">
        <is>
          <t>PB HB ST</t>
        </is>
      </c>
      <c r="K96" s="629" t="inlineStr">
        <is>
          <t>Fast</t>
        </is>
      </c>
      <c r="L96" s="629" t="inlineStr">
        <is>
          <t>6.5 BOX</t>
        </is>
      </c>
      <c r="M96" s="630" t="n">
        <v>48.8</v>
      </c>
      <c r="N96" s="631" t="inlineStr">
        <is>
          <t>SILVER</t>
        </is>
      </c>
      <c r="O96" s="627" t="n">
        <v>25</v>
      </c>
      <c r="P96" s="154" t="inlineStr">
        <is>
          <t>61040#2</t>
        </is>
      </c>
      <c r="R96" s="175">
        <f>_xlfn.XLOOKUP(Table3[[#This Row],[SKU]],'05_Daily_Orders'!$B$2:$B$328,'05_Daily_Orders'!G:G)</f>
        <v/>
      </c>
      <c r="S96" s="176">
        <f>IFERROR(R96*1,"")</f>
        <v/>
      </c>
      <c r="T96" s="600">
        <f>_xludf.IFNA(_xlfn.XLOOKUP(Table3[[#This Row],[SKU]],'00_Yield_Rates'!$B$2:$B$17,'00_Yield_Rates'!$E$2:$E$17),"")</f>
        <v/>
      </c>
    </row>
    <row r="97">
      <c r="A97" s="625" t="inlineStr">
        <is>
          <t>Tray_Pack</t>
        </is>
      </c>
      <c r="B97" s="626" t="n">
        <v>484</v>
      </c>
      <c r="C97" s="627" t="n">
        <v>61121</v>
      </c>
      <c r="D97" s="627" t="inlineStr">
        <is>
          <t>FB</t>
        </is>
      </c>
      <c r="E97" s="627" t="inlineStr">
        <is>
          <t>BackBone</t>
        </is>
      </c>
      <c r="F97" s="627" t="n">
        <v>9.41501846532622</v>
      </c>
      <c r="G97" s="627" t="n">
        <v>16</v>
      </c>
      <c r="H97" s="627" t="inlineStr">
        <is>
          <t>ST 3XP</t>
        </is>
      </c>
      <c r="I97" s="627" t="inlineStr">
        <is>
          <t>Small</t>
        </is>
      </c>
      <c r="J97" s="628" t="inlineStr">
        <is>
          <t>MS BACK ST PP</t>
        </is>
      </c>
      <c r="K97" s="632" t="inlineStr">
        <is>
          <t>Fast</t>
        </is>
      </c>
      <c r="L97" s="632" t="inlineStr">
        <is>
          <t>6.5 BOX</t>
        </is>
      </c>
      <c r="M97" s="633" t="n">
        <v>47.38</v>
      </c>
      <c r="N97" s="631" t="inlineStr">
        <is>
          <t>SILVER</t>
        </is>
      </c>
      <c r="O97" s="627" t="n">
        <v>25</v>
      </c>
      <c r="P97" s="154" t="n">
        <v>61121</v>
      </c>
      <c r="R97" s="175">
        <f>_xlfn.XLOOKUP(Table3[[#This Row],[SKU]],'05_Daily_Orders'!$B$2:$B$328,'05_Daily_Orders'!G:G)</f>
        <v/>
      </c>
      <c r="S97" s="176">
        <f>IFERROR(R97*1,"")</f>
        <v/>
      </c>
      <c r="T97" s="600">
        <f>_xludf.IFNA(_xlfn.XLOOKUP(Table3[[#This Row],[SKU]],'00_Yield_Rates'!$B$2:$B$17,'00_Yield_Rates'!$E$2:$E$17),"")</f>
        <v/>
      </c>
    </row>
    <row r="98">
      <c r="A98" s="625" t="inlineStr">
        <is>
          <t>Tray_Pack</t>
        </is>
      </c>
      <c r="B98" s="626" t="n">
        <v>784</v>
      </c>
      <c r="C98" s="627" t="inlineStr">
        <is>
          <t>61086#2</t>
        </is>
      </c>
      <c r="D98" s="627" t="inlineStr">
        <is>
          <t>FB</t>
        </is>
      </c>
      <c r="E98" s="627" t="inlineStr">
        <is>
          <t>ThighMeat</t>
        </is>
      </c>
      <c r="F98" s="627" t="n">
        <v>8.2634387451455</v>
      </c>
      <c r="G98" s="627" t="n">
        <v>8</v>
      </c>
      <c r="H98" s="627" t="inlineStr">
        <is>
          <t>LT 8XP</t>
        </is>
      </c>
      <c r="I98" s="627" t="inlineStr">
        <is>
          <t>Large</t>
        </is>
      </c>
      <c r="J98" s="628" t="inlineStr">
        <is>
          <t>MS BSC BSTHIGH LT PP</t>
        </is>
      </c>
      <c r="K98" s="629" t="inlineStr">
        <is>
          <t>Slow</t>
        </is>
      </c>
      <c r="L98" s="629" t="inlineStr">
        <is>
          <t>BOX</t>
        </is>
      </c>
      <c r="M98" s="630" t="n">
        <v>17.92</v>
      </c>
      <c r="N98" s="631" t="inlineStr">
        <is>
          <t>SILVER</t>
        </is>
      </c>
      <c r="O98" s="627" t="n">
        <v>25</v>
      </c>
      <c r="P98" s="154" t="inlineStr">
        <is>
          <t>61086#2</t>
        </is>
      </c>
      <c r="R98" s="175">
        <f>_xlfn.XLOOKUP(Table3[[#This Row],[SKU]],'05_Daily_Orders'!$B$2:$B$328,'05_Daily_Orders'!G:G)</f>
        <v/>
      </c>
      <c r="S98" s="176">
        <f>IFERROR(R98*1,"")</f>
        <v/>
      </c>
      <c r="T98" s="600">
        <f>_xludf.IFNA(_xlfn.XLOOKUP(Table3[[#This Row],[SKU]],'00_Yield_Rates'!$B$2:$B$17,'00_Yield_Rates'!$E$2:$E$17),"")</f>
        <v/>
      </c>
    </row>
    <row r="99">
      <c r="A99" s="625" t="inlineStr">
        <is>
          <t>Tray_Pack</t>
        </is>
      </c>
      <c r="B99" s="626" t="n">
        <v>946</v>
      </c>
      <c r="C99" s="627" t="inlineStr">
        <is>
          <t>61040#2</t>
        </is>
      </c>
      <c r="D99" s="627" t="inlineStr">
        <is>
          <t>FB</t>
        </is>
      </c>
      <c r="E99" s="627" t="inlineStr">
        <is>
          <t>SplitBreast</t>
        </is>
      </c>
      <c r="F99" s="627" t="n"/>
      <c r="G99" s="627" t="n">
        <v>6</v>
      </c>
      <c r="H99" s="627" t="inlineStr">
        <is>
          <t>LT 14D</t>
        </is>
      </c>
      <c r="I99" s="627" t="inlineStr">
        <is>
          <t>Clubpack</t>
        </is>
      </c>
      <c r="J99" s="628" t="inlineStr">
        <is>
          <t>PB BSC HB FT PP 8/BOX</t>
        </is>
      </c>
      <c r="K99" s="629" t="inlineStr">
        <is>
          <t>Fast</t>
        </is>
      </c>
      <c r="L99" s="629" t="inlineStr">
        <is>
          <t>6.5 BOX</t>
        </is>
      </c>
      <c r="M99" s="630" t="n">
        <v>55.73</v>
      </c>
      <c r="N99" s="631" t="inlineStr">
        <is>
          <t>SILVER</t>
        </is>
      </c>
      <c r="O99" s="627" t="n">
        <v>25</v>
      </c>
      <c r="P99" s="154" t="inlineStr">
        <is>
          <t>61040#2</t>
        </is>
      </c>
      <c r="R99" s="175">
        <f>_xlfn.XLOOKUP(Table3[[#This Row],[SKU]],'05_Daily_Orders'!$B$2:$B$328,'05_Daily_Orders'!G:G)</f>
        <v/>
      </c>
      <c r="S99" s="176">
        <f>IFERROR(R99*1,"")</f>
        <v/>
      </c>
      <c r="T99" s="600">
        <f>_xludf.IFNA(_xlfn.XLOOKUP(Table3[[#This Row],[SKU]],'00_Yield_Rates'!$B$2:$B$17,'00_Yield_Rates'!$E$2:$E$17),"")</f>
        <v/>
      </c>
    </row>
    <row r="100">
      <c r="A100" s="625" t="inlineStr">
        <is>
          <t>Tray_Pack</t>
        </is>
      </c>
      <c r="B100" s="626" t="n">
        <v>956</v>
      </c>
      <c r="C100" s="627" t="inlineStr">
        <is>
          <t>61072#2</t>
        </is>
      </c>
      <c r="D100" s="627" t="inlineStr">
        <is>
          <t>FB</t>
        </is>
      </c>
      <c r="E100" s="627" t="inlineStr">
        <is>
          <t>Drum</t>
        </is>
      </c>
      <c r="F100" s="627" t="n"/>
      <c r="G100" s="627" t="n">
        <v>6</v>
      </c>
      <c r="H100" s="627" t="inlineStr">
        <is>
          <t>LT 14D</t>
        </is>
      </c>
      <c r="I100" s="627" t="inlineStr">
        <is>
          <t>Clubpack</t>
        </is>
      </c>
      <c r="J100" s="628" t="inlineStr">
        <is>
          <t>PB BSC DRUM FT PP</t>
        </is>
      </c>
      <c r="K100" s="629" t="inlineStr">
        <is>
          <t>Fast</t>
        </is>
      </c>
      <c r="L100" s="629" t="inlineStr">
        <is>
          <t>6.5 BOX</t>
        </is>
      </c>
      <c r="M100" s="630" t="n">
        <v>72.73</v>
      </c>
      <c r="N100" s="631" t="n"/>
      <c r="O100" s="627" t="n">
        <v>25</v>
      </c>
      <c r="P100" s="154" t="inlineStr">
        <is>
          <t>61072#2</t>
        </is>
      </c>
      <c r="R100" s="175">
        <f>_xlfn.XLOOKUP(Table3[[#This Row],[SKU]],'05_Daily_Orders'!$B$2:$B$328,'05_Daily_Orders'!G:G)</f>
        <v/>
      </c>
      <c r="S100" s="176">
        <f>IFERROR(R100*1,"")</f>
        <v/>
      </c>
      <c r="T100" s="600">
        <f>_xludf.IFNA(_xlfn.XLOOKUP(Table3[[#This Row],[SKU]],'00_Yield_Rates'!$B$2:$B$17,'00_Yield_Rates'!$E$2:$E$17),"")</f>
        <v/>
      </c>
    </row>
    <row r="101">
      <c r="A101" s="625" t="inlineStr">
        <is>
          <t>Tray_Pack</t>
        </is>
      </c>
      <c r="B101" s="626" t="n">
        <v>957</v>
      </c>
      <c r="C101" s="627" t="n">
        <v>61082</v>
      </c>
      <c r="D101" s="627" t="inlineStr">
        <is>
          <t>FB</t>
        </is>
      </c>
      <c r="E101" s="627" t="inlineStr">
        <is>
          <t>Thigh</t>
        </is>
      </c>
      <c r="F101" s="627" t="n"/>
      <c r="G101" s="627" t="n">
        <v>6</v>
      </c>
      <c r="H101" s="627" t="inlineStr">
        <is>
          <t>LT 14D</t>
        </is>
      </c>
      <c r="I101" s="627" t="inlineStr">
        <is>
          <t>Clubpack</t>
        </is>
      </c>
      <c r="J101" s="628" t="inlineStr">
        <is>
          <t>PB BSC THIGH FT PP</t>
        </is>
      </c>
      <c r="K101" s="629" t="inlineStr">
        <is>
          <t>Fast</t>
        </is>
      </c>
      <c r="L101" s="632" t="inlineStr">
        <is>
          <t>6.5 BOX</t>
        </is>
      </c>
      <c r="M101" s="633" t="n">
        <v>57.23</v>
      </c>
      <c r="N101" s="631" t="n"/>
      <c r="O101" s="627" t="n">
        <v>25</v>
      </c>
      <c r="P101" s="154" t="n">
        <v>61082</v>
      </c>
      <c r="R101" s="175">
        <f>_xlfn.XLOOKUP(Table3[[#This Row],[SKU]],'05_Daily_Orders'!$B$2:$B$328,'05_Daily_Orders'!G:G)</f>
        <v/>
      </c>
      <c r="S101" s="176">
        <f>IFERROR(R101*1,"")</f>
        <v/>
      </c>
      <c r="T101" s="600">
        <f>_xludf.IFNA(_xlfn.XLOOKUP(Table3[[#This Row],[SKU]],'00_Yield_Rates'!$B$2:$B$17,'00_Yield_Rates'!$E$2:$E$17),"")</f>
        <v/>
      </c>
    </row>
    <row r="102">
      <c r="A102" s="625" t="inlineStr">
        <is>
          <t>Tray_Pack</t>
        </is>
      </c>
      <c r="B102" s="626" t="n">
        <v>1023</v>
      </c>
      <c r="C102" s="627" t="n">
        <v>61121</v>
      </c>
      <c r="D102" s="627" t="inlineStr">
        <is>
          <t>METRO</t>
        </is>
      </c>
      <c r="E102" s="627" t="inlineStr">
        <is>
          <t>Backbone</t>
        </is>
      </c>
      <c r="F102" s="627" t="n">
        <v>9.37012559402579</v>
      </c>
      <c r="G102" s="627" t="n">
        <v>16</v>
      </c>
      <c r="H102" s="627" t="inlineStr">
        <is>
          <t>ST 3XP</t>
        </is>
      </c>
      <c r="I102" s="627" t="inlineStr">
        <is>
          <t>Small</t>
        </is>
      </c>
      <c r="J102" s="628" t="inlineStr">
        <is>
          <t>PB BACK ST</t>
        </is>
      </c>
      <c r="K102" s="632" t="inlineStr">
        <is>
          <t>Fast</t>
        </is>
      </c>
      <c r="L102" s="632" t="inlineStr">
        <is>
          <t>6.5 BOX</t>
        </is>
      </c>
      <c r="M102" s="633" t="n">
        <v>47.38</v>
      </c>
      <c r="N102" s="631" t="inlineStr">
        <is>
          <t>SILVER</t>
        </is>
      </c>
      <c r="O102" s="627" t="n">
        <v>25</v>
      </c>
      <c r="P102" s="154" t="n">
        <v>61121</v>
      </c>
      <c r="R102" s="175">
        <f>_xlfn.XLOOKUP(Table3[[#This Row],[SKU]],'05_Daily_Orders'!$B$2:$B$328,'05_Daily_Orders'!G:G)</f>
        <v/>
      </c>
      <c r="S102" s="176">
        <f>IFERROR(R102*1,"")</f>
        <v/>
      </c>
      <c r="T102" s="600">
        <f>_xludf.IFNA(_xlfn.XLOOKUP(Table3[[#This Row],[SKU]],'00_Yield_Rates'!$B$2:$B$17,'00_Yield_Rates'!$E$2:$E$17),"")</f>
        <v/>
      </c>
    </row>
    <row r="103">
      <c r="A103" s="625" t="inlineStr">
        <is>
          <t>Tray_Pack</t>
        </is>
      </c>
      <c r="B103" s="626" t="n">
        <v>1830</v>
      </c>
      <c r="C103" s="627" t="inlineStr">
        <is>
          <t>61050F</t>
        </is>
      </c>
      <c r="D103" s="627" t="inlineStr">
        <is>
          <t>FB</t>
        </is>
      </c>
      <c r="E103" s="627" t="inlineStr">
        <is>
          <t>BSB</t>
        </is>
      </c>
      <c r="F103" s="627" t="n">
        <v>3.58673735119047</v>
      </c>
      <c r="G103" s="627" t="n">
        <v>8</v>
      </c>
      <c r="H103" s="627" t="inlineStr">
        <is>
          <t>ST 3D</t>
        </is>
      </c>
      <c r="I103" s="627" t="inlineStr">
        <is>
          <t>Small</t>
        </is>
      </c>
      <c r="J103" s="628" t="inlineStr">
        <is>
          <t>MS BSC FFTF BSHB AC 3D PP</t>
        </is>
      </c>
      <c r="K103" s="629" t="inlineStr">
        <is>
          <t>Fast</t>
        </is>
      </c>
      <c r="L103" s="629" t="inlineStr">
        <is>
          <t>BOX</t>
        </is>
      </c>
      <c r="M103" s="630" t="n">
        <v>56.51</v>
      </c>
      <c r="N103" s="631" t="inlineStr">
        <is>
          <t>PLATINUM</t>
        </is>
      </c>
      <c r="O103" s="627" t="n">
        <v>25</v>
      </c>
      <c r="P103" s="154" t="inlineStr">
        <is>
          <t>61050F</t>
        </is>
      </c>
      <c r="R103" s="175">
        <f>_xlfn.XLOOKUP(Table3[[#This Row],[SKU]],'05_Daily_Orders'!$B$2:$B$328,'05_Daily_Orders'!G:G)</f>
        <v/>
      </c>
      <c r="S103" s="176">
        <f>IFERROR(R103*1,"")</f>
        <v/>
      </c>
      <c r="T103" s="600">
        <f>_xludf.IFNA(_xlfn.XLOOKUP(Table3[[#This Row],[SKU]],'00_Yield_Rates'!$B$2:$B$17,'00_Yield_Rates'!$E$2:$E$17),"")</f>
        <v/>
      </c>
    </row>
    <row r="104">
      <c r="A104" s="625" t="inlineStr">
        <is>
          <t>Tray_Pack</t>
        </is>
      </c>
      <c r="B104" s="634" t="n">
        <v>1831</v>
      </c>
      <c r="C104" s="627" t="n">
        <v>203021</v>
      </c>
      <c r="D104" s="627" t="inlineStr">
        <is>
          <t>FB</t>
        </is>
      </c>
      <c r="E104" s="627" t="inlineStr">
        <is>
          <t>Whole Bird-Small</t>
        </is>
      </c>
      <c r="F104" s="630" t="n">
        <v>7.23819556265748</v>
      </c>
      <c r="G104" s="627" t="n">
        <v>5</v>
      </c>
      <c r="H104" s="627" t="inlineStr">
        <is>
          <t>ST 3XP</t>
        </is>
      </c>
      <c r="I104" s="627" t="inlineStr">
        <is>
          <t>Small</t>
        </is>
      </c>
      <c r="J104" s="628" t="inlineStr">
        <is>
          <t>MS BSC FFTF FRY WOG TI AC 3XP PP</t>
        </is>
      </c>
      <c r="K104" s="632" t="inlineStr">
        <is>
          <t>Fast</t>
        </is>
      </c>
      <c r="L104" s="629" t="inlineStr">
        <is>
          <t>BOX</t>
        </is>
      </c>
      <c r="M104" s="630" t="n">
        <v>131.17</v>
      </c>
      <c r="N104" s="631" t="n"/>
      <c r="O104" s="627" t="n">
        <v>25</v>
      </c>
      <c r="P104" s="154" t="n">
        <v>203021</v>
      </c>
      <c r="R104" s="175">
        <f>_xlfn.XLOOKUP(Table3[[#This Row],[SKU]],'05_Daily_Orders'!$B$2:$B$328,'05_Daily_Orders'!G:G)</f>
        <v/>
      </c>
      <c r="S104" s="176">
        <f>IFERROR(R104*1,"")</f>
        <v/>
      </c>
      <c r="T104" s="600">
        <f>_xludf.IFNA(_xlfn.XLOOKUP(Table3[[#This Row],[SKU]],'00_Yield_Rates'!$B$2:$B$17,'00_Yield_Rates'!$E$2:$E$17),"")</f>
        <v/>
      </c>
    </row>
    <row r="105">
      <c r="A105" s="625" t="inlineStr">
        <is>
          <t>Tray_Pack</t>
        </is>
      </c>
      <c r="B105" s="626" t="n">
        <v>1837</v>
      </c>
      <c r="C105" s="627" t="n">
        <v>61010</v>
      </c>
      <c r="D105" s="627" t="inlineStr">
        <is>
          <t>FB</t>
        </is>
      </c>
      <c r="E105" s="627" t="inlineStr">
        <is>
          <t>Whole Wing-Large</t>
        </is>
      </c>
      <c r="F105" s="627" t="n"/>
      <c r="G105" s="627" t="n">
        <v>6</v>
      </c>
      <c r="H105" s="627" t="inlineStr">
        <is>
          <t>LT 8XP</t>
        </is>
      </c>
      <c r="I105" s="627" t="inlineStr">
        <is>
          <t>Large</t>
        </is>
      </c>
      <c r="J105" s="628" t="inlineStr">
        <is>
          <t>PB WING LT PP</t>
        </is>
      </c>
      <c r="K105" s="629" t="inlineStr">
        <is>
          <t>Fast</t>
        </is>
      </c>
      <c r="L105" s="630" t="inlineStr">
        <is>
          <t>BOX</t>
        </is>
      </c>
      <c r="M105" s="630" t="n">
        <v>38.69</v>
      </c>
      <c r="N105" s="631" t="inlineStr">
        <is>
          <t>SILVER</t>
        </is>
      </c>
      <c r="O105" s="627" t="n">
        <v>25</v>
      </c>
      <c r="P105" s="154" t="n">
        <v>61010</v>
      </c>
      <c r="R105" s="175">
        <f>_xlfn.XLOOKUP(Table3[[#This Row],[SKU]],'05_Daily_Orders'!$B$2:$B$328,'05_Daily_Orders'!G:G)</f>
        <v/>
      </c>
      <c r="S105" s="176">
        <f>IFERROR(R105*1,"")</f>
        <v/>
      </c>
      <c r="T105" s="600">
        <f>_xludf.IFNA(_xlfn.XLOOKUP(Table3[[#This Row],[SKU]],'00_Yield_Rates'!$B$2:$B$17,'00_Yield_Rates'!$E$2:$E$17),"")</f>
        <v/>
      </c>
    </row>
    <row r="106">
      <c r="A106" s="625" t="inlineStr">
        <is>
          <t>Tray_Pack</t>
        </is>
      </c>
      <c r="B106" s="626" t="n">
        <v>1838</v>
      </c>
      <c r="C106" s="627" t="inlineStr">
        <is>
          <t>61050F</t>
        </is>
      </c>
      <c r="D106" s="627" t="inlineStr">
        <is>
          <t>FB</t>
        </is>
      </c>
      <c r="E106" s="627" t="inlineStr">
        <is>
          <t>BSB</t>
        </is>
      </c>
      <c r="F106" s="627" t="n"/>
      <c r="G106" s="627" t="n">
        <v>8</v>
      </c>
      <c r="H106" s="627" t="inlineStr">
        <is>
          <t>ST 3D</t>
        </is>
      </c>
      <c r="I106" s="627" t="inlineStr">
        <is>
          <t>Small</t>
        </is>
      </c>
      <c r="J106" s="628" t="inlineStr">
        <is>
          <t>MS MLF BSHB AC ST</t>
        </is>
      </c>
      <c r="K106" s="629" t="inlineStr">
        <is>
          <t>Fast</t>
        </is>
      </c>
      <c r="L106" s="630" t="inlineStr">
        <is>
          <t>BOX</t>
        </is>
      </c>
      <c r="M106" s="630" t="n">
        <v>56.51</v>
      </c>
      <c r="N106" s="631" t="inlineStr">
        <is>
          <t>PLATINUM</t>
        </is>
      </c>
      <c r="O106" s="627" t="n">
        <v>25</v>
      </c>
      <c r="P106" s="154" t="inlineStr">
        <is>
          <t>61050F</t>
        </is>
      </c>
      <c r="R106" s="175">
        <f>_xlfn.XLOOKUP(Table3[[#This Row],[SKU]],'05_Daily_Orders'!$B$2:$B$328,'05_Daily_Orders'!G:G)</f>
        <v/>
      </c>
      <c r="S106" s="176">
        <f>IFERROR(R106*1,"")</f>
        <v/>
      </c>
      <c r="T106" s="600">
        <f>_xludf.IFNA(_xlfn.XLOOKUP(Table3[[#This Row],[SKU]],'00_Yield_Rates'!$B$2:$B$17,'00_Yield_Rates'!$E$2:$E$17),"")</f>
        <v/>
      </c>
    </row>
    <row r="107">
      <c r="A107" s="625" t="inlineStr">
        <is>
          <t>Tray_Pack</t>
        </is>
      </c>
      <c r="B107" s="626" t="n">
        <v>1839</v>
      </c>
      <c r="C107" s="627" t="n">
        <v>203021</v>
      </c>
      <c r="D107" s="627" t="inlineStr">
        <is>
          <t>FB</t>
        </is>
      </c>
      <c r="E107" s="627" t="inlineStr">
        <is>
          <t>Whole Bird-Small</t>
        </is>
      </c>
      <c r="F107" s="627" t="n"/>
      <c r="G107" s="627" t="n">
        <v>5</v>
      </c>
      <c r="H107" s="627" t="inlineStr">
        <is>
          <t>ST 3XP</t>
        </is>
      </c>
      <c r="I107" s="627" t="inlineStr">
        <is>
          <t>Small</t>
        </is>
      </c>
      <c r="J107" s="628" t="inlineStr">
        <is>
          <t>MS MLF FRY WOG AC TI PET</t>
        </is>
      </c>
      <c r="K107" s="632" t="inlineStr">
        <is>
          <t>Fast</t>
        </is>
      </c>
      <c r="L107" s="630" t="inlineStr">
        <is>
          <t>BOX</t>
        </is>
      </c>
      <c r="M107" s="630" t="n">
        <v>131.17</v>
      </c>
      <c r="N107" s="631" t="n"/>
      <c r="O107" s="627" t="n">
        <v>20</v>
      </c>
      <c r="P107" s="154" t="n">
        <v>203021</v>
      </c>
      <c r="R107" s="175">
        <f>_xlfn.XLOOKUP(Table3[[#This Row],[SKU]],'05_Daily_Orders'!$B$2:$B$328,'05_Daily_Orders'!G:G)</f>
        <v/>
      </c>
      <c r="S107" s="176">
        <f>IFERROR(R107*1,"")</f>
        <v/>
      </c>
      <c r="T107" s="600">
        <f>_xludf.IFNA(_xlfn.XLOOKUP(Table3[[#This Row],[SKU]],'00_Yield_Rates'!$B$2:$B$17,'00_Yield_Rates'!$E$2:$E$17),"")</f>
        <v/>
      </c>
    </row>
    <row r="108">
      <c r="A108" s="625" t="inlineStr">
        <is>
          <t>Tray_Pack</t>
        </is>
      </c>
      <c r="B108" s="626" t="n">
        <v>1842</v>
      </c>
      <c r="C108" s="627" t="n">
        <v>61040</v>
      </c>
      <c r="D108" s="627" t="inlineStr">
        <is>
          <t>FB</t>
        </is>
      </c>
      <c r="E108" s="627" t="inlineStr">
        <is>
          <t>SplitBreast</t>
        </is>
      </c>
      <c r="F108" s="627" t="n"/>
      <c r="G108" s="627" t="n">
        <v>8</v>
      </c>
      <c r="H108" s="627" t="inlineStr">
        <is>
          <t>ST 3D</t>
        </is>
      </c>
      <c r="I108" s="627" t="inlineStr">
        <is>
          <t>Small</t>
        </is>
      </c>
      <c r="J108" s="628" t="inlineStr">
        <is>
          <t>MS MLF HB AC ST</t>
        </is>
      </c>
      <c r="K108" s="629" t="inlineStr">
        <is>
          <t>Fast</t>
        </is>
      </c>
      <c r="L108" s="630" t="inlineStr">
        <is>
          <t>BOX</t>
        </is>
      </c>
      <c r="M108" s="630" t="n">
        <v>51.65</v>
      </c>
      <c r="N108" s="631" t="inlineStr">
        <is>
          <t>PLATINUM</t>
        </is>
      </c>
      <c r="O108" s="627" t="n">
        <v>25</v>
      </c>
      <c r="P108" s="154" t="n">
        <v>61040</v>
      </c>
      <c r="R108" s="175">
        <f>_xlfn.XLOOKUP(Table3[[#This Row],[SKU]],'05_Daily_Orders'!$B$2:$B$328,'05_Daily_Orders'!G:G)</f>
        <v/>
      </c>
      <c r="S108" s="176">
        <f>IFERROR(R108*1,"")</f>
        <v/>
      </c>
      <c r="T108" s="600">
        <f>_xludf.IFNA(_xlfn.XLOOKUP(Table3[[#This Row],[SKU]],'00_Yield_Rates'!$B$2:$B$17,'00_Yield_Rates'!$E$2:$E$17),"")</f>
        <v/>
      </c>
    </row>
    <row r="109">
      <c r="A109" s="625" t="inlineStr">
        <is>
          <t>Tray_Pack</t>
        </is>
      </c>
      <c r="B109" s="626" t="n">
        <v>1843</v>
      </c>
      <c r="C109" s="627" t="n">
        <v>61014</v>
      </c>
      <c r="D109" s="627" t="inlineStr">
        <is>
          <t>FB</t>
        </is>
      </c>
      <c r="E109" s="627" t="inlineStr">
        <is>
          <t>SplitWing</t>
        </is>
      </c>
      <c r="F109" s="627" t="n"/>
      <c r="G109" s="627" t="n">
        <v>8</v>
      </c>
      <c r="H109" s="627" t="inlineStr">
        <is>
          <t>ST 3D</t>
        </is>
      </c>
      <c r="I109" s="627" t="inlineStr">
        <is>
          <t>Small</t>
        </is>
      </c>
      <c r="J109" s="628" t="inlineStr">
        <is>
          <t>MS MLF SPL WING AC ST</t>
        </is>
      </c>
      <c r="K109" s="629" t="inlineStr">
        <is>
          <t>Slow</t>
        </is>
      </c>
      <c r="L109" s="630" t="inlineStr">
        <is>
          <t>BOX</t>
        </is>
      </c>
      <c r="M109" s="630" t="n">
        <v>27.65</v>
      </c>
      <c r="N109" s="631" t="inlineStr">
        <is>
          <t>PLATINUM</t>
        </is>
      </c>
      <c r="O109" s="627" t="n">
        <v>25</v>
      </c>
      <c r="P109" s="154" t="n">
        <v>61014</v>
      </c>
      <c r="R109" s="175">
        <f>_xlfn.XLOOKUP(Table3[[#This Row],[SKU]],'05_Daily_Orders'!$B$2:$B$328,'05_Daily_Orders'!G:G)</f>
        <v/>
      </c>
      <c r="S109" s="176">
        <f>IFERROR(R109*1,"")</f>
        <v/>
      </c>
      <c r="T109" s="600">
        <f>_xludf.IFNA(_xlfn.XLOOKUP(Table3[[#This Row],[SKU]],'00_Yield_Rates'!$B$2:$B$17,'00_Yield_Rates'!$E$2:$E$17),"")</f>
        <v/>
      </c>
    </row>
    <row r="110">
      <c r="A110" s="625" t="inlineStr">
        <is>
          <t>Tray_Pack</t>
        </is>
      </c>
      <c r="B110" s="626" t="n">
        <v>1874</v>
      </c>
      <c r="C110" s="627" t="n">
        <v>61050</v>
      </c>
      <c r="D110" s="627" t="inlineStr">
        <is>
          <t>FB</t>
        </is>
      </c>
      <c r="E110" s="627" t="inlineStr">
        <is>
          <t>BSB</t>
        </is>
      </c>
      <c r="F110" s="627" t="n"/>
      <c r="G110" s="627" t="n">
        <v>8</v>
      </c>
      <c r="H110" s="627" t="inlineStr">
        <is>
          <t>ST 3D</t>
        </is>
      </c>
      <c r="I110" s="627" t="inlineStr">
        <is>
          <t>Small</t>
        </is>
      </c>
      <c r="J110" s="628" t="inlineStr">
        <is>
          <t>MS FFF 3pc Breast</t>
        </is>
      </c>
      <c r="K110" s="629" t="inlineStr">
        <is>
          <t>Fast</t>
        </is>
      </c>
      <c r="L110" s="632" t="inlineStr">
        <is>
          <t>BOX</t>
        </is>
      </c>
      <c r="M110" s="633" t="n">
        <v>74.40000000000001</v>
      </c>
      <c r="N110" s="631" t="inlineStr">
        <is>
          <t>PLATINUM</t>
        </is>
      </c>
      <c r="O110" s="627" t="n">
        <v>25</v>
      </c>
      <c r="P110" s="154" t="n">
        <v>61050</v>
      </c>
      <c r="R110" s="175">
        <f>_xlfn.XLOOKUP(Table3[[#This Row],[SKU]],'05_Daily_Orders'!$B$2:$B$328,'05_Daily_Orders'!G:G)</f>
        <v/>
      </c>
      <c r="S110" s="176">
        <f>IFERROR(R110*1,"")</f>
        <v/>
      </c>
      <c r="T110" s="600">
        <f>_xludf.IFNA(_xlfn.XLOOKUP(Table3[[#This Row],[SKU]],'00_Yield_Rates'!$B$2:$B$17,'00_Yield_Rates'!$E$2:$E$17),"")</f>
        <v/>
      </c>
    </row>
    <row r="111">
      <c r="A111" s="625" t="inlineStr">
        <is>
          <t>Tray_Pack</t>
        </is>
      </c>
      <c r="B111" s="626" t="n">
        <v>1876</v>
      </c>
      <c r="C111" s="627" t="inlineStr">
        <is>
          <t>61072#2</t>
        </is>
      </c>
      <c r="D111" s="627" t="inlineStr">
        <is>
          <t>FB</t>
        </is>
      </c>
      <c r="E111" s="627" t="inlineStr">
        <is>
          <t>Drum</t>
        </is>
      </c>
      <c r="F111" s="627" t="n">
        <v>10.6241185173648</v>
      </c>
      <c r="G111" s="627" t="n">
        <v>6</v>
      </c>
      <c r="H111" s="627" t="inlineStr">
        <is>
          <t>LT 14D</t>
        </is>
      </c>
      <c r="I111" s="627" t="inlineStr">
        <is>
          <t>Clubpack</t>
        </is>
      </c>
      <c r="J111" s="628" t="inlineStr">
        <is>
          <t>MS BSC DRUM 14D PP</t>
        </is>
      </c>
      <c r="K111" s="629" t="inlineStr">
        <is>
          <t>Fast</t>
        </is>
      </c>
      <c r="L111" s="632" t="inlineStr">
        <is>
          <t>BOX</t>
        </is>
      </c>
      <c r="M111" s="633" t="n">
        <v>72.73</v>
      </c>
      <c r="N111" s="631" t="inlineStr">
        <is>
          <t>SILVER</t>
        </is>
      </c>
      <c r="O111" s="627" t="n">
        <v>20</v>
      </c>
      <c r="P111" s="154" t="inlineStr">
        <is>
          <t>61072#2</t>
        </is>
      </c>
      <c r="R111" s="175">
        <f>_xlfn.XLOOKUP(Table3[[#This Row],[SKU]],'05_Daily_Orders'!$B$2:$B$328,'05_Daily_Orders'!G:G)</f>
        <v/>
      </c>
      <c r="S111" s="176">
        <f>IFERROR(R111*1,"")</f>
        <v/>
      </c>
      <c r="T111" s="600">
        <f>_xludf.IFNA(_xlfn.XLOOKUP(Table3[[#This Row],[SKU]],'00_Yield_Rates'!$B$2:$B$17,'00_Yield_Rates'!$E$2:$E$17),"")</f>
        <v/>
      </c>
    </row>
    <row r="112">
      <c r="A112" s="625" t="inlineStr">
        <is>
          <t>Tray_Pack</t>
        </is>
      </c>
      <c r="B112" s="626" t="n">
        <v>1877</v>
      </c>
      <c r="C112" s="627" t="n">
        <v>61082</v>
      </c>
      <c r="D112" s="627" t="inlineStr">
        <is>
          <t>FB</t>
        </is>
      </c>
      <c r="E112" s="627" t="inlineStr">
        <is>
          <t>Thigh</t>
        </is>
      </c>
      <c r="F112" s="627" t="n">
        <v>12.4327576461722</v>
      </c>
      <c r="G112" s="627" t="n">
        <v>6</v>
      </c>
      <c r="H112" s="627" t="inlineStr">
        <is>
          <t>LT 14D</t>
        </is>
      </c>
      <c r="I112" s="627" t="inlineStr">
        <is>
          <t>Clubpack</t>
        </is>
      </c>
      <c r="J112" s="628" t="inlineStr">
        <is>
          <t>MS BSC THIGH 14D PP</t>
        </is>
      </c>
      <c r="K112" s="629" t="inlineStr">
        <is>
          <t>Fast</t>
        </is>
      </c>
      <c r="L112" s="632" t="inlineStr">
        <is>
          <t>BOX</t>
        </is>
      </c>
      <c r="M112" s="633" t="n">
        <v>57.23</v>
      </c>
      <c r="N112" s="631" t="inlineStr">
        <is>
          <t>SILVER</t>
        </is>
      </c>
      <c r="O112" s="627" t="n">
        <v>25</v>
      </c>
      <c r="P112" s="154" t="n">
        <v>61082</v>
      </c>
      <c r="R112" s="175">
        <f>_xlfn.XLOOKUP(Table3[[#This Row],[SKU]],'05_Daily_Orders'!$B$2:$B$328,'05_Daily_Orders'!G:G)</f>
        <v/>
      </c>
      <c r="S112" s="176">
        <f>IFERROR(R112*1,"")</f>
        <v/>
      </c>
      <c r="T112" s="600">
        <f>_xludf.IFNA(_xlfn.XLOOKUP(Table3[[#This Row],[SKU]],'00_Yield_Rates'!$B$2:$B$17,'00_Yield_Rates'!$E$2:$E$17),"")</f>
        <v/>
      </c>
    </row>
    <row r="113">
      <c r="A113" s="625" t="inlineStr">
        <is>
          <t>Tray_Pack</t>
        </is>
      </c>
      <c r="B113" s="626" t="n">
        <v>1878</v>
      </c>
      <c r="C113" s="627" t="inlineStr">
        <is>
          <t>61040#2</t>
        </is>
      </c>
      <c r="D113" s="627" t="inlineStr">
        <is>
          <t>FB</t>
        </is>
      </c>
      <c r="E113" s="627" t="inlineStr">
        <is>
          <t>SplitBreast</t>
        </is>
      </c>
      <c r="F113" s="627" t="n"/>
      <c r="G113" s="627" t="n">
        <v>8</v>
      </c>
      <c r="H113" s="627" t="inlineStr">
        <is>
          <t>LT 14D</t>
        </is>
      </c>
      <c r="I113" s="627" t="inlineStr">
        <is>
          <t>Clubpack</t>
        </is>
      </c>
      <c r="J113" s="628" t="inlineStr">
        <is>
          <t>MS BSC HB FT PP 8/BOX</t>
        </is>
      </c>
      <c r="K113" s="629" t="inlineStr">
        <is>
          <t>Fast</t>
        </is>
      </c>
      <c r="L113" s="629" t="inlineStr">
        <is>
          <t>6.5 BOX</t>
        </is>
      </c>
      <c r="M113" s="630" t="n">
        <v>55.73</v>
      </c>
      <c r="N113" s="631" t="inlineStr">
        <is>
          <t>SILVER</t>
        </is>
      </c>
      <c r="O113" s="627" t="n">
        <v>25</v>
      </c>
      <c r="P113" s="154" t="inlineStr">
        <is>
          <t>61040#2</t>
        </is>
      </c>
      <c r="R113" s="175">
        <f>_xlfn.XLOOKUP(Table3[[#This Row],[SKU]],'05_Daily_Orders'!$B$2:$B$328,'05_Daily_Orders'!G:G)</f>
        <v/>
      </c>
      <c r="S113" s="176">
        <f>IFERROR(R113*1,"")</f>
        <v/>
      </c>
      <c r="T113" s="600">
        <f>_xludf.IFNA(_xlfn.XLOOKUP(Table3[[#This Row],[SKU]],'00_Yield_Rates'!$B$2:$B$17,'00_Yield_Rates'!$E$2:$E$17),"")</f>
        <v/>
      </c>
    </row>
    <row r="114">
      <c r="A114" s="625" t="inlineStr">
        <is>
          <t>Tray_Pack</t>
        </is>
      </c>
      <c r="B114" s="626" t="n">
        <v>1881</v>
      </c>
      <c r="C114" s="627" t="inlineStr">
        <is>
          <t>61050#2</t>
        </is>
      </c>
      <c r="D114" s="627" t="inlineStr">
        <is>
          <t>FB</t>
        </is>
      </c>
      <c r="E114" s="627" t="inlineStr">
        <is>
          <t>BSB</t>
        </is>
      </c>
      <c r="F114" s="627" t="n"/>
      <c r="G114" s="627" t="n">
        <v>16</v>
      </c>
      <c r="H114" s="627" t="inlineStr">
        <is>
          <t>ST 2HP</t>
        </is>
      </c>
      <c r="I114" s="627" t="inlineStr">
        <is>
          <t>Small</t>
        </is>
      </c>
      <c r="J114" s="628" t="inlineStr">
        <is>
          <t>MS BSHB ST</t>
        </is>
      </c>
      <c r="K114" s="629" t="inlineStr">
        <is>
          <t>Fast</t>
        </is>
      </c>
      <c r="L114" s="629" t="inlineStr">
        <is>
          <t>BOX</t>
        </is>
      </c>
      <c r="M114" s="630" t="n">
        <v>96.55</v>
      </c>
      <c r="N114" s="631" t="inlineStr">
        <is>
          <t>SILVER</t>
        </is>
      </c>
      <c r="O114" s="627" t="n">
        <v>25</v>
      </c>
      <c r="P114" s="154" t="inlineStr">
        <is>
          <t>61050#2</t>
        </is>
      </c>
      <c r="R114" s="175">
        <f>_xlfn.XLOOKUP(Table3[[#This Row],[SKU]],'05_Daily_Orders'!$B$2:$B$328,'05_Daily_Orders'!G:G)</f>
        <v/>
      </c>
      <c r="S114" s="176">
        <f>IFERROR(R114*1,"")</f>
        <v/>
      </c>
      <c r="T114" s="600">
        <f>_xludf.IFNA(_xlfn.XLOOKUP(Table3[[#This Row],[SKU]],'00_Yield_Rates'!$B$2:$B$17,'00_Yield_Rates'!$E$2:$E$17),"")</f>
        <v/>
      </c>
    </row>
    <row r="115">
      <c r="A115" s="625" t="inlineStr">
        <is>
          <t>Tray_Pack</t>
        </is>
      </c>
      <c r="B115" s="626" t="n">
        <v>2030</v>
      </c>
      <c r="C115" s="627" t="inlineStr">
        <is>
          <t>61048#2</t>
        </is>
      </c>
      <c r="D115" s="627" t="inlineStr">
        <is>
          <t>FB</t>
        </is>
      </c>
      <c r="E115" s="627" t="inlineStr">
        <is>
          <t>SplitBreast</t>
        </is>
      </c>
      <c r="F115" s="627" t="n"/>
      <c r="G115" s="627" t="n">
        <v>18</v>
      </c>
      <c r="H115" s="627" t="inlineStr">
        <is>
          <t>ST 3XP</t>
        </is>
      </c>
      <c r="I115" s="627" t="inlineStr">
        <is>
          <t>Small</t>
        </is>
      </c>
      <c r="J115" s="628" t="inlineStr">
        <is>
          <t>PB BSC SKLS HB ST PP BSK</t>
        </is>
      </c>
      <c r="K115" s="629" t="inlineStr">
        <is>
          <t>Fast</t>
        </is>
      </c>
      <c r="L115" s="629" t="inlineStr">
        <is>
          <t>6.5 BOX</t>
        </is>
      </c>
      <c r="M115" s="630" t="n">
        <v>45.49</v>
      </c>
      <c r="N115" s="631" t="inlineStr">
        <is>
          <t>SILVER</t>
        </is>
      </c>
      <c r="O115" s="627" t="n">
        <v>25</v>
      </c>
      <c r="P115" s="154" t="inlineStr">
        <is>
          <t>61048#2</t>
        </is>
      </c>
      <c r="R115" s="175">
        <f>_xlfn.XLOOKUP(Table3[[#This Row],[SKU]],'05_Daily_Orders'!$B$2:$B$328,'05_Daily_Orders'!G:G)</f>
        <v/>
      </c>
      <c r="S115" s="176">
        <f>IFERROR(R115*1,"")</f>
        <v/>
      </c>
      <c r="T115" s="600">
        <f>_xludf.IFNA(_xlfn.XLOOKUP(Table3[[#This Row],[SKU]],'00_Yield_Rates'!$B$2:$B$17,'00_Yield_Rates'!$E$2:$E$17),"")</f>
        <v/>
      </c>
    </row>
    <row r="116">
      <c r="A116" s="625" t="inlineStr">
        <is>
          <t>Tray_Pack</t>
        </is>
      </c>
      <c r="B116" s="626" t="n">
        <v>2031</v>
      </c>
      <c r="C116" s="627" t="inlineStr">
        <is>
          <t>61048#2</t>
        </is>
      </c>
      <c r="D116" s="627" t="inlineStr">
        <is>
          <t>FB</t>
        </is>
      </c>
      <c r="E116" s="627" t="inlineStr">
        <is>
          <t>SplitBreast</t>
        </is>
      </c>
      <c r="F116" s="627" t="n">
        <v>7.71892430278884</v>
      </c>
      <c r="G116" s="627" t="n">
        <v>6</v>
      </c>
      <c r="H116" s="627" t="inlineStr">
        <is>
          <t>LT 8XP</t>
        </is>
      </c>
      <c r="I116" s="627" t="inlineStr">
        <is>
          <t>Large</t>
        </is>
      </c>
      <c r="J116" s="628" t="inlineStr">
        <is>
          <t>MS BSC SKLS HB 8XP PP</t>
        </is>
      </c>
      <c r="K116" s="629" t="inlineStr">
        <is>
          <t>Fast</t>
        </is>
      </c>
      <c r="L116" s="629" t="inlineStr">
        <is>
          <t>BOX</t>
        </is>
      </c>
      <c r="M116" s="630" t="n">
        <v>92.77</v>
      </c>
      <c r="N116" s="631" t="inlineStr">
        <is>
          <t>SILVER</t>
        </is>
      </c>
      <c r="O116" s="627" t="n">
        <v>25</v>
      </c>
      <c r="P116" s="154" t="inlineStr">
        <is>
          <t>61048#2</t>
        </is>
      </c>
      <c r="R116" s="175">
        <f>_xlfn.XLOOKUP(Table3[[#This Row],[SKU]],'05_Daily_Orders'!$B$2:$B$328,'05_Daily_Orders'!G:G)</f>
        <v/>
      </c>
      <c r="S116" s="176">
        <f>IFERROR(R116*1,"")</f>
        <v/>
      </c>
      <c r="T116" s="600">
        <f>_xludf.IFNA(_xlfn.XLOOKUP(Table3[[#This Row],[SKU]],'00_Yield_Rates'!$B$2:$B$17,'00_Yield_Rates'!$E$2:$E$17),"")</f>
        <v/>
      </c>
    </row>
    <row r="117">
      <c r="A117" s="625" t="inlineStr">
        <is>
          <t>Tray_Pack</t>
        </is>
      </c>
      <c r="B117" s="626" t="n">
        <v>2042</v>
      </c>
      <c r="C117" s="627" t="inlineStr">
        <is>
          <t>61050#2</t>
        </is>
      </c>
      <c r="D117" s="627" t="inlineStr">
        <is>
          <t>FB</t>
        </is>
      </c>
      <c r="E117" s="627" t="inlineStr">
        <is>
          <t>BSB</t>
        </is>
      </c>
      <c r="F117" s="627" t="n"/>
      <c r="G117" s="627" t="n">
        <v>8</v>
      </c>
      <c r="H117" s="627" t="inlineStr">
        <is>
          <t>LT 8XP</t>
        </is>
      </c>
      <c r="I117" s="627" t="inlineStr">
        <is>
          <t>Large</t>
        </is>
      </c>
      <c r="J117" s="628" t="inlineStr">
        <is>
          <t>MS BSC BSHB LT PP BSK</t>
        </is>
      </c>
      <c r="K117" s="629" t="inlineStr">
        <is>
          <t>Fast</t>
        </is>
      </c>
      <c r="L117" s="632" t="inlineStr">
        <is>
          <t>BOX</t>
        </is>
      </c>
      <c r="M117" s="633" t="n">
        <v>0</v>
      </c>
      <c r="N117" s="631" t="inlineStr">
        <is>
          <t>SILVER</t>
        </is>
      </c>
      <c r="O117" s="627" t="n">
        <v>25</v>
      </c>
      <c r="P117" s="154" t="inlineStr">
        <is>
          <t>61050#2</t>
        </is>
      </c>
      <c r="R117" s="175">
        <f>_xlfn.XLOOKUP(Table3[[#This Row],[SKU]],'05_Daily_Orders'!$B$2:$B$328,'05_Daily_Orders'!G:G)</f>
        <v/>
      </c>
      <c r="S117" s="176">
        <f>IFERROR(R117*1,"")</f>
        <v/>
      </c>
      <c r="T117" s="600">
        <f>_xludf.IFNA(_xlfn.XLOOKUP(Table3[[#This Row],[SKU]],'00_Yield_Rates'!$B$2:$B$17,'00_Yield_Rates'!$E$2:$E$17),"")</f>
        <v/>
      </c>
    </row>
    <row r="118">
      <c r="A118" s="625" t="inlineStr">
        <is>
          <t>Tray_Pack</t>
        </is>
      </c>
      <c r="B118" s="626" t="n">
        <v>2043</v>
      </c>
      <c r="C118" s="627" t="inlineStr">
        <is>
          <t>61050#2</t>
        </is>
      </c>
      <c r="D118" s="627" t="inlineStr">
        <is>
          <t>FB</t>
        </is>
      </c>
      <c r="E118" s="627" t="inlineStr">
        <is>
          <t>BSB</t>
        </is>
      </c>
      <c r="F118" s="627" t="n">
        <v>9.27523099454133</v>
      </c>
      <c r="G118" s="627" t="n">
        <v>8</v>
      </c>
      <c r="H118" s="627" t="inlineStr">
        <is>
          <t>LT 8XP</t>
        </is>
      </c>
      <c r="I118" s="627" t="inlineStr">
        <is>
          <t>Large</t>
        </is>
      </c>
      <c r="J118" s="628" t="inlineStr">
        <is>
          <t>MS BSC BSHB AC 8XP PP</t>
        </is>
      </c>
      <c r="K118" s="629" t="inlineStr">
        <is>
          <t>Fast</t>
        </is>
      </c>
      <c r="L118" s="629" t="inlineStr">
        <is>
          <t>BOX</t>
        </is>
      </c>
      <c r="M118" s="630" t="n">
        <v>134.32</v>
      </c>
      <c r="N118" s="631" t="inlineStr">
        <is>
          <t>SILVER</t>
        </is>
      </c>
      <c r="O118" s="627" t="n">
        <v>25</v>
      </c>
      <c r="P118" s="154" t="inlineStr">
        <is>
          <t>61050#2</t>
        </is>
      </c>
      <c r="R118" s="175">
        <f>_xlfn.XLOOKUP(Table3[[#This Row],[SKU]],'05_Daily_Orders'!$B$2:$B$328,'05_Daily_Orders'!G:G)</f>
        <v/>
      </c>
      <c r="S118" s="176">
        <f>IFERROR(R118*1,"")</f>
        <v/>
      </c>
      <c r="T118" s="600">
        <f>_xludf.IFNA(_xlfn.XLOOKUP(Table3[[#This Row],[SKU]],'00_Yield_Rates'!$B$2:$B$17,'00_Yield_Rates'!$E$2:$E$17),"")</f>
        <v/>
      </c>
    </row>
    <row r="119">
      <c r="A119" s="625" t="inlineStr">
        <is>
          <t>Tray_Pack</t>
        </is>
      </c>
      <c r="B119" s="626" t="n">
        <v>2044</v>
      </c>
      <c r="C119" s="627" t="n">
        <v>61104</v>
      </c>
      <c r="D119" s="627" t="inlineStr">
        <is>
          <t>FB</t>
        </is>
      </c>
      <c r="E119" s="627" t="inlineStr">
        <is>
          <t>BSB</t>
        </is>
      </c>
      <c r="F119" s="627" t="n">
        <v>7.43539139662068</v>
      </c>
      <c r="G119" s="627" t="n">
        <v>8</v>
      </c>
      <c r="H119" s="627" t="inlineStr">
        <is>
          <t>LT 8XP</t>
        </is>
      </c>
      <c r="I119" s="627" t="inlineStr">
        <is>
          <t>Large</t>
        </is>
      </c>
      <c r="J119" s="628" t="inlineStr">
        <is>
          <t>MS BSHB CHUNK 8XP PP</t>
        </is>
      </c>
      <c r="K119" s="629" t="inlineStr">
        <is>
          <t>Fast</t>
        </is>
      </c>
      <c r="L119" s="629" t="inlineStr">
        <is>
          <t>BOX</t>
        </is>
      </c>
      <c r="M119" s="630" t="n">
        <v>56.92</v>
      </c>
      <c r="N119" s="631" t="inlineStr">
        <is>
          <t>SILVER</t>
        </is>
      </c>
      <c r="O119" s="627" t="n">
        <v>25</v>
      </c>
      <c r="P119" s="154" t="n">
        <v>61104</v>
      </c>
      <c r="R119" s="175">
        <f>_xlfn.XLOOKUP(Table3[[#This Row],[SKU]],'05_Daily_Orders'!$B$2:$B$328,'05_Daily_Orders'!G:G)</f>
        <v/>
      </c>
      <c r="S119" s="176">
        <f>IFERROR(R119*1,"")</f>
        <v/>
      </c>
      <c r="T119" s="600">
        <f>_xludf.IFNA(_xlfn.XLOOKUP(Table3[[#This Row],[SKU]],'00_Yield_Rates'!$B$2:$B$17,'00_Yield_Rates'!$E$2:$E$17),"")</f>
        <v/>
      </c>
    </row>
    <row r="120">
      <c r="A120" s="625" t="inlineStr">
        <is>
          <t>Tray_Pack</t>
        </is>
      </c>
      <c r="B120" s="626" t="n">
        <v>2045</v>
      </c>
      <c r="C120" s="627" t="inlineStr">
        <is>
          <t>61072#2</t>
        </is>
      </c>
      <c r="D120" s="627" t="inlineStr">
        <is>
          <t>FB</t>
        </is>
      </c>
      <c r="E120" s="627" t="inlineStr">
        <is>
          <t>Drum</t>
        </is>
      </c>
      <c r="F120" s="627" t="n">
        <v>4.85738989169675</v>
      </c>
      <c r="G120" s="627" t="n">
        <v>8</v>
      </c>
      <c r="H120" s="627" t="inlineStr">
        <is>
          <t>ST 3XP</t>
        </is>
      </c>
      <c r="I120" s="627" t="inlineStr">
        <is>
          <t>Small</t>
        </is>
      </c>
      <c r="J120" s="628" t="inlineStr">
        <is>
          <t>MS BSC DRUM 3XP PP</t>
        </is>
      </c>
      <c r="K120" s="629" t="inlineStr">
        <is>
          <t>Fast</t>
        </is>
      </c>
      <c r="L120" s="629" t="inlineStr">
        <is>
          <t>BOX</t>
        </is>
      </c>
      <c r="M120" s="630" t="n">
        <v>53.8</v>
      </c>
      <c r="N120" s="631" t="inlineStr">
        <is>
          <t>SILVER</t>
        </is>
      </c>
      <c r="O120" s="627" t="n">
        <v>25</v>
      </c>
      <c r="P120" s="154" t="inlineStr">
        <is>
          <t>61072#2</t>
        </is>
      </c>
      <c r="R120" s="175">
        <f>_xlfn.XLOOKUP(Table3[[#This Row],[SKU]],'05_Daily_Orders'!$B$2:$B$328,'05_Daily_Orders'!G:G)</f>
        <v/>
      </c>
      <c r="S120" s="176">
        <f>IFERROR(R120*1,"")</f>
        <v/>
      </c>
      <c r="T120" s="600">
        <f>_xludf.IFNA(_xlfn.XLOOKUP(Table3[[#This Row],[SKU]],'00_Yield_Rates'!$B$2:$B$17,'00_Yield_Rates'!$E$2:$E$17),"")</f>
        <v/>
      </c>
    </row>
    <row r="121">
      <c r="A121" s="625" t="inlineStr">
        <is>
          <t>Tray_Pack</t>
        </is>
      </c>
      <c r="B121" s="626" t="n">
        <v>2046</v>
      </c>
      <c r="C121" s="627" t="n">
        <v>61082</v>
      </c>
      <c r="D121" s="627" t="inlineStr">
        <is>
          <t>FB</t>
        </is>
      </c>
      <c r="E121" s="627" t="inlineStr">
        <is>
          <t>Thigh</t>
        </is>
      </c>
      <c r="F121" s="627" t="n">
        <v>4.99407745706978</v>
      </c>
      <c r="G121" s="627" t="n">
        <v>8</v>
      </c>
      <c r="H121" s="627" t="inlineStr">
        <is>
          <t>ST 3XP</t>
        </is>
      </c>
      <c r="I121" s="627" t="inlineStr">
        <is>
          <t>Small</t>
        </is>
      </c>
      <c r="J121" s="628" t="inlineStr">
        <is>
          <t>MS BSC THIGH 3XP PP</t>
        </is>
      </c>
      <c r="K121" s="632" t="inlineStr">
        <is>
          <t>Fast</t>
        </is>
      </c>
      <c r="L121" s="629" t="inlineStr">
        <is>
          <t>BOX</t>
        </is>
      </c>
      <c r="M121" s="630" t="n">
        <v>37.92</v>
      </c>
      <c r="N121" s="631" t="inlineStr">
        <is>
          <t>SILVER</t>
        </is>
      </c>
      <c r="O121" s="627" t="n">
        <v>25</v>
      </c>
      <c r="P121" s="154" t="n">
        <v>61082</v>
      </c>
      <c r="R121" s="175">
        <f>_xlfn.XLOOKUP(Table3[[#This Row],[SKU]],'05_Daily_Orders'!$B$2:$B$328,'05_Daily_Orders'!G:G)</f>
        <v/>
      </c>
      <c r="S121" s="176">
        <f>IFERROR(R121*1,"")</f>
        <v/>
      </c>
      <c r="T121" s="600">
        <f>_xludf.IFNA(_xlfn.XLOOKUP(Table3[[#This Row],[SKU]],'00_Yield_Rates'!$B$2:$B$17,'00_Yield_Rates'!$E$2:$E$17),"")</f>
        <v/>
      </c>
    </row>
    <row r="122">
      <c r="A122" s="625" t="inlineStr">
        <is>
          <t>Tray_Pack</t>
        </is>
      </c>
      <c r="B122" s="626" t="n">
        <v>2047</v>
      </c>
      <c r="C122" s="627" t="n">
        <v>61010</v>
      </c>
      <c r="D122" s="627" t="inlineStr">
        <is>
          <t>FB</t>
        </is>
      </c>
      <c r="E122" s="627" t="inlineStr">
        <is>
          <t>Whole Wing-14D</t>
        </is>
      </c>
      <c r="F122" s="627" t="n">
        <v>9.75961193360251</v>
      </c>
      <c r="G122" s="627" t="n">
        <v>6</v>
      </c>
      <c r="H122" s="627" t="inlineStr">
        <is>
          <t>LT 14D</t>
        </is>
      </c>
      <c r="I122" s="627" t="inlineStr">
        <is>
          <t>Large</t>
        </is>
      </c>
      <c r="J122" s="628" t="inlineStr">
        <is>
          <t>MS WING 14D PP</t>
        </is>
      </c>
      <c r="K122" s="629" t="inlineStr">
        <is>
          <t>Fast</t>
        </is>
      </c>
      <c r="L122" s="629" t="inlineStr">
        <is>
          <t>BOX</t>
        </is>
      </c>
      <c r="M122" s="630" t="n">
        <v>35.1</v>
      </c>
      <c r="N122" s="631" t="inlineStr">
        <is>
          <t>SILVER</t>
        </is>
      </c>
      <c r="O122" s="627" t="n">
        <v>25</v>
      </c>
      <c r="P122" s="154" t="n">
        <v>61010</v>
      </c>
      <c r="R122" s="175">
        <f>_xlfn.XLOOKUP(Table3[[#This Row],[SKU]],'05_Daily_Orders'!$B$2:$B$328,'05_Daily_Orders'!G:G)</f>
        <v/>
      </c>
      <c r="S122" s="176">
        <f>IFERROR(R122*1,"")</f>
        <v/>
      </c>
      <c r="T122" s="600">
        <f>_xludf.IFNA(_xlfn.XLOOKUP(Table3[[#This Row],[SKU]],'00_Yield_Rates'!$B$2:$B$17,'00_Yield_Rates'!$E$2:$E$17),"")</f>
        <v/>
      </c>
    </row>
    <row r="123">
      <c r="A123" s="625" t="inlineStr">
        <is>
          <t>Tray_Pack</t>
        </is>
      </c>
      <c r="B123" s="626" t="n">
        <v>2060</v>
      </c>
      <c r="C123" s="627" t="inlineStr">
        <is>
          <t>61072#2</t>
        </is>
      </c>
      <c r="D123" s="627" t="inlineStr">
        <is>
          <t>METRO</t>
        </is>
      </c>
      <c r="E123" s="627" t="inlineStr">
        <is>
          <t>Drum</t>
        </is>
      </c>
      <c r="F123" s="627" t="n">
        <v>8.0399191303195</v>
      </c>
      <c r="G123" s="627" t="n">
        <v>8</v>
      </c>
      <c r="H123" s="627" t="inlineStr">
        <is>
          <t>LT 8XP</t>
        </is>
      </c>
      <c r="I123" s="627" t="inlineStr">
        <is>
          <t>Large</t>
        </is>
      </c>
      <c r="J123" s="628" t="inlineStr">
        <is>
          <t>MB MET DRUM 8XP</t>
        </is>
      </c>
      <c r="K123" s="632" t="inlineStr">
        <is>
          <t>Fast</t>
        </is>
      </c>
      <c r="L123" s="629" t="inlineStr">
        <is>
          <t>BOX</t>
        </is>
      </c>
      <c r="M123" s="630" t="n">
        <v>44.6</v>
      </c>
      <c r="N123" s="631" t="inlineStr">
        <is>
          <t>SILVER</t>
        </is>
      </c>
      <c r="O123" s="627" t="n">
        <v>20</v>
      </c>
      <c r="P123" s="154" t="inlineStr">
        <is>
          <t>61072#2</t>
        </is>
      </c>
      <c r="R123" s="175">
        <f>_xlfn.XLOOKUP(Table3[[#This Row],[SKU]],'05_Daily_Orders'!$B$2:$B$328,'05_Daily_Orders'!G:G)</f>
        <v/>
      </c>
      <c r="S123" s="176">
        <f>IFERROR(R123*1,"")</f>
        <v/>
      </c>
      <c r="T123" s="600">
        <f>_xludf.IFNA(_xlfn.XLOOKUP(Table3[[#This Row],[SKU]],'00_Yield_Rates'!$B$2:$B$17,'00_Yield_Rates'!$E$2:$E$17),"")</f>
        <v/>
      </c>
    </row>
    <row r="124">
      <c r="A124" s="625" t="inlineStr">
        <is>
          <t>Tray_Pack</t>
        </is>
      </c>
      <c r="B124" s="626" t="n">
        <v>2061</v>
      </c>
      <c r="C124" s="627" t="n">
        <v>61082</v>
      </c>
      <c r="D124" s="627" t="inlineStr">
        <is>
          <t>METRO</t>
        </is>
      </c>
      <c r="E124" s="627" t="inlineStr">
        <is>
          <t>Thigh</t>
        </is>
      </c>
      <c r="F124" s="627" t="n">
        <v>9.96337483550966</v>
      </c>
      <c r="G124" s="627" t="n">
        <v>8</v>
      </c>
      <c r="H124" s="627" t="inlineStr">
        <is>
          <t>LT 8XP</t>
        </is>
      </c>
      <c r="I124" s="627" t="inlineStr">
        <is>
          <t>Large</t>
        </is>
      </c>
      <c r="J124" s="628" t="inlineStr">
        <is>
          <t>MB MET THIGH 8XP</t>
        </is>
      </c>
      <c r="K124" s="632" t="inlineStr">
        <is>
          <t>Fast</t>
        </is>
      </c>
      <c r="L124" s="629" t="inlineStr">
        <is>
          <t>BOX</t>
        </is>
      </c>
      <c r="M124" s="630" t="n">
        <v>52.81</v>
      </c>
      <c r="N124" s="631" t="inlineStr">
        <is>
          <t>SILVER</t>
        </is>
      </c>
      <c r="O124" s="627" t="n">
        <v>25</v>
      </c>
      <c r="P124" s="154" t="n">
        <v>61082</v>
      </c>
      <c r="R124" s="175">
        <f>_xlfn.XLOOKUP(Table3[[#This Row],[SKU]],'05_Daily_Orders'!$B$2:$B$328,'05_Daily_Orders'!G:G)</f>
        <v/>
      </c>
      <c r="S124" s="176">
        <f>IFERROR(R124*1,"")</f>
        <v/>
      </c>
      <c r="T124" s="600">
        <f>_xludf.IFNA(_xlfn.XLOOKUP(Table3[[#This Row],[SKU]],'00_Yield_Rates'!$B$2:$B$17,'00_Yield_Rates'!$E$2:$E$17),"")</f>
        <v/>
      </c>
    </row>
    <row r="125">
      <c r="A125" s="625" t="inlineStr">
        <is>
          <t>Tray_Pack</t>
        </is>
      </c>
      <c r="B125" s="626" t="n">
        <v>2062</v>
      </c>
      <c r="C125" s="627" t="inlineStr">
        <is>
          <t>61048#2</t>
        </is>
      </c>
      <c r="D125" s="627" t="inlineStr">
        <is>
          <t>METRO</t>
        </is>
      </c>
      <c r="E125" s="627" t="inlineStr">
        <is>
          <t>SplitBreast</t>
        </is>
      </c>
      <c r="F125" s="627" t="n">
        <v>7.83324577861163</v>
      </c>
      <c r="G125" s="627" t="n">
        <v>6</v>
      </c>
      <c r="H125" s="627" t="inlineStr">
        <is>
          <t>LT 8XP</t>
        </is>
      </c>
      <c r="I125" s="627" t="inlineStr">
        <is>
          <t>Large</t>
        </is>
      </c>
      <c r="J125" s="628" t="inlineStr">
        <is>
          <t>MS MET SKLS HB 8XP</t>
        </is>
      </c>
      <c r="K125" s="629" t="inlineStr">
        <is>
          <t>Fast</t>
        </is>
      </c>
      <c r="L125" s="629" t="inlineStr">
        <is>
          <t>BOX</t>
        </is>
      </c>
      <c r="M125" s="630" t="n">
        <v>92.66</v>
      </c>
      <c r="N125" s="631" t="inlineStr">
        <is>
          <t>SILVER</t>
        </is>
      </c>
      <c r="O125" s="627" t="n">
        <v>25</v>
      </c>
      <c r="P125" s="154" t="inlineStr">
        <is>
          <t>61048#2</t>
        </is>
      </c>
      <c r="R125" s="175">
        <f>_xlfn.XLOOKUP(Table3[[#This Row],[SKU]],'05_Daily_Orders'!$B$2:$B$328,'05_Daily_Orders'!G:G)</f>
        <v/>
      </c>
      <c r="S125" s="176">
        <f>IFERROR(R125*1,"")</f>
        <v/>
      </c>
      <c r="T125" s="600">
        <f>_xludf.IFNA(_xlfn.XLOOKUP(Table3[[#This Row],[SKU]],'00_Yield_Rates'!$B$2:$B$17,'00_Yield_Rates'!$E$2:$E$17),"")</f>
        <v/>
      </c>
    </row>
    <row r="126">
      <c r="A126" s="625" t="inlineStr">
        <is>
          <t>Tray_Pack</t>
        </is>
      </c>
      <c r="B126" s="626" t="n">
        <v>2063</v>
      </c>
      <c r="C126" s="627" t="n">
        <v>203891</v>
      </c>
      <c r="D126" s="627" t="inlineStr">
        <is>
          <t>METRO</t>
        </is>
      </c>
      <c r="E126" s="627" t="inlineStr">
        <is>
          <t>Whole Bird-Small</t>
        </is>
      </c>
      <c r="F126" s="627" t="n">
        <v>8.985169144580899</v>
      </c>
      <c r="G126" s="627" t="n">
        <v>6</v>
      </c>
      <c r="H126" s="627" t="inlineStr">
        <is>
          <t>ST 3XP</t>
        </is>
      </c>
      <c r="I126" s="627" t="inlineStr">
        <is>
          <t>Small</t>
        </is>
      </c>
      <c r="J126" s="628" t="inlineStr">
        <is>
          <t>MS MET FRY WOG TI 3XP</t>
        </is>
      </c>
      <c r="K126" s="632" t="inlineStr">
        <is>
          <t>Fast</t>
        </is>
      </c>
      <c r="L126" s="632" t="inlineStr">
        <is>
          <t>BOX</t>
        </is>
      </c>
      <c r="M126" s="633" t="n">
        <v>131.02</v>
      </c>
      <c r="N126" s="631" t="inlineStr">
        <is>
          <t>SILVER</t>
        </is>
      </c>
      <c r="O126" s="627" t="n">
        <v>25</v>
      </c>
      <c r="P126" s="154" t="n">
        <v>203891</v>
      </c>
      <c r="R126" s="175">
        <f>_xlfn.XLOOKUP(Table3[[#This Row],[SKU]],'05_Daily_Orders'!$B$2:$B$328,'05_Daily_Orders'!G:G)</f>
        <v/>
      </c>
      <c r="S126" s="176">
        <f>IFERROR(R126*1,"")</f>
        <v/>
      </c>
      <c r="T126" s="600">
        <f>_xludf.IFNA(_xlfn.XLOOKUP(Table3[[#This Row],[SKU]],'00_Yield_Rates'!$B$2:$B$17,'00_Yield_Rates'!$E$2:$E$17),"")</f>
        <v/>
      </c>
    </row>
    <row r="127">
      <c r="A127" s="625" t="inlineStr">
        <is>
          <t>Tray_Pack</t>
        </is>
      </c>
      <c r="B127" s="626" t="n">
        <v>2064</v>
      </c>
      <c r="C127" s="627" t="n">
        <v>61061</v>
      </c>
      <c r="D127" s="627" t="inlineStr">
        <is>
          <t>METRO</t>
        </is>
      </c>
      <c r="E127" s="627" t="inlineStr">
        <is>
          <t>BA</t>
        </is>
      </c>
      <c r="F127" s="627" t="n">
        <v>9.92599710354815</v>
      </c>
      <c r="G127" s="627" t="n">
        <v>8</v>
      </c>
      <c r="H127" s="627" t="inlineStr">
        <is>
          <t>LT 8XP</t>
        </is>
      </c>
      <c r="I127" s="627" t="inlineStr">
        <is>
          <t>Large</t>
        </is>
      </c>
      <c r="J127" s="628" t="inlineStr">
        <is>
          <t>MS MET LEG BA 8XP</t>
        </is>
      </c>
      <c r="K127" s="632" t="inlineStr">
        <is>
          <t>Fast</t>
        </is>
      </c>
      <c r="L127" s="629" t="inlineStr">
        <is>
          <t>BOX</t>
        </is>
      </c>
      <c r="M127" s="630" t="n">
        <v>61.57</v>
      </c>
      <c r="N127" s="631" t="inlineStr">
        <is>
          <t>SILVER</t>
        </is>
      </c>
      <c r="O127" s="627" t="n">
        <v>25</v>
      </c>
      <c r="P127" s="154" t="n">
        <v>61061</v>
      </c>
      <c r="R127" s="175">
        <f>_xlfn.XLOOKUP(Table3[[#This Row],[SKU]],'05_Daily_Orders'!$B$2:$B$328,'05_Daily_Orders'!G:G)</f>
        <v/>
      </c>
      <c r="S127" s="176">
        <f>IFERROR(R127*1,"")</f>
        <v/>
      </c>
      <c r="T127" s="600">
        <f>_xludf.IFNA(_xlfn.XLOOKUP(Table3[[#This Row],[SKU]],'00_Yield_Rates'!$B$2:$B$17,'00_Yield_Rates'!$E$2:$E$17),"")</f>
        <v/>
      </c>
    </row>
    <row r="128">
      <c r="A128" s="625" t="inlineStr">
        <is>
          <t>Tray_Pack</t>
        </is>
      </c>
      <c r="B128" s="626" t="n">
        <v>2065</v>
      </c>
      <c r="C128" s="627" t="n">
        <v>61010</v>
      </c>
      <c r="D128" s="627" t="inlineStr">
        <is>
          <t>METRO</t>
        </is>
      </c>
      <c r="E128" s="627" t="inlineStr">
        <is>
          <t>Whole Wing-Large</t>
        </is>
      </c>
      <c r="F128" s="627" t="n"/>
      <c r="G128" s="627" t="n">
        <v>8</v>
      </c>
      <c r="H128" s="627" t="inlineStr">
        <is>
          <t>LT 8XP</t>
        </is>
      </c>
      <c r="I128" s="627" t="inlineStr">
        <is>
          <t>Large</t>
        </is>
      </c>
      <c r="J128" s="628" t="inlineStr">
        <is>
          <t>PB WING LT</t>
        </is>
      </c>
      <c r="K128" s="629" t="inlineStr">
        <is>
          <t>Fast</t>
        </is>
      </c>
      <c r="L128" s="629" t="inlineStr">
        <is>
          <t>BOX</t>
        </is>
      </c>
      <c r="M128" s="630" t="n">
        <v>26.74</v>
      </c>
      <c r="N128" s="631" t="inlineStr">
        <is>
          <t>SILVER</t>
        </is>
      </c>
      <c r="O128" s="627" t="n">
        <v>25</v>
      </c>
      <c r="P128" s="154" t="n">
        <v>61010</v>
      </c>
      <c r="R128" s="175">
        <f>_xlfn.XLOOKUP(Table3[[#This Row],[SKU]],'05_Daily_Orders'!$B$2:$B$328,'05_Daily_Orders'!G:G)</f>
        <v/>
      </c>
      <c r="S128" s="176">
        <f>IFERROR(R128*1,"")</f>
        <v/>
      </c>
      <c r="T128" s="600">
        <f>_xludf.IFNA(_xlfn.XLOOKUP(Table3[[#This Row],[SKU]],'00_Yield_Rates'!$B$2:$B$17,'00_Yield_Rates'!$E$2:$E$17),"")</f>
        <v/>
      </c>
    </row>
    <row r="129">
      <c r="A129" s="625" t="inlineStr">
        <is>
          <t>Tray_Pack</t>
        </is>
      </c>
      <c r="B129" s="626" t="n">
        <v>2066</v>
      </c>
      <c r="C129" s="627" t="inlineStr">
        <is>
          <t>61040#2</t>
        </is>
      </c>
      <c r="D129" s="627" t="inlineStr">
        <is>
          <t>METRO</t>
        </is>
      </c>
      <c r="E129" s="627" t="inlineStr">
        <is>
          <t>SplitBreast</t>
        </is>
      </c>
      <c r="F129" s="627" t="n">
        <v>7.60166579223504</v>
      </c>
      <c r="G129" s="627" t="n">
        <v>6</v>
      </c>
      <c r="H129" s="627" t="inlineStr">
        <is>
          <t>LT 8XP</t>
        </is>
      </c>
      <c r="I129" s="627" t="inlineStr">
        <is>
          <t>Large</t>
        </is>
      </c>
      <c r="J129" s="628" t="inlineStr">
        <is>
          <t>MS MET HB 8XP</t>
        </is>
      </c>
      <c r="K129" s="629" t="inlineStr">
        <is>
          <t>Fast</t>
        </is>
      </c>
      <c r="L129" s="629" t="inlineStr">
        <is>
          <t>BOX</t>
        </is>
      </c>
      <c r="M129" s="630" t="n">
        <v>87.06</v>
      </c>
      <c r="N129" s="631" t="inlineStr">
        <is>
          <t>SILVER</t>
        </is>
      </c>
      <c r="O129" s="627" t="n">
        <v>25</v>
      </c>
      <c r="P129" s="154" t="inlineStr">
        <is>
          <t>61040#2</t>
        </is>
      </c>
      <c r="R129" s="175">
        <f>_xlfn.XLOOKUP(Table3[[#This Row],[SKU]],'05_Daily_Orders'!$B$2:$B$328,'05_Daily_Orders'!G:G)</f>
        <v/>
      </c>
      <c r="S129" s="176">
        <f>IFERROR(R129*1,"")</f>
        <v/>
      </c>
      <c r="T129" s="600">
        <f>_xludf.IFNA(_xlfn.XLOOKUP(Table3[[#This Row],[SKU]],'00_Yield_Rates'!$B$2:$B$17,'00_Yield_Rates'!$E$2:$E$17),"")</f>
        <v/>
      </c>
    </row>
    <row r="130">
      <c r="A130" s="625" t="inlineStr">
        <is>
          <t>Tray_Pack</t>
        </is>
      </c>
      <c r="B130" s="626" t="n">
        <v>2067</v>
      </c>
      <c r="C130" s="627" t="inlineStr">
        <is>
          <t>61086#2</t>
        </is>
      </c>
      <c r="D130" s="627" t="inlineStr">
        <is>
          <t>METRO</t>
        </is>
      </c>
      <c r="E130" s="627" t="inlineStr">
        <is>
          <t>ThighMeat</t>
        </is>
      </c>
      <c r="F130" s="627" t="n">
        <v>7.27942028985507</v>
      </c>
      <c r="G130" s="627" t="n">
        <v>8</v>
      </c>
      <c r="H130" s="627" t="inlineStr">
        <is>
          <t>LT 8XP</t>
        </is>
      </c>
      <c r="I130" s="627" t="inlineStr">
        <is>
          <t>Large</t>
        </is>
      </c>
      <c r="J130" s="628" t="inlineStr">
        <is>
          <t>BONELESS SKINLESS THIGH</t>
        </is>
      </c>
      <c r="K130" s="629" t="inlineStr">
        <is>
          <t>Slow</t>
        </is>
      </c>
      <c r="L130" s="629" t="inlineStr">
        <is>
          <t>BOX</t>
        </is>
      </c>
      <c r="M130" s="630" t="n">
        <v>16.82</v>
      </c>
      <c r="N130" s="631" t="inlineStr">
        <is>
          <t>SILVER</t>
        </is>
      </c>
      <c r="O130" s="627" t="n">
        <v>25</v>
      </c>
      <c r="P130" s="154" t="inlineStr">
        <is>
          <t>61086#2</t>
        </is>
      </c>
      <c r="R130" s="175">
        <f>_xlfn.XLOOKUP(Table3[[#This Row],[SKU]],'05_Daily_Orders'!$B$2:$B$328,'05_Daily_Orders'!G:G)</f>
        <v/>
      </c>
      <c r="S130" s="176">
        <f>IFERROR(R130*1,"")</f>
        <v/>
      </c>
      <c r="T130" s="600">
        <f>_xludf.IFNA(_xlfn.XLOOKUP(Table3[[#This Row],[SKU]],'00_Yield_Rates'!$B$2:$B$17,'00_Yield_Rates'!$E$2:$E$17),"")</f>
        <v/>
      </c>
    </row>
    <row r="131">
      <c r="A131" s="625" t="inlineStr">
        <is>
          <t>Tray_Pack</t>
        </is>
      </c>
      <c r="B131" s="626" t="n">
        <v>2068</v>
      </c>
      <c r="C131" s="627" t="inlineStr">
        <is>
          <t>61050#2</t>
        </is>
      </c>
      <c r="D131" s="627" t="inlineStr">
        <is>
          <t>METRO</t>
        </is>
      </c>
      <c r="E131" s="627" t="inlineStr">
        <is>
          <t>BSB</t>
        </is>
      </c>
      <c r="F131" s="627" t="n"/>
      <c r="G131" s="627" t="n">
        <v>12</v>
      </c>
      <c r="H131" s="627" t="inlineStr">
        <is>
          <t>ST 3D</t>
        </is>
      </c>
      <c r="I131" s="627" t="inlineStr">
        <is>
          <t>Small</t>
        </is>
      </c>
      <c r="J131" s="628" t="inlineStr">
        <is>
          <t>MS MET BSHB 3D</t>
        </is>
      </c>
      <c r="K131" s="629" t="inlineStr">
        <is>
          <t>Fast</t>
        </is>
      </c>
      <c r="L131" s="629" t="inlineStr">
        <is>
          <t>BOX</t>
        </is>
      </c>
      <c r="M131" s="630" t="n">
        <v>121.26</v>
      </c>
      <c r="N131" s="631" t="inlineStr">
        <is>
          <t>SILVER</t>
        </is>
      </c>
      <c r="O131" s="627" t="n">
        <v>25</v>
      </c>
      <c r="P131" s="154" t="inlineStr">
        <is>
          <t>61050#2</t>
        </is>
      </c>
      <c r="R131" s="175">
        <f>_xlfn.XLOOKUP(Table3[[#This Row],[SKU]],'05_Daily_Orders'!$B$2:$B$328,'05_Daily_Orders'!G:G)</f>
        <v/>
      </c>
      <c r="S131" s="176">
        <f>IFERROR(R131*1,"")</f>
        <v/>
      </c>
      <c r="T131" s="600">
        <f>_xludf.IFNA(_xlfn.XLOOKUP(Table3[[#This Row],[SKU]],'00_Yield_Rates'!$B$2:$B$17,'00_Yield_Rates'!$E$2:$E$17),"")</f>
        <v/>
      </c>
    </row>
    <row r="132">
      <c r="A132" s="625" t="inlineStr">
        <is>
          <t>Tray_Pack</t>
        </is>
      </c>
      <c r="B132" s="626" t="n">
        <v>2069</v>
      </c>
      <c r="C132" s="627" t="inlineStr">
        <is>
          <t>61040#2</t>
        </is>
      </c>
      <c r="D132" s="627" t="inlineStr">
        <is>
          <t>FB</t>
        </is>
      </c>
      <c r="E132" s="627" t="inlineStr">
        <is>
          <t>SplitBreast</t>
        </is>
      </c>
      <c r="F132" s="627" t="n">
        <v>9.061673469387751</v>
      </c>
      <c r="G132" s="627" t="n">
        <v>12</v>
      </c>
      <c r="H132" s="627" t="inlineStr">
        <is>
          <t>ST 3XP</t>
        </is>
      </c>
      <c r="I132" s="627" t="inlineStr">
        <is>
          <t>Small</t>
        </is>
      </c>
      <c r="J132" s="628" t="inlineStr">
        <is>
          <t>MS BSC HB 3XP PP</t>
        </is>
      </c>
      <c r="K132" s="629" t="inlineStr">
        <is>
          <t>Fast</t>
        </is>
      </c>
      <c r="L132" s="632" t="inlineStr">
        <is>
          <t>BOX</t>
        </is>
      </c>
      <c r="M132" s="633" t="n">
        <v>16.71</v>
      </c>
      <c r="N132" s="631" t="inlineStr">
        <is>
          <t>SILVER</t>
        </is>
      </c>
      <c r="O132" s="627" t="n">
        <v>25</v>
      </c>
      <c r="P132" s="154" t="inlineStr">
        <is>
          <t>61040#2</t>
        </is>
      </c>
      <c r="R132" s="175">
        <f>_xlfn.XLOOKUP(Table3[[#This Row],[SKU]],'05_Daily_Orders'!$B$2:$B$328,'05_Daily_Orders'!G:G)</f>
        <v/>
      </c>
      <c r="S132" s="176">
        <f>IFERROR(R132*1,"")</f>
        <v/>
      </c>
      <c r="T132" s="600">
        <f>_xludf.IFNA(_xlfn.XLOOKUP(Table3[[#This Row],[SKU]],'00_Yield_Rates'!$B$2:$B$17,'00_Yield_Rates'!$E$2:$E$17),"")</f>
        <v/>
      </c>
    </row>
    <row r="133">
      <c r="A133" s="625" t="inlineStr">
        <is>
          <t>Tray_Pack</t>
        </is>
      </c>
      <c r="B133" s="634" t="n">
        <v>2070</v>
      </c>
      <c r="C133" s="627" t="inlineStr">
        <is>
          <t>61048#2</t>
        </is>
      </c>
      <c r="D133" s="627" t="inlineStr">
        <is>
          <t>FB</t>
        </is>
      </c>
      <c r="E133" s="627" t="inlineStr">
        <is>
          <t>SplitBreast</t>
        </is>
      </c>
      <c r="F133" s="630" t="n">
        <v>9.227539160045399</v>
      </c>
      <c r="G133" s="627" t="n">
        <v>12</v>
      </c>
      <c r="H133" s="627" t="inlineStr">
        <is>
          <t>ST 3XP</t>
        </is>
      </c>
      <c r="I133" s="627" t="inlineStr">
        <is>
          <t>Small</t>
        </is>
      </c>
      <c r="J133" s="628" t="inlineStr">
        <is>
          <t>MS BSC SKLS HB 3XP PP</t>
        </is>
      </c>
      <c r="K133" s="629" t="inlineStr">
        <is>
          <t>Fast</t>
        </is>
      </c>
      <c r="L133" s="629" t="inlineStr">
        <is>
          <t>BOX</t>
        </is>
      </c>
      <c r="M133" s="630" t="n">
        <v>116.71</v>
      </c>
      <c r="N133" s="631" t="inlineStr">
        <is>
          <t>SILVER</t>
        </is>
      </c>
      <c r="O133" s="627" t="n">
        <v>25</v>
      </c>
      <c r="P133" s="154" t="inlineStr">
        <is>
          <t>61048#2</t>
        </is>
      </c>
      <c r="R133" s="175">
        <f>_xlfn.XLOOKUP(Table3[[#This Row],[SKU]],'05_Daily_Orders'!$B$2:$B$328,'05_Daily_Orders'!G:G)</f>
        <v/>
      </c>
      <c r="S133" s="176">
        <f>IFERROR(R133*1,"")</f>
        <v/>
      </c>
      <c r="T133" s="600">
        <f>_xludf.IFNA(_xlfn.XLOOKUP(Table3[[#This Row],[SKU]],'00_Yield_Rates'!$B$2:$B$17,'00_Yield_Rates'!$E$2:$E$17),"")</f>
        <v/>
      </c>
    </row>
    <row r="134">
      <c r="A134" s="625" t="inlineStr">
        <is>
          <t>Tray_Pack</t>
        </is>
      </c>
      <c r="B134" s="626" t="n">
        <v>2071</v>
      </c>
      <c r="C134" s="627" t="inlineStr">
        <is>
          <t>61048#2</t>
        </is>
      </c>
      <c r="D134" s="627" t="inlineStr">
        <is>
          <t>FB</t>
        </is>
      </c>
      <c r="E134" s="627" t="inlineStr">
        <is>
          <t>SplitBreast</t>
        </is>
      </c>
      <c r="F134" s="627" t="n">
        <v>8.263403982930299</v>
      </c>
      <c r="G134" s="627" t="n">
        <v>6</v>
      </c>
      <c r="H134" s="627" t="inlineStr">
        <is>
          <t>LT 8XP</t>
        </is>
      </c>
      <c r="I134" s="627" t="inlineStr">
        <is>
          <t>Large</t>
        </is>
      </c>
      <c r="J134" s="628" t="inlineStr">
        <is>
          <t>MS BSC SKLS HB 8XP PP</t>
        </is>
      </c>
      <c r="K134" s="632" t="inlineStr">
        <is>
          <t>Fast</t>
        </is>
      </c>
      <c r="L134" s="629" t="inlineStr">
        <is>
          <t>BOX</t>
        </is>
      </c>
      <c r="M134" s="630" t="n">
        <v>105.01</v>
      </c>
      <c r="N134" s="631" t="inlineStr">
        <is>
          <t>SILVER</t>
        </is>
      </c>
      <c r="O134" s="627" t="n">
        <v>25</v>
      </c>
      <c r="P134" s="154" t="inlineStr">
        <is>
          <t>61048#2</t>
        </is>
      </c>
      <c r="R134" s="175">
        <f>_xlfn.XLOOKUP(Table3[[#This Row],[SKU]],'05_Daily_Orders'!$B$2:$B$328,'05_Daily_Orders'!G:G)</f>
        <v/>
      </c>
      <c r="S134" s="176">
        <f>IFERROR(R134*1,"")</f>
        <v/>
      </c>
      <c r="T134" s="600">
        <f>_xludf.IFNA(_xlfn.XLOOKUP(Table3[[#This Row],[SKU]],'00_Yield_Rates'!$B$2:$B$17,'00_Yield_Rates'!$E$2:$E$17),"")</f>
        <v/>
      </c>
    </row>
    <row r="135">
      <c r="A135" s="625" t="inlineStr">
        <is>
          <t>Tray_Pack</t>
        </is>
      </c>
      <c r="B135" s="634" t="n">
        <v>2072</v>
      </c>
      <c r="C135" s="627" t="inlineStr">
        <is>
          <t>61072#2</t>
        </is>
      </c>
      <c r="D135" s="627" t="inlineStr">
        <is>
          <t>FB</t>
        </is>
      </c>
      <c r="E135" s="627" t="inlineStr">
        <is>
          <t>Drum</t>
        </is>
      </c>
      <c r="F135" s="630" t="n"/>
      <c r="G135" s="627" t="n">
        <v>12</v>
      </c>
      <c r="H135" s="627" t="inlineStr">
        <is>
          <t>ST 3XP</t>
        </is>
      </c>
      <c r="I135" s="627" t="inlineStr">
        <is>
          <t>Small</t>
        </is>
      </c>
      <c r="J135" s="628" t="inlineStr">
        <is>
          <t>MS BSC DRUM 3XP PP</t>
        </is>
      </c>
      <c r="K135" s="629" t="inlineStr">
        <is>
          <t>Fast</t>
        </is>
      </c>
      <c r="L135" s="629" t="inlineStr">
        <is>
          <t>BOX</t>
        </is>
      </c>
      <c r="M135" s="630" t="n">
        <v>63.93</v>
      </c>
      <c r="N135" s="631" t="inlineStr">
        <is>
          <t>SILVER</t>
        </is>
      </c>
      <c r="O135" s="627" t="n">
        <v>25</v>
      </c>
      <c r="P135" s="154" t="inlineStr">
        <is>
          <t>61072#2</t>
        </is>
      </c>
      <c r="R135" s="175">
        <f>_xlfn.XLOOKUP(Table3[[#This Row],[SKU]],'05_Daily_Orders'!$B$2:$B$328,'05_Daily_Orders'!G:G)</f>
        <v/>
      </c>
      <c r="S135" s="176">
        <f>IFERROR(R135*1,"")</f>
        <v/>
      </c>
      <c r="T135" s="600">
        <f>_xludf.IFNA(_xlfn.XLOOKUP(Table3[[#This Row],[SKU]],'00_Yield_Rates'!$B$2:$B$17,'00_Yield_Rates'!$E$2:$E$17),"")</f>
        <v/>
      </c>
    </row>
    <row r="136">
      <c r="A136" s="625" t="inlineStr">
        <is>
          <t>Tray_Pack</t>
        </is>
      </c>
      <c r="B136" s="634" t="n">
        <v>2073</v>
      </c>
      <c r="C136" s="627" t="n">
        <v>61082</v>
      </c>
      <c r="D136" s="627" t="inlineStr">
        <is>
          <t>FB</t>
        </is>
      </c>
      <c r="E136" s="627" t="inlineStr">
        <is>
          <t>Thigh</t>
        </is>
      </c>
      <c r="F136" s="630" t="n"/>
      <c r="G136" s="627" t="n">
        <v>12</v>
      </c>
      <c r="H136" s="627" t="inlineStr">
        <is>
          <t>ST 3XP</t>
        </is>
      </c>
      <c r="I136" s="627" t="inlineStr">
        <is>
          <t>Small</t>
        </is>
      </c>
      <c r="J136" s="628" t="inlineStr">
        <is>
          <t>MS BSC THIGH 3XP PP</t>
        </is>
      </c>
      <c r="K136" s="629" t="inlineStr">
        <is>
          <t>Fast</t>
        </is>
      </c>
      <c r="L136" s="629" t="inlineStr">
        <is>
          <t>BOX</t>
        </is>
      </c>
      <c r="M136" s="630" t="n">
        <v>26.79</v>
      </c>
      <c r="N136" s="631" t="inlineStr">
        <is>
          <t>SILVER</t>
        </is>
      </c>
      <c r="O136" s="627" t="n">
        <v>25</v>
      </c>
      <c r="P136" s="154" t="n">
        <v>61082</v>
      </c>
      <c r="R136" s="175">
        <f>_xlfn.XLOOKUP(Table3[[#This Row],[SKU]],'05_Daily_Orders'!$B$2:$B$328,'05_Daily_Orders'!G:G)</f>
        <v/>
      </c>
      <c r="S136" s="176">
        <f>IFERROR(R136*1,"")</f>
        <v/>
      </c>
      <c r="T136" s="600">
        <f>_xludf.IFNA(_xlfn.XLOOKUP(Table3[[#This Row],[SKU]],'00_Yield_Rates'!$B$2:$B$17,'00_Yield_Rates'!$E$2:$E$17),"")</f>
        <v/>
      </c>
    </row>
    <row r="137">
      <c r="A137" s="625" t="inlineStr">
        <is>
          <t>Tray_Pack</t>
        </is>
      </c>
      <c r="B137" s="626" t="n">
        <v>2074</v>
      </c>
      <c r="C137" s="627" t="inlineStr">
        <is>
          <t>61086#2</t>
        </is>
      </c>
      <c r="D137" s="627" t="inlineStr">
        <is>
          <t>FB</t>
        </is>
      </c>
      <c r="E137" s="627" t="inlineStr">
        <is>
          <t>ThighMeat</t>
        </is>
      </c>
      <c r="F137" s="627" t="n">
        <v>7.32561597032409</v>
      </c>
      <c r="G137" s="627" t="n">
        <v>12</v>
      </c>
      <c r="H137" s="627" t="inlineStr">
        <is>
          <t>ST 3XP</t>
        </is>
      </c>
      <c r="I137" s="627" t="inlineStr">
        <is>
          <t>Small</t>
        </is>
      </c>
      <c r="J137" s="628" t="inlineStr">
        <is>
          <t>MS BSC BSTHIGH 3XP PP</t>
        </is>
      </c>
      <c r="K137" s="632" t="inlineStr">
        <is>
          <t>Slow</t>
        </is>
      </c>
      <c r="L137" s="629" t="inlineStr">
        <is>
          <t>BOX</t>
        </is>
      </c>
      <c r="M137" s="630" t="n">
        <v>33.61</v>
      </c>
      <c r="N137" s="631" t="inlineStr">
        <is>
          <t>SILVER</t>
        </is>
      </c>
      <c r="O137" s="627" t="n">
        <v>25</v>
      </c>
      <c r="P137" s="154" t="inlineStr">
        <is>
          <t>61086#2</t>
        </is>
      </c>
      <c r="R137" s="175">
        <f>_xlfn.XLOOKUP(Table3[[#This Row],[SKU]],'05_Daily_Orders'!$B$2:$B$328,'05_Daily_Orders'!G:G)</f>
        <v/>
      </c>
      <c r="S137" s="176">
        <f>IFERROR(R137*1,"")</f>
        <v/>
      </c>
      <c r="T137" s="600">
        <f>_xludf.IFNA(_xlfn.XLOOKUP(Table3[[#This Row],[SKU]],'00_Yield_Rates'!$B$2:$B$17,'00_Yield_Rates'!$E$2:$E$17),"")</f>
        <v/>
      </c>
    </row>
    <row r="138">
      <c r="A138" s="625" t="inlineStr">
        <is>
          <t>Tray_Pack</t>
        </is>
      </c>
      <c r="B138" s="626" t="n">
        <v>2075</v>
      </c>
      <c r="C138" s="627" t="inlineStr">
        <is>
          <t>61050#2</t>
        </is>
      </c>
      <c r="D138" s="627" t="inlineStr">
        <is>
          <t>FB</t>
        </is>
      </c>
      <c r="E138" s="627" t="inlineStr">
        <is>
          <t>BSB</t>
        </is>
      </c>
      <c r="F138" s="627" t="n">
        <v>7.82099311701081</v>
      </c>
      <c r="G138" s="635" t="n">
        <v>12</v>
      </c>
      <c r="H138" s="635" t="inlineStr">
        <is>
          <t>ST 3XP</t>
        </is>
      </c>
      <c r="I138" s="635" t="inlineStr">
        <is>
          <t>Small</t>
        </is>
      </c>
      <c r="J138" s="636" t="inlineStr">
        <is>
          <t>MS BSC BSHB 3XP PP</t>
        </is>
      </c>
      <c r="K138" s="629" t="inlineStr">
        <is>
          <t>Fast</t>
        </is>
      </c>
      <c r="L138" s="629" t="inlineStr">
        <is>
          <t>BOX</t>
        </is>
      </c>
      <c r="M138" s="630" t="n">
        <v>113.84</v>
      </c>
      <c r="N138" s="631" t="inlineStr">
        <is>
          <t>SILVER</t>
        </is>
      </c>
      <c r="O138" s="627" t="n">
        <v>25</v>
      </c>
      <c r="P138" s="154" t="inlineStr">
        <is>
          <t>61050#2</t>
        </is>
      </c>
      <c r="R138" s="175">
        <f>_xlfn.XLOOKUP(Table3[[#This Row],[SKU]],'05_Daily_Orders'!$B$2:$B$328,'05_Daily_Orders'!G:G)</f>
        <v/>
      </c>
      <c r="S138" s="176">
        <f>IFERROR(R138*1,"")</f>
        <v/>
      </c>
      <c r="T138" s="600">
        <f>_xludf.IFNA(_xlfn.XLOOKUP(Table3[[#This Row],[SKU]],'00_Yield_Rates'!$B$2:$B$17,'00_Yield_Rates'!$E$2:$E$17),"")</f>
        <v/>
      </c>
    </row>
    <row r="139">
      <c r="A139" s="625" t="inlineStr">
        <is>
          <t>Tray_Pack</t>
        </is>
      </c>
      <c r="B139" s="626" t="n">
        <v>2076</v>
      </c>
      <c r="C139" s="627" t="n">
        <v>61010</v>
      </c>
      <c r="D139" s="627" t="inlineStr">
        <is>
          <t>FB</t>
        </is>
      </c>
      <c r="E139" s="627" t="inlineStr">
        <is>
          <t>Whole Wing-Small</t>
        </is>
      </c>
      <c r="F139" s="627" t="n">
        <v>0</v>
      </c>
      <c r="G139" s="635" t="n">
        <v>12</v>
      </c>
      <c r="H139" s="635" t="inlineStr">
        <is>
          <t>ST 3XP</t>
        </is>
      </c>
      <c r="I139" s="635" t="inlineStr">
        <is>
          <t>Small</t>
        </is>
      </c>
      <c r="J139" s="636" t="inlineStr">
        <is>
          <t>MS BSC WING 3XP PP</t>
        </is>
      </c>
      <c r="K139" s="632" t="inlineStr">
        <is>
          <t>Fast</t>
        </is>
      </c>
      <c r="L139" s="632" t="inlineStr">
        <is>
          <t>BOX</t>
        </is>
      </c>
      <c r="M139" s="633" t="n">
        <v>25.87</v>
      </c>
      <c r="N139" s="631" t="inlineStr">
        <is>
          <t>SILVER</t>
        </is>
      </c>
      <c r="O139" s="627" t="n">
        <v>25</v>
      </c>
      <c r="P139" s="154" t="n">
        <v>61010</v>
      </c>
      <c r="R139" s="175">
        <f>_xlfn.XLOOKUP(Table3[[#This Row],[SKU]],'05_Daily_Orders'!$B$2:$B$328,'05_Daily_Orders'!G:G)</f>
        <v/>
      </c>
      <c r="S139" s="176">
        <f>IFERROR(R139*1,"")</f>
        <v/>
      </c>
      <c r="T139" s="600">
        <f>_xludf.IFNA(_xlfn.XLOOKUP(Table3[[#This Row],[SKU]],'00_Yield_Rates'!$B$2:$B$17,'00_Yield_Rates'!$E$2:$E$17),"")</f>
        <v/>
      </c>
    </row>
    <row r="140">
      <c r="A140" s="625" t="inlineStr">
        <is>
          <t>Tray_Pack</t>
        </is>
      </c>
      <c r="B140" s="626" t="n">
        <v>2077</v>
      </c>
      <c r="C140" s="627" t="n">
        <v>61061</v>
      </c>
      <c r="D140" s="627" t="inlineStr">
        <is>
          <t>FB</t>
        </is>
      </c>
      <c r="E140" s="627" t="inlineStr">
        <is>
          <t>BA</t>
        </is>
      </c>
      <c r="F140" s="627" t="n">
        <v>9.75158207343412</v>
      </c>
      <c r="G140" s="635" t="n">
        <v>6</v>
      </c>
      <c r="H140" s="635" t="inlineStr">
        <is>
          <t>LT 14D</t>
        </is>
      </c>
      <c r="I140" s="635" t="inlineStr">
        <is>
          <t>Large</t>
        </is>
      </c>
      <c r="J140" s="636" t="inlineStr">
        <is>
          <t>MS BSC LEG BA 14D PP</t>
        </is>
      </c>
      <c r="K140" s="632" t="inlineStr">
        <is>
          <t>Fast</t>
        </is>
      </c>
      <c r="L140" s="632" t="inlineStr">
        <is>
          <t>BOX</t>
        </is>
      </c>
      <c r="M140" s="633" t="n">
        <v>77.92</v>
      </c>
      <c r="N140" s="631" t="inlineStr">
        <is>
          <t>SILVER</t>
        </is>
      </c>
      <c r="O140" s="627" t="n">
        <v>25</v>
      </c>
      <c r="P140" s="154" t="n">
        <v>61061</v>
      </c>
      <c r="R140" s="175">
        <f>_xlfn.XLOOKUP(Table3[[#This Row],[SKU]],'05_Daily_Orders'!$B$2:$B$328,'05_Daily_Orders'!G:G)</f>
        <v/>
      </c>
      <c r="S140" s="176">
        <f>IFERROR(R140*1,"")</f>
        <v/>
      </c>
      <c r="T140" s="600">
        <f>_xludf.IFNA(_xlfn.XLOOKUP(Table3[[#This Row],[SKU]],'00_Yield_Rates'!$B$2:$B$17,'00_Yield_Rates'!$E$2:$E$17),"")</f>
        <v/>
      </c>
    </row>
    <row r="141">
      <c r="A141" s="625" t="inlineStr">
        <is>
          <t>Tray_Pack</t>
        </is>
      </c>
      <c r="B141" s="626" t="n">
        <v>2078</v>
      </c>
      <c r="C141" s="627" t="n">
        <v>203891</v>
      </c>
      <c r="D141" s="627" t="inlineStr">
        <is>
          <t>FB</t>
        </is>
      </c>
      <c r="E141" s="627" t="inlineStr">
        <is>
          <t>Whole Bird-Small</t>
        </is>
      </c>
      <c r="F141" s="627" t="n">
        <v>8.93916524701873</v>
      </c>
      <c r="G141" s="635" t="n">
        <v>6</v>
      </c>
      <c r="H141" s="635" t="inlineStr">
        <is>
          <t>ST 3XP</t>
        </is>
      </c>
      <c r="I141" s="635" t="inlineStr">
        <is>
          <t>Small</t>
        </is>
      </c>
      <c r="J141" s="636" t="inlineStr">
        <is>
          <t>MS BSC 1.38-1.58 FRY TI 3XP PP</t>
        </is>
      </c>
      <c r="K141" s="629" t="inlineStr">
        <is>
          <t>Fast</t>
        </is>
      </c>
      <c r="L141" s="632" t="inlineStr">
        <is>
          <t>BOX</t>
        </is>
      </c>
      <c r="M141" s="633" t="n">
        <v>160.45</v>
      </c>
      <c r="N141" s="631" t="inlineStr">
        <is>
          <t>SILVER</t>
        </is>
      </c>
      <c r="O141" s="627" t="n">
        <v>25</v>
      </c>
      <c r="P141" s="154" t="n">
        <v>203891</v>
      </c>
      <c r="R141" s="175">
        <f>_xlfn.XLOOKUP(Table3[[#This Row],[SKU]],'05_Daily_Orders'!$B$2:$B$328,'05_Daily_Orders'!G:G)</f>
        <v/>
      </c>
      <c r="S141" s="176">
        <f>IFERROR(R141*1,"")</f>
        <v/>
      </c>
      <c r="T141" s="600">
        <f>_xludf.IFNA(_xlfn.XLOOKUP(Table3[[#This Row],[SKU]],'00_Yield_Rates'!$B$2:$B$17,'00_Yield_Rates'!$E$2:$E$17),"")</f>
        <v/>
      </c>
    </row>
    <row r="142">
      <c r="A142" s="625" t="inlineStr">
        <is>
          <t>Tray_Pack</t>
        </is>
      </c>
      <c r="B142" s="626" t="n">
        <v>2082</v>
      </c>
      <c r="C142" s="627" t="inlineStr">
        <is>
          <t>61050#2</t>
        </is>
      </c>
      <c r="D142" s="627" t="inlineStr">
        <is>
          <t>FB</t>
        </is>
      </c>
      <c r="E142" s="627" t="inlineStr">
        <is>
          <t>BSB</t>
        </is>
      </c>
      <c r="F142" s="627" t="n">
        <v>8.58003150751332</v>
      </c>
      <c r="G142" s="635" t="n">
        <v>8</v>
      </c>
      <c r="H142" s="635" t="inlineStr">
        <is>
          <t>LT 8XP</t>
        </is>
      </c>
      <c r="I142" s="635" t="inlineStr">
        <is>
          <t>Large</t>
        </is>
      </c>
      <c r="J142" s="636" t="inlineStr">
        <is>
          <t>MS BSC BSHB 8XP PP</t>
        </is>
      </c>
      <c r="K142" s="629" t="inlineStr">
        <is>
          <t>Fast</t>
        </is>
      </c>
      <c r="L142" s="632" t="inlineStr">
        <is>
          <t>BOX</t>
        </is>
      </c>
      <c r="M142" s="633" t="n">
        <v>107.06</v>
      </c>
      <c r="N142" s="631" t="inlineStr">
        <is>
          <t>SILVER</t>
        </is>
      </c>
      <c r="O142" s="627" t="n">
        <v>25</v>
      </c>
      <c r="P142" s="154" t="inlineStr">
        <is>
          <t>61050#2</t>
        </is>
      </c>
      <c r="R142" s="175">
        <f>_xlfn.XLOOKUP(Table3[[#This Row],[SKU]],'05_Daily_Orders'!$B$2:$B$328,'05_Daily_Orders'!G:G)</f>
        <v/>
      </c>
      <c r="S142" s="176">
        <f>IFERROR(R142*1,"")</f>
        <v/>
      </c>
      <c r="T142" s="600">
        <f>_xludf.IFNA(_xlfn.XLOOKUP(Table3[[#This Row],[SKU]],'00_Yield_Rates'!$B$2:$B$17,'00_Yield_Rates'!$E$2:$E$17),"")</f>
        <v/>
      </c>
    </row>
    <row r="143">
      <c r="A143" s="625" t="inlineStr">
        <is>
          <t>Tray_Pack</t>
        </is>
      </c>
      <c r="B143" s="626" t="n">
        <v>2084</v>
      </c>
      <c r="C143" s="627" t="inlineStr">
        <is>
          <t>61050F</t>
        </is>
      </c>
      <c r="D143" s="627" t="inlineStr">
        <is>
          <t>METRO</t>
        </is>
      </c>
      <c r="E143" s="627" t="inlineStr">
        <is>
          <t>BSB</t>
        </is>
      </c>
      <c r="F143" s="627" t="n">
        <v>5.93023960216998</v>
      </c>
      <c r="G143" s="635" t="n">
        <v>8</v>
      </c>
      <c r="H143" s="635" t="inlineStr">
        <is>
          <t>ST 3D</t>
        </is>
      </c>
      <c r="I143" s="635" t="inlineStr">
        <is>
          <t>Small</t>
        </is>
      </c>
      <c r="J143" s="636" t="inlineStr">
        <is>
          <t>MB MET BSHB 3D</t>
        </is>
      </c>
      <c r="K143" s="629" t="inlineStr">
        <is>
          <t>Fast</t>
        </is>
      </c>
      <c r="L143" s="632" t="inlineStr">
        <is>
          <t>BOX</t>
        </is>
      </c>
      <c r="M143" s="633" t="n">
        <v>91.73999999999999</v>
      </c>
      <c r="N143" s="631" t="inlineStr">
        <is>
          <t>PLATINUM</t>
        </is>
      </c>
      <c r="O143" s="627" t="n">
        <v>25</v>
      </c>
      <c r="P143" s="154" t="inlineStr">
        <is>
          <t>61050F</t>
        </is>
      </c>
      <c r="R143" s="175">
        <f>_xlfn.XLOOKUP(Table3[[#This Row],[SKU]],'05_Daily_Orders'!$B$2:$B$328,'05_Daily_Orders'!G:G)</f>
        <v/>
      </c>
      <c r="S143" s="176">
        <f>IFERROR(R143*1,"")</f>
        <v/>
      </c>
      <c r="T143" s="600">
        <f>_xludf.IFNA(_xlfn.XLOOKUP(Table3[[#This Row],[SKU]],'00_Yield_Rates'!$B$2:$B$17,'00_Yield_Rates'!$E$2:$E$17),"")</f>
        <v/>
      </c>
    </row>
    <row r="144">
      <c r="A144" s="625" t="inlineStr">
        <is>
          <t>Tray_Pack</t>
        </is>
      </c>
      <c r="B144" s="626" t="n">
        <v>2085</v>
      </c>
      <c r="C144" s="627" t="inlineStr">
        <is>
          <t>61086#2</t>
        </is>
      </c>
      <c r="D144" s="627" t="inlineStr">
        <is>
          <t>METRO</t>
        </is>
      </c>
      <c r="E144" s="627" t="inlineStr">
        <is>
          <t>ThighMeat</t>
        </is>
      </c>
      <c r="F144" s="627" t="n">
        <v>4.86388575224178</v>
      </c>
      <c r="G144" s="635" t="n"/>
      <c r="H144" s="635" t="inlineStr">
        <is>
          <t>ST 3D</t>
        </is>
      </c>
      <c r="I144" s="635" t="inlineStr">
        <is>
          <t>Small</t>
        </is>
      </c>
      <c r="J144" s="636" t="inlineStr">
        <is>
          <t>MB MET BSTHIGH 3D</t>
        </is>
      </c>
      <c r="K144" s="632" t="inlineStr">
        <is>
          <t>Slow</t>
        </is>
      </c>
      <c r="L144" s="632" t="inlineStr">
        <is>
          <t>BOX</t>
        </is>
      </c>
      <c r="M144" s="633" t="n">
        <v>37.38</v>
      </c>
      <c r="N144" s="631" t="inlineStr">
        <is>
          <t>SILVER</t>
        </is>
      </c>
      <c r="O144" s="627" t="n">
        <v>25</v>
      </c>
      <c r="P144" s="154" t="inlineStr">
        <is>
          <t>61086#2</t>
        </is>
      </c>
      <c r="R144" s="175">
        <f>_xlfn.XLOOKUP(Table3[[#This Row],[SKU]],'05_Daily_Orders'!$B$2:$B$328,'05_Daily_Orders'!G:G)</f>
        <v/>
      </c>
      <c r="S144" s="176">
        <f>IFERROR(R144*1,"")</f>
        <v/>
      </c>
      <c r="T144" s="600">
        <f>_xludf.IFNA(_xlfn.XLOOKUP(Table3[[#This Row],[SKU]],'00_Yield_Rates'!$B$2:$B$17,'00_Yield_Rates'!$E$2:$E$17),"")</f>
        <v/>
      </c>
    </row>
    <row r="145">
      <c r="A145" s="625" t="inlineStr">
        <is>
          <t>Tray_Pack</t>
        </is>
      </c>
      <c r="B145" s="626" t="n">
        <v>2086</v>
      </c>
      <c r="C145" s="627" t="n">
        <v>61050</v>
      </c>
      <c r="D145" s="627" t="inlineStr">
        <is>
          <t>SOB</t>
        </is>
      </c>
      <c r="E145" s="627" t="inlineStr">
        <is>
          <t>BSB</t>
        </is>
      </c>
      <c r="F145" s="627" t="n"/>
      <c r="G145" s="635" t="n">
        <v>12</v>
      </c>
      <c r="H145" s="635" t="inlineStr">
        <is>
          <t>ST 3XP</t>
        </is>
      </c>
      <c r="I145" s="635" t="inlineStr">
        <is>
          <t>Small</t>
        </is>
      </c>
      <c r="J145" s="636" t="inlineStr">
        <is>
          <t>MS SOB BSHB AC 3XP</t>
        </is>
      </c>
      <c r="K145" s="629" t="inlineStr">
        <is>
          <t>Fast</t>
        </is>
      </c>
      <c r="L145" s="632" t="inlineStr">
        <is>
          <t>BOX</t>
        </is>
      </c>
      <c r="M145" s="633" t="n">
        <v>85.37</v>
      </c>
      <c r="N145" s="631" t="inlineStr">
        <is>
          <t>GOLD</t>
        </is>
      </c>
      <c r="O145" s="627" t="n">
        <v>25</v>
      </c>
      <c r="P145" s="154" t="n">
        <v>61050</v>
      </c>
      <c r="R145" s="175">
        <f>_xlfn.XLOOKUP(Table3[[#This Row],[SKU]],'05_Daily_Orders'!$B$2:$B$328,'05_Daily_Orders'!G:G)</f>
        <v/>
      </c>
      <c r="S145" s="176">
        <f>IFERROR(R145*1,"")</f>
        <v/>
      </c>
      <c r="T145" s="600">
        <f>_xludf.IFNA(_xlfn.XLOOKUP(Table3[[#This Row],[SKU]],'00_Yield_Rates'!$B$2:$B$17,'00_Yield_Rates'!$E$2:$E$17),"")</f>
        <v/>
      </c>
    </row>
    <row r="146">
      <c r="A146" s="625" t="inlineStr">
        <is>
          <t>Tray_Pack</t>
        </is>
      </c>
      <c r="B146" s="626" t="n">
        <v>2087</v>
      </c>
      <c r="C146" s="627" t="n">
        <v>61050</v>
      </c>
      <c r="D146" s="627" t="inlineStr">
        <is>
          <t>SOB</t>
        </is>
      </c>
      <c r="E146" s="635" t="inlineStr">
        <is>
          <t>BSB</t>
        </is>
      </c>
      <c r="F146" s="627" t="n"/>
      <c r="G146" s="635" t="n">
        <v>8</v>
      </c>
      <c r="H146" s="635" t="inlineStr">
        <is>
          <t>LT 6D</t>
        </is>
      </c>
      <c r="I146" s="635" t="inlineStr">
        <is>
          <t>Small</t>
        </is>
      </c>
      <c r="J146" s="636" t="inlineStr">
        <is>
          <t>MS SOB BSHB AC 6D</t>
        </is>
      </c>
      <c r="K146" s="629" t="inlineStr">
        <is>
          <t>Fast</t>
        </is>
      </c>
      <c r="L146" s="632" t="inlineStr">
        <is>
          <t>BOX</t>
        </is>
      </c>
      <c r="M146" s="633" t="n">
        <v>142.94</v>
      </c>
      <c r="N146" s="631" t="inlineStr">
        <is>
          <t>GOLD</t>
        </is>
      </c>
      <c r="O146" s="627" t="n">
        <v>25</v>
      </c>
      <c r="P146" s="154" t="n">
        <v>61050</v>
      </c>
      <c r="R146" s="175">
        <f>_xlfn.XLOOKUP(Table3[[#This Row],[SKU]],'05_Daily_Orders'!$B$2:$B$328,'05_Daily_Orders'!G:G)</f>
        <v/>
      </c>
      <c r="S146" s="176">
        <f>IFERROR(R146*1,"")</f>
        <v/>
      </c>
      <c r="T146" s="600">
        <f>_xludf.IFNA(_xlfn.XLOOKUP(Table3[[#This Row],[SKU]],'00_Yield_Rates'!$B$2:$B$17,'00_Yield_Rates'!$E$2:$E$17),"")</f>
        <v/>
      </c>
    </row>
    <row r="147">
      <c r="A147" s="625" t="inlineStr">
        <is>
          <t>Tray_Pack</t>
        </is>
      </c>
      <c r="B147" s="626" t="n">
        <v>2088</v>
      </c>
      <c r="C147" s="627" t="n">
        <v>61054</v>
      </c>
      <c r="D147" s="627" t="inlineStr">
        <is>
          <t>SOB</t>
        </is>
      </c>
      <c r="E147" s="635" t="inlineStr">
        <is>
          <t>Fillet</t>
        </is>
      </c>
      <c r="F147" s="627" t="n"/>
      <c r="G147" s="635" t="n">
        <v>12</v>
      </c>
      <c r="H147" s="635" t="inlineStr">
        <is>
          <t>ST 3XP</t>
        </is>
      </c>
      <c r="I147" s="635" t="inlineStr">
        <is>
          <t>Small</t>
        </is>
      </c>
      <c r="J147" s="636" t="inlineStr">
        <is>
          <t>MS SOB FILLET AC 3XP</t>
        </is>
      </c>
      <c r="K147" s="629" t="inlineStr">
        <is>
          <t>Slow</t>
        </is>
      </c>
      <c r="L147" s="637" t="inlineStr">
        <is>
          <t>BOX</t>
        </is>
      </c>
      <c r="M147" s="638" t="n">
        <v>36.86</v>
      </c>
      <c r="N147" s="631" t="inlineStr">
        <is>
          <t>GOLD</t>
        </is>
      </c>
      <c r="O147" s="627" t="n">
        <v>25</v>
      </c>
      <c r="P147" s="154" t="n">
        <v>61054</v>
      </c>
      <c r="R147" s="175">
        <f>_xlfn.XLOOKUP(Table3[[#This Row],[SKU]],'05_Daily_Orders'!$B$2:$B$328,'05_Daily_Orders'!G:G)</f>
        <v/>
      </c>
      <c r="S147" s="176">
        <f>IFERROR(R147*1,"")</f>
        <v/>
      </c>
      <c r="T147" s="600">
        <f>_xludf.IFNA(_xlfn.XLOOKUP(Table3[[#This Row],[SKU]],'00_Yield_Rates'!$B$2:$B$17,'00_Yield_Rates'!$E$2:$E$17),"")</f>
        <v/>
      </c>
    </row>
    <row r="148">
      <c r="A148" s="625" t="inlineStr">
        <is>
          <t>Tray_Pack</t>
        </is>
      </c>
      <c r="B148" s="626" t="n">
        <v>2089</v>
      </c>
      <c r="C148" s="627" t="n">
        <v>61040</v>
      </c>
      <c r="D148" s="627" t="inlineStr">
        <is>
          <t>SOB</t>
        </is>
      </c>
      <c r="E148" s="627" t="inlineStr">
        <is>
          <t>SplitBreast</t>
        </is>
      </c>
      <c r="F148" s="627" t="n"/>
      <c r="G148" s="635" t="n">
        <v>12</v>
      </c>
      <c r="H148" s="635" t="inlineStr">
        <is>
          <t>ST 3XP</t>
        </is>
      </c>
      <c r="I148" s="635" t="inlineStr">
        <is>
          <t>Small</t>
        </is>
      </c>
      <c r="J148" s="636" t="inlineStr">
        <is>
          <t>MS SOB HB AC 3XP</t>
        </is>
      </c>
      <c r="K148" s="629" t="inlineStr">
        <is>
          <t>Fast</t>
        </is>
      </c>
      <c r="L148" s="632" t="inlineStr">
        <is>
          <t>BOX</t>
        </is>
      </c>
      <c r="M148" s="633" t="n">
        <v>97.33</v>
      </c>
      <c r="N148" s="631" t="inlineStr">
        <is>
          <t>GOLD</t>
        </is>
      </c>
      <c r="O148" s="627" t="n">
        <v>25</v>
      </c>
      <c r="P148" s="154" t="n">
        <v>61040</v>
      </c>
      <c r="R148" s="175">
        <f>_xlfn.XLOOKUP(Table3[[#This Row],[SKU]],'05_Daily_Orders'!$B$2:$B$328,'05_Daily_Orders'!G:G)</f>
        <v/>
      </c>
      <c r="S148" s="176">
        <f>IFERROR(R148*1,"")</f>
        <v/>
      </c>
      <c r="T148" s="600">
        <f>_xludf.IFNA(_xlfn.XLOOKUP(Table3[[#This Row],[SKU]],'00_Yield_Rates'!$B$2:$B$17,'00_Yield_Rates'!$E$2:$E$17),"")</f>
        <v/>
      </c>
    </row>
    <row r="149">
      <c r="A149" s="625" t="inlineStr">
        <is>
          <t>Tray_Pack</t>
        </is>
      </c>
      <c r="B149" s="626" t="n">
        <v>2090</v>
      </c>
      <c r="C149" s="627" t="n">
        <v>61040</v>
      </c>
      <c r="D149" s="627" t="inlineStr">
        <is>
          <t>SOB</t>
        </is>
      </c>
      <c r="E149" s="627" t="inlineStr">
        <is>
          <t>SplitBreast</t>
        </is>
      </c>
      <c r="F149" s="627" t="n"/>
      <c r="G149" s="635" t="n">
        <v>8</v>
      </c>
      <c r="H149" s="635" t="inlineStr">
        <is>
          <t>LT 8XP</t>
        </is>
      </c>
      <c r="I149" s="635" t="inlineStr">
        <is>
          <t>Large</t>
        </is>
      </c>
      <c r="J149" s="636" t="inlineStr">
        <is>
          <t>MS SOB HB AC 8XP</t>
        </is>
      </c>
      <c r="K149" s="629" t="inlineStr">
        <is>
          <t>Fast</t>
        </is>
      </c>
      <c r="L149" s="632" t="inlineStr">
        <is>
          <t>BOX</t>
        </is>
      </c>
      <c r="M149" s="633" t="n">
        <v>150.72</v>
      </c>
      <c r="N149" s="631" t="inlineStr">
        <is>
          <t>GOLD</t>
        </is>
      </c>
      <c r="O149" s="627" t="n">
        <v>25</v>
      </c>
      <c r="P149" s="154" t="n">
        <v>61040</v>
      </c>
      <c r="R149" s="175">
        <f>_xlfn.XLOOKUP(Table3[[#This Row],[SKU]],'05_Daily_Orders'!$B$2:$B$328,'05_Daily_Orders'!G:G)</f>
        <v/>
      </c>
      <c r="S149" s="176">
        <f>IFERROR(R149*1,"")</f>
        <v/>
      </c>
      <c r="T149" s="600">
        <f>_xludf.IFNA(_xlfn.XLOOKUP(Table3[[#This Row],[SKU]],'00_Yield_Rates'!$B$2:$B$17,'00_Yield_Rates'!$E$2:$E$17),"")</f>
        <v/>
      </c>
    </row>
    <row r="150">
      <c r="A150" s="625" t="inlineStr">
        <is>
          <t>Tray_Pack</t>
        </is>
      </c>
      <c r="B150" s="626" t="n">
        <v>2091</v>
      </c>
      <c r="C150" s="627" t="n">
        <v>61061</v>
      </c>
      <c r="D150" s="627" t="inlineStr">
        <is>
          <t>SOB</t>
        </is>
      </c>
      <c r="E150" s="627" t="inlineStr">
        <is>
          <t>BA</t>
        </is>
      </c>
      <c r="F150" s="627" t="n"/>
      <c r="G150" s="627" t="n">
        <v>8</v>
      </c>
      <c r="H150" s="627" t="inlineStr">
        <is>
          <t>LT 8XP</t>
        </is>
      </c>
      <c r="I150" s="627" t="inlineStr">
        <is>
          <t>Large</t>
        </is>
      </c>
      <c r="J150" s="628" t="inlineStr">
        <is>
          <t>MS SOB LEG BA AC 8XP</t>
        </is>
      </c>
      <c r="K150" s="632" t="inlineStr">
        <is>
          <t>Fast</t>
        </is>
      </c>
      <c r="L150" s="629" t="inlineStr">
        <is>
          <t>BOX</t>
        </is>
      </c>
      <c r="M150" s="630" t="n">
        <v>79.64</v>
      </c>
      <c r="N150" s="631" t="inlineStr">
        <is>
          <t>GOLD</t>
        </is>
      </c>
      <c r="O150" s="627" t="n">
        <v>25</v>
      </c>
      <c r="P150" s="154" t="n">
        <v>61061</v>
      </c>
      <c r="R150" s="175">
        <f>_xlfn.XLOOKUP(Table3[[#This Row],[SKU]],'05_Daily_Orders'!$B$2:$B$328,'05_Daily_Orders'!G:G)</f>
        <v/>
      </c>
      <c r="S150" s="176">
        <f>IFERROR(R150*1,"")</f>
        <v/>
      </c>
      <c r="T150" s="600">
        <f>_xludf.IFNA(_xlfn.XLOOKUP(Table3[[#This Row],[SKU]],'00_Yield_Rates'!$B$2:$B$17,'00_Yield_Rates'!$E$2:$E$17),"")</f>
        <v/>
      </c>
    </row>
    <row r="151">
      <c r="A151" s="625" t="inlineStr">
        <is>
          <t>Tray_Pack</t>
        </is>
      </c>
      <c r="B151" s="626" t="n">
        <v>2092</v>
      </c>
      <c r="C151" s="627" t="n">
        <v>61072</v>
      </c>
      <c r="D151" s="627" t="inlineStr">
        <is>
          <t>SOB</t>
        </is>
      </c>
      <c r="E151" s="627" t="inlineStr">
        <is>
          <t>Drum</t>
        </is>
      </c>
      <c r="F151" s="627" t="n"/>
      <c r="G151" s="627" t="n">
        <v>12</v>
      </c>
      <c r="H151" s="627" t="inlineStr">
        <is>
          <t>ST 3XP</t>
        </is>
      </c>
      <c r="I151" s="627" t="inlineStr">
        <is>
          <t>Small</t>
        </is>
      </c>
      <c r="J151" s="628" t="inlineStr">
        <is>
          <t>MS SOB DRUM AC 3XP</t>
        </is>
      </c>
      <c r="K151" s="629" t="inlineStr">
        <is>
          <t>Fast</t>
        </is>
      </c>
      <c r="L151" s="629" t="inlineStr">
        <is>
          <t>BOX</t>
        </is>
      </c>
      <c r="M151" s="630" t="n">
        <v>87.67</v>
      </c>
      <c r="N151" s="631" t="inlineStr">
        <is>
          <t>GOLD</t>
        </is>
      </c>
      <c r="O151" s="627" t="n">
        <v>25</v>
      </c>
      <c r="P151" s="154" t="n">
        <v>61072</v>
      </c>
      <c r="R151" s="175">
        <f>_xlfn.XLOOKUP(Table3[[#This Row],[SKU]],'05_Daily_Orders'!$B$2:$B$328,'05_Daily_Orders'!G:G)</f>
        <v/>
      </c>
      <c r="S151" s="176">
        <f>IFERROR(R151*1,"")</f>
        <v/>
      </c>
      <c r="T151" s="600">
        <f>_xludf.IFNA(_xlfn.XLOOKUP(Table3[[#This Row],[SKU]],'00_Yield_Rates'!$B$2:$B$17,'00_Yield_Rates'!$E$2:$E$17),"")</f>
        <v/>
      </c>
    </row>
    <row r="152">
      <c r="A152" s="625" t="inlineStr">
        <is>
          <t>Tray_Pack</t>
        </is>
      </c>
      <c r="B152" s="626" t="n">
        <v>2093</v>
      </c>
      <c r="C152" s="627" t="n">
        <v>61072</v>
      </c>
      <c r="D152" s="627" t="inlineStr">
        <is>
          <t>SOB</t>
        </is>
      </c>
      <c r="E152" s="627" t="inlineStr">
        <is>
          <t>Drum</t>
        </is>
      </c>
      <c r="F152" s="627" t="n"/>
      <c r="G152" s="627" t="n">
        <v>8</v>
      </c>
      <c r="H152" s="627" t="inlineStr">
        <is>
          <t>LT 8XP</t>
        </is>
      </c>
      <c r="I152" s="627" t="inlineStr">
        <is>
          <t>Large</t>
        </is>
      </c>
      <c r="J152" s="628" t="inlineStr">
        <is>
          <t>MS SOB DRUM AC 8XP</t>
        </is>
      </c>
      <c r="K152" s="632" t="inlineStr">
        <is>
          <t>Fast</t>
        </is>
      </c>
      <c r="L152" s="629" t="inlineStr">
        <is>
          <t>BOX</t>
        </is>
      </c>
      <c r="M152" s="630" t="n">
        <v>70.47</v>
      </c>
      <c r="N152" s="631" t="inlineStr">
        <is>
          <t>GOLD</t>
        </is>
      </c>
      <c r="O152" s="627" t="n">
        <v>25</v>
      </c>
      <c r="P152" s="154" t="n">
        <v>61072</v>
      </c>
      <c r="R152" s="175">
        <f>_xlfn.XLOOKUP(Table3[[#This Row],[SKU]],'05_Daily_Orders'!$B$2:$B$328,'05_Daily_Orders'!G:G)</f>
        <v/>
      </c>
      <c r="S152" s="176">
        <f>IFERROR(R152*1,"")</f>
        <v/>
      </c>
      <c r="T152" s="600">
        <f>_xludf.IFNA(_xlfn.XLOOKUP(Table3[[#This Row],[SKU]],'00_Yield_Rates'!$B$2:$B$17,'00_Yield_Rates'!$E$2:$E$17),"")</f>
        <v/>
      </c>
    </row>
    <row r="153">
      <c r="A153" s="625" t="inlineStr">
        <is>
          <t>Tray_Pack</t>
        </is>
      </c>
      <c r="B153" s="626" t="n">
        <v>2094</v>
      </c>
      <c r="C153" s="627" t="n">
        <v>61077</v>
      </c>
      <c r="D153" s="627" t="inlineStr">
        <is>
          <t>SOB</t>
        </is>
      </c>
      <c r="E153" s="627" t="inlineStr">
        <is>
          <t>Thigh</t>
        </is>
      </c>
      <c r="F153" s="627" t="n"/>
      <c r="G153" s="627" t="n">
        <v>12</v>
      </c>
      <c r="H153" s="627" t="inlineStr">
        <is>
          <t>ST 3XP</t>
        </is>
      </c>
      <c r="I153" s="627" t="inlineStr">
        <is>
          <t>Small</t>
        </is>
      </c>
      <c r="J153" s="628" t="inlineStr">
        <is>
          <t>MS SOB THIGH AC 3XP</t>
        </is>
      </c>
      <c r="K153" s="632" t="inlineStr">
        <is>
          <t>Fast</t>
        </is>
      </c>
      <c r="L153" s="629" t="inlineStr">
        <is>
          <t>BOX</t>
        </is>
      </c>
      <c r="M153" s="630" t="n">
        <v>30.44</v>
      </c>
      <c r="N153" s="631" t="inlineStr">
        <is>
          <t>GOLD</t>
        </is>
      </c>
      <c r="O153" s="627" t="n">
        <v>25</v>
      </c>
      <c r="P153" s="154" t="n">
        <v>61077</v>
      </c>
      <c r="R153" s="175">
        <f>_xlfn.XLOOKUP(Table3[[#This Row],[SKU]],'05_Daily_Orders'!$B$2:$B$328,'05_Daily_Orders'!G:G)</f>
        <v/>
      </c>
      <c r="S153" s="176">
        <f>IFERROR(R153*1,"")</f>
        <v/>
      </c>
      <c r="T153" s="600">
        <f>_xludf.IFNA(_xlfn.XLOOKUP(Table3[[#This Row],[SKU]],'00_Yield_Rates'!$B$2:$B$17,'00_Yield_Rates'!$E$2:$E$17),"")</f>
        <v/>
      </c>
    </row>
    <row r="154">
      <c r="A154" s="625" t="inlineStr">
        <is>
          <t>Tray_Pack</t>
        </is>
      </c>
      <c r="B154" s="626" t="n">
        <v>2095</v>
      </c>
      <c r="C154" s="627" t="n">
        <v>61077</v>
      </c>
      <c r="D154" s="627" t="inlineStr">
        <is>
          <t>SOB</t>
        </is>
      </c>
      <c r="E154" s="627" t="inlineStr">
        <is>
          <t>Thigh</t>
        </is>
      </c>
      <c r="F154" s="627" t="n"/>
      <c r="G154" s="627" t="n">
        <v>8</v>
      </c>
      <c r="H154" s="627" t="inlineStr">
        <is>
          <t>LT 8XP</t>
        </is>
      </c>
      <c r="I154" s="627" t="inlineStr">
        <is>
          <t>Large</t>
        </is>
      </c>
      <c r="J154" s="628" t="inlineStr">
        <is>
          <t>MS SOB THIGH AC 8XP</t>
        </is>
      </c>
      <c r="K154" s="632" t="inlineStr">
        <is>
          <t>Fast</t>
        </is>
      </c>
      <c r="L154" s="629" t="inlineStr">
        <is>
          <t>BOX</t>
        </is>
      </c>
      <c r="M154" s="630" t="n">
        <v>68.76000000000001</v>
      </c>
      <c r="N154" s="631" t="inlineStr">
        <is>
          <t>GOLD</t>
        </is>
      </c>
      <c r="O154" s="627" t="n">
        <v>25</v>
      </c>
      <c r="P154" s="154" t="n">
        <v>61077</v>
      </c>
      <c r="R154" s="175">
        <f>_xlfn.XLOOKUP(Table3[[#This Row],[SKU]],'05_Daily_Orders'!$B$2:$B$328,'05_Daily_Orders'!G:G)</f>
        <v/>
      </c>
      <c r="S154" s="176">
        <f>IFERROR(R154*1,"")</f>
        <v/>
      </c>
      <c r="T154" s="600">
        <f>_xludf.IFNA(_xlfn.XLOOKUP(Table3[[#This Row],[SKU]],'00_Yield_Rates'!$B$2:$B$17,'00_Yield_Rates'!$E$2:$E$17),"")</f>
        <v/>
      </c>
    </row>
    <row r="155">
      <c r="A155" s="625" t="inlineStr">
        <is>
          <t>Tray_Pack</t>
        </is>
      </c>
      <c r="B155" s="626" t="n">
        <v>2096</v>
      </c>
      <c r="C155" s="627" t="n">
        <v>61086</v>
      </c>
      <c r="D155" s="627" t="inlineStr">
        <is>
          <t>SOB</t>
        </is>
      </c>
      <c r="E155" s="627" t="inlineStr">
        <is>
          <t>ThighMeat</t>
        </is>
      </c>
      <c r="F155" s="627" t="n"/>
      <c r="G155" s="627" t="n">
        <v>12</v>
      </c>
      <c r="H155" s="627" t="inlineStr">
        <is>
          <t>ST 3XP</t>
        </is>
      </c>
      <c r="I155" s="627" t="inlineStr">
        <is>
          <t>Small</t>
        </is>
      </c>
      <c r="J155" s="628" t="inlineStr">
        <is>
          <t>MS SOB BSTHIGH AC 3XP</t>
        </is>
      </c>
      <c r="K155" s="632" t="inlineStr">
        <is>
          <t>Slow</t>
        </is>
      </c>
      <c r="L155" s="629" t="inlineStr">
        <is>
          <t>BOX</t>
        </is>
      </c>
      <c r="M155" s="630" t="n">
        <v>42.29</v>
      </c>
      <c r="N155" s="631" t="inlineStr">
        <is>
          <t>GOLD</t>
        </is>
      </c>
      <c r="O155" s="627" t="n">
        <v>25</v>
      </c>
      <c r="P155" s="154" t="n">
        <v>61086</v>
      </c>
      <c r="R155" s="175">
        <f>_xlfn.XLOOKUP(Table3[[#This Row],[SKU]],'05_Daily_Orders'!$B$2:$B$328,'05_Daily_Orders'!G:G)</f>
        <v/>
      </c>
      <c r="S155" s="176">
        <f>IFERROR(R155*1,"")</f>
        <v/>
      </c>
      <c r="T155" s="600">
        <f>_xludf.IFNA(_xlfn.XLOOKUP(Table3[[#This Row],[SKU]],'00_Yield_Rates'!$B$2:$B$17,'00_Yield_Rates'!$E$2:$E$17),"")</f>
        <v/>
      </c>
    </row>
    <row r="156">
      <c r="A156" s="625" t="inlineStr">
        <is>
          <t>Tray_Pack</t>
        </is>
      </c>
      <c r="B156" s="626" t="n">
        <v>2097</v>
      </c>
      <c r="C156" s="627" t="n">
        <v>61086</v>
      </c>
      <c r="D156" s="627" t="inlineStr">
        <is>
          <t>SOB</t>
        </is>
      </c>
      <c r="E156" s="627" t="inlineStr">
        <is>
          <t>ThighMeat</t>
        </is>
      </c>
      <c r="F156" s="627" t="n"/>
      <c r="G156" s="627" t="n">
        <v>8</v>
      </c>
      <c r="H156" s="627" t="inlineStr">
        <is>
          <t>LT 6D</t>
        </is>
      </c>
      <c r="I156" s="627" t="inlineStr">
        <is>
          <t>Large</t>
        </is>
      </c>
      <c r="J156" s="628" t="inlineStr">
        <is>
          <t>MS SOB BSTHIGH AC 6D</t>
        </is>
      </c>
      <c r="K156" s="629" t="inlineStr">
        <is>
          <t>Slow</t>
        </is>
      </c>
      <c r="L156" s="629" t="inlineStr">
        <is>
          <t>BOX</t>
        </is>
      </c>
      <c r="M156" s="630" t="n">
        <v>50.41</v>
      </c>
      <c r="N156" s="631" t="inlineStr">
        <is>
          <t>GOLD</t>
        </is>
      </c>
      <c r="O156" s="627" t="n">
        <v>25</v>
      </c>
      <c r="P156" s="154" t="n">
        <v>61086</v>
      </c>
      <c r="R156" s="175">
        <f>_xlfn.XLOOKUP(Table3[[#This Row],[SKU]],'05_Daily_Orders'!$B$2:$B$328,'05_Daily_Orders'!G:G)</f>
        <v/>
      </c>
      <c r="S156" s="176">
        <f>IFERROR(R156*1,"")</f>
        <v/>
      </c>
      <c r="T156" s="600">
        <f>_xludf.IFNA(_xlfn.XLOOKUP(Table3[[#This Row],[SKU]],'00_Yield_Rates'!$B$2:$B$17,'00_Yield_Rates'!$E$2:$E$17),"")</f>
        <v/>
      </c>
    </row>
    <row r="157">
      <c r="A157" s="625" t="inlineStr">
        <is>
          <t>Tray_Pack</t>
        </is>
      </c>
      <c r="B157" s="626" t="n">
        <v>2098</v>
      </c>
      <c r="C157" s="627" t="n">
        <v>61014</v>
      </c>
      <c r="D157" s="627" t="inlineStr">
        <is>
          <t>SOB</t>
        </is>
      </c>
      <c r="E157" s="627" t="inlineStr">
        <is>
          <t>SplitWing</t>
        </is>
      </c>
      <c r="F157" s="627" t="n"/>
      <c r="G157" s="627" t="n">
        <v>8</v>
      </c>
      <c r="H157" s="627" t="inlineStr">
        <is>
          <t>LT 8XP</t>
        </is>
      </c>
      <c r="I157" s="627" t="inlineStr">
        <is>
          <t>Small</t>
        </is>
      </c>
      <c r="J157" s="628" t="inlineStr">
        <is>
          <t>MS SOB SPL WING AC 8XP</t>
        </is>
      </c>
      <c r="K157" s="629" t="inlineStr">
        <is>
          <t>Slow</t>
        </is>
      </c>
      <c r="L157" s="629" t="inlineStr">
        <is>
          <t>BOX</t>
        </is>
      </c>
      <c r="M157" s="630" t="n">
        <v>35.95</v>
      </c>
      <c r="N157" s="631" t="inlineStr">
        <is>
          <t>GOLD</t>
        </is>
      </c>
      <c r="O157" s="627" t="n">
        <v>25</v>
      </c>
      <c r="P157" s="154" t="n">
        <v>61014</v>
      </c>
      <c r="R157" s="175">
        <f>_xlfn.XLOOKUP(Table3[[#This Row],[SKU]],'05_Daily_Orders'!$B$2:$B$328,'05_Daily_Orders'!G:G)</f>
        <v/>
      </c>
      <c r="S157" s="176">
        <f>IFERROR(R157*1,"")</f>
        <v/>
      </c>
      <c r="T157" s="600">
        <f>_xludf.IFNA(_xlfn.XLOOKUP(Table3[[#This Row],[SKU]],'00_Yield_Rates'!$B$2:$B$17,'00_Yield_Rates'!$E$2:$E$17),"")</f>
        <v/>
      </c>
    </row>
    <row r="158">
      <c r="A158" s="625" t="inlineStr">
        <is>
          <t>Tray_Pack</t>
        </is>
      </c>
      <c r="B158" s="634" t="n">
        <v>2099</v>
      </c>
      <c r="C158" s="627" t="n">
        <v>61014</v>
      </c>
      <c r="D158" s="627" t="inlineStr">
        <is>
          <t>SOB</t>
        </is>
      </c>
      <c r="E158" s="627" t="inlineStr">
        <is>
          <t>SplitWing</t>
        </is>
      </c>
      <c r="F158" s="630" t="n"/>
      <c r="G158" s="627" t="n">
        <v>12</v>
      </c>
      <c r="H158" s="627" t="inlineStr">
        <is>
          <t>ST 3XP</t>
        </is>
      </c>
      <c r="I158" s="627" t="inlineStr">
        <is>
          <t>Large</t>
        </is>
      </c>
      <c r="J158" s="628" t="inlineStr">
        <is>
          <t>MS SOB SPL WING AC 3XP</t>
        </is>
      </c>
      <c r="K158" s="629" t="inlineStr">
        <is>
          <t>Slow</t>
        </is>
      </c>
      <c r="L158" s="629" t="inlineStr">
        <is>
          <t>BOX</t>
        </is>
      </c>
      <c r="M158" s="630" t="n">
        <v>40.89</v>
      </c>
      <c r="N158" s="631" t="inlineStr">
        <is>
          <t>GOLD</t>
        </is>
      </c>
      <c r="O158" s="627" t="n">
        <v>25</v>
      </c>
      <c r="P158" s="154" t="n">
        <v>61014</v>
      </c>
      <c r="R158" s="175">
        <f>_xlfn.XLOOKUP(Table3[[#This Row],[SKU]],'05_Daily_Orders'!$B$2:$B$328,'05_Daily_Orders'!G:G)</f>
        <v/>
      </c>
      <c r="S158" s="176">
        <f>IFERROR(R158*1,"")</f>
        <v/>
      </c>
      <c r="T158" s="600">
        <f>_xludf.IFNA(_xlfn.XLOOKUP(Table3[[#This Row],[SKU]],'00_Yield_Rates'!$B$2:$B$17,'00_Yield_Rates'!$E$2:$E$17),"")</f>
        <v/>
      </c>
    </row>
    <row r="159">
      <c r="A159" s="625" t="inlineStr">
        <is>
          <t>Tray_Pack</t>
        </is>
      </c>
      <c r="B159" s="626" t="n">
        <v>2102</v>
      </c>
      <c r="C159" s="627" t="inlineStr">
        <is>
          <t>61077F</t>
        </is>
      </c>
      <c r="D159" s="627" t="inlineStr">
        <is>
          <t>FB</t>
        </is>
      </c>
      <c r="E159" s="627" t="inlineStr">
        <is>
          <t>Thigh</t>
        </is>
      </c>
      <c r="F159" s="627" t="n"/>
      <c r="G159" s="627" t="n">
        <v>8</v>
      </c>
      <c r="H159" s="627" t="inlineStr">
        <is>
          <t>ST 3D</t>
        </is>
      </c>
      <c r="I159" s="627" t="inlineStr">
        <is>
          <t>Small</t>
        </is>
      </c>
      <c r="J159" s="628" t="inlineStr">
        <is>
          <t>FFTF 3D Thighs 8 Tray</t>
        </is>
      </c>
      <c r="K159" s="632" t="inlineStr">
        <is>
          <t>Fast</t>
        </is>
      </c>
      <c r="L159" s="632" t="inlineStr">
        <is>
          <t>BOX</t>
        </is>
      </c>
      <c r="M159" s="633" t="n">
        <v>56.62</v>
      </c>
      <c r="N159" s="631" t="inlineStr">
        <is>
          <t>PLATINUM</t>
        </is>
      </c>
      <c r="O159" s="627" t="n">
        <v>25</v>
      </c>
      <c r="P159" s="154" t="inlineStr">
        <is>
          <t>61077F</t>
        </is>
      </c>
      <c r="R159" s="175">
        <f>_xlfn.XLOOKUP(Table3[[#This Row],[SKU]],'05_Daily_Orders'!$B$2:$B$328,'05_Daily_Orders'!G:G)</f>
        <v/>
      </c>
      <c r="S159" s="176">
        <f>IFERROR(R159*1,"")</f>
        <v/>
      </c>
      <c r="T159" s="600">
        <f>_xludf.IFNA(_xlfn.XLOOKUP(Table3[[#This Row],[SKU]],'00_Yield_Rates'!$B$2:$B$17,'00_Yield_Rates'!$E$2:$E$17),"")</f>
        <v/>
      </c>
    </row>
    <row r="160">
      <c r="A160" s="625" t="inlineStr">
        <is>
          <t>Tray_Pack</t>
        </is>
      </c>
      <c r="B160" s="626" t="n">
        <v>2121</v>
      </c>
      <c r="C160" s="627" t="n">
        <v>203021</v>
      </c>
      <c r="D160" s="627" t="inlineStr">
        <is>
          <t>FB</t>
        </is>
      </c>
      <c r="E160" s="627" t="inlineStr">
        <is>
          <t>Whole Bird-Small</t>
        </is>
      </c>
      <c r="F160" s="627" t="n"/>
      <c r="G160" s="635" t="n">
        <v>5</v>
      </c>
      <c r="H160" s="635" t="inlineStr">
        <is>
          <t>ST 3D</t>
        </is>
      </c>
      <c r="I160" s="635" t="inlineStr">
        <is>
          <t>Small</t>
        </is>
      </c>
      <c r="J160" s="636" t="inlineStr">
        <is>
          <t>MS MLF FRY WOG AC TI PET</t>
        </is>
      </c>
      <c r="K160" s="632" t="inlineStr">
        <is>
          <t>Fast</t>
        </is>
      </c>
      <c r="L160" s="632" t="inlineStr">
        <is>
          <t>BOX</t>
        </is>
      </c>
      <c r="M160" s="633" t="n">
        <v>0</v>
      </c>
      <c r="N160" s="631" t="n"/>
      <c r="O160" s="627" t="n">
        <v>25</v>
      </c>
      <c r="P160" s="154" t="n">
        <v>203021</v>
      </c>
      <c r="R160" s="175">
        <f>_xlfn.XLOOKUP(Table3[[#This Row],[SKU]],'05_Daily_Orders'!$B$2:$B$328,'05_Daily_Orders'!G:G)</f>
        <v/>
      </c>
      <c r="S160" s="176">
        <f>IFERROR(R160*1,"")</f>
        <v/>
      </c>
      <c r="T160" s="600">
        <f>_xludf.IFNA(_xlfn.XLOOKUP(Table3[[#This Row],[SKU]],'00_Yield_Rates'!$B$2:$B$17,'00_Yield_Rates'!$E$2:$E$17),"")</f>
        <v/>
      </c>
    </row>
    <row r="161">
      <c r="A161" s="625" t="inlineStr">
        <is>
          <t>Tray_Pack</t>
        </is>
      </c>
      <c r="B161" s="626" t="n">
        <v>2124</v>
      </c>
      <c r="C161" s="627" t="inlineStr">
        <is>
          <t>61072#2</t>
        </is>
      </c>
      <c r="D161" s="627" t="inlineStr">
        <is>
          <t>FB</t>
        </is>
      </c>
      <c r="E161" s="627" t="inlineStr">
        <is>
          <t>Drum</t>
        </is>
      </c>
      <c r="F161" s="627" t="n">
        <v>10.5477400928239</v>
      </c>
      <c r="G161" s="627" t="n">
        <v>6</v>
      </c>
      <c r="H161" s="627" t="inlineStr">
        <is>
          <t>LT 14D</t>
        </is>
      </c>
      <c r="I161" s="627" t="inlineStr">
        <is>
          <t>Clubpack</t>
        </is>
      </c>
      <c r="J161" s="628" t="inlineStr">
        <is>
          <t>MS BSC DRUM FT PP</t>
        </is>
      </c>
      <c r="K161" s="629" t="inlineStr">
        <is>
          <t>Fast</t>
        </is>
      </c>
      <c r="L161" s="630" t="inlineStr">
        <is>
          <t>BOX</t>
        </is>
      </c>
      <c r="M161" s="630" t="n">
        <v>72.73</v>
      </c>
      <c r="N161" s="631" t="inlineStr">
        <is>
          <t>SILVER</t>
        </is>
      </c>
      <c r="O161" s="627" t="n">
        <v>25</v>
      </c>
      <c r="P161" s="154" t="inlineStr">
        <is>
          <t>61072#2</t>
        </is>
      </c>
      <c r="R161" s="175">
        <f>_xlfn.XLOOKUP(Table3[[#This Row],[SKU]],'05_Daily_Orders'!$B$2:$B$328,'05_Daily_Orders'!G:G)</f>
        <v/>
      </c>
      <c r="S161" s="176">
        <f>IFERROR(R161*1,"")</f>
        <v/>
      </c>
      <c r="T161" s="600">
        <f>_xludf.IFNA(_xlfn.XLOOKUP(Table3[[#This Row],[SKU]],'00_Yield_Rates'!$B$2:$B$17,'00_Yield_Rates'!$E$2:$E$17),"")</f>
        <v/>
      </c>
    </row>
    <row r="162">
      <c r="A162" s="625" t="inlineStr">
        <is>
          <t>Tray_Pack</t>
        </is>
      </c>
      <c r="B162" s="626" t="n">
        <v>2125</v>
      </c>
      <c r="C162" s="627" t="n">
        <v>61082</v>
      </c>
      <c r="D162" s="627" t="inlineStr">
        <is>
          <t>FB</t>
        </is>
      </c>
      <c r="E162" s="627" t="inlineStr">
        <is>
          <t>Thigh</t>
        </is>
      </c>
      <c r="F162" s="627" t="n"/>
      <c r="G162" s="635" t="n">
        <v>6</v>
      </c>
      <c r="H162" s="627" t="inlineStr">
        <is>
          <t>LT 14D</t>
        </is>
      </c>
      <c r="I162" s="635" t="inlineStr">
        <is>
          <t>Clubpack</t>
        </is>
      </c>
      <c r="J162" s="636" t="inlineStr">
        <is>
          <t>MS BSC THIGH FT PP</t>
        </is>
      </c>
      <c r="K162" s="629" t="inlineStr">
        <is>
          <t>Fast</t>
        </is>
      </c>
      <c r="L162" s="632" t="inlineStr">
        <is>
          <t>BOX</t>
        </is>
      </c>
      <c r="M162" s="633" t="n">
        <v>57.23</v>
      </c>
      <c r="N162" s="631" t="inlineStr">
        <is>
          <t>SILVER</t>
        </is>
      </c>
      <c r="O162" s="627" t="n">
        <v>25</v>
      </c>
      <c r="P162" s="154" t="n">
        <v>61082</v>
      </c>
      <c r="R162" s="175">
        <f>_xlfn.XLOOKUP(Table3[[#This Row],[SKU]],'05_Daily_Orders'!$B$2:$B$328,'05_Daily_Orders'!G:G)</f>
        <v/>
      </c>
      <c r="S162" s="176">
        <f>IFERROR(R162*1,"")</f>
        <v/>
      </c>
      <c r="T162" s="600">
        <f>_xludf.IFNA(_xlfn.XLOOKUP(Table3[[#This Row],[SKU]],'00_Yield_Rates'!$B$2:$B$17,'00_Yield_Rates'!$E$2:$E$17),"")</f>
        <v/>
      </c>
    </row>
    <row r="163">
      <c r="A163" s="625" t="inlineStr">
        <is>
          <t>Tray_Pack</t>
        </is>
      </c>
      <c r="B163" s="626" t="n">
        <v>2237</v>
      </c>
      <c r="C163" s="627" t="inlineStr">
        <is>
          <t>61050#2</t>
        </is>
      </c>
      <c r="D163" s="627" t="inlineStr">
        <is>
          <t>FB</t>
        </is>
      </c>
      <c r="E163" s="627" t="inlineStr">
        <is>
          <t>BSB</t>
        </is>
      </c>
      <c r="F163" s="627" t="n"/>
      <c r="G163" s="635" t="n">
        <v>8</v>
      </c>
      <c r="H163" s="635" t="inlineStr">
        <is>
          <t>LT 8XP</t>
        </is>
      </c>
      <c r="I163" s="635" t="inlineStr">
        <is>
          <t>Large</t>
        </is>
      </c>
      <c r="J163" s="636" t="inlineStr">
        <is>
          <t>METRO BONELESS SKINLESS CHICKEN HALF BREASTS LARGE TRAY</t>
        </is>
      </c>
      <c r="K163" s="629" t="inlineStr">
        <is>
          <t>Fast</t>
        </is>
      </c>
      <c r="L163" s="632" t="inlineStr">
        <is>
          <t>BOX</t>
        </is>
      </c>
      <c r="M163" s="633" t="n">
        <v>134.34</v>
      </c>
      <c r="N163" s="631" t="inlineStr">
        <is>
          <t>SILVER</t>
        </is>
      </c>
      <c r="O163" s="627" t="n">
        <v>25</v>
      </c>
      <c r="P163" s="154" t="inlineStr">
        <is>
          <t>61050#2</t>
        </is>
      </c>
      <c r="R163" s="175">
        <f>_xlfn.XLOOKUP(Table3[[#This Row],[SKU]],'05_Daily_Orders'!$B$2:$B$328,'05_Daily_Orders'!G:G)</f>
        <v/>
      </c>
      <c r="S163" s="176">
        <f>IFERROR(R163*1,"")</f>
        <v/>
      </c>
      <c r="T163" s="600">
        <f>_xludf.IFNA(_xlfn.XLOOKUP(Table3[[#This Row],[SKU]],'00_Yield_Rates'!$B$2:$B$17,'00_Yield_Rates'!$E$2:$E$17),"")</f>
        <v/>
      </c>
    </row>
    <row r="164">
      <c r="A164" s="625" t="inlineStr">
        <is>
          <t>Tray_Pack</t>
        </is>
      </c>
      <c r="B164" s="626" t="n">
        <v>2500</v>
      </c>
      <c r="C164" s="627" t="inlineStr">
        <is>
          <t>61086F</t>
        </is>
      </c>
      <c r="D164" s="627" t="inlineStr">
        <is>
          <t>FB</t>
        </is>
      </c>
      <c r="E164" s="627" t="inlineStr">
        <is>
          <t>ThighMeat</t>
        </is>
      </c>
      <c r="F164" s="627" t="n">
        <v>5.55471316725978</v>
      </c>
      <c r="G164" s="635" t="n">
        <v>8</v>
      </c>
      <c r="H164" s="635" t="inlineStr">
        <is>
          <t>LT 6D</t>
        </is>
      </c>
      <c r="I164" s="635" t="inlineStr">
        <is>
          <t>Small</t>
        </is>
      </c>
      <c r="J164" s="636" t="inlineStr">
        <is>
          <t>MS BSC FFTF BSTHIGH AC 6D PP</t>
        </is>
      </c>
      <c r="K164" s="629" t="inlineStr">
        <is>
          <t>Slow</t>
        </is>
      </c>
      <c r="L164" s="632" t="inlineStr">
        <is>
          <t>BOX</t>
        </is>
      </c>
      <c r="M164" s="633" t="n">
        <v>31.19</v>
      </c>
      <c r="N164" s="631" t="inlineStr">
        <is>
          <t>PLATINUM</t>
        </is>
      </c>
      <c r="O164" s="627" t="n">
        <v>25</v>
      </c>
      <c r="P164" s="154" t="inlineStr">
        <is>
          <t>61086F</t>
        </is>
      </c>
      <c r="R164" s="175">
        <f>_xlfn.XLOOKUP(Table3[[#This Row],[SKU]],'05_Daily_Orders'!$B$2:$B$328,'05_Daily_Orders'!G:G)</f>
        <v/>
      </c>
      <c r="S164" s="176">
        <f>IFERROR(R164*1,"")</f>
        <v/>
      </c>
      <c r="T164" s="600">
        <f>_xludf.IFNA(_xlfn.XLOOKUP(Table3[[#This Row],[SKU]],'00_Yield_Rates'!$B$2:$B$17,'00_Yield_Rates'!$E$2:$E$17),"")</f>
        <v/>
      </c>
    </row>
    <row r="165">
      <c r="A165" s="625" t="inlineStr">
        <is>
          <t>Tray_Pack</t>
        </is>
      </c>
      <c r="B165" s="626" t="n">
        <v>2501</v>
      </c>
      <c r="C165" s="627" t="inlineStr">
        <is>
          <t>61086F</t>
        </is>
      </c>
      <c r="D165" s="627" t="inlineStr">
        <is>
          <t>FB</t>
        </is>
      </c>
      <c r="E165" s="627" t="inlineStr">
        <is>
          <t>ThighMeat</t>
        </is>
      </c>
      <c r="F165" s="627" t="n"/>
      <c r="G165" s="635" t="n">
        <v>8</v>
      </c>
      <c r="H165" s="635" t="inlineStr">
        <is>
          <t>LT 6D</t>
        </is>
      </c>
      <c r="I165" s="635" t="inlineStr">
        <is>
          <t>Small</t>
        </is>
      </c>
      <c r="J165" s="636" t="inlineStr">
        <is>
          <t>MS FFTF BSTHIGH AC 6D</t>
        </is>
      </c>
      <c r="K165" s="629" t="inlineStr">
        <is>
          <t>Slow</t>
        </is>
      </c>
      <c r="L165" s="632" t="inlineStr">
        <is>
          <t>BOX</t>
        </is>
      </c>
      <c r="M165" s="633" t="n">
        <v>31.19</v>
      </c>
      <c r="N165" s="631" t="inlineStr">
        <is>
          <t>PLATINUM</t>
        </is>
      </c>
      <c r="O165" s="627" t="n">
        <v>25</v>
      </c>
      <c r="P165" s="154" t="inlineStr">
        <is>
          <t>61086F</t>
        </is>
      </c>
      <c r="R165" s="175">
        <f>_xlfn.XLOOKUP(Table3[[#This Row],[SKU]],'05_Daily_Orders'!$B$2:$B$328,'05_Daily_Orders'!G:G)</f>
        <v/>
      </c>
      <c r="S165" s="176">
        <f>IFERROR(R165*1,"")</f>
        <v/>
      </c>
      <c r="T165" s="600">
        <f>_xludf.IFNA(_xlfn.XLOOKUP(Table3[[#This Row],[SKU]],'00_Yield_Rates'!$B$2:$B$17,'00_Yield_Rates'!$E$2:$E$17),"")</f>
        <v/>
      </c>
    </row>
    <row r="166">
      <c r="A166" s="625" t="inlineStr">
        <is>
          <t>Tray_Pack</t>
        </is>
      </c>
      <c r="B166" s="626" t="n">
        <v>2502</v>
      </c>
      <c r="C166" s="627" t="inlineStr">
        <is>
          <t>61077F</t>
        </is>
      </c>
      <c r="D166" s="627" t="inlineStr">
        <is>
          <t>FB</t>
        </is>
      </c>
      <c r="E166" s="627" t="inlineStr">
        <is>
          <t>Thigh</t>
        </is>
      </c>
      <c r="F166" s="627" t="n">
        <v>6.34339030023094</v>
      </c>
      <c r="G166" s="627" t="n">
        <v>8</v>
      </c>
      <c r="H166" s="627" t="inlineStr">
        <is>
          <t>LT 6D</t>
        </is>
      </c>
      <c r="I166" s="627" t="inlineStr">
        <is>
          <t>Small</t>
        </is>
      </c>
      <c r="J166" s="628" t="inlineStr">
        <is>
          <t>MS BSC FFTF THIGH AC 6D PP</t>
        </is>
      </c>
      <c r="K166" s="632" t="inlineStr">
        <is>
          <t>Fast</t>
        </is>
      </c>
      <c r="L166" s="630" t="inlineStr">
        <is>
          <t>BOX</t>
        </is>
      </c>
      <c r="M166" s="630" t="n">
        <v>50.84</v>
      </c>
      <c r="N166" s="631" t="inlineStr">
        <is>
          <t>PLATINUM</t>
        </is>
      </c>
      <c r="O166" s="627" t="n">
        <v>25</v>
      </c>
      <c r="P166" s="154" t="inlineStr">
        <is>
          <t>61077F</t>
        </is>
      </c>
      <c r="R166" s="175">
        <f>_xlfn.XLOOKUP(Table3[[#This Row],[SKU]],'05_Daily_Orders'!$B$2:$B$328,'05_Daily_Orders'!G:G)</f>
        <v/>
      </c>
      <c r="S166" s="176">
        <f>IFERROR(R166*1,"")</f>
        <v/>
      </c>
      <c r="T166" s="600">
        <f>_xludf.IFNA(_xlfn.XLOOKUP(Table3[[#This Row],[SKU]],'00_Yield_Rates'!$B$2:$B$17,'00_Yield_Rates'!$E$2:$E$17),"")</f>
        <v/>
      </c>
    </row>
    <row r="167">
      <c r="A167" s="625" t="inlineStr">
        <is>
          <t>Tray_Pack</t>
        </is>
      </c>
      <c r="B167" s="626" t="n">
        <v>2503</v>
      </c>
      <c r="C167" s="627" t="inlineStr">
        <is>
          <t>61077F</t>
        </is>
      </c>
      <c r="D167" s="627" t="inlineStr">
        <is>
          <t>FB</t>
        </is>
      </c>
      <c r="E167" s="627" t="inlineStr">
        <is>
          <t>Thigh</t>
        </is>
      </c>
      <c r="F167" s="627" t="n"/>
      <c r="G167" s="627" t="n">
        <v>8</v>
      </c>
      <c r="H167" s="627" t="inlineStr">
        <is>
          <t>LT 6D</t>
        </is>
      </c>
      <c r="I167" s="627" t="inlineStr">
        <is>
          <t>Small</t>
        </is>
      </c>
      <c r="J167" s="639" t="inlineStr">
        <is>
          <t>MS FFTF THIGH AC 6D PP</t>
        </is>
      </c>
      <c r="K167" s="632" t="inlineStr">
        <is>
          <t>Fast</t>
        </is>
      </c>
      <c r="L167" s="630" t="inlineStr">
        <is>
          <t>BOX</t>
        </is>
      </c>
      <c r="M167" s="630" t="n">
        <v>50.84</v>
      </c>
      <c r="N167" s="631" t="inlineStr">
        <is>
          <t>PLATINUM</t>
        </is>
      </c>
      <c r="O167" s="627" t="n">
        <v>25</v>
      </c>
      <c r="P167" s="154" t="inlineStr">
        <is>
          <t>61077F</t>
        </is>
      </c>
      <c r="R167" s="175">
        <f>_xlfn.XLOOKUP(Table3[[#This Row],[SKU]],'05_Daily_Orders'!$B$2:$B$328,'05_Daily_Orders'!G:G)</f>
        <v/>
      </c>
      <c r="S167" s="176">
        <f>IFERROR(R167*1,"")</f>
        <v/>
      </c>
      <c r="T167" s="600">
        <f>_xludf.IFNA(_xlfn.XLOOKUP(Table3[[#This Row],[SKU]],'00_Yield_Rates'!$B$2:$B$17,'00_Yield_Rates'!$E$2:$E$17),"")</f>
        <v/>
      </c>
    </row>
    <row r="168">
      <c r="A168" s="625" t="inlineStr">
        <is>
          <t>Tray_Pack</t>
        </is>
      </c>
      <c r="B168" s="626" t="n">
        <v>2504</v>
      </c>
      <c r="C168" s="627" t="inlineStr">
        <is>
          <t>61072F</t>
        </is>
      </c>
      <c r="D168" s="627" t="inlineStr">
        <is>
          <t>FB</t>
        </is>
      </c>
      <c r="E168" s="627" t="inlineStr">
        <is>
          <t>Drum</t>
        </is>
      </c>
      <c r="F168" s="627" t="n">
        <v>6.02746865203761</v>
      </c>
      <c r="G168" s="627" t="n">
        <v>8</v>
      </c>
      <c r="H168" s="627" t="inlineStr">
        <is>
          <t>LT 6D</t>
        </is>
      </c>
      <c r="I168" s="627" t="inlineStr">
        <is>
          <t>Small</t>
        </is>
      </c>
      <c r="J168" s="628" t="inlineStr">
        <is>
          <t>MS BSC FFTF DRUM AC 6D PP</t>
        </is>
      </c>
      <c r="K168" s="632" t="inlineStr">
        <is>
          <t>Fast</t>
        </is>
      </c>
      <c r="L168" s="632" t="inlineStr">
        <is>
          <t>BOX</t>
        </is>
      </c>
      <c r="M168" s="633" t="n">
        <v>51.39</v>
      </c>
      <c r="N168" s="631" t="inlineStr">
        <is>
          <t>PLATINUM</t>
        </is>
      </c>
      <c r="O168" s="627" t="n">
        <v>25</v>
      </c>
      <c r="P168" s="154" t="inlineStr">
        <is>
          <t>61072F</t>
        </is>
      </c>
      <c r="R168" s="175">
        <f>_xlfn.XLOOKUP(Table3[[#This Row],[SKU]],'05_Daily_Orders'!$B$2:$B$328,'05_Daily_Orders'!G:G)</f>
        <v/>
      </c>
      <c r="S168" s="176">
        <f>IFERROR(R168*1,"")</f>
        <v/>
      </c>
      <c r="T168" s="600">
        <f>_xludf.IFNA(_xlfn.XLOOKUP(Table3[[#This Row],[SKU]],'00_Yield_Rates'!$B$2:$B$17,'00_Yield_Rates'!$E$2:$E$17),"")</f>
        <v/>
      </c>
    </row>
    <row r="169">
      <c r="A169" s="625" t="inlineStr">
        <is>
          <t>Tray_Pack</t>
        </is>
      </c>
      <c r="B169" s="626" t="n">
        <v>2505</v>
      </c>
      <c r="C169" s="627" t="inlineStr">
        <is>
          <t>61072F</t>
        </is>
      </c>
      <c r="D169" s="627" t="inlineStr">
        <is>
          <t>FB</t>
        </is>
      </c>
      <c r="E169" s="627" t="inlineStr">
        <is>
          <t>Drum</t>
        </is>
      </c>
      <c r="F169" s="627" t="n"/>
      <c r="G169" s="627" t="n">
        <v>8</v>
      </c>
      <c r="H169" s="627" t="inlineStr">
        <is>
          <t>LT 6D</t>
        </is>
      </c>
      <c r="I169" s="627" t="inlineStr">
        <is>
          <t>Small</t>
        </is>
      </c>
      <c r="J169" s="628" t="inlineStr">
        <is>
          <t>MS FFTF DRUM AC 6D P BSK</t>
        </is>
      </c>
      <c r="K169" s="632" t="inlineStr">
        <is>
          <t>Fast</t>
        </is>
      </c>
      <c r="L169" s="629" t="inlineStr">
        <is>
          <t>BOX</t>
        </is>
      </c>
      <c r="M169" s="630" t="n">
        <v>51.39</v>
      </c>
      <c r="N169" s="631" t="inlineStr">
        <is>
          <t>PLATINUM</t>
        </is>
      </c>
      <c r="O169" s="627" t="n">
        <v>25</v>
      </c>
      <c r="P169" s="154" t="inlineStr">
        <is>
          <t>61072F</t>
        </is>
      </c>
      <c r="R169" s="175">
        <f>_xlfn.XLOOKUP(Table3[[#This Row],[SKU]],'05_Daily_Orders'!$B$2:$B$328,'05_Daily_Orders'!G:G)</f>
        <v/>
      </c>
      <c r="S169" s="176">
        <f>IFERROR(R169*1,"")</f>
        <v/>
      </c>
      <c r="T169" s="600">
        <f>_xludf.IFNA(_xlfn.XLOOKUP(Table3[[#This Row],[SKU]],'00_Yield_Rates'!$B$2:$B$17,'00_Yield_Rates'!$E$2:$E$17),"")</f>
        <v/>
      </c>
    </row>
    <row r="170">
      <c r="A170" s="625" t="inlineStr">
        <is>
          <t>Tray_Pack</t>
        </is>
      </c>
      <c r="B170" s="626" t="n">
        <v>2506</v>
      </c>
      <c r="C170" s="627" t="inlineStr">
        <is>
          <t>61014F</t>
        </is>
      </c>
      <c r="D170" s="627" t="inlineStr">
        <is>
          <t>FB</t>
        </is>
      </c>
      <c r="E170" s="627" t="inlineStr">
        <is>
          <t>SplitWing</t>
        </is>
      </c>
      <c r="F170" s="627" t="n">
        <v>6.03528610729023</v>
      </c>
      <c r="G170" s="627" t="n">
        <v>8</v>
      </c>
      <c r="H170" s="627" t="inlineStr">
        <is>
          <t>LT 6D</t>
        </is>
      </c>
      <c r="I170" s="627" t="inlineStr">
        <is>
          <t>Large</t>
        </is>
      </c>
      <c r="J170" s="628" t="inlineStr">
        <is>
          <t>MS FFTF SPL WING AC 6D PP BSK</t>
        </is>
      </c>
      <c r="K170" s="629" t="inlineStr">
        <is>
          <t>Slow</t>
        </is>
      </c>
      <c r="L170" s="629" t="inlineStr">
        <is>
          <t>BOX</t>
        </is>
      </c>
      <c r="M170" s="630" t="n">
        <v>27.07</v>
      </c>
      <c r="N170" s="631" t="inlineStr">
        <is>
          <t>PLATINUM</t>
        </is>
      </c>
      <c r="O170" s="627" t="n">
        <v>25</v>
      </c>
      <c r="P170" s="154" t="inlineStr">
        <is>
          <t>61014F</t>
        </is>
      </c>
      <c r="R170" s="175">
        <f>_xlfn.XLOOKUP(Table3[[#This Row],[SKU]],'05_Daily_Orders'!$B$2:$B$328,'05_Daily_Orders'!G:G)</f>
        <v/>
      </c>
      <c r="S170" s="176">
        <f>IFERROR(R170*1,"")</f>
        <v/>
      </c>
      <c r="T170" s="600">
        <f>_xludf.IFNA(_xlfn.XLOOKUP(Table3[[#This Row],[SKU]],'00_Yield_Rates'!$B$2:$B$17,'00_Yield_Rates'!$E$2:$E$17),"")</f>
        <v/>
      </c>
    </row>
    <row r="171">
      <c r="A171" s="625" t="inlineStr">
        <is>
          <t>Tray_Pack</t>
        </is>
      </c>
      <c r="B171" s="626" t="n">
        <v>2508</v>
      </c>
      <c r="C171" s="627" t="inlineStr">
        <is>
          <t>61050F</t>
        </is>
      </c>
      <c r="D171" s="627" t="inlineStr">
        <is>
          <t>FB</t>
        </is>
      </c>
      <c r="E171" s="627" t="inlineStr">
        <is>
          <t>BSB</t>
        </is>
      </c>
      <c r="F171" s="627" t="n">
        <v>7.06641917059846</v>
      </c>
      <c r="G171" s="627" t="n">
        <v>8</v>
      </c>
      <c r="H171" s="627" t="inlineStr">
        <is>
          <t>LT 6D</t>
        </is>
      </c>
      <c r="I171" s="627" t="inlineStr">
        <is>
          <t>Small</t>
        </is>
      </c>
      <c r="J171" s="628" t="inlineStr">
        <is>
          <t>MS FFTF BSHB AC 6D PP</t>
        </is>
      </c>
      <c r="K171" s="629" t="inlineStr">
        <is>
          <t>Fast</t>
        </is>
      </c>
      <c r="L171" s="629" t="inlineStr">
        <is>
          <t>BOX</t>
        </is>
      </c>
      <c r="M171" s="630" t="n">
        <v>114</v>
      </c>
      <c r="N171" s="631" t="inlineStr">
        <is>
          <t>PLATINUM</t>
        </is>
      </c>
      <c r="O171" s="627" t="n">
        <v>25</v>
      </c>
      <c r="P171" s="154" t="inlineStr">
        <is>
          <t>61050F</t>
        </is>
      </c>
      <c r="R171" s="175">
        <f>_xlfn.XLOOKUP(Table3[[#This Row],[SKU]],'05_Daily_Orders'!$B$2:$B$328,'05_Daily_Orders'!G:G)</f>
        <v/>
      </c>
      <c r="S171" s="176">
        <f>IFERROR(R171*1,"")</f>
        <v/>
      </c>
      <c r="T171" s="600">
        <f>_xludf.IFNA(_xlfn.XLOOKUP(Table3[[#This Row],[SKU]],'00_Yield_Rates'!$B$2:$B$17,'00_Yield_Rates'!$E$2:$E$17),"")</f>
        <v/>
      </c>
    </row>
    <row r="172">
      <c r="A172" s="625" t="inlineStr">
        <is>
          <t>Tray_Pack</t>
        </is>
      </c>
      <c r="B172" s="626" t="n">
        <v>2509</v>
      </c>
      <c r="C172" s="627" t="n">
        <v>61050</v>
      </c>
      <c r="D172" s="627" t="inlineStr">
        <is>
          <t>FB</t>
        </is>
      </c>
      <c r="E172" s="627" t="inlineStr">
        <is>
          <t>BSB</t>
        </is>
      </c>
      <c r="F172" s="627" t="n">
        <v>7.63289080512773</v>
      </c>
      <c r="G172" s="627" t="n">
        <v>8</v>
      </c>
      <c r="H172" s="627" t="inlineStr">
        <is>
          <t>LT 6D</t>
        </is>
      </c>
      <c r="I172" s="627" t="inlineStr">
        <is>
          <t>Small</t>
        </is>
      </c>
      <c r="J172" s="628" t="inlineStr">
        <is>
          <t>MS FFTF BSHB AC 6D PP</t>
        </is>
      </c>
      <c r="K172" s="629" t="inlineStr">
        <is>
          <t>Fast</t>
        </is>
      </c>
      <c r="L172" s="629" t="inlineStr">
        <is>
          <t>BOX</t>
        </is>
      </c>
      <c r="M172" s="630" t="n">
        <v>126.19</v>
      </c>
      <c r="N172" s="631" t="inlineStr">
        <is>
          <t>PLATINUM</t>
        </is>
      </c>
      <c r="O172" s="627" t="n">
        <v>25</v>
      </c>
      <c r="P172" s="154" t="n">
        <v>61050</v>
      </c>
      <c r="R172" s="175">
        <f>_xlfn.XLOOKUP(Table3[[#This Row],[SKU]],'05_Daily_Orders'!$B$2:$B$328,'05_Daily_Orders'!G:G)</f>
        <v/>
      </c>
      <c r="S172" s="176">
        <f>IFERROR(R172*1,"")</f>
        <v/>
      </c>
      <c r="T172" s="600">
        <f>_xludf.IFNA(_xlfn.XLOOKUP(Table3[[#This Row],[SKU]],'00_Yield_Rates'!$B$2:$B$17,'00_Yield_Rates'!$E$2:$E$17),"")</f>
        <v/>
      </c>
    </row>
    <row r="173">
      <c r="A173" s="625" t="inlineStr">
        <is>
          <t>Tray_Pack</t>
        </is>
      </c>
      <c r="B173" s="626" t="n">
        <v>2510</v>
      </c>
      <c r="C173" s="627" t="inlineStr">
        <is>
          <t>61014F</t>
        </is>
      </c>
      <c r="D173" s="627" t="inlineStr">
        <is>
          <t>FB</t>
        </is>
      </c>
      <c r="E173" s="627" t="inlineStr">
        <is>
          <t>SplitWing</t>
        </is>
      </c>
      <c r="F173" s="627" t="n">
        <v>8.21520397378989</v>
      </c>
      <c r="G173" s="627" t="n">
        <v>8</v>
      </c>
      <c r="H173" s="627" t="inlineStr">
        <is>
          <t>LT 8XP</t>
        </is>
      </c>
      <c r="I173" s="627" t="inlineStr">
        <is>
          <t>Large</t>
        </is>
      </c>
      <c r="J173" s="628" t="inlineStr">
        <is>
          <t>MS BSC SPL WING 8XP PP</t>
        </is>
      </c>
      <c r="K173" s="629" t="inlineStr">
        <is>
          <t>Slow</t>
        </is>
      </c>
      <c r="L173" s="629" t="inlineStr">
        <is>
          <t>BOX</t>
        </is>
      </c>
      <c r="M173" s="630" t="n">
        <v>30.7</v>
      </c>
      <c r="N173" s="631" t="inlineStr">
        <is>
          <t>PLATINUM</t>
        </is>
      </c>
      <c r="O173" s="627" t="n">
        <v>25</v>
      </c>
      <c r="P173" s="154" t="inlineStr">
        <is>
          <t>61014F</t>
        </is>
      </c>
      <c r="R173" s="175">
        <f>_xlfn.XLOOKUP(Table3[[#This Row],[SKU]],'05_Daily_Orders'!$B$2:$B$328,'05_Daily_Orders'!G:G)</f>
        <v/>
      </c>
      <c r="S173" s="176">
        <f>IFERROR(R173*1,"")</f>
        <v/>
      </c>
      <c r="T173" s="600">
        <f>_xludf.IFNA(_xlfn.XLOOKUP(Table3[[#This Row],[SKU]],'00_Yield_Rates'!$B$2:$B$17,'00_Yield_Rates'!$E$2:$E$17),"")</f>
        <v/>
      </c>
    </row>
    <row r="174">
      <c r="A174" s="625" t="inlineStr">
        <is>
          <t>Tray_Pack</t>
        </is>
      </c>
      <c r="B174" s="626" t="n">
        <v>2512</v>
      </c>
      <c r="C174" s="627" t="n">
        <v>61014</v>
      </c>
      <c r="D174" s="627" t="inlineStr">
        <is>
          <t>METRO</t>
        </is>
      </c>
      <c r="E174" s="627" t="inlineStr">
        <is>
          <t>SplitWing</t>
        </is>
      </c>
      <c r="F174" s="627" t="n">
        <v>8.211519930675911</v>
      </c>
      <c r="G174" s="627" t="n">
        <v>8</v>
      </c>
      <c r="H174" s="627" t="inlineStr">
        <is>
          <t>LT 8XP</t>
        </is>
      </c>
      <c r="I174" s="627" t="inlineStr">
        <is>
          <t>Large</t>
        </is>
      </c>
      <c r="J174" s="628" t="inlineStr">
        <is>
          <t>MS BSC SPL WING 8XP</t>
        </is>
      </c>
      <c r="K174" s="629" t="inlineStr">
        <is>
          <t>Slow</t>
        </is>
      </c>
      <c r="L174" s="629" t="inlineStr">
        <is>
          <t>BOX</t>
        </is>
      </c>
      <c r="M174" s="630" t="n">
        <v>31.7</v>
      </c>
      <c r="N174" s="631" t="inlineStr">
        <is>
          <t>PLATINUM</t>
        </is>
      </c>
      <c r="O174" s="627" t="n">
        <v>25</v>
      </c>
      <c r="P174" s="154" t="n">
        <v>61014</v>
      </c>
      <c r="R174" s="175">
        <f>_xlfn.XLOOKUP(Table3[[#This Row],[SKU]],'05_Daily_Orders'!$B$2:$B$328,'05_Daily_Orders'!G:G)</f>
        <v/>
      </c>
      <c r="S174" s="176">
        <f>IFERROR(R174*1,"")</f>
        <v/>
      </c>
      <c r="T174" s="600">
        <f>_xludf.IFNA(_xlfn.XLOOKUP(Table3[[#This Row],[SKU]],'00_Yield_Rates'!$B$2:$B$17,'00_Yield_Rates'!$E$2:$E$17),"")</f>
        <v/>
      </c>
    </row>
    <row r="175">
      <c r="A175" s="625" t="inlineStr">
        <is>
          <t>Tray_Pack</t>
        </is>
      </c>
      <c r="B175" s="626" t="n">
        <v>7018</v>
      </c>
      <c r="C175" s="627" t="n">
        <v>61010</v>
      </c>
      <c r="D175" s="627" t="inlineStr">
        <is>
          <t>LCL</t>
        </is>
      </c>
      <c r="E175" s="627" t="inlineStr">
        <is>
          <t>Whole Wing-Large</t>
        </is>
      </c>
      <c r="F175" s="627" t="n">
        <v>7.42</v>
      </c>
      <c r="G175" s="627" t="n">
        <v>8</v>
      </c>
      <c r="H175" s="627" t="inlineStr">
        <is>
          <t>PET 8</t>
        </is>
      </c>
      <c r="I175" s="627" t="inlineStr">
        <is>
          <t>Large</t>
        </is>
      </c>
      <c r="J175" s="628" t="inlineStr">
        <is>
          <t>PB WING LT</t>
        </is>
      </c>
      <c r="K175" s="629" t="inlineStr">
        <is>
          <t>Fast</t>
        </is>
      </c>
      <c r="L175" s="629" t="inlineStr">
        <is>
          <t>IFCO</t>
        </is>
      </c>
      <c r="M175" s="630" t="n">
        <v>26.78</v>
      </c>
      <c r="N175" s="631" t="inlineStr">
        <is>
          <t>SILVER</t>
        </is>
      </c>
      <c r="O175" s="627" t="n">
        <v>25</v>
      </c>
      <c r="P175" s="154" t="n">
        <v>61010</v>
      </c>
      <c r="R175" s="175">
        <f>_xlfn.XLOOKUP(Table3[[#This Row],[SKU]],'05_Daily_Orders'!$B$2:$B$328,'05_Daily_Orders'!G:G)</f>
        <v/>
      </c>
      <c r="S175" s="176">
        <f>IFERROR(R175*1,"")</f>
        <v/>
      </c>
      <c r="T175" s="600">
        <f>_xludf.IFNA(_xlfn.XLOOKUP(Table3[[#This Row],[SKU]],'00_Yield_Rates'!$B$2:$B$17,'00_Yield_Rates'!$E$2:$E$17),"")</f>
        <v/>
      </c>
    </row>
    <row r="176">
      <c r="A176" s="625" t="inlineStr">
        <is>
          <t>Tray_Pack</t>
        </is>
      </c>
      <c r="B176" s="626" t="n">
        <v>7091</v>
      </c>
      <c r="C176" s="627" t="n">
        <v>61061</v>
      </c>
      <c r="D176" s="627" t="inlineStr">
        <is>
          <t>LCL</t>
        </is>
      </c>
      <c r="E176" s="627" t="inlineStr">
        <is>
          <t>BA</t>
        </is>
      </c>
      <c r="F176" s="627" t="n">
        <v>0</v>
      </c>
      <c r="G176" s="627" t="n">
        <v>8</v>
      </c>
      <c r="H176" s="627" t="inlineStr">
        <is>
          <t>PET 8</t>
        </is>
      </c>
      <c r="I176" s="627" t="inlineStr">
        <is>
          <t>Large</t>
        </is>
      </c>
      <c r="J176" s="628" t="inlineStr">
        <is>
          <t>PB LEG BA LT</t>
        </is>
      </c>
      <c r="K176" s="632" t="inlineStr">
        <is>
          <t>Fast</t>
        </is>
      </c>
      <c r="L176" s="629" t="inlineStr">
        <is>
          <t>IFCO</t>
        </is>
      </c>
      <c r="M176" s="630" t="n">
        <v>82.95999999999999</v>
      </c>
      <c r="N176" s="631" t="inlineStr">
        <is>
          <t>SILVER</t>
        </is>
      </c>
      <c r="O176" s="627" t="n">
        <v>25</v>
      </c>
      <c r="P176" s="154" t="n">
        <v>61061</v>
      </c>
      <c r="R176" s="175">
        <f>_xlfn.XLOOKUP(Table3[[#This Row],[SKU]],'05_Daily_Orders'!$B$2:$B$328,'05_Daily_Orders'!G:G)</f>
        <v/>
      </c>
      <c r="S176" s="176">
        <f>IFERROR(R176*1,"")</f>
        <v/>
      </c>
      <c r="T176" s="600">
        <f>_xludf.IFNA(_xlfn.XLOOKUP(Table3[[#This Row],[SKU]],'00_Yield_Rates'!$B$2:$B$17,'00_Yield_Rates'!$E$2:$E$17),"")</f>
        <v/>
      </c>
    </row>
    <row r="177">
      <c r="A177" s="625" t="inlineStr">
        <is>
          <t>Tray_Pack</t>
        </is>
      </c>
      <c r="B177" s="626" t="n">
        <v>7103</v>
      </c>
      <c r="C177" s="627" t="n">
        <v>203891</v>
      </c>
      <c r="D177" s="627" t="inlineStr">
        <is>
          <t>LCL</t>
        </is>
      </c>
      <c r="E177" s="627" t="inlineStr">
        <is>
          <t>Whole Bird-Small</t>
        </is>
      </c>
      <c r="F177" s="627" t="n"/>
      <c r="G177" s="627" t="n">
        <v>6</v>
      </c>
      <c r="H177" s="627" t="inlineStr">
        <is>
          <t>ST 3XP</t>
        </is>
      </c>
      <c r="I177" s="627" t="inlineStr">
        <is>
          <t>Small</t>
        </is>
      </c>
      <c r="J177" s="628" t="inlineStr">
        <is>
          <t>PB FRY WOG TI ST</t>
        </is>
      </c>
      <c r="K177" s="632" t="inlineStr">
        <is>
          <t>Fast</t>
        </is>
      </c>
      <c r="L177" s="632" t="inlineStr">
        <is>
          <t>IFCO</t>
        </is>
      </c>
      <c r="M177" s="633" t="n">
        <v>131.39</v>
      </c>
      <c r="N177" s="631" t="n"/>
      <c r="O177" s="627" t="n">
        <v>25</v>
      </c>
      <c r="P177" s="154" t="n">
        <v>203891</v>
      </c>
      <c r="R177" s="175">
        <f>_xlfn.XLOOKUP(Table3[[#This Row],[SKU]],'05_Daily_Orders'!$B$2:$B$328,'05_Daily_Orders'!G:G)</f>
        <v/>
      </c>
      <c r="S177" s="176">
        <f>IFERROR(R177*1,"")</f>
        <v/>
      </c>
      <c r="T177" s="600">
        <f>_xludf.IFNA(_xlfn.XLOOKUP(Table3[[#This Row],[SKU]],'00_Yield_Rates'!$B$2:$B$17,'00_Yield_Rates'!$E$2:$E$17),"")</f>
        <v/>
      </c>
    </row>
    <row r="178">
      <c r="A178" s="625" t="inlineStr">
        <is>
          <t>Tray_Pack</t>
        </is>
      </c>
      <c r="B178" s="626" t="n">
        <v>7104</v>
      </c>
      <c r="C178" s="627" t="n">
        <v>61082</v>
      </c>
      <c r="D178" s="627" t="inlineStr">
        <is>
          <t>LCL</t>
        </is>
      </c>
      <c r="E178" s="627" t="inlineStr">
        <is>
          <t>Thigh</t>
        </is>
      </c>
      <c r="F178" s="627" t="n">
        <v>10.5333333333333</v>
      </c>
      <c r="G178" s="627" t="n">
        <v>8</v>
      </c>
      <c r="H178" s="627" t="inlineStr">
        <is>
          <t>PET 8</t>
        </is>
      </c>
      <c r="I178" s="627" t="inlineStr">
        <is>
          <t>Large</t>
        </is>
      </c>
      <c r="J178" s="628" t="inlineStr">
        <is>
          <t>PB THIGH LT</t>
        </is>
      </c>
      <c r="K178" s="632" t="inlineStr">
        <is>
          <t>Fast</t>
        </is>
      </c>
      <c r="L178" s="632" t="inlineStr">
        <is>
          <t>IFCO</t>
        </is>
      </c>
      <c r="M178" s="633" t="n">
        <v>45.72</v>
      </c>
      <c r="N178" s="631" t="inlineStr">
        <is>
          <t>SILVER</t>
        </is>
      </c>
      <c r="O178" s="627" t="n">
        <v>25</v>
      </c>
      <c r="P178" s="154" t="n">
        <v>61082</v>
      </c>
      <c r="R178" s="175">
        <f>_xlfn.XLOOKUP(Table3[[#This Row],[SKU]],'05_Daily_Orders'!$B$2:$B$328,'05_Daily_Orders'!G:G)</f>
        <v/>
      </c>
      <c r="S178" s="176">
        <f>IFERROR(R178*1,"")</f>
        <v/>
      </c>
      <c r="T178" s="600">
        <f>_xludf.IFNA(_xlfn.XLOOKUP(Table3[[#This Row],[SKU]],'00_Yield_Rates'!$B$2:$B$17,'00_Yield_Rates'!$E$2:$E$17),"")</f>
        <v/>
      </c>
    </row>
    <row r="179">
      <c r="A179" s="625" t="inlineStr">
        <is>
          <t>Tray_Pack</t>
        </is>
      </c>
      <c r="B179" s="626" t="n">
        <v>7105</v>
      </c>
      <c r="C179" s="627" t="inlineStr">
        <is>
          <t>61050#2</t>
        </is>
      </c>
      <c r="D179" s="627" t="inlineStr">
        <is>
          <t>LCL</t>
        </is>
      </c>
      <c r="E179" s="627" t="inlineStr">
        <is>
          <t>BSB</t>
        </is>
      </c>
      <c r="F179" s="627" t="n">
        <v>9.770440943270749</v>
      </c>
      <c r="G179" s="627" t="n">
        <v>8</v>
      </c>
      <c r="H179" s="627" t="inlineStr">
        <is>
          <t>PET 8</t>
        </is>
      </c>
      <c r="I179" s="627" t="inlineStr">
        <is>
          <t>Large</t>
        </is>
      </c>
      <c r="J179" s="628" t="inlineStr">
        <is>
          <t>MS BSHB PET8 BSK</t>
        </is>
      </c>
      <c r="K179" s="629" t="inlineStr">
        <is>
          <t>Fast</t>
        </is>
      </c>
      <c r="L179" s="629" t="inlineStr">
        <is>
          <t>IFCO</t>
        </is>
      </c>
      <c r="M179" s="630" t="n">
        <v>107.39</v>
      </c>
      <c r="N179" s="631" t="inlineStr">
        <is>
          <t>SILVER</t>
        </is>
      </c>
      <c r="O179" s="627" t="n">
        <v>25</v>
      </c>
      <c r="P179" s="154" t="inlineStr">
        <is>
          <t>61050#2</t>
        </is>
      </c>
      <c r="R179" s="175">
        <f>_xlfn.XLOOKUP(Table3[[#This Row],[SKU]],'05_Daily_Orders'!$B$2:$B$328,'05_Daily_Orders'!G:G)</f>
        <v/>
      </c>
      <c r="S179" s="176">
        <f>IFERROR(R179*1,"")</f>
        <v/>
      </c>
      <c r="T179" s="600">
        <f>_xludf.IFNA(_xlfn.XLOOKUP(Table3[[#This Row],[SKU]],'00_Yield_Rates'!$B$2:$B$17,'00_Yield_Rates'!$E$2:$E$17),"")</f>
        <v/>
      </c>
    </row>
    <row r="180">
      <c r="A180" s="625" t="inlineStr">
        <is>
          <t>Tray_Pack</t>
        </is>
      </c>
      <c r="B180" s="626" t="n">
        <v>7107</v>
      </c>
      <c r="C180" s="627" t="inlineStr">
        <is>
          <t>61048#2</t>
        </is>
      </c>
      <c r="D180" s="627" t="inlineStr">
        <is>
          <t>LCL</t>
        </is>
      </c>
      <c r="E180" s="627" t="inlineStr">
        <is>
          <t>SplitBreast</t>
        </is>
      </c>
      <c r="F180" s="627" t="n">
        <v>10.5304894500172</v>
      </c>
      <c r="G180" s="627" t="n">
        <v>8</v>
      </c>
      <c r="H180" s="627" t="inlineStr">
        <is>
          <t>PET 8</t>
        </is>
      </c>
      <c r="I180" s="627" t="inlineStr">
        <is>
          <t>Large</t>
        </is>
      </c>
      <c r="J180" s="628" t="inlineStr">
        <is>
          <t>PB SKLS HB LT</t>
        </is>
      </c>
      <c r="K180" s="629" t="inlineStr">
        <is>
          <t>Fast</t>
        </is>
      </c>
      <c r="L180" s="629" t="inlineStr">
        <is>
          <t>IFCO</t>
        </is>
      </c>
      <c r="M180" s="630" t="n">
        <v>70.01000000000001</v>
      </c>
      <c r="N180" s="631" t="inlineStr">
        <is>
          <t>SILVER</t>
        </is>
      </c>
      <c r="O180" s="627" t="n">
        <v>25</v>
      </c>
      <c r="P180" s="154" t="inlineStr">
        <is>
          <t>61048#2</t>
        </is>
      </c>
      <c r="R180" s="175">
        <f>_xlfn.XLOOKUP(Table3[[#This Row],[SKU]],'05_Daily_Orders'!$B$2:$B$328,'05_Daily_Orders'!G:G)</f>
        <v/>
      </c>
      <c r="S180" s="176">
        <f>IFERROR(R180*1,"")</f>
        <v/>
      </c>
      <c r="T180" s="600">
        <f>_xludf.IFNA(_xlfn.XLOOKUP(Table3[[#This Row],[SKU]],'00_Yield_Rates'!$B$2:$B$17,'00_Yield_Rates'!$E$2:$E$17),"")</f>
        <v/>
      </c>
    </row>
    <row r="181">
      <c r="A181" s="625" t="inlineStr">
        <is>
          <t>Tray_Pack</t>
        </is>
      </c>
      <c r="B181" s="626" t="n">
        <v>7108</v>
      </c>
      <c r="C181" s="627" t="inlineStr">
        <is>
          <t>61072#2</t>
        </is>
      </c>
      <c r="D181" s="627" t="inlineStr">
        <is>
          <t>LCL</t>
        </is>
      </c>
      <c r="E181" s="627" t="inlineStr">
        <is>
          <t>Drum</t>
        </is>
      </c>
      <c r="F181" s="627" t="n">
        <v>8.258408468008691</v>
      </c>
      <c r="G181" s="627" t="n">
        <v>8</v>
      </c>
      <c r="H181" s="627" t="inlineStr">
        <is>
          <t>PET 8</t>
        </is>
      </c>
      <c r="I181" s="627" t="inlineStr">
        <is>
          <t>Large</t>
        </is>
      </c>
      <c r="J181" s="628" t="inlineStr">
        <is>
          <t>MS DRUM PET8 BSK</t>
        </is>
      </c>
      <c r="K181" s="632" t="inlineStr">
        <is>
          <t>Fast</t>
        </is>
      </c>
      <c r="L181" s="632" t="inlineStr">
        <is>
          <t>IFCO</t>
        </is>
      </c>
      <c r="M181" s="633" t="n">
        <v>67.90000000000001</v>
      </c>
      <c r="N181" s="631" t="inlineStr">
        <is>
          <t>SILVER</t>
        </is>
      </c>
      <c r="O181" s="627" t="n">
        <v>15</v>
      </c>
      <c r="P181" s="154" t="inlineStr">
        <is>
          <t>61072#2</t>
        </is>
      </c>
      <c r="R181" s="175">
        <f>_xlfn.XLOOKUP(Table3[[#This Row],[SKU]],'05_Daily_Orders'!$B$2:$B$328,'05_Daily_Orders'!G:G)</f>
        <v/>
      </c>
      <c r="S181" s="176">
        <f>IFERROR(R181*1,"")</f>
        <v/>
      </c>
      <c r="T181" s="600">
        <f>_xludf.IFNA(_xlfn.XLOOKUP(Table3[[#This Row],[SKU]],'00_Yield_Rates'!$B$2:$B$17,'00_Yield_Rates'!$E$2:$E$17),"")</f>
        <v/>
      </c>
    </row>
    <row r="182">
      <c r="A182" s="625" t="inlineStr">
        <is>
          <t>Tray_Pack</t>
        </is>
      </c>
      <c r="B182" s="626" t="n">
        <v>7109</v>
      </c>
      <c r="C182" s="627" t="inlineStr">
        <is>
          <t>61040#2</t>
        </is>
      </c>
      <c r="D182" s="627" t="inlineStr">
        <is>
          <t>LCL</t>
        </is>
      </c>
      <c r="E182" s="627" t="inlineStr">
        <is>
          <t>SplitBreast</t>
        </is>
      </c>
      <c r="F182" s="627" t="n">
        <v>0</v>
      </c>
      <c r="G182" s="627" t="n">
        <v>8</v>
      </c>
      <c r="H182" s="627" t="inlineStr">
        <is>
          <t>PET 8</t>
        </is>
      </c>
      <c r="I182" s="627" t="inlineStr">
        <is>
          <t>Large</t>
        </is>
      </c>
      <c r="J182" s="628" t="inlineStr">
        <is>
          <t>PB HB LT</t>
        </is>
      </c>
      <c r="K182" s="629" t="inlineStr">
        <is>
          <t>Fast</t>
        </is>
      </c>
      <c r="L182" s="632" t="inlineStr">
        <is>
          <t>IFCO</t>
        </is>
      </c>
      <c r="M182" s="633" t="n">
        <v>96.02</v>
      </c>
      <c r="N182" s="631" t="inlineStr">
        <is>
          <t>SILVER</t>
        </is>
      </c>
      <c r="O182" s="627" t="n">
        <v>15</v>
      </c>
      <c r="P182" s="154" t="inlineStr">
        <is>
          <t>61040#2</t>
        </is>
      </c>
      <c r="R182" s="175">
        <f>_xlfn.XLOOKUP(Table3[[#This Row],[SKU]],'05_Daily_Orders'!$B$2:$B$328,'05_Daily_Orders'!G:G)</f>
        <v/>
      </c>
      <c r="S182" s="176">
        <f>IFERROR(R182*1,"")</f>
        <v/>
      </c>
      <c r="T182" s="600">
        <f>_xludf.IFNA(_xlfn.XLOOKUP(Table3[[#This Row],[SKU]],'00_Yield_Rates'!$B$2:$B$17,'00_Yield_Rates'!$E$2:$E$17),"")</f>
        <v/>
      </c>
    </row>
    <row r="183">
      <c r="A183" s="625" t="inlineStr">
        <is>
          <t>Tray_Pack</t>
        </is>
      </c>
      <c r="B183" s="626" t="n">
        <v>7115</v>
      </c>
      <c r="C183" s="627" t="inlineStr">
        <is>
          <t>61072#2</t>
        </is>
      </c>
      <c r="D183" s="627" t="inlineStr">
        <is>
          <t>LCL</t>
        </is>
      </c>
      <c r="E183" s="627" t="inlineStr">
        <is>
          <t>Drum</t>
        </is>
      </c>
      <c r="F183" s="627" t="n">
        <v>8.07686122357174</v>
      </c>
      <c r="G183" s="627" t="n">
        <v>8</v>
      </c>
      <c r="H183" s="627" t="inlineStr">
        <is>
          <t>PET 8</t>
        </is>
      </c>
      <c r="I183" s="627" t="inlineStr">
        <is>
          <t>Large</t>
        </is>
      </c>
      <c r="J183" s="628" t="inlineStr">
        <is>
          <t>PB DRUM LT PP</t>
        </is>
      </c>
      <c r="K183" s="632" t="inlineStr">
        <is>
          <t>Fast</t>
        </is>
      </c>
      <c r="L183" s="629" t="inlineStr">
        <is>
          <t>IFCO</t>
        </is>
      </c>
      <c r="M183" s="630" t="n">
        <v>67.90000000000001</v>
      </c>
      <c r="N183" s="631" t="inlineStr">
        <is>
          <t>SILVER</t>
        </is>
      </c>
      <c r="O183" s="627" t="n">
        <v>25</v>
      </c>
      <c r="P183" s="154" t="inlineStr">
        <is>
          <t>61072#2</t>
        </is>
      </c>
      <c r="R183" s="175">
        <f>_xlfn.XLOOKUP(Table3[[#This Row],[SKU]],'05_Daily_Orders'!$B$2:$B$328,'05_Daily_Orders'!G:G)</f>
        <v/>
      </c>
      <c r="S183" s="176">
        <f>IFERROR(R183*1,"")</f>
        <v/>
      </c>
      <c r="T183" s="600">
        <f>_xludf.IFNA(_xlfn.XLOOKUP(Table3[[#This Row],[SKU]],'00_Yield_Rates'!$B$2:$B$17,'00_Yield_Rates'!$E$2:$E$17),"")</f>
        <v/>
      </c>
    </row>
    <row r="184">
      <c r="A184" s="625" t="inlineStr">
        <is>
          <t>Tray_Pack</t>
        </is>
      </c>
      <c r="B184" s="626" t="n">
        <v>7116</v>
      </c>
      <c r="C184" s="627" t="n">
        <v>61082</v>
      </c>
      <c r="D184" s="627" t="inlineStr">
        <is>
          <t>LCL</t>
        </is>
      </c>
      <c r="E184" s="627" t="inlineStr">
        <is>
          <t>Thigh</t>
        </is>
      </c>
      <c r="F184" s="627" t="n">
        <v>0</v>
      </c>
      <c r="G184" s="627" t="n">
        <v>8</v>
      </c>
      <c r="H184" s="627" t="inlineStr">
        <is>
          <t>PET 8</t>
        </is>
      </c>
      <c r="I184" s="627" t="inlineStr">
        <is>
          <t>Large</t>
        </is>
      </c>
      <c r="J184" s="628" t="inlineStr">
        <is>
          <t>PB THIGH LT PP</t>
        </is>
      </c>
      <c r="K184" s="632" t="inlineStr">
        <is>
          <t>Fast</t>
        </is>
      </c>
      <c r="L184" s="629" t="inlineStr">
        <is>
          <t>IFCO</t>
        </is>
      </c>
      <c r="M184" s="630" t="n">
        <v>45.72</v>
      </c>
      <c r="N184" s="631" t="inlineStr">
        <is>
          <t>SILVER</t>
        </is>
      </c>
      <c r="O184" s="627" t="n">
        <v>25</v>
      </c>
      <c r="P184" s="154" t="n">
        <v>61082</v>
      </c>
      <c r="R184" s="175">
        <f>_xlfn.XLOOKUP(Table3[[#This Row],[SKU]],'05_Daily_Orders'!$B$2:$B$328,'05_Daily_Orders'!G:G)</f>
        <v/>
      </c>
      <c r="S184" s="176">
        <f>IFERROR(R184*1,"")</f>
        <v/>
      </c>
      <c r="T184" s="600">
        <f>_xludf.IFNA(_xlfn.XLOOKUP(Table3[[#This Row],[SKU]],'00_Yield_Rates'!$B$2:$B$17,'00_Yield_Rates'!$E$2:$E$17),"")</f>
        <v/>
      </c>
    </row>
    <row r="185">
      <c r="A185" s="625" t="inlineStr">
        <is>
          <t>Tray_Pack</t>
        </is>
      </c>
      <c r="B185" s="626" t="n">
        <v>7117</v>
      </c>
      <c r="C185" s="627" t="inlineStr">
        <is>
          <t>61040#2</t>
        </is>
      </c>
      <c r="D185" s="627" t="inlineStr">
        <is>
          <t>LCL</t>
        </is>
      </c>
      <c r="E185" s="627" t="inlineStr">
        <is>
          <t>SplitBreast</t>
        </is>
      </c>
      <c r="F185" s="627" t="n">
        <v>0</v>
      </c>
      <c r="G185" s="627" t="n">
        <v>8</v>
      </c>
      <c r="H185" s="627" t="inlineStr">
        <is>
          <t>PET 8</t>
        </is>
      </c>
      <c r="I185" s="627" t="inlineStr">
        <is>
          <t>Large</t>
        </is>
      </c>
      <c r="J185" s="628" t="inlineStr">
        <is>
          <t>PB HB LT PP</t>
        </is>
      </c>
      <c r="K185" s="629" t="inlineStr">
        <is>
          <t>Fast</t>
        </is>
      </c>
      <c r="L185" s="629" t="inlineStr">
        <is>
          <t>IFCO</t>
        </is>
      </c>
      <c r="M185" s="630" t="n">
        <v>96.02</v>
      </c>
      <c r="N185" s="631" t="inlineStr">
        <is>
          <t>SILVER</t>
        </is>
      </c>
      <c r="O185" s="627" t="n">
        <v>25</v>
      </c>
      <c r="P185" s="154" t="inlineStr">
        <is>
          <t>61040#2</t>
        </is>
      </c>
      <c r="R185" s="175">
        <f>_xlfn.XLOOKUP(Table3[[#This Row],[SKU]],'05_Daily_Orders'!$B$2:$B$328,'05_Daily_Orders'!G:G)</f>
        <v/>
      </c>
      <c r="S185" s="176">
        <f>IFERROR(R185*1,"")</f>
        <v/>
      </c>
      <c r="T185" s="600">
        <f>_xludf.IFNA(_xlfn.XLOOKUP(Table3[[#This Row],[SKU]],'00_Yield_Rates'!$B$2:$B$17,'00_Yield_Rates'!$E$2:$E$17),"")</f>
        <v/>
      </c>
    </row>
    <row r="186">
      <c r="A186" s="625" t="inlineStr">
        <is>
          <t>Tray_Pack</t>
        </is>
      </c>
      <c r="B186" s="626" t="n">
        <v>7118</v>
      </c>
      <c r="C186" s="627" t="inlineStr">
        <is>
          <t>61048#2</t>
        </is>
      </c>
      <c r="D186" s="627" t="inlineStr">
        <is>
          <t>LCL</t>
        </is>
      </c>
      <c r="E186" s="627" t="inlineStr">
        <is>
          <t>SplitBreast</t>
        </is>
      </c>
      <c r="F186" s="627" t="n">
        <v>0</v>
      </c>
      <c r="G186" s="627" t="n">
        <v>8</v>
      </c>
      <c r="H186" s="627" t="inlineStr">
        <is>
          <t>PET 8</t>
        </is>
      </c>
      <c r="I186" s="627" t="inlineStr">
        <is>
          <t>Large</t>
        </is>
      </c>
      <c r="J186" s="628" t="inlineStr">
        <is>
          <t>PB SKLS HB LT PP</t>
        </is>
      </c>
      <c r="K186" s="629" t="inlineStr">
        <is>
          <t>Fast</t>
        </is>
      </c>
      <c r="L186" s="629" t="inlineStr">
        <is>
          <t>IFCO</t>
        </is>
      </c>
      <c r="M186" s="630" t="n">
        <v>70.01000000000001</v>
      </c>
      <c r="N186" s="631" t="inlineStr">
        <is>
          <t>SILVER</t>
        </is>
      </c>
      <c r="O186" s="627" t="n">
        <v>25</v>
      </c>
      <c r="P186" s="154" t="inlineStr">
        <is>
          <t>61048#2</t>
        </is>
      </c>
      <c r="R186" s="175">
        <f>_xlfn.XLOOKUP(Table3[[#This Row],[SKU]],'05_Daily_Orders'!$B$2:$B$328,'05_Daily_Orders'!G:G)</f>
        <v/>
      </c>
      <c r="S186" s="176">
        <f>IFERROR(R186*1,"")</f>
        <v/>
      </c>
      <c r="T186" s="600">
        <f>_xludf.IFNA(_xlfn.XLOOKUP(Table3[[#This Row],[SKU]],'00_Yield_Rates'!$B$2:$B$17,'00_Yield_Rates'!$E$2:$E$17),"")</f>
        <v/>
      </c>
    </row>
    <row r="187">
      <c r="A187" s="625" t="inlineStr">
        <is>
          <t>Tray_Pack</t>
        </is>
      </c>
      <c r="B187" s="626" t="n">
        <v>7119</v>
      </c>
      <c r="C187" s="627" t="inlineStr">
        <is>
          <t>61048#2</t>
        </is>
      </c>
      <c r="D187" s="627" t="inlineStr">
        <is>
          <t>LCL</t>
        </is>
      </c>
      <c r="E187" s="627" t="inlineStr">
        <is>
          <t>SplitBreast</t>
        </is>
      </c>
      <c r="F187" s="627" t="n">
        <v>0</v>
      </c>
      <c r="G187" s="627" t="n">
        <v>8</v>
      </c>
      <c r="H187" s="627" t="inlineStr">
        <is>
          <t>PET 8</t>
        </is>
      </c>
      <c r="I187" s="627" t="inlineStr">
        <is>
          <t>Large</t>
        </is>
      </c>
      <c r="J187" s="628" t="inlineStr">
        <is>
          <t>PB SKLS HB LT PP</t>
        </is>
      </c>
      <c r="K187" s="629" t="inlineStr">
        <is>
          <t>Fast</t>
        </is>
      </c>
      <c r="L187" s="629" t="inlineStr">
        <is>
          <t>IFCO</t>
        </is>
      </c>
      <c r="M187" s="630" t="n">
        <v>70.01000000000001</v>
      </c>
      <c r="N187" s="631" t="inlineStr">
        <is>
          <t>SILVER</t>
        </is>
      </c>
      <c r="O187" s="627" t="n">
        <v>25</v>
      </c>
      <c r="P187" s="154" t="inlineStr">
        <is>
          <t>61048#2</t>
        </is>
      </c>
      <c r="R187" s="175">
        <f>_xlfn.XLOOKUP(Table3[[#This Row],[SKU]],'05_Daily_Orders'!$B$2:$B$328,'05_Daily_Orders'!G:G)</f>
        <v/>
      </c>
      <c r="S187" s="176">
        <f>IFERROR(R187*1,"")</f>
        <v/>
      </c>
      <c r="T187" s="600">
        <f>_xludf.IFNA(_xlfn.XLOOKUP(Table3[[#This Row],[SKU]],'00_Yield_Rates'!$B$2:$B$17,'00_Yield_Rates'!$E$2:$E$17),"")</f>
        <v/>
      </c>
    </row>
    <row r="188">
      <c r="A188" s="625" t="inlineStr">
        <is>
          <t>Tray_Pack</t>
        </is>
      </c>
      <c r="B188" s="626" t="n">
        <v>7120</v>
      </c>
      <c r="C188" s="627" t="inlineStr">
        <is>
          <t>61086#2</t>
        </is>
      </c>
      <c r="D188" s="627" t="inlineStr">
        <is>
          <t>LCL</t>
        </is>
      </c>
      <c r="E188" s="627" t="inlineStr">
        <is>
          <t>ThighMeat</t>
        </is>
      </c>
      <c r="F188" s="627" t="n">
        <v>8.149062499999999</v>
      </c>
      <c r="G188" s="627" t="n">
        <v>8</v>
      </c>
      <c r="H188" s="627" t="inlineStr">
        <is>
          <t>PET 8</t>
        </is>
      </c>
      <c r="I188" s="627" t="inlineStr">
        <is>
          <t>Large</t>
        </is>
      </c>
      <c r="J188" s="628" t="inlineStr">
        <is>
          <t>PB BSTHIGH LT PP</t>
        </is>
      </c>
      <c r="K188" s="629" t="inlineStr">
        <is>
          <t>Slow</t>
        </is>
      </c>
      <c r="L188" s="629" t="inlineStr">
        <is>
          <t>IFCO</t>
        </is>
      </c>
      <c r="M188" s="630" t="n">
        <v>20.8</v>
      </c>
      <c r="N188" s="631" t="inlineStr">
        <is>
          <t>SILVER</t>
        </is>
      </c>
      <c r="O188" s="627" t="n">
        <v>25</v>
      </c>
      <c r="P188" s="154" t="inlineStr">
        <is>
          <t>61086#2</t>
        </is>
      </c>
      <c r="R188" s="175">
        <f>_xlfn.XLOOKUP(Table3[[#This Row],[SKU]],'05_Daily_Orders'!$B$2:$B$328,'05_Daily_Orders'!G:G)</f>
        <v/>
      </c>
      <c r="S188" s="176">
        <f>IFERROR(R188*1,"")</f>
        <v/>
      </c>
      <c r="T188" s="600">
        <f>_xludf.IFNA(_xlfn.XLOOKUP(Table3[[#This Row],[SKU]],'00_Yield_Rates'!$B$2:$B$17,'00_Yield_Rates'!$E$2:$E$17),"")</f>
        <v/>
      </c>
    </row>
    <row r="189">
      <c r="A189" s="625" t="inlineStr">
        <is>
          <t>Tray_Pack</t>
        </is>
      </c>
      <c r="B189" s="626" t="n">
        <v>7121</v>
      </c>
      <c r="C189" s="627" t="n">
        <v>203041</v>
      </c>
      <c r="D189" s="627" t="inlineStr">
        <is>
          <t>LCL</t>
        </is>
      </c>
      <c r="E189" s="627" t="inlineStr">
        <is>
          <t>SplitBreast</t>
        </is>
      </c>
      <c r="F189" s="627" t="n"/>
      <c r="G189" s="627" t="n">
        <v>8</v>
      </c>
      <c r="H189" s="627" t="inlineStr">
        <is>
          <t>PET 8</t>
        </is>
      </c>
      <c r="I189" s="627" t="inlineStr">
        <is>
          <t>Large</t>
        </is>
      </c>
      <c r="J189" s="628" t="inlineStr">
        <is>
          <t>PB GIB ST PP</t>
        </is>
      </c>
      <c r="K189" s="629" t="inlineStr">
        <is>
          <t>Fast</t>
        </is>
      </c>
      <c r="L189" s="629" t="inlineStr">
        <is>
          <t>IFCO</t>
        </is>
      </c>
      <c r="M189" s="630" t="n">
        <v>0</v>
      </c>
      <c r="N189" s="631" t="inlineStr">
        <is>
          <t>PLATINUM</t>
        </is>
      </c>
      <c r="O189" s="627" t="n">
        <v>25</v>
      </c>
      <c r="P189" s="154" t="n">
        <v>203041</v>
      </c>
      <c r="R189" s="175">
        <f>_xlfn.XLOOKUP(Table3[[#This Row],[SKU]],'05_Daily_Orders'!$B$2:$B$328,'05_Daily_Orders'!G:G)</f>
        <v/>
      </c>
      <c r="S189" s="176">
        <f>IFERROR(R189*1,"")</f>
        <v/>
      </c>
      <c r="T189" s="600">
        <f>_xludf.IFNA(_xlfn.XLOOKUP(Table3[[#This Row],[SKU]],'00_Yield_Rates'!$B$2:$B$17,'00_Yield_Rates'!$E$2:$E$17),"")</f>
        <v/>
      </c>
    </row>
    <row r="190">
      <c r="A190" s="625" t="inlineStr">
        <is>
          <t>Tray_Pack</t>
        </is>
      </c>
      <c r="B190" s="626" t="n">
        <v>7136</v>
      </c>
      <c r="C190" s="627" t="inlineStr">
        <is>
          <t>61072#2</t>
        </is>
      </c>
      <c r="D190" s="627" t="inlineStr">
        <is>
          <t>LCL</t>
        </is>
      </c>
      <c r="E190" s="627" t="inlineStr">
        <is>
          <t>Drum</t>
        </is>
      </c>
      <c r="F190" s="627" t="n"/>
      <c r="G190" s="627" t="n">
        <v>8</v>
      </c>
      <c r="H190" s="627" t="inlineStr">
        <is>
          <t>PET 8</t>
        </is>
      </c>
      <c r="I190" s="627" t="inlineStr">
        <is>
          <t>Large</t>
        </is>
      </c>
      <c r="J190" s="628" t="inlineStr">
        <is>
          <t>MS DRUM LT PP</t>
        </is>
      </c>
      <c r="K190" s="632" t="inlineStr">
        <is>
          <t>Fast</t>
        </is>
      </c>
      <c r="L190" s="629" t="inlineStr">
        <is>
          <t>IFCO</t>
        </is>
      </c>
      <c r="M190" s="630" t="n">
        <v>54.87</v>
      </c>
      <c r="N190" s="631" t="inlineStr">
        <is>
          <t>SILVER</t>
        </is>
      </c>
      <c r="O190" s="627" t="n">
        <v>25</v>
      </c>
      <c r="P190" s="154" t="inlineStr">
        <is>
          <t>61072#2</t>
        </is>
      </c>
      <c r="R190" s="175">
        <f>_xlfn.XLOOKUP(Table3[[#This Row],[SKU]],'05_Daily_Orders'!$B$2:$B$328,'05_Daily_Orders'!G:G)</f>
        <v/>
      </c>
      <c r="S190" s="176">
        <f>IFERROR(R190*1,"")</f>
        <v/>
      </c>
      <c r="T190" s="600">
        <f>_xludf.IFNA(_xlfn.XLOOKUP(Table3[[#This Row],[SKU]],'00_Yield_Rates'!$B$2:$B$17,'00_Yield_Rates'!$E$2:$E$17),"")</f>
        <v/>
      </c>
    </row>
    <row r="191">
      <c r="A191" s="625" t="inlineStr">
        <is>
          <t>Tray_Pack</t>
        </is>
      </c>
      <c r="B191" s="626" t="n">
        <v>7137</v>
      </c>
      <c r="C191" s="627" t="n">
        <v>61082</v>
      </c>
      <c r="D191" s="627" t="inlineStr">
        <is>
          <t>LCL</t>
        </is>
      </c>
      <c r="E191" s="627" t="inlineStr">
        <is>
          <t>Thigh</t>
        </is>
      </c>
      <c r="F191" s="627" t="n"/>
      <c r="G191" s="627" t="n"/>
      <c r="H191" s="627" t="inlineStr">
        <is>
          <t>PET 8</t>
        </is>
      </c>
      <c r="I191" s="627" t="inlineStr">
        <is>
          <t>Large</t>
        </is>
      </c>
      <c r="J191" s="628" t="inlineStr">
        <is>
          <t>MS THIGH LT PP</t>
        </is>
      </c>
      <c r="K191" s="632" t="inlineStr">
        <is>
          <t>Fast</t>
        </is>
      </c>
      <c r="L191" s="629" t="inlineStr">
        <is>
          <t>IFCO</t>
        </is>
      </c>
      <c r="M191" s="630" t="n">
        <v>34.75</v>
      </c>
      <c r="N191" s="631" t="inlineStr">
        <is>
          <t>SILVER</t>
        </is>
      </c>
      <c r="O191" s="627" t="n">
        <v>25</v>
      </c>
      <c r="P191" s="154" t="n">
        <v>61082</v>
      </c>
      <c r="R191" s="175">
        <f>_xlfn.XLOOKUP(Table3[[#This Row],[SKU]],'05_Daily_Orders'!$B$2:$B$328,'05_Daily_Orders'!G:G)</f>
        <v/>
      </c>
      <c r="S191" s="176">
        <f>IFERROR(R191*1,"")</f>
        <v/>
      </c>
      <c r="T191" s="600">
        <f>_xludf.IFNA(_xlfn.XLOOKUP(Table3[[#This Row],[SKU]],'00_Yield_Rates'!$B$2:$B$17,'00_Yield_Rates'!$E$2:$E$17),"")</f>
        <v/>
      </c>
    </row>
    <row r="192">
      <c r="A192" s="625" t="inlineStr">
        <is>
          <t>Tray_Pack</t>
        </is>
      </c>
      <c r="B192" s="626" t="n">
        <v>7145</v>
      </c>
      <c r="C192" s="627" t="inlineStr">
        <is>
          <t>61048#2</t>
        </is>
      </c>
      <c r="D192" s="627" t="inlineStr">
        <is>
          <t>LCL</t>
        </is>
      </c>
      <c r="E192" s="627" t="inlineStr">
        <is>
          <t>SplitBreast</t>
        </is>
      </c>
      <c r="F192" s="627" t="n">
        <v>0</v>
      </c>
      <c r="G192" s="627" t="n">
        <v>6</v>
      </c>
      <c r="H192" s="627" t="inlineStr">
        <is>
          <t>LT 14D</t>
        </is>
      </c>
      <c r="I192" s="627" t="inlineStr">
        <is>
          <t>Large</t>
        </is>
      </c>
      <c r="J192" s="628" t="inlineStr">
        <is>
          <t>MS SKLS HB LCP BSK</t>
        </is>
      </c>
      <c r="K192" s="629" t="inlineStr">
        <is>
          <t>Fast</t>
        </is>
      </c>
      <c r="L192" s="629" t="inlineStr">
        <is>
          <t>IFCO</t>
        </is>
      </c>
      <c r="M192" s="630" t="n">
        <v>89.97</v>
      </c>
      <c r="N192" s="631" t="inlineStr">
        <is>
          <t>SILVER</t>
        </is>
      </c>
      <c r="O192" s="627" t="n">
        <v>25</v>
      </c>
      <c r="P192" s="154" t="inlineStr">
        <is>
          <t>61048#2</t>
        </is>
      </c>
      <c r="R192" s="175">
        <f>_xlfn.XLOOKUP(Table3[[#This Row],[SKU]],'05_Daily_Orders'!$B$2:$B$328,'05_Daily_Orders'!G:G)</f>
        <v/>
      </c>
      <c r="S192" s="176">
        <f>IFERROR(R192*1,"")</f>
        <v/>
      </c>
      <c r="T192" s="600">
        <f>_xludf.IFNA(_xlfn.XLOOKUP(Table3[[#This Row],[SKU]],'00_Yield_Rates'!$B$2:$B$17,'00_Yield_Rates'!$E$2:$E$17),"")</f>
        <v/>
      </c>
    </row>
    <row r="193">
      <c r="A193" s="625" t="inlineStr">
        <is>
          <t>Tray_Pack</t>
        </is>
      </c>
      <c r="B193" s="626" t="n">
        <v>7146</v>
      </c>
      <c r="C193" s="627" t="inlineStr">
        <is>
          <t>61050#2</t>
        </is>
      </c>
      <c r="D193" s="627" t="inlineStr">
        <is>
          <t>LCL</t>
        </is>
      </c>
      <c r="E193" s="627" t="inlineStr">
        <is>
          <t>BSB</t>
        </is>
      </c>
      <c r="F193" s="627" t="n">
        <v>7.82892931848032</v>
      </c>
      <c r="G193" s="627" t="n">
        <v>8</v>
      </c>
      <c r="H193" s="627" t="inlineStr">
        <is>
          <t>PET 8</t>
        </is>
      </c>
      <c r="I193" s="627" t="inlineStr">
        <is>
          <t>Large</t>
        </is>
      </c>
      <c r="J193" s="628" t="inlineStr">
        <is>
          <t>MS BSHB LT -1860</t>
        </is>
      </c>
      <c r="K193" s="629" t="inlineStr">
        <is>
          <t>Fast</t>
        </is>
      </c>
      <c r="L193" s="629" t="inlineStr">
        <is>
          <t>IFCO</t>
        </is>
      </c>
      <c r="M193" s="630" t="n">
        <v>92.34999999999999</v>
      </c>
      <c r="N193" s="631" t="inlineStr">
        <is>
          <t>SILVER</t>
        </is>
      </c>
      <c r="O193" s="627" t="n">
        <v>25</v>
      </c>
      <c r="P193" s="154" t="inlineStr">
        <is>
          <t>61050#2</t>
        </is>
      </c>
      <c r="R193" s="175">
        <f>_xlfn.XLOOKUP(Table3[[#This Row],[SKU]],'05_Daily_Orders'!$B$2:$B$328,'05_Daily_Orders'!G:G)</f>
        <v/>
      </c>
      <c r="S193" s="176">
        <f>IFERROR(R193*1,"")</f>
        <v/>
      </c>
      <c r="T193" s="600">
        <f>_xludf.IFNA(_xlfn.XLOOKUP(Table3[[#This Row],[SKU]],'00_Yield_Rates'!$B$2:$B$17,'00_Yield_Rates'!$E$2:$E$17),"")</f>
        <v/>
      </c>
    </row>
    <row r="194">
      <c r="A194" s="625" t="inlineStr">
        <is>
          <t>Tray_Pack</t>
        </is>
      </c>
      <c r="B194" s="626" t="n">
        <v>7149</v>
      </c>
      <c r="C194" s="627" t="inlineStr">
        <is>
          <t>61050#2</t>
        </is>
      </c>
      <c r="D194" s="627" t="inlineStr">
        <is>
          <t>LCL</t>
        </is>
      </c>
      <c r="E194" s="627" t="inlineStr">
        <is>
          <t>BSB</t>
        </is>
      </c>
      <c r="F194" s="627" t="n">
        <v>0</v>
      </c>
      <c r="G194" s="627" t="n">
        <v>8</v>
      </c>
      <c r="H194" s="627" t="inlineStr">
        <is>
          <t>PET 8</t>
        </is>
      </c>
      <c r="I194" s="627" t="inlineStr">
        <is>
          <t>Large</t>
        </is>
      </c>
      <c r="J194" s="628" t="inlineStr">
        <is>
          <t>MS BSHB LT PP</t>
        </is>
      </c>
      <c r="K194" s="629" t="inlineStr">
        <is>
          <t>Fast</t>
        </is>
      </c>
      <c r="L194" s="632" t="inlineStr">
        <is>
          <t>IFCO</t>
        </is>
      </c>
      <c r="M194" s="633" t="n">
        <v>92.34999999999999</v>
      </c>
      <c r="N194" s="631" t="inlineStr">
        <is>
          <t>SILVER</t>
        </is>
      </c>
      <c r="O194" s="627" t="n">
        <v>25</v>
      </c>
      <c r="P194" s="154" t="inlineStr">
        <is>
          <t>61050#2</t>
        </is>
      </c>
      <c r="R194" s="175">
        <f>_xlfn.XLOOKUP(Table3[[#This Row],[SKU]],'05_Daily_Orders'!$B$2:$B$328,'05_Daily_Orders'!G:G)</f>
        <v/>
      </c>
      <c r="S194" s="176">
        <f>IFERROR(R194*1,"")</f>
        <v/>
      </c>
      <c r="T194" s="600">
        <f>_xludf.IFNA(_xlfn.XLOOKUP(Table3[[#This Row],[SKU]],'00_Yield_Rates'!$B$2:$B$17,'00_Yield_Rates'!$E$2:$E$17),"")</f>
        <v/>
      </c>
    </row>
    <row r="195">
      <c r="A195" s="625" t="inlineStr">
        <is>
          <t>Tray_Pack</t>
        </is>
      </c>
      <c r="B195" s="626" t="n">
        <v>7150</v>
      </c>
      <c r="C195" s="627" t="inlineStr">
        <is>
          <t>61050#2</t>
        </is>
      </c>
      <c r="D195" s="627" t="inlineStr">
        <is>
          <t>LCL</t>
        </is>
      </c>
      <c r="E195" s="627" t="inlineStr">
        <is>
          <t>BSB</t>
        </is>
      </c>
      <c r="F195" s="627" t="n">
        <v>10.0947507497312</v>
      </c>
      <c r="G195" s="627" t="n">
        <v>8</v>
      </c>
      <c r="H195" s="627" t="inlineStr">
        <is>
          <t>PET 8</t>
        </is>
      </c>
      <c r="I195" s="627" t="inlineStr">
        <is>
          <t>Large</t>
        </is>
      </c>
      <c r="J195" s="628" t="inlineStr">
        <is>
          <t>MS BSHB LT PP</t>
        </is>
      </c>
      <c r="K195" s="629" t="inlineStr">
        <is>
          <t>Fast</t>
        </is>
      </c>
      <c r="L195" s="632" t="inlineStr">
        <is>
          <t>IFCO</t>
        </is>
      </c>
      <c r="M195" s="633" t="n">
        <v>113.7</v>
      </c>
      <c r="N195" s="631" t="inlineStr">
        <is>
          <t>SILVER</t>
        </is>
      </c>
      <c r="O195" s="627" t="n">
        <v>25</v>
      </c>
      <c r="P195" s="154" t="inlineStr">
        <is>
          <t>61050#2</t>
        </is>
      </c>
      <c r="R195" s="175">
        <f>_xlfn.XLOOKUP(Table3[[#This Row],[SKU]],'05_Daily_Orders'!$B$2:$B$328,'05_Daily_Orders'!G:G)</f>
        <v/>
      </c>
      <c r="S195" s="176">
        <f>IFERROR(R195*1,"")</f>
        <v/>
      </c>
      <c r="T195" s="600">
        <f>_xludf.IFNA(_xlfn.XLOOKUP(Table3[[#This Row],[SKU]],'00_Yield_Rates'!$B$2:$B$17,'00_Yield_Rates'!$E$2:$E$17),"")</f>
        <v/>
      </c>
    </row>
    <row r="196">
      <c r="A196" s="625" t="inlineStr">
        <is>
          <t>Tray_Pack</t>
        </is>
      </c>
      <c r="B196" s="626" t="n">
        <v>7153</v>
      </c>
      <c r="C196" s="627" t="inlineStr">
        <is>
          <t>61048#2</t>
        </is>
      </c>
      <c r="D196" s="627" t="inlineStr">
        <is>
          <t>LCL</t>
        </is>
      </c>
      <c r="E196" s="627" t="inlineStr">
        <is>
          <t>SplitBreast</t>
        </is>
      </c>
      <c r="F196" s="627" t="n">
        <v>0</v>
      </c>
      <c r="G196" s="627" t="n">
        <v>8</v>
      </c>
      <c r="H196" s="627" t="inlineStr">
        <is>
          <t>PET 8</t>
        </is>
      </c>
      <c r="I196" s="627" t="inlineStr">
        <is>
          <t>Large</t>
        </is>
      </c>
      <c r="J196" s="628" t="inlineStr">
        <is>
          <t>MS SKLS HB LT PP</t>
        </is>
      </c>
      <c r="K196" s="629" t="inlineStr">
        <is>
          <t>Fast</t>
        </is>
      </c>
      <c r="L196" s="629" t="inlineStr">
        <is>
          <t>IFCO</t>
        </is>
      </c>
      <c r="M196" s="630" t="n">
        <v>70.01000000000001</v>
      </c>
      <c r="N196" s="631" t="inlineStr">
        <is>
          <t>SILVER</t>
        </is>
      </c>
      <c r="O196" s="627" t="n">
        <v>25</v>
      </c>
      <c r="P196" s="154" t="inlineStr">
        <is>
          <t>61048#2</t>
        </is>
      </c>
      <c r="R196" s="175">
        <f>_xlfn.XLOOKUP(Table3[[#This Row],[SKU]],'05_Daily_Orders'!$B$2:$B$328,'05_Daily_Orders'!G:G)</f>
        <v/>
      </c>
      <c r="S196" s="176">
        <f>IFERROR(R196*1,"")</f>
        <v/>
      </c>
      <c r="T196" s="600">
        <f>_xludf.IFNA(_xlfn.XLOOKUP(Table3[[#This Row],[SKU]],'00_Yield_Rates'!$B$2:$B$17,'00_Yield_Rates'!$E$2:$E$17),"")</f>
        <v/>
      </c>
    </row>
    <row r="197">
      <c r="A197" s="625" t="inlineStr">
        <is>
          <t>Tray_Pack</t>
        </is>
      </c>
      <c r="B197" s="626" t="n">
        <v>7155</v>
      </c>
      <c r="C197" s="627" t="inlineStr">
        <is>
          <t>61050#2</t>
        </is>
      </c>
      <c r="D197" s="627" t="inlineStr">
        <is>
          <t>LCL</t>
        </is>
      </c>
      <c r="E197" s="627" t="inlineStr">
        <is>
          <t>BSB</t>
        </is>
      </c>
      <c r="F197" s="627" t="n">
        <v>0</v>
      </c>
      <c r="G197" s="627" t="n">
        <v>12</v>
      </c>
      <c r="H197" s="627" t="inlineStr">
        <is>
          <t>ST 2HP</t>
        </is>
      </c>
      <c r="I197" s="627" t="inlineStr">
        <is>
          <t>Small</t>
        </is>
      </c>
      <c r="J197" s="628" t="inlineStr">
        <is>
          <t>MS BSHB ST</t>
        </is>
      </c>
      <c r="K197" s="629" t="inlineStr">
        <is>
          <t>Fast</t>
        </is>
      </c>
      <c r="L197" s="629" t="inlineStr">
        <is>
          <t>IFCO</t>
        </is>
      </c>
      <c r="M197" s="630" t="n">
        <v>88.44</v>
      </c>
      <c r="N197" s="631" t="inlineStr">
        <is>
          <t>SILVER</t>
        </is>
      </c>
      <c r="O197" s="627" t="n">
        <v>23</v>
      </c>
      <c r="P197" s="154" t="inlineStr">
        <is>
          <t>61050#2</t>
        </is>
      </c>
      <c r="R197" s="175">
        <f>_xlfn.XLOOKUP(Table3[[#This Row],[SKU]],'05_Daily_Orders'!$B$2:$B$328,'05_Daily_Orders'!G:G)</f>
        <v/>
      </c>
      <c r="S197" s="176">
        <f>IFERROR(R197*1,"")</f>
        <v/>
      </c>
      <c r="T197" s="600">
        <f>_xludf.IFNA(_xlfn.XLOOKUP(Table3[[#This Row],[SKU]],'00_Yield_Rates'!$B$2:$B$17,'00_Yield_Rates'!$E$2:$E$17),"")</f>
        <v/>
      </c>
    </row>
    <row r="198">
      <c r="A198" s="625" t="inlineStr">
        <is>
          <t>Tray_Pack</t>
        </is>
      </c>
      <c r="B198" s="626" t="n">
        <v>7159</v>
      </c>
      <c r="C198" s="627" t="inlineStr">
        <is>
          <t>61050#2</t>
        </is>
      </c>
      <c r="D198" s="627" t="inlineStr">
        <is>
          <t>LCL</t>
        </is>
      </c>
      <c r="E198" s="627" t="inlineStr">
        <is>
          <t>BSB</t>
        </is>
      </c>
      <c r="F198" s="627" t="n"/>
      <c r="G198" s="627" t="n">
        <v>12</v>
      </c>
      <c r="H198" s="627" t="inlineStr">
        <is>
          <t>ST 2HP</t>
        </is>
      </c>
      <c r="I198" s="627" t="inlineStr">
        <is>
          <t>Small</t>
        </is>
      </c>
      <c r="J198" s="628" t="inlineStr">
        <is>
          <t>MS BSHB ST BSK</t>
        </is>
      </c>
      <c r="K198" s="629" t="inlineStr">
        <is>
          <t>Fast</t>
        </is>
      </c>
      <c r="L198" s="629" t="inlineStr">
        <is>
          <t>IFCO</t>
        </is>
      </c>
      <c r="M198" s="630" t="n">
        <v>67.90000000000001</v>
      </c>
      <c r="N198" s="631" t="inlineStr">
        <is>
          <t>SILVER</t>
        </is>
      </c>
      <c r="O198" s="627" t="n">
        <v>25</v>
      </c>
      <c r="P198" s="154" t="inlineStr">
        <is>
          <t>61050#2</t>
        </is>
      </c>
      <c r="R198" s="175">
        <f>_xlfn.XLOOKUP(Table3[[#This Row],[SKU]],'05_Daily_Orders'!$B$2:$B$328,'05_Daily_Orders'!G:G)</f>
        <v/>
      </c>
      <c r="S198" s="176">
        <f>IFERROR(R198*1,"")</f>
        <v/>
      </c>
      <c r="T198" s="600">
        <f>_xludf.IFNA(_xlfn.XLOOKUP(Table3[[#This Row],[SKU]],'00_Yield_Rates'!$B$2:$B$17,'00_Yield_Rates'!$E$2:$E$17),"")</f>
        <v/>
      </c>
    </row>
    <row r="199">
      <c r="A199" s="625" t="inlineStr">
        <is>
          <t>Tray_Pack</t>
        </is>
      </c>
      <c r="B199" s="626" t="n">
        <v>7160</v>
      </c>
      <c r="C199" s="627" t="inlineStr">
        <is>
          <t>61048#2</t>
        </is>
      </c>
      <c r="D199" s="627" t="inlineStr">
        <is>
          <t>LCL</t>
        </is>
      </c>
      <c r="E199" s="627" t="inlineStr">
        <is>
          <t>SplitBreast</t>
        </is>
      </c>
      <c r="F199" s="627" t="n"/>
      <c r="G199" s="627" t="n">
        <v>8</v>
      </c>
      <c r="H199" s="627" t="inlineStr">
        <is>
          <t>PET 8</t>
        </is>
      </c>
      <c r="I199" s="627" t="inlineStr">
        <is>
          <t>Large</t>
        </is>
      </c>
      <c r="J199" s="628" t="inlineStr">
        <is>
          <t>MS SKLS HB LT</t>
        </is>
      </c>
      <c r="K199" s="629" t="inlineStr">
        <is>
          <t>Fast</t>
        </is>
      </c>
      <c r="L199" s="629" t="inlineStr">
        <is>
          <t>IFCO</t>
        </is>
      </c>
      <c r="M199" s="630" t="n">
        <v>45.72</v>
      </c>
      <c r="N199" s="631" t="inlineStr">
        <is>
          <t>SILVER</t>
        </is>
      </c>
      <c r="O199" s="627" t="n">
        <v>25</v>
      </c>
      <c r="P199" s="154" t="inlineStr">
        <is>
          <t>61048#2</t>
        </is>
      </c>
      <c r="R199" s="175">
        <f>_xlfn.XLOOKUP(Table3[[#This Row],[SKU]],'05_Daily_Orders'!$B$2:$B$328,'05_Daily_Orders'!G:G)</f>
        <v/>
      </c>
      <c r="S199" s="176">
        <f>IFERROR(R199*1,"")</f>
        <v/>
      </c>
      <c r="T199" s="600">
        <f>_xludf.IFNA(_xlfn.XLOOKUP(Table3[[#This Row],[SKU]],'00_Yield_Rates'!$B$2:$B$17,'00_Yield_Rates'!$E$2:$E$17),"")</f>
        <v/>
      </c>
    </row>
    <row r="200">
      <c r="A200" s="625" t="inlineStr">
        <is>
          <t>Tray_Pack</t>
        </is>
      </c>
      <c r="B200" s="626" t="n">
        <v>7161</v>
      </c>
      <c r="C200" s="627" t="inlineStr">
        <is>
          <t>61040#2</t>
        </is>
      </c>
      <c r="D200" s="627" t="inlineStr">
        <is>
          <t>LCL</t>
        </is>
      </c>
      <c r="E200" s="627" t="inlineStr">
        <is>
          <t>SplitBreast</t>
        </is>
      </c>
      <c r="F200" s="627" t="n"/>
      <c r="G200" s="627" t="n">
        <v>8</v>
      </c>
      <c r="H200" s="627" t="inlineStr">
        <is>
          <t>PET 8</t>
        </is>
      </c>
      <c r="I200" s="627" t="inlineStr">
        <is>
          <t>Large</t>
        </is>
      </c>
      <c r="J200" s="628" t="inlineStr">
        <is>
          <t>MS HB LT</t>
        </is>
      </c>
      <c r="K200" s="629" t="inlineStr">
        <is>
          <t>Fast</t>
        </is>
      </c>
      <c r="L200" s="629" t="inlineStr">
        <is>
          <t>IFCO</t>
        </is>
      </c>
      <c r="M200" s="630" t="n">
        <v>0</v>
      </c>
      <c r="N200" s="631" t="inlineStr">
        <is>
          <t>SILVER</t>
        </is>
      </c>
      <c r="O200" s="627" t="n">
        <v>25</v>
      </c>
      <c r="P200" s="154" t="inlineStr">
        <is>
          <t>61040#2</t>
        </is>
      </c>
      <c r="R200" s="175">
        <f>_xlfn.XLOOKUP(Table3[[#This Row],[SKU]],'05_Daily_Orders'!$B$2:$B$328,'05_Daily_Orders'!G:G)</f>
        <v/>
      </c>
      <c r="S200" s="176">
        <f>IFERROR(R200*1,"")</f>
        <v/>
      </c>
      <c r="T200" s="600">
        <f>_xludf.IFNA(_xlfn.XLOOKUP(Table3[[#This Row],[SKU]],'00_Yield_Rates'!$B$2:$B$17,'00_Yield_Rates'!$E$2:$E$17),"")</f>
        <v/>
      </c>
    </row>
    <row r="201">
      <c r="A201" s="625" t="inlineStr">
        <is>
          <t>Tray_Pack</t>
        </is>
      </c>
      <c r="B201" s="626" t="n">
        <v>7162</v>
      </c>
      <c r="C201" s="627" t="inlineStr">
        <is>
          <t>61086#2</t>
        </is>
      </c>
      <c r="D201" s="627" t="inlineStr">
        <is>
          <t>LCL</t>
        </is>
      </c>
      <c r="E201" s="627" t="inlineStr">
        <is>
          <t>ThighMeat</t>
        </is>
      </c>
      <c r="F201" s="627" t="n"/>
      <c r="G201" s="627" t="n">
        <v>8</v>
      </c>
      <c r="H201" s="627" t="inlineStr">
        <is>
          <t>PET 8</t>
        </is>
      </c>
      <c r="I201" s="627" t="inlineStr">
        <is>
          <t>Large</t>
        </is>
      </c>
      <c r="J201" s="628" t="inlineStr">
        <is>
          <t>MS BSTHIGH LT</t>
        </is>
      </c>
      <c r="K201" s="629" t="inlineStr">
        <is>
          <t>Slow</t>
        </is>
      </c>
      <c r="L201" s="629" t="inlineStr">
        <is>
          <t>IFCO</t>
        </is>
      </c>
      <c r="M201" s="630" t="n">
        <v>0</v>
      </c>
      <c r="N201" s="631" t="inlineStr">
        <is>
          <t>SILVER</t>
        </is>
      </c>
      <c r="O201" s="627" t="n">
        <v>25</v>
      </c>
      <c r="P201" s="154" t="inlineStr">
        <is>
          <t>61086#2</t>
        </is>
      </c>
      <c r="R201" s="175">
        <f>_xlfn.XLOOKUP(Table3[[#This Row],[SKU]],'05_Daily_Orders'!$B$2:$B$328,'05_Daily_Orders'!G:G)</f>
        <v/>
      </c>
      <c r="S201" s="176">
        <f>IFERROR(R201*1,"")</f>
        <v/>
      </c>
      <c r="T201" s="600">
        <f>_xludf.IFNA(_xlfn.XLOOKUP(Table3[[#This Row],[SKU]],'00_Yield_Rates'!$B$2:$B$17,'00_Yield_Rates'!$E$2:$E$17),"")</f>
        <v/>
      </c>
    </row>
    <row r="202">
      <c r="A202" s="625" t="inlineStr">
        <is>
          <t>Tray_Pack</t>
        </is>
      </c>
      <c r="B202" s="626" t="n">
        <v>7163</v>
      </c>
      <c r="C202" s="627" t="n">
        <v>61082</v>
      </c>
      <c r="D202" s="627" t="inlineStr">
        <is>
          <t>LCL</t>
        </is>
      </c>
      <c r="E202" s="627" t="inlineStr">
        <is>
          <t>Thigh</t>
        </is>
      </c>
      <c r="F202" s="627" t="n"/>
      <c r="G202" s="627" t="n">
        <v>8</v>
      </c>
      <c r="H202" s="627" t="inlineStr">
        <is>
          <t>PET 8</t>
        </is>
      </c>
      <c r="I202" s="627" t="inlineStr">
        <is>
          <t>Large</t>
        </is>
      </c>
      <c r="J202" s="628" t="inlineStr">
        <is>
          <t>MS THIGH LT</t>
        </is>
      </c>
      <c r="K202" s="632" t="inlineStr">
        <is>
          <t>Fast</t>
        </is>
      </c>
      <c r="L202" s="629" t="inlineStr">
        <is>
          <t>IFCO</t>
        </is>
      </c>
      <c r="M202" s="630" t="n">
        <v>0</v>
      </c>
      <c r="N202" s="631" t="inlineStr">
        <is>
          <t>SILVER</t>
        </is>
      </c>
      <c r="O202" s="627" t="n">
        <v>25</v>
      </c>
      <c r="P202" s="154" t="n">
        <v>61082</v>
      </c>
      <c r="R202" s="175">
        <f>_xlfn.XLOOKUP(Table3[[#This Row],[SKU]],'05_Daily_Orders'!$B$2:$B$328,'05_Daily_Orders'!G:G)</f>
        <v/>
      </c>
      <c r="S202" s="176">
        <f>IFERROR(R202*1,"")</f>
        <v/>
      </c>
      <c r="T202" s="600">
        <f>_xludf.IFNA(_xlfn.XLOOKUP(Table3[[#This Row],[SKU]],'00_Yield_Rates'!$B$2:$B$17,'00_Yield_Rates'!$E$2:$E$17),"")</f>
        <v/>
      </c>
    </row>
    <row r="203">
      <c r="A203" s="625" t="inlineStr">
        <is>
          <t>Tray_Pack</t>
        </is>
      </c>
      <c r="B203" s="626" t="n">
        <v>7164</v>
      </c>
      <c r="C203" s="627" t="inlineStr">
        <is>
          <t>61072#2</t>
        </is>
      </c>
      <c r="D203" s="627" t="inlineStr">
        <is>
          <t>LCL</t>
        </is>
      </c>
      <c r="E203" s="627" t="inlineStr">
        <is>
          <t>Drum</t>
        </is>
      </c>
      <c r="F203" s="627" t="n"/>
      <c r="G203" s="627" t="n">
        <v>8</v>
      </c>
      <c r="H203" s="627" t="inlineStr">
        <is>
          <t>PET 8</t>
        </is>
      </c>
      <c r="I203" s="627" t="inlineStr">
        <is>
          <t>Large</t>
        </is>
      </c>
      <c r="J203" s="628" t="inlineStr">
        <is>
          <t>MS DRUM LT</t>
        </is>
      </c>
      <c r="K203" s="632" t="inlineStr">
        <is>
          <t>Fast</t>
        </is>
      </c>
      <c r="L203" s="629" t="inlineStr">
        <is>
          <t>IFCO</t>
        </is>
      </c>
      <c r="M203" s="630" t="n">
        <v>0</v>
      </c>
      <c r="N203" s="631" t="inlineStr">
        <is>
          <t>SILVER</t>
        </is>
      </c>
      <c r="O203" s="627" t="n">
        <v>25</v>
      </c>
      <c r="P203" s="154" t="inlineStr">
        <is>
          <t>61072#2</t>
        </is>
      </c>
      <c r="R203" s="175">
        <f>_xlfn.XLOOKUP(Table3[[#This Row],[SKU]],'05_Daily_Orders'!$B$2:$B$328,'05_Daily_Orders'!G:G)</f>
        <v/>
      </c>
      <c r="S203" s="176">
        <f>IFERROR(R203*1,"")</f>
        <v/>
      </c>
      <c r="T203" s="600">
        <f>_xludf.IFNA(_xlfn.XLOOKUP(Table3[[#This Row],[SKU]],'00_Yield_Rates'!$B$2:$B$17,'00_Yield_Rates'!$E$2:$E$17),"")</f>
        <v/>
      </c>
    </row>
    <row r="204">
      <c r="A204" s="625" t="inlineStr">
        <is>
          <t>Tray_Pack</t>
        </is>
      </c>
      <c r="B204" s="626" t="n">
        <v>7165</v>
      </c>
      <c r="C204" s="627" t="n">
        <v>61061</v>
      </c>
      <c r="D204" s="627" t="inlineStr">
        <is>
          <t>LCL</t>
        </is>
      </c>
      <c r="E204" s="627" t="inlineStr">
        <is>
          <t>BA</t>
        </is>
      </c>
      <c r="F204" s="627" t="n"/>
      <c r="G204" s="627" t="n">
        <v>8</v>
      </c>
      <c r="H204" s="627" t="inlineStr">
        <is>
          <t>PET 8</t>
        </is>
      </c>
      <c r="I204" s="627" t="inlineStr">
        <is>
          <t>Large</t>
        </is>
      </c>
      <c r="J204" s="628" t="inlineStr">
        <is>
          <t>MS LEG BA LT</t>
        </is>
      </c>
      <c r="K204" s="632" t="inlineStr">
        <is>
          <t>Fast</t>
        </is>
      </c>
      <c r="L204" s="632" t="inlineStr">
        <is>
          <t>IFCO</t>
        </is>
      </c>
      <c r="M204" s="633" t="n">
        <v>0</v>
      </c>
      <c r="N204" s="631" t="inlineStr">
        <is>
          <t>SILVER</t>
        </is>
      </c>
      <c r="O204" s="627" t="n">
        <v>25</v>
      </c>
      <c r="P204" s="154" t="n">
        <v>61061</v>
      </c>
      <c r="R204" s="175">
        <f>_xlfn.XLOOKUP(Table3[[#This Row],[SKU]],'05_Daily_Orders'!$B$2:$B$328,'05_Daily_Orders'!G:G)</f>
        <v/>
      </c>
      <c r="S204" s="176">
        <f>IFERROR(R204*1,"")</f>
        <v/>
      </c>
      <c r="T204" s="600">
        <f>_xludf.IFNA(_xlfn.XLOOKUP(Table3[[#This Row],[SKU]],'00_Yield_Rates'!$B$2:$B$17,'00_Yield_Rates'!$E$2:$E$17),"")</f>
        <v/>
      </c>
    </row>
    <row r="205">
      <c r="A205" s="625" t="inlineStr">
        <is>
          <t>Tray_Pack</t>
        </is>
      </c>
      <c r="B205" s="626" t="n">
        <v>7166</v>
      </c>
      <c r="C205" s="627" t="n">
        <v>61010</v>
      </c>
      <c r="D205" s="627" t="inlineStr">
        <is>
          <t>LCL</t>
        </is>
      </c>
      <c r="E205" s="627" t="inlineStr">
        <is>
          <t>Whole Wing-Large</t>
        </is>
      </c>
      <c r="F205" s="627" t="n"/>
      <c r="G205" s="627" t="n">
        <v>8</v>
      </c>
      <c r="H205" s="627" t="inlineStr">
        <is>
          <t>PET 8</t>
        </is>
      </c>
      <c r="I205" s="627" t="inlineStr">
        <is>
          <t>Large</t>
        </is>
      </c>
      <c r="J205" s="628" t="inlineStr">
        <is>
          <t>MS WING LT</t>
        </is>
      </c>
      <c r="K205" s="629" t="inlineStr">
        <is>
          <t>Fast</t>
        </is>
      </c>
      <c r="L205" s="629" t="inlineStr">
        <is>
          <t>IFCO</t>
        </is>
      </c>
      <c r="M205" s="630" t="n">
        <v>0</v>
      </c>
      <c r="N205" s="631" t="inlineStr">
        <is>
          <t>SILVER</t>
        </is>
      </c>
      <c r="O205" s="627" t="n">
        <v>25</v>
      </c>
      <c r="P205" s="154" t="n">
        <v>61010</v>
      </c>
      <c r="R205" s="175">
        <f>_xlfn.XLOOKUP(Table3[[#This Row],[SKU]],'05_Daily_Orders'!$B$2:$B$328,'05_Daily_Orders'!G:G)</f>
        <v/>
      </c>
      <c r="S205" s="176">
        <f>IFERROR(R205*1,"")</f>
        <v/>
      </c>
      <c r="T205" s="600">
        <f>_xludf.IFNA(_xlfn.XLOOKUP(Table3[[#This Row],[SKU]],'00_Yield_Rates'!$B$2:$B$17,'00_Yield_Rates'!$E$2:$E$17),"")</f>
        <v/>
      </c>
    </row>
    <row r="206">
      <c r="A206" s="625" t="inlineStr">
        <is>
          <t>Tray_Pack</t>
        </is>
      </c>
      <c r="B206" s="626" t="n">
        <v>7168</v>
      </c>
      <c r="C206" s="627" t="inlineStr">
        <is>
          <t>61072#2</t>
        </is>
      </c>
      <c r="D206" s="627" t="inlineStr">
        <is>
          <t>LCL</t>
        </is>
      </c>
      <c r="E206" s="627" t="inlineStr">
        <is>
          <t>Drum</t>
        </is>
      </c>
      <c r="F206" s="627" t="n">
        <v>0</v>
      </c>
      <c r="G206" s="627" t="n">
        <v>8</v>
      </c>
      <c r="H206" s="627" t="inlineStr">
        <is>
          <t>PET 8</t>
        </is>
      </c>
      <c r="I206" s="627" t="inlineStr">
        <is>
          <t>Large</t>
        </is>
      </c>
      <c r="J206" s="628" t="inlineStr">
        <is>
          <t>PB DRUM LT PP</t>
        </is>
      </c>
      <c r="K206" s="632" t="inlineStr">
        <is>
          <t>Fast</t>
        </is>
      </c>
      <c r="L206" s="632" t="inlineStr">
        <is>
          <t>IFCO</t>
        </is>
      </c>
      <c r="M206" s="633" t="n">
        <v>42.33</v>
      </c>
      <c r="N206" s="631" t="inlineStr">
        <is>
          <t>SILVER</t>
        </is>
      </c>
      <c r="O206" s="627" t="n">
        <v>25</v>
      </c>
      <c r="P206" s="154" t="inlineStr">
        <is>
          <t>61072#2</t>
        </is>
      </c>
      <c r="R206" s="175">
        <f>_xlfn.XLOOKUP(Table3[[#This Row],[SKU]],'05_Daily_Orders'!$B$2:$B$328,'05_Daily_Orders'!G:G)</f>
        <v/>
      </c>
      <c r="S206" s="176">
        <f>IFERROR(R206*1,"")</f>
        <v/>
      </c>
      <c r="T206" s="600">
        <f>_xludf.IFNA(_xlfn.XLOOKUP(Table3[[#This Row],[SKU]],'00_Yield_Rates'!$B$2:$B$17,'00_Yield_Rates'!$E$2:$E$17),"")</f>
        <v/>
      </c>
    </row>
    <row r="207">
      <c r="A207" s="625" t="inlineStr">
        <is>
          <t>Tray_Pack</t>
        </is>
      </c>
      <c r="B207" s="626" t="n">
        <v>7169</v>
      </c>
      <c r="C207" s="627" t="n">
        <v>61082</v>
      </c>
      <c r="D207" s="627" t="inlineStr">
        <is>
          <t>LCL</t>
        </is>
      </c>
      <c r="E207" s="627" t="inlineStr">
        <is>
          <t>Thigh</t>
        </is>
      </c>
      <c r="F207" s="627" t="n"/>
      <c r="G207" s="627" t="n">
        <v>8</v>
      </c>
      <c r="H207" s="627" t="inlineStr">
        <is>
          <t>PET 8</t>
        </is>
      </c>
      <c r="I207" s="627" t="inlineStr">
        <is>
          <t>Large</t>
        </is>
      </c>
      <c r="J207" s="628" t="inlineStr">
        <is>
          <t>PB THIGH LT PP</t>
        </is>
      </c>
      <c r="K207" s="632" t="inlineStr">
        <is>
          <t>Fast</t>
        </is>
      </c>
      <c r="L207" s="629" t="inlineStr">
        <is>
          <t>IFCO</t>
        </is>
      </c>
      <c r="M207" s="630" t="n">
        <v>45.72</v>
      </c>
      <c r="N207" s="631" t="inlineStr">
        <is>
          <t>SILVER</t>
        </is>
      </c>
      <c r="O207" s="627" t="n">
        <v>25</v>
      </c>
      <c r="P207" s="154" t="n">
        <v>61082</v>
      </c>
      <c r="R207" s="175">
        <f>_xlfn.XLOOKUP(Table3[[#This Row],[SKU]],'05_Daily_Orders'!$B$2:$B$328,'05_Daily_Orders'!G:G)</f>
        <v/>
      </c>
      <c r="S207" s="176">
        <f>IFERROR(R207*1,"")</f>
        <v/>
      </c>
      <c r="T207" s="600">
        <f>_xludf.IFNA(_xlfn.XLOOKUP(Table3[[#This Row],[SKU]],'00_Yield_Rates'!$B$2:$B$17,'00_Yield_Rates'!$E$2:$E$17),"")</f>
        <v/>
      </c>
    </row>
    <row r="208">
      <c r="A208" s="625" t="inlineStr">
        <is>
          <t>Tray_Pack</t>
        </is>
      </c>
      <c r="B208" s="626" t="n">
        <v>7171</v>
      </c>
      <c r="C208" s="627" t="inlineStr">
        <is>
          <t>61086#2</t>
        </is>
      </c>
      <c r="D208" s="627" t="inlineStr">
        <is>
          <t>LCL</t>
        </is>
      </c>
      <c r="E208" s="627" t="inlineStr">
        <is>
          <t>ThighMeat</t>
        </is>
      </c>
      <c r="F208" s="627" t="n"/>
      <c r="G208" s="627" t="n">
        <v>8</v>
      </c>
      <c r="H208" s="627" t="inlineStr">
        <is>
          <t>PET 8</t>
        </is>
      </c>
      <c r="I208" s="627" t="inlineStr">
        <is>
          <t>Large</t>
        </is>
      </c>
      <c r="J208" s="628" t="inlineStr">
        <is>
          <t>PB BSTHIGH LT PP</t>
        </is>
      </c>
      <c r="K208" s="629" t="inlineStr">
        <is>
          <t>Slow</t>
        </is>
      </c>
      <c r="L208" s="629" t="inlineStr">
        <is>
          <t>IFCO</t>
        </is>
      </c>
      <c r="M208" s="630" t="n">
        <v>0</v>
      </c>
      <c r="N208" s="631" t="inlineStr">
        <is>
          <t>SILVER</t>
        </is>
      </c>
      <c r="O208" s="627" t="n">
        <v>25</v>
      </c>
      <c r="P208" s="154" t="inlineStr">
        <is>
          <t>61086#2</t>
        </is>
      </c>
      <c r="R208" s="175">
        <f>_xlfn.XLOOKUP(Table3[[#This Row],[SKU]],'05_Daily_Orders'!$B$2:$B$328,'05_Daily_Orders'!G:G)</f>
        <v/>
      </c>
      <c r="S208" s="176">
        <f>IFERROR(R208*1,"")</f>
        <v/>
      </c>
      <c r="T208" s="600">
        <f>_xludf.IFNA(_xlfn.XLOOKUP(Table3[[#This Row],[SKU]],'00_Yield_Rates'!$B$2:$B$17,'00_Yield_Rates'!$E$2:$E$17),"")</f>
        <v/>
      </c>
    </row>
    <row r="209">
      <c r="A209" s="625" t="inlineStr">
        <is>
          <t>Tray_Pack</t>
        </is>
      </c>
      <c r="B209" s="626" t="n">
        <v>7173</v>
      </c>
      <c r="C209" s="627" t="inlineStr">
        <is>
          <t>61072#2</t>
        </is>
      </c>
      <c r="D209" s="627" t="inlineStr">
        <is>
          <t>LCL</t>
        </is>
      </c>
      <c r="E209" s="627" t="inlineStr">
        <is>
          <t>Drum</t>
        </is>
      </c>
      <c r="F209" s="627" t="n"/>
      <c r="G209" s="627" t="n">
        <v>6</v>
      </c>
      <c r="H209" s="627" t="inlineStr">
        <is>
          <t>LT 14D</t>
        </is>
      </c>
      <c r="I209" s="627" t="inlineStr">
        <is>
          <t>Clubpack</t>
        </is>
      </c>
      <c r="J209" s="628" t="inlineStr">
        <is>
          <t>MS DRUM LCP</t>
        </is>
      </c>
      <c r="K209" s="629" t="inlineStr">
        <is>
          <t>Fast</t>
        </is>
      </c>
      <c r="L209" s="629" t="inlineStr">
        <is>
          <t>IFCO</t>
        </is>
      </c>
      <c r="M209" s="630" t="n">
        <v>79.25</v>
      </c>
      <c r="N209" s="631" t="inlineStr">
        <is>
          <t>SILVER</t>
        </is>
      </c>
      <c r="O209" s="627" t="n">
        <v>25</v>
      </c>
      <c r="P209" s="154" t="inlineStr">
        <is>
          <t>61072#2</t>
        </is>
      </c>
      <c r="R209" s="175">
        <f>_xlfn.XLOOKUP(Table3[[#This Row],[SKU]],'05_Daily_Orders'!$B$2:$B$328,'05_Daily_Orders'!G:G)</f>
        <v/>
      </c>
      <c r="S209" s="176">
        <f>IFERROR(R209*1,"")</f>
        <v/>
      </c>
      <c r="T209" s="600">
        <f>_xludf.IFNA(_xlfn.XLOOKUP(Table3[[#This Row],[SKU]],'00_Yield_Rates'!$B$2:$B$17,'00_Yield_Rates'!$E$2:$E$17),"")</f>
        <v/>
      </c>
    </row>
    <row r="210">
      <c r="A210" s="625" t="inlineStr">
        <is>
          <t>Tray_Pack</t>
        </is>
      </c>
      <c r="B210" s="626" t="n">
        <v>7178</v>
      </c>
      <c r="C210" s="627" t="n">
        <v>203891</v>
      </c>
      <c r="D210" s="627" t="inlineStr">
        <is>
          <t>LCL</t>
        </is>
      </c>
      <c r="E210" s="627" t="inlineStr">
        <is>
          <t>Whole Bird-Large</t>
        </is>
      </c>
      <c r="F210" s="627" t="n">
        <v>0</v>
      </c>
      <c r="G210" s="627" t="n">
        <v>3</v>
      </c>
      <c r="H210" s="627" t="inlineStr">
        <is>
          <t>PET 9</t>
        </is>
      </c>
      <c r="I210" s="627" t="inlineStr">
        <is>
          <t>Large</t>
        </is>
      </c>
      <c r="J210" s="628" t="inlineStr">
        <is>
          <t>PB 1.1-1.4 FRY WOG TI 2/LT</t>
        </is>
      </c>
      <c r="K210" s="632" t="inlineStr">
        <is>
          <t>Fast</t>
        </is>
      </c>
      <c r="L210" s="629" t="inlineStr">
        <is>
          <t>IFCO</t>
        </is>
      </c>
      <c r="M210" s="630" t="n">
        <v>133.08</v>
      </c>
      <c r="N210" s="631" t="n"/>
      <c r="O210" s="627" t="n">
        <v>25</v>
      </c>
      <c r="P210" s="154" t="n">
        <v>203891</v>
      </c>
      <c r="R210" s="175">
        <f>_xlfn.XLOOKUP(Table3[[#This Row],[SKU]],'05_Daily_Orders'!$B$2:$B$328,'05_Daily_Orders'!G:G)</f>
        <v/>
      </c>
      <c r="S210" s="176">
        <f>IFERROR(R210*1,"")</f>
        <v/>
      </c>
      <c r="T210" s="600">
        <f>_xludf.IFNA(_xlfn.XLOOKUP(Table3[[#This Row],[SKU]],'00_Yield_Rates'!$B$2:$B$17,'00_Yield_Rates'!$E$2:$E$17),"")</f>
        <v/>
      </c>
    </row>
    <row r="211">
      <c r="A211" s="625" t="inlineStr">
        <is>
          <t>Tray_Pack</t>
        </is>
      </c>
      <c r="B211" s="626" t="n">
        <v>7179</v>
      </c>
      <c r="C211" s="627" t="inlineStr">
        <is>
          <t>61050#2</t>
        </is>
      </c>
      <c r="D211" s="627" t="inlineStr">
        <is>
          <t>LCL</t>
        </is>
      </c>
      <c r="E211" s="627" t="inlineStr">
        <is>
          <t>BSB</t>
        </is>
      </c>
      <c r="F211" s="627" t="n">
        <v>10.0207099518003</v>
      </c>
      <c r="G211" s="627" t="n">
        <v>8</v>
      </c>
      <c r="H211" s="627" t="inlineStr">
        <is>
          <t>PET 8</t>
        </is>
      </c>
      <c r="I211" s="627" t="inlineStr">
        <is>
          <t>Large</t>
        </is>
      </c>
      <c r="J211" s="628" t="inlineStr">
        <is>
          <t>MS BSHB LT PP</t>
        </is>
      </c>
      <c r="K211" s="629" t="inlineStr">
        <is>
          <t>Fast</t>
        </is>
      </c>
      <c r="L211" s="632" t="inlineStr">
        <is>
          <t>IFCO</t>
        </is>
      </c>
      <c r="M211" s="633" t="n">
        <v>113.7</v>
      </c>
      <c r="N211" s="631" t="inlineStr">
        <is>
          <t>SILVER</t>
        </is>
      </c>
      <c r="O211" s="627" t="n">
        <v>25</v>
      </c>
      <c r="P211" s="154" t="inlineStr">
        <is>
          <t>61050#2</t>
        </is>
      </c>
      <c r="R211" s="175">
        <f>_xlfn.XLOOKUP(Table3[[#This Row],[SKU]],'05_Daily_Orders'!$B$2:$B$328,'05_Daily_Orders'!G:G)</f>
        <v/>
      </c>
      <c r="S211" s="176">
        <f>IFERROR(R211*1,"")</f>
        <v/>
      </c>
      <c r="T211" s="600">
        <f>_xludf.IFNA(_xlfn.XLOOKUP(Table3[[#This Row],[SKU]],'00_Yield_Rates'!$B$2:$B$17,'00_Yield_Rates'!$E$2:$E$17),"")</f>
        <v/>
      </c>
    </row>
    <row r="212">
      <c r="A212" s="625" t="inlineStr">
        <is>
          <t>Tray_Pack</t>
        </is>
      </c>
      <c r="B212" s="626" t="n">
        <v>7188</v>
      </c>
      <c r="C212" s="627" t="n">
        <v>61072</v>
      </c>
      <c r="D212" s="627" t="inlineStr">
        <is>
          <t>LCL</t>
        </is>
      </c>
      <c r="E212" s="627" t="inlineStr">
        <is>
          <t>Drum</t>
        </is>
      </c>
      <c r="F212" s="627" t="n">
        <v>0</v>
      </c>
      <c r="G212" s="627" t="n">
        <v>8</v>
      </c>
      <c r="H212" s="627" t="inlineStr">
        <is>
          <t>PET 8</t>
        </is>
      </c>
      <c r="I212" s="627" t="inlineStr">
        <is>
          <t>Large</t>
        </is>
      </c>
      <c r="J212" s="628" t="inlineStr">
        <is>
          <t>PB PC DRUM AC PET 8</t>
        </is>
      </c>
      <c r="K212" s="632" t="inlineStr">
        <is>
          <t>Fast</t>
        </is>
      </c>
      <c r="L212" s="629" t="inlineStr">
        <is>
          <t>IFCO</t>
        </is>
      </c>
      <c r="M212" s="630" t="n">
        <v>52.6</v>
      </c>
      <c r="N212" s="631" t="inlineStr">
        <is>
          <t>PLATINUM</t>
        </is>
      </c>
      <c r="O212" s="627" t="n">
        <v>25</v>
      </c>
      <c r="P212" s="154" t="n">
        <v>61072</v>
      </c>
      <c r="R212" s="175">
        <f>_xlfn.XLOOKUP(Table3[[#This Row],[SKU]],'05_Daily_Orders'!$B$2:$B$328,'05_Daily_Orders'!G:G)</f>
        <v/>
      </c>
      <c r="S212" s="176">
        <f>IFERROR(R212*1,"")</f>
        <v/>
      </c>
      <c r="T212" s="600">
        <f>_xludf.IFNA(_xlfn.XLOOKUP(Table3[[#This Row],[SKU]],'00_Yield_Rates'!$B$2:$B$17,'00_Yield_Rates'!$E$2:$E$17),"")</f>
        <v/>
      </c>
    </row>
    <row r="213">
      <c r="A213" s="625" t="inlineStr">
        <is>
          <t>Tray_Pack</t>
        </is>
      </c>
      <c r="B213" s="626" t="n">
        <v>7189</v>
      </c>
      <c r="C213" s="627" t="n">
        <v>61077</v>
      </c>
      <c r="D213" s="627" t="inlineStr">
        <is>
          <t>LCL</t>
        </is>
      </c>
      <c r="E213" s="627" t="inlineStr">
        <is>
          <t>Thigh</t>
        </is>
      </c>
      <c r="F213" s="627" t="n">
        <v>0</v>
      </c>
      <c r="G213" s="627" t="n">
        <v>8</v>
      </c>
      <c r="H213" s="627" t="inlineStr">
        <is>
          <t>PET 8</t>
        </is>
      </c>
      <c r="I213" s="627" t="inlineStr">
        <is>
          <t>Large</t>
        </is>
      </c>
      <c r="J213" s="628" t="inlineStr">
        <is>
          <t>PB PC THIGH AC PET 8</t>
        </is>
      </c>
      <c r="K213" s="632" t="inlineStr">
        <is>
          <t>Fast</t>
        </is>
      </c>
      <c r="L213" s="629" t="inlineStr">
        <is>
          <t>IFCO</t>
        </is>
      </c>
      <c r="M213" s="630" t="n">
        <v>60.11</v>
      </c>
      <c r="N213" s="631" t="inlineStr">
        <is>
          <t>PLATINUM</t>
        </is>
      </c>
      <c r="O213" s="627" t="n">
        <v>25</v>
      </c>
      <c r="P213" s="154" t="n">
        <v>61077</v>
      </c>
      <c r="R213" s="175">
        <f>_xlfn.XLOOKUP(Table3[[#This Row],[SKU]],'05_Daily_Orders'!$B$2:$B$328,'05_Daily_Orders'!G:G)</f>
        <v/>
      </c>
      <c r="S213" s="176">
        <f>IFERROR(R213*1,"")</f>
        <v/>
      </c>
      <c r="T213" s="600">
        <f>_xludf.IFNA(_xlfn.XLOOKUP(Table3[[#This Row],[SKU]],'00_Yield_Rates'!$B$2:$B$17,'00_Yield_Rates'!$E$2:$E$17),"")</f>
        <v/>
      </c>
    </row>
    <row r="214">
      <c r="A214" s="625" t="inlineStr">
        <is>
          <t>Tray_Pack</t>
        </is>
      </c>
      <c r="B214" s="626" t="n">
        <v>7191</v>
      </c>
      <c r="C214" s="627" t="n">
        <v>61061</v>
      </c>
      <c r="D214" s="627" t="inlineStr">
        <is>
          <t>LCL</t>
        </is>
      </c>
      <c r="E214" s="627" t="inlineStr">
        <is>
          <t>BA</t>
        </is>
      </c>
      <c r="F214" s="627" t="n">
        <v>0</v>
      </c>
      <c r="G214" s="627" t="n">
        <v>8</v>
      </c>
      <c r="H214" s="627" t="inlineStr">
        <is>
          <t>PET 8</t>
        </is>
      </c>
      <c r="I214" s="627" t="inlineStr">
        <is>
          <t>Large</t>
        </is>
      </c>
      <c r="J214" s="628" t="inlineStr">
        <is>
          <t>PB LEG BA LT PP</t>
        </is>
      </c>
      <c r="K214" s="632" t="inlineStr">
        <is>
          <t>Fast</t>
        </is>
      </c>
      <c r="L214" s="629" t="inlineStr">
        <is>
          <t>IFCO</t>
        </is>
      </c>
      <c r="M214" s="630" t="n">
        <v>82.95999999999999</v>
      </c>
      <c r="N214" s="631" t="inlineStr">
        <is>
          <t>SILVER</t>
        </is>
      </c>
      <c r="O214" s="627" t="n">
        <v>25</v>
      </c>
      <c r="P214" s="154" t="n">
        <v>61061</v>
      </c>
      <c r="R214" s="175">
        <f>_xlfn.XLOOKUP(Table3[[#This Row],[SKU]],'05_Daily_Orders'!$B$2:$B$328,'05_Daily_Orders'!G:G)</f>
        <v/>
      </c>
      <c r="S214" s="176">
        <f>IFERROR(R214*1,"")</f>
        <v/>
      </c>
      <c r="T214" s="600">
        <f>_xludf.IFNA(_xlfn.XLOOKUP(Table3[[#This Row],[SKU]],'00_Yield_Rates'!$B$2:$B$17,'00_Yield_Rates'!$E$2:$E$17),"")</f>
        <v/>
      </c>
    </row>
    <row r="215">
      <c r="A215" s="625" t="inlineStr">
        <is>
          <t>Tray_Pack</t>
        </is>
      </c>
      <c r="B215" s="626" t="n">
        <v>7192</v>
      </c>
      <c r="C215" s="627" t="n">
        <v>203152</v>
      </c>
      <c r="D215" s="627" t="inlineStr">
        <is>
          <t>RWA</t>
        </is>
      </c>
      <c r="E215" s="627" t="inlineStr">
        <is>
          <t>Whole Bird-Large</t>
        </is>
      </c>
      <c r="F215" s="627" t="n"/>
      <c r="G215" s="627" t="n">
        <v>4</v>
      </c>
      <c r="H215" s="627" t="inlineStr">
        <is>
          <t>PET 9</t>
        </is>
      </c>
      <c r="I215" s="627" t="inlineStr">
        <is>
          <t>Large</t>
        </is>
      </c>
      <c r="J215" s="628" t="inlineStr">
        <is>
          <t>RWA FRY WOG AC TI 2/LT</t>
        </is>
      </c>
      <c r="K215" s="632" t="inlineStr">
        <is>
          <t>Fast</t>
        </is>
      </c>
      <c r="L215" s="632" t="inlineStr">
        <is>
          <t>IFCO</t>
        </is>
      </c>
      <c r="M215" s="633" t="n">
        <v>288.67</v>
      </c>
      <c r="N215" s="631" t="n"/>
      <c r="O215" s="627" t="n">
        <v>25</v>
      </c>
      <c r="P215" s="154" t="n">
        <v>203152</v>
      </c>
      <c r="R215" s="175">
        <f>_xlfn.XLOOKUP(Table3[[#This Row],[SKU]],'05_Daily_Orders'!$B$2:$B$328,'05_Daily_Orders'!G:G)</f>
        <v/>
      </c>
      <c r="S215" s="176">
        <f>IFERROR(R215*1,"")</f>
        <v/>
      </c>
      <c r="T215" s="600">
        <f>_xludf.IFNA(_xlfn.XLOOKUP(Table3[[#This Row],[SKU]],'00_Yield_Rates'!$B$2:$B$17,'00_Yield_Rates'!$E$2:$E$17),"")</f>
        <v/>
      </c>
    </row>
    <row r="216">
      <c r="A216" s="625" t="inlineStr">
        <is>
          <t>Tray_Pack</t>
        </is>
      </c>
      <c r="B216" s="626" t="n">
        <v>7193</v>
      </c>
      <c r="C216" s="627" t="inlineStr">
        <is>
          <t>61072#2</t>
        </is>
      </c>
      <c r="D216" s="627" t="inlineStr">
        <is>
          <t>LCL</t>
        </is>
      </c>
      <c r="E216" s="627" t="inlineStr">
        <is>
          <t>Drum</t>
        </is>
      </c>
      <c r="F216" s="627" t="n"/>
      <c r="G216" s="627" t="n">
        <v>6</v>
      </c>
      <c r="H216" s="627" t="inlineStr">
        <is>
          <t>LT 14D</t>
        </is>
      </c>
      <c r="I216" s="627" t="inlineStr">
        <is>
          <t>Large</t>
        </is>
      </c>
      <c r="J216" s="628" t="inlineStr">
        <is>
          <t>MS DRUM LCP</t>
        </is>
      </c>
      <c r="K216" s="629" t="inlineStr">
        <is>
          <t>Fast</t>
        </is>
      </c>
      <c r="L216" s="629" t="inlineStr">
        <is>
          <t>IFCO</t>
        </is>
      </c>
      <c r="M216" s="630" t="n">
        <v>35.31</v>
      </c>
      <c r="N216" s="631" t="inlineStr">
        <is>
          <t>SILVER</t>
        </is>
      </c>
      <c r="O216" s="627" t="n">
        <v>25</v>
      </c>
      <c r="P216" s="154" t="inlineStr">
        <is>
          <t>61072#2</t>
        </is>
      </c>
      <c r="R216" s="175">
        <f>_xlfn.XLOOKUP(Table3[[#This Row],[SKU]],'05_Daily_Orders'!$B$2:$B$328,'05_Daily_Orders'!G:G)</f>
        <v/>
      </c>
      <c r="S216" s="176">
        <f>IFERROR(R216*1,"")</f>
        <v/>
      </c>
      <c r="T216" s="600">
        <f>_xludf.IFNA(_xlfn.XLOOKUP(Table3[[#This Row],[SKU]],'00_Yield_Rates'!$B$2:$B$17,'00_Yield_Rates'!$E$2:$E$17),"")</f>
        <v/>
      </c>
    </row>
    <row r="217">
      <c r="A217" s="625" t="inlineStr">
        <is>
          <t>Tray_Pack</t>
        </is>
      </c>
      <c r="B217" s="626" t="n">
        <v>7229</v>
      </c>
      <c r="C217" s="627" t="n">
        <v>61042</v>
      </c>
      <c r="D217" s="627" t="inlineStr">
        <is>
          <t>RWA</t>
        </is>
      </c>
      <c r="E217" s="627" t="inlineStr">
        <is>
          <t>SplitBreast</t>
        </is>
      </c>
      <c r="F217" s="627" t="n">
        <v>7.96392427226964</v>
      </c>
      <c r="G217" s="635" t="n">
        <v>12</v>
      </c>
      <c r="H217" s="627" t="inlineStr">
        <is>
          <t>PET 3</t>
        </is>
      </c>
      <c r="I217" s="635" t="inlineStr">
        <is>
          <t>Small</t>
        </is>
      </c>
      <c r="J217" s="636" t="inlineStr">
        <is>
          <t>RWA MS MLF HB AC PET 3</t>
        </is>
      </c>
      <c r="K217" s="629" t="inlineStr">
        <is>
          <t>Fast</t>
        </is>
      </c>
      <c r="L217" s="629" t="inlineStr">
        <is>
          <t>IFCO</t>
        </is>
      </c>
      <c r="M217" s="630" t="n">
        <v>95.34</v>
      </c>
      <c r="N217" s="631" t="inlineStr">
        <is>
          <t>PLATINUM</t>
        </is>
      </c>
      <c r="O217" s="627" t="n">
        <v>25</v>
      </c>
      <c r="P217" s="154" t="n">
        <v>61042</v>
      </c>
      <c r="R217" s="175">
        <f>_xlfn.XLOOKUP(Table3[[#This Row],[SKU]],'05_Daily_Orders'!$B$2:$B$328,'05_Daily_Orders'!G:G)</f>
        <v/>
      </c>
      <c r="S217" s="176">
        <f>IFERROR(R217*1,"")</f>
        <v/>
      </c>
      <c r="T217" s="600">
        <f>_xludf.IFNA(_xlfn.XLOOKUP(Table3[[#This Row],[SKU]],'00_Yield_Rates'!$B$2:$B$17,'00_Yield_Rates'!$E$2:$E$17),"")</f>
        <v/>
      </c>
    </row>
    <row r="218">
      <c r="A218" s="625" t="inlineStr">
        <is>
          <t>Tray_Pack</t>
        </is>
      </c>
      <c r="B218" s="626" t="n">
        <v>7230</v>
      </c>
      <c r="C218" s="627" t="n">
        <v>61049</v>
      </c>
      <c r="D218" s="627" t="inlineStr">
        <is>
          <t>RWA</t>
        </is>
      </c>
      <c r="E218" s="627" t="inlineStr">
        <is>
          <t>SplitBreast</t>
        </is>
      </c>
      <c r="F218" s="627" t="n">
        <v>7.16605734767025</v>
      </c>
      <c r="G218" s="627" t="n">
        <v>12</v>
      </c>
      <c r="H218" s="627" t="inlineStr">
        <is>
          <t>PET 3</t>
        </is>
      </c>
      <c r="I218" s="627" t="inlineStr">
        <is>
          <t>Small</t>
        </is>
      </c>
      <c r="J218" s="628" t="inlineStr">
        <is>
          <t>RWA PB PC BM SKLS HB AC PET 3</t>
        </is>
      </c>
      <c r="K218" s="629" t="inlineStr">
        <is>
          <t>Fast</t>
        </is>
      </c>
      <c r="L218" s="629" t="inlineStr">
        <is>
          <t>IFCO</t>
        </is>
      </c>
      <c r="M218" s="630" t="n">
        <v>79.09999999999999</v>
      </c>
      <c r="N218" s="631" t="inlineStr">
        <is>
          <t>PLATINUM</t>
        </is>
      </c>
      <c r="O218" s="627" t="n">
        <v>25</v>
      </c>
      <c r="P218" s="154" t="n">
        <v>61049</v>
      </c>
      <c r="R218" s="175">
        <f>_xlfn.XLOOKUP(Table3[[#This Row],[SKU]],'05_Daily_Orders'!$B$2:$B$328,'05_Daily_Orders'!G:G)</f>
        <v/>
      </c>
      <c r="S218" s="176">
        <f>IFERROR(R218*1,"")</f>
        <v/>
      </c>
      <c r="T218" s="600">
        <f>_xludf.IFNA(_xlfn.XLOOKUP(Table3[[#This Row],[SKU]],'00_Yield_Rates'!$B$2:$B$17,'00_Yield_Rates'!$E$2:$E$17),"")</f>
        <v/>
      </c>
    </row>
    <row r="219">
      <c r="A219" s="625" t="inlineStr">
        <is>
          <t>Tray_Pack</t>
        </is>
      </c>
      <c r="B219" s="626" t="n">
        <v>7231</v>
      </c>
      <c r="C219" s="627" t="n">
        <v>61051</v>
      </c>
      <c r="D219" s="627" t="inlineStr">
        <is>
          <t>RWA</t>
        </is>
      </c>
      <c r="E219" s="627" t="inlineStr">
        <is>
          <t>BSB</t>
        </is>
      </c>
      <c r="F219" s="627" t="n">
        <v>6.58263659699303</v>
      </c>
      <c r="G219" s="635" t="n">
        <v>12</v>
      </c>
      <c r="H219" s="635" t="inlineStr">
        <is>
          <t>PET 3</t>
        </is>
      </c>
      <c r="I219" s="635" t="inlineStr">
        <is>
          <t>Small</t>
        </is>
      </c>
      <c r="J219" s="636" t="inlineStr">
        <is>
          <t>RWA BSHB AC PET 3</t>
        </is>
      </c>
      <c r="K219" s="629" t="inlineStr">
        <is>
          <t>Fast</t>
        </is>
      </c>
      <c r="L219" s="629" t="inlineStr">
        <is>
          <t>IFCO</t>
        </is>
      </c>
      <c r="M219" s="630" t="n">
        <v>72.03</v>
      </c>
      <c r="N219" s="631" t="inlineStr">
        <is>
          <t>PLATINUM</t>
        </is>
      </c>
      <c r="O219" s="627" t="n">
        <v>25</v>
      </c>
      <c r="P219" s="154" t="n">
        <v>61051</v>
      </c>
      <c r="R219" s="175">
        <f>_xlfn.XLOOKUP(Table3[[#This Row],[SKU]],'05_Daily_Orders'!$B$2:$B$328,'05_Daily_Orders'!G:G)</f>
        <v/>
      </c>
      <c r="S219" s="176">
        <f>IFERROR(R219*1,"")</f>
        <v/>
      </c>
      <c r="T219" s="600">
        <f>_xludf.IFNA(_xlfn.XLOOKUP(Table3[[#This Row],[SKU]],'00_Yield_Rates'!$B$2:$B$17,'00_Yield_Rates'!$E$2:$E$17),"")</f>
        <v/>
      </c>
    </row>
    <row r="220">
      <c r="A220" s="625" t="inlineStr">
        <is>
          <t>Tray_Pack</t>
        </is>
      </c>
      <c r="B220" s="626" t="n">
        <v>7232</v>
      </c>
      <c r="C220" s="627" t="n">
        <v>61069</v>
      </c>
      <c r="D220" s="627" t="inlineStr">
        <is>
          <t>RWA</t>
        </is>
      </c>
      <c r="E220" s="635" t="inlineStr">
        <is>
          <t>BSB</t>
        </is>
      </c>
      <c r="F220" s="627" t="n">
        <v>4.36843880550827</v>
      </c>
      <c r="G220" s="635" t="n">
        <v>12</v>
      </c>
      <c r="H220" s="635" t="inlineStr">
        <is>
          <t>PET 3</t>
        </is>
      </c>
      <c r="I220" s="635" t="inlineStr">
        <is>
          <t>Small</t>
        </is>
      </c>
      <c r="J220" s="636" t="inlineStr">
        <is>
          <t>RWA MS MLF BSHB AC PET 3 CUTLET</t>
        </is>
      </c>
      <c r="K220" s="629" t="inlineStr">
        <is>
          <t>Fast</t>
        </is>
      </c>
      <c r="L220" s="632" t="inlineStr">
        <is>
          <t>IFCO</t>
        </is>
      </c>
      <c r="M220" s="633" t="n">
        <v>31.1</v>
      </c>
      <c r="N220" s="631" t="inlineStr">
        <is>
          <t>PLATINUM</t>
        </is>
      </c>
      <c r="O220" s="627" t="n">
        <v>25</v>
      </c>
      <c r="P220" s="154" t="n">
        <v>61069</v>
      </c>
      <c r="R220" s="175">
        <f>_xlfn.XLOOKUP(Table3[[#This Row],[SKU]],'05_Daily_Orders'!$B$2:$B$328,'05_Daily_Orders'!G:G)</f>
        <v/>
      </c>
      <c r="S220" s="176">
        <f>IFERROR(R220*1,"")</f>
        <v/>
      </c>
      <c r="T220" s="600">
        <f>_xludf.IFNA(_xlfn.XLOOKUP(Table3[[#This Row],[SKU]],'00_Yield_Rates'!$B$2:$B$17,'00_Yield_Rates'!$E$2:$E$17),"")</f>
        <v/>
      </c>
    </row>
    <row r="221">
      <c r="A221" s="625" t="inlineStr">
        <is>
          <t>Tray_Pack</t>
        </is>
      </c>
      <c r="B221" s="626" t="n">
        <v>7233</v>
      </c>
      <c r="C221" s="627" t="n">
        <v>61070</v>
      </c>
      <c r="D221" s="627" t="inlineStr">
        <is>
          <t>RWA</t>
        </is>
      </c>
      <c r="E221" s="627" t="inlineStr">
        <is>
          <t>BSB</t>
        </is>
      </c>
      <c r="F221" s="627" t="n">
        <v>0</v>
      </c>
      <c r="G221" s="635" t="n">
        <v>12</v>
      </c>
      <c r="H221" s="635" t="inlineStr">
        <is>
          <t>PET 3</t>
        </is>
      </c>
      <c r="I221" s="635" t="inlineStr">
        <is>
          <t>Small</t>
        </is>
      </c>
      <c r="J221" s="636" t="inlineStr">
        <is>
          <t>RWA MS MLF BSHB AC PET 3 PET 3RIPS</t>
        </is>
      </c>
      <c r="K221" s="629" t="inlineStr">
        <is>
          <t>Fast</t>
        </is>
      </c>
      <c r="L221" s="632" t="inlineStr">
        <is>
          <t>IFCO</t>
        </is>
      </c>
      <c r="M221" s="633" t="n">
        <v>36.17</v>
      </c>
      <c r="N221" s="631" t="inlineStr">
        <is>
          <t>PLATINUM</t>
        </is>
      </c>
      <c r="O221" s="627" t="n">
        <v>25</v>
      </c>
      <c r="P221" s="154" t="n">
        <v>61070</v>
      </c>
      <c r="R221" s="175">
        <f>_xlfn.XLOOKUP(Table3[[#This Row],[SKU]],'05_Daily_Orders'!$B$2:$B$328,'05_Daily_Orders'!G:G)</f>
        <v/>
      </c>
      <c r="S221" s="176">
        <f>IFERROR(R221*1,"")</f>
        <v/>
      </c>
      <c r="T221" s="600">
        <f>_xludf.IFNA(_xlfn.XLOOKUP(Table3[[#This Row],[SKU]],'00_Yield_Rates'!$B$2:$B$17,'00_Yield_Rates'!$E$2:$E$17),"")</f>
        <v/>
      </c>
    </row>
    <row r="222">
      <c r="A222" s="625" t="inlineStr">
        <is>
          <t>Tray_Pack</t>
        </is>
      </c>
      <c r="B222" s="626" t="n">
        <v>7234</v>
      </c>
      <c r="C222" s="627" t="n">
        <v>61079</v>
      </c>
      <c r="D222" s="627" t="inlineStr">
        <is>
          <t>RWA</t>
        </is>
      </c>
      <c r="E222" s="627" t="inlineStr">
        <is>
          <t>Thigh</t>
        </is>
      </c>
      <c r="F222" s="627" t="n">
        <v>7.01795931341385</v>
      </c>
      <c r="G222" s="635" t="n">
        <v>12</v>
      </c>
      <c r="H222" s="627" t="inlineStr">
        <is>
          <t>PET 3</t>
        </is>
      </c>
      <c r="I222" s="635" t="inlineStr">
        <is>
          <t>Small</t>
        </is>
      </c>
      <c r="J222" s="636" t="inlineStr">
        <is>
          <t>RWA THIGH AC PET 3</t>
        </is>
      </c>
      <c r="K222" s="632" t="inlineStr">
        <is>
          <t>Fast</t>
        </is>
      </c>
      <c r="L222" s="632" t="inlineStr">
        <is>
          <t>IFCO</t>
        </is>
      </c>
      <c r="M222" s="633" t="n">
        <v>37.58</v>
      </c>
      <c r="N222" s="631" t="inlineStr">
        <is>
          <t>PLATINUM</t>
        </is>
      </c>
      <c r="O222" s="627" t="n">
        <v>20</v>
      </c>
      <c r="P222" s="154" t="n">
        <v>61079</v>
      </c>
      <c r="R222" s="175">
        <f>_xlfn.XLOOKUP(Table3[[#This Row],[SKU]],'05_Daily_Orders'!$B$2:$B$328,'05_Daily_Orders'!G:G)</f>
        <v/>
      </c>
      <c r="S222" s="176">
        <f>IFERROR(R222*1,"")</f>
        <v/>
      </c>
      <c r="T222" s="600">
        <f>_xludf.IFNA(_xlfn.XLOOKUP(Table3[[#This Row],[SKU]],'00_Yield_Rates'!$B$2:$B$17,'00_Yield_Rates'!$E$2:$E$17),"")</f>
        <v/>
      </c>
    </row>
    <row r="223">
      <c r="A223" s="625" t="inlineStr">
        <is>
          <t>Tray_Pack</t>
        </is>
      </c>
      <c r="B223" s="626" t="n">
        <v>7235</v>
      </c>
      <c r="C223" s="627" t="n">
        <v>61087</v>
      </c>
      <c r="D223" s="627" t="inlineStr">
        <is>
          <t>RWA</t>
        </is>
      </c>
      <c r="E223" s="627" t="inlineStr">
        <is>
          <t>ThighMeat</t>
        </is>
      </c>
      <c r="F223" s="627" t="n">
        <v>6.32246135552913</v>
      </c>
      <c r="G223" s="627" t="n">
        <v>12</v>
      </c>
      <c r="H223" s="627" t="inlineStr">
        <is>
          <t>PET 3</t>
        </is>
      </c>
      <c r="I223" s="627" t="inlineStr">
        <is>
          <t>Small</t>
        </is>
      </c>
      <c r="J223" s="628" t="inlineStr">
        <is>
          <t>RWA BPET 3HIGH AC PET 3</t>
        </is>
      </c>
      <c r="K223" s="632" t="inlineStr">
        <is>
          <t>Slow</t>
        </is>
      </c>
      <c r="L223" s="632" t="inlineStr">
        <is>
          <t>IFCO</t>
        </is>
      </c>
      <c r="M223" s="633" t="n">
        <v>29.8</v>
      </c>
      <c r="N223" s="631" t="inlineStr">
        <is>
          <t>PLATINUM</t>
        </is>
      </c>
      <c r="O223" s="627" t="n">
        <v>20</v>
      </c>
      <c r="P223" s="154" t="n">
        <v>61087</v>
      </c>
      <c r="R223" s="175">
        <f>_xlfn.XLOOKUP(Table3[[#This Row],[SKU]],'05_Daily_Orders'!$B$2:$B$328,'05_Daily_Orders'!G:G)</f>
        <v/>
      </c>
      <c r="S223" s="176">
        <f>IFERROR(R223*1,"")</f>
        <v/>
      </c>
      <c r="T223" s="600">
        <f>_xludf.IFNA(_xlfn.XLOOKUP(Table3[[#This Row],[SKU]],'00_Yield_Rates'!$B$2:$B$17,'00_Yield_Rates'!$E$2:$E$17),"")</f>
        <v/>
      </c>
    </row>
    <row r="224">
      <c r="A224" s="625" t="inlineStr">
        <is>
          <t>Tray_Pack</t>
        </is>
      </c>
      <c r="B224" s="626" t="n">
        <v>7236</v>
      </c>
      <c r="C224" s="627" t="n">
        <v>61074</v>
      </c>
      <c r="D224" s="627" t="inlineStr">
        <is>
          <t>RWA</t>
        </is>
      </c>
      <c r="E224" s="627" t="inlineStr">
        <is>
          <t>Drum</t>
        </is>
      </c>
      <c r="F224" s="627" t="n">
        <v>6.02131828113619</v>
      </c>
      <c r="G224" s="635" t="n">
        <v>12</v>
      </c>
      <c r="H224" s="635" t="inlineStr">
        <is>
          <t>PET 3</t>
        </is>
      </c>
      <c r="I224" s="635" t="inlineStr">
        <is>
          <t>Small</t>
        </is>
      </c>
      <c r="J224" s="636" t="inlineStr">
        <is>
          <t>RWA DRUM AC PET 3</t>
        </is>
      </c>
      <c r="K224" s="632" t="inlineStr">
        <is>
          <t>Fast</t>
        </is>
      </c>
      <c r="L224" s="632" t="inlineStr">
        <is>
          <t>IFCO</t>
        </is>
      </c>
      <c r="M224" s="633" t="n">
        <v>62.64</v>
      </c>
      <c r="N224" s="631" t="inlineStr">
        <is>
          <t>PLATINUM</t>
        </is>
      </c>
      <c r="O224" s="627" t="n">
        <v>25</v>
      </c>
      <c r="P224" s="154" t="n">
        <v>61074</v>
      </c>
      <c r="R224" s="175">
        <f>_xlfn.XLOOKUP(Table3[[#This Row],[SKU]],'05_Daily_Orders'!$B$2:$B$328,'05_Daily_Orders'!G:G)</f>
        <v/>
      </c>
      <c r="S224" s="176">
        <f>IFERROR(R224*1,"")</f>
        <v/>
      </c>
      <c r="T224" s="600">
        <f>_xludf.IFNA(_xlfn.XLOOKUP(Table3[[#This Row],[SKU]],'00_Yield_Rates'!$B$2:$B$17,'00_Yield_Rates'!$E$2:$E$17),"")</f>
        <v/>
      </c>
    </row>
    <row r="225">
      <c r="A225" s="625" t="inlineStr">
        <is>
          <t>Tray_Pack</t>
        </is>
      </c>
      <c r="B225" s="626" t="n">
        <v>7237</v>
      </c>
      <c r="C225" s="627" t="n">
        <v>61071</v>
      </c>
      <c r="D225" s="627" t="inlineStr">
        <is>
          <t>RWA</t>
        </is>
      </c>
      <c r="E225" s="627" t="inlineStr">
        <is>
          <t>Drum</t>
        </is>
      </c>
      <c r="F225" s="627" t="n"/>
      <c r="G225" s="635" t="n">
        <v>12</v>
      </c>
      <c r="H225" s="635" t="inlineStr">
        <is>
          <t>ST 2HP</t>
        </is>
      </c>
      <c r="I225" s="635" t="inlineStr">
        <is>
          <t>Small</t>
        </is>
      </c>
      <c r="J225" s="636" t="inlineStr">
        <is>
          <t>RWA SKLS DRUM AC ST</t>
        </is>
      </c>
      <c r="K225" s="632" t="inlineStr">
        <is>
          <t>Fast</t>
        </is>
      </c>
      <c r="L225" s="632" t="inlineStr">
        <is>
          <t>IFCO</t>
        </is>
      </c>
      <c r="M225" s="633" t="n">
        <v>21.13</v>
      </c>
      <c r="N225" s="631" t="inlineStr">
        <is>
          <t>PLATINUM</t>
        </is>
      </c>
      <c r="O225" s="627" t="n">
        <v>20</v>
      </c>
      <c r="P225" s="154" t="n">
        <v>61071</v>
      </c>
      <c r="R225" s="175">
        <f>_xlfn.XLOOKUP(Table3[[#This Row],[SKU]],'05_Daily_Orders'!$B$2:$B$328,'05_Daily_Orders'!G:G)</f>
        <v/>
      </c>
      <c r="S225" s="176">
        <f>IFERROR(R225*1,"")</f>
        <v/>
      </c>
      <c r="T225" s="600">
        <f>_xludf.IFNA(_xlfn.XLOOKUP(Table3[[#This Row],[SKU]],'00_Yield_Rates'!$B$2:$B$17,'00_Yield_Rates'!$E$2:$E$17),"")</f>
        <v/>
      </c>
    </row>
    <row r="226">
      <c r="A226" s="625" t="inlineStr">
        <is>
          <t>Tray_Pack</t>
        </is>
      </c>
      <c r="B226" s="626" t="n">
        <v>7238</v>
      </c>
      <c r="C226" s="627" t="n">
        <v>61016</v>
      </c>
      <c r="D226" s="627" t="inlineStr">
        <is>
          <t>RWA</t>
        </is>
      </c>
      <c r="E226" s="627" t="inlineStr">
        <is>
          <t>SplitWing</t>
        </is>
      </c>
      <c r="F226" s="627" t="n">
        <v>0</v>
      </c>
      <c r="G226" s="635" t="n">
        <v>12</v>
      </c>
      <c r="H226" s="627" t="inlineStr">
        <is>
          <t>PET 3</t>
        </is>
      </c>
      <c r="I226" s="635" t="inlineStr">
        <is>
          <t>Small</t>
        </is>
      </c>
      <c r="J226" s="636" t="inlineStr">
        <is>
          <t>RWA SPL WING AC PET 3</t>
        </is>
      </c>
      <c r="K226" s="629" t="inlineStr">
        <is>
          <t>Slow</t>
        </is>
      </c>
      <c r="L226" s="629" t="inlineStr">
        <is>
          <t>IFCO</t>
        </is>
      </c>
      <c r="M226" s="630" t="n">
        <v>22.35</v>
      </c>
      <c r="N226" s="631" t="inlineStr">
        <is>
          <t>PLATINUM</t>
        </is>
      </c>
      <c r="O226" s="627" t="n">
        <v>25</v>
      </c>
      <c r="P226" s="154" t="n">
        <v>61016</v>
      </c>
      <c r="R226" s="175">
        <f>_xlfn.XLOOKUP(Table3[[#This Row],[SKU]],'05_Daily_Orders'!$B$2:$B$328,'05_Daily_Orders'!G:G)</f>
        <v/>
      </c>
      <c r="S226" s="176">
        <f>IFERROR(R226*1,"")</f>
        <v/>
      </c>
      <c r="T226" s="600">
        <f>_xludf.IFNA(_xlfn.XLOOKUP(Table3[[#This Row],[SKU]],'00_Yield_Rates'!$B$2:$B$17,'00_Yield_Rates'!$E$2:$E$17),"")</f>
        <v/>
      </c>
    </row>
    <row r="227">
      <c r="A227" s="625" t="inlineStr">
        <is>
          <t>Tray_Pack</t>
        </is>
      </c>
      <c r="B227" s="626" t="n">
        <v>7239</v>
      </c>
      <c r="C227" s="627" t="n">
        <v>203151</v>
      </c>
      <c r="D227" s="627" t="inlineStr">
        <is>
          <t>RWA</t>
        </is>
      </c>
      <c r="E227" s="627" t="inlineStr">
        <is>
          <t>Whole Bird-Small</t>
        </is>
      </c>
      <c r="F227" s="627" t="n">
        <v>8.782514101531021</v>
      </c>
      <c r="G227" s="635" t="n">
        <v>6</v>
      </c>
      <c r="H227" s="627" t="inlineStr">
        <is>
          <t>PET 3</t>
        </is>
      </c>
      <c r="I227" s="635" t="inlineStr">
        <is>
          <t>Small</t>
        </is>
      </c>
      <c r="J227" s="636" t="inlineStr">
        <is>
          <t>RWA FRY WOG AC TI PET</t>
        </is>
      </c>
      <c r="K227" s="632" t="inlineStr">
        <is>
          <t>Fast</t>
        </is>
      </c>
      <c r="L227" s="632" t="inlineStr">
        <is>
          <t>IFCO</t>
        </is>
      </c>
      <c r="M227" s="633" t="n">
        <v>132.63</v>
      </c>
      <c r="N227" s="631" t="n"/>
      <c r="O227" s="627" t="n">
        <v>25</v>
      </c>
      <c r="P227" s="154" t="n">
        <v>203151</v>
      </c>
      <c r="R227" s="175">
        <f>_xlfn.XLOOKUP(Table3[[#This Row],[SKU]],'05_Daily_Orders'!$B$2:$B$328,'05_Daily_Orders'!G:G)</f>
        <v/>
      </c>
      <c r="S227" s="176">
        <f>IFERROR(R227*1,"")</f>
        <v/>
      </c>
      <c r="T227" s="600">
        <f>_xludf.IFNA(_xlfn.XLOOKUP(Table3[[#This Row],[SKU]],'00_Yield_Rates'!$B$2:$B$17,'00_Yield_Rates'!$E$2:$E$17),"")</f>
        <v/>
      </c>
    </row>
    <row r="228">
      <c r="A228" s="625" t="inlineStr">
        <is>
          <t>Tray_Pack</t>
        </is>
      </c>
      <c r="B228" s="626" t="n">
        <v>7240</v>
      </c>
      <c r="C228" s="627" t="n">
        <v>61051</v>
      </c>
      <c r="D228" s="627" t="inlineStr">
        <is>
          <t>RWA</t>
        </is>
      </c>
      <c r="E228" s="627" t="inlineStr">
        <is>
          <t>BSB</t>
        </is>
      </c>
      <c r="F228" s="627" t="n">
        <v>8.532409669211191</v>
      </c>
      <c r="G228" s="635" t="n">
        <v>8</v>
      </c>
      <c r="H228" s="627" t="inlineStr">
        <is>
          <t>PET 8</t>
        </is>
      </c>
      <c r="I228" s="635" t="inlineStr">
        <is>
          <t>Large</t>
        </is>
      </c>
      <c r="J228" s="636" t="inlineStr">
        <is>
          <t>RWA BSHB AC PET 8</t>
        </is>
      </c>
      <c r="K228" s="629" t="inlineStr">
        <is>
          <t>Fast</t>
        </is>
      </c>
      <c r="L228" s="629" t="inlineStr">
        <is>
          <t>IFCO</t>
        </is>
      </c>
      <c r="M228" s="630" t="n">
        <v>114.34</v>
      </c>
      <c r="N228" s="631" t="inlineStr">
        <is>
          <t>PLATINUM</t>
        </is>
      </c>
      <c r="O228" s="627" t="n">
        <v>25</v>
      </c>
      <c r="P228" s="154" t="n">
        <v>61051</v>
      </c>
      <c r="R228" s="175">
        <f>_xlfn.XLOOKUP(Table3[[#This Row],[SKU]],'05_Daily_Orders'!$B$2:$B$328,'05_Daily_Orders'!G:G)</f>
        <v/>
      </c>
      <c r="S228" s="176">
        <f>IFERROR(R228*1,"")</f>
        <v/>
      </c>
      <c r="T228" s="600">
        <f>_xludf.IFNA(_xlfn.XLOOKUP(Table3[[#This Row],[SKU]],'00_Yield_Rates'!$B$2:$B$17,'00_Yield_Rates'!$E$2:$E$17),"")</f>
        <v/>
      </c>
    </row>
    <row r="229">
      <c r="A229" s="625" t="inlineStr">
        <is>
          <t>Tray_Pack</t>
        </is>
      </c>
      <c r="B229" s="626" t="n">
        <v>7241</v>
      </c>
      <c r="C229" s="627" t="n">
        <v>61087</v>
      </c>
      <c r="D229" s="627" t="inlineStr">
        <is>
          <t>RWA</t>
        </is>
      </c>
      <c r="E229" s="627" t="inlineStr">
        <is>
          <t>ThighMeat</t>
        </is>
      </c>
      <c r="F229" s="627" t="n">
        <v>9.67224201152435</v>
      </c>
      <c r="G229" s="635" t="n">
        <v>8</v>
      </c>
      <c r="H229" s="635" t="inlineStr">
        <is>
          <t>PET 8</t>
        </is>
      </c>
      <c r="I229" s="635" t="inlineStr">
        <is>
          <t>Large</t>
        </is>
      </c>
      <c r="J229" s="636" t="inlineStr">
        <is>
          <t>RWA BSTHIGH AC PET 8</t>
        </is>
      </c>
      <c r="K229" s="629" t="inlineStr">
        <is>
          <t>Slow</t>
        </is>
      </c>
      <c r="L229" s="632" t="inlineStr">
        <is>
          <t>IFCO</t>
        </is>
      </c>
      <c r="M229" s="633" t="n">
        <v>22.85</v>
      </c>
      <c r="N229" s="631" t="inlineStr">
        <is>
          <t>PLATINUM</t>
        </is>
      </c>
      <c r="O229" s="627" t="n">
        <v>25</v>
      </c>
      <c r="P229" s="154" t="n">
        <v>61087</v>
      </c>
      <c r="R229" s="175">
        <f>_xlfn.XLOOKUP(Table3[[#This Row],[SKU]],'05_Daily_Orders'!$B$2:$B$328,'05_Daily_Orders'!G:G)</f>
        <v/>
      </c>
      <c r="S229" s="176">
        <f>IFERROR(R229*1,"")</f>
        <v/>
      </c>
      <c r="T229" s="600">
        <f>_xludf.IFNA(_xlfn.XLOOKUP(Table3[[#This Row],[SKU]],'00_Yield_Rates'!$B$2:$B$17,'00_Yield_Rates'!$E$2:$E$17),"")</f>
        <v/>
      </c>
    </row>
    <row r="230">
      <c r="A230" s="625" t="inlineStr">
        <is>
          <t>Tray_Pack</t>
        </is>
      </c>
      <c r="B230" s="626" t="n">
        <v>7242</v>
      </c>
      <c r="C230" s="627" t="n">
        <v>61016</v>
      </c>
      <c r="D230" s="627" t="inlineStr">
        <is>
          <t>RWA</t>
        </is>
      </c>
      <c r="E230" s="627" t="inlineStr">
        <is>
          <t>SplitWing</t>
        </is>
      </c>
      <c r="F230" s="627" t="n">
        <v>8.33015285511518</v>
      </c>
      <c r="G230" s="635" t="n">
        <v>8</v>
      </c>
      <c r="H230" s="635" t="inlineStr">
        <is>
          <t>PET 8</t>
        </is>
      </c>
      <c r="I230" s="635" t="inlineStr">
        <is>
          <t>Large</t>
        </is>
      </c>
      <c r="J230" s="636" t="inlineStr">
        <is>
          <t>RWA SPL WING AC PET 8</t>
        </is>
      </c>
      <c r="K230" s="629" t="inlineStr">
        <is>
          <t>Slow</t>
        </is>
      </c>
      <c r="L230" s="632" t="inlineStr">
        <is>
          <t>IFCO</t>
        </is>
      </c>
      <c r="M230" s="633" t="n">
        <v>25.17</v>
      </c>
      <c r="N230" s="631" t="inlineStr">
        <is>
          <t>PLATINUM</t>
        </is>
      </c>
      <c r="O230" s="627" t="n">
        <v>25</v>
      </c>
      <c r="P230" s="154" t="n">
        <v>61016</v>
      </c>
      <c r="R230" s="175">
        <f>_xlfn.XLOOKUP(Table3[[#This Row],[SKU]],'05_Daily_Orders'!$B$2:$B$328,'05_Daily_Orders'!G:G)</f>
        <v/>
      </c>
      <c r="S230" s="176">
        <f>IFERROR(R230*1,"")</f>
        <v/>
      </c>
      <c r="T230" s="600">
        <f>_xludf.IFNA(_xlfn.XLOOKUP(Table3[[#This Row],[SKU]],'00_Yield_Rates'!$B$2:$B$17,'00_Yield_Rates'!$E$2:$E$17),"")</f>
        <v/>
      </c>
    </row>
    <row r="231">
      <c r="A231" s="625" t="inlineStr">
        <is>
          <t>Tray_Pack</t>
        </is>
      </c>
      <c r="B231" s="626" t="n">
        <v>7245</v>
      </c>
      <c r="C231" s="627" t="n">
        <v>61074</v>
      </c>
      <c r="D231" s="627" t="inlineStr">
        <is>
          <t>RWA</t>
        </is>
      </c>
      <c r="E231" s="627" t="inlineStr">
        <is>
          <t>Drum</t>
        </is>
      </c>
      <c r="F231" s="627" t="n"/>
      <c r="G231" s="635" t="n">
        <v>12</v>
      </c>
      <c r="H231" s="635" t="inlineStr">
        <is>
          <t>ST 2HP</t>
        </is>
      </c>
      <c r="I231" s="635" t="inlineStr">
        <is>
          <t>Small</t>
        </is>
      </c>
      <c r="J231" s="636" t="inlineStr">
        <is>
          <t>RWA DRUM AC ST</t>
        </is>
      </c>
      <c r="K231" s="632" t="inlineStr">
        <is>
          <t>Fast</t>
        </is>
      </c>
      <c r="L231" s="632" t="inlineStr">
        <is>
          <t>IFCO</t>
        </is>
      </c>
      <c r="M231" s="633" t="n">
        <v>62.89</v>
      </c>
      <c r="N231" s="631" t="inlineStr">
        <is>
          <t>PLATINUM</t>
        </is>
      </c>
      <c r="O231" s="627" t="n">
        <v>25</v>
      </c>
      <c r="P231" s="154" t="n">
        <v>61074</v>
      </c>
      <c r="R231" s="175">
        <f>_xlfn.XLOOKUP(Table3[[#This Row],[SKU]],'05_Daily_Orders'!$B$2:$B$328,'05_Daily_Orders'!G:G)</f>
        <v/>
      </c>
      <c r="S231" s="176">
        <f>IFERROR(R231*1,"")</f>
        <v/>
      </c>
      <c r="T231" s="600">
        <f>_xludf.IFNA(_xlfn.XLOOKUP(Table3[[#This Row],[SKU]],'00_Yield_Rates'!$B$2:$B$17,'00_Yield_Rates'!$E$2:$E$17),"")</f>
        <v/>
      </c>
    </row>
    <row r="232">
      <c r="A232" s="625" t="inlineStr">
        <is>
          <t>Tray_Pack</t>
        </is>
      </c>
      <c r="B232" s="626" t="n">
        <v>7246</v>
      </c>
      <c r="C232" s="627" t="n">
        <v>61051</v>
      </c>
      <c r="D232" s="627" t="inlineStr">
        <is>
          <t>RWA</t>
        </is>
      </c>
      <c r="E232" s="627" t="inlineStr">
        <is>
          <t>Drum</t>
        </is>
      </c>
      <c r="F232" s="627" t="n"/>
      <c r="G232" s="635" t="n">
        <v>12</v>
      </c>
      <c r="H232" s="635" t="inlineStr">
        <is>
          <t>ST 2HP</t>
        </is>
      </c>
      <c r="I232" s="635" t="inlineStr">
        <is>
          <t>Small</t>
        </is>
      </c>
      <c r="J232" s="636" t="inlineStr">
        <is>
          <t>RWA DRUM AC ST</t>
        </is>
      </c>
      <c r="K232" s="632" t="inlineStr">
        <is>
          <t>Fast</t>
        </is>
      </c>
      <c r="L232" s="632" t="inlineStr">
        <is>
          <t>IFCO</t>
        </is>
      </c>
      <c r="M232" s="633" t="n">
        <v>79.62</v>
      </c>
      <c r="N232" s="631" t="inlineStr">
        <is>
          <t>PLATINUM</t>
        </is>
      </c>
      <c r="O232" s="627" t="n">
        <v>25</v>
      </c>
      <c r="P232" s="154" t="n">
        <v>61051</v>
      </c>
      <c r="R232" s="175">
        <f>_xlfn.XLOOKUP(Table3[[#This Row],[SKU]],'05_Daily_Orders'!$B$2:$B$328,'05_Daily_Orders'!G:G)</f>
        <v/>
      </c>
      <c r="S232" s="176">
        <f>IFERROR(R232*1,"")</f>
        <v/>
      </c>
      <c r="T232" s="600">
        <f>_xludf.IFNA(_xlfn.XLOOKUP(Table3[[#This Row],[SKU]],'00_Yield_Rates'!$B$2:$B$17,'00_Yield_Rates'!$E$2:$E$17),"")</f>
        <v/>
      </c>
    </row>
    <row r="233">
      <c r="A233" s="625" t="inlineStr">
        <is>
          <t>Tray_Pack</t>
        </is>
      </c>
      <c r="B233" s="626" t="n">
        <v>7247</v>
      </c>
      <c r="C233" s="627" t="n">
        <v>203151</v>
      </c>
      <c r="D233" s="627" t="inlineStr">
        <is>
          <t>RWA</t>
        </is>
      </c>
      <c r="E233" s="635" t="inlineStr">
        <is>
          <t>Whole Bird-Small</t>
        </is>
      </c>
      <c r="F233" s="627" t="n"/>
      <c r="G233" s="635" t="n">
        <v>6</v>
      </c>
      <c r="H233" s="635" t="inlineStr">
        <is>
          <t>ST 3XP</t>
        </is>
      </c>
      <c r="I233" s="635" t="inlineStr">
        <is>
          <t>Small</t>
        </is>
      </c>
      <c r="J233" s="636" t="inlineStr">
        <is>
          <t>RWA FRY WOG AC TI PET</t>
        </is>
      </c>
      <c r="K233" s="632" t="inlineStr">
        <is>
          <t>Fast</t>
        </is>
      </c>
      <c r="L233" s="632" t="inlineStr">
        <is>
          <t>IFCO</t>
        </is>
      </c>
      <c r="M233" s="633" t="n">
        <v>146.6</v>
      </c>
      <c r="N233" s="631" t="n"/>
      <c r="O233" s="627" t="n">
        <v>25</v>
      </c>
      <c r="P233" s="154" t="n">
        <v>203151</v>
      </c>
      <c r="R233" s="175">
        <f>_xlfn.XLOOKUP(Table3[[#This Row],[SKU]],'05_Daily_Orders'!$B$2:$B$328,'05_Daily_Orders'!G:G)</f>
        <v/>
      </c>
      <c r="S233" s="176">
        <f>IFERROR(R233*1,"")</f>
        <v/>
      </c>
      <c r="T233" s="600">
        <f>_xludf.IFNA(_xlfn.XLOOKUP(Table3[[#This Row],[SKU]],'00_Yield_Rates'!$B$2:$B$17,'00_Yield_Rates'!$E$2:$E$17),"")</f>
        <v/>
      </c>
    </row>
    <row r="234">
      <c r="A234" s="625" t="inlineStr">
        <is>
          <t>Tray_Pack</t>
        </is>
      </c>
      <c r="B234" s="626" t="n">
        <v>7248</v>
      </c>
      <c r="C234" s="627" t="n">
        <v>61087</v>
      </c>
      <c r="D234" s="627" t="inlineStr">
        <is>
          <t>RWA</t>
        </is>
      </c>
      <c r="E234" s="627" t="inlineStr">
        <is>
          <t>ThighMeat</t>
        </is>
      </c>
      <c r="F234" s="627" t="n"/>
      <c r="G234" s="635" t="n">
        <v>8</v>
      </c>
      <c r="H234" s="635" t="inlineStr">
        <is>
          <t>LT 8XP</t>
        </is>
      </c>
      <c r="I234" s="635" t="inlineStr">
        <is>
          <t>Large</t>
        </is>
      </c>
      <c r="J234" s="636" t="inlineStr">
        <is>
          <t>RWA BSTHIGH AC CLUB</t>
        </is>
      </c>
      <c r="K234" s="629" t="inlineStr">
        <is>
          <t>Slow</t>
        </is>
      </c>
      <c r="L234" s="632" t="inlineStr">
        <is>
          <t>IFCO</t>
        </is>
      </c>
      <c r="M234" s="633" t="n">
        <v>24.54</v>
      </c>
      <c r="N234" s="631" t="inlineStr">
        <is>
          <t>PLATINUM</t>
        </is>
      </c>
      <c r="O234" s="627" t="n">
        <v>25</v>
      </c>
      <c r="P234" s="154" t="n">
        <v>61087</v>
      </c>
      <c r="R234" s="175">
        <f>_xlfn.XLOOKUP(Table3[[#This Row],[SKU]],'05_Daily_Orders'!$B$2:$B$328,'05_Daily_Orders'!G:G)</f>
        <v/>
      </c>
      <c r="S234" s="176">
        <f>IFERROR(R234*1,"")</f>
        <v/>
      </c>
      <c r="T234" s="600">
        <f>_xludf.IFNA(_xlfn.XLOOKUP(Table3[[#This Row],[SKU]],'00_Yield_Rates'!$B$2:$B$17,'00_Yield_Rates'!$E$2:$E$17),"")</f>
        <v/>
      </c>
    </row>
    <row r="235">
      <c r="A235" s="625" t="inlineStr">
        <is>
          <t>Tray_Pack</t>
        </is>
      </c>
      <c r="B235" s="626" t="n">
        <v>7249</v>
      </c>
      <c r="C235" s="627" t="n">
        <v>61016</v>
      </c>
      <c r="D235" s="627" t="inlineStr">
        <is>
          <t>RWA</t>
        </is>
      </c>
      <c r="E235" s="627" t="inlineStr">
        <is>
          <t>SplitWing</t>
        </is>
      </c>
      <c r="F235" s="627" t="n"/>
      <c r="G235" s="635" t="n">
        <v>8</v>
      </c>
      <c r="H235" s="635" t="inlineStr">
        <is>
          <t>LT 8XP</t>
        </is>
      </c>
      <c r="I235" s="635" t="inlineStr">
        <is>
          <t>Large</t>
        </is>
      </c>
      <c r="J235" s="636" t="inlineStr">
        <is>
          <t>RWA SPL WING AC CLUB</t>
        </is>
      </c>
      <c r="K235" s="629" t="inlineStr">
        <is>
          <t>Slow</t>
        </is>
      </c>
      <c r="L235" s="632" t="inlineStr">
        <is>
          <t>IFCO</t>
        </is>
      </c>
      <c r="M235" s="633" t="n">
        <v>27.03</v>
      </c>
      <c r="N235" s="631" t="inlineStr">
        <is>
          <t>PLATINUM</t>
        </is>
      </c>
      <c r="O235" s="627" t="n">
        <v>25</v>
      </c>
      <c r="P235" s="154" t="n">
        <v>61016</v>
      </c>
      <c r="R235" s="175">
        <f>_xlfn.XLOOKUP(Table3[[#This Row],[SKU]],'05_Daily_Orders'!$B$2:$B$328,'05_Daily_Orders'!G:G)</f>
        <v/>
      </c>
      <c r="S235" s="176">
        <f>IFERROR(R235*1,"")</f>
        <v/>
      </c>
      <c r="T235" s="600">
        <f>_xludf.IFNA(_xlfn.XLOOKUP(Table3[[#This Row],[SKU]],'00_Yield_Rates'!$B$2:$B$17,'00_Yield_Rates'!$E$2:$E$17),"")</f>
        <v/>
      </c>
    </row>
    <row r="236">
      <c r="A236" s="625" t="inlineStr">
        <is>
          <t>Tray_Pack</t>
        </is>
      </c>
      <c r="B236" s="626" t="n">
        <v>7250</v>
      </c>
      <c r="C236" s="627" t="n">
        <v>61074</v>
      </c>
      <c r="D236" s="627" t="inlineStr">
        <is>
          <t>RWA</t>
        </is>
      </c>
      <c r="E236" s="627" t="inlineStr">
        <is>
          <t>Drum</t>
        </is>
      </c>
      <c r="F236" s="627" t="n">
        <v>8.060272373540849</v>
      </c>
      <c r="G236" s="635" t="n">
        <v>8</v>
      </c>
      <c r="H236" s="635" t="inlineStr">
        <is>
          <t>PET 8</t>
        </is>
      </c>
      <c r="I236" s="635" t="inlineStr">
        <is>
          <t>Large</t>
        </is>
      </c>
      <c r="J236" s="636" t="inlineStr">
        <is>
          <t>MS PC RWA DRUM AC PET 8 PP BSK</t>
        </is>
      </c>
      <c r="K236" s="632" t="inlineStr">
        <is>
          <t>Fast</t>
        </is>
      </c>
      <c r="L236" s="632" t="inlineStr">
        <is>
          <t>IFCO</t>
        </is>
      </c>
      <c r="M236" s="633" t="n">
        <v>48.4</v>
      </c>
      <c r="N236" s="631" t="inlineStr">
        <is>
          <t>PLATINUM</t>
        </is>
      </c>
      <c r="O236" s="627" t="n">
        <v>25</v>
      </c>
      <c r="P236" s="154" t="n">
        <v>61074</v>
      </c>
      <c r="R236" s="175">
        <f>_xlfn.XLOOKUP(Table3[[#This Row],[SKU]],'05_Daily_Orders'!$B$2:$B$328,'05_Daily_Orders'!G:G)</f>
        <v/>
      </c>
      <c r="S236" s="176">
        <f>IFERROR(R236*1,"")</f>
        <v/>
      </c>
      <c r="T236" s="600">
        <f>_xludf.IFNA(_xlfn.XLOOKUP(Table3[[#This Row],[SKU]],'00_Yield_Rates'!$B$2:$B$17,'00_Yield_Rates'!$E$2:$E$17),"")</f>
        <v/>
      </c>
    </row>
    <row r="237">
      <c r="A237" s="625" t="inlineStr">
        <is>
          <t>Tray_Pack</t>
        </is>
      </c>
      <c r="B237" s="626" t="n">
        <v>7251</v>
      </c>
      <c r="C237" s="627" t="n">
        <v>61079</v>
      </c>
      <c r="D237" s="627" t="inlineStr">
        <is>
          <t>RWA</t>
        </is>
      </c>
      <c r="E237" s="627" t="inlineStr">
        <is>
          <t>Thigh</t>
        </is>
      </c>
      <c r="F237" s="627" t="n">
        <v>9.256619788219719</v>
      </c>
      <c r="G237" s="635" t="n">
        <v>8</v>
      </c>
      <c r="H237" s="635" t="inlineStr">
        <is>
          <t>PET 8</t>
        </is>
      </c>
      <c r="I237" s="635" t="inlineStr">
        <is>
          <t>Large</t>
        </is>
      </c>
      <c r="J237" s="636" t="inlineStr">
        <is>
          <t>MS PC RWA THIGH AC PET 8 PP BSK</t>
        </is>
      </c>
      <c r="K237" s="632" t="inlineStr">
        <is>
          <t>Fast</t>
        </is>
      </c>
      <c r="L237" s="632" t="inlineStr">
        <is>
          <t>IFCO</t>
        </is>
      </c>
      <c r="M237" s="633" t="n">
        <v>55.32</v>
      </c>
      <c r="N237" s="631" t="inlineStr">
        <is>
          <t>PLATINUM</t>
        </is>
      </c>
      <c r="O237" s="627" t="n">
        <v>25</v>
      </c>
      <c r="P237" s="154" t="n">
        <v>61079</v>
      </c>
      <c r="R237" s="175">
        <f>_xlfn.XLOOKUP(Table3[[#This Row],[SKU]],'05_Daily_Orders'!$B$2:$B$328,'05_Daily_Orders'!G:G)</f>
        <v/>
      </c>
      <c r="S237" s="176">
        <f>IFERROR(R237*1,"")</f>
        <v/>
      </c>
      <c r="T237" s="600">
        <f>_xludf.IFNA(_xlfn.XLOOKUP(Table3[[#This Row],[SKU]],'00_Yield_Rates'!$B$2:$B$17,'00_Yield_Rates'!$E$2:$E$17),"")</f>
        <v/>
      </c>
    </row>
    <row r="238">
      <c r="A238" s="625" t="inlineStr">
        <is>
          <t>Tray_Pack</t>
        </is>
      </c>
      <c r="B238" s="626" t="n">
        <v>7252</v>
      </c>
      <c r="C238" s="627" t="n">
        <v>61051</v>
      </c>
      <c r="D238" s="627" t="inlineStr">
        <is>
          <t>RWA</t>
        </is>
      </c>
      <c r="E238" s="627" t="inlineStr">
        <is>
          <t>BSB</t>
        </is>
      </c>
      <c r="F238" s="627" t="n">
        <v>0</v>
      </c>
      <c r="G238" s="635" t="n">
        <v>8</v>
      </c>
      <c r="H238" s="635" t="inlineStr">
        <is>
          <t>LT 8XP</t>
        </is>
      </c>
      <c r="I238" s="635" t="inlineStr">
        <is>
          <t>Large</t>
        </is>
      </c>
      <c r="J238" s="636" t="inlineStr">
        <is>
          <t>RWA BSHB AC LT</t>
        </is>
      </c>
      <c r="K238" s="629" t="inlineStr">
        <is>
          <t>Fast</t>
        </is>
      </c>
      <c r="L238" s="632" t="inlineStr">
        <is>
          <t>IFCO</t>
        </is>
      </c>
      <c r="M238" s="633" t="n">
        <v>126.38</v>
      </c>
      <c r="N238" s="631" t="inlineStr">
        <is>
          <t>PLATINUM</t>
        </is>
      </c>
      <c r="O238" s="627" t="n">
        <v>25</v>
      </c>
      <c r="P238" s="154" t="n">
        <v>61051</v>
      </c>
      <c r="R238" s="175">
        <f>_xlfn.XLOOKUP(Table3[[#This Row],[SKU]],'05_Daily_Orders'!$B$2:$B$328,'05_Daily_Orders'!G:G)</f>
        <v/>
      </c>
      <c r="S238" s="176">
        <f>IFERROR(R238*1,"")</f>
        <v/>
      </c>
      <c r="T238" s="600">
        <f>_xludf.IFNA(_xlfn.XLOOKUP(Table3[[#This Row],[SKU]],'00_Yield_Rates'!$B$2:$B$17,'00_Yield_Rates'!$E$2:$E$17),"")</f>
        <v/>
      </c>
    </row>
    <row r="239">
      <c r="A239" s="625" t="inlineStr">
        <is>
          <t>Tray_Pack</t>
        </is>
      </c>
      <c r="B239" s="626" t="n">
        <v>7253</v>
      </c>
      <c r="C239" s="627" t="n">
        <v>61079</v>
      </c>
      <c r="D239" s="627" t="inlineStr">
        <is>
          <t>RWA</t>
        </is>
      </c>
      <c r="E239" s="627" t="inlineStr">
        <is>
          <t>Thigh</t>
        </is>
      </c>
      <c r="F239" s="627" t="n"/>
      <c r="G239" s="635" t="n">
        <v>8</v>
      </c>
      <c r="H239" s="635" t="inlineStr">
        <is>
          <t>LT 8XP</t>
        </is>
      </c>
      <c r="I239" s="635" t="inlineStr">
        <is>
          <t>Large</t>
        </is>
      </c>
      <c r="J239" s="636" t="inlineStr">
        <is>
          <t>MS PC RWA THIGH AC LT PP BSK</t>
        </is>
      </c>
      <c r="K239" s="632" t="inlineStr">
        <is>
          <t>Fast</t>
        </is>
      </c>
      <c r="L239" s="629" t="inlineStr">
        <is>
          <t>IFCO</t>
        </is>
      </c>
      <c r="M239" s="630" t="n">
        <v>58.45</v>
      </c>
      <c r="N239" s="631" t="inlineStr">
        <is>
          <t>PLATINUM</t>
        </is>
      </c>
      <c r="O239" s="627" t="n">
        <v>25</v>
      </c>
      <c r="P239" s="154" t="n">
        <v>61079</v>
      </c>
      <c r="R239" s="175">
        <f>_xlfn.XLOOKUP(Table3[[#This Row],[SKU]],'05_Daily_Orders'!$B$2:$B$328,'05_Daily_Orders'!G:G)</f>
        <v/>
      </c>
      <c r="S239" s="176">
        <f>IFERROR(R239*1,"")</f>
        <v/>
      </c>
      <c r="T239" s="600">
        <f>_xludf.IFNA(_xlfn.XLOOKUP(Table3[[#This Row],[SKU]],'00_Yield_Rates'!$B$2:$B$17,'00_Yield_Rates'!$E$2:$E$17),"")</f>
        <v/>
      </c>
    </row>
    <row r="240">
      <c r="A240" s="625" t="inlineStr">
        <is>
          <t>Tray_Pack</t>
        </is>
      </c>
      <c r="B240" s="626" t="n">
        <v>7254</v>
      </c>
      <c r="C240" s="627" t="n">
        <v>61074</v>
      </c>
      <c r="D240" s="627" t="inlineStr">
        <is>
          <t>RWA</t>
        </is>
      </c>
      <c r="E240" s="627" t="inlineStr">
        <is>
          <t>Drum</t>
        </is>
      </c>
      <c r="F240" s="627" t="n"/>
      <c r="G240" s="635" t="n">
        <v>8</v>
      </c>
      <c r="H240" s="635" t="inlineStr">
        <is>
          <t>LT 8XP</t>
        </is>
      </c>
      <c r="I240" s="635" t="inlineStr">
        <is>
          <t>Large</t>
        </is>
      </c>
      <c r="J240" s="636" t="inlineStr">
        <is>
          <t>MS PC RWA DRUM AC LT PP BSK</t>
        </is>
      </c>
      <c r="K240" s="632" t="inlineStr">
        <is>
          <t>Fast</t>
        </is>
      </c>
      <c r="L240" s="632" t="inlineStr">
        <is>
          <t>IFCO</t>
        </is>
      </c>
      <c r="M240" s="633" t="n">
        <v>52.69</v>
      </c>
      <c r="N240" s="631" t="inlineStr">
        <is>
          <t>PLATINUM</t>
        </is>
      </c>
      <c r="O240" s="627" t="n">
        <v>25</v>
      </c>
      <c r="P240" s="154" t="n">
        <v>61074</v>
      </c>
      <c r="R240" s="175">
        <f>_xlfn.XLOOKUP(Table3[[#This Row],[SKU]],'05_Daily_Orders'!$B$2:$B$328,'05_Daily_Orders'!G:G)</f>
        <v/>
      </c>
      <c r="S240" s="176">
        <f>IFERROR(R240*1,"")</f>
        <v/>
      </c>
      <c r="T240" s="600">
        <f>_xludf.IFNA(_xlfn.XLOOKUP(Table3[[#This Row],[SKU]],'00_Yield_Rates'!$B$2:$B$17,'00_Yield_Rates'!$E$2:$E$17),"")</f>
        <v/>
      </c>
    </row>
    <row r="241">
      <c r="A241" s="625" t="inlineStr">
        <is>
          <t>Tray_Pack</t>
        </is>
      </c>
      <c r="B241" s="626" t="n">
        <v>7260</v>
      </c>
      <c r="C241" s="627" t="inlineStr">
        <is>
          <t>61050#2</t>
        </is>
      </c>
      <c r="D241" s="627" t="inlineStr">
        <is>
          <t>LCL</t>
        </is>
      </c>
      <c r="E241" s="627" t="inlineStr">
        <is>
          <t>BSB</t>
        </is>
      </c>
      <c r="F241" s="627" t="n">
        <v>0</v>
      </c>
      <c r="G241" s="635" t="n">
        <v>8</v>
      </c>
      <c r="H241" s="635" t="inlineStr">
        <is>
          <t>PET 8</t>
        </is>
      </c>
      <c r="I241" s="635" t="inlineStr">
        <is>
          <t>Small</t>
        </is>
      </c>
      <c r="J241" s="636" t="inlineStr">
        <is>
          <t>MS LCL BSHB PET8 PP BSK</t>
        </is>
      </c>
      <c r="K241" s="629" t="inlineStr">
        <is>
          <t>Fast</t>
        </is>
      </c>
      <c r="L241" s="632" t="inlineStr">
        <is>
          <t>IFCO</t>
        </is>
      </c>
      <c r="M241" s="633" t="n">
        <v>102.86</v>
      </c>
      <c r="N241" s="631" t="inlineStr">
        <is>
          <t>SILVER</t>
        </is>
      </c>
      <c r="O241" s="627" t="n">
        <v>20</v>
      </c>
      <c r="P241" s="154" t="inlineStr">
        <is>
          <t>61050#2</t>
        </is>
      </c>
      <c r="R241" s="175">
        <f>_xlfn.XLOOKUP(Table3[[#This Row],[SKU]],'05_Daily_Orders'!$B$2:$B$328,'05_Daily_Orders'!G:G)</f>
        <v/>
      </c>
      <c r="S241" s="176">
        <f>IFERROR(R241*1,"")</f>
        <v/>
      </c>
      <c r="T241" s="600">
        <f>_xludf.IFNA(_xlfn.XLOOKUP(Table3[[#This Row],[SKU]],'00_Yield_Rates'!$B$2:$B$17,'00_Yield_Rates'!$E$2:$E$17),"")</f>
        <v/>
      </c>
    </row>
    <row r="242">
      <c r="A242" s="625" t="inlineStr">
        <is>
          <t>Tray_Pack</t>
        </is>
      </c>
      <c r="B242" s="626" t="n">
        <v>7268</v>
      </c>
      <c r="C242" s="627" t="n">
        <v>203136</v>
      </c>
      <c r="D242" s="627" t="inlineStr">
        <is>
          <t>LCL</t>
        </is>
      </c>
      <c r="E242" s="635" t="inlineStr">
        <is>
          <t>Whole Bird-Small</t>
        </is>
      </c>
      <c r="F242" s="627" t="n"/>
      <c r="G242" s="635" t="n">
        <v>6</v>
      </c>
      <c r="H242" s="635" t="inlineStr">
        <is>
          <t>ST 3XP</t>
        </is>
      </c>
      <c r="I242" s="635" t="n"/>
      <c r="J242" s="636" t="inlineStr">
        <is>
          <t>PB PC FRY WOG AC TI ST</t>
        </is>
      </c>
      <c r="K242" s="632" t="inlineStr">
        <is>
          <t>Fast</t>
        </is>
      </c>
      <c r="L242" s="632" t="inlineStr">
        <is>
          <t>IFCO</t>
        </is>
      </c>
      <c r="M242" s="633" t="n">
        <v>137.96</v>
      </c>
      <c r="N242" s="631" t="n"/>
      <c r="O242" s="627" t="n">
        <v>25</v>
      </c>
      <c r="P242" s="154" t="n">
        <v>203136</v>
      </c>
      <c r="R242" s="175">
        <f>_xlfn.XLOOKUP(Table3[[#This Row],[SKU]],'05_Daily_Orders'!$B$2:$B$328,'05_Daily_Orders'!G:G)</f>
        <v/>
      </c>
      <c r="S242" s="176">
        <f>IFERROR(R242*1,"")</f>
        <v/>
      </c>
      <c r="T242" s="600">
        <f>_xludf.IFNA(_xlfn.XLOOKUP(Table3[[#This Row],[SKU]],'00_Yield_Rates'!$B$2:$B$17,'00_Yield_Rates'!$E$2:$E$17),"")</f>
        <v/>
      </c>
    </row>
    <row r="243">
      <c r="A243" s="625" t="inlineStr">
        <is>
          <t>Tray_Pack</t>
        </is>
      </c>
      <c r="B243" s="634" t="n">
        <v>7269</v>
      </c>
      <c r="C243" s="627" t="n">
        <v>61014</v>
      </c>
      <c r="D243" s="627" t="inlineStr">
        <is>
          <t>LCL</t>
        </is>
      </c>
      <c r="E243" s="627" t="inlineStr">
        <is>
          <t>SplitWing</t>
        </is>
      </c>
      <c r="F243" s="630" t="n"/>
      <c r="G243" s="635" t="n">
        <v>12</v>
      </c>
      <c r="H243" s="635" t="inlineStr">
        <is>
          <t>PET 3</t>
        </is>
      </c>
      <c r="I243" s="635" t="n"/>
      <c r="J243" s="636" t="inlineStr">
        <is>
          <t>PB PC SPLIT WING AC PET 3</t>
        </is>
      </c>
      <c r="K243" s="629" t="inlineStr">
        <is>
          <t>Slow</t>
        </is>
      </c>
      <c r="L243" s="632" t="inlineStr">
        <is>
          <t>IFCO</t>
        </is>
      </c>
      <c r="M243" s="633" t="n">
        <v>26.99</v>
      </c>
      <c r="N243" s="640" t="inlineStr">
        <is>
          <t>PLATINUM</t>
        </is>
      </c>
      <c r="O243" s="627" t="n">
        <v>20</v>
      </c>
      <c r="P243" s="154" t="n">
        <v>61014</v>
      </c>
      <c r="R243" s="175">
        <f>_xlfn.XLOOKUP(Table3[[#This Row],[SKU]],'05_Daily_Orders'!$B$2:$B$328,'05_Daily_Orders'!G:G)</f>
        <v/>
      </c>
      <c r="S243" s="176">
        <f>IFERROR(R243*1,"")</f>
        <v/>
      </c>
      <c r="T243" s="600">
        <f>_xludf.IFNA(_xlfn.XLOOKUP(Table3[[#This Row],[SKU]],'00_Yield_Rates'!$B$2:$B$17,'00_Yield_Rates'!$E$2:$E$17),"")</f>
        <v/>
      </c>
    </row>
    <row r="244">
      <c r="A244" s="625" t="inlineStr">
        <is>
          <t>Tray_Pack</t>
        </is>
      </c>
      <c r="B244" s="634" t="n">
        <v>7275</v>
      </c>
      <c r="C244" s="627" t="n">
        <v>61048</v>
      </c>
      <c r="D244" s="627" t="inlineStr">
        <is>
          <t>LCL</t>
        </is>
      </c>
      <c r="E244" s="627" t="inlineStr">
        <is>
          <t>SplitBreast</t>
        </is>
      </c>
      <c r="F244" s="630" t="n">
        <v>0</v>
      </c>
      <c r="G244" s="635" t="n">
        <v>8</v>
      </c>
      <c r="H244" s="635" t="inlineStr">
        <is>
          <t>PET 8</t>
        </is>
      </c>
      <c r="I244" s="635" t="inlineStr">
        <is>
          <t>Large</t>
        </is>
      </c>
      <c r="J244" s="636" t="inlineStr">
        <is>
          <t>MS PC BM SKLS HB AC PET 8 BSK</t>
        </is>
      </c>
      <c r="K244" s="629" t="inlineStr">
        <is>
          <t>Fast</t>
        </is>
      </c>
      <c r="L244" s="632" t="inlineStr">
        <is>
          <t>IFCO</t>
        </is>
      </c>
      <c r="M244" s="633" t="n">
        <v>180.03</v>
      </c>
      <c r="N244" s="640" t="inlineStr">
        <is>
          <t>SILVER</t>
        </is>
      </c>
      <c r="O244" s="627" t="n">
        <v>25</v>
      </c>
      <c r="P244" s="154" t="n">
        <v>61048</v>
      </c>
      <c r="R244" s="175">
        <f>_xlfn.XLOOKUP(Table3[[#This Row],[SKU]],'05_Daily_Orders'!$B$2:$B$328,'05_Daily_Orders'!G:G)</f>
        <v/>
      </c>
      <c r="S244" s="176">
        <f>IFERROR(R244*1,"")</f>
        <v/>
      </c>
      <c r="T244" s="600">
        <f>_xludf.IFNA(_xlfn.XLOOKUP(Table3[[#This Row],[SKU]],'00_Yield_Rates'!$B$2:$B$17,'00_Yield_Rates'!$E$2:$E$17),"")</f>
        <v/>
      </c>
    </row>
    <row r="245">
      <c r="A245" s="625" t="inlineStr">
        <is>
          <t>Tray_Pack</t>
        </is>
      </c>
      <c r="B245" s="634" t="n">
        <v>7278</v>
      </c>
      <c r="C245" s="627" t="inlineStr">
        <is>
          <t>61086#2</t>
        </is>
      </c>
      <c r="D245" s="627" t="inlineStr">
        <is>
          <t>LCL</t>
        </is>
      </c>
      <c r="E245" s="627" t="inlineStr">
        <is>
          <t>ThighMeat</t>
        </is>
      </c>
      <c r="F245" s="630" t="n">
        <v>7.70174545454545</v>
      </c>
      <c r="G245" s="635" t="n">
        <v>8</v>
      </c>
      <c r="H245" s="635" t="inlineStr">
        <is>
          <t>PET 8</t>
        </is>
      </c>
      <c r="I245" s="635" t="n"/>
      <c r="J245" s="636" t="inlineStr">
        <is>
          <t>PB BSTHIGH LT</t>
        </is>
      </c>
      <c r="K245" s="629" t="inlineStr">
        <is>
          <t>Slow</t>
        </is>
      </c>
      <c r="L245" s="632" t="inlineStr">
        <is>
          <t>IFCO</t>
        </is>
      </c>
      <c r="M245" s="633" t="n">
        <v>20.8</v>
      </c>
      <c r="N245" s="640" t="inlineStr">
        <is>
          <t>SILVER</t>
        </is>
      </c>
      <c r="O245" s="627" t="n">
        <v>20</v>
      </c>
      <c r="P245" s="154" t="inlineStr">
        <is>
          <t>61086#2</t>
        </is>
      </c>
      <c r="R245" s="175">
        <f>_xlfn.XLOOKUP(Table3[[#This Row],[SKU]],'05_Daily_Orders'!$B$2:$B$328,'05_Daily_Orders'!G:G)</f>
        <v/>
      </c>
      <c r="S245" s="176">
        <f>IFERROR(R245*1,"")</f>
        <v/>
      </c>
      <c r="T245" s="600">
        <f>_xludf.IFNA(_xlfn.XLOOKUP(Table3[[#This Row],[SKU]],'00_Yield_Rates'!$B$2:$B$17,'00_Yield_Rates'!$E$2:$E$17),"")</f>
        <v/>
      </c>
    </row>
    <row r="246">
      <c r="A246" s="625" t="inlineStr">
        <is>
          <t>Tray_Pack</t>
        </is>
      </c>
      <c r="B246" s="634" t="n">
        <v>7287</v>
      </c>
      <c r="C246" s="627" t="inlineStr">
        <is>
          <t>61014#2</t>
        </is>
      </c>
      <c r="D246" s="627" t="inlineStr">
        <is>
          <t>LCL</t>
        </is>
      </c>
      <c r="E246" s="627" t="inlineStr">
        <is>
          <t>SplitWing</t>
        </is>
      </c>
      <c r="F246" s="630" t="n">
        <v>8.42428653497724</v>
      </c>
      <c r="G246" s="635" t="n">
        <v>8</v>
      </c>
      <c r="H246" s="635" t="inlineStr">
        <is>
          <t>PET 8</t>
        </is>
      </c>
      <c r="I246" s="635" t="n"/>
      <c r="J246" s="636" t="inlineStr">
        <is>
          <t>MS SPL WING PET8 BSK</t>
        </is>
      </c>
      <c r="K246" s="629" t="inlineStr">
        <is>
          <t>Slow</t>
        </is>
      </c>
      <c r="L246" s="629" t="inlineStr">
        <is>
          <t>IFCO</t>
        </is>
      </c>
      <c r="M246" s="630" t="n">
        <v>31.29</v>
      </c>
      <c r="N246" s="640" t="inlineStr">
        <is>
          <t>SILVER</t>
        </is>
      </c>
      <c r="O246" s="627" t="n">
        <v>25</v>
      </c>
      <c r="P246" s="154" t="inlineStr">
        <is>
          <t>61014#2</t>
        </is>
      </c>
      <c r="R246" s="175">
        <f>_xlfn.XLOOKUP(Table3[[#This Row],[SKU]],'05_Daily_Orders'!$B$2:$B$328,'05_Daily_Orders'!G:G)</f>
        <v/>
      </c>
      <c r="S246" s="176">
        <f>IFERROR(R246*1,"")</f>
        <v/>
      </c>
      <c r="T246" s="600">
        <f>_xludf.IFNA(_xlfn.XLOOKUP(Table3[[#This Row],[SKU]],'00_Yield_Rates'!$B$2:$B$17,'00_Yield_Rates'!$E$2:$E$17),"")</f>
        <v/>
      </c>
    </row>
    <row r="247">
      <c r="A247" s="625" t="inlineStr">
        <is>
          <t>Tray_Pack</t>
        </is>
      </c>
      <c r="B247" s="626" t="n">
        <v>7289</v>
      </c>
      <c r="C247" s="627" t="n">
        <v>61014</v>
      </c>
      <c r="D247" s="627" t="inlineStr">
        <is>
          <t>LCL</t>
        </is>
      </c>
      <c r="E247" s="627" t="inlineStr">
        <is>
          <t>SplitWing</t>
        </is>
      </c>
      <c r="F247" s="630" t="n">
        <v>0</v>
      </c>
      <c r="G247" s="635" t="n">
        <v>8</v>
      </c>
      <c r="H247" s="635" t="inlineStr">
        <is>
          <t>PET 8</t>
        </is>
      </c>
      <c r="I247" s="635" t="n"/>
      <c r="J247" s="636" t="inlineStr">
        <is>
          <t>PB PC SPL WING AC PET 8</t>
        </is>
      </c>
      <c r="K247" s="629" t="inlineStr">
        <is>
          <t>Slow</t>
        </is>
      </c>
      <c r="L247" s="632" t="inlineStr">
        <is>
          <t>IFCO</t>
        </is>
      </c>
      <c r="M247" s="633" t="n">
        <v>30.46</v>
      </c>
      <c r="N247" s="631" t="inlineStr">
        <is>
          <t>PLATINUM</t>
        </is>
      </c>
      <c r="O247" s="627" t="n">
        <v>25</v>
      </c>
      <c r="P247" s="154" t="n">
        <v>61014</v>
      </c>
      <c r="R247" s="175">
        <f>_xlfn.XLOOKUP(Table3[[#This Row],[SKU]],'05_Daily_Orders'!$B$2:$B$328,'05_Daily_Orders'!G:G)</f>
        <v/>
      </c>
      <c r="S247" s="176">
        <f>IFERROR(R247*1,"")</f>
        <v/>
      </c>
      <c r="T247" s="600">
        <f>_xludf.IFNA(_xlfn.XLOOKUP(Table3[[#This Row],[SKU]],'00_Yield_Rates'!$B$2:$B$17,'00_Yield_Rates'!$E$2:$E$17),"")</f>
        <v/>
      </c>
    </row>
    <row r="248">
      <c r="A248" s="625" t="inlineStr">
        <is>
          <t>Tray_Pack</t>
        </is>
      </c>
      <c r="B248" s="626" t="n">
        <v>7300</v>
      </c>
      <c r="C248" s="627" t="n">
        <v>61054</v>
      </c>
      <c r="D248" s="627" t="inlineStr">
        <is>
          <t>LCL</t>
        </is>
      </c>
      <c r="E248" s="635" t="inlineStr">
        <is>
          <t>Fillet</t>
        </is>
      </c>
      <c r="F248" s="630" t="n">
        <v>0</v>
      </c>
      <c r="G248" s="635" t="n">
        <v>12</v>
      </c>
      <c r="H248" s="635" t="inlineStr">
        <is>
          <t>ST 3XP</t>
        </is>
      </c>
      <c r="I248" s="635" t="inlineStr">
        <is>
          <t>Small</t>
        </is>
      </c>
      <c r="J248" s="636" t="inlineStr">
        <is>
          <t>PB FILLET ST BSK</t>
        </is>
      </c>
      <c r="K248" s="629" t="inlineStr">
        <is>
          <t>Slow</t>
        </is>
      </c>
      <c r="L248" s="632" t="inlineStr">
        <is>
          <t>IFCO</t>
        </is>
      </c>
      <c r="M248" s="633" t="n">
        <v>18.96</v>
      </c>
      <c r="N248" s="631" t="inlineStr">
        <is>
          <t>PLATINUM</t>
        </is>
      </c>
      <c r="O248" s="627" t="n">
        <v>25</v>
      </c>
      <c r="P248" s="154" t="n">
        <v>61054</v>
      </c>
      <c r="R248" s="175">
        <f>_xlfn.XLOOKUP(Table3[[#This Row],[SKU]],'05_Daily_Orders'!$B$2:$B$328,'05_Daily_Orders'!G:G)</f>
        <v/>
      </c>
      <c r="S248" s="176">
        <f>IFERROR(R248*1,"")</f>
        <v/>
      </c>
      <c r="T248" s="600">
        <f>_xludf.IFNA(_xlfn.XLOOKUP(Table3[[#This Row],[SKU]],'00_Yield_Rates'!$B$2:$B$17,'00_Yield_Rates'!$E$2:$E$17),"")</f>
        <v/>
      </c>
    </row>
    <row r="249">
      <c r="A249" s="625" t="inlineStr">
        <is>
          <t>Tray_Pack</t>
        </is>
      </c>
      <c r="B249" s="634" t="n">
        <v>7303</v>
      </c>
      <c r="C249" s="627" t="n">
        <v>61054</v>
      </c>
      <c r="D249" s="627" t="inlineStr">
        <is>
          <t>LCL</t>
        </is>
      </c>
      <c r="E249" s="635" t="inlineStr">
        <is>
          <t>Fillet</t>
        </is>
      </c>
      <c r="F249" s="630" t="n">
        <v>0</v>
      </c>
      <c r="G249" s="635" t="n">
        <v>8</v>
      </c>
      <c r="H249" s="627" t="inlineStr">
        <is>
          <t>PET 8</t>
        </is>
      </c>
      <c r="I249" s="635" t="inlineStr">
        <is>
          <t>Large</t>
        </is>
      </c>
      <c r="J249" s="636" t="inlineStr">
        <is>
          <t>PB FILLET LT PP</t>
        </is>
      </c>
      <c r="K249" s="629" t="inlineStr">
        <is>
          <t>Slow</t>
        </is>
      </c>
      <c r="L249" s="632" t="inlineStr">
        <is>
          <t>IFCO</t>
        </is>
      </c>
      <c r="M249" s="633" t="n">
        <v>36.33</v>
      </c>
      <c r="N249" s="631" t="inlineStr">
        <is>
          <t>PLATINUM</t>
        </is>
      </c>
      <c r="O249" s="627" t="n">
        <v>25</v>
      </c>
      <c r="P249" s="154" t="n">
        <v>61054</v>
      </c>
      <c r="R249" s="175">
        <f>_xlfn.XLOOKUP(Table3[[#This Row],[SKU]],'05_Daily_Orders'!$B$2:$B$328,'05_Daily_Orders'!G:G)</f>
        <v/>
      </c>
      <c r="S249" s="176">
        <f>IFERROR(R249*1,"")</f>
        <v/>
      </c>
      <c r="T249" s="600">
        <f>_xludf.IFNA(_xlfn.XLOOKUP(Table3[[#This Row],[SKU]],'00_Yield_Rates'!$B$2:$B$17,'00_Yield_Rates'!$E$2:$E$17),"")</f>
        <v/>
      </c>
    </row>
    <row r="250">
      <c r="A250" s="625" t="inlineStr">
        <is>
          <t>Tray_Pack</t>
        </is>
      </c>
      <c r="B250" s="634" t="n">
        <v>7304</v>
      </c>
      <c r="C250" s="627" t="n">
        <v>61054</v>
      </c>
      <c r="D250" s="627" t="inlineStr">
        <is>
          <t>LCL</t>
        </is>
      </c>
      <c r="E250" s="635" t="inlineStr">
        <is>
          <t>Fillet</t>
        </is>
      </c>
      <c r="F250" s="630" t="n">
        <v>0</v>
      </c>
      <c r="G250" s="635" t="n">
        <v>8</v>
      </c>
      <c r="H250" s="635" t="inlineStr">
        <is>
          <t>PET 8</t>
        </is>
      </c>
      <c r="I250" s="635" t="inlineStr">
        <is>
          <t>Large</t>
        </is>
      </c>
      <c r="J250" s="636" t="inlineStr">
        <is>
          <t>PB FILLET LT PP</t>
        </is>
      </c>
      <c r="K250" s="629" t="inlineStr">
        <is>
          <t>Slow</t>
        </is>
      </c>
      <c r="L250" s="632" t="inlineStr">
        <is>
          <t>IFCO</t>
        </is>
      </c>
      <c r="M250" s="633" t="n">
        <v>40.25</v>
      </c>
      <c r="N250" s="640" t="inlineStr">
        <is>
          <t>PLATINUM</t>
        </is>
      </c>
      <c r="O250" s="627" t="n">
        <v>20</v>
      </c>
      <c r="P250" s="154" t="n">
        <v>61054</v>
      </c>
      <c r="R250" s="175">
        <f>_xlfn.XLOOKUP(Table3[[#This Row],[SKU]],'05_Daily_Orders'!$B$2:$B$328,'05_Daily_Orders'!G:G)</f>
        <v/>
      </c>
      <c r="S250" s="176">
        <f>IFERROR(R250*1,"")</f>
        <v/>
      </c>
      <c r="T250" s="600">
        <f>_xludf.IFNA(_xlfn.XLOOKUP(Table3[[#This Row],[SKU]],'00_Yield_Rates'!$B$2:$B$17,'00_Yield_Rates'!$E$2:$E$17),"")</f>
        <v/>
      </c>
    </row>
    <row r="251">
      <c r="A251" s="625" t="inlineStr">
        <is>
          <t>Tray_Pack</t>
        </is>
      </c>
      <c r="B251" s="634" t="n">
        <v>7310</v>
      </c>
      <c r="C251" s="627" t="n">
        <v>61104</v>
      </c>
      <c r="D251" s="627" t="inlineStr">
        <is>
          <t>LCL</t>
        </is>
      </c>
      <c r="E251" s="635" t="inlineStr">
        <is>
          <t>BSB</t>
        </is>
      </c>
      <c r="F251" s="630" t="n"/>
      <c r="G251" s="635" t="n">
        <v>8</v>
      </c>
      <c r="H251" s="635" t="inlineStr">
        <is>
          <t>LT 8XP</t>
        </is>
      </c>
      <c r="I251" s="635" t="inlineStr">
        <is>
          <t>Large</t>
        </is>
      </c>
      <c r="J251" s="636" t="inlineStr">
        <is>
          <t>MS BSHB CHUNK LT BSK</t>
        </is>
      </c>
      <c r="K251" s="629" t="inlineStr">
        <is>
          <t>Fast</t>
        </is>
      </c>
      <c r="L251" s="632" t="inlineStr">
        <is>
          <t>Industry</t>
        </is>
      </c>
      <c r="M251" s="633" t="n">
        <v>74.01000000000001</v>
      </c>
      <c r="N251" s="640" t="inlineStr">
        <is>
          <t>SILVER</t>
        </is>
      </c>
      <c r="O251" s="627" t="n">
        <v>25</v>
      </c>
      <c r="P251" s="154" t="n">
        <v>61104</v>
      </c>
      <c r="R251" s="175">
        <f>_xlfn.XLOOKUP(Table3[[#This Row],[SKU]],'05_Daily_Orders'!$B$2:$B$328,'05_Daily_Orders'!G:G)</f>
        <v/>
      </c>
      <c r="S251" s="176">
        <f>IFERROR(R251*1,"")</f>
        <v/>
      </c>
      <c r="T251" s="600">
        <f>_xludf.IFNA(_xlfn.XLOOKUP(Table3[[#This Row],[SKU]],'00_Yield_Rates'!$B$2:$B$17,'00_Yield_Rates'!$E$2:$E$17),"")</f>
        <v/>
      </c>
    </row>
    <row r="252">
      <c r="A252" s="625" t="inlineStr">
        <is>
          <t>Tray_Pack</t>
        </is>
      </c>
      <c r="B252" s="634" t="n">
        <v>7340</v>
      </c>
      <c r="C252" s="627" t="n">
        <v>203891</v>
      </c>
      <c r="D252" s="627" t="inlineStr">
        <is>
          <t>LCL</t>
        </is>
      </c>
      <c r="E252" s="635" t="inlineStr">
        <is>
          <t>Whole Bird-Small</t>
        </is>
      </c>
      <c r="F252" s="630" t="n">
        <v>8.88999999999999</v>
      </c>
      <c r="G252" s="635" t="n">
        <v>6</v>
      </c>
      <c r="H252" s="635" t="inlineStr">
        <is>
          <t>PET 3</t>
        </is>
      </c>
      <c r="I252" s="635" t="inlineStr">
        <is>
          <t>Large</t>
        </is>
      </c>
      <c r="J252" s="636" t="inlineStr">
        <is>
          <t>MS FRY WOG TI PET3 BSK</t>
        </is>
      </c>
      <c r="K252" s="632" t="inlineStr">
        <is>
          <t>Fast</t>
        </is>
      </c>
      <c r="L252" s="632" t="inlineStr">
        <is>
          <t>IFCO</t>
        </is>
      </c>
      <c r="M252" s="633" t="n">
        <v>141.76</v>
      </c>
      <c r="N252" s="640" t="n"/>
      <c r="O252" s="627" t="n">
        <v>25</v>
      </c>
      <c r="P252" s="154" t="n">
        <v>203891</v>
      </c>
      <c r="R252" s="175">
        <f>_xlfn.XLOOKUP(Table3[[#This Row],[SKU]],'05_Daily_Orders'!$B$2:$B$328,'05_Daily_Orders'!G:G)</f>
        <v/>
      </c>
      <c r="S252" s="176">
        <f>IFERROR(R252*1,"")</f>
        <v/>
      </c>
      <c r="T252" s="600">
        <f>_xludf.IFNA(_xlfn.XLOOKUP(Table3[[#This Row],[SKU]],'00_Yield_Rates'!$B$2:$B$17,'00_Yield_Rates'!$E$2:$E$17),"")</f>
        <v/>
      </c>
    </row>
    <row r="253">
      <c r="A253" s="625" t="inlineStr">
        <is>
          <t>Tray_Pack</t>
        </is>
      </c>
      <c r="B253" s="634" t="n">
        <v>7341</v>
      </c>
      <c r="C253" s="627" t="n">
        <v>203891</v>
      </c>
      <c r="D253" s="627" t="inlineStr">
        <is>
          <t>LCL</t>
        </is>
      </c>
      <c r="E253" s="635" t="inlineStr">
        <is>
          <t>Whole Bird-Small</t>
        </is>
      </c>
      <c r="F253" s="630" t="n"/>
      <c r="G253" s="635" t="n">
        <v>6</v>
      </c>
      <c r="H253" s="635" t="inlineStr">
        <is>
          <t>PET 3</t>
        </is>
      </c>
      <c r="I253" s="635" t="inlineStr">
        <is>
          <t>Small</t>
        </is>
      </c>
      <c r="J253" s="636" t="inlineStr">
        <is>
          <t>MS FRY WOG TI PET3 PP BSK</t>
        </is>
      </c>
      <c r="K253" s="632" t="inlineStr">
        <is>
          <t>Fast</t>
        </is>
      </c>
      <c r="L253" s="629" t="inlineStr">
        <is>
          <t>IFCO</t>
        </is>
      </c>
      <c r="M253" s="630" t="n">
        <v>141.76</v>
      </c>
      <c r="N253" s="640" t="n"/>
      <c r="O253" s="627" t="n">
        <v>25</v>
      </c>
      <c r="P253" s="154" t="n">
        <v>203891</v>
      </c>
      <c r="R253" s="175">
        <f>_xlfn.XLOOKUP(Table3[[#This Row],[SKU]],'05_Daily_Orders'!$B$2:$B$328,'05_Daily_Orders'!G:G)</f>
        <v/>
      </c>
      <c r="S253" s="176">
        <f>IFERROR(R253*1,"")</f>
        <v/>
      </c>
      <c r="T253" s="600">
        <f>_xludf.IFNA(_xlfn.XLOOKUP(Table3[[#This Row],[SKU]],'00_Yield_Rates'!$B$2:$B$17,'00_Yield_Rates'!$E$2:$E$17),"")</f>
        <v/>
      </c>
    </row>
    <row r="254">
      <c r="A254" s="625" t="inlineStr">
        <is>
          <t>Tray_Pack</t>
        </is>
      </c>
      <c r="B254" s="634" t="n">
        <v>7342</v>
      </c>
      <c r="C254" s="627" t="n">
        <v>61061</v>
      </c>
      <c r="D254" s="627" t="inlineStr">
        <is>
          <t>LCL</t>
        </is>
      </c>
      <c r="E254" s="627" t="inlineStr">
        <is>
          <t>BA</t>
        </is>
      </c>
      <c r="F254" s="630" t="n"/>
      <c r="G254" s="635" t="n">
        <v>8</v>
      </c>
      <c r="H254" s="635" t="inlineStr">
        <is>
          <t>PET 8</t>
        </is>
      </c>
      <c r="I254" s="635" t="inlineStr">
        <is>
          <t>Large</t>
        </is>
      </c>
      <c r="J254" s="636" t="inlineStr">
        <is>
          <t>MS LCL LEG BA PET8 PP BSK</t>
        </is>
      </c>
      <c r="K254" s="632" t="inlineStr">
        <is>
          <t>Fast</t>
        </is>
      </c>
      <c r="L254" s="632" t="inlineStr">
        <is>
          <t>IFCO</t>
        </is>
      </c>
      <c r="M254" s="633" t="n">
        <v>78.31999999999999</v>
      </c>
      <c r="N254" s="640" t="inlineStr">
        <is>
          <t>SILVER</t>
        </is>
      </c>
      <c r="O254" s="627" t="n">
        <v>25</v>
      </c>
      <c r="P254" s="154" t="n">
        <v>61061</v>
      </c>
      <c r="R254" s="175">
        <f>_xlfn.XLOOKUP(Table3[[#This Row],[SKU]],'05_Daily_Orders'!$B$2:$B$328,'05_Daily_Orders'!G:G)</f>
        <v/>
      </c>
      <c r="S254" s="176">
        <f>IFERROR(R254*1,"")</f>
        <v/>
      </c>
      <c r="T254" s="600">
        <f>_xludf.IFNA(_xlfn.XLOOKUP(Table3[[#This Row],[SKU]],'00_Yield_Rates'!$B$2:$B$17,'00_Yield_Rates'!$E$2:$E$17),"")</f>
        <v/>
      </c>
    </row>
    <row r="255">
      <c r="A255" s="625" t="inlineStr">
        <is>
          <t>Tray_Pack</t>
        </is>
      </c>
      <c r="B255" s="634" t="n">
        <v>7343</v>
      </c>
      <c r="C255" s="627" t="inlineStr">
        <is>
          <t>61050#2</t>
        </is>
      </c>
      <c r="D255" s="627" t="inlineStr">
        <is>
          <t>LCL</t>
        </is>
      </c>
      <c r="E255" s="627" t="inlineStr">
        <is>
          <t>BSB</t>
        </is>
      </c>
      <c r="F255" s="630" t="n"/>
      <c r="G255" s="635" t="n"/>
      <c r="H255" s="635" t="inlineStr">
        <is>
          <t>PET 6</t>
        </is>
      </c>
      <c r="I255" s="635" t="inlineStr">
        <is>
          <t>Small</t>
        </is>
      </c>
      <c r="J255" s="636" t="inlineStr">
        <is>
          <t>MS LCL BSHB PET6 PP BSK</t>
        </is>
      </c>
      <c r="K255" s="629" t="inlineStr">
        <is>
          <t>Fast</t>
        </is>
      </c>
      <c r="L255" s="632" t="inlineStr">
        <is>
          <t>IFCO</t>
        </is>
      </c>
      <c r="M255" s="633" t="n">
        <v>102.9</v>
      </c>
      <c r="N255" s="640" t="inlineStr">
        <is>
          <t>SILVER</t>
        </is>
      </c>
      <c r="O255" s="627" t="n">
        <v>25</v>
      </c>
      <c r="P255" s="154" t="inlineStr">
        <is>
          <t>61050#2</t>
        </is>
      </c>
      <c r="R255" s="175">
        <f>_xlfn.XLOOKUP(Table3[[#This Row],[SKU]],'05_Daily_Orders'!$B$2:$B$328,'05_Daily_Orders'!G:G)</f>
        <v/>
      </c>
      <c r="S255" s="176">
        <f>IFERROR(R255*1,"")</f>
        <v/>
      </c>
      <c r="T255" s="600">
        <f>_xludf.IFNA(_xlfn.XLOOKUP(Table3[[#This Row],[SKU]],'00_Yield_Rates'!$B$2:$B$17,'00_Yield_Rates'!$E$2:$E$17),"")</f>
        <v/>
      </c>
    </row>
    <row r="256">
      <c r="A256" s="625" t="inlineStr">
        <is>
          <t>Tray_Pack</t>
        </is>
      </c>
      <c r="B256" s="634" t="n">
        <v>7378</v>
      </c>
      <c r="C256" s="627" t="n">
        <v>61061</v>
      </c>
      <c r="D256" s="627" t="inlineStr">
        <is>
          <t>LCL</t>
        </is>
      </c>
      <c r="E256" s="627" t="inlineStr">
        <is>
          <t>BA</t>
        </is>
      </c>
      <c r="F256" s="630" t="n">
        <v>0</v>
      </c>
      <c r="G256" s="635" t="n">
        <v>8</v>
      </c>
      <c r="H256" s="635" t="inlineStr">
        <is>
          <t>PET 8</t>
        </is>
      </c>
      <c r="I256" s="635" t="n"/>
      <c r="J256" s="636" t="inlineStr">
        <is>
          <t>PB LEG BA LT</t>
        </is>
      </c>
      <c r="K256" s="632" t="inlineStr">
        <is>
          <t>Fast</t>
        </is>
      </c>
      <c r="L256" s="632" t="inlineStr">
        <is>
          <t>IFCO</t>
        </is>
      </c>
      <c r="M256" s="633" t="n">
        <v>82.95999999999999</v>
      </c>
      <c r="N256" s="640" t="inlineStr">
        <is>
          <t>SILVER</t>
        </is>
      </c>
      <c r="O256" s="627" t="n">
        <v>25</v>
      </c>
      <c r="P256" s="154" t="n">
        <v>61061</v>
      </c>
      <c r="R256" s="175">
        <f>_xlfn.XLOOKUP(Table3[[#This Row],[SKU]],'05_Daily_Orders'!$B$2:$B$328,'05_Daily_Orders'!G:G)</f>
        <v/>
      </c>
      <c r="S256" s="176">
        <f>IFERROR(R256*1,"")</f>
        <v/>
      </c>
      <c r="T256" s="600">
        <f>_xludf.IFNA(_xlfn.XLOOKUP(Table3[[#This Row],[SKU]],'00_Yield_Rates'!$B$2:$B$17,'00_Yield_Rates'!$E$2:$E$17),"")</f>
        <v/>
      </c>
    </row>
    <row r="257">
      <c r="A257" s="625" t="inlineStr">
        <is>
          <t>Tray_Pack</t>
        </is>
      </c>
      <c r="B257" s="634" t="n">
        <v>7396</v>
      </c>
      <c r="C257" s="627" t="inlineStr">
        <is>
          <t>61072#2</t>
        </is>
      </c>
      <c r="D257" s="627" t="inlineStr">
        <is>
          <t>FB</t>
        </is>
      </c>
      <c r="E257" s="627" t="inlineStr">
        <is>
          <t>Drum</t>
        </is>
      </c>
      <c r="F257" s="630" t="n"/>
      <c r="G257" s="635" t="n">
        <v>12</v>
      </c>
      <c r="H257" s="635" t="inlineStr">
        <is>
          <t>ST 3XP</t>
        </is>
      </c>
      <c r="I257" s="635" t="inlineStr">
        <is>
          <t>Small</t>
        </is>
      </c>
      <c r="J257" s="636" t="inlineStr">
        <is>
          <t>PB BSC DRUM ST PP BSK</t>
        </is>
      </c>
      <c r="K257" s="629" t="inlineStr">
        <is>
          <t>Fast</t>
        </is>
      </c>
      <c r="L257" s="632" t="inlineStr">
        <is>
          <t>Industry</t>
        </is>
      </c>
      <c r="M257" s="633" t="n">
        <v>62.01</v>
      </c>
      <c r="N257" s="640" t="inlineStr">
        <is>
          <t>SILVER</t>
        </is>
      </c>
      <c r="O257" s="627" t="n">
        <v>25</v>
      </c>
      <c r="P257" s="154" t="inlineStr">
        <is>
          <t>61072#2</t>
        </is>
      </c>
      <c r="R257" s="175">
        <f>_xlfn.XLOOKUP(Table3[[#This Row],[SKU]],'05_Daily_Orders'!$B$2:$B$328,'05_Daily_Orders'!G:G)</f>
        <v/>
      </c>
      <c r="S257" s="176">
        <f>IFERROR(R257*1,"")</f>
        <v/>
      </c>
      <c r="T257" s="600">
        <f>_xludf.IFNA(_xlfn.XLOOKUP(Table3[[#This Row],[SKU]],'00_Yield_Rates'!$B$2:$B$17,'00_Yield_Rates'!$E$2:$E$17),"")</f>
        <v/>
      </c>
    </row>
    <row r="258">
      <c r="A258" s="625" t="inlineStr">
        <is>
          <t>Tray_Pack</t>
        </is>
      </c>
      <c r="B258" s="626" t="n">
        <v>7397</v>
      </c>
      <c r="C258" s="627" t="n">
        <v>61082</v>
      </c>
      <c r="D258" s="627" t="inlineStr">
        <is>
          <t>FB</t>
        </is>
      </c>
      <c r="E258" s="627" t="inlineStr">
        <is>
          <t>Thigh</t>
        </is>
      </c>
      <c r="F258" s="630" t="n"/>
      <c r="G258" s="635" t="n">
        <v>12</v>
      </c>
      <c r="H258" s="635" t="inlineStr">
        <is>
          <t>ST 3XP</t>
        </is>
      </c>
      <c r="I258" s="635" t="inlineStr">
        <is>
          <t>Small</t>
        </is>
      </c>
      <c r="J258" s="636" t="inlineStr">
        <is>
          <t>PB BSC THIGH ST PP BSK</t>
        </is>
      </c>
      <c r="K258" s="632" t="inlineStr">
        <is>
          <t>Fast</t>
        </is>
      </c>
      <c r="L258" s="632" t="inlineStr">
        <is>
          <t>Industry</t>
        </is>
      </c>
      <c r="M258" s="633" t="n">
        <v>29.61</v>
      </c>
      <c r="N258" s="631" t="inlineStr">
        <is>
          <t>SILVER</t>
        </is>
      </c>
      <c r="O258" s="627" t="n">
        <v>25</v>
      </c>
      <c r="P258" s="154" t="n">
        <v>61082</v>
      </c>
      <c r="R258" s="175">
        <f>_xlfn.XLOOKUP(Table3[[#This Row],[SKU]],'05_Daily_Orders'!$B$2:$B$328,'05_Daily_Orders'!G:G)</f>
        <v/>
      </c>
      <c r="S258" s="176">
        <f>IFERROR(R258*1,"")</f>
        <v/>
      </c>
      <c r="T258" s="600">
        <f>_xludf.IFNA(_xlfn.XLOOKUP(Table3[[#This Row],[SKU]],'00_Yield_Rates'!$B$2:$B$17,'00_Yield_Rates'!$E$2:$E$17),"")</f>
        <v/>
      </c>
    </row>
    <row r="259">
      <c r="A259" s="625" t="inlineStr">
        <is>
          <t>Tray_Pack</t>
        </is>
      </c>
      <c r="B259" s="626" t="n">
        <v>7398</v>
      </c>
      <c r="C259" s="627" t="inlineStr">
        <is>
          <t>61050#2</t>
        </is>
      </c>
      <c r="D259" s="627" t="inlineStr">
        <is>
          <t>FB</t>
        </is>
      </c>
      <c r="E259" s="627" t="inlineStr">
        <is>
          <t>BSB</t>
        </is>
      </c>
      <c r="F259" s="630" t="n"/>
      <c r="G259" s="635" t="n">
        <v>8</v>
      </c>
      <c r="H259" s="635" t="inlineStr">
        <is>
          <t>LT 8XP</t>
        </is>
      </c>
      <c r="I259" s="635" t="inlineStr">
        <is>
          <t>Large</t>
        </is>
      </c>
      <c r="J259" s="636" t="inlineStr">
        <is>
          <t>MS BSC BSHB LT PP BSK</t>
        </is>
      </c>
      <c r="K259" s="629" t="inlineStr">
        <is>
          <t>Fast</t>
        </is>
      </c>
      <c r="L259" s="632" t="inlineStr">
        <is>
          <t>BOX</t>
        </is>
      </c>
      <c r="M259" s="633" t="n">
        <v>128.02</v>
      </c>
      <c r="N259" s="631" t="inlineStr">
        <is>
          <t>SILVER</t>
        </is>
      </c>
      <c r="O259" s="627" t="n">
        <v>25</v>
      </c>
      <c r="P259" s="154" t="inlineStr">
        <is>
          <t>61050#2</t>
        </is>
      </c>
      <c r="R259" s="175">
        <f>_xlfn.XLOOKUP(Table3[[#This Row],[SKU]],'05_Daily_Orders'!$B$2:$B$328,'05_Daily_Orders'!G:G)</f>
        <v/>
      </c>
      <c r="S259" s="176">
        <f>IFERROR(R259*1,"")</f>
        <v/>
      </c>
      <c r="T259" s="600">
        <f>_xludf.IFNA(_xlfn.XLOOKUP(Table3[[#This Row],[SKU]],'00_Yield_Rates'!$B$2:$B$17,'00_Yield_Rates'!$E$2:$E$17),"")</f>
        <v/>
      </c>
    </row>
    <row r="260">
      <c r="A260" s="625" t="inlineStr">
        <is>
          <t>Tray_Pack</t>
        </is>
      </c>
      <c r="B260" s="634" t="n">
        <v>7416</v>
      </c>
      <c r="C260" s="627" t="n">
        <v>203891</v>
      </c>
      <c r="D260" s="627" t="inlineStr">
        <is>
          <t>FB</t>
        </is>
      </c>
      <c r="E260" s="635" t="inlineStr">
        <is>
          <t>Whole Bird-Small</t>
        </is>
      </c>
      <c r="F260" s="630" t="n"/>
      <c r="G260" s="635" t="n">
        <v>6</v>
      </c>
      <c r="H260" s="635" t="inlineStr">
        <is>
          <t>ST 3XP</t>
        </is>
      </c>
      <c r="I260" s="635" t="inlineStr">
        <is>
          <t>Small</t>
        </is>
      </c>
      <c r="J260" s="636" t="inlineStr">
        <is>
          <t>MS BSC 1.1-1.31KG FRY WOG TI PP BSK</t>
        </is>
      </c>
      <c r="K260" s="632" t="inlineStr">
        <is>
          <t>Fast</t>
        </is>
      </c>
      <c r="L260" s="632" t="inlineStr">
        <is>
          <t>6.5 BOX</t>
        </is>
      </c>
      <c r="M260" s="633" t="n">
        <v>128.02</v>
      </c>
      <c r="N260" s="631" t="n"/>
      <c r="O260" s="627" t="n">
        <v>25</v>
      </c>
      <c r="P260" s="154" t="n">
        <v>203891</v>
      </c>
      <c r="R260" s="175">
        <f>_xlfn.XLOOKUP(Table3[[#This Row],[SKU]],'05_Daily_Orders'!$B$2:$B$328,'05_Daily_Orders'!G:G)</f>
        <v/>
      </c>
      <c r="S260" s="176">
        <f>IFERROR(R260*1,"")</f>
        <v/>
      </c>
      <c r="T260" s="600">
        <f>_xludf.IFNA(_xlfn.XLOOKUP(Table3[[#This Row],[SKU]],'00_Yield_Rates'!$B$2:$B$17,'00_Yield_Rates'!$E$2:$E$17),"")</f>
        <v/>
      </c>
    </row>
    <row r="261">
      <c r="A261" s="625" t="inlineStr">
        <is>
          <t>Tray_Pack</t>
        </is>
      </c>
      <c r="B261" s="626" t="n">
        <v>7522</v>
      </c>
      <c r="C261" s="627" t="inlineStr">
        <is>
          <t>61086#2</t>
        </is>
      </c>
      <c r="D261" s="627" t="inlineStr">
        <is>
          <t>FB</t>
        </is>
      </c>
      <c r="E261" s="627" t="inlineStr">
        <is>
          <t>ThighMeat</t>
        </is>
      </c>
      <c r="F261" s="630" t="n"/>
      <c r="G261" s="635" t="n">
        <v>12</v>
      </c>
      <c r="H261" s="635" t="inlineStr">
        <is>
          <t>ST 3XP</t>
        </is>
      </c>
      <c r="I261" s="635" t="inlineStr">
        <is>
          <t>Small</t>
        </is>
      </c>
      <c r="J261" s="636" t="inlineStr">
        <is>
          <t>PB BSC BSTHIGH ST PP BSK</t>
        </is>
      </c>
      <c r="K261" s="629" t="inlineStr">
        <is>
          <t>Slow</t>
        </is>
      </c>
      <c r="L261" s="632" t="inlineStr">
        <is>
          <t>BOX</t>
        </is>
      </c>
      <c r="M261" s="633" t="n">
        <v>29.24</v>
      </c>
      <c r="N261" s="631" t="inlineStr">
        <is>
          <t>SILVER</t>
        </is>
      </c>
      <c r="O261" s="627" t="n">
        <v>25</v>
      </c>
      <c r="P261" s="154" t="inlineStr">
        <is>
          <t>61086#2</t>
        </is>
      </c>
      <c r="R261" s="175">
        <f>_xlfn.XLOOKUP(Table3[[#This Row],[SKU]],'05_Daily_Orders'!$B$2:$B$328,'05_Daily_Orders'!G:G)</f>
        <v/>
      </c>
      <c r="S261" s="176">
        <f>IFERROR(R261*1,"")</f>
        <v/>
      </c>
      <c r="T261" s="600">
        <f>_xludf.IFNA(_xlfn.XLOOKUP(Table3[[#This Row],[SKU]],'00_Yield_Rates'!$B$2:$B$17,'00_Yield_Rates'!$E$2:$E$17),"")</f>
        <v/>
      </c>
    </row>
    <row r="262">
      <c r="A262" s="625" t="inlineStr">
        <is>
          <t>Tray_Pack</t>
        </is>
      </c>
      <c r="B262" s="634" t="n">
        <v>7553</v>
      </c>
      <c r="C262" s="627" t="inlineStr">
        <is>
          <t>61040#2</t>
        </is>
      </c>
      <c r="D262" s="627" t="inlineStr">
        <is>
          <t>FB</t>
        </is>
      </c>
      <c r="E262" s="627" t="inlineStr">
        <is>
          <t>SplitBreast</t>
        </is>
      </c>
      <c r="F262" s="630" t="n"/>
      <c r="G262" s="635" t="n">
        <v>18</v>
      </c>
      <c r="H262" s="635" t="inlineStr">
        <is>
          <t>ST 3XP</t>
        </is>
      </c>
      <c r="I262" s="635" t="inlineStr">
        <is>
          <t>Small</t>
        </is>
      </c>
      <c r="J262" s="636" t="inlineStr">
        <is>
          <t>PB BSC HB ST PP BSK</t>
        </is>
      </c>
      <c r="K262" s="629" t="inlineStr">
        <is>
          <t>Fast</t>
        </is>
      </c>
      <c r="L262" s="632" t="inlineStr">
        <is>
          <t>6.5 BOX</t>
        </is>
      </c>
      <c r="M262" s="633" t="n">
        <v>87.63</v>
      </c>
      <c r="N262" s="640" t="inlineStr">
        <is>
          <t>SILVER</t>
        </is>
      </c>
      <c r="O262" s="627" t="n">
        <v>25</v>
      </c>
      <c r="P262" s="154" t="inlineStr">
        <is>
          <t>61040#2</t>
        </is>
      </c>
      <c r="R262" s="175">
        <f>_xlfn.XLOOKUP(Table3[[#This Row],[SKU]],'05_Daily_Orders'!$B$2:$B$328,'05_Daily_Orders'!G:G)</f>
        <v/>
      </c>
      <c r="S262" s="176">
        <f>IFERROR(R262*1,"")</f>
        <v/>
      </c>
      <c r="T262" s="600">
        <f>_xludf.IFNA(_xlfn.XLOOKUP(Table3[[#This Row],[SKU]],'00_Yield_Rates'!$B$2:$B$17,'00_Yield_Rates'!$E$2:$E$17),"")</f>
        <v/>
      </c>
    </row>
    <row r="263">
      <c r="A263" s="625" t="inlineStr">
        <is>
          <t>Tray_Pack</t>
        </is>
      </c>
      <c r="B263" s="634" t="n">
        <v>7554</v>
      </c>
      <c r="C263" s="627" t="inlineStr">
        <is>
          <t>61048#2</t>
        </is>
      </c>
      <c r="D263" s="627" t="inlineStr">
        <is>
          <t>FB</t>
        </is>
      </c>
      <c r="E263" s="627" t="inlineStr">
        <is>
          <t>SplitBreast</t>
        </is>
      </c>
      <c r="F263" s="630" t="n"/>
      <c r="G263" s="635" t="n">
        <v>18</v>
      </c>
      <c r="H263" s="635" t="inlineStr">
        <is>
          <t>ST 3XP</t>
        </is>
      </c>
      <c r="I263" s="635" t="inlineStr">
        <is>
          <t>Small</t>
        </is>
      </c>
      <c r="J263" s="636" t="inlineStr">
        <is>
          <t>PB BSC SKLS HB ST PP BSK</t>
        </is>
      </c>
      <c r="K263" s="629" t="inlineStr">
        <is>
          <t>Fast</t>
        </is>
      </c>
      <c r="L263" s="632" t="inlineStr">
        <is>
          <t>6.5 BOX</t>
        </is>
      </c>
      <c r="M263" s="633" t="n">
        <v>83.81999999999999</v>
      </c>
      <c r="N263" s="631" t="inlineStr">
        <is>
          <t>SILVER</t>
        </is>
      </c>
      <c r="O263" s="627" t="n">
        <v>25</v>
      </c>
      <c r="P263" s="154" t="inlineStr">
        <is>
          <t>61048#2</t>
        </is>
      </c>
      <c r="R263" s="175">
        <f>_xlfn.XLOOKUP(Table3[[#This Row],[SKU]],'05_Daily_Orders'!$B$2:$B$328,'05_Daily_Orders'!G:G)</f>
        <v/>
      </c>
      <c r="S263" s="176">
        <f>IFERROR(R263*1,"")</f>
        <v/>
      </c>
      <c r="T263" s="600">
        <f>_xludf.IFNA(_xlfn.XLOOKUP(Table3[[#This Row],[SKU]],'00_Yield_Rates'!$B$2:$B$17,'00_Yield_Rates'!$E$2:$E$17),"")</f>
        <v/>
      </c>
    </row>
    <row r="264">
      <c r="A264" s="625" t="inlineStr">
        <is>
          <t>Tray_Pack</t>
        </is>
      </c>
      <c r="B264" s="634" t="n">
        <v>7557</v>
      </c>
      <c r="C264" s="627" t="inlineStr">
        <is>
          <t>61048#2</t>
        </is>
      </c>
      <c r="D264" s="627" t="inlineStr">
        <is>
          <t>FB</t>
        </is>
      </c>
      <c r="E264" s="627" t="inlineStr">
        <is>
          <t>SplitBreast</t>
        </is>
      </c>
      <c r="F264" s="630" t="n"/>
      <c r="G264" s="635" t="n">
        <v>6</v>
      </c>
      <c r="H264" s="635" t="inlineStr">
        <is>
          <t>LT 8XP</t>
        </is>
      </c>
      <c r="I264" s="635" t="inlineStr">
        <is>
          <t>Large</t>
        </is>
      </c>
      <c r="J264" s="636" t="inlineStr">
        <is>
          <t>PB BSC SKLS HB LT PP BSK</t>
        </is>
      </c>
      <c r="K264" s="629" t="inlineStr">
        <is>
          <t>Fast</t>
        </is>
      </c>
      <c r="L264" s="632" t="inlineStr">
        <is>
          <t>BOX</t>
        </is>
      </c>
      <c r="M264" s="633" t="n">
        <v>90.87</v>
      </c>
      <c r="N264" s="631" t="inlineStr">
        <is>
          <t>SILVER</t>
        </is>
      </c>
      <c r="O264" s="627" t="n">
        <v>25</v>
      </c>
      <c r="P264" s="154" t="inlineStr">
        <is>
          <t>61048#2</t>
        </is>
      </c>
      <c r="R264" s="175">
        <f>_xlfn.XLOOKUP(Table3[[#This Row],[SKU]],'05_Daily_Orders'!$B$2:$B$328,'05_Daily_Orders'!G:G)</f>
        <v/>
      </c>
      <c r="S264" s="176">
        <f>IFERROR(R264*1,"")</f>
        <v/>
      </c>
      <c r="T264" s="600">
        <f>_xludf.IFNA(_xlfn.XLOOKUP(Table3[[#This Row],[SKU]],'00_Yield_Rates'!$B$2:$B$17,'00_Yield_Rates'!$E$2:$E$17),"")</f>
        <v/>
      </c>
    </row>
    <row r="265">
      <c r="A265" s="625" t="inlineStr">
        <is>
          <t>Tray_Pack</t>
        </is>
      </c>
      <c r="B265" s="627" t="n">
        <v>7605</v>
      </c>
      <c r="C265" s="627" t="n">
        <v>61055</v>
      </c>
      <c r="D265" s="627" t="inlineStr">
        <is>
          <t>LCL</t>
        </is>
      </c>
      <c r="E265" s="627" t="inlineStr">
        <is>
          <t>BSB</t>
        </is>
      </c>
      <c r="F265" s="627" t="n">
        <v>9.295</v>
      </c>
      <c r="G265" s="627" t="n">
        <v>8</v>
      </c>
      <c r="H265" s="627" t="inlineStr">
        <is>
          <t>PET 8</t>
        </is>
      </c>
      <c r="I265" s="635" t="inlineStr">
        <is>
          <t>Large</t>
        </is>
      </c>
      <c r="J265" s="628" t="inlineStr">
        <is>
          <t>MS BSHB WOF PET8 BSK</t>
        </is>
      </c>
      <c r="K265" s="629" t="inlineStr">
        <is>
          <t>Fast</t>
        </is>
      </c>
      <c r="L265" s="630" t="inlineStr">
        <is>
          <t>IFCO</t>
        </is>
      </c>
      <c r="M265" s="630" t="n">
        <v>135.13</v>
      </c>
      <c r="N265" s="631" t="inlineStr">
        <is>
          <t>PLATINUM</t>
        </is>
      </c>
      <c r="O265" s="627" t="n">
        <v>25</v>
      </c>
      <c r="P265" s="154" t="n">
        <v>61055</v>
      </c>
      <c r="R265" s="175">
        <f>_xlfn.XLOOKUP(Table3[[#This Row],[SKU]],'05_Daily_Orders'!$B$2:$B$328,'05_Daily_Orders'!G:G)</f>
        <v/>
      </c>
      <c r="S265" s="176">
        <f>IFERROR(R265*1,"")</f>
        <v/>
      </c>
      <c r="T265" s="600">
        <f>_xludf.IFNA(_xlfn.XLOOKUP(Table3[[#This Row],[SKU]],'00_Yield_Rates'!$B$2:$B$17,'00_Yield_Rates'!$E$2:$E$17),"")</f>
        <v/>
      </c>
    </row>
    <row r="266">
      <c r="A266" s="625" t="inlineStr">
        <is>
          <t>Tray_Pack</t>
        </is>
      </c>
      <c r="B266" s="627" t="n">
        <v>7606</v>
      </c>
      <c r="C266" s="627" t="n">
        <v>61055</v>
      </c>
      <c r="D266" s="627" t="inlineStr">
        <is>
          <t>LCL</t>
        </is>
      </c>
      <c r="E266" s="627" t="inlineStr">
        <is>
          <t>BSB</t>
        </is>
      </c>
      <c r="F266" s="627" t="n">
        <v>9.295</v>
      </c>
      <c r="G266" s="627" t="n">
        <v>8</v>
      </c>
      <c r="H266" s="627" t="inlineStr">
        <is>
          <t>PET 8</t>
        </is>
      </c>
      <c r="I266" s="635" t="inlineStr">
        <is>
          <t>Large</t>
        </is>
      </c>
      <c r="J266" s="641" t="inlineStr">
        <is>
          <t>MS BSHB WOF PET8 PP BSK</t>
        </is>
      </c>
      <c r="K266" s="629" t="inlineStr">
        <is>
          <t>Fast</t>
        </is>
      </c>
      <c r="L266" s="630" t="inlineStr">
        <is>
          <t>IFCO</t>
        </is>
      </c>
      <c r="M266" s="630" t="n">
        <v>135.13</v>
      </c>
      <c r="N266" s="631" t="inlineStr">
        <is>
          <t>PLATINUM</t>
        </is>
      </c>
      <c r="O266" s="627" t="n">
        <v>25</v>
      </c>
      <c r="P266" s="154" t="n">
        <v>61055</v>
      </c>
      <c r="R266" s="175">
        <f>_xlfn.XLOOKUP(Table3[[#This Row],[SKU]],'05_Daily_Orders'!$B$2:$B$328,'05_Daily_Orders'!G:G)</f>
        <v/>
      </c>
      <c r="S266" s="176">
        <f>IFERROR(R266*1,"")</f>
        <v/>
      </c>
      <c r="T266" s="600">
        <f>_xludf.IFNA(_xlfn.XLOOKUP(Table3[[#This Row],[SKU]],'00_Yield_Rates'!$B$2:$B$17,'00_Yield_Rates'!$E$2:$E$17),"")</f>
        <v/>
      </c>
    </row>
    <row r="267">
      <c r="A267" s="625" t="inlineStr">
        <is>
          <t>Tray_Pack</t>
        </is>
      </c>
      <c r="B267" s="627" t="n">
        <v>7607</v>
      </c>
      <c r="C267" s="627" t="n">
        <v>61055</v>
      </c>
      <c r="D267" s="627" t="inlineStr">
        <is>
          <t>LCL</t>
        </is>
      </c>
      <c r="E267" s="627" t="inlineStr">
        <is>
          <t>BSB</t>
        </is>
      </c>
      <c r="F267" s="627" t="n">
        <v>9.295</v>
      </c>
      <c r="G267" s="627" t="n">
        <v>8</v>
      </c>
      <c r="H267" s="627" t="inlineStr">
        <is>
          <t>PET 8</t>
        </is>
      </c>
      <c r="I267" s="635" t="inlineStr">
        <is>
          <t>Large</t>
        </is>
      </c>
      <c r="J267" s="641" t="inlineStr">
        <is>
          <t>MS BSHB WOF PET8 PP BSK</t>
        </is>
      </c>
      <c r="K267" s="629" t="inlineStr">
        <is>
          <t>Fast</t>
        </is>
      </c>
      <c r="L267" s="630" t="inlineStr">
        <is>
          <t>IFCO</t>
        </is>
      </c>
      <c r="M267" s="630" t="n">
        <v>135.13</v>
      </c>
      <c r="N267" s="631" t="inlineStr">
        <is>
          <t>PLATINUM</t>
        </is>
      </c>
      <c r="O267" s="627" t="n">
        <v>25</v>
      </c>
      <c r="P267" s="154" t="n">
        <v>61055</v>
      </c>
      <c r="R267" s="175">
        <f>_xlfn.XLOOKUP(Table3[[#This Row],[SKU]],'05_Daily_Orders'!$B$2:$B$328,'05_Daily_Orders'!G:G)</f>
        <v/>
      </c>
      <c r="S267" s="176">
        <f>IFERROR(R267*1,"")</f>
        <v/>
      </c>
      <c r="T267" s="600">
        <f>_xludf.IFNA(_xlfn.XLOOKUP(Table3[[#This Row],[SKU]],'00_Yield_Rates'!$B$2:$B$17,'00_Yield_Rates'!$E$2:$E$17),"")</f>
        <v/>
      </c>
    </row>
    <row r="268">
      <c r="A268" s="625" t="inlineStr">
        <is>
          <t>Tray_Pack</t>
        </is>
      </c>
      <c r="B268" s="627" t="n">
        <v>7608</v>
      </c>
      <c r="C268" s="627" t="n">
        <v>61055</v>
      </c>
      <c r="D268" s="627" t="inlineStr">
        <is>
          <t>LCL</t>
        </is>
      </c>
      <c r="E268" s="627" t="inlineStr">
        <is>
          <t>BSB</t>
        </is>
      </c>
      <c r="F268" s="627" t="n">
        <v>9.295</v>
      </c>
      <c r="G268" s="627" t="n">
        <v>8</v>
      </c>
      <c r="H268" s="627" t="inlineStr">
        <is>
          <t>PET 8</t>
        </is>
      </c>
      <c r="I268" s="635" t="inlineStr">
        <is>
          <t>Large</t>
        </is>
      </c>
      <c r="J268" s="641" t="inlineStr">
        <is>
          <t>MS LCL BSHB WOF PET8 PP BSK</t>
        </is>
      </c>
      <c r="K268" s="629" t="inlineStr">
        <is>
          <t>Fast</t>
        </is>
      </c>
      <c r="L268" s="630" t="inlineStr">
        <is>
          <t>IFCO</t>
        </is>
      </c>
      <c r="M268" s="630" t="n">
        <v>91.73</v>
      </c>
      <c r="N268" s="631" t="inlineStr">
        <is>
          <t>PLATINUM</t>
        </is>
      </c>
      <c r="O268" s="627" t="n">
        <v>25</v>
      </c>
      <c r="P268" s="154" t="n">
        <v>61055</v>
      </c>
      <c r="R268" s="175">
        <f>_xlfn.XLOOKUP(Table3[[#This Row],[SKU]],'05_Daily_Orders'!$B$2:$B$328,'05_Daily_Orders'!G:G)</f>
        <v/>
      </c>
      <c r="S268" s="176">
        <f>IFERROR(R268*1,"")</f>
        <v/>
      </c>
      <c r="T268" s="600">
        <f>_xludf.IFNA(_xlfn.XLOOKUP(Table3[[#This Row],[SKU]],'00_Yield_Rates'!$B$2:$B$17,'00_Yield_Rates'!$E$2:$E$17),"")</f>
        <v/>
      </c>
    </row>
    <row r="269">
      <c r="A269" s="625" t="inlineStr">
        <is>
          <t>Tray_Pack</t>
        </is>
      </c>
      <c r="B269" s="634" t="n">
        <v>7811</v>
      </c>
      <c r="C269" s="627" t="n">
        <v>61050</v>
      </c>
      <c r="D269" s="627" t="inlineStr">
        <is>
          <t>LCL</t>
        </is>
      </c>
      <c r="E269" s="627" t="inlineStr">
        <is>
          <t>BSB</t>
        </is>
      </c>
      <c r="F269" s="630" t="n"/>
      <c r="G269" s="635" t="n">
        <v>12</v>
      </c>
      <c r="H269" s="635" t="inlineStr">
        <is>
          <t>ST 3D</t>
        </is>
      </c>
      <c r="I269" s="635" t="inlineStr">
        <is>
          <t>Small</t>
        </is>
      </c>
      <c r="J269" s="636" t="inlineStr">
        <is>
          <t>MS LCL BSHB AC 3D PP BSK</t>
        </is>
      </c>
      <c r="K269" s="629" t="inlineStr">
        <is>
          <t>Fast</t>
        </is>
      </c>
      <c r="L269" s="632" t="inlineStr">
        <is>
          <t>IFCO</t>
        </is>
      </c>
      <c r="M269" s="633" t="n">
        <v>102.94</v>
      </c>
      <c r="N269" s="631" t="inlineStr">
        <is>
          <t>PLATINUM</t>
        </is>
      </c>
      <c r="O269" s="627" t="n">
        <v>25</v>
      </c>
      <c r="P269" s="154" t="n">
        <v>61050</v>
      </c>
      <c r="R269" s="175">
        <f>_xlfn.XLOOKUP(Table3[[#This Row],[SKU]],'05_Daily_Orders'!$B$2:$B$328,'05_Daily_Orders'!G:G)</f>
        <v/>
      </c>
      <c r="S269" s="176">
        <f>IFERROR(R269*1,"")</f>
        <v/>
      </c>
      <c r="T269" s="600">
        <f>_xludf.IFNA(_xlfn.XLOOKUP(Table3[[#This Row],[SKU]],'00_Yield_Rates'!$B$2:$B$17,'00_Yield_Rates'!$E$2:$E$17),"")</f>
        <v/>
      </c>
    </row>
    <row r="270">
      <c r="A270" s="625" t="inlineStr">
        <is>
          <t>Tray_Pack</t>
        </is>
      </c>
      <c r="B270" s="626" t="n">
        <v>7812</v>
      </c>
      <c r="C270" s="627" t="n">
        <v>61050</v>
      </c>
      <c r="D270" s="627" t="inlineStr">
        <is>
          <t>LCL</t>
        </is>
      </c>
      <c r="E270" s="627" t="inlineStr">
        <is>
          <t>BSB</t>
        </is>
      </c>
      <c r="F270" s="630" t="n"/>
      <c r="G270" s="635" t="n">
        <v>8</v>
      </c>
      <c r="H270" s="635" t="inlineStr">
        <is>
          <t>LT 6D</t>
        </is>
      </c>
      <c r="I270" s="635" t="inlineStr">
        <is>
          <t>Small</t>
        </is>
      </c>
      <c r="J270" s="636" t="inlineStr">
        <is>
          <t>MS LCL BSHB AC 6D PP BSK</t>
        </is>
      </c>
      <c r="K270" s="629" t="inlineStr">
        <is>
          <t>Fast</t>
        </is>
      </c>
      <c r="L270" s="629" t="inlineStr">
        <is>
          <t>IFCO</t>
        </is>
      </c>
      <c r="M270" s="630" t="n">
        <v>96.16</v>
      </c>
      <c r="N270" s="631" t="inlineStr">
        <is>
          <t>PLATINUM</t>
        </is>
      </c>
      <c r="O270" s="627" t="n">
        <v>23</v>
      </c>
      <c r="P270" s="154" t="n">
        <v>61050</v>
      </c>
      <c r="R270" s="175">
        <f>_xlfn.XLOOKUP(Table3[[#This Row],[SKU]],'05_Daily_Orders'!$B$2:$B$328,'05_Daily_Orders'!G:G)</f>
        <v/>
      </c>
      <c r="S270" s="176">
        <f>IFERROR(R270*1,"")</f>
        <v/>
      </c>
      <c r="T270" s="600">
        <f>_xludf.IFNA(_xlfn.XLOOKUP(Table3[[#This Row],[SKU]],'00_Yield_Rates'!$B$2:$B$17,'00_Yield_Rates'!$E$2:$E$17),"")</f>
        <v/>
      </c>
    </row>
    <row r="271">
      <c r="A271" s="625" t="inlineStr">
        <is>
          <t>Tray_Pack</t>
        </is>
      </c>
      <c r="B271" s="626" t="n">
        <v>7813</v>
      </c>
      <c r="C271" s="627" t="n">
        <v>61050</v>
      </c>
      <c r="D271" s="627" t="inlineStr">
        <is>
          <t>LCL</t>
        </is>
      </c>
      <c r="E271" s="627" t="inlineStr">
        <is>
          <t>BSB</t>
        </is>
      </c>
      <c r="F271" s="630" t="n"/>
      <c r="G271" s="635" t="n">
        <v>8</v>
      </c>
      <c r="H271" s="635" t="inlineStr">
        <is>
          <t>PET 8</t>
        </is>
      </c>
      <c r="I271" s="635" t="inlineStr">
        <is>
          <t>Large</t>
        </is>
      </c>
      <c r="J271" s="636" t="inlineStr">
        <is>
          <t>MS LCL BSHB AC 8D PP BSK</t>
        </is>
      </c>
      <c r="K271" s="629" t="inlineStr">
        <is>
          <t>Fast</t>
        </is>
      </c>
      <c r="L271" s="629" t="inlineStr">
        <is>
          <t>IFCO</t>
        </is>
      </c>
      <c r="M271" s="630" t="n">
        <v>147.01</v>
      </c>
      <c r="N271" s="631" t="inlineStr">
        <is>
          <t>PLATINUM</t>
        </is>
      </c>
      <c r="O271" s="627" t="n">
        <v>25</v>
      </c>
      <c r="P271" s="154" t="n">
        <v>61050</v>
      </c>
      <c r="R271" s="175">
        <f>_xlfn.XLOOKUP(Table3[[#This Row],[SKU]],'05_Daily_Orders'!$B$2:$B$328,'05_Daily_Orders'!G:G)</f>
        <v/>
      </c>
      <c r="S271" s="176">
        <f>IFERROR(R271*1,"")</f>
        <v/>
      </c>
      <c r="T271" s="600">
        <f>_xludf.IFNA(_xlfn.XLOOKUP(Table3[[#This Row],[SKU]],'00_Yield_Rates'!$B$2:$B$17,'00_Yield_Rates'!$E$2:$E$17),"")</f>
        <v/>
      </c>
    </row>
    <row r="272">
      <c r="A272" s="625" t="inlineStr">
        <is>
          <t>Tray_Pack</t>
        </is>
      </c>
      <c r="B272" s="626" t="n">
        <v>7814</v>
      </c>
      <c r="C272" s="627" t="n">
        <v>61069</v>
      </c>
      <c r="D272" s="627" t="inlineStr">
        <is>
          <t>LCL</t>
        </is>
      </c>
      <c r="E272" s="635" t="inlineStr">
        <is>
          <t>BSB</t>
        </is>
      </c>
      <c r="F272" s="630" t="n"/>
      <c r="G272" s="635" t="n">
        <v>12</v>
      </c>
      <c r="H272" s="635" t="inlineStr">
        <is>
          <t>ST 3XP</t>
        </is>
      </c>
      <c r="I272" s="635" t="inlineStr">
        <is>
          <t>Small</t>
        </is>
      </c>
      <c r="J272" s="636" t="inlineStr">
        <is>
          <t>MS LCL BTFLYB WOF AC 3XP PP BSK</t>
        </is>
      </c>
      <c r="K272" s="629" t="inlineStr">
        <is>
          <t>Fast</t>
        </is>
      </c>
      <c r="L272" s="629" t="inlineStr">
        <is>
          <t>IFCO</t>
        </is>
      </c>
      <c r="M272" s="630" t="n">
        <v>4.51</v>
      </c>
      <c r="N272" s="631" t="inlineStr">
        <is>
          <t>PLATINUM</t>
        </is>
      </c>
      <c r="O272" s="627" t="n">
        <v>25</v>
      </c>
      <c r="P272" s="154" t="n">
        <v>61069</v>
      </c>
      <c r="R272" s="175">
        <f>_xlfn.XLOOKUP(Table3[[#This Row],[SKU]],'05_Daily_Orders'!$B$2:$B$328,'05_Daily_Orders'!G:G)</f>
        <v/>
      </c>
      <c r="S272" s="176">
        <f>IFERROR(R272*1,"")</f>
        <v/>
      </c>
      <c r="T272" s="600">
        <f>_xludf.IFNA(_xlfn.XLOOKUP(Table3[[#This Row],[SKU]],'00_Yield_Rates'!$B$2:$B$17,'00_Yield_Rates'!$E$2:$E$17),"")</f>
        <v/>
      </c>
    </row>
    <row r="273">
      <c r="A273" s="625" t="inlineStr">
        <is>
          <t>Tray_Pack</t>
        </is>
      </c>
      <c r="B273" s="626" t="n">
        <v>7815</v>
      </c>
      <c r="C273" s="627" t="n">
        <v>61054</v>
      </c>
      <c r="D273" s="627" t="inlineStr">
        <is>
          <t>LCL</t>
        </is>
      </c>
      <c r="E273" s="635" t="inlineStr">
        <is>
          <t>Fillet</t>
        </is>
      </c>
      <c r="F273" s="630" t="n"/>
      <c r="G273" s="635" t="n">
        <v>12</v>
      </c>
      <c r="H273" s="627" t="inlineStr">
        <is>
          <t>ST 3XP</t>
        </is>
      </c>
      <c r="I273" s="635" t="inlineStr">
        <is>
          <t>SMALL</t>
        </is>
      </c>
      <c r="J273" s="636" t="inlineStr">
        <is>
          <t>MS LCL FILLET AC 3XP PP BSK</t>
        </is>
      </c>
      <c r="K273" s="629" t="inlineStr">
        <is>
          <t>Slow</t>
        </is>
      </c>
      <c r="L273" s="629" t="inlineStr">
        <is>
          <t>IFCO</t>
        </is>
      </c>
      <c r="M273" s="630" t="n">
        <v>16.32</v>
      </c>
      <c r="N273" s="631" t="inlineStr">
        <is>
          <t>PLATINUM</t>
        </is>
      </c>
      <c r="O273" s="627" t="n">
        <v>25</v>
      </c>
      <c r="P273" s="154" t="n">
        <v>61054</v>
      </c>
      <c r="R273" s="175">
        <f>_xlfn.XLOOKUP(Table3[[#This Row],[SKU]],'05_Daily_Orders'!$B$2:$B$328,'05_Daily_Orders'!G:G)</f>
        <v/>
      </c>
      <c r="S273" s="176">
        <f>IFERROR(R273*1,"")</f>
        <v/>
      </c>
      <c r="T273" s="600">
        <f>_xludf.IFNA(_xlfn.XLOOKUP(Table3[[#This Row],[SKU]],'00_Yield_Rates'!$B$2:$B$17,'00_Yield_Rates'!$E$2:$E$17),"")</f>
        <v/>
      </c>
    </row>
    <row r="274">
      <c r="A274" s="625" t="inlineStr">
        <is>
          <t>Tray_Pack</t>
        </is>
      </c>
      <c r="B274" s="634" t="n">
        <v>7816</v>
      </c>
      <c r="C274" s="627" t="n">
        <v>61086</v>
      </c>
      <c r="D274" s="627" t="inlineStr">
        <is>
          <t>LCL</t>
        </is>
      </c>
      <c r="E274" s="627" t="inlineStr">
        <is>
          <t>ThighMeat</t>
        </is>
      </c>
      <c r="F274" s="630" t="n"/>
      <c r="G274" s="635" t="n">
        <v>8</v>
      </c>
      <c r="H274" s="635" t="inlineStr">
        <is>
          <t>LT 6D</t>
        </is>
      </c>
      <c r="I274" s="635" t="inlineStr">
        <is>
          <t>SMALL</t>
        </is>
      </c>
      <c r="J274" s="636" t="inlineStr">
        <is>
          <t>MS LCL BSTHIGH AC 6D PP BSK</t>
        </is>
      </c>
      <c r="K274" s="629" t="inlineStr">
        <is>
          <t>Slow</t>
        </is>
      </c>
      <c r="L274" s="632" t="inlineStr">
        <is>
          <t>IFCO</t>
        </is>
      </c>
      <c r="M274" s="633" t="n">
        <v>27.66</v>
      </c>
      <c r="N274" s="640" t="inlineStr">
        <is>
          <t>PLATINUM</t>
        </is>
      </c>
      <c r="O274" s="627" t="n">
        <v>25</v>
      </c>
      <c r="P274" s="154" t="n">
        <v>61086</v>
      </c>
      <c r="R274" s="175">
        <f>_xlfn.XLOOKUP(Table3[[#This Row],[SKU]],'05_Daily_Orders'!$B$2:$B$328,'05_Daily_Orders'!G:G)</f>
        <v/>
      </c>
      <c r="S274" s="176">
        <f>IFERROR(R274*1,"")</f>
        <v/>
      </c>
      <c r="T274" s="600">
        <f>_xludf.IFNA(_xlfn.XLOOKUP(Table3[[#This Row],[SKU]],'00_Yield_Rates'!$B$2:$B$17,'00_Yield_Rates'!$E$2:$E$17),"")</f>
        <v/>
      </c>
    </row>
    <row r="275">
      <c r="A275" s="625" t="inlineStr">
        <is>
          <t>Tray_Pack</t>
        </is>
      </c>
      <c r="B275" s="634" t="n">
        <v>7817</v>
      </c>
      <c r="C275" s="627" t="n">
        <v>61077</v>
      </c>
      <c r="D275" s="627" t="inlineStr">
        <is>
          <t>LCL</t>
        </is>
      </c>
      <c r="E275" s="627" t="inlineStr">
        <is>
          <t>Thigh</t>
        </is>
      </c>
      <c r="F275" s="630" t="n"/>
      <c r="G275" s="627" t="n">
        <v>8</v>
      </c>
      <c r="H275" s="627" t="inlineStr">
        <is>
          <t>LT 6D</t>
        </is>
      </c>
      <c r="I275" s="627" t="inlineStr">
        <is>
          <t>Small</t>
        </is>
      </c>
      <c r="J275" s="628" t="inlineStr">
        <is>
          <t>MS LCL THIGH AC 6D PP BSK</t>
        </is>
      </c>
      <c r="K275" s="632" t="inlineStr">
        <is>
          <t>Fast</t>
        </is>
      </c>
      <c r="L275" s="629" t="inlineStr">
        <is>
          <t>IFCO</t>
        </is>
      </c>
      <c r="M275" s="630" t="n">
        <v>44.44</v>
      </c>
      <c r="N275" s="631" t="inlineStr">
        <is>
          <t>PLATINUM</t>
        </is>
      </c>
      <c r="O275" s="627" t="n">
        <v>20</v>
      </c>
      <c r="P275" s="154" t="n">
        <v>61077</v>
      </c>
      <c r="R275" s="175">
        <f>_xlfn.XLOOKUP(Table3[[#This Row],[SKU]],'05_Daily_Orders'!$B$2:$B$328,'05_Daily_Orders'!G:G)</f>
        <v/>
      </c>
      <c r="S275" s="176">
        <f>IFERROR(R275*1,"")</f>
        <v/>
      </c>
      <c r="T275" s="600">
        <f>_xludf.IFNA(_xlfn.XLOOKUP(Table3[[#This Row],[SKU]],'00_Yield_Rates'!$B$2:$B$17,'00_Yield_Rates'!$E$2:$E$17),"")</f>
        <v/>
      </c>
    </row>
    <row r="276">
      <c r="A276" s="625" t="inlineStr">
        <is>
          <t>Tray_Pack</t>
        </is>
      </c>
      <c r="B276" s="634" t="n">
        <v>7818</v>
      </c>
      <c r="C276" s="627" t="inlineStr">
        <is>
          <t>61072F</t>
        </is>
      </c>
      <c r="D276" s="627" t="inlineStr">
        <is>
          <t>LCL</t>
        </is>
      </c>
      <c r="E276" s="627" t="inlineStr">
        <is>
          <t>Drum</t>
        </is>
      </c>
      <c r="F276" s="630" t="n"/>
      <c r="G276" s="627" t="n">
        <v>8</v>
      </c>
      <c r="H276" s="627" t="inlineStr">
        <is>
          <t>LT 6D</t>
        </is>
      </c>
      <c r="I276" s="627" t="inlineStr">
        <is>
          <t>Small</t>
        </is>
      </c>
      <c r="J276" s="628" t="inlineStr">
        <is>
          <t>MS LCL DRUM AC 6D PP BSK</t>
        </is>
      </c>
      <c r="K276" s="632" t="inlineStr">
        <is>
          <t>Fast</t>
        </is>
      </c>
      <c r="L276" s="629" t="inlineStr">
        <is>
          <t>IFCO</t>
        </is>
      </c>
      <c r="M276" s="630" t="n">
        <v>44.92</v>
      </c>
      <c r="N276" s="631" t="inlineStr">
        <is>
          <t>PLATINUM</t>
        </is>
      </c>
      <c r="O276" s="627" t="n">
        <v>25</v>
      </c>
      <c r="P276" s="154" t="inlineStr">
        <is>
          <t>61072F</t>
        </is>
      </c>
      <c r="R276" s="175">
        <f>_xlfn.XLOOKUP(Table3[[#This Row],[SKU]],'05_Daily_Orders'!$B$2:$B$328,'05_Daily_Orders'!G:G)</f>
        <v/>
      </c>
      <c r="S276" s="176">
        <f>IFERROR(R276*1,"")</f>
        <v/>
      </c>
      <c r="T276" s="600">
        <f>_xludf.IFNA(_xlfn.XLOOKUP(Table3[[#This Row],[SKU]],'00_Yield_Rates'!$B$2:$B$17,'00_Yield_Rates'!$E$2:$E$17),"")</f>
        <v/>
      </c>
    </row>
    <row r="277">
      <c r="A277" s="625" t="inlineStr">
        <is>
          <t>Tray_Pack</t>
        </is>
      </c>
      <c r="B277" s="634" t="n">
        <v>7819</v>
      </c>
      <c r="C277" s="627" t="inlineStr">
        <is>
          <t>61014F</t>
        </is>
      </c>
      <c r="D277" s="627" t="inlineStr">
        <is>
          <t>LCL</t>
        </is>
      </c>
      <c r="E277" s="627" t="inlineStr">
        <is>
          <t>SplitWing</t>
        </is>
      </c>
      <c r="F277" s="630" t="n"/>
      <c r="G277" s="635" t="n">
        <v>8</v>
      </c>
      <c r="H277" s="627" t="inlineStr">
        <is>
          <t>LT 6D</t>
        </is>
      </c>
      <c r="I277" s="635" t="inlineStr">
        <is>
          <t>Large</t>
        </is>
      </c>
      <c r="J277" s="636" t="inlineStr">
        <is>
          <t>MS LCL SPL WING AC 6D PP BSK</t>
        </is>
      </c>
      <c r="K277" s="629" t="inlineStr">
        <is>
          <t>Slow</t>
        </is>
      </c>
      <c r="L277" s="632" t="inlineStr">
        <is>
          <t>IFCO</t>
        </is>
      </c>
      <c r="M277" s="633" t="n">
        <v>24.48</v>
      </c>
      <c r="N277" s="631" t="inlineStr">
        <is>
          <t>PLATINUM</t>
        </is>
      </c>
      <c r="O277" s="627" t="n">
        <v>25</v>
      </c>
      <c r="P277" s="154" t="inlineStr">
        <is>
          <t>61014F</t>
        </is>
      </c>
      <c r="R277" s="175">
        <f>_xlfn.XLOOKUP(Table3[[#This Row],[SKU]],'05_Daily_Orders'!$B$2:$B$328,'05_Daily_Orders'!G:G)</f>
        <v/>
      </c>
      <c r="S277" s="176">
        <f>IFERROR(R277*1,"")</f>
        <v/>
      </c>
      <c r="T277" s="600">
        <f>_xludf.IFNA(_xlfn.XLOOKUP(Table3[[#This Row],[SKU]],'00_Yield_Rates'!$B$2:$B$17,'00_Yield_Rates'!$E$2:$E$17),"")</f>
        <v/>
      </c>
    </row>
    <row r="278">
      <c r="A278" s="625" t="inlineStr">
        <is>
          <t>Tray_Pack</t>
        </is>
      </c>
      <c r="B278" s="634" t="n">
        <v>7821</v>
      </c>
      <c r="C278" s="627" t="n">
        <v>61050</v>
      </c>
      <c r="D278" s="627" t="inlineStr">
        <is>
          <t>LCL</t>
        </is>
      </c>
      <c r="E278" s="627" t="inlineStr">
        <is>
          <t>BSB</t>
        </is>
      </c>
      <c r="F278" s="630" t="n"/>
      <c r="G278" s="635" t="n">
        <v>8</v>
      </c>
      <c r="H278" s="627" t="inlineStr">
        <is>
          <t>PET 8</t>
        </is>
      </c>
      <c r="I278" s="635" t="inlineStr">
        <is>
          <t>Large</t>
        </is>
      </c>
      <c r="J278" s="636" t="inlineStr">
        <is>
          <t>MS LCL BSHB AC 8D PP BSK</t>
        </is>
      </c>
      <c r="K278" s="629" t="inlineStr">
        <is>
          <t>Fast</t>
        </is>
      </c>
      <c r="L278" s="629" t="inlineStr">
        <is>
          <t>IFCO</t>
        </is>
      </c>
      <c r="M278" s="630" t="n">
        <v>111.22</v>
      </c>
      <c r="N278" s="631" t="inlineStr">
        <is>
          <t>PLATINUM</t>
        </is>
      </c>
      <c r="O278" s="627" t="n">
        <v>25</v>
      </c>
      <c r="P278" s="154" t="n">
        <v>61050</v>
      </c>
      <c r="R278" s="175">
        <f>_xlfn.XLOOKUP(Table3[[#This Row],[SKU]],'05_Daily_Orders'!$B$2:$B$328,'05_Daily_Orders'!G:G)</f>
        <v/>
      </c>
      <c r="S278" s="176">
        <f>IFERROR(R278*1,"")</f>
        <v/>
      </c>
      <c r="T278" s="600">
        <f>_xludf.IFNA(_xlfn.XLOOKUP(Table3[[#This Row],[SKU]],'00_Yield_Rates'!$B$2:$B$17,'00_Yield_Rates'!$E$2:$E$17),"")</f>
        <v/>
      </c>
    </row>
    <row r="279">
      <c r="A279" s="625" t="inlineStr">
        <is>
          <t>Tray_Pack</t>
        </is>
      </c>
      <c r="B279" s="634" t="n">
        <v>7823</v>
      </c>
      <c r="C279" s="627" t="n">
        <v>61077</v>
      </c>
      <c r="D279" s="627" t="inlineStr">
        <is>
          <t>LCL</t>
        </is>
      </c>
      <c r="E279" s="627" t="inlineStr">
        <is>
          <t>Thigh</t>
        </is>
      </c>
      <c r="F279" s="630" t="n">
        <v>6.45129885605338</v>
      </c>
      <c r="G279" s="635" t="n">
        <v>8</v>
      </c>
      <c r="H279" s="635" t="inlineStr">
        <is>
          <t>PET 6</t>
        </is>
      </c>
      <c r="I279" s="635" t="inlineStr">
        <is>
          <t>Small</t>
        </is>
      </c>
      <c r="J279" s="636" t="inlineStr">
        <is>
          <t>MS LCL THIGH AC PET 6 PP BSK</t>
        </is>
      </c>
      <c r="K279" s="632" t="inlineStr">
        <is>
          <t>Fast</t>
        </is>
      </c>
      <c r="L279" s="629" t="inlineStr">
        <is>
          <t>IFCO</t>
        </is>
      </c>
      <c r="M279" s="630" t="n">
        <v>36.84</v>
      </c>
      <c r="N279" s="631" t="inlineStr">
        <is>
          <t>PLATINUM</t>
        </is>
      </c>
      <c r="O279" s="627" t="n">
        <v>25</v>
      </c>
      <c r="P279" s="154" t="n">
        <v>61077</v>
      </c>
      <c r="R279" s="175">
        <f>_xlfn.XLOOKUP(Table3[[#This Row],[SKU]],'05_Daily_Orders'!$B$2:$B$328,'05_Daily_Orders'!G:G)</f>
        <v/>
      </c>
      <c r="S279" s="176">
        <f>IFERROR(R279*1,"")</f>
        <v/>
      </c>
      <c r="T279" s="600">
        <f>_xludf.IFNA(_xlfn.XLOOKUP(Table3[[#This Row],[SKU]],'00_Yield_Rates'!$B$2:$B$17,'00_Yield_Rates'!$E$2:$E$17),"")</f>
        <v/>
      </c>
    </row>
    <row r="280">
      <c r="A280" s="625" t="inlineStr">
        <is>
          <t>Tray_Pack</t>
        </is>
      </c>
      <c r="B280" s="626" t="n">
        <v>7824</v>
      </c>
      <c r="C280" s="627" t="inlineStr">
        <is>
          <t>61072F</t>
        </is>
      </c>
      <c r="D280" s="627" t="inlineStr">
        <is>
          <t>LCL</t>
        </is>
      </c>
      <c r="E280" s="627" t="inlineStr">
        <is>
          <t>Drum</t>
        </is>
      </c>
      <c r="F280" s="630" t="n">
        <v>6.08890897755611</v>
      </c>
      <c r="G280" s="635" t="n">
        <v>8</v>
      </c>
      <c r="H280" s="635" t="inlineStr">
        <is>
          <t>PET 6</t>
        </is>
      </c>
      <c r="I280" s="635" t="inlineStr">
        <is>
          <t>Small</t>
        </is>
      </c>
      <c r="J280" s="636" t="inlineStr">
        <is>
          <t>MS LCL DRUM AC PET 6 PP BSK</t>
        </is>
      </c>
      <c r="K280" s="632" t="inlineStr">
        <is>
          <t>Fast</t>
        </is>
      </c>
      <c r="L280" s="629" t="inlineStr">
        <is>
          <t>IFCO</t>
        </is>
      </c>
      <c r="M280" s="630" t="n">
        <v>43.35</v>
      </c>
      <c r="N280" s="631" t="inlineStr">
        <is>
          <t>PLATINUM</t>
        </is>
      </c>
      <c r="O280" s="627" t="n">
        <v>25</v>
      </c>
      <c r="P280" s="154" t="inlineStr">
        <is>
          <t>61072F</t>
        </is>
      </c>
      <c r="R280" s="175">
        <f>_xlfn.XLOOKUP(Table3[[#This Row],[SKU]],'05_Daily_Orders'!$B$2:$B$328,'05_Daily_Orders'!G:G)</f>
        <v/>
      </c>
      <c r="S280" s="176">
        <f>IFERROR(R280*1,"")</f>
        <v/>
      </c>
      <c r="T280" s="600">
        <f>_xludf.IFNA(_xlfn.XLOOKUP(Table3[[#This Row],[SKU]],'00_Yield_Rates'!$B$2:$B$17,'00_Yield_Rates'!$E$2:$E$17),"")</f>
        <v/>
      </c>
    </row>
    <row r="281">
      <c r="A281" s="625" t="inlineStr">
        <is>
          <t>Tray_Pack</t>
        </is>
      </c>
      <c r="B281" s="626" t="n">
        <v>7825</v>
      </c>
      <c r="C281" s="627" t="inlineStr">
        <is>
          <t>61014F</t>
        </is>
      </c>
      <c r="D281" s="627" t="inlineStr">
        <is>
          <t>LCL</t>
        </is>
      </c>
      <c r="E281" s="627" t="inlineStr">
        <is>
          <t>SplitWing</t>
        </is>
      </c>
      <c r="F281" s="630" t="n">
        <v>6.14130255722631</v>
      </c>
      <c r="G281" s="635" t="n">
        <v>8</v>
      </c>
      <c r="H281" s="635" t="inlineStr">
        <is>
          <t>PET 6</t>
        </is>
      </c>
      <c r="I281" s="635" t="inlineStr">
        <is>
          <t>Large</t>
        </is>
      </c>
      <c r="J281" s="636" t="inlineStr">
        <is>
          <t>MS LCL SPL WING AC PET 6 PP BSK</t>
        </is>
      </c>
      <c r="K281" s="629" t="inlineStr">
        <is>
          <t>Slow</t>
        </is>
      </c>
      <c r="L281" s="629" t="inlineStr">
        <is>
          <t>IFCO</t>
        </is>
      </c>
      <c r="M281" s="630" t="n">
        <v>24</v>
      </c>
      <c r="N281" s="631" t="inlineStr">
        <is>
          <t>PLATINUM</t>
        </is>
      </c>
      <c r="O281" s="627" t="n">
        <v>25</v>
      </c>
      <c r="P281" s="154" t="inlineStr">
        <is>
          <t>61014F</t>
        </is>
      </c>
      <c r="R281" s="175">
        <f>_xlfn.XLOOKUP(Table3[[#This Row],[SKU]],'05_Daily_Orders'!$B$2:$B$328,'05_Daily_Orders'!G:G)</f>
        <v/>
      </c>
      <c r="S281" s="176">
        <f>IFERROR(R281*1,"")</f>
        <v/>
      </c>
      <c r="T281" s="600">
        <f>_xludf.IFNA(_xlfn.XLOOKUP(Table3[[#This Row],[SKU]],'00_Yield_Rates'!$B$2:$B$17,'00_Yield_Rates'!$E$2:$E$17),"")</f>
        <v/>
      </c>
    </row>
    <row r="282">
      <c r="A282" s="625" t="inlineStr">
        <is>
          <t>Tray_Pack</t>
        </is>
      </c>
      <c r="B282" s="626" t="n">
        <v>7826</v>
      </c>
      <c r="C282" s="627" t="inlineStr">
        <is>
          <t>61050F</t>
        </is>
      </c>
      <c r="D282" s="627" t="inlineStr">
        <is>
          <t>LCL</t>
        </is>
      </c>
      <c r="E282" s="627" t="inlineStr">
        <is>
          <t>BSB</t>
        </is>
      </c>
      <c r="F282" s="630" t="n">
        <v>8.272978750763491</v>
      </c>
      <c r="G282" s="635" t="n">
        <v>12</v>
      </c>
      <c r="H282" s="635" t="inlineStr">
        <is>
          <t>PET 3</t>
        </is>
      </c>
      <c r="I282" s="635" t="inlineStr">
        <is>
          <t>Small</t>
        </is>
      </c>
      <c r="J282" s="636" t="inlineStr">
        <is>
          <t>MS LCL BSHB AC PET 3 PP BSK</t>
        </is>
      </c>
      <c r="K282" s="629" t="inlineStr">
        <is>
          <t>Fast</t>
        </is>
      </c>
      <c r="L282" s="629" t="inlineStr">
        <is>
          <t>IFCO</t>
        </is>
      </c>
      <c r="M282" s="630" t="n">
        <v>98.5</v>
      </c>
      <c r="N282" s="631" t="inlineStr">
        <is>
          <t>PLATINUM</t>
        </is>
      </c>
      <c r="O282" s="627" t="n">
        <v>20</v>
      </c>
      <c r="P282" s="154" t="inlineStr">
        <is>
          <t>61050F</t>
        </is>
      </c>
      <c r="R282" s="175">
        <f>_xlfn.XLOOKUP(Table3[[#This Row],[SKU]],'05_Daily_Orders'!$B$2:$B$328,'05_Daily_Orders'!G:G)</f>
        <v/>
      </c>
      <c r="S282" s="176">
        <f>IFERROR(R282*1,"")</f>
        <v/>
      </c>
      <c r="T282" s="600">
        <f>_xludf.IFNA(_xlfn.XLOOKUP(Table3[[#This Row],[SKU]],'00_Yield_Rates'!$B$2:$B$17,'00_Yield_Rates'!$E$2:$E$17),"")</f>
        <v/>
      </c>
    </row>
    <row r="283">
      <c r="A283" s="625" t="inlineStr">
        <is>
          <t>Tray_Pack</t>
        </is>
      </c>
      <c r="B283" s="626" t="n">
        <v>7827</v>
      </c>
      <c r="C283" s="627" t="n">
        <v>61050</v>
      </c>
      <c r="D283" s="627" t="inlineStr">
        <is>
          <t>LCL</t>
        </is>
      </c>
      <c r="E283" s="627" t="inlineStr">
        <is>
          <t>BSB</t>
        </is>
      </c>
      <c r="F283" s="630" t="n">
        <v>10.9022922768614</v>
      </c>
      <c r="G283" s="635" t="n">
        <v>8</v>
      </c>
      <c r="H283" s="635" t="inlineStr">
        <is>
          <t>PET 8</t>
        </is>
      </c>
      <c r="I283" s="635" t="inlineStr">
        <is>
          <t>Large</t>
        </is>
      </c>
      <c r="J283" s="636" t="inlineStr">
        <is>
          <t>MB LCL BSHB AC PET 8 PP BSK</t>
        </is>
      </c>
      <c r="K283" s="629" t="inlineStr">
        <is>
          <t>Fast</t>
        </is>
      </c>
      <c r="L283" s="629" t="inlineStr">
        <is>
          <t>IFCO</t>
        </is>
      </c>
      <c r="M283" s="630" t="n">
        <v>140.76</v>
      </c>
      <c r="N283" s="631" t="inlineStr">
        <is>
          <t>PLATINUM</t>
        </is>
      </c>
      <c r="O283" s="627" t="n">
        <v>25</v>
      </c>
      <c r="P283" s="154" t="n">
        <v>61050</v>
      </c>
      <c r="R283" s="175">
        <f>_xlfn.XLOOKUP(Table3[[#This Row],[SKU]],'05_Daily_Orders'!$B$2:$B$328,'05_Daily_Orders'!G:G)</f>
        <v/>
      </c>
      <c r="S283" s="176">
        <f>IFERROR(R283*1,"")</f>
        <v/>
      </c>
      <c r="T283" s="600">
        <f>_xludf.IFNA(_xlfn.XLOOKUP(Table3[[#This Row],[SKU]],'00_Yield_Rates'!$B$2:$B$17,'00_Yield_Rates'!$E$2:$E$17),"")</f>
        <v/>
      </c>
    </row>
    <row r="284">
      <c r="A284" s="625" t="inlineStr">
        <is>
          <t>Tray_Pack</t>
        </is>
      </c>
      <c r="B284" s="626" t="n">
        <v>7828</v>
      </c>
      <c r="C284" s="627" t="n">
        <v>61052</v>
      </c>
      <c r="D284" s="627" t="inlineStr">
        <is>
          <t>LCL</t>
        </is>
      </c>
      <c r="E284" s="635" t="inlineStr">
        <is>
          <t>Fillet</t>
        </is>
      </c>
      <c r="F284" s="630" t="n">
        <v>4.30515132669983</v>
      </c>
      <c r="G284" s="627" t="n">
        <v>12</v>
      </c>
      <c r="H284" s="627" t="inlineStr">
        <is>
          <t>PET 3</t>
        </is>
      </c>
      <c r="I284" s="627" t="inlineStr">
        <is>
          <t>SMALL</t>
        </is>
      </c>
      <c r="J284" s="628" t="inlineStr">
        <is>
          <t>MS LCL BTFLYB WOF AC PET 3 PP BSK</t>
        </is>
      </c>
      <c r="K284" s="629" t="inlineStr">
        <is>
          <t>Slow</t>
        </is>
      </c>
      <c r="L284" s="630" t="inlineStr">
        <is>
          <t>IFCO</t>
        </is>
      </c>
      <c r="M284" s="630" t="n">
        <v>4.54</v>
      </c>
      <c r="N284" s="631" t="inlineStr">
        <is>
          <t>PLATINUM</t>
        </is>
      </c>
      <c r="O284" s="627" t="n">
        <v>25</v>
      </c>
      <c r="P284" s="154" t="n">
        <v>61052</v>
      </c>
      <c r="R284" s="175">
        <f>_xlfn.XLOOKUP(Table3[[#This Row],[SKU]],'05_Daily_Orders'!$B$2:$B$328,'05_Daily_Orders'!G:G)</f>
        <v/>
      </c>
      <c r="S284" s="176">
        <f>IFERROR(R284*1,"")</f>
        <v/>
      </c>
      <c r="T284" s="600">
        <f>_xludf.IFNA(_xlfn.XLOOKUP(Table3[[#This Row],[SKU]],'00_Yield_Rates'!$B$2:$B$17,'00_Yield_Rates'!$E$2:$E$17),"")</f>
        <v/>
      </c>
    </row>
    <row r="285">
      <c r="A285" s="625" t="inlineStr">
        <is>
          <t>Tray_Pack</t>
        </is>
      </c>
      <c r="B285" s="626" t="n">
        <v>7829</v>
      </c>
      <c r="C285" s="627" t="n">
        <v>61054</v>
      </c>
      <c r="D285" s="627" t="inlineStr">
        <is>
          <t>LCL</t>
        </is>
      </c>
      <c r="E285" s="627" t="inlineStr">
        <is>
          <t>ThighMeat</t>
        </is>
      </c>
      <c r="F285" s="630" t="n">
        <v>4.41599714874069</v>
      </c>
      <c r="G285" s="627" t="n">
        <v>12</v>
      </c>
      <c r="H285" s="627" t="inlineStr">
        <is>
          <t>PET 3</t>
        </is>
      </c>
      <c r="I285" s="627" t="inlineStr">
        <is>
          <t>SMALL</t>
        </is>
      </c>
      <c r="J285" s="628" t="inlineStr">
        <is>
          <t>MS LCL FILLET AC PET 3 PP BSK</t>
        </is>
      </c>
      <c r="K285" s="629" t="inlineStr">
        <is>
          <t>Slow</t>
        </is>
      </c>
      <c r="L285" s="630" t="inlineStr">
        <is>
          <t>IFCO</t>
        </is>
      </c>
      <c r="M285" s="630" t="n">
        <v>14.61</v>
      </c>
      <c r="N285" s="631" t="inlineStr">
        <is>
          <t>PLATINUM</t>
        </is>
      </c>
      <c r="O285" s="627" t="n">
        <v>25</v>
      </c>
      <c r="P285" s="154" t="n">
        <v>61054</v>
      </c>
      <c r="R285" s="175">
        <f>_xlfn.XLOOKUP(Table3[[#This Row],[SKU]],'05_Daily_Orders'!$B$2:$B$328,'05_Daily_Orders'!G:G)</f>
        <v/>
      </c>
      <c r="S285" s="176">
        <f>IFERROR(R285*1,"")</f>
        <v/>
      </c>
      <c r="T285" s="600">
        <f>_xludf.IFNA(_xlfn.XLOOKUP(Table3[[#This Row],[SKU]],'00_Yield_Rates'!$B$2:$B$17,'00_Yield_Rates'!$E$2:$E$17),"")</f>
        <v/>
      </c>
    </row>
    <row r="286">
      <c r="A286" s="625" t="inlineStr">
        <is>
          <t>Tray_Pack</t>
        </is>
      </c>
      <c r="B286" s="626" t="n">
        <v>7830</v>
      </c>
      <c r="C286" s="627" t="inlineStr">
        <is>
          <t>61086F</t>
        </is>
      </c>
      <c r="D286" s="627" t="inlineStr">
        <is>
          <t>LCL</t>
        </is>
      </c>
      <c r="E286" s="627" t="inlineStr">
        <is>
          <t>ThighMeat</t>
        </is>
      </c>
      <c r="F286" s="630" t="n">
        <v>5.81501629675616</v>
      </c>
      <c r="G286" s="635" t="n">
        <v>8</v>
      </c>
      <c r="H286" s="635" t="inlineStr">
        <is>
          <t>PET 6</t>
        </is>
      </c>
      <c r="I286" s="635" t="inlineStr">
        <is>
          <t>Large</t>
        </is>
      </c>
      <c r="J286" s="636" t="inlineStr">
        <is>
          <t>MS LCL BSTHIGH AC PET6 PP BSK</t>
        </is>
      </c>
      <c r="K286" s="629" t="inlineStr">
        <is>
          <t>Slow</t>
        </is>
      </c>
      <c r="L286" s="632" t="inlineStr">
        <is>
          <t>IFCO</t>
        </is>
      </c>
      <c r="M286" s="633" t="n">
        <v>25.37</v>
      </c>
      <c r="N286" s="631" t="inlineStr">
        <is>
          <t>PLATINUM</t>
        </is>
      </c>
      <c r="O286" s="627" t="n">
        <v>25</v>
      </c>
      <c r="P286" s="154" t="n">
        <v>61050</v>
      </c>
      <c r="R286" s="175">
        <f>_xlfn.XLOOKUP(Table3[[#This Row],[SKU]],'05_Daily_Orders'!$B$2:$B$328,'05_Daily_Orders'!G:G)</f>
        <v/>
      </c>
      <c r="S286" s="176">
        <f>IFERROR(R286*1,"")</f>
        <v/>
      </c>
      <c r="T286" s="600">
        <f>_xludf.IFNA(_xlfn.XLOOKUP(Table3[[#This Row],[SKU]],'00_Yield_Rates'!$B$2:$B$17,'00_Yield_Rates'!$E$2:$E$17),"")</f>
        <v/>
      </c>
    </row>
    <row r="287">
      <c r="A287" s="625" t="inlineStr">
        <is>
          <t>Tray_Pack</t>
        </is>
      </c>
      <c r="B287" s="626" t="n">
        <v>7831</v>
      </c>
      <c r="C287" s="627" t="inlineStr">
        <is>
          <t>61050F</t>
        </is>
      </c>
      <c r="D287" s="627" t="inlineStr">
        <is>
          <t>LCL</t>
        </is>
      </c>
      <c r="E287" s="627" t="inlineStr">
        <is>
          <t>BSB</t>
        </is>
      </c>
      <c r="F287" s="630" t="n">
        <v>9.37270309130122</v>
      </c>
      <c r="G287" s="635" t="n">
        <v>8</v>
      </c>
      <c r="H287" s="635" t="inlineStr">
        <is>
          <t>PET 8</t>
        </is>
      </c>
      <c r="I287" s="635" t="inlineStr">
        <is>
          <t>Large</t>
        </is>
      </c>
      <c r="J287" s="636" t="inlineStr">
        <is>
          <t>MS LCL BSHB AC PET 8 PP BSK</t>
        </is>
      </c>
      <c r="K287" s="629" t="inlineStr">
        <is>
          <t>Fast</t>
        </is>
      </c>
      <c r="L287" s="632" t="inlineStr">
        <is>
          <t>IFCO</t>
        </is>
      </c>
      <c r="M287" s="633" t="n">
        <v>109.26</v>
      </c>
      <c r="N287" s="631" t="inlineStr">
        <is>
          <t>PLATINUM</t>
        </is>
      </c>
      <c r="O287" s="627" t="n">
        <v>25</v>
      </c>
      <c r="P287" s="154" t="inlineStr">
        <is>
          <t>61050F</t>
        </is>
      </c>
      <c r="R287" s="175">
        <f>_xlfn.XLOOKUP(Table3[[#This Row],[SKU]],'05_Daily_Orders'!$B$2:$B$328,'05_Daily_Orders'!G:G)</f>
        <v/>
      </c>
      <c r="S287" s="176">
        <f>IFERROR(R287*1,"")</f>
        <v/>
      </c>
      <c r="T287" s="600">
        <f>_xludf.IFNA(_xlfn.XLOOKUP(Table3[[#This Row],[SKU]],'00_Yield_Rates'!$B$2:$B$17,'00_Yield_Rates'!$E$2:$E$17),"")</f>
        <v/>
      </c>
    </row>
    <row r="288">
      <c r="A288" s="625" t="inlineStr">
        <is>
          <t>Tray_Pack</t>
        </is>
      </c>
      <c r="B288" s="626" t="n">
        <v>7833</v>
      </c>
      <c r="C288" s="627" t="n">
        <v>203135</v>
      </c>
      <c r="D288" s="627" t="inlineStr">
        <is>
          <t>LCL</t>
        </is>
      </c>
      <c r="E288" s="635" t="inlineStr">
        <is>
          <t>Whole Bird-Small</t>
        </is>
      </c>
      <c r="F288" s="630" t="n">
        <v>9.83239310477658</v>
      </c>
      <c r="G288" s="635" t="n">
        <v>6</v>
      </c>
      <c r="H288" s="635" t="inlineStr">
        <is>
          <t>PET 3</t>
        </is>
      </c>
      <c r="I288" s="635" t="n"/>
      <c r="J288" s="636" t="inlineStr">
        <is>
          <t>PB PC FRY WOG AC TI PET 3 PP</t>
        </is>
      </c>
      <c r="K288" s="632" t="inlineStr">
        <is>
          <t>Fast</t>
        </is>
      </c>
      <c r="L288" s="629" t="inlineStr">
        <is>
          <t>IFCO</t>
        </is>
      </c>
      <c r="M288" s="630" t="n">
        <v>155.46</v>
      </c>
      <c r="N288" s="631" t="n"/>
      <c r="O288" s="627" t="n">
        <v>25</v>
      </c>
      <c r="P288" s="154" t="n">
        <v>203135</v>
      </c>
      <c r="R288" s="175">
        <f>_xlfn.XLOOKUP(Table3[[#This Row],[SKU]],'05_Daily_Orders'!$B$2:$B$328,'05_Daily_Orders'!G:G)</f>
        <v/>
      </c>
      <c r="S288" s="176">
        <f>IFERROR(R288*1,"")</f>
        <v/>
      </c>
      <c r="T288" s="600">
        <f>_xludf.IFNA(_xlfn.XLOOKUP(Table3[[#This Row],[SKU]],'00_Yield_Rates'!$B$2:$B$17,'00_Yield_Rates'!$E$2:$E$17),"")</f>
        <v/>
      </c>
    </row>
    <row r="289">
      <c r="A289" s="625" t="inlineStr">
        <is>
          <t>Tray_Pack</t>
        </is>
      </c>
      <c r="B289" s="626" t="n">
        <v>7834</v>
      </c>
      <c r="C289" s="627" t="n">
        <v>203135</v>
      </c>
      <c r="D289" s="627" t="inlineStr">
        <is>
          <t>LCL</t>
        </is>
      </c>
      <c r="E289" s="635" t="inlineStr">
        <is>
          <t>Whole Bird-Small</t>
        </is>
      </c>
      <c r="F289" s="630" t="n">
        <v>9.83239310477658</v>
      </c>
      <c r="G289" s="635" t="n">
        <v>6</v>
      </c>
      <c r="H289" s="635" t="inlineStr">
        <is>
          <t>PET 3</t>
        </is>
      </c>
      <c r="I289" s="635" t="n"/>
      <c r="J289" s="636" t="inlineStr">
        <is>
          <t>PB PC FRY WOG AC TI PET 3 PP</t>
        </is>
      </c>
      <c r="K289" s="632" t="inlineStr">
        <is>
          <t>Fast</t>
        </is>
      </c>
      <c r="L289" s="629" t="inlineStr">
        <is>
          <t>IFCO</t>
        </is>
      </c>
      <c r="M289" s="630" t="n">
        <v>155.46</v>
      </c>
      <c r="N289" s="631" t="n"/>
      <c r="O289" s="627" t="n">
        <v>25</v>
      </c>
      <c r="P289" s="154" t="n">
        <v>203135</v>
      </c>
      <c r="R289" s="175">
        <f>_xlfn.XLOOKUP(Table3[[#This Row],[SKU]],'05_Daily_Orders'!$B$2:$B$328,'05_Daily_Orders'!G:G)</f>
        <v/>
      </c>
      <c r="S289" s="176">
        <f>IFERROR(R289*1,"")</f>
        <v/>
      </c>
      <c r="T289" s="600">
        <f>_xludf.IFNA(_xlfn.XLOOKUP(Table3[[#This Row],[SKU]],'00_Yield_Rates'!$B$2:$B$17,'00_Yield_Rates'!$E$2:$E$17),"")</f>
        <v/>
      </c>
    </row>
    <row r="290">
      <c r="A290" s="625" t="inlineStr">
        <is>
          <t>Tray_Pack</t>
        </is>
      </c>
      <c r="B290" s="626" t="n">
        <v>7840</v>
      </c>
      <c r="C290" s="627" t="inlineStr">
        <is>
          <t>61050F</t>
        </is>
      </c>
      <c r="D290" s="627" t="inlineStr">
        <is>
          <t>LCL</t>
        </is>
      </c>
      <c r="E290" s="627" t="inlineStr">
        <is>
          <t>BSB</t>
        </is>
      </c>
      <c r="F290" s="630" t="n">
        <v>0</v>
      </c>
      <c r="G290" s="635" t="n">
        <v>8</v>
      </c>
      <c r="H290" s="635" t="inlineStr">
        <is>
          <t>ST 3D</t>
        </is>
      </c>
      <c r="I290" s="635" t="inlineStr">
        <is>
          <t>Small</t>
        </is>
      </c>
      <c r="J290" s="636" t="inlineStr">
        <is>
          <t>MS LCL BSHB AC 3D PP BSK</t>
        </is>
      </c>
      <c r="K290" s="629" t="inlineStr">
        <is>
          <t>Fast</t>
        </is>
      </c>
      <c r="L290" s="629" t="inlineStr">
        <is>
          <t>IFCO</t>
        </is>
      </c>
      <c r="M290" s="630" t="n">
        <v>100.95</v>
      </c>
      <c r="N290" s="631" t="inlineStr">
        <is>
          <t>PLATINUM</t>
        </is>
      </c>
      <c r="O290" s="627" t="n">
        <v>25</v>
      </c>
      <c r="P290" s="154" t="inlineStr">
        <is>
          <t>61050F</t>
        </is>
      </c>
      <c r="R290" s="175">
        <f>_xlfn.XLOOKUP(Table3[[#This Row],[SKU]],'05_Daily_Orders'!$B$2:$B$328,'05_Daily_Orders'!G:G)</f>
        <v/>
      </c>
      <c r="S290" s="176">
        <f>IFERROR(R290*1,"")</f>
        <v/>
      </c>
      <c r="T290" s="600">
        <f>_xludf.IFNA(_xlfn.XLOOKUP(Table3[[#This Row],[SKU]],'00_Yield_Rates'!$B$2:$B$17,'00_Yield_Rates'!$E$2:$E$17),"")</f>
        <v/>
      </c>
    </row>
    <row r="291">
      <c r="A291" s="625" t="inlineStr">
        <is>
          <t>Tray_Pack</t>
        </is>
      </c>
      <c r="B291" s="626" t="n">
        <v>7841</v>
      </c>
      <c r="C291" s="627" t="inlineStr">
        <is>
          <t>61050F</t>
        </is>
      </c>
      <c r="D291" s="627" t="inlineStr">
        <is>
          <t>LCL</t>
        </is>
      </c>
      <c r="E291" s="627" t="inlineStr">
        <is>
          <t>BSB</t>
        </is>
      </c>
      <c r="F291" s="630" t="n"/>
      <c r="G291" s="627" t="n">
        <v>8</v>
      </c>
      <c r="H291" s="627" t="inlineStr">
        <is>
          <t>LT 6D</t>
        </is>
      </c>
      <c r="I291" s="627" t="inlineStr">
        <is>
          <t>Small</t>
        </is>
      </c>
      <c r="J291" s="628" t="inlineStr">
        <is>
          <t>MS LCL BSHB AC 6D PP BSK</t>
        </is>
      </c>
      <c r="K291" s="629" t="inlineStr">
        <is>
          <t>Fast</t>
        </is>
      </c>
      <c r="L291" s="630" t="inlineStr">
        <is>
          <t>IFCO</t>
        </is>
      </c>
      <c r="M291" s="630" t="n">
        <v>96.16</v>
      </c>
      <c r="N291" s="631" t="inlineStr">
        <is>
          <t>PLATINUM</t>
        </is>
      </c>
      <c r="O291" s="627" t="n">
        <v>25</v>
      </c>
      <c r="P291" s="154" t="inlineStr">
        <is>
          <t>61050F</t>
        </is>
      </c>
      <c r="R291" s="175">
        <f>_xlfn.XLOOKUP(Table3[[#This Row],[SKU]],'05_Daily_Orders'!$B$2:$B$328,'05_Daily_Orders'!G:G)</f>
        <v/>
      </c>
      <c r="S291" s="176">
        <f>IFERROR(R291*1,"")</f>
        <v/>
      </c>
      <c r="T291" s="600">
        <f>_xludf.IFNA(_xlfn.XLOOKUP(Table3[[#This Row],[SKU]],'00_Yield_Rates'!$B$2:$B$17,'00_Yield_Rates'!$E$2:$E$17),"")</f>
        <v/>
      </c>
    </row>
    <row r="292">
      <c r="A292" s="625" t="inlineStr">
        <is>
          <t>Tray_Pack</t>
        </is>
      </c>
      <c r="B292" s="626" t="n">
        <v>7842</v>
      </c>
      <c r="C292" s="627" t="inlineStr">
        <is>
          <t>61050F</t>
        </is>
      </c>
      <c r="D292" s="627" t="inlineStr">
        <is>
          <t>LCL</t>
        </is>
      </c>
      <c r="E292" s="627" t="inlineStr">
        <is>
          <t>BSB</t>
        </is>
      </c>
      <c r="F292" s="630" t="n"/>
      <c r="G292" s="635" t="n">
        <v>8</v>
      </c>
      <c r="H292" s="635" t="inlineStr">
        <is>
          <t>PET 8</t>
        </is>
      </c>
      <c r="I292" s="635" t="inlineStr">
        <is>
          <t>Large</t>
        </is>
      </c>
      <c r="J292" s="636" t="inlineStr">
        <is>
          <t>MS LCL BSHB AC 8D PP BSK</t>
        </is>
      </c>
      <c r="K292" s="629" t="inlineStr">
        <is>
          <t>Fast</t>
        </is>
      </c>
      <c r="L292" s="629" t="inlineStr">
        <is>
          <t>IFCO</t>
        </is>
      </c>
      <c r="M292" s="630" t="n">
        <v>144.17</v>
      </c>
      <c r="N292" s="631" t="inlineStr">
        <is>
          <t>PLATINUM</t>
        </is>
      </c>
      <c r="O292" s="627" t="n">
        <v>25</v>
      </c>
      <c r="P292" s="154" t="inlineStr">
        <is>
          <t>61050F</t>
        </is>
      </c>
      <c r="R292" s="175">
        <f>_xlfn.XLOOKUP(Table3[[#This Row],[SKU]],'05_Daily_Orders'!$B$2:$B$328,'05_Daily_Orders'!G:G)</f>
        <v/>
      </c>
      <c r="S292" s="176">
        <f>IFERROR(R292*1,"")</f>
        <v/>
      </c>
      <c r="T292" s="600">
        <f>_xludf.IFNA(_xlfn.XLOOKUP(Table3[[#This Row],[SKU]],'00_Yield_Rates'!$B$2:$B$17,'00_Yield_Rates'!$E$2:$E$17),"")</f>
        <v/>
      </c>
    </row>
    <row r="293">
      <c r="A293" s="625" t="inlineStr">
        <is>
          <t>Tray_Pack</t>
        </is>
      </c>
      <c r="B293" s="626" t="n">
        <v>7843</v>
      </c>
      <c r="C293" s="627" t="inlineStr">
        <is>
          <t>61050#2</t>
        </is>
      </c>
      <c r="D293" s="627" t="inlineStr">
        <is>
          <t>LCL</t>
        </is>
      </c>
      <c r="E293" s="627" t="inlineStr">
        <is>
          <t>BSB</t>
        </is>
      </c>
      <c r="F293" s="630" t="n"/>
      <c r="G293" s="635" t="n">
        <v>8</v>
      </c>
      <c r="H293" s="635" t="inlineStr">
        <is>
          <t>LT 6D</t>
        </is>
      </c>
      <c r="I293" s="635" t="inlineStr">
        <is>
          <t>Small</t>
        </is>
      </c>
      <c r="J293" s="628" t="inlineStr">
        <is>
          <t>MS LCL BSHB 6D PP BSK</t>
        </is>
      </c>
      <c r="K293" s="629" t="inlineStr">
        <is>
          <t>Fast</t>
        </is>
      </c>
      <c r="L293" s="632" t="inlineStr">
        <is>
          <t>IFCO</t>
        </is>
      </c>
      <c r="M293" s="633" t="n">
        <v>106.28</v>
      </c>
      <c r="N293" s="631" t="inlineStr">
        <is>
          <t>SILVER</t>
        </is>
      </c>
      <c r="O293" s="627" t="n">
        <v>25</v>
      </c>
      <c r="P293" s="154" t="inlineStr">
        <is>
          <t>61050#2</t>
        </is>
      </c>
      <c r="R293" s="175">
        <f>_xlfn.XLOOKUP(Table3[[#This Row],[SKU]],'05_Daily_Orders'!$B$2:$B$328,'05_Daily_Orders'!G:G)</f>
        <v/>
      </c>
      <c r="S293" s="176">
        <f>IFERROR(R293*1,"")</f>
        <v/>
      </c>
      <c r="T293" s="600">
        <f>_xludf.IFNA(_xlfn.XLOOKUP(Table3[[#This Row],[SKU]],'00_Yield_Rates'!$B$2:$B$17,'00_Yield_Rates'!$E$2:$E$17),"")</f>
        <v/>
      </c>
    </row>
    <row r="294">
      <c r="A294" s="625" t="inlineStr">
        <is>
          <t>Tray_Pack</t>
        </is>
      </c>
      <c r="B294" s="626" t="n">
        <v>7851</v>
      </c>
      <c r="C294" s="627" t="n">
        <v>61050</v>
      </c>
      <c r="D294" s="627" t="inlineStr">
        <is>
          <t>LCL</t>
        </is>
      </c>
      <c r="E294" s="627" t="inlineStr">
        <is>
          <t>BSB</t>
        </is>
      </c>
      <c r="F294" s="630" t="n">
        <v>5.41799640135478</v>
      </c>
      <c r="G294" s="635" t="n">
        <v>12</v>
      </c>
      <c r="H294" s="635" t="inlineStr">
        <is>
          <t>PET 3</t>
        </is>
      </c>
      <c r="I294" s="635" t="inlineStr">
        <is>
          <t>Small</t>
        </is>
      </c>
      <c r="J294" s="628" t="inlineStr">
        <is>
          <t>MS LCL BSHB AC PET 3 PP BSK</t>
        </is>
      </c>
      <c r="K294" s="629" t="inlineStr">
        <is>
          <t>Fast</t>
        </is>
      </c>
      <c r="L294" s="632" t="inlineStr">
        <is>
          <t>IFCO</t>
        </is>
      </c>
      <c r="M294" s="633" t="n">
        <v>46.88</v>
      </c>
      <c r="N294" s="631" t="inlineStr">
        <is>
          <t>PLATINUM</t>
        </is>
      </c>
      <c r="O294" s="627" t="n">
        <v>25</v>
      </c>
      <c r="P294" s="154" t="n">
        <v>61050</v>
      </c>
      <c r="R294" s="175">
        <f>_xlfn.XLOOKUP(Table3[[#This Row],[SKU]],'05_Daily_Orders'!$B$2:$B$328,'05_Daily_Orders'!G:G)</f>
        <v/>
      </c>
      <c r="S294" s="176">
        <f>IFERROR(R294*1,"")</f>
        <v/>
      </c>
      <c r="T294" s="600">
        <f>_xludf.IFNA(_xlfn.XLOOKUP(Table3[[#This Row],[SKU]],'00_Yield_Rates'!$B$2:$B$17,'00_Yield_Rates'!$E$2:$E$17),"")</f>
        <v/>
      </c>
    </row>
    <row r="295">
      <c r="A295" s="625" t="inlineStr">
        <is>
          <t>Tray_Pack</t>
        </is>
      </c>
      <c r="B295" s="626" t="n">
        <v>7852</v>
      </c>
      <c r="C295" s="627" t="n">
        <v>61050</v>
      </c>
      <c r="D295" s="627" t="inlineStr">
        <is>
          <t>LCL</t>
        </is>
      </c>
      <c r="E295" s="627" t="inlineStr">
        <is>
          <t>BSB</t>
        </is>
      </c>
      <c r="F295" s="630" t="n">
        <v>7.10968439351647</v>
      </c>
      <c r="G295" s="627" t="n">
        <v>8</v>
      </c>
      <c r="H295" s="627" t="inlineStr">
        <is>
          <t>PET 6</t>
        </is>
      </c>
      <c r="I295" s="627" t="inlineStr">
        <is>
          <t>Large</t>
        </is>
      </c>
      <c r="J295" s="628" t="inlineStr">
        <is>
          <t>MS LCL BSHB AC PET 6 PP BSK</t>
        </is>
      </c>
      <c r="K295" s="629" t="inlineStr">
        <is>
          <t>Fast</t>
        </is>
      </c>
      <c r="L295" s="632" t="inlineStr">
        <is>
          <t>IFCO</t>
        </is>
      </c>
      <c r="M295" s="633" t="n">
        <v>102.6</v>
      </c>
      <c r="N295" s="631" t="inlineStr">
        <is>
          <t>PLATINUM</t>
        </is>
      </c>
      <c r="O295" s="627" t="n">
        <v>25</v>
      </c>
      <c r="P295" s="154" t="n">
        <v>61050</v>
      </c>
      <c r="R295" s="175">
        <f>_xlfn.XLOOKUP(Table3[[#This Row],[SKU]],'05_Daily_Orders'!$B$2:$B$328,'05_Daily_Orders'!G:G)</f>
        <v/>
      </c>
      <c r="S295" s="176">
        <f>IFERROR(R295*1,"")</f>
        <v/>
      </c>
      <c r="T295" s="600">
        <f>_xludf.IFNA(_xlfn.XLOOKUP(Table3[[#This Row],[SKU]],'00_Yield_Rates'!$B$2:$B$17,'00_Yield_Rates'!$E$2:$E$17),"")</f>
        <v/>
      </c>
    </row>
    <row r="296">
      <c r="A296" s="625" t="inlineStr">
        <is>
          <t>Tray_Pack</t>
        </is>
      </c>
      <c r="B296" s="634" t="n">
        <v>7853</v>
      </c>
      <c r="C296" s="627" t="n">
        <v>61077</v>
      </c>
      <c r="D296" s="627" t="inlineStr">
        <is>
          <t>LCL</t>
        </is>
      </c>
      <c r="E296" s="627" t="inlineStr">
        <is>
          <t>Thigh</t>
        </is>
      </c>
      <c r="F296" s="630" t="n">
        <v>6.45188823435758</v>
      </c>
      <c r="G296" s="627" t="n">
        <v>8</v>
      </c>
      <c r="H296" s="627" t="inlineStr">
        <is>
          <t>PET 6</t>
        </is>
      </c>
      <c r="I296" s="627" t="inlineStr">
        <is>
          <t>Large</t>
        </is>
      </c>
      <c r="J296" s="628" t="inlineStr">
        <is>
          <t>MS LCL THIGH AC PET 6 PP BSK</t>
        </is>
      </c>
      <c r="K296" s="632" t="inlineStr">
        <is>
          <t>Fast</t>
        </is>
      </c>
      <c r="L296" s="629" t="inlineStr">
        <is>
          <t>IFCO</t>
        </is>
      </c>
      <c r="M296" s="630" t="n">
        <v>36.84</v>
      </c>
      <c r="N296" s="631" t="inlineStr">
        <is>
          <t>PLATINUM</t>
        </is>
      </c>
      <c r="O296" s="627" t="n">
        <v>25</v>
      </c>
      <c r="P296" s="154" t="n">
        <v>61077</v>
      </c>
      <c r="R296" s="175">
        <f>_xlfn.XLOOKUP(Table3[[#This Row],[SKU]],'05_Daily_Orders'!$B$2:$B$328,'05_Daily_Orders'!G:G)</f>
        <v/>
      </c>
      <c r="S296" s="176">
        <f>IFERROR(R296*1,"")</f>
        <v/>
      </c>
      <c r="T296" s="600">
        <f>_xludf.IFNA(_xlfn.XLOOKUP(Table3[[#This Row],[SKU]],'00_Yield_Rates'!$B$2:$B$17,'00_Yield_Rates'!$E$2:$E$17),"")</f>
        <v/>
      </c>
    </row>
    <row r="297">
      <c r="A297" s="625" t="inlineStr">
        <is>
          <t>Tray_Pack</t>
        </is>
      </c>
      <c r="B297" s="634" t="n">
        <v>7854</v>
      </c>
      <c r="C297" s="627" t="inlineStr">
        <is>
          <t>61072F</t>
        </is>
      </c>
      <c r="D297" s="627" t="inlineStr">
        <is>
          <t>LCL</t>
        </is>
      </c>
      <c r="E297" s="627" t="inlineStr">
        <is>
          <t>Drum</t>
        </is>
      </c>
      <c r="F297" s="630" t="n">
        <v>6.1087076211824</v>
      </c>
      <c r="G297" s="627" t="n">
        <v>8</v>
      </c>
      <c r="H297" s="627" t="inlineStr">
        <is>
          <t>PET 6</t>
        </is>
      </c>
      <c r="I297" s="627" t="inlineStr">
        <is>
          <t>Large</t>
        </is>
      </c>
      <c r="J297" s="628" t="inlineStr">
        <is>
          <t>MS LCL DRUM AC PET 6 PP BSK</t>
        </is>
      </c>
      <c r="K297" s="632" t="inlineStr">
        <is>
          <t>Fast</t>
        </is>
      </c>
      <c r="L297" s="629" t="inlineStr">
        <is>
          <t>IFCO</t>
        </is>
      </c>
      <c r="M297" s="630" t="n">
        <v>43.35</v>
      </c>
      <c r="N297" s="631" t="inlineStr">
        <is>
          <t>PLATINUM</t>
        </is>
      </c>
      <c r="O297" s="627" t="n">
        <v>25</v>
      </c>
      <c r="P297" s="154" t="inlineStr">
        <is>
          <t>61072F</t>
        </is>
      </c>
      <c r="R297" s="175">
        <f>_xlfn.XLOOKUP(Table3[[#This Row],[SKU]],'05_Daily_Orders'!$B$2:$B$328,'05_Daily_Orders'!G:G)</f>
        <v/>
      </c>
      <c r="S297" s="176">
        <f>IFERROR(R297*1,"")</f>
        <v/>
      </c>
      <c r="T297" s="600">
        <f>_xludf.IFNA(_xlfn.XLOOKUP(Table3[[#This Row],[SKU]],'00_Yield_Rates'!$B$2:$B$17,'00_Yield_Rates'!$E$2:$E$17),"")</f>
        <v/>
      </c>
    </row>
    <row r="298">
      <c r="A298" s="625" t="inlineStr">
        <is>
          <t>Tray_Pack</t>
        </is>
      </c>
      <c r="B298" s="634" t="n">
        <v>7855</v>
      </c>
      <c r="C298" s="627" t="inlineStr">
        <is>
          <t>61014F</t>
        </is>
      </c>
      <c r="D298" s="627" t="inlineStr">
        <is>
          <t>LCL</t>
        </is>
      </c>
      <c r="E298" s="627" t="inlineStr">
        <is>
          <t>SplitWing</t>
        </is>
      </c>
      <c r="F298" s="630" t="n">
        <v>6.12743086237931</v>
      </c>
      <c r="G298" s="635" t="n">
        <v>8</v>
      </c>
      <c r="H298" s="627" t="inlineStr">
        <is>
          <t>PET 6</t>
        </is>
      </c>
      <c r="I298" s="635" t="inlineStr">
        <is>
          <t>Large</t>
        </is>
      </c>
      <c r="J298" s="636" t="inlineStr">
        <is>
          <t>MS LCL SPL WING AC PET 6 PP BSK</t>
        </is>
      </c>
      <c r="K298" s="629" t="inlineStr">
        <is>
          <t>Slow</t>
        </is>
      </c>
      <c r="L298" s="632" t="inlineStr">
        <is>
          <t>IFCO</t>
        </is>
      </c>
      <c r="M298" s="633" t="n">
        <v>24</v>
      </c>
      <c r="N298" s="631" t="inlineStr">
        <is>
          <t>PLATINUM</t>
        </is>
      </c>
      <c r="O298" s="627" t="n">
        <v>25</v>
      </c>
      <c r="P298" s="154" t="inlineStr">
        <is>
          <t>61014F</t>
        </is>
      </c>
      <c r="R298" s="175">
        <f>_xlfn.XLOOKUP(Table3[[#This Row],[SKU]],'05_Daily_Orders'!$B$2:$B$328,'05_Daily_Orders'!G:G)</f>
        <v/>
      </c>
      <c r="S298" s="176">
        <f>IFERROR(R298*1,"")</f>
        <v/>
      </c>
      <c r="T298" s="600">
        <f>_xludf.IFNA(_xlfn.XLOOKUP(Table3[[#This Row],[SKU]],'00_Yield_Rates'!$B$2:$B$17,'00_Yield_Rates'!$E$2:$E$17),"")</f>
        <v/>
      </c>
    </row>
    <row r="299">
      <c r="A299" s="625" t="inlineStr">
        <is>
          <t>Tray_Pack</t>
        </is>
      </c>
      <c r="B299" s="634" t="n">
        <v>7858</v>
      </c>
      <c r="C299" s="627" t="n">
        <v>61052</v>
      </c>
      <c r="D299" s="627" t="inlineStr">
        <is>
          <t>LCL</t>
        </is>
      </c>
      <c r="E299" s="635" t="inlineStr">
        <is>
          <t>BSB</t>
        </is>
      </c>
      <c r="F299" s="630" t="n">
        <v>4.31089758342922</v>
      </c>
      <c r="G299" s="635" t="n">
        <v>12</v>
      </c>
      <c r="H299" s="635" t="inlineStr">
        <is>
          <t>PET 3</t>
        </is>
      </c>
      <c r="I299" s="635" t="inlineStr">
        <is>
          <t>Small</t>
        </is>
      </c>
      <c r="J299" s="636" t="inlineStr">
        <is>
          <t>MS LCL BTFLYB WOF AC PET 3 PP BSK</t>
        </is>
      </c>
      <c r="K299" s="629" t="inlineStr">
        <is>
          <t>Fast</t>
        </is>
      </c>
      <c r="L299" s="629" t="inlineStr">
        <is>
          <t>IFCO</t>
        </is>
      </c>
      <c r="M299" s="630" t="n">
        <v>4.31</v>
      </c>
      <c r="N299" s="631" t="inlineStr">
        <is>
          <t>PLATINUM</t>
        </is>
      </c>
      <c r="O299" s="627" t="n">
        <v>25</v>
      </c>
      <c r="P299" s="154" t="n">
        <v>61052</v>
      </c>
      <c r="R299" s="175">
        <f>_xlfn.XLOOKUP(Table3[[#This Row],[SKU]],'05_Daily_Orders'!$B$2:$B$328,'05_Daily_Orders'!G:G)</f>
        <v/>
      </c>
      <c r="S299" s="176">
        <f>IFERROR(R299*1,"")</f>
        <v/>
      </c>
      <c r="T299" s="600">
        <f>_xludf.IFNA(_xlfn.XLOOKUP(Table3[[#This Row],[SKU]],'00_Yield_Rates'!$B$2:$B$17,'00_Yield_Rates'!$E$2:$E$17),"")</f>
        <v/>
      </c>
    </row>
    <row r="300">
      <c r="A300" s="625" t="inlineStr">
        <is>
          <t>Tray_Pack</t>
        </is>
      </c>
      <c r="B300" s="634" t="n">
        <v>7859</v>
      </c>
      <c r="C300" s="627" t="n">
        <v>61054</v>
      </c>
      <c r="D300" s="627" t="inlineStr">
        <is>
          <t>LCL</t>
        </is>
      </c>
      <c r="E300" s="635" t="inlineStr">
        <is>
          <t>Fillet</t>
        </is>
      </c>
      <c r="F300" s="630" t="n">
        <v>4.09245544554455</v>
      </c>
      <c r="G300" s="635" t="n">
        <v>12</v>
      </c>
      <c r="H300" s="635" t="inlineStr">
        <is>
          <t>PET 3</t>
        </is>
      </c>
      <c r="I300" s="635" t="inlineStr">
        <is>
          <t>SMALL</t>
        </is>
      </c>
      <c r="J300" s="636" t="inlineStr">
        <is>
          <t>MS LCL FILLET AC PET 3 PP BSK</t>
        </is>
      </c>
      <c r="K300" s="629" t="inlineStr">
        <is>
          <t>Slow</t>
        </is>
      </c>
      <c r="L300" s="629" t="inlineStr">
        <is>
          <t>IFCO</t>
        </is>
      </c>
      <c r="M300" s="630" t="n">
        <v>14.61</v>
      </c>
      <c r="N300" s="631" t="inlineStr">
        <is>
          <t>PLATINUM</t>
        </is>
      </c>
      <c r="O300" s="627" t="n">
        <v>25</v>
      </c>
      <c r="P300" s="154" t="n">
        <v>61054</v>
      </c>
      <c r="R300" s="175">
        <f>_xlfn.XLOOKUP(Table3[[#This Row],[SKU]],'05_Daily_Orders'!$B$2:$B$328,'05_Daily_Orders'!G:G)</f>
        <v/>
      </c>
      <c r="S300" s="176">
        <f>IFERROR(R300*1,"")</f>
        <v/>
      </c>
      <c r="T300" s="600">
        <f>_xludf.IFNA(_xlfn.XLOOKUP(Table3[[#This Row],[SKU]],'00_Yield_Rates'!$B$2:$B$17,'00_Yield_Rates'!$E$2:$E$17),"")</f>
        <v/>
      </c>
    </row>
    <row r="301">
      <c r="A301" s="625" t="inlineStr">
        <is>
          <t>Tray_Pack</t>
        </is>
      </c>
      <c r="B301" s="634" t="n">
        <v>7860</v>
      </c>
      <c r="C301" s="627" t="n">
        <v>61086</v>
      </c>
      <c r="D301" s="627" t="inlineStr">
        <is>
          <t>LCL</t>
        </is>
      </c>
      <c r="E301" s="627" t="inlineStr">
        <is>
          <t>ThighMeat</t>
        </is>
      </c>
      <c r="F301" s="630" t="n">
        <v>5.7773160073597</v>
      </c>
      <c r="G301" s="635" t="n">
        <v>8</v>
      </c>
      <c r="H301" s="627" t="inlineStr">
        <is>
          <t>PET 6</t>
        </is>
      </c>
      <c r="I301" s="635" t="inlineStr">
        <is>
          <t>Large</t>
        </is>
      </c>
      <c r="J301" s="636" t="inlineStr">
        <is>
          <t>MS LCL BSTHIGH AC PET 6 PP BSK</t>
        </is>
      </c>
      <c r="K301" s="629" t="inlineStr">
        <is>
          <t>Slow</t>
        </is>
      </c>
      <c r="L301" s="632" t="inlineStr">
        <is>
          <t>IFCO</t>
        </is>
      </c>
      <c r="M301" s="633" t="n">
        <v>25.37</v>
      </c>
      <c r="N301" s="631" t="inlineStr">
        <is>
          <t>PLATINUM</t>
        </is>
      </c>
      <c r="O301" s="627" t="n">
        <v>25</v>
      </c>
      <c r="P301" s="154" t="n">
        <v>61086</v>
      </c>
      <c r="R301" s="175">
        <f>_xlfn.XLOOKUP(Table3[[#This Row],[SKU]],'05_Daily_Orders'!$B$2:$B$328,'05_Daily_Orders'!G:G)</f>
        <v/>
      </c>
      <c r="S301" s="176">
        <f>IFERROR(R301*1,"")</f>
        <v/>
      </c>
      <c r="T301" s="600">
        <f>_xludf.IFNA(_xlfn.XLOOKUP(Table3[[#This Row],[SKU]],'00_Yield_Rates'!$B$2:$B$17,'00_Yield_Rates'!$E$2:$E$17),"")</f>
        <v/>
      </c>
    </row>
    <row r="302">
      <c r="A302" s="625" t="inlineStr">
        <is>
          <t>Tray_Pack</t>
        </is>
      </c>
      <c r="B302" s="634" t="n">
        <v>7862</v>
      </c>
      <c r="C302" s="627" t="inlineStr">
        <is>
          <t>61072#2</t>
        </is>
      </c>
      <c r="D302" s="627" t="inlineStr">
        <is>
          <t>LCL</t>
        </is>
      </c>
      <c r="E302" s="627" t="inlineStr">
        <is>
          <t>Drum</t>
        </is>
      </c>
      <c r="F302" s="630" t="n"/>
      <c r="G302" s="627" t="n">
        <v>8</v>
      </c>
      <c r="H302" s="627" t="inlineStr">
        <is>
          <t>PET 8</t>
        </is>
      </c>
      <c r="I302" s="627" t="inlineStr">
        <is>
          <t>Large</t>
        </is>
      </c>
      <c r="J302" s="628" t="inlineStr">
        <is>
          <t>MS DRUM PET8 BSK</t>
        </is>
      </c>
      <c r="K302" s="632" t="inlineStr">
        <is>
          <t>Fast</t>
        </is>
      </c>
      <c r="L302" s="629" t="inlineStr">
        <is>
          <t>IFCO</t>
        </is>
      </c>
      <c r="M302" s="630" t="n">
        <v>55.11</v>
      </c>
      <c r="N302" s="631" t="inlineStr">
        <is>
          <t>SILVER</t>
        </is>
      </c>
      <c r="O302" s="627" t="n">
        <v>25</v>
      </c>
      <c r="P302" s="154" t="inlineStr">
        <is>
          <t>61072#2</t>
        </is>
      </c>
      <c r="R302" s="175">
        <f>_xlfn.XLOOKUP(Table3[[#This Row],[SKU]],'05_Daily_Orders'!$B$2:$B$328,'05_Daily_Orders'!G:G)</f>
        <v/>
      </c>
      <c r="S302" s="176">
        <f>IFERROR(R302*1,"")</f>
        <v/>
      </c>
      <c r="T302" s="600">
        <f>_xludf.IFNA(_xlfn.XLOOKUP(Table3[[#This Row],[SKU]],'00_Yield_Rates'!$B$2:$B$17,'00_Yield_Rates'!$E$2:$E$17),"")</f>
        <v/>
      </c>
    </row>
    <row r="303">
      <c r="A303" s="625" t="inlineStr">
        <is>
          <t>Tray_Pack</t>
        </is>
      </c>
      <c r="B303" s="634" t="n">
        <v>7863</v>
      </c>
      <c r="C303" s="627" t="inlineStr">
        <is>
          <t>61050#2</t>
        </is>
      </c>
      <c r="D303" s="627" t="inlineStr">
        <is>
          <t>LCL</t>
        </is>
      </c>
      <c r="E303" s="627" t="inlineStr">
        <is>
          <t>BSB</t>
        </is>
      </c>
      <c r="F303" s="630" t="n"/>
      <c r="G303" s="627" t="n">
        <v>8</v>
      </c>
      <c r="H303" s="627" t="inlineStr">
        <is>
          <t>PET 8</t>
        </is>
      </c>
      <c r="I303" s="627" t="inlineStr">
        <is>
          <t>Large</t>
        </is>
      </c>
      <c r="J303" s="628" t="inlineStr">
        <is>
          <t>MS BSHB PET8 BSK</t>
        </is>
      </c>
      <c r="K303" s="632" t="inlineStr">
        <is>
          <t>Fast</t>
        </is>
      </c>
      <c r="L303" s="629" t="inlineStr">
        <is>
          <t>IFCO</t>
        </is>
      </c>
      <c r="M303" s="630" t="n">
        <v>99.75</v>
      </c>
      <c r="N303" s="631" t="inlineStr">
        <is>
          <t>SILVER</t>
        </is>
      </c>
      <c r="O303" s="627" t="n">
        <v>25</v>
      </c>
      <c r="P303" s="154" t="inlineStr">
        <is>
          <t>61050#2</t>
        </is>
      </c>
      <c r="R303" s="175">
        <f>_xlfn.XLOOKUP(Table3[[#This Row],[SKU]],'05_Daily_Orders'!$B$2:$B$328,'05_Daily_Orders'!G:G)</f>
        <v/>
      </c>
      <c r="S303" s="176">
        <f>IFERROR(R303*1,"")</f>
        <v/>
      </c>
      <c r="T303" s="600">
        <f>_xludf.IFNA(_xlfn.XLOOKUP(Table3[[#This Row],[SKU]],'00_Yield_Rates'!$B$2:$B$17,'00_Yield_Rates'!$E$2:$E$17),"")</f>
        <v/>
      </c>
    </row>
    <row r="304">
      <c r="A304" s="625" t="inlineStr">
        <is>
          <t>Tray_Pack</t>
        </is>
      </c>
      <c r="B304" s="634" t="n">
        <v>7864</v>
      </c>
      <c r="C304" s="627" t="n">
        <v>203891</v>
      </c>
      <c r="D304" s="627" t="inlineStr">
        <is>
          <t>LCL</t>
        </is>
      </c>
      <c r="E304" s="627" t="inlineStr">
        <is>
          <t>Whole Bird-Large</t>
        </is>
      </c>
      <c r="F304" s="630" t="n"/>
      <c r="G304" s="627" t="n">
        <v>3</v>
      </c>
      <c r="H304" s="627" t="inlineStr">
        <is>
          <t>PET 9</t>
        </is>
      </c>
      <c r="I304" s="627" t="inlineStr">
        <is>
          <t>Large</t>
        </is>
      </c>
      <c r="J304" s="628" t="inlineStr">
        <is>
          <t>MS 1.3-1.8 FRY WOG TI 2/PET9 BSK</t>
        </is>
      </c>
      <c r="K304" s="632" t="inlineStr">
        <is>
          <t>Fast</t>
        </is>
      </c>
      <c r="L304" s="630" t="inlineStr">
        <is>
          <t>IFCO</t>
        </is>
      </c>
      <c r="M304" s="630" t="n">
        <v>141.76</v>
      </c>
      <c r="N304" s="631" t="inlineStr">
        <is>
          <t>SILVER</t>
        </is>
      </c>
      <c r="O304" s="627" t="n">
        <v>25</v>
      </c>
      <c r="P304" s="154" t="n">
        <v>203891</v>
      </c>
      <c r="R304" s="175">
        <f>_xlfn.XLOOKUP(Table3[[#This Row],[SKU]],'05_Daily_Orders'!$B$2:$B$328,'05_Daily_Orders'!G:G)</f>
        <v/>
      </c>
      <c r="S304" s="176">
        <f>IFERROR(R304*1,"")</f>
        <v/>
      </c>
      <c r="T304" s="600">
        <f>_xludf.IFNA(_xlfn.XLOOKUP(Table3[[#This Row],[SKU]],'00_Yield_Rates'!$B$2:$B$17,'00_Yield_Rates'!$E$2:$E$17),"")</f>
        <v/>
      </c>
    </row>
    <row r="305">
      <c r="A305" s="625" t="inlineStr">
        <is>
          <t>Tray_Pack</t>
        </is>
      </c>
      <c r="B305" s="642" t="n">
        <v>7865</v>
      </c>
      <c r="C305" s="627" t="n">
        <v>61082</v>
      </c>
      <c r="D305" s="627" t="inlineStr">
        <is>
          <t>LCL</t>
        </is>
      </c>
      <c r="E305" s="627" t="inlineStr">
        <is>
          <t>Thigh</t>
        </is>
      </c>
      <c r="F305" s="630" t="n"/>
      <c r="G305" s="635" t="n">
        <v>8</v>
      </c>
      <c r="H305" s="635" t="inlineStr">
        <is>
          <t>PET 8</t>
        </is>
      </c>
      <c r="I305" s="635" t="inlineStr">
        <is>
          <t>Large</t>
        </is>
      </c>
      <c r="J305" s="636" t="inlineStr">
        <is>
          <t>MS THIGH PET8 BSK</t>
        </is>
      </c>
      <c r="K305" s="632" t="inlineStr">
        <is>
          <t>Fast</t>
        </is>
      </c>
      <c r="L305" s="632" t="inlineStr">
        <is>
          <t>IFCO</t>
        </is>
      </c>
      <c r="M305" s="633" t="n">
        <v>41.37</v>
      </c>
      <c r="N305" s="640" t="inlineStr">
        <is>
          <t>SILVER</t>
        </is>
      </c>
      <c r="O305" s="627" t="n">
        <v>25</v>
      </c>
      <c r="P305" s="154" t="n">
        <v>61082</v>
      </c>
      <c r="R305" s="175">
        <f>_xlfn.XLOOKUP(Table3[[#This Row],[SKU]],'05_Daily_Orders'!$B$2:$B$328,'05_Daily_Orders'!G:G)</f>
        <v/>
      </c>
      <c r="S305" s="176">
        <f>IFERROR(R305*1,"")</f>
        <v/>
      </c>
      <c r="T305" s="600">
        <f>_xludf.IFNA(_xlfn.XLOOKUP(Table3[[#This Row],[SKU]],'00_Yield_Rates'!$B$2:$B$17,'00_Yield_Rates'!$E$2:$E$17),"")</f>
        <v/>
      </c>
    </row>
    <row r="306">
      <c r="A306" s="625" t="inlineStr">
        <is>
          <t>Tray_Pack</t>
        </is>
      </c>
      <c r="B306" s="642" t="n">
        <v>7866</v>
      </c>
      <c r="C306" s="627" t="n">
        <v>61061</v>
      </c>
      <c r="D306" s="627" t="inlineStr">
        <is>
          <t>LCL</t>
        </is>
      </c>
      <c r="E306" s="627" t="inlineStr">
        <is>
          <t>BA</t>
        </is>
      </c>
      <c r="F306" s="630" t="n"/>
      <c r="G306" s="635" t="n">
        <v>8</v>
      </c>
      <c r="H306" s="635" t="inlineStr">
        <is>
          <t>PET 8</t>
        </is>
      </c>
      <c r="I306" s="635" t="inlineStr">
        <is>
          <t>Large</t>
        </is>
      </c>
      <c r="J306" s="636" t="inlineStr">
        <is>
          <t>MS LEG BA PET8 BSK</t>
        </is>
      </c>
      <c r="K306" s="632" t="inlineStr">
        <is>
          <t>Fast</t>
        </is>
      </c>
      <c r="L306" s="632" t="inlineStr">
        <is>
          <t>IFCO</t>
        </is>
      </c>
      <c r="M306" s="633" t="n">
        <v>69.13</v>
      </c>
      <c r="N306" s="640" t="inlineStr">
        <is>
          <t>SILVER</t>
        </is>
      </c>
      <c r="O306" s="627" t="n">
        <v>25</v>
      </c>
      <c r="P306" s="154" t="n">
        <v>61061</v>
      </c>
      <c r="R306" s="175">
        <f>_xlfn.XLOOKUP(Table3[[#This Row],[SKU]],'05_Daily_Orders'!$B$2:$B$328,'05_Daily_Orders'!G:G)</f>
        <v/>
      </c>
      <c r="S306" s="176">
        <f>IFERROR(R306*1,"")</f>
        <v/>
      </c>
      <c r="T306" s="600">
        <f>_xludf.IFNA(_xlfn.XLOOKUP(Table3[[#This Row],[SKU]],'00_Yield_Rates'!$B$2:$B$17,'00_Yield_Rates'!$E$2:$E$17),"")</f>
        <v/>
      </c>
    </row>
    <row r="307">
      <c r="A307" s="625" t="inlineStr">
        <is>
          <t>Tray_Pack</t>
        </is>
      </c>
      <c r="B307" s="634" t="n">
        <v>7867</v>
      </c>
      <c r="C307" s="627" t="inlineStr">
        <is>
          <t>61086#2</t>
        </is>
      </c>
      <c r="D307" s="627" t="inlineStr">
        <is>
          <t>LCL</t>
        </is>
      </c>
      <c r="E307" s="627" t="inlineStr">
        <is>
          <t>ThighMeat</t>
        </is>
      </c>
      <c r="F307" s="630" t="n"/>
      <c r="G307" s="627" t="n">
        <v>8</v>
      </c>
      <c r="H307" s="627" t="inlineStr">
        <is>
          <t>PET 8</t>
        </is>
      </c>
      <c r="I307" s="627" t="inlineStr">
        <is>
          <t>Large</t>
        </is>
      </c>
      <c r="J307" s="628" t="inlineStr">
        <is>
          <t>MS BSTHIGH PET8 BSK</t>
        </is>
      </c>
      <c r="K307" s="632" t="inlineStr">
        <is>
          <t>Slow</t>
        </is>
      </c>
      <c r="L307" s="629" t="inlineStr">
        <is>
          <t>IFCO</t>
        </is>
      </c>
      <c r="M307" s="630" t="n">
        <v>16.25</v>
      </c>
      <c r="N307" s="631" t="inlineStr">
        <is>
          <t>SILVER</t>
        </is>
      </c>
      <c r="O307" s="627" t="n">
        <v>25</v>
      </c>
      <c r="P307" s="154" t="inlineStr">
        <is>
          <t>61086#2</t>
        </is>
      </c>
      <c r="R307" s="175">
        <f>_xlfn.XLOOKUP(Table3[[#This Row],[SKU]],'05_Daily_Orders'!$B$2:$B$328,'05_Daily_Orders'!G:G)</f>
        <v/>
      </c>
      <c r="S307" s="176">
        <f>IFERROR(R307*1,"")</f>
        <v/>
      </c>
      <c r="T307" s="600">
        <f>_xludf.IFNA(_xlfn.XLOOKUP(Table3[[#This Row],[SKU]],'00_Yield_Rates'!$B$2:$B$17,'00_Yield_Rates'!$E$2:$E$17),"")</f>
        <v/>
      </c>
    </row>
    <row r="308">
      <c r="A308" s="625" t="inlineStr">
        <is>
          <t>Tray_Pack</t>
        </is>
      </c>
      <c r="B308" s="626" t="n">
        <v>7868</v>
      </c>
      <c r="C308" s="627" t="n">
        <v>61064</v>
      </c>
      <c r="D308" s="627" t="inlineStr">
        <is>
          <t>LCL</t>
        </is>
      </c>
      <c r="E308" s="627" t="inlineStr">
        <is>
          <t>BSB</t>
        </is>
      </c>
      <c r="F308" s="627" t="n">
        <v>3.73</v>
      </c>
      <c r="G308" s="627" t="n">
        <v>8</v>
      </c>
      <c r="H308" s="627" t="inlineStr">
        <is>
          <t>PET 6</t>
        </is>
      </c>
      <c r="I308" s="627" t="inlineStr">
        <is>
          <t>Large</t>
        </is>
      </c>
      <c r="J308" s="628" t="inlineStr">
        <is>
          <t>MS PC BM CUTLET AC PET6 BSK</t>
        </is>
      </c>
      <c r="K308" s="643" t="inlineStr">
        <is>
          <t>Fast</t>
        </is>
      </c>
      <c r="L308" s="643" t="inlineStr">
        <is>
          <t>IFCO</t>
        </is>
      </c>
      <c r="M308" s="630" t="n">
        <v>60.61</v>
      </c>
      <c r="N308" s="631" t="inlineStr">
        <is>
          <t>PLATINUM</t>
        </is>
      </c>
      <c r="O308" s="627" t="n">
        <v>25</v>
      </c>
      <c r="P308" s="154" t="n">
        <v>61064</v>
      </c>
      <c r="R308" s="175">
        <f>_xlfn.XLOOKUP(Table3[[#This Row],[SKU]],'05_Daily_Orders'!$B$2:$B$328,'05_Daily_Orders'!G:G)</f>
        <v/>
      </c>
      <c r="S308" s="176" t="n"/>
      <c r="T308" s="600">
        <f>_xludf.IFNA(_xlfn.XLOOKUP(Table3[[#This Row],[SKU]],'00_Yield_Rates'!$B$2:$B$17,'00_Yield_Rates'!$E$2:$E$17),"")</f>
        <v/>
      </c>
    </row>
    <row r="309">
      <c r="A309" s="625" t="inlineStr">
        <is>
          <t>Tray_Pack</t>
        </is>
      </c>
      <c r="B309" s="626" t="n">
        <v>7869</v>
      </c>
      <c r="C309" s="627" t="n">
        <v>61064</v>
      </c>
      <c r="D309" s="627" t="inlineStr">
        <is>
          <t>LCL</t>
        </is>
      </c>
      <c r="E309" s="627" t="inlineStr">
        <is>
          <t>BSB</t>
        </is>
      </c>
      <c r="F309" s="627" t="n">
        <v>3.73</v>
      </c>
      <c r="G309" s="627" t="n">
        <v>8</v>
      </c>
      <c r="H309" s="627" t="inlineStr">
        <is>
          <t>PET 6</t>
        </is>
      </c>
      <c r="I309" s="627" t="inlineStr">
        <is>
          <t>Large</t>
        </is>
      </c>
      <c r="J309" s="628" t="inlineStr">
        <is>
          <t>MS PC BM CUTLET AC PET6 BSK</t>
        </is>
      </c>
      <c r="K309" s="643" t="inlineStr">
        <is>
          <t>Fast</t>
        </is>
      </c>
      <c r="L309" s="643" t="inlineStr">
        <is>
          <t>IFCO</t>
        </is>
      </c>
      <c r="M309" s="630" t="n">
        <v>60.61</v>
      </c>
      <c r="N309" s="631" t="inlineStr">
        <is>
          <t>PLATINUM</t>
        </is>
      </c>
      <c r="O309" s="627" t="n">
        <v>25</v>
      </c>
      <c r="P309" s="154" t="n">
        <v>61064</v>
      </c>
      <c r="R309" s="175">
        <f>_xlfn.XLOOKUP(Table3[[#This Row],[SKU]],'05_Daily_Orders'!$B$2:$B$328,'05_Daily_Orders'!G:G)</f>
        <v/>
      </c>
      <c r="S309" s="176" t="n"/>
      <c r="T309" s="600">
        <f>_xludf.IFNA(_xlfn.XLOOKUP(Table3[[#This Row],[SKU]],'00_Yield_Rates'!$B$2:$B$17,'00_Yield_Rates'!$E$2:$E$17),"")</f>
        <v/>
      </c>
    </row>
    <row r="310">
      <c r="A310" s="625" t="inlineStr">
        <is>
          <t>Tray_Pack</t>
        </is>
      </c>
      <c r="B310" s="642" t="n">
        <v>7912</v>
      </c>
      <c r="C310" s="627" t="inlineStr">
        <is>
          <t>61040#2</t>
        </is>
      </c>
      <c r="D310" s="627" t="inlineStr">
        <is>
          <t>FB</t>
        </is>
      </c>
      <c r="E310" s="627" t="inlineStr">
        <is>
          <t>SplitBreast</t>
        </is>
      </c>
      <c r="F310" s="630" t="n"/>
      <c r="G310" s="635" t="n">
        <v>8</v>
      </c>
      <c r="H310" s="635" t="inlineStr">
        <is>
          <t>LT 8XP</t>
        </is>
      </c>
      <c r="I310" s="635" t="inlineStr">
        <is>
          <t>Large</t>
        </is>
      </c>
      <c r="J310" s="636" t="inlineStr">
        <is>
          <t>PB BSC HB LT PP BSK</t>
        </is>
      </c>
      <c r="K310" s="629" t="inlineStr">
        <is>
          <t>Fast</t>
        </is>
      </c>
      <c r="L310" s="632" t="inlineStr">
        <is>
          <t>Industry</t>
        </is>
      </c>
      <c r="M310" s="633" t="n">
        <v>58.98</v>
      </c>
      <c r="N310" s="631" t="inlineStr">
        <is>
          <t>SILVER</t>
        </is>
      </c>
      <c r="O310" s="627" t="n">
        <v>25</v>
      </c>
      <c r="P310" s="154" t="inlineStr">
        <is>
          <t>61040#2</t>
        </is>
      </c>
      <c r="R310" s="175">
        <f>_xlfn.XLOOKUP(Table3[[#This Row],[SKU]],'05_Daily_Orders'!$B$2:$B$328,'05_Daily_Orders'!G:G)</f>
        <v/>
      </c>
      <c r="S310" s="176">
        <f>IFERROR(R310*1,"")</f>
        <v/>
      </c>
      <c r="T310" s="600">
        <f>_xludf.IFNA(_xlfn.XLOOKUP(Table3[[#This Row],[SKU]],'00_Yield_Rates'!$B$2:$B$17,'00_Yield_Rates'!$E$2:$E$17),"")</f>
        <v/>
      </c>
    </row>
    <row r="311">
      <c r="A311" s="625" t="inlineStr">
        <is>
          <t>Tray_Pack</t>
        </is>
      </c>
      <c r="B311" s="634" t="n">
        <v>7939</v>
      </c>
      <c r="C311" s="627" t="n">
        <v>61010</v>
      </c>
      <c r="D311" s="627" t="inlineStr">
        <is>
          <t>FB</t>
        </is>
      </c>
      <c r="E311" s="627" t="inlineStr">
        <is>
          <t>Whole Wing-14D</t>
        </is>
      </c>
      <c r="F311" s="630" t="n"/>
      <c r="G311" s="627" t="n">
        <v>6</v>
      </c>
      <c r="H311" s="627" t="inlineStr">
        <is>
          <t>LT 14D</t>
        </is>
      </c>
      <c r="I311" s="627" t="n"/>
      <c r="J311" s="628" t="inlineStr">
        <is>
          <t>MS WING AC GF LCP PP</t>
        </is>
      </c>
      <c r="K311" s="629" t="inlineStr">
        <is>
          <t>Fast</t>
        </is>
      </c>
      <c r="L311" s="629" t="inlineStr">
        <is>
          <t>Industry</t>
        </is>
      </c>
      <c r="M311" s="630" t="n">
        <v>32.77</v>
      </c>
      <c r="N311" s="631" t="inlineStr">
        <is>
          <t>SILVER</t>
        </is>
      </c>
      <c r="O311" s="627" t="n">
        <v>25</v>
      </c>
      <c r="P311" s="154" t="n">
        <v>61010</v>
      </c>
      <c r="R311" s="175">
        <f>_xlfn.XLOOKUP(Table3[[#This Row],[SKU]],'05_Daily_Orders'!$B$2:$B$328,'05_Daily_Orders'!G:G)</f>
        <v/>
      </c>
      <c r="S311" s="176">
        <f>IFERROR(R311*1,"")</f>
        <v/>
      </c>
      <c r="T311" s="600">
        <f>_xludf.IFNA(_xlfn.XLOOKUP(Table3[[#This Row],[SKU]],'00_Yield_Rates'!$B$2:$B$17,'00_Yield_Rates'!$E$2:$E$17),"")</f>
        <v/>
      </c>
    </row>
    <row r="312">
      <c r="A312" s="625" t="inlineStr">
        <is>
          <t>Tray_Pack</t>
        </is>
      </c>
      <c r="B312" s="634" t="n">
        <v>7976</v>
      </c>
      <c r="C312" s="627" t="n">
        <v>61061</v>
      </c>
      <c r="D312" s="627" t="inlineStr">
        <is>
          <t>FB</t>
        </is>
      </c>
      <c r="E312" s="627" t="inlineStr">
        <is>
          <t>BA</t>
        </is>
      </c>
      <c r="F312" s="630" t="n"/>
      <c r="G312" s="635" t="n">
        <v>6</v>
      </c>
      <c r="H312" s="627" t="inlineStr">
        <is>
          <t>LT 14D</t>
        </is>
      </c>
      <c r="I312" s="635" t="inlineStr">
        <is>
          <t>Clubpack</t>
        </is>
      </c>
      <c r="J312" s="636" t="inlineStr">
        <is>
          <t>PB BSC LEG BA FT PP BSK</t>
        </is>
      </c>
      <c r="K312" s="632" t="inlineStr">
        <is>
          <t>Fast</t>
        </is>
      </c>
      <c r="L312" s="632" t="inlineStr">
        <is>
          <t>BOX</t>
        </is>
      </c>
      <c r="M312" s="633" t="n">
        <v>92.02</v>
      </c>
      <c r="N312" s="631" t="inlineStr">
        <is>
          <t>SILVER</t>
        </is>
      </c>
      <c r="O312" s="627" t="n">
        <v>25</v>
      </c>
      <c r="P312" s="154" t="n">
        <v>61061</v>
      </c>
      <c r="R312" s="175">
        <f>_xlfn.XLOOKUP(Table3[[#This Row],[SKU]],'05_Daily_Orders'!$B$2:$B$328,'05_Daily_Orders'!G:G)</f>
        <v/>
      </c>
      <c r="S312" s="176">
        <f>IFERROR(R312*1,"")</f>
        <v/>
      </c>
      <c r="T312" s="600">
        <f>_xludf.IFNA(_xlfn.XLOOKUP(Table3[[#This Row],[SKU]],'00_Yield_Rates'!$B$2:$B$17,'00_Yield_Rates'!$E$2:$E$17),"")</f>
        <v/>
      </c>
    </row>
    <row r="313">
      <c r="A313" s="625" t="inlineStr">
        <is>
          <t>Tray_Pack</t>
        </is>
      </c>
      <c r="B313" s="634" t="n">
        <v>7978</v>
      </c>
      <c r="C313" s="627" t="inlineStr">
        <is>
          <t>61050#2</t>
        </is>
      </c>
      <c r="D313" s="627" t="inlineStr">
        <is>
          <t>FB</t>
        </is>
      </c>
      <c r="E313" s="627" t="inlineStr">
        <is>
          <t>BSB</t>
        </is>
      </c>
      <c r="F313" s="630" t="n"/>
      <c r="G313" s="635" t="n">
        <v>18</v>
      </c>
      <c r="H313" s="627" t="inlineStr">
        <is>
          <t>ST 3XP</t>
        </is>
      </c>
      <c r="I313" s="635" t="inlineStr">
        <is>
          <t>Small</t>
        </is>
      </c>
      <c r="J313" s="636" t="inlineStr">
        <is>
          <t>MS BSC BSHB ST PP BSK</t>
        </is>
      </c>
      <c r="K313" s="629" t="inlineStr">
        <is>
          <t>Fast</t>
        </is>
      </c>
      <c r="L313" s="629" t="inlineStr">
        <is>
          <t>6.5 BOX</t>
        </is>
      </c>
      <c r="M313" s="630" t="n">
        <v>88.90000000000001</v>
      </c>
      <c r="N313" s="631" t="inlineStr">
        <is>
          <t>SILVER</t>
        </is>
      </c>
      <c r="O313" s="627" t="n">
        <v>25</v>
      </c>
      <c r="P313" s="154" t="inlineStr">
        <is>
          <t>61050#2</t>
        </is>
      </c>
      <c r="R313" s="175">
        <f>_xlfn.XLOOKUP(Table3[[#This Row],[SKU]],'05_Daily_Orders'!$B$2:$B$328,'05_Daily_Orders'!G:G)</f>
        <v/>
      </c>
      <c r="S313" s="176">
        <f>IFERROR(R313*1,"")</f>
        <v/>
      </c>
      <c r="T313" s="600">
        <f>_xludf.IFNA(_xlfn.XLOOKUP(Table3[[#This Row],[SKU]],'00_Yield_Rates'!$B$2:$B$17,'00_Yield_Rates'!$E$2:$E$17),"")</f>
        <v/>
      </c>
    </row>
    <row r="314">
      <c r="A314" s="625" t="inlineStr">
        <is>
          <t>Tray_Pack</t>
        </is>
      </c>
      <c r="B314" s="634" t="n">
        <v>7979</v>
      </c>
      <c r="C314" s="627" t="inlineStr">
        <is>
          <t>61050#2</t>
        </is>
      </c>
      <c r="D314" s="627" t="inlineStr">
        <is>
          <t>FB</t>
        </is>
      </c>
      <c r="E314" s="627" t="inlineStr">
        <is>
          <t>BSB</t>
        </is>
      </c>
      <c r="F314" s="630" t="n"/>
      <c r="G314" s="627" t="n">
        <v>8</v>
      </c>
      <c r="H314" s="627" t="inlineStr">
        <is>
          <t>LT 8XP</t>
        </is>
      </c>
      <c r="I314" s="635" t="inlineStr">
        <is>
          <t>Large</t>
        </is>
      </c>
      <c r="J314" s="639" t="inlineStr">
        <is>
          <t>MS BSC BSHB LT PP BSK</t>
        </is>
      </c>
      <c r="K314" s="629" t="inlineStr">
        <is>
          <t>Fast</t>
        </is>
      </c>
      <c r="L314" s="629" t="inlineStr">
        <is>
          <t>Industry</t>
        </is>
      </c>
      <c r="M314" s="630" t="n">
        <v>128.02</v>
      </c>
      <c r="N314" s="631" t="inlineStr">
        <is>
          <t>SILVER</t>
        </is>
      </c>
      <c r="O314" s="627" t="n">
        <v>25</v>
      </c>
      <c r="P314" s="154" t="inlineStr">
        <is>
          <t>61050#2</t>
        </is>
      </c>
      <c r="R314" s="175">
        <f>_xlfn.XLOOKUP(Table3[[#This Row],[SKU]],'05_Daily_Orders'!$B$2:$B$328,'05_Daily_Orders'!G:G)</f>
        <v/>
      </c>
      <c r="S314" s="176">
        <f>IFERROR(R314*1,"")</f>
        <v/>
      </c>
      <c r="T314" s="600">
        <f>_xludf.IFNA(_xlfn.XLOOKUP(Table3[[#This Row],[SKU]],'00_Yield_Rates'!$B$2:$B$17,'00_Yield_Rates'!$E$2:$E$17),"")</f>
        <v/>
      </c>
    </row>
    <row r="315">
      <c r="A315" s="625" t="inlineStr">
        <is>
          <t>Tray_Pack</t>
        </is>
      </c>
      <c r="B315" s="634" t="n">
        <v>200168</v>
      </c>
      <c r="C315" s="627" t="n">
        <v>61061</v>
      </c>
      <c r="D315" s="627" t="inlineStr">
        <is>
          <t>FB</t>
        </is>
      </c>
      <c r="E315" s="627" t="inlineStr">
        <is>
          <t>BA</t>
        </is>
      </c>
      <c r="F315" s="630" t="n">
        <v>9.16575975496071</v>
      </c>
      <c r="G315" s="635" t="n">
        <v>8</v>
      </c>
      <c r="H315" s="627" t="inlineStr">
        <is>
          <t>LT 8XP</t>
        </is>
      </c>
      <c r="I315" s="635" t="inlineStr">
        <is>
          <t>Large</t>
        </is>
      </c>
      <c r="J315" s="644" t="inlineStr">
        <is>
          <t>MS ZH LEG BA AC LT</t>
        </is>
      </c>
      <c r="K315" s="632" t="inlineStr">
        <is>
          <t>Fast</t>
        </is>
      </c>
      <c r="L315" s="629" t="inlineStr">
        <is>
          <t>BOX</t>
        </is>
      </c>
      <c r="M315" s="630" t="n">
        <v>89.73999999999999</v>
      </c>
      <c r="N315" s="631" t="inlineStr">
        <is>
          <t>SILVER</t>
        </is>
      </c>
      <c r="O315" s="627" t="n">
        <v>25</v>
      </c>
      <c r="P315" s="154" t="n">
        <v>61061</v>
      </c>
      <c r="R315" s="175">
        <f>_xlfn.XLOOKUP(Table3[[#This Row],[SKU]],'05_Daily_Orders'!$B$2:$B$328,'05_Daily_Orders'!G:G)</f>
        <v/>
      </c>
      <c r="S315" s="176">
        <f>IFERROR(R315*1,"")</f>
        <v/>
      </c>
      <c r="T315" s="600">
        <f>_xludf.IFNA(_xlfn.XLOOKUP(Table3[[#This Row],[SKU]],'00_Yield_Rates'!$B$2:$B$17,'00_Yield_Rates'!$E$2:$E$17),"")</f>
        <v/>
      </c>
    </row>
    <row r="316">
      <c r="A316" s="625" t="inlineStr">
        <is>
          <t>Tray_Pack</t>
        </is>
      </c>
      <c r="B316" s="634" t="n">
        <v>200703</v>
      </c>
      <c r="C316" s="645" t="inlineStr">
        <is>
          <t>61050F</t>
        </is>
      </c>
      <c r="D316" s="627" t="inlineStr">
        <is>
          <t>FB</t>
        </is>
      </c>
      <c r="E316" s="627" t="inlineStr">
        <is>
          <t>BSB</t>
        </is>
      </c>
      <c r="F316" s="630" t="n">
        <v>3.68397765256422</v>
      </c>
      <c r="G316" s="627" t="n">
        <v>8</v>
      </c>
      <c r="H316" s="627" t="inlineStr">
        <is>
          <t>ST 3D</t>
        </is>
      </c>
      <c r="I316" s="627" t="inlineStr">
        <is>
          <t>Small</t>
        </is>
      </c>
      <c r="J316" s="628" t="inlineStr">
        <is>
          <t>MS ZH BSHB AC ST PP</t>
        </is>
      </c>
      <c r="K316" s="629" t="inlineStr">
        <is>
          <t>Fast</t>
        </is>
      </c>
      <c r="L316" s="629" t="inlineStr">
        <is>
          <t>BOX</t>
        </is>
      </c>
      <c r="M316" s="643" t="n">
        <v>75.65000000000001</v>
      </c>
      <c r="N316" s="631" t="inlineStr">
        <is>
          <t>PLATINUM</t>
        </is>
      </c>
      <c r="O316" s="627" t="n">
        <v>25</v>
      </c>
      <c r="P316" s="154" t="inlineStr">
        <is>
          <t>61050F</t>
        </is>
      </c>
      <c r="R316" s="175">
        <f>_xlfn.XLOOKUP(Table3[[#This Row],[SKU]],'05_Daily_Orders'!$B$2:$B$328,'05_Daily_Orders'!G:G)</f>
        <v/>
      </c>
      <c r="S316" s="176">
        <f>IFERROR(R316*1,"")</f>
        <v/>
      </c>
      <c r="T316" s="600">
        <f>_xludf.IFNA(_xlfn.XLOOKUP(Table3[[#This Row],[SKU]],'00_Yield_Rates'!$B$2:$B$17,'00_Yield_Rates'!$E$2:$E$17),"")</f>
        <v/>
      </c>
    </row>
    <row r="317">
      <c r="A317" s="625" t="inlineStr">
        <is>
          <t>Tray_Pack</t>
        </is>
      </c>
      <c r="B317" s="634" t="n">
        <v>200704</v>
      </c>
      <c r="C317" s="645" t="n">
        <v>203021</v>
      </c>
      <c r="D317" s="627" t="inlineStr">
        <is>
          <t>FB</t>
        </is>
      </c>
      <c r="E317" s="627" t="inlineStr">
        <is>
          <t>Whole Bird-Small</t>
        </is>
      </c>
      <c r="F317" s="630" t="n">
        <v>8.601964413739161</v>
      </c>
      <c r="G317" s="627" t="n">
        <v>6</v>
      </c>
      <c r="H317" s="627" t="inlineStr">
        <is>
          <t>ST 3XP</t>
        </is>
      </c>
      <c r="I317" s="627" t="inlineStr">
        <is>
          <t>Small</t>
        </is>
      </c>
      <c r="J317" s="628" t="inlineStr">
        <is>
          <t>MS ZH FRY WOG AC TI ST PP</t>
        </is>
      </c>
      <c r="K317" s="632" t="inlineStr">
        <is>
          <t>Fast</t>
        </is>
      </c>
      <c r="L317" s="629" t="inlineStr">
        <is>
          <t>BOX</t>
        </is>
      </c>
      <c r="M317" s="643" t="n">
        <v>130.09</v>
      </c>
      <c r="N317" s="631" t="inlineStr">
        <is>
          <t>PLATINUM</t>
        </is>
      </c>
      <c r="O317" s="627" t="n">
        <v>25</v>
      </c>
      <c r="P317" s="154" t="n">
        <v>203021</v>
      </c>
      <c r="R317" s="175">
        <f>_xlfn.XLOOKUP(Table3[[#This Row],[SKU]],'05_Daily_Orders'!$B$2:$B$328,'05_Daily_Orders'!G:G)</f>
        <v/>
      </c>
      <c r="S317" s="176">
        <f>IFERROR(R317*1,"")</f>
        <v/>
      </c>
      <c r="T317" s="600">
        <f>_xludf.IFNA(_xlfn.XLOOKUP(Table3[[#This Row],[SKU]],'00_Yield_Rates'!$B$2:$B$17,'00_Yield_Rates'!$E$2:$E$17),"")</f>
        <v/>
      </c>
    </row>
    <row r="318">
      <c r="A318" s="625" t="inlineStr">
        <is>
          <t>Tray_Pack</t>
        </is>
      </c>
      <c r="B318" s="634" t="n">
        <v>200705</v>
      </c>
      <c r="C318" s="645" t="n">
        <v>61072</v>
      </c>
      <c r="D318" s="627" t="inlineStr">
        <is>
          <t>FB</t>
        </is>
      </c>
      <c r="E318" s="627" t="inlineStr">
        <is>
          <t>Drum</t>
        </is>
      </c>
      <c r="F318" s="630" t="n">
        <v>3.84381518404907</v>
      </c>
      <c r="G318" s="627" t="n">
        <v>8</v>
      </c>
      <c r="H318" s="635" t="inlineStr">
        <is>
          <t>ST 3D</t>
        </is>
      </c>
      <c r="I318" s="627" t="inlineStr">
        <is>
          <t>Small</t>
        </is>
      </c>
      <c r="J318" s="628" t="inlineStr">
        <is>
          <t>MS ZH DRUM AC ST PP</t>
        </is>
      </c>
      <c r="K318" s="632" t="inlineStr">
        <is>
          <t>Fast</t>
        </is>
      </c>
      <c r="L318" s="629" t="inlineStr">
        <is>
          <t>BOX</t>
        </is>
      </c>
      <c r="M318" s="643" t="n">
        <v>70.31999999999999</v>
      </c>
      <c r="N318" s="631" t="inlineStr">
        <is>
          <t>PLATINUM</t>
        </is>
      </c>
      <c r="O318" s="627" t="n">
        <v>25</v>
      </c>
      <c r="P318" s="154" t="n">
        <v>61072</v>
      </c>
      <c r="R318" s="175">
        <f>_xlfn.XLOOKUP(Table3[[#This Row],[SKU]],'05_Daily_Orders'!$B$2:$B$328,'05_Daily_Orders'!G:G)</f>
        <v/>
      </c>
      <c r="S318" s="176">
        <f>IFERROR(R318*1,"")</f>
        <v/>
      </c>
      <c r="T318" s="600">
        <f>_xludf.IFNA(_xlfn.XLOOKUP(Table3[[#This Row],[SKU]],'00_Yield_Rates'!$B$2:$B$17,'00_Yield_Rates'!$E$2:$E$17),"")</f>
        <v/>
      </c>
    </row>
    <row r="319">
      <c r="A319" s="625" t="inlineStr">
        <is>
          <t>Tray_Pack</t>
        </is>
      </c>
      <c r="B319" s="634" t="n">
        <v>200706</v>
      </c>
      <c r="C319" s="645" t="inlineStr">
        <is>
          <t>61086F</t>
        </is>
      </c>
      <c r="D319" s="627" t="inlineStr">
        <is>
          <t>FB</t>
        </is>
      </c>
      <c r="E319" s="627" t="inlineStr">
        <is>
          <t>ThighMeat</t>
        </is>
      </c>
      <c r="F319" s="630" t="n">
        <v>4.13464986498649</v>
      </c>
      <c r="G319" s="627" t="n">
        <v>8</v>
      </c>
      <c r="H319" s="627" t="inlineStr">
        <is>
          <t>ST 3D</t>
        </is>
      </c>
      <c r="I319" s="627" t="inlineStr">
        <is>
          <t>Small</t>
        </is>
      </c>
      <c r="J319" s="628" t="inlineStr">
        <is>
          <t>MS ZH BSTHIGH AC ST PP</t>
        </is>
      </c>
      <c r="K319" s="629" t="inlineStr">
        <is>
          <t>Slow</t>
        </is>
      </c>
      <c r="L319" s="629" t="inlineStr">
        <is>
          <t>BOX</t>
        </is>
      </c>
      <c r="M319" s="643" t="n">
        <v>25.34</v>
      </c>
      <c r="N319" s="631" t="inlineStr">
        <is>
          <t>PLATINUM</t>
        </is>
      </c>
      <c r="O319" s="627" t="n">
        <v>25</v>
      </c>
      <c r="P319" s="154" t="inlineStr">
        <is>
          <t>61086F</t>
        </is>
      </c>
      <c r="R319" s="175">
        <f>_xlfn.XLOOKUP(Table3[[#This Row],[SKU]],'05_Daily_Orders'!$B$2:$B$328,'05_Daily_Orders'!G:G)</f>
        <v/>
      </c>
      <c r="S319" s="176">
        <f>IFERROR(R319*1,"")</f>
        <v/>
      </c>
      <c r="T319" s="600">
        <f>_xludf.IFNA(_xlfn.XLOOKUP(Table3[[#This Row],[SKU]],'00_Yield_Rates'!$B$2:$B$17,'00_Yield_Rates'!$E$2:$E$17),"")</f>
        <v/>
      </c>
    </row>
    <row r="320">
      <c r="A320" s="625" t="inlineStr">
        <is>
          <t>Tray_Pack</t>
        </is>
      </c>
      <c r="B320" s="634" t="n">
        <v>200707</v>
      </c>
      <c r="C320" s="645" t="n">
        <v>61077</v>
      </c>
      <c r="D320" s="627" t="inlineStr">
        <is>
          <t>FB</t>
        </is>
      </c>
      <c r="E320" s="627" t="inlineStr">
        <is>
          <t>Thigh</t>
        </is>
      </c>
      <c r="F320" s="630" t="n">
        <v>4.26760229720028</v>
      </c>
      <c r="G320" s="627" t="n">
        <v>8</v>
      </c>
      <c r="H320" s="627" t="inlineStr">
        <is>
          <t>ST 3D</t>
        </is>
      </c>
      <c r="I320" s="627" t="inlineStr">
        <is>
          <t>Small</t>
        </is>
      </c>
      <c r="J320" s="628" t="inlineStr">
        <is>
          <t>MS ZH THIGH AC ST PP</t>
        </is>
      </c>
      <c r="K320" s="632" t="inlineStr">
        <is>
          <t>Fast</t>
        </is>
      </c>
      <c r="L320" s="629" t="inlineStr">
        <is>
          <t>BOX</t>
        </is>
      </c>
      <c r="M320" s="643" t="n">
        <v>51.14</v>
      </c>
      <c r="N320" s="631" t="inlineStr">
        <is>
          <t>PLATINUM</t>
        </is>
      </c>
      <c r="O320" s="627" t="n">
        <v>25</v>
      </c>
      <c r="P320" s="154" t="n">
        <v>61077</v>
      </c>
      <c r="R320" s="175">
        <f>_xlfn.XLOOKUP(Table3[[#This Row],[SKU]],'05_Daily_Orders'!$B$2:$B$328,'05_Daily_Orders'!G:G)</f>
        <v/>
      </c>
      <c r="S320" s="176">
        <f>IFERROR(R320*1,"")</f>
        <v/>
      </c>
      <c r="T320" s="600">
        <f>_xludf.IFNA(_xlfn.XLOOKUP(Table3[[#This Row],[SKU]],'00_Yield_Rates'!$B$2:$B$17,'00_Yield_Rates'!$E$2:$E$17),"")</f>
        <v/>
      </c>
    </row>
    <row r="321">
      <c r="A321" s="625" t="inlineStr">
        <is>
          <t>Tray_Pack</t>
        </is>
      </c>
      <c r="B321" s="634" t="n">
        <v>200708</v>
      </c>
      <c r="C321" s="645" t="n">
        <v>61014</v>
      </c>
      <c r="D321" s="627" t="inlineStr">
        <is>
          <t>FB</t>
        </is>
      </c>
      <c r="E321" s="627" t="inlineStr">
        <is>
          <t>SplitWing</t>
        </is>
      </c>
      <c r="F321" s="630" t="n"/>
      <c r="G321" s="627" t="n">
        <v>8</v>
      </c>
      <c r="H321" s="627" t="inlineStr">
        <is>
          <t>ST 3D</t>
        </is>
      </c>
      <c r="I321" s="627" t="inlineStr">
        <is>
          <t>Small</t>
        </is>
      </c>
      <c r="J321" s="628" t="inlineStr">
        <is>
          <t>MS ZH SPL WING AC ST PP</t>
        </is>
      </c>
      <c r="K321" s="629" t="inlineStr">
        <is>
          <t>Slow</t>
        </is>
      </c>
      <c r="L321" s="629" t="inlineStr">
        <is>
          <t>BOX</t>
        </is>
      </c>
      <c r="M321" s="643" t="n">
        <v>29.13</v>
      </c>
      <c r="N321" s="631" t="inlineStr">
        <is>
          <t>PLATINUM</t>
        </is>
      </c>
      <c r="O321" s="627" t="n">
        <v>25</v>
      </c>
      <c r="P321" s="154" t="n">
        <v>61014</v>
      </c>
      <c r="R321" s="175">
        <f>_xlfn.XLOOKUP(Table3[[#This Row],[SKU]],'05_Daily_Orders'!$B$2:$B$328,'05_Daily_Orders'!G:G)</f>
        <v/>
      </c>
      <c r="S321" s="176">
        <f>IFERROR(R321*1,"")</f>
        <v/>
      </c>
      <c r="T321" s="600">
        <f>_xludf.IFNA(_xlfn.XLOOKUP(Table3[[#This Row],[SKU]],'00_Yield_Rates'!$B$2:$B$17,'00_Yield_Rates'!$E$2:$E$17),"")</f>
        <v/>
      </c>
    </row>
    <row r="322">
      <c r="A322" s="625" t="inlineStr">
        <is>
          <t>Tray_Pack</t>
        </is>
      </c>
      <c r="B322" s="634" t="n">
        <v>200709</v>
      </c>
      <c r="C322" s="645" t="inlineStr">
        <is>
          <t>61050F</t>
        </is>
      </c>
      <c r="D322" s="627" t="inlineStr">
        <is>
          <t>METRO</t>
        </is>
      </c>
      <c r="E322" s="627" t="inlineStr">
        <is>
          <t>BSB</t>
        </is>
      </c>
      <c r="F322" s="630" t="n">
        <v>3.78437516333037</v>
      </c>
      <c r="G322" s="627" t="n">
        <v>8</v>
      </c>
      <c r="H322" s="627" t="inlineStr">
        <is>
          <t>ST 3D</t>
        </is>
      </c>
      <c r="I322" s="627" t="inlineStr">
        <is>
          <t>Small</t>
        </is>
      </c>
      <c r="J322" s="628" t="inlineStr">
        <is>
          <t>MS ZH BSHB AC ST</t>
        </is>
      </c>
      <c r="K322" s="629" t="inlineStr">
        <is>
          <t>Fast</t>
        </is>
      </c>
      <c r="L322" s="629" t="inlineStr">
        <is>
          <t>BOX</t>
        </is>
      </c>
      <c r="M322" s="643" t="n">
        <v>75.65000000000001</v>
      </c>
      <c r="N322" s="631" t="inlineStr">
        <is>
          <t>PLATINUM</t>
        </is>
      </c>
      <c r="O322" s="627" t="n">
        <v>25</v>
      </c>
      <c r="P322" s="154" t="inlineStr">
        <is>
          <t>61050F</t>
        </is>
      </c>
      <c r="R322" s="175">
        <f>_xlfn.XLOOKUP(Table3[[#This Row],[SKU]],'05_Daily_Orders'!$B$2:$B$328,'05_Daily_Orders'!G:G)</f>
        <v/>
      </c>
      <c r="S322" s="176">
        <f>IFERROR(R322*1,"")</f>
        <v/>
      </c>
      <c r="T322" s="600">
        <f>_xludf.IFNA(_xlfn.XLOOKUP(Table3[[#This Row],[SKU]],'00_Yield_Rates'!$B$2:$B$17,'00_Yield_Rates'!$E$2:$E$17),"")</f>
        <v/>
      </c>
    </row>
    <row r="323">
      <c r="A323" s="625" t="inlineStr">
        <is>
          <t>Tray_Pack</t>
        </is>
      </c>
      <c r="B323" s="634" t="n">
        <v>200710</v>
      </c>
      <c r="C323" s="645" t="n">
        <v>203021</v>
      </c>
      <c r="D323" s="627" t="inlineStr">
        <is>
          <t>METRO</t>
        </is>
      </c>
      <c r="E323" s="627" t="inlineStr">
        <is>
          <t>Whole Bird-Small</t>
        </is>
      </c>
      <c r="F323" s="630" t="n">
        <v>8.555434281322061</v>
      </c>
      <c r="G323" s="627" t="n">
        <v>6</v>
      </c>
      <c r="H323" s="627" t="inlineStr">
        <is>
          <t>ST 3XP</t>
        </is>
      </c>
      <c r="I323" s="627" t="inlineStr">
        <is>
          <t>Small</t>
        </is>
      </c>
      <c r="J323" s="628" t="inlineStr">
        <is>
          <t>MS ZH FRY WOG AC TI ST</t>
        </is>
      </c>
      <c r="K323" s="632" t="inlineStr">
        <is>
          <t>Fast</t>
        </is>
      </c>
      <c r="L323" s="629" t="inlineStr">
        <is>
          <t>BOX</t>
        </is>
      </c>
      <c r="M323" s="643" t="n">
        <v>130.09</v>
      </c>
      <c r="N323" s="631" t="n"/>
      <c r="O323" s="627" t="n">
        <v>25</v>
      </c>
      <c r="P323" s="154" t="n">
        <v>203021</v>
      </c>
      <c r="R323" s="175">
        <f>_xlfn.XLOOKUP(Table3[[#This Row],[SKU]],'05_Daily_Orders'!$B$2:$B$328,'05_Daily_Orders'!G:G)</f>
        <v/>
      </c>
      <c r="S323" s="176">
        <f>IFERROR(R323*1,"")</f>
        <v/>
      </c>
      <c r="T323" s="600">
        <f>_xludf.IFNA(_xlfn.XLOOKUP(Table3[[#This Row],[SKU]],'00_Yield_Rates'!$B$2:$B$17,'00_Yield_Rates'!$E$2:$E$17),"")</f>
        <v/>
      </c>
    </row>
    <row r="324">
      <c r="A324" s="625" t="inlineStr">
        <is>
          <t>Tray_Pack</t>
        </is>
      </c>
      <c r="B324" s="634" t="n">
        <v>200711</v>
      </c>
      <c r="C324" s="645" t="n">
        <v>61072</v>
      </c>
      <c r="D324" s="627" t="inlineStr">
        <is>
          <t>METRO</t>
        </is>
      </c>
      <c r="E324" s="627" t="inlineStr">
        <is>
          <t>Drum</t>
        </is>
      </c>
      <c r="F324" s="630" t="n">
        <v>3.88366227596631</v>
      </c>
      <c r="G324" s="627" t="n">
        <v>8</v>
      </c>
      <c r="H324" s="627" t="inlineStr">
        <is>
          <t>ST 3D</t>
        </is>
      </c>
      <c r="I324" s="627" t="inlineStr">
        <is>
          <t>Small</t>
        </is>
      </c>
      <c r="J324" s="628" t="inlineStr">
        <is>
          <t>MS ZH DRUM AC ST</t>
        </is>
      </c>
      <c r="K324" s="632" t="inlineStr">
        <is>
          <t>Fast</t>
        </is>
      </c>
      <c r="L324" s="629" t="inlineStr">
        <is>
          <t>BOX</t>
        </is>
      </c>
      <c r="M324" s="643" t="n">
        <v>70.31999999999999</v>
      </c>
      <c r="N324" s="631" t="inlineStr">
        <is>
          <t>PLATINUM</t>
        </is>
      </c>
      <c r="O324" s="627" t="n">
        <v>25</v>
      </c>
      <c r="P324" s="154" t="n">
        <v>61072</v>
      </c>
      <c r="R324" s="175">
        <f>_xlfn.XLOOKUP(Table3[[#This Row],[SKU]],'05_Daily_Orders'!$B$2:$B$328,'05_Daily_Orders'!G:G)</f>
        <v/>
      </c>
      <c r="S324" s="176">
        <f>IFERROR(R324*1,"")</f>
        <v/>
      </c>
      <c r="T324" s="600">
        <f>_xludf.IFNA(_xlfn.XLOOKUP(Table3[[#This Row],[SKU]],'00_Yield_Rates'!$B$2:$B$17,'00_Yield_Rates'!$E$2:$E$17),"")</f>
        <v/>
      </c>
    </row>
    <row r="325">
      <c r="A325" s="625" t="inlineStr">
        <is>
          <t>Tray_Pack</t>
        </is>
      </c>
      <c r="B325" s="634" t="n">
        <v>200712</v>
      </c>
      <c r="C325" s="627" t="inlineStr">
        <is>
          <t>61086F</t>
        </is>
      </c>
      <c r="D325" s="627" t="inlineStr">
        <is>
          <t>METRO</t>
        </is>
      </c>
      <c r="E325" s="627" t="inlineStr">
        <is>
          <t>ThighMeat</t>
        </is>
      </c>
      <c r="F325" s="630" t="n">
        <v>4.20831002034588</v>
      </c>
      <c r="G325" s="627" t="n">
        <v>8</v>
      </c>
      <c r="H325" s="627" t="inlineStr">
        <is>
          <t>ST 3D</t>
        </is>
      </c>
      <c r="I325" s="627" t="inlineStr">
        <is>
          <t>Small</t>
        </is>
      </c>
      <c r="J325" s="628" t="inlineStr">
        <is>
          <t>MS ZH BSTHIGH AC ST</t>
        </is>
      </c>
      <c r="K325" s="629" t="inlineStr">
        <is>
          <t>Slow</t>
        </is>
      </c>
      <c r="L325" s="629" t="inlineStr">
        <is>
          <t>BOX</t>
        </is>
      </c>
      <c r="M325" s="643" t="n">
        <v>25.34</v>
      </c>
      <c r="N325" s="631" t="inlineStr">
        <is>
          <t>PLATINUM</t>
        </is>
      </c>
      <c r="O325" s="627" t="n">
        <v>25</v>
      </c>
      <c r="P325" s="154" t="inlineStr">
        <is>
          <t>61086F</t>
        </is>
      </c>
      <c r="R325" s="175">
        <f>_xlfn.XLOOKUP(Table3[[#This Row],[SKU]],'05_Daily_Orders'!$B$2:$B$328,'05_Daily_Orders'!G:G)</f>
        <v/>
      </c>
      <c r="S325" s="176">
        <f>IFERROR(R325*1,"")</f>
        <v/>
      </c>
      <c r="T325" s="600">
        <f>_xludf.IFNA(_xlfn.XLOOKUP(Table3[[#This Row],[SKU]],'00_Yield_Rates'!$B$2:$B$17,'00_Yield_Rates'!$E$2:$E$17),"")</f>
        <v/>
      </c>
    </row>
    <row r="326">
      <c r="A326" s="625" t="inlineStr">
        <is>
          <t>Tray_Pack</t>
        </is>
      </c>
      <c r="B326" s="634" t="n">
        <v>200713</v>
      </c>
      <c r="C326" s="627" t="n">
        <v>61077</v>
      </c>
      <c r="D326" s="627" t="inlineStr">
        <is>
          <t>METRO</t>
        </is>
      </c>
      <c r="E326" s="627" t="inlineStr">
        <is>
          <t>Thigh</t>
        </is>
      </c>
      <c r="F326" s="630" t="n">
        <v>4.29186909090909</v>
      </c>
      <c r="G326" s="627" t="n">
        <v>8</v>
      </c>
      <c r="H326" s="635" t="inlineStr">
        <is>
          <t>ST 3D</t>
        </is>
      </c>
      <c r="I326" s="627" t="inlineStr">
        <is>
          <t>Small</t>
        </is>
      </c>
      <c r="J326" s="628" t="inlineStr">
        <is>
          <t>MS ZH THIGH AC ST</t>
        </is>
      </c>
      <c r="K326" s="632" t="inlineStr">
        <is>
          <t>Fast</t>
        </is>
      </c>
      <c r="L326" s="629" t="inlineStr">
        <is>
          <t>BOX</t>
        </is>
      </c>
      <c r="M326" s="643" t="n">
        <v>51.14</v>
      </c>
      <c r="N326" s="631" t="inlineStr">
        <is>
          <t>PLATINUM</t>
        </is>
      </c>
      <c r="O326" s="627" t="n">
        <v>25</v>
      </c>
      <c r="P326" s="154" t="n">
        <v>61077</v>
      </c>
      <c r="R326" s="175">
        <f>_xlfn.XLOOKUP(Table3[[#This Row],[SKU]],'05_Daily_Orders'!$B$2:$B$328,'05_Daily_Orders'!G:G)</f>
        <v/>
      </c>
      <c r="S326" s="176">
        <f>IFERROR(R326*1,"")</f>
        <v/>
      </c>
      <c r="T326" s="600">
        <f>_xludf.IFNA(_xlfn.XLOOKUP(Table3[[#This Row],[SKU]],'00_Yield_Rates'!$B$2:$B$17,'00_Yield_Rates'!$E$2:$E$17),"")</f>
        <v/>
      </c>
    </row>
    <row r="327">
      <c r="A327" s="625" t="inlineStr">
        <is>
          <t>Tray_Pack</t>
        </is>
      </c>
      <c r="B327" s="634" t="n">
        <v>200714</v>
      </c>
      <c r="C327" s="627" t="n">
        <v>61014</v>
      </c>
      <c r="D327" s="627" t="inlineStr">
        <is>
          <t>METRO</t>
        </is>
      </c>
      <c r="E327" s="627" t="inlineStr">
        <is>
          <t>SplitWing</t>
        </is>
      </c>
      <c r="F327" s="630" t="n">
        <v>3.7048650269946</v>
      </c>
      <c r="G327" s="627" t="n">
        <v>8</v>
      </c>
      <c r="H327" s="627" t="inlineStr">
        <is>
          <t>ST 3D</t>
        </is>
      </c>
      <c r="I327" s="627" t="inlineStr">
        <is>
          <t>Small</t>
        </is>
      </c>
      <c r="J327" s="628" t="inlineStr">
        <is>
          <t>MS ZH SPL WING AC ST</t>
        </is>
      </c>
      <c r="K327" s="629" t="inlineStr">
        <is>
          <t>Slow</t>
        </is>
      </c>
      <c r="L327" s="643" t="inlineStr">
        <is>
          <t>BOX</t>
        </is>
      </c>
      <c r="M327" s="643" t="n">
        <v>29.13</v>
      </c>
      <c r="N327" s="631" t="inlineStr">
        <is>
          <t>PLATINUM</t>
        </is>
      </c>
      <c r="O327" s="627" t="n">
        <v>25</v>
      </c>
      <c r="P327" s="154" t="n">
        <v>61014</v>
      </c>
      <c r="R327" s="175">
        <f>_xlfn.XLOOKUP(Table3[[#This Row],[SKU]],'05_Daily_Orders'!$B$2:$B$328,'05_Daily_Orders'!G:G)</f>
        <v/>
      </c>
      <c r="S327" s="176">
        <f>IFERROR(R327*1,"")</f>
        <v/>
      </c>
      <c r="T327" s="600">
        <f>_xludf.IFNA(_xlfn.XLOOKUP(Table3[[#This Row],[SKU]],'00_Yield_Rates'!$B$2:$B$17,'00_Yield_Rates'!$E$2:$E$17),"")</f>
        <v/>
      </c>
    </row>
    <row r="328">
      <c r="A328" s="625" t="inlineStr">
        <is>
          <t>Tray_Pack</t>
        </is>
      </c>
      <c r="B328" s="634" t="n">
        <v>200715</v>
      </c>
      <c r="C328" s="627" t="inlineStr">
        <is>
          <t>61050F</t>
        </is>
      </c>
      <c r="D328" s="627" t="inlineStr">
        <is>
          <t>FB</t>
        </is>
      </c>
      <c r="E328" s="627" t="inlineStr">
        <is>
          <t>BSB</t>
        </is>
      </c>
      <c r="F328" s="630" t="n">
        <v>8.97766937308665</v>
      </c>
      <c r="G328" s="627" t="n">
        <v>8</v>
      </c>
      <c r="H328" s="627" t="inlineStr">
        <is>
          <t>LT 8XP</t>
        </is>
      </c>
      <c r="I328" s="627" t="inlineStr">
        <is>
          <t>Large</t>
        </is>
      </c>
      <c r="J328" s="628" t="inlineStr">
        <is>
          <t>MS ZH BSHB AC LT PP</t>
        </is>
      </c>
      <c r="K328" s="629" t="inlineStr">
        <is>
          <t>Fast</t>
        </is>
      </c>
      <c r="L328" s="629" t="inlineStr">
        <is>
          <t>BOX</t>
        </is>
      </c>
      <c r="M328" s="643" t="n">
        <v>144.32</v>
      </c>
      <c r="N328" s="631" t="inlineStr">
        <is>
          <t>PLATINUM</t>
        </is>
      </c>
      <c r="O328" s="627" t="n">
        <v>25</v>
      </c>
      <c r="P328" s="154" t="inlineStr">
        <is>
          <t>61050F</t>
        </is>
      </c>
      <c r="R328" s="175">
        <f>_xlfn.XLOOKUP(Table3[[#This Row],[SKU]],'05_Daily_Orders'!$B$2:$B$328,'05_Daily_Orders'!G:G)</f>
        <v/>
      </c>
      <c r="S328" s="176">
        <f>IFERROR(R328*1,"")</f>
        <v/>
      </c>
      <c r="T328" s="600">
        <f>_xludf.IFNA(_xlfn.XLOOKUP(Table3[[#This Row],[SKU]],'00_Yield_Rates'!$B$2:$B$17,'00_Yield_Rates'!$E$2:$E$17),"")</f>
        <v/>
      </c>
    </row>
    <row r="329">
      <c r="A329" s="625" t="inlineStr">
        <is>
          <t>Tray_Pack</t>
        </is>
      </c>
      <c r="B329" s="626" t="n">
        <v>200716</v>
      </c>
      <c r="C329" s="627" t="n">
        <v>61077</v>
      </c>
      <c r="D329" s="627" t="inlineStr">
        <is>
          <t>FB</t>
        </is>
      </c>
      <c r="E329" s="627" t="inlineStr">
        <is>
          <t>Thigh</t>
        </is>
      </c>
      <c r="F329" s="630" t="n">
        <v>8.553744873731921</v>
      </c>
      <c r="G329" s="627" t="n">
        <v>8</v>
      </c>
      <c r="H329" s="627" t="inlineStr">
        <is>
          <t>LT 8XP</t>
        </is>
      </c>
      <c r="I329" s="627" t="inlineStr">
        <is>
          <t>Large</t>
        </is>
      </c>
      <c r="J329" s="628" t="inlineStr">
        <is>
          <t>MS ZH THIGH AC LT PP</t>
        </is>
      </c>
      <c r="K329" s="632" t="inlineStr">
        <is>
          <t>Fast</t>
        </is>
      </c>
      <c r="L329" s="643" t="inlineStr">
        <is>
          <t>BOX</t>
        </is>
      </c>
      <c r="M329" s="630" t="n">
        <v>72.03</v>
      </c>
      <c r="N329" s="627" t="inlineStr">
        <is>
          <t>PLATINUM</t>
        </is>
      </c>
      <c r="O329" s="627" t="n">
        <v>25</v>
      </c>
      <c r="P329" s="154" t="n">
        <v>61077</v>
      </c>
      <c r="R329" s="175">
        <f>_xlfn.XLOOKUP(Table3[[#This Row],[SKU]],'05_Daily_Orders'!$B$2:$B$328,'05_Daily_Orders'!G:G)</f>
        <v/>
      </c>
      <c r="S329" s="176">
        <f>IFERROR(R329*1,"")</f>
        <v/>
      </c>
      <c r="T329" s="600">
        <f>_xludf.IFNA(_xlfn.XLOOKUP(Table3[[#This Row],[SKU]],'00_Yield_Rates'!$B$2:$B$17,'00_Yield_Rates'!$E$2:$E$17),"")</f>
        <v/>
      </c>
    </row>
    <row r="330">
      <c r="A330" s="625" t="inlineStr">
        <is>
          <t>Tray_Pack</t>
        </is>
      </c>
      <c r="B330" s="626" t="n">
        <v>200717</v>
      </c>
      <c r="C330" s="627" t="n">
        <v>61072</v>
      </c>
      <c r="D330" s="627" t="inlineStr">
        <is>
          <t>FB</t>
        </is>
      </c>
      <c r="E330" s="627" t="inlineStr">
        <is>
          <t>Drum</t>
        </is>
      </c>
      <c r="F330" s="630" t="n">
        <v>7.79173990802248</v>
      </c>
      <c r="G330" s="627" t="n">
        <v>8</v>
      </c>
      <c r="H330" s="627" t="inlineStr">
        <is>
          <t>LT 8XP</t>
        </is>
      </c>
      <c r="I330" s="627" t="inlineStr">
        <is>
          <t>Large</t>
        </is>
      </c>
      <c r="J330" s="628" t="inlineStr">
        <is>
          <t>MS ZH DRUM AC LT PP</t>
        </is>
      </c>
      <c r="K330" s="632" t="inlineStr">
        <is>
          <t>Fast</t>
        </is>
      </c>
      <c r="L330" s="643" t="inlineStr">
        <is>
          <t>BOX</t>
        </is>
      </c>
      <c r="M330" s="630" t="n">
        <v>58.08</v>
      </c>
      <c r="N330" s="627" t="inlineStr">
        <is>
          <t>PLATINUM</t>
        </is>
      </c>
      <c r="O330" s="627" t="n">
        <v>25</v>
      </c>
      <c r="P330" s="154" t="n">
        <v>61072</v>
      </c>
      <c r="R330" s="175">
        <f>_xlfn.XLOOKUP(Table3[[#This Row],[SKU]],'05_Daily_Orders'!$B$2:$B$328,'05_Daily_Orders'!G:G)</f>
        <v/>
      </c>
      <c r="S330" s="176">
        <f>IFERROR(R330*1,"")</f>
        <v/>
      </c>
      <c r="T330" s="600">
        <f>_xludf.IFNA(_xlfn.XLOOKUP(Table3[[#This Row],[SKU]],'00_Yield_Rates'!$B$2:$B$17,'00_Yield_Rates'!$E$2:$E$17),"")</f>
        <v/>
      </c>
    </row>
    <row r="331">
      <c r="A331" s="625" t="inlineStr">
        <is>
          <t>Tray_Pack</t>
        </is>
      </c>
      <c r="B331" s="626" t="n">
        <v>200718</v>
      </c>
      <c r="C331" s="627" t="n">
        <v>61050</v>
      </c>
      <c r="D331" s="627" t="inlineStr">
        <is>
          <t>FB</t>
        </is>
      </c>
      <c r="E331" s="627" t="inlineStr">
        <is>
          <t>BSB</t>
        </is>
      </c>
      <c r="F331" s="630" t="n"/>
      <c r="G331" s="627" t="n">
        <v>8</v>
      </c>
      <c r="H331" s="627" t="inlineStr">
        <is>
          <t>LT 8XP</t>
        </is>
      </c>
      <c r="I331" s="627" t="inlineStr">
        <is>
          <t>Large</t>
        </is>
      </c>
      <c r="J331" s="628" t="inlineStr">
        <is>
          <t>MS ZH BSHB AC LT</t>
        </is>
      </c>
      <c r="K331" s="629" t="inlineStr">
        <is>
          <t>Fast</t>
        </is>
      </c>
      <c r="L331" s="643" t="inlineStr">
        <is>
          <t>BOX</t>
        </is>
      </c>
      <c r="M331" s="630" t="n">
        <v>83.42</v>
      </c>
      <c r="N331" s="627" t="inlineStr">
        <is>
          <t>PLATINUM</t>
        </is>
      </c>
      <c r="O331" s="627" t="n">
        <v>25</v>
      </c>
      <c r="P331" s="154" t="n">
        <v>61050</v>
      </c>
      <c r="R331" s="175">
        <f>_xlfn.XLOOKUP(Table3[[#This Row],[SKU]],'05_Daily_Orders'!$B$2:$B$328,'05_Daily_Orders'!G:G)</f>
        <v/>
      </c>
      <c r="S331" s="176">
        <f>IFERROR(R331*1,"")</f>
        <v/>
      </c>
      <c r="T331" s="600">
        <f>_xludf.IFNA(_xlfn.XLOOKUP(Table3[[#This Row],[SKU]],'00_Yield_Rates'!$B$2:$B$17,'00_Yield_Rates'!$E$2:$E$17),"")</f>
        <v/>
      </c>
    </row>
    <row r="332">
      <c r="A332" s="625" t="inlineStr">
        <is>
          <t>Tray_Pack</t>
        </is>
      </c>
      <c r="B332" s="626" t="n">
        <v>200721</v>
      </c>
      <c r="C332" s="627" t="n">
        <v>61077</v>
      </c>
      <c r="D332" s="627" t="inlineStr">
        <is>
          <t>FB</t>
        </is>
      </c>
      <c r="E332" s="627" t="inlineStr">
        <is>
          <t>Thigh</t>
        </is>
      </c>
      <c r="F332" s="627" t="n"/>
      <c r="G332" s="627" t="n">
        <v>8</v>
      </c>
      <c r="H332" s="627" t="inlineStr">
        <is>
          <t>LT 8XP</t>
        </is>
      </c>
      <c r="I332" s="627" t="inlineStr">
        <is>
          <t>Large</t>
        </is>
      </c>
      <c r="J332" s="628" t="inlineStr">
        <is>
          <t>MS ZH THIGH AC LT</t>
        </is>
      </c>
      <c r="K332" s="632" t="inlineStr">
        <is>
          <t>Fast</t>
        </is>
      </c>
      <c r="L332" s="643" t="inlineStr">
        <is>
          <t>BOX</t>
        </is>
      </c>
      <c r="M332" s="630" t="n">
        <v>65.81</v>
      </c>
      <c r="N332" s="627" t="inlineStr">
        <is>
          <t>PLATINUM</t>
        </is>
      </c>
      <c r="O332" s="627" t="n">
        <v>25</v>
      </c>
      <c r="P332" s="154" t="n">
        <v>61077</v>
      </c>
      <c r="R332" s="175">
        <f>_xlfn.XLOOKUP(Table3[[#This Row],[SKU]],'05_Daily_Orders'!$B$2:$B$328,'05_Daily_Orders'!G:G)</f>
        <v/>
      </c>
      <c r="S332" s="176">
        <f>IFERROR(R332*1,"")</f>
        <v/>
      </c>
      <c r="T332" s="600">
        <f>_xludf.IFNA(_xlfn.XLOOKUP(Table3[[#This Row],[SKU]],'00_Yield_Rates'!$B$2:$B$17,'00_Yield_Rates'!$E$2:$E$17),"")</f>
        <v/>
      </c>
    </row>
    <row r="333">
      <c r="A333" s="625" t="inlineStr">
        <is>
          <t>Tray_Pack</t>
        </is>
      </c>
      <c r="B333" s="626" t="n">
        <v>200722</v>
      </c>
      <c r="C333" s="627" t="n">
        <v>61072</v>
      </c>
      <c r="D333" s="627" t="inlineStr">
        <is>
          <t>FB</t>
        </is>
      </c>
      <c r="E333" s="627" t="inlineStr">
        <is>
          <t>Drum</t>
        </is>
      </c>
      <c r="F333" s="627" t="n"/>
      <c r="G333" s="627" t="n">
        <v>8</v>
      </c>
      <c r="H333" s="627" t="inlineStr">
        <is>
          <t>LT 8XP</t>
        </is>
      </c>
      <c r="I333" s="627" t="inlineStr">
        <is>
          <t>Large</t>
        </is>
      </c>
      <c r="J333" s="628" t="inlineStr">
        <is>
          <t>MS ZH DRUM AC LT</t>
        </is>
      </c>
      <c r="K333" s="632" t="inlineStr">
        <is>
          <t>Fast</t>
        </is>
      </c>
      <c r="L333" s="643" t="inlineStr">
        <is>
          <t>BOX</t>
        </is>
      </c>
      <c r="M333" s="630" t="n">
        <v>69.39</v>
      </c>
      <c r="N333" s="627" t="inlineStr">
        <is>
          <t>PLATINUM</t>
        </is>
      </c>
      <c r="O333" s="627" t="n">
        <v>25</v>
      </c>
      <c r="P333" s="154" t="n">
        <v>61072</v>
      </c>
      <c r="R333" s="175">
        <f>_xlfn.XLOOKUP(Table3[[#This Row],[SKU]],'05_Daily_Orders'!$B$2:$B$328,'05_Daily_Orders'!G:G)</f>
        <v/>
      </c>
      <c r="S333" s="176">
        <f>IFERROR(R333*1,"")</f>
        <v/>
      </c>
      <c r="T333" s="600">
        <f>_xludf.IFNA(_xlfn.XLOOKUP(Table3[[#This Row],[SKU]],'00_Yield_Rates'!$B$2:$B$17,'00_Yield_Rates'!$E$2:$E$17),"")</f>
        <v/>
      </c>
    </row>
    <row r="334">
      <c r="A334" s="625" t="inlineStr">
        <is>
          <t>Tray_Pack</t>
        </is>
      </c>
      <c r="B334" s="626" t="n">
        <v>200723</v>
      </c>
      <c r="C334" s="627" t="inlineStr">
        <is>
          <t>61050F</t>
        </is>
      </c>
      <c r="D334" s="627" t="inlineStr">
        <is>
          <t>FB</t>
        </is>
      </c>
      <c r="E334" s="627" t="inlineStr">
        <is>
          <t>BSB</t>
        </is>
      </c>
      <c r="F334" s="627" t="n">
        <v>9.31944086021505</v>
      </c>
      <c r="G334" s="627" t="n">
        <v>8</v>
      </c>
      <c r="H334" s="627" t="inlineStr">
        <is>
          <t>LT 8XP</t>
        </is>
      </c>
      <c r="I334" s="627" t="inlineStr">
        <is>
          <t>Large</t>
        </is>
      </c>
      <c r="J334" s="628" t="inlineStr">
        <is>
          <t>MS ZH BSHB AC LT PP</t>
        </is>
      </c>
      <c r="K334" s="629" t="inlineStr">
        <is>
          <t>Fast</t>
        </is>
      </c>
      <c r="L334" s="643" t="inlineStr">
        <is>
          <t>BOX</t>
        </is>
      </c>
      <c r="M334" s="630" t="n">
        <v>144.32</v>
      </c>
      <c r="N334" s="627" t="inlineStr">
        <is>
          <t>PLATINUM</t>
        </is>
      </c>
      <c r="O334" s="627" t="n">
        <v>25</v>
      </c>
      <c r="P334" s="154" t="inlineStr">
        <is>
          <t>61050F</t>
        </is>
      </c>
      <c r="R334" s="175">
        <f>_xlfn.XLOOKUP(Table3[[#This Row],[SKU]],'05_Daily_Orders'!$B$2:$B$328,'05_Daily_Orders'!G:G)</f>
        <v/>
      </c>
      <c r="S334" s="176">
        <f>IFERROR(R334*1,"")</f>
        <v/>
      </c>
      <c r="T334" s="600">
        <f>_xludf.IFNA(_xlfn.XLOOKUP(Table3[[#This Row],[SKU]],'00_Yield_Rates'!$B$2:$B$17,'00_Yield_Rates'!$E$2:$E$17),"")</f>
        <v/>
      </c>
    </row>
    <row r="335">
      <c r="A335" s="625" t="inlineStr">
        <is>
          <t>Tray_Pack</t>
        </is>
      </c>
      <c r="B335" s="626" t="n">
        <v>200724</v>
      </c>
      <c r="C335" s="627" t="n">
        <v>61071</v>
      </c>
      <c r="D335" s="627" t="inlineStr">
        <is>
          <t>FB</t>
        </is>
      </c>
      <c r="E335" s="627" t="inlineStr">
        <is>
          <t>Drum</t>
        </is>
      </c>
      <c r="F335" s="630" t="n">
        <v>3.70871594281089</v>
      </c>
      <c r="G335" s="627" t="n">
        <v>8</v>
      </c>
      <c r="H335" s="627" t="inlineStr">
        <is>
          <t>ST 3D</t>
        </is>
      </c>
      <c r="I335" s="627" t="inlineStr">
        <is>
          <t>Small</t>
        </is>
      </c>
      <c r="J335" s="628" t="inlineStr">
        <is>
          <t>MS ZH SKLS DRUM AC 3D PP</t>
        </is>
      </c>
      <c r="K335" s="632" t="inlineStr">
        <is>
          <t>Fast</t>
        </is>
      </c>
      <c r="L335" s="643" t="inlineStr">
        <is>
          <t>BOX</t>
        </is>
      </c>
      <c r="M335" s="630" t="n">
        <v>51.47</v>
      </c>
      <c r="N335" s="627" t="inlineStr">
        <is>
          <t>PLATINUM</t>
        </is>
      </c>
      <c r="O335" s="627" t="n">
        <v>25</v>
      </c>
      <c r="P335" s="154" t="n">
        <v>61071</v>
      </c>
      <c r="R335" s="175">
        <f>_xlfn.XLOOKUP(Table3[[#This Row],[SKU]],'05_Daily_Orders'!$B$2:$B$328,'05_Daily_Orders'!G:G)</f>
        <v/>
      </c>
      <c r="S335" s="176">
        <f>IFERROR(R335*1,"")</f>
        <v/>
      </c>
      <c r="T335" s="600">
        <f>_xludf.IFNA(_xlfn.XLOOKUP(Table3[[#This Row],[SKU]],'00_Yield_Rates'!$B$2:$B$17,'00_Yield_Rates'!$E$2:$E$17),"")</f>
        <v/>
      </c>
    </row>
    <row r="336">
      <c r="A336" s="625" t="inlineStr">
        <is>
          <t>Tray_Pack</t>
        </is>
      </c>
      <c r="B336" s="626" t="n">
        <v>200725</v>
      </c>
      <c r="C336" s="627" t="n">
        <v>61050</v>
      </c>
      <c r="D336" s="627" t="inlineStr">
        <is>
          <t>METRO</t>
        </is>
      </c>
      <c r="E336" s="627" t="inlineStr">
        <is>
          <t>BSB</t>
        </is>
      </c>
      <c r="F336" s="627" t="n">
        <v>9.31944086021505</v>
      </c>
      <c r="G336" s="627" t="n">
        <v>8</v>
      </c>
      <c r="H336" s="627" t="inlineStr">
        <is>
          <t>LT 8XP</t>
        </is>
      </c>
      <c r="I336" s="627" t="inlineStr">
        <is>
          <t>Large</t>
        </is>
      </c>
      <c r="J336" s="628" t="inlineStr">
        <is>
          <t>MS ZH BSHB AC 8XP</t>
        </is>
      </c>
      <c r="K336" s="643" t="inlineStr">
        <is>
          <t>Fast</t>
        </is>
      </c>
      <c r="L336" s="643" t="inlineStr">
        <is>
          <t>BOX</t>
        </is>
      </c>
      <c r="M336" s="630" t="n">
        <v>107.9</v>
      </c>
      <c r="N336" s="627" t="inlineStr">
        <is>
          <t>PLATINUM</t>
        </is>
      </c>
      <c r="O336" s="627" t="n">
        <v>25</v>
      </c>
      <c r="P336" s="154" t="n">
        <v>61050</v>
      </c>
      <c r="R336" s="175">
        <f>_xlfn.XLOOKUP(Table3[[#This Row],[SKU]],'05_Daily_Orders'!$B$2:$B$328,'05_Daily_Orders'!G:G)</f>
        <v/>
      </c>
      <c r="S336" s="176">
        <f>IFERROR(R336*1,"")</f>
        <v/>
      </c>
      <c r="T336" s="600">
        <f>_xludf.IFNA(_xlfn.XLOOKUP(Table3[[#This Row],[SKU]],'00_Yield_Rates'!$B$2:$B$17,'00_Yield_Rates'!$E$2:$E$17),"")</f>
        <v/>
      </c>
    </row>
    <row r="337">
      <c r="A337" s="625" t="inlineStr">
        <is>
          <t>Tray_Pack</t>
        </is>
      </c>
      <c r="B337" s="626" t="n">
        <v>200726</v>
      </c>
      <c r="C337" s="627" t="n">
        <v>61077</v>
      </c>
      <c r="D337" s="627" t="inlineStr">
        <is>
          <t>METRO</t>
        </is>
      </c>
      <c r="E337" s="627" t="inlineStr">
        <is>
          <t>Thigh</t>
        </is>
      </c>
      <c r="F337" s="630" t="n">
        <v>8.553744873731921</v>
      </c>
      <c r="G337" s="627" t="n">
        <v>8</v>
      </c>
      <c r="H337" s="627" t="inlineStr">
        <is>
          <t>LT 8XP</t>
        </is>
      </c>
      <c r="I337" s="627" t="inlineStr">
        <is>
          <t>Large</t>
        </is>
      </c>
      <c r="J337" s="628" t="inlineStr">
        <is>
          <t>MS ZH THIGH AC 8XP</t>
        </is>
      </c>
      <c r="K337" s="643" t="inlineStr">
        <is>
          <t>Fast</t>
        </is>
      </c>
      <c r="L337" s="643" t="inlineStr">
        <is>
          <t>BOX</t>
        </is>
      </c>
      <c r="M337" s="630" t="n">
        <v>71.43000000000001</v>
      </c>
      <c r="N337" s="627" t="inlineStr">
        <is>
          <t>PLATINUM</t>
        </is>
      </c>
      <c r="O337" s="627" t="n">
        <v>25</v>
      </c>
      <c r="P337" s="154" t="n">
        <v>61077</v>
      </c>
      <c r="R337" s="175">
        <f>_xlfn.XLOOKUP(Table3[[#This Row],[SKU]],'05_Daily_Orders'!$B$2:$B$328,'05_Daily_Orders'!G:G)</f>
        <v/>
      </c>
      <c r="S337" s="176">
        <f>IFERROR(R337*1,"")</f>
        <v/>
      </c>
      <c r="T337" s="600">
        <f>_xludf.IFNA(_xlfn.XLOOKUP(Table3[[#This Row],[SKU]],'00_Yield_Rates'!$B$2:$B$17,'00_Yield_Rates'!$E$2:$E$17),"")</f>
        <v/>
      </c>
    </row>
    <row r="338">
      <c r="A338" s="625" t="inlineStr">
        <is>
          <t>Tray_Pack</t>
        </is>
      </c>
      <c r="B338" s="626" t="n">
        <v>200727</v>
      </c>
      <c r="C338" s="627" t="n">
        <v>61072</v>
      </c>
      <c r="D338" s="627" t="inlineStr">
        <is>
          <t>METRO</t>
        </is>
      </c>
      <c r="E338" s="627" t="inlineStr">
        <is>
          <t>Drum</t>
        </is>
      </c>
      <c r="F338" s="627" t="n">
        <v>8.0399191303195</v>
      </c>
      <c r="G338" s="627" t="n">
        <v>8</v>
      </c>
      <c r="H338" s="627" t="inlineStr">
        <is>
          <t>LT 8XP</t>
        </is>
      </c>
      <c r="I338" s="627" t="inlineStr">
        <is>
          <t>Large</t>
        </is>
      </c>
      <c r="J338" s="628" t="inlineStr">
        <is>
          <t>MS ZH DRUM AC 8XP</t>
        </is>
      </c>
      <c r="K338" s="643" t="inlineStr">
        <is>
          <t>Fast</t>
        </is>
      </c>
      <c r="L338" s="643" t="inlineStr">
        <is>
          <t>BOX</t>
        </is>
      </c>
      <c r="M338" s="630" t="n">
        <v>68.64</v>
      </c>
      <c r="N338" s="627" t="inlineStr">
        <is>
          <t>PLATINUM</t>
        </is>
      </c>
      <c r="O338" s="627" t="n">
        <v>25</v>
      </c>
      <c r="P338" s="154" t="n">
        <v>61072</v>
      </c>
      <c r="R338" s="175">
        <f>_xlfn.XLOOKUP(Table3[[#This Row],[SKU]],'05_Daily_Orders'!$B$2:$B$328,'05_Daily_Orders'!G:G)</f>
        <v/>
      </c>
      <c r="S338" s="176">
        <f>IFERROR(R338*1,"")</f>
        <v/>
      </c>
      <c r="T338" s="600">
        <f>_xludf.IFNA(_xlfn.XLOOKUP(Table3[[#This Row],[SKU]],'00_Yield_Rates'!$B$2:$B$17,'00_Yield_Rates'!$E$2:$E$17),"")</f>
        <v/>
      </c>
    </row>
    <row r="339">
      <c r="A339" s="625" t="inlineStr">
        <is>
          <t>Tray_Pack</t>
        </is>
      </c>
      <c r="B339" s="626" t="n">
        <v>200736</v>
      </c>
      <c r="C339" s="627" t="n">
        <v>61077</v>
      </c>
      <c r="D339" s="627" t="inlineStr">
        <is>
          <t>FB</t>
        </is>
      </c>
      <c r="E339" s="627" t="inlineStr">
        <is>
          <t>Thigh</t>
        </is>
      </c>
      <c r="F339" s="627" t="n"/>
      <c r="G339" s="627" t="n">
        <v>8</v>
      </c>
      <c r="H339" s="635" t="inlineStr">
        <is>
          <t>LT 8XP</t>
        </is>
      </c>
      <c r="I339" s="635" t="inlineStr">
        <is>
          <t>Large</t>
        </is>
      </c>
      <c r="J339" s="628" t="inlineStr">
        <is>
          <t>MS ZH THIGH AC 8D PP</t>
        </is>
      </c>
      <c r="K339" s="632" t="inlineStr">
        <is>
          <t>Fast</t>
        </is>
      </c>
      <c r="L339" s="643" t="inlineStr">
        <is>
          <t>BOX</t>
        </is>
      </c>
      <c r="M339" s="630" t="n">
        <v>72.03</v>
      </c>
      <c r="N339" s="627" t="inlineStr">
        <is>
          <t>PLATINUM</t>
        </is>
      </c>
      <c r="O339" s="627" t="n">
        <v>25</v>
      </c>
      <c r="P339" s="154" t="n">
        <v>61077</v>
      </c>
      <c r="R339" s="175">
        <f>_xlfn.XLOOKUP(Table3[[#This Row],[SKU]],'05_Daily_Orders'!$B$2:$B$328,'05_Daily_Orders'!G:G)</f>
        <v/>
      </c>
      <c r="S339" s="176">
        <f>IFERROR(R339*1,"")</f>
        <v/>
      </c>
      <c r="T339" s="600">
        <f>_xludf.IFNA(_xlfn.XLOOKUP(Table3[[#This Row],[SKU]],'00_Yield_Rates'!$B$2:$B$17,'00_Yield_Rates'!$E$2:$E$17),"")</f>
        <v/>
      </c>
    </row>
    <row r="340">
      <c r="A340" s="625" t="inlineStr">
        <is>
          <t>Tray_Pack</t>
        </is>
      </c>
      <c r="B340" s="626" t="n">
        <v>200737</v>
      </c>
      <c r="C340" s="627" t="n">
        <v>61072</v>
      </c>
      <c r="D340" s="627" t="inlineStr">
        <is>
          <t>FB</t>
        </is>
      </c>
      <c r="E340" s="627" t="inlineStr">
        <is>
          <t>Drum</t>
        </is>
      </c>
      <c r="F340" s="630" t="n"/>
      <c r="G340" s="627" t="n">
        <v>8</v>
      </c>
      <c r="H340" s="635" t="inlineStr">
        <is>
          <t>LT 8XP</t>
        </is>
      </c>
      <c r="I340" s="627" t="inlineStr">
        <is>
          <t>Large</t>
        </is>
      </c>
      <c r="J340" s="646" t="inlineStr">
        <is>
          <t>MS ZH DRUM AC 8D PP</t>
        </is>
      </c>
      <c r="K340" s="632" t="inlineStr">
        <is>
          <t>Fast</t>
        </is>
      </c>
      <c r="L340" s="643" t="inlineStr">
        <is>
          <t>BOX</t>
        </is>
      </c>
      <c r="M340" s="630" t="n">
        <v>58.08</v>
      </c>
      <c r="N340" s="627" t="inlineStr">
        <is>
          <t>PLATINUM</t>
        </is>
      </c>
      <c r="O340" s="627" t="n">
        <v>25</v>
      </c>
      <c r="P340" s="154" t="n">
        <v>61072</v>
      </c>
      <c r="R340" s="175">
        <f>_xlfn.XLOOKUP(Table3[[#This Row],[SKU]],'05_Daily_Orders'!$B$2:$B$328,'05_Daily_Orders'!G:G)</f>
        <v/>
      </c>
      <c r="S340" s="176">
        <f>IFERROR(R340*1,"")</f>
        <v/>
      </c>
      <c r="T340" s="600">
        <f>_xludf.IFNA(_xlfn.XLOOKUP(Table3[[#This Row],[SKU]],'00_Yield_Rates'!$B$2:$B$17,'00_Yield_Rates'!$E$2:$E$17),"")</f>
        <v/>
      </c>
    </row>
    <row r="341">
      <c r="A341" s="625" t="inlineStr">
        <is>
          <t>Tray_Pack</t>
        </is>
      </c>
      <c r="B341" s="626" t="n">
        <v>200738</v>
      </c>
      <c r="C341" s="627" t="n">
        <v>203021</v>
      </c>
      <c r="D341" s="627" t="inlineStr">
        <is>
          <t>FB</t>
        </is>
      </c>
      <c r="E341" s="627" t="inlineStr">
        <is>
          <t>Whole Bird-Small</t>
        </is>
      </c>
      <c r="F341" s="627" t="n"/>
      <c r="G341" s="627" t="n">
        <v>6</v>
      </c>
      <c r="H341" s="627" t="inlineStr">
        <is>
          <t>ST 3XP</t>
        </is>
      </c>
      <c r="I341" s="627" t="inlineStr">
        <is>
          <t>Small</t>
        </is>
      </c>
      <c r="J341" s="628" t="inlineStr">
        <is>
          <t>MS ZH FRY WOG AC TI 3XP PP</t>
        </is>
      </c>
      <c r="K341" s="632" t="inlineStr">
        <is>
          <t>Fast</t>
        </is>
      </c>
      <c r="L341" s="643" t="inlineStr">
        <is>
          <t>BOX</t>
        </is>
      </c>
      <c r="M341" s="630" t="n">
        <v>130.09</v>
      </c>
      <c r="N341" s="627" t="inlineStr">
        <is>
          <t>PLATINUM</t>
        </is>
      </c>
      <c r="O341" s="627" t="n">
        <v>25</v>
      </c>
      <c r="P341" s="154" t="n">
        <v>203021</v>
      </c>
      <c r="R341" s="175">
        <f>_xlfn.XLOOKUP(Table3[[#This Row],[SKU]],'05_Daily_Orders'!$B$2:$B$328,'05_Daily_Orders'!G:G)</f>
        <v/>
      </c>
      <c r="S341" s="176">
        <f>IFERROR(R341*1,"")</f>
        <v/>
      </c>
      <c r="T341" s="600">
        <f>_xludf.IFNA(_xlfn.XLOOKUP(Table3[[#This Row],[SKU]],'00_Yield_Rates'!$B$2:$B$17,'00_Yield_Rates'!$E$2:$E$17),"")</f>
        <v/>
      </c>
    </row>
    <row r="342">
      <c r="A342" s="625" t="inlineStr">
        <is>
          <t>Tray_Pack</t>
        </is>
      </c>
      <c r="B342" s="626" t="n">
        <v>200745</v>
      </c>
      <c r="C342" s="627" t="inlineStr">
        <is>
          <t>61050F</t>
        </is>
      </c>
      <c r="D342" s="627" t="inlineStr">
        <is>
          <t>SHP</t>
        </is>
      </c>
      <c r="E342" s="627" t="inlineStr">
        <is>
          <t>BSB</t>
        </is>
      </c>
      <c r="F342" s="627" t="n">
        <v>3.231666666666667</v>
      </c>
      <c r="G342" s="627" t="n">
        <v>8</v>
      </c>
      <c r="H342" s="627" t="inlineStr">
        <is>
          <t>ST 3D</t>
        </is>
      </c>
      <c r="I342" s="627" t="inlineStr">
        <is>
          <t>Small</t>
        </is>
      </c>
      <c r="J342" s="628" t="inlineStr">
        <is>
          <t>MS HA BSHB AC 3D SHP</t>
        </is>
      </c>
      <c r="K342" s="643" t="inlineStr">
        <is>
          <t>Fast</t>
        </is>
      </c>
      <c r="L342" s="643" t="inlineStr">
        <is>
          <t>BOX</t>
        </is>
      </c>
      <c r="M342" s="630" t="n">
        <v>49.32</v>
      </c>
      <c r="N342" s="627" t="inlineStr">
        <is>
          <t>PLATINUM</t>
        </is>
      </c>
      <c r="O342" s="627" t="n">
        <v>25</v>
      </c>
      <c r="P342" s="154" t="inlineStr">
        <is>
          <t>61050F</t>
        </is>
      </c>
      <c r="R342" s="175">
        <f>_xlfn.XLOOKUP(Table3[[#This Row],[SKU]],'05_Daily_Orders'!$B$2:$B$328,'05_Daily_Orders'!G:G)</f>
        <v/>
      </c>
      <c r="S342" s="176">
        <f>IFERROR(R342*1,"")</f>
        <v/>
      </c>
      <c r="T342" s="600">
        <f>_xludf.IFNA(_xlfn.XLOOKUP(Table3[[#This Row],[SKU]],'00_Yield_Rates'!$B$2:$B$17,'00_Yield_Rates'!$E$2:$E$17),"")</f>
        <v/>
      </c>
    </row>
    <row r="343">
      <c r="A343" s="625" t="inlineStr">
        <is>
          <t>Tray_Pack</t>
        </is>
      </c>
      <c r="B343" s="626" t="n">
        <v>200746</v>
      </c>
      <c r="C343" s="627" t="n">
        <v>61077</v>
      </c>
      <c r="D343" s="627" t="inlineStr">
        <is>
          <t>SHP</t>
        </is>
      </c>
      <c r="E343" s="627" t="inlineStr">
        <is>
          <t>Thigh</t>
        </is>
      </c>
      <c r="F343" s="627" t="n">
        <v>4.175</v>
      </c>
      <c r="G343" s="627" t="n">
        <v>8</v>
      </c>
      <c r="H343" s="627" t="inlineStr">
        <is>
          <t>ST 3D</t>
        </is>
      </c>
      <c r="I343" s="627" t="inlineStr">
        <is>
          <t>Small</t>
        </is>
      </c>
      <c r="J343" s="628" t="inlineStr">
        <is>
          <t>MS HA THIGH AC 3D SHP</t>
        </is>
      </c>
      <c r="K343" s="643" t="inlineStr">
        <is>
          <t>Fast</t>
        </is>
      </c>
      <c r="L343" s="643" t="inlineStr">
        <is>
          <t>BOX</t>
        </is>
      </c>
      <c r="M343" s="630" t="n">
        <v>41.88</v>
      </c>
      <c r="N343" s="627" t="inlineStr">
        <is>
          <t>PLATINUM</t>
        </is>
      </c>
      <c r="O343" s="627" t="n">
        <v>25</v>
      </c>
      <c r="P343" s="154" t="n">
        <v>61077</v>
      </c>
      <c r="R343" s="175">
        <f>_xlfn.XLOOKUP(Table3[[#This Row],[SKU]],'05_Daily_Orders'!$B$2:$B$328,'05_Daily_Orders'!G:G)</f>
        <v/>
      </c>
      <c r="S343" s="176">
        <f>IFERROR(R343*1,"")</f>
        <v/>
      </c>
      <c r="T343" s="600">
        <f>_xludf.IFNA(_xlfn.XLOOKUP(Table3[[#This Row],[SKU]],'00_Yield_Rates'!$B$2:$B$17,'00_Yield_Rates'!$E$2:$E$17),"")</f>
        <v/>
      </c>
    </row>
    <row r="344">
      <c r="A344" s="625" t="inlineStr">
        <is>
          <t>Tray_Pack</t>
        </is>
      </c>
      <c r="B344" s="626" t="n">
        <v>200747</v>
      </c>
      <c r="C344" s="627" t="inlineStr">
        <is>
          <t>61086F</t>
        </is>
      </c>
      <c r="D344" s="627" t="inlineStr">
        <is>
          <t>SHP</t>
        </is>
      </c>
      <c r="E344" s="627" t="inlineStr">
        <is>
          <t>ThighMeat</t>
        </is>
      </c>
      <c r="F344" s="627" t="n">
        <v>3.478333333333333</v>
      </c>
      <c r="G344" s="627" t="n">
        <v>8</v>
      </c>
      <c r="H344" s="627" t="inlineStr">
        <is>
          <t>ST 3D</t>
        </is>
      </c>
      <c r="I344" s="627" t="inlineStr">
        <is>
          <t>Small</t>
        </is>
      </c>
      <c r="J344" s="628" t="inlineStr">
        <is>
          <t>MS HA BSTHIGH AC 3D SHP</t>
        </is>
      </c>
      <c r="K344" s="643" t="inlineStr">
        <is>
          <t>Slow</t>
        </is>
      </c>
      <c r="L344" s="643" t="inlineStr">
        <is>
          <t>BOX</t>
        </is>
      </c>
      <c r="M344" s="630" t="n">
        <v>21.95</v>
      </c>
      <c r="N344" s="627" t="inlineStr">
        <is>
          <t>PLATINUM</t>
        </is>
      </c>
      <c r="O344" s="627" t="n">
        <v>25</v>
      </c>
      <c r="P344" s="154" t="inlineStr">
        <is>
          <t>61086F</t>
        </is>
      </c>
      <c r="R344" s="175">
        <f>_xlfn.XLOOKUP(Table3[[#This Row],[SKU]],'05_Daily_Orders'!$B$2:$B$328,'05_Daily_Orders'!G:G)</f>
        <v/>
      </c>
      <c r="S344" s="176">
        <f>IFERROR(R344*1,"")</f>
        <v/>
      </c>
      <c r="T344" s="600">
        <f>_xludf.IFNA(_xlfn.XLOOKUP(Table3[[#This Row],[SKU]],'00_Yield_Rates'!$B$2:$B$17,'00_Yield_Rates'!$E$2:$E$17),"")</f>
        <v/>
      </c>
    </row>
    <row r="345">
      <c r="A345" s="625" t="inlineStr">
        <is>
          <t>Tray_Pack</t>
        </is>
      </c>
      <c r="B345" s="626" t="n">
        <v>200748</v>
      </c>
      <c r="C345" s="627" t="n">
        <v>61072</v>
      </c>
      <c r="D345" s="627" t="inlineStr">
        <is>
          <t>SHP</t>
        </is>
      </c>
      <c r="E345" s="627" t="inlineStr">
        <is>
          <t>Drum</t>
        </is>
      </c>
      <c r="F345" s="627" t="n">
        <v>3.6075</v>
      </c>
      <c r="G345" s="627" t="n">
        <v>8</v>
      </c>
      <c r="H345" s="627" t="inlineStr">
        <is>
          <t>ST 3D</t>
        </is>
      </c>
      <c r="I345" s="627" t="inlineStr">
        <is>
          <t>Small</t>
        </is>
      </c>
      <c r="J345" s="628" t="inlineStr">
        <is>
          <t>MS HA DRUM AC 3D SHP</t>
        </is>
      </c>
      <c r="K345" s="643" t="inlineStr">
        <is>
          <t>Fast</t>
        </is>
      </c>
      <c r="L345" s="643" t="inlineStr">
        <is>
          <t>BOX</t>
        </is>
      </c>
      <c r="M345" s="630" t="n">
        <v>42.34</v>
      </c>
      <c r="N345" s="627" t="inlineStr">
        <is>
          <t>PLATINUM</t>
        </is>
      </c>
      <c r="O345" s="627" t="n">
        <v>25</v>
      </c>
      <c r="P345" s="154" t="n">
        <v>61071</v>
      </c>
      <c r="R345" s="175">
        <f>_xlfn.XLOOKUP(Table3[[#This Row],[SKU]],'05_Daily_Orders'!$B$2:$B$328,'05_Daily_Orders'!G:G)</f>
        <v/>
      </c>
      <c r="S345" s="176">
        <f>IFERROR(R345*1,"")</f>
        <v/>
      </c>
      <c r="T345" s="600">
        <f>_xludf.IFNA(_xlfn.XLOOKUP(Table3[[#This Row],[SKU]],'00_Yield_Rates'!$B$2:$B$17,'00_Yield_Rates'!$E$2:$E$17),"")</f>
        <v/>
      </c>
    </row>
    <row r="346">
      <c r="A346" s="625" t="inlineStr">
        <is>
          <t>Tray_Pack</t>
        </is>
      </c>
      <c r="B346" s="626" t="n">
        <v>201851</v>
      </c>
      <c r="C346" s="627" t="n">
        <v>61078</v>
      </c>
      <c r="D346" s="627" t="inlineStr">
        <is>
          <t>COSTCO</t>
        </is>
      </c>
      <c r="E346" s="627" t="inlineStr">
        <is>
          <t>Thigh</t>
        </is>
      </c>
      <c r="F346" s="630" t="n">
        <v>20.3956130232558</v>
      </c>
      <c r="G346" s="627" t="n">
        <v>6</v>
      </c>
      <c r="H346" s="627" t="inlineStr">
        <is>
          <t>LT 14D</t>
        </is>
      </c>
      <c r="I346" s="627" t="inlineStr">
        <is>
          <t>Large</t>
        </is>
      </c>
      <c r="J346" s="628" t="inlineStr">
        <is>
          <t>MB COS HA THIGH AC</t>
        </is>
      </c>
      <c r="K346" s="629" t="inlineStr">
        <is>
          <t>Fast</t>
        </is>
      </c>
      <c r="L346" s="643" t="inlineStr">
        <is>
          <t>Costco</t>
        </is>
      </c>
      <c r="M346" s="630" t="n">
        <v>42.09</v>
      </c>
      <c r="N346" s="627" t="inlineStr">
        <is>
          <t>GOLD</t>
        </is>
      </c>
      <c r="O346" s="627" t="n">
        <v>25</v>
      </c>
      <c r="P346" s="154" t="n">
        <v>61078</v>
      </c>
      <c r="R346" s="175">
        <f>_xlfn.XLOOKUP(Table3[[#This Row],[SKU]],'05_Daily_Orders'!$B$2:$B$328,'05_Daily_Orders'!G:G)</f>
        <v/>
      </c>
      <c r="S346" s="176">
        <f>IFERROR(R346*1,"")</f>
        <v/>
      </c>
      <c r="T346" s="600">
        <f>_xludf.IFNA(_xlfn.XLOOKUP(Table3[[#This Row],[SKU]],'00_Yield_Rates'!$B$2:$B$17,'00_Yield_Rates'!$E$2:$E$17),"")</f>
        <v/>
      </c>
    </row>
    <row r="347">
      <c r="A347" s="625" t="inlineStr">
        <is>
          <t>Tray_Pack</t>
        </is>
      </c>
      <c r="B347" s="626" t="n">
        <v>201853</v>
      </c>
      <c r="C347" s="627" t="inlineStr">
        <is>
          <t>61050C</t>
        </is>
      </c>
      <c r="D347" s="627" t="inlineStr">
        <is>
          <t>COSTCO</t>
        </is>
      </c>
      <c r="E347" s="627" t="inlineStr">
        <is>
          <t>SplitBreast</t>
        </is>
      </c>
      <c r="F347" s="630" t="n">
        <v>12.9150411673895</v>
      </c>
      <c r="G347" s="627" t="n">
        <v>6</v>
      </c>
      <c r="H347" s="627" t="inlineStr">
        <is>
          <t>LT 14D</t>
        </is>
      </c>
      <c r="I347" s="635" t="inlineStr">
        <is>
          <t>Large</t>
        </is>
      </c>
      <c r="J347" s="646" t="inlineStr">
        <is>
          <t>MB COS HA BSHB AC</t>
        </is>
      </c>
      <c r="K347" s="629" t="inlineStr">
        <is>
          <t>Fast</t>
        </is>
      </c>
      <c r="L347" s="643" t="inlineStr">
        <is>
          <t>Costco</t>
        </is>
      </c>
      <c r="M347" s="630" t="n">
        <v>62.66</v>
      </c>
      <c r="N347" s="627" t="inlineStr">
        <is>
          <t>PLATINUM</t>
        </is>
      </c>
      <c r="O347" s="627" t="n">
        <v>25</v>
      </c>
      <c r="P347" s="154" t="inlineStr">
        <is>
          <t>61050C</t>
        </is>
      </c>
      <c r="R347" s="175">
        <f>_xlfn.XLOOKUP(Table3[[#This Row],[SKU]],'05_Daily_Orders'!$B$2:$B$328,'05_Daily_Orders'!G:G)</f>
        <v/>
      </c>
      <c r="S347" s="176">
        <f>IFERROR(R347*1,"")</f>
        <v/>
      </c>
      <c r="T347" s="600">
        <f>_xludf.IFNA(_xlfn.XLOOKUP(Table3[[#This Row],[SKU]],'00_Yield_Rates'!$B$2:$B$17,'00_Yield_Rates'!$E$2:$E$17),"")</f>
        <v/>
      </c>
    </row>
    <row r="348">
      <c r="A348" s="625" t="inlineStr">
        <is>
          <t>Tray_Pack</t>
        </is>
      </c>
      <c r="B348" s="626" t="n">
        <v>201854</v>
      </c>
      <c r="C348" s="627" t="inlineStr">
        <is>
          <t>61086C</t>
        </is>
      </c>
      <c r="D348" s="627" t="inlineStr">
        <is>
          <t>COSTCO</t>
        </is>
      </c>
      <c r="E348" s="627" t="inlineStr">
        <is>
          <t>ThighMeat</t>
        </is>
      </c>
      <c r="F348" s="627" t="n">
        <v>11.996411544825</v>
      </c>
      <c r="G348" s="627" t="n">
        <v>6</v>
      </c>
      <c r="H348" s="627" t="inlineStr">
        <is>
          <t>LT 14D</t>
        </is>
      </c>
      <c r="I348" s="627" t="inlineStr">
        <is>
          <t>Large</t>
        </is>
      </c>
      <c r="J348" s="646" t="inlineStr">
        <is>
          <t>MB COS HA BSTHIGH AC</t>
        </is>
      </c>
      <c r="K348" s="629" t="inlineStr">
        <is>
          <t>Slow</t>
        </is>
      </c>
      <c r="L348" s="643" t="inlineStr">
        <is>
          <t>Costco</t>
        </is>
      </c>
      <c r="M348" s="630" t="n">
        <v>22.76</v>
      </c>
      <c r="N348" s="627" t="inlineStr">
        <is>
          <t>GOLD</t>
        </is>
      </c>
      <c r="O348" s="627" t="n">
        <v>25</v>
      </c>
      <c r="P348" s="154" t="inlineStr">
        <is>
          <t>61086C</t>
        </is>
      </c>
      <c r="R348" s="175">
        <f>_xlfn.XLOOKUP(Table3[[#This Row],[SKU]],'05_Daily_Orders'!$B$2:$B$328,'05_Daily_Orders'!G:G)</f>
        <v/>
      </c>
      <c r="S348" s="176">
        <f>IFERROR(R348*1,"")</f>
        <v/>
      </c>
      <c r="T348" s="600">
        <f>_xludf.IFNA(_xlfn.XLOOKUP(Table3[[#This Row],[SKU]],'00_Yield_Rates'!$B$2:$B$17,'00_Yield_Rates'!$E$2:$E$17),"")</f>
        <v/>
      </c>
    </row>
    <row r="349">
      <c r="A349" s="625" t="inlineStr">
        <is>
          <t>Tray_Pack</t>
        </is>
      </c>
      <c r="B349" s="626" t="n">
        <v>201855</v>
      </c>
      <c r="C349" s="627" t="n">
        <v>61072</v>
      </c>
      <c r="D349" s="627" t="inlineStr">
        <is>
          <t>COSTCO</t>
        </is>
      </c>
      <c r="E349" s="627" t="inlineStr">
        <is>
          <t>Drum</t>
        </is>
      </c>
      <c r="F349" s="627" t="n">
        <v>16.6081959766385</v>
      </c>
      <c r="G349" s="627" t="n">
        <v>6</v>
      </c>
      <c r="H349" s="627" t="inlineStr">
        <is>
          <t>LT 14D</t>
        </is>
      </c>
      <c r="I349" s="627" t="inlineStr">
        <is>
          <t>Large</t>
        </is>
      </c>
      <c r="J349" s="628" t="inlineStr">
        <is>
          <t>MB COS HA DRUMS AC</t>
        </is>
      </c>
      <c r="K349" s="629" t="inlineStr">
        <is>
          <t>Fast</t>
        </is>
      </c>
      <c r="L349" s="643" t="inlineStr">
        <is>
          <t>Costco</t>
        </is>
      </c>
      <c r="M349" s="630" t="n">
        <v>45.6</v>
      </c>
      <c r="N349" s="627" t="inlineStr">
        <is>
          <t>GOLD</t>
        </is>
      </c>
      <c r="O349" s="627" t="n">
        <v>25</v>
      </c>
      <c r="P349" s="154" t="n">
        <v>61072</v>
      </c>
      <c r="R349" s="175">
        <f>_xlfn.XLOOKUP(Table3[[#This Row],[SKU]],'05_Daily_Orders'!$B$2:$B$328,'05_Daily_Orders'!G:G)</f>
        <v/>
      </c>
      <c r="S349" s="176">
        <f>IFERROR(R349*1,"")</f>
        <v/>
      </c>
      <c r="T349" s="600">
        <f>_xludf.IFNA(_xlfn.XLOOKUP(Table3[[#This Row],[SKU]],'00_Yield_Rates'!$B$2:$B$17,'00_Yield_Rates'!$E$2:$E$17),"")</f>
        <v/>
      </c>
    </row>
    <row r="350">
      <c r="A350" s="625" t="inlineStr">
        <is>
          <t>Tray_Pack</t>
        </is>
      </c>
      <c r="B350" s="634" t="n">
        <v>201856</v>
      </c>
      <c r="C350" s="627" t="n">
        <v>61014</v>
      </c>
      <c r="D350" s="627" t="inlineStr">
        <is>
          <t>COSTCO</t>
        </is>
      </c>
      <c r="E350" s="627" t="inlineStr">
        <is>
          <t>SplitWing</t>
        </is>
      </c>
      <c r="F350" s="630" t="n">
        <v>13.1937557251908</v>
      </c>
      <c r="G350" s="635" t="n">
        <v>6</v>
      </c>
      <c r="H350" s="627" t="inlineStr">
        <is>
          <t>LT 14D</t>
        </is>
      </c>
      <c r="I350" s="635" t="inlineStr">
        <is>
          <t>Large</t>
        </is>
      </c>
      <c r="J350" s="636" t="inlineStr">
        <is>
          <t>MB COS HA SPLIT WING AC</t>
        </is>
      </c>
      <c r="K350" s="629" t="inlineStr">
        <is>
          <t>Slow</t>
        </is>
      </c>
      <c r="L350" s="632" t="inlineStr">
        <is>
          <t>Costco</t>
        </is>
      </c>
      <c r="M350" s="633" t="n">
        <v>28.42</v>
      </c>
      <c r="N350" s="640" t="inlineStr">
        <is>
          <t>GOLD</t>
        </is>
      </c>
      <c r="O350" s="627" t="n">
        <v>25</v>
      </c>
      <c r="P350" s="154" t="n">
        <v>61014</v>
      </c>
      <c r="R350" s="175">
        <f>_xlfn.XLOOKUP(Table3[[#This Row],[SKU]],'05_Daily_Orders'!$B$2:$B$328,'05_Daily_Orders'!G:G)</f>
        <v/>
      </c>
      <c r="S350" s="176">
        <f>IFERROR(R350*1,"")</f>
        <v/>
      </c>
      <c r="T350" s="600">
        <f>_xludf.IFNA(_xlfn.XLOOKUP(Table3[[#This Row],[SKU]],'00_Yield_Rates'!$B$2:$B$17,'00_Yield_Rates'!$E$2:$E$17),"")</f>
        <v/>
      </c>
    </row>
    <row r="351">
      <c r="A351" s="625" t="inlineStr">
        <is>
          <t>Tray_Pack</t>
        </is>
      </c>
      <c r="B351" s="634" t="n">
        <v>207101</v>
      </c>
      <c r="C351" s="627" t="n">
        <v>61077</v>
      </c>
      <c r="D351" s="627" t="inlineStr">
        <is>
          <t>LCL</t>
        </is>
      </c>
      <c r="E351" s="627" t="inlineStr">
        <is>
          <t>Thigh</t>
        </is>
      </c>
      <c r="F351" s="630" t="n"/>
      <c r="G351" s="635" t="n">
        <v>8</v>
      </c>
      <c r="H351" s="627" t="inlineStr">
        <is>
          <t>LT 8XP</t>
        </is>
      </c>
      <c r="I351" s="635" t="inlineStr">
        <is>
          <t>Clubpack</t>
        </is>
      </c>
      <c r="J351" s="636" t="inlineStr">
        <is>
          <t>MS ZH THIGH AC LT PP BSK</t>
        </is>
      </c>
      <c r="K351" s="632" t="inlineStr">
        <is>
          <t>Fast</t>
        </is>
      </c>
      <c r="L351" s="632" t="inlineStr">
        <is>
          <t>IFCO</t>
        </is>
      </c>
      <c r="M351" s="633" t="n">
        <v>68.58</v>
      </c>
      <c r="N351" s="640" t="inlineStr">
        <is>
          <t>PLATINUM</t>
        </is>
      </c>
      <c r="O351" s="627" t="n">
        <v>25</v>
      </c>
      <c r="P351" s="154" t="n">
        <v>61077</v>
      </c>
      <c r="R351" s="175">
        <f>_xlfn.XLOOKUP(Table3[[#This Row],[SKU]],'05_Daily_Orders'!$B$2:$B$328,'05_Daily_Orders'!G:G)</f>
        <v/>
      </c>
      <c r="S351" s="176">
        <f>IFERROR(R351*1,"")</f>
        <v/>
      </c>
      <c r="T351" s="600">
        <f>_xludf.IFNA(_xlfn.XLOOKUP(Table3[[#This Row],[SKU]],'00_Yield_Rates'!$B$2:$B$17,'00_Yield_Rates'!$E$2:$E$17),"")</f>
        <v/>
      </c>
    </row>
    <row r="352">
      <c r="A352" s="625" t="inlineStr">
        <is>
          <t>Tray_Pack</t>
        </is>
      </c>
      <c r="B352" s="626" t="n">
        <v>207102</v>
      </c>
      <c r="C352" s="627" t="n">
        <v>61072</v>
      </c>
      <c r="D352" s="627" t="inlineStr">
        <is>
          <t>LCL</t>
        </is>
      </c>
      <c r="E352" s="627" t="inlineStr">
        <is>
          <t>Drum</t>
        </is>
      </c>
      <c r="F352" s="630" t="n"/>
      <c r="G352" s="635" t="n">
        <v>8</v>
      </c>
      <c r="H352" s="627" t="inlineStr">
        <is>
          <t>LT 8XP</t>
        </is>
      </c>
      <c r="I352" s="635" t="inlineStr">
        <is>
          <t>Clubpack</t>
        </is>
      </c>
      <c r="J352" s="636" t="inlineStr">
        <is>
          <t>MS ZH DRUM AC LT PP BSK</t>
        </is>
      </c>
      <c r="K352" s="632" t="inlineStr">
        <is>
          <t>Fast</t>
        </is>
      </c>
      <c r="L352" s="632" t="inlineStr">
        <is>
          <t>IFCO</t>
        </is>
      </c>
      <c r="M352" s="633" t="n">
        <v>67.90000000000001</v>
      </c>
      <c r="N352" s="631" t="inlineStr">
        <is>
          <t>PLATINUM</t>
        </is>
      </c>
      <c r="O352" s="627" t="n">
        <v>25</v>
      </c>
      <c r="P352" s="154" t="n">
        <v>61072</v>
      </c>
      <c r="R352" s="175">
        <f>_xlfn.XLOOKUP(Table3[[#This Row],[SKU]],'05_Daily_Orders'!$B$2:$B$328,'05_Daily_Orders'!G:G)</f>
        <v/>
      </c>
      <c r="S352" s="176">
        <f>IFERROR(R352*1,"")</f>
        <v/>
      </c>
      <c r="T352" s="600">
        <f>_xludf.IFNA(_xlfn.XLOOKUP(Table3[[#This Row],[SKU]],'00_Yield_Rates'!$B$2:$B$17,'00_Yield_Rates'!$E$2:$E$17),"")</f>
        <v/>
      </c>
    </row>
    <row r="353">
      <c r="A353" s="625" t="inlineStr">
        <is>
          <t>Tray_Pack</t>
        </is>
      </c>
      <c r="B353" s="626" t="n">
        <v>207103</v>
      </c>
      <c r="C353" s="627" t="n">
        <v>203136</v>
      </c>
      <c r="D353" s="627" t="inlineStr">
        <is>
          <t>LCL</t>
        </is>
      </c>
      <c r="E353" s="627" t="inlineStr">
        <is>
          <t>Whole Bird-Small</t>
        </is>
      </c>
      <c r="F353" s="630" t="n"/>
      <c r="G353" s="635" t="n">
        <v>6</v>
      </c>
      <c r="H353" s="627" t="inlineStr">
        <is>
          <t>ST 3XP</t>
        </is>
      </c>
      <c r="I353" s="635" t="inlineStr">
        <is>
          <t>Small</t>
        </is>
      </c>
      <c r="J353" s="636" t="inlineStr">
        <is>
          <t>HALAL MS ZH FRY WOG AC TI ST</t>
        </is>
      </c>
      <c r="K353" s="632" t="inlineStr">
        <is>
          <t>Fast</t>
        </is>
      </c>
      <c r="L353" s="632" t="inlineStr">
        <is>
          <t>IFCO</t>
        </is>
      </c>
      <c r="M353" s="633" t="n">
        <v>133.92</v>
      </c>
      <c r="N353" s="631" t="inlineStr">
        <is>
          <t>PLATINUM</t>
        </is>
      </c>
      <c r="O353" s="627" t="n">
        <v>25</v>
      </c>
      <c r="P353" s="154" t="n">
        <v>203136</v>
      </c>
      <c r="R353" s="175">
        <f>_xlfn.XLOOKUP(Table3[[#This Row],[SKU]],'05_Daily_Orders'!$B$2:$B$328,'05_Daily_Orders'!G:G)</f>
        <v/>
      </c>
      <c r="S353" s="176">
        <f>IFERROR(R353*1,"")</f>
        <v/>
      </c>
      <c r="T353" s="600">
        <f>_xludf.IFNA(_xlfn.XLOOKUP(Table3[[#This Row],[SKU]],'00_Yield_Rates'!$B$2:$B$17,'00_Yield_Rates'!$E$2:$E$17),"")</f>
        <v/>
      </c>
    </row>
    <row r="354">
      <c r="A354" s="625" t="inlineStr">
        <is>
          <t>Tray_Pack</t>
        </is>
      </c>
      <c r="B354" s="626" t="n">
        <v>207104</v>
      </c>
      <c r="C354" s="627" t="n">
        <v>61050</v>
      </c>
      <c r="D354" s="627" t="inlineStr">
        <is>
          <t>LCL</t>
        </is>
      </c>
      <c r="E354" s="627" t="inlineStr">
        <is>
          <t>BSB</t>
        </is>
      </c>
      <c r="F354" s="630" t="n"/>
      <c r="G354" s="635" t="n">
        <v>8</v>
      </c>
      <c r="H354" s="627" t="inlineStr">
        <is>
          <t>PET 8</t>
        </is>
      </c>
      <c r="I354" s="635" t="inlineStr">
        <is>
          <t>Large</t>
        </is>
      </c>
      <c r="J354" s="636" t="inlineStr">
        <is>
          <t>MS LCL BSHB AC 8D  BSK</t>
        </is>
      </c>
      <c r="K354" s="629" t="inlineStr">
        <is>
          <t>Fast</t>
        </is>
      </c>
      <c r="L354" s="629" t="inlineStr">
        <is>
          <t>BOX</t>
        </is>
      </c>
      <c r="M354" s="630" t="n">
        <v>97.91</v>
      </c>
      <c r="N354" s="631" t="inlineStr">
        <is>
          <t>PLATINUM</t>
        </is>
      </c>
      <c r="O354" s="627" t="n">
        <v>25</v>
      </c>
      <c r="P354" s="154" t="n">
        <v>61050</v>
      </c>
      <c r="R354" s="175">
        <f>_xlfn.XLOOKUP(Table3[[#This Row],[SKU]],'05_Daily_Orders'!$B$2:$B$328,'05_Daily_Orders'!G:G)</f>
        <v/>
      </c>
      <c r="S354" s="176">
        <f>IFERROR(R354*1,"")</f>
        <v/>
      </c>
      <c r="T354" s="600">
        <f>_xludf.IFNA(_xlfn.XLOOKUP(Table3[[#This Row],[SKU]],'00_Yield_Rates'!$B$2:$B$17,'00_Yield_Rates'!$E$2:$E$17),"")</f>
        <v/>
      </c>
    </row>
    <row r="355">
      <c r="A355" s="625" t="inlineStr">
        <is>
          <t>Tray_Pack</t>
        </is>
      </c>
      <c r="B355" s="626" t="n">
        <v>207127</v>
      </c>
      <c r="C355" s="627" t="n">
        <v>61014</v>
      </c>
      <c r="D355" s="627" t="inlineStr">
        <is>
          <t>LCL</t>
        </is>
      </c>
      <c r="E355" s="627" t="inlineStr">
        <is>
          <t>SplitWing</t>
        </is>
      </c>
      <c r="F355" s="630" t="n"/>
      <c r="G355" s="635" t="n">
        <v>8</v>
      </c>
      <c r="H355" s="627" t="inlineStr">
        <is>
          <t>LT 6D</t>
        </is>
      </c>
      <c r="I355" s="635" t="inlineStr">
        <is>
          <t>Large</t>
        </is>
      </c>
      <c r="J355" s="636" t="inlineStr">
        <is>
          <t>MS ZH LCL SPL WING AC 6D BSK</t>
        </is>
      </c>
      <c r="K355" s="629" t="inlineStr">
        <is>
          <t>Slow</t>
        </is>
      </c>
      <c r="L355" s="629" t="inlineStr">
        <is>
          <t>BOX</t>
        </is>
      </c>
      <c r="M355" s="630" t="n">
        <v>29.34</v>
      </c>
      <c r="N355" s="631" t="inlineStr">
        <is>
          <t>PLATINUM</t>
        </is>
      </c>
      <c r="O355" s="627" t="n">
        <v>25</v>
      </c>
      <c r="P355" s="154" t="n">
        <v>61014</v>
      </c>
      <c r="R355" s="175">
        <f>_xlfn.XLOOKUP(Table3[[#This Row],[SKU]],'05_Daily_Orders'!$B$2:$B$328,'05_Daily_Orders'!G:G)</f>
        <v/>
      </c>
      <c r="S355" s="176">
        <f>IFERROR(R355*1,"")</f>
        <v/>
      </c>
      <c r="T355" s="600">
        <f>_xludf.IFNA(_xlfn.XLOOKUP(Table3[[#This Row],[SKU]],'00_Yield_Rates'!$B$2:$B$17,'00_Yield_Rates'!$E$2:$E$17),"")</f>
        <v/>
      </c>
    </row>
    <row r="356">
      <c r="A356" s="625" t="inlineStr">
        <is>
          <t>Tray_Pack</t>
        </is>
      </c>
      <c r="B356" s="626" t="n">
        <v>207128</v>
      </c>
      <c r="C356" s="627" t="n">
        <v>203021</v>
      </c>
      <c r="D356" s="627" t="inlineStr">
        <is>
          <t>LCL</t>
        </is>
      </c>
      <c r="E356" s="627" t="inlineStr">
        <is>
          <t>Whole Bird-Small</t>
        </is>
      </c>
      <c r="F356" s="630" t="n"/>
      <c r="G356" s="635" t="n">
        <v>6</v>
      </c>
      <c r="H356" s="627" t="inlineStr">
        <is>
          <t>ST 3XP</t>
        </is>
      </c>
      <c r="I356" s="635" t="inlineStr">
        <is>
          <t>Small</t>
        </is>
      </c>
      <c r="J356" s="636" t="inlineStr">
        <is>
          <t>MS ZH LCL FRY WOG AC TI BSK</t>
        </is>
      </c>
      <c r="K356" s="632" t="inlineStr">
        <is>
          <t>Fast</t>
        </is>
      </c>
      <c r="L356" s="629" t="inlineStr">
        <is>
          <t>BOX</t>
        </is>
      </c>
      <c r="M356" s="630" t="n">
        <v>146.55</v>
      </c>
      <c r="N356" s="631" t="n"/>
      <c r="O356" s="627" t="n">
        <v>25</v>
      </c>
      <c r="P356" s="154" t="n">
        <v>203021</v>
      </c>
      <c r="R356" s="175">
        <f>_xlfn.XLOOKUP(Table3[[#This Row],[SKU]],'05_Daily_Orders'!$B$2:$B$328,'05_Daily_Orders'!G:G)</f>
        <v/>
      </c>
      <c r="S356" s="176">
        <f>IFERROR(R356*1,"")</f>
        <v/>
      </c>
      <c r="T356" s="600">
        <f>_xludf.IFNA(_xlfn.XLOOKUP(Table3[[#This Row],[SKU]],'00_Yield_Rates'!$B$2:$B$17,'00_Yield_Rates'!$E$2:$E$17),"")</f>
        <v/>
      </c>
    </row>
    <row r="357">
      <c r="A357" s="647" t="inlineStr">
        <is>
          <t>Bagging</t>
        </is>
      </c>
      <c r="B357" s="648" t="n">
        <v>2050</v>
      </c>
      <c r="C357" s="649" t="n"/>
      <c r="D357" s="649" t="n"/>
      <c r="E357" s="649" t="n"/>
      <c r="F357" s="649" t="n"/>
      <c r="G357" s="649" t="n"/>
      <c r="H357" s="649" t="n"/>
      <c r="I357" s="649" t="n"/>
      <c r="J357" s="650" t="inlineStr">
        <is>
          <t>MS BSC LEG BA BG PP 10/BOX</t>
        </is>
      </c>
      <c r="K357" s="651" t="n"/>
      <c r="L357" s="651" t="n"/>
      <c r="M357" s="652" t="n"/>
      <c r="N357" s="649" t="n"/>
      <c r="O357" s="649" t="n"/>
      <c r="P357" s="154" t="n"/>
      <c r="R357" s="175">
        <f>_xlfn.XLOOKUP(Table3[[#This Row],[SKU]],'04_Bagging_Order'!$H$5:$H$25,'04_Bagging_Order'!$K$5:$K$25)</f>
        <v/>
      </c>
      <c r="S357" s="175" t="n"/>
      <c r="T357" s="600">
        <f>_xludf.IFNA(_xlfn.XLOOKUP(Table3[[#This Row],[SKU]],'00_Yield_Rates'!$B$2:$B$17,'00_Yield_Rates'!$E$2:$E$17),"")</f>
        <v/>
      </c>
    </row>
    <row r="358">
      <c r="A358" s="647" t="inlineStr">
        <is>
          <t>Bagging</t>
        </is>
      </c>
      <c r="B358" s="648" t="n">
        <v>2051</v>
      </c>
      <c r="C358" s="649" t="n"/>
      <c r="D358" s="649" t="n"/>
      <c r="E358" s="649" t="n"/>
      <c r="F358" s="649" t="n"/>
      <c r="G358" s="649" t="n"/>
      <c r="H358" s="649" t="n"/>
      <c r="I358" s="649" t="n"/>
      <c r="J358" s="650" t="inlineStr">
        <is>
          <t>MS BSC DRUM BG PP BOX</t>
        </is>
      </c>
      <c r="K358" s="651" t="n"/>
      <c r="L358" s="651" t="n"/>
      <c r="M358" s="652" t="n"/>
      <c r="N358" s="649" t="n"/>
      <c r="O358" s="649" t="n"/>
      <c r="P358" s="154" t="n"/>
      <c r="R358" s="175">
        <f>_xlfn.XLOOKUP(Table3[[#This Row],[SKU]],'04_Bagging_Order'!$H$5:$H$25,'04_Bagging_Order'!$K$5:$K$25)</f>
        <v/>
      </c>
      <c r="S358" s="175" t="n"/>
      <c r="T358" s="600">
        <f>_xludf.IFNA(_xlfn.XLOOKUP(Table3[[#This Row],[SKU]],'00_Yield_Rates'!$B$2:$B$17,'00_Yield_Rates'!$E$2:$E$17),"")</f>
        <v/>
      </c>
    </row>
    <row r="359">
      <c r="A359" s="647" t="inlineStr">
        <is>
          <t>Bagging</t>
        </is>
      </c>
      <c r="B359" s="648" t="n">
        <v>2081</v>
      </c>
      <c r="C359" s="649" t="n"/>
      <c r="D359" s="649" t="n"/>
      <c r="E359" s="649" t="n"/>
      <c r="F359" s="649" t="n"/>
      <c r="G359" s="649" t="n"/>
      <c r="H359" s="649" t="n"/>
      <c r="I359" s="649" t="n"/>
      <c r="J359" s="650" t="inlineStr">
        <is>
          <t>MS WINGS BG PP</t>
        </is>
      </c>
      <c r="K359" s="651" t="n"/>
      <c r="L359" s="651" t="n"/>
      <c r="M359" s="652" t="n"/>
      <c r="N359" s="649" t="n"/>
      <c r="O359" s="649" t="n"/>
      <c r="P359" s="154" t="n"/>
      <c r="R359" s="175">
        <f>_xlfn.XLOOKUP(Table3[[#This Row],[SKU]],'04_Bagging_Order'!$H$5:$H$25,'04_Bagging_Order'!$K$5:$K$25)</f>
        <v/>
      </c>
      <c r="S359" s="175" t="n"/>
      <c r="T359" s="600">
        <f>_xludf.IFNA(_xlfn.XLOOKUP(Table3[[#This Row],[SKU]],'00_Yield_Rates'!$B$2:$B$17,'00_Yield_Rates'!$E$2:$E$17),"")</f>
        <v/>
      </c>
    </row>
    <row r="360">
      <c r="A360" s="647" t="inlineStr">
        <is>
          <t>Bagging</t>
        </is>
      </c>
      <c r="B360" s="648" t="n">
        <v>7113</v>
      </c>
      <c r="C360" s="649" t="n"/>
      <c r="D360" s="649" t="n"/>
      <c r="E360" s="649" t="n"/>
      <c r="F360" s="649" t="n"/>
      <c r="G360" s="649" t="n"/>
      <c r="H360" s="649" t="n"/>
      <c r="I360" s="649" t="n"/>
      <c r="J360" s="650" t="n"/>
      <c r="K360" s="651" t="n"/>
      <c r="L360" s="651" t="n"/>
      <c r="M360" s="652" t="n"/>
      <c r="N360" s="649" t="n"/>
      <c r="O360" s="649" t="n"/>
      <c r="P360" s="154" t="n"/>
      <c r="R360" s="175">
        <f>_xlfn.XLOOKUP(Table3[[#This Row],[SKU]],'04_Bagging_Order'!$H$5:$H$25,'04_Bagging_Order'!$K$5:$K$25)</f>
        <v/>
      </c>
      <c r="S360" s="175" t="n"/>
      <c r="T360" s="600">
        <f>_xludf.IFNA(_xlfn.XLOOKUP(Table3[[#This Row],[SKU]],'00_Yield_Rates'!$B$2:$B$17,'00_Yield_Rates'!$E$2:$E$17),"")</f>
        <v/>
      </c>
    </row>
    <row r="361">
      <c r="A361" s="647" t="inlineStr">
        <is>
          <t>Bagging</t>
        </is>
      </c>
      <c r="B361" s="648" t="n">
        <v>200179</v>
      </c>
      <c r="C361" s="649" t="n"/>
      <c r="D361" s="649" t="n"/>
      <c r="E361" s="649" t="n"/>
      <c r="F361" s="649" t="n"/>
      <c r="G361" s="649" t="n"/>
      <c r="H361" s="649" t="n"/>
      <c r="I361" s="649" t="n"/>
      <c r="J361" s="650" t="inlineStr">
        <is>
          <t>MS ZH LEG BA BG PP</t>
        </is>
      </c>
      <c r="K361" s="651" t="n"/>
      <c r="L361" s="651" t="n"/>
      <c r="M361" s="652" t="n"/>
      <c r="N361" s="649" t="n"/>
      <c r="O361" s="649" t="n"/>
      <c r="P361" s="154" t="n"/>
      <c r="R361" s="175">
        <f>_xlfn.XLOOKUP(Table3[[#This Row],[SKU]],'04_Bagging_Order'!$H$5:$H$25,'04_Bagging_Order'!$K$5:$K$25)</f>
        <v/>
      </c>
      <c r="S361" s="175" t="n"/>
      <c r="T361" s="600">
        <f>_xludf.IFNA(_xlfn.XLOOKUP(Table3[[#This Row],[SKU]],'00_Yield_Rates'!$B$2:$B$17,'00_Yield_Rates'!$E$2:$E$17),"")</f>
        <v/>
      </c>
    </row>
    <row r="362">
      <c r="A362" s="647" t="inlineStr">
        <is>
          <t>Bagging</t>
        </is>
      </c>
      <c r="B362" s="648" t="n">
        <v>200182</v>
      </c>
      <c r="C362" s="649" t="n"/>
      <c r="D362" s="649" t="n"/>
      <c r="E362" s="649" t="n"/>
      <c r="F362" s="649" t="n"/>
      <c r="G362" s="649" t="n"/>
      <c r="H362" s="649" t="n"/>
      <c r="I362" s="649" t="n"/>
      <c r="J362" s="650" t="inlineStr">
        <is>
          <t>MS ZH WINGS BG PP</t>
        </is>
      </c>
      <c r="K362" s="651" t="n"/>
      <c r="L362" s="651" t="n"/>
      <c r="M362" s="652" t="n"/>
      <c r="N362" s="649" t="n"/>
      <c r="O362" s="649" t="n"/>
      <c r="P362" s="154" t="n"/>
      <c r="R362" s="175">
        <f>_xlfn.XLOOKUP(Table3[[#This Row],[SKU]],'04_Bagging_Order'!$H$5:$H$25,'04_Bagging_Order'!$K$5:$K$25)</f>
        <v/>
      </c>
      <c r="S362" s="175" t="n"/>
      <c r="T362" s="600">
        <f>_xludf.IFNA(_xlfn.XLOOKUP(Table3[[#This Row],[SKU]],'00_Yield_Rates'!$B$2:$B$17,'00_Yield_Rates'!$E$2:$E$17),"")</f>
        <v/>
      </c>
    </row>
    <row r="363">
      <c r="A363" s="647" t="inlineStr">
        <is>
          <t>Bagging</t>
        </is>
      </c>
      <c r="B363" s="648" t="n">
        <v>200183</v>
      </c>
      <c r="C363" s="649" t="n"/>
      <c r="D363" s="649" t="n"/>
      <c r="E363" s="649" t="n"/>
      <c r="F363" s="649" t="n"/>
      <c r="G363" s="649" t="n"/>
      <c r="H363" s="649" t="n"/>
      <c r="I363" s="649" t="n"/>
      <c r="J363" s="650" t="inlineStr">
        <is>
          <t>MS ZH LEG BA BG PP</t>
        </is>
      </c>
      <c r="K363" s="651" t="n"/>
      <c r="L363" s="651" t="n"/>
      <c r="M363" s="652" t="n"/>
      <c r="N363" s="649" t="n"/>
      <c r="O363" s="649" t="n"/>
      <c r="P363" s="154" t="n"/>
      <c r="R363" s="175">
        <f>_xlfn.XLOOKUP(Table3[[#This Row],[SKU]],'04_Bagging_Order'!$H$5:$H$25,'04_Bagging_Order'!$K$5:$K$25)</f>
        <v/>
      </c>
      <c r="S363" s="175" t="n"/>
      <c r="T363" s="600">
        <f>_xludf.IFNA(_xlfn.XLOOKUP(Table3[[#This Row],[SKU]],'00_Yield_Rates'!$B$2:$B$17,'00_Yield_Rates'!$E$2:$E$17),"")</f>
        <v/>
      </c>
    </row>
    <row r="364">
      <c r="A364" s="647" t="inlineStr">
        <is>
          <t>Bagging</t>
        </is>
      </c>
      <c r="B364" s="648" t="n">
        <v>200184</v>
      </c>
      <c r="C364" s="649" t="n"/>
      <c r="D364" s="649" t="n"/>
      <c r="E364" s="649" t="n"/>
      <c r="F364" s="649" t="n"/>
      <c r="G364" s="649" t="n"/>
      <c r="H364" s="649" t="n"/>
      <c r="I364" s="649" t="n"/>
      <c r="J364" s="650" t="inlineStr">
        <is>
          <t>MS ZH DRUM BA BG PP</t>
        </is>
      </c>
      <c r="K364" s="651" t="n"/>
      <c r="L364" s="651" t="n"/>
      <c r="M364" s="652" t="n"/>
      <c r="N364" s="649" t="n"/>
      <c r="O364" s="649" t="n"/>
      <c r="P364" s="154" t="n"/>
      <c r="R364" s="175">
        <f>_xlfn.XLOOKUP(Table3[[#This Row],[SKU]],'04_Bagging_Order'!$H$5:$H$25,'04_Bagging_Order'!$K$5:$K$25)</f>
        <v/>
      </c>
      <c r="S364" s="175" t="n"/>
      <c r="T364" s="600">
        <f>_xludf.IFNA(_xlfn.XLOOKUP(Table3[[#This Row],[SKU]],'00_Yield_Rates'!$B$2:$B$17,'00_Yield_Rates'!$E$2:$E$17),"")</f>
        <v/>
      </c>
    </row>
    <row r="365">
      <c r="A365" s="647" t="inlineStr">
        <is>
          <t>Bagging</t>
        </is>
      </c>
      <c r="B365" s="648" t="n">
        <v>2511</v>
      </c>
      <c r="C365" s="649" t="n"/>
      <c r="D365" s="649" t="n"/>
      <c r="E365" s="649" t="n"/>
      <c r="F365" s="649" t="n"/>
      <c r="G365" s="649" t="n"/>
      <c r="H365" s="649" t="n"/>
      <c r="I365" s="649" t="n"/>
      <c r="J365" s="650" t="inlineStr">
        <is>
          <t>MS BSC SPL WING BG PP</t>
        </is>
      </c>
      <c r="K365" s="651" t="n"/>
      <c r="L365" s="651" t="n"/>
      <c r="M365" s="652" t="n"/>
      <c r="N365" s="649" t="n"/>
      <c r="O365" s="649" t="n"/>
      <c r="P365" s="154" t="n"/>
      <c r="R365" s="175">
        <f>_xlfn.XLOOKUP(Table3[[#This Row],[SKU]],'04_Bagging_Order'!$H$5:$H$25,'04_Bagging_Order'!$K$5:$K$25)</f>
        <v/>
      </c>
      <c r="S365" s="175" t="n"/>
      <c r="T365" s="600">
        <f>_xludf.IFNA(_xlfn.XLOOKUP(Table3[[#This Row],[SKU]],'00_Yield_Rates'!$B$2:$B$17,'00_Yield_Rates'!$E$2:$E$17),"")</f>
        <v/>
      </c>
    </row>
    <row r="366">
      <c r="A366" s="647" t="inlineStr">
        <is>
          <t>Bagging</t>
        </is>
      </c>
      <c r="B366" s="648" t="n">
        <v>1077</v>
      </c>
      <c r="C366" s="649" t="n"/>
      <c r="D366" s="649" t="n"/>
      <c r="E366" s="649" t="n"/>
      <c r="F366" s="649" t="n"/>
      <c r="G366" s="649" t="n"/>
      <c r="H366" s="649" t="n"/>
      <c r="I366" s="649" t="n"/>
      <c r="J366" s="650" t="n"/>
      <c r="K366" s="651" t="n"/>
      <c r="L366" s="651" t="n"/>
      <c r="M366" s="652" t="n"/>
      <c r="N366" s="649" t="n"/>
      <c r="O366" s="649" t="n"/>
      <c r="P366" s="154" t="n"/>
      <c r="R366" s="175">
        <f>_xlfn.XLOOKUP(Table3[[#This Row],[SKU]],'04_Bagging_Order'!$H$5:$H$25,'04_Bagging_Order'!$K$5:$K$25)</f>
        <v/>
      </c>
      <c r="S366" s="175" t="n"/>
      <c r="T366" s="600">
        <f>_xludf.IFNA(_xlfn.XLOOKUP(Table3[[#This Row],[SKU]],'00_Yield_Rates'!$B$2:$B$17,'00_Yield_Rates'!$E$2:$E$17),"")</f>
        <v/>
      </c>
    </row>
    <row r="367">
      <c r="A367" s="647" t="inlineStr">
        <is>
          <t>Bagging</t>
        </is>
      </c>
      <c r="B367" s="648" t="n">
        <v>1078</v>
      </c>
      <c r="C367" s="649" t="n"/>
      <c r="D367" s="649" t="n"/>
      <c r="E367" s="649" t="n"/>
      <c r="F367" s="649" t="n"/>
      <c r="G367" s="649" t="n"/>
      <c r="H367" s="649" t="n"/>
      <c r="I367" s="649" t="n"/>
      <c r="J367" s="650" t="n"/>
      <c r="K367" s="651" t="n"/>
      <c r="L367" s="651" t="n"/>
      <c r="M367" s="652" t="n"/>
      <c r="N367" s="649" t="n"/>
      <c r="O367" s="649" t="n"/>
      <c r="P367" s="154" t="n"/>
      <c r="R367" s="175">
        <f>_xlfn.XLOOKUP(Table3[[#This Row],[SKU]],'04_Bagging_Order'!$H$5:$H$25,'04_Bagging_Order'!$K$5:$K$25)</f>
        <v/>
      </c>
      <c r="S367" s="175" t="n"/>
      <c r="T367" s="600">
        <f>_xludf.IFNA(_xlfn.XLOOKUP(Table3[[#This Row],[SKU]],'00_Yield_Rates'!$B$2:$B$17,'00_Yield_Rates'!$E$2:$E$17),"")</f>
        <v/>
      </c>
    </row>
    <row r="368">
      <c r="A368" s="647" t="inlineStr">
        <is>
          <t>Bagging</t>
        </is>
      </c>
      <c r="B368" s="648" t="n">
        <v>1080</v>
      </c>
      <c r="C368" s="649" t="n"/>
      <c r="D368" s="649" t="n"/>
      <c r="E368" s="649" t="n"/>
      <c r="F368" s="649" t="n"/>
      <c r="G368" s="649" t="n"/>
      <c r="H368" s="649" t="n"/>
      <c r="I368" s="649" t="n"/>
      <c r="J368" s="650" t="n"/>
      <c r="K368" s="651" t="n"/>
      <c r="L368" s="651" t="n"/>
      <c r="M368" s="652" t="n"/>
      <c r="N368" s="649" t="n"/>
      <c r="O368" s="649" t="n"/>
      <c r="P368" s="154" t="n"/>
      <c r="R368" s="175">
        <f>_xlfn.XLOOKUP(Table3[[#This Row],[SKU]],'04_Bagging_Order'!$H$5:$H$25,'04_Bagging_Order'!$K$5:$K$25)</f>
        <v/>
      </c>
      <c r="S368" s="175" t="n"/>
      <c r="T368" s="600">
        <f>_xludf.IFNA(_xlfn.XLOOKUP(Table3[[#This Row],[SKU]],'00_Yield_Rates'!$B$2:$B$17,'00_Yield_Rates'!$E$2:$E$17),"")</f>
        <v/>
      </c>
    </row>
    <row r="369">
      <c r="A369" s="647" t="inlineStr">
        <is>
          <t>Bagging</t>
        </is>
      </c>
      <c r="B369" s="648" t="n">
        <v>1574</v>
      </c>
      <c r="C369" s="649" t="n"/>
      <c r="D369" s="649" t="n"/>
      <c r="E369" s="649" t="n"/>
      <c r="F369" s="649" t="n"/>
      <c r="G369" s="649" t="n"/>
      <c r="H369" s="649" t="n"/>
      <c r="I369" s="649" t="n"/>
      <c r="J369" s="650" t="n"/>
      <c r="K369" s="651" t="n"/>
      <c r="L369" s="651" t="n"/>
      <c r="M369" s="652" t="n"/>
      <c r="N369" s="649" t="n"/>
      <c r="O369" s="649" t="n"/>
      <c r="P369" s="154" t="n"/>
      <c r="R369" s="175">
        <f>_xlfn.XLOOKUP(Table3[[#This Row],[SKU]],'04_Bagging_Order'!$H$5:$H$25,'04_Bagging_Order'!$K$5:$K$25)</f>
        <v/>
      </c>
      <c r="S369" s="175" t="n"/>
      <c r="T369" s="600">
        <f>_xludf.IFNA(_xlfn.XLOOKUP(Table3[[#This Row],[SKU]],'00_Yield_Rates'!$B$2:$B$17,'00_Yield_Rates'!$E$2:$E$17),"")</f>
        <v/>
      </c>
    </row>
    <row r="370">
      <c r="A370" s="647" t="inlineStr">
        <is>
          <t>Bagging</t>
        </is>
      </c>
      <c r="B370" s="648" t="n">
        <v>2112</v>
      </c>
      <c r="C370" s="649" t="n"/>
      <c r="D370" s="649" t="n"/>
      <c r="E370" s="649" t="n"/>
      <c r="F370" s="649" t="n"/>
      <c r="G370" s="649" t="n"/>
      <c r="H370" s="649" t="n"/>
      <c r="I370" s="649" t="n"/>
      <c r="J370" s="650" t="inlineStr">
        <is>
          <t>MS BSC LEG BA BG PP 8/BOX</t>
        </is>
      </c>
      <c r="K370" s="651" t="n"/>
      <c r="L370" s="651" t="n"/>
      <c r="M370" s="652" t="n"/>
      <c r="N370" s="649" t="n"/>
      <c r="O370" s="649" t="n"/>
      <c r="P370" s="154" t="n"/>
      <c r="R370" s="175">
        <f>_xlfn.XLOOKUP(Table3[[#This Row],[SKU]],'04_Bagging_Order'!$H$5:$H$25,'04_Bagging_Order'!$K$5:$K$25)</f>
        <v/>
      </c>
      <c r="S370" s="175" t="n"/>
      <c r="T370" s="600">
        <f>_xludf.IFNA(_xlfn.XLOOKUP(Table3[[#This Row],[SKU]],'00_Yield_Rates'!$B$2:$B$17,'00_Yield_Rates'!$E$2:$E$17),"")</f>
        <v/>
      </c>
    </row>
    <row r="371">
      <c r="A371" s="647" t="inlineStr">
        <is>
          <t>Bagging</t>
        </is>
      </c>
      <c r="B371" s="648" t="n">
        <v>2513</v>
      </c>
      <c r="C371" s="649" t="n"/>
      <c r="D371" s="649" t="n"/>
      <c r="E371" s="649" t="n"/>
      <c r="F371" s="649" t="n"/>
      <c r="G371" s="649" t="n"/>
      <c r="H371" s="649" t="n"/>
      <c r="I371" s="649" t="n"/>
      <c r="J371" s="650" t="inlineStr">
        <is>
          <t>MS CUT 4 CHICKEN BAGGED PP</t>
        </is>
      </c>
      <c r="K371" s="651" t="n"/>
      <c r="L371" s="651" t="n"/>
      <c r="M371" s="652" t="n"/>
      <c r="N371" s="649" t="n"/>
      <c r="O371" s="649" t="n"/>
      <c r="P371" s="154" t="n"/>
      <c r="R371" s="175">
        <f>_xlfn.XLOOKUP(Table3[[#This Row],[SKU]],'04_Bagging_Order'!$H$5:$H$25,'04_Bagging_Order'!$K$5:$K$25)</f>
        <v/>
      </c>
      <c r="S371" s="175" t="n"/>
      <c r="T371" s="600">
        <f>_xludf.IFNA(_xlfn.XLOOKUP(Table3[[#This Row],[SKU]],'00_Yield_Rates'!$B$2:$B$17,'00_Yield_Rates'!$E$2:$E$17),"")</f>
        <v/>
      </c>
    </row>
    <row r="372">
      <c r="A372" s="647" t="inlineStr">
        <is>
          <t>Bagging</t>
        </is>
      </c>
      <c r="B372" s="648" t="n">
        <v>7011</v>
      </c>
      <c r="C372" s="649" t="n"/>
      <c r="D372" s="649" t="n"/>
      <c r="E372" s="649" t="n"/>
      <c r="F372" s="649" t="n"/>
      <c r="G372" s="649" t="n"/>
      <c r="H372" s="649" t="n"/>
      <c r="I372" s="649" t="n"/>
      <c r="J372" s="650" t="inlineStr">
        <is>
          <t>MS 1-2 FRY WOG AC BG PP BSK</t>
        </is>
      </c>
      <c r="K372" s="651" t="n"/>
      <c r="L372" s="651" t="n"/>
      <c r="M372" s="652" t="n"/>
      <c r="N372" s="649" t="n"/>
      <c r="O372" s="649" t="n"/>
      <c r="P372" s="154" t="n"/>
      <c r="R372" s="175">
        <f>_xlfn.XLOOKUP(Table3[[#This Row],[SKU]],'04_Bagging_Order'!$H$5:$H$25,'04_Bagging_Order'!$K$5:$K$25)</f>
        <v/>
      </c>
      <c r="S372" s="175" t="n"/>
      <c r="T372" s="600">
        <f>_xludf.IFNA(_xlfn.XLOOKUP(Table3[[#This Row],[SKU]],'00_Yield_Rates'!$B$2:$B$17,'00_Yield_Rates'!$E$2:$E$17),"")</f>
        <v/>
      </c>
    </row>
    <row r="373">
      <c r="A373" s="647" t="inlineStr">
        <is>
          <t>Bagging</t>
        </is>
      </c>
      <c r="B373" s="648" t="n">
        <v>7170</v>
      </c>
      <c r="C373" s="649" t="n"/>
      <c r="D373" s="649" t="n"/>
      <c r="E373" s="649" t="n"/>
      <c r="F373" s="649" t="n"/>
      <c r="G373" s="649" t="n"/>
      <c r="H373" s="649" t="n"/>
      <c r="I373" s="649" t="n"/>
      <c r="J373" s="650" t="n"/>
      <c r="K373" s="651" t="n"/>
      <c r="L373" s="651" t="n"/>
      <c r="M373" s="652" t="n"/>
      <c r="N373" s="649" t="n"/>
      <c r="O373" s="649" t="n"/>
      <c r="P373" s="154" t="n"/>
      <c r="R373" s="175">
        <f>_xlfn.XLOOKUP(Table3[[#This Row],[SKU]],'04_Bagging_Order'!$H$5:$H$25,'04_Bagging_Order'!$K$5:$K$25)</f>
        <v/>
      </c>
      <c r="S373" s="175" t="n"/>
      <c r="T373" s="600">
        <f>_xludf.IFNA(_xlfn.XLOOKUP(Table3[[#This Row],[SKU]],'00_Yield_Rates'!$B$2:$B$17,'00_Yield_Rates'!$E$2:$E$17),"")</f>
        <v/>
      </c>
    </row>
    <row r="374">
      <c r="A374" s="647" t="inlineStr">
        <is>
          <t>Bagging</t>
        </is>
      </c>
      <c r="B374" s="653" t="n">
        <v>7176</v>
      </c>
      <c r="C374" s="654" t="n"/>
      <c r="D374" s="654" t="n"/>
      <c r="E374" s="654" t="n"/>
      <c r="F374" s="654" t="n"/>
      <c r="G374" s="654" t="n"/>
      <c r="H374" s="654" t="n"/>
      <c r="I374" s="654" t="n"/>
      <c r="J374" s="655" t="inlineStr">
        <is>
          <t>MS LEG BA BG PP BSK</t>
        </is>
      </c>
      <c r="K374" s="656" t="n"/>
      <c r="L374" s="656" t="n"/>
      <c r="M374" s="657" t="n"/>
      <c r="N374" s="654" t="n"/>
      <c r="O374" s="654" t="n"/>
      <c r="P374" s="154" t="n"/>
      <c r="R374" s="175">
        <f>_xlfn.XLOOKUP(Table3[[#This Row],[SKU]],'04_Bagging_Order'!$H$5:$H$25,'04_Bagging_Order'!$K$5:$K$25)</f>
        <v/>
      </c>
      <c r="S374" s="175" t="n"/>
      <c r="T374" s="600">
        <f>_xludf.IFNA(_xlfn.XLOOKUP(Table3[[#This Row],[SKU]],'00_Yield_Rates'!$B$2:$B$17,'00_Yield_Rates'!$E$2:$E$17),"")</f>
        <v/>
      </c>
    </row>
    <row r="375">
      <c r="A375" s="658" t="inlineStr">
        <is>
          <t>Extenl</t>
        </is>
      </c>
      <c r="B375" s="659" t="n">
        <v>200157</v>
      </c>
      <c r="C375" s="660" t="n"/>
      <c r="D375" s="660" t="n"/>
      <c r="E375" s="660" t="n"/>
      <c r="F375" s="660" t="n">
        <v>550</v>
      </c>
      <c r="G375" s="660" t="n"/>
      <c r="H375" s="660" t="n"/>
      <c r="I375" s="660" t="n"/>
      <c r="J375" s="661" t="inlineStr">
        <is>
          <t>HA 1.55-1.75 FRY WOG AC GF COMBO</t>
        </is>
      </c>
      <c r="K375" s="662" t="n"/>
      <c r="L375" s="662" t="n"/>
      <c r="M375" s="663" t="n"/>
      <c r="N375" s="660" t="n"/>
      <c r="O375" s="660" t="n"/>
      <c r="P375" s="154" t="n"/>
      <c r="R375" s="303" t="n"/>
      <c r="S375" s="303" t="n"/>
      <c r="T375" s="600">
        <f>_xludf.IFNA(_xlfn.XLOOKUP(Table3[[#This Row],[SKU]],'00_Yield_Rates'!$B$2:$B$17,'00_Yield_Rates'!$E$2:$E$17),"")</f>
        <v/>
      </c>
    </row>
    <row r="376">
      <c r="A376" s="658" t="inlineStr">
        <is>
          <t>Extenl</t>
        </is>
      </c>
      <c r="B376" s="664" t="n">
        <v>203043</v>
      </c>
      <c r="C376" s="665" t="n"/>
      <c r="D376" s="665" t="n"/>
      <c r="E376" s="665" t="n"/>
      <c r="F376" s="665" t="n">
        <v>23</v>
      </c>
      <c r="G376" s="665" t="n"/>
      <c r="H376" s="665" t="n"/>
      <c r="I376" s="665" t="n"/>
      <c r="J376" s="666" t="inlineStr">
        <is>
          <t>HA 1.3-1.5 FRY WOG AC TI GF 16 RET</t>
        </is>
      </c>
      <c r="K376" s="667" t="n"/>
      <c r="L376" s="667" t="n"/>
      <c r="M376" s="668" t="n"/>
      <c r="N376" s="665" t="n"/>
      <c r="O376" s="665" t="n"/>
      <c r="P376" s="154" t="n"/>
      <c r="R376" s="303" t="n"/>
      <c r="S376" s="303" t="n"/>
      <c r="T376" s="600">
        <f>_xludf.IFNA(_xlfn.XLOOKUP(Table3[[#This Row],[SKU]],'00_Yield_Rates'!$B$2:$B$17,'00_Yield_Rates'!$E$2:$E$17),"")</f>
        <v/>
      </c>
    </row>
    <row r="377">
      <c r="A377" s="658" t="inlineStr">
        <is>
          <t>Extenl</t>
        </is>
      </c>
      <c r="B377" s="659" t="n">
        <v>203044</v>
      </c>
      <c r="C377" s="660" t="n"/>
      <c r="D377" s="660" t="n"/>
      <c r="E377" s="660" t="n"/>
      <c r="F377" s="660" t="n"/>
      <c r="G377" s="660" t="n"/>
      <c r="H377" s="660" t="n"/>
      <c r="I377" s="660" t="n"/>
      <c r="J377" s="661" t="n"/>
      <c r="K377" s="662" t="n"/>
      <c r="L377" s="662" t="n"/>
      <c r="M377" s="663" t="n"/>
      <c r="N377" s="660" t="n"/>
      <c r="O377" s="660" t="n"/>
      <c r="P377" s="154" t="n"/>
      <c r="R377" s="303" t="n"/>
      <c r="S377" s="303" t="n"/>
      <c r="T377" s="600">
        <f>_xludf.IFNA(_xlfn.XLOOKUP(Table3[[#This Row],[SKU]],'00_Yield_Rates'!$B$2:$B$17,'00_Yield_Rates'!$E$2:$E$17),"")</f>
        <v/>
      </c>
    </row>
    <row r="378">
      <c r="A378" s="658" t="inlineStr">
        <is>
          <t>Extenl</t>
        </is>
      </c>
      <c r="B378" s="664" t="n">
        <v>203891</v>
      </c>
      <c r="C378" s="665" t="n"/>
      <c r="D378" s="665" t="n"/>
      <c r="E378" s="665" t="n"/>
      <c r="F378" s="665" t="n">
        <v>31</v>
      </c>
      <c r="G378" s="665" t="n"/>
      <c r="H378" s="665" t="n"/>
      <c r="I378" s="665" t="n"/>
      <c r="J378" s="666" t="inlineStr">
        <is>
          <t>HA 1.38 - 1.58 FRY WOG TI RET</t>
        </is>
      </c>
      <c r="K378" s="667" t="n"/>
      <c r="L378" s="667" t="n"/>
      <c r="M378" s="668" t="n"/>
      <c r="N378" s="665" t="n"/>
      <c r="O378" s="665" t="n"/>
      <c r="P378" s="154" t="n"/>
      <c r="R378" s="303" t="n"/>
      <c r="S378" s="303" t="n"/>
      <c r="T378" s="600">
        <f>_xludf.IFNA(_xlfn.XLOOKUP(Table3[[#This Row],[SKU]],'00_Yield_Rates'!$B$2:$B$17,'00_Yield_Rates'!$E$2:$E$17),"")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115"/>
  <sheetViews>
    <sheetView workbookViewId="0">
      <selection activeCell="G58" sqref="G58"/>
    </sheetView>
  </sheetViews>
  <sheetFormatPr baseColWidth="8" defaultRowHeight="14.5"/>
  <cols>
    <col width="2.54296875" customWidth="1" min="1" max="1"/>
    <col width="18.08984375" customWidth="1" min="2" max="2"/>
    <col width="9.08984375" customWidth="1" min="3" max="3"/>
    <col width="7.08984375" customWidth="1" min="4" max="4"/>
    <col width="8.26953125" customWidth="1" min="6" max="6"/>
    <col width="8.54296875" customWidth="1" min="7" max="7"/>
    <col width="10.54296875" customWidth="1" min="8" max="8"/>
    <col width="6.81640625" customWidth="1" min="9" max="9"/>
    <col width="12.54296875" customWidth="1" min="10" max="10"/>
    <col width="7.08984375" customWidth="1" min="11" max="11"/>
    <col width="7.26953125" customWidth="1" min="12" max="12"/>
    <col width="8.08984375" customWidth="1" min="13" max="13"/>
    <col width="18.26953125" customWidth="1" min="15" max="15"/>
    <col width="9.26953125" customWidth="1" min="16" max="16"/>
    <col width="10.36328125" customWidth="1" min="17" max="17"/>
  </cols>
  <sheetData>
    <row r="2" ht="18.5" customHeight="1">
      <c r="B2" s="1" t="inlineStr">
        <is>
          <t>Cut up Plan</t>
        </is>
      </c>
      <c r="C2" s="1" t="n"/>
      <c r="D2" s="1" t="n"/>
      <c r="E2" s="1" t="n"/>
      <c r="F2" s="1" t="n"/>
      <c r="G2" s="2" t="n">
        <v>0.2708333333333333</v>
      </c>
      <c r="H2" s="3" t="n"/>
      <c r="I2" s="4" t="n"/>
      <c r="J2" s="5" t="n"/>
      <c r="K2" s="6" t="n"/>
    </row>
    <row r="3">
      <c r="B3" s="7" t="inlineStr">
        <is>
          <t>Total Cages</t>
        </is>
      </c>
      <c r="C3" s="8">
        <f>'03_BulkPack_Order'!C2</f>
        <v/>
      </c>
      <c r="D3" s="9" t="n"/>
      <c r="E3" s="10" t="inlineStr">
        <is>
          <t>RWA</t>
        </is>
      </c>
      <c r="F3" s="11" t="n"/>
      <c r="G3" s="12">
        <f>(F3/C8*1/24)</f>
        <v/>
      </c>
      <c r="H3" s="13" t="n"/>
      <c r="J3" s="14" t="n"/>
      <c r="K3" s="15" t="n"/>
      <c r="L3" s="15" t="n"/>
      <c r="O3" t="inlineStr">
        <is>
          <t>Flock # 1</t>
        </is>
      </c>
      <c r="P3" t="inlineStr">
        <is>
          <t>Big Bird</t>
        </is>
      </c>
      <c r="Q3" t="n">
        <v>200141</v>
      </c>
    </row>
    <row r="4">
      <c r="B4" s="7" t="inlineStr">
        <is>
          <t>Total Cages Request</t>
        </is>
      </c>
      <c r="C4" s="16">
        <f>'03_BulkPack_Order'!C2-F7</f>
        <v/>
      </c>
      <c r="D4" s="9" t="n"/>
      <c r="E4" s="10" t="inlineStr">
        <is>
          <t>MLF</t>
        </is>
      </c>
      <c r="F4" s="11">
        <f>SUM(K7:K11)</f>
        <v/>
      </c>
      <c r="G4" s="12">
        <f>G3+(F4/C7*1/24)</f>
        <v/>
      </c>
      <c r="H4" s="13">
        <f>F4/C7*1/24</f>
        <v/>
      </c>
      <c r="J4" s="14" t="n"/>
      <c r="K4" s="15" t="n"/>
      <c r="L4" s="15" t="n"/>
      <c r="O4" t="inlineStr">
        <is>
          <t>Flock # 2</t>
        </is>
      </c>
      <c r="P4" t="inlineStr">
        <is>
          <t>Small Bird</t>
        </is>
      </c>
      <c r="Q4" t="n">
        <v>200140</v>
      </c>
    </row>
    <row r="5">
      <c r="B5" s="17" t="inlineStr">
        <is>
          <t>Avg Cage weight</t>
        </is>
      </c>
      <c r="C5" s="18" t="n">
        <v>680</v>
      </c>
      <c r="D5" s="19" t="n"/>
      <c r="E5" s="10" t="inlineStr">
        <is>
          <t>St. Fran</t>
        </is>
      </c>
      <c r="F5" s="20">
        <f>K12</f>
        <v/>
      </c>
      <c r="G5" s="12">
        <f>G4+(F5/C7*1/24)</f>
        <v/>
      </c>
      <c r="H5" s="13">
        <f>F5/C7*1/24</f>
        <v/>
      </c>
      <c r="J5" s="14" t="n"/>
      <c r="K5" s="15" t="n"/>
      <c r="L5" s="15" t="n"/>
      <c r="O5" t="inlineStr">
        <is>
          <t>Flock # 3</t>
        </is>
      </c>
      <c r="P5" t="inlineStr">
        <is>
          <t>Small Bird</t>
        </is>
      </c>
      <c r="Q5" t="n">
        <v>200015</v>
      </c>
    </row>
    <row r="6">
      <c r="B6" s="17" t="inlineStr">
        <is>
          <t>Avg Bird weight</t>
        </is>
      </c>
      <c r="C6" s="18" t="n">
        <v>1.6</v>
      </c>
      <c r="D6" s="21" t="n"/>
      <c r="E6" s="10" t="inlineStr">
        <is>
          <t>EVP</t>
        </is>
      </c>
      <c r="F6" s="20">
        <f>K13</f>
        <v/>
      </c>
      <c r="G6" s="12" t="n"/>
      <c r="H6" s="13" t="n"/>
      <c r="J6" s="14" t="n"/>
      <c r="K6" s="15" t="n"/>
      <c r="L6" s="15" t="n"/>
      <c r="O6" t="inlineStr">
        <is>
          <t>Flock # 4</t>
        </is>
      </c>
      <c r="Q6" t="inlineStr">
        <is>
          <t>St Francois</t>
        </is>
      </c>
    </row>
    <row r="7">
      <c r="B7" s="7" t="inlineStr">
        <is>
          <t>Cages/Hour</t>
        </is>
      </c>
      <c r="C7" s="16">
        <f>60/(C5/C6/C9)</f>
        <v/>
      </c>
      <c r="D7" s="10" t="n"/>
      <c r="E7" s="10" t="inlineStr">
        <is>
          <t>Total:</t>
        </is>
      </c>
      <c r="F7" s="20">
        <f>SUM(F3:F6)</f>
        <v/>
      </c>
      <c r="G7" s="12" t="n"/>
      <c r="H7" s="13" t="n"/>
      <c r="J7" s="22" t="inlineStr">
        <is>
          <t>200190/191</t>
        </is>
      </c>
      <c r="K7" s="23" t="n">
        <v>4</v>
      </c>
      <c r="L7" s="24">
        <f>K7/$C$7</f>
        <v/>
      </c>
      <c r="O7" t="inlineStr">
        <is>
          <t>Flock # 5</t>
        </is>
      </c>
      <c r="Q7" t="inlineStr">
        <is>
          <t>Eden Valley</t>
        </is>
      </c>
    </row>
    <row r="8">
      <c r="B8" s="7" t="inlineStr">
        <is>
          <t>Brids/cage</t>
        </is>
      </c>
      <c r="C8" s="8" t="n">
        <v>410</v>
      </c>
      <c r="D8" s="10" t="n"/>
      <c r="E8" s="10" t="n"/>
      <c r="F8" s="25" t="n"/>
      <c r="G8" s="12" t="n"/>
      <c r="H8" s="25" t="n"/>
      <c r="J8" s="22" t="n">
        <v>200140</v>
      </c>
      <c r="K8" s="23" t="n">
        <v>33</v>
      </c>
      <c r="L8" s="24">
        <f>K8/$C$7</f>
        <v/>
      </c>
      <c r="M8" t="inlineStr">
        <is>
          <t>1.3-1.6</t>
        </is>
      </c>
      <c r="O8" t="inlineStr">
        <is>
          <t>Flock # 6</t>
        </is>
      </c>
      <c r="P8" t="inlineStr">
        <is>
          <t>Mix Bird</t>
        </is>
      </c>
      <c r="Q8" t="n">
        <v>200023</v>
      </c>
    </row>
    <row r="9">
      <c r="B9" s="7" t="inlineStr">
        <is>
          <t>Machine Speed (BPM)</t>
        </is>
      </c>
      <c r="C9" s="8" t="n">
        <v>115</v>
      </c>
      <c r="D9" s="10" t="n"/>
      <c r="E9" s="10" t="n"/>
      <c r="F9" s="25" t="n"/>
      <c r="G9" s="10" t="n"/>
      <c r="H9" s="25" t="n"/>
      <c r="J9" s="22" t="n">
        <v>200141</v>
      </c>
      <c r="K9" s="23" t="n">
        <v>38</v>
      </c>
      <c r="L9" s="24">
        <f>K9/$C$7</f>
        <v/>
      </c>
      <c r="M9" t="inlineStr">
        <is>
          <t>1.6-2.3</t>
        </is>
      </c>
      <c r="O9" t="inlineStr">
        <is>
          <t>Flock # 7</t>
        </is>
      </c>
      <c r="P9" t="inlineStr">
        <is>
          <t>Big Bird</t>
        </is>
      </c>
      <c r="Q9" t="n">
        <v>200017</v>
      </c>
    </row>
    <row r="10">
      <c r="B10" s="26" t="inlineStr">
        <is>
          <t>RWA</t>
        </is>
      </c>
      <c r="C10" s="10" t="inlineStr">
        <is>
          <t>Bnls</t>
        </is>
      </c>
      <c r="D10" s="10" t="inlineStr">
        <is>
          <t>Split wing</t>
        </is>
      </c>
      <c r="E10" s="10" t="inlineStr">
        <is>
          <t>Thigh</t>
        </is>
      </c>
      <c r="F10" s="10" t="inlineStr">
        <is>
          <t>Drum</t>
        </is>
      </c>
      <c r="G10" s="10" t="n"/>
      <c r="H10" s="25" t="n"/>
      <c r="J10" s="22" t="n">
        <v>200150</v>
      </c>
      <c r="K10" s="23" t="n">
        <v>1</v>
      </c>
      <c r="L10" s="24">
        <f>K10/$C$7</f>
        <v/>
      </c>
      <c r="M10" t="inlineStr">
        <is>
          <t>1.6-2.3</t>
        </is>
      </c>
      <c r="O10" t="inlineStr">
        <is>
          <t>Flock # 19</t>
        </is>
      </c>
      <c r="P10" t="inlineStr">
        <is>
          <t>Mix Bird</t>
        </is>
      </c>
      <c r="Q10" t="n">
        <v>200190</v>
      </c>
    </row>
    <row r="11">
      <c r="B11" s="27">
        <f>MAX(C11:F11)</f>
        <v/>
      </c>
      <c r="C11" s="28">
        <f>B27</f>
        <v/>
      </c>
      <c r="D11" s="28">
        <f>B33</f>
        <v/>
      </c>
      <c r="E11" s="28">
        <f>B34</f>
        <v/>
      </c>
      <c r="F11" s="28">
        <f>B36</f>
        <v/>
      </c>
      <c r="G11" s="10" t="n"/>
      <c r="H11" s="25" t="n"/>
      <c r="J11" s="22" t="n">
        <v>200151</v>
      </c>
      <c r="K11" s="23" t="n"/>
      <c r="L11" s="24">
        <f>K11/$C$7</f>
        <v/>
      </c>
      <c r="M11" t="inlineStr">
        <is>
          <t>1.3-1.6</t>
        </is>
      </c>
    </row>
    <row r="12">
      <c r="B12" s="29" t="inlineStr">
        <is>
          <t>EXTRA Case/25KG</t>
        </is>
      </c>
      <c r="C12" s="30">
        <f>(F3-C11)*C5*D26/25</f>
        <v/>
      </c>
      <c r="D12" s="30">
        <f>(F3-D11)*C5*D33/25</f>
        <v/>
      </c>
      <c r="E12" s="30">
        <f>(F3-E11)*C5*D34/25</f>
        <v/>
      </c>
      <c r="F12" s="30">
        <f>(F3-F11)*C5*D36/25</f>
        <v/>
      </c>
      <c r="G12" s="10" t="n"/>
      <c r="H12" s="25" t="n"/>
      <c r="I12" s="31" t="n"/>
      <c r="J12" s="32" t="inlineStr">
        <is>
          <t>Saint Francois</t>
        </is>
      </c>
      <c r="K12" s="14" t="n">
        <v>30</v>
      </c>
      <c r="L12" s="24">
        <f>K12/$C$7</f>
        <v/>
      </c>
      <c r="M12" s="33" t="n">
        <v>1.8</v>
      </c>
    </row>
    <row r="13">
      <c r="B13" s="34" t="n"/>
      <c r="C13" s="35" t="n"/>
      <c r="D13" s="35" t="n"/>
      <c r="E13" s="35" t="n"/>
      <c r="F13" s="36" t="inlineStr">
        <is>
          <t>Need</t>
        </is>
      </c>
      <c r="G13" s="37" t="n"/>
      <c r="H13" s="38" t="inlineStr">
        <is>
          <t>Cases left over</t>
        </is>
      </c>
      <c r="I13" s="39" t="n"/>
      <c r="J13" s="22" t="inlineStr">
        <is>
          <t>Eden Valley</t>
        </is>
      </c>
      <c r="K13" s="40" t="n"/>
      <c r="L13" s="24">
        <f>K13/$C$7</f>
        <v/>
      </c>
    </row>
    <row r="14">
      <c r="B14" s="41" t="inlineStr">
        <is>
          <t>Breast</t>
        </is>
      </c>
      <c r="C14" s="11">
        <f>B43</f>
        <v/>
      </c>
      <c r="D14" s="11" t="n"/>
      <c r="E14" s="42">
        <f>IF(C11&gt;F3,F3,C11)</f>
        <v/>
      </c>
      <c r="F14" s="11">
        <f>C14+E14</f>
        <v/>
      </c>
      <c r="G14" s="11" t="inlineStr">
        <is>
          <t>Bnls</t>
        </is>
      </c>
      <c r="H14" s="11">
        <f>(C3-F14)*C5*'08_Chart_Data'!M9/25</f>
        <v/>
      </c>
      <c r="I14" s="39" t="n"/>
      <c r="J14" s="43" t="n"/>
      <c r="K14" s="44" t="n"/>
    </row>
    <row r="15">
      <c r="B15" s="34" t="n"/>
      <c r="C15" s="35" t="n"/>
      <c r="D15" s="38" t="n"/>
      <c r="E15" s="38" t="n"/>
      <c r="F15" s="45" t="n"/>
      <c r="G15" s="38" t="n"/>
      <c r="H15" s="35" t="n"/>
      <c r="I15" s="39" t="n"/>
      <c r="J15" s="46" t="n"/>
      <c r="K15" s="33" t="n"/>
    </row>
    <row r="16">
      <c r="B16" s="47" t="inlineStr">
        <is>
          <t>WINGS</t>
        </is>
      </c>
      <c r="C16" s="11">
        <f>B62</f>
        <v/>
      </c>
      <c r="D16" s="11" t="n"/>
      <c r="E16" s="42">
        <f>IF(D11&gt;F3,F3,D11)</f>
        <v/>
      </c>
      <c r="F16" s="20">
        <f>C16+E16</f>
        <v/>
      </c>
      <c r="G16" s="10" t="inlineStr">
        <is>
          <t>Wings</t>
        </is>
      </c>
      <c r="H16" s="11">
        <f>(C3-F16)*C5*'08_Chart_Data'!M3/25</f>
        <v/>
      </c>
      <c r="I16" s="39" t="n"/>
      <c r="J16" s="48" t="n"/>
      <c r="K16" s="49" t="n"/>
      <c r="N16" s="50" t="n"/>
    </row>
    <row r="17">
      <c r="B17" s="34" t="n"/>
      <c r="C17" s="35" t="n"/>
      <c r="D17" s="38" t="n"/>
      <c r="E17" s="35" t="n"/>
      <c r="F17" s="45" t="n"/>
      <c r="G17" s="38" t="n"/>
      <c r="H17" s="35" t="n"/>
      <c r="I17" s="39" t="n"/>
      <c r="J17" s="51" t="n"/>
      <c r="K17" s="49" t="n"/>
      <c r="N17" s="49" t="n"/>
      <c r="O17" s="52" t="n"/>
      <c r="P17" s="52" t="n"/>
      <c r="Q17" s="52" t="n"/>
    </row>
    <row r="18">
      <c r="B18" s="47" t="inlineStr">
        <is>
          <t>THIGH</t>
        </is>
      </c>
      <c r="C18" s="11">
        <f>B76</f>
        <v/>
      </c>
      <c r="D18" s="11" t="n"/>
      <c r="E18" s="42">
        <f>IF(E11&gt;F3,F3,E11)</f>
        <v/>
      </c>
      <c r="F18" s="11">
        <f>C18+E18</f>
        <v/>
      </c>
      <c r="G18" s="10" t="inlineStr">
        <is>
          <t>Thigh</t>
        </is>
      </c>
      <c r="H18" s="11">
        <f>(C3-F22-F18)*C5*'08_Chart_Data'!I23/25</f>
        <v/>
      </c>
      <c r="I18" s="39" t="n"/>
      <c r="J18" s="51" t="n"/>
      <c r="K18" s="53" t="n"/>
      <c r="N18" s="49" t="n"/>
      <c r="O18" s="54" t="n"/>
      <c r="P18" s="54" t="n"/>
      <c r="Q18" s="54" t="n"/>
    </row>
    <row r="19">
      <c r="B19" s="34" t="n"/>
      <c r="C19" s="35" t="n"/>
      <c r="D19" s="35" t="n"/>
      <c r="E19" s="35" t="n"/>
      <c r="F19" s="45" t="n"/>
      <c r="G19" s="38" t="n"/>
      <c r="H19" s="35" t="n"/>
      <c r="I19" s="39" t="n"/>
      <c r="J19" s="51" t="n"/>
      <c r="K19" s="53" t="n"/>
      <c r="N19" s="53" t="n"/>
      <c r="O19" s="54" t="n"/>
      <c r="P19" s="54" t="n"/>
      <c r="Q19" s="52" t="n"/>
    </row>
    <row r="20">
      <c r="B20" s="47" t="inlineStr">
        <is>
          <t>DRUM</t>
        </is>
      </c>
      <c r="C20" s="11">
        <f>B95</f>
        <v/>
      </c>
      <c r="D20" s="11" t="n"/>
      <c r="E20" s="42">
        <f>IF(F11&gt;F3,F3,F11)</f>
        <v/>
      </c>
      <c r="F20" s="20">
        <f>C20+E20</f>
        <v/>
      </c>
      <c r="G20" s="10" t="inlineStr">
        <is>
          <t>Drums</t>
        </is>
      </c>
      <c r="H20" s="11">
        <f>(C3-F20-F22)*C5*'08_Chart_Data'!I18/25</f>
        <v/>
      </c>
      <c r="I20" s="33" t="n"/>
      <c r="J20" s="51" t="n"/>
      <c r="K20" s="53" t="n"/>
      <c r="N20" s="53" t="n"/>
      <c r="O20" s="54" t="n"/>
      <c r="P20" s="54" t="n"/>
      <c r="Q20" s="52" t="n"/>
    </row>
    <row r="21">
      <c r="B21" s="37" t="n"/>
      <c r="C21" s="35" t="n"/>
      <c r="D21" s="38" t="n"/>
      <c r="E21" s="35" t="n"/>
      <c r="F21" s="37" t="n"/>
      <c r="G21" s="37" t="n"/>
      <c r="H21" s="38" t="n"/>
      <c r="I21" s="33" t="n"/>
      <c r="J21" s="55" t="n"/>
      <c r="N21" s="53" t="n"/>
      <c r="O21" s="54" t="n"/>
      <c r="P21" s="54" t="n"/>
      <c r="Q21" s="52" t="n"/>
      <c r="T21" s="54" t="n"/>
    </row>
    <row r="22">
      <c r="B22" s="47" t="inlineStr">
        <is>
          <t>B.A LEG</t>
        </is>
      </c>
      <c r="C22" s="11">
        <f>B108</f>
        <v/>
      </c>
      <c r="D22" s="10" t="n"/>
      <c r="E22" s="11" t="n"/>
      <c r="F22" s="11">
        <f>C22</f>
        <v/>
      </c>
      <c r="G22" s="56" t="n"/>
      <c r="H22" s="10" t="n"/>
      <c r="J22" s="55" t="n"/>
      <c r="N22" s="4" t="n"/>
      <c r="O22" s="54" t="n"/>
      <c r="P22" s="54" t="n"/>
      <c r="Q22" s="52" t="n"/>
    </row>
    <row r="23">
      <c r="B23" s="50" t="n"/>
      <c r="C23" s="44" t="n"/>
      <c r="E23" s="44" t="n"/>
      <c r="F23" s="57" t="n"/>
      <c r="J23" s="58" t="n"/>
      <c r="O23" s="54" t="n"/>
      <c r="P23" s="54" t="n"/>
      <c r="Q23" s="52" t="n"/>
    </row>
    <row r="24">
      <c r="B24" s="50" t="n"/>
      <c r="D24" s="44" t="n"/>
      <c r="E24" s="44" t="n"/>
      <c r="F24" s="44" t="n"/>
      <c r="O24" s="54" t="n"/>
      <c r="P24" s="54" t="n"/>
      <c r="Q24" s="52" t="n"/>
    </row>
    <row r="25">
      <c r="B25" s="59" t="n"/>
      <c r="C25" s="59" t="inlineStr">
        <is>
          <t>Code</t>
        </is>
      </c>
      <c r="D25" s="60" t="inlineStr">
        <is>
          <t>%</t>
        </is>
      </c>
      <c r="E25" s="60" t="inlineStr">
        <is>
          <t>Cases</t>
        </is>
      </c>
      <c r="F25" s="60" t="inlineStr">
        <is>
          <t>Weight</t>
        </is>
      </c>
      <c r="G25" s="59" t="inlineStr">
        <is>
          <t>Cages</t>
        </is>
      </c>
      <c r="H25" s="60" t="inlineStr">
        <is>
          <t>Bird</t>
        </is>
      </c>
      <c r="I25" s="60" t="inlineStr">
        <is>
          <t>Time</t>
        </is>
      </c>
      <c r="O25" s="54" t="n"/>
      <c r="P25" s="54" t="n"/>
      <c r="Q25" s="52" t="n"/>
    </row>
    <row r="26">
      <c r="B26" s="61" t="inlineStr">
        <is>
          <t>RWA</t>
        </is>
      </c>
      <c r="C26" s="61" t="n">
        <v>61051</v>
      </c>
      <c r="D26" s="62">
        <f>_xludf.IFNA(_xlfn.XLOOKUP(C26,'08_Chart_Data'!$Q$3:$Q$104,'08_Chart_Data'!$R$3:$R$104,0),"")</f>
        <v/>
      </c>
      <c r="E26" s="63">
        <f>_xludf.IFNA(_xlfn.XLOOKUP(C26,'10_Cone_Line'!$A$3:$A$136,'10_Cone_Line'!$E$3:$E$136,0),"")</f>
        <v/>
      </c>
      <c r="F26" s="63">
        <f>_xludf.IFNA(E26*_xlfn.XLOOKUP(C26,'08_Chart_Data'!$Q$3:$Q$104,'08_Chart_Data'!$S$3:$S$104,0)/D26,"")</f>
        <v/>
      </c>
      <c r="G26" s="64">
        <f>IFERROR(F26/$C$5,"0")</f>
        <v/>
      </c>
      <c r="H26" s="65">
        <f>IFERROR(F26/$C$6,"-")</f>
        <v/>
      </c>
      <c r="I26" s="66">
        <f>IFERROR(IF(H26&lt;0,"",(H26/$C$9)/1440),"")</f>
        <v/>
      </c>
      <c r="J26" s="67" t="n"/>
      <c r="O26" s="54" t="n"/>
      <c r="P26" s="54" t="n"/>
      <c r="Q26" s="52" t="n"/>
    </row>
    <row r="27">
      <c r="B27" s="68">
        <f>SUMIF(G26:G32,"&gt;0")</f>
        <v/>
      </c>
      <c r="C27" s="61" t="n">
        <v>61049</v>
      </c>
      <c r="D27" s="62">
        <f>_xludf.IFNA(_xlfn.XLOOKUP(C27,'08_Chart_Data'!$Q$3:$Q$104,'08_Chart_Data'!$R$3:$R$104,0),"")</f>
        <v/>
      </c>
      <c r="E27" s="63">
        <f>_xludf.IFNA(_xlfn.XLOOKUP(C27,'10_Cone_Line'!$A$3:$A$136,'10_Cone_Line'!$E$3:$E$136,0),"")</f>
        <v/>
      </c>
      <c r="F27" s="63">
        <f>_xludf.IFNA(E27*_xlfn.XLOOKUP(C27,'08_Chart_Data'!$Q$3:$Q$104,'08_Chart_Data'!$S$3:$S$104,0)/D27,"")</f>
        <v/>
      </c>
      <c r="G27" s="64">
        <f>IFERROR(F27/$C$5,"0")</f>
        <v/>
      </c>
      <c r="H27" s="65">
        <f>IFERROR(F27/$C$6,"-")</f>
        <v/>
      </c>
      <c r="I27" s="66">
        <f>IFERROR(IF(H27&lt;0,"",(H27/$C$9)/1440),"")</f>
        <v/>
      </c>
      <c r="J27" s="67" t="n"/>
      <c r="O27" s="69" t="n"/>
      <c r="P27" s="54" t="n"/>
    </row>
    <row r="28">
      <c r="B28" s="68" t="n"/>
      <c r="C28" s="61" t="n">
        <v>61042</v>
      </c>
      <c r="D28" s="62">
        <f>_xludf.IFNA(_xlfn.XLOOKUP(C28,'08_Chart_Data'!$Q$3:$Q$104,'08_Chart_Data'!$R$3:$R$104,0),"")</f>
        <v/>
      </c>
      <c r="E28" s="63">
        <f>_xludf.IFNA(_xlfn.XLOOKUP(C28,'10_Cone_Line'!$A$3:$A$136,'10_Cone_Line'!$E$3:$E$136,0),"")</f>
        <v/>
      </c>
      <c r="F28" s="63">
        <f>_xludf.IFNA(E28*_xlfn.XLOOKUP(C28,'08_Chart_Data'!$Q$3:$Q$104,'08_Chart_Data'!$S$3:$S$104,0)/D28,"")</f>
        <v/>
      </c>
      <c r="G28" s="64">
        <f>IFERROR(F28/$C$5,"0")</f>
        <v/>
      </c>
      <c r="H28" s="65">
        <f>IFERROR(F28/$C$6,"-")</f>
        <v/>
      </c>
      <c r="I28" s="66">
        <f>IFERROR(IF(H28&lt;0,"",(H28/$C$9)/1440),"")</f>
        <v/>
      </c>
      <c r="J28" s="67" t="n"/>
      <c r="O28" s="54" t="n"/>
      <c r="P28" s="54" t="n"/>
      <c r="Q28" s="54" t="n"/>
    </row>
    <row r="29">
      <c r="B29" s="70" t="n"/>
      <c r="C29" s="61" t="n">
        <v>1081</v>
      </c>
      <c r="D29" s="62">
        <f>_xludf.IFNA(_xlfn.XLOOKUP(C29,'08_Chart_Data'!$Q$3:$Q$104,'08_Chart_Data'!$R$3:$R$104,0),"")</f>
        <v/>
      </c>
      <c r="E29" s="63">
        <f>_xludf.IFNA(_xlfn.XLOOKUP(C29,'10_Cone_Line'!$A$3:$A$136,'10_Cone_Line'!$E$3:$E$136,0),"")</f>
        <v/>
      </c>
      <c r="F29" s="63">
        <f>_xludf.IFNA(E29*_xlfn.XLOOKUP(C29,'08_Chart_Data'!$Q$3:$Q$104,'08_Chart_Data'!$S$3:$S$104,0)/D29,"")</f>
        <v/>
      </c>
      <c r="G29" s="64">
        <f>IFERROR(F29/$C$5,"0")</f>
        <v/>
      </c>
      <c r="H29" s="65">
        <f>IFERROR(F29/$C$6,"-")</f>
        <v/>
      </c>
      <c r="I29" s="66">
        <f>IFERROR(IF(H29&lt;0,"",(H29/$C$9)/1440),"")</f>
        <v/>
      </c>
      <c r="J29" s="67" t="n"/>
      <c r="O29" s="54" t="n"/>
      <c r="P29" s="54" t="n"/>
      <c r="Q29" s="54" t="n"/>
    </row>
    <row r="30">
      <c r="B30" s="70" t="n"/>
      <c r="C30" s="61" t="n">
        <v>61070</v>
      </c>
      <c r="D30" s="62">
        <f>_xludf.IFNA(_xlfn.XLOOKUP(C30,'08_Chart_Data'!$Q$3:$Q$104,'08_Chart_Data'!$R$3:$R$104,0),"")</f>
        <v/>
      </c>
      <c r="E30" s="63">
        <f>_xludf.IFNA(_xlfn.XLOOKUP(C30,'10_Cone_Line'!$A$3:$A$136,'10_Cone_Line'!$E$3:$E$136,0),"")</f>
        <v/>
      </c>
      <c r="F30" s="63">
        <f>_xludf.IFNA(E30*_xlfn.XLOOKUP(C30,'08_Chart_Data'!$Q$3:$Q$104,'08_Chart_Data'!$S$3:$S$104,0)/D30,"")</f>
        <v/>
      </c>
      <c r="G30" s="64">
        <f>IFERROR(F30/$C$5,"0")</f>
        <v/>
      </c>
      <c r="H30" s="65">
        <f>IFERROR(F30/$C$6,"-")</f>
        <v/>
      </c>
      <c r="I30" s="66">
        <f>IFERROR(IF(H30&lt;0,"",(H30/$C$9)/1440),"")</f>
        <v/>
      </c>
      <c r="J30" s="67" t="n"/>
      <c r="O30" s="54" t="n"/>
      <c r="P30" s="54" t="n"/>
      <c r="Q30" s="54" t="n"/>
    </row>
    <row r="31">
      <c r="B31" s="70" t="n"/>
      <c r="C31" s="61" t="n"/>
      <c r="D31" s="62">
        <f>_xludf.IFNA(_xlfn.XLOOKUP(C31,'08_Chart_Data'!$Q$3:$Q$104,'08_Chart_Data'!$R$3:$R$104,0),"")</f>
        <v/>
      </c>
      <c r="E31" s="63">
        <f>_xludf.IFNA(_xlfn.XLOOKUP(C31,'10_Cone_Line'!$A$3:$A$136,'10_Cone_Line'!$E$3:$E$136,0),"")</f>
        <v/>
      </c>
      <c r="F31" s="63">
        <f>_xludf.IFNA(E31*_xlfn.XLOOKUP(C31,'08_Chart_Data'!$Q$3:$Q$104,'08_Chart_Data'!$S$3:$S$104,0)/D31,"")</f>
        <v/>
      </c>
      <c r="G31" s="64">
        <f>IFERROR(F31/$C$5,"0")</f>
        <v/>
      </c>
      <c r="H31" s="65">
        <f>IFERROR(F31/$C$6,"-")</f>
        <v/>
      </c>
      <c r="I31" s="66">
        <f>IFERROR(IF(H31&lt;0,"",(H31/$C$9)/1440),"")</f>
        <v/>
      </c>
      <c r="J31" s="67" t="n"/>
      <c r="O31" s="54" t="n"/>
      <c r="P31" s="54" t="n"/>
      <c r="Q31" s="54" t="n"/>
    </row>
    <row r="32">
      <c r="B32" s="70" t="n"/>
      <c r="C32" s="61" t="n">
        <v>61069</v>
      </c>
      <c r="D32" s="62">
        <f>_xludf.IFNA(_xlfn.XLOOKUP(C32,'08_Chart_Data'!$Q$3:$Q$104,'08_Chart_Data'!$R$3:$R$104,0),"")</f>
        <v/>
      </c>
      <c r="E32" s="63">
        <f>_xludf.IFNA(_xlfn.XLOOKUP(C32,'10_Cone_Line'!$A$3:$A$136,'10_Cone_Line'!$E$3:$E$136,0),"")</f>
        <v/>
      </c>
      <c r="F32" s="63">
        <f>_xludf.IFNA(E32*_xlfn.XLOOKUP(C32,'08_Chart_Data'!$Q$3:$Q$104,'08_Chart_Data'!$S$3:$S$104,0)/D32,"")</f>
        <v/>
      </c>
      <c r="G32" s="64">
        <f>IFERROR(F32/$C$5,"0")</f>
        <v/>
      </c>
      <c r="H32" s="65">
        <f>IFERROR(F32/$C$6,"-")</f>
        <v/>
      </c>
      <c r="I32" s="66">
        <f>IFERROR(IF(H32&lt;0,"",(H32/$C$9)/1440),"")</f>
        <v/>
      </c>
      <c r="J32" s="67" t="n"/>
      <c r="O32" s="54" t="n"/>
      <c r="P32" s="54" t="n"/>
      <c r="Q32" s="54" t="n"/>
    </row>
    <row r="33">
      <c r="B33" s="70">
        <f>SUMIF(G33,"&gt;0")</f>
        <v/>
      </c>
      <c r="C33" s="61" t="n">
        <v>61016</v>
      </c>
      <c r="D33" s="62">
        <f>_xludf.IFNA(_xlfn.XLOOKUP(C33,'08_Chart_Data'!$Q$3:$Q$104,'08_Chart_Data'!$R$3:$R$104,0),"")</f>
        <v/>
      </c>
      <c r="E33" s="63">
        <f>_xludf.IFNA(_xlfn.XLOOKUP(C33,'10_Cone_Line'!$A$3:$A$136,'10_Cone_Line'!$E$3:$E$136,0),"")</f>
        <v/>
      </c>
      <c r="F33" s="63">
        <f>_xludf.IFNA(E33*_xlfn.XLOOKUP(C33,'08_Chart_Data'!$Q$3:$Q$104,'08_Chart_Data'!$S$3:$S$104,0)/D33,"")</f>
        <v/>
      </c>
      <c r="G33" s="64">
        <f>IFERROR(F33/$C$5,"0")</f>
        <v/>
      </c>
      <c r="H33" s="65">
        <f>IFERROR(F33/$C$6,"-")</f>
        <v/>
      </c>
      <c r="I33" s="66">
        <f>IFERROR(IF(H33&lt;0,"",(H33/$C$9)/1440),"")</f>
        <v/>
      </c>
      <c r="J33" s="67" t="n"/>
      <c r="O33" s="54" t="n"/>
      <c r="P33" s="54" t="n"/>
      <c r="Q33" s="54" t="n"/>
    </row>
    <row r="34">
      <c r="B34" s="70">
        <f>SUMIF(G34:G35,"&gt;0")</f>
        <v/>
      </c>
      <c r="C34" s="61" t="n">
        <v>61079</v>
      </c>
      <c r="D34" s="62">
        <f>_xludf.IFNA(_xlfn.XLOOKUP(C34,'08_Chart_Data'!$Q$3:$Q$104,'08_Chart_Data'!$R$3:$R$104,0),"")</f>
        <v/>
      </c>
      <c r="E34" s="63">
        <f>_xludf.IFNA(_xlfn.XLOOKUP(C34,'10_Cone_Line'!$A$3:$A$136,'10_Cone_Line'!$E$3:$E$136,0),"")</f>
        <v/>
      </c>
      <c r="F34" s="63">
        <f>_xludf.IFNA(E34*_xlfn.XLOOKUP(C34,'08_Chart_Data'!$Q$3:$Q$104,'08_Chart_Data'!$S$3:$S$104,0)/D34,"")</f>
        <v/>
      </c>
      <c r="G34" s="64">
        <f>IFERROR(F34/$C$5,"0")</f>
        <v/>
      </c>
      <c r="H34" s="65">
        <f>IFERROR(F34/$C$6,"-")</f>
        <v/>
      </c>
      <c r="I34" s="66">
        <f>IFERROR(IF(H34&lt;0,"",(H34/$C$9)/1440),"")</f>
        <v/>
      </c>
      <c r="J34" s="67" t="n"/>
      <c r="O34" s="54" t="n"/>
      <c r="P34" s="54" t="n"/>
      <c r="Q34" s="54" t="n"/>
    </row>
    <row r="35">
      <c r="B35" s="70" t="n"/>
      <c r="C35" s="61" t="n">
        <v>61087</v>
      </c>
      <c r="D35" s="62">
        <f>_xludf.IFNA(_xlfn.XLOOKUP(C35,'08_Chart_Data'!$Q$3:$Q$104,'08_Chart_Data'!$R$3:$R$104,0),"")</f>
        <v/>
      </c>
      <c r="E35" s="63">
        <f>_xludf.IFNA(_xlfn.XLOOKUP(C35,'10_Cone_Line'!$A$3:$A$136,'10_Cone_Line'!$E$3:$E$136,0),"")</f>
        <v/>
      </c>
      <c r="F35" s="63">
        <f>_xludf.IFNA(E35*_xlfn.XLOOKUP(C35,'08_Chart_Data'!$Q$3:$Q$104,'08_Chart_Data'!$S$3:$S$104,0)/D35,"")</f>
        <v/>
      </c>
      <c r="G35" s="64">
        <f>IFERROR(F35/$C$5,"0")</f>
        <v/>
      </c>
      <c r="H35" s="65">
        <f>IFERROR(F35/$C$6,"-")</f>
        <v/>
      </c>
      <c r="I35" s="66">
        <f>IFERROR(IF(H35&lt;0,"",(H35/$C$9)/1440),"")</f>
        <v/>
      </c>
      <c r="J35" s="67" t="n"/>
      <c r="O35" s="54" t="n"/>
      <c r="P35" s="54" t="n"/>
      <c r="Q35" s="52" t="n"/>
    </row>
    <row r="36">
      <c r="B36" s="70">
        <f>SUMIF(G36:G37,"&gt;0")</f>
        <v/>
      </c>
      <c r="C36" s="61" t="n">
        <v>61074</v>
      </c>
      <c r="D36" s="62">
        <f>_xludf.IFNA(_xlfn.XLOOKUP(C36,'08_Chart_Data'!$Q$3:$Q$104,'08_Chart_Data'!$R$3:$R$104,0),"")</f>
        <v/>
      </c>
      <c r="E36" s="63">
        <f>_xludf.IFNA(_xlfn.XLOOKUP(C36,'10_Cone_Line'!$A$3:$A$136,'10_Cone_Line'!$E$3:$E$136,0),"")</f>
        <v/>
      </c>
      <c r="F36" s="63">
        <f>_xludf.IFNA(E36*_xlfn.XLOOKUP(C36,'08_Chart_Data'!$Q$3:$Q$104,'08_Chart_Data'!$S$3:$S$104,0)/D36,"")</f>
        <v/>
      </c>
      <c r="G36" s="64">
        <f>IFERROR(F36/$C$5,"0")</f>
        <v/>
      </c>
      <c r="H36" s="65">
        <f>IFERROR(F36/$C$6,"-")</f>
        <v/>
      </c>
      <c r="I36" s="66">
        <f>IFERROR(IF(H36&lt;0,"",(H36/$C$9)/1440),"")</f>
        <v/>
      </c>
      <c r="J36" s="67" t="n"/>
      <c r="O36" s="54" t="n"/>
      <c r="P36" s="54" t="n"/>
      <c r="Q36" s="52" t="n"/>
    </row>
    <row r="37">
      <c r="B37" s="70" t="n"/>
      <c r="C37" s="61" t="n">
        <v>61076</v>
      </c>
      <c r="D37" s="62">
        <f>_xludf.IFNA(_xlfn.XLOOKUP(C37,'08_Chart_Data'!$Q$3:$Q$104,'08_Chart_Data'!$R$3:$R$104,0),"")</f>
        <v/>
      </c>
      <c r="E37" s="63">
        <f>_xludf.IFNA(_xlfn.XLOOKUP(C37,'10_Cone_Line'!$A$3:$A$136,'10_Cone_Line'!$E$3:$E$136,0),"")</f>
        <v/>
      </c>
      <c r="F37" s="63">
        <f>_xludf.IFNA(E37*_xlfn.XLOOKUP(C37,'08_Chart_Data'!$Q$3:$Q$104,'08_Chart_Data'!$S$3:$S$104,0)/D37,"")</f>
        <v/>
      </c>
      <c r="G37" s="64">
        <f>IFERROR(F37/$C$5,"0")</f>
        <v/>
      </c>
      <c r="H37" s="65">
        <f>IFERROR(F37/$C$6,"-")</f>
        <v/>
      </c>
      <c r="I37" s="66">
        <f>IFERROR(IF(H37&lt;0,"",(H37/$C$9)/1440),"")</f>
        <v/>
      </c>
      <c r="O37" s="71" t="n"/>
      <c r="P37" s="71" t="n"/>
      <c r="Q37" s="71" t="n"/>
    </row>
    <row r="38">
      <c r="B38" s="70" t="n"/>
      <c r="C38" s="61" t="n"/>
      <c r="D38" s="62" t="n"/>
      <c r="E38" s="63">
        <f>_xludf.IFNA(_xlfn.XLOOKUP(C38,'10_Cone_Line'!$A$3:$A$136,'10_Cone_Line'!$E$3:$E$136,0),"")</f>
        <v/>
      </c>
      <c r="F38" s="63">
        <f>_xludf.IFNA(E38*_xlfn.XLOOKUP(C38,'08_Chart_Data'!$Q$3:$Q$104,'08_Chart_Data'!$S$3:$S$104,0)/D38,"")</f>
        <v/>
      </c>
      <c r="G38" s="64">
        <f>IFERROR(F38/$C$5,"0")</f>
        <v/>
      </c>
      <c r="H38" s="65">
        <f>IFERROR(F38/$C$6,"-")</f>
        <v/>
      </c>
      <c r="I38" s="66">
        <f>IFERROR(IF(H38&lt;0,"",(H38/$C$9)/1440),"")</f>
        <v/>
      </c>
      <c r="O38" s="52" t="n"/>
      <c r="P38" s="52" t="n"/>
      <c r="Q38" s="52" t="n"/>
    </row>
    <row r="39">
      <c r="B39" s="70" t="n"/>
      <c r="C39" s="61" t="n"/>
      <c r="D39" s="62" t="n"/>
      <c r="E39" s="63">
        <f>_xludf.IFNA(_xlfn.XLOOKUP(C39,'10_Cone_Line'!$A$3:$A$136,'10_Cone_Line'!$E$3:$E$136,0),"")</f>
        <v/>
      </c>
      <c r="F39" s="63">
        <f>_xludf.IFNA(E39*_xlfn.XLOOKUP(C39,'08_Chart_Data'!$Q$3:$Q$104,'08_Chart_Data'!$S$3:$S$104,0)/D39,"")</f>
        <v/>
      </c>
      <c r="G39" s="64">
        <f>IFERROR(F39/$C$5,"0")</f>
        <v/>
      </c>
      <c r="H39" s="65">
        <f>IFERROR(F39/$C$6,"-")</f>
        <v/>
      </c>
      <c r="I39" s="66">
        <f>IFERROR(IF(H39&lt;0,"",(H39/$C$9)/1440),"")</f>
        <v/>
      </c>
    </row>
    <row r="40">
      <c r="B40" s="70" t="n"/>
      <c r="C40" s="61" t="n"/>
      <c r="D40" s="62" t="n"/>
      <c r="E40" s="63">
        <f>_xludf.IFNA(_xlfn.XLOOKUP(C40,'10_Cone_Line'!$A$3:$A$136,'10_Cone_Line'!$E$3:$E$136,0),"")</f>
        <v/>
      </c>
      <c r="F40" s="63">
        <f>_xludf.IFNA(E40*_xlfn.XLOOKUP(C40,'08_Chart_Data'!$Q$3:$Q$104,'08_Chart_Data'!$S$3:$S$104,0)/D40,"")</f>
        <v/>
      </c>
      <c r="G40" s="64">
        <f>IFERROR(F40/$C$5,"0")</f>
        <v/>
      </c>
      <c r="H40" s="65">
        <f>IFERROR(F40/$C$6,"-")</f>
        <v/>
      </c>
      <c r="I40" s="66">
        <f>IFERROR(IF(H40&lt;0,"",(H40/$C$9)/1440),"")</f>
        <v/>
      </c>
    </row>
    <row r="41">
      <c r="B41" s="72" t="inlineStr">
        <is>
          <t>Breast</t>
        </is>
      </c>
      <c r="C41" s="73" t="inlineStr">
        <is>
          <t>61050F</t>
        </is>
      </c>
      <c r="D41" s="74">
        <f>_xludf.IFNA(_xlfn.XLOOKUP(C41,'00_SKU_Master'!$B$2:$B$378,'00_SKU_Master'!T:T)/100,"")</f>
        <v/>
      </c>
      <c r="E41" s="75">
        <f>_xludf.IFNA(_xlfn.XLOOKUP(C41,'10_Cone_Line'!$A$3:$A$136,'10_Cone_Line'!$E$3:$E$136,0),"")</f>
        <v/>
      </c>
      <c r="F41" s="75">
        <f>_xludf.IFNA(E41*_xlfn.XLOOKUP(C41,'08_Chart_Data'!$Q$3:$Q$104,'08_Chart_Data'!$S$3:$S$104,0)/D41,"")</f>
        <v/>
      </c>
      <c r="G41" s="76">
        <f>IFERROR(F41/$C$5,"0")</f>
        <v/>
      </c>
      <c r="H41" s="77">
        <f>IFERROR(F41/$C$6,"-")</f>
        <v/>
      </c>
      <c r="I41" s="78">
        <f>IFERROR(IF(H41&lt;0,"",(H41/$C$9)/1440),"")</f>
        <v/>
      </c>
    </row>
    <row r="42">
      <c r="B42" s="72" t="n"/>
      <c r="C42" s="73" t="n">
        <v>61050</v>
      </c>
      <c r="D42" s="74">
        <f>_xludf.IFNA(_xlfn.XLOOKUP(C42,'00_SKU_Master'!$B$2:$B$378,'00_SKU_Master'!T:T)/100,"")</f>
        <v/>
      </c>
      <c r="E42" s="75">
        <f>_xludf.IFNA(_xlfn.XLOOKUP(C42,'10_Cone_Line'!$A$3:$A$136,'10_Cone_Line'!$E$3:$E$136,0),"")</f>
        <v/>
      </c>
      <c r="F42" s="75">
        <f>_xludf.IFNA(E42*_xlfn.XLOOKUP(C42,'08_Chart_Data'!$Q$3:$Q$104,'08_Chart_Data'!$S$3:$S$104,0)/D42,"")</f>
        <v/>
      </c>
      <c r="G42" s="76">
        <f>IFERROR(F42/$C$5,"0")</f>
        <v/>
      </c>
      <c r="H42" s="77">
        <f>IFERROR(F42/$C$6,"-")</f>
        <v/>
      </c>
      <c r="I42" s="78">
        <f>IFERROR(IF(H42&lt;0,"",(H42/$C$9)/1440),"")</f>
        <v/>
      </c>
    </row>
    <row r="43">
      <c r="B43" s="72">
        <f>SUMIF(G41:G59,"&gt;0")</f>
        <v/>
      </c>
      <c r="C43" s="73" t="n">
        <v>1888</v>
      </c>
      <c r="D43" s="74">
        <f>_xludf.IFNA(_xlfn.XLOOKUP(C43,'00_SKU_Master'!$B$2:$B$378,'00_SKU_Master'!T:T)/100,"")</f>
        <v/>
      </c>
      <c r="E43" s="75">
        <f>_xludf.IFNA(_xlfn.XLOOKUP(C43,'10_Cone_Line'!$A$3:$A$136,'10_Cone_Line'!$E$3:$E$136,0),"")</f>
        <v/>
      </c>
      <c r="F43" s="75">
        <f>_xludf.IFNA(E43*_xlfn.XLOOKUP(C43,'08_Chart_Data'!$Q$3:$Q$104,'08_Chart_Data'!$S$3:$S$104,0)/D43,"")</f>
        <v/>
      </c>
      <c r="G43" s="76">
        <f>IFERROR(F43/$C$5,"0")</f>
        <v/>
      </c>
      <c r="H43" s="77">
        <f>IFERROR(F43/$C$6,"-")</f>
        <v/>
      </c>
      <c r="I43" s="78">
        <f>IFERROR(IF(H43&lt;0,"",(H43/$C$9)/1440),"")</f>
        <v/>
      </c>
    </row>
    <row r="44">
      <c r="B44" s="72" t="n"/>
      <c r="C44" s="73" t="inlineStr">
        <is>
          <t>61040#2</t>
        </is>
      </c>
      <c r="D44" s="74">
        <f>_xludf.IFNA(_xlfn.XLOOKUP(C44,'00_SKU_Master'!$B$2:$B$378,'00_SKU_Master'!T:T)/100,"")</f>
        <v/>
      </c>
      <c r="E44" s="75">
        <f>_xludf.IFNA(_xlfn.XLOOKUP(C44,'10_Cone_Line'!$A$3:$A$136,'10_Cone_Line'!$E$3:$E$136,0),"")</f>
        <v/>
      </c>
      <c r="F44" s="75">
        <f>_xludf.IFNA(E44*_xlfn.XLOOKUP(C44,'08_Chart_Data'!$Q$3:$Q$104,'08_Chart_Data'!$S$3:$S$104,0)/D44,"")</f>
        <v/>
      </c>
      <c r="G44" s="76">
        <f>IFERROR(F44/$C$5,"0")</f>
        <v/>
      </c>
      <c r="H44" s="77">
        <f>IFERROR(F44/$C$6,"-")</f>
        <v/>
      </c>
      <c r="I44" s="78">
        <f>IFERROR(IF(H44&lt;0,"",(H44/$C$9)/1440),"")</f>
        <v/>
      </c>
    </row>
    <row r="45">
      <c r="B45" s="72" t="inlineStr">
        <is>
          <t>FFF</t>
        </is>
      </c>
      <c r="C45" s="73" t="n">
        <v>61048</v>
      </c>
      <c r="D45" s="74">
        <f>_xludf.IFNA(_xlfn.XLOOKUP(C45,'00_SKU_Master'!$B$2:$B$378,'00_SKU_Master'!T:T)/100,"")</f>
        <v/>
      </c>
      <c r="E45" s="75">
        <f>_xludf.IFNA(_xlfn.XLOOKUP(C45,'10_Cone_Line'!$A$3:$A$136,'10_Cone_Line'!$E$3:$E$136,0),"")</f>
        <v/>
      </c>
      <c r="F45" s="75">
        <f>_xludf.IFNA(E45*_xlfn.XLOOKUP(C45,'08_Chart_Data'!$Q$3:$Q$104,'08_Chart_Data'!$S$3:$S$104,0)/D45,"")</f>
        <v/>
      </c>
      <c r="G45" s="76">
        <f>IFERROR(F45/$C$5,"0")</f>
        <v/>
      </c>
      <c r="H45" s="77">
        <f>IFERROR(F45/$C$6,"-")</f>
        <v/>
      </c>
      <c r="I45" s="78">
        <f>IFERROR(IF(H45&lt;0,"",(H45/$C$9)/1440),"")</f>
        <v/>
      </c>
    </row>
    <row r="46">
      <c r="B46" s="72">
        <f>G41</f>
        <v/>
      </c>
      <c r="C46" s="73" t="n">
        <v>61052</v>
      </c>
      <c r="D46" s="74">
        <f>_xludf.IFNA(_xlfn.XLOOKUP(C46,'00_SKU_Master'!$B$2:$B$378,'00_SKU_Master'!T:T)/100,"")</f>
        <v/>
      </c>
      <c r="E46" s="75">
        <f>_xludf.IFNA(_xlfn.XLOOKUP(C46,'10_Cone_Line'!$A$3:$A$136,'10_Cone_Line'!$E$3:$E$136,0),"")</f>
        <v/>
      </c>
      <c r="F46" s="75">
        <f>_xludf.IFNA(E46*_xlfn.XLOOKUP(C46,'08_Chart_Data'!$Q$3:$Q$104,'08_Chart_Data'!$S$3:$S$104,0)/D46,"")</f>
        <v/>
      </c>
      <c r="G46" s="76">
        <f>IFERROR(F46/$C$5,"0")</f>
        <v/>
      </c>
      <c r="H46" s="77">
        <f>IFERROR(F46/$C$6,"-")</f>
        <v/>
      </c>
      <c r="I46" s="78">
        <f>IFERROR(IF(H46&lt;0,"",(H46/$C$9)/1440),"")</f>
        <v/>
      </c>
    </row>
    <row r="47">
      <c r="B47" s="72" t="n"/>
      <c r="C47" s="73" t="n">
        <v>200083</v>
      </c>
      <c r="D47" s="74">
        <f>_xludf.IFNA(_xlfn.XLOOKUP(C47,'00_SKU_Master'!$B$2:$B$378,'00_SKU_Master'!T:T)/100,"")</f>
        <v/>
      </c>
      <c r="E47" s="75">
        <f>_xludf.IFNA(_xlfn.XLOOKUP(C47,'10_Cone_Line'!$A$3:$A$136,'10_Cone_Line'!$E$3:$E$136,0),"")</f>
        <v/>
      </c>
      <c r="F47" s="75">
        <f>_xludf.IFNA(E47*_xlfn.XLOOKUP(C47,'08_Chart_Data'!$Q$3:$Q$104,'08_Chart_Data'!$S$3:$S$104,0)/D47,"")</f>
        <v/>
      </c>
      <c r="G47" s="76">
        <f>IFERROR(F47/$C$5,"0")</f>
        <v/>
      </c>
      <c r="H47" s="77">
        <f>IFERROR(F47/$C$6,"-")</f>
        <v/>
      </c>
      <c r="I47" s="78">
        <f>IFERROR(IF(H47&lt;0,"",(H47/$C$9)/1440),"")</f>
        <v/>
      </c>
    </row>
    <row r="48">
      <c r="B48" s="72" t="n"/>
      <c r="C48" s="73" t="n">
        <v>200089</v>
      </c>
      <c r="D48" s="74">
        <f>_xludf.IFNA(_xlfn.XLOOKUP(C48,'00_SKU_Master'!$B$2:$B$378,'00_SKU_Master'!T:T)/100,"")</f>
        <v/>
      </c>
      <c r="E48" s="75">
        <f>_xludf.IFNA(_xlfn.XLOOKUP(C48,'10_Cone_Line'!$A$3:$A$136,'10_Cone_Line'!$E$3:$E$136,0),"")</f>
        <v/>
      </c>
      <c r="F48" s="75">
        <f>_xludf.IFNA(E48*_xlfn.XLOOKUP(C48,'08_Chart_Data'!$Q$3:$Q$104,'08_Chart_Data'!$S$3:$S$104,0)/D48,"")</f>
        <v/>
      </c>
      <c r="G48" s="76">
        <f>IFERROR(F48/$C$5,"0")</f>
        <v/>
      </c>
      <c r="H48" s="77">
        <f>IFERROR(F48/$C$6,"-")</f>
        <v/>
      </c>
      <c r="I48" s="78">
        <f>IFERROR(IF(H48&lt;0,"",(H48/$C$9)/1440),"")</f>
        <v/>
      </c>
    </row>
    <row r="49">
      <c r="B49" s="72" t="n"/>
      <c r="C49" s="73" t="n">
        <v>1894</v>
      </c>
      <c r="D49" s="74">
        <f>_xludf.IFNA(_xlfn.XLOOKUP(C49,'00_SKU_Master'!$B$2:$B$378,'00_SKU_Master'!T:T)/100,"")</f>
        <v/>
      </c>
      <c r="E49" s="75">
        <f>_xludf.IFNA(_xlfn.XLOOKUP(C49,'10_Cone_Line'!$A$3:$A$136,'10_Cone_Line'!$E$3:$E$136,0),"")</f>
        <v/>
      </c>
      <c r="F49" s="75">
        <f>_xludf.IFNA(E49*_xlfn.XLOOKUP(C49,'08_Chart_Data'!$Q$3:$Q$104,'08_Chart_Data'!$S$3:$S$104,0)/D49,"")</f>
        <v/>
      </c>
      <c r="G49" s="76">
        <f>IFERROR(F49/$C$5,"0")</f>
        <v/>
      </c>
      <c r="H49" s="77">
        <f>IFERROR(F49/$C$6,"-")</f>
        <v/>
      </c>
      <c r="I49" s="78">
        <f>IFERROR(IF(H49&lt;0,"",(H49/$C$9)/1440),"")</f>
        <v/>
      </c>
    </row>
    <row r="50">
      <c r="B50" s="72" t="n"/>
      <c r="C50" s="73" t="inlineStr">
        <is>
          <t>61050#2</t>
        </is>
      </c>
      <c r="D50" s="74">
        <f>_xludf.IFNA(_xlfn.XLOOKUP(C50,'00_SKU_Master'!$B$2:$B$378,'00_SKU_Master'!T:T)/100,"")</f>
        <v/>
      </c>
      <c r="E50" s="75">
        <f>_xludf.IFNA(_xlfn.XLOOKUP(C50,'10_Cone_Line'!$A$3:$A$136,'10_Cone_Line'!$E$3:$E$136,0),"")</f>
        <v/>
      </c>
      <c r="F50" s="75">
        <f>_xludf.IFNA(E50*_xlfn.XLOOKUP(C50,'08_Chart_Data'!$Q$3:$Q$104,'08_Chart_Data'!$S$3:$S$104,0)/D50,"")</f>
        <v/>
      </c>
      <c r="G50" s="76">
        <f>IFERROR(F50/$C$5,"0")</f>
        <v/>
      </c>
      <c r="H50" s="77">
        <f>IFERROR(F50/$C$6,"-")</f>
        <v/>
      </c>
      <c r="I50" s="78">
        <f>IFERROR(IF(H50&lt;0,"",(H50/$C$9)/1440),"")</f>
        <v/>
      </c>
    </row>
    <row r="51">
      <c r="B51" s="72" t="n"/>
      <c r="C51" s="73" t="n">
        <v>165</v>
      </c>
      <c r="D51" s="74">
        <f>_xludf.IFNA(_xlfn.XLOOKUP(C51,'00_SKU_Master'!$B$2:$B$378,'00_SKU_Master'!T:T)/100,"")</f>
        <v/>
      </c>
      <c r="E51" s="75">
        <f>_xludf.IFNA(_xlfn.XLOOKUP(C51,'10_Cone_Line'!$A$3:$A$136,'10_Cone_Line'!$E$3:$E$136,0),"")</f>
        <v/>
      </c>
      <c r="F51" s="75">
        <f>_xludf.IFNA(E51*_xlfn.XLOOKUP(C51,'08_Chart_Data'!$Q$3:$Q$104,'08_Chart_Data'!$S$3:$S$104,0)/D51,"")</f>
        <v/>
      </c>
      <c r="G51" s="76">
        <f>IFERROR(F51/$C$5,"0")</f>
        <v/>
      </c>
      <c r="H51" s="77">
        <f>IFERROR(F51/$C$6,"-")</f>
        <v/>
      </c>
      <c r="I51" s="78">
        <f>IFERROR(IF(H51&lt;0,"",(H51/$C$9)/1440),"")</f>
        <v/>
      </c>
    </row>
    <row r="52">
      <c r="B52" s="72" t="n"/>
      <c r="C52" s="73" t="n">
        <v>203169</v>
      </c>
      <c r="D52" s="74">
        <f>_xludf.IFNA(_xlfn.XLOOKUP(C52,'00_SKU_Master'!$B$2:$B$378,'00_SKU_Master'!T:T)/100,"")</f>
        <v/>
      </c>
      <c r="E52" s="75">
        <f>_xludf.IFNA(_xlfn.XLOOKUP(C52,'10_Cone_Line'!$A$3:$A$136,'10_Cone_Line'!$E$3:$E$136,0),"")</f>
        <v/>
      </c>
      <c r="F52" s="75">
        <f>_xludf.IFNA(E52*_xlfn.XLOOKUP(C52,'08_Chart_Data'!$Q$3:$Q$104,'08_Chart_Data'!$S$3:$S$104,0)/D52,"")</f>
        <v/>
      </c>
      <c r="G52" s="76">
        <f>IFERROR(F52/$C$5,"0")</f>
        <v/>
      </c>
      <c r="H52" s="77">
        <f>IFERROR(F52/$C$6,"-")</f>
        <v/>
      </c>
      <c r="I52" s="78">
        <f>IFERROR(IF(H52&lt;0,"",(H52/$C$9)/1440),"")</f>
        <v/>
      </c>
    </row>
    <row r="53">
      <c r="B53" s="72" t="n"/>
      <c r="C53" s="73" t="inlineStr">
        <is>
          <t>61048#2</t>
        </is>
      </c>
      <c r="D53" s="74">
        <f>_xludf.IFNA(_xlfn.XLOOKUP(C53,'00_SKU_Master'!$B$2:$B$378,'00_SKU_Master'!T:T)/100,"")</f>
        <v/>
      </c>
      <c r="E53" s="75">
        <f>_xludf.IFNA(_xlfn.XLOOKUP(C53,'10_Cone_Line'!$A$3:$A$136,'10_Cone_Line'!$E$3:$E$136,0),"")</f>
        <v/>
      </c>
      <c r="F53" s="75">
        <f>IFERROR(E53*25/D53,"")</f>
        <v/>
      </c>
      <c r="G53" s="76">
        <f>IFERROR(F53/$C$5,"0")</f>
        <v/>
      </c>
      <c r="H53" s="77">
        <f>IFERROR(F53/$C$6,"-")</f>
        <v/>
      </c>
      <c r="I53" s="78">
        <f>IFERROR(IF(H53&lt;0,"",(H53/$C$9)/1440),"")</f>
        <v/>
      </c>
    </row>
    <row r="54">
      <c r="B54" s="72" t="n"/>
      <c r="C54" s="73" t="n">
        <v>65</v>
      </c>
      <c r="D54" s="74">
        <f>_xludf.IFNA(_xlfn.XLOOKUP(C54,'00_SKU_Master'!$B$2:$B$378,'00_SKU_Master'!T:T)/100,"")</f>
        <v/>
      </c>
      <c r="E54" s="75">
        <f>_xludf.IFNA(_xlfn.XLOOKUP(C54,'10_Cone_Line'!$A$3:$A$136,'10_Cone_Line'!$E$3:$E$136,0),"")</f>
        <v/>
      </c>
      <c r="F54" s="75">
        <f>_xludf.IFNA(E54*_xlfn.XLOOKUP(C54,'08_Chart_Data'!$Q$3:$Q$104,'08_Chart_Data'!$S$3:$S$104,0)/D54,"")</f>
        <v/>
      </c>
      <c r="G54" s="76">
        <f>IFERROR(F54/$C$5,"0")</f>
        <v/>
      </c>
      <c r="H54" s="77">
        <f>IFERROR(F54/$C$6,"-")</f>
        <v/>
      </c>
      <c r="I54" s="78">
        <f>IFERROR(IF(H54&lt;0,"",(H54/$C$9)/1440),"")</f>
        <v/>
      </c>
    </row>
    <row r="55">
      <c r="B55" s="72" t="n"/>
      <c r="C55" s="73" t="n">
        <v>2236</v>
      </c>
      <c r="D55" s="74">
        <f>_xludf.IFNA(_xlfn.XLOOKUP(C55,'00_SKU_Master'!$B$2:$B$378,'00_SKU_Master'!T:T)/100,"")</f>
        <v/>
      </c>
      <c r="E55" s="75">
        <f>_xludf.IFNA(_xlfn.XLOOKUP(C55,'10_Cone_Line'!$A$3:$A$136,'10_Cone_Line'!$E$3:$E$136,0),"")</f>
        <v/>
      </c>
      <c r="F55" s="75">
        <f>_xludf.IFNA(E55*_xlfn.XLOOKUP(C55,'08_Chart_Data'!$Q$3:$Q$104,'08_Chart_Data'!$S$3:$S$104,0)/D55,"")</f>
        <v/>
      </c>
      <c r="G55" s="76">
        <f>IFERROR(F55/$C$5,"0")</f>
        <v/>
      </c>
      <c r="H55" s="77">
        <f>IFERROR(F55/$C$6,"-")</f>
        <v/>
      </c>
      <c r="I55" s="78">
        <f>IFERROR(IF(H55&lt;0,"",(H55/$C$9)/1440),"")</f>
        <v/>
      </c>
    </row>
    <row r="56">
      <c r="B56" s="72" t="n"/>
      <c r="C56" s="73" t="n">
        <v>201894</v>
      </c>
      <c r="D56" s="74">
        <f>_xludf.IFNA(_xlfn.XLOOKUP(C56,'00_SKU_Master'!$B$2:$B$378,'00_SKU_Master'!T:T)/100,"")</f>
        <v/>
      </c>
      <c r="E56" s="75">
        <f>_xludf.IFNA(_xlfn.XLOOKUP(C56,'10_Cone_Line'!$A$3:$A$136,'10_Cone_Line'!$E$3:$E$136,0),"")</f>
        <v/>
      </c>
      <c r="F56" s="75">
        <f>_xludf.IFNA(E56*_xlfn.XLOOKUP(C56,'08_Chart_Data'!$Q$3:$Q$104,'08_Chart_Data'!$S$3:$S$104,0)/D56,"")</f>
        <v/>
      </c>
      <c r="G56" s="76">
        <f>IFERROR(F56/$C$5,"0")</f>
        <v/>
      </c>
      <c r="H56" s="77">
        <f>IFERROR(F56/$C$6,"-")</f>
        <v/>
      </c>
      <c r="I56" s="78">
        <f>IFERROR(IF(H56&lt;0,"",(H56/$C$9)/1440),"")</f>
        <v/>
      </c>
    </row>
    <row r="57">
      <c r="B57" s="72" t="n"/>
      <c r="C57" s="73" t="n">
        <v>201895</v>
      </c>
      <c r="D57" s="74">
        <f>_xludf.IFNA(_xlfn.XLOOKUP(C57,'00_SKU_Master'!$B$2:$B$378,'00_SKU_Master'!T:T)/100,"")</f>
        <v/>
      </c>
      <c r="E57" s="75">
        <f>_xludf.IFNA(_xlfn.XLOOKUP(C57,'10_Cone_Line'!$A$3:$A$136,'10_Cone_Line'!$E$3:$E$136,0),"")</f>
        <v/>
      </c>
      <c r="F57" s="75">
        <f>_xludf.IFNA(E57*_xlfn.XLOOKUP(C57,'08_Chart_Data'!$Q$3:$Q$104,'08_Chart_Data'!$S$3:$S$104,0)/D57,"")</f>
        <v/>
      </c>
      <c r="G57" s="76">
        <f>IFERROR(F57/$C$5,"0")</f>
        <v/>
      </c>
      <c r="H57" s="77">
        <f>IFERROR(F57/$C$6,"-")</f>
        <v/>
      </c>
      <c r="I57" s="78">
        <f>IFERROR(IF(H57&lt;0,"",(H57/$C$9)/1440),"")</f>
        <v/>
      </c>
    </row>
    <row r="58">
      <c r="B58" s="72" t="n"/>
      <c r="C58" s="73" t="inlineStr">
        <is>
          <t>61050C</t>
        </is>
      </c>
      <c r="D58" s="74">
        <f>_xludf.IFNA(_xlfn.XLOOKUP(C58,'00_SKU_Master'!$B$2:$B$378,'00_SKU_Master'!T:T)/100,"")</f>
        <v/>
      </c>
      <c r="E58" s="75">
        <f>_xludf.IFNA(_xlfn.XLOOKUP(C58,'10_Cone_Line'!$A$3:$A$136,'10_Cone_Line'!$E$3:$E$136,0),"")</f>
        <v/>
      </c>
      <c r="F58" s="75">
        <f>_xludf.IFNA(E58*_xlfn.XLOOKUP(C58,'08_Chart_Data'!$Q$3:$Q$104,'08_Chart_Data'!$S$3:$S$104,0)/D58,"")</f>
        <v/>
      </c>
      <c r="G58" s="76">
        <f>IFERROR(F58/$C$5,"0")</f>
        <v/>
      </c>
      <c r="H58" s="77">
        <f>IFERROR(F58/$C$6,"-")</f>
        <v/>
      </c>
      <c r="I58" s="78">
        <f>IFERROR(IF(H58&lt;0,"",(H58/$C$9)/1440),"")</f>
        <v/>
      </c>
    </row>
    <row r="59">
      <c r="B59" s="72" t="n"/>
      <c r="C59" s="73" t="n">
        <v>61055</v>
      </c>
      <c r="D59" s="74">
        <f>_xludf.IFNA(_xlfn.XLOOKUP(C59,'00_SKU_Master'!$B$2:$B$378,'00_SKU_Master'!T:T)/100,"")</f>
        <v/>
      </c>
      <c r="E59" s="75">
        <f>_xludf.IFNA(_xlfn.XLOOKUP(C59,'10_Cone_Line'!$A$3:$A$136,'10_Cone_Line'!$E$3:$E$136,0),"")</f>
        <v/>
      </c>
      <c r="F59" s="75">
        <f>_xludf.IFNA(E59*_xlfn.XLOOKUP(C59,'08_Chart_Data'!$Q$3:$Q$104,'08_Chart_Data'!$S$3:$S$104,0)/D59,"")</f>
        <v/>
      </c>
      <c r="G59" s="76">
        <f>IFERROR(F59/$C$5,"0")</f>
        <v/>
      </c>
      <c r="H59" s="77">
        <f>IFERROR(F59/$C$6,"-")</f>
        <v/>
      </c>
      <c r="I59" s="78">
        <f>IFERROR(IF(H59&lt;0,"",(H59/$C$9)/1440),"")</f>
        <v/>
      </c>
    </row>
    <row r="60">
      <c r="B60" s="79" t="inlineStr">
        <is>
          <t>Wings</t>
        </is>
      </c>
      <c r="C60" s="80" t="n">
        <v>2233</v>
      </c>
      <c r="D60" s="81">
        <f>_xludf.IFNA(_xlfn.XLOOKUP(C60,'00_SKU_Master'!$B$2:$B$378,'00_SKU_Master'!T:T)/100,"")</f>
        <v/>
      </c>
      <c r="E60" s="82">
        <f>_xludf.IFNA(_xlfn.XLOOKUP(C60,'10_Cone_Line'!$A$3:$A$136,'10_Cone_Line'!$E$3:$E$136,0),"")</f>
        <v/>
      </c>
      <c r="F60" s="82">
        <f>_xludf.IFNA(E60*_xlfn.XLOOKUP(C60,'08_Chart_Data'!$Q$3:$Q$104,'08_Chart_Data'!$S$3:$S$104,0)/D60,"")</f>
        <v/>
      </c>
      <c r="G60" s="83">
        <f>IFERROR(F60/$C$5,"0")</f>
        <v/>
      </c>
      <c r="H60" s="84">
        <f>IFERROR(F60/$C$6,"-")</f>
        <v/>
      </c>
      <c r="I60" s="85">
        <f>IFERROR(IF(H60&lt;0,"",(H60/$C$9)/1440),"")</f>
        <v/>
      </c>
    </row>
    <row r="61">
      <c r="B61" s="79" t="n"/>
      <c r="C61" s="80" t="n">
        <v>61014</v>
      </c>
      <c r="D61" s="81">
        <f>_xludf.IFNA(_xlfn.XLOOKUP(C61,'00_SKU_Master'!$B$2:$B$378,'00_SKU_Master'!T:T)/100,"")</f>
        <v/>
      </c>
      <c r="E61" s="82">
        <f>_xludf.IFNA(_xlfn.XLOOKUP(C61,'10_Cone_Line'!$A$3:$A$136,'10_Cone_Line'!$E$3:$E$136,0),"")</f>
        <v/>
      </c>
      <c r="F61" s="82">
        <f>_xludf.IFNA(E61*_xlfn.XLOOKUP(C61,'08_Chart_Data'!$Q$3:$Q$104,'08_Chart_Data'!$S$3:$S$104,0)/D61,"")</f>
        <v/>
      </c>
      <c r="G61" s="83">
        <f>IFERROR(F61/$C$5,"0")</f>
        <v/>
      </c>
      <c r="H61" s="84">
        <f>IFERROR(F61/$C$6,"-")</f>
        <v/>
      </c>
      <c r="I61" s="85">
        <f>IFERROR(IF(H61&lt;0,"",(H61/$C$9)/1440),"")</f>
        <v/>
      </c>
    </row>
    <row r="62">
      <c r="B62" s="79">
        <f>SUMIF(G60:G73,"&gt;0")</f>
        <v/>
      </c>
      <c r="C62" s="80" t="n">
        <v>61018</v>
      </c>
      <c r="D62" s="81">
        <f>_xludf.IFNA(_xlfn.XLOOKUP(C62,'00_SKU_Master'!$B$2:$B$378,'00_SKU_Master'!T:T)/100,"")</f>
        <v/>
      </c>
      <c r="E62" s="82">
        <f>_xludf.IFNA(_xlfn.XLOOKUP(C62,'10_Cone_Line'!$A$3:$A$136,'10_Cone_Line'!$E$3:$E$136,0),"")</f>
        <v/>
      </c>
      <c r="F62" s="82">
        <f>_xludf.IFNA(E62*_xlfn.XLOOKUP(C62,'08_Chart_Data'!$Q$3:$Q$104,'08_Chart_Data'!$S$3:$S$104,0)/D62,"")</f>
        <v/>
      </c>
      <c r="G62" s="83">
        <f>IFERROR(F62/$C$5,"0")</f>
        <v/>
      </c>
      <c r="H62" s="84">
        <f>IFERROR(F62/$C$6,"-")</f>
        <v/>
      </c>
      <c r="I62" s="85">
        <f>IFERROR(IF(H62&lt;0,"",(H62/$C$9)/1440),"")</f>
        <v/>
      </c>
    </row>
    <row r="63">
      <c r="B63" s="79" t="n"/>
      <c r="C63" s="80" t="n">
        <v>61010</v>
      </c>
      <c r="D63" s="81">
        <f>_xludf.IFNA(_xlfn.XLOOKUP(C63,'00_SKU_Master'!$B$2:$B$378,'00_SKU_Master'!T:T)/100,"")</f>
        <v/>
      </c>
      <c r="E63" s="82">
        <f>_xludf.IFNA(_xlfn.XLOOKUP(C63,'10_Cone_Line'!$A$3:$A$136,'10_Cone_Line'!$E$3:$E$136,0),"")</f>
        <v/>
      </c>
      <c r="F63" s="82">
        <f>_xludf.IFNA(E63*_xlfn.XLOOKUP(C63,'08_Chart_Data'!$Q$3:$Q$104,'08_Chart_Data'!$S$3:$S$104,0)/D63,"")</f>
        <v/>
      </c>
      <c r="G63" s="83">
        <f>IFERROR(F63/$C$5,"0")</f>
        <v/>
      </c>
      <c r="H63" s="84">
        <f>IFERROR(F63/$C$6,"-")</f>
        <v/>
      </c>
      <c r="I63" s="85">
        <f>IFERROR(IF(H63&lt;0,"",(H63/$C$9)/1440),"")</f>
        <v/>
      </c>
    </row>
    <row r="64">
      <c r="B64" s="79" t="inlineStr">
        <is>
          <t>FFF</t>
        </is>
      </c>
      <c r="C64" s="80" t="n">
        <v>904</v>
      </c>
      <c r="D64" s="81">
        <f>_xludf.IFNA(_xlfn.XLOOKUP(C64,'00_SKU_Master'!$B$2:$B$378,'00_SKU_Master'!T:T)/100,"")</f>
        <v/>
      </c>
      <c r="E64" s="82">
        <f>_xludf.IFNA(_xlfn.XLOOKUP(C64,'10_Cone_Line'!$A$3:$A$136,'10_Cone_Line'!$E$3:$E$136,0),"")</f>
        <v/>
      </c>
      <c r="F64" s="82">
        <f>_xludf.IFNA(E64*_xlfn.XLOOKUP(C64,'08_Chart_Data'!$Q$3:$Q$104,'08_Chart_Data'!$S$3:$S$104,0)/D64,"")</f>
        <v/>
      </c>
      <c r="G64" s="83">
        <f>IFERROR(F64/$C$5,"0")</f>
        <v/>
      </c>
      <c r="H64" s="84">
        <f>IFERROR(F64/$C$6,"-")</f>
        <v/>
      </c>
      <c r="I64" s="85">
        <f>IFERROR(IF(H64&lt;0,"",(H64/$C$9)/1440),"")</f>
        <v/>
      </c>
    </row>
    <row r="65">
      <c r="B65" s="79">
        <f>G73</f>
        <v/>
      </c>
      <c r="C65" s="80" t="n">
        <v>868</v>
      </c>
      <c r="D65" s="81">
        <f>_xludf.IFNA(_xlfn.XLOOKUP(C65,'00_SKU_Master'!$B$2:$B$378,'00_SKU_Master'!T:T)/100,"")</f>
        <v/>
      </c>
      <c r="E65" s="82">
        <f>_xludf.IFNA(_xlfn.XLOOKUP(C65,'10_Cone_Line'!$A$3:$A$136,'10_Cone_Line'!$E$3:$E$136,0),"")</f>
        <v/>
      </c>
      <c r="F65" s="82">
        <f>_xludf.IFNA(E65*_xlfn.XLOOKUP(C65,'08_Chart_Data'!$Q$3:$Q$104,'08_Chart_Data'!$S$3:$S$104,0)/D65,"")</f>
        <v/>
      </c>
      <c r="G65" s="83">
        <f>IFERROR(F65/$C$5,"0")</f>
        <v/>
      </c>
      <c r="H65" s="84">
        <f>IFERROR(F65/$C$6,"-")</f>
        <v/>
      </c>
      <c r="I65" s="85">
        <f>IFERROR(IF(H65&lt;0,"",(H65/$C$9)/1440),"")</f>
        <v/>
      </c>
    </row>
    <row r="66">
      <c r="B66" s="79" t="n"/>
      <c r="C66" s="80" t="n">
        <v>203172</v>
      </c>
      <c r="D66" s="81">
        <f>_xludf.IFNA(_xlfn.XLOOKUP(C66,'00_SKU_Master'!$B$2:$B$378,'00_SKU_Master'!T:T)/100,"")</f>
        <v/>
      </c>
      <c r="E66" s="82">
        <f>_xludf.IFNA(_xlfn.XLOOKUP(C66,'10_Cone_Line'!$A$3:$A$136,'10_Cone_Line'!$E$3:$E$136,0),"")</f>
        <v/>
      </c>
      <c r="F66" s="82">
        <f>_xludf.IFNA(E66*_xlfn.XLOOKUP(C66,'08_Chart_Data'!$Q$3:$Q$104,'08_Chart_Data'!$S$3:$S$104,0)/D66,"")</f>
        <v/>
      </c>
      <c r="G66" s="83">
        <f>IFERROR(F66/$C$5,"0")</f>
        <v/>
      </c>
      <c r="H66" s="84">
        <f>IFERROR(F66/$C$6,"-")</f>
        <v/>
      </c>
      <c r="I66" s="85">
        <f>IFERROR(IF(H66&lt;0,"",(H66/$C$9)/1440),"")</f>
        <v/>
      </c>
    </row>
    <row r="67">
      <c r="B67" s="79" t="n"/>
      <c r="C67" s="80" t="n">
        <v>203173</v>
      </c>
      <c r="D67" s="81">
        <f>_xludf.IFNA(_xlfn.XLOOKUP(C67,'00_SKU_Master'!$B$2:$B$378,'00_SKU_Master'!T:T)/100,"")</f>
        <v/>
      </c>
      <c r="E67" s="82">
        <f>_xludf.IFNA(_xlfn.XLOOKUP(C67,'10_Cone_Line'!$A$3:$A$136,'10_Cone_Line'!$E$3:$E$136,0),"")</f>
        <v/>
      </c>
      <c r="F67" s="82">
        <f>_xludf.IFNA(E67*_xlfn.XLOOKUP(C67,'08_Chart_Data'!$Q$3:$Q$104,'08_Chart_Data'!$S$3:$S$104,0)/D67,"")</f>
        <v/>
      </c>
      <c r="G67" s="83">
        <f>IFERROR(F67/$C$5,"0")</f>
        <v/>
      </c>
      <c r="H67" s="84">
        <f>IFERROR(F67/$C$6,"-")</f>
        <v/>
      </c>
      <c r="I67" s="85">
        <f>IFERROR(IF(H67&lt;0,"",(H67/$C$9)/1440),"")</f>
        <v/>
      </c>
    </row>
    <row r="68">
      <c r="B68" s="79" t="n"/>
      <c r="C68" s="80" t="inlineStr">
        <is>
          <t>61014#2</t>
        </is>
      </c>
      <c r="D68" s="81">
        <f>_xludf.IFNA(_xlfn.XLOOKUP(C68,'00_SKU_Master'!$B$2:$B$378,'00_SKU_Master'!T:T)/100,"")</f>
        <v/>
      </c>
      <c r="E68" s="82">
        <f>_xludf.IFNA(_xlfn.XLOOKUP(C68,'10_Cone_Line'!$A$3:$A$136,'10_Cone_Line'!$E$3:$E$136,0),"")</f>
        <v/>
      </c>
      <c r="F68" s="82">
        <f>_xludf.IFNA(E68*_xlfn.XLOOKUP(C68,'08_Chart_Data'!$Q$3:$Q$104,'08_Chart_Data'!$S$3:$S$104,0)/D68,"")</f>
        <v/>
      </c>
      <c r="G68" s="83">
        <f>IFERROR(F68/$C$5,"0")</f>
        <v/>
      </c>
      <c r="H68" s="84">
        <f>IFERROR(F68/$C$6,"-")</f>
        <v/>
      </c>
      <c r="I68" s="85">
        <f>IFERROR(IF(H68&lt;0,"",(H68/$C$9)/1440),"")</f>
        <v/>
      </c>
    </row>
    <row r="69">
      <c r="B69" s="79" t="n"/>
      <c r="C69" s="80" t="inlineStr">
        <is>
          <t>61014B</t>
        </is>
      </c>
      <c r="D69" s="81">
        <f>_xludf.IFNA(_xlfn.XLOOKUP(C69,'00_SKU_Master'!$B$2:$B$378,'00_SKU_Master'!T:T)/100,"")</f>
        <v/>
      </c>
      <c r="E69" s="82">
        <f>_xludf.IFNA(_xlfn.XLOOKUP(C69,'10_Cone_Line'!$A$3:$A$136,'10_Cone_Line'!$E$3:$E$136,0),"")</f>
        <v/>
      </c>
      <c r="F69" s="82">
        <f>_xludf.IFNA(E69*_xlfn.XLOOKUP(C69,'08_Chart_Data'!$Q$3:$Q$104,'08_Chart_Data'!$S$3:$S$104,0)/D69,"")</f>
        <v/>
      </c>
      <c r="G69" s="83">
        <f>IFERROR(F69/$C$5,"0")</f>
        <v/>
      </c>
      <c r="H69" s="84">
        <f>IFERROR(F69/$C$6,"-")</f>
        <v/>
      </c>
      <c r="I69" s="85">
        <f>IFERROR(IF(H69&lt;0,"",(H69/$C$9)/1440),"")</f>
        <v/>
      </c>
    </row>
    <row r="70">
      <c r="B70" s="79" t="n"/>
      <c r="C70" s="80" t="n">
        <v>203035</v>
      </c>
      <c r="D70" s="81">
        <f>_xludf.IFNA(_xlfn.XLOOKUP(C70,'00_SKU_Master'!$B$2:$B$378,'00_SKU_Master'!T:T)/100,"")</f>
        <v/>
      </c>
      <c r="E70" s="82">
        <f>_xludf.IFNA(_xlfn.XLOOKUP(C70,'10_Cone_Line'!$A$3:$A$136,'10_Cone_Line'!$E$3:$E$136,0),"")</f>
        <v/>
      </c>
      <c r="F70" s="82">
        <f>_xludf.IFNA(E70*_xlfn.XLOOKUP(C70,'08_Chart_Data'!$Q$3:$Q$104,'08_Chart_Data'!$S$3:$S$104,0)/D70,"")</f>
        <v/>
      </c>
      <c r="G70" s="83">
        <f>IFERROR(F70/$C$5,"0")</f>
        <v/>
      </c>
      <c r="H70" s="84">
        <f>IFERROR(F70/$C$6,"-")</f>
        <v/>
      </c>
      <c r="I70" s="85">
        <f>IFERROR(IF(H70&lt;0,"",(H70/$C$9)/1440),"")</f>
        <v/>
      </c>
    </row>
    <row r="71">
      <c r="B71" s="79" t="n"/>
      <c r="C71" s="80" t="inlineStr">
        <is>
          <t>61014C</t>
        </is>
      </c>
      <c r="D71" s="81">
        <f>_xludf.IFNA(_xlfn.XLOOKUP(C71,'00_SKU_Master'!$B$2:$B$378,'00_SKU_Master'!T:T)/100,"")</f>
        <v/>
      </c>
      <c r="E71" s="82">
        <f>_xludf.IFNA(_xlfn.XLOOKUP(C71,'10_Cone_Line'!$A$3:$A$136,'10_Cone_Line'!$E$3:$E$136,0),"")</f>
        <v/>
      </c>
      <c r="F71" s="82">
        <f>_xludf.IFNA(E71*_xlfn.XLOOKUP(C71,'08_Chart_Data'!$Q$3:$Q$104,'08_Chart_Data'!$S$3:$S$104,0)/D71,"")</f>
        <v/>
      </c>
      <c r="G71" s="83">
        <f>IFERROR(F71/$C$5,"0")</f>
        <v/>
      </c>
      <c r="H71" s="84">
        <f>IFERROR(F71/$C$6,"-")</f>
        <v/>
      </c>
      <c r="I71" s="85">
        <f>IFERROR(IF(H71&lt;0,"",(H71/$C$9)/1440),"")</f>
        <v/>
      </c>
    </row>
    <row r="72">
      <c r="B72" s="79" t="n"/>
      <c r="C72" s="80" t="n">
        <v>203194</v>
      </c>
      <c r="D72" s="81">
        <f>_xludf.IFNA(_xlfn.XLOOKUP(C72,'00_SKU_Master'!$B$2:$B$378,'00_SKU_Master'!T:T)/100,"")</f>
        <v/>
      </c>
      <c r="E72" s="82">
        <f>_xludf.IFNA(_xlfn.XLOOKUP(C72,'10_Cone_Line'!$A$3:$A$136,'10_Cone_Line'!$E$3:$E$136,0),"")</f>
        <v/>
      </c>
      <c r="F72" s="82">
        <f>_xludf.IFNA(E72*_xlfn.XLOOKUP(C72,'08_Chart_Data'!$Q$3:$Q$104,'08_Chart_Data'!$S$3:$S$104,0)/D72,"")</f>
        <v/>
      </c>
      <c r="G72" s="83">
        <f>IFERROR(F72/$C$5,"0")</f>
        <v/>
      </c>
      <c r="H72" s="84">
        <f>IFERROR(F72/$C$6,"-")</f>
        <v/>
      </c>
      <c r="I72" s="85">
        <f>IFERROR(IF(H72&lt;0,"",(H72/$C$9)/1440),"")</f>
        <v/>
      </c>
    </row>
    <row r="73">
      <c r="B73" s="79" t="n"/>
      <c r="C73" s="80" t="inlineStr">
        <is>
          <t>61014F</t>
        </is>
      </c>
      <c r="D73" s="81">
        <f>_xludf.IFNA(_xlfn.XLOOKUP(C73,'00_SKU_Master'!$B$2:$B$378,'00_SKU_Master'!T:T)/100,"")</f>
        <v/>
      </c>
      <c r="E73" s="82">
        <f>_xludf.IFNA(_xlfn.XLOOKUP(C73,'10_Cone_Line'!$A$3:$A$136,'10_Cone_Line'!$E$3:$E$136,0),"")</f>
        <v/>
      </c>
      <c r="F73" s="82">
        <f>_xludf.IFNA(E73*_xlfn.XLOOKUP(C73,'08_Chart_Data'!$Q$3:$Q$104,'08_Chart_Data'!$S$3:$S$104,0)/D73,"")</f>
        <v/>
      </c>
      <c r="G73" s="83">
        <f>IFERROR(F73/$C$5,"0")</f>
        <v/>
      </c>
      <c r="H73" s="84">
        <f>IFERROR(F73/$C$6,"-")</f>
        <v/>
      </c>
      <c r="I73" s="85">
        <f>IFERROR(IF(H73&lt;0,"",(H73/$C$9)/1440),"")</f>
        <v/>
      </c>
    </row>
    <row r="74">
      <c r="B74" s="86" t="inlineStr">
        <is>
          <t>THIGH</t>
        </is>
      </c>
      <c r="C74" s="87" t="n">
        <v>61077</v>
      </c>
      <c r="D74" s="88">
        <f>_xludf.IFNA(_xlfn.XLOOKUP(C74,'00_SKU_Master'!$B$2:$B$378,'00_SKU_Master'!T:T)/100,"")</f>
        <v/>
      </c>
      <c r="E74" s="89">
        <f>_xludf.IFNA(_xlfn.XLOOKUP(C74,'10_Cone_Line'!$A$3:$A$136,'10_Cone_Line'!$E$3:$E$136,0),"")</f>
        <v/>
      </c>
      <c r="F74" s="89">
        <f>_xludf.IFNA(E74*_xlfn.XLOOKUP(C74,'08_Chart_Data'!$Q$3:$Q$104,'08_Chart_Data'!$S$3:$S$104,0)/D74,"")</f>
        <v/>
      </c>
      <c r="G74" s="90">
        <f>IFERROR(F74/$C$5,"0")</f>
        <v/>
      </c>
      <c r="H74" s="91">
        <f>IFERROR(F74/$C$6,"-")</f>
        <v/>
      </c>
      <c r="I74" s="92">
        <f>IFERROR(IF(H74&lt;0,"",(H74/$C$9)/1440),"")</f>
        <v/>
      </c>
    </row>
    <row r="75">
      <c r="B75" s="86" t="n"/>
      <c r="C75" s="87" t="inlineStr">
        <is>
          <t>61077F</t>
        </is>
      </c>
      <c r="D75" s="88">
        <f>_xludf.IFNA(_xlfn.XLOOKUP(C75,'00_SKU_Master'!$B$2:$B$378,'00_SKU_Master'!T:T)/100,"")</f>
        <v/>
      </c>
      <c r="E75" s="89">
        <f>_xludf.IFNA(_xlfn.XLOOKUP(C75,'10_Cone_Line'!$A$3:$A$136,'10_Cone_Line'!$E$3:$E$136,0),"")</f>
        <v/>
      </c>
      <c r="F75" s="89">
        <f>_xludf.IFNA(E75*_xlfn.XLOOKUP(C75,'08_Chart_Data'!$Q$3:$Q$104,'08_Chart_Data'!$S$3:$S$104,0)/D75,"")</f>
        <v/>
      </c>
      <c r="G75" s="90">
        <f>IFERROR(F75/$C$5,"0")</f>
        <v/>
      </c>
      <c r="H75" s="91">
        <f>IFERROR(F75/$C$6,"-")</f>
        <v/>
      </c>
      <c r="I75" s="92">
        <f>IFERROR(IF(H75&lt;0,"",(H75/$C$9)/1440),"")</f>
        <v/>
      </c>
    </row>
    <row r="76">
      <c r="B76" s="86">
        <f>SUMIF(G74:G92,"&gt;0")</f>
        <v/>
      </c>
      <c r="C76" s="87" t="n">
        <v>61078</v>
      </c>
      <c r="D76" s="88">
        <f>_xludf.IFNA(_xlfn.XLOOKUP(C76,'00_SKU_Master'!$B$2:$B$378,'00_SKU_Master'!T:T)/100,"")</f>
        <v/>
      </c>
      <c r="E76" s="89">
        <f>_xludf.IFNA(_xlfn.XLOOKUP(C76,'10_Cone_Line'!$A$3:$A$136,'10_Cone_Line'!$E$3:$E$136,0),"")</f>
        <v/>
      </c>
      <c r="F76" s="89">
        <f>_xludf.IFNA(E76*_xlfn.XLOOKUP(C76,'08_Chart_Data'!$Q$3:$Q$104,'08_Chart_Data'!$S$3:$S$104,0)/D76,"")</f>
        <v/>
      </c>
      <c r="G76" s="90">
        <f>IFERROR(F76/$C$5,"0")</f>
        <v/>
      </c>
      <c r="H76" s="91">
        <f>IFERROR(F76/$C$6,"-")</f>
        <v/>
      </c>
      <c r="I76" s="92">
        <f>IFERROR(IF(H76&lt;0,"",(H76/$C$9)/1440),"")</f>
        <v/>
      </c>
    </row>
    <row r="77">
      <c r="B77" s="86" t="n"/>
      <c r="C77" s="87" t="n">
        <v>200902</v>
      </c>
      <c r="D77" s="88">
        <f>_xludf.IFNA(_xlfn.XLOOKUP(C77,'00_SKU_Master'!$B$2:$B$378,'00_SKU_Master'!T:T)/100,"")</f>
        <v/>
      </c>
      <c r="E77" s="89">
        <f>_xludf.IFNA(_xlfn.XLOOKUP(C77,'10_Cone_Line'!$A$3:$A$136,'10_Cone_Line'!$E$3:$E$136,0),"")</f>
        <v/>
      </c>
      <c r="F77" s="89">
        <f>_xludf.IFNA(E77*_xlfn.XLOOKUP(C77,'08_Chart_Data'!$Q$3:$Q$104,'08_Chart_Data'!$S$3:$S$104,0)/D77,"")</f>
        <v/>
      </c>
      <c r="G77" s="90">
        <f>IFERROR(F77/$C$5,"0")</f>
        <v/>
      </c>
      <c r="H77" s="91">
        <f>IFERROR(F77/$C$6,"-")</f>
        <v/>
      </c>
      <c r="I77" s="92">
        <f>IFERROR(IF(H77&lt;0,"",(H77/$C$9)/1440),"")</f>
        <v/>
      </c>
    </row>
    <row r="78">
      <c r="B78" s="86" t="inlineStr">
        <is>
          <t>FFF</t>
        </is>
      </c>
      <c r="C78" s="87" t="n">
        <v>61082</v>
      </c>
      <c r="D78" s="88">
        <f>_xludf.IFNA(_xlfn.XLOOKUP(C78,'00_SKU_Master'!$B$2:$B$378,'00_SKU_Master'!T:T)/100,"")</f>
        <v/>
      </c>
      <c r="E78" s="89">
        <f>_xludf.IFNA(_xlfn.XLOOKUP(C78,'10_Cone_Line'!$A$3:$A$136,'10_Cone_Line'!$E$3:$E$136,0),"")</f>
        <v/>
      </c>
      <c r="F78" s="89">
        <f>_xludf.IFNA(E78*_xlfn.XLOOKUP(C78,'08_Chart_Data'!$Q$3:$Q$104,'08_Chart_Data'!$S$3:$S$104,0)/D78,"")</f>
        <v/>
      </c>
      <c r="G78" s="90">
        <f>IFERROR(F78/$C$5,"0")</f>
        <v/>
      </c>
      <c r="H78" s="91">
        <f>IFERROR(F78/$C$6,"-")</f>
        <v/>
      </c>
      <c r="I78" s="92">
        <f>IFERROR(IF(H78&lt;0,"",(H78/$C$9)/1440),"")</f>
        <v/>
      </c>
    </row>
    <row r="79">
      <c r="B79" s="86">
        <f>SUM(G80,G75)</f>
        <v/>
      </c>
      <c r="C79" s="87" t="n">
        <v>61086</v>
      </c>
      <c r="D79" s="88">
        <f>_xludf.IFNA(_xlfn.XLOOKUP(C79,'00_SKU_Master'!$B$2:$B$378,'00_SKU_Master'!T:T)/100,"")</f>
        <v/>
      </c>
      <c r="E79" s="89">
        <f>_xludf.IFNA(_xlfn.XLOOKUP(C79,'10_Cone_Line'!$A$3:$A$136,'10_Cone_Line'!$E$3:$E$136,0),"")</f>
        <v/>
      </c>
      <c r="F79" s="89">
        <f>_xludf.IFNA(E79*_xlfn.XLOOKUP(C79,'08_Chart_Data'!$Q$3:$Q$104,'08_Chart_Data'!$S$3:$S$104,0)/D79,"")</f>
        <v/>
      </c>
      <c r="G79" s="90">
        <f>IFERROR(F79/$C$5,"0")</f>
        <v/>
      </c>
      <c r="H79" s="91">
        <f>IFERROR(F79/$C$6,"-")</f>
        <v/>
      </c>
      <c r="I79" s="92">
        <f>IFERROR(IF(H79&lt;0,"",(H79/$C$9)/1440),"")</f>
        <v/>
      </c>
    </row>
    <row r="80">
      <c r="B80" s="86" t="n"/>
      <c r="C80" s="87" t="inlineStr">
        <is>
          <t>61086F</t>
        </is>
      </c>
      <c r="D80" s="88">
        <f>_xludf.IFNA(_xlfn.XLOOKUP(C80,'00_SKU_Master'!$B$2:$B$378,'00_SKU_Master'!T:T)/100,"")</f>
        <v/>
      </c>
      <c r="E80" s="89">
        <f>_xludf.IFNA(_xlfn.XLOOKUP(C80,'10_Cone_Line'!$A$3:$A$136,'10_Cone_Line'!$E$3:$E$136,0),"")</f>
        <v/>
      </c>
      <c r="F80" s="89">
        <f>_xludf.IFNA(E80*_xlfn.XLOOKUP(C80,'08_Chart_Data'!$Q$3:$Q$104,'08_Chart_Data'!$S$3:$S$104,0)/D80,"")</f>
        <v/>
      </c>
      <c r="G80" s="90">
        <f>IFERROR(F80/$C$5,"0")</f>
        <v/>
      </c>
      <c r="H80" s="91">
        <f>IFERROR(F80/$C$6,"-")</f>
        <v/>
      </c>
      <c r="I80" s="92">
        <f>IFERROR(IF(H80&lt;0,"",(H80/$C$9)/1440),"")</f>
        <v/>
      </c>
    </row>
    <row r="81">
      <c r="B81" s="86" t="n"/>
      <c r="C81" s="87" t="n">
        <v>203174</v>
      </c>
      <c r="D81" s="88">
        <f>_xludf.IFNA(_xlfn.XLOOKUP(C81,'00_SKU_Master'!$B$2:$B$378,'00_SKU_Master'!T:T)/100,"")</f>
        <v/>
      </c>
      <c r="E81" s="89">
        <f>_xludf.IFNA(_xlfn.XLOOKUP(C81,'10_Cone_Line'!$A$3:$A$136,'10_Cone_Line'!$E$3:$E$136,0),"")</f>
        <v/>
      </c>
      <c r="F81" s="89">
        <f>_xludf.IFNA(E81*_xlfn.XLOOKUP(C81,'08_Chart_Data'!$Q$3:$Q$104,'08_Chart_Data'!$S$3:$S$104,0)/D81,"")</f>
        <v/>
      </c>
      <c r="G81" s="90">
        <f>IFERROR(F81/$C$5,"0")</f>
        <v/>
      </c>
      <c r="H81" s="91">
        <f>IFERROR(F81/$C$6,"-")</f>
        <v/>
      </c>
      <c r="I81" s="92">
        <f>IFERROR(IF(H81&lt;0,"",(H81/$C$9)/1440),"")</f>
        <v/>
      </c>
    </row>
    <row r="82">
      <c r="B82" s="86" t="n"/>
      <c r="C82" s="87" t="n">
        <v>203175</v>
      </c>
      <c r="D82" s="88">
        <f>_xludf.IFNA(_xlfn.XLOOKUP(C82,'00_SKU_Master'!$B$2:$B$378,'00_SKU_Master'!T:T)/100,"")</f>
        <v/>
      </c>
      <c r="E82" s="89">
        <f>_xludf.IFNA(_xlfn.XLOOKUP(C82,'10_Cone_Line'!$A$3:$A$136,'10_Cone_Line'!$E$3:$E$136,0),"")</f>
        <v/>
      </c>
      <c r="F82" s="89">
        <f>_xludf.IFNA(E82*_xlfn.XLOOKUP(C82,'08_Chart_Data'!$Q$3:$Q$104,'08_Chart_Data'!$S$3:$S$104,0)/D82,"")</f>
        <v/>
      </c>
      <c r="G82" s="90">
        <f>IFERROR(F82/$C$5,"0")</f>
        <v/>
      </c>
      <c r="H82" s="91">
        <f>IFERROR(F82/$C$6,"-")</f>
        <v/>
      </c>
      <c r="I82" s="92">
        <f>IFERROR(IF(H82&lt;0,"",(H82/$C$9)/1440),"")</f>
        <v/>
      </c>
    </row>
    <row r="83">
      <c r="B83" s="86" t="n"/>
      <c r="C83" s="87" t="inlineStr">
        <is>
          <t>61086#2</t>
        </is>
      </c>
      <c r="D83" s="88">
        <f>_xludf.IFNA(_xlfn.XLOOKUP(C83,'00_SKU_Master'!$B$2:$B$378,'00_SKU_Master'!T:T)/100,"")</f>
        <v/>
      </c>
      <c r="E83" s="89">
        <f>_xludf.IFNA(_xlfn.XLOOKUP(C83,'10_Cone_Line'!$A$3:$A$136,'10_Cone_Line'!$E$3:$E$136,0),"")</f>
        <v/>
      </c>
      <c r="F83" s="89">
        <f>_xludf.IFNA(E83*_xlfn.XLOOKUP(C83,'08_Chart_Data'!$Q$3:$Q$104,'08_Chart_Data'!$S$3:$S$104,0)/D83,"")</f>
        <v/>
      </c>
      <c r="G83" s="90">
        <f>IFERROR(F83/$C$5,"0")</f>
        <v/>
      </c>
      <c r="H83" s="91">
        <f>IFERROR(F83/$C$6,"-")</f>
        <v/>
      </c>
      <c r="I83" s="92">
        <f>IFERROR(IF(H83&lt;0,"",(H83/$C$9)/1440),"")</f>
        <v/>
      </c>
    </row>
    <row r="84">
      <c r="B84" s="86" t="n"/>
      <c r="C84" s="87" t="n">
        <v>64</v>
      </c>
      <c r="D84" s="88">
        <f>_xludf.IFNA(_xlfn.XLOOKUP(C84,'00_SKU_Master'!$B$2:$B$378,'00_SKU_Master'!T:T)/100,"")</f>
        <v/>
      </c>
      <c r="E84" s="89">
        <f>_xludf.IFNA(_xlfn.XLOOKUP(C84,'10_Cone_Line'!$A$3:$A$136,'10_Cone_Line'!$E$3:$E$136,0),"")</f>
        <v/>
      </c>
      <c r="F84" s="89">
        <f>_xludf.IFNA(E84*_xlfn.XLOOKUP(C84,'08_Chart_Data'!$Q$3:$Q$104,'08_Chart_Data'!$S$3:$S$104,0)/D84,"")</f>
        <v/>
      </c>
      <c r="G84" s="90">
        <f>IFERROR(F84/$C$5,"0")</f>
        <v/>
      </c>
      <c r="H84" s="91">
        <f>IFERROR(F84/$C$6,"-")</f>
        <v/>
      </c>
      <c r="I84" s="92">
        <f>IFERROR(IF(H84&lt;0,"",(H84/$C$9)/1440),"")</f>
        <v/>
      </c>
    </row>
    <row r="85">
      <c r="B85" s="86" t="n"/>
      <c r="C85" s="87" t="n">
        <v>200064</v>
      </c>
      <c r="D85" s="88">
        <f>_xludf.IFNA(_xlfn.XLOOKUP(C85,'00_SKU_Master'!$B$2:$B$378,'00_SKU_Master'!T:T)/100,"")</f>
        <v/>
      </c>
      <c r="E85" s="89">
        <f>_xludf.IFNA(_xlfn.XLOOKUP(C85,'10_Cone_Line'!$A$3:$A$136,'10_Cone_Line'!$E$3:$E$136,0),"")</f>
        <v/>
      </c>
      <c r="F85" s="89">
        <f>_xludf.IFNA(E85*_xlfn.XLOOKUP(C85,'08_Chart_Data'!$Q$3:$Q$104,'08_Chart_Data'!$S$3:$S$104,0)/D85,"")</f>
        <v/>
      </c>
      <c r="G85" s="90">
        <f>IFERROR(F85/$C$5,"0")</f>
        <v/>
      </c>
      <c r="H85" s="91">
        <f>IFERROR(F85/$C$6,"-")</f>
        <v/>
      </c>
      <c r="I85" s="92">
        <f>IFERROR(IF(H85&lt;0,"",(H85/$C$9)/1440),"")</f>
        <v/>
      </c>
    </row>
    <row r="86">
      <c r="B86" s="86" t="n"/>
      <c r="C86" s="87" t="n">
        <v>902</v>
      </c>
      <c r="D86" s="88">
        <f>_xludf.IFNA(_xlfn.XLOOKUP(C86,'00_SKU_Master'!$B$2:$B$378,'00_SKU_Master'!T:T)/100,"")</f>
        <v/>
      </c>
      <c r="E86" s="89">
        <f>_xludf.IFNA(_xlfn.XLOOKUP(C86,'10_Cone_Line'!$A$3:$A$136,'10_Cone_Line'!$E$3:$E$136,0),"")</f>
        <v/>
      </c>
      <c r="F86" s="89">
        <f>_xludf.IFNA(E86*_xlfn.XLOOKUP(C86,'08_Chart_Data'!$Q$3:$Q$104,'08_Chart_Data'!$S$3:$S$104,0)/D86,"")</f>
        <v/>
      </c>
      <c r="G86" s="90">
        <f>IFERROR(F86/$C$5,"0")</f>
        <v/>
      </c>
      <c r="H86" s="91">
        <f>IFERROR(F86/$C$6,"-")</f>
        <v/>
      </c>
      <c r="I86" s="92">
        <f>IFERROR(IF(H86&lt;0,"",(H86/$C$9)/1440),"")</f>
        <v/>
      </c>
    </row>
    <row r="87">
      <c r="B87" s="86" t="n"/>
      <c r="C87" s="87" t="n">
        <v>834</v>
      </c>
      <c r="D87" s="88">
        <f>_xludf.IFNA(_xlfn.XLOOKUP(C87,'00_SKU_Master'!$B$2:$B$378,'00_SKU_Master'!T:T)/100,"")</f>
        <v/>
      </c>
      <c r="E87" s="89">
        <f>_xludf.IFNA(_xlfn.XLOOKUP(C87,'10_Cone_Line'!$A$3:$A$136,'10_Cone_Line'!$E$3:$E$136,0),"")</f>
        <v/>
      </c>
      <c r="F87" s="89">
        <f>_xludf.IFNA(E87*_xlfn.XLOOKUP(C87,'08_Chart_Data'!$Q$3:$Q$104,'08_Chart_Data'!$S$3:$S$104,0)/D87,"")</f>
        <v/>
      </c>
      <c r="G87" s="90">
        <f>IFERROR(F87/$C$5,"0")</f>
        <v/>
      </c>
      <c r="H87" s="91">
        <f>IFERROR(F87/$C$6,"-")</f>
        <v/>
      </c>
      <c r="I87" s="92">
        <f>IFERROR(IF(H87&lt;0,"",(H87/$C$9)/1440),"")</f>
        <v/>
      </c>
    </row>
    <row r="88">
      <c r="B88" s="86" t="n"/>
      <c r="C88" s="87" t="inlineStr">
        <is>
          <t>ZH61086F</t>
        </is>
      </c>
      <c r="D88" s="88">
        <f>_xludf.IFNA(_xlfn.XLOOKUP(C88,'00_SKU_Master'!$B$2:$B$378,'00_SKU_Master'!T:T)/100,"")</f>
        <v/>
      </c>
      <c r="E88" s="89">
        <f>_xludf.IFNA(_xlfn.XLOOKUP(C88,'10_Cone_Line'!$A$3:$A$136,'10_Cone_Line'!$E$3:$E$136,0),"")</f>
        <v/>
      </c>
      <c r="F88" s="89">
        <f>_xludf.IFNA(E88*_xlfn.XLOOKUP(C88,'08_Chart_Data'!$Q$3:$Q$104,'08_Chart_Data'!$S$3:$S$104,0)/D88,"")</f>
        <v/>
      </c>
      <c r="G88" s="90">
        <f>IFERROR(F88/$C$5,"0")</f>
        <v/>
      </c>
      <c r="H88" s="91">
        <f>IFERROR(F88/$C$6,"-")</f>
        <v/>
      </c>
      <c r="I88" s="92">
        <f>IFERROR(IF(H88&lt;0,"",(H88/$C$9)/1440),"")</f>
        <v/>
      </c>
    </row>
    <row r="89">
      <c r="B89" s="86" t="n"/>
      <c r="C89" s="87" t="n">
        <v>1412</v>
      </c>
      <c r="D89" s="88">
        <f>_xludf.IFNA(_xlfn.XLOOKUP(C89,'00_SKU_Master'!$B$2:$B$378,'00_SKU_Master'!T:T)/100,"")</f>
        <v/>
      </c>
      <c r="E89" s="89">
        <f>_xludf.IFNA(_xlfn.XLOOKUP(C89,'10_Cone_Line'!$A$3:$A$136,'10_Cone_Line'!$E$3:$E$136,0),"")</f>
        <v/>
      </c>
      <c r="F89" s="89">
        <f>_xludf.IFNA(E89*_xlfn.XLOOKUP(C89,'08_Chart_Data'!$Q$3:$Q$104,'08_Chart_Data'!$S$3:$S$104,0)/D89,"")</f>
        <v/>
      </c>
      <c r="G89" s="90">
        <f>IFERROR(F89/$C$5,"0")</f>
        <v/>
      </c>
      <c r="H89" s="91">
        <f>IFERROR(F89/$C$6,"-")</f>
        <v/>
      </c>
      <c r="I89" s="92">
        <f>IFERROR(IF(H89&lt;0,"",(H89/$C$9)/1440),"")</f>
        <v/>
      </c>
    </row>
    <row r="90">
      <c r="B90" s="86" t="n"/>
      <c r="C90" s="87" t="n">
        <v>161</v>
      </c>
      <c r="D90" s="88">
        <f>_xludf.IFNA(_xlfn.XLOOKUP(C90,'00_SKU_Master'!$B$2:$B$378,'00_SKU_Master'!T:T)/100,"")</f>
        <v/>
      </c>
      <c r="E90" s="89">
        <f>_xludf.IFNA(_xlfn.XLOOKUP(C90,'10_Cone_Line'!$A$3:$A$136,'10_Cone_Line'!$E$3:$E$136,0),"")</f>
        <v/>
      </c>
      <c r="F90" s="89">
        <f>_xludf.IFNA(E90*_xlfn.XLOOKUP(C90,'08_Chart_Data'!$Q$3:$Q$104,'08_Chart_Data'!$S$3:$S$104,0)/D90,"")</f>
        <v/>
      </c>
      <c r="G90" s="90">
        <f>IFERROR(F90/$C$5,"0")</f>
        <v/>
      </c>
      <c r="H90" s="91">
        <f>IFERROR(F90/$C$6,"-")</f>
        <v/>
      </c>
      <c r="I90" s="92">
        <f>IFERROR(IF(H90&lt;0,"",(H90/$C$9)/1440),"")</f>
        <v/>
      </c>
    </row>
    <row r="91">
      <c r="B91" s="86" t="n"/>
      <c r="C91" s="87" t="inlineStr">
        <is>
          <t>61086C</t>
        </is>
      </c>
      <c r="D91" s="88">
        <f>_xludf.IFNA(_xlfn.XLOOKUP(C91,'00_SKU_Master'!$B$2:$B$378,'00_SKU_Master'!T:T)/100,"")</f>
        <v/>
      </c>
      <c r="E91" s="89">
        <f>_xludf.IFNA(_xlfn.XLOOKUP(C91,'10_Cone_Line'!$A$3:$A$136,'10_Cone_Line'!$E$3:$E$136,0),"")</f>
        <v/>
      </c>
      <c r="F91" s="89">
        <f>_xludf.IFNA(E91*_xlfn.XLOOKUP(C91,'08_Chart_Data'!$Q$3:$Q$104,'08_Chart_Data'!$S$3:$S$104,0)/D91,"")</f>
        <v/>
      </c>
      <c r="G91" s="90">
        <f>IFERROR(F91/$C$5,"0")</f>
        <v/>
      </c>
      <c r="H91" s="91">
        <f>IFERROR(F91/$C$6,"-")</f>
        <v/>
      </c>
      <c r="I91" s="92">
        <f>IFERROR(IF(H91&lt;0,"",(H91/$C$9)/1440),"")</f>
        <v/>
      </c>
    </row>
    <row r="92">
      <c r="B92" s="86" t="inlineStr">
        <is>
          <t>Manual</t>
        </is>
      </c>
      <c r="C92" s="87" t="n">
        <v>203148</v>
      </c>
      <c r="D92" s="88">
        <f>_xludf.IFNA(_xlfn.XLOOKUP(C92,'00_SKU_Master'!$B$2:$B$378,'00_SKU_Master'!T:T)/100,"")</f>
        <v/>
      </c>
      <c r="E92" s="89">
        <f>_xludf.IFNA(_xlfn.XLOOKUP(C92,'10_Cone_Line'!$A$3:$A$136,'10_Cone_Line'!$E$3:$E$136,0),"")</f>
        <v/>
      </c>
      <c r="F92" s="89">
        <f>_xludf.IFNA(E92*_xlfn.XLOOKUP(C92,'08_Chart_Data'!$Q$3:$Q$104,'08_Chart_Data'!$S$3:$S$104,0)/D92,"")</f>
        <v/>
      </c>
      <c r="G92" s="90">
        <f>IFERROR(F92/$C$5,"0")</f>
        <v/>
      </c>
      <c r="H92" s="91">
        <f>IFERROR(F92/$C$6,"-")</f>
        <v/>
      </c>
      <c r="I92" s="92">
        <f>IFERROR(IF(H92&lt;0,"",(H92/$C$9)/1440),"")</f>
        <v/>
      </c>
    </row>
    <row r="93">
      <c r="B93" s="93" t="inlineStr">
        <is>
          <t>DRUM</t>
        </is>
      </c>
      <c r="C93" s="94" t="n">
        <v>61072</v>
      </c>
      <c r="D93" s="95">
        <f>_xludf.IFNA(_xlfn.XLOOKUP(C93,'00_SKU_Master'!$B$2:$B$378,'00_SKU_Master'!T:T)/100,"")</f>
        <v/>
      </c>
      <c r="E93" s="96">
        <f>_xludf.IFNA(_xlfn.XLOOKUP(C93,'10_Cone_Line'!$A$3:$A$136,'10_Cone_Line'!$E$3:$E$136,0),"")</f>
        <v/>
      </c>
      <c r="F93" s="96">
        <f>_xludf.IFNA(E93*_xlfn.XLOOKUP(C93,'08_Chart_Data'!$Q$3:$Q$104,'08_Chart_Data'!$S$3:$S$104,0)/D93,"")</f>
        <v/>
      </c>
      <c r="G93" s="97">
        <f>IFERROR(F93/$C$5,"0")</f>
        <v/>
      </c>
      <c r="H93" s="98">
        <f>IFERROR(F93/$C$6,"-")</f>
        <v/>
      </c>
      <c r="I93" s="99">
        <f>IFERROR(IF(H93&lt;0,"",(H93/$C$9)/1440),"")</f>
        <v/>
      </c>
    </row>
    <row r="94">
      <c r="B94" s="93" t="n"/>
      <c r="C94" s="94" t="inlineStr">
        <is>
          <t>61072F</t>
        </is>
      </c>
      <c r="D94" s="95">
        <f>_xludf.IFNA(_xlfn.XLOOKUP(C94,'00_SKU_Master'!$B$2:$B$378,'00_SKU_Master'!T:T)/100,"")</f>
        <v/>
      </c>
      <c r="E94" s="96">
        <f>_xludf.IFNA(_xlfn.XLOOKUP(C94,'10_Cone_Line'!$A$3:$A$136,'10_Cone_Line'!$E$3:$E$136,0),"")</f>
        <v/>
      </c>
      <c r="F94" s="96">
        <f>_xludf.IFNA(E94*_xlfn.XLOOKUP(C94,'08_Chart_Data'!$Q$3:$Q$104,'08_Chart_Data'!$S$3:$S$104,0)/D94,"")</f>
        <v/>
      </c>
      <c r="G94" s="97">
        <f>IFERROR(F94/$C$5,"0")</f>
        <v/>
      </c>
      <c r="H94" s="98">
        <f>IFERROR(F94/$C$6,"-")</f>
        <v/>
      </c>
      <c r="I94" s="99">
        <f>IFERROR(IF(H94&lt;0,"",(H94/$C$9)/1440),"")</f>
        <v/>
      </c>
    </row>
    <row r="95">
      <c r="B95" s="93">
        <f>SUMIF(G93:G105,"&gt;0")</f>
        <v/>
      </c>
      <c r="C95" s="94" t="n">
        <v>203171</v>
      </c>
      <c r="D95" s="95">
        <f>_xludf.IFNA(_xlfn.XLOOKUP(C95,'00_SKU_Master'!$B$2:$B$378,'00_SKU_Master'!T:T)/100,"")</f>
        <v/>
      </c>
      <c r="E95" s="96">
        <f>_xludf.IFNA(_xlfn.XLOOKUP(C95,'10_Cone_Line'!$A$3:$A$136,'10_Cone_Line'!$E$3:$E$136,0),"")</f>
        <v/>
      </c>
      <c r="F95" s="96">
        <f>_xludf.IFNA(E95*_xlfn.XLOOKUP(C95,'08_Chart_Data'!$Q$3:$Q$104,'08_Chart_Data'!$S$3:$S$104,0)/D95,"")</f>
        <v/>
      </c>
      <c r="G95" s="97">
        <f>IFERROR(F95/$C$5,"0")</f>
        <v/>
      </c>
      <c r="H95" s="98">
        <f>IFERROR(F95/$C$6,"-")</f>
        <v/>
      </c>
      <c r="I95" s="99">
        <f>IFERROR(IF(H95&lt;0,"",(H95/$C$9)/1440),"")</f>
        <v/>
      </c>
    </row>
    <row r="96">
      <c r="B96" s="93" t="n"/>
      <c r="C96" s="94" t="inlineStr">
        <is>
          <t>61072#2</t>
        </is>
      </c>
      <c r="D96" s="95">
        <f>_xludf.IFNA(_xlfn.XLOOKUP(C96,'00_SKU_Master'!$B$2:$B$378,'00_SKU_Master'!T:T)/100,"")</f>
        <v/>
      </c>
      <c r="E96" s="96">
        <f>_xludf.IFNA(_xlfn.XLOOKUP(C96,'10_Cone_Line'!$A$3:$A$136,'10_Cone_Line'!$E$3:$E$136,0),"")</f>
        <v/>
      </c>
      <c r="F96" s="96">
        <f>_xludf.IFNA(E96*_xlfn.XLOOKUP(C96,'08_Chart_Data'!$Q$3:$Q$104,'08_Chart_Data'!$S$3:$S$104,0)/D96,"")</f>
        <v/>
      </c>
      <c r="G96" s="97">
        <f>IFERROR(F96/$C$5,"0")</f>
        <v/>
      </c>
      <c r="H96" s="98">
        <f>IFERROR(F96/$C$6,"-")</f>
        <v/>
      </c>
      <c r="I96" s="99">
        <f>IFERROR(IF(H96&lt;0,"",(H96/$C$9)/1440),"")</f>
        <v/>
      </c>
    </row>
    <row r="97">
      <c r="B97" s="93" t="inlineStr">
        <is>
          <t>FFF</t>
        </is>
      </c>
      <c r="C97" s="94" t="n"/>
      <c r="D97" s="95">
        <f>_xludf.IFNA(_xlfn.XLOOKUP(C97,'00_SKU_Master'!$B$2:$B$378,'00_SKU_Master'!T:T)/100,"")</f>
        <v/>
      </c>
      <c r="E97" s="96">
        <f>_xludf.IFNA(_xlfn.XLOOKUP(C97,'10_Cone_Line'!$A$3:$A$136,'10_Cone_Line'!$E$3:$E$136,0),"")</f>
        <v/>
      </c>
      <c r="F97" s="96">
        <f>_xludf.IFNA(E97*_xlfn.XLOOKUP(C97,'08_Chart_Data'!$Q$3:$Q$104,'08_Chart_Data'!$S$3:$S$104,0)/D97,"")</f>
        <v/>
      </c>
      <c r="G97" s="97">
        <f>IFERROR(F97/$C$5,"0")</f>
        <v/>
      </c>
      <c r="H97" s="98">
        <f>IFERROR(F97/$C$6,"-")</f>
        <v/>
      </c>
      <c r="I97" s="99">
        <f>IFERROR(IF(H97&lt;0,"",(H97/$C$9)/1440),"")</f>
        <v/>
      </c>
    </row>
    <row r="98">
      <c r="B98" s="93">
        <f>G94</f>
        <v/>
      </c>
      <c r="C98" s="94" t="n">
        <v>895</v>
      </c>
      <c r="D98" s="95">
        <f>_xludf.IFNA(_xlfn.XLOOKUP(C98,'00_SKU_Master'!$B$2:$B$378,'00_SKU_Master'!T:T)/100,"")</f>
        <v/>
      </c>
      <c r="E98" s="96">
        <f>_xludf.IFNA(_xlfn.XLOOKUP(C98,'10_Cone_Line'!$A$3:$A$136,'10_Cone_Line'!$E$3:$E$136,0),"")</f>
        <v/>
      </c>
      <c r="F98" s="96">
        <f>_xludf.IFNA(E98*_xlfn.XLOOKUP(C98,'08_Chart_Data'!$Q$3:$Q$104,'08_Chart_Data'!$S$3:$S$104,0)/D98,"")</f>
        <v/>
      </c>
      <c r="G98" s="97">
        <f>IFERROR(F98/$C$5,"0")</f>
        <v/>
      </c>
      <c r="H98" s="98">
        <f>IFERROR(F98/$C$6,"-")</f>
        <v/>
      </c>
      <c r="I98" s="99">
        <f>IFERROR(IF(H98&lt;0,"",(H98/$C$9)/1440),"")</f>
        <v/>
      </c>
    </row>
    <row r="99">
      <c r="B99" s="93" t="n"/>
      <c r="C99" s="94" t="n">
        <v>200095</v>
      </c>
      <c r="D99" s="95">
        <f>_xludf.IFNA(_xlfn.XLOOKUP(C99,'00_SKU_Master'!$B$2:$B$378,'00_SKU_Master'!T:T)/100,"")</f>
        <v/>
      </c>
      <c r="E99" s="96">
        <f>_xludf.IFNA(_xlfn.XLOOKUP(C99,'10_Cone_Line'!$A$3:$A$136,'10_Cone_Line'!$E$3:$E$136,0),"")</f>
        <v/>
      </c>
      <c r="F99" s="96">
        <f>_xludf.IFNA(E99*_xlfn.XLOOKUP(C99,'08_Chart_Data'!$Q$3:$Q$104,'08_Chart_Data'!$S$3:$S$104,0)/D99,"")</f>
        <v/>
      </c>
      <c r="G99" s="97">
        <f>IFERROR(F99/$C$5,"0")</f>
        <v/>
      </c>
      <c r="H99" s="98">
        <f>IFERROR(F99/$C$6,"-")</f>
        <v/>
      </c>
      <c r="I99" s="99">
        <f>IFERROR(IF(H99&lt;0,"",(H99/$C$9)/1440),"")</f>
        <v/>
      </c>
    </row>
    <row r="100">
      <c r="B100" s="93" t="n"/>
      <c r="C100" s="94" t="n">
        <v>61073</v>
      </c>
      <c r="D100" s="95">
        <f>_xludf.IFNA(_xlfn.XLOOKUP(C100,'00_SKU_Master'!$B$2:$B$378,'00_SKU_Master'!T:T)/100,"")</f>
        <v/>
      </c>
      <c r="E100" s="96">
        <f>_xludf.IFNA(_xlfn.XLOOKUP(C100,'10_Cone_Line'!$A$3:$A$136,'10_Cone_Line'!$E$3:$E$136,0),"")</f>
        <v/>
      </c>
      <c r="F100" s="96">
        <f>_xludf.IFNA(E100*_xlfn.XLOOKUP(C100,'08_Chart_Data'!$Q$3:$Q$104,'08_Chart_Data'!$S$3:$S$104,0)/D100,"")</f>
        <v/>
      </c>
      <c r="G100" s="97">
        <f>IFERROR(F100/$C$5,"0")</f>
        <v/>
      </c>
      <c r="H100" s="98">
        <f>IFERROR(F100/$C$6,"-")</f>
        <v/>
      </c>
      <c r="I100" s="99">
        <f>IFERROR(IF(H100&lt;0,"",(H100/$C$9)/1440),"")</f>
        <v/>
      </c>
    </row>
    <row r="101">
      <c r="B101" s="93" t="n"/>
      <c r="C101" s="94" t="n">
        <v>2235</v>
      </c>
      <c r="D101" s="95">
        <f>_xludf.IFNA(_xlfn.XLOOKUP(C101,'00_SKU_Master'!$B$2:$B$378,'00_SKU_Master'!T:T)/100,"")</f>
        <v/>
      </c>
      <c r="E101" s="96">
        <f>_xludf.IFNA(_xlfn.XLOOKUP(C101,'10_Cone_Line'!$A$3:$A$136,'10_Cone_Line'!$E$3:$E$136,0),"")</f>
        <v/>
      </c>
      <c r="F101" s="96">
        <f>_xludf.IFNA(E101*_xlfn.XLOOKUP(C101,'08_Chart_Data'!$Q$3:$Q$104,'08_Chart_Data'!$S$3:$S$104,0)/D101,"")</f>
        <v/>
      </c>
      <c r="G101" s="97">
        <f>IFERROR(F101/$C$5,"0")</f>
        <v/>
      </c>
      <c r="H101" s="98">
        <f>IFERROR(F101/$C$6,"-")</f>
        <v/>
      </c>
      <c r="I101" s="99">
        <f>IFERROR(IF(H101&lt;0,"",(H101/$C$9)/1440),"")</f>
        <v/>
      </c>
    </row>
    <row r="102">
      <c r="B102" s="93" t="n"/>
      <c r="C102" s="94" t="n">
        <v>160</v>
      </c>
      <c r="D102" s="95">
        <f>_xludf.IFNA(_xlfn.XLOOKUP(C102,'00_SKU_Master'!$B$2:$B$378,'00_SKU_Master'!T:T)/100,"")</f>
        <v/>
      </c>
      <c r="E102" s="96">
        <f>_xludf.IFNA(_xlfn.XLOOKUP(C102,'10_Cone_Line'!$A$3:$A$136,'10_Cone_Line'!$E$3:$E$136,0),"")</f>
        <v/>
      </c>
      <c r="F102" s="96">
        <f>_xludf.IFNA(E102*_xlfn.XLOOKUP(C102,'08_Chart_Data'!$Q$3:$Q$104,'08_Chart_Data'!$S$3:$S$104,0)/D102,"")</f>
        <v/>
      </c>
      <c r="G102" s="97">
        <f>IFERROR(F102/$C$5,"0")</f>
        <v/>
      </c>
      <c r="H102" s="98">
        <f>IFERROR(F102/$C$6,"-")</f>
        <v/>
      </c>
      <c r="I102" s="99">
        <f>IFERROR(IF(H102&lt;0,"",(H102/$C$9)/1440),"")</f>
        <v/>
      </c>
    </row>
    <row r="103">
      <c r="B103" s="93" t="n"/>
      <c r="C103" s="94" t="n">
        <v>1083</v>
      </c>
      <c r="D103" s="95">
        <f>_xludf.IFNA(_xlfn.XLOOKUP(C103,'00_SKU_Master'!$B$2:$B$378,'00_SKU_Master'!T:T)/100,"")</f>
        <v/>
      </c>
      <c r="E103" s="96">
        <f>_xludf.IFNA(_xlfn.XLOOKUP(C103,'10_Cone_Line'!$A$3:$A$136,'10_Cone_Line'!$E$3:$E$136,0),"")</f>
        <v/>
      </c>
      <c r="F103" s="96">
        <f>_xludf.IFNA(E103*_xlfn.XLOOKUP(C103,'08_Chart_Data'!$Q$3:$Q$104,'08_Chart_Data'!$S$3:$S$104,0)/D103,"")</f>
        <v/>
      </c>
      <c r="G103" s="97">
        <f>IFERROR(F103/$C$5,"0")</f>
        <v/>
      </c>
      <c r="H103" s="98">
        <f>IFERROR(F103/$C$6,"-")</f>
        <v/>
      </c>
      <c r="I103" s="99">
        <f>IFERROR(IF(H103&lt;0,"",(H103/$C$9)/1440),"")</f>
        <v/>
      </c>
    </row>
    <row r="104">
      <c r="B104" s="93" t="n"/>
      <c r="C104" s="94" t="inlineStr">
        <is>
          <t>ZH61072</t>
        </is>
      </c>
      <c r="D104" s="95">
        <f>_xludf.IFNA(_xlfn.XLOOKUP(C104,'00_SKU_Master'!$B$2:$B$378,'00_SKU_Master'!T:T)/100,"")</f>
        <v/>
      </c>
      <c r="E104" s="96">
        <f>_xludf.IFNA(_xlfn.XLOOKUP(C104,'10_Cone_Line'!$A$3:$A$136,'10_Cone_Line'!$E$3:$E$136,0),"")</f>
        <v/>
      </c>
      <c r="F104" s="96">
        <f>_xludf.IFNA(E104*_xlfn.XLOOKUP(C104,'08_Chart_Data'!$Q$3:$Q$104,'08_Chart_Data'!$S$3:$S$104,0)/D104,"")</f>
        <v/>
      </c>
      <c r="G104" s="97">
        <f>IFERROR(F104/$C$5,"0")</f>
        <v/>
      </c>
      <c r="H104" s="98">
        <f>IFERROR(F104/$C$6,"-")</f>
        <v/>
      </c>
      <c r="I104" s="99">
        <f>IFERROR(IF(H104&lt;0,"",(H104/$C$9)/1440),"")</f>
        <v/>
      </c>
    </row>
    <row r="105">
      <c r="B105" s="93" t="n"/>
      <c r="C105" s="94" t="inlineStr">
        <is>
          <t>61072C</t>
        </is>
      </c>
      <c r="D105" s="95">
        <f>_xludf.IFNA(_xlfn.XLOOKUP(C105,'00_SKU_Master'!$B$2:$B$378,'00_SKU_Master'!T:T)/100,"")</f>
        <v/>
      </c>
      <c r="E105" s="96">
        <f>_xludf.IFNA(_xlfn.XLOOKUP(C105,'10_Cone_Line'!$A$3:$A$136,'10_Cone_Line'!$E$3:$E$136,0),"")</f>
        <v/>
      </c>
      <c r="F105" s="96">
        <f>_xludf.IFNA(E105*_xlfn.XLOOKUP(C105,'08_Chart_Data'!$Q$3:$Q$104,'08_Chart_Data'!$S$3:$S$104,0)/D105,"")</f>
        <v/>
      </c>
      <c r="G105" s="97">
        <f>IFERROR(F105/$C$5,"0")</f>
        <v/>
      </c>
      <c r="H105" s="98">
        <f>IFERROR(F105/$C$6,"-")</f>
        <v/>
      </c>
      <c r="I105" s="99">
        <f>IFERROR(IF(H105&lt;0,"",(H105/$C$9)/1440),"")</f>
        <v/>
      </c>
    </row>
    <row r="106">
      <c r="B106" s="100" t="inlineStr">
        <is>
          <t>B.A LEG</t>
        </is>
      </c>
      <c r="C106" s="101" t="n">
        <v>61061</v>
      </c>
      <c r="D106" s="102">
        <f>_xludf.IFNA(_xlfn.XLOOKUP(C106,'00_SKU_Master'!$B$2:$B$378,'00_SKU_Master'!T:T)/100,"")</f>
        <v/>
      </c>
      <c r="E106" s="103">
        <f>_xludf.IFNA(_xlfn.XLOOKUP(C106,'10_Cone_Line'!$A$3:$A$136,'10_Cone_Line'!$E$3:$E$136,0),"")</f>
        <v/>
      </c>
      <c r="F106" s="103">
        <f>_xludf.IFNA(E106*_xlfn.XLOOKUP(C106,'08_Chart_Data'!$Q$3:$Q$104,'08_Chart_Data'!$S$3:$S$104,0)/D106,"")</f>
        <v/>
      </c>
      <c r="G106" s="104">
        <f>IFERROR(F106/$C$5,"0")</f>
        <v/>
      </c>
      <c r="H106" s="105">
        <f>IFERROR(F106/$C$6,"-")</f>
        <v/>
      </c>
      <c r="I106" s="106">
        <f>IFERROR(IF(H106&lt;0,"",(H106/$C$9)/1440),"")</f>
        <v/>
      </c>
    </row>
    <row r="107">
      <c r="B107" s="100" t="n"/>
      <c r="C107" s="101" t="n">
        <v>1887</v>
      </c>
      <c r="D107" s="102">
        <f>_xludf.IFNA(_xlfn.XLOOKUP(C107,'00_SKU_Master'!$B$2:$B$378,'00_SKU_Master'!T:T)/100,"")</f>
        <v/>
      </c>
      <c r="E107" s="103">
        <f>_xludf.IFNA(_xlfn.XLOOKUP(C107,'10_Cone_Line'!$A$3:$A$136,'10_Cone_Line'!$E$3:$E$136,0),"")</f>
        <v/>
      </c>
      <c r="F107" s="103">
        <f>_xludf.IFNA(E107*_xlfn.XLOOKUP(C107,'08_Chart_Data'!$Q$3:$Q$104,'08_Chart_Data'!$S$3:$S$104,0)/D107,"")</f>
        <v/>
      </c>
      <c r="G107" s="104">
        <f>IFERROR(F107/$C$5,"0")</f>
        <v/>
      </c>
      <c r="H107" s="105">
        <f>IFERROR(F107/$C$6,"-")</f>
        <v/>
      </c>
      <c r="I107" s="106">
        <f>IFERROR(IF(H107&lt;0,"",(H107/$C$9)/1440),"")</f>
        <v/>
      </c>
    </row>
    <row r="108">
      <c r="B108" s="100">
        <f>SUMIF(G106:G115,"&gt;0")</f>
        <v/>
      </c>
      <c r="C108" s="101" t="inlineStr">
        <is>
          <t>61061F</t>
        </is>
      </c>
      <c r="D108" s="102">
        <f>_xludf.IFNA(_xlfn.XLOOKUP(C108,'00_SKU_Master'!$B$2:$B$378,'00_SKU_Master'!T:T)/100,"")</f>
        <v/>
      </c>
      <c r="E108" s="103">
        <f>_xludf.IFNA(_xlfn.XLOOKUP(C108,'10_Cone_Line'!$A$3:$A$136,'10_Cone_Line'!$E$3:$E$136,0),"")</f>
        <v/>
      </c>
      <c r="F108" s="103">
        <f>_xludf.IFNA(E108*_xlfn.XLOOKUP(C108,'08_Chart_Data'!$Q$3:$Q$104,'08_Chart_Data'!$S$3:$S$104,0)/D108,"")</f>
        <v/>
      </c>
      <c r="G108" s="104">
        <f>IFERROR(F108/$C$5,"0")</f>
        <v/>
      </c>
      <c r="H108" s="105">
        <f>IFERROR(F108/$C$6,"-")</f>
        <v/>
      </c>
      <c r="I108" s="106">
        <f>IFERROR(IF(H108&lt;0,"",(H108/$C$9)/1440),"")</f>
        <v/>
      </c>
    </row>
    <row r="109">
      <c r="B109" s="100" t="n"/>
      <c r="C109" s="101" t="n">
        <v>200903</v>
      </c>
      <c r="D109" s="102">
        <f>_xludf.IFNA(_xlfn.XLOOKUP(C109,'00_SKU_Master'!$B$2:$B$378,'00_SKU_Master'!T:T)/100,"")</f>
        <v/>
      </c>
      <c r="E109" s="103">
        <f>_xludf.IFNA(_xlfn.XLOOKUP(C109,'10_Cone_Line'!$A$3:$A$136,'10_Cone_Line'!$E$3:$E$136,0),"")</f>
        <v/>
      </c>
      <c r="F109" s="103">
        <f>_xludf.IFNA(E109*_xlfn.XLOOKUP(C109,'08_Chart_Data'!$Q$3:$Q$104,'08_Chart_Data'!$S$3:$S$104,0)/D109,"")</f>
        <v/>
      </c>
      <c r="G109" s="104">
        <f>IFERROR(F109/$C$5,"0")</f>
        <v/>
      </c>
      <c r="H109" s="105">
        <f>IFERROR(F109/$C$6,"-")</f>
        <v/>
      </c>
      <c r="I109" s="106">
        <f>IFERROR(IF(H109&lt;0,"",(H109/$C$9)/1440),"")</f>
        <v/>
      </c>
    </row>
    <row r="110">
      <c r="B110" s="100" t="n"/>
      <c r="C110" s="101" t="n">
        <v>61062</v>
      </c>
      <c r="D110" s="102">
        <f>_xludf.IFNA(_xlfn.XLOOKUP(C110,'00_SKU_Master'!$B$2:$B$378,'00_SKU_Master'!T:T)/100,"")</f>
        <v/>
      </c>
      <c r="E110" s="103">
        <f>_xludf.IFNA(_xlfn.XLOOKUP(C110,'10_Cone_Line'!$A$3:$A$136,'10_Cone_Line'!$E$3:$E$136,0),"")</f>
        <v/>
      </c>
      <c r="F110" s="103">
        <f>_xludf.IFNA(E110*_xlfn.XLOOKUP(C110,'08_Chart_Data'!$Q$3:$Q$104,'08_Chart_Data'!$S$3:$S$104,0)/D110,"")</f>
        <v/>
      </c>
      <c r="G110" s="104">
        <f>IFERROR(F110/$C$5,"0")</f>
        <v/>
      </c>
      <c r="H110" s="105">
        <f>IFERROR(F110/$C$6,"-")</f>
        <v/>
      </c>
      <c r="I110" s="106">
        <f>IFERROR(IF(H110&lt;0,"",(H110/$C$9)/1440),"")</f>
        <v/>
      </c>
    </row>
    <row r="111">
      <c r="B111" s="100" t="n"/>
      <c r="C111" s="101" t="n">
        <v>159</v>
      </c>
      <c r="D111" s="102">
        <f>_xludf.IFNA(_xlfn.XLOOKUP(C111,'00_SKU_Master'!$B$2:$B$378,'00_SKU_Master'!T:T)/100,"")</f>
        <v/>
      </c>
      <c r="E111" s="103">
        <f>_xludf.IFNA(_xlfn.XLOOKUP(C111,'10_Cone_Line'!$A$3:$A$136,'10_Cone_Line'!$E$3:$E$136,0),"")</f>
        <v/>
      </c>
      <c r="F111" s="103">
        <f>_xludf.IFNA(E111*_xlfn.XLOOKUP(C111,'08_Chart_Data'!$Q$3:$Q$104,'08_Chart_Data'!$S$3:$S$104,0)/D111,"")</f>
        <v/>
      </c>
      <c r="G111" s="104">
        <f>IFERROR(F111/$C$5,"0")</f>
        <v/>
      </c>
      <c r="H111" s="105">
        <f>IFERROR(F111/$C$6,"-")</f>
        <v/>
      </c>
      <c r="I111" s="106">
        <f>IFERROR(IF(H111&lt;0,"",(H111/$C$9)/1440),"")</f>
        <v/>
      </c>
    </row>
    <row r="112">
      <c r="B112" s="100" t="n"/>
      <c r="C112" s="101" t="n">
        <v>203033</v>
      </c>
      <c r="D112" s="102">
        <f>_xludf.IFNA(_xlfn.XLOOKUP(C112,'00_SKU_Master'!$B$2:$B$378,'00_SKU_Master'!T:T)/100,"")</f>
        <v/>
      </c>
      <c r="E112" s="103">
        <f>_xludf.IFNA(_xlfn.XLOOKUP(C112,'10_Cone_Line'!$A$3:$A$136,'10_Cone_Line'!$E$3:$E$136,0),"")</f>
        <v/>
      </c>
      <c r="F112" s="103">
        <f>_xludf.IFNA(E112*_xlfn.XLOOKUP(C112,'08_Chart_Data'!$Q$3:$Q$104,'08_Chart_Data'!$S$3:$S$104,0)/D112,"")</f>
        <v/>
      </c>
      <c r="G112" s="104">
        <f>IFERROR(F112/$C$5,"0")</f>
        <v/>
      </c>
      <c r="H112" s="105">
        <f>IFERROR(F112/$C$6,"-")</f>
        <v/>
      </c>
      <c r="I112" s="106">
        <f>IFERROR(IF(H112&lt;0,"",(H112/$C$9)/1440),"")</f>
        <v/>
      </c>
    </row>
    <row r="113">
      <c r="B113" s="100" t="n"/>
      <c r="C113" s="101" t="n">
        <v>200159</v>
      </c>
      <c r="D113" s="102">
        <f>_xludf.IFNA(_xlfn.XLOOKUP(C113,'00_SKU_Master'!$B$2:$B$378,'00_SKU_Master'!T:T)/100,"")</f>
        <v/>
      </c>
      <c r="E113" s="103">
        <f>_xludf.IFNA(_xlfn.XLOOKUP(C113,'10_Cone_Line'!$A$3:$A$136,'10_Cone_Line'!$E$3:$E$136,0),"")</f>
        <v/>
      </c>
      <c r="F113" s="103">
        <f>_xludf.IFNA(E113*_xlfn.XLOOKUP(C113,'08_Chart_Data'!$Q$3:$Q$104,'08_Chart_Data'!$S$3:$S$104,0)/D113,"")</f>
        <v/>
      </c>
      <c r="G113" s="104">
        <f>IFERROR(F113/$C$5,"0")</f>
        <v/>
      </c>
      <c r="H113" s="105">
        <f>IFERROR(F113/$C$6,"-")</f>
        <v/>
      </c>
      <c r="I113" s="106">
        <f>IFERROR(IF(H113&lt;0,"",(H113/$C$9)/1440),"")</f>
        <v/>
      </c>
    </row>
    <row r="114">
      <c r="B114" s="100" t="n"/>
      <c r="C114" s="101" t="inlineStr">
        <is>
          <t>ZH61061</t>
        </is>
      </c>
      <c r="D114" s="102">
        <f>_xludf.IFNA(_xlfn.XLOOKUP(C114,'00_SKU_Master'!$B$2:$B$378,'00_SKU_Master'!T:T)/100,"")</f>
        <v/>
      </c>
      <c r="E114" s="103">
        <f>_xludf.IFNA(_xlfn.XLOOKUP(C114,'10_Cone_Line'!$A$3:$A$136,'10_Cone_Line'!$E$3:$E$136,0),"")</f>
        <v/>
      </c>
      <c r="F114" s="103">
        <f>_xludf.IFNA(E114*_xlfn.XLOOKUP(C114,'08_Chart_Data'!$Q$3:$Q$104,'08_Chart_Data'!$S$3:$S$104,0)/D114,"")</f>
        <v/>
      </c>
      <c r="G114" s="104">
        <f>IFERROR(F114/$C$5,"0")</f>
        <v/>
      </c>
      <c r="H114" s="105">
        <f>IFERROR(F114/$C$6,"-")</f>
        <v/>
      </c>
      <c r="I114" s="106">
        <f>IFERROR(IF(H114&lt;0,"",(H114/$C$9)/1440),"")</f>
        <v/>
      </c>
    </row>
    <row r="115">
      <c r="B115" s="100" t="n"/>
      <c r="C115" s="101" t="n">
        <v>61062</v>
      </c>
      <c r="D115" s="102">
        <f>_xludf.IFNA(_xlfn.XLOOKUP(C115,'00_SKU_Master'!$B$2:$B$378,'00_SKU_Master'!T:T)/100,"")</f>
        <v/>
      </c>
      <c r="E115" s="103">
        <f>_xludf.IFNA(_xlfn.XLOOKUP(C115,'10_Cone_Line'!$A$3:$A$136,'10_Cone_Line'!$E$3:$E$136,0),"")</f>
        <v/>
      </c>
      <c r="F115" s="103">
        <f>_xludf.IFNA(E115*_xlfn.XLOOKUP(C115,'08_Chart_Data'!$Q$3:$Q$104,'08_Chart_Data'!$S$3:$S$104,0)/D115,"")</f>
        <v/>
      </c>
      <c r="G115" s="104">
        <f>IFERROR(F115/$C$5,"0")</f>
        <v/>
      </c>
      <c r="H115" s="105">
        <f>IFERROR(F115/$C$6,"-")</f>
        <v/>
      </c>
      <c r="I115" s="106">
        <f>IFERROR(IF(H115&lt;0,"",(H115/$C$9)/1440),"")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4"/>
  <sheetViews>
    <sheetView workbookViewId="0">
      <selection activeCell="O24" sqref="O24"/>
    </sheetView>
  </sheetViews>
  <sheetFormatPr baseColWidth="8" defaultRowHeight="14.5"/>
  <cols>
    <col width="11.26953125" customWidth="1" min="1" max="1"/>
    <col width="9.26953125" customWidth="1" min="2" max="2"/>
    <col width="8.7265625" customWidth="1" min="3" max="3"/>
    <col width="6.26953125" customWidth="1" min="4" max="4"/>
    <col width="6.26953125" customWidth="1" min="6" max="6"/>
    <col width="6.08984375" customWidth="1" min="12" max="12"/>
    <col width="9.08984375" customWidth="1" min="13" max="13"/>
    <col width="5.54296875" customWidth="1" min="14" max="14"/>
    <col width="5.54296875" customWidth="1" min="19" max="19"/>
    <col width="6.54296875" customWidth="1" min="20" max="20"/>
    <col width="9.54296875" customWidth="1" min="21" max="21"/>
    <col width="8.08984375" customWidth="1" min="22" max="22"/>
  </cols>
  <sheetData>
    <row r="1" ht="40" customHeight="1">
      <c r="A1" s="107" t="inlineStr">
        <is>
          <t>Code</t>
        </is>
      </c>
      <c r="B1" s="108" t="inlineStr">
        <is>
          <t>Extra Cases Produced</t>
        </is>
      </c>
      <c r="C1" s="109" t="inlineStr">
        <is>
          <t>Cases Remaining To Be Produced</t>
        </is>
      </c>
      <c r="D1" s="110" t="inlineStr">
        <is>
          <t>"+/-"</t>
        </is>
      </c>
      <c r="E1" s="110" t="inlineStr">
        <is>
          <t>Order + Add ON</t>
        </is>
      </c>
      <c r="F1" s="111" t="n"/>
      <c r="G1" s="112" t="n"/>
      <c r="H1" s="112" t="n"/>
      <c r="I1" s="112" t="n"/>
      <c r="J1" s="112" t="n"/>
      <c r="K1" s="112" t="n"/>
      <c r="L1" s="113" t="inlineStr">
        <is>
          <t>Total</t>
        </is>
      </c>
      <c r="M1" s="114" t="inlineStr">
        <is>
          <t>WIP CODE</t>
        </is>
      </c>
      <c r="N1" s="115" t="n"/>
      <c r="O1" s="115" t="n"/>
      <c r="P1" s="115" t="n"/>
      <c r="Q1" s="115" t="n"/>
      <c r="R1" s="115" t="n"/>
      <c r="S1" s="115" t="n"/>
      <c r="T1" s="116" t="inlineStr">
        <is>
          <t>Total</t>
        </is>
      </c>
      <c r="U1" s="117" t="inlineStr">
        <is>
          <t>Category</t>
        </is>
      </c>
    </row>
    <row r="2">
      <c r="A2" s="118">
        <f>'05_Daily_Orders'!B3</f>
        <v/>
      </c>
      <c r="B2" s="50" t="n">
        <v>0</v>
      </c>
      <c r="C2" s="50" t="n">
        <v>0</v>
      </c>
      <c r="D2" s="119" t="n"/>
      <c r="E2" s="119" t="n"/>
      <c r="F2" t="n">
        <v>0</v>
      </c>
      <c r="L2" s="120">
        <f>IF($E$1="n",0,(SUM(F4:K4)-B4))</f>
        <v/>
      </c>
      <c r="M2" s="121">
        <f>_xludf.IFNA(_xlfn.XLOOKUP(A4,'00_SKU_Master'!$B$2:$B$378,'00_SKU_Master'!$C$2:$C$378,0),"")</f>
        <v/>
      </c>
      <c r="N2" s="122">
        <f>_xludf.IFNA(_xlfn.XLOOKUP(A4,'00_SKU_Master'!$B$2:$B$378,'00_SKU_Master'!$F$2:$F$378,0)*F4/_xlfn.XLOOKUP(A4,'00_SKU_Master'!$B$2:$B$378,'00_SKU_Master'!$O:$O,0),"")</f>
        <v/>
      </c>
      <c r="O2" s="122">
        <f>_xludf.IFNA(_xlfn.XLOOKUP($A4,'00_SKU_Master'!$B$2:$B$378,'00_SKU_Master'!$F$2:$F$378,0)*G4/_xlfn.XLOOKUP($A4,'00_SKU_Master'!$B$2:$B$378,'00_SKU_Master'!$O:$O,0),"")</f>
        <v/>
      </c>
      <c r="P2" s="122">
        <f>_xludf.IFNA(_xlfn.XLOOKUP($A4,'00_SKU_Master'!$B$2:$B$378,'00_SKU_Master'!$F$2:$F$378,0)*H4/_xlfn.XLOOKUP($A4,'00_SKU_Master'!$B$2:$B$378,'00_SKU_Master'!$O:$O,0),"")</f>
        <v/>
      </c>
      <c r="Q2" s="122">
        <f>_xludf.IFNA(_xlfn.XLOOKUP($A4,'00_SKU_Master'!$B$2:$B$378,'00_SKU_Master'!$F$2:$F$378,0)*I4/_xlfn.XLOOKUP($A4,'00_SKU_Master'!$B$2:$B$378,'00_SKU_Master'!$O:$O,0),"")</f>
        <v/>
      </c>
      <c r="R2" s="122">
        <f>_xludf.IFNA(_xlfn.XLOOKUP($A4,'00_SKU_Master'!$B$2:$B$378,'00_SKU_Master'!$F$2:$F$378,0)*J4/_xlfn.XLOOKUP($A4,'00_SKU_Master'!$B$2:$B$378,'00_SKU_Master'!$O:$O,0),"")</f>
        <v/>
      </c>
      <c r="S2" s="122">
        <f>_xludf.IFNA(_xlfn.XLOOKUP($A4,'00_SKU_Master'!$B$2:$B$378,'00_SKU_Master'!$F$2:$F$378,0)*K4/_xlfn.XLOOKUP($A4,'00_SKU_Master'!$B$2:$B$378,'00_SKU_Master'!$O:$O,0),"")</f>
        <v/>
      </c>
      <c r="T2" s="123">
        <f>SUM(N4:S4)</f>
        <v/>
      </c>
      <c r="U2" s="124">
        <f>'05_Daily_Orders'!L3</f>
        <v/>
      </c>
    </row>
    <row r="3">
      <c r="A3" s="118">
        <f>'05_Daily_Orders'!B4</f>
        <v/>
      </c>
      <c r="B3" s="50" t="n">
        <v>0</v>
      </c>
      <c r="C3" s="50" t="n">
        <v>5</v>
      </c>
      <c r="D3" s="119" t="n"/>
      <c r="E3" s="119" t="n"/>
      <c r="F3" t="n">
        <v>0</v>
      </c>
      <c r="L3" s="120">
        <f>IF($E$1="n",0,(SUM(F5:K5)-B5))</f>
        <v/>
      </c>
      <c r="M3" s="121">
        <f>_xludf.IFNA(_xlfn.XLOOKUP(A5,'00_SKU_Master'!$B$2:$B$378,'00_SKU_Master'!$C$2:$C$378,0),"")</f>
        <v/>
      </c>
      <c r="N3" s="122">
        <f>_xludf.IFNA(_xlfn.XLOOKUP(A5,'00_SKU_Master'!$B$2:$B$378,'00_SKU_Master'!$F$2:$F$378,0)*F5/_xlfn.XLOOKUP(A5,'00_SKU_Master'!$B$2:$B$378,'00_SKU_Master'!$O:$O,0),"")</f>
        <v/>
      </c>
      <c r="O3" s="122">
        <f>_xludf.IFNA(_xlfn.XLOOKUP($A5,'00_SKU_Master'!$B$2:$B$378,'00_SKU_Master'!$F$2:$F$378,0)*G5/_xlfn.XLOOKUP($A5,'00_SKU_Master'!$B$2:$B$378,'00_SKU_Master'!$O:$O,0),"")</f>
        <v/>
      </c>
      <c r="P3" s="122">
        <f>_xludf.IFNA(_xlfn.XLOOKUP($A5,'00_SKU_Master'!$B$2:$B$378,'00_SKU_Master'!$F$2:$F$378,0)*H5/_xlfn.XLOOKUP($A5,'00_SKU_Master'!$B$2:$B$378,'00_SKU_Master'!$O:$O,0),"")</f>
        <v/>
      </c>
      <c r="Q3" s="122">
        <f>_xludf.IFNA(_xlfn.XLOOKUP($A5,'00_SKU_Master'!$B$2:$B$378,'00_SKU_Master'!$F$2:$F$378,0)*I5/_xlfn.XLOOKUP($A5,'00_SKU_Master'!$B$2:$B$378,'00_SKU_Master'!$O:$O,0),"")</f>
        <v/>
      </c>
      <c r="R3" s="122">
        <f>_xludf.IFNA(_xlfn.XLOOKUP($A5,'00_SKU_Master'!$B$2:$B$378,'00_SKU_Master'!$F$2:$F$378,0)*J5/_xlfn.XLOOKUP($A5,'00_SKU_Master'!$B$2:$B$378,'00_SKU_Master'!$O:$O,0),"")</f>
        <v/>
      </c>
      <c r="S3" s="122">
        <f>_xludf.IFNA(_xlfn.XLOOKUP($A5,'00_SKU_Master'!$B$2:$B$378,'00_SKU_Master'!$F$2:$F$378,0)*K5/_xlfn.XLOOKUP($A5,'00_SKU_Master'!$B$2:$B$378,'00_SKU_Master'!$O:$O,0),"")</f>
        <v/>
      </c>
      <c r="T3" s="123">
        <f>SUM(N5:S5)</f>
        <v/>
      </c>
      <c r="U3" s="124">
        <f>'05_Daily_Orders'!L4</f>
        <v/>
      </c>
    </row>
    <row r="4">
      <c r="A4" s="118">
        <f>'05_Daily_Orders'!B5</f>
        <v/>
      </c>
      <c r="B4" s="50" t="n">
        <v>0</v>
      </c>
      <c r="C4" s="50" t="n">
        <v>0</v>
      </c>
      <c r="D4" s="119" t="n"/>
      <c r="E4" s="119" t="n"/>
      <c r="F4" t="n">
        <v>0</v>
      </c>
      <c r="L4" s="120">
        <f>IF($E$1="n",0,(SUM(F6:K6)-B6))</f>
        <v/>
      </c>
      <c r="M4" s="121">
        <f>_xludf.IFNA(_xlfn.XLOOKUP(A6,'00_SKU_Master'!$B$2:$B$378,'00_SKU_Master'!$C$2:$C$378,0),"")</f>
        <v/>
      </c>
      <c r="N4" s="122">
        <f>_xludf.IFNA(_xlfn.XLOOKUP(A6,'00_SKU_Master'!$B$2:$B$378,'00_SKU_Master'!$F$2:$F$378,0)*F6/_xlfn.XLOOKUP(A6,'00_SKU_Master'!$B$2:$B$378,'00_SKU_Master'!$O:$O,0),"")</f>
        <v/>
      </c>
      <c r="O4" s="122">
        <f>_xludf.IFNA(_xlfn.XLOOKUP($A6,'00_SKU_Master'!$B$2:$B$378,'00_SKU_Master'!$F$2:$F$378,0)*G6/_xlfn.XLOOKUP($A6,'00_SKU_Master'!$B$2:$B$378,'00_SKU_Master'!$O:$O,0),"")</f>
        <v/>
      </c>
      <c r="P4" s="122">
        <f>_xludf.IFNA(_xlfn.XLOOKUP($A6,'00_SKU_Master'!$B$2:$B$378,'00_SKU_Master'!$F$2:$F$378,0)*H6/_xlfn.XLOOKUP($A6,'00_SKU_Master'!$B$2:$B$378,'00_SKU_Master'!$O:$O,0),"")</f>
        <v/>
      </c>
      <c r="Q4" s="122">
        <f>_xludf.IFNA(_xlfn.XLOOKUP($A6,'00_SKU_Master'!$B$2:$B$378,'00_SKU_Master'!$F$2:$F$378,0)*I6/_xlfn.XLOOKUP($A6,'00_SKU_Master'!$B$2:$B$378,'00_SKU_Master'!$O:$O,0),"")</f>
        <v/>
      </c>
      <c r="R4" s="122">
        <f>_xludf.IFNA(_xlfn.XLOOKUP($A6,'00_SKU_Master'!$B$2:$B$378,'00_SKU_Master'!$F$2:$F$378,0)*J6/_xlfn.XLOOKUP($A6,'00_SKU_Master'!$B$2:$B$378,'00_SKU_Master'!$O:$O,0),"")</f>
        <v/>
      </c>
      <c r="S4" s="122">
        <f>_xludf.IFNA(_xlfn.XLOOKUP($A6,'00_SKU_Master'!$B$2:$B$378,'00_SKU_Master'!$F$2:$F$378,0)*K6/_xlfn.XLOOKUP($A6,'00_SKU_Master'!$B$2:$B$378,'00_SKU_Master'!$O:$O,0),"")</f>
        <v/>
      </c>
      <c r="T4" s="123">
        <f>SUM(N6:S6)</f>
        <v/>
      </c>
      <c r="U4" s="124">
        <f>'05_Daily_Orders'!L5</f>
        <v/>
      </c>
    </row>
    <row r="5">
      <c r="A5" s="118">
        <f>'05_Daily_Orders'!B6</f>
        <v/>
      </c>
      <c r="B5" s="50" t="n">
        <v>0</v>
      </c>
      <c r="C5" s="50" t="n">
        <v>9</v>
      </c>
      <c r="D5" s="119" t="n"/>
      <c r="E5" s="119" t="n"/>
      <c r="F5" t="n">
        <v>44</v>
      </c>
      <c r="L5" s="120">
        <f>IF($E$1="n",0,(SUM(F7:K7)-B7))</f>
        <v/>
      </c>
      <c r="M5" s="121">
        <f>_xludf.IFNA(_xlfn.XLOOKUP(A7,'00_SKU_Master'!$B$2:$B$378,'00_SKU_Master'!$C$2:$C$378,0),"")</f>
        <v/>
      </c>
      <c r="N5" s="122">
        <f>_xludf.IFNA(_xlfn.XLOOKUP(A7,'00_SKU_Master'!$B$2:$B$378,'00_SKU_Master'!$F$2:$F$378,0)*F7/_xlfn.XLOOKUP(A7,'00_SKU_Master'!$B$2:$B$378,'00_SKU_Master'!$O:$O,0),"")</f>
        <v/>
      </c>
      <c r="O5" s="122">
        <f>_xludf.IFNA(_xlfn.XLOOKUP($A7,'00_SKU_Master'!$B$2:$B$378,'00_SKU_Master'!$F$2:$F$378,0)*G7/_xlfn.XLOOKUP($A7,'00_SKU_Master'!$B$2:$B$378,'00_SKU_Master'!$O:$O,0),"")</f>
        <v/>
      </c>
      <c r="P5" s="122">
        <f>_xludf.IFNA(_xlfn.XLOOKUP($A7,'00_SKU_Master'!$B$2:$B$378,'00_SKU_Master'!$F$2:$F$378,0)*H7/_xlfn.XLOOKUP($A7,'00_SKU_Master'!$B$2:$B$378,'00_SKU_Master'!$O:$O,0),"")</f>
        <v/>
      </c>
      <c r="Q5" s="122">
        <f>_xludf.IFNA(_xlfn.XLOOKUP($A7,'00_SKU_Master'!$B$2:$B$378,'00_SKU_Master'!$F$2:$F$378,0)*I7/_xlfn.XLOOKUP($A7,'00_SKU_Master'!$B$2:$B$378,'00_SKU_Master'!$O:$O,0),"")</f>
        <v/>
      </c>
      <c r="R5" s="122">
        <f>_xludf.IFNA(_xlfn.XLOOKUP($A7,'00_SKU_Master'!$B$2:$B$378,'00_SKU_Master'!$F$2:$F$378,0)*J7/_xlfn.XLOOKUP($A7,'00_SKU_Master'!$B$2:$B$378,'00_SKU_Master'!$O:$O,0),"")</f>
        <v/>
      </c>
      <c r="S5" s="122">
        <f>_xludf.IFNA(_xlfn.XLOOKUP($A7,'00_SKU_Master'!$B$2:$B$378,'00_SKU_Master'!$F$2:$F$378,0)*K7/_xlfn.XLOOKUP($A7,'00_SKU_Master'!$B$2:$B$378,'00_SKU_Master'!$O:$O,0),"")</f>
        <v/>
      </c>
      <c r="T5" s="123">
        <f>SUM(N7:S7)</f>
        <v/>
      </c>
      <c r="U5" s="124">
        <f>'05_Daily_Orders'!L6</f>
        <v/>
      </c>
    </row>
    <row r="6">
      <c r="A6" s="118">
        <f>'05_Daily_Orders'!B7</f>
        <v/>
      </c>
      <c r="B6" s="50" t="n">
        <v>1</v>
      </c>
      <c r="C6" s="50" t="n">
        <v>0</v>
      </c>
      <c r="D6" s="119" t="n"/>
      <c r="E6" s="119" t="n"/>
      <c r="F6" t="n">
        <v>150</v>
      </c>
      <c r="L6" s="120">
        <f>IF($E$1="n",0,(SUM(F8:K8)-B8))</f>
        <v/>
      </c>
      <c r="M6" s="121">
        <f>_xludf.IFNA(_xlfn.XLOOKUP(A8,'00_SKU_Master'!$B$2:$B$378,'00_SKU_Master'!$C$2:$C$378,0),"")</f>
        <v/>
      </c>
      <c r="N6" s="122">
        <f>_xludf.IFNA(_xlfn.XLOOKUP(A8,'00_SKU_Master'!$B$2:$B$378,'00_SKU_Master'!$F$2:$F$378,0)*F8/_xlfn.XLOOKUP(A8,'00_SKU_Master'!$B$2:$B$378,'00_SKU_Master'!$O:$O,0),"")</f>
        <v/>
      </c>
      <c r="O6" s="122">
        <f>_xludf.IFNA(_xlfn.XLOOKUP($A8,'00_SKU_Master'!$B$2:$B$378,'00_SKU_Master'!$F$2:$F$378,0)*G8/_xlfn.XLOOKUP($A8,'00_SKU_Master'!$B$2:$B$378,'00_SKU_Master'!$O:$O,0),"")</f>
        <v/>
      </c>
      <c r="P6" s="122">
        <f>_xludf.IFNA(_xlfn.XLOOKUP($A8,'00_SKU_Master'!$B$2:$B$378,'00_SKU_Master'!$F$2:$F$378,0)*H8/_xlfn.XLOOKUP($A8,'00_SKU_Master'!$B$2:$B$378,'00_SKU_Master'!$O:$O,0),"")</f>
        <v/>
      </c>
      <c r="Q6" s="122">
        <f>_xludf.IFNA(_xlfn.XLOOKUP($A8,'00_SKU_Master'!$B$2:$B$378,'00_SKU_Master'!$F$2:$F$378,0)*I8/_xlfn.XLOOKUP($A8,'00_SKU_Master'!$B$2:$B$378,'00_SKU_Master'!$O:$O,0),"")</f>
        <v/>
      </c>
      <c r="R6" s="122">
        <f>_xludf.IFNA(_xlfn.XLOOKUP($A8,'00_SKU_Master'!$B$2:$B$378,'00_SKU_Master'!$F$2:$F$378,0)*J8/_xlfn.XLOOKUP($A8,'00_SKU_Master'!$B$2:$B$378,'00_SKU_Master'!$O:$O,0),"")</f>
        <v/>
      </c>
      <c r="S6" s="122">
        <f>_xludf.IFNA(_xlfn.XLOOKUP($A8,'00_SKU_Master'!$B$2:$B$378,'00_SKU_Master'!$F$2:$F$378,0)*K8/_xlfn.XLOOKUP($A8,'00_SKU_Master'!$B$2:$B$378,'00_SKU_Master'!$O:$O,0),"")</f>
        <v/>
      </c>
      <c r="T6" s="123">
        <f>SUM(N8:S8)</f>
        <v/>
      </c>
      <c r="U6" s="124">
        <f>'05_Daily_Orders'!L7</f>
        <v/>
      </c>
    </row>
    <row r="7">
      <c r="A7" s="118">
        <f>'05_Daily_Orders'!B8</f>
        <v/>
      </c>
      <c r="B7" s="50" t="n">
        <v>0</v>
      </c>
      <c r="C7" s="50" t="n">
        <v>0</v>
      </c>
      <c r="D7" s="119" t="n"/>
      <c r="E7" s="119" t="n"/>
      <c r="F7" t="n">
        <v>0</v>
      </c>
      <c r="L7" s="120">
        <f>IF($E$1="n",0,(SUM(F9:K9)-B9))</f>
        <v/>
      </c>
      <c r="M7" s="121">
        <f>_xludf.IFNA(_xlfn.XLOOKUP(A9,'00_SKU_Master'!$B$2:$B$378,'00_SKU_Master'!$C$2:$C$378,0),"")</f>
        <v/>
      </c>
      <c r="N7" s="122">
        <f>_xludf.IFNA(_xlfn.XLOOKUP(A9,'00_SKU_Master'!$B$2:$B$378,'00_SKU_Master'!$F$2:$F$378,0)*F9/_xlfn.XLOOKUP(A9,'00_SKU_Master'!$B$2:$B$378,'00_SKU_Master'!$O:$O,0),"")</f>
        <v/>
      </c>
      <c r="O7" s="122">
        <f>_xludf.IFNA(_xlfn.XLOOKUP($A9,'00_SKU_Master'!$B$2:$B$378,'00_SKU_Master'!$F$2:$F$378,0)*G9/_xlfn.XLOOKUP($A9,'00_SKU_Master'!$B$2:$B$378,'00_SKU_Master'!$O:$O,0),"")</f>
        <v/>
      </c>
      <c r="P7" s="122">
        <f>_xludf.IFNA(_xlfn.XLOOKUP($A9,'00_SKU_Master'!$B$2:$B$378,'00_SKU_Master'!$F$2:$F$378,0)*H9/_xlfn.XLOOKUP($A9,'00_SKU_Master'!$B$2:$B$378,'00_SKU_Master'!$O:$O,0),"")</f>
        <v/>
      </c>
      <c r="Q7" s="122">
        <f>_xludf.IFNA(_xlfn.XLOOKUP($A9,'00_SKU_Master'!$B$2:$B$378,'00_SKU_Master'!$F$2:$F$378,0)*I9/_xlfn.XLOOKUP($A9,'00_SKU_Master'!$B$2:$B$378,'00_SKU_Master'!$O:$O,0),"")</f>
        <v/>
      </c>
      <c r="R7" s="122">
        <f>_xludf.IFNA(_xlfn.XLOOKUP($A9,'00_SKU_Master'!$B$2:$B$378,'00_SKU_Master'!$F$2:$F$378,0)*J9/_xlfn.XLOOKUP($A9,'00_SKU_Master'!$B$2:$B$378,'00_SKU_Master'!$O:$O,0),"")</f>
        <v/>
      </c>
      <c r="S7" s="122">
        <f>_xludf.IFNA(_xlfn.XLOOKUP($A9,'00_SKU_Master'!$B$2:$B$378,'00_SKU_Master'!$F$2:$F$378,0)*K9/_xlfn.XLOOKUP($A9,'00_SKU_Master'!$B$2:$B$378,'00_SKU_Master'!$O:$O,0),"")</f>
        <v/>
      </c>
      <c r="T7" s="123">
        <f>SUM(N9:S9)</f>
        <v/>
      </c>
      <c r="U7" s="124">
        <f>'05_Daily_Orders'!L8</f>
        <v/>
      </c>
    </row>
    <row r="8">
      <c r="A8" s="118">
        <f>'05_Daily_Orders'!B9</f>
        <v/>
      </c>
      <c r="B8" s="50" t="n">
        <v>0</v>
      </c>
      <c r="C8" s="50" t="n">
        <v>0</v>
      </c>
      <c r="D8" s="119" t="n"/>
      <c r="E8" s="119" t="n"/>
      <c r="F8" t="n">
        <v>0</v>
      </c>
      <c r="L8" s="120">
        <f>IF($E$1="n",0,(SUM(F10:K10)-B10))</f>
        <v/>
      </c>
      <c r="M8" s="121">
        <f>_xludf.IFNA(_xlfn.XLOOKUP(A10,'00_SKU_Master'!$B$2:$B$378,'00_SKU_Master'!$C$2:$C$378,0),"")</f>
        <v/>
      </c>
      <c r="N8" s="122">
        <f>_xludf.IFNA(_xlfn.XLOOKUP(A10,'00_SKU_Master'!$B$2:$B$378,'00_SKU_Master'!$F$2:$F$378,0)*F10/_xlfn.XLOOKUP(A10,'00_SKU_Master'!$B$2:$B$378,'00_SKU_Master'!$O:$O,0),"")</f>
        <v/>
      </c>
      <c r="O8" s="122">
        <f>_xludf.IFNA(_xlfn.XLOOKUP($A10,'00_SKU_Master'!$B$2:$B$378,'00_SKU_Master'!$F$2:$F$378,0)*G10/_xlfn.XLOOKUP($A10,'00_SKU_Master'!$B$2:$B$378,'00_SKU_Master'!$O:$O,0),"")</f>
        <v/>
      </c>
      <c r="P8" s="122">
        <f>_xludf.IFNA(_xlfn.XLOOKUP($A10,'00_SKU_Master'!$B$2:$B$378,'00_SKU_Master'!$F$2:$F$378,0)*H10/_xlfn.XLOOKUP($A10,'00_SKU_Master'!$B$2:$B$378,'00_SKU_Master'!$O:$O,0),"")</f>
        <v/>
      </c>
      <c r="Q8" s="122">
        <f>_xludf.IFNA(_xlfn.XLOOKUP($A10,'00_SKU_Master'!$B$2:$B$378,'00_SKU_Master'!$F$2:$F$378,0)*I10/_xlfn.XLOOKUP($A10,'00_SKU_Master'!$B$2:$B$378,'00_SKU_Master'!$O:$O,0),"")</f>
        <v/>
      </c>
      <c r="R8" s="122">
        <f>_xludf.IFNA(_xlfn.XLOOKUP($A10,'00_SKU_Master'!$B$2:$B$378,'00_SKU_Master'!$F$2:$F$378,0)*J10/_xlfn.XLOOKUP($A10,'00_SKU_Master'!$B$2:$B$378,'00_SKU_Master'!$O:$O,0),"")</f>
        <v/>
      </c>
      <c r="S8" s="122">
        <f>_xludf.IFNA(_xlfn.XLOOKUP($A10,'00_SKU_Master'!$B$2:$B$378,'00_SKU_Master'!$F$2:$F$378,0)*K10/_xlfn.XLOOKUP($A10,'00_SKU_Master'!$B$2:$B$378,'00_SKU_Master'!$O:$O,0),"")</f>
        <v/>
      </c>
      <c r="T8" s="123">
        <f>SUM(N10:S10)</f>
        <v/>
      </c>
      <c r="U8" s="124">
        <f>'05_Daily_Orders'!L9</f>
        <v/>
      </c>
    </row>
    <row r="9">
      <c r="A9" s="118">
        <f>'05_Daily_Orders'!B10</f>
        <v/>
      </c>
      <c r="B9" s="50" t="n">
        <v>0</v>
      </c>
      <c r="C9" s="50" t="n">
        <v>0</v>
      </c>
      <c r="D9" s="119" t="n"/>
      <c r="E9" s="119" t="n"/>
      <c r="F9" t="n">
        <v>0</v>
      </c>
      <c r="L9" s="120">
        <f>IF($E$1="n",0,(SUM(F11:K11)-B11))</f>
        <v/>
      </c>
      <c r="M9" s="121">
        <f>_xludf.IFNA(_xlfn.XLOOKUP(A11,'00_SKU_Master'!$B$2:$B$378,'00_SKU_Master'!$C$2:$C$378,0),"")</f>
        <v/>
      </c>
      <c r="N9" s="122">
        <f>_xludf.IFNA(_xlfn.XLOOKUP(A11,'00_SKU_Master'!$B$2:$B$378,'00_SKU_Master'!$F$2:$F$378,0)*F11/_xlfn.XLOOKUP(A11,'00_SKU_Master'!$B$2:$B$378,'00_SKU_Master'!$O:$O,0),"")</f>
        <v/>
      </c>
      <c r="O9" s="122">
        <f>_xludf.IFNA(_xlfn.XLOOKUP($A11,'00_SKU_Master'!$B$2:$B$378,'00_SKU_Master'!$F$2:$F$378,0)*G11/_xlfn.XLOOKUP($A11,'00_SKU_Master'!$B$2:$B$378,'00_SKU_Master'!$O:$O,0),"")</f>
        <v/>
      </c>
      <c r="P9" s="122">
        <f>_xludf.IFNA(_xlfn.XLOOKUP($A11,'00_SKU_Master'!$B$2:$B$378,'00_SKU_Master'!$F$2:$F$378,0)*H11/_xlfn.XLOOKUP($A11,'00_SKU_Master'!$B$2:$B$378,'00_SKU_Master'!$O:$O,0),"")</f>
        <v/>
      </c>
      <c r="Q9" s="122">
        <f>_xludf.IFNA(_xlfn.XLOOKUP($A11,'00_SKU_Master'!$B$2:$B$378,'00_SKU_Master'!$F$2:$F$378,0)*I11/_xlfn.XLOOKUP($A11,'00_SKU_Master'!$B$2:$B$378,'00_SKU_Master'!$O:$O,0),"")</f>
        <v/>
      </c>
      <c r="R9" s="122">
        <f>_xludf.IFNA(_xlfn.XLOOKUP($A11,'00_SKU_Master'!$B$2:$B$378,'00_SKU_Master'!$F$2:$F$378,0)*J11/_xlfn.XLOOKUP($A11,'00_SKU_Master'!$B$2:$B$378,'00_SKU_Master'!$O:$O,0),"")</f>
        <v/>
      </c>
      <c r="S9" s="122">
        <f>_xludf.IFNA(_xlfn.XLOOKUP($A11,'00_SKU_Master'!$B$2:$B$378,'00_SKU_Master'!$F$2:$F$378,0)*K11/_xlfn.XLOOKUP($A11,'00_SKU_Master'!$B$2:$B$378,'00_SKU_Master'!$O:$O,0),"")</f>
        <v/>
      </c>
      <c r="T9" s="123">
        <f>SUM(N11:S11)</f>
        <v/>
      </c>
      <c r="U9" s="124">
        <f>'05_Daily_Orders'!L10</f>
        <v/>
      </c>
    </row>
    <row r="10">
      <c r="A10" s="118">
        <f>'05_Daily_Orders'!B11</f>
        <v/>
      </c>
      <c r="B10" s="50" t="n">
        <v>0</v>
      </c>
      <c r="C10" s="50" t="n">
        <v>12</v>
      </c>
      <c r="D10" s="119" t="n"/>
      <c r="E10" s="119" t="n"/>
      <c r="F10" t="n">
        <v>0</v>
      </c>
      <c r="L10" s="120">
        <f>IF($E$1="n",0,(SUM(F12:K12)-B12))</f>
        <v/>
      </c>
      <c r="M10" s="121">
        <f>_xludf.IFNA(_xlfn.XLOOKUP(A12,'00_SKU_Master'!$B$2:$B$378,'00_SKU_Master'!$C$2:$C$378,0),"")</f>
        <v/>
      </c>
      <c r="N10" s="122">
        <f>_xludf.IFNA(_xlfn.XLOOKUP(A12,'00_SKU_Master'!$B$2:$B$378,'00_SKU_Master'!$F$2:$F$378,0)*F12/_xlfn.XLOOKUP(A12,'00_SKU_Master'!$B$2:$B$378,'00_SKU_Master'!$O:$O,0),"")</f>
        <v/>
      </c>
      <c r="O10" s="122">
        <f>_xludf.IFNA(_xlfn.XLOOKUP($A12,'00_SKU_Master'!$B$2:$B$378,'00_SKU_Master'!$F$2:$F$378,0)*G12/_xlfn.XLOOKUP($A12,'00_SKU_Master'!$B$2:$B$378,'00_SKU_Master'!$O:$O,0),"")</f>
        <v/>
      </c>
      <c r="P10" s="122">
        <f>_xludf.IFNA(_xlfn.XLOOKUP($A12,'00_SKU_Master'!$B$2:$B$378,'00_SKU_Master'!$F$2:$F$378,0)*H12/_xlfn.XLOOKUP($A12,'00_SKU_Master'!$B$2:$B$378,'00_SKU_Master'!$O:$O,0),"")</f>
        <v/>
      </c>
      <c r="Q10" s="122">
        <f>_xludf.IFNA(_xlfn.XLOOKUP($A12,'00_SKU_Master'!$B$2:$B$378,'00_SKU_Master'!$F$2:$F$378,0)*I12/_xlfn.XLOOKUP($A12,'00_SKU_Master'!$B$2:$B$378,'00_SKU_Master'!$O:$O,0),"")</f>
        <v/>
      </c>
      <c r="R10" s="122">
        <f>_xludf.IFNA(_xlfn.XLOOKUP($A12,'00_SKU_Master'!$B$2:$B$378,'00_SKU_Master'!$F$2:$F$378,0)*J12/_xlfn.XLOOKUP($A12,'00_SKU_Master'!$B$2:$B$378,'00_SKU_Master'!$O:$O,0),"")</f>
        <v/>
      </c>
      <c r="S10" s="122">
        <f>_xludf.IFNA(_xlfn.XLOOKUP($A12,'00_SKU_Master'!$B$2:$B$378,'00_SKU_Master'!$F$2:$F$378,0)*K12/_xlfn.XLOOKUP($A12,'00_SKU_Master'!$B$2:$B$378,'00_SKU_Master'!$O:$O,0),"")</f>
        <v/>
      </c>
      <c r="T10" s="123">
        <f>SUM(N12:S12)</f>
        <v/>
      </c>
      <c r="U10" s="124">
        <f>'05_Daily_Orders'!L11</f>
        <v/>
      </c>
    </row>
    <row r="11">
      <c r="A11" s="118">
        <f>'05_Daily_Orders'!B12</f>
        <v/>
      </c>
      <c r="B11" s="50" t="n">
        <v>49</v>
      </c>
      <c r="C11" s="50" t="n">
        <v>0</v>
      </c>
      <c r="D11" s="119" t="n"/>
      <c r="E11" s="119" t="n"/>
      <c r="F11" t="n">
        <v>78</v>
      </c>
      <c r="L11" s="120">
        <f>IF($E$1="n",0,(SUM(F13:K13)-B13))</f>
        <v/>
      </c>
      <c r="M11" s="121">
        <f>_xludf.IFNA(_xlfn.XLOOKUP(A13,'00_SKU_Master'!$B$2:$B$378,'00_SKU_Master'!$C$2:$C$378,0),"")</f>
        <v/>
      </c>
      <c r="N11" s="122">
        <f>_xludf.IFNA(_xlfn.XLOOKUP(A13,'00_SKU_Master'!$B$2:$B$378,'00_SKU_Master'!$F$2:$F$378,0)*F13/_xlfn.XLOOKUP(A13,'00_SKU_Master'!$B$2:$B$378,'00_SKU_Master'!$O:$O,0),"")</f>
        <v/>
      </c>
      <c r="O11" s="122">
        <f>_xludf.IFNA(_xlfn.XLOOKUP($A13,'00_SKU_Master'!$B$2:$B$378,'00_SKU_Master'!$F$2:$F$378,0)*G13/_xlfn.XLOOKUP($A13,'00_SKU_Master'!$B$2:$B$378,'00_SKU_Master'!$O:$O,0),"")</f>
        <v/>
      </c>
      <c r="P11" s="122">
        <f>_xludf.IFNA(_xlfn.XLOOKUP($A13,'00_SKU_Master'!$B$2:$B$378,'00_SKU_Master'!$F$2:$F$378,0)*H13/_xlfn.XLOOKUP($A13,'00_SKU_Master'!$B$2:$B$378,'00_SKU_Master'!$O:$O,0),"")</f>
        <v/>
      </c>
      <c r="Q11" s="122">
        <f>_xludf.IFNA(_xlfn.XLOOKUP($A13,'00_SKU_Master'!$B$2:$B$378,'00_SKU_Master'!$F$2:$F$378,0)*I13/_xlfn.XLOOKUP($A13,'00_SKU_Master'!$B$2:$B$378,'00_SKU_Master'!$O:$O,0),"")</f>
        <v/>
      </c>
      <c r="R11" s="122">
        <f>_xludf.IFNA(_xlfn.XLOOKUP($A13,'00_SKU_Master'!$B$2:$B$378,'00_SKU_Master'!$F$2:$F$378,0)*J13/_xlfn.XLOOKUP($A13,'00_SKU_Master'!$B$2:$B$378,'00_SKU_Master'!$O:$O,0),"")</f>
        <v/>
      </c>
      <c r="S11" s="122">
        <f>_xludf.IFNA(_xlfn.XLOOKUP($A13,'00_SKU_Master'!$B$2:$B$378,'00_SKU_Master'!$F$2:$F$378,0)*K13/_xlfn.XLOOKUP($A13,'00_SKU_Master'!$B$2:$B$378,'00_SKU_Master'!$O:$O,0),"")</f>
        <v/>
      </c>
      <c r="T11" s="123">
        <f>SUM(N13:S13)</f>
        <v/>
      </c>
      <c r="U11" s="124">
        <f>'05_Daily_Orders'!L12</f>
        <v/>
      </c>
    </row>
    <row r="12">
      <c r="A12" s="118">
        <f>'05_Daily_Orders'!B13</f>
        <v/>
      </c>
      <c r="B12" s="50" t="n">
        <v>0</v>
      </c>
      <c r="C12" s="50" t="n">
        <v>88</v>
      </c>
      <c r="D12" s="119" t="n"/>
      <c r="E12" s="119" t="n"/>
      <c r="F12" t="n">
        <v>125</v>
      </c>
      <c r="L12" s="120">
        <f>IF($E$1="n",0,(SUM(F14:K14)-B14))</f>
        <v/>
      </c>
      <c r="M12" s="121">
        <f>_xludf.IFNA(_xlfn.XLOOKUP(A14,'00_SKU_Master'!$B$2:$B$378,'00_SKU_Master'!$C$2:$C$378,0),"")</f>
        <v/>
      </c>
      <c r="N12" s="122">
        <f>_xludf.IFNA(_xlfn.XLOOKUP(A14,'00_SKU_Master'!$B$2:$B$378,'00_SKU_Master'!$F$2:$F$378,0)*F14/_xlfn.XLOOKUP(A14,'00_SKU_Master'!$B$2:$B$378,'00_SKU_Master'!$O:$O,0),"")</f>
        <v/>
      </c>
      <c r="O12" s="122">
        <f>_xludf.IFNA(_xlfn.XLOOKUP($A14,'00_SKU_Master'!$B$2:$B$378,'00_SKU_Master'!$F$2:$F$378,0)*G14/_xlfn.XLOOKUP($A14,'00_SKU_Master'!$B$2:$B$378,'00_SKU_Master'!$O:$O,0),"")</f>
        <v/>
      </c>
      <c r="P12" s="122">
        <f>_xludf.IFNA(_xlfn.XLOOKUP($A14,'00_SKU_Master'!$B$2:$B$378,'00_SKU_Master'!$F$2:$F$378,0)*H14/_xlfn.XLOOKUP($A14,'00_SKU_Master'!$B$2:$B$378,'00_SKU_Master'!$O:$O,0),"")</f>
        <v/>
      </c>
      <c r="Q12" s="122">
        <f>_xludf.IFNA(_xlfn.XLOOKUP($A14,'00_SKU_Master'!$B$2:$B$378,'00_SKU_Master'!$F$2:$F$378,0)*I14/_xlfn.XLOOKUP($A14,'00_SKU_Master'!$B$2:$B$378,'00_SKU_Master'!$O:$O,0),"")</f>
        <v/>
      </c>
      <c r="R12" s="122">
        <f>_xludf.IFNA(_xlfn.XLOOKUP($A14,'00_SKU_Master'!$B$2:$B$378,'00_SKU_Master'!$F$2:$F$378,0)*J14/_xlfn.XLOOKUP($A14,'00_SKU_Master'!$B$2:$B$378,'00_SKU_Master'!$O:$O,0),"")</f>
        <v/>
      </c>
      <c r="S12" s="122">
        <f>_xludf.IFNA(_xlfn.XLOOKUP($A14,'00_SKU_Master'!$B$2:$B$378,'00_SKU_Master'!$F$2:$F$378,0)*K14/_xlfn.XLOOKUP($A14,'00_SKU_Master'!$B$2:$B$378,'00_SKU_Master'!$O:$O,0),"")</f>
        <v/>
      </c>
      <c r="T12" s="123">
        <f>SUM(N14:S14)</f>
        <v/>
      </c>
      <c r="U12" s="124">
        <f>'05_Daily_Orders'!L13</f>
        <v/>
      </c>
    </row>
    <row r="13">
      <c r="A13" s="118">
        <f>'05_Daily_Orders'!B14</f>
        <v/>
      </c>
      <c r="B13" s="50" t="n">
        <v>0</v>
      </c>
      <c r="C13" s="50" t="n">
        <v>0</v>
      </c>
      <c r="D13" s="119" t="n"/>
      <c r="E13" s="119" t="n"/>
      <c r="F13" t="n">
        <v>0</v>
      </c>
      <c r="L13" s="120">
        <f>IF($E$1="n",0,(SUM(F15:K15)-B15))</f>
        <v/>
      </c>
      <c r="M13" s="121">
        <f>_xludf.IFNA(_xlfn.XLOOKUP(A15,'00_SKU_Master'!$B$2:$B$378,'00_SKU_Master'!$C$2:$C$378,0),"")</f>
        <v/>
      </c>
      <c r="N13" s="122">
        <f>_xludf.IFNA(_xlfn.XLOOKUP(A15,'00_SKU_Master'!$B$2:$B$378,'00_SKU_Master'!$F$2:$F$378,0)*F15/_xlfn.XLOOKUP(A15,'00_SKU_Master'!$B$2:$B$378,'00_SKU_Master'!$O:$O,0),"")</f>
        <v/>
      </c>
      <c r="O13" s="122">
        <f>_xludf.IFNA(_xlfn.XLOOKUP($A15,'00_SKU_Master'!$B$2:$B$378,'00_SKU_Master'!$F$2:$F$378,0)*G15/_xlfn.XLOOKUP($A15,'00_SKU_Master'!$B$2:$B$378,'00_SKU_Master'!$O:$O,0),"")</f>
        <v/>
      </c>
      <c r="P13" s="122">
        <f>_xludf.IFNA(_xlfn.XLOOKUP($A15,'00_SKU_Master'!$B$2:$B$378,'00_SKU_Master'!$F$2:$F$378,0)*H15/_xlfn.XLOOKUP($A15,'00_SKU_Master'!$B$2:$B$378,'00_SKU_Master'!$O:$O,0),"")</f>
        <v/>
      </c>
      <c r="Q13" s="122">
        <f>_xludf.IFNA(_xlfn.XLOOKUP($A15,'00_SKU_Master'!$B$2:$B$378,'00_SKU_Master'!$F$2:$F$378,0)*I15/_xlfn.XLOOKUP($A15,'00_SKU_Master'!$B$2:$B$378,'00_SKU_Master'!$O:$O,0),"")</f>
        <v/>
      </c>
      <c r="R13" s="122">
        <f>_xludf.IFNA(_xlfn.XLOOKUP($A15,'00_SKU_Master'!$B$2:$B$378,'00_SKU_Master'!$F$2:$F$378,0)*J15/_xlfn.XLOOKUP($A15,'00_SKU_Master'!$B$2:$B$378,'00_SKU_Master'!$O:$O,0),"")</f>
        <v/>
      </c>
      <c r="S13" s="122">
        <f>_xludf.IFNA(_xlfn.XLOOKUP($A15,'00_SKU_Master'!$B$2:$B$378,'00_SKU_Master'!$F$2:$F$378,0)*K15/_xlfn.XLOOKUP($A15,'00_SKU_Master'!$B$2:$B$378,'00_SKU_Master'!$O:$O,0),"")</f>
        <v/>
      </c>
      <c r="T13" s="123">
        <f>SUM(N15:S15)</f>
        <v/>
      </c>
      <c r="U13" s="124">
        <f>'05_Daily_Orders'!L14</f>
        <v/>
      </c>
    </row>
    <row r="14">
      <c r="A14" s="118">
        <f>'05_Daily_Orders'!B15</f>
        <v/>
      </c>
      <c r="B14" s="50" t="n">
        <v>0</v>
      </c>
      <c r="C14" s="50" t="n">
        <v>0</v>
      </c>
      <c r="D14" s="119" t="n"/>
      <c r="E14" s="119" t="n"/>
      <c r="F14" t="n">
        <v>0</v>
      </c>
      <c r="L14" s="120">
        <f>IF($E$1="n",0,(SUM(F16:K16)-B16))</f>
        <v/>
      </c>
      <c r="M14" s="121">
        <f>_xludf.IFNA(_xlfn.XLOOKUP(A16,'00_SKU_Master'!$B$2:$B$378,'00_SKU_Master'!$C$2:$C$378,0),"")</f>
        <v/>
      </c>
      <c r="N14" s="122">
        <f>_xludf.IFNA(_xlfn.XLOOKUP(A16,'00_SKU_Master'!$B$2:$B$378,'00_SKU_Master'!$F$2:$F$378,0)*F16/_xlfn.XLOOKUP(A16,'00_SKU_Master'!$B$2:$B$378,'00_SKU_Master'!$O:$O,0),"")</f>
        <v/>
      </c>
      <c r="O14" s="122">
        <f>_xludf.IFNA(_xlfn.XLOOKUP($A16,'00_SKU_Master'!$B$2:$B$378,'00_SKU_Master'!$F$2:$F$378,0)*G16/_xlfn.XLOOKUP($A16,'00_SKU_Master'!$B$2:$B$378,'00_SKU_Master'!$O:$O,0),"")</f>
        <v/>
      </c>
      <c r="P14" s="122">
        <f>_xludf.IFNA(_xlfn.XLOOKUP($A16,'00_SKU_Master'!$B$2:$B$378,'00_SKU_Master'!$F$2:$F$378,0)*H16/_xlfn.XLOOKUP($A16,'00_SKU_Master'!$B$2:$B$378,'00_SKU_Master'!$O:$O,0),"")</f>
        <v/>
      </c>
      <c r="Q14" s="122">
        <f>_xludf.IFNA(_xlfn.XLOOKUP($A16,'00_SKU_Master'!$B$2:$B$378,'00_SKU_Master'!$F$2:$F$378,0)*I16/_xlfn.XLOOKUP($A16,'00_SKU_Master'!$B$2:$B$378,'00_SKU_Master'!$O:$O,0),"")</f>
        <v/>
      </c>
      <c r="R14" s="122">
        <f>_xludf.IFNA(_xlfn.XLOOKUP($A16,'00_SKU_Master'!$B$2:$B$378,'00_SKU_Master'!$F$2:$F$378,0)*J16/_xlfn.XLOOKUP($A16,'00_SKU_Master'!$B$2:$B$378,'00_SKU_Master'!$O:$O,0),"")</f>
        <v/>
      </c>
      <c r="S14" s="122">
        <f>_xludf.IFNA(_xlfn.XLOOKUP($A16,'00_SKU_Master'!$B$2:$B$378,'00_SKU_Master'!$F$2:$F$378,0)*K16/_xlfn.XLOOKUP($A16,'00_SKU_Master'!$B$2:$B$378,'00_SKU_Master'!$O:$O,0),"")</f>
        <v/>
      </c>
      <c r="T14" s="123">
        <f>SUM(N16:S16)</f>
        <v/>
      </c>
      <c r="U14" s="124">
        <f>'05_Daily_Orders'!L15</f>
        <v/>
      </c>
    </row>
    <row r="15">
      <c r="A15" s="118">
        <f>'05_Daily_Orders'!B16</f>
        <v/>
      </c>
      <c r="B15" s="50" t="n">
        <v>0</v>
      </c>
      <c r="C15" s="50" t="n">
        <v>0</v>
      </c>
      <c r="D15" s="119" t="n"/>
      <c r="E15" s="119" t="n"/>
      <c r="F15" t="n">
        <v>0</v>
      </c>
      <c r="L15" s="120">
        <f>IF($E$1="n",0,(SUM(F17:K17)-B17))</f>
        <v/>
      </c>
      <c r="M15" s="121">
        <f>_xludf.IFNA(_xlfn.XLOOKUP(A17,'00_SKU_Master'!$B$2:$B$378,'00_SKU_Master'!$C$2:$C$378,0),"")</f>
        <v/>
      </c>
      <c r="N15" s="122">
        <f>_xludf.IFNA(_xlfn.XLOOKUP(A17,'00_SKU_Master'!$B$2:$B$378,'00_SKU_Master'!$F$2:$F$378,0)*F17/_xlfn.XLOOKUP(A17,'00_SKU_Master'!$B$2:$B$378,'00_SKU_Master'!$O:$O,0),"")</f>
        <v/>
      </c>
      <c r="O15" s="122">
        <f>_xludf.IFNA(_xlfn.XLOOKUP($A17,'00_SKU_Master'!$B$2:$B$378,'00_SKU_Master'!$F$2:$F$378,0)*G17/_xlfn.XLOOKUP($A17,'00_SKU_Master'!$B$2:$B$378,'00_SKU_Master'!$O:$O,0),"")</f>
        <v/>
      </c>
      <c r="P15" s="122">
        <f>_xludf.IFNA(_xlfn.XLOOKUP($A17,'00_SKU_Master'!$B$2:$B$378,'00_SKU_Master'!$F$2:$F$378,0)*H17/_xlfn.XLOOKUP($A17,'00_SKU_Master'!$B$2:$B$378,'00_SKU_Master'!$O:$O,0),"")</f>
        <v/>
      </c>
      <c r="Q15" s="122">
        <f>_xludf.IFNA(_xlfn.XLOOKUP($A17,'00_SKU_Master'!$B$2:$B$378,'00_SKU_Master'!$F$2:$F$378,0)*I17/_xlfn.XLOOKUP($A17,'00_SKU_Master'!$B$2:$B$378,'00_SKU_Master'!$O:$O,0),"")</f>
        <v/>
      </c>
      <c r="R15" s="122">
        <f>_xludf.IFNA(_xlfn.XLOOKUP($A17,'00_SKU_Master'!$B$2:$B$378,'00_SKU_Master'!$F$2:$F$378,0)*J17/_xlfn.XLOOKUP($A17,'00_SKU_Master'!$B$2:$B$378,'00_SKU_Master'!$O:$O,0),"")</f>
        <v/>
      </c>
      <c r="S15" s="122">
        <f>_xludf.IFNA(_xlfn.XLOOKUP($A17,'00_SKU_Master'!$B$2:$B$378,'00_SKU_Master'!$F$2:$F$378,0)*K17/_xlfn.XLOOKUP($A17,'00_SKU_Master'!$B$2:$B$378,'00_SKU_Master'!$O:$O,0),"")</f>
        <v/>
      </c>
      <c r="T15" s="123">
        <f>SUM(N17:S17)</f>
        <v/>
      </c>
      <c r="U15" s="124">
        <f>'05_Daily_Orders'!L16</f>
        <v/>
      </c>
    </row>
    <row r="16">
      <c r="A16" s="118">
        <f>'05_Daily_Orders'!B17</f>
        <v/>
      </c>
      <c r="B16" s="50" t="n">
        <v>0</v>
      </c>
      <c r="C16" s="50" t="n">
        <v>0</v>
      </c>
      <c r="D16" s="119" t="n"/>
      <c r="E16" s="119" t="n"/>
      <c r="F16" t="n">
        <v>0</v>
      </c>
      <c r="L16" s="120">
        <f>IF($E$1="n",0,(SUM(F18:K18)-B18))</f>
        <v/>
      </c>
      <c r="M16" s="121">
        <f>_xludf.IFNA(_xlfn.XLOOKUP(A18,'00_SKU_Master'!$B$2:$B$378,'00_SKU_Master'!$C$2:$C$378,0),"")</f>
        <v/>
      </c>
      <c r="N16" s="122">
        <f>_xludf.IFNA(_xlfn.XLOOKUP(A18,'00_SKU_Master'!$B$2:$B$378,'00_SKU_Master'!$F$2:$F$378,0)*F18/_xlfn.XLOOKUP(A18,'00_SKU_Master'!$B$2:$B$378,'00_SKU_Master'!$O:$O,0),"")</f>
        <v/>
      </c>
      <c r="O16" s="122">
        <f>_xludf.IFNA(_xlfn.XLOOKUP($A18,'00_SKU_Master'!$B$2:$B$378,'00_SKU_Master'!$F$2:$F$378,0)*G18/_xlfn.XLOOKUP($A18,'00_SKU_Master'!$B$2:$B$378,'00_SKU_Master'!$O:$O,0),"")</f>
        <v/>
      </c>
      <c r="P16" s="122">
        <f>_xludf.IFNA(_xlfn.XLOOKUP($A18,'00_SKU_Master'!$B$2:$B$378,'00_SKU_Master'!$F$2:$F$378,0)*H18/_xlfn.XLOOKUP($A18,'00_SKU_Master'!$B$2:$B$378,'00_SKU_Master'!$O:$O,0),"")</f>
        <v/>
      </c>
      <c r="Q16" s="122">
        <f>_xludf.IFNA(_xlfn.XLOOKUP($A18,'00_SKU_Master'!$B$2:$B$378,'00_SKU_Master'!$F$2:$F$378,0)*I18/_xlfn.XLOOKUP($A18,'00_SKU_Master'!$B$2:$B$378,'00_SKU_Master'!$O:$O,0),"")</f>
        <v/>
      </c>
      <c r="R16" s="122">
        <f>_xludf.IFNA(_xlfn.XLOOKUP($A18,'00_SKU_Master'!$B$2:$B$378,'00_SKU_Master'!$F$2:$F$378,0)*J18/_xlfn.XLOOKUP($A18,'00_SKU_Master'!$B$2:$B$378,'00_SKU_Master'!$O:$O,0),"")</f>
        <v/>
      </c>
      <c r="S16" s="122">
        <f>_xludf.IFNA(_xlfn.XLOOKUP($A18,'00_SKU_Master'!$B$2:$B$378,'00_SKU_Master'!$F$2:$F$378,0)*K18/_xlfn.XLOOKUP($A18,'00_SKU_Master'!$B$2:$B$378,'00_SKU_Master'!$O:$O,0),"")</f>
        <v/>
      </c>
      <c r="T16" s="123">
        <f>SUM(N18:S18)</f>
        <v/>
      </c>
      <c r="U16" s="124">
        <f>'05_Daily_Orders'!L17</f>
        <v/>
      </c>
    </row>
    <row r="17">
      <c r="A17" s="118">
        <f>'05_Daily_Orders'!B18</f>
        <v/>
      </c>
      <c r="B17" s="50" t="n">
        <v>0</v>
      </c>
      <c r="C17" s="50" t="n">
        <v>0</v>
      </c>
      <c r="D17" s="119" t="n"/>
      <c r="E17" s="119" t="n"/>
      <c r="F17" t="n">
        <v>0</v>
      </c>
      <c r="L17" s="120">
        <f>IF($E$1="n",0,(SUM(F19:K19)-B19))</f>
        <v/>
      </c>
      <c r="M17" s="121">
        <f>_xludf.IFNA(_xlfn.XLOOKUP(A19,'00_SKU_Master'!$B$2:$B$378,'00_SKU_Master'!$C$2:$C$378,0),"")</f>
        <v/>
      </c>
      <c r="N17" s="122">
        <f>_xludf.IFNA(_xlfn.XLOOKUP(A19,'00_SKU_Master'!$B$2:$B$378,'00_SKU_Master'!$F$2:$F$378,0)*F19/_xlfn.XLOOKUP(A19,'00_SKU_Master'!$B$2:$B$378,'00_SKU_Master'!$O:$O,0),"")</f>
        <v/>
      </c>
      <c r="O17" s="122">
        <f>_xludf.IFNA(_xlfn.XLOOKUP($A19,'00_SKU_Master'!$B$2:$B$378,'00_SKU_Master'!$F$2:$F$378,0)*G19/_xlfn.XLOOKUP($A19,'00_SKU_Master'!$B$2:$B$378,'00_SKU_Master'!$O:$O,0),"")</f>
        <v/>
      </c>
      <c r="P17" s="122">
        <f>_xludf.IFNA(_xlfn.XLOOKUP($A19,'00_SKU_Master'!$B$2:$B$378,'00_SKU_Master'!$F$2:$F$378,0)*H19/_xlfn.XLOOKUP($A19,'00_SKU_Master'!$B$2:$B$378,'00_SKU_Master'!$O:$O,0),"")</f>
        <v/>
      </c>
      <c r="Q17" s="122">
        <f>_xludf.IFNA(_xlfn.XLOOKUP($A19,'00_SKU_Master'!$B$2:$B$378,'00_SKU_Master'!$F$2:$F$378,0)*I19/_xlfn.XLOOKUP($A19,'00_SKU_Master'!$B$2:$B$378,'00_SKU_Master'!$O:$O,0),"")</f>
        <v/>
      </c>
      <c r="R17" s="122">
        <f>_xludf.IFNA(_xlfn.XLOOKUP($A19,'00_SKU_Master'!$B$2:$B$378,'00_SKU_Master'!$F$2:$F$378,0)*J19/_xlfn.XLOOKUP($A19,'00_SKU_Master'!$B$2:$B$378,'00_SKU_Master'!$O:$O,0),"")</f>
        <v/>
      </c>
      <c r="S17" s="122">
        <f>_xludf.IFNA(_xlfn.XLOOKUP($A19,'00_SKU_Master'!$B$2:$B$378,'00_SKU_Master'!$F$2:$F$378,0)*K19/_xlfn.XLOOKUP($A19,'00_SKU_Master'!$B$2:$B$378,'00_SKU_Master'!$O:$O,0),"")</f>
        <v/>
      </c>
      <c r="T17" s="123">
        <f>SUM(N19:S19)</f>
        <v/>
      </c>
      <c r="U17" s="124">
        <f>'05_Daily_Orders'!L18</f>
        <v/>
      </c>
    </row>
    <row r="18">
      <c r="A18" s="118">
        <f>'05_Daily_Orders'!B19</f>
        <v/>
      </c>
      <c r="B18" s="50" t="n">
        <v>0</v>
      </c>
      <c r="C18" s="50" t="n">
        <v>0</v>
      </c>
      <c r="D18" s="119" t="n"/>
      <c r="E18" s="119" t="n"/>
      <c r="F18" t="n">
        <v>0</v>
      </c>
      <c r="L18" s="120">
        <f>IF($E$1="n",0,(SUM(F20:K20)-B20))</f>
        <v/>
      </c>
      <c r="M18" s="121">
        <f>_xludf.IFNA(_xlfn.XLOOKUP(A20,'00_SKU_Master'!$B$2:$B$378,'00_SKU_Master'!$C$2:$C$378,0),"")</f>
        <v/>
      </c>
      <c r="N18" s="122">
        <f>_xludf.IFNA(_xlfn.XLOOKUP(A20,'00_SKU_Master'!$B$2:$B$378,'00_SKU_Master'!$F$2:$F$378,0)*F20/_xlfn.XLOOKUP(A20,'00_SKU_Master'!$B$2:$B$378,'00_SKU_Master'!$O:$O,0),"")</f>
        <v/>
      </c>
      <c r="O18" s="122">
        <f>_xludf.IFNA(_xlfn.XLOOKUP($A20,'00_SKU_Master'!$B$2:$B$378,'00_SKU_Master'!$F$2:$F$378,0)*G20/_xlfn.XLOOKUP($A20,'00_SKU_Master'!$B$2:$B$378,'00_SKU_Master'!$O:$O,0),"")</f>
        <v/>
      </c>
      <c r="P18" s="122">
        <f>_xludf.IFNA(_xlfn.XLOOKUP($A20,'00_SKU_Master'!$B$2:$B$378,'00_SKU_Master'!$F$2:$F$378,0)*H20/_xlfn.XLOOKUP($A20,'00_SKU_Master'!$B$2:$B$378,'00_SKU_Master'!$O:$O,0),"")</f>
        <v/>
      </c>
      <c r="Q18" s="122">
        <f>_xludf.IFNA(_xlfn.XLOOKUP($A20,'00_SKU_Master'!$B$2:$B$378,'00_SKU_Master'!$F$2:$F$378,0)*I20/_xlfn.XLOOKUP($A20,'00_SKU_Master'!$B$2:$B$378,'00_SKU_Master'!$O:$O,0),"")</f>
        <v/>
      </c>
      <c r="R18" s="122">
        <f>_xludf.IFNA(_xlfn.XLOOKUP($A20,'00_SKU_Master'!$B$2:$B$378,'00_SKU_Master'!$F$2:$F$378,0)*J20/_xlfn.XLOOKUP($A20,'00_SKU_Master'!$B$2:$B$378,'00_SKU_Master'!$O:$O,0),"")</f>
        <v/>
      </c>
      <c r="S18" s="122">
        <f>_xludf.IFNA(_xlfn.XLOOKUP($A20,'00_SKU_Master'!$B$2:$B$378,'00_SKU_Master'!$F$2:$F$378,0)*K20/_xlfn.XLOOKUP($A20,'00_SKU_Master'!$B$2:$B$378,'00_SKU_Master'!$O:$O,0),"")</f>
        <v/>
      </c>
      <c r="T18" s="123">
        <f>SUM(N20:S20)</f>
        <v/>
      </c>
      <c r="U18" s="124">
        <f>'05_Daily_Orders'!L19</f>
        <v/>
      </c>
    </row>
    <row r="19">
      <c r="A19" s="118">
        <f>'05_Daily_Orders'!B20</f>
        <v/>
      </c>
      <c r="B19" s="50" t="n">
        <v>24</v>
      </c>
      <c r="C19" s="50" t="n">
        <v>0</v>
      </c>
      <c r="D19" s="119" t="n"/>
      <c r="E19" s="119" t="n"/>
      <c r="F19" t="n">
        <v>130</v>
      </c>
      <c r="L19" s="120">
        <f>IF($E$1="n",0,(SUM(F21:K21)-B21))</f>
        <v/>
      </c>
      <c r="M19" s="121">
        <f>_xludf.IFNA(_xlfn.XLOOKUP(A21,'00_SKU_Master'!$B$2:$B$378,'00_SKU_Master'!$C$2:$C$378,0),"")</f>
        <v/>
      </c>
      <c r="N19" s="122">
        <f>_xludf.IFNA(_xlfn.XLOOKUP(A21,'00_SKU_Master'!$B$2:$B$378,'00_SKU_Master'!$F$2:$F$378,0)*F21/_xlfn.XLOOKUP(A21,'00_SKU_Master'!$B$2:$B$378,'00_SKU_Master'!$O:$O,0),"")</f>
        <v/>
      </c>
      <c r="O19" s="122">
        <f>_xludf.IFNA(_xlfn.XLOOKUP($A21,'00_SKU_Master'!$B$2:$B$378,'00_SKU_Master'!$F$2:$F$378,0)*G21/_xlfn.XLOOKUP($A21,'00_SKU_Master'!$B$2:$B$378,'00_SKU_Master'!$O:$O,0),"")</f>
        <v/>
      </c>
      <c r="P19" s="122">
        <f>_xludf.IFNA(_xlfn.XLOOKUP($A21,'00_SKU_Master'!$B$2:$B$378,'00_SKU_Master'!$F$2:$F$378,0)*H21/_xlfn.XLOOKUP($A21,'00_SKU_Master'!$B$2:$B$378,'00_SKU_Master'!$O:$O,0),"")</f>
        <v/>
      </c>
      <c r="Q19" s="122">
        <f>_xludf.IFNA(_xlfn.XLOOKUP($A21,'00_SKU_Master'!$B$2:$B$378,'00_SKU_Master'!$F$2:$F$378,0)*I21/_xlfn.XLOOKUP($A21,'00_SKU_Master'!$B$2:$B$378,'00_SKU_Master'!$O:$O,0),"")</f>
        <v/>
      </c>
      <c r="R19" s="122">
        <f>_xludf.IFNA(_xlfn.XLOOKUP($A21,'00_SKU_Master'!$B$2:$B$378,'00_SKU_Master'!$F$2:$F$378,0)*J21/_xlfn.XLOOKUP($A21,'00_SKU_Master'!$B$2:$B$378,'00_SKU_Master'!$O:$O,0),"")</f>
        <v/>
      </c>
      <c r="S19" s="122">
        <f>_xludf.IFNA(_xlfn.XLOOKUP($A21,'00_SKU_Master'!$B$2:$B$378,'00_SKU_Master'!$F$2:$F$378,0)*K21/_xlfn.XLOOKUP($A21,'00_SKU_Master'!$B$2:$B$378,'00_SKU_Master'!$O:$O,0),"")</f>
        <v/>
      </c>
      <c r="T19" s="123">
        <f>SUM(N21:S21)</f>
        <v/>
      </c>
      <c r="U19" s="124">
        <f>'05_Daily_Orders'!L20</f>
        <v/>
      </c>
    </row>
    <row r="20">
      <c r="A20" s="118">
        <f>'05_Daily_Orders'!B21</f>
        <v/>
      </c>
      <c r="B20" s="50" t="n">
        <v>4</v>
      </c>
      <c r="C20" s="50" t="n">
        <v>0</v>
      </c>
      <c r="D20" s="119" t="n"/>
      <c r="E20" s="119" t="n"/>
      <c r="F20" t="n">
        <v>155</v>
      </c>
      <c r="L20" s="120">
        <f>IF($E$1="n",0,(SUM(F22:K22)-B22))</f>
        <v/>
      </c>
      <c r="M20" s="121">
        <f>_xludf.IFNA(_xlfn.XLOOKUP(A22,'00_SKU_Master'!$B$2:$B$378,'00_SKU_Master'!$C$2:$C$378,0),"")</f>
        <v/>
      </c>
      <c r="N20" s="122">
        <f>_xludf.IFNA(_xlfn.XLOOKUP(A22,'00_SKU_Master'!$B$2:$B$378,'00_SKU_Master'!$F$2:$F$378,0)*F22/_xlfn.XLOOKUP(A22,'00_SKU_Master'!$B$2:$B$378,'00_SKU_Master'!$O:$O,0),"")</f>
        <v/>
      </c>
      <c r="O20" s="122">
        <f>_xludf.IFNA(_xlfn.XLOOKUP($A22,'00_SKU_Master'!$B$2:$B$378,'00_SKU_Master'!$F$2:$F$378,0)*G22/_xlfn.XLOOKUP($A22,'00_SKU_Master'!$B$2:$B$378,'00_SKU_Master'!$O:$O,0),"")</f>
        <v/>
      </c>
      <c r="P20" s="122">
        <f>_xludf.IFNA(_xlfn.XLOOKUP($A22,'00_SKU_Master'!$B$2:$B$378,'00_SKU_Master'!$F$2:$F$378,0)*H22/_xlfn.XLOOKUP($A22,'00_SKU_Master'!$B$2:$B$378,'00_SKU_Master'!$O:$O,0),"")</f>
        <v/>
      </c>
      <c r="Q20" s="122">
        <f>_xludf.IFNA(_xlfn.XLOOKUP($A22,'00_SKU_Master'!$B$2:$B$378,'00_SKU_Master'!$F$2:$F$378,0)*I22/_xlfn.XLOOKUP($A22,'00_SKU_Master'!$B$2:$B$378,'00_SKU_Master'!$O:$O,0),"")</f>
        <v/>
      </c>
      <c r="R20" s="122">
        <f>_xludf.IFNA(_xlfn.XLOOKUP($A22,'00_SKU_Master'!$B$2:$B$378,'00_SKU_Master'!$F$2:$F$378,0)*J22/_xlfn.XLOOKUP($A22,'00_SKU_Master'!$B$2:$B$378,'00_SKU_Master'!$O:$O,0),"")</f>
        <v/>
      </c>
      <c r="S20" s="122">
        <f>_xludf.IFNA(_xlfn.XLOOKUP($A22,'00_SKU_Master'!$B$2:$B$378,'00_SKU_Master'!$F$2:$F$378,0)*K22/_xlfn.XLOOKUP($A22,'00_SKU_Master'!$B$2:$B$378,'00_SKU_Master'!$O:$O,0),"")</f>
        <v/>
      </c>
      <c r="T20" s="123">
        <f>SUM(N22:S22)</f>
        <v/>
      </c>
      <c r="U20" s="124">
        <f>'05_Daily_Orders'!L21</f>
        <v/>
      </c>
    </row>
    <row r="21">
      <c r="A21" s="118">
        <f>'05_Daily_Orders'!B22</f>
        <v/>
      </c>
      <c r="B21" s="50" t="n">
        <v>0</v>
      </c>
      <c r="C21" s="50" t="n">
        <v>0</v>
      </c>
      <c r="D21" s="119" t="n"/>
      <c r="E21" s="119" t="n"/>
      <c r="F21" t="n">
        <v>0</v>
      </c>
      <c r="L21" s="120">
        <f>IF($E$1="n",0,(SUM(F23:K23)-B23))</f>
        <v/>
      </c>
      <c r="M21" s="121">
        <f>_xludf.IFNA(_xlfn.XLOOKUP(A23,'00_SKU_Master'!$B$2:$B$378,'00_SKU_Master'!$C$2:$C$378,0),"")</f>
        <v/>
      </c>
      <c r="N21" s="122">
        <f>_xludf.IFNA(_xlfn.XLOOKUP(A23,'00_SKU_Master'!$B$2:$B$378,'00_SKU_Master'!$F$2:$F$378,0)*F23/_xlfn.XLOOKUP(A23,'00_SKU_Master'!$B$2:$B$378,'00_SKU_Master'!$O:$O,0),"")</f>
        <v/>
      </c>
      <c r="O21" s="122">
        <f>_xludf.IFNA(_xlfn.XLOOKUP($A23,'00_SKU_Master'!$B$2:$B$378,'00_SKU_Master'!$F$2:$F$378,0)*G23/_xlfn.XLOOKUP($A23,'00_SKU_Master'!$B$2:$B$378,'00_SKU_Master'!$O:$O,0),"")</f>
        <v/>
      </c>
      <c r="P21" s="122">
        <f>_xludf.IFNA(_xlfn.XLOOKUP($A23,'00_SKU_Master'!$B$2:$B$378,'00_SKU_Master'!$F$2:$F$378,0)*H23/_xlfn.XLOOKUP($A23,'00_SKU_Master'!$B$2:$B$378,'00_SKU_Master'!$O:$O,0),"")</f>
        <v/>
      </c>
      <c r="Q21" s="122">
        <f>_xludf.IFNA(_xlfn.XLOOKUP($A23,'00_SKU_Master'!$B$2:$B$378,'00_SKU_Master'!$F$2:$F$378,0)*I23/_xlfn.XLOOKUP($A23,'00_SKU_Master'!$B$2:$B$378,'00_SKU_Master'!$O:$O,0),"")</f>
        <v/>
      </c>
      <c r="R21" s="122">
        <f>_xludf.IFNA(_xlfn.XLOOKUP($A23,'00_SKU_Master'!$B$2:$B$378,'00_SKU_Master'!$F$2:$F$378,0)*J23/_xlfn.XLOOKUP($A23,'00_SKU_Master'!$B$2:$B$378,'00_SKU_Master'!$O:$O,0),"")</f>
        <v/>
      </c>
      <c r="S21" s="122">
        <f>_xludf.IFNA(_xlfn.XLOOKUP($A23,'00_SKU_Master'!$B$2:$B$378,'00_SKU_Master'!$F$2:$F$378,0)*K23/_xlfn.XLOOKUP($A23,'00_SKU_Master'!$B$2:$B$378,'00_SKU_Master'!$O:$O,0),"")</f>
        <v/>
      </c>
      <c r="T21" s="123">
        <f>SUM(N23:S23)</f>
        <v/>
      </c>
      <c r="U21" s="124">
        <f>'05_Daily_Orders'!L22</f>
        <v/>
      </c>
    </row>
    <row r="22">
      <c r="A22" s="118">
        <f>'05_Daily_Orders'!B23</f>
        <v/>
      </c>
      <c r="B22" s="50" t="n">
        <v>0</v>
      </c>
      <c r="C22" s="50" t="n">
        <v>0</v>
      </c>
      <c r="D22" s="119" t="n"/>
      <c r="E22" s="119" t="n"/>
      <c r="F22" t="n">
        <v>0</v>
      </c>
      <c r="L22" s="120">
        <f>IF($E$1="n",0,(SUM(F24:K24)-B24))</f>
        <v/>
      </c>
      <c r="M22" s="121">
        <f>_xludf.IFNA(_xlfn.XLOOKUP(A24,'00_SKU_Master'!$B$2:$B$378,'00_SKU_Master'!$C$2:$C$378,0),"")</f>
        <v/>
      </c>
      <c r="N22" s="122">
        <f>_xludf.IFNA(_xlfn.XLOOKUP(A24,'00_SKU_Master'!$B$2:$B$378,'00_SKU_Master'!$F$2:$F$378,0)*F24/_xlfn.XLOOKUP(A24,'00_SKU_Master'!$B$2:$B$378,'00_SKU_Master'!$O:$O,0),"")</f>
        <v/>
      </c>
      <c r="O22" s="122">
        <f>_xludf.IFNA(_xlfn.XLOOKUP($A24,'00_SKU_Master'!$B$2:$B$378,'00_SKU_Master'!$F$2:$F$378,0)*G24/_xlfn.XLOOKUP($A24,'00_SKU_Master'!$B$2:$B$378,'00_SKU_Master'!$O:$O,0),"")</f>
        <v/>
      </c>
      <c r="P22" s="122">
        <f>_xludf.IFNA(_xlfn.XLOOKUP($A24,'00_SKU_Master'!$B$2:$B$378,'00_SKU_Master'!$F$2:$F$378,0)*H24/_xlfn.XLOOKUP($A24,'00_SKU_Master'!$B$2:$B$378,'00_SKU_Master'!$O:$O,0),"")</f>
        <v/>
      </c>
      <c r="Q22" s="122">
        <f>_xludf.IFNA(_xlfn.XLOOKUP($A24,'00_SKU_Master'!$B$2:$B$378,'00_SKU_Master'!$F$2:$F$378,0)*I24/_xlfn.XLOOKUP($A24,'00_SKU_Master'!$B$2:$B$378,'00_SKU_Master'!$O:$O,0),"")</f>
        <v/>
      </c>
      <c r="R22" s="122">
        <f>_xludf.IFNA(_xlfn.XLOOKUP($A24,'00_SKU_Master'!$B$2:$B$378,'00_SKU_Master'!$F$2:$F$378,0)*J24/_xlfn.XLOOKUP($A24,'00_SKU_Master'!$B$2:$B$378,'00_SKU_Master'!$O:$O,0),"")</f>
        <v/>
      </c>
      <c r="S22" s="122">
        <f>_xludf.IFNA(_xlfn.XLOOKUP($A24,'00_SKU_Master'!$B$2:$B$378,'00_SKU_Master'!$F$2:$F$378,0)*K24/_xlfn.XLOOKUP($A24,'00_SKU_Master'!$B$2:$B$378,'00_SKU_Master'!$O:$O,0),"")</f>
        <v/>
      </c>
      <c r="T22" s="123">
        <f>SUM(N24:S24)</f>
        <v/>
      </c>
      <c r="U22" s="124">
        <f>'05_Daily_Orders'!L23</f>
        <v/>
      </c>
    </row>
    <row r="23">
      <c r="A23" s="118">
        <f>'05_Daily_Orders'!B24</f>
        <v/>
      </c>
      <c r="B23" s="50" t="n">
        <v>0</v>
      </c>
      <c r="C23" s="50" t="n">
        <v>0</v>
      </c>
      <c r="D23" s="119" t="n"/>
      <c r="E23" s="119" t="n"/>
      <c r="F23" t="n">
        <v>0</v>
      </c>
      <c r="L23" s="120">
        <f>IF($E$1="n",0,(SUM(F25:K25)-B25))</f>
        <v/>
      </c>
      <c r="M23" s="121">
        <f>_xludf.IFNA(_xlfn.XLOOKUP(A25,'00_SKU_Master'!$B$2:$B$378,'00_SKU_Master'!$C$2:$C$378,0),"")</f>
        <v/>
      </c>
      <c r="N23" s="122">
        <f>_xludf.IFNA(_xlfn.XLOOKUP(A25,'00_SKU_Master'!$B$2:$B$378,'00_SKU_Master'!$F$2:$F$378,0)*F25/_xlfn.XLOOKUP(A25,'00_SKU_Master'!$B$2:$B$378,'00_SKU_Master'!$O:$O,0),"")</f>
        <v/>
      </c>
      <c r="O23" s="122">
        <f>_xludf.IFNA(_xlfn.XLOOKUP($A25,'00_SKU_Master'!$B$2:$B$378,'00_SKU_Master'!$F$2:$F$378,0)*G25/_xlfn.XLOOKUP($A25,'00_SKU_Master'!$B$2:$B$378,'00_SKU_Master'!$O:$O,0),"")</f>
        <v/>
      </c>
      <c r="P23" s="122">
        <f>_xludf.IFNA(_xlfn.XLOOKUP($A25,'00_SKU_Master'!$B$2:$B$378,'00_SKU_Master'!$F$2:$F$378,0)*H25/_xlfn.XLOOKUP($A25,'00_SKU_Master'!$B$2:$B$378,'00_SKU_Master'!$O:$O,0),"")</f>
        <v/>
      </c>
      <c r="Q23" s="122">
        <f>_xludf.IFNA(_xlfn.XLOOKUP($A25,'00_SKU_Master'!$B$2:$B$378,'00_SKU_Master'!$F$2:$F$378,0)*I25/_xlfn.XLOOKUP($A25,'00_SKU_Master'!$B$2:$B$378,'00_SKU_Master'!$O:$O,0),"")</f>
        <v/>
      </c>
      <c r="R23" s="122">
        <f>_xludf.IFNA(_xlfn.XLOOKUP($A25,'00_SKU_Master'!$B$2:$B$378,'00_SKU_Master'!$F$2:$F$378,0)*J25/_xlfn.XLOOKUP($A25,'00_SKU_Master'!$B$2:$B$378,'00_SKU_Master'!$O:$O,0),"")</f>
        <v/>
      </c>
      <c r="S23" s="122">
        <f>_xludf.IFNA(_xlfn.XLOOKUP($A25,'00_SKU_Master'!$B$2:$B$378,'00_SKU_Master'!$F$2:$F$378,0)*K25/_xlfn.XLOOKUP($A25,'00_SKU_Master'!$B$2:$B$378,'00_SKU_Master'!$O:$O,0),"")</f>
        <v/>
      </c>
      <c r="T23" s="123">
        <f>SUM(N25:S25)</f>
        <v/>
      </c>
      <c r="U23" s="124">
        <f>'05_Daily_Orders'!L24</f>
        <v/>
      </c>
    </row>
    <row r="24">
      <c r="A24" s="118">
        <f>'05_Daily_Orders'!B25</f>
        <v/>
      </c>
      <c r="B24" s="50" t="n">
        <v>0</v>
      </c>
      <c r="C24" s="50" t="n">
        <v>0</v>
      </c>
      <c r="D24" s="119" t="n"/>
      <c r="E24" s="119" t="n"/>
      <c r="F24" t="n">
        <v>0</v>
      </c>
      <c r="L24" s="120">
        <f>IF($E$1="n",0,(SUM(F26:K26)-B26))</f>
        <v/>
      </c>
      <c r="M24" s="121">
        <f>_xludf.IFNA(_xlfn.XLOOKUP(A26,'00_SKU_Master'!$B$2:$B$378,'00_SKU_Master'!$C$2:$C$378,0),"")</f>
        <v/>
      </c>
      <c r="N24" s="122">
        <f>_xludf.IFNA(_xlfn.XLOOKUP(A26,'00_SKU_Master'!$B$2:$B$378,'00_SKU_Master'!$F$2:$F$378,0)*F26/_xlfn.XLOOKUP(A26,'00_SKU_Master'!$B$2:$B$378,'00_SKU_Master'!$O:$O,0),"")</f>
        <v/>
      </c>
      <c r="O24" s="122">
        <f>_xludf.IFNA(_xlfn.XLOOKUP($A26,'00_SKU_Master'!$B$2:$B$378,'00_SKU_Master'!$F$2:$F$378,0)*G26/_xlfn.XLOOKUP($A26,'00_SKU_Master'!$B$2:$B$378,'00_SKU_Master'!$O:$O,0),"")</f>
        <v/>
      </c>
      <c r="P24" s="122">
        <f>_xludf.IFNA(_xlfn.XLOOKUP($A26,'00_SKU_Master'!$B$2:$B$378,'00_SKU_Master'!$F$2:$F$378,0)*H26/_xlfn.XLOOKUP($A26,'00_SKU_Master'!$B$2:$B$378,'00_SKU_Master'!$O:$O,0),"")</f>
        <v/>
      </c>
      <c r="Q24" s="122">
        <f>_xludf.IFNA(_xlfn.XLOOKUP($A26,'00_SKU_Master'!$B$2:$B$378,'00_SKU_Master'!$F$2:$F$378,0)*I26/_xlfn.XLOOKUP($A26,'00_SKU_Master'!$B$2:$B$378,'00_SKU_Master'!$O:$O,0),"")</f>
        <v/>
      </c>
      <c r="R24" s="122">
        <f>_xludf.IFNA(_xlfn.XLOOKUP($A26,'00_SKU_Master'!$B$2:$B$378,'00_SKU_Master'!$F$2:$F$378,0)*J26/_xlfn.XLOOKUP($A26,'00_SKU_Master'!$B$2:$B$378,'00_SKU_Master'!$O:$O,0),"")</f>
        <v/>
      </c>
      <c r="S24" s="122">
        <f>_xludf.IFNA(_xlfn.XLOOKUP($A26,'00_SKU_Master'!$B$2:$B$378,'00_SKU_Master'!$F$2:$F$378,0)*K26/_xlfn.XLOOKUP($A26,'00_SKU_Master'!$B$2:$B$378,'00_SKU_Master'!$O:$O,0),"")</f>
        <v/>
      </c>
      <c r="T24" s="123">
        <f>SUM(N26:S26)</f>
        <v/>
      </c>
      <c r="U24" s="124">
        <f>'05_Daily_Orders'!L25</f>
        <v/>
      </c>
    </row>
    <row r="25">
      <c r="A25" s="118">
        <f>'05_Daily_Orders'!B26</f>
        <v/>
      </c>
      <c r="B25" s="50" t="n">
        <v>0</v>
      </c>
      <c r="C25" s="50" t="n">
        <v>0</v>
      </c>
      <c r="D25" s="119" t="n"/>
      <c r="E25" s="119" t="n"/>
      <c r="F25" t="n">
        <v>0</v>
      </c>
      <c r="L25" s="120">
        <f>IF($E$1="n",0,(SUM(F27:K27)-B27))</f>
        <v/>
      </c>
      <c r="M25" s="121">
        <f>_xludf.IFNA(_xlfn.XLOOKUP(A27,'00_SKU_Master'!$B$2:$B$378,'00_SKU_Master'!$C$2:$C$378,0),"")</f>
        <v/>
      </c>
      <c r="N25" s="122">
        <f>_xludf.IFNA(_xlfn.XLOOKUP(A27,'00_SKU_Master'!$B$2:$B$378,'00_SKU_Master'!$F$2:$F$378,0)*F27/_xlfn.XLOOKUP(A27,'00_SKU_Master'!$B$2:$B$378,'00_SKU_Master'!$O:$O,0),"")</f>
        <v/>
      </c>
      <c r="O25" s="122">
        <f>_xludf.IFNA(_xlfn.XLOOKUP($A27,'00_SKU_Master'!$B$2:$B$378,'00_SKU_Master'!$F$2:$F$378,0)*G27/_xlfn.XLOOKUP($A27,'00_SKU_Master'!$B$2:$B$378,'00_SKU_Master'!$O:$O,0),"")</f>
        <v/>
      </c>
      <c r="P25" s="122">
        <f>_xludf.IFNA(_xlfn.XLOOKUP($A27,'00_SKU_Master'!$B$2:$B$378,'00_SKU_Master'!$F$2:$F$378,0)*H27/_xlfn.XLOOKUP($A27,'00_SKU_Master'!$B$2:$B$378,'00_SKU_Master'!$O:$O,0),"")</f>
        <v/>
      </c>
      <c r="Q25" s="122">
        <f>_xludf.IFNA(_xlfn.XLOOKUP($A27,'00_SKU_Master'!$B$2:$B$378,'00_SKU_Master'!$F$2:$F$378,0)*I27/_xlfn.XLOOKUP($A27,'00_SKU_Master'!$B$2:$B$378,'00_SKU_Master'!$O:$O,0),"")</f>
        <v/>
      </c>
      <c r="R25" s="122">
        <f>_xludf.IFNA(_xlfn.XLOOKUP($A27,'00_SKU_Master'!$B$2:$B$378,'00_SKU_Master'!$F$2:$F$378,0)*J27/_xlfn.XLOOKUP($A27,'00_SKU_Master'!$B$2:$B$378,'00_SKU_Master'!$O:$O,0),"")</f>
        <v/>
      </c>
      <c r="S25" s="122">
        <f>_xludf.IFNA(_xlfn.XLOOKUP($A27,'00_SKU_Master'!$B$2:$B$378,'00_SKU_Master'!$F$2:$F$378,0)*K27/_xlfn.XLOOKUP($A27,'00_SKU_Master'!$B$2:$B$378,'00_SKU_Master'!$O:$O,0),"")</f>
        <v/>
      </c>
      <c r="T25" s="123">
        <f>SUM(N27:S27)</f>
        <v/>
      </c>
      <c r="U25" s="124">
        <f>'05_Daily_Orders'!L26</f>
        <v/>
      </c>
    </row>
    <row r="26">
      <c r="A26" s="118">
        <f>'05_Daily_Orders'!B27</f>
        <v/>
      </c>
      <c r="B26" s="50" t="n">
        <v>30</v>
      </c>
      <c r="C26" s="50" t="n">
        <v>0</v>
      </c>
      <c r="D26" s="119" t="n"/>
      <c r="E26" s="119" t="n"/>
      <c r="F26" t="n">
        <v>345</v>
      </c>
      <c r="L26" s="120">
        <f>IF($E$1="n",0,(SUM(F28:K28)-B28))</f>
        <v/>
      </c>
      <c r="M26" s="121">
        <f>_xludf.IFNA(_xlfn.XLOOKUP(A28,'00_SKU_Master'!$B$2:$B$378,'00_SKU_Master'!$C$2:$C$378,0),"")</f>
        <v/>
      </c>
      <c r="N26" s="122">
        <f>_xludf.IFNA(_xlfn.XLOOKUP(A28,'00_SKU_Master'!$B$2:$B$378,'00_SKU_Master'!$F$2:$F$378,0)*F28/_xlfn.XLOOKUP(A28,'00_SKU_Master'!$B$2:$B$378,'00_SKU_Master'!$O:$O,0),"")</f>
        <v/>
      </c>
      <c r="O26" s="122">
        <f>_xludf.IFNA(_xlfn.XLOOKUP($A28,'00_SKU_Master'!$B$2:$B$378,'00_SKU_Master'!$F$2:$F$378,0)*G28/_xlfn.XLOOKUP($A28,'00_SKU_Master'!$B$2:$B$378,'00_SKU_Master'!$O:$O,0),"")</f>
        <v/>
      </c>
      <c r="P26" s="122">
        <f>_xludf.IFNA(_xlfn.XLOOKUP($A28,'00_SKU_Master'!$B$2:$B$378,'00_SKU_Master'!$F$2:$F$378,0)*H28/_xlfn.XLOOKUP($A28,'00_SKU_Master'!$B$2:$B$378,'00_SKU_Master'!$O:$O,0),"")</f>
        <v/>
      </c>
      <c r="Q26" s="122">
        <f>_xludf.IFNA(_xlfn.XLOOKUP($A28,'00_SKU_Master'!$B$2:$B$378,'00_SKU_Master'!$F$2:$F$378,0)*I28/_xlfn.XLOOKUP($A28,'00_SKU_Master'!$B$2:$B$378,'00_SKU_Master'!$O:$O,0),"")</f>
        <v/>
      </c>
      <c r="R26" s="122">
        <f>_xludf.IFNA(_xlfn.XLOOKUP($A28,'00_SKU_Master'!$B$2:$B$378,'00_SKU_Master'!$F$2:$F$378,0)*J28/_xlfn.XLOOKUP($A28,'00_SKU_Master'!$B$2:$B$378,'00_SKU_Master'!$O:$O,0),"")</f>
        <v/>
      </c>
      <c r="S26" s="122">
        <f>_xludf.IFNA(_xlfn.XLOOKUP($A28,'00_SKU_Master'!$B$2:$B$378,'00_SKU_Master'!$F$2:$F$378,0)*K28/_xlfn.XLOOKUP($A28,'00_SKU_Master'!$B$2:$B$378,'00_SKU_Master'!$O:$O,0),"")</f>
        <v/>
      </c>
      <c r="T26" s="123">
        <f>SUM(N28:S28)</f>
        <v/>
      </c>
      <c r="U26" s="124">
        <f>'05_Daily_Orders'!L27</f>
        <v/>
      </c>
    </row>
    <row r="27">
      <c r="A27" s="118">
        <f>'05_Daily_Orders'!B28</f>
        <v/>
      </c>
      <c r="B27" s="50" t="n">
        <v>41</v>
      </c>
      <c r="C27" s="50" t="n">
        <v>0</v>
      </c>
      <c r="D27" s="119" t="n"/>
      <c r="E27" s="119" t="n"/>
      <c r="F27" t="n">
        <v>120</v>
      </c>
      <c r="L27" s="120">
        <f>IF($E$1="n",0,(SUM(F29:K29)-B29))</f>
        <v/>
      </c>
      <c r="M27" s="121">
        <f>_xludf.IFNA(_xlfn.XLOOKUP(A29,'00_SKU_Master'!$B$2:$B$378,'00_SKU_Master'!$C$2:$C$378,0),"")</f>
        <v/>
      </c>
      <c r="N27" s="122">
        <f>_xludf.IFNA(_xlfn.XLOOKUP(A29,'00_SKU_Master'!$B$2:$B$378,'00_SKU_Master'!$F$2:$F$378,0)*F29/_xlfn.XLOOKUP(A29,'00_SKU_Master'!$B$2:$B$378,'00_SKU_Master'!$O:$O,0),"")</f>
        <v/>
      </c>
      <c r="O27" s="122">
        <f>_xludf.IFNA(_xlfn.XLOOKUP($A29,'00_SKU_Master'!$B$2:$B$378,'00_SKU_Master'!$F$2:$F$378,0)*G29/_xlfn.XLOOKUP($A29,'00_SKU_Master'!$B$2:$B$378,'00_SKU_Master'!$O:$O,0),"")</f>
        <v/>
      </c>
      <c r="P27" s="122">
        <f>_xludf.IFNA(_xlfn.XLOOKUP($A29,'00_SKU_Master'!$B$2:$B$378,'00_SKU_Master'!$F$2:$F$378,0)*H29/_xlfn.XLOOKUP($A29,'00_SKU_Master'!$B$2:$B$378,'00_SKU_Master'!$O:$O,0),"")</f>
        <v/>
      </c>
      <c r="Q27" s="122">
        <f>_xludf.IFNA(_xlfn.XLOOKUP($A29,'00_SKU_Master'!$B$2:$B$378,'00_SKU_Master'!$F$2:$F$378,0)*I29/_xlfn.XLOOKUP($A29,'00_SKU_Master'!$B$2:$B$378,'00_SKU_Master'!$O:$O,0),"")</f>
        <v/>
      </c>
      <c r="R27" s="122">
        <f>_xludf.IFNA(_xlfn.XLOOKUP($A29,'00_SKU_Master'!$B$2:$B$378,'00_SKU_Master'!$F$2:$F$378,0)*J29/_xlfn.XLOOKUP($A29,'00_SKU_Master'!$B$2:$B$378,'00_SKU_Master'!$O:$O,0),"")</f>
        <v/>
      </c>
      <c r="S27" s="122">
        <f>_xludf.IFNA(_xlfn.XLOOKUP($A29,'00_SKU_Master'!$B$2:$B$378,'00_SKU_Master'!$F$2:$F$378,0)*K29/_xlfn.XLOOKUP($A29,'00_SKU_Master'!$B$2:$B$378,'00_SKU_Master'!$O:$O,0),"")</f>
        <v/>
      </c>
      <c r="T27" s="123">
        <f>SUM(N29:S29)</f>
        <v/>
      </c>
      <c r="U27" s="124">
        <f>'05_Daily_Orders'!L28</f>
        <v/>
      </c>
    </row>
    <row r="28">
      <c r="A28" s="118">
        <f>'05_Daily_Orders'!B29</f>
        <v/>
      </c>
      <c r="B28" s="50" t="n">
        <v>56</v>
      </c>
      <c r="C28" s="50" t="n">
        <v>0</v>
      </c>
      <c r="D28" s="119" t="n"/>
      <c r="E28" s="119" t="n"/>
      <c r="F28" t="n">
        <v>78</v>
      </c>
      <c r="L28" s="120">
        <f>IF($E$1="n",0,(SUM(F30:K30)-B30))</f>
        <v/>
      </c>
      <c r="M28" s="121">
        <f>_xludf.IFNA(_xlfn.XLOOKUP(A30,'00_SKU_Master'!$B$2:$B$378,'00_SKU_Master'!$C$2:$C$378,0),"")</f>
        <v/>
      </c>
      <c r="N28" s="122">
        <f>_xludf.IFNA(_xlfn.XLOOKUP(A30,'00_SKU_Master'!$B$2:$B$378,'00_SKU_Master'!$F$2:$F$378,0)*F30/_xlfn.XLOOKUP(A30,'00_SKU_Master'!$B$2:$B$378,'00_SKU_Master'!$O:$O,0),"")</f>
        <v/>
      </c>
      <c r="O28" s="122">
        <f>_xludf.IFNA(_xlfn.XLOOKUP($A30,'00_SKU_Master'!$B$2:$B$378,'00_SKU_Master'!$F$2:$F$378,0)*G30/_xlfn.XLOOKUP($A30,'00_SKU_Master'!$B$2:$B$378,'00_SKU_Master'!$O:$O,0),"")</f>
        <v/>
      </c>
      <c r="P28" s="122">
        <f>_xludf.IFNA(_xlfn.XLOOKUP($A30,'00_SKU_Master'!$B$2:$B$378,'00_SKU_Master'!$F$2:$F$378,0)*H30/_xlfn.XLOOKUP($A30,'00_SKU_Master'!$B$2:$B$378,'00_SKU_Master'!$O:$O,0),"")</f>
        <v/>
      </c>
      <c r="Q28" s="122">
        <f>_xludf.IFNA(_xlfn.XLOOKUP($A30,'00_SKU_Master'!$B$2:$B$378,'00_SKU_Master'!$F$2:$F$378,0)*I30/_xlfn.XLOOKUP($A30,'00_SKU_Master'!$B$2:$B$378,'00_SKU_Master'!$O:$O,0),"")</f>
        <v/>
      </c>
      <c r="R28" s="122">
        <f>_xludf.IFNA(_xlfn.XLOOKUP($A30,'00_SKU_Master'!$B$2:$B$378,'00_SKU_Master'!$F$2:$F$378,0)*J30/_xlfn.XLOOKUP($A30,'00_SKU_Master'!$B$2:$B$378,'00_SKU_Master'!$O:$O,0),"")</f>
        <v/>
      </c>
      <c r="S28" s="122">
        <f>_xludf.IFNA(_xlfn.XLOOKUP($A30,'00_SKU_Master'!$B$2:$B$378,'00_SKU_Master'!$F$2:$F$378,0)*K30/_xlfn.XLOOKUP($A30,'00_SKU_Master'!$B$2:$B$378,'00_SKU_Master'!$O:$O,0),"")</f>
        <v/>
      </c>
      <c r="T28" s="123">
        <f>SUM(N30:S30)</f>
        <v/>
      </c>
      <c r="U28" s="124">
        <f>'05_Daily_Orders'!L29</f>
        <v/>
      </c>
    </row>
    <row r="29">
      <c r="A29" s="118">
        <f>'05_Daily_Orders'!B30</f>
        <v/>
      </c>
      <c r="B29" s="50" t="n">
        <v>88</v>
      </c>
      <c r="C29" s="50" t="n">
        <v>0</v>
      </c>
      <c r="D29" s="119" t="n"/>
      <c r="E29" s="119" t="n"/>
      <c r="F29" t="n">
        <v>137</v>
      </c>
      <c r="L29" s="120">
        <f>IF($E$1="n",0,(SUM(F31:K31)-B31))</f>
        <v/>
      </c>
      <c r="M29" s="121">
        <f>_xludf.IFNA(_xlfn.XLOOKUP(A31,'00_SKU_Master'!$B$2:$B$378,'00_SKU_Master'!$C$2:$C$378,0),"")</f>
        <v/>
      </c>
      <c r="N29" s="122">
        <f>_xludf.IFNA(_xlfn.XLOOKUP(A31,'00_SKU_Master'!$B$2:$B$378,'00_SKU_Master'!$F$2:$F$378,0)*F31/_xlfn.XLOOKUP(A31,'00_SKU_Master'!$B$2:$B$378,'00_SKU_Master'!$O:$O,0),"")</f>
        <v/>
      </c>
      <c r="O29" s="122">
        <f>_xludf.IFNA(_xlfn.XLOOKUP($A31,'00_SKU_Master'!$B$2:$B$378,'00_SKU_Master'!$F$2:$F$378,0)*G31/_xlfn.XLOOKUP($A31,'00_SKU_Master'!$B$2:$B$378,'00_SKU_Master'!$O:$O,0),"")</f>
        <v/>
      </c>
      <c r="P29" s="122">
        <f>_xludf.IFNA(_xlfn.XLOOKUP($A31,'00_SKU_Master'!$B$2:$B$378,'00_SKU_Master'!$F$2:$F$378,0)*H31/_xlfn.XLOOKUP($A31,'00_SKU_Master'!$B$2:$B$378,'00_SKU_Master'!$O:$O,0),"")</f>
        <v/>
      </c>
      <c r="Q29" s="122">
        <f>_xludf.IFNA(_xlfn.XLOOKUP($A31,'00_SKU_Master'!$B$2:$B$378,'00_SKU_Master'!$F$2:$F$378,0)*I31/_xlfn.XLOOKUP($A31,'00_SKU_Master'!$B$2:$B$378,'00_SKU_Master'!$O:$O,0),"")</f>
        <v/>
      </c>
      <c r="R29" s="122">
        <f>_xludf.IFNA(_xlfn.XLOOKUP($A31,'00_SKU_Master'!$B$2:$B$378,'00_SKU_Master'!$F$2:$F$378,0)*J31/_xlfn.XLOOKUP($A31,'00_SKU_Master'!$B$2:$B$378,'00_SKU_Master'!$O:$O,0),"")</f>
        <v/>
      </c>
      <c r="S29" s="122">
        <f>_xludf.IFNA(_xlfn.XLOOKUP($A31,'00_SKU_Master'!$B$2:$B$378,'00_SKU_Master'!$F$2:$F$378,0)*K31/_xlfn.XLOOKUP($A31,'00_SKU_Master'!$B$2:$B$378,'00_SKU_Master'!$O:$O,0),"")</f>
        <v/>
      </c>
      <c r="T29" s="123">
        <f>SUM(N31:S31)</f>
        <v/>
      </c>
      <c r="U29" s="124">
        <f>'05_Daily_Orders'!L30</f>
        <v/>
      </c>
    </row>
    <row r="30">
      <c r="A30" s="118">
        <f>'05_Daily_Orders'!B31</f>
        <v/>
      </c>
      <c r="B30" s="50" t="n">
        <v>0</v>
      </c>
      <c r="C30" s="50" t="n">
        <v>11</v>
      </c>
      <c r="D30" s="119" t="n"/>
      <c r="E30" s="119" t="n"/>
      <c r="F30" t="n">
        <v>44</v>
      </c>
      <c r="L30" s="120">
        <f>IF($E$1="n",0,(SUM(F32:K32)-B32))</f>
        <v/>
      </c>
      <c r="M30" s="121">
        <f>_xludf.IFNA(_xlfn.XLOOKUP(A32,'00_SKU_Master'!$B$2:$B$378,'00_SKU_Master'!$C$2:$C$378,0),"")</f>
        <v/>
      </c>
      <c r="N30" s="122">
        <f>_xludf.IFNA(_xlfn.XLOOKUP(A32,'00_SKU_Master'!$B$2:$B$378,'00_SKU_Master'!$F$2:$F$378,0)*F32/_xlfn.XLOOKUP(A32,'00_SKU_Master'!$B$2:$B$378,'00_SKU_Master'!$O:$O,0),"")</f>
        <v/>
      </c>
      <c r="O30" s="122">
        <f>_xludf.IFNA(_xlfn.XLOOKUP($A32,'00_SKU_Master'!$B$2:$B$378,'00_SKU_Master'!$F$2:$F$378,0)*G32/_xlfn.XLOOKUP($A32,'00_SKU_Master'!$B$2:$B$378,'00_SKU_Master'!$O:$O,0),"")</f>
        <v/>
      </c>
      <c r="P30" s="122">
        <f>_xludf.IFNA(_xlfn.XLOOKUP($A32,'00_SKU_Master'!$B$2:$B$378,'00_SKU_Master'!$F$2:$F$378,0)*H32/_xlfn.XLOOKUP($A32,'00_SKU_Master'!$B$2:$B$378,'00_SKU_Master'!$O:$O,0),"")</f>
        <v/>
      </c>
      <c r="Q30" s="122">
        <f>_xludf.IFNA(_xlfn.XLOOKUP($A32,'00_SKU_Master'!$B$2:$B$378,'00_SKU_Master'!$F$2:$F$378,0)*I32/_xlfn.XLOOKUP($A32,'00_SKU_Master'!$B$2:$B$378,'00_SKU_Master'!$O:$O,0),"")</f>
        <v/>
      </c>
      <c r="R30" s="122">
        <f>_xludf.IFNA(_xlfn.XLOOKUP($A32,'00_SKU_Master'!$B$2:$B$378,'00_SKU_Master'!$F$2:$F$378,0)*J32/_xlfn.XLOOKUP($A32,'00_SKU_Master'!$B$2:$B$378,'00_SKU_Master'!$O:$O,0),"")</f>
        <v/>
      </c>
      <c r="S30" s="122">
        <f>_xludf.IFNA(_xlfn.XLOOKUP($A32,'00_SKU_Master'!$B$2:$B$378,'00_SKU_Master'!$F$2:$F$378,0)*K32/_xlfn.XLOOKUP($A32,'00_SKU_Master'!$B$2:$B$378,'00_SKU_Master'!$O:$O,0),"")</f>
        <v/>
      </c>
      <c r="T30" s="123">
        <f>SUM(N32:S32)</f>
        <v/>
      </c>
      <c r="U30" s="124">
        <f>'05_Daily_Orders'!L31</f>
        <v/>
      </c>
    </row>
    <row r="31">
      <c r="A31" s="118">
        <f>'05_Daily_Orders'!B32</f>
        <v/>
      </c>
      <c r="B31" s="50" t="n">
        <v>0</v>
      </c>
      <c r="C31" s="50" t="n">
        <v>50</v>
      </c>
      <c r="D31" s="119" t="n"/>
      <c r="E31" s="119" t="n"/>
      <c r="F31" t="n">
        <v>80</v>
      </c>
      <c r="L31" s="120">
        <f>IF($E$1="n",0,(SUM(F33:K33)-B33))</f>
        <v/>
      </c>
      <c r="M31" s="121">
        <f>_xludf.IFNA(_xlfn.XLOOKUP(A33,'00_SKU_Master'!$B$2:$B$378,'00_SKU_Master'!$C$2:$C$378,0),"")</f>
        <v/>
      </c>
      <c r="N31" s="122">
        <f>_xludf.IFNA(_xlfn.XLOOKUP(A33,'00_SKU_Master'!$B$2:$B$378,'00_SKU_Master'!$F$2:$F$378,0)*F33/_xlfn.XLOOKUP(A33,'00_SKU_Master'!$B$2:$B$378,'00_SKU_Master'!$O:$O,0),"")</f>
        <v/>
      </c>
      <c r="O31" s="122">
        <f>_xludf.IFNA(_xlfn.XLOOKUP($A33,'00_SKU_Master'!$B$2:$B$378,'00_SKU_Master'!$F$2:$F$378,0)*G33/_xlfn.XLOOKUP($A33,'00_SKU_Master'!$B$2:$B$378,'00_SKU_Master'!$O:$O,0),"")</f>
        <v/>
      </c>
      <c r="P31" s="122">
        <f>_xludf.IFNA(_xlfn.XLOOKUP($A33,'00_SKU_Master'!$B$2:$B$378,'00_SKU_Master'!$F$2:$F$378,0)*H33/_xlfn.XLOOKUP($A33,'00_SKU_Master'!$B$2:$B$378,'00_SKU_Master'!$O:$O,0),"")</f>
        <v/>
      </c>
      <c r="Q31" s="122">
        <f>_xludf.IFNA(_xlfn.XLOOKUP($A33,'00_SKU_Master'!$B$2:$B$378,'00_SKU_Master'!$F$2:$F$378,0)*I33/_xlfn.XLOOKUP($A33,'00_SKU_Master'!$B$2:$B$378,'00_SKU_Master'!$O:$O,0),"")</f>
        <v/>
      </c>
      <c r="R31" s="122">
        <f>_xludf.IFNA(_xlfn.XLOOKUP($A33,'00_SKU_Master'!$B$2:$B$378,'00_SKU_Master'!$F$2:$F$378,0)*J33/_xlfn.XLOOKUP($A33,'00_SKU_Master'!$B$2:$B$378,'00_SKU_Master'!$O:$O,0),"")</f>
        <v/>
      </c>
      <c r="S31" s="122">
        <f>_xludf.IFNA(_xlfn.XLOOKUP($A33,'00_SKU_Master'!$B$2:$B$378,'00_SKU_Master'!$F$2:$F$378,0)*K33/_xlfn.XLOOKUP($A33,'00_SKU_Master'!$B$2:$B$378,'00_SKU_Master'!$O:$O,0),"")</f>
        <v/>
      </c>
      <c r="T31" s="123">
        <f>SUM(N33:S33)</f>
        <v/>
      </c>
      <c r="U31" s="124">
        <f>'05_Daily_Orders'!L32</f>
        <v/>
      </c>
    </row>
    <row r="32">
      <c r="A32" s="118">
        <f>'05_Daily_Orders'!B33</f>
        <v/>
      </c>
      <c r="B32" s="50" t="n">
        <v>0</v>
      </c>
      <c r="C32" s="50" t="n">
        <v>80</v>
      </c>
      <c r="D32" s="119" t="n"/>
      <c r="E32" s="119" t="n"/>
      <c r="F32" t="n">
        <v>80</v>
      </c>
      <c r="L32" s="120">
        <f>IF($E$1="n",0,(SUM(F34:K34)-B34))</f>
        <v/>
      </c>
      <c r="M32" s="121">
        <f>_xludf.IFNA(_xlfn.XLOOKUP(A34,'00_SKU_Master'!$B$2:$B$378,'00_SKU_Master'!$C$2:$C$378,0),"")</f>
        <v/>
      </c>
      <c r="N32" s="122">
        <f>_xludf.IFNA(_xlfn.XLOOKUP(A34,'00_SKU_Master'!$B$2:$B$378,'00_SKU_Master'!$F$2:$F$378,0)*F34/_xlfn.XLOOKUP(A34,'00_SKU_Master'!$B$2:$B$378,'00_SKU_Master'!$O:$O,0),"")</f>
        <v/>
      </c>
      <c r="O32" s="122">
        <f>_xludf.IFNA(_xlfn.XLOOKUP($A34,'00_SKU_Master'!$B$2:$B$378,'00_SKU_Master'!$F$2:$F$378,0)*G34/_xlfn.XLOOKUP($A34,'00_SKU_Master'!$B$2:$B$378,'00_SKU_Master'!$O:$O,0),"")</f>
        <v/>
      </c>
      <c r="P32" s="122">
        <f>_xludf.IFNA(_xlfn.XLOOKUP($A34,'00_SKU_Master'!$B$2:$B$378,'00_SKU_Master'!$F$2:$F$378,0)*H34/_xlfn.XLOOKUP($A34,'00_SKU_Master'!$B$2:$B$378,'00_SKU_Master'!$O:$O,0),"")</f>
        <v/>
      </c>
      <c r="Q32" s="122">
        <f>_xludf.IFNA(_xlfn.XLOOKUP($A34,'00_SKU_Master'!$B$2:$B$378,'00_SKU_Master'!$F$2:$F$378,0)*I34/_xlfn.XLOOKUP($A34,'00_SKU_Master'!$B$2:$B$378,'00_SKU_Master'!$O:$O,0),"")</f>
        <v/>
      </c>
      <c r="R32" s="122">
        <f>_xludf.IFNA(_xlfn.XLOOKUP($A34,'00_SKU_Master'!$B$2:$B$378,'00_SKU_Master'!$F$2:$F$378,0)*J34/_xlfn.XLOOKUP($A34,'00_SKU_Master'!$B$2:$B$378,'00_SKU_Master'!$O:$O,0),"")</f>
        <v/>
      </c>
      <c r="S32" s="122">
        <f>_xludf.IFNA(_xlfn.XLOOKUP($A34,'00_SKU_Master'!$B$2:$B$378,'00_SKU_Master'!$F$2:$F$378,0)*K34/_xlfn.XLOOKUP($A34,'00_SKU_Master'!$B$2:$B$378,'00_SKU_Master'!$O:$O,0),"")</f>
        <v/>
      </c>
      <c r="T32" s="123">
        <f>SUM(N34:S34)</f>
        <v/>
      </c>
      <c r="U32" s="124">
        <f>'05_Daily_Orders'!L33</f>
        <v/>
      </c>
    </row>
    <row r="33">
      <c r="A33" s="118">
        <f>'05_Daily_Orders'!B34</f>
        <v/>
      </c>
      <c r="B33" s="50" t="n">
        <v>0</v>
      </c>
      <c r="C33" s="50" t="n">
        <v>0</v>
      </c>
      <c r="D33" s="119" t="n"/>
      <c r="E33" s="119" t="n"/>
      <c r="F33" t="n">
        <v>0</v>
      </c>
      <c r="L33" s="120">
        <f>IF($E$1="n",0,(SUM(F35:K35)-B35))</f>
        <v/>
      </c>
      <c r="M33" s="121">
        <f>_xludf.IFNA(_xlfn.XLOOKUP(A35,'00_SKU_Master'!$B$2:$B$378,'00_SKU_Master'!$C$2:$C$378,0),"")</f>
        <v/>
      </c>
      <c r="N33" s="122">
        <f>_xludf.IFNA(_xlfn.XLOOKUP(A35,'00_SKU_Master'!$B$2:$B$378,'00_SKU_Master'!$F$2:$F$378,0)*F35/_xlfn.XLOOKUP(A35,'00_SKU_Master'!$B$2:$B$378,'00_SKU_Master'!$O:$O,0),"")</f>
        <v/>
      </c>
      <c r="O33" s="122">
        <f>_xludf.IFNA(_xlfn.XLOOKUP($A35,'00_SKU_Master'!$B$2:$B$378,'00_SKU_Master'!$F$2:$F$378,0)*G35/_xlfn.XLOOKUP($A35,'00_SKU_Master'!$B$2:$B$378,'00_SKU_Master'!$O:$O,0),"")</f>
        <v/>
      </c>
      <c r="P33" s="122">
        <f>_xludf.IFNA(_xlfn.XLOOKUP($A35,'00_SKU_Master'!$B$2:$B$378,'00_SKU_Master'!$F$2:$F$378,0)*H35/_xlfn.XLOOKUP($A35,'00_SKU_Master'!$B$2:$B$378,'00_SKU_Master'!$O:$O,0),"")</f>
        <v/>
      </c>
      <c r="Q33" s="122">
        <f>_xludf.IFNA(_xlfn.XLOOKUP($A35,'00_SKU_Master'!$B$2:$B$378,'00_SKU_Master'!$F$2:$F$378,0)*I35/_xlfn.XLOOKUP($A35,'00_SKU_Master'!$B$2:$B$378,'00_SKU_Master'!$O:$O,0),"")</f>
        <v/>
      </c>
      <c r="R33" s="122">
        <f>_xludf.IFNA(_xlfn.XLOOKUP($A35,'00_SKU_Master'!$B$2:$B$378,'00_SKU_Master'!$F$2:$F$378,0)*J35/_xlfn.XLOOKUP($A35,'00_SKU_Master'!$B$2:$B$378,'00_SKU_Master'!$O:$O,0),"")</f>
        <v/>
      </c>
      <c r="S33" s="122">
        <f>_xludf.IFNA(_xlfn.XLOOKUP($A35,'00_SKU_Master'!$B$2:$B$378,'00_SKU_Master'!$F$2:$F$378,0)*K35/_xlfn.XLOOKUP($A35,'00_SKU_Master'!$B$2:$B$378,'00_SKU_Master'!$O:$O,0),"")</f>
        <v/>
      </c>
      <c r="T33" s="123">
        <f>SUM(N35:S35)</f>
        <v/>
      </c>
      <c r="U33" s="124">
        <f>'05_Daily_Orders'!L34</f>
        <v/>
      </c>
    </row>
    <row r="34">
      <c r="A34" s="118">
        <f>'05_Daily_Orders'!B35</f>
        <v/>
      </c>
      <c r="B34" s="50" t="n">
        <v>0</v>
      </c>
      <c r="C34" s="50" t="n">
        <v>100</v>
      </c>
      <c r="D34" s="119" t="n"/>
      <c r="E34" s="119" t="n"/>
      <c r="F34" t="n">
        <v>200</v>
      </c>
      <c r="L34" s="120">
        <f>IF($E$1="n",0,(SUM(F36:K36)-B36))</f>
        <v/>
      </c>
      <c r="M34" s="121">
        <f>_xludf.IFNA(_xlfn.XLOOKUP(A36,'00_SKU_Master'!$B$2:$B$378,'00_SKU_Master'!$C$2:$C$378,0),"")</f>
        <v/>
      </c>
      <c r="N34" s="122">
        <f>_xludf.IFNA(_xlfn.XLOOKUP(A36,'00_SKU_Master'!$B$2:$B$378,'00_SKU_Master'!$F$2:$F$378,0)*F36/_xlfn.XLOOKUP(A36,'00_SKU_Master'!$B$2:$B$378,'00_SKU_Master'!$O:$O,0),"")</f>
        <v/>
      </c>
      <c r="O34" s="122">
        <f>_xludf.IFNA(_xlfn.XLOOKUP($A36,'00_SKU_Master'!$B$2:$B$378,'00_SKU_Master'!$F$2:$F$378,0)*G36/_xlfn.XLOOKUP($A36,'00_SKU_Master'!$B$2:$B$378,'00_SKU_Master'!$O:$O,0),"")</f>
        <v/>
      </c>
      <c r="P34" s="122">
        <f>_xludf.IFNA(_xlfn.XLOOKUP($A36,'00_SKU_Master'!$B$2:$B$378,'00_SKU_Master'!$F$2:$F$378,0)*H36/_xlfn.XLOOKUP($A36,'00_SKU_Master'!$B$2:$B$378,'00_SKU_Master'!$O:$O,0),"")</f>
        <v/>
      </c>
      <c r="Q34" s="122">
        <f>_xludf.IFNA(_xlfn.XLOOKUP($A36,'00_SKU_Master'!$B$2:$B$378,'00_SKU_Master'!$F$2:$F$378,0)*I36/_xlfn.XLOOKUP($A36,'00_SKU_Master'!$B$2:$B$378,'00_SKU_Master'!$O:$O,0),"")</f>
        <v/>
      </c>
      <c r="R34" s="122">
        <f>_xludf.IFNA(_xlfn.XLOOKUP($A36,'00_SKU_Master'!$B$2:$B$378,'00_SKU_Master'!$F$2:$F$378,0)*J36/_xlfn.XLOOKUP($A36,'00_SKU_Master'!$B$2:$B$378,'00_SKU_Master'!$O:$O,0),"")</f>
        <v/>
      </c>
      <c r="S34" s="122">
        <f>_xludf.IFNA(_xlfn.XLOOKUP($A36,'00_SKU_Master'!$B$2:$B$378,'00_SKU_Master'!$F$2:$F$378,0)*K36/_xlfn.XLOOKUP($A36,'00_SKU_Master'!$B$2:$B$378,'00_SKU_Master'!$O:$O,0),"")</f>
        <v/>
      </c>
      <c r="T34" s="123">
        <f>SUM(N36:S36)</f>
        <v/>
      </c>
      <c r="U34" s="124">
        <f>'05_Daily_Orders'!L35</f>
        <v/>
      </c>
    </row>
    <row r="35">
      <c r="A35" s="118">
        <f>'05_Daily_Orders'!B36</f>
        <v/>
      </c>
      <c r="B35" s="50" t="n">
        <v>0</v>
      </c>
      <c r="C35" s="50" t="n">
        <v>50</v>
      </c>
      <c r="D35" s="119" t="n"/>
      <c r="E35" s="119" t="n"/>
      <c r="F35" t="n">
        <v>100</v>
      </c>
      <c r="L35" s="120">
        <f>IF($E$1="n",0,(SUM(F37:K37)-B37))</f>
        <v/>
      </c>
      <c r="M35" s="121">
        <f>_xludf.IFNA(_xlfn.XLOOKUP(A37,'00_SKU_Master'!$B$2:$B$378,'00_SKU_Master'!$C$2:$C$378,0),"")</f>
        <v/>
      </c>
      <c r="N35" s="122">
        <f>_xludf.IFNA(_xlfn.XLOOKUP(A37,'00_SKU_Master'!$B$2:$B$378,'00_SKU_Master'!$F$2:$F$378,0)*F37/_xlfn.XLOOKUP(A37,'00_SKU_Master'!$B$2:$B$378,'00_SKU_Master'!$O:$O,0),"")</f>
        <v/>
      </c>
      <c r="O35" s="122">
        <f>_xludf.IFNA(_xlfn.XLOOKUP($A37,'00_SKU_Master'!$B$2:$B$378,'00_SKU_Master'!$F$2:$F$378,0)*G37/_xlfn.XLOOKUP($A37,'00_SKU_Master'!$B$2:$B$378,'00_SKU_Master'!$O:$O,0),"")</f>
        <v/>
      </c>
      <c r="P35" s="122">
        <f>_xludf.IFNA(_xlfn.XLOOKUP($A37,'00_SKU_Master'!$B$2:$B$378,'00_SKU_Master'!$F$2:$F$378,0)*H37/_xlfn.XLOOKUP($A37,'00_SKU_Master'!$B$2:$B$378,'00_SKU_Master'!$O:$O,0),"")</f>
        <v/>
      </c>
      <c r="Q35" s="122">
        <f>_xludf.IFNA(_xlfn.XLOOKUP($A37,'00_SKU_Master'!$B$2:$B$378,'00_SKU_Master'!$F$2:$F$378,0)*I37/_xlfn.XLOOKUP($A37,'00_SKU_Master'!$B$2:$B$378,'00_SKU_Master'!$O:$O,0),"")</f>
        <v/>
      </c>
      <c r="R35" s="122">
        <f>_xludf.IFNA(_xlfn.XLOOKUP($A37,'00_SKU_Master'!$B$2:$B$378,'00_SKU_Master'!$F$2:$F$378,0)*J37/_xlfn.XLOOKUP($A37,'00_SKU_Master'!$B$2:$B$378,'00_SKU_Master'!$O:$O,0),"")</f>
        <v/>
      </c>
      <c r="S35" s="122">
        <f>_xludf.IFNA(_xlfn.XLOOKUP($A37,'00_SKU_Master'!$B$2:$B$378,'00_SKU_Master'!$F$2:$F$378,0)*K37/_xlfn.XLOOKUP($A37,'00_SKU_Master'!$B$2:$B$378,'00_SKU_Master'!$O:$O,0),"")</f>
        <v/>
      </c>
      <c r="T35" s="123">
        <f>SUM(N37:S37)</f>
        <v/>
      </c>
      <c r="U35" s="124">
        <f>'05_Daily_Orders'!L36</f>
        <v/>
      </c>
    </row>
    <row r="36">
      <c r="A36" s="118">
        <f>'05_Daily_Orders'!B37</f>
        <v/>
      </c>
      <c r="B36" s="50" t="n">
        <v>0</v>
      </c>
      <c r="C36" s="50" t="n">
        <v>0</v>
      </c>
      <c r="D36" s="119" t="n"/>
      <c r="E36" s="119" t="n"/>
      <c r="F36" t="n">
        <v>0</v>
      </c>
      <c r="L36" s="120">
        <f>IF($E$1="n",0,(SUM(F38:K38)-B38))</f>
        <v/>
      </c>
      <c r="M36" s="121">
        <f>_xludf.IFNA(_xlfn.XLOOKUP(A38,'00_SKU_Master'!$B$2:$B$378,'00_SKU_Master'!$C$2:$C$378,0),"")</f>
        <v/>
      </c>
      <c r="N36" s="122">
        <f>_xludf.IFNA(_xlfn.XLOOKUP(A38,'00_SKU_Master'!$B$2:$B$378,'00_SKU_Master'!$F$2:$F$378,0)*F38/_xlfn.XLOOKUP(A38,'00_SKU_Master'!$B$2:$B$378,'00_SKU_Master'!$O:$O,0),"")</f>
        <v/>
      </c>
      <c r="O36" s="122">
        <f>_xludf.IFNA(_xlfn.XLOOKUP($A38,'00_SKU_Master'!$B$2:$B$378,'00_SKU_Master'!$F$2:$F$378,0)*G38/_xlfn.XLOOKUP($A38,'00_SKU_Master'!$B$2:$B$378,'00_SKU_Master'!$O:$O,0),"")</f>
        <v/>
      </c>
      <c r="P36" s="122">
        <f>_xludf.IFNA(_xlfn.XLOOKUP($A38,'00_SKU_Master'!$B$2:$B$378,'00_SKU_Master'!$F$2:$F$378,0)*H38/_xlfn.XLOOKUP($A38,'00_SKU_Master'!$B$2:$B$378,'00_SKU_Master'!$O:$O,0),"")</f>
        <v/>
      </c>
      <c r="Q36" s="122">
        <f>_xludf.IFNA(_xlfn.XLOOKUP($A38,'00_SKU_Master'!$B$2:$B$378,'00_SKU_Master'!$F$2:$F$378,0)*I38/_xlfn.XLOOKUP($A38,'00_SKU_Master'!$B$2:$B$378,'00_SKU_Master'!$O:$O,0),"")</f>
        <v/>
      </c>
      <c r="R36" s="122">
        <f>_xludf.IFNA(_xlfn.XLOOKUP($A38,'00_SKU_Master'!$B$2:$B$378,'00_SKU_Master'!$F$2:$F$378,0)*J38/_xlfn.XLOOKUP($A38,'00_SKU_Master'!$B$2:$B$378,'00_SKU_Master'!$O:$O,0),"")</f>
        <v/>
      </c>
      <c r="S36" s="122">
        <f>_xludf.IFNA(_xlfn.XLOOKUP($A38,'00_SKU_Master'!$B$2:$B$378,'00_SKU_Master'!$F$2:$F$378,0)*K38/_xlfn.XLOOKUP($A38,'00_SKU_Master'!$B$2:$B$378,'00_SKU_Master'!$O:$O,0),"")</f>
        <v/>
      </c>
      <c r="T36" s="123">
        <f>SUM(N38:S38)</f>
        <v/>
      </c>
      <c r="U36" s="124">
        <f>'05_Daily_Orders'!L37</f>
        <v/>
      </c>
    </row>
    <row r="37">
      <c r="A37" s="118">
        <f>'05_Daily_Orders'!B38</f>
        <v/>
      </c>
      <c r="B37" s="50" t="n">
        <v>0</v>
      </c>
      <c r="C37" s="50" t="n">
        <v>80</v>
      </c>
      <c r="D37" s="119" t="n"/>
      <c r="E37" s="119" t="n"/>
      <c r="F37" t="n">
        <v>100</v>
      </c>
      <c r="L37" s="120">
        <f>IF($E$1="n",0,(SUM(F39:K39)-B39))</f>
        <v/>
      </c>
      <c r="M37" s="121">
        <f>_xludf.IFNA(_xlfn.XLOOKUP(A39,'00_SKU_Master'!$B$2:$B$378,'00_SKU_Master'!$C$2:$C$378,0),"")</f>
        <v/>
      </c>
      <c r="N37" s="122">
        <f>_xludf.IFNA(_xlfn.XLOOKUP(A39,'00_SKU_Master'!$B$2:$B$378,'00_SKU_Master'!$F$2:$F$378,0)*F39/_xlfn.XLOOKUP(A39,'00_SKU_Master'!$B$2:$B$378,'00_SKU_Master'!$O:$O,0),"")</f>
        <v/>
      </c>
      <c r="O37" s="122">
        <f>_xludf.IFNA(_xlfn.XLOOKUP($A39,'00_SKU_Master'!$B$2:$B$378,'00_SKU_Master'!$F$2:$F$378,0)*G39/_xlfn.XLOOKUP($A39,'00_SKU_Master'!$B$2:$B$378,'00_SKU_Master'!$O:$O,0),"")</f>
        <v/>
      </c>
      <c r="P37" s="122">
        <f>_xludf.IFNA(_xlfn.XLOOKUP($A39,'00_SKU_Master'!$B$2:$B$378,'00_SKU_Master'!$F$2:$F$378,0)*H39/_xlfn.XLOOKUP($A39,'00_SKU_Master'!$B$2:$B$378,'00_SKU_Master'!$O:$O,0),"")</f>
        <v/>
      </c>
      <c r="Q37" s="122">
        <f>_xludf.IFNA(_xlfn.XLOOKUP($A39,'00_SKU_Master'!$B$2:$B$378,'00_SKU_Master'!$F$2:$F$378,0)*I39/_xlfn.XLOOKUP($A39,'00_SKU_Master'!$B$2:$B$378,'00_SKU_Master'!$O:$O,0),"")</f>
        <v/>
      </c>
      <c r="R37" s="122">
        <f>_xludf.IFNA(_xlfn.XLOOKUP($A39,'00_SKU_Master'!$B$2:$B$378,'00_SKU_Master'!$F$2:$F$378,0)*J39/_xlfn.XLOOKUP($A39,'00_SKU_Master'!$B$2:$B$378,'00_SKU_Master'!$O:$O,0),"")</f>
        <v/>
      </c>
      <c r="S37" s="122">
        <f>_xludf.IFNA(_xlfn.XLOOKUP($A39,'00_SKU_Master'!$B$2:$B$378,'00_SKU_Master'!$F$2:$F$378,0)*K39/_xlfn.XLOOKUP($A39,'00_SKU_Master'!$B$2:$B$378,'00_SKU_Master'!$O:$O,0),"")</f>
        <v/>
      </c>
      <c r="T37" s="123">
        <f>SUM(N39:S39)</f>
        <v/>
      </c>
      <c r="U37" s="124">
        <f>'05_Daily_Orders'!L38</f>
        <v/>
      </c>
    </row>
    <row r="38">
      <c r="A38" s="118">
        <f>'05_Daily_Orders'!B39</f>
        <v/>
      </c>
      <c r="B38" s="50" t="n">
        <v>0</v>
      </c>
      <c r="C38" s="50" t="n">
        <v>0</v>
      </c>
      <c r="D38" s="119" t="n"/>
      <c r="E38" s="119" t="n"/>
      <c r="F38" t="n">
        <v>0</v>
      </c>
      <c r="L38" s="120">
        <f>IF($E$1="n",0,(SUM(F40:K40)-B40))</f>
        <v/>
      </c>
      <c r="M38" s="121">
        <f>_xludf.IFNA(_xlfn.XLOOKUP(A40,'00_SKU_Master'!$B$2:$B$378,'00_SKU_Master'!$C$2:$C$378,0),"")</f>
        <v/>
      </c>
      <c r="N38" s="122">
        <f>_xludf.IFNA(_xlfn.XLOOKUP(A40,'00_SKU_Master'!$B$2:$B$378,'00_SKU_Master'!$F$2:$F$378,0)*F40/_xlfn.XLOOKUP(A40,'00_SKU_Master'!$B$2:$B$378,'00_SKU_Master'!$O:$O,0),"")</f>
        <v/>
      </c>
      <c r="O38" s="122">
        <f>_xludf.IFNA(_xlfn.XLOOKUP($A40,'00_SKU_Master'!$B$2:$B$378,'00_SKU_Master'!$F$2:$F$378,0)*G40/_xlfn.XLOOKUP($A40,'00_SKU_Master'!$B$2:$B$378,'00_SKU_Master'!$O:$O,0),"")</f>
        <v/>
      </c>
      <c r="P38" s="122">
        <f>_xludf.IFNA(_xlfn.XLOOKUP($A40,'00_SKU_Master'!$B$2:$B$378,'00_SKU_Master'!$F$2:$F$378,0)*H40/_xlfn.XLOOKUP($A40,'00_SKU_Master'!$B$2:$B$378,'00_SKU_Master'!$O:$O,0),"")</f>
        <v/>
      </c>
      <c r="Q38" s="122">
        <f>_xludf.IFNA(_xlfn.XLOOKUP($A40,'00_SKU_Master'!$B$2:$B$378,'00_SKU_Master'!$F$2:$F$378,0)*I40/_xlfn.XLOOKUP($A40,'00_SKU_Master'!$B$2:$B$378,'00_SKU_Master'!$O:$O,0),"")</f>
        <v/>
      </c>
      <c r="R38" s="122">
        <f>_xludf.IFNA(_xlfn.XLOOKUP($A40,'00_SKU_Master'!$B$2:$B$378,'00_SKU_Master'!$F$2:$F$378,0)*J40/_xlfn.XLOOKUP($A40,'00_SKU_Master'!$B$2:$B$378,'00_SKU_Master'!$O:$O,0),"")</f>
        <v/>
      </c>
      <c r="S38" s="122">
        <f>_xludf.IFNA(_xlfn.XLOOKUP($A40,'00_SKU_Master'!$B$2:$B$378,'00_SKU_Master'!$F$2:$F$378,0)*K40/_xlfn.XLOOKUP($A40,'00_SKU_Master'!$B$2:$B$378,'00_SKU_Master'!$O:$O,0),"")</f>
        <v/>
      </c>
      <c r="T38" s="123">
        <f>SUM(N40:S40)</f>
        <v/>
      </c>
      <c r="U38" s="124">
        <f>'05_Daily_Orders'!L39</f>
        <v/>
      </c>
    </row>
    <row r="39">
      <c r="A39" s="118">
        <f>'05_Daily_Orders'!B40</f>
        <v/>
      </c>
      <c r="B39" s="50" t="n">
        <v>0</v>
      </c>
      <c r="C39" s="50" t="n">
        <v>0</v>
      </c>
      <c r="D39" s="119" t="n"/>
      <c r="E39" s="119" t="n"/>
      <c r="F39" t="n">
        <v>0</v>
      </c>
      <c r="L39" s="120">
        <f>IF($E$1="n",0,(SUM(F41:K41)-B41))</f>
        <v/>
      </c>
      <c r="M39" s="121">
        <f>_xludf.IFNA(_xlfn.XLOOKUP(A41,'00_SKU_Master'!$B$2:$B$378,'00_SKU_Master'!$C$2:$C$378,0),"")</f>
        <v/>
      </c>
      <c r="N39" s="122">
        <f>_xludf.IFNA(_xlfn.XLOOKUP(A41,'00_SKU_Master'!$B$2:$B$378,'00_SKU_Master'!$F$2:$F$378,0)*F41/_xlfn.XLOOKUP(A41,'00_SKU_Master'!$B$2:$B$378,'00_SKU_Master'!$O:$O,0),"")</f>
        <v/>
      </c>
      <c r="O39" s="122">
        <f>_xludf.IFNA(_xlfn.XLOOKUP($A41,'00_SKU_Master'!$B$2:$B$378,'00_SKU_Master'!$F$2:$F$378,0)*G41/_xlfn.XLOOKUP($A41,'00_SKU_Master'!$B$2:$B$378,'00_SKU_Master'!$O:$O,0),"")</f>
        <v/>
      </c>
      <c r="P39" s="122">
        <f>_xludf.IFNA(_xlfn.XLOOKUP($A41,'00_SKU_Master'!$B$2:$B$378,'00_SKU_Master'!$F$2:$F$378,0)*H41/_xlfn.XLOOKUP($A41,'00_SKU_Master'!$B$2:$B$378,'00_SKU_Master'!$O:$O,0),"")</f>
        <v/>
      </c>
      <c r="Q39" s="122">
        <f>_xludf.IFNA(_xlfn.XLOOKUP($A41,'00_SKU_Master'!$B$2:$B$378,'00_SKU_Master'!$F$2:$F$378,0)*I41/_xlfn.XLOOKUP($A41,'00_SKU_Master'!$B$2:$B$378,'00_SKU_Master'!$O:$O,0),"")</f>
        <v/>
      </c>
      <c r="R39" s="122">
        <f>_xludf.IFNA(_xlfn.XLOOKUP($A41,'00_SKU_Master'!$B$2:$B$378,'00_SKU_Master'!$F$2:$F$378,0)*J41/_xlfn.XLOOKUP($A41,'00_SKU_Master'!$B$2:$B$378,'00_SKU_Master'!$O:$O,0),"")</f>
        <v/>
      </c>
      <c r="S39" s="122">
        <f>_xludf.IFNA(_xlfn.XLOOKUP($A41,'00_SKU_Master'!$B$2:$B$378,'00_SKU_Master'!$F$2:$F$378,0)*K41/_xlfn.XLOOKUP($A41,'00_SKU_Master'!$B$2:$B$378,'00_SKU_Master'!$O:$O,0),"")</f>
        <v/>
      </c>
      <c r="T39" s="123">
        <f>SUM(N41:S41)</f>
        <v/>
      </c>
      <c r="U39" s="124">
        <f>'05_Daily_Orders'!L40</f>
        <v/>
      </c>
    </row>
    <row r="40">
      <c r="A40" s="118">
        <f>'05_Daily_Orders'!B41</f>
        <v/>
      </c>
      <c r="B40" s="50" t="n">
        <v>0</v>
      </c>
      <c r="C40" s="50" t="n">
        <v>6</v>
      </c>
      <c r="D40" s="119" t="n"/>
      <c r="E40" s="119" t="n"/>
      <c r="F40" t="n">
        <v>44</v>
      </c>
      <c r="L40" s="120">
        <f>IF($E$1="n",0,(SUM(F42:K42)-B42))</f>
        <v/>
      </c>
      <c r="M40" s="121">
        <f>_xludf.IFNA(_xlfn.XLOOKUP(A42,'00_SKU_Master'!$B$2:$B$378,'00_SKU_Master'!$C$2:$C$378,0),"")</f>
        <v/>
      </c>
      <c r="N40" s="122">
        <f>_xludf.IFNA(_xlfn.XLOOKUP(A42,'00_SKU_Master'!$B$2:$B$378,'00_SKU_Master'!$F$2:$F$378,0)*F42/_xlfn.XLOOKUP(A42,'00_SKU_Master'!$B$2:$B$378,'00_SKU_Master'!$O:$O,0),"")</f>
        <v/>
      </c>
      <c r="O40" s="122">
        <f>_xludf.IFNA(_xlfn.XLOOKUP($A42,'00_SKU_Master'!$B$2:$B$378,'00_SKU_Master'!$F$2:$F$378,0)*G42/_xlfn.XLOOKUP($A42,'00_SKU_Master'!$B$2:$B$378,'00_SKU_Master'!$O:$O,0),"")</f>
        <v/>
      </c>
      <c r="P40" s="122">
        <f>_xludf.IFNA(_xlfn.XLOOKUP($A42,'00_SKU_Master'!$B$2:$B$378,'00_SKU_Master'!$F$2:$F$378,0)*H42/_xlfn.XLOOKUP($A42,'00_SKU_Master'!$B$2:$B$378,'00_SKU_Master'!$O:$O,0),"")</f>
        <v/>
      </c>
      <c r="Q40" s="122">
        <f>_xludf.IFNA(_xlfn.XLOOKUP($A42,'00_SKU_Master'!$B$2:$B$378,'00_SKU_Master'!$F$2:$F$378,0)*I42/_xlfn.XLOOKUP($A42,'00_SKU_Master'!$B$2:$B$378,'00_SKU_Master'!$O:$O,0),"")</f>
        <v/>
      </c>
      <c r="R40" s="122">
        <f>_xludf.IFNA(_xlfn.XLOOKUP($A42,'00_SKU_Master'!$B$2:$B$378,'00_SKU_Master'!$F$2:$F$378,0)*J42/_xlfn.XLOOKUP($A42,'00_SKU_Master'!$B$2:$B$378,'00_SKU_Master'!$O:$O,0),"")</f>
        <v/>
      </c>
      <c r="S40" s="122">
        <f>_xludf.IFNA(_xlfn.XLOOKUP($A42,'00_SKU_Master'!$B$2:$B$378,'00_SKU_Master'!$F$2:$F$378,0)*K42/_xlfn.XLOOKUP($A42,'00_SKU_Master'!$B$2:$B$378,'00_SKU_Master'!$O:$O,0),"")</f>
        <v/>
      </c>
      <c r="T40" s="123">
        <f>SUM(N42:S42)</f>
        <v/>
      </c>
      <c r="U40" s="124">
        <f>'05_Daily_Orders'!L41</f>
        <v/>
      </c>
    </row>
    <row r="41">
      <c r="A41" s="118">
        <f>'05_Daily_Orders'!B42</f>
        <v/>
      </c>
      <c r="B41" s="50" t="n">
        <v>0</v>
      </c>
      <c r="C41" s="50" t="n">
        <v>1</v>
      </c>
      <c r="D41" s="119" t="n"/>
      <c r="E41" s="119" t="n"/>
      <c r="F41" t="n">
        <v>44</v>
      </c>
      <c r="L41" s="120">
        <f>IF($E$1="n",0,(SUM(F43:K43)-B43))</f>
        <v/>
      </c>
      <c r="M41" s="121">
        <f>_xludf.IFNA(_xlfn.XLOOKUP(A43,'00_SKU_Master'!$B$2:$B$378,'00_SKU_Master'!$C$2:$C$378,0),"")</f>
        <v/>
      </c>
      <c r="N41" s="122">
        <f>_xludf.IFNA(_xlfn.XLOOKUP(A43,'00_SKU_Master'!$B$2:$B$378,'00_SKU_Master'!$F$2:$F$378,0)*F43/_xlfn.XLOOKUP(A43,'00_SKU_Master'!$B$2:$B$378,'00_SKU_Master'!$O:$O,0),"")</f>
        <v/>
      </c>
      <c r="O41" s="122">
        <f>_xludf.IFNA(_xlfn.XLOOKUP($A43,'00_SKU_Master'!$B$2:$B$378,'00_SKU_Master'!$F$2:$F$378,0)*G43/_xlfn.XLOOKUP($A43,'00_SKU_Master'!$B$2:$B$378,'00_SKU_Master'!$O:$O,0),"")</f>
        <v/>
      </c>
      <c r="P41" s="122">
        <f>_xludf.IFNA(_xlfn.XLOOKUP($A43,'00_SKU_Master'!$B$2:$B$378,'00_SKU_Master'!$F$2:$F$378,0)*H43/_xlfn.XLOOKUP($A43,'00_SKU_Master'!$B$2:$B$378,'00_SKU_Master'!$O:$O,0),"")</f>
        <v/>
      </c>
      <c r="Q41" s="122">
        <f>_xludf.IFNA(_xlfn.XLOOKUP($A43,'00_SKU_Master'!$B$2:$B$378,'00_SKU_Master'!$F$2:$F$378,0)*I43/_xlfn.XLOOKUP($A43,'00_SKU_Master'!$B$2:$B$378,'00_SKU_Master'!$O:$O,0),"")</f>
        <v/>
      </c>
      <c r="R41" s="122">
        <f>_xludf.IFNA(_xlfn.XLOOKUP($A43,'00_SKU_Master'!$B$2:$B$378,'00_SKU_Master'!$F$2:$F$378,0)*J43/_xlfn.XLOOKUP($A43,'00_SKU_Master'!$B$2:$B$378,'00_SKU_Master'!$O:$O,0),"")</f>
        <v/>
      </c>
      <c r="S41" s="122">
        <f>_xludf.IFNA(_xlfn.XLOOKUP($A43,'00_SKU_Master'!$B$2:$B$378,'00_SKU_Master'!$F$2:$F$378,0)*K43/_xlfn.XLOOKUP($A43,'00_SKU_Master'!$B$2:$B$378,'00_SKU_Master'!$O:$O,0),"")</f>
        <v/>
      </c>
      <c r="T41" s="123">
        <f>SUM(N43:S43)</f>
        <v/>
      </c>
      <c r="U41" s="124">
        <f>'05_Daily_Orders'!L42</f>
        <v/>
      </c>
    </row>
    <row r="42">
      <c r="A42" s="118">
        <f>'05_Daily_Orders'!B43</f>
        <v/>
      </c>
      <c r="B42" s="50" t="n">
        <v>0</v>
      </c>
      <c r="C42" s="50" t="n">
        <v>29</v>
      </c>
      <c r="D42" s="119" t="n"/>
      <c r="E42" s="119" t="n"/>
      <c r="F42" t="n">
        <v>65</v>
      </c>
      <c r="L42" s="120">
        <f>IF($E$1="n",0,(SUM(F44:K44)-B44))</f>
        <v/>
      </c>
      <c r="M42" s="121">
        <f>_xludf.IFNA(_xlfn.XLOOKUP(A44,'00_SKU_Master'!$B$2:$B$378,'00_SKU_Master'!$C$2:$C$378,0),"")</f>
        <v/>
      </c>
      <c r="N42" s="122">
        <f>_xludf.IFNA(_xlfn.XLOOKUP(A44,'00_SKU_Master'!$B$2:$B$378,'00_SKU_Master'!$F$2:$F$378,0)*F44/_xlfn.XLOOKUP(A44,'00_SKU_Master'!$B$2:$B$378,'00_SKU_Master'!$O:$O,0),"")</f>
        <v/>
      </c>
      <c r="O42" s="122">
        <f>_xludf.IFNA(_xlfn.XLOOKUP($A44,'00_SKU_Master'!$B$2:$B$378,'00_SKU_Master'!$F$2:$F$378,0)*G44/_xlfn.XLOOKUP($A44,'00_SKU_Master'!$B$2:$B$378,'00_SKU_Master'!$O:$O,0),"")</f>
        <v/>
      </c>
      <c r="P42" s="122">
        <f>_xludf.IFNA(_xlfn.XLOOKUP($A44,'00_SKU_Master'!$B$2:$B$378,'00_SKU_Master'!$F$2:$F$378,0)*H44/_xlfn.XLOOKUP($A44,'00_SKU_Master'!$B$2:$B$378,'00_SKU_Master'!$O:$O,0),"")</f>
        <v/>
      </c>
      <c r="Q42" s="122">
        <f>_xludf.IFNA(_xlfn.XLOOKUP($A44,'00_SKU_Master'!$B$2:$B$378,'00_SKU_Master'!$F$2:$F$378,0)*I44/_xlfn.XLOOKUP($A44,'00_SKU_Master'!$B$2:$B$378,'00_SKU_Master'!$O:$O,0),"")</f>
        <v/>
      </c>
      <c r="R42" s="122">
        <f>_xludf.IFNA(_xlfn.XLOOKUP($A44,'00_SKU_Master'!$B$2:$B$378,'00_SKU_Master'!$F$2:$F$378,0)*J44/_xlfn.XLOOKUP($A44,'00_SKU_Master'!$B$2:$B$378,'00_SKU_Master'!$O:$O,0),"")</f>
        <v/>
      </c>
      <c r="S42" s="122">
        <f>_xludf.IFNA(_xlfn.XLOOKUP($A44,'00_SKU_Master'!$B$2:$B$378,'00_SKU_Master'!$F$2:$F$378,0)*K44/_xlfn.XLOOKUP($A44,'00_SKU_Master'!$B$2:$B$378,'00_SKU_Master'!$O:$O,0),"")</f>
        <v/>
      </c>
      <c r="T42" s="123">
        <f>SUM(N44:S44)</f>
        <v/>
      </c>
      <c r="U42" s="124">
        <f>'05_Daily_Orders'!L43</f>
        <v/>
      </c>
    </row>
    <row r="43">
      <c r="A43" s="118">
        <f>'05_Daily_Orders'!B44</f>
        <v/>
      </c>
      <c r="B43" s="50" t="n">
        <v>0</v>
      </c>
      <c r="C43" s="50" t="n">
        <v>0</v>
      </c>
      <c r="D43" s="119" t="n"/>
      <c r="E43" s="119" t="n"/>
      <c r="F43" t="n">
        <v>0</v>
      </c>
      <c r="L43" s="120">
        <f>IF($E$1="n",0,(SUM(F45:K45)-B45))</f>
        <v/>
      </c>
      <c r="M43" s="121">
        <f>_xludf.IFNA(_xlfn.XLOOKUP(A45,'00_SKU_Master'!$B$2:$B$378,'00_SKU_Master'!$C$2:$C$378,0),"")</f>
        <v/>
      </c>
      <c r="N43" s="122">
        <f>_xludf.IFNA(_xlfn.XLOOKUP(A45,'00_SKU_Master'!$B$2:$B$378,'00_SKU_Master'!$F$2:$F$378,0)*F45/_xlfn.XLOOKUP(A45,'00_SKU_Master'!$B$2:$B$378,'00_SKU_Master'!$O:$O,0),"")</f>
        <v/>
      </c>
      <c r="O43" s="122">
        <f>_xludf.IFNA(_xlfn.XLOOKUP($A45,'00_SKU_Master'!$B$2:$B$378,'00_SKU_Master'!$F$2:$F$378,0)*G45/_xlfn.XLOOKUP($A45,'00_SKU_Master'!$B$2:$B$378,'00_SKU_Master'!$O:$O,0),"")</f>
        <v/>
      </c>
      <c r="P43" s="122">
        <f>_xludf.IFNA(_xlfn.XLOOKUP($A45,'00_SKU_Master'!$B$2:$B$378,'00_SKU_Master'!$F$2:$F$378,0)*H45/_xlfn.XLOOKUP($A45,'00_SKU_Master'!$B$2:$B$378,'00_SKU_Master'!$O:$O,0),"")</f>
        <v/>
      </c>
      <c r="Q43" s="122">
        <f>_xludf.IFNA(_xlfn.XLOOKUP($A45,'00_SKU_Master'!$B$2:$B$378,'00_SKU_Master'!$F$2:$F$378,0)*I45/_xlfn.XLOOKUP($A45,'00_SKU_Master'!$B$2:$B$378,'00_SKU_Master'!$O:$O,0),"")</f>
        <v/>
      </c>
      <c r="R43" s="122">
        <f>_xludf.IFNA(_xlfn.XLOOKUP($A45,'00_SKU_Master'!$B$2:$B$378,'00_SKU_Master'!$F$2:$F$378,0)*J45/_xlfn.XLOOKUP($A45,'00_SKU_Master'!$B$2:$B$378,'00_SKU_Master'!$O:$O,0),"")</f>
        <v/>
      </c>
      <c r="S43" s="122">
        <f>_xludf.IFNA(_xlfn.XLOOKUP($A45,'00_SKU_Master'!$B$2:$B$378,'00_SKU_Master'!$F$2:$F$378,0)*K45/_xlfn.XLOOKUP($A45,'00_SKU_Master'!$B$2:$B$378,'00_SKU_Master'!$O:$O,0),"")</f>
        <v/>
      </c>
      <c r="T43" s="123">
        <f>SUM(N45:S45)</f>
        <v/>
      </c>
      <c r="U43" s="124">
        <f>'05_Daily_Orders'!L44</f>
        <v/>
      </c>
    </row>
    <row r="44">
      <c r="A44" s="118">
        <f>'05_Daily_Orders'!B45</f>
        <v/>
      </c>
      <c r="B44" s="50" t="n">
        <v>0</v>
      </c>
      <c r="C44" s="50" t="n">
        <v>0</v>
      </c>
      <c r="D44" s="119" t="n"/>
      <c r="E44" s="119" t="n"/>
      <c r="F44" t="n">
        <v>0</v>
      </c>
      <c r="L44" s="120">
        <f>IF($E$1="n",0,(SUM(F46:K46)-B46))</f>
        <v/>
      </c>
      <c r="M44" s="121">
        <f>_xludf.IFNA(_xlfn.XLOOKUP(A46,'00_SKU_Master'!$B$2:$B$378,'00_SKU_Master'!$C$2:$C$378,0),"")</f>
        <v/>
      </c>
      <c r="N44" s="122">
        <f>_xludf.IFNA(_xlfn.XLOOKUP(A46,'00_SKU_Master'!$B$2:$B$378,'00_SKU_Master'!$F$2:$F$378,0)*F46/_xlfn.XLOOKUP(A46,'00_SKU_Master'!$B$2:$B$378,'00_SKU_Master'!$O:$O,0),"")</f>
        <v/>
      </c>
      <c r="O44" s="122">
        <f>_xludf.IFNA(_xlfn.XLOOKUP($A46,'00_SKU_Master'!$B$2:$B$378,'00_SKU_Master'!$F$2:$F$378,0)*G46/_xlfn.XLOOKUP($A46,'00_SKU_Master'!$B$2:$B$378,'00_SKU_Master'!$O:$O,0),"")</f>
        <v/>
      </c>
      <c r="P44" s="122">
        <f>_xludf.IFNA(_xlfn.XLOOKUP($A46,'00_SKU_Master'!$B$2:$B$378,'00_SKU_Master'!$F$2:$F$378,0)*H46/_xlfn.XLOOKUP($A46,'00_SKU_Master'!$B$2:$B$378,'00_SKU_Master'!$O:$O,0),"")</f>
        <v/>
      </c>
      <c r="Q44" s="122">
        <f>_xludf.IFNA(_xlfn.XLOOKUP($A46,'00_SKU_Master'!$B$2:$B$378,'00_SKU_Master'!$F$2:$F$378,0)*I46/_xlfn.XLOOKUP($A46,'00_SKU_Master'!$B$2:$B$378,'00_SKU_Master'!$O:$O,0),"")</f>
        <v/>
      </c>
      <c r="R44" s="122">
        <f>_xludf.IFNA(_xlfn.XLOOKUP($A46,'00_SKU_Master'!$B$2:$B$378,'00_SKU_Master'!$F$2:$F$378,0)*J46/_xlfn.XLOOKUP($A46,'00_SKU_Master'!$B$2:$B$378,'00_SKU_Master'!$O:$O,0),"")</f>
        <v/>
      </c>
      <c r="S44" s="122">
        <f>_xludf.IFNA(_xlfn.XLOOKUP($A46,'00_SKU_Master'!$B$2:$B$378,'00_SKU_Master'!$F$2:$F$378,0)*K46/_xlfn.XLOOKUP($A46,'00_SKU_Master'!$B$2:$B$378,'00_SKU_Master'!$O:$O,0),"")</f>
        <v/>
      </c>
      <c r="T44" s="123">
        <f>SUM(N46:S46)</f>
        <v/>
      </c>
      <c r="U44" s="124">
        <f>'05_Daily_Orders'!L45</f>
        <v/>
      </c>
    </row>
    <row r="45">
      <c r="A45" s="118">
        <f>'05_Daily_Orders'!B46</f>
        <v/>
      </c>
      <c r="B45" s="50" t="n">
        <v>1</v>
      </c>
      <c r="C45" s="50" t="n">
        <v>0</v>
      </c>
      <c r="D45" s="119" t="n"/>
      <c r="E45" s="119" t="n"/>
      <c r="F45" t="n">
        <v>110</v>
      </c>
      <c r="L45" s="120">
        <f>IF($E$1="n",0,(SUM(F47:K47)-B47))</f>
        <v/>
      </c>
      <c r="M45" s="121">
        <f>_xludf.IFNA(_xlfn.XLOOKUP(A47,'00_SKU_Master'!$B$2:$B$378,'00_SKU_Master'!$C$2:$C$378,0),"")</f>
        <v/>
      </c>
      <c r="N45" s="122">
        <f>_xludf.IFNA(_xlfn.XLOOKUP(A47,'00_SKU_Master'!$B$2:$B$378,'00_SKU_Master'!$F$2:$F$378,0)*F47/_xlfn.XLOOKUP(A47,'00_SKU_Master'!$B$2:$B$378,'00_SKU_Master'!$O:$O,0),"")</f>
        <v/>
      </c>
      <c r="O45" s="122">
        <f>_xludf.IFNA(_xlfn.XLOOKUP($A47,'00_SKU_Master'!$B$2:$B$378,'00_SKU_Master'!$F$2:$F$378,0)*G47/_xlfn.XLOOKUP($A47,'00_SKU_Master'!$B$2:$B$378,'00_SKU_Master'!$O:$O,0),"")</f>
        <v/>
      </c>
      <c r="P45" s="122">
        <f>_xludf.IFNA(_xlfn.XLOOKUP($A47,'00_SKU_Master'!$B$2:$B$378,'00_SKU_Master'!$F$2:$F$378,0)*H47/_xlfn.XLOOKUP($A47,'00_SKU_Master'!$B$2:$B$378,'00_SKU_Master'!$O:$O,0),"")</f>
        <v/>
      </c>
      <c r="Q45" s="122">
        <f>_xludf.IFNA(_xlfn.XLOOKUP($A47,'00_SKU_Master'!$B$2:$B$378,'00_SKU_Master'!$F$2:$F$378,0)*I47/_xlfn.XLOOKUP($A47,'00_SKU_Master'!$B$2:$B$378,'00_SKU_Master'!$O:$O,0),"")</f>
        <v/>
      </c>
      <c r="R45" s="122">
        <f>_xludf.IFNA(_xlfn.XLOOKUP($A47,'00_SKU_Master'!$B$2:$B$378,'00_SKU_Master'!$F$2:$F$378,0)*J47/_xlfn.XLOOKUP($A47,'00_SKU_Master'!$B$2:$B$378,'00_SKU_Master'!$O:$O,0),"")</f>
        <v/>
      </c>
      <c r="S45" s="122">
        <f>_xludf.IFNA(_xlfn.XLOOKUP($A47,'00_SKU_Master'!$B$2:$B$378,'00_SKU_Master'!$F$2:$F$378,0)*K47/_xlfn.XLOOKUP($A47,'00_SKU_Master'!$B$2:$B$378,'00_SKU_Master'!$O:$O,0),"")</f>
        <v/>
      </c>
      <c r="T45" s="123">
        <f>SUM(N47:S47)</f>
        <v/>
      </c>
      <c r="U45" s="124">
        <f>'05_Daily_Orders'!L46</f>
        <v/>
      </c>
    </row>
    <row r="46">
      <c r="A46" s="118">
        <f>'05_Daily_Orders'!B47</f>
        <v/>
      </c>
      <c r="B46" s="50" t="n">
        <v>65</v>
      </c>
      <c r="C46" s="50" t="n">
        <v>0</v>
      </c>
      <c r="D46" s="119" t="n"/>
      <c r="E46" s="119" t="n"/>
      <c r="F46" t="n">
        <v>282</v>
      </c>
      <c r="L46" s="120">
        <f>IF($E$1="n",0,(SUM(F48:K48)-B48))</f>
        <v/>
      </c>
      <c r="M46" s="121">
        <f>_xludf.IFNA(_xlfn.XLOOKUP(A48,'00_SKU_Master'!$B$2:$B$378,'00_SKU_Master'!$C$2:$C$378,0),"")</f>
        <v/>
      </c>
      <c r="N46" s="122">
        <f>_xludf.IFNA(_xlfn.XLOOKUP(A48,'00_SKU_Master'!$B$2:$B$378,'00_SKU_Master'!$F$2:$F$378,0)*F48/_xlfn.XLOOKUP(A48,'00_SKU_Master'!$B$2:$B$378,'00_SKU_Master'!$O:$O,0),"")</f>
        <v/>
      </c>
      <c r="O46" s="122">
        <f>_xludf.IFNA(_xlfn.XLOOKUP($A48,'00_SKU_Master'!$B$2:$B$378,'00_SKU_Master'!$F$2:$F$378,0)*G48/_xlfn.XLOOKUP($A48,'00_SKU_Master'!$B$2:$B$378,'00_SKU_Master'!$O:$O,0),"")</f>
        <v/>
      </c>
      <c r="P46" s="122">
        <f>_xludf.IFNA(_xlfn.XLOOKUP($A48,'00_SKU_Master'!$B$2:$B$378,'00_SKU_Master'!$F$2:$F$378,0)*H48/_xlfn.XLOOKUP($A48,'00_SKU_Master'!$B$2:$B$378,'00_SKU_Master'!$O:$O,0),"")</f>
        <v/>
      </c>
      <c r="Q46" s="122">
        <f>_xludf.IFNA(_xlfn.XLOOKUP($A48,'00_SKU_Master'!$B$2:$B$378,'00_SKU_Master'!$F$2:$F$378,0)*I48/_xlfn.XLOOKUP($A48,'00_SKU_Master'!$B$2:$B$378,'00_SKU_Master'!$O:$O,0),"")</f>
        <v/>
      </c>
      <c r="R46" s="122">
        <f>_xludf.IFNA(_xlfn.XLOOKUP($A48,'00_SKU_Master'!$B$2:$B$378,'00_SKU_Master'!$F$2:$F$378,0)*J48/_xlfn.XLOOKUP($A48,'00_SKU_Master'!$B$2:$B$378,'00_SKU_Master'!$O:$O,0),"")</f>
        <v/>
      </c>
      <c r="S46" s="122">
        <f>_xludf.IFNA(_xlfn.XLOOKUP($A48,'00_SKU_Master'!$B$2:$B$378,'00_SKU_Master'!$F$2:$F$378,0)*K48/_xlfn.XLOOKUP($A48,'00_SKU_Master'!$B$2:$B$378,'00_SKU_Master'!$O:$O,0),"")</f>
        <v/>
      </c>
      <c r="T46" s="123">
        <f>SUM(N48:S48)</f>
        <v/>
      </c>
      <c r="U46" s="124">
        <f>'05_Daily_Orders'!L47</f>
        <v/>
      </c>
    </row>
    <row r="47">
      <c r="A47" s="118">
        <f>'05_Daily_Orders'!B48</f>
        <v/>
      </c>
      <c r="B47" s="50" t="n">
        <v>0</v>
      </c>
      <c r="C47" s="50" t="n">
        <v>0</v>
      </c>
      <c r="D47" s="119" t="n"/>
      <c r="E47" s="119" t="n"/>
      <c r="F47" t="n">
        <v>0</v>
      </c>
      <c r="L47" s="120">
        <f>IF($E$1="n",0,(SUM(F49:K49)-B49))</f>
        <v/>
      </c>
      <c r="M47" s="121">
        <f>_xludf.IFNA(_xlfn.XLOOKUP(A49,'00_SKU_Master'!$B$2:$B$378,'00_SKU_Master'!$C$2:$C$378,0),"")</f>
        <v/>
      </c>
      <c r="N47" s="122">
        <f>_xludf.IFNA(_xlfn.XLOOKUP(A49,'00_SKU_Master'!$B$2:$B$378,'00_SKU_Master'!$F$2:$F$378,0)*F49/_xlfn.XLOOKUP(A49,'00_SKU_Master'!$B$2:$B$378,'00_SKU_Master'!$O:$O,0),"")</f>
        <v/>
      </c>
      <c r="O47" s="122">
        <f>_xludf.IFNA(_xlfn.XLOOKUP($A49,'00_SKU_Master'!$B$2:$B$378,'00_SKU_Master'!$F$2:$F$378,0)*G49/_xlfn.XLOOKUP($A49,'00_SKU_Master'!$B$2:$B$378,'00_SKU_Master'!$O:$O,0),"")</f>
        <v/>
      </c>
      <c r="P47" s="122">
        <f>_xludf.IFNA(_xlfn.XLOOKUP($A49,'00_SKU_Master'!$B$2:$B$378,'00_SKU_Master'!$F$2:$F$378,0)*H49/_xlfn.XLOOKUP($A49,'00_SKU_Master'!$B$2:$B$378,'00_SKU_Master'!$O:$O,0),"")</f>
        <v/>
      </c>
      <c r="Q47" s="122">
        <f>_xludf.IFNA(_xlfn.XLOOKUP($A49,'00_SKU_Master'!$B$2:$B$378,'00_SKU_Master'!$F$2:$F$378,0)*I49/_xlfn.XLOOKUP($A49,'00_SKU_Master'!$B$2:$B$378,'00_SKU_Master'!$O:$O,0),"")</f>
        <v/>
      </c>
      <c r="R47" s="122">
        <f>_xludf.IFNA(_xlfn.XLOOKUP($A49,'00_SKU_Master'!$B$2:$B$378,'00_SKU_Master'!$F$2:$F$378,0)*J49/_xlfn.XLOOKUP($A49,'00_SKU_Master'!$B$2:$B$378,'00_SKU_Master'!$O:$O,0),"")</f>
        <v/>
      </c>
      <c r="S47" s="122">
        <f>_xludf.IFNA(_xlfn.XLOOKUP($A49,'00_SKU_Master'!$B$2:$B$378,'00_SKU_Master'!$F$2:$F$378,0)*K49/_xlfn.XLOOKUP($A49,'00_SKU_Master'!$B$2:$B$378,'00_SKU_Master'!$O:$O,0),"")</f>
        <v/>
      </c>
      <c r="T47" s="123">
        <f>SUM(N49:S49)</f>
        <v/>
      </c>
      <c r="U47" s="124">
        <f>'05_Daily_Orders'!L48</f>
        <v/>
      </c>
    </row>
    <row r="48">
      <c r="A48" s="118">
        <f>'05_Daily_Orders'!B49</f>
        <v/>
      </c>
      <c r="B48" s="50" t="n">
        <v>2</v>
      </c>
      <c r="C48" s="50" t="n">
        <v>0</v>
      </c>
      <c r="D48" s="119" t="n"/>
      <c r="E48" s="119" t="n"/>
      <c r="F48" t="n">
        <v>25</v>
      </c>
      <c r="L48" s="120">
        <f>IF($E$1="n",0,(SUM(F50:K50)-B50))</f>
        <v/>
      </c>
      <c r="M48" s="121">
        <f>_xludf.IFNA(_xlfn.XLOOKUP(A50,'00_SKU_Master'!$B$2:$B$378,'00_SKU_Master'!$C$2:$C$378,0),"")</f>
        <v/>
      </c>
      <c r="N48" s="122">
        <f>_xludf.IFNA(_xlfn.XLOOKUP(A50,'00_SKU_Master'!$B$2:$B$378,'00_SKU_Master'!$F$2:$F$378,0)*F50/_xlfn.XLOOKUP(A50,'00_SKU_Master'!$B$2:$B$378,'00_SKU_Master'!$O:$O,0),"")</f>
        <v/>
      </c>
      <c r="O48" s="122">
        <f>_xludf.IFNA(_xlfn.XLOOKUP($A50,'00_SKU_Master'!$B$2:$B$378,'00_SKU_Master'!$F$2:$F$378,0)*G50/_xlfn.XLOOKUP($A50,'00_SKU_Master'!$B$2:$B$378,'00_SKU_Master'!$O:$O,0),"")</f>
        <v/>
      </c>
      <c r="P48" s="122">
        <f>_xludf.IFNA(_xlfn.XLOOKUP($A50,'00_SKU_Master'!$B$2:$B$378,'00_SKU_Master'!$F$2:$F$378,0)*H50/_xlfn.XLOOKUP($A50,'00_SKU_Master'!$B$2:$B$378,'00_SKU_Master'!$O:$O,0),"")</f>
        <v/>
      </c>
      <c r="Q48" s="122">
        <f>_xludf.IFNA(_xlfn.XLOOKUP($A50,'00_SKU_Master'!$B$2:$B$378,'00_SKU_Master'!$F$2:$F$378,0)*I50/_xlfn.XLOOKUP($A50,'00_SKU_Master'!$B$2:$B$378,'00_SKU_Master'!$O:$O,0),"")</f>
        <v/>
      </c>
      <c r="R48" s="122">
        <f>_xludf.IFNA(_xlfn.XLOOKUP($A50,'00_SKU_Master'!$B$2:$B$378,'00_SKU_Master'!$F$2:$F$378,0)*J50/_xlfn.XLOOKUP($A50,'00_SKU_Master'!$B$2:$B$378,'00_SKU_Master'!$O:$O,0),"")</f>
        <v/>
      </c>
      <c r="S48" s="122">
        <f>_xludf.IFNA(_xlfn.XLOOKUP($A50,'00_SKU_Master'!$B$2:$B$378,'00_SKU_Master'!$F$2:$F$378,0)*K50/_xlfn.XLOOKUP($A50,'00_SKU_Master'!$B$2:$B$378,'00_SKU_Master'!$O:$O,0),"")</f>
        <v/>
      </c>
      <c r="T48" s="123">
        <f>SUM(N50:S50)</f>
        <v/>
      </c>
      <c r="U48" s="124">
        <f>'05_Daily_Orders'!L49</f>
        <v/>
      </c>
    </row>
    <row r="49">
      <c r="A49" s="118">
        <f>'05_Daily_Orders'!B50</f>
        <v/>
      </c>
      <c r="B49" s="50" t="n">
        <v>0</v>
      </c>
      <c r="C49" s="50" t="n">
        <v>15</v>
      </c>
      <c r="D49" s="119" t="n"/>
      <c r="E49" s="119" t="n"/>
      <c r="F49" t="n">
        <v>185</v>
      </c>
      <c r="L49" s="120">
        <f>IF($E$1="n",0,(SUM(F51:K51)-B51))</f>
        <v/>
      </c>
      <c r="M49" s="121">
        <f>_xludf.IFNA(_xlfn.XLOOKUP(A51,'00_SKU_Master'!$B$2:$B$378,'00_SKU_Master'!$C$2:$C$378,0),"")</f>
        <v/>
      </c>
      <c r="N49" s="122">
        <f>_xludf.IFNA(_xlfn.XLOOKUP(A51,'00_SKU_Master'!$B$2:$B$378,'00_SKU_Master'!$F$2:$F$378,0)*F51/_xlfn.XLOOKUP(A51,'00_SKU_Master'!$B$2:$B$378,'00_SKU_Master'!$O:$O,0),"")</f>
        <v/>
      </c>
      <c r="O49" s="122">
        <f>_xludf.IFNA(_xlfn.XLOOKUP($A51,'00_SKU_Master'!$B$2:$B$378,'00_SKU_Master'!$F$2:$F$378,0)*G51/_xlfn.XLOOKUP($A51,'00_SKU_Master'!$B$2:$B$378,'00_SKU_Master'!$O:$O,0),"")</f>
        <v/>
      </c>
      <c r="P49" s="122">
        <f>_xludf.IFNA(_xlfn.XLOOKUP($A51,'00_SKU_Master'!$B$2:$B$378,'00_SKU_Master'!$F$2:$F$378,0)*H51/_xlfn.XLOOKUP($A51,'00_SKU_Master'!$B$2:$B$378,'00_SKU_Master'!$O:$O,0),"")</f>
        <v/>
      </c>
      <c r="Q49" s="122">
        <f>_xludf.IFNA(_xlfn.XLOOKUP($A51,'00_SKU_Master'!$B$2:$B$378,'00_SKU_Master'!$F$2:$F$378,0)*I51/_xlfn.XLOOKUP($A51,'00_SKU_Master'!$B$2:$B$378,'00_SKU_Master'!$O:$O,0),"")</f>
        <v/>
      </c>
      <c r="R49" s="122">
        <f>_xludf.IFNA(_xlfn.XLOOKUP($A51,'00_SKU_Master'!$B$2:$B$378,'00_SKU_Master'!$F$2:$F$378,0)*J51/_xlfn.XLOOKUP($A51,'00_SKU_Master'!$B$2:$B$378,'00_SKU_Master'!$O:$O,0),"")</f>
        <v/>
      </c>
      <c r="S49" s="122">
        <f>_xludf.IFNA(_xlfn.XLOOKUP($A51,'00_SKU_Master'!$B$2:$B$378,'00_SKU_Master'!$F$2:$F$378,0)*K51/_xlfn.XLOOKUP($A51,'00_SKU_Master'!$B$2:$B$378,'00_SKU_Master'!$O:$O,0),"")</f>
        <v/>
      </c>
      <c r="T49" s="123">
        <f>SUM(N51:S51)</f>
        <v/>
      </c>
      <c r="U49" s="124">
        <f>'05_Daily_Orders'!L50</f>
        <v/>
      </c>
    </row>
    <row r="50">
      <c r="A50" s="118">
        <f>'05_Daily_Orders'!B51</f>
        <v/>
      </c>
      <c r="B50" s="50" t="n">
        <v>0</v>
      </c>
      <c r="C50" s="50" t="n">
        <v>0</v>
      </c>
      <c r="D50" s="119" t="n"/>
      <c r="E50" s="119" t="n"/>
      <c r="F50" t="n">
        <v>0</v>
      </c>
      <c r="L50" s="120">
        <f>IF($E$1="n",0,(SUM(F52:K52)-B52))</f>
        <v/>
      </c>
      <c r="M50" s="121">
        <f>_xludf.IFNA(_xlfn.XLOOKUP(A52,'00_SKU_Master'!$B$2:$B$378,'00_SKU_Master'!$C$2:$C$378,0),"")</f>
        <v/>
      </c>
      <c r="N50" s="122">
        <f>_xludf.IFNA(_xlfn.XLOOKUP(A52,'00_SKU_Master'!$B$2:$B$378,'00_SKU_Master'!$F$2:$F$378,0)*F52/_xlfn.XLOOKUP(A52,'00_SKU_Master'!$B$2:$B$378,'00_SKU_Master'!$O:$O,0),"")</f>
        <v/>
      </c>
      <c r="O50" s="122">
        <f>_xludf.IFNA(_xlfn.XLOOKUP($A52,'00_SKU_Master'!$B$2:$B$378,'00_SKU_Master'!$F$2:$F$378,0)*G52/_xlfn.XLOOKUP($A52,'00_SKU_Master'!$B$2:$B$378,'00_SKU_Master'!$O:$O,0),"")</f>
        <v/>
      </c>
      <c r="P50" s="122">
        <f>_xludf.IFNA(_xlfn.XLOOKUP($A52,'00_SKU_Master'!$B$2:$B$378,'00_SKU_Master'!$F$2:$F$378,0)*H52/_xlfn.XLOOKUP($A52,'00_SKU_Master'!$B$2:$B$378,'00_SKU_Master'!$O:$O,0),"")</f>
        <v/>
      </c>
      <c r="Q50" s="122">
        <f>_xludf.IFNA(_xlfn.XLOOKUP($A52,'00_SKU_Master'!$B$2:$B$378,'00_SKU_Master'!$F$2:$F$378,0)*I52/_xlfn.XLOOKUP($A52,'00_SKU_Master'!$B$2:$B$378,'00_SKU_Master'!$O:$O,0),"")</f>
        <v/>
      </c>
      <c r="R50" s="122">
        <f>_xludf.IFNA(_xlfn.XLOOKUP($A52,'00_SKU_Master'!$B$2:$B$378,'00_SKU_Master'!$F$2:$F$378,0)*J52/_xlfn.XLOOKUP($A52,'00_SKU_Master'!$B$2:$B$378,'00_SKU_Master'!$O:$O,0),"")</f>
        <v/>
      </c>
      <c r="S50" s="122">
        <f>_xludf.IFNA(_xlfn.XLOOKUP($A52,'00_SKU_Master'!$B$2:$B$378,'00_SKU_Master'!$F$2:$F$378,0)*K52/_xlfn.XLOOKUP($A52,'00_SKU_Master'!$B$2:$B$378,'00_SKU_Master'!$O:$O,0),"")</f>
        <v/>
      </c>
      <c r="T50" s="123">
        <f>SUM(N52:S52)</f>
        <v/>
      </c>
      <c r="U50" s="124">
        <f>'05_Daily_Orders'!L51</f>
        <v/>
      </c>
    </row>
    <row r="51">
      <c r="A51" s="118">
        <f>'05_Daily_Orders'!B52</f>
        <v/>
      </c>
      <c r="B51" s="50" t="n">
        <v>0</v>
      </c>
      <c r="C51" s="50" t="n">
        <v>95</v>
      </c>
      <c r="D51" s="119" t="n"/>
      <c r="E51" s="119" t="n"/>
      <c r="F51" t="n">
        <v>120</v>
      </c>
      <c r="L51" s="120">
        <f>IF($E$1="n",0,(SUM(F53:K53)-B53))</f>
        <v/>
      </c>
      <c r="M51" s="121">
        <f>_xludf.IFNA(_xlfn.XLOOKUP(A53,'00_SKU_Master'!$B$2:$B$378,'00_SKU_Master'!$C$2:$C$378,0),"")</f>
        <v/>
      </c>
      <c r="N51" s="122">
        <f>_xludf.IFNA(_xlfn.XLOOKUP(A53,'00_SKU_Master'!$B$2:$B$378,'00_SKU_Master'!$F$2:$F$378,0)*F53/_xlfn.XLOOKUP(A53,'00_SKU_Master'!$B$2:$B$378,'00_SKU_Master'!$O:$O,0),"")</f>
        <v/>
      </c>
      <c r="O51" s="122">
        <f>_xludf.IFNA(_xlfn.XLOOKUP($A53,'00_SKU_Master'!$B$2:$B$378,'00_SKU_Master'!$F$2:$F$378,0)*G53/_xlfn.XLOOKUP($A53,'00_SKU_Master'!$B$2:$B$378,'00_SKU_Master'!$O:$O,0),"")</f>
        <v/>
      </c>
      <c r="P51" s="122">
        <f>_xludf.IFNA(_xlfn.XLOOKUP($A53,'00_SKU_Master'!$B$2:$B$378,'00_SKU_Master'!$F$2:$F$378,0)*H53/_xlfn.XLOOKUP($A53,'00_SKU_Master'!$B$2:$B$378,'00_SKU_Master'!$O:$O,0),"")</f>
        <v/>
      </c>
      <c r="Q51" s="122">
        <f>_xludf.IFNA(_xlfn.XLOOKUP($A53,'00_SKU_Master'!$B$2:$B$378,'00_SKU_Master'!$F$2:$F$378,0)*I53/_xlfn.XLOOKUP($A53,'00_SKU_Master'!$B$2:$B$378,'00_SKU_Master'!$O:$O,0),"")</f>
        <v/>
      </c>
      <c r="R51" s="122">
        <f>_xludf.IFNA(_xlfn.XLOOKUP($A53,'00_SKU_Master'!$B$2:$B$378,'00_SKU_Master'!$F$2:$F$378,0)*J53/_xlfn.XLOOKUP($A53,'00_SKU_Master'!$B$2:$B$378,'00_SKU_Master'!$O:$O,0),"")</f>
        <v/>
      </c>
      <c r="S51" s="122">
        <f>_xludf.IFNA(_xlfn.XLOOKUP($A53,'00_SKU_Master'!$B$2:$B$378,'00_SKU_Master'!$F$2:$F$378,0)*K53/_xlfn.XLOOKUP($A53,'00_SKU_Master'!$B$2:$B$378,'00_SKU_Master'!$O:$O,0),"")</f>
        <v/>
      </c>
      <c r="T51" s="123">
        <f>SUM(N53:S53)</f>
        <v/>
      </c>
      <c r="U51" s="124">
        <f>'05_Daily_Orders'!L52</f>
        <v/>
      </c>
    </row>
    <row r="52">
      <c r="A52" s="118">
        <f>'05_Daily_Orders'!B53</f>
        <v/>
      </c>
      <c r="B52" s="50" t="n">
        <v>0</v>
      </c>
      <c r="C52" s="50" t="n">
        <v>40</v>
      </c>
      <c r="D52" s="119" t="n"/>
      <c r="E52" s="119" t="n"/>
      <c r="F52" t="n">
        <v>40</v>
      </c>
      <c r="L52" s="120">
        <f>IF($E$1="n",0,(SUM(F54:K54)-B54))</f>
        <v/>
      </c>
      <c r="M52" s="121">
        <f>_xludf.IFNA(_xlfn.XLOOKUP(A54,'00_SKU_Master'!$B$2:$B$378,'00_SKU_Master'!$C$2:$C$378,0),"")</f>
        <v/>
      </c>
      <c r="N52" s="122">
        <f>_xludf.IFNA(_xlfn.XLOOKUP(A54,'00_SKU_Master'!$B$2:$B$378,'00_SKU_Master'!$F$2:$F$378,0)*F54/_xlfn.XLOOKUP(A54,'00_SKU_Master'!$B$2:$B$378,'00_SKU_Master'!$O:$O,0),"")</f>
        <v/>
      </c>
      <c r="O52" s="122">
        <f>_xludf.IFNA(_xlfn.XLOOKUP($A54,'00_SKU_Master'!$B$2:$B$378,'00_SKU_Master'!$F$2:$F$378,0)*G54/_xlfn.XLOOKUP($A54,'00_SKU_Master'!$B$2:$B$378,'00_SKU_Master'!$O:$O,0),"")</f>
        <v/>
      </c>
      <c r="P52" s="122">
        <f>_xludf.IFNA(_xlfn.XLOOKUP($A54,'00_SKU_Master'!$B$2:$B$378,'00_SKU_Master'!$F$2:$F$378,0)*H54/_xlfn.XLOOKUP($A54,'00_SKU_Master'!$B$2:$B$378,'00_SKU_Master'!$O:$O,0),"")</f>
        <v/>
      </c>
      <c r="Q52" s="122">
        <f>_xludf.IFNA(_xlfn.XLOOKUP($A54,'00_SKU_Master'!$B$2:$B$378,'00_SKU_Master'!$F$2:$F$378,0)*I54/_xlfn.XLOOKUP($A54,'00_SKU_Master'!$B$2:$B$378,'00_SKU_Master'!$O:$O,0),"")</f>
        <v/>
      </c>
      <c r="R52" s="122">
        <f>_xludf.IFNA(_xlfn.XLOOKUP($A54,'00_SKU_Master'!$B$2:$B$378,'00_SKU_Master'!$F$2:$F$378,0)*J54/_xlfn.XLOOKUP($A54,'00_SKU_Master'!$B$2:$B$378,'00_SKU_Master'!$O:$O,0),"")</f>
        <v/>
      </c>
      <c r="S52" s="122">
        <f>_xludf.IFNA(_xlfn.XLOOKUP($A54,'00_SKU_Master'!$B$2:$B$378,'00_SKU_Master'!$F$2:$F$378,0)*K54/_xlfn.XLOOKUP($A54,'00_SKU_Master'!$B$2:$B$378,'00_SKU_Master'!$O:$O,0),"")</f>
        <v/>
      </c>
      <c r="T52" s="123">
        <f>SUM(N54:S54)</f>
        <v/>
      </c>
      <c r="U52" s="124">
        <f>'05_Daily_Orders'!L53</f>
        <v/>
      </c>
    </row>
    <row r="53">
      <c r="A53" s="118">
        <f>'05_Daily_Orders'!B54</f>
        <v/>
      </c>
      <c r="B53" s="50" t="n">
        <v>0</v>
      </c>
      <c r="C53" s="50" t="n">
        <v>0</v>
      </c>
      <c r="D53" s="119" t="n"/>
      <c r="E53" s="119" t="n"/>
      <c r="F53" t="n">
        <v>0</v>
      </c>
      <c r="L53" s="120">
        <f>IF($E$1="n",0,(SUM(F55:K55)-B55))</f>
        <v/>
      </c>
      <c r="M53" s="121">
        <f>_xludf.IFNA(_xlfn.XLOOKUP(A55,'00_SKU_Master'!$B$2:$B$378,'00_SKU_Master'!$C$2:$C$378,0),"")</f>
        <v/>
      </c>
      <c r="N53" s="122">
        <f>_xludf.IFNA(_xlfn.XLOOKUP(A55,'00_SKU_Master'!$B$2:$B$378,'00_SKU_Master'!$F$2:$F$378,0)*F55/_xlfn.XLOOKUP(A55,'00_SKU_Master'!$B$2:$B$378,'00_SKU_Master'!$O:$O,0),"")</f>
        <v/>
      </c>
      <c r="O53" s="122">
        <f>_xludf.IFNA(_xlfn.XLOOKUP($A55,'00_SKU_Master'!$B$2:$B$378,'00_SKU_Master'!$F$2:$F$378,0)*G55/_xlfn.XLOOKUP($A55,'00_SKU_Master'!$B$2:$B$378,'00_SKU_Master'!$O:$O,0),"")</f>
        <v/>
      </c>
      <c r="P53" s="122">
        <f>_xludf.IFNA(_xlfn.XLOOKUP($A55,'00_SKU_Master'!$B$2:$B$378,'00_SKU_Master'!$F$2:$F$378,0)*H55/_xlfn.XLOOKUP($A55,'00_SKU_Master'!$B$2:$B$378,'00_SKU_Master'!$O:$O,0),"")</f>
        <v/>
      </c>
      <c r="Q53" s="122">
        <f>_xludf.IFNA(_xlfn.XLOOKUP($A55,'00_SKU_Master'!$B$2:$B$378,'00_SKU_Master'!$F$2:$F$378,0)*I55/_xlfn.XLOOKUP($A55,'00_SKU_Master'!$B$2:$B$378,'00_SKU_Master'!$O:$O,0),"")</f>
        <v/>
      </c>
      <c r="R53" s="122">
        <f>_xludf.IFNA(_xlfn.XLOOKUP($A55,'00_SKU_Master'!$B$2:$B$378,'00_SKU_Master'!$F$2:$F$378,0)*J55/_xlfn.XLOOKUP($A55,'00_SKU_Master'!$B$2:$B$378,'00_SKU_Master'!$O:$O,0),"")</f>
        <v/>
      </c>
      <c r="S53" s="122">
        <f>_xludf.IFNA(_xlfn.XLOOKUP($A55,'00_SKU_Master'!$B$2:$B$378,'00_SKU_Master'!$F$2:$F$378,0)*K55/_xlfn.XLOOKUP($A55,'00_SKU_Master'!$B$2:$B$378,'00_SKU_Master'!$O:$O,0),"")</f>
        <v/>
      </c>
      <c r="T53" s="123">
        <f>SUM(N55:S55)</f>
        <v/>
      </c>
      <c r="U53" s="124">
        <f>'05_Daily_Orders'!L54</f>
        <v/>
      </c>
    </row>
    <row r="54">
      <c r="A54" s="118">
        <f>'05_Daily_Orders'!B55</f>
        <v/>
      </c>
      <c r="B54" s="50" t="n">
        <v>0</v>
      </c>
      <c r="C54" s="50" t="n">
        <v>0</v>
      </c>
      <c r="D54" s="119" t="n"/>
      <c r="E54" s="119" t="n"/>
      <c r="F54" t="n">
        <v>0</v>
      </c>
      <c r="L54" s="120">
        <f>IF($E$1="n",0,(SUM(F56:K56)-B56))</f>
        <v/>
      </c>
      <c r="M54" s="121">
        <f>_xludf.IFNA(_xlfn.XLOOKUP(A56,'00_SKU_Master'!$B$2:$B$378,'00_SKU_Master'!$C$2:$C$378,0),"")</f>
        <v/>
      </c>
      <c r="N54" s="122">
        <f>_xludf.IFNA(_xlfn.XLOOKUP(A56,'00_SKU_Master'!$B$2:$B$378,'00_SKU_Master'!$F$2:$F$378,0)*F56/_xlfn.XLOOKUP(A56,'00_SKU_Master'!$B$2:$B$378,'00_SKU_Master'!$O:$O,0),"")</f>
        <v/>
      </c>
      <c r="O54" s="122">
        <f>_xludf.IFNA(_xlfn.XLOOKUP($A56,'00_SKU_Master'!$B$2:$B$378,'00_SKU_Master'!$F$2:$F$378,0)*G56/_xlfn.XLOOKUP($A56,'00_SKU_Master'!$B$2:$B$378,'00_SKU_Master'!$O:$O,0),"")</f>
        <v/>
      </c>
      <c r="P54" s="122">
        <f>_xludf.IFNA(_xlfn.XLOOKUP($A56,'00_SKU_Master'!$B$2:$B$378,'00_SKU_Master'!$F$2:$F$378,0)*H56/_xlfn.XLOOKUP($A56,'00_SKU_Master'!$B$2:$B$378,'00_SKU_Master'!$O:$O,0),"")</f>
        <v/>
      </c>
      <c r="Q54" s="122">
        <f>_xludf.IFNA(_xlfn.XLOOKUP($A56,'00_SKU_Master'!$B$2:$B$378,'00_SKU_Master'!$F$2:$F$378,0)*I56/_xlfn.XLOOKUP($A56,'00_SKU_Master'!$B$2:$B$378,'00_SKU_Master'!$O:$O,0),"")</f>
        <v/>
      </c>
      <c r="R54" s="122">
        <f>_xludf.IFNA(_xlfn.XLOOKUP($A56,'00_SKU_Master'!$B$2:$B$378,'00_SKU_Master'!$F$2:$F$378,0)*J56/_xlfn.XLOOKUP($A56,'00_SKU_Master'!$B$2:$B$378,'00_SKU_Master'!$O:$O,0),"")</f>
        <v/>
      </c>
      <c r="S54" s="122">
        <f>_xludf.IFNA(_xlfn.XLOOKUP($A56,'00_SKU_Master'!$B$2:$B$378,'00_SKU_Master'!$F$2:$F$378,0)*K56/_xlfn.XLOOKUP($A56,'00_SKU_Master'!$B$2:$B$378,'00_SKU_Master'!$O:$O,0),"")</f>
        <v/>
      </c>
      <c r="T54" s="123">
        <f>SUM(N56:S56)</f>
        <v/>
      </c>
      <c r="U54" s="124">
        <f>'05_Daily_Orders'!L55</f>
        <v/>
      </c>
    </row>
    <row r="55">
      <c r="A55" s="118">
        <f>'05_Daily_Orders'!B56</f>
        <v/>
      </c>
      <c r="B55" s="50" t="n">
        <v>0</v>
      </c>
      <c r="C55" s="50" t="n">
        <v>0</v>
      </c>
      <c r="D55" s="119" t="n"/>
      <c r="E55" s="119" t="n"/>
      <c r="F55" t="n">
        <v>0</v>
      </c>
      <c r="L55" s="120">
        <f>IF($E$1="n",0,(SUM(F57:K57)-B57))</f>
        <v/>
      </c>
      <c r="M55" s="121">
        <f>_xludf.IFNA(_xlfn.XLOOKUP(A57,'00_SKU_Master'!$B$2:$B$378,'00_SKU_Master'!$C$2:$C$378,0),"")</f>
        <v/>
      </c>
      <c r="N55" s="122">
        <f>_xludf.IFNA(_xlfn.XLOOKUP(A57,'00_SKU_Master'!$B$2:$B$378,'00_SKU_Master'!$F$2:$F$378,0)*F57/_xlfn.XLOOKUP(A57,'00_SKU_Master'!$B$2:$B$378,'00_SKU_Master'!$O:$O,0),"")</f>
        <v/>
      </c>
      <c r="O55" s="122">
        <f>_xludf.IFNA(_xlfn.XLOOKUP($A57,'00_SKU_Master'!$B$2:$B$378,'00_SKU_Master'!$F$2:$F$378,0)*G57/_xlfn.XLOOKUP($A57,'00_SKU_Master'!$B$2:$B$378,'00_SKU_Master'!$O:$O,0),"")</f>
        <v/>
      </c>
      <c r="P55" s="122">
        <f>_xludf.IFNA(_xlfn.XLOOKUP($A57,'00_SKU_Master'!$B$2:$B$378,'00_SKU_Master'!$F$2:$F$378,0)*H57/_xlfn.XLOOKUP($A57,'00_SKU_Master'!$B$2:$B$378,'00_SKU_Master'!$O:$O,0),"")</f>
        <v/>
      </c>
      <c r="Q55" s="122">
        <f>_xludf.IFNA(_xlfn.XLOOKUP($A57,'00_SKU_Master'!$B$2:$B$378,'00_SKU_Master'!$F$2:$F$378,0)*I57/_xlfn.XLOOKUP($A57,'00_SKU_Master'!$B$2:$B$378,'00_SKU_Master'!$O:$O,0),"")</f>
        <v/>
      </c>
      <c r="R55" s="122">
        <f>_xludf.IFNA(_xlfn.XLOOKUP($A57,'00_SKU_Master'!$B$2:$B$378,'00_SKU_Master'!$F$2:$F$378,0)*J57/_xlfn.XLOOKUP($A57,'00_SKU_Master'!$B$2:$B$378,'00_SKU_Master'!$O:$O,0),"")</f>
        <v/>
      </c>
      <c r="S55" s="122">
        <f>_xludf.IFNA(_xlfn.XLOOKUP($A57,'00_SKU_Master'!$B$2:$B$378,'00_SKU_Master'!$F$2:$F$378,0)*K57/_xlfn.XLOOKUP($A57,'00_SKU_Master'!$B$2:$B$378,'00_SKU_Master'!$O:$O,0),"")</f>
        <v/>
      </c>
      <c r="T55" s="123">
        <f>SUM(N57:S57)</f>
        <v/>
      </c>
      <c r="U55" s="124">
        <f>'05_Daily_Orders'!L56</f>
        <v/>
      </c>
    </row>
    <row r="56">
      <c r="A56" s="118">
        <f>'05_Daily_Orders'!B57</f>
        <v/>
      </c>
      <c r="B56" s="50" t="n">
        <v>0</v>
      </c>
      <c r="C56" s="50" t="n">
        <v>0</v>
      </c>
      <c r="D56" s="119" t="n"/>
      <c r="E56" s="119" t="n"/>
      <c r="F56" t="n">
        <v>0</v>
      </c>
      <c r="L56" s="120">
        <f>IF($E$1="n",0,(SUM(F58:K58)-B58))</f>
        <v/>
      </c>
      <c r="M56" s="121">
        <f>_xludf.IFNA(_xlfn.XLOOKUP(A58,'00_SKU_Master'!$B$2:$B$378,'00_SKU_Master'!$C$2:$C$378,0),"")</f>
        <v/>
      </c>
      <c r="N56" s="122">
        <f>_xludf.IFNA(_xlfn.XLOOKUP(A58,'00_SKU_Master'!$B$2:$B$378,'00_SKU_Master'!$F$2:$F$378,0)*F58/_xlfn.XLOOKUP(A58,'00_SKU_Master'!$B$2:$B$378,'00_SKU_Master'!$O:$O,0),"")</f>
        <v/>
      </c>
      <c r="O56" s="122">
        <f>_xludf.IFNA(_xlfn.XLOOKUP($A58,'00_SKU_Master'!$B$2:$B$378,'00_SKU_Master'!$F$2:$F$378,0)*G58/_xlfn.XLOOKUP($A58,'00_SKU_Master'!$B$2:$B$378,'00_SKU_Master'!$O:$O,0),"")</f>
        <v/>
      </c>
      <c r="P56" s="122">
        <f>_xludf.IFNA(_xlfn.XLOOKUP($A58,'00_SKU_Master'!$B$2:$B$378,'00_SKU_Master'!$F$2:$F$378,0)*H58/_xlfn.XLOOKUP($A58,'00_SKU_Master'!$B$2:$B$378,'00_SKU_Master'!$O:$O,0),"")</f>
        <v/>
      </c>
      <c r="Q56" s="122">
        <f>_xludf.IFNA(_xlfn.XLOOKUP($A58,'00_SKU_Master'!$B$2:$B$378,'00_SKU_Master'!$F$2:$F$378,0)*I58/_xlfn.XLOOKUP($A58,'00_SKU_Master'!$B$2:$B$378,'00_SKU_Master'!$O:$O,0),"")</f>
        <v/>
      </c>
      <c r="R56" s="122">
        <f>_xludf.IFNA(_xlfn.XLOOKUP($A58,'00_SKU_Master'!$B$2:$B$378,'00_SKU_Master'!$F$2:$F$378,0)*J58/_xlfn.XLOOKUP($A58,'00_SKU_Master'!$B$2:$B$378,'00_SKU_Master'!$O:$O,0),"")</f>
        <v/>
      </c>
      <c r="S56" s="122">
        <f>_xludf.IFNA(_xlfn.XLOOKUP($A58,'00_SKU_Master'!$B$2:$B$378,'00_SKU_Master'!$F$2:$F$378,0)*K58/_xlfn.XLOOKUP($A58,'00_SKU_Master'!$B$2:$B$378,'00_SKU_Master'!$O:$O,0),"")</f>
        <v/>
      </c>
      <c r="T56" s="123">
        <f>SUM(N58:S58)</f>
        <v/>
      </c>
      <c r="U56" s="124">
        <f>'05_Daily_Orders'!L57</f>
        <v/>
      </c>
    </row>
    <row r="57">
      <c r="A57" s="118">
        <f>'05_Daily_Orders'!B58</f>
        <v/>
      </c>
      <c r="B57" s="50" t="n">
        <v>0</v>
      </c>
      <c r="C57" s="50" t="n">
        <v>0</v>
      </c>
      <c r="D57" s="119" t="n"/>
      <c r="E57" s="119" t="n"/>
      <c r="F57" t="n">
        <v>0</v>
      </c>
      <c r="L57" s="120">
        <f>IF($E$1="n",0,(SUM(F59:K59)-B59))</f>
        <v/>
      </c>
      <c r="M57" s="121">
        <f>_xludf.IFNA(_xlfn.XLOOKUP(A59,'00_SKU_Master'!$B$2:$B$378,'00_SKU_Master'!$C$2:$C$378,0),"")</f>
        <v/>
      </c>
      <c r="N57" s="122">
        <f>_xludf.IFNA(_xlfn.XLOOKUP(A59,'00_SKU_Master'!$B$2:$B$378,'00_SKU_Master'!$F$2:$F$378,0)*F59/_xlfn.XLOOKUP(A59,'00_SKU_Master'!$B$2:$B$378,'00_SKU_Master'!$O:$O,0),"")</f>
        <v/>
      </c>
      <c r="O57" s="122">
        <f>_xludf.IFNA(_xlfn.XLOOKUP($A59,'00_SKU_Master'!$B$2:$B$378,'00_SKU_Master'!$F$2:$F$378,0)*G59/_xlfn.XLOOKUP($A59,'00_SKU_Master'!$B$2:$B$378,'00_SKU_Master'!$O:$O,0),"")</f>
        <v/>
      </c>
      <c r="P57" s="122">
        <f>_xludf.IFNA(_xlfn.XLOOKUP($A59,'00_SKU_Master'!$B$2:$B$378,'00_SKU_Master'!$F$2:$F$378,0)*H59/_xlfn.XLOOKUP($A59,'00_SKU_Master'!$B$2:$B$378,'00_SKU_Master'!$O:$O,0),"")</f>
        <v/>
      </c>
      <c r="Q57" s="122">
        <f>_xludf.IFNA(_xlfn.XLOOKUP($A59,'00_SKU_Master'!$B$2:$B$378,'00_SKU_Master'!$F$2:$F$378,0)*I59/_xlfn.XLOOKUP($A59,'00_SKU_Master'!$B$2:$B$378,'00_SKU_Master'!$O:$O,0),"")</f>
        <v/>
      </c>
      <c r="R57" s="122">
        <f>_xludf.IFNA(_xlfn.XLOOKUP($A59,'00_SKU_Master'!$B$2:$B$378,'00_SKU_Master'!$F$2:$F$378,0)*J59/_xlfn.XLOOKUP($A59,'00_SKU_Master'!$B$2:$B$378,'00_SKU_Master'!$O:$O,0),"")</f>
        <v/>
      </c>
      <c r="S57" s="122">
        <f>_xludf.IFNA(_xlfn.XLOOKUP($A59,'00_SKU_Master'!$B$2:$B$378,'00_SKU_Master'!$F$2:$F$378,0)*K59/_xlfn.XLOOKUP($A59,'00_SKU_Master'!$B$2:$B$378,'00_SKU_Master'!$O:$O,0),"")</f>
        <v/>
      </c>
      <c r="T57" s="123">
        <f>SUM(N59:S59)</f>
        <v/>
      </c>
      <c r="U57" s="124">
        <f>'05_Daily_Orders'!L58</f>
        <v/>
      </c>
    </row>
    <row r="58">
      <c r="A58" s="118">
        <f>'05_Daily_Orders'!B59</f>
        <v/>
      </c>
      <c r="B58" s="50" t="n">
        <v>0</v>
      </c>
      <c r="C58" s="50" t="n">
        <v>0</v>
      </c>
      <c r="D58" s="119" t="n"/>
      <c r="E58" s="119" t="n"/>
      <c r="F58" t="n">
        <v>0</v>
      </c>
      <c r="L58" s="120">
        <f>IF($E$1="n",0,(SUM(F60:K60)-B60))</f>
        <v/>
      </c>
      <c r="M58" s="121">
        <f>_xludf.IFNA(_xlfn.XLOOKUP(A60,'00_SKU_Master'!$B$2:$B$378,'00_SKU_Master'!$C$2:$C$378,0),"")</f>
        <v/>
      </c>
      <c r="N58" s="122">
        <f>_xludf.IFNA(_xlfn.XLOOKUP(A60,'00_SKU_Master'!$B$2:$B$378,'00_SKU_Master'!$F$2:$F$378,0)*F60/_xlfn.XLOOKUP(A60,'00_SKU_Master'!$B$2:$B$378,'00_SKU_Master'!$O:$O,0),"")</f>
        <v/>
      </c>
      <c r="O58" s="122">
        <f>_xludf.IFNA(_xlfn.XLOOKUP($A60,'00_SKU_Master'!$B$2:$B$378,'00_SKU_Master'!$F$2:$F$378,0)*G60/_xlfn.XLOOKUP($A60,'00_SKU_Master'!$B$2:$B$378,'00_SKU_Master'!$O:$O,0),"")</f>
        <v/>
      </c>
      <c r="P58" s="122">
        <f>_xludf.IFNA(_xlfn.XLOOKUP($A60,'00_SKU_Master'!$B$2:$B$378,'00_SKU_Master'!$F$2:$F$378,0)*H60/_xlfn.XLOOKUP($A60,'00_SKU_Master'!$B$2:$B$378,'00_SKU_Master'!$O:$O,0),"")</f>
        <v/>
      </c>
      <c r="Q58" s="122">
        <f>_xludf.IFNA(_xlfn.XLOOKUP($A60,'00_SKU_Master'!$B$2:$B$378,'00_SKU_Master'!$F$2:$F$378,0)*I60/_xlfn.XLOOKUP($A60,'00_SKU_Master'!$B$2:$B$378,'00_SKU_Master'!$O:$O,0),"")</f>
        <v/>
      </c>
      <c r="R58" s="122">
        <f>_xludf.IFNA(_xlfn.XLOOKUP($A60,'00_SKU_Master'!$B$2:$B$378,'00_SKU_Master'!$F$2:$F$378,0)*J60/_xlfn.XLOOKUP($A60,'00_SKU_Master'!$B$2:$B$378,'00_SKU_Master'!$O:$O,0),"")</f>
        <v/>
      </c>
      <c r="S58" s="122">
        <f>_xludf.IFNA(_xlfn.XLOOKUP($A60,'00_SKU_Master'!$B$2:$B$378,'00_SKU_Master'!$F$2:$F$378,0)*K60/_xlfn.XLOOKUP($A60,'00_SKU_Master'!$B$2:$B$378,'00_SKU_Master'!$O:$O,0),"")</f>
        <v/>
      </c>
      <c r="T58" s="123">
        <f>SUM(N60:S60)</f>
        <v/>
      </c>
      <c r="U58" s="124">
        <f>'05_Daily_Orders'!L59</f>
        <v/>
      </c>
    </row>
    <row r="59">
      <c r="A59" s="118">
        <f>'05_Daily_Orders'!B60</f>
        <v/>
      </c>
      <c r="B59" s="50" t="n">
        <v>0</v>
      </c>
      <c r="C59" s="50" t="n">
        <v>0</v>
      </c>
      <c r="D59" s="119" t="n"/>
      <c r="E59" s="119" t="n"/>
      <c r="F59" t="n">
        <v>0</v>
      </c>
      <c r="L59" s="120">
        <f>IF($E$1="n",0,(SUM(F61:K61)-B61))</f>
        <v/>
      </c>
      <c r="M59" s="121">
        <f>_xludf.IFNA(_xlfn.XLOOKUP(A61,'00_SKU_Master'!$B$2:$B$378,'00_SKU_Master'!$C$2:$C$378,0),"")</f>
        <v/>
      </c>
      <c r="N59" s="122">
        <f>_xludf.IFNA(_xlfn.XLOOKUP(A61,'00_SKU_Master'!$B$2:$B$378,'00_SKU_Master'!$F$2:$F$378,0)*F61/_xlfn.XLOOKUP(A61,'00_SKU_Master'!$B$2:$B$378,'00_SKU_Master'!$O:$O,0),"")</f>
        <v/>
      </c>
      <c r="O59" s="122">
        <f>_xludf.IFNA(_xlfn.XLOOKUP($A61,'00_SKU_Master'!$B$2:$B$378,'00_SKU_Master'!$F$2:$F$378,0)*G61/_xlfn.XLOOKUP($A61,'00_SKU_Master'!$B$2:$B$378,'00_SKU_Master'!$O:$O,0),"")</f>
        <v/>
      </c>
      <c r="P59" s="122">
        <f>_xludf.IFNA(_xlfn.XLOOKUP($A61,'00_SKU_Master'!$B$2:$B$378,'00_SKU_Master'!$F$2:$F$378,0)*H61/_xlfn.XLOOKUP($A61,'00_SKU_Master'!$B$2:$B$378,'00_SKU_Master'!$O:$O,0),"")</f>
        <v/>
      </c>
      <c r="Q59" s="122">
        <f>_xludf.IFNA(_xlfn.XLOOKUP($A61,'00_SKU_Master'!$B$2:$B$378,'00_SKU_Master'!$F$2:$F$378,0)*I61/_xlfn.XLOOKUP($A61,'00_SKU_Master'!$B$2:$B$378,'00_SKU_Master'!$O:$O,0),"")</f>
        <v/>
      </c>
      <c r="R59" s="122">
        <f>_xludf.IFNA(_xlfn.XLOOKUP($A61,'00_SKU_Master'!$B$2:$B$378,'00_SKU_Master'!$F$2:$F$378,0)*J61/_xlfn.XLOOKUP($A61,'00_SKU_Master'!$B$2:$B$378,'00_SKU_Master'!$O:$O,0),"")</f>
        <v/>
      </c>
      <c r="S59" s="122">
        <f>_xludf.IFNA(_xlfn.XLOOKUP($A61,'00_SKU_Master'!$B$2:$B$378,'00_SKU_Master'!$F$2:$F$378,0)*K61/_xlfn.XLOOKUP($A61,'00_SKU_Master'!$B$2:$B$378,'00_SKU_Master'!$O:$O,0),"")</f>
        <v/>
      </c>
      <c r="T59" s="123">
        <f>SUM(N61:S61)</f>
        <v/>
      </c>
      <c r="U59" s="124">
        <f>'05_Daily_Orders'!L60</f>
        <v/>
      </c>
    </row>
    <row r="60">
      <c r="A60" s="118">
        <f>'05_Daily_Orders'!B61</f>
        <v/>
      </c>
      <c r="B60" s="50" t="n">
        <v>0</v>
      </c>
      <c r="C60" s="50" t="n">
        <v>0</v>
      </c>
      <c r="D60" s="119" t="n"/>
      <c r="E60" s="119" t="n"/>
      <c r="F60" t="n">
        <v>0</v>
      </c>
      <c r="L60" s="120">
        <f>IF($E$1="n",0,(SUM(F62:K62)-B62))</f>
        <v/>
      </c>
      <c r="M60" s="121">
        <f>_xludf.IFNA(_xlfn.XLOOKUP(A62,'00_SKU_Master'!$B$2:$B$378,'00_SKU_Master'!$C$2:$C$378,0),"")</f>
        <v/>
      </c>
      <c r="N60" s="122">
        <f>_xludf.IFNA(_xlfn.XLOOKUP(A62,'00_SKU_Master'!$B$2:$B$378,'00_SKU_Master'!$F$2:$F$378,0)*F62/_xlfn.XLOOKUP(A62,'00_SKU_Master'!$B$2:$B$378,'00_SKU_Master'!$O:$O,0),"")</f>
        <v/>
      </c>
      <c r="O60" s="122">
        <f>_xludf.IFNA(_xlfn.XLOOKUP($A62,'00_SKU_Master'!$B$2:$B$378,'00_SKU_Master'!$F$2:$F$378,0)*G62/_xlfn.XLOOKUP($A62,'00_SKU_Master'!$B$2:$B$378,'00_SKU_Master'!$O:$O,0),"")</f>
        <v/>
      </c>
      <c r="P60" s="122">
        <f>_xludf.IFNA(_xlfn.XLOOKUP($A62,'00_SKU_Master'!$B$2:$B$378,'00_SKU_Master'!$F$2:$F$378,0)*H62/_xlfn.XLOOKUP($A62,'00_SKU_Master'!$B$2:$B$378,'00_SKU_Master'!$O:$O,0),"")</f>
        <v/>
      </c>
      <c r="Q60" s="122">
        <f>_xludf.IFNA(_xlfn.XLOOKUP($A62,'00_SKU_Master'!$B$2:$B$378,'00_SKU_Master'!$F$2:$F$378,0)*I62/_xlfn.XLOOKUP($A62,'00_SKU_Master'!$B$2:$B$378,'00_SKU_Master'!$O:$O,0),"")</f>
        <v/>
      </c>
      <c r="R60" s="122">
        <f>_xludf.IFNA(_xlfn.XLOOKUP($A62,'00_SKU_Master'!$B$2:$B$378,'00_SKU_Master'!$F$2:$F$378,0)*J62/_xlfn.XLOOKUP($A62,'00_SKU_Master'!$B$2:$B$378,'00_SKU_Master'!$O:$O,0),"")</f>
        <v/>
      </c>
      <c r="S60" s="122">
        <f>_xludf.IFNA(_xlfn.XLOOKUP($A62,'00_SKU_Master'!$B$2:$B$378,'00_SKU_Master'!$F$2:$F$378,0)*K62/_xlfn.XLOOKUP($A62,'00_SKU_Master'!$B$2:$B$378,'00_SKU_Master'!$O:$O,0),"")</f>
        <v/>
      </c>
      <c r="T60" s="123">
        <f>SUM(N62:S62)</f>
        <v/>
      </c>
      <c r="U60" s="124">
        <f>'05_Daily_Orders'!L61</f>
        <v/>
      </c>
    </row>
    <row r="61">
      <c r="A61" s="118">
        <f>'05_Daily_Orders'!B62</f>
        <v/>
      </c>
      <c r="B61" s="50" t="n">
        <v>0</v>
      </c>
      <c r="C61" s="50" t="n">
        <v>0</v>
      </c>
      <c r="D61" s="119" t="n"/>
      <c r="E61" s="119" t="n"/>
      <c r="F61" t="n">
        <v>0</v>
      </c>
      <c r="L61" s="120">
        <f>IF($E$1="n",0,(SUM(F63:K63)-B63))</f>
        <v/>
      </c>
      <c r="M61" s="121">
        <f>_xludf.IFNA(_xlfn.XLOOKUP(A63,'00_SKU_Master'!$B$2:$B$378,'00_SKU_Master'!$C$2:$C$378,0),"")</f>
        <v/>
      </c>
      <c r="N61" s="122">
        <f>_xludf.IFNA(_xlfn.XLOOKUP(A63,'00_SKU_Master'!$B$2:$B$378,'00_SKU_Master'!$F$2:$F$378,0)*F63/_xlfn.XLOOKUP(A63,'00_SKU_Master'!$B$2:$B$378,'00_SKU_Master'!$O:$O,0),"")</f>
        <v/>
      </c>
      <c r="O61" s="122">
        <f>_xludf.IFNA(_xlfn.XLOOKUP($A63,'00_SKU_Master'!$B$2:$B$378,'00_SKU_Master'!$F$2:$F$378,0)*G63/_xlfn.XLOOKUP($A63,'00_SKU_Master'!$B$2:$B$378,'00_SKU_Master'!$O:$O,0),"")</f>
        <v/>
      </c>
      <c r="P61" s="122">
        <f>_xludf.IFNA(_xlfn.XLOOKUP($A63,'00_SKU_Master'!$B$2:$B$378,'00_SKU_Master'!$F$2:$F$378,0)*H63/_xlfn.XLOOKUP($A63,'00_SKU_Master'!$B$2:$B$378,'00_SKU_Master'!$O:$O,0),"")</f>
        <v/>
      </c>
      <c r="Q61" s="122">
        <f>_xludf.IFNA(_xlfn.XLOOKUP($A63,'00_SKU_Master'!$B$2:$B$378,'00_SKU_Master'!$F$2:$F$378,0)*I63/_xlfn.XLOOKUP($A63,'00_SKU_Master'!$B$2:$B$378,'00_SKU_Master'!$O:$O,0),"")</f>
        <v/>
      </c>
      <c r="R61" s="122">
        <f>_xludf.IFNA(_xlfn.XLOOKUP($A63,'00_SKU_Master'!$B$2:$B$378,'00_SKU_Master'!$F$2:$F$378,0)*J63/_xlfn.XLOOKUP($A63,'00_SKU_Master'!$B$2:$B$378,'00_SKU_Master'!$O:$O,0),"")</f>
        <v/>
      </c>
      <c r="S61" s="122">
        <f>_xludf.IFNA(_xlfn.XLOOKUP($A63,'00_SKU_Master'!$B$2:$B$378,'00_SKU_Master'!$F$2:$F$378,0)*K63/_xlfn.XLOOKUP($A63,'00_SKU_Master'!$B$2:$B$378,'00_SKU_Master'!$O:$O,0),"")</f>
        <v/>
      </c>
      <c r="T61" s="123">
        <f>SUM(N63:S63)</f>
        <v/>
      </c>
      <c r="U61" s="124">
        <f>'05_Daily_Orders'!L62</f>
        <v/>
      </c>
    </row>
    <row r="62">
      <c r="A62" s="118">
        <f>'05_Daily_Orders'!B63</f>
        <v/>
      </c>
      <c r="B62" s="50" t="n">
        <v>0</v>
      </c>
      <c r="C62" s="50" t="n">
        <v>0</v>
      </c>
      <c r="D62" s="119" t="n"/>
      <c r="E62" s="119" t="n"/>
      <c r="F62" t="n">
        <v>0</v>
      </c>
      <c r="L62" s="120">
        <f>IF($E$1="n",0,(SUM(F64:K64)-B64))</f>
        <v/>
      </c>
      <c r="M62" s="121">
        <f>_xludf.IFNA(_xlfn.XLOOKUP(A64,'00_SKU_Master'!$B$2:$B$378,'00_SKU_Master'!$C$2:$C$378,0),"")</f>
        <v/>
      </c>
      <c r="N62" s="122">
        <f>_xludf.IFNA(_xlfn.XLOOKUP(A64,'00_SKU_Master'!$B$2:$B$378,'00_SKU_Master'!$F$2:$F$378,0)*F64/_xlfn.XLOOKUP(A64,'00_SKU_Master'!$B$2:$B$378,'00_SKU_Master'!$O:$O,0),"")</f>
        <v/>
      </c>
      <c r="O62" s="122">
        <f>_xludf.IFNA(_xlfn.XLOOKUP($A64,'00_SKU_Master'!$B$2:$B$378,'00_SKU_Master'!$F$2:$F$378,0)*G64/_xlfn.XLOOKUP($A64,'00_SKU_Master'!$B$2:$B$378,'00_SKU_Master'!$O:$O,0),"")</f>
        <v/>
      </c>
      <c r="P62" s="122">
        <f>_xludf.IFNA(_xlfn.XLOOKUP($A64,'00_SKU_Master'!$B$2:$B$378,'00_SKU_Master'!$F$2:$F$378,0)*H64/_xlfn.XLOOKUP($A64,'00_SKU_Master'!$B$2:$B$378,'00_SKU_Master'!$O:$O,0),"")</f>
        <v/>
      </c>
      <c r="Q62" s="122">
        <f>_xludf.IFNA(_xlfn.XLOOKUP($A64,'00_SKU_Master'!$B$2:$B$378,'00_SKU_Master'!$F$2:$F$378,0)*I64/_xlfn.XLOOKUP($A64,'00_SKU_Master'!$B$2:$B$378,'00_SKU_Master'!$O:$O,0),"")</f>
        <v/>
      </c>
      <c r="R62" s="122">
        <f>_xludf.IFNA(_xlfn.XLOOKUP($A64,'00_SKU_Master'!$B$2:$B$378,'00_SKU_Master'!$F$2:$F$378,0)*J64/_xlfn.XLOOKUP($A64,'00_SKU_Master'!$B$2:$B$378,'00_SKU_Master'!$O:$O,0),"")</f>
        <v/>
      </c>
      <c r="S62" s="122">
        <f>_xludf.IFNA(_xlfn.XLOOKUP($A64,'00_SKU_Master'!$B$2:$B$378,'00_SKU_Master'!$F$2:$F$378,0)*K64/_xlfn.XLOOKUP($A64,'00_SKU_Master'!$B$2:$B$378,'00_SKU_Master'!$O:$O,0),"")</f>
        <v/>
      </c>
      <c r="T62" s="123">
        <f>SUM(N64:S64)</f>
        <v/>
      </c>
      <c r="U62" s="124">
        <f>'05_Daily_Orders'!L63</f>
        <v/>
      </c>
    </row>
    <row r="63">
      <c r="A63" s="118">
        <f>'05_Daily_Orders'!B64</f>
        <v/>
      </c>
      <c r="B63" s="50" t="n">
        <v>0</v>
      </c>
      <c r="C63" s="50" t="n">
        <v>0</v>
      </c>
      <c r="D63" s="119" t="n"/>
      <c r="E63" s="119" t="n"/>
      <c r="F63" t="n">
        <v>0</v>
      </c>
      <c r="L63" s="120">
        <f>IF($E$1="n",0,(SUM(F65:K65)-B65))</f>
        <v/>
      </c>
      <c r="M63" s="121">
        <f>_xludf.IFNA(_xlfn.XLOOKUP(A65,'00_SKU_Master'!$B$2:$B$378,'00_SKU_Master'!$C$2:$C$378,0),"")</f>
        <v/>
      </c>
      <c r="N63" s="122">
        <f>_xludf.IFNA(_xlfn.XLOOKUP(A65,'00_SKU_Master'!$B$2:$B$378,'00_SKU_Master'!$F$2:$F$378,0)*F65/_xlfn.XLOOKUP(A65,'00_SKU_Master'!$B$2:$B$378,'00_SKU_Master'!$O:$O,0),"")</f>
        <v/>
      </c>
      <c r="O63" s="122">
        <f>_xludf.IFNA(_xlfn.XLOOKUP($A65,'00_SKU_Master'!$B$2:$B$378,'00_SKU_Master'!$F$2:$F$378,0)*G65/_xlfn.XLOOKUP($A65,'00_SKU_Master'!$B$2:$B$378,'00_SKU_Master'!$O:$O,0),"")</f>
        <v/>
      </c>
      <c r="P63" s="122">
        <f>_xludf.IFNA(_xlfn.XLOOKUP($A65,'00_SKU_Master'!$B$2:$B$378,'00_SKU_Master'!$F$2:$F$378,0)*H65/_xlfn.XLOOKUP($A65,'00_SKU_Master'!$B$2:$B$378,'00_SKU_Master'!$O:$O,0),"")</f>
        <v/>
      </c>
      <c r="Q63" s="122">
        <f>_xludf.IFNA(_xlfn.XLOOKUP($A65,'00_SKU_Master'!$B$2:$B$378,'00_SKU_Master'!$F$2:$F$378,0)*I65/_xlfn.XLOOKUP($A65,'00_SKU_Master'!$B$2:$B$378,'00_SKU_Master'!$O:$O,0),"")</f>
        <v/>
      </c>
      <c r="R63" s="122">
        <f>_xludf.IFNA(_xlfn.XLOOKUP($A65,'00_SKU_Master'!$B$2:$B$378,'00_SKU_Master'!$F$2:$F$378,0)*J65/_xlfn.XLOOKUP($A65,'00_SKU_Master'!$B$2:$B$378,'00_SKU_Master'!$O:$O,0),"")</f>
        <v/>
      </c>
      <c r="S63" s="122">
        <f>_xludf.IFNA(_xlfn.XLOOKUP($A65,'00_SKU_Master'!$B$2:$B$378,'00_SKU_Master'!$F$2:$F$378,0)*K65/_xlfn.XLOOKUP($A65,'00_SKU_Master'!$B$2:$B$378,'00_SKU_Master'!$O:$O,0),"")</f>
        <v/>
      </c>
      <c r="T63" s="123">
        <f>SUM(N65:S65)</f>
        <v/>
      </c>
      <c r="U63" s="124">
        <f>'05_Daily_Orders'!L64</f>
        <v/>
      </c>
    </row>
    <row r="64">
      <c r="A64" s="118">
        <f>'05_Daily_Orders'!B65</f>
        <v/>
      </c>
      <c r="B64" s="50" t="n">
        <v>0</v>
      </c>
      <c r="C64" s="50" t="n">
        <v>0</v>
      </c>
      <c r="D64" s="119" t="n"/>
      <c r="E64" s="119" t="n"/>
      <c r="F64" t="n">
        <v>0</v>
      </c>
      <c r="L64" s="120">
        <f>IF($E$1="n",0,(SUM(F66:K66)-B66))</f>
        <v/>
      </c>
      <c r="M64" s="121">
        <f>_xludf.IFNA(_xlfn.XLOOKUP(A66,'00_SKU_Master'!$B$2:$B$378,'00_SKU_Master'!$C$2:$C$378,0),"")</f>
        <v/>
      </c>
      <c r="N64" s="122">
        <f>_xludf.IFNA(_xlfn.XLOOKUP(A66,'00_SKU_Master'!$B$2:$B$378,'00_SKU_Master'!$F$2:$F$378,0)*F66/_xlfn.XLOOKUP(A66,'00_SKU_Master'!$B$2:$B$378,'00_SKU_Master'!$O:$O,0),"")</f>
        <v/>
      </c>
      <c r="O64" s="122">
        <f>_xludf.IFNA(_xlfn.XLOOKUP($A66,'00_SKU_Master'!$B$2:$B$378,'00_SKU_Master'!$F$2:$F$378,0)*G66/_xlfn.XLOOKUP($A66,'00_SKU_Master'!$B$2:$B$378,'00_SKU_Master'!$O:$O,0),"")</f>
        <v/>
      </c>
      <c r="P64" s="122">
        <f>_xludf.IFNA(_xlfn.XLOOKUP($A66,'00_SKU_Master'!$B$2:$B$378,'00_SKU_Master'!$F$2:$F$378,0)*H66/_xlfn.XLOOKUP($A66,'00_SKU_Master'!$B$2:$B$378,'00_SKU_Master'!$O:$O,0),"")</f>
        <v/>
      </c>
      <c r="Q64" s="122">
        <f>_xludf.IFNA(_xlfn.XLOOKUP($A66,'00_SKU_Master'!$B$2:$B$378,'00_SKU_Master'!$F$2:$F$378,0)*I66/_xlfn.XLOOKUP($A66,'00_SKU_Master'!$B$2:$B$378,'00_SKU_Master'!$O:$O,0),"")</f>
        <v/>
      </c>
      <c r="R64" s="122">
        <f>_xludf.IFNA(_xlfn.XLOOKUP($A66,'00_SKU_Master'!$B$2:$B$378,'00_SKU_Master'!$F$2:$F$378,0)*J66/_xlfn.XLOOKUP($A66,'00_SKU_Master'!$B$2:$B$378,'00_SKU_Master'!$O:$O,0),"")</f>
        <v/>
      </c>
      <c r="S64" s="122">
        <f>_xludf.IFNA(_xlfn.XLOOKUP($A66,'00_SKU_Master'!$B$2:$B$378,'00_SKU_Master'!$F$2:$F$378,0)*K66/_xlfn.XLOOKUP($A66,'00_SKU_Master'!$B$2:$B$378,'00_SKU_Master'!$O:$O,0),"")</f>
        <v/>
      </c>
      <c r="T64" s="123">
        <f>SUM(N66:S66)</f>
        <v/>
      </c>
      <c r="U64" s="124">
        <f>'05_Daily_Orders'!L65</f>
        <v/>
      </c>
    </row>
    <row r="65">
      <c r="A65" s="118">
        <f>'05_Daily_Orders'!B66</f>
        <v/>
      </c>
      <c r="B65" s="50" t="n">
        <v>0</v>
      </c>
      <c r="C65" s="50" t="n">
        <v>0</v>
      </c>
      <c r="D65" s="119" t="n"/>
      <c r="E65" s="119" t="n"/>
      <c r="F65" t="n">
        <v>0</v>
      </c>
      <c r="L65" s="120">
        <f>IF($E$1="n",0,(SUM(F67:K67)-B67))</f>
        <v/>
      </c>
      <c r="M65" s="121">
        <f>_xludf.IFNA(_xlfn.XLOOKUP(A67,'00_SKU_Master'!$B$2:$B$378,'00_SKU_Master'!$C$2:$C$378,0),"")</f>
        <v/>
      </c>
      <c r="N65" s="122">
        <f>_xludf.IFNA(_xlfn.XLOOKUP(A67,'00_SKU_Master'!$B$2:$B$378,'00_SKU_Master'!$F$2:$F$378,0)*F67/_xlfn.XLOOKUP(A67,'00_SKU_Master'!$B$2:$B$378,'00_SKU_Master'!$O:$O,0),"")</f>
        <v/>
      </c>
      <c r="O65" s="122">
        <f>_xludf.IFNA(_xlfn.XLOOKUP($A67,'00_SKU_Master'!$B$2:$B$378,'00_SKU_Master'!$F$2:$F$378,0)*G67/_xlfn.XLOOKUP($A67,'00_SKU_Master'!$B$2:$B$378,'00_SKU_Master'!$O:$O,0),"")</f>
        <v/>
      </c>
      <c r="P65" s="122">
        <f>_xludf.IFNA(_xlfn.XLOOKUP($A67,'00_SKU_Master'!$B$2:$B$378,'00_SKU_Master'!$F$2:$F$378,0)*H67/_xlfn.XLOOKUP($A67,'00_SKU_Master'!$B$2:$B$378,'00_SKU_Master'!$O:$O,0),"")</f>
        <v/>
      </c>
      <c r="Q65" s="122">
        <f>_xludf.IFNA(_xlfn.XLOOKUP($A67,'00_SKU_Master'!$B$2:$B$378,'00_SKU_Master'!$F$2:$F$378,0)*I67/_xlfn.XLOOKUP($A67,'00_SKU_Master'!$B$2:$B$378,'00_SKU_Master'!$O:$O,0),"")</f>
        <v/>
      </c>
      <c r="R65" s="122">
        <f>_xludf.IFNA(_xlfn.XLOOKUP($A67,'00_SKU_Master'!$B$2:$B$378,'00_SKU_Master'!$F$2:$F$378,0)*J67/_xlfn.XLOOKUP($A67,'00_SKU_Master'!$B$2:$B$378,'00_SKU_Master'!$O:$O,0),"")</f>
        <v/>
      </c>
      <c r="S65" s="122">
        <f>_xludf.IFNA(_xlfn.XLOOKUP($A67,'00_SKU_Master'!$B$2:$B$378,'00_SKU_Master'!$F$2:$F$378,0)*K67/_xlfn.XLOOKUP($A67,'00_SKU_Master'!$B$2:$B$378,'00_SKU_Master'!$O:$O,0),"")</f>
        <v/>
      </c>
      <c r="T65" s="123">
        <f>SUM(N67:S67)</f>
        <v/>
      </c>
      <c r="U65" s="124">
        <f>'05_Daily_Orders'!L66</f>
        <v/>
      </c>
    </row>
    <row r="66">
      <c r="A66" s="118">
        <f>'05_Daily_Orders'!B67</f>
        <v/>
      </c>
      <c r="B66" s="50" t="n">
        <v>0</v>
      </c>
      <c r="C66" s="50" t="n">
        <v>0</v>
      </c>
      <c r="D66" s="119" t="n"/>
      <c r="E66" s="119" t="n"/>
      <c r="F66" t="n">
        <v>0</v>
      </c>
      <c r="L66" s="120">
        <f>IF($E$1="n",0,(SUM(F68:K68)-B68))</f>
        <v/>
      </c>
      <c r="M66" s="121">
        <f>_xludf.IFNA(_xlfn.XLOOKUP(A68,'00_SKU_Master'!$B$2:$B$378,'00_SKU_Master'!$C$2:$C$378,0),"")</f>
        <v/>
      </c>
      <c r="N66" s="122">
        <f>_xludf.IFNA(_xlfn.XLOOKUP(A68,'00_SKU_Master'!$B$2:$B$378,'00_SKU_Master'!$F$2:$F$378,0)*F68/_xlfn.XLOOKUP(A68,'00_SKU_Master'!$B$2:$B$378,'00_SKU_Master'!$O:$O,0),"")</f>
        <v/>
      </c>
      <c r="O66" s="122">
        <f>_xludf.IFNA(_xlfn.XLOOKUP($A68,'00_SKU_Master'!$B$2:$B$378,'00_SKU_Master'!$F$2:$F$378,0)*G68/_xlfn.XLOOKUP($A68,'00_SKU_Master'!$B$2:$B$378,'00_SKU_Master'!$O:$O,0),"")</f>
        <v/>
      </c>
      <c r="P66" s="122">
        <f>_xludf.IFNA(_xlfn.XLOOKUP($A68,'00_SKU_Master'!$B$2:$B$378,'00_SKU_Master'!$F$2:$F$378,0)*H68/_xlfn.XLOOKUP($A68,'00_SKU_Master'!$B$2:$B$378,'00_SKU_Master'!$O:$O,0),"")</f>
        <v/>
      </c>
      <c r="Q66" s="122">
        <f>_xludf.IFNA(_xlfn.XLOOKUP($A68,'00_SKU_Master'!$B$2:$B$378,'00_SKU_Master'!$F$2:$F$378,0)*I68/_xlfn.XLOOKUP($A68,'00_SKU_Master'!$B$2:$B$378,'00_SKU_Master'!$O:$O,0),"")</f>
        <v/>
      </c>
      <c r="R66" s="122">
        <f>_xludf.IFNA(_xlfn.XLOOKUP($A68,'00_SKU_Master'!$B$2:$B$378,'00_SKU_Master'!$F$2:$F$378,0)*J68/_xlfn.XLOOKUP($A68,'00_SKU_Master'!$B$2:$B$378,'00_SKU_Master'!$O:$O,0),"")</f>
        <v/>
      </c>
      <c r="S66" s="122">
        <f>_xludf.IFNA(_xlfn.XLOOKUP($A68,'00_SKU_Master'!$B$2:$B$378,'00_SKU_Master'!$F$2:$F$378,0)*K68/_xlfn.XLOOKUP($A68,'00_SKU_Master'!$B$2:$B$378,'00_SKU_Master'!$O:$O,0),"")</f>
        <v/>
      </c>
      <c r="T66" s="123">
        <f>SUM(N68:S68)</f>
        <v/>
      </c>
      <c r="U66" s="124">
        <f>'05_Daily_Orders'!L67</f>
        <v/>
      </c>
    </row>
    <row r="67">
      <c r="A67" s="118">
        <f>'05_Daily_Orders'!B68</f>
        <v/>
      </c>
      <c r="B67" s="50" t="n">
        <v>0</v>
      </c>
      <c r="C67" s="50" t="n">
        <v>0</v>
      </c>
      <c r="D67" s="119" t="n"/>
      <c r="E67" s="119" t="n"/>
      <c r="F67" t="n">
        <v>0</v>
      </c>
      <c r="L67" s="120">
        <f>IF($E$1="n",0,(SUM(F69:K69)-B69))</f>
        <v/>
      </c>
      <c r="M67" s="121">
        <f>_xludf.IFNA(_xlfn.XLOOKUP(A69,'00_SKU_Master'!$B$2:$B$378,'00_SKU_Master'!$C$2:$C$378,0),"")</f>
        <v/>
      </c>
      <c r="N67" s="122">
        <f>_xludf.IFNA(_xlfn.XLOOKUP(A69,'00_SKU_Master'!$B$2:$B$378,'00_SKU_Master'!$F$2:$F$378,0)*F69/_xlfn.XLOOKUP(A69,'00_SKU_Master'!$B$2:$B$378,'00_SKU_Master'!$O:$O,0),"")</f>
        <v/>
      </c>
      <c r="O67" s="122">
        <f>_xludf.IFNA(_xlfn.XLOOKUP($A69,'00_SKU_Master'!$B$2:$B$378,'00_SKU_Master'!$F$2:$F$378,0)*G69/_xlfn.XLOOKUP($A69,'00_SKU_Master'!$B$2:$B$378,'00_SKU_Master'!$O:$O,0),"")</f>
        <v/>
      </c>
      <c r="P67" s="122">
        <f>_xludf.IFNA(_xlfn.XLOOKUP($A69,'00_SKU_Master'!$B$2:$B$378,'00_SKU_Master'!$F$2:$F$378,0)*H69/_xlfn.XLOOKUP($A69,'00_SKU_Master'!$B$2:$B$378,'00_SKU_Master'!$O:$O,0),"")</f>
        <v/>
      </c>
      <c r="Q67" s="122">
        <f>_xludf.IFNA(_xlfn.XLOOKUP($A69,'00_SKU_Master'!$B$2:$B$378,'00_SKU_Master'!$F$2:$F$378,0)*I69/_xlfn.XLOOKUP($A69,'00_SKU_Master'!$B$2:$B$378,'00_SKU_Master'!$O:$O,0),"")</f>
        <v/>
      </c>
      <c r="R67" s="122">
        <f>_xludf.IFNA(_xlfn.XLOOKUP($A69,'00_SKU_Master'!$B$2:$B$378,'00_SKU_Master'!$F$2:$F$378,0)*J69/_xlfn.XLOOKUP($A69,'00_SKU_Master'!$B$2:$B$378,'00_SKU_Master'!$O:$O,0),"")</f>
        <v/>
      </c>
      <c r="S67" s="122">
        <f>_xludf.IFNA(_xlfn.XLOOKUP($A69,'00_SKU_Master'!$B$2:$B$378,'00_SKU_Master'!$F$2:$F$378,0)*K69/_xlfn.XLOOKUP($A69,'00_SKU_Master'!$B$2:$B$378,'00_SKU_Master'!$O:$O,0),"")</f>
        <v/>
      </c>
      <c r="T67" s="123">
        <f>SUM(N69:S69)</f>
        <v/>
      </c>
      <c r="U67" s="124">
        <f>'05_Daily_Orders'!L68</f>
        <v/>
      </c>
    </row>
    <row r="68">
      <c r="A68" s="118">
        <f>'05_Daily_Orders'!B69</f>
        <v/>
      </c>
      <c r="B68" s="50" t="n">
        <v>0</v>
      </c>
      <c r="C68" s="50" t="n">
        <v>0</v>
      </c>
      <c r="D68" s="119" t="n"/>
      <c r="E68" s="119" t="n"/>
      <c r="F68" t="n">
        <v>0</v>
      </c>
      <c r="L68" s="120">
        <f>IF($E$1="n",0,(SUM(F70:K70)-B70))</f>
        <v/>
      </c>
      <c r="M68" s="121">
        <f>_xludf.IFNA(_xlfn.XLOOKUP(A70,'00_SKU_Master'!$B$2:$B$378,'00_SKU_Master'!$C$2:$C$378,0),"")</f>
        <v/>
      </c>
      <c r="N68" s="122">
        <f>_xludf.IFNA(_xlfn.XLOOKUP(A70,'00_SKU_Master'!$B$2:$B$378,'00_SKU_Master'!$F$2:$F$378,0)*F70/_xlfn.XLOOKUP(A70,'00_SKU_Master'!$B$2:$B$378,'00_SKU_Master'!$O:$O,0),"")</f>
        <v/>
      </c>
      <c r="O68" s="122">
        <f>_xludf.IFNA(_xlfn.XLOOKUP($A70,'00_SKU_Master'!$B$2:$B$378,'00_SKU_Master'!$F$2:$F$378,0)*G70/_xlfn.XLOOKUP($A70,'00_SKU_Master'!$B$2:$B$378,'00_SKU_Master'!$O:$O,0),"")</f>
        <v/>
      </c>
      <c r="P68" s="122">
        <f>_xludf.IFNA(_xlfn.XLOOKUP($A70,'00_SKU_Master'!$B$2:$B$378,'00_SKU_Master'!$F$2:$F$378,0)*H70/_xlfn.XLOOKUP($A70,'00_SKU_Master'!$B$2:$B$378,'00_SKU_Master'!$O:$O,0),"")</f>
        <v/>
      </c>
      <c r="Q68" s="122">
        <f>_xludf.IFNA(_xlfn.XLOOKUP($A70,'00_SKU_Master'!$B$2:$B$378,'00_SKU_Master'!$F$2:$F$378,0)*I70/_xlfn.XLOOKUP($A70,'00_SKU_Master'!$B$2:$B$378,'00_SKU_Master'!$O:$O,0),"")</f>
        <v/>
      </c>
      <c r="R68" s="122">
        <f>_xludf.IFNA(_xlfn.XLOOKUP($A70,'00_SKU_Master'!$B$2:$B$378,'00_SKU_Master'!$F$2:$F$378,0)*J70/_xlfn.XLOOKUP($A70,'00_SKU_Master'!$B$2:$B$378,'00_SKU_Master'!$O:$O,0),"")</f>
        <v/>
      </c>
      <c r="S68" s="122">
        <f>_xludf.IFNA(_xlfn.XLOOKUP($A70,'00_SKU_Master'!$B$2:$B$378,'00_SKU_Master'!$F$2:$F$378,0)*K70/_xlfn.XLOOKUP($A70,'00_SKU_Master'!$B$2:$B$378,'00_SKU_Master'!$O:$O,0),"")</f>
        <v/>
      </c>
      <c r="T68" s="123">
        <f>SUM(N70:S70)</f>
        <v/>
      </c>
      <c r="U68" s="124">
        <f>'05_Daily_Orders'!L69</f>
        <v/>
      </c>
    </row>
    <row r="69">
      <c r="A69" s="118">
        <f>'05_Daily_Orders'!B70</f>
        <v/>
      </c>
      <c r="B69" s="50" t="n">
        <v>0</v>
      </c>
      <c r="C69" s="50" t="n">
        <v>0</v>
      </c>
      <c r="D69" s="119" t="n"/>
      <c r="E69" s="119" t="n"/>
      <c r="F69" t="n">
        <v>0</v>
      </c>
      <c r="L69" s="120">
        <f>IF($E$1="n",0,(SUM(F71:K71)-B71))</f>
        <v/>
      </c>
      <c r="M69" s="121">
        <f>_xludf.IFNA(_xlfn.XLOOKUP(A71,'00_SKU_Master'!$B$2:$B$378,'00_SKU_Master'!$C$2:$C$378,0),"")</f>
        <v/>
      </c>
      <c r="N69" s="122">
        <f>_xludf.IFNA(_xlfn.XLOOKUP(A71,'00_SKU_Master'!$B$2:$B$378,'00_SKU_Master'!$F$2:$F$378,0)*F71/_xlfn.XLOOKUP(A71,'00_SKU_Master'!$B$2:$B$378,'00_SKU_Master'!$O:$O,0),"")</f>
        <v/>
      </c>
      <c r="O69" s="122">
        <f>_xludf.IFNA(_xlfn.XLOOKUP($A71,'00_SKU_Master'!$B$2:$B$378,'00_SKU_Master'!$F$2:$F$378,0)*G71/_xlfn.XLOOKUP($A71,'00_SKU_Master'!$B$2:$B$378,'00_SKU_Master'!$O:$O,0),"")</f>
        <v/>
      </c>
      <c r="P69" s="122">
        <f>_xludf.IFNA(_xlfn.XLOOKUP($A71,'00_SKU_Master'!$B$2:$B$378,'00_SKU_Master'!$F$2:$F$378,0)*H71/_xlfn.XLOOKUP($A71,'00_SKU_Master'!$B$2:$B$378,'00_SKU_Master'!$O:$O,0),"")</f>
        <v/>
      </c>
      <c r="Q69" s="122">
        <f>_xludf.IFNA(_xlfn.XLOOKUP($A71,'00_SKU_Master'!$B$2:$B$378,'00_SKU_Master'!$F$2:$F$378,0)*I71/_xlfn.XLOOKUP($A71,'00_SKU_Master'!$B$2:$B$378,'00_SKU_Master'!$O:$O,0),"")</f>
        <v/>
      </c>
      <c r="R69" s="122">
        <f>_xludf.IFNA(_xlfn.XLOOKUP($A71,'00_SKU_Master'!$B$2:$B$378,'00_SKU_Master'!$F$2:$F$378,0)*J71/_xlfn.XLOOKUP($A71,'00_SKU_Master'!$B$2:$B$378,'00_SKU_Master'!$O:$O,0),"")</f>
        <v/>
      </c>
      <c r="S69" s="122">
        <f>_xludf.IFNA(_xlfn.XLOOKUP($A71,'00_SKU_Master'!$B$2:$B$378,'00_SKU_Master'!$F$2:$F$378,0)*K71/_xlfn.XLOOKUP($A71,'00_SKU_Master'!$B$2:$B$378,'00_SKU_Master'!$O:$O,0),"")</f>
        <v/>
      </c>
      <c r="T69" s="123">
        <f>SUM(N71:S71)</f>
        <v/>
      </c>
      <c r="U69" s="124">
        <f>'05_Daily_Orders'!L70</f>
        <v/>
      </c>
    </row>
    <row r="70">
      <c r="A70" s="118">
        <f>'05_Daily_Orders'!B71</f>
        <v/>
      </c>
      <c r="B70" s="50" t="n">
        <v>0</v>
      </c>
      <c r="C70" s="50" t="n">
        <v>0</v>
      </c>
      <c r="D70" s="119" t="n"/>
      <c r="E70" s="119" t="n"/>
      <c r="F70" t="n">
        <v>0</v>
      </c>
      <c r="L70" s="120">
        <f>IF($E$1="n",0,(SUM(F72:K72)-B72))</f>
        <v/>
      </c>
      <c r="M70" s="121">
        <f>_xludf.IFNA(_xlfn.XLOOKUP(A72,'00_SKU_Master'!$B$2:$B$378,'00_SKU_Master'!$C$2:$C$378,0),"")</f>
        <v/>
      </c>
      <c r="N70" s="122">
        <f>_xludf.IFNA(_xlfn.XLOOKUP(A72,'00_SKU_Master'!$B$2:$B$378,'00_SKU_Master'!$F$2:$F$378,0)*F72/_xlfn.XLOOKUP(A72,'00_SKU_Master'!$B$2:$B$378,'00_SKU_Master'!$O:$O,0),"")</f>
        <v/>
      </c>
      <c r="O70" s="122">
        <f>_xludf.IFNA(_xlfn.XLOOKUP($A72,'00_SKU_Master'!$B$2:$B$378,'00_SKU_Master'!$F$2:$F$378,0)*G72/_xlfn.XLOOKUP($A72,'00_SKU_Master'!$B$2:$B$378,'00_SKU_Master'!$O:$O,0),"")</f>
        <v/>
      </c>
      <c r="P70" s="122">
        <f>_xludf.IFNA(_xlfn.XLOOKUP($A72,'00_SKU_Master'!$B$2:$B$378,'00_SKU_Master'!$F$2:$F$378,0)*H72/_xlfn.XLOOKUP($A72,'00_SKU_Master'!$B$2:$B$378,'00_SKU_Master'!$O:$O,0),"")</f>
        <v/>
      </c>
      <c r="Q70" s="122">
        <f>_xludf.IFNA(_xlfn.XLOOKUP($A72,'00_SKU_Master'!$B$2:$B$378,'00_SKU_Master'!$F$2:$F$378,0)*I72/_xlfn.XLOOKUP($A72,'00_SKU_Master'!$B$2:$B$378,'00_SKU_Master'!$O:$O,0),"")</f>
        <v/>
      </c>
      <c r="R70" s="122">
        <f>_xludf.IFNA(_xlfn.XLOOKUP($A72,'00_SKU_Master'!$B$2:$B$378,'00_SKU_Master'!$F$2:$F$378,0)*J72/_xlfn.XLOOKUP($A72,'00_SKU_Master'!$B$2:$B$378,'00_SKU_Master'!$O:$O,0),"")</f>
        <v/>
      </c>
      <c r="S70" s="122">
        <f>_xludf.IFNA(_xlfn.XLOOKUP($A72,'00_SKU_Master'!$B$2:$B$378,'00_SKU_Master'!$F$2:$F$378,0)*K72/_xlfn.XLOOKUP($A72,'00_SKU_Master'!$B$2:$B$378,'00_SKU_Master'!$O:$O,0),"")</f>
        <v/>
      </c>
      <c r="T70" s="123">
        <f>SUM(N72:S72)</f>
        <v/>
      </c>
      <c r="U70" s="124">
        <f>'05_Daily_Orders'!L71</f>
        <v/>
      </c>
    </row>
    <row r="71">
      <c r="A71" s="118">
        <f>'05_Daily_Orders'!B72</f>
        <v/>
      </c>
      <c r="B71" s="50" t="n">
        <v>0</v>
      </c>
      <c r="C71" s="50" t="n">
        <v>0</v>
      </c>
      <c r="D71" s="119" t="n"/>
      <c r="E71" s="119" t="n"/>
      <c r="F71" t="n">
        <v>0</v>
      </c>
      <c r="L71" s="120">
        <f>IF($E$1="n",0,(SUM(F73:K73)-B73))</f>
        <v/>
      </c>
      <c r="M71" s="121">
        <f>_xludf.IFNA(_xlfn.XLOOKUP(A73,'00_SKU_Master'!$B$2:$B$378,'00_SKU_Master'!$C$2:$C$378,0),"")</f>
        <v/>
      </c>
      <c r="N71" s="122">
        <f>_xludf.IFNA(_xlfn.XLOOKUP(A73,'00_SKU_Master'!$B$2:$B$378,'00_SKU_Master'!$F$2:$F$378,0)*F73/_xlfn.XLOOKUP(A73,'00_SKU_Master'!$B$2:$B$378,'00_SKU_Master'!$O:$O,0),"")</f>
        <v/>
      </c>
      <c r="O71" s="122">
        <f>_xludf.IFNA(_xlfn.XLOOKUP($A73,'00_SKU_Master'!$B$2:$B$378,'00_SKU_Master'!$F$2:$F$378,0)*G73/_xlfn.XLOOKUP($A73,'00_SKU_Master'!$B$2:$B$378,'00_SKU_Master'!$O:$O,0),"")</f>
        <v/>
      </c>
      <c r="P71" s="122">
        <f>_xludf.IFNA(_xlfn.XLOOKUP($A73,'00_SKU_Master'!$B$2:$B$378,'00_SKU_Master'!$F$2:$F$378,0)*H73/_xlfn.XLOOKUP($A73,'00_SKU_Master'!$B$2:$B$378,'00_SKU_Master'!$O:$O,0),"")</f>
        <v/>
      </c>
      <c r="Q71" s="122">
        <f>_xludf.IFNA(_xlfn.XLOOKUP($A73,'00_SKU_Master'!$B$2:$B$378,'00_SKU_Master'!$F$2:$F$378,0)*I73/_xlfn.XLOOKUP($A73,'00_SKU_Master'!$B$2:$B$378,'00_SKU_Master'!$O:$O,0),"")</f>
        <v/>
      </c>
      <c r="R71" s="122">
        <f>_xludf.IFNA(_xlfn.XLOOKUP($A73,'00_SKU_Master'!$B$2:$B$378,'00_SKU_Master'!$F$2:$F$378,0)*J73/_xlfn.XLOOKUP($A73,'00_SKU_Master'!$B$2:$B$378,'00_SKU_Master'!$O:$O,0),"")</f>
        <v/>
      </c>
      <c r="S71" s="122">
        <f>_xludf.IFNA(_xlfn.XLOOKUP($A73,'00_SKU_Master'!$B$2:$B$378,'00_SKU_Master'!$F$2:$F$378,0)*K73/_xlfn.XLOOKUP($A73,'00_SKU_Master'!$B$2:$B$378,'00_SKU_Master'!$O:$O,0),"")</f>
        <v/>
      </c>
      <c r="T71" s="123">
        <f>SUM(N73:S73)</f>
        <v/>
      </c>
      <c r="U71" s="124">
        <f>'05_Daily_Orders'!L72</f>
        <v/>
      </c>
    </row>
    <row r="72">
      <c r="A72" s="118">
        <f>'05_Daily_Orders'!B73</f>
        <v/>
      </c>
      <c r="B72" s="50" t="n">
        <v>12</v>
      </c>
      <c r="C72" s="50" t="n">
        <v>0</v>
      </c>
      <c r="D72" s="119" t="n"/>
      <c r="E72" s="119" t="n"/>
      <c r="F72" t="n">
        <v>68</v>
      </c>
      <c r="L72" s="120">
        <f>IF($E$1="n",0,(SUM(F74:K74)-B74))</f>
        <v/>
      </c>
      <c r="M72" s="121">
        <f>_xludf.IFNA(_xlfn.XLOOKUP(A74,'00_SKU_Master'!$B$2:$B$378,'00_SKU_Master'!$C$2:$C$378,0),"")</f>
        <v/>
      </c>
      <c r="N72" s="122">
        <f>_xludf.IFNA(_xlfn.XLOOKUP(A74,'00_SKU_Master'!$B$2:$B$378,'00_SKU_Master'!$F$2:$F$378,0)*F74/_xlfn.XLOOKUP(A74,'00_SKU_Master'!$B$2:$B$378,'00_SKU_Master'!$O:$O,0),"")</f>
        <v/>
      </c>
      <c r="O72" s="122">
        <f>_xludf.IFNA(_xlfn.XLOOKUP($A74,'00_SKU_Master'!$B$2:$B$378,'00_SKU_Master'!$F$2:$F$378,0)*G74/_xlfn.XLOOKUP($A74,'00_SKU_Master'!$B$2:$B$378,'00_SKU_Master'!$O:$O,0),"")</f>
        <v/>
      </c>
      <c r="P72" s="122">
        <f>_xludf.IFNA(_xlfn.XLOOKUP($A74,'00_SKU_Master'!$B$2:$B$378,'00_SKU_Master'!$F$2:$F$378,0)*H74/_xlfn.XLOOKUP($A74,'00_SKU_Master'!$B$2:$B$378,'00_SKU_Master'!$O:$O,0),"")</f>
        <v/>
      </c>
      <c r="Q72" s="122">
        <f>_xludf.IFNA(_xlfn.XLOOKUP($A74,'00_SKU_Master'!$B$2:$B$378,'00_SKU_Master'!$F$2:$F$378,0)*I74/_xlfn.XLOOKUP($A74,'00_SKU_Master'!$B$2:$B$378,'00_SKU_Master'!$O:$O,0),"")</f>
        <v/>
      </c>
      <c r="R72" s="122">
        <f>_xludf.IFNA(_xlfn.XLOOKUP($A74,'00_SKU_Master'!$B$2:$B$378,'00_SKU_Master'!$F$2:$F$378,0)*J74/_xlfn.XLOOKUP($A74,'00_SKU_Master'!$B$2:$B$378,'00_SKU_Master'!$O:$O,0),"")</f>
        <v/>
      </c>
      <c r="S72" s="122">
        <f>_xludf.IFNA(_xlfn.XLOOKUP($A74,'00_SKU_Master'!$B$2:$B$378,'00_SKU_Master'!$F$2:$F$378,0)*K74/_xlfn.XLOOKUP($A74,'00_SKU_Master'!$B$2:$B$378,'00_SKU_Master'!$O:$O,0),"")</f>
        <v/>
      </c>
      <c r="T72" s="123">
        <f>SUM(N74:S74)</f>
        <v/>
      </c>
      <c r="U72" s="124">
        <f>'05_Daily_Orders'!L73</f>
        <v/>
      </c>
    </row>
    <row r="73">
      <c r="A73" s="118">
        <f>'05_Daily_Orders'!B74</f>
        <v/>
      </c>
      <c r="B73" s="50" t="n">
        <v>0</v>
      </c>
      <c r="C73" s="50" t="n">
        <v>0</v>
      </c>
      <c r="D73" s="119" t="n"/>
      <c r="E73" s="119" t="n"/>
      <c r="F73" t="n">
        <v>0</v>
      </c>
      <c r="L73" s="120">
        <f>IF($E$1="n",0,(SUM(F75:K75)-B75))</f>
        <v/>
      </c>
      <c r="M73" s="121">
        <f>_xludf.IFNA(_xlfn.XLOOKUP(A75,'00_SKU_Master'!$B$2:$B$378,'00_SKU_Master'!$C$2:$C$378,0),"")</f>
        <v/>
      </c>
      <c r="N73" s="122">
        <f>_xludf.IFNA(_xlfn.XLOOKUP(A75,'00_SKU_Master'!$B$2:$B$378,'00_SKU_Master'!$F$2:$F$378,0)*F75/_xlfn.XLOOKUP(A75,'00_SKU_Master'!$B$2:$B$378,'00_SKU_Master'!$O:$O,0),"")</f>
        <v/>
      </c>
      <c r="O73" s="122">
        <f>_xludf.IFNA(_xlfn.XLOOKUP($A75,'00_SKU_Master'!$B$2:$B$378,'00_SKU_Master'!$F$2:$F$378,0)*G75/_xlfn.XLOOKUP($A75,'00_SKU_Master'!$B$2:$B$378,'00_SKU_Master'!$O:$O,0),"")</f>
        <v/>
      </c>
      <c r="P73" s="122">
        <f>_xludf.IFNA(_xlfn.XLOOKUP($A75,'00_SKU_Master'!$B$2:$B$378,'00_SKU_Master'!$F$2:$F$378,0)*H75/_xlfn.XLOOKUP($A75,'00_SKU_Master'!$B$2:$B$378,'00_SKU_Master'!$O:$O,0),"")</f>
        <v/>
      </c>
      <c r="Q73" s="122">
        <f>_xludf.IFNA(_xlfn.XLOOKUP($A75,'00_SKU_Master'!$B$2:$B$378,'00_SKU_Master'!$F$2:$F$378,0)*I75/_xlfn.XLOOKUP($A75,'00_SKU_Master'!$B$2:$B$378,'00_SKU_Master'!$O:$O,0),"")</f>
        <v/>
      </c>
      <c r="R73" s="122">
        <f>_xludf.IFNA(_xlfn.XLOOKUP($A75,'00_SKU_Master'!$B$2:$B$378,'00_SKU_Master'!$F$2:$F$378,0)*J75/_xlfn.XLOOKUP($A75,'00_SKU_Master'!$B$2:$B$378,'00_SKU_Master'!$O:$O,0),"")</f>
        <v/>
      </c>
      <c r="S73" s="122">
        <f>_xludf.IFNA(_xlfn.XLOOKUP($A75,'00_SKU_Master'!$B$2:$B$378,'00_SKU_Master'!$F$2:$F$378,0)*K75/_xlfn.XLOOKUP($A75,'00_SKU_Master'!$B$2:$B$378,'00_SKU_Master'!$O:$O,0),"")</f>
        <v/>
      </c>
      <c r="T73" s="123">
        <f>SUM(N75:S75)</f>
        <v/>
      </c>
      <c r="U73" s="124">
        <f>'05_Daily_Orders'!L74</f>
        <v/>
      </c>
    </row>
    <row r="74">
      <c r="A74" s="118">
        <f>'05_Daily_Orders'!B75</f>
        <v/>
      </c>
      <c r="B74" s="50" t="n">
        <v>9</v>
      </c>
      <c r="C74" s="50" t="n">
        <v>0</v>
      </c>
      <c r="D74" s="119" t="n"/>
      <c r="E74" s="119" t="n"/>
      <c r="F74" t="n">
        <v>82</v>
      </c>
      <c r="L74" s="120">
        <f>IF($E$1="n",0,(SUM(F76:K76)-B76))</f>
        <v/>
      </c>
      <c r="M74" s="121">
        <f>_xludf.IFNA(_xlfn.XLOOKUP(A76,'00_SKU_Master'!$B$2:$B$378,'00_SKU_Master'!$C$2:$C$378,0),"")</f>
        <v/>
      </c>
      <c r="N74" s="122">
        <f>_xludf.IFNA(_xlfn.XLOOKUP(A76,'00_SKU_Master'!$B$2:$B$378,'00_SKU_Master'!$F$2:$F$378,0)*F76/_xlfn.XLOOKUP(A76,'00_SKU_Master'!$B$2:$B$378,'00_SKU_Master'!$O:$O,0),"")</f>
        <v/>
      </c>
      <c r="O74" s="122">
        <f>_xludf.IFNA(_xlfn.XLOOKUP($A76,'00_SKU_Master'!$B$2:$B$378,'00_SKU_Master'!$F$2:$F$378,0)*G76/_xlfn.XLOOKUP($A76,'00_SKU_Master'!$B$2:$B$378,'00_SKU_Master'!$O:$O,0),"")</f>
        <v/>
      </c>
      <c r="P74" s="122">
        <f>_xludf.IFNA(_xlfn.XLOOKUP($A76,'00_SKU_Master'!$B$2:$B$378,'00_SKU_Master'!$F$2:$F$378,0)*H76/_xlfn.XLOOKUP($A76,'00_SKU_Master'!$B$2:$B$378,'00_SKU_Master'!$O:$O,0),"")</f>
        <v/>
      </c>
      <c r="Q74" s="122">
        <f>_xludf.IFNA(_xlfn.XLOOKUP($A76,'00_SKU_Master'!$B$2:$B$378,'00_SKU_Master'!$F$2:$F$378,0)*I76/_xlfn.XLOOKUP($A76,'00_SKU_Master'!$B$2:$B$378,'00_SKU_Master'!$O:$O,0),"")</f>
        <v/>
      </c>
      <c r="R74" s="122">
        <f>_xludf.IFNA(_xlfn.XLOOKUP($A76,'00_SKU_Master'!$B$2:$B$378,'00_SKU_Master'!$F$2:$F$378,0)*J76/_xlfn.XLOOKUP($A76,'00_SKU_Master'!$B$2:$B$378,'00_SKU_Master'!$O:$O,0),"")</f>
        <v/>
      </c>
      <c r="S74" s="122">
        <f>_xludf.IFNA(_xlfn.XLOOKUP($A76,'00_SKU_Master'!$B$2:$B$378,'00_SKU_Master'!$F$2:$F$378,0)*K76/_xlfn.XLOOKUP($A76,'00_SKU_Master'!$B$2:$B$378,'00_SKU_Master'!$O:$O,0),"")</f>
        <v/>
      </c>
      <c r="T74" s="123">
        <f>SUM(N76:S76)</f>
        <v/>
      </c>
      <c r="U74" s="124">
        <f>'05_Daily_Orders'!L75</f>
        <v/>
      </c>
    </row>
    <row r="75">
      <c r="A75" s="118">
        <f>'05_Daily_Orders'!B76</f>
        <v/>
      </c>
      <c r="B75" s="50" t="n">
        <v>0</v>
      </c>
      <c r="C75" s="50" t="n">
        <v>0</v>
      </c>
      <c r="D75" s="119" t="n"/>
      <c r="E75" s="119" t="n"/>
      <c r="F75" t="n">
        <v>0</v>
      </c>
      <c r="L75" s="120">
        <f>IF($E$1="n",0,(SUM(F77:K77)-B77))</f>
        <v/>
      </c>
      <c r="M75" s="121">
        <f>_xludf.IFNA(_xlfn.XLOOKUP(A77,'00_SKU_Master'!$B$2:$B$378,'00_SKU_Master'!$C$2:$C$378,0),"")</f>
        <v/>
      </c>
      <c r="N75" s="122">
        <f>_xludf.IFNA(_xlfn.XLOOKUP(A77,'00_SKU_Master'!$B$2:$B$378,'00_SKU_Master'!$F$2:$F$378,0)*F77/_xlfn.XLOOKUP(A77,'00_SKU_Master'!$B$2:$B$378,'00_SKU_Master'!$O:$O,0),"")</f>
        <v/>
      </c>
      <c r="O75" s="122">
        <f>_xludf.IFNA(_xlfn.XLOOKUP($A77,'00_SKU_Master'!$B$2:$B$378,'00_SKU_Master'!$F$2:$F$378,0)*G77/_xlfn.XLOOKUP($A77,'00_SKU_Master'!$B$2:$B$378,'00_SKU_Master'!$O:$O,0),"")</f>
        <v/>
      </c>
      <c r="P75" s="122">
        <f>_xludf.IFNA(_xlfn.XLOOKUP($A77,'00_SKU_Master'!$B$2:$B$378,'00_SKU_Master'!$F$2:$F$378,0)*H77/_xlfn.XLOOKUP($A77,'00_SKU_Master'!$B$2:$B$378,'00_SKU_Master'!$O:$O,0),"")</f>
        <v/>
      </c>
      <c r="Q75" s="122">
        <f>_xludf.IFNA(_xlfn.XLOOKUP($A77,'00_SKU_Master'!$B$2:$B$378,'00_SKU_Master'!$F$2:$F$378,0)*I77/_xlfn.XLOOKUP($A77,'00_SKU_Master'!$B$2:$B$378,'00_SKU_Master'!$O:$O,0),"")</f>
        <v/>
      </c>
      <c r="R75" s="122">
        <f>_xludf.IFNA(_xlfn.XLOOKUP($A77,'00_SKU_Master'!$B$2:$B$378,'00_SKU_Master'!$F$2:$F$378,0)*J77/_xlfn.XLOOKUP($A77,'00_SKU_Master'!$B$2:$B$378,'00_SKU_Master'!$O:$O,0),"")</f>
        <v/>
      </c>
      <c r="S75" s="122">
        <f>_xludf.IFNA(_xlfn.XLOOKUP($A77,'00_SKU_Master'!$B$2:$B$378,'00_SKU_Master'!$F$2:$F$378,0)*K77/_xlfn.XLOOKUP($A77,'00_SKU_Master'!$B$2:$B$378,'00_SKU_Master'!$O:$O,0),"")</f>
        <v/>
      </c>
      <c r="T75" s="123">
        <f>SUM(N77:S77)</f>
        <v/>
      </c>
      <c r="U75" s="124">
        <f>'05_Daily_Orders'!L76</f>
        <v/>
      </c>
    </row>
    <row r="76">
      <c r="A76" s="118">
        <f>'05_Daily_Orders'!B77</f>
        <v/>
      </c>
      <c r="B76" s="50" t="n">
        <v>18</v>
      </c>
      <c r="C76" s="50" t="n">
        <v>0</v>
      </c>
      <c r="D76" s="119" t="n"/>
      <c r="E76" s="119" t="n"/>
      <c r="F76" t="n">
        <v>56</v>
      </c>
      <c r="L76" s="120">
        <f>IF($E$1="n",0,(SUM(F78:K78)-B78))</f>
        <v/>
      </c>
      <c r="M76" s="121">
        <f>_xludf.IFNA(_xlfn.XLOOKUP(A78,'00_SKU_Master'!$B$2:$B$378,'00_SKU_Master'!$C$2:$C$378,0),"")</f>
        <v/>
      </c>
      <c r="N76" s="122">
        <f>_xludf.IFNA(_xlfn.XLOOKUP(A78,'00_SKU_Master'!$B$2:$B$378,'00_SKU_Master'!$F$2:$F$378,0)*F78/_xlfn.XLOOKUP(A78,'00_SKU_Master'!$B$2:$B$378,'00_SKU_Master'!$O:$O,0),"")</f>
        <v/>
      </c>
      <c r="O76" s="122">
        <f>_xludf.IFNA(_xlfn.XLOOKUP($A78,'00_SKU_Master'!$B$2:$B$378,'00_SKU_Master'!$F$2:$F$378,0)*G78/_xlfn.XLOOKUP($A78,'00_SKU_Master'!$B$2:$B$378,'00_SKU_Master'!$O:$O,0),"")</f>
        <v/>
      </c>
      <c r="P76" s="122">
        <f>_xludf.IFNA(_xlfn.XLOOKUP($A78,'00_SKU_Master'!$B$2:$B$378,'00_SKU_Master'!$F$2:$F$378,0)*H78/_xlfn.XLOOKUP($A78,'00_SKU_Master'!$B$2:$B$378,'00_SKU_Master'!$O:$O,0),"")</f>
        <v/>
      </c>
      <c r="Q76" s="122">
        <f>_xludf.IFNA(_xlfn.XLOOKUP($A78,'00_SKU_Master'!$B$2:$B$378,'00_SKU_Master'!$F$2:$F$378,0)*I78/_xlfn.XLOOKUP($A78,'00_SKU_Master'!$B$2:$B$378,'00_SKU_Master'!$O:$O,0),"")</f>
        <v/>
      </c>
      <c r="R76" s="122">
        <f>_xludf.IFNA(_xlfn.XLOOKUP($A78,'00_SKU_Master'!$B$2:$B$378,'00_SKU_Master'!$F$2:$F$378,0)*J78/_xlfn.XLOOKUP($A78,'00_SKU_Master'!$B$2:$B$378,'00_SKU_Master'!$O:$O,0),"")</f>
        <v/>
      </c>
      <c r="S76" s="122">
        <f>_xludf.IFNA(_xlfn.XLOOKUP($A78,'00_SKU_Master'!$B$2:$B$378,'00_SKU_Master'!$F$2:$F$378,0)*K78/_xlfn.XLOOKUP($A78,'00_SKU_Master'!$B$2:$B$378,'00_SKU_Master'!$O:$O,0),"")</f>
        <v/>
      </c>
      <c r="T76" s="123">
        <f>SUM(N78:S78)</f>
        <v/>
      </c>
      <c r="U76" s="124">
        <f>'05_Daily_Orders'!L77</f>
        <v/>
      </c>
    </row>
    <row r="77">
      <c r="A77" s="118">
        <f>'05_Daily_Orders'!B78</f>
        <v/>
      </c>
      <c r="B77" s="50" t="n">
        <v>0</v>
      </c>
      <c r="C77" s="50" t="n">
        <v>0</v>
      </c>
      <c r="D77" s="119" t="n"/>
      <c r="E77" s="119" t="n"/>
      <c r="F77" t="n">
        <v>0</v>
      </c>
      <c r="L77" s="120">
        <f>IF($E$1="n",0,(SUM(F79:K79)-B79))</f>
        <v/>
      </c>
      <c r="M77" s="121">
        <f>_xludf.IFNA(_xlfn.XLOOKUP(A79,'00_SKU_Master'!$B$2:$B$378,'00_SKU_Master'!$C$2:$C$378,0),"")</f>
        <v/>
      </c>
      <c r="N77" s="122">
        <f>_xludf.IFNA(_xlfn.XLOOKUP(A79,'00_SKU_Master'!$B$2:$B$378,'00_SKU_Master'!$F$2:$F$378,0)*F79/_xlfn.XLOOKUP(A79,'00_SKU_Master'!$B$2:$B$378,'00_SKU_Master'!$O:$O,0),"")</f>
        <v/>
      </c>
      <c r="O77" s="122">
        <f>_xludf.IFNA(_xlfn.XLOOKUP($A79,'00_SKU_Master'!$B$2:$B$378,'00_SKU_Master'!$F$2:$F$378,0)*G79/_xlfn.XLOOKUP($A79,'00_SKU_Master'!$B$2:$B$378,'00_SKU_Master'!$O:$O,0),"")</f>
        <v/>
      </c>
      <c r="P77" s="122">
        <f>_xludf.IFNA(_xlfn.XLOOKUP($A79,'00_SKU_Master'!$B$2:$B$378,'00_SKU_Master'!$F$2:$F$378,0)*H79/_xlfn.XLOOKUP($A79,'00_SKU_Master'!$B$2:$B$378,'00_SKU_Master'!$O:$O,0),"")</f>
        <v/>
      </c>
      <c r="Q77" s="122">
        <f>_xludf.IFNA(_xlfn.XLOOKUP($A79,'00_SKU_Master'!$B$2:$B$378,'00_SKU_Master'!$F$2:$F$378,0)*I79/_xlfn.XLOOKUP($A79,'00_SKU_Master'!$B$2:$B$378,'00_SKU_Master'!$O:$O,0),"")</f>
        <v/>
      </c>
      <c r="R77" s="122">
        <f>_xludf.IFNA(_xlfn.XLOOKUP($A79,'00_SKU_Master'!$B$2:$B$378,'00_SKU_Master'!$F$2:$F$378,0)*J79/_xlfn.XLOOKUP($A79,'00_SKU_Master'!$B$2:$B$378,'00_SKU_Master'!$O:$O,0),"")</f>
        <v/>
      </c>
      <c r="S77" s="122">
        <f>_xludf.IFNA(_xlfn.XLOOKUP($A79,'00_SKU_Master'!$B$2:$B$378,'00_SKU_Master'!$F$2:$F$378,0)*K79/_xlfn.XLOOKUP($A79,'00_SKU_Master'!$B$2:$B$378,'00_SKU_Master'!$O:$O,0),"")</f>
        <v/>
      </c>
      <c r="T77" s="123">
        <f>SUM(N79:S79)</f>
        <v/>
      </c>
      <c r="U77" s="124">
        <f>'05_Daily_Orders'!L78</f>
        <v/>
      </c>
    </row>
    <row r="78">
      <c r="A78" s="118">
        <f>'05_Daily_Orders'!B79</f>
        <v/>
      </c>
      <c r="B78" s="50" t="n">
        <v>11</v>
      </c>
      <c r="C78" s="50" t="n">
        <v>0</v>
      </c>
      <c r="D78" s="119" t="n"/>
      <c r="E78" s="119" t="n"/>
      <c r="F78" t="n">
        <v>55</v>
      </c>
      <c r="L78" s="120">
        <f>IF($E$1="n",0,(SUM(F80:K80)-B80))</f>
        <v/>
      </c>
      <c r="M78" s="121">
        <f>_xludf.IFNA(_xlfn.XLOOKUP(A80,'00_SKU_Master'!$B$2:$B$378,'00_SKU_Master'!$C$2:$C$378,0),"")</f>
        <v/>
      </c>
      <c r="N78" s="122">
        <f>_xludf.IFNA(_xlfn.XLOOKUP(A80,'00_SKU_Master'!$B$2:$B$378,'00_SKU_Master'!$F$2:$F$378,0)*F80/_xlfn.XLOOKUP(A80,'00_SKU_Master'!$B$2:$B$378,'00_SKU_Master'!$O:$O,0),"")</f>
        <v/>
      </c>
      <c r="O78" s="122">
        <f>_xludf.IFNA(_xlfn.XLOOKUP($A80,'00_SKU_Master'!$B$2:$B$378,'00_SKU_Master'!$F$2:$F$378,0)*G80/_xlfn.XLOOKUP($A80,'00_SKU_Master'!$B$2:$B$378,'00_SKU_Master'!$O:$O,0),"")</f>
        <v/>
      </c>
      <c r="P78" s="122">
        <f>_xludf.IFNA(_xlfn.XLOOKUP($A80,'00_SKU_Master'!$B$2:$B$378,'00_SKU_Master'!$F$2:$F$378,0)*H80/_xlfn.XLOOKUP($A80,'00_SKU_Master'!$B$2:$B$378,'00_SKU_Master'!$O:$O,0),"")</f>
        <v/>
      </c>
      <c r="Q78" s="122">
        <f>_xludf.IFNA(_xlfn.XLOOKUP($A80,'00_SKU_Master'!$B$2:$B$378,'00_SKU_Master'!$F$2:$F$378,0)*I80/_xlfn.XLOOKUP($A80,'00_SKU_Master'!$B$2:$B$378,'00_SKU_Master'!$O:$O,0),"")</f>
        <v/>
      </c>
      <c r="R78" s="122">
        <f>_xludf.IFNA(_xlfn.XLOOKUP($A80,'00_SKU_Master'!$B$2:$B$378,'00_SKU_Master'!$F$2:$F$378,0)*J80/_xlfn.XLOOKUP($A80,'00_SKU_Master'!$B$2:$B$378,'00_SKU_Master'!$O:$O,0),"")</f>
        <v/>
      </c>
      <c r="S78" s="122">
        <f>_xludf.IFNA(_xlfn.XLOOKUP($A80,'00_SKU_Master'!$B$2:$B$378,'00_SKU_Master'!$F$2:$F$378,0)*K80/_xlfn.XLOOKUP($A80,'00_SKU_Master'!$B$2:$B$378,'00_SKU_Master'!$O:$O,0),"")</f>
        <v/>
      </c>
      <c r="T78" s="123">
        <f>SUM(N80:S80)</f>
        <v/>
      </c>
      <c r="U78" s="124">
        <f>'05_Daily_Orders'!L79</f>
        <v/>
      </c>
    </row>
    <row r="79">
      <c r="A79" s="118">
        <f>'05_Daily_Orders'!B80</f>
        <v/>
      </c>
      <c r="B79" s="50" t="n">
        <v>64</v>
      </c>
      <c r="C79" s="50" t="n">
        <v>0</v>
      </c>
      <c r="D79" s="119" t="n"/>
      <c r="E79" s="119" t="n"/>
      <c r="F79" t="n">
        <v>90</v>
      </c>
      <c r="L79" s="120">
        <f>IF($E$1="n",0,(SUM(F81:K81)-B81))</f>
        <v/>
      </c>
      <c r="M79" s="121">
        <f>_xludf.IFNA(_xlfn.XLOOKUP(A81,'00_SKU_Master'!$B$2:$B$378,'00_SKU_Master'!$C$2:$C$378,0),"")</f>
        <v/>
      </c>
      <c r="N79" s="122">
        <f>_xludf.IFNA(_xlfn.XLOOKUP(A81,'00_SKU_Master'!$B$2:$B$378,'00_SKU_Master'!$F$2:$F$378,0)*F81/_xlfn.XLOOKUP(A81,'00_SKU_Master'!$B$2:$B$378,'00_SKU_Master'!$O:$O,0),"")</f>
        <v/>
      </c>
      <c r="O79" s="122">
        <f>_xludf.IFNA(_xlfn.XLOOKUP($A81,'00_SKU_Master'!$B$2:$B$378,'00_SKU_Master'!$F$2:$F$378,0)*G81/_xlfn.XLOOKUP($A81,'00_SKU_Master'!$B$2:$B$378,'00_SKU_Master'!$O:$O,0),"")</f>
        <v/>
      </c>
      <c r="P79" s="122">
        <f>_xludf.IFNA(_xlfn.XLOOKUP($A81,'00_SKU_Master'!$B$2:$B$378,'00_SKU_Master'!$F$2:$F$378,0)*H81/_xlfn.XLOOKUP($A81,'00_SKU_Master'!$B$2:$B$378,'00_SKU_Master'!$O:$O,0),"")</f>
        <v/>
      </c>
      <c r="Q79" s="122">
        <f>_xludf.IFNA(_xlfn.XLOOKUP($A81,'00_SKU_Master'!$B$2:$B$378,'00_SKU_Master'!$F$2:$F$378,0)*I81/_xlfn.XLOOKUP($A81,'00_SKU_Master'!$B$2:$B$378,'00_SKU_Master'!$O:$O,0),"")</f>
        <v/>
      </c>
      <c r="R79" s="122">
        <f>_xludf.IFNA(_xlfn.XLOOKUP($A81,'00_SKU_Master'!$B$2:$B$378,'00_SKU_Master'!$F$2:$F$378,0)*J81/_xlfn.XLOOKUP($A81,'00_SKU_Master'!$B$2:$B$378,'00_SKU_Master'!$O:$O,0),"")</f>
        <v/>
      </c>
      <c r="S79" s="122">
        <f>_xludf.IFNA(_xlfn.XLOOKUP($A81,'00_SKU_Master'!$B$2:$B$378,'00_SKU_Master'!$F$2:$F$378,0)*K81/_xlfn.XLOOKUP($A81,'00_SKU_Master'!$B$2:$B$378,'00_SKU_Master'!$O:$O,0),"")</f>
        <v/>
      </c>
      <c r="T79" s="123">
        <f>SUM(N81:S81)</f>
        <v/>
      </c>
      <c r="U79" s="124">
        <f>'05_Daily_Orders'!L80</f>
        <v/>
      </c>
    </row>
    <row r="80">
      <c r="A80" s="118">
        <f>'05_Daily_Orders'!B81</f>
        <v/>
      </c>
      <c r="B80" s="50" t="n">
        <v>0</v>
      </c>
      <c r="C80" s="50" t="n">
        <v>0</v>
      </c>
      <c r="D80" s="119" t="n"/>
      <c r="E80" s="119" t="n"/>
      <c r="F80" t="n">
        <v>0</v>
      </c>
      <c r="L80" s="120">
        <f>IF($E$1="n",0,(SUM(F82:K82)-B82))</f>
        <v/>
      </c>
      <c r="M80" s="121">
        <f>_xludf.IFNA(_xlfn.XLOOKUP(A82,'00_SKU_Master'!$B$2:$B$378,'00_SKU_Master'!$C$2:$C$378,0),"")</f>
        <v/>
      </c>
      <c r="N80" s="122">
        <f>_xludf.IFNA(_xlfn.XLOOKUP(A82,'00_SKU_Master'!$B$2:$B$378,'00_SKU_Master'!$F$2:$F$378,0)*F82/_xlfn.XLOOKUP(A82,'00_SKU_Master'!$B$2:$B$378,'00_SKU_Master'!$O:$O,0),"")</f>
        <v/>
      </c>
      <c r="O80" s="122">
        <f>_xludf.IFNA(_xlfn.XLOOKUP($A82,'00_SKU_Master'!$B$2:$B$378,'00_SKU_Master'!$F$2:$F$378,0)*G82/_xlfn.XLOOKUP($A82,'00_SKU_Master'!$B$2:$B$378,'00_SKU_Master'!$O:$O,0),"")</f>
        <v/>
      </c>
      <c r="P80" s="122">
        <f>_xludf.IFNA(_xlfn.XLOOKUP($A82,'00_SKU_Master'!$B$2:$B$378,'00_SKU_Master'!$F$2:$F$378,0)*H82/_xlfn.XLOOKUP($A82,'00_SKU_Master'!$B$2:$B$378,'00_SKU_Master'!$O:$O,0),"")</f>
        <v/>
      </c>
      <c r="Q80" s="122">
        <f>_xludf.IFNA(_xlfn.XLOOKUP($A82,'00_SKU_Master'!$B$2:$B$378,'00_SKU_Master'!$F$2:$F$378,0)*I82/_xlfn.XLOOKUP($A82,'00_SKU_Master'!$B$2:$B$378,'00_SKU_Master'!$O:$O,0),"")</f>
        <v/>
      </c>
      <c r="R80" s="122">
        <f>_xludf.IFNA(_xlfn.XLOOKUP($A82,'00_SKU_Master'!$B$2:$B$378,'00_SKU_Master'!$F$2:$F$378,0)*J82/_xlfn.XLOOKUP($A82,'00_SKU_Master'!$B$2:$B$378,'00_SKU_Master'!$O:$O,0),"")</f>
        <v/>
      </c>
      <c r="S80" s="122">
        <f>_xludf.IFNA(_xlfn.XLOOKUP($A82,'00_SKU_Master'!$B$2:$B$378,'00_SKU_Master'!$F$2:$F$378,0)*K82/_xlfn.XLOOKUP($A82,'00_SKU_Master'!$B$2:$B$378,'00_SKU_Master'!$O:$O,0),"")</f>
        <v/>
      </c>
      <c r="T80" s="123">
        <f>SUM(N82:S82)</f>
        <v/>
      </c>
      <c r="U80" s="124">
        <f>'05_Daily_Orders'!L81</f>
        <v/>
      </c>
    </row>
    <row r="81">
      <c r="A81" s="118">
        <f>'05_Daily_Orders'!B82</f>
        <v/>
      </c>
      <c r="B81" s="50" t="n">
        <v>0</v>
      </c>
      <c r="C81" s="50" t="n">
        <v>24</v>
      </c>
      <c r="D81" s="119" t="n"/>
      <c r="E81" s="119" t="n"/>
      <c r="F81" t="n">
        <v>185</v>
      </c>
      <c r="L81" s="120">
        <f>IF($E$1="n",0,(SUM(F83:K83)-B83))</f>
        <v/>
      </c>
      <c r="M81" s="121">
        <f>_xludf.IFNA(_xlfn.XLOOKUP(A83,'00_SKU_Master'!$B$2:$B$378,'00_SKU_Master'!$C$2:$C$378,0),"")</f>
        <v/>
      </c>
      <c r="N81" s="122">
        <f>_xludf.IFNA(_xlfn.XLOOKUP(A83,'00_SKU_Master'!$B$2:$B$378,'00_SKU_Master'!$F$2:$F$378,0)*F83/_xlfn.XLOOKUP(A83,'00_SKU_Master'!$B$2:$B$378,'00_SKU_Master'!$O:$O,0),"")</f>
        <v/>
      </c>
      <c r="O81" s="122">
        <f>_xludf.IFNA(_xlfn.XLOOKUP($A83,'00_SKU_Master'!$B$2:$B$378,'00_SKU_Master'!$F$2:$F$378,0)*G83/_xlfn.XLOOKUP($A83,'00_SKU_Master'!$B$2:$B$378,'00_SKU_Master'!$O:$O,0),"")</f>
        <v/>
      </c>
      <c r="P81" s="122">
        <f>_xludf.IFNA(_xlfn.XLOOKUP($A83,'00_SKU_Master'!$B$2:$B$378,'00_SKU_Master'!$F$2:$F$378,0)*H83/_xlfn.XLOOKUP($A83,'00_SKU_Master'!$B$2:$B$378,'00_SKU_Master'!$O:$O,0),"")</f>
        <v/>
      </c>
      <c r="Q81" s="122">
        <f>_xludf.IFNA(_xlfn.XLOOKUP($A83,'00_SKU_Master'!$B$2:$B$378,'00_SKU_Master'!$F$2:$F$378,0)*I83/_xlfn.XLOOKUP($A83,'00_SKU_Master'!$B$2:$B$378,'00_SKU_Master'!$O:$O,0),"")</f>
        <v/>
      </c>
      <c r="R81" s="122">
        <f>_xludf.IFNA(_xlfn.XLOOKUP($A83,'00_SKU_Master'!$B$2:$B$378,'00_SKU_Master'!$F$2:$F$378,0)*J83/_xlfn.XLOOKUP($A83,'00_SKU_Master'!$B$2:$B$378,'00_SKU_Master'!$O:$O,0),"")</f>
        <v/>
      </c>
      <c r="S81" s="122">
        <f>_xludf.IFNA(_xlfn.XLOOKUP($A83,'00_SKU_Master'!$B$2:$B$378,'00_SKU_Master'!$F$2:$F$378,0)*K83/_xlfn.XLOOKUP($A83,'00_SKU_Master'!$B$2:$B$378,'00_SKU_Master'!$O:$O,0),"")</f>
        <v/>
      </c>
      <c r="T81" s="123">
        <f>SUM(N83:S83)</f>
        <v/>
      </c>
      <c r="U81" s="124">
        <f>'05_Daily_Orders'!L82</f>
        <v/>
      </c>
    </row>
    <row r="82">
      <c r="A82" s="118">
        <f>'05_Daily_Orders'!B83</f>
        <v/>
      </c>
      <c r="B82" s="50" t="n">
        <v>0</v>
      </c>
      <c r="C82" s="50" t="n">
        <v>40</v>
      </c>
      <c r="D82" s="119" t="n"/>
      <c r="E82" s="119" t="n"/>
      <c r="F82" t="n">
        <v>40</v>
      </c>
      <c r="L82" s="120">
        <f>IF($E$1="n",0,(SUM(F84:K84)-B84))</f>
        <v/>
      </c>
      <c r="M82" s="121">
        <f>_xludf.IFNA(_xlfn.XLOOKUP(A84,'00_SKU_Master'!$B$2:$B$378,'00_SKU_Master'!$C$2:$C$378,0),"")</f>
        <v/>
      </c>
      <c r="N82" s="122">
        <f>_xludf.IFNA(_xlfn.XLOOKUP(A84,'00_SKU_Master'!$B$2:$B$378,'00_SKU_Master'!$F$2:$F$378,0)*F84/_xlfn.XLOOKUP(A84,'00_SKU_Master'!$B$2:$B$378,'00_SKU_Master'!$O:$O,0),"")</f>
        <v/>
      </c>
      <c r="O82" s="122">
        <f>_xludf.IFNA(_xlfn.XLOOKUP($A84,'00_SKU_Master'!$B$2:$B$378,'00_SKU_Master'!$F$2:$F$378,0)*G84/_xlfn.XLOOKUP($A84,'00_SKU_Master'!$B$2:$B$378,'00_SKU_Master'!$O:$O,0),"")</f>
        <v/>
      </c>
      <c r="P82" s="122">
        <f>_xludf.IFNA(_xlfn.XLOOKUP($A84,'00_SKU_Master'!$B$2:$B$378,'00_SKU_Master'!$F$2:$F$378,0)*H84/_xlfn.XLOOKUP($A84,'00_SKU_Master'!$B$2:$B$378,'00_SKU_Master'!$O:$O,0),"")</f>
        <v/>
      </c>
      <c r="Q82" s="122">
        <f>_xludf.IFNA(_xlfn.XLOOKUP($A84,'00_SKU_Master'!$B$2:$B$378,'00_SKU_Master'!$F$2:$F$378,0)*I84/_xlfn.XLOOKUP($A84,'00_SKU_Master'!$B$2:$B$378,'00_SKU_Master'!$O:$O,0),"")</f>
        <v/>
      </c>
      <c r="R82" s="122">
        <f>_xludf.IFNA(_xlfn.XLOOKUP($A84,'00_SKU_Master'!$B$2:$B$378,'00_SKU_Master'!$F$2:$F$378,0)*J84/_xlfn.XLOOKUP($A84,'00_SKU_Master'!$B$2:$B$378,'00_SKU_Master'!$O:$O,0),"")</f>
        <v/>
      </c>
      <c r="S82" s="122">
        <f>_xludf.IFNA(_xlfn.XLOOKUP($A84,'00_SKU_Master'!$B$2:$B$378,'00_SKU_Master'!$F$2:$F$378,0)*K84/_xlfn.XLOOKUP($A84,'00_SKU_Master'!$B$2:$B$378,'00_SKU_Master'!$O:$O,0),"")</f>
        <v/>
      </c>
      <c r="T82" s="123">
        <f>SUM(N84:S84)</f>
        <v/>
      </c>
      <c r="U82" s="124">
        <f>'05_Daily_Orders'!L83</f>
        <v/>
      </c>
    </row>
    <row r="83">
      <c r="A83" s="118">
        <f>'05_Daily_Orders'!B84</f>
        <v/>
      </c>
      <c r="B83" s="50" t="n">
        <v>0</v>
      </c>
      <c r="C83" s="50" t="n">
        <v>0</v>
      </c>
      <c r="D83" s="119" t="n"/>
      <c r="E83" s="119" t="n"/>
      <c r="F83" t="n">
        <v>0</v>
      </c>
      <c r="L83" s="120">
        <f>IF($E$1="n",0,(SUM(F85:K85)-B85))</f>
        <v/>
      </c>
      <c r="M83" s="121">
        <f>_xludf.IFNA(_xlfn.XLOOKUP(A85,'00_SKU_Master'!$B$2:$B$378,'00_SKU_Master'!$C$2:$C$378,0),"")</f>
        <v/>
      </c>
      <c r="N83" s="122">
        <f>_xludf.IFNA(_xlfn.XLOOKUP(A85,'00_SKU_Master'!$B$2:$B$378,'00_SKU_Master'!$F$2:$F$378,0)*F85/_xlfn.XLOOKUP(A85,'00_SKU_Master'!$B$2:$B$378,'00_SKU_Master'!$O:$O,0),"")</f>
        <v/>
      </c>
      <c r="O83" s="122">
        <f>_xludf.IFNA(_xlfn.XLOOKUP($A85,'00_SKU_Master'!$B$2:$B$378,'00_SKU_Master'!$F$2:$F$378,0)*G85/_xlfn.XLOOKUP($A85,'00_SKU_Master'!$B$2:$B$378,'00_SKU_Master'!$O:$O,0),"")</f>
        <v/>
      </c>
      <c r="P83" s="122">
        <f>_xludf.IFNA(_xlfn.XLOOKUP($A85,'00_SKU_Master'!$B$2:$B$378,'00_SKU_Master'!$F$2:$F$378,0)*H85/_xlfn.XLOOKUP($A85,'00_SKU_Master'!$B$2:$B$378,'00_SKU_Master'!$O:$O,0),"")</f>
        <v/>
      </c>
      <c r="Q83" s="122">
        <f>_xludf.IFNA(_xlfn.XLOOKUP($A85,'00_SKU_Master'!$B$2:$B$378,'00_SKU_Master'!$F$2:$F$378,0)*I85/_xlfn.XLOOKUP($A85,'00_SKU_Master'!$B$2:$B$378,'00_SKU_Master'!$O:$O,0),"")</f>
        <v/>
      </c>
      <c r="R83" s="122">
        <f>_xludf.IFNA(_xlfn.XLOOKUP($A85,'00_SKU_Master'!$B$2:$B$378,'00_SKU_Master'!$F$2:$F$378,0)*J85/_xlfn.XLOOKUP($A85,'00_SKU_Master'!$B$2:$B$378,'00_SKU_Master'!$O:$O,0),"")</f>
        <v/>
      </c>
      <c r="S83" s="122">
        <f>_xludf.IFNA(_xlfn.XLOOKUP($A85,'00_SKU_Master'!$B$2:$B$378,'00_SKU_Master'!$F$2:$F$378,0)*K85/_xlfn.XLOOKUP($A85,'00_SKU_Master'!$B$2:$B$378,'00_SKU_Master'!$O:$O,0),"")</f>
        <v/>
      </c>
      <c r="T83" s="123">
        <f>SUM(N85:S85)</f>
        <v/>
      </c>
      <c r="U83" s="124">
        <f>'05_Daily_Orders'!L84</f>
        <v/>
      </c>
    </row>
    <row r="84">
      <c r="A84" s="118">
        <f>'05_Daily_Orders'!B85</f>
        <v/>
      </c>
      <c r="B84" s="50" t="n">
        <v>0</v>
      </c>
      <c r="C84" s="50" t="n">
        <v>0</v>
      </c>
      <c r="D84" s="119" t="n"/>
      <c r="E84" s="119" t="n"/>
      <c r="F84" t="n">
        <v>0</v>
      </c>
      <c r="L84" s="120">
        <f>IF($E$1="n",0,(SUM(F86:K86)-B86))</f>
        <v/>
      </c>
      <c r="M84" s="121">
        <f>_xludf.IFNA(_xlfn.XLOOKUP(A86,'00_SKU_Master'!$B$2:$B$378,'00_SKU_Master'!$C$2:$C$378,0),"")</f>
        <v/>
      </c>
      <c r="N84" s="122">
        <f>_xludf.IFNA(_xlfn.XLOOKUP(A86,'00_SKU_Master'!$B$2:$B$378,'00_SKU_Master'!$F$2:$F$378,0)*F86/_xlfn.XLOOKUP(A86,'00_SKU_Master'!$B$2:$B$378,'00_SKU_Master'!$O:$O,0),"")</f>
        <v/>
      </c>
      <c r="O84" s="122">
        <f>_xludf.IFNA(_xlfn.XLOOKUP($A86,'00_SKU_Master'!$B$2:$B$378,'00_SKU_Master'!$F$2:$F$378,0)*G86/_xlfn.XLOOKUP($A86,'00_SKU_Master'!$B$2:$B$378,'00_SKU_Master'!$O:$O,0),"")</f>
        <v/>
      </c>
      <c r="P84" s="122">
        <f>_xludf.IFNA(_xlfn.XLOOKUP($A86,'00_SKU_Master'!$B$2:$B$378,'00_SKU_Master'!$F$2:$F$378,0)*H86/_xlfn.XLOOKUP($A86,'00_SKU_Master'!$B$2:$B$378,'00_SKU_Master'!$O:$O,0),"")</f>
        <v/>
      </c>
      <c r="Q84" s="122">
        <f>_xludf.IFNA(_xlfn.XLOOKUP($A86,'00_SKU_Master'!$B$2:$B$378,'00_SKU_Master'!$F$2:$F$378,0)*I86/_xlfn.XLOOKUP($A86,'00_SKU_Master'!$B$2:$B$378,'00_SKU_Master'!$O:$O,0),"")</f>
        <v/>
      </c>
      <c r="R84" s="122">
        <f>_xludf.IFNA(_xlfn.XLOOKUP($A86,'00_SKU_Master'!$B$2:$B$378,'00_SKU_Master'!$F$2:$F$378,0)*J86/_xlfn.XLOOKUP($A86,'00_SKU_Master'!$B$2:$B$378,'00_SKU_Master'!$O:$O,0),"")</f>
        <v/>
      </c>
      <c r="S84" s="122">
        <f>_xludf.IFNA(_xlfn.XLOOKUP($A86,'00_SKU_Master'!$B$2:$B$378,'00_SKU_Master'!$F$2:$F$378,0)*K86/_xlfn.XLOOKUP($A86,'00_SKU_Master'!$B$2:$B$378,'00_SKU_Master'!$O:$O,0),"")</f>
        <v/>
      </c>
      <c r="T84" s="123">
        <f>SUM(N86:S86)</f>
        <v/>
      </c>
      <c r="U84" s="124">
        <f>'05_Daily_Orders'!L85</f>
        <v/>
      </c>
    </row>
    <row r="85">
      <c r="A85" s="118">
        <f>'05_Daily_Orders'!B86</f>
        <v/>
      </c>
      <c r="B85" s="50" t="n">
        <v>0</v>
      </c>
      <c r="C85" s="50" t="n">
        <v>0</v>
      </c>
      <c r="D85" s="119" t="n"/>
      <c r="E85" s="119" t="n"/>
      <c r="F85" t="n">
        <v>0</v>
      </c>
      <c r="L85" s="120">
        <f>IF($E$1="n",0,(SUM(F87:K87)-B87))</f>
        <v/>
      </c>
      <c r="M85" s="121">
        <f>_xludf.IFNA(_xlfn.XLOOKUP(A87,'00_SKU_Master'!$B$2:$B$378,'00_SKU_Master'!$C$2:$C$378,0),"")</f>
        <v/>
      </c>
      <c r="N85" s="122">
        <f>_xludf.IFNA(_xlfn.XLOOKUP(A87,'00_SKU_Master'!$B$2:$B$378,'00_SKU_Master'!$F$2:$F$378,0)*F87/_xlfn.XLOOKUP(A87,'00_SKU_Master'!$B$2:$B$378,'00_SKU_Master'!$O:$O,0),"")</f>
        <v/>
      </c>
      <c r="O85" s="122">
        <f>_xludf.IFNA(_xlfn.XLOOKUP($A87,'00_SKU_Master'!$B$2:$B$378,'00_SKU_Master'!$F$2:$F$378,0)*G87/_xlfn.XLOOKUP($A87,'00_SKU_Master'!$B$2:$B$378,'00_SKU_Master'!$O:$O,0),"")</f>
        <v/>
      </c>
      <c r="P85" s="122">
        <f>_xludf.IFNA(_xlfn.XLOOKUP($A87,'00_SKU_Master'!$B$2:$B$378,'00_SKU_Master'!$F$2:$F$378,0)*H87/_xlfn.XLOOKUP($A87,'00_SKU_Master'!$B$2:$B$378,'00_SKU_Master'!$O:$O,0),"")</f>
        <v/>
      </c>
      <c r="Q85" s="122">
        <f>_xludf.IFNA(_xlfn.XLOOKUP($A87,'00_SKU_Master'!$B$2:$B$378,'00_SKU_Master'!$F$2:$F$378,0)*I87/_xlfn.XLOOKUP($A87,'00_SKU_Master'!$B$2:$B$378,'00_SKU_Master'!$O:$O,0),"")</f>
        <v/>
      </c>
      <c r="R85" s="122">
        <f>_xludf.IFNA(_xlfn.XLOOKUP($A87,'00_SKU_Master'!$B$2:$B$378,'00_SKU_Master'!$F$2:$F$378,0)*J87/_xlfn.XLOOKUP($A87,'00_SKU_Master'!$B$2:$B$378,'00_SKU_Master'!$O:$O,0),"")</f>
        <v/>
      </c>
      <c r="S85" s="122">
        <f>_xludf.IFNA(_xlfn.XLOOKUP($A87,'00_SKU_Master'!$B$2:$B$378,'00_SKU_Master'!$F$2:$F$378,0)*K87/_xlfn.XLOOKUP($A87,'00_SKU_Master'!$B$2:$B$378,'00_SKU_Master'!$O:$O,0),"")</f>
        <v/>
      </c>
      <c r="T85" s="123">
        <f>SUM(N87:S87)</f>
        <v/>
      </c>
      <c r="U85" s="124">
        <f>'05_Daily_Orders'!L86</f>
        <v/>
      </c>
    </row>
    <row r="86">
      <c r="A86" s="118">
        <f>'05_Daily_Orders'!B87</f>
        <v/>
      </c>
      <c r="B86" s="50" t="n">
        <v>0</v>
      </c>
      <c r="C86" s="50" t="n">
        <v>0</v>
      </c>
      <c r="D86" s="119" t="n"/>
      <c r="E86" s="119" t="n"/>
      <c r="F86" t="n">
        <v>0</v>
      </c>
      <c r="L86" s="120">
        <f>IF($E$1="n",0,(SUM(F88:K88)-B88))</f>
        <v/>
      </c>
      <c r="M86" s="121">
        <f>_xludf.IFNA(_xlfn.XLOOKUP(A88,'00_SKU_Master'!$B$2:$B$378,'00_SKU_Master'!$C$2:$C$378,0),"")</f>
        <v/>
      </c>
      <c r="N86" s="122">
        <f>_xludf.IFNA(_xlfn.XLOOKUP(A88,'00_SKU_Master'!$B$2:$B$378,'00_SKU_Master'!$F$2:$F$378,0)*F88/_xlfn.XLOOKUP(A88,'00_SKU_Master'!$B$2:$B$378,'00_SKU_Master'!$O:$O,0),"")</f>
        <v/>
      </c>
      <c r="O86" s="122">
        <f>_xludf.IFNA(_xlfn.XLOOKUP($A88,'00_SKU_Master'!$B$2:$B$378,'00_SKU_Master'!$F$2:$F$378,0)*G88/_xlfn.XLOOKUP($A88,'00_SKU_Master'!$B$2:$B$378,'00_SKU_Master'!$O:$O,0),"")</f>
        <v/>
      </c>
      <c r="P86" s="122">
        <f>_xludf.IFNA(_xlfn.XLOOKUP($A88,'00_SKU_Master'!$B$2:$B$378,'00_SKU_Master'!$F$2:$F$378,0)*H88/_xlfn.XLOOKUP($A88,'00_SKU_Master'!$B$2:$B$378,'00_SKU_Master'!$O:$O,0),"")</f>
        <v/>
      </c>
      <c r="Q86" s="122">
        <f>_xludf.IFNA(_xlfn.XLOOKUP($A88,'00_SKU_Master'!$B$2:$B$378,'00_SKU_Master'!$F$2:$F$378,0)*I88/_xlfn.XLOOKUP($A88,'00_SKU_Master'!$B$2:$B$378,'00_SKU_Master'!$O:$O,0),"")</f>
        <v/>
      </c>
      <c r="R86" s="122">
        <f>_xludf.IFNA(_xlfn.XLOOKUP($A88,'00_SKU_Master'!$B$2:$B$378,'00_SKU_Master'!$F$2:$F$378,0)*J88/_xlfn.XLOOKUP($A88,'00_SKU_Master'!$B$2:$B$378,'00_SKU_Master'!$O:$O,0),"")</f>
        <v/>
      </c>
      <c r="S86" s="122">
        <f>_xludf.IFNA(_xlfn.XLOOKUP($A88,'00_SKU_Master'!$B$2:$B$378,'00_SKU_Master'!$F$2:$F$378,0)*K88/_xlfn.XLOOKUP($A88,'00_SKU_Master'!$B$2:$B$378,'00_SKU_Master'!$O:$O,0),"")</f>
        <v/>
      </c>
      <c r="T86" s="123">
        <f>SUM(N88:S88)</f>
        <v/>
      </c>
      <c r="U86" s="124">
        <f>'05_Daily_Orders'!L87</f>
        <v/>
      </c>
    </row>
    <row r="87">
      <c r="A87" s="118">
        <f>'05_Daily_Orders'!B88</f>
        <v/>
      </c>
      <c r="B87" s="50" t="n">
        <v>0</v>
      </c>
      <c r="C87" s="50" t="n">
        <v>0</v>
      </c>
      <c r="D87" s="119" t="n"/>
      <c r="E87" s="119" t="n"/>
      <c r="F87" t="n">
        <v>0</v>
      </c>
      <c r="L87" s="120">
        <f>IF($E$1="n",0,(SUM(F89:K89)-B89))</f>
        <v/>
      </c>
      <c r="M87" s="121">
        <f>_xludf.IFNA(_xlfn.XLOOKUP(A89,'00_SKU_Master'!$B$2:$B$378,'00_SKU_Master'!$C$2:$C$378,0),"")</f>
        <v/>
      </c>
      <c r="N87" s="122">
        <f>_xludf.IFNA(_xlfn.XLOOKUP(A89,'00_SKU_Master'!$B$2:$B$378,'00_SKU_Master'!$F$2:$F$378,0)*F89/_xlfn.XLOOKUP(A89,'00_SKU_Master'!$B$2:$B$378,'00_SKU_Master'!$O:$O,0),"")</f>
        <v/>
      </c>
      <c r="O87" s="122">
        <f>_xludf.IFNA(_xlfn.XLOOKUP($A89,'00_SKU_Master'!$B$2:$B$378,'00_SKU_Master'!$F$2:$F$378,0)*G89/_xlfn.XLOOKUP($A89,'00_SKU_Master'!$B$2:$B$378,'00_SKU_Master'!$O:$O,0),"")</f>
        <v/>
      </c>
      <c r="P87" s="122">
        <f>_xludf.IFNA(_xlfn.XLOOKUP($A89,'00_SKU_Master'!$B$2:$B$378,'00_SKU_Master'!$F$2:$F$378,0)*H89/_xlfn.XLOOKUP($A89,'00_SKU_Master'!$B$2:$B$378,'00_SKU_Master'!$O:$O,0),"")</f>
        <v/>
      </c>
      <c r="Q87" s="122">
        <f>_xludf.IFNA(_xlfn.XLOOKUP($A89,'00_SKU_Master'!$B$2:$B$378,'00_SKU_Master'!$F$2:$F$378,0)*I89/_xlfn.XLOOKUP($A89,'00_SKU_Master'!$B$2:$B$378,'00_SKU_Master'!$O:$O,0),"")</f>
        <v/>
      </c>
      <c r="R87" s="122">
        <f>_xludf.IFNA(_xlfn.XLOOKUP($A89,'00_SKU_Master'!$B$2:$B$378,'00_SKU_Master'!$F$2:$F$378,0)*J89/_xlfn.XLOOKUP($A89,'00_SKU_Master'!$B$2:$B$378,'00_SKU_Master'!$O:$O,0),"")</f>
        <v/>
      </c>
      <c r="S87" s="122">
        <f>_xludf.IFNA(_xlfn.XLOOKUP($A89,'00_SKU_Master'!$B$2:$B$378,'00_SKU_Master'!$F$2:$F$378,0)*K89/_xlfn.XLOOKUP($A89,'00_SKU_Master'!$B$2:$B$378,'00_SKU_Master'!$O:$O,0),"")</f>
        <v/>
      </c>
      <c r="T87" s="123">
        <f>SUM(N89:S89)</f>
        <v/>
      </c>
      <c r="U87" s="124">
        <f>'05_Daily_Orders'!L88</f>
        <v/>
      </c>
    </row>
    <row r="88">
      <c r="A88" s="118">
        <f>'05_Daily_Orders'!B89</f>
        <v/>
      </c>
      <c r="B88" s="50" t="n">
        <v>0</v>
      </c>
      <c r="C88" s="50" t="n">
        <v>0</v>
      </c>
      <c r="D88" s="119" t="n"/>
      <c r="E88" s="119" t="n"/>
      <c r="F88" t="n">
        <v>0</v>
      </c>
      <c r="L88" s="120">
        <f>IF($E$1="n",0,(SUM(F90:K90)-B90))</f>
        <v/>
      </c>
      <c r="M88" s="121">
        <f>_xludf.IFNA(_xlfn.XLOOKUP(A90,'00_SKU_Master'!$B$2:$B$378,'00_SKU_Master'!$C$2:$C$378,0),"")</f>
        <v/>
      </c>
      <c r="N88" s="122">
        <f>_xludf.IFNA(_xlfn.XLOOKUP(A90,'00_SKU_Master'!$B$2:$B$378,'00_SKU_Master'!$F$2:$F$378,0)*F90/_xlfn.XLOOKUP(A90,'00_SKU_Master'!$B$2:$B$378,'00_SKU_Master'!$O:$O,0),"")</f>
        <v/>
      </c>
      <c r="O88" s="122">
        <f>_xludf.IFNA(_xlfn.XLOOKUP($A90,'00_SKU_Master'!$B$2:$B$378,'00_SKU_Master'!$F$2:$F$378,0)*G90/_xlfn.XLOOKUP($A90,'00_SKU_Master'!$B$2:$B$378,'00_SKU_Master'!$O:$O,0),"")</f>
        <v/>
      </c>
      <c r="P88" s="122">
        <f>_xludf.IFNA(_xlfn.XLOOKUP($A90,'00_SKU_Master'!$B$2:$B$378,'00_SKU_Master'!$F$2:$F$378,0)*H90/_xlfn.XLOOKUP($A90,'00_SKU_Master'!$B$2:$B$378,'00_SKU_Master'!$O:$O,0),"")</f>
        <v/>
      </c>
      <c r="Q88" s="122">
        <f>_xludf.IFNA(_xlfn.XLOOKUP($A90,'00_SKU_Master'!$B$2:$B$378,'00_SKU_Master'!$F$2:$F$378,0)*I90/_xlfn.XLOOKUP($A90,'00_SKU_Master'!$B$2:$B$378,'00_SKU_Master'!$O:$O,0),"")</f>
        <v/>
      </c>
      <c r="R88" s="122">
        <f>_xludf.IFNA(_xlfn.XLOOKUP($A90,'00_SKU_Master'!$B$2:$B$378,'00_SKU_Master'!$F$2:$F$378,0)*J90/_xlfn.XLOOKUP($A90,'00_SKU_Master'!$B$2:$B$378,'00_SKU_Master'!$O:$O,0),"")</f>
        <v/>
      </c>
      <c r="S88" s="122">
        <f>_xludf.IFNA(_xlfn.XLOOKUP($A90,'00_SKU_Master'!$B$2:$B$378,'00_SKU_Master'!$F$2:$F$378,0)*K90/_xlfn.XLOOKUP($A90,'00_SKU_Master'!$B$2:$B$378,'00_SKU_Master'!$O:$O,0),"")</f>
        <v/>
      </c>
      <c r="T88" s="123">
        <f>SUM(N90:S90)</f>
        <v/>
      </c>
      <c r="U88" s="124">
        <f>'05_Daily_Orders'!L89</f>
        <v/>
      </c>
    </row>
    <row r="89">
      <c r="A89" s="118">
        <f>'05_Daily_Orders'!B90</f>
        <v/>
      </c>
      <c r="B89" s="50" t="n">
        <v>0</v>
      </c>
      <c r="C89" s="50" t="n">
        <v>0</v>
      </c>
      <c r="D89" s="119" t="n"/>
      <c r="E89" s="119" t="n"/>
      <c r="F89" t="n">
        <v>0</v>
      </c>
      <c r="L89" s="120">
        <f>IF($E$1="n",0,(SUM(F91:K91)-B91))</f>
        <v/>
      </c>
      <c r="M89" s="121">
        <f>_xludf.IFNA(_xlfn.XLOOKUP(A91,'00_SKU_Master'!$B$2:$B$378,'00_SKU_Master'!$C$2:$C$378,0),"")</f>
        <v/>
      </c>
      <c r="N89" s="122">
        <f>_xludf.IFNA(_xlfn.XLOOKUP(A91,'00_SKU_Master'!$B$2:$B$378,'00_SKU_Master'!$F$2:$F$378,0)*F91/_xlfn.XLOOKUP(A91,'00_SKU_Master'!$B$2:$B$378,'00_SKU_Master'!$O:$O,0),"")</f>
        <v/>
      </c>
      <c r="O89" s="122">
        <f>_xludf.IFNA(_xlfn.XLOOKUP($A91,'00_SKU_Master'!$B$2:$B$378,'00_SKU_Master'!$F$2:$F$378,0)*G91/_xlfn.XLOOKUP($A91,'00_SKU_Master'!$B$2:$B$378,'00_SKU_Master'!$O:$O,0),"")</f>
        <v/>
      </c>
      <c r="P89" s="122">
        <f>_xludf.IFNA(_xlfn.XLOOKUP($A91,'00_SKU_Master'!$B$2:$B$378,'00_SKU_Master'!$F$2:$F$378,0)*H91/_xlfn.XLOOKUP($A91,'00_SKU_Master'!$B$2:$B$378,'00_SKU_Master'!$O:$O,0),"")</f>
        <v/>
      </c>
      <c r="Q89" s="122">
        <f>_xludf.IFNA(_xlfn.XLOOKUP($A91,'00_SKU_Master'!$B$2:$B$378,'00_SKU_Master'!$F$2:$F$378,0)*I91/_xlfn.XLOOKUP($A91,'00_SKU_Master'!$B$2:$B$378,'00_SKU_Master'!$O:$O,0),"")</f>
        <v/>
      </c>
      <c r="R89" s="122">
        <f>_xludf.IFNA(_xlfn.XLOOKUP($A91,'00_SKU_Master'!$B$2:$B$378,'00_SKU_Master'!$F$2:$F$378,0)*J91/_xlfn.XLOOKUP($A91,'00_SKU_Master'!$B$2:$B$378,'00_SKU_Master'!$O:$O,0),"")</f>
        <v/>
      </c>
      <c r="S89" s="122">
        <f>_xludf.IFNA(_xlfn.XLOOKUP($A91,'00_SKU_Master'!$B$2:$B$378,'00_SKU_Master'!$F$2:$F$378,0)*K91/_xlfn.XLOOKUP($A91,'00_SKU_Master'!$B$2:$B$378,'00_SKU_Master'!$O:$O,0),"")</f>
        <v/>
      </c>
      <c r="T89" s="123">
        <f>SUM(N91:S91)</f>
        <v/>
      </c>
      <c r="U89" s="124">
        <f>'05_Daily_Orders'!L90</f>
        <v/>
      </c>
    </row>
    <row r="90">
      <c r="A90" s="118">
        <f>'05_Daily_Orders'!B91</f>
        <v/>
      </c>
      <c r="B90" s="50" t="n">
        <v>0</v>
      </c>
      <c r="C90" s="50" t="n">
        <v>0</v>
      </c>
      <c r="D90" s="119" t="n"/>
      <c r="E90" s="119" t="n"/>
      <c r="F90" t="n">
        <v>0</v>
      </c>
      <c r="L90" s="120">
        <f>IF($E$1="n",0,(SUM(F92:K92)-B92))</f>
        <v/>
      </c>
      <c r="M90" s="121">
        <f>_xludf.IFNA(_xlfn.XLOOKUP(A92,'00_SKU_Master'!$B$2:$B$378,'00_SKU_Master'!$C$2:$C$378,0),"")</f>
        <v/>
      </c>
      <c r="N90" s="122">
        <f>_xludf.IFNA(_xlfn.XLOOKUP(A92,'00_SKU_Master'!$B$2:$B$378,'00_SKU_Master'!$F$2:$F$378,0)*F92/_xlfn.XLOOKUP(A92,'00_SKU_Master'!$B$2:$B$378,'00_SKU_Master'!$O:$O,0),"")</f>
        <v/>
      </c>
      <c r="O90" s="122">
        <f>_xludf.IFNA(_xlfn.XLOOKUP($A92,'00_SKU_Master'!$B$2:$B$378,'00_SKU_Master'!$F$2:$F$378,0)*G92/_xlfn.XLOOKUP($A92,'00_SKU_Master'!$B$2:$B$378,'00_SKU_Master'!$O:$O,0),"")</f>
        <v/>
      </c>
      <c r="P90" s="122">
        <f>_xludf.IFNA(_xlfn.XLOOKUP($A92,'00_SKU_Master'!$B$2:$B$378,'00_SKU_Master'!$F$2:$F$378,0)*H92/_xlfn.XLOOKUP($A92,'00_SKU_Master'!$B$2:$B$378,'00_SKU_Master'!$O:$O,0),"")</f>
        <v/>
      </c>
      <c r="Q90" s="122">
        <f>_xludf.IFNA(_xlfn.XLOOKUP($A92,'00_SKU_Master'!$B$2:$B$378,'00_SKU_Master'!$F$2:$F$378,0)*I92/_xlfn.XLOOKUP($A92,'00_SKU_Master'!$B$2:$B$378,'00_SKU_Master'!$O:$O,0),"")</f>
        <v/>
      </c>
      <c r="R90" s="122">
        <f>_xludf.IFNA(_xlfn.XLOOKUP($A92,'00_SKU_Master'!$B$2:$B$378,'00_SKU_Master'!$F$2:$F$378,0)*J92/_xlfn.XLOOKUP($A92,'00_SKU_Master'!$B$2:$B$378,'00_SKU_Master'!$O:$O,0),"")</f>
        <v/>
      </c>
      <c r="S90" s="122">
        <f>_xludf.IFNA(_xlfn.XLOOKUP($A92,'00_SKU_Master'!$B$2:$B$378,'00_SKU_Master'!$F$2:$F$378,0)*K92/_xlfn.XLOOKUP($A92,'00_SKU_Master'!$B$2:$B$378,'00_SKU_Master'!$O:$O,0),"")</f>
        <v/>
      </c>
      <c r="T90" s="123">
        <f>SUM(N92:S92)</f>
        <v/>
      </c>
      <c r="U90" s="124">
        <f>'05_Daily_Orders'!L91</f>
        <v/>
      </c>
    </row>
    <row r="91">
      <c r="A91" s="118">
        <f>'05_Daily_Orders'!B92</f>
        <v/>
      </c>
      <c r="B91" s="50" t="n">
        <v>0</v>
      </c>
      <c r="C91" s="50" t="n">
        <v>0</v>
      </c>
      <c r="D91" s="119" t="n"/>
      <c r="E91" s="119" t="n"/>
      <c r="F91" t="n">
        <v>0</v>
      </c>
      <c r="L91" s="120">
        <f>IF($E$1="n",0,(SUM(F93:K93)-B93))</f>
        <v/>
      </c>
      <c r="M91" s="121">
        <f>_xludf.IFNA(_xlfn.XLOOKUP(A93,'00_SKU_Master'!$B$2:$B$378,'00_SKU_Master'!$C$2:$C$378,0),"")</f>
        <v/>
      </c>
      <c r="N91" s="122">
        <f>_xludf.IFNA(_xlfn.XLOOKUP(A93,'00_SKU_Master'!$B$2:$B$378,'00_SKU_Master'!$F$2:$F$378,0)*F93/_xlfn.XLOOKUP(A93,'00_SKU_Master'!$B$2:$B$378,'00_SKU_Master'!$O:$O,0),"")</f>
        <v/>
      </c>
      <c r="O91" s="122">
        <f>_xludf.IFNA(_xlfn.XLOOKUP($A93,'00_SKU_Master'!$B$2:$B$378,'00_SKU_Master'!$F$2:$F$378,0)*G93/_xlfn.XLOOKUP($A93,'00_SKU_Master'!$B$2:$B$378,'00_SKU_Master'!$O:$O,0),"")</f>
        <v/>
      </c>
      <c r="P91" s="122">
        <f>_xludf.IFNA(_xlfn.XLOOKUP($A93,'00_SKU_Master'!$B$2:$B$378,'00_SKU_Master'!$F$2:$F$378,0)*H93/_xlfn.XLOOKUP($A93,'00_SKU_Master'!$B$2:$B$378,'00_SKU_Master'!$O:$O,0),"")</f>
        <v/>
      </c>
      <c r="Q91" s="122">
        <f>_xludf.IFNA(_xlfn.XLOOKUP($A93,'00_SKU_Master'!$B$2:$B$378,'00_SKU_Master'!$F$2:$F$378,0)*I93/_xlfn.XLOOKUP($A93,'00_SKU_Master'!$B$2:$B$378,'00_SKU_Master'!$O:$O,0),"")</f>
        <v/>
      </c>
      <c r="R91" s="122">
        <f>_xludf.IFNA(_xlfn.XLOOKUP($A93,'00_SKU_Master'!$B$2:$B$378,'00_SKU_Master'!$F$2:$F$378,0)*J93/_xlfn.XLOOKUP($A93,'00_SKU_Master'!$B$2:$B$378,'00_SKU_Master'!$O:$O,0),"")</f>
        <v/>
      </c>
      <c r="S91" s="122">
        <f>_xludf.IFNA(_xlfn.XLOOKUP($A93,'00_SKU_Master'!$B$2:$B$378,'00_SKU_Master'!$F$2:$F$378,0)*K93/_xlfn.XLOOKUP($A93,'00_SKU_Master'!$B$2:$B$378,'00_SKU_Master'!$O:$O,0),"")</f>
        <v/>
      </c>
      <c r="T91" s="123">
        <f>SUM(N93:S93)</f>
        <v/>
      </c>
      <c r="U91" s="124">
        <f>'05_Daily_Orders'!L92</f>
        <v/>
      </c>
    </row>
    <row r="92">
      <c r="A92" s="118">
        <f>'05_Daily_Orders'!B93</f>
        <v/>
      </c>
      <c r="B92" s="50" t="n">
        <v>0</v>
      </c>
      <c r="C92" s="50" t="n">
        <v>0</v>
      </c>
      <c r="D92" s="119" t="n"/>
      <c r="E92" s="119" t="n"/>
      <c r="F92" t="n">
        <v>0</v>
      </c>
      <c r="L92" s="120">
        <f>IF($E$1="n",0,(SUM(F94:K94)-B94))</f>
        <v/>
      </c>
      <c r="M92" s="121">
        <f>_xludf.IFNA(_xlfn.XLOOKUP(A94,'00_SKU_Master'!$B$2:$B$378,'00_SKU_Master'!$C$2:$C$378,0),"")</f>
        <v/>
      </c>
      <c r="N92" s="122">
        <f>_xludf.IFNA(_xlfn.XLOOKUP(A94,'00_SKU_Master'!$B$2:$B$378,'00_SKU_Master'!$F$2:$F$378,0)*F94/_xlfn.XLOOKUP(A94,'00_SKU_Master'!$B$2:$B$378,'00_SKU_Master'!$O:$O,0),"")</f>
        <v/>
      </c>
      <c r="O92" s="122">
        <f>_xludf.IFNA(_xlfn.XLOOKUP($A94,'00_SKU_Master'!$B$2:$B$378,'00_SKU_Master'!$F$2:$F$378,0)*G94/_xlfn.XLOOKUP($A94,'00_SKU_Master'!$B$2:$B$378,'00_SKU_Master'!$O:$O,0),"")</f>
        <v/>
      </c>
      <c r="P92" s="122">
        <f>_xludf.IFNA(_xlfn.XLOOKUP($A94,'00_SKU_Master'!$B$2:$B$378,'00_SKU_Master'!$F$2:$F$378,0)*H94/_xlfn.XLOOKUP($A94,'00_SKU_Master'!$B$2:$B$378,'00_SKU_Master'!$O:$O,0),"")</f>
        <v/>
      </c>
      <c r="Q92" s="122">
        <f>_xludf.IFNA(_xlfn.XLOOKUP($A94,'00_SKU_Master'!$B$2:$B$378,'00_SKU_Master'!$F$2:$F$378,0)*I94/_xlfn.XLOOKUP($A94,'00_SKU_Master'!$B$2:$B$378,'00_SKU_Master'!$O:$O,0),"")</f>
        <v/>
      </c>
      <c r="R92" s="122">
        <f>_xludf.IFNA(_xlfn.XLOOKUP($A94,'00_SKU_Master'!$B$2:$B$378,'00_SKU_Master'!$F$2:$F$378,0)*J94/_xlfn.XLOOKUP($A94,'00_SKU_Master'!$B$2:$B$378,'00_SKU_Master'!$O:$O,0),"")</f>
        <v/>
      </c>
      <c r="S92" s="122">
        <f>_xludf.IFNA(_xlfn.XLOOKUP($A94,'00_SKU_Master'!$B$2:$B$378,'00_SKU_Master'!$F$2:$F$378,0)*K94/_xlfn.XLOOKUP($A94,'00_SKU_Master'!$B$2:$B$378,'00_SKU_Master'!$O:$O,0),"")</f>
        <v/>
      </c>
      <c r="T92" s="123">
        <f>SUM(N94:S94)</f>
        <v/>
      </c>
      <c r="U92" s="124">
        <f>'05_Daily_Orders'!L93</f>
        <v/>
      </c>
    </row>
    <row r="93">
      <c r="A93" s="118">
        <f>'05_Daily_Orders'!B94</f>
        <v/>
      </c>
      <c r="B93" s="50" t="n">
        <v>0</v>
      </c>
      <c r="C93" s="50" t="n">
        <v>0</v>
      </c>
      <c r="D93" s="119" t="n"/>
      <c r="E93" s="119" t="n"/>
      <c r="F93" t="n">
        <v>0</v>
      </c>
      <c r="L93" s="120">
        <f>IF($E$1="n",0,(SUM(F95:K95)-B95))</f>
        <v/>
      </c>
      <c r="M93" s="121">
        <f>_xludf.IFNA(_xlfn.XLOOKUP(A95,'00_SKU_Master'!$B$2:$B$378,'00_SKU_Master'!$C$2:$C$378,0),"")</f>
        <v/>
      </c>
      <c r="N93" s="122">
        <f>_xludf.IFNA(_xlfn.XLOOKUP(A95,'00_SKU_Master'!$B$2:$B$378,'00_SKU_Master'!$F$2:$F$378,0)*F95/_xlfn.XLOOKUP(A95,'00_SKU_Master'!$B$2:$B$378,'00_SKU_Master'!$O:$O,0),"")</f>
        <v/>
      </c>
      <c r="O93" s="122">
        <f>_xludf.IFNA(_xlfn.XLOOKUP($A95,'00_SKU_Master'!$B$2:$B$378,'00_SKU_Master'!$F$2:$F$378,0)*G95/_xlfn.XLOOKUP($A95,'00_SKU_Master'!$B$2:$B$378,'00_SKU_Master'!$O:$O,0),"")</f>
        <v/>
      </c>
      <c r="P93" s="122">
        <f>_xludf.IFNA(_xlfn.XLOOKUP($A95,'00_SKU_Master'!$B$2:$B$378,'00_SKU_Master'!$F$2:$F$378,0)*H95/_xlfn.XLOOKUP($A95,'00_SKU_Master'!$B$2:$B$378,'00_SKU_Master'!$O:$O,0),"")</f>
        <v/>
      </c>
      <c r="Q93" s="122">
        <f>_xludf.IFNA(_xlfn.XLOOKUP($A95,'00_SKU_Master'!$B$2:$B$378,'00_SKU_Master'!$F$2:$F$378,0)*I95/_xlfn.XLOOKUP($A95,'00_SKU_Master'!$B$2:$B$378,'00_SKU_Master'!$O:$O,0),"")</f>
        <v/>
      </c>
      <c r="R93" s="122">
        <f>_xludf.IFNA(_xlfn.XLOOKUP($A95,'00_SKU_Master'!$B$2:$B$378,'00_SKU_Master'!$F$2:$F$378,0)*J95/_xlfn.XLOOKUP($A95,'00_SKU_Master'!$B$2:$B$378,'00_SKU_Master'!$O:$O,0),"")</f>
        <v/>
      </c>
      <c r="S93" s="122">
        <f>_xludf.IFNA(_xlfn.XLOOKUP($A95,'00_SKU_Master'!$B$2:$B$378,'00_SKU_Master'!$F$2:$F$378,0)*K95/_xlfn.XLOOKUP($A95,'00_SKU_Master'!$B$2:$B$378,'00_SKU_Master'!$O:$O,0),"")</f>
        <v/>
      </c>
      <c r="T93" s="123">
        <f>SUM(N95:S95)</f>
        <v/>
      </c>
      <c r="U93" s="124">
        <f>'05_Daily_Orders'!L94</f>
        <v/>
      </c>
    </row>
    <row r="94">
      <c r="A94" s="118">
        <f>'05_Daily_Orders'!B95</f>
        <v/>
      </c>
      <c r="B94" s="50" t="n">
        <v>0</v>
      </c>
      <c r="C94" s="50" t="n">
        <v>0</v>
      </c>
      <c r="D94" s="119" t="n"/>
      <c r="E94" s="119" t="n"/>
      <c r="F94" t="n">
        <v>0</v>
      </c>
      <c r="L94" s="120">
        <f>IF($E$1="n",0,(SUM(F96:K96)-B96))</f>
        <v/>
      </c>
      <c r="M94" s="121">
        <f>_xludf.IFNA(_xlfn.XLOOKUP(A96,'00_SKU_Master'!$B$2:$B$378,'00_SKU_Master'!$C$2:$C$378,0),"")</f>
        <v/>
      </c>
      <c r="N94" s="122">
        <f>_xludf.IFNA(_xlfn.XLOOKUP(A96,'00_SKU_Master'!$B$2:$B$378,'00_SKU_Master'!$F$2:$F$378,0)*F96/_xlfn.XLOOKUP(A96,'00_SKU_Master'!$B$2:$B$378,'00_SKU_Master'!$O:$O,0),"")</f>
        <v/>
      </c>
      <c r="O94" s="122">
        <f>_xludf.IFNA(_xlfn.XLOOKUP($A96,'00_SKU_Master'!$B$2:$B$378,'00_SKU_Master'!$F$2:$F$378,0)*G96/_xlfn.XLOOKUP($A96,'00_SKU_Master'!$B$2:$B$378,'00_SKU_Master'!$O:$O,0),"")</f>
        <v/>
      </c>
      <c r="P94" s="122">
        <f>_xludf.IFNA(_xlfn.XLOOKUP($A96,'00_SKU_Master'!$B$2:$B$378,'00_SKU_Master'!$F$2:$F$378,0)*H96/_xlfn.XLOOKUP($A96,'00_SKU_Master'!$B$2:$B$378,'00_SKU_Master'!$O:$O,0),"")</f>
        <v/>
      </c>
      <c r="Q94" s="122">
        <f>_xludf.IFNA(_xlfn.XLOOKUP($A96,'00_SKU_Master'!$B$2:$B$378,'00_SKU_Master'!$F$2:$F$378,0)*I96/_xlfn.XLOOKUP($A96,'00_SKU_Master'!$B$2:$B$378,'00_SKU_Master'!$O:$O,0),"")</f>
        <v/>
      </c>
      <c r="R94" s="122">
        <f>_xludf.IFNA(_xlfn.XLOOKUP($A96,'00_SKU_Master'!$B$2:$B$378,'00_SKU_Master'!$F$2:$F$378,0)*J96/_xlfn.XLOOKUP($A96,'00_SKU_Master'!$B$2:$B$378,'00_SKU_Master'!$O:$O,0),"")</f>
        <v/>
      </c>
      <c r="S94" s="122">
        <f>_xludf.IFNA(_xlfn.XLOOKUP($A96,'00_SKU_Master'!$B$2:$B$378,'00_SKU_Master'!$F$2:$F$378,0)*K96/_xlfn.XLOOKUP($A96,'00_SKU_Master'!$B$2:$B$378,'00_SKU_Master'!$O:$O,0),"")</f>
        <v/>
      </c>
      <c r="T94" s="123">
        <f>SUM(N96:S96)</f>
        <v/>
      </c>
      <c r="U94" s="124">
        <f>'05_Daily_Orders'!L95</f>
        <v/>
      </c>
    </row>
    <row r="95">
      <c r="A95" s="118">
        <f>'05_Daily_Orders'!B96</f>
        <v/>
      </c>
      <c r="B95" s="50" t="n">
        <v>0</v>
      </c>
      <c r="C95" s="50" t="n">
        <v>0</v>
      </c>
      <c r="D95" s="119" t="n"/>
      <c r="E95" s="119" t="n"/>
      <c r="F95" t="n">
        <v>0</v>
      </c>
      <c r="L95" s="120">
        <f>IF($E$1="n",0,(SUM(F97:K97)-B97))</f>
        <v/>
      </c>
      <c r="M95" s="121">
        <f>_xludf.IFNA(_xlfn.XLOOKUP(A97,'00_SKU_Master'!$B$2:$B$378,'00_SKU_Master'!$C$2:$C$378,0),"")</f>
        <v/>
      </c>
      <c r="N95" s="122">
        <f>_xludf.IFNA(_xlfn.XLOOKUP(A97,'00_SKU_Master'!$B$2:$B$378,'00_SKU_Master'!$F$2:$F$378,0)*F97/_xlfn.XLOOKUP(A97,'00_SKU_Master'!$B$2:$B$378,'00_SKU_Master'!$O:$O,0),"")</f>
        <v/>
      </c>
      <c r="O95" s="122">
        <f>_xludf.IFNA(_xlfn.XLOOKUP($A97,'00_SKU_Master'!$B$2:$B$378,'00_SKU_Master'!$F$2:$F$378,0)*G97/_xlfn.XLOOKUP($A97,'00_SKU_Master'!$B$2:$B$378,'00_SKU_Master'!$O:$O,0),"")</f>
        <v/>
      </c>
      <c r="P95" s="122">
        <f>_xludf.IFNA(_xlfn.XLOOKUP($A97,'00_SKU_Master'!$B$2:$B$378,'00_SKU_Master'!$F$2:$F$378,0)*H97/_xlfn.XLOOKUP($A97,'00_SKU_Master'!$B$2:$B$378,'00_SKU_Master'!$O:$O,0),"")</f>
        <v/>
      </c>
      <c r="Q95" s="122">
        <f>_xludf.IFNA(_xlfn.XLOOKUP($A97,'00_SKU_Master'!$B$2:$B$378,'00_SKU_Master'!$F$2:$F$378,0)*I97/_xlfn.XLOOKUP($A97,'00_SKU_Master'!$B$2:$B$378,'00_SKU_Master'!$O:$O,0),"")</f>
        <v/>
      </c>
      <c r="R95" s="122">
        <f>_xludf.IFNA(_xlfn.XLOOKUP($A97,'00_SKU_Master'!$B$2:$B$378,'00_SKU_Master'!$F$2:$F$378,0)*J97/_xlfn.XLOOKUP($A97,'00_SKU_Master'!$B$2:$B$378,'00_SKU_Master'!$O:$O,0),"")</f>
        <v/>
      </c>
      <c r="S95" s="122">
        <f>_xludf.IFNA(_xlfn.XLOOKUP($A97,'00_SKU_Master'!$B$2:$B$378,'00_SKU_Master'!$F$2:$F$378,0)*K97/_xlfn.XLOOKUP($A97,'00_SKU_Master'!$B$2:$B$378,'00_SKU_Master'!$O:$O,0),"")</f>
        <v/>
      </c>
      <c r="T95" s="123">
        <f>SUM(N97:S97)</f>
        <v/>
      </c>
      <c r="U95" s="124">
        <f>'05_Daily_Orders'!L96</f>
        <v/>
      </c>
    </row>
    <row r="96">
      <c r="A96" s="118">
        <f>'05_Daily_Orders'!B97</f>
        <v/>
      </c>
      <c r="B96" s="50" t="n">
        <v>0</v>
      </c>
      <c r="C96" s="50" t="n">
        <v>0</v>
      </c>
      <c r="D96" s="119" t="n"/>
      <c r="E96" s="119" t="n"/>
      <c r="F96" t="n">
        <v>0</v>
      </c>
      <c r="L96" s="120">
        <f>IF($E$1="n",0,(SUM(F98:K98)-B98))</f>
        <v/>
      </c>
      <c r="M96" s="121">
        <f>_xludf.IFNA(_xlfn.XLOOKUP(A98,'00_SKU_Master'!$B$2:$B$378,'00_SKU_Master'!$C$2:$C$378,0),"")</f>
        <v/>
      </c>
      <c r="N96" s="122">
        <f>_xludf.IFNA(_xlfn.XLOOKUP(A98,'00_SKU_Master'!$B$2:$B$378,'00_SKU_Master'!$F$2:$F$378,0)*F98/_xlfn.XLOOKUP(A98,'00_SKU_Master'!$B$2:$B$378,'00_SKU_Master'!$O:$O,0),"")</f>
        <v/>
      </c>
      <c r="O96" s="122">
        <f>_xludf.IFNA(_xlfn.XLOOKUP($A98,'00_SKU_Master'!$B$2:$B$378,'00_SKU_Master'!$F$2:$F$378,0)*G98/_xlfn.XLOOKUP($A98,'00_SKU_Master'!$B$2:$B$378,'00_SKU_Master'!$O:$O,0),"")</f>
        <v/>
      </c>
      <c r="P96" s="122">
        <f>_xludf.IFNA(_xlfn.XLOOKUP($A98,'00_SKU_Master'!$B$2:$B$378,'00_SKU_Master'!$F$2:$F$378,0)*H98/_xlfn.XLOOKUP($A98,'00_SKU_Master'!$B$2:$B$378,'00_SKU_Master'!$O:$O,0),"")</f>
        <v/>
      </c>
      <c r="Q96" s="122">
        <f>_xludf.IFNA(_xlfn.XLOOKUP($A98,'00_SKU_Master'!$B$2:$B$378,'00_SKU_Master'!$F$2:$F$378,0)*I98/_xlfn.XLOOKUP($A98,'00_SKU_Master'!$B$2:$B$378,'00_SKU_Master'!$O:$O,0),"")</f>
        <v/>
      </c>
      <c r="R96" s="122">
        <f>_xludf.IFNA(_xlfn.XLOOKUP($A98,'00_SKU_Master'!$B$2:$B$378,'00_SKU_Master'!$F$2:$F$378,0)*J98/_xlfn.XLOOKUP($A98,'00_SKU_Master'!$B$2:$B$378,'00_SKU_Master'!$O:$O,0),"")</f>
        <v/>
      </c>
      <c r="S96" s="122">
        <f>_xludf.IFNA(_xlfn.XLOOKUP($A98,'00_SKU_Master'!$B$2:$B$378,'00_SKU_Master'!$F$2:$F$378,0)*K98/_xlfn.XLOOKUP($A98,'00_SKU_Master'!$B$2:$B$378,'00_SKU_Master'!$O:$O,0),"")</f>
        <v/>
      </c>
      <c r="T96" s="123">
        <f>SUM(N98:S98)</f>
        <v/>
      </c>
      <c r="U96" s="124">
        <f>'05_Daily_Orders'!L97</f>
        <v/>
      </c>
    </row>
    <row r="97">
      <c r="A97" s="118">
        <f>'05_Daily_Orders'!B98</f>
        <v/>
      </c>
      <c r="B97" s="50" t="n">
        <v>0</v>
      </c>
      <c r="C97" s="50" t="n">
        <v>0</v>
      </c>
      <c r="D97" s="119" t="n"/>
      <c r="E97" s="119" t="n"/>
      <c r="F97" t="n">
        <v>0</v>
      </c>
      <c r="L97" s="120">
        <f>IF($E$1="n",0,(SUM(F99:K99)-B99))</f>
        <v/>
      </c>
      <c r="M97" s="121">
        <f>_xludf.IFNA(_xlfn.XLOOKUP(A99,'00_SKU_Master'!$B$2:$B$378,'00_SKU_Master'!$C$2:$C$378,0),"")</f>
        <v/>
      </c>
      <c r="N97" s="122">
        <f>_xludf.IFNA(_xlfn.XLOOKUP(A99,'00_SKU_Master'!$B$2:$B$378,'00_SKU_Master'!$F$2:$F$378,0)*F99/_xlfn.XLOOKUP(A99,'00_SKU_Master'!$B$2:$B$378,'00_SKU_Master'!$O:$O,0),"")</f>
        <v/>
      </c>
      <c r="O97" s="122">
        <f>_xludf.IFNA(_xlfn.XLOOKUP($A99,'00_SKU_Master'!$B$2:$B$378,'00_SKU_Master'!$F$2:$F$378,0)*G99/_xlfn.XLOOKUP($A99,'00_SKU_Master'!$B$2:$B$378,'00_SKU_Master'!$O:$O,0),"")</f>
        <v/>
      </c>
      <c r="P97" s="122">
        <f>_xludf.IFNA(_xlfn.XLOOKUP($A99,'00_SKU_Master'!$B$2:$B$378,'00_SKU_Master'!$F$2:$F$378,0)*H99/_xlfn.XLOOKUP($A99,'00_SKU_Master'!$B$2:$B$378,'00_SKU_Master'!$O:$O,0),"")</f>
        <v/>
      </c>
      <c r="Q97" s="122">
        <f>_xludf.IFNA(_xlfn.XLOOKUP($A99,'00_SKU_Master'!$B$2:$B$378,'00_SKU_Master'!$F$2:$F$378,0)*I99/_xlfn.XLOOKUP($A99,'00_SKU_Master'!$B$2:$B$378,'00_SKU_Master'!$O:$O,0),"")</f>
        <v/>
      </c>
      <c r="R97" s="122">
        <f>_xludf.IFNA(_xlfn.XLOOKUP($A99,'00_SKU_Master'!$B$2:$B$378,'00_SKU_Master'!$F$2:$F$378,0)*J99/_xlfn.XLOOKUP($A99,'00_SKU_Master'!$B$2:$B$378,'00_SKU_Master'!$O:$O,0),"")</f>
        <v/>
      </c>
      <c r="S97" s="122">
        <f>_xludf.IFNA(_xlfn.XLOOKUP($A99,'00_SKU_Master'!$B$2:$B$378,'00_SKU_Master'!$F$2:$F$378,0)*K99/_xlfn.XLOOKUP($A99,'00_SKU_Master'!$B$2:$B$378,'00_SKU_Master'!$O:$O,0),"")</f>
        <v/>
      </c>
      <c r="T97" s="123">
        <f>SUM(N99:S99)</f>
        <v/>
      </c>
      <c r="U97" s="124">
        <f>'05_Daily_Orders'!L98</f>
        <v/>
      </c>
    </row>
    <row r="98">
      <c r="A98" s="118">
        <f>'05_Daily_Orders'!B99</f>
        <v/>
      </c>
      <c r="B98" s="50" t="n">
        <v>0</v>
      </c>
      <c r="C98" s="50" t="n">
        <v>0</v>
      </c>
      <c r="D98" s="119" t="n"/>
      <c r="E98" s="119" t="n"/>
      <c r="F98" t="n">
        <v>0</v>
      </c>
      <c r="L98" s="120">
        <f>IF($E$1="n",0,(SUM(F100:K100)-B100))</f>
        <v/>
      </c>
      <c r="M98" s="121">
        <f>_xludf.IFNA(_xlfn.XLOOKUP(A100,'00_SKU_Master'!$B$2:$B$378,'00_SKU_Master'!$C$2:$C$378,0),"")</f>
        <v/>
      </c>
      <c r="N98" s="122">
        <f>_xludf.IFNA(_xlfn.XLOOKUP(A100,'00_SKU_Master'!$B$2:$B$378,'00_SKU_Master'!$F$2:$F$378,0)*F100/_xlfn.XLOOKUP(A100,'00_SKU_Master'!$B$2:$B$378,'00_SKU_Master'!$O:$O,0),"")</f>
        <v/>
      </c>
      <c r="O98" s="122">
        <f>_xludf.IFNA(_xlfn.XLOOKUP($A100,'00_SKU_Master'!$B$2:$B$378,'00_SKU_Master'!$F$2:$F$378,0)*G100/_xlfn.XLOOKUP($A100,'00_SKU_Master'!$B$2:$B$378,'00_SKU_Master'!$O:$O,0),"")</f>
        <v/>
      </c>
      <c r="P98" s="122">
        <f>_xludf.IFNA(_xlfn.XLOOKUP($A100,'00_SKU_Master'!$B$2:$B$378,'00_SKU_Master'!$F$2:$F$378,0)*H100/_xlfn.XLOOKUP($A100,'00_SKU_Master'!$B$2:$B$378,'00_SKU_Master'!$O:$O,0),"")</f>
        <v/>
      </c>
      <c r="Q98" s="122">
        <f>_xludf.IFNA(_xlfn.XLOOKUP($A100,'00_SKU_Master'!$B$2:$B$378,'00_SKU_Master'!$F$2:$F$378,0)*I100/_xlfn.XLOOKUP($A100,'00_SKU_Master'!$B$2:$B$378,'00_SKU_Master'!$O:$O,0),"")</f>
        <v/>
      </c>
      <c r="R98" s="122">
        <f>_xludf.IFNA(_xlfn.XLOOKUP($A100,'00_SKU_Master'!$B$2:$B$378,'00_SKU_Master'!$F$2:$F$378,0)*J100/_xlfn.XLOOKUP($A100,'00_SKU_Master'!$B$2:$B$378,'00_SKU_Master'!$O:$O,0),"")</f>
        <v/>
      </c>
      <c r="S98" s="122">
        <f>_xludf.IFNA(_xlfn.XLOOKUP($A100,'00_SKU_Master'!$B$2:$B$378,'00_SKU_Master'!$F$2:$F$378,0)*K100/_xlfn.XLOOKUP($A100,'00_SKU_Master'!$B$2:$B$378,'00_SKU_Master'!$O:$O,0),"")</f>
        <v/>
      </c>
      <c r="T98" s="123">
        <f>SUM(N100:S100)</f>
        <v/>
      </c>
      <c r="U98" s="124">
        <f>'05_Daily_Orders'!L99</f>
        <v/>
      </c>
    </row>
    <row r="99">
      <c r="A99" s="118">
        <f>'05_Daily_Orders'!B100</f>
        <v/>
      </c>
      <c r="B99" s="50" t="n">
        <v>0</v>
      </c>
      <c r="C99" s="50" t="n">
        <v>0</v>
      </c>
      <c r="D99" s="119" t="n"/>
      <c r="E99" s="119" t="n"/>
      <c r="F99" t="n">
        <v>0</v>
      </c>
      <c r="L99" s="120">
        <f>IF($E$1="n",0,(SUM(F101:K101)-B101))</f>
        <v/>
      </c>
      <c r="M99" s="121">
        <f>_xludf.IFNA(_xlfn.XLOOKUP(A101,'00_SKU_Master'!$B$2:$B$378,'00_SKU_Master'!$C$2:$C$378,0),"")</f>
        <v/>
      </c>
      <c r="N99" s="122">
        <f>_xludf.IFNA(_xlfn.XLOOKUP(A101,'00_SKU_Master'!$B$2:$B$378,'00_SKU_Master'!$F$2:$F$378,0)*F101/_xlfn.XLOOKUP(A101,'00_SKU_Master'!$B$2:$B$378,'00_SKU_Master'!$O:$O,0),"")</f>
        <v/>
      </c>
      <c r="O99" s="122">
        <f>_xludf.IFNA(_xlfn.XLOOKUP($A101,'00_SKU_Master'!$B$2:$B$378,'00_SKU_Master'!$F$2:$F$378,0)*G101/_xlfn.XLOOKUP($A101,'00_SKU_Master'!$B$2:$B$378,'00_SKU_Master'!$O:$O,0),"")</f>
        <v/>
      </c>
      <c r="P99" s="122">
        <f>_xludf.IFNA(_xlfn.XLOOKUP($A101,'00_SKU_Master'!$B$2:$B$378,'00_SKU_Master'!$F$2:$F$378,0)*H101/_xlfn.XLOOKUP($A101,'00_SKU_Master'!$B$2:$B$378,'00_SKU_Master'!$O:$O,0),"")</f>
        <v/>
      </c>
      <c r="Q99" s="122">
        <f>_xludf.IFNA(_xlfn.XLOOKUP($A101,'00_SKU_Master'!$B$2:$B$378,'00_SKU_Master'!$F$2:$F$378,0)*I101/_xlfn.XLOOKUP($A101,'00_SKU_Master'!$B$2:$B$378,'00_SKU_Master'!$O:$O,0),"")</f>
        <v/>
      </c>
      <c r="R99" s="122">
        <f>_xludf.IFNA(_xlfn.XLOOKUP($A101,'00_SKU_Master'!$B$2:$B$378,'00_SKU_Master'!$F$2:$F$378,0)*J101/_xlfn.XLOOKUP($A101,'00_SKU_Master'!$B$2:$B$378,'00_SKU_Master'!$O:$O,0),"")</f>
        <v/>
      </c>
      <c r="S99" s="122">
        <f>_xludf.IFNA(_xlfn.XLOOKUP($A101,'00_SKU_Master'!$B$2:$B$378,'00_SKU_Master'!$F$2:$F$378,0)*K101/_xlfn.XLOOKUP($A101,'00_SKU_Master'!$B$2:$B$378,'00_SKU_Master'!$O:$O,0),"")</f>
        <v/>
      </c>
      <c r="T99" s="123">
        <f>SUM(N101:S101)</f>
        <v/>
      </c>
      <c r="U99" s="124">
        <f>'05_Daily_Orders'!L100</f>
        <v/>
      </c>
    </row>
    <row r="100">
      <c r="A100" s="118">
        <f>'05_Daily_Orders'!B101</f>
        <v/>
      </c>
      <c r="B100" s="50" t="n">
        <v>0</v>
      </c>
      <c r="C100" s="50" t="n">
        <v>0</v>
      </c>
      <c r="D100" s="119" t="n"/>
      <c r="E100" s="119" t="n"/>
      <c r="F100" t="n">
        <v>0</v>
      </c>
      <c r="L100" s="120">
        <f>IF($E$1="n",0,(SUM(F102:K102)-B102))</f>
        <v/>
      </c>
      <c r="M100" s="121">
        <f>_xludf.IFNA(_xlfn.XLOOKUP(A102,'00_SKU_Master'!$B$2:$B$378,'00_SKU_Master'!$C$2:$C$378,0),"")</f>
        <v/>
      </c>
      <c r="N100" s="122">
        <f>_xludf.IFNA(_xlfn.XLOOKUP(A102,'00_SKU_Master'!$B$2:$B$378,'00_SKU_Master'!$F$2:$F$378,0)*F102/_xlfn.XLOOKUP(A102,'00_SKU_Master'!$B$2:$B$378,'00_SKU_Master'!$O:$O,0),"")</f>
        <v/>
      </c>
      <c r="O100" s="122">
        <f>_xludf.IFNA(_xlfn.XLOOKUP($A102,'00_SKU_Master'!$B$2:$B$378,'00_SKU_Master'!$F$2:$F$378,0)*G102/_xlfn.XLOOKUP($A102,'00_SKU_Master'!$B$2:$B$378,'00_SKU_Master'!$O:$O,0),"")</f>
        <v/>
      </c>
      <c r="P100" s="122">
        <f>_xludf.IFNA(_xlfn.XLOOKUP($A102,'00_SKU_Master'!$B$2:$B$378,'00_SKU_Master'!$F$2:$F$378,0)*H102/_xlfn.XLOOKUP($A102,'00_SKU_Master'!$B$2:$B$378,'00_SKU_Master'!$O:$O,0),"")</f>
        <v/>
      </c>
      <c r="Q100" s="122">
        <f>_xludf.IFNA(_xlfn.XLOOKUP($A102,'00_SKU_Master'!$B$2:$B$378,'00_SKU_Master'!$F$2:$F$378,0)*I102/_xlfn.XLOOKUP($A102,'00_SKU_Master'!$B$2:$B$378,'00_SKU_Master'!$O:$O,0),"")</f>
        <v/>
      </c>
      <c r="R100" s="122">
        <f>_xludf.IFNA(_xlfn.XLOOKUP($A102,'00_SKU_Master'!$B$2:$B$378,'00_SKU_Master'!$F$2:$F$378,0)*J102/_xlfn.XLOOKUP($A102,'00_SKU_Master'!$B$2:$B$378,'00_SKU_Master'!$O:$O,0),"")</f>
        <v/>
      </c>
      <c r="S100" s="122">
        <f>_xludf.IFNA(_xlfn.XLOOKUP($A102,'00_SKU_Master'!$B$2:$B$378,'00_SKU_Master'!$F$2:$F$378,0)*K102/_xlfn.XLOOKUP($A102,'00_SKU_Master'!$B$2:$B$378,'00_SKU_Master'!$O:$O,0),"")</f>
        <v/>
      </c>
      <c r="T100" s="123">
        <f>SUM(N102:S102)</f>
        <v/>
      </c>
      <c r="U100" s="124">
        <f>'05_Daily_Orders'!L101</f>
        <v/>
      </c>
    </row>
    <row r="101">
      <c r="A101" s="118">
        <f>'05_Daily_Orders'!B102</f>
        <v/>
      </c>
      <c r="B101" s="50" t="n">
        <v>0</v>
      </c>
      <c r="C101" s="50" t="n">
        <v>0</v>
      </c>
      <c r="D101" s="119" t="n"/>
      <c r="E101" s="119" t="n"/>
      <c r="F101" t="n">
        <v>0</v>
      </c>
      <c r="L101" s="120">
        <f>IF($E$1="n",0,(SUM(F103:K103)-B103))</f>
        <v/>
      </c>
      <c r="M101" s="121">
        <f>_xludf.IFNA(_xlfn.XLOOKUP(A103,'00_SKU_Master'!$B$2:$B$378,'00_SKU_Master'!$C$2:$C$378,0),"")</f>
        <v/>
      </c>
      <c r="N101" s="122">
        <f>_xludf.IFNA(_xlfn.XLOOKUP(A103,'00_SKU_Master'!$B$2:$B$378,'00_SKU_Master'!$F$2:$F$378,0)*F103/_xlfn.XLOOKUP(A103,'00_SKU_Master'!$B$2:$B$378,'00_SKU_Master'!$O:$O,0),"")</f>
        <v/>
      </c>
      <c r="O101" s="122">
        <f>_xludf.IFNA(_xlfn.XLOOKUP($A103,'00_SKU_Master'!$B$2:$B$378,'00_SKU_Master'!$F$2:$F$378,0)*G103/_xlfn.XLOOKUP($A103,'00_SKU_Master'!$B$2:$B$378,'00_SKU_Master'!$O:$O,0),"")</f>
        <v/>
      </c>
      <c r="P101" s="122">
        <f>_xludf.IFNA(_xlfn.XLOOKUP($A103,'00_SKU_Master'!$B$2:$B$378,'00_SKU_Master'!$F$2:$F$378,0)*H103/_xlfn.XLOOKUP($A103,'00_SKU_Master'!$B$2:$B$378,'00_SKU_Master'!$O:$O,0),"")</f>
        <v/>
      </c>
      <c r="Q101" s="122">
        <f>_xludf.IFNA(_xlfn.XLOOKUP($A103,'00_SKU_Master'!$B$2:$B$378,'00_SKU_Master'!$F$2:$F$378,0)*I103/_xlfn.XLOOKUP($A103,'00_SKU_Master'!$B$2:$B$378,'00_SKU_Master'!$O:$O,0),"")</f>
        <v/>
      </c>
      <c r="R101" s="122">
        <f>_xludf.IFNA(_xlfn.XLOOKUP($A103,'00_SKU_Master'!$B$2:$B$378,'00_SKU_Master'!$F$2:$F$378,0)*J103/_xlfn.XLOOKUP($A103,'00_SKU_Master'!$B$2:$B$378,'00_SKU_Master'!$O:$O,0),"")</f>
        <v/>
      </c>
      <c r="S101" s="122">
        <f>_xludf.IFNA(_xlfn.XLOOKUP($A103,'00_SKU_Master'!$B$2:$B$378,'00_SKU_Master'!$F$2:$F$378,0)*K103/_xlfn.XLOOKUP($A103,'00_SKU_Master'!$B$2:$B$378,'00_SKU_Master'!$O:$O,0),"")</f>
        <v/>
      </c>
      <c r="T101" s="123">
        <f>SUM(N103:S103)</f>
        <v/>
      </c>
      <c r="U101" s="124">
        <f>'05_Daily_Orders'!L102</f>
        <v/>
      </c>
    </row>
    <row r="102">
      <c r="A102" s="118">
        <f>'05_Daily_Orders'!B103</f>
        <v/>
      </c>
      <c r="B102" s="50" t="n">
        <v>0</v>
      </c>
      <c r="C102" s="50" t="n">
        <v>0</v>
      </c>
      <c r="D102" s="119" t="n"/>
      <c r="E102" s="119" t="n"/>
      <c r="F102" t="n">
        <v>0</v>
      </c>
      <c r="L102" s="120">
        <f>IF($E$1="n",0,(SUM(F104:K104)-B104))</f>
        <v/>
      </c>
      <c r="M102" s="121">
        <f>_xludf.IFNA(_xlfn.XLOOKUP(A104,'00_SKU_Master'!$B$2:$B$378,'00_SKU_Master'!$C$2:$C$378,0),"")</f>
        <v/>
      </c>
      <c r="N102" s="122">
        <f>_xludf.IFNA(_xlfn.XLOOKUP(A104,'00_SKU_Master'!$B$2:$B$378,'00_SKU_Master'!$F$2:$F$378,0)*F104/_xlfn.XLOOKUP(A104,'00_SKU_Master'!$B$2:$B$378,'00_SKU_Master'!$O:$O,0),"")</f>
        <v/>
      </c>
      <c r="O102" s="122">
        <f>_xludf.IFNA(_xlfn.XLOOKUP($A104,'00_SKU_Master'!$B$2:$B$378,'00_SKU_Master'!$F$2:$F$378,0)*G104/_xlfn.XLOOKUP($A104,'00_SKU_Master'!$B$2:$B$378,'00_SKU_Master'!$O:$O,0),"")</f>
        <v/>
      </c>
      <c r="P102" s="122">
        <f>_xludf.IFNA(_xlfn.XLOOKUP($A104,'00_SKU_Master'!$B$2:$B$378,'00_SKU_Master'!$F$2:$F$378,0)*H104/_xlfn.XLOOKUP($A104,'00_SKU_Master'!$B$2:$B$378,'00_SKU_Master'!$O:$O,0),"")</f>
        <v/>
      </c>
      <c r="Q102" s="122">
        <f>_xludf.IFNA(_xlfn.XLOOKUP($A104,'00_SKU_Master'!$B$2:$B$378,'00_SKU_Master'!$F$2:$F$378,0)*I104/_xlfn.XLOOKUP($A104,'00_SKU_Master'!$B$2:$B$378,'00_SKU_Master'!$O:$O,0),"")</f>
        <v/>
      </c>
      <c r="R102" s="122">
        <f>_xludf.IFNA(_xlfn.XLOOKUP($A104,'00_SKU_Master'!$B$2:$B$378,'00_SKU_Master'!$F$2:$F$378,0)*J104/_xlfn.XLOOKUP($A104,'00_SKU_Master'!$B$2:$B$378,'00_SKU_Master'!$O:$O,0),"")</f>
        <v/>
      </c>
      <c r="S102" s="122">
        <f>_xludf.IFNA(_xlfn.XLOOKUP($A104,'00_SKU_Master'!$B$2:$B$378,'00_SKU_Master'!$F$2:$F$378,0)*K104/_xlfn.XLOOKUP($A104,'00_SKU_Master'!$B$2:$B$378,'00_SKU_Master'!$O:$O,0),"")</f>
        <v/>
      </c>
      <c r="T102" s="123">
        <f>SUM(N104:S104)</f>
        <v/>
      </c>
      <c r="U102" s="124">
        <f>'05_Daily_Orders'!L103</f>
        <v/>
      </c>
    </row>
    <row r="103">
      <c r="A103" s="118">
        <f>'05_Daily_Orders'!B104</f>
        <v/>
      </c>
      <c r="B103" s="50" t="n">
        <v>0</v>
      </c>
      <c r="C103" s="50" t="n">
        <v>0</v>
      </c>
      <c r="D103" s="119" t="n"/>
      <c r="E103" s="119" t="n"/>
      <c r="F103" t="n">
        <v>0</v>
      </c>
      <c r="L103" s="120">
        <f>IF($E$1="n",0,(SUM(F105:K105)-B105))</f>
        <v/>
      </c>
      <c r="M103" s="121">
        <f>_xludf.IFNA(_xlfn.XLOOKUP(A105,'00_SKU_Master'!$B$2:$B$378,'00_SKU_Master'!$C$2:$C$378,0),"")</f>
        <v/>
      </c>
      <c r="N103" s="122">
        <f>_xludf.IFNA(_xlfn.XLOOKUP(A105,'00_SKU_Master'!$B$2:$B$378,'00_SKU_Master'!$F$2:$F$378,0)*F105/_xlfn.XLOOKUP(A105,'00_SKU_Master'!$B$2:$B$378,'00_SKU_Master'!$O:$O,0),"")</f>
        <v/>
      </c>
      <c r="O103" s="122">
        <f>_xludf.IFNA(_xlfn.XLOOKUP($A105,'00_SKU_Master'!$B$2:$B$378,'00_SKU_Master'!$F$2:$F$378,0)*G105/_xlfn.XLOOKUP($A105,'00_SKU_Master'!$B$2:$B$378,'00_SKU_Master'!$O:$O,0),"")</f>
        <v/>
      </c>
      <c r="P103" s="122">
        <f>_xludf.IFNA(_xlfn.XLOOKUP($A105,'00_SKU_Master'!$B$2:$B$378,'00_SKU_Master'!$F$2:$F$378,0)*H105/_xlfn.XLOOKUP($A105,'00_SKU_Master'!$B$2:$B$378,'00_SKU_Master'!$O:$O,0),"")</f>
        <v/>
      </c>
      <c r="Q103" s="122">
        <f>_xludf.IFNA(_xlfn.XLOOKUP($A105,'00_SKU_Master'!$B$2:$B$378,'00_SKU_Master'!$F$2:$F$378,0)*I105/_xlfn.XLOOKUP($A105,'00_SKU_Master'!$B$2:$B$378,'00_SKU_Master'!$O:$O,0),"")</f>
        <v/>
      </c>
      <c r="R103" s="122">
        <f>_xludf.IFNA(_xlfn.XLOOKUP($A105,'00_SKU_Master'!$B$2:$B$378,'00_SKU_Master'!$F$2:$F$378,0)*J105/_xlfn.XLOOKUP($A105,'00_SKU_Master'!$B$2:$B$378,'00_SKU_Master'!$O:$O,0),"")</f>
        <v/>
      </c>
      <c r="S103" s="122">
        <f>_xludf.IFNA(_xlfn.XLOOKUP($A105,'00_SKU_Master'!$B$2:$B$378,'00_SKU_Master'!$F$2:$F$378,0)*K105/_xlfn.XLOOKUP($A105,'00_SKU_Master'!$B$2:$B$378,'00_SKU_Master'!$O:$O,0),"")</f>
        <v/>
      </c>
      <c r="T103" s="123">
        <f>SUM(N105:S105)</f>
        <v/>
      </c>
      <c r="U103" s="124">
        <f>'05_Daily_Orders'!L104</f>
        <v/>
      </c>
    </row>
    <row r="104">
      <c r="A104" s="118">
        <f>'05_Daily_Orders'!B105</f>
        <v/>
      </c>
      <c r="B104" s="50" t="n">
        <v>0</v>
      </c>
      <c r="C104" s="50" t="n">
        <v>0</v>
      </c>
      <c r="D104" s="119" t="n"/>
      <c r="E104" s="119" t="n"/>
      <c r="F104" t="n">
        <v>0</v>
      </c>
      <c r="L104" s="120">
        <f>IF($E$1="n",0,(SUM(F106:K106)-B106))</f>
        <v/>
      </c>
      <c r="M104" s="121">
        <f>_xludf.IFNA(_xlfn.XLOOKUP(A106,'00_SKU_Master'!$B$2:$B$378,'00_SKU_Master'!$C$2:$C$378,0),"")</f>
        <v/>
      </c>
      <c r="N104" s="122">
        <f>_xludf.IFNA(_xlfn.XLOOKUP(A106,'00_SKU_Master'!$B$2:$B$378,'00_SKU_Master'!$F$2:$F$378,0)*F106/_xlfn.XLOOKUP(A106,'00_SKU_Master'!$B$2:$B$378,'00_SKU_Master'!$O:$O,0),"")</f>
        <v/>
      </c>
      <c r="O104" s="122">
        <f>_xludf.IFNA(_xlfn.XLOOKUP($A106,'00_SKU_Master'!$B$2:$B$378,'00_SKU_Master'!$F$2:$F$378,0)*G106/_xlfn.XLOOKUP($A106,'00_SKU_Master'!$B$2:$B$378,'00_SKU_Master'!$O:$O,0),"")</f>
        <v/>
      </c>
      <c r="P104" s="122">
        <f>_xludf.IFNA(_xlfn.XLOOKUP($A106,'00_SKU_Master'!$B$2:$B$378,'00_SKU_Master'!$F$2:$F$378,0)*H106/_xlfn.XLOOKUP($A106,'00_SKU_Master'!$B$2:$B$378,'00_SKU_Master'!$O:$O,0),"")</f>
        <v/>
      </c>
      <c r="Q104" s="122">
        <f>_xludf.IFNA(_xlfn.XLOOKUP($A106,'00_SKU_Master'!$B$2:$B$378,'00_SKU_Master'!$F$2:$F$378,0)*I106/_xlfn.XLOOKUP($A106,'00_SKU_Master'!$B$2:$B$378,'00_SKU_Master'!$O:$O,0),"")</f>
        <v/>
      </c>
      <c r="R104" s="122">
        <f>_xludf.IFNA(_xlfn.XLOOKUP($A106,'00_SKU_Master'!$B$2:$B$378,'00_SKU_Master'!$F$2:$F$378,0)*J106/_xlfn.XLOOKUP($A106,'00_SKU_Master'!$B$2:$B$378,'00_SKU_Master'!$O:$O,0),"")</f>
        <v/>
      </c>
      <c r="S104" s="122">
        <f>_xludf.IFNA(_xlfn.XLOOKUP($A106,'00_SKU_Master'!$B$2:$B$378,'00_SKU_Master'!$F$2:$F$378,0)*K106/_xlfn.XLOOKUP($A106,'00_SKU_Master'!$B$2:$B$378,'00_SKU_Master'!$O:$O,0),"")</f>
        <v/>
      </c>
      <c r="T104" s="123">
        <f>SUM(N106:S106)</f>
        <v/>
      </c>
      <c r="U104" s="124">
        <f>'05_Daily_Orders'!L105</f>
        <v/>
      </c>
    </row>
    <row r="105">
      <c r="A105" s="118">
        <f>'05_Daily_Orders'!B106</f>
        <v/>
      </c>
      <c r="B105" s="50" t="n">
        <v>0</v>
      </c>
      <c r="C105" s="50" t="n">
        <v>0</v>
      </c>
      <c r="D105" s="119" t="n"/>
      <c r="E105" s="119" t="n"/>
      <c r="F105" t="n">
        <v>0</v>
      </c>
      <c r="L105" s="120">
        <f>IF($E$1="n",0,(SUM(F107:K107)-B107))</f>
        <v/>
      </c>
      <c r="M105" s="121">
        <f>_xludf.IFNA(_xlfn.XLOOKUP(A107,'00_SKU_Master'!$B$2:$B$378,'00_SKU_Master'!$C$2:$C$378,0),"")</f>
        <v/>
      </c>
      <c r="N105" s="122">
        <f>_xludf.IFNA(_xlfn.XLOOKUP(A107,'00_SKU_Master'!$B$2:$B$378,'00_SKU_Master'!$F$2:$F$378,0)*F107/_xlfn.XLOOKUP(A107,'00_SKU_Master'!$B$2:$B$378,'00_SKU_Master'!$O:$O,0),"")</f>
        <v/>
      </c>
      <c r="O105" s="122">
        <f>_xludf.IFNA(_xlfn.XLOOKUP($A107,'00_SKU_Master'!$B$2:$B$378,'00_SKU_Master'!$F$2:$F$378,0)*G107/_xlfn.XLOOKUP($A107,'00_SKU_Master'!$B$2:$B$378,'00_SKU_Master'!$O:$O,0),"")</f>
        <v/>
      </c>
      <c r="P105" s="122">
        <f>_xludf.IFNA(_xlfn.XLOOKUP($A107,'00_SKU_Master'!$B$2:$B$378,'00_SKU_Master'!$F$2:$F$378,0)*H107/_xlfn.XLOOKUP($A107,'00_SKU_Master'!$B$2:$B$378,'00_SKU_Master'!$O:$O,0),"")</f>
        <v/>
      </c>
      <c r="Q105" s="122">
        <f>_xludf.IFNA(_xlfn.XLOOKUP($A107,'00_SKU_Master'!$B$2:$B$378,'00_SKU_Master'!$F$2:$F$378,0)*I107/_xlfn.XLOOKUP($A107,'00_SKU_Master'!$B$2:$B$378,'00_SKU_Master'!$O:$O,0),"")</f>
        <v/>
      </c>
      <c r="R105" s="122">
        <f>_xludf.IFNA(_xlfn.XLOOKUP($A107,'00_SKU_Master'!$B$2:$B$378,'00_SKU_Master'!$F$2:$F$378,0)*J107/_xlfn.XLOOKUP($A107,'00_SKU_Master'!$B$2:$B$378,'00_SKU_Master'!$O:$O,0),"")</f>
        <v/>
      </c>
      <c r="S105" s="122">
        <f>_xludf.IFNA(_xlfn.XLOOKUP($A107,'00_SKU_Master'!$B$2:$B$378,'00_SKU_Master'!$F$2:$F$378,0)*K107/_xlfn.XLOOKUP($A107,'00_SKU_Master'!$B$2:$B$378,'00_SKU_Master'!$O:$O,0),"")</f>
        <v/>
      </c>
      <c r="T105" s="123">
        <f>SUM(N107:S107)</f>
        <v/>
      </c>
      <c r="U105" s="124">
        <f>'05_Daily_Orders'!L106</f>
        <v/>
      </c>
    </row>
    <row r="106">
      <c r="A106" s="118">
        <f>'05_Daily_Orders'!B107</f>
        <v/>
      </c>
      <c r="B106" s="50" t="n">
        <v>0</v>
      </c>
      <c r="C106" s="50" t="n">
        <v>0</v>
      </c>
      <c r="D106" s="119" t="n"/>
      <c r="E106" s="119" t="n"/>
      <c r="F106" t="n">
        <v>0</v>
      </c>
      <c r="L106" s="120">
        <f>IF($E$1="n",0,(SUM(F108:K108)-B108))</f>
        <v/>
      </c>
      <c r="M106" s="121">
        <f>_xludf.IFNA(_xlfn.XLOOKUP(A108,'00_SKU_Master'!$B$2:$B$378,'00_SKU_Master'!$C$2:$C$378,0),"")</f>
        <v/>
      </c>
      <c r="N106" s="122">
        <f>_xludf.IFNA(_xlfn.XLOOKUP(A108,'00_SKU_Master'!$B$2:$B$378,'00_SKU_Master'!$F$2:$F$378,0)*F108/_xlfn.XLOOKUP(A108,'00_SKU_Master'!$B$2:$B$378,'00_SKU_Master'!$O:$O,0),"")</f>
        <v/>
      </c>
      <c r="O106" s="122">
        <f>_xludf.IFNA(_xlfn.XLOOKUP($A108,'00_SKU_Master'!$B$2:$B$378,'00_SKU_Master'!$F$2:$F$378,0)*G108/_xlfn.XLOOKUP($A108,'00_SKU_Master'!$B$2:$B$378,'00_SKU_Master'!$O:$O,0),"")</f>
        <v/>
      </c>
      <c r="P106" s="122">
        <f>_xludf.IFNA(_xlfn.XLOOKUP($A108,'00_SKU_Master'!$B$2:$B$378,'00_SKU_Master'!$F$2:$F$378,0)*H108/_xlfn.XLOOKUP($A108,'00_SKU_Master'!$B$2:$B$378,'00_SKU_Master'!$O:$O,0),"")</f>
        <v/>
      </c>
      <c r="Q106" s="122">
        <f>_xludf.IFNA(_xlfn.XLOOKUP($A108,'00_SKU_Master'!$B$2:$B$378,'00_SKU_Master'!$F$2:$F$378,0)*I108/_xlfn.XLOOKUP($A108,'00_SKU_Master'!$B$2:$B$378,'00_SKU_Master'!$O:$O,0),"")</f>
        <v/>
      </c>
      <c r="R106" s="122">
        <f>_xludf.IFNA(_xlfn.XLOOKUP($A108,'00_SKU_Master'!$B$2:$B$378,'00_SKU_Master'!$F$2:$F$378,0)*J108/_xlfn.XLOOKUP($A108,'00_SKU_Master'!$B$2:$B$378,'00_SKU_Master'!$O:$O,0),"")</f>
        <v/>
      </c>
      <c r="S106" s="122">
        <f>_xludf.IFNA(_xlfn.XLOOKUP($A108,'00_SKU_Master'!$B$2:$B$378,'00_SKU_Master'!$F$2:$F$378,0)*K108/_xlfn.XLOOKUP($A108,'00_SKU_Master'!$B$2:$B$378,'00_SKU_Master'!$O:$O,0),"")</f>
        <v/>
      </c>
      <c r="T106" s="123">
        <f>SUM(N108:S108)</f>
        <v/>
      </c>
      <c r="U106" s="124">
        <f>'05_Daily_Orders'!L107</f>
        <v/>
      </c>
    </row>
    <row r="107">
      <c r="A107" s="118">
        <f>'05_Daily_Orders'!B108</f>
        <v/>
      </c>
      <c r="B107" s="50" t="n">
        <v>0</v>
      </c>
      <c r="C107" s="50" t="n">
        <v>0</v>
      </c>
      <c r="D107" s="119" t="n"/>
      <c r="E107" s="119" t="n"/>
      <c r="F107" t="n">
        <v>0</v>
      </c>
      <c r="L107" s="120">
        <f>IF($E$1="n",0,(SUM(F109:K109)-B109))</f>
        <v/>
      </c>
      <c r="M107" s="121">
        <f>_xludf.IFNA(_xlfn.XLOOKUP(A109,'00_SKU_Master'!$B$2:$B$378,'00_SKU_Master'!$C$2:$C$378,0),"")</f>
        <v/>
      </c>
      <c r="N107" s="122">
        <f>_xludf.IFNA(_xlfn.XLOOKUP(A109,'00_SKU_Master'!$B$2:$B$378,'00_SKU_Master'!$F$2:$F$378,0)*F109/_xlfn.XLOOKUP(A109,'00_SKU_Master'!$B$2:$B$378,'00_SKU_Master'!$O:$O,0),"")</f>
        <v/>
      </c>
      <c r="O107" s="122">
        <f>_xludf.IFNA(_xlfn.XLOOKUP($A109,'00_SKU_Master'!$B$2:$B$378,'00_SKU_Master'!$F$2:$F$378,0)*G109/_xlfn.XLOOKUP($A109,'00_SKU_Master'!$B$2:$B$378,'00_SKU_Master'!$O:$O,0),"")</f>
        <v/>
      </c>
      <c r="P107" s="122">
        <f>_xludf.IFNA(_xlfn.XLOOKUP($A109,'00_SKU_Master'!$B$2:$B$378,'00_SKU_Master'!$F$2:$F$378,0)*H109/_xlfn.XLOOKUP($A109,'00_SKU_Master'!$B$2:$B$378,'00_SKU_Master'!$O:$O,0),"")</f>
        <v/>
      </c>
      <c r="Q107" s="122">
        <f>_xludf.IFNA(_xlfn.XLOOKUP($A109,'00_SKU_Master'!$B$2:$B$378,'00_SKU_Master'!$F$2:$F$378,0)*I109/_xlfn.XLOOKUP($A109,'00_SKU_Master'!$B$2:$B$378,'00_SKU_Master'!$O:$O,0),"")</f>
        <v/>
      </c>
      <c r="R107" s="122">
        <f>_xludf.IFNA(_xlfn.XLOOKUP($A109,'00_SKU_Master'!$B$2:$B$378,'00_SKU_Master'!$F$2:$F$378,0)*J109/_xlfn.XLOOKUP($A109,'00_SKU_Master'!$B$2:$B$378,'00_SKU_Master'!$O:$O,0),"")</f>
        <v/>
      </c>
      <c r="S107" s="122">
        <f>_xludf.IFNA(_xlfn.XLOOKUP($A109,'00_SKU_Master'!$B$2:$B$378,'00_SKU_Master'!$F$2:$F$378,0)*K109/_xlfn.XLOOKUP($A109,'00_SKU_Master'!$B$2:$B$378,'00_SKU_Master'!$O:$O,0),"")</f>
        <v/>
      </c>
      <c r="T107" s="123">
        <f>SUM(N109:S109)</f>
        <v/>
      </c>
      <c r="U107" s="124">
        <f>'05_Daily_Orders'!L108</f>
        <v/>
      </c>
    </row>
    <row r="108">
      <c r="A108" s="118">
        <f>'05_Daily_Orders'!B109</f>
        <v/>
      </c>
      <c r="B108" s="50" t="n">
        <v>0</v>
      </c>
      <c r="C108" s="50" t="n">
        <v>0</v>
      </c>
      <c r="D108" s="119" t="n"/>
      <c r="E108" s="119" t="n"/>
      <c r="F108" t="n">
        <v>0</v>
      </c>
      <c r="L108" s="120">
        <f>IF($E$1="n",0,(SUM(F110:K110)-B110))</f>
        <v/>
      </c>
      <c r="M108" s="121">
        <f>_xludf.IFNA(_xlfn.XLOOKUP(A110,'00_SKU_Master'!$B$2:$B$378,'00_SKU_Master'!$C$2:$C$378,0),"")</f>
        <v/>
      </c>
      <c r="N108" s="122">
        <f>_xludf.IFNA(_xlfn.XLOOKUP(A110,'00_SKU_Master'!$B$2:$B$378,'00_SKU_Master'!$F$2:$F$378,0)*F110/_xlfn.XLOOKUP(A110,'00_SKU_Master'!$B$2:$B$378,'00_SKU_Master'!$O:$O,0),"")</f>
        <v/>
      </c>
      <c r="O108" s="122">
        <f>_xludf.IFNA(_xlfn.XLOOKUP($A110,'00_SKU_Master'!$B$2:$B$378,'00_SKU_Master'!$F$2:$F$378,0)*G110/_xlfn.XLOOKUP($A110,'00_SKU_Master'!$B$2:$B$378,'00_SKU_Master'!$O:$O,0),"")</f>
        <v/>
      </c>
      <c r="P108" s="122">
        <f>_xludf.IFNA(_xlfn.XLOOKUP($A110,'00_SKU_Master'!$B$2:$B$378,'00_SKU_Master'!$F$2:$F$378,0)*H110/_xlfn.XLOOKUP($A110,'00_SKU_Master'!$B$2:$B$378,'00_SKU_Master'!$O:$O,0),"")</f>
        <v/>
      </c>
      <c r="Q108" s="122">
        <f>_xludf.IFNA(_xlfn.XLOOKUP($A110,'00_SKU_Master'!$B$2:$B$378,'00_SKU_Master'!$F$2:$F$378,0)*I110/_xlfn.XLOOKUP($A110,'00_SKU_Master'!$B$2:$B$378,'00_SKU_Master'!$O:$O,0),"")</f>
        <v/>
      </c>
      <c r="R108" s="122">
        <f>_xludf.IFNA(_xlfn.XLOOKUP($A110,'00_SKU_Master'!$B$2:$B$378,'00_SKU_Master'!$F$2:$F$378,0)*J110/_xlfn.XLOOKUP($A110,'00_SKU_Master'!$B$2:$B$378,'00_SKU_Master'!$O:$O,0),"")</f>
        <v/>
      </c>
      <c r="S108" s="122">
        <f>_xludf.IFNA(_xlfn.XLOOKUP($A110,'00_SKU_Master'!$B$2:$B$378,'00_SKU_Master'!$F$2:$F$378,0)*K110/_xlfn.XLOOKUP($A110,'00_SKU_Master'!$B$2:$B$378,'00_SKU_Master'!$O:$O,0),"")</f>
        <v/>
      </c>
      <c r="T108" s="123">
        <f>SUM(N110:S110)</f>
        <v/>
      </c>
      <c r="U108" s="124">
        <f>'05_Daily_Orders'!L109</f>
        <v/>
      </c>
    </row>
    <row r="109">
      <c r="A109" s="118">
        <f>'05_Daily_Orders'!B110</f>
        <v/>
      </c>
      <c r="B109" s="50" t="n">
        <v>0</v>
      </c>
      <c r="C109" s="50" t="n">
        <v>0</v>
      </c>
      <c r="D109" s="119" t="n"/>
      <c r="E109" s="119" t="n"/>
      <c r="F109" t="n">
        <v>0</v>
      </c>
      <c r="L109" s="120">
        <f>IF($E$1="n",0,(SUM(F111:K111)-B111))</f>
        <v/>
      </c>
      <c r="M109" s="121">
        <f>_xludf.IFNA(_xlfn.XLOOKUP(A111,'00_SKU_Master'!$B$2:$B$378,'00_SKU_Master'!$C$2:$C$378,0),"")</f>
        <v/>
      </c>
      <c r="N109" s="122">
        <f>_xludf.IFNA(_xlfn.XLOOKUP(A111,'00_SKU_Master'!$B$2:$B$378,'00_SKU_Master'!$F$2:$F$378,0)*F111/_xlfn.XLOOKUP(A111,'00_SKU_Master'!$B$2:$B$378,'00_SKU_Master'!$O:$O,0),"")</f>
        <v/>
      </c>
      <c r="O109" s="122">
        <f>_xludf.IFNA(_xlfn.XLOOKUP($A111,'00_SKU_Master'!$B$2:$B$378,'00_SKU_Master'!$F$2:$F$378,0)*G111/_xlfn.XLOOKUP($A111,'00_SKU_Master'!$B$2:$B$378,'00_SKU_Master'!$O:$O,0),"")</f>
        <v/>
      </c>
      <c r="P109" s="122">
        <f>_xludf.IFNA(_xlfn.XLOOKUP($A111,'00_SKU_Master'!$B$2:$B$378,'00_SKU_Master'!$F$2:$F$378,0)*H111/_xlfn.XLOOKUP($A111,'00_SKU_Master'!$B$2:$B$378,'00_SKU_Master'!$O:$O,0),"")</f>
        <v/>
      </c>
      <c r="Q109" s="122">
        <f>_xludf.IFNA(_xlfn.XLOOKUP($A111,'00_SKU_Master'!$B$2:$B$378,'00_SKU_Master'!$F$2:$F$378,0)*I111/_xlfn.XLOOKUP($A111,'00_SKU_Master'!$B$2:$B$378,'00_SKU_Master'!$O:$O,0),"")</f>
        <v/>
      </c>
      <c r="R109" s="122">
        <f>_xludf.IFNA(_xlfn.XLOOKUP($A111,'00_SKU_Master'!$B$2:$B$378,'00_SKU_Master'!$F$2:$F$378,0)*J111/_xlfn.XLOOKUP($A111,'00_SKU_Master'!$B$2:$B$378,'00_SKU_Master'!$O:$O,0),"")</f>
        <v/>
      </c>
      <c r="S109" s="122">
        <f>_xludf.IFNA(_xlfn.XLOOKUP($A111,'00_SKU_Master'!$B$2:$B$378,'00_SKU_Master'!$F$2:$F$378,0)*K111/_xlfn.XLOOKUP($A111,'00_SKU_Master'!$B$2:$B$378,'00_SKU_Master'!$O:$O,0),"")</f>
        <v/>
      </c>
      <c r="T109" s="123">
        <f>SUM(N111:S111)</f>
        <v/>
      </c>
      <c r="U109" s="124">
        <f>'05_Daily_Orders'!L110</f>
        <v/>
      </c>
    </row>
    <row r="110">
      <c r="A110" s="118">
        <f>'05_Daily_Orders'!B111</f>
        <v/>
      </c>
      <c r="B110" s="50" t="n">
        <v>0</v>
      </c>
      <c r="C110" s="50" t="n">
        <v>0</v>
      </c>
      <c r="D110" s="119" t="n"/>
      <c r="E110" s="119" t="n"/>
      <c r="F110" t="n">
        <v>0</v>
      </c>
      <c r="L110" s="120">
        <f>IF($E$1="n",0,(SUM(F112:K112)-B112))</f>
        <v/>
      </c>
      <c r="M110" s="121">
        <f>_xludf.IFNA(_xlfn.XLOOKUP(A112,'00_SKU_Master'!$B$2:$B$378,'00_SKU_Master'!$C$2:$C$378,0),"")</f>
        <v/>
      </c>
      <c r="N110" s="122">
        <f>_xludf.IFNA(_xlfn.XLOOKUP(A112,'00_SKU_Master'!$B$2:$B$378,'00_SKU_Master'!$F$2:$F$378,0)*F112/_xlfn.XLOOKUP(A112,'00_SKU_Master'!$B$2:$B$378,'00_SKU_Master'!$O:$O,0),"")</f>
        <v/>
      </c>
      <c r="O110" s="122">
        <f>_xludf.IFNA(_xlfn.XLOOKUP($A112,'00_SKU_Master'!$B$2:$B$378,'00_SKU_Master'!$F$2:$F$378,0)*G112/_xlfn.XLOOKUP($A112,'00_SKU_Master'!$B$2:$B$378,'00_SKU_Master'!$O:$O,0),"")</f>
        <v/>
      </c>
      <c r="P110" s="122">
        <f>_xludf.IFNA(_xlfn.XLOOKUP($A112,'00_SKU_Master'!$B$2:$B$378,'00_SKU_Master'!$F$2:$F$378,0)*H112/_xlfn.XLOOKUP($A112,'00_SKU_Master'!$B$2:$B$378,'00_SKU_Master'!$O:$O,0),"")</f>
        <v/>
      </c>
      <c r="Q110" s="122">
        <f>_xludf.IFNA(_xlfn.XLOOKUP($A112,'00_SKU_Master'!$B$2:$B$378,'00_SKU_Master'!$F$2:$F$378,0)*I112/_xlfn.XLOOKUP($A112,'00_SKU_Master'!$B$2:$B$378,'00_SKU_Master'!$O:$O,0),"")</f>
        <v/>
      </c>
      <c r="R110" s="122">
        <f>_xludf.IFNA(_xlfn.XLOOKUP($A112,'00_SKU_Master'!$B$2:$B$378,'00_SKU_Master'!$F$2:$F$378,0)*J112/_xlfn.XLOOKUP($A112,'00_SKU_Master'!$B$2:$B$378,'00_SKU_Master'!$O:$O,0),"")</f>
        <v/>
      </c>
      <c r="S110" s="122">
        <f>_xludf.IFNA(_xlfn.XLOOKUP($A112,'00_SKU_Master'!$B$2:$B$378,'00_SKU_Master'!$F$2:$F$378,0)*K112/_xlfn.XLOOKUP($A112,'00_SKU_Master'!$B$2:$B$378,'00_SKU_Master'!$O:$O,0),"")</f>
        <v/>
      </c>
      <c r="T110" s="123">
        <f>SUM(N112:S112)</f>
        <v/>
      </c>
      <c r="U110" s="124">
        <f>'05_Daily_Orders'!L111</f>
        <v/>
      </c>
    </row>
    <row r="111">
      <c r="A111" s="118">
        <f>'05_Daily_Orders'!B112</f>
        <v/>
      </c>
      <c r="B111" s="50" t="n">
        <v>0</v>
      </c>
      <c r="C111" s="50" t="n">
        <v>0</v>
      </c>
      <c r="D111" s="119" t="n"/>
      <c r="E111" s="119" t="n"/>
      <c r="F111" t="n">
        <v>0</v>
      </c>
      <c r="L111" s="120">
        <f>IF($E$1="n",0,(SUM(F113:K113)-B113))</f>
        <v/>
      </c>
      <c r="M111" s="121">
        <f>_xludf.IFNA(_xlfn.XLOOKUP(A113,'00_SKU_Master'!$B$2:$B$378,'00_SKU_Master'!$C$2:$C$378,0),"")</f>
        <v/>
      </c>
      <c r="N111" s="122">
        <f>_xludf.IFNA(_xlfn.XLOOKUP(A113,'00_SKU_Master'!$B$2:$B$378,'00_SKU_Master'!$F$2:$F$378,0)*F113/_xlfn.XLOOKUP(A113,'00_SKU_Master'!$B$2:$B$378,'00_SKU_Master'!$O:$O,0),"")</f>
        <v/>
      </c>
      <c r="O111" s="122">
        <f>_xludf.IFNA(_xlfn.XLOOKUP($A113,'00_SKU_Master'!$B$2:$B$378,'00_SKU_Master'!$F$2:$F$378,0)*G113/_xlfn.XLOOKUP($A113,'00_SKU_Master'!$B$2:$B$378,'00_SKU_Master'!$O:$O,0),"")</f>
        <v/>
      </c>
      <c r="P111" s="122">
        <f>_xludf.IFNA(_xlfn.XLOOKUP($A113,'00_SKU_Master'!$B$2:$B$378,'00_SKU_Master'!$F$2:$F$378,0)*H113/_xlfn.XLOOKUP($A113,'00_SKU_Master'!$B$2:$B$378,'00_SKU_Master'!$O:$O,0),"")</f>
        <v/>
      </c>
      <c r="Q111" s="122">
        <f>_xludf.IFNA(_xlfn.XLOOKUP($A113,'00_SKU_Master'!$B$2:$B$378,'00_SKU_Master'!$F$2:$F$378,0)*I113/_xlfn.XLOOKUP($A113,'00_SKU_Master'!$B$2:$B$378,'00_SKU_Master'!$O:$O,0),"")</f>
        <v/>
      </c>
      <c r="R111" s="122">
        <f>_xludf.IFNA(_xlfn.XLOOKUP($A113,'00_SKU_Master'!$B$2:$B$378,'00_SKU_Master'!$F$2:$F$378,0)*J113/_xlfn.XLOOKUP($A113,'00_SKU_Master'!$B$2:$B$378,'00_SKU_Master'!$O:$O,0),"")</f>
        <v/>
      </c>
      <c r="S111" s="122">
        <f>_xludf.IFNA(_xlfn.XLOOKUP($A113,'00_SKU_Master'!$B$2:$B$378,'00_SKU_Master'!$F$2:$F$378,0)*K113/_xlfn.XLOOKUP($A113,'00_SKU_Master'!$B$2:$B$378,'00_SKU_Master'!$O:$O,0),"")</f>
        <v/>
      </c>
      <c r="T111" s="123">
        <f>SUM(N113:S113)</f>
        <v/>
      </c>
      <c r="U111" s="124">
        <f>'05_Daily_Orders'!L112</f>
        <v/>
      </c>
    </row>
    <row r="112">
      <c r="A112" s="118">
        <f>'05_Daily_Orders'!B113</f>
        <v/>
      </c>
      <c r="B112" s="50" t="n">
        <v>0</v>
      </c>
      <c r="C112" s="50" t="n">
        <v>0</v>
      </c>
      <c r="D112" s="119" t="n"/>
      <c r="E112" s="119" t="n"/>
      <c r="F112" t="n">
        <v>0</v>
      </c>
      <c r="L112" s="120">
        <f>IF($E$1="n",0,(SUM(F114:K114)-B114))</f>
        <v/>
      </c>
      <c r="M112" s="121">
        <f>_xludf.IFNA(_xlfn.XLOOKUP(A114,'00_SKU_Master'!$B$2:$B$378,'00_SKU_Master'!$C$2:$C$378,0),"")</f>
        <v/>
      </c>
      <c r="N112" s="122">
        <f>_xludf.IFNA(_xlfn.XLOOKUP(A114,'00_SKU_Master'!$B$2:$B$378,'00_SKU_Master'!$F$2:$F$378,0)*F114/_xlfn.XLOOKUP(A114,'00_SKU_Master'!$B$2:$B$378,'00_SKU_Master'!$O:$O,0),"")</f>
        <v/>
      </c>
      <c r="O112" s="122">
        <f>_xludf.IFNA(_xlfn.XLOOKUP($A114,'00_SKU_Master'!$B$2:$B$378,'00_SKU_Master'!$F$2:$F$378,0)*G114/_xlfn.XLOOKUP($A114,'00_SKU_Master'!$B$2:$B$378,'00_SKU_Master'!$O:$O,0),"")</f>
        <v/>
      </c>
      <c r="P112" s="122">
        <f>_xludf.IFNA(_xlfn.XLOOKUP($A114,'00_SKU_Master'!$B$2:$B$378,'00_SKU_Master'!$F$2:$F$378,0)*H114/_xlfn.XLOOKUP($A114,'00_SKU_Master'!$B$2:$B$378,'00_SKU_Master'!$O:$O,0),"")</f>
        <v/>
      </c>
      <c r="Q112" s="122">
        <f>_xludf.IFNA(_xlfn.XLOOKUP($A114,'00_SKU_Master'!$B$2:$B$378,'00_SKU_Master'!$F$2:$F$378,0)*I114/_xlfn.XLOOKUP($A114,'00_SKU_Master'!$B$2:$B$378,'00_SKU_Master'!$O:$O,0),"")</f>
        <v/>
      </c>
      <c r="R112" s="122">
        <f>_xludf.IFNA(_xlfn.XLOOKUP($A114,'00_SKU_Master'!$B$2:$B$378,'00_SKU_Master'!$F$2:$F$378,0)*J114/_xlfn.XLOOKUP($A114,'00_SKU_Master'!$B$2:$B$378,'00_SKU_Master'!$O:$O,0),"")</f>
        <v/>
      </c>
      <c r="S112" s="122">
        <f>_xludf.IFNA(_xlfn.XLOOKUP($A114,'00_SKU_Master'!$B$2:$B$378,'00_SKU_Master'!$F$2:$F$378,0)*K114/_xlfn.XLOOKUP($A114,'00_SKU_Master'!$B$2:$B$378,'00_SKU_Master'!$O:$O,0),"")</f>
        <v/>
      </c>
      <c r="T112" s="123">
        <f>SUM(N114:S114)</f>
        <v/>
      </c>
      <c r="U112" s="124">
        <f>'05_Daily_Orders'!L113</f>
        <v/>
      </c>
    </row>
    <row r="113">
      <c r="A113" s="118">
        <f>'05_Daily_Orders'!B114</f>
        <v/>
      </c>
      <c r="B113" s="50" t="n">
        <v>0</v>
      </c>
      <c r="C113" s="50" t="n">
        <v>0</v>
      </c>
      <c r="D113" s="119" t="n"/>
      <c r="E113" s="119" t="n"/>
      <c r="F113" t="n">
        <v>0</v>
      </c>
      <c r="L113" s="120">
        <f>IF($E$1="n",0,(SUM(F115:K115)-B115))</f>
        <v/>
      </c>
      <c r="M113" s="121">
        <f>_xludf.IFNA(_xlfn.XLOOKUP(A115,'00_SKU_Master'!$B$2:$B$378,'00_SKU_Master'!$C$2:$C$378,0),"")</f>
        <v/>
      </c>
      <c r="N113" s="122">
        <f>_xludf.IFNA(_xlfn.XLOOKUP(A115,'00_SKU_Master'!$B$2:$B$378,'00_SKU_Master'!$F$2:$F$378,0)*F115/_xlfn.XLOOKUP(A115,'00_SKU_Master'!$B$2:$B$378,'00_SKU_Master'!$O:$O,0),"")</f>
        <v/>
      </c>
      <c r="O113" s="122">
        <f>_xludf.IFNA(_xlfn.XLOOKUP($A115,'00_SKU_Master'!$B$2:$B$378,'00_SKU_Master'!$F$2:$F$378,0)*G115/_xlfn.XLOOKUP($A115,'00_SKU_Master'!$B$2:$B$378,'00_SKU_Master'!$O:$O,0),"")</f>
        <v/>
      </c>
      <c r="P113" s="122">
        <f>_xludf.IFNA(_xlfn.XLOOKUP($A115,'00_SKU_Master'!$B$2:$B$378,'00_SKU_Master'!$F$2:$F$378,0)*H115/_xlfn.XLOOKUP($A115,'00_SKU_Master'!$B$2:$B$378,'00_SKU_Master'!$O:$O,0),"")</f>
        <v/>
      </c>
      <c r="Q113" s="122">
        <f>_xludf.IFNA(_xlfn.XLOOKUP($A115,'00_SKU_Master'!$B$2:$B$378,'00_SKU_Master'!$F$2:$F$378,0)*I115/_xlfn.XLOOKUP($A115,'00_SKU_Master'!$B$2:$B$378,'00_SKU_Master'!$O:$O,0),"")</f>
        <v/>
      </c>
      <c r="R113" s="122">
        <f>_xludf.IFNA(_xlfn.XLOOKUP($A115,'00_SKU_Master'!$B$2:$B$378,'00_SKU_Master'!$F$2:$F$378,0)*J115/_xlfn.XLOOKUP($A115,'00_SKU_Master'!$B$2:$B$378,'00_SKU_Master'!$O:$O,0),"")</f>
        <v/>
      </c>
      <c r="S113" s="122">
        <f>_xludf.IFNA(_xlfn.XLOOKUP($A115,'00_SKU_Master'!$B$2:$B$378,'00_SKU_Master'!$F$2:$F$378,0)*K115/_xlfn.XLOOKUP($A115,'00_SKU_Master'!$B$2:$B$378,'00_SKU_Master'!$O:$O,0),"")</f>
        <v/>
      </c>
      <c r="T113" s="123">
        <f>SUM(N115:S115)</f>
        <v/>
      </c>
      <c r="U113" s="124">
        <f>'05_Daily_Orders'!L114</f>
        <v/>
      </c>
    </row>
    <row r="114">
      <c r="A114" s="118">
        <f>'05_Daily_Orders'!B115</f>
        <v/>
      </c>
      <c r="B114" s="50" t="n">
        <v>0</v>
      </c>
      <c r="C114" s="50" t="n">
        <v>0</v>
      </c>
      <c r="D114" s="119" t="n"/>
      <c r="E114" s="119" t="n"/>
      <c r="F114" t="n">
        <v>0</v>
      </c>
      <c r="L114" s="120">
        <f>IF($E$1="n",0,(SUM(F116:K116)-B116))</f>
        <v/>
      </c>
      <c r="M114" s="121">
        <f>_xludf.IFNA(_xlfn.XLOOKUP(A116,'00_SKU_Master'!$B$2:$B$378,'00_SKU_Master'!$C$2:$C$378,0),"")</f>
        <v/>
      </c>
      <c r="N114" s="122">
        <f>_xludf.IFNA(_xlfn.XLOOKUP(A116,'00_SKU_Master'!$B$2:$B$378,'00_SKU_Master'!$F$2:$F$378,0)*F116/_xlfn.XLOOKUP(A116,'00_SKU_Master'!$B$2:$B$378,'00_SKU_Master'!$O:$O,0),"")</f>
        <v/>
      </c>
      <c r="O114" s="122">
        <f>_xludf.IFNA(_xlfn.XLOOKUP($A116,'00_SKU_Master'!$B$2:$B$378,'00_SKU_Master'!$F$2:$F$378,0)*G116/_xlfn.XLOOKUP($A116,'00_SKU_Master'!$B$2:$B$378,'00_SKU_Master'!$O:$O,0),"")</f>
        <v/>
      </c>
      <c r="P114" s="122">
        <f>_xludf.IFNA(_xlfn.XLOOKUP($A116,'00_SKU_Master'!$B$2:$B$378,'00_SKU_Master'!$F$2:$F$378,0)*H116/_xlfn.XLOOKUP($A116,'00_SKU_Master'!$B$2:$B$378,'00_SKU_Master'!$O:$O,0),"")</f>
        <v/>
      </c>
      <c r="Q114" s="122">
        <f>_xludf.IFNA(_xlfn.XLOOKUP($A116,'00_SKU_Master'!$B$2:$B$378,'00_SKU_Master'!$F$2:$F$378,0)*I116/_xlfn.XLOOKUP($A116,'00_SKU_Master'!$B$2:$B$378,'00_SKU_Master'!$O:$O,0),"")</f>
        <v/>
      </c>
      <c r="R114" s="122">
        <f>_xludf.IFNA(_xlfn.XLOOKUP($A116,'00_SKU_Master'!$B$2:$B$378,'00_SKU_Master'!$F$2:$F$378,0)*J116/_xlfn.XLOOKUP($A116,'00_SKU_Master'!$B$2:$B$378,'00_SKU_Master'!$O:$O,0),"")</f>
        <v/>
      </c>
      <c r="S114" s="122">
        <f>_xludf.IFNA(_xlfn.XLOOKUP($A116,'00_SKU_Master'!$B$2:$B$378,'00_SKU_Master'!$F$2:$F$378,0)*K116/_xlfn.XLOOKUP($A116,'00_SKU_Master'!$B$2:$B$378,'00_SKU_Master'!$O:$O,0),"")</f>
        <v/>
      </c>
      <c r="T114" s="123">
        <f>SUM(N116:S116)</f>
        <v/>
      </c>
      <c r="U114" s="124">
        <f>'05_Daily_Orders'!L115</f>
        <v/>
      </c>
    </row>
    <row r="115">
      <c r="A115" s="118">
        <f>'05_Daily_Orders'!B116</f>
        <v/>
      </c>
      <c r="B115" s="50" t="n">
        <v>0</v>
      </c>
      <c r="C115" s="50" t="n">
        <v>0</v>
      </c>
      <c r="D115" s="119" t="n"/>
      <c r="E115" s="119" t="n"/>
      <c r="F115" t="n">
        <v>0</v>
      </c>
      <c r="L115" s="120">
        <f>IF($E$1="n",0,(SUM(F117:K117)-B117))</f>
        <v/>
      </c>
      <c r="M115" s="121">
        <f>_xludf.IFNA(_xlfn.XLOOKUP(A117,'00_SKU_Master'!$B$2:$B$378,'00_SKU_Master'!$C$2:$C$378,0),"")</f>
        <v/>
      </c>
      <c r="N115" s="122">
        <f>_xludf.IFNA(_xlfn.XLOOKUP(A117,'00_SKU_Master'!$B$2:$B$378,'00_SKU_Master'!$F$2:$F$378,0)*F117/_xlfn.XLOOKUP(A117,'00_SKU_Master'!$B$2:$B$378,'00_SKU_Master'!$O:$O,0),"")</f>
        <v/>
      </c>
      <c r="O115" s="122">
        <f>_xludf.IFNA(_xlfn.XLOOKUP($A117,'00_SKU_Master'!$B$2:$B$378,'00_SKU_Master'!$F$2:$F$378,0)*G117/_xlfn.XLOOKUP($A117,'00_SKU_Master'!$B$2:$B$378,'00_SKU_Master'!$O:$O,0),"")</f>
        <v/>
      </c>
      <c r="P115" s="122">
        <f>_xludf.IFNA(_xlfn.XLOOKUP($A117,'00_SKU_Master'!$B$2:$B$378,'00_SKU_Master'!$F$2:$F$378,0)*H117/_xlfn.XLOOKUP($A117,'00_SKU_Master'!$B$2:$B$378,'00_SKU_Master'!$O:$O,0),"")</f>
        <v/>
      </c>
      <c r="Q115" s="122">
        <f>_xludf.IFNA(_xlfn.XLOOKUP($A117,'00_SKU_Master'!$B$2:$B$378,'00_SKU_Master'!$F$2:$F$378,0)*I117/_xlfn.XLOOKUP($A117,'00_SKU_Master'!$B$2:$B$378,'00_SKU_Master'!$O:$O,0),"")</f>
        <v/>
      </c>
      <c r="R115" s="122">
        <f>_xludf.IFNA(_xlfn.XLOOKUP($A117,'00_SKU_Master'!$B$2:$B$378,'00_SKU_Master'!$F$2:$F$378,0)*J117/_xlfn.XLOOKUP($A117,'00_SKU_Master'!$B$2:$B$378,'00_SKU_Master'!$O:$O,0),"")</f>
        <v/>
      </c>
      <c r="S115" s="122">
        <f>_xludf.IFNA(_xlfn.XLOOKUP($A117,'00_SKU_Master'!$B$2:$B$378,'00_SKU_Master'!$F$2:$F$378,0)*K117/_xlfn.XLOOKUP($A117,'00_SKU_Master'!$B$2:$B$378,'00_SKU_Master'!$O:$O,0),"")</f>
        <v/>
      </c>
      <c r="T115" s="123">
        <f>SUM(N117:S117)</f>
        <v/>
      </c>
      <c r="U115" s="124">
        <f>'05_Daily_Orders'!L116</f>
        <v/>
      </c>
    </row>
    <row r="116">
      <c r="A116" s="118">
        <f>'05_Daily_Orders'!B117</f>
        <v/>
      </c>
      <c r="B116" s="50" t="n">
        <v>0</v>
      </c>
      <c r="C116" s="50" t="n">
        <v>0</v>
      </c>
      <c r="D116" s="119" t="n"/>
      <c r="E116" s="119" t="n"/>
      <c r="F116" t="n">
        <v>0</v>
      </c>
      <c r="L116" s="120">
        <f>IF($E$1="n",0,(SUM(F118:K118)-B118))</f>
        <v/>
      </c>
      <c r="M116" s="121">
        <f>_xludf.IFNA(_xlfn.XLOOKUP(A118,'00_SKU_Master'!$B$2:$B$378,'00_SKU_Master'!$C$2:$C$378,0),"")</f>
        <v/>
      </c>
      <c r="N116" s="122">
        <f>_xludf.IFNA(_xlfn.XLOOKUP(A118,'00_SKU_Master'!$B$2:$B$378,'00_SKU_Master'!$F$2:$F$378,0)*F118/_xlfn.XLOOKUP(A118,'00_SKU_Master'!$B$2:$B$378,'00_SKU_Master'!$O:$O,0),"")</f>
        <v/>
      </c>
      <c r="O116" s="122">
        <f>_xludf.IFNA(_xlfn.XLOOKUP($A118,'00_SKU_Master'!$B$2:$B$378,'00_SKU_Master'!$F$2:$F$378,0)*G118/_xlfn.XLOOKUP($A118,'00_SKU_Master'!$B$2:$B$378,'00_SKU_Master'!$O:$O,0),"")</f>
        <v/>
      </c>
      <c r="P116" s="122">
        <f>_xludf.IFNA(_xlfn.XLOOKUP($A118,'00_SKU_Master'!$B$2:$B$378,'00_SKU_Master'!$F$2:$F$378,0)*H118/_xlfn.XLOOKUP($A118,'00_SKU_Master'!$B$2:$B$378,'00_SKU_Master'!$O:$O,0),"")</f>
        <v/>
      </c>
      <c r="Q116" s="122">
        <f>_xludf.IFNA(_xlfn.XLOOKUP($A118,'00_SKU_Master'!$B$2:$B$378,'00_SKU_Master'!$F$2:$F$378,0)*I118/_xlfn.XLOOKUP($A118,'00_SKU_Master'!$B$2:$B$378,'00_SKU_Master'!$O:$O,0),"")</f>
        <v/>
      </c>
      <c r="R116" s="122">
        <f>_xludf.IFNA(_xlfn.XLOOKUP($A118,'00_SKU_Master'!$B$2:$B$378,'00_SKU_Master'!$F$2:$F$378,0)*J118/_xlfn.XLOOKUP($A118,'00_SKU_Master'!$B$2:$B$378,'00_SKU_Master'!$O:$O,0),"")</f>
        <v/>
      </c>
      <c r="S116" s="122">
        <f>_xludf.IFNA(_xlfn.XLOOKUP($A118,'00_SKU_Master'!$B$2:$B$378,'00_SKU_Master'!$F$2:$F$378,0)*K118/_xlfn.XLOOKUP($A118,'00_SKU_Master'!$B$2:$B$378,'00_SKU_Master'!$O:$O,0),"")</f>
        <v/>
      </c>
      <c r="T116" s="123">
        <f>SUM(N118:S118)</f>
        <v/>
      </c>
      <c r="U116" s="124">
        <f>'05_Daily_Orders'!L117</f>
        <v/>
      </c>
    </row>
    <row r="117">
      <c r="A117" s="118">
        <f>'05_Daily_Orders'!B118</f>
        <v/>
      </c>
      <c r="B117" s="50" t="n">
        <v>0</v>
      </c>
      <c r="C117" s="50" t="n">
        <v>0</v>
      </c>
      <c r="D117" s="119" t="n"/>
      <c r="E117" s="119" t="n"/>
      <c r="F117" t="n">
        <v>0</v>
      </c>
      <c r="L117" s="120">
        <f>IF($E$1="n",0,(SUM(F119:K119)-B119))</f>
        <v/>
      </c>
      <c r="M117" s="121">
        <f>_xludf.IFNA(_xlfn.XLOOKUP(A119,'00_SKU_Master'!$B$2:$B$378,'00_SKU_Master'!$C$2:$C$378,0),"")</f>
        <v/>
      </c>
      <c r="N117" s="122">
        <f>_xludf.IFNA(_xlfn.XLOOKUP(A119,'00_SKU_Master'!$B$2:$B$378,'00_SKU_Master'!$F$2:$F$378,0)*F119/_xlfn.XLOOKUP(A119,'00_SKU_Master'!$B$2:$B$378,'00_SKU_Master'!$O:$O,0),"")</f>
        <v/>
      </c>
      <c r="O117" s="122">
        <f>_xludf.IFNA(_xlfn.XLOOKUP($A119,'00_SKU_Master'!$B$2:$B$378,'00_SKU_Master'!$F$2:$F$378,0)*G119/_xlfn.XLOOKUP($A119,'00_SKU_Master'!$B$2:$B$378,'00_SKU_Master'!$O:$O,0),"")</f>
        <v/>
      </c>
      <c r="P117" s="122">
        <f>_xludf.IFNA(_xlfn.XLOOKUP($A119,'00_SKU_Master'!$B$2:$B$378,'00_SKU_Master'!$F$2:$F$378,0)*H119/_xlfn.XLOOKUP($A119,'00_SKU_Master'!$B$2:$B$378,'00_SKU_Master'!$O:$O,0),"")</f>
        <v/>
      </c>
      <c r="Q117" s="122">
        <f>_xludf.IFNA(_xlfn.XLOOKUP($A119,'00_SKU_Master'!$B$2:$B$378,'00_SKU_Master'!$F$2:$F$378,0)*I119/_xlfn.XLOOKUP($A119,'00_SKU_Master'!$B$2:$B$378,'00_SKU_Master'!$O:$O,0),"")</f>
        <v/>
      </c>
      <c r="R117" s="122">
        <f>_xludf.IFNA(_xlfn.XLOOKUP($A119,'00_SKU_Master'!$B$2:$B$378,'00_SKU_Master'!$F$2:$F$378,0)*J119/_xlfn.XLOOKUP($A119,'00_SKU_Master'!$B$2:$B$378,'00_SKU_Master'!$O:$O,0),"")</f>
        <v/>
      </c>
      <c r="S117" s="122">
        <f>_xludf.IFNA(_xlfn.XLOOKUP($A119,'00_SKU_Master'!$B$2:$B$378,'00_SKU_Master'!$F$2:$F$378,0)*K119/_xlfn.XLOOKUP($A119,'00_SKU_Master'!$B$2:$B$378,'00_SKU_Master'!$O:$O,0),"")</f>
        <v/>
      </c>
      <c r="T117" s="123">
        <f>SUM(N119:S119)</f>
        <v/>
      </c>
      <c r="U117" s="124">
        <f>'05_Daily_Orders'!L118</f>
        <v/>
      </c>
    </row>
    <row r="118">
      <c r="A118" s="118">
        <f>'05_Daily_Orders'!B119</f>
        <v/>
      </c>
      <c r="B118" s="50" t="n">
        <v>0</v>
      </c>
      <c r="C118" s="50" t="n">
        <v>0</v>
      </c>
      <c r="D118" s="119" t="n"/>
      <c r="E118" s="119" t="n"/>
      <c r="F118" t="n">
        <v>0</v>
      </c>
      <c r="L118" s="120">
        <f>IF($E$1="n",0,(SUM(F120:K120)-B120))</f>
        <v/>
      </c>
      <c r="M118" s="121">
        <f>_xludf.IFNA(_xlfn.XLOOKUP(A120,'00_SKU_Master'!$B$2:$B$378,'00_SKU_Master'!$C$2:$C$378,0),"")</f>
        <v/>
      </c>
      <c r="N118" s="122">
        <f>_xludf.IFNA(_xlfn.XLOOKUP(A120,'00_SKU_Master'!$B$2:$B$378,'00_SKU_Master'!$F$2:$F$378,0)*F120/_xlfn.XLOOKUP(A120,'00_SKU_Master'!$B$2:$B$378,'00_SKU_Master'!$O:$O,0),"")</f>
        <v/>
      </c>
      <c r="O118" s="122">
        <f>_xludf.IFNA(_xlfn.XLOOKUP($A120,'00_SKU_Master'!$B$2:$B$378,'00_SKU_Master'!$F$2:$F$378,0)*G120/_xlfn.XLOOKUP($A120,'00_SKU_Master'!$B$2:$B$378,'00_SKU_Master'!$O:$O,0),"")</f>
        <v/>
      </c>
      <c r="P118" s="122">
        <f>_xludf.IFNA(_xlfn.XLOOKUP($A120,'00_SKU_Master'!$B$2:$B$378,'00_SKU_Master'!$F$2:$F$378,0)*H120/_xlfn.XLOOKUP($A120,'00_SKU_Master'!$B$2:$B$378,'00_SKU_Master'!$O:$O,0),"")</f>
        <v/>
      </c>
      <c r="Q118" s="122">
        <f>_xludf.IFNA(_xlfn.XLOOKUP($A120,'00_SKU_Master'!$B$2:$B$378,'00_SKU_Master'!$F$2:$F$378,0)*I120/_xlfn.XLOOKUP($A120,'00_SKU_Master'!$B$2:$B$378,'00_SKU_Master'!$O:$O,0),"")</f>
        <v/>
      </c>
      <c r="R118" s="122">
        <f>_xludf.IFNA(_xlfn.XLOOKUP($A120,'00_SKU_Master'!$B$2:$B$378,'00_SKU_Master'!$F$2:$F$378,0)*J120/_xlfn.XLOOKUP($A120,'00_SKU_Master'!$B$2:$B$378,'00_SKU_Master'!$O:$O,0),"")</f>
        <v/>
      </c>
      <c r="S118" s="122">
        <f>_xludf.IFNA(_xlfn.XLOOKUP($A120,'00_SKU_Master'!$B$2:$B$378,'00_SKU_Master'!$F$2:$F$378,0)*K120/_xlfn.XLOOKUP($A120,'00_SKU_Master'!$B$2:$B$378,'00_SKU_Master'!$O:$O,0),"")</f>
        <v/>
      </c>
      <c r="T118" s="123">
        <f>SUM(N120:S120)</f>
        <v/>
      </c>
      <c r="U118" s="124">
        <f>'05_Daily_Orders'!L119</f>
        <v/>
      </c>
    </row>
    <row r="119">
      <c r="A119" s="118">
        <f>'05_Daily_Orders'!B120</f>
        <v/>
      </c>
      <c r="B119" s="50" t="n">
        <v>0</v>
      </c>
      <c r="C119" s="50" t="n">
        <v>0</v>
      </c>
      <c r="D119" s="119" t="n"/>
      <c r="E119" s="119" t="n"/>
      <c r="F119" t="n">
        <v>0</v>
      </c>
      <c r="L119" s="120">
        <f>IF($E$1="n",0,(SUM(F121:K121)-B121))</f>
        <v/>
      </c>
      <c r="M119" s="121">
        <f>_xludf.IFNA(_xlfn.XLOOKUP(A121,'00_SKU_Master'!$B$2:$B$378,'00_SKU_Master'!$C$2:$C$378,0),"")</f>
        <v/>
      </c>
      <c r="N119" s="122">
        <f>_xludf.IFNA(_xlfn.XLOOKUP(A121,'00_SKU_Master'!$B$2:$B$378,'00_SKU_Master'!$F$2:$F$378,0)*F121/_xlfn.XLOOKUP(A121,'00_SKU_Master'!$B$2:$B$378,'00_SKU_Master'!$O:$O,0),"")</f>
        <v/>
      </c>
      <c r="O119" s="122">
        <f>_xludf.IFNA(_xlfn.XLOOKUP($A121,'00_SKU_Master'!$B$2:$B$378,'00_SKU_Master'!$F$2:$F$378,0)*G121/_xlfn.XLOOKUP($A121,'00_SKU_Master'!$B$2:$B$378,'00_SKU_Master'!$O:$O,0),"")</f>
        <v/>
      </c>
      <c r="P119" s="122">
        <f>_xludf.IFNA(_xlfn.XLOOKUP($A121,'00_SKU_Master'!$B$2:$B$378,'00_SKU_Master'!$F$2:$F$378,0)*H121/_xlfn.XLOOKUP($A121,'00_SKU_Master'!$B$2:$B$378,'00_SKU_Master'!$O:$O,0),"")</f>
        <v/>
      </c>
      <c r="Q119" s="122">
        <f>_xludf.IFNA(_xlfn.XLOOKUP($A121,'00_SKU_Master'!$B$2:$B$378,'00_SKU_Master'!$F$2:$F$378,0)*I121/_xlfn.XLOOKUP($A121,'00_SKU_Master'!$B$2:$B$378,'00_SKU_Master'!$O:$O,0),"")</f>
        <v/>
      </c>
      <c r="R119" s="122">
        <f>_xludf.IFNA(_xlfn.XLOOKUP($A121,'00_SKU_Master'!$B$2:$B$378,'00_SKU_Master'!$F$2:$F$378,0)*J121/_xlfn.XLOOKUP($A121,'00_SKU_Master'!$B$2:$B$378,'00_SKU_Master'!$O:$O,0),"")</f>
        <v/>
      </c>
      <c r="S119" s="122">
        <f>_xludf.IFNA(_xlfn.XLOOKUP($A121,'00_SKU_Master'!$B$2:$B$378,'00_SKU_Master'!$F$2:$F$378,0)*K121/_xlfn.XLOOKUP($A121,'00_SKU_Master'!$B$2:$B$378,'00_SKU_Master'!$O:$O,0),"")</f>
        <v/>
      </c>
      <c r="T119" s="123">
        <f>SUM(N121:S121)</f>
        <v/>
      </c>
      <c r="U119" s="124">
        <f>'05_Daily_Orders'!L120</f>
        <v/>
      </c>
    </row>
    <row r="120">
      <c r="A120" s="118">
        <f>'05_Daily_Orders'!B121</f>
        <v/>
      </c>
      <c r="B120" s="50" t="n">
        <v>0</v>
      </c>
      <c r="C120" s="50" t="n">
        <v>0</v>
      </c>
      <c r="D120" s="119" t="n"/>
      <c r="E120" s="119" t="n"/>
      <c r="F120" t="n">
        <v>0</v>
      </c>
      <c r="L120" s="120">
        <f>IF($E$1="n",0,(SUM(F122:K122)-B122))</f>
        <v/>
      </c>
      <c r="M120" s="121">
        <f>_xludf.IFNA(_xlfn.XLOOKUP(A122,'00_SKU_Master'!$B$2:$B$378,'00_SKU_Master'!$C$2:$C$378,0),"")</f>
        <v/>
      </c>
      <c r="N120" s="122">
        <f>_xludf.IFNA(_xlfn.XLOOKUP(A122,'00_SKU_Master'!$B$2:$B$378,'00_SKU_Master'!$F$2:$F$378,0)*F122/_xlfn.XLOOKUP(A122,'00_SKU_Master'!$B$2:$B$378,'00_SKU_Master'!$O:$O,0),"")</f>
        <v/>
      </c>
      <c r="O120" s="122">
        <f>_xludf.IFNA(_xlfn.XLOOKUP($A122,'00_SKU_Master'!$B$2:$B$378,'00_SKU_Master'!$F$2:$F$378,0)*G122/_xlfn.XLOOKUP($A122,'00_SKU_Master'!$B$2:$B$378,'00_SKU_Master'!$O:$O,0),"")</f>
        <v/>
      </c>
      <c r="P120" s="122">
        <f>_xludf.IFNA(_xlfn.XLOOKUP($A122,'00_SKU_Master'!$B$2:$B$378,'00_SKU_Master'!$F$2:$F$378,0)*H122/_xlfn.XLOOKUP($A122,'00_SKU_Master'!$B$2:$B$378,'00_SKU_Master'!$O:$O,0),"")</f>
        <v/>
      </c>
      <c r="Q120" s="122">
        <f>_xludf.IFNA(_xlfn.XLOOKUP($A122,'00_SKU_Master'!$B$2:$B$378,'00_SKU_Master'!$F$2:$F$378,0)*I122/_xlfn.XLOOKUP($A122,'00_SKU_Master'!$B$2:$B$378,'00_SKU_Master'!$O:$O,0),"")</f>
        <v/>
      </c>
      <c r="R120" s="122">
        <f>_xludf.IFNA(_xlfn.XLOOKUP($A122,'00_SKU_Master'!$B$2:$B$378,'00_SKU_Master'!$F$2:$F$378,0)*J122/_xlfn.XLOOKUP($A122,'00_SKU_Master'!$B$2:$B$378,'00_SKU_Master'!$O:$O,0),"")</f>
        <v/>
      </c>
      <c r="S120" s="122">
        <f>_xludf.IFNA(_xlfn.XLOOKUP($A122,'00_SKU_Master'!$B$2:$B$378,'00_SKU_Master'!$F$2:$F$378,0)*K122/_xlfn.XLOOKUP($A122,'00_SKU_Master'!$B$2:$B$378,'00_SKU_Master'!$O:$O,0),"")</f>
        <v/>
      </c>
      <c r="T120" s="123">
        <f>SUM(N122:S122)</f>
        <v/>
      </c>
      <c r="U120" s="124">
        <f>'05_Daily_Orders'!L121</f>
        <v/>
      </c>
    </row>
    <row r="121">
      <c r="A121" s="118">
        <f>'05_Daily_Orders'!B122</f>
        <v/>
      </c>
      <c r="B121" s="50" t="n">
        <v>0</v>
      </c>
      <c r="C121" s="50" t="n">
        <v>0</v>
      </c>
      <c r="D121" s="119" t="n"/>
      <c r="E121" s="119" t="n"/>
      <c r="F121" t="n">
        <v>0</v>
      </c>
      <c r="L121" s="120">
        <f>IF($E$1="n",0,(SUM(F123:K123)-B123))</f>
        <v/>
      </c>
      <c r="M121" s="121">
        <f>_xludf.IFNA(_xlfn.XLOOKUP(A123,'00_SKU_Master'!$B$2:$B$378,'00_SKU_Master'!$C$2:$C$378,0),"")</f>
        <v/>
      </c>
      <c r="N121" s="122">
        <f>_xludf.IFNA(_xlfn.XLOOKUP(A123,'00_SKU_Master'!$B$2:$B$378,'00_SKU_Master'!$F$2:$F$378,0)*F123/_xlfn.XLOOKUP(A123,'00_SKU_Master'!$B$2:$B$378,'00_SKU_Master'!$O:$O,0),"")</f>
        <v/>
      </c>
      <c r="O121" s="122">
        <f>_xludf.IFNA(_xlfn.XLOOKUP($A123,'00_SKU_Master'!$B$2:$B$378,'00_SKU_Master'!$F$2:$F$378,0)*G123/_xlfn.XLOOKUP($A123,'00_SKU_Master'!$B$2:$B$378,'00_SKU_Master'!$O:$O,0),"")</f>
        <v/>
      </c>
      <c r="P121" s="122">
        <f>_xludf.IFNA(_xlfn.XLOOKUP($A123,'00_SKU_Master'!$B$2:$B$378,'00_SKU_Master'!$F$2:$F$378,0)*H123/_xlfn.XLOOKUP($A123,'00_SKU_Master'!$B$2:$B$378,'00_SKU_Master'!$O:$O,0),"")</f>
        <v/>
      </c>
      <c r="Q121" s="122">
        <f>_xludf.IFNA(_xlfn.XLOOKUP($A123,'00_SKU_Master'!$B$2:$B$378,'00_SKU_Master'!$F$2:$F$378,0)*I123/_xlfn.XLOOKUP($A123,'00_SKU_Master'!$B$2:$B$378,'00_SKU_Master'!$O:$O,0),"")</f>
        <v/>
      </c>
      <c r="R121" s="122">
        <f>_xludf.IFNA(_xlfn.XLOOKUP($A123,'00_SKU_Master'!$B$2:$B$378,'00_SKU_Master'!$F$2:$F$378,0)*J123/_xlfn.XLOOKUP($A123,'00_SKU_Master'!$B$2:$B$378,'00_SKU_Master'!$O:$O,0),"")</f>
        <v/>
      </c>
      <c r="S121" s="122">
        <f>_xludf.IFNA(_xlfn.XLOOKUP($A123,'00_SKU_Master'!$B$2:$B$378,'00_SKU_Master'!$F$2:$F$378,0)*K123/_xlfn.XLOOKUP($A123,'00_SKU_Master'!$B$2:$B$378,'00_SKU_Master'!$O:$O,0),"")</f>
        <v/>
      </c>
      <c r="T121" s="123">
        <f>SUM(N123:S123)</f>
        <v/>
      </c>
      <c r="U121" s="124">
        <f>'05_Daily_Orders'!L122</f>
        <v/>
      </c>
    </row>
    <row r="122">
      <c r="A122" s="118">
        <f>'05_Daily_Orders'!B123</f>
        <v/>
      </c>
      <c r="B122" s="50" t="n">
        <v>0</v>
      </c>
      <c r="C122" s="50" t="n">
        <v>0</v>
      </c>
      <c r="D122" s="119" t="n"/>
      <c r="E122" s="119" t="n"/>
      <c r="F122" t="n">
        <v>0</v>
      </c>
      <c r="L122" s="120">
        <f>IF($E$1="n",0,(SUM(F124:K124)-B124))</f>
        <v/>
      </c>
      <c r="M122" s="121">
        <f>_xludf.IFNA(_xlfn.XLOOKUP(A124,'00_SKU_Master'!$B$2:$B$378,'00_SKU_Master'!$C$2:$C$378,0),"")</f>
        <v/>
      </c>
      <c r="N122" s="122">
        <f>_xludf.IFNA(_xlfn.XLOOKUP(A124,'00_SKU_Master'!$B$2:$B$378,'00_SKU_Master'!$F$2:$F$378,0)*F124/_xlfn.XLOOKUP(A124,'00_SKU_Master'!$B$2:$B$378,'00_SKU_Master'!$O:$O,0),"")</f>
        <v/>
      </c>
      <c r="O122" s="122">
        <f>_xludf.IFNA(_xlfn.XLOOKUP($A124,'00_SKU_Master'!$B$2:$B$378,'00_SKU_Master'!$F$2:$F$378,0)*G124/_xlfn.XLOOKUP($A124,'00_SKU_Master'!$B$2:$B$378,'00_SKU_Master'!$O:$O,0),"")</f>
        <v/>
      </c>
      <c r="P122" s="122">
        <f>_xludf.IFNA(_xlfn.XLOOKUP($A124,'00_SKU_Master'!$B$2:$B$378,'00_SKU_Master'!$F$2:$F$378,0)*H124/_xlfn.XLOOKUP($A124,'00_SKU_Master'!$B$2:$B$378,'00_SKU_Master'!$O:$O,0),"")</f>
        <v/>
      </c>
      <c r="Q122" s="122">
        <f>_xludf.IFNA(_xlfn.XLOOKUP($A124,'00_SKU_Master'!$B$2:$B$378,'00_SKU_Master'!$F$2:$F$378,0)*I124/_xlfn.XLOOKUP($A124,'00_SKU_Master'!$B$2:$B$378,'00_SKU_Master'!$O:$O,0),"")</f>
        <v/>
      </c>
      <c r="R122" s="122">
        <f>_xludf.IFNA(_xlfn.XLOOKUP($A124,'00_SKU_Master'!$B$2:$B$378,'00_SKU_Master'!$F$2:$F$378,0)*J124/_xlfn.XLOOKUP($A124,'00_SKU_Master'!$B$2:$B$378,'00_SKU_Master'!$O:$O,0),"")</f>
        <v/>
      </c>
      <c r="S122" s="122">
        <f>_xludf.IFNA(_xlfn.XLOOKUP($A124,'00_SKU_Master'!$B$2:$B$378,'00_SKU_Master'!$F$2:$F$378,0)*K124/_xlfn.XLOOKUP($A124,'00_SKU_Master'!$B$2:$B$378,'00_SKU_Master'!$O:$O,0),"")</f>
        <v/>
      </c>
      <c r="T122" s="123">
        <f>SUM(N124:S124)</f>
        <v/>
      </c>
      <c r="U122" s="124">
        <f>'05_Daily_Orders'!L123</f>
        <v/>
      </c>
    </row>
    <row r="123">
      <c r="A123" s="118">
        <f>'05_Daily_Orders'!B124</f>
        <v/>
      </c>
      <c r="B123" s="50" t="n">
        <v>0</v>
      </c>
      <c r="C123" s="50" t="n">
        <v>0</v>
      </c>
      <c r="D123" s="119" t="n"/>
      <c r="E123" s="119" t="n"/>
      <c r="F123" t="n">
        <v>0</v>
      </c>
      <c r="L123" s="120">
        <f>IF($E$1="n",0,(SUM(F125:K125)-B125))</f>
        <v/>
      </c>
      <c r="M123" s="121">
        <f>_xludf.IFNA(_xlfn.XLOOKUP(A125,'00_SKU_Master'!$B$2:$B$378,'00_SKU_Master'!$C$2:$C$378,0),"")</f>
        <v/>
      </c>
      <c r="N123" s="122">
        <f>_xludf.IFNA(_xlfn.XLOOKUP(A125,'00_SKU_Master'!$B$2:$B$378,'00_SKU_Master'!$F$2:$F$378,0)*F125/_xlfn.XLOOKUP(A125,'00_SKU_Master'!$B$2:$B$378,'00_SKU_Master'!$O:$O,0),"")</f>
        <v/>
      </c>
      <c r="O123" s="122">
        <f>_xludf.IFNA(_xlfn.XLOOKUP($A125,'00_SKU_Master'!$B$2:$B$378,'00_SKU_Master'!$F$2:$F$378,0)*G125/_xlfn.XLOOKUP($A125,'00_SKU_Master'!$B$2:$B$378,'00_SKU_Master'!$O:$O,0),"")</f>
        <v/>
      </c>
      <c r="P123" s="122">
        <f>_xludf.IFNA(_xlfn.XLOOKUP($A125,'00_SKU_Master'!$B$2:$B$378,'00_SKU_Master'!$F$2:$F$378,0)*H125/_xlfn.XLOOKUP($A125,'00_SKU_Master'!$B$2:$B$378,'00_SKU_Master'!$O:$O,0),"")</f>
        <v/>
      </c>
      <c r="Q123" s="122">
        <f>_xludf.IFNA(_xlfn.XLOOKUP($A125,'00_SKU_Master'!$B$2:$B$378,'00_SKU_Master'!$F$2:$F$378,0)*I125/_xlfn.XLOOKUP($A125,'00_SKU_Master'!$B$2:$B$378,'00_SKU_Master'!$O:$O,0),"")</f>
        <v/>
      </c>
      <c r="R123" s="122">
        <f>_xludf.IFNA(_xlfn.XLOOKUP($A125,'00_SKU_Master'!$B$2:$B$378,'00_SKU_Master'!$F$2:$F$378,0)*J125/_xlfn.XLOOKUP($A125,'00_SKU_Master'!$B$2:$B$378,'00_SKU_Master'!$O:$O,0),"")</f>
        <v/>
      </c>
      <c r="S123" s="122">
        <f>_xludf.IFNA(_xlfn.XLOOKUP($A125,'00_SKU_Master'!$B$2:$B$378,'00_SKU_Master'!$F$2:$F$378,0)*K125/_xlfn.XLOOKUP($A125,'00_SKU_Master'!$B$2:$B$378,'00_SKU_Master'!$O:$O,0),"")</f>
        <v/>
      </c>
      <c r="T123" s="123">
        <f>SUM(N125:S125)</f>
        <v/>
      </c>
      <c r="U123" s="124">
        <f>'05_Daily_Orders'!L124</f>
        <v/>
      </c>
    </row>
    <row r="124">
      <c r="A124" s="118">
        <f>'05_Daily_Orders'!B125</f>
        <v/>
      </c>
      <c r="B124" s="50" t="n">
        <v>0</v>
      </c>
      <c r="C124" s="50" t="n">
        <v>0</v>
      </c>
      <c r="D124" s="119" t="n"/>
      <c r="E124" s="119" t="n"/>
      <c r="F124" t="n">
        <v>0</v>
      </c>
      <c r="L124" s="120">
        <f>IF($E$1="n",0,(SUM(F126:K126)-B126))</f>
        <v/>
      </c>
      <c r="M124" s="121">
        <f>_xludf.IFNA(_xlfn.XLOOKUP(A126,'00_SKU_Master'!$B$2:$B$378,'00_SKU_Master'!$C$2:$C$378,0),"")</f>
        <v/>
      </c>
      <c r="N124" s="122">
        <f>_xludf.IFNA(_xlfn.XLOOKUP(A126,'00_SKU_Master'!$B$2:$B$378,'00_SKU_Master'!$F$2:$F$378,0)*F126/_xlfn.XLOOKUP(A126,'00_SKU_Master'!$B$2:$B$378,'00_SKU_Master'!$O:$O,0),"")</f>
        <v/>
      </c>
      <c r="O124" s="122">
        <f>_xludf.IFNA(_xlfn.XLOOKUP($A126,'00_SKU_Master'!$B$2:$B$378,'00_SKU_Master'!$F$2:$F$378,0)*G126/_xlfn.XLOOKUP($A126,'00_SKU_Master'!$B$2:$B$378,'00_SKU_Master'!$O:$O,0),"")</f>
        <v/>
      </c>
      <c r="P124" s="122">
        <f>_xludf.IFNA(_xlfn.XLOOKUP($A126,'00_SKU_Master'!$B$2:$B$378,'00_SKU_Master'!$F$2:$F$378,0)*H126/_xlfn.XLOOKUP($A126,'00_SKU_Master'!$B$2:$B$378,'00_SKU_Master'!$O:$O,0),"")</f>
        <v/>
      </c>
      <c r="Q124" s="122">
        <f>_xludf.IFNA(_xlfn.XLOOKUP($A126,'00_SKU_Master'!$B$2:$B$378,'00_SKU_Master'!$F$2:$F$378,0)*I126/_xlfn.XLOOKUP($A126,'00_SKU_Master'!$B$2:$B$378,'00_SKU_Master'!$O:$O,0),"")</f>
        <v/>
      </c>
      <c r="R124" s="122">
        <f>_xludf.IFNA(_xlfn.XLOOKUP($A126,'00_SKU_Master'!$B$2:$B$378,'00_SKU_Master'!$F$2:$F$378,0)*J126/_xlfn.XLOOKUP($A126,'00_SKU_Master'!$B$2:$B$378,'00_SKU_Master'!$O:$O,0),"")</f>
        <v/>
      </c>
      <c r="S124" s="122">
        <f>_xludf.IFNA(_xlfn.XLOOKUP($A126,'00_SKU_Master'!$B$2:$B$378,'00_SKU_Master'!$F$2:$F$378,0)*K126/_xlfn.XLOOKUP($A126,'00_SKU_Master'!$B$2:$B$378,'00_SKU_Master'!$O:$O,0),"")</f>
        <v/>
      </c>
      <c r="T124" s="123">
        <f>SUM(N126:S126)</f>
        <v/>
      </c>
      <c r="U124" s="124">
        <f>'05_Daily_Orders'!L125</f>
        <v/>
      </c>
    </row>
    <row r="125">
      <c r="A125" s="118">
        <f>'05_Daily_Orders'!B126</f>
        <v/>
      </c>
      <c r="B125" s="50" t="n">
        <v>0</v>
      </c>
      <c r="C125" s="50" t="n">
        <v>0</v>
      </c>
      <c r="D125" s="119" t="n"/>
      <c r="E125" s="119" t="n"/>
      <c r="F125" t="n">
        <v>0</v>
      </c>
      <c r="L125" s="120">
        <f>IF($E$1="n",0,(SUM(F127:K127)-B127))</f>
        <v/>
      </c>
      <c r="M125" s="121">
        <f>_xludf.IFNA(_xlfn.XLOOKUP(A127,'00_SKU_Master'!$B$2:$B$378,'00_SKU_Master'!$C$2:$C$378,0),"")</f>
        <v/>
      </c>
      <c r="N125" s="122">
        <f>_xludf.IFNA(_xlfn.XLOOKUP(A127,'00_SKU_Master'!$B$2:$B$378,'00_SKU_Master'!$F$2:$F$378,0)*F127/_xlfn.XLOOKUP(A127,'00_SKU_Master'!$B$2:$B$378,'00_SKU_Master'!$O:$O,0),"")</f>
        <v/>
      </c>
      <c r="O125" s="122">
        <f>_xludf.IFNA(_xlfn.XLOOKUP($A127,'00_SKU_Master'!$B$2:$B$378,'00_SKU_Master'!$F$2:$F$378,0)*G127/_xlfn.XLOOKUP($A127,'00_SKU_Master'!$B$2:$B$378,'00_SKU_Master'!$O:$O,0),"")</f>
        <v/>
      </c>
      <c r="P125" s="122">
        <f>_xludf.IFNA(_xlfn.XLOOKUP($A127,'00_SKU_Master'!$B$2:$B$378,'00_SKU_Master'!$F$2:$F$378,0)*H127/_xlfn.XLOOKUP($A127,'00_SKU_Master'!$B$2:$B$378,'00_SKU_Master'!$O:$O,0),"")</f>
        <v/>
      </c>
      <c r="Q125" s="122">
        <f>_xludf.IFNA(_xlfn.XLOOKUP($A127,'00_SKU_Master'!$B$2:$B$378,'00_SKU_Master'!$F$2:$F$378,0)*I127/_xlfn.XLOOKUP($A127,'00_SKU_Master'!$B$2:$B$378,'00_SKU_Master'!$O:$O,0),"")</f>
        <v/>
      </c>
      <c r="R125" s="122">
        <f>_xludf.IFNA(_xlfn.XLOOKUP($A127,'00_SKU_Master'!$B$2:$B$378,'00_SKU_Master'!$F$2:$F$378,0)*J127/_xlfn.XLOOKUP($A127,'00_SKU_Master'!$B$2:$B$378,'00_SKU_Master'!$O:$O,0),"")</f>
        <v/>
      </c>
      <c r="S125" s="122">
        <f>_xludf.IFNA(_xlfn.XLOOKUP($A127,'00_SKU_Master'!$B$2:$B$378,'00_SKU_Master'!$F$2:$F$378,0)*K127/_xlfn.XLOOKUP($A127,'00_SKU_Master'!$B$2:$B$378,'00_SKU_Master'!$O:$O,0),"")</f>
        <v/>
      </c>
      <c r="T125" s="123">
        <f>SUM(N127:S127)</f>
        <v/>
      </c>
      <c r="U125" s="124">
        <f>'05_Daily_Orders'!L126</f>
        <v/>
      </c>
    </row>
    <row r="126">
      <c r="A126" s="118">
        <f>'05_Daily_Orders'!B127</f>
        <v/>
      </c>
      <c r="B126" s="50" t="n">
        <v>0</v>
      </c>
      <c r="C126" s="50" t="n">
        <v>0</v>
      </c>
      <c r="D126" s="119" t="n"/>
      <c r="E126" s="119" t="n"/>
      <c r="F126" t="n">
        <v>0</v>
      </c>
      <c r="L126" s="120">
        <f>IF($E$1="n",0,(SUM(F128:K128)-B128))</f>
        <v/>
      </c>
      <c r="M126" s="121">
        <f>_xludf.IFNA(_xlfn.XLOOKUP(A128,'00_SKU_Master'!$B$2:$B$378,'00_SKU_Master'!$C$2:$C$378,0),"")</f>
        <v/>
      </c>
      <c r="N126" s="122">
        <f>_xludf.IFNA(_xlfn.XLOOKUP(A128,'00_SKU_Master'!$B$2:$B$378,'00_SKU_Master'!$F$2:$F$378,0)*F128/_xlfn.XLOOKUP(A128,'00_SKU_Master'!$B$2:$B$378,'00_SKU_Master'!$O:$O,0),"")</f>
        <v/>
      </c>
      <c r="O126" s="122">
        <f>_xludf.IFNA(_xlfn.XLOOKUP($A128,'00_SKU_Master'!$B$2:$B$378,'00_SKU_Master'!$F$2:$F$378,0)*G128/_xlfn.XLOOKUP($A128,'00_SKU_Master'!$B$2:$B$378,'00_SKU_Master'!$O:$O,0),"")</f>
        <v/>
      </c>
      <c r="P126" s="122">
        <f>_xludf.IFNA(_xlfn.XLOOKUP($A128,'00_SKU_Master'!$B$2:$B$378,'00_SKU_Master'!$F$2:$F$378,0)*H128/_xlfn.XLOOKUP($A128,'00_SKU_Master'!$B$2:$B$378,'00_SKU_Master'!$O:$O,0),"")</f>
        <v/>
      </c>
      <c r="Q126" s="122">
        <f>_xludf.IFNA(_xlfn.XLOOKUP($A128,'00_SKU_Master'!$B$2:$B$378,'00_SKU_Master'!$F$2:$F$378,0)*I128/_xlfn.XLOOKUP($A128,'00_SKU_Master'!$B$2:$B$378,'00_SKU_Master'!$O:$O,0),"")</f>
        <v/>
      </c>
      <c r="R126" s="122">
        <f>_xludf.IFNA(_xlfn.XLOOKUP($A128,'00_SKU_Master'!$B$2:$B$378,'00_SKU_Master'!$F$2:$F$378,0)*J128/_xlfn.XLOOKUP($A128,'00_SKU_Master'!$B$2:$B$378,'00_SKU_Master'!$O:$O,0),"")</f>
        <v/>
      </c>
      <c r="S126" s="122">
        <f>_xludf.IFNA(_xlfn.XLOOKUP($A128,'00_SKU_Master'!$B$2:$B$378,'00_SKU_Master'!$F$2:$F$378,0)*K128/_xlfn.XLOOKUP($A128,'00_SKU_Master'!$B$2:$B$378,'00_SKU_Master'!$O:$O,0),"")</f>
        <v/>
      </c>
      <c r="T126" s="123">
        <f>SUM(N128:S128)</f>
        <v/>
      </c>
      <c r="U126" s="124">
        <f>'05_Daily_Orders'!L127</f>
        <v/>
      </c>
    </row>
    <row r="127">
      <c r="A127" s="118">
        <f>'05_Daily_Orders'!B128</f>
        <v/>
      </c>
      <c r="B127" s="50" t="n">
        <v>0</v>
      </c>
      <c r="C127" s="50" t="n">
        <v>0</v>
      </c>
      <c r="D127" s="119" t="n"/>
      <c r="E127" s="119" t="n"/>
      <c r="F127" t="n">
        <v>0</v>
      </c>
      <c r="L127" s="120">
        <f>IF($E$1="n",0,(SUM(F129:K129)-B129))</f>
        <v/>
      </c>
      <c r="M127" s="121">
        <f>_xludf.IFNA(_xlfn.XLOOKUP(A129,'00_SKU_Master'!$B$2:$B$378,'00_SKU_Master'!$C$2:$C$378,0),"")</f>
        <v/>
      </c>
      <c r="N127" s="122">
        <f>_xludf.IFNA(_xlfn.XLOOKUP(A129,'00_SKU_Master'!$B$2:$B$378,'00_SKU_Master'!$F$2:$F$378,0)*F129/_xlfn.XLOOKUP(A129,'00_SKU_Master'!$B$2:$B$378,'00_SKU_Master'!$O:$O,0),"")</f>
        <v/>
      </c>
      <c r="O127" s="122">
        <f>_xludf.IFNA(_xlfn.XLOOKUP($A129,'00_SKU_Master'!$B$2:$B$378,'00_SKU_Master'!$F$2:$F$378,0)*G129/_xlfn.XLOOKUP($A129,'00_SKU_Master'!$B$2:$B$378,'00_SKU_Master'!$O:$O,0),"")</f>
        <v/>
      </c>
      <c r="P127" s="122">
        <f>_xludf.IFNA(_xlfn.XLOOKUP($A129,'00_SKU_Master'!$B$2:$B$378,'00_SKU_Master'!$F$2:$F$378,0)*H129/_xlfn.XLOOKUP($A129,'00_SKU_Master'!$B$2:$B$378,'00_SKU_Master'!$O:$O,0),"")</f>
        <v/>
      </c>
      <c r="Q127" s="122">
        <f>_xludf.IFNA(_xlfn.XLOOKUP($A129,'00_SKU_Master'!$B$2:$B$378,'00_SKU_Master'!$F$2:$F$378,0)*I129/_xlfn.XLOOKUP($A129,'00_SKU_Master'!$B$2:$B$378,'00_SKU_Master'!$O:$O,0),"")</f>
        <v/>
      </c>
      <c r="R127" s="122">
        <f>_xludf.IFNA(_xlfn.XLOOKUP($A129,'00_SKU_Master'!$B$2:$B$378,'00_SKU_Master'!$F$2:$F$378,0)*J129/_xlfn.XLOOKUP($A129,'00_SKU_Master'!$B$2:$B$378,'00_SKU_Master'!$O:$O,0),"")</f>
        <v/>
      </c>
      <c r="S127" s="122">
        <f>_xludf.IFNA(_xlfn.XLOOKUP($A129,'00_SKU_Master'!$B$2:$B$378,'00_SKU_Master'!$F$2:$F$378,0)*K129/_xlfn.XLOOKUP($A129,'00_SKU_Master'!$B$2:$B$378,'00_SKU_Master'!$O:$O,0),"")</f>
        <v/>
      </c>
      <c r="T127" s="123">
        <f>SUM(N129:S129)</f>
        <v/>
      </c>
      <c r="U127" s="124">
        <f>'05_Daily_Orders'!L128</f>
        <v/>
      </c>
    </row>
    <row r="128">
      <c r="A128" s="118">
        <f>'05_Daily_Orders'!B129</f>
        <v/>
      </c>
      <c r="B128" s="50" t="n">
        <v>0</v>
      </c>
      <c r="C128" s="50" t="n">
        <v>0</v>
      </c>
      <c r="D128" s="119" t="n"/>
      <c r="E128" s="119" t="n"/>
      <c r="F128" t="n">
        <v>0</v>
      </c>
      <c r="L128" s="120">
        <f>IF($E$1="n",0,(SUM(F130:K130)-B130))</f>
        <v/>
      </c>
      <c r="M128" s="121">
        <f>_xludf.IFNA(_xlfn.XLOOKUP(A130,'00_SKU_Master'!$B$2:$B$378,'00_SKU_Master'!$C$2:$C$378,0),"")</f>
        <v/>
      </c>
      <c r="N128" s="122">
        <f>_xludf.IFNA(_xlfn.XLOOKUP(A130,'00_SKU_Master'!$B$2:$B$378,'00_SKU_Master'!$F$2:$F$378,0)*F130/_xlfn.XLOOKUP(A130,'00_SKU_Master'!$B$2:$B$378,'00_SKU_Master'!$O:$O,0),"")</f>
        <v/>
      </c>
      <c r="O128" s="122">
        <f>_xludf.IFNA(_xlfn.XLOOKUP($A130,'00_SKU_Master'!$B$2:$B$378,'00_SKU_Master'!$F$2:$F$378,0)*G130/_xlfn.XLOOKUP($A130,'00_SKU_Master'!$B$2:$B$378,'00_SKU_Master'!$O:$O,0),"")</f>
        <v/>
      </c>
      <c r="P128" s="122">
        <f>_xludf.IFNA(_xlfn.XLOOKUP($A130,'00_SKU_Master'!$B$2:$B$378,'00_SKU_Master'!$F$2:$F$378,0)*H130/_xlfn.XLOOKUP($A130,'00_SKU_Master'!$B$2:$B$378,'00_SKU_Master'!$O:$O,0),"")</f>
        <v/>
      </c>
      <c r="Q128" s="122">
        <f>_xludf.IFNA(_xlfn.XLOOKUP($A130,'00_SKU_Master'!$B$2:$B$378,'00_SKU_Master'!$F$2:$F$378,0)*I130/_xlfn.XLOOKUP($A130,'00_SKU_Master'!$B$2:$B$378,'00_SKU_Master'!$O:$O,0),"")</f>
        <v/>
      </c>
      <c r="R128" s="122">
        <f>_xludf.IFNA(_xlfn.XLOOKUP($A130,'00_SKU_Master'!$B$2:$B$378,'00_SKU_Master'!$F$2:$F$378,0)*J130/_xlfn.XLOOKUP($A130,'00_SKU_Master'!$B$2:$B$378,'00_SKU_Master'!$O:$O,0),"")</f>
        <v/>
      </c>
      <c r="S128" s="122">
        <f>_xludf.IFNA(_xlfn.XLOOKUP($A130,'00_SKU_Master'!$B$2:$B$378,'00_SKU_Master'!$F$2:$F$378,0)*K130/_xlfn.XLOOKUP($A130,'00_SKU_Master'!$B$2:$B$378,'00_SKU_Master'!$O:$O,0),"")</f>
        <v/>
      </c>
      <c r="T128" s="123">
        <f>SUM(N130:S130)</f>
        <v/>
      </c>
      <c r="U128" s="124">
        <f>'05_Daily_Orders'!L129</f>
        <v/>
      </c>
    </row>
    <row r="129">
      <c r="A129" s="118">
        <f>'05_Daily_Orders'!B130</f>
        <v/>
      </c>
      <c r="B129" s="50" t="n">
        <v>0</v>
      </c>
      <c r="C129" s="50" t="n">
        <v>0</v>
      </c>
      <c r="D129" s="119" t="n"/>
      <c r="E129" s="119" t="n"/>
      <c r="F129" t="n">
        <v>0</v>
      </c>
      <c r="L129" s="120">
        <f>IF($E$1="n",0,(SUM(F131:K131)-B131))</f>
        <v/>
      </c>
      <c r="M129" s="121">
        <f>_xludf.IFNA(_xlfn.XLOOKUP(A131,'00_SKU_Master'!$B$2:$B$378,'00_SKU_Master'!$C$2:$C$378,0),"")</f>
        <v/>
      </c>
      <c r="N129" s="122">
        <f>_xludf.IFNA(_xlfn.XLOOKUP(A131,'00_SKU_Master'!$B$2:$B$378,'00_SKU_Master'!$F$2:$F$378,0)*F131/_xlfn.XLOOKUP(A131,'00_SKU_Master'!$B$2:$B$378,'00_SKU_Master'!$O:$O,0),"")</f>
        <v/>
      </c>
      <c r="O129" s="122">
        <f>_xludf.IFNA(_xlfn.XLOOKUP($A131,'00_SKU_Master'!$B$2:$B$378,'00_SKU_Master'!$F$2:$F$378,0)*G131/_xlfn.XLOOKUP($A131,'00_SKU_Master'!$B$2:$B$378,'00_SKU_Master'!$O:$O,0),"")</f>
        <v/>
      </c>
      <c r="P129" s="122">
        <f>_xludf.IFNA(_xlfn.XLOOKUP($A131,'00_SKU_Master'!$B$2:$B$378,'00_SKU_Master'!$F$2:$F$378,0)*H131/_xlfn.XLOOKUP($A131,'00_SKU_Master'!$B$2:$B$378,'00_SKU_Master'!$O:$O,0),"")</f>
        <v/>
      </c>
      <c r="Q129" s="122">
        <f>_xludf.IFNA(_xlfn.XLOOKUP($A131,'00_SKU_Master'!$B$2:$B$378,'00_SKU_Master'!$F$2:$F$378,0)*I131/_xlfn.XLOOKUP($A131,'00_SKU_Master'!$B$2:$B$378,'00_SKU_Master'!$O:$O,0),"")</f>
        <v/>
      </c>
      <c r="R129" s="122">
        <f>_xludf.IFNA(_xlfn.XLOOKUP($A131,'00_SKU_Master'!$B$2:$B$378,'00_SKU_Master'!$F$2:$F$378,0)*J131/_xlfn.XLOOKUP($A131,'00_SKU_Master'!$B$2:$B$378,'00_SKU_Master'!$O:$O,0),"")</f>
        <v/>
      </c>
      <c r="S129" s="122">
        <f>_xludf.IFNA(_xlfn.XLOOKUP($A131,'00_SKU_Master'!$B$2:$B$378,'00_SKU_Master'!$F$2:$F$378,0)*K131/_xlfn.XLOOKUP($A131,'00_SKU_Master'!$B$2:$B$378,'00_SKU_Master'!$O:$O,0),"")</f>
        <v/>
      </c>
      <c r="T129" s="123">
        <f>SUM(N131:S131)</f>
        <v/>
      </c>
      <c r="U129" s="124">
        <f>'05_Daily_Orders'!L130</f>
        <v/>
      </c>
    </row>
    <row r="130">
      <c r="A130" s="118">
        <f>'05_Daily_Orders'!B131</f>
        <v/>
      </c>
      <c r="B130" s="50" t="n">
        <v>0</v>
      </c>
      <c r="C130" s="50" t="n">
        <v>0</v>
      </c>
      <c r="D130" s="119" t="n"/>
      <c r="E130" s="119" t="n"/>
      <c r="F130" t="n">
        <v>0</v>
      </c>
      <c r="L130" s="120">
        <f>IF($E$1="n",0,(SUM(F132:K132)-B132))</f>
        <v/>
      </c>
      <c r="M130" s="121">
        <f>_xludf.IFNA(_xlfn.XLOOKUP(A132,'00_SKU_Master'!$B$2:$B$378,'00_SKU_Master'!$C$2:$C$378,0),"")</f>
        <v/>
      </c>
      <c r="N130" s="122">
        <f>_xludf.IFNA(_xlfn.XLOOKUP(A132,'00_SKU_Master'!$B$2:$B$378,'00_SKU_Master'!$F$2:$F$378,0)*F132/_xlfn.XLOOKUP(A132,'00_SKU_Master'!$B$2:$B$378,'00_SKU_Master'!$O:$O,0),"")</f>
        <v/>
      </c>
      <c r="O130" s="122">
        <f>_xludf.IFNA(_xlfn.XLOOKUP($A132,'00_SKU_Master'!$B$2:$B$378,'00_SKU_Master'!$F$2:$F$378,0)*G132/_xlfn.XLOOKUP($A132,'00_SKU_Master'!$B$2:$B$378,'00_SKU_Master'!$O:$O,0),"")</f>
        <v/>
      </c>
      <c r="P130" s="122">
        <f>_xludf.IFNA(_xlfn.XLOOKUP($A132,'00_SKU_Master'!$B$2:$B$378,'00_SKU_Master'!$F$2:$F$378,0)*H132/_xlfn.XLOOKUP($A132,'00_SKU_Master'!$B$2:$B$378,'00_SKU_Master'!$O:$O,0),"")</f>
        <v/>
      </c>
      <c r="Q130" s="122">
        <f>_xludf.IFNA(_xlfn.XLOOKUP($A132,'00_SKU_Master'!$B$2:$B$378,'00_SKU_Master'!$F$2:$F$378,0)*I132/_xlfn.XLOOKUP($A132,'00_SKU_Master'!$B$2:$B$378,'00_SKU_Master'!$O:$O,0),"")</f>
        <v/>
      </c>
      <c r="R130" s="122">
        <f>_xludf.IFNA(_xlfn.XLOOKUP($A132,'00_SKU_Master'!$B$2:$B$378,'00_SKU_Master'!$F$2:$F$378,0)*J132/_xlfn.XLOOKUP($A132,'00_SKU_Master'!$B$2:$B$378,'00_SKU_Master'!$O:$O,0),"")</f>
        <v/>
      </c>
      <c r="S130" s="122">
        <f>_xludf.IFNA(_xlfn.XLOOKUP($A132,'00_SKU_Master'!$B$2:$B$378,'00_SKU_Master'!$F$2:$F$378,0)*K132/_xlfn.XLOOKUP($A132,'00_SKU_Master'!$B$2:$B$378,'00_SKU_Master'!$O:$O,0),"")</f>
        <v/>
      </c>
      <c r="T130" s="123">
        <f>SUM(N132:S132)</f>
        <v/>
      </c>
      <c r="U130" s="124">
        <f>'05_Daily_Orders'!L131</f>
        <v/>
      </c>
    </row>
    <row r="131">
      <c r="A131" s="118">
        <f>'05_Daily_Orders'!B132</f>
        <v/>
      </c>
      <c r="B131" s="50" t="n">
        <v>0</v>
      </c>
      <c r="C131" s="50" t="n">
        <v>0</v>
      </c>
      <c r="D131" s="119" t="n"/>
      <c r="E131" s="119" t="n"/>
      <c r="F131" t="n">
        <v>0</v>
      </c>
      <c r="L131" s="120">
        <f>IF($E$1="n",0,(SUM(F133:K133)-B133))</f>
        <v/>
      </c>
      <c r="M131" s="121">
        <f>_xludf.IFNA(_xlfn.XLOOKUP(A133,'00_SKU_Master'!$B$2:$B$378,'00_SKU_Master'!$C$2:$C$378,0),"")</f>
        <v/>
      </c>
      <c r="N131" s="122">
        <f>_xludf.IFNA(_xlfn.XLOOKUP(A133,'00_SKU_Master'!$B$2:$B$378,'00_SKU_Master'!$F$2:$F$378,0)*F133/_xlfn.XLOOKUP(A133,'00_SKU_Master'!$B$2:$B$378,'00_SKU_Master'!$O:$O,0),"")</f>
        <v/>
      </c>
      <c r="O131" s="122">
        <f>_xludf.IFNA(_xlfn.XLOOKUP($A133,'00_SKU_Master'!$B$2:$B$378,'00_SKU_Master'!$F$2:$F$378,0)*G133/_xlfn.XLOOKUP($A133,'00_SKU_Master'!$B$2:$B$378,'00_SKU_Master'!$O:$O,0),"")</f>
        <v/>
      </c>
      <c r="P131" s="122">
        <f>_xludf.IFNA(_xlfn.XLOOKUP($A133,'00_SKU_Master'!$B$2:$B$378,'00_SKU_Master'!$F$2:$F$378,0)*H133/_xlfn.XLOOKUP($A133,'00_SKU_Master'!$B$2:$B$378,'00_SKU_Master'!$O:$O,0),"")</f>
        <v/>
      </c>
      <c r="Q131" s="122">
        <f>_xludf.IFNA(_xlfn.XLOOKUP($A133,'00_SKU_Master'!$B$2:$B$378,'00_SKU_Master'!$F$2:$F$378,0)*I133/_xlfn.XLOOKUP($A133,'00_SKU_Master'!$B$2:$B$378,'00_SKU_Master'!$O:$O,0),"")</f>
        <v/>
      </c>
      <c r="R131" s="122">
        <f>_xludf.IFNA(_xlfn.XLOOKUP($A133,'00_SKU_Master'!$B$2:$B$378,'00_SKU_Master'!$F$2:$F$378,0)*J133/_xlfn.XLOOKUP($A133,'00_SKU_Master'!$B$2:$B$378,'00_SKU_Master'!$O:$O,0),"")</f>
        <v/>
      </c>
      <c r="S131" s="122">
        <f>_xludf.IFNA(_xlfn.XLOOKUP($A133,'00_SKU_Master'!$B$2:$B$378,'00_SKU_Master'!$F$2:$F$378,0)*K133/_xlfn.XLOOKUP($A133,'00_SKU_Master'!$B$2:$B$378,'00_SKU_Master'!$O:$O,0),"")</f>
        <v/>
      </c>
      <c r="T131" s="123">
        <f>SUM(N133:S133)</f>
        <v/>
      </c>
      <c r="U131" s="124">
        <f>'05_Daily_Orders'!L132</f>
        <v/>
      </c>
    </row>
    <row r="132">
      <c r="A132" s="118">
        <f>'05_Daily_Orders'!B133</f>
        <v/>
      </c>
      <c r="B132" s="50" t="n">
        <v>0</v>
      </c>
      <c r="C132" s="50" t="n">
        <v>0</v>
      </c>
      <c r="D132" s="119" t="n"/>
      <c r="E132" s="119" t="n"/>
      <c r="F132" t="n">
        <v>0</v>
      </c>
      <c r="L132" s="120">
        <f>IF($E$1="n",0,(SUM(F134:K134)-B134))</f>
        <v/>
      </c>
      <c r="M132" s="121">
        <f>_xludf.IFNA(_xlfn.XLOOKUP(A134,'00_SKU_Master'!$B$2:$B$378,'00_SKU_Master'!$C$2:$C$378,0),"")</f>
        <v/>
      </c>
      <c r="N132" s="122">
        <f>_xludf.IFNA(_xlfn.XLOOKUP(A134,'00_SKU_Master'!$B$2:$B$378,'00_SKU_Master'!$F$2:$F$378,0)*F134/_xlfn.XLOOKUP(A134,'00_SKU_Master'!$B$2:$B$378,'00_SKU_Master'!$O:$O,0),"")</f>
        <v/>
      </c>
      <c r="O132" s="122">
        <f>_xludf.IFNA(_xlfn.XLOOKUP($A134,'00_SKU_Master'!$B$2:$B$378,'00_SKU_Master'!$F$2:$F$378,0)*G134/_xlfn.XLOOKUP($A134,'00_SKU_Master'!$B$2:$B$378,'00_SKU_Master'!$O:$O,0),"")</f>
        <v/>
      </c>
      <c r="P132" s="122">
        <f>_xludf.IFNA(_xlfn.XLOOKUP($A134,'00_SKU_Master'!$B$2:$B$378,'00_SKU_Master'!$F$2:$F$378,0)*H134/_xlfn.XLOOKUP($A134,'00_SKU_Master'!$B$2:$B$378,'00_SKU_Master'!$O:$O,0),"")</f>
        <v/>
      </c>
      <c r="Q132" s="122">
        <f>_xludf.IFNA(_xlfn.XLOOKUP($A134,'00_SKU_Master'!$B$2:$B$378,'00_SKU_Master'!$F$2:$F$378,0)*I134/_xlfn.XLOOKUP($A134,'00_SKU_Master'!$B$2:$B$378,'00_SKU_Master'!$O:$O,0),"")</f>
        <v/>
      </c>
      <c r="R132" s="122">
        <f>_xludf.IFNA(_xlfn.XLOOKUP($A134,'00_SKU_Master'!$B$2:$B$378,'00_SKU_Master'!$F$2:$F$378,0)*J134/_xlfn.XLOOKUP($A134,'00_SKU_Master'!$B$2:$B$378,'00_SKU_Master'!$O:$O,0),"")</f>
        <v/>
      </c>
      <c r="S132" s="122">
        <f>_xludf.IFNA(_xlfn.XLOOKUP($A134,'00_SKU_Master'!$B$2:$B$378,'00_SKU_Master'!$F$2:$F$378,0)*K134/_xlfn.XLOOKUP($A134,'00_SKU_Master'!$B$2:$B$378,'00_SKU_Master'!$O:$O,0),"")</f>
        <v/>
      </c>
      <c r="T132" s="123">
        <f>SUM(N134:S134)</f>
        <v/>
      </c>
      <c r="U132" s="124">
        <f>'05_Daily_Orders'!L133</f>
        <v/>
      </c>
    </row>
    <row r="133">
      <c r="A133" s="118">
        <f>'05_Daily_Orders'!B134</f>
        <v/>
      </c>
      <c r="B133" s="50" t="n">
        <v>0</v>
      </c>
      <c r="C133" s="50" t="n">
        <v>0</v>
      </c>
      <c r="D133" s="119" t="n"/>
      <c r="E133" s="119" t="n"/>
      <c r="F133" t="n">
        <v>0</v>
      </c>
      <c r="L133" s="120">
        <f>IF($E$1="n",0,(SUM(F135:K135)-B135))</f>
        <v/>
      </c>
      <c r="M133" s="121">
        <f>_xludf.IFNA(_xlfn.XLOOKUP(A135,'00_SKU_Master'!$B$2:$B$378,'00_SKU_Master'!$C$2:$C$378,0),"")</f>
        <v/>
      </c>
      <c r="N133" s="122">
        <f>_xludf.IFNA(_xlfn.XLOOKUP(A135,'00_SKU_Master'!$B$2:$B$378,'00_SKU_Master'!$F$2:$F$378,0)*F135/_xlfn.XLOOKUP(A135,'00_SKU_Master'!$B$2:$B$378,'00_SKU_Master'!$O:$O,0),"")</f>
        <v/>
      </c>
      <c r="O133" s="122">
        <f>_xludf.IFNA(_xlfn.XLOOKUP($A135,'00_SKU_Master'!$B$2:$B$378,'00_SKU_Master'!$F$2:$F$378,0)*G135/_xlfn.XLOOKUP($A135,'00_SKU_Master'!$B$2:$B$378,'00_SKU_Master'!$O:$O,0),"")</f>
        <v/>
      </c>
      <c r="P133" s="122">
        <f>_xludf.IFNA(_xlfn.XLOOKUP($A135,'00_SKU_Master'!$B$2:$B$378,'00_SKU_Master'!$F$2:$F$378,0)*H135/_xlfn.XLOOKUP($A135,'00_SKU_Master'!$B$2:$B$378,'00_SKU_Master'!$O:$O,0),"")</f>
        <v/>
      </c>
      <c r="Q133" s="122">
        <f>_xludf.IFNA(_xlfn.XLOOKUP($A135,'00_SKU_Master'!$B$2:$B$378,'00_SKU_Master'!$F$2:$F$378,0)*I135/_xlfn.XLOOKUP($A135,'00_SKU_Master'!$B$2:$B$378,'00_SKU_Master'!$O:$O,0),"")</f>
        <v/>
      </c>
      <c r="R133" s="122">
        <f>_xludf.IFNA(_xlfn.XLOOKUP($A135,'00_SKU_Master'!$B$2:$B$378,'00_SKU_Master'!$F$2:$F$378,0)*J135/_xlfn.XLOOKUP($A135,'00_SKU_Master'!$B$2:$B$378,'00_SKU_Master'!$O:$O,0),"")</f>
        <v/>
      </c>
      <c r="S133" s="122">
        <f>_xludf.IFNA(_xlfn.XLOOKUP($A135,'00_SKU_Master'!$B$2:$B$378,'00_SKU_Master'!$F$2:$F$378,0)*K135/_xlfn.XLOOKUP($A135,'00_SKU_Master'!$B$2:$B$378,'00_SKU_Master'!$O:$O,0),"")</f>
        <v/>
      </c>
      <c r="T133" s="123">
        <f>SUM(N135:S135)</f>
        <v/>
      </c>
      <c r="U133" s="124">
        <f>'05_Daily_Orders'!L134</f>
        <v/>
      </c>
    </row>
    <row r="134">
      <c r="A134" s="118">
        <f>'05_Daily_Orders'!B135</f>
        <v/>
      </c>
      <c r="B134" s="50" t="n">
        <v>0</v>
      </c>
      <c r="C134" s="50" t="n">
        <v>0</v>
      </c>
      <c r="D134" s="119" t="n"/>
      <c r="E134" s="119" t="n"/>
      <c r="F134" t="n">
        <v>0</v>
      </c>
      <c r="L134" s="120">
        <f>IF($E$1="n",0,(SUM(F136:K136)-B136))</f>
        <v/>
      </c>
      <c r="M134" s="121">
        <f>_xludf.IFNA(_xlfn.XLOOKUP(A136,'00_SKU_Master'!$B$2:$B$378,'00_SKU_Master'!$C$2:$C$378,0),"")</f>
        <v/>
      </c>
      <c r="N134" s="122">
        <f>_xludf.IFNA(_xlfn.XLOOKUP(A136,'00_SKU_Master'!$B$2:$B$378,'00_SKU_Master'!$F$2:$F$378,0)*F136/_xlfn.XLOOKUP(A136,'00_SKU_Master'!$B$2:$B$378,'00_SKU_Master'!$O:$O,0),"")</f>
        <v/>
      </c>
      <c r="O134" s="122">
        <f>_xludf.IFNA(_xlfn.XLOOKUP($A136,'00_SKU_Master'!$B$2:$B$378,'00_SKU_Master'!$F$2:$F$378,0)*G136/_xlfn.XLOOKUP($A136,'00_SKU_Master'!$B$2:$B$378,'00_SKU_Master'!$O:$O,0),"")</f>
        <v/>
      </c>
      <c r="P134" s="122">
        <f>_xludf.IFNA(_xlfn.XLOOKUP($A136,'00_SKU_Master'!$B$2:$B$378,'00_SKU_Master'!$F$2:$F$378,0)*H136/_xlfn.XLOOKUP($A136,'00_SKU_Master'!$B$2:$B$378,'00_SKU_Master'!$O:$O,0),"")</f>
        <v/>
      </c>
      <c r="Q134" s="122">
        <f>_xludf.IFNA(_xlfn.XLOOKUP($A136,'00_SKU_Master'!$B$2:$B$378,'00_SKU_Master'!$F$2:$F$378,0)*I136/_xlfn.XLOOKUP($A136,'00_SKU_Master'!$B$2:$B$378,'00_SKU_Master'!$O:$O,0),"")</f>
        <v/>
      </c>
      <c r="R134" s="122">
        <f>_xludf.IFNA(_xlfn.XLOOKUP($A136,'00_SKU_Master'!$B$2:$B$378,'00_SKU_Master'!$F$2:$F$378,0)*J136/_xlfn.XLOOKUP($A136,'00_SKU_Master'!$B$2:$B$378,'00_SKU_Master'!$O:$O,0),"")</f>
        <v/>
      </c>
      <c r="S134" s="122">
        <f>_xludf.IFNA(_xlfn.XLOOKUP($A136,'00_SKU_Master'!$B$2:$B$378,'00_SKU_Master'!$F$2:$F$378,0)*K136/_xlfn.XLOOKUP($A136,'00_SKU_Master'!$B$2:$B$378,'00_SKU_Master'!$O:$O,0),"")</f>
        <v/>
      </c>
      <c r="T134" s="123">
        <f>SUM(N136:S136)</f>
        <v/>
      </c>
      <c r="U134" s="124">
        <f>'05_Daily_Orders'!L135</f>
        <v/>
      </c>
    </row>
    <row r="135">
      <c r="A135" s="118">
        <f>'05_Daily_Orders'!B136</f>
        <v/>
      </c>
      <c r="B135" s="50" t="n">
        <v>0</v>
      </c>
      <c r="C135" s="50" t="n">
        <v>0</v>
      </c>
      <c r="D135" s="119" t="n"/>
      <c r="E135" s="119" t="n"/>
      <c r="F135" t="n">
        <v>0</v>
      </c>
      <c r="L135" s="120">
        <f>IF($E$1="n",0,(SUM(F137:K137)-B137))</f>
        <v/>
      </c>
      <c r="M135" s="121">
        <f>_xludf.IFNA(_xlfn.XLOOKUP(A137,'00_SKU_Master'!$B$2:$B$378,'00_SKU_Master'!$C$2:$C$378,0),"")</f>
        <v/>
      </c>
      <c r="N135" s="122">
        <f>_xludf.IFNA(_xlfn.XLOOKUP(A137,'00_SKU_Master'!$B$2:$B$378,'00_SKU_Master'!$F$2:$F$378,0)*F137/_xlfn.XLOOKUP(A137,'00_SKU_Master'!$B$2:$B$378,'00_SKU_Master'!$O:$O,0),"")</f>
        <v/>
      </c>
      <c r="O135" s="122">
        <f>_xludf.IFNA(_xlfn.XLOOKUP($A137,'00_SKU_Master'!$B$2:$B$378,'00_SKU_Master'!$F$2:$F$378,0)*G137/_xlfn.XLOOKUP($A137,'00_SKU_Master'!$B$2:$B$378,'00_SKU_Master'!$O:$O,0),"")</f>
        <v/>
      </c>
      <c r="P135" s="122">
        <f>_xludf.IFNA(_xlfn.XLOOKUP($A137,'00_SKU_Master'!$B$2:$B$378,'00_SKU_Master'!$F$2:$F$378,0)*H137/_xlfn.XLOOKUP($A137,'00_SKU_Master'!$B$2:$B$378,'00_SKU_Master'!$O:$O,0),"")</f>
        <v/>
      </c>
      <c r="Q135" s="122">
        <f>_xludf.IFNA(_xlfn.XLOOKUP($A137,'00_SKU_Master'!$B$2:$B$378,'00_SKU_Master'!$F$2:$F$378,0)*I137/_xlfn.XLOOKUP($A137,'00_SKU_Master'!$B$2:$B$378,'00_SKU_Master'!$O:$O,0),"")</f>
        <v/>
      </c>
      <c r="R135" s="122">
        <f>_xludf.IFNA(_xlfn.XLOOKUP($A137,'00_SKU_Master'!$B$2:$B$378,'00_SKU_Master'!$F$2:$F$378,0)*J137/_xlfn.XLOOKUP($A137,'00_SKU_Master'!$B$2:$B$378,'00_SKU_Master'!$O:$O,0),"")</f>
        <v/>
      </c>
      <c r="S135" s="122">
        <f>_xludf.IFNA(_xlfn.XLOOKUP($A137,'00_SKU_Master'!$B$2:$B$378,'00_SKU_Master'!$F$2:$F$378,0)*K137/_xlfn.XLOOKUP($A137,'00_SKU_Master'!$B$2:$B$378,'00_SKU_Master'!$O:$O,0),"")</f>
        <v/>
      </c>
      <c r="T135" s="123">
        <f>SUM(N137:S137)</f>
        <v/>
      </c>
      <c r="U135" s="124">
        <f>'05_Daily_Orders'!L136</f>
        <v/>
      </c>
    </row>
    <row r="136">
      <c r="A136" s="118">
        <f>'05_Daily_Orders'!B137</f>
        <v/>
      </c>
      <c r="B136" s="50" t="n">
        <v>0</v>
      </c>
      <c r="C136" s="50" t="n">
        <v>0</v>
      </c>
      <c r="D136" s="119" t="n"/>
      <c r="E136" s="119" t="n"/>
      <c r="F136" t="n">
        <v>0</v>
      </c>
      <c r="L136" s="120">
        <f>IF($E$1="n",0,(SUM(F138:K138)-B138))</f>
        <v/>
      </c>
      <c r="M136" s="121">
        <f>_xludf.IFNA(_xlfn.XLOOKUP(A138,'00_SKU_Master'!$B$2:$B$378,'00_SKU_Master'!$C$2:$C$378,0),"")</f>
        <v/>
      </c>
      <c r="N136" s="122">
        <f>_xludf.IFNA(_xlfn.XLOOKUP(A138,'00_SKU_Master'!$B$2:$B$378,'00_SKU_Master'!$F$2:$F$378,0)*F138/_xlfn.XLOOKUP(A138,'00_SKU_Master'!$B$2:$B$378,'00_SKU_Master'!$O:$O,0),"")</f>
        <v/>
      </c>
      <c r="O136" s="122">
        <f>_xludf.IFNA(_xlfn.XLOOKUP($A138,'00_SKU_Master'!$B$2:$B$378,'00_SKU_Master'!$F$2:$F$378,0)*G138/_xlfn.XLOOKUP($A138,'00_SKU_Master'!$B$2:$B$378,'00_SKU_Master'!$O:$O,0),"")</f>
        <v/>
      </c>
      <c r="P136" s="122">
        <f>_xludf.IFNA(_xlfn.XLOOKUP($A138,'00_SKU_Master'!$B$2:$B$378,'00_SKU_Master'!$F$2:$F$378,0)*H138/_xlfn.XLOOKUP($A138,'00_SKU_Master'!$B$2:$B$378,'00_SKU_Master'!$O:$O,0),"")</f>
        <v/>
      </c>
      <c r="Q136" s="122">
        <f>_xludf.IFNA(_xlfn.XLOOKUP($A138,'00_SKU_Master'!$B$2:$B$378,'00_SKU_Master'!$F$2:$F$378,0)*I138/_xlfn.XLOOKUP($A138,'00_SKU_Master'!$B$2:$B$378,'00_SKU_Master'!$O:$O,0),"")</f>
        <v/>
      </c>
      <c r="R136" s="122">
        <f>_xludf.IFNA(_xlfn.XLOOKUP($A138,'00_SKU_Master'!$B$2:$B$378,'00_SKU_Master'!$F$2:$F$378,0)*J138/_xlfn.XLOOKUP($A138,'00_SKU_Master'!$B$2:$B$378,'00_SKU_Master'!$O:$O,0),"")</f>
        <v/>
      </c>
      <c r="S136" s="122">
        <f>_xludf.IFNA(_xlfn.XLOOKUP($A138,'00_SKU_Master'!$B$2:$B$378,'00_SKU_Master'!$F$2:$F$378,0)*K138/_xlfn.XLOOKUP($A138,'00_SKU_Master'!$B$2:$B$378,'00_SKU_Master'!$O:$O,0),"")</f>
        <v/>
      </c>
      <c r="T136" s="123">
        <f>SUM(N138:S138)</f>
        <v/>
      </c>
      <c r="U136" s="124">
        <f>'05_Daily_Orders'!L137</f>
        <v/>
      </c>
    </row>
    <row r="137">
      <c r="A137" s="118">
        <f>'05_Daily_Orders'!B138</f>
        <v/>
      </c>
      <c r="B137" s="50" t="n">
        <v>0</v>
      </c>
      <c r="C137" s="50" t="n">
        <v>0</v>
      </c>
      <c r="D137" s="119" t="n"/>
      <c r="E137" s="119" t="n"/>
      <c r="F137" t="n">
        <v>0</v>
      </c>
      <c r="L137" s="120">
        <f>IF($E$1="n",0,(SUM(F139:K139)-B139))</f>
        <v/>
      </c>
      <c r="M137" s="121">
        <f>_xludf.IFNA(_xlfn.XLOOKUP(A139,'00_SKU_Master'!$B$2:$B$378,'00_SKU_Master'!$C$2:$C$378,0),"")</f>
        <v/>
      </c>
      <c r="N137" s="122">
        <f>_xludf.IFNA(_xlfn.XLOOKUP(A139,'00_SKU_Master'!$B$2:$B$378,'00_SKU_Master'!$F$2:$F$378,0)*F139/_xlfn.XLOOKUP(A139,'00_SKU_Master'!$B$2:$B$378,'00_SKU_Master'!$O:$O,0),"")</f>
        <v/>
      </c>
      <c r="O137" s="122">
        <f>_xludf.IFNA(_xlfn.XLOOKUP($A139,'00_SKU_Master'!$B$2:$B$378,'00_SKU_Master'!$F$2:$F$378,0)*G139/_xlfn.XLOOKUP($A139,'00_SKU_Master'!$B$2:$B$378,'00_SKU_Master'!$O:$O,0),"")</f>
        <v/>
      </c>
      <c r="P137" s="122">
        <f>_xludf.IFNA(_xlfn.XLOOKUP($A139,'00_SKU_Master'!$B$2:$B$378,'00_SKU_Master'!$F$2:$F$378,0)*H139/_xlfn.XLOOKUP($A139,'00_SKU_Master'!$B$2:$B$378,'00_SKU_Master'!$O:$O,0),"")</f>
        <v/>
      </c>
      <c r="Q137" s="122">
        <f>_xludf.IFNA(_xlfn.XLOOKUP($A139,'00_SKU_Master'!$B$2:$B$378,'00_SKU_Master'!$F$2:$F$378,0)*I139/_xlfn.XLOOKUP($A139,'00_SKU_Master'!$B$2:$B$378,'00_SKU_Master'!$O:$O,0),"")</f>
        <v/>
      </c>
      <c r="R137" s="122">
        <f>_xludf.IFNA(_xlfn.XLOOKUP($A139,'00_SKU_Master'!$B$2:$B$378,'00_SKU_Master'!$F$2:$F$378,0)*J139/_xlfn.XLOOKUP($A139,'00_SKU_Master'!$B$2:$B$378,'00_SKU_Master'!$O:$O,0),"")</f>
        <v/>
      </c>
      <c r="S137" s="122">
        <f>_xludf.IFNA(_xlfn.XLOOKUP($A139,'00_SKU_Master'!$B$2:$B$378,'00_SKU_Master'!$F$2:$F$378,0)*K139/_xlfn.XLOOKUP($A139,'00_SKU_Master'!$B$2:$B$378,'00_SKU_Master'!$O:$O,0),"")</f>
        <v/>
      </c>
      <c r="T137" s="123">
        <f>SUM(N139:S139)</f>
        <v/>
      </c>
      <c r="U137" s="124">
        <f>'05_Daily_Orders'!L138</f>
        <v/>
      </c>
    </row>
    <row r="138">
      <c r="A138" s="118">
        <f>'05_Daily_Orders'!B139</f>
        <v/>
      </c>
      <c r="B138" s="50" t="n">
        <v>0</v>
      </c>
      <c r="C138" s="50" t="n">
        <v>0</v>
      </c>
      <c r="D138" s="119" t="n"/>
      <c r="E138" s="119" t="n"/>
      <c r="F138" t="n">
        <v>0</v>
      </c>
      <c r="L138" s="120">
        <f>IF($E$1="n",0,(SUM(F140:K140)-B140))</f>
        <v/>
      </c>
      <c r="M138" s="121">
        <f>_xludf.IFNA(_xlfn.XLOOKUP(A140,'00_SKU_Master'!$B$2:$B$378,'00_SKU_Master'!$C$2:$C$378,0),"")</f>
        <v/>
      </c>
      <c r="N138" s="122">
        <f>_xludf.IFNA(_xlfn.XLOOKUP(A140,'00_SKU_Master'!$B$2:$B$378,'00_SKU_Master'!$F$2:$F$378,0)*F140/_xlfn.XLOOKUP(A140,'00_SKU_Master'!$B$2:$B$378,'00_SKU_Master'!$O:$O,0),"")</f>
        <v/>
      </c>
      <c r="O138" s="122">
        <f>_xludf.IFNA(_xlfn.XLOOKUP($A140,'00_SKU_Master'!$B$2:$B$378,'00_SKU_Master'!$F$2:$F$378,0)*G140/_xlfn.XLOOKUP($A140,'00_SKU_Master'!$B$2:$B$378,'00_SKU_Master'!$O:$O,0),"")</f>
        <v/>
      </c>
      <c r="P138" s="122">
        <f>_xludf.IFNA(_xlfn.XLOOKUP($A140,'00_SKU_Master'!$B$2:$B$378,'00_SKU_Master'!$F$2:$F$378,0)*H140/_xlfn.XLOOKUP($A140,'00_SKU_Master'!$B$2:$B$378,'00_SKU_Master'!$O:$O,0),"")</f>
        <v/>
      </c>
      <c r="Q138" s="122">
        <f>_xludf.IFNA(_xlfn.XLOOKUP($A140,'00_SKU_Master'!$B$2:$B$378,'00_SKU_Master'!$F$2:$F$378,0)*I140/_xlfn.XLOOKUP($A140,'00_SKU_Master'!$B$2:$B$378,'00_SKU_Master'!$O:$O,0),"")</f>
        <v/>
      </c>
      <c r="R138" s="122">
        <f>_xludf.IFNA(_xlfn.XLOOKUP($A140,'00_SKU_Master'!$B$2:$B$378,'00_SKU_Master'!$F$2:$F$378,0)*J140/_xlfn.XLOOKUP($A140,'00_SKU_Master'!$B$2:$B$378,'00_SKU_Master'!$O:$O,0),"")</f>
        <v/>
      </c>
      <c r="S138" s="122">
        <f>_xludf.IFNA(_xlfn.XLOOKUP($A140,'00_SKU_Master'!$B$2:$B$378,'00_SKU_Master'!$F$2:$F$378,0)*K140/_xlfn.XLOOKUP($A140,'00_SKU_Master'!$B$2:$B$378,'00_SKU_Master'!$O:$O,0),"")</f>
        <v/>
      </c>
      <c r="T138" s="123">
        <f>SUM(N140:S140)</f>
        <v/>
      </c>
      <c r="U138" s="124">
        <f>'05_Daily_Orders'!L139</f>
        <v/>
      </c>
    </row>
    <row r="139">
      <c r="A139" s="118">
        <f>'05_Daily_Orders'!B140</f>
        <v/>
      </c>
      <c r="B139" s="50" t="n">
        <v>0</v>
      </c>
      <c r="C139" s="50" t="n">
        <v>0</v>
      </c>
      <c r="D139" s="119" t="n"/>
      <c r="E139" s="119" t="n"/>
      <c r="F139" t="n">
        <v>0</v>
      </c>
      <c r="L139" s="120">
        <f>IF($E$1="n",0,(SUM(F141:K141)-B141))</f>
        <v/>
      </c>
      <c r="M139" s="121">
        <f>_xludf.IFNA(_xlfn.XLOOKUP(A141,'00_SKU_Master'!$B$2:$B$378,'00_SKU_Master'!$C$2:$C$378,0),"")</f>
        <v/>
      </c>
      <c r="N139" s="122">
        <f>_xludf.IFNA(_xlfn.XLOOKUP(A141,'00_SKU_Master'!$B$2:$B$378,'00_SKU_Master'!$F$2:$F$378,0)*F141/_xlfn.XLOOKUP(A141,'00_SKU_Master'!$B$2:$B$378,'00_SKU_Master'!$O:$O,0),"")</f>
        <v/>
      </c>
      <c r="O139" s="122">
        <f>_xludf.IFNA(_xlfn.XLOOKUP($A141,'00_SKU_Master'!$B$2:$B$378,'00_SKU_Master'!$F$2:$F$378,0)*G141/_xlfn.XLOOKUP($A141,'00_SKU_Master'!$B$2:$B$378,'00_SKU_Master'!$O:$O,0),"")</f>
        <v/>
      </c>
      <c r="P139" s="122">
        <f>_xludf.IFNA(_xlfn.XLOOKUP($A141,'00_SKU_Master'!$B$2:$B$378,'00_SKU_Master'!$F$2:$F$378,0)*H141/_xlfn.XLOOKUP($A141,'00_SKU_Master'!$B$2:$B$378,'00_SKU_Master'!$O:$O,0),"")</f>
        <v/>
      </c>
      <c r="Q139" s="122">
        <f>_xludf.IFNA(_xlfn.XLOOKUP($A141,'00_SKU_Master'!$B$2:$B$378,'00_SKU_Master'!$F$2:$F$378,0)*I141/_xlfn.XLOOKUP($A141,'00_SKU_Master'!$B$2:$B$378,'00_SKU_Master'!$O:$O,0),"")</f>
        <v/>
      </c>
      <c r="R139" s="122">
        <f>_xludf.IFNA(_xlfn.XLOOKUP($A141,'00_SKU_Master'!$B$2:$B$378,'00_SKU_Master'!$F$2:$F$378,0)*J141/_xlfn.XLOOKUP($A141,'00_SKU_Master'!$B$2:$B$378,'00_SKU_Master'!$O:$O,0),"")</f>
        <v/>
      </c>
      <c r="S139" s="122">
        <f>_xludf.IFNA(_xlfn.XLOOKUP($A141,'00_SKU_Master'!$B$2:$B$378,'00_SKU_Master'!$F$2:$F$378,0)*K141/_xlfn.XLOOKUP($A141,'00_SKU_Master'!$B$2:$B$378,'00_SKU_Master'!$O:$O,0),"")</f>
        <v/>
      </c>
      <c r="T139" s="123">
        <f>SUM(N141:S141)</f>
        <v/>
      </c>
      <c r="U139" s="124">
        <f>'05_Daily_Orders'!L140</f>
        <v/>
      </c>
    </row>
    <row r="140">
      <c r="A140" s="118">
        <f>'05_Daily_Orders'!B141</f>
        <v/>
      </c>
      <c r="B140" s="50" t="n">
        <v>0</v>
      </c>
      <c r="C140" s="50" t="n">
        <v>0</v>
      </c>
      <c r="D140" s="119" t="n"/>
      <c r="E140" s="119" t="n"/>
      <c r="F140" t="n">
        <v>0</v>
      </c>
      <c r="L140" s="120">
        <f>IF($E$1="n",0,(SUM(F142:K142)-B142))</f>
        <v/>
      </c>
      <c r="M140" s="121">
        <f>_xludf.IFNA(_xlfn.XLOOKUP(A142,'00_SKU_Master'!$B$2:$B$378,'00_SKU_Master'!$C$2:$C$378,0),"")</f>
        <v/>
      </c>
      <c r="N140" s="122">
        <f>_xludf.IFNA(_xlfn.XLOOKUP(A142,'00_SKU_Master'!$B$2:$B$378,'00_SKU_Master'!$F$2:$F$378,0)*F142/_xlfn.XLOOKUP(A142,'00_SKU_Master'!$B$2:$B$378,'00_SKU_Master'!$O:$O,0),"")</f>
        <v/>
      </c>
      <c r="O140" s="122">
        <f>_xludf.IFNA(_xlfn.XLOOKUP($A142,'00_SKU_Master'!$B$2:$B$378,'00_SKU_Master'!$F$2:$F$378,0)*G142/_xlfn.XLOOKUP($A142,'00_SKU_Master'!$B$2:$B$378,'00_SKU_Master'!$O:$O,0),"")</f>
        <v/>
      </c>
      <c r="P140" s="122">
        <f>_xludf.IFNA(_xlfn.XLOOKUP($A142,'00_SKU_Master'!$B$2:$B$378,'00_SKU_Master'!$F$2:$F$378,0)*H142/_xlfn.XLOOKUP($A142,'00_SKU_Master'!$B$2:$B$378,'00_SKU_Master'!$O:$O,0),"")</f>
        <v/>
      </c>
      <c r="Q140" s="122">
        <f>_xludf.IFNA(_xlfn.XLOOKUP($A142,'00_SKU_Master'!$B$2:$B$378,'00_SKU_Master'!$F$2:$F$378,0)*I142/_xlfn.XLOOKUP($A142,'00_SKU_Master'!$B$2:$B$378,'00_SKU_Master'!$O:$O,0),"")</f>
        <v/>
      </c>
      <c r="R140" s="122">
        <f>_xludf.IFNA(_xlfn.XLOOKUP($A142,'00_SKU_Master'!$B$2:$B$378,'00_SKU_Master'!$F$2:$F$378,0)*J142/_xlfn.XLOOKUP($A142,'00_SKU_Master'!$B$2:$B$378,'00_SKU_Master'!$O:$O,0),"")</f>
        <v/>
      </c>
      <c r="S140" s="122">
        <f>_xludf.IFNA(_xlfn.XLOOKUP($A142,'00_SKU_Master'!$B$2:$B$378,'00_SKU_Master'!$F$2:$F$378,0)*K142/_xlfn.XLOOKUP($A142,'00_SKU_Master'!$B$2:$B$378,'00_SKU_Master'!$O:$O,0),"")</f>
        <v/>
      </c>
      <c r="T140" s="123">
        <f>SUM(N142:S142)</f>
        <v/>
      </c>
      <c r="U140" s="124">
        <f>'05_Daily_Orders'!L141</f>
        <v/>
      </c>
    </row>
    <row r="141">
      <c r="A141" s="118">
        <f>'05_Daily_Orders'!B142</f>
        <v/>
      </c>
      <c r="B141" s="50" t="n">
        <v>0</v>
      </c>
      <c r="C141" s="50" t="n">
        <v>0</v>
      </c>
      <c r="D141" s="119" t="n"/>
      <c r="E141" s="119" t="n"/>
      <c r="F141" t="n">
        <v>0</v>
      </c>
      <c r="L141" s="120">
        <f>IF($E$1="n",0,(SUM(F143:K143)-B143))</f>
        <v/>
      </c>
      <c r="M141" s="121">
        <f>_xludf.IFNA(_xlfn.XLOOKUP(A143,'00_SKU_Master'!$B$2:$B$378,'00_SKU_Master'!$C$2:$C$378,0),"")</f>
        <v/>
      </c>
      <c r="N141" s="122">
        <f>_xludf.IFNA(_xlfn.XLOOKUP(A143,'00_SKU_Master'!$B$2:$B$378,'00_SKU_Master'!$F$2:$F$378,0)*F143/_xlfn.XLOOKUP(A143,'00_SKU_Master'!$B$2:$B$378,'00_SKU_Master'!$O:$O,0),"")</f>
        <v/>
      </c>
      <c r="O141" s="122">
        <f>_xludf.IFNA(_xlfn.XLOOKUP($A143,'00_SKU_Master'!$B$2:$B$378,'00_SKU_Master'!$F$2:$F$378,0)*G143/_xlfn.XLOOKUP($A143,'00_SKU_Master'!$B$2:$B$378,'00_SKU_Master'!$O:$O,0),"")</f>
        <v/>
      </c>
      <c r="P141" s="122">
        <f>_xludf.IFNA(_xlfn.XLOOKUP($A143,'00_SKU_Master'!$B$2:$B$378,'00_SKU_Master'!$F$2:$F$378,0)*H143/_xlfn.XLOOKUP($A143,'00_SKU_Master'!$B$2:$B$378,'00_SKU_Master'!$O:$O,0),"")</f>
        <v/>
      </c>
      <c r="Q141" s="122">
        <f>_xludf.IFNA(_xlfn.XLOOKUP($A143,'00_SKU_Master'!$B$2:$B$378,'00_SKU_Master'!$F$2:$F$378,0)*I143/_xlfn.XLOOKUP($A143,'00_SKU_Master'!$B$2:$B$378,'00_SKU_Master'!$O:$O,0),"")</f>
        <v/>
      </c>
      <c r="R141" s="122">
        <f>_xludf.IFNA(_xlfn.XLOOKUP($A143,'00_SKU_Master'!$B$2:$B$378,'00_SKU_Master'!$F$2:$F$378,0)*J143/_xlfn.XLOOKUP($A143,'00_SKU_Master'!$B$2:$B$378,'00_SKU_Master'!$O:$O,0),"")</f>
        <v/>
      </c>
      <c r="S141" s="122">
        <f>_xludf.IFNA(_xlfn.XLOOKUP($A143,'00_SKU_Master'!$B$2:$B$378,'00_SKU_Master'!$F$2:$F$378,0)*K143/_xlfn.XLOOKUP($A143,'00_SKU_Master'!$B$2:$B$378,'00_SKU_Master'!$O:$O,0),"")</f>
        <v/>
      </c>
      <c r="T141" s="123">
        <f>SUM(N143:S143)</f>
        <v/>
      </c>
      <c r="U141" s="124">
        <f>'05_Daily_Orders'!L142</f>
        <v/>
      </c>
    </row>
    <row r="142">
      <c r="A142" s="118">
        <f>'05_Daily_Orders'!B143</f>
        <v/>
      </c>
      <c r="B142" s="50" t="n">
        <v>0</v>
      </c>
      <c r="C142" s="50" t="n">
        <v>0</v>
      </c>
      <c r="D142" s="119" t="n"/>
      <c r="E142" s="119" t="n"/>
      <c r="F142" t="n">
        <v>0</v>
      </c>
      <c r="L142" s="120">
        <f>IF($E$1="n",0,(SUM(F144:K144)-B144))</f>
        <v/>
      </c>
      <c r="M142" s="121">
        <f>_xludf.IFNA(_xlfn.XLOOKUP(A144,'00_SKU_Master'!$B$2:$B$378,'00_SKU_Master'!$C$2:$C$378,0),"")</f>
        <v/>
      </c>
      <c r="N142" s="122">
        <f>_xludf.IFNA(_xlfn.XLOOKUP(A144,'00_SKU_Master'!$B$2:$B$378,'00_SKU_Master'!$F$2:$F$378,0)*F144/_xlfn.XLOOKUP(A144,'00_SKU_Master'!$B$2:$B$378,'00_SKU_Master'!$O:$O,0),"")</f>
        <v/>
      </c>
      <c r="O142" s="122">
        <f>_xludf.IFNA(_xlfn.XLOOKUP($A144,'00_SKU_Master'!$B$2:$B$378,'00_SKU_Master'!$F$2:$F$378,0)*G144/_xlfn.XLOOKUP($A144,'00_SKU_Master'!$B$2:$B$378,'00_SKU_Master'!$O:$O,0),"")</f>
        <v/>
      </c>
      <c r="P142" s="122">
        <f>_xludf.IFNA(_xlfn.XLOOKUP($A144,'00_SKU_Master'!$B$2:$B$378,'00_SKU_Master'!$F$2:$F$378,0)*H144/_xlfn.XLOOKUP($A144,'00_SKU_Master'!$B$2:$B$378,'00_SKU_Master'!$O:$O,0),"")</f>
        <v/>
      </c>
      <c r="Q142" s="122">
        <f>_xludf.IFNA(_xlfn.XLOOKUP($A144,'00_SKU_Master'!$B$2:$B$378,'00_SKU_Master'!$F$2:$F$378,0)*I144/_xlfn.XLOOKUP($A144,'00_SKU_Master'!$B$2:$B$378,'00_SKU_Master'!$O:$O,0),"")</f>
        <v/>
      </c>
      <c r="R142" s="122">
        <f>_xludf.IFNA(_xlfn.XLOOKUP($A144,'00_SKU_Master'!$B$2:$B$378,'00_SKU_Master'!$F$2:$F$378,0)*J144/_xlfn.XLOOKUP($A144,'00_SKU_Master'!$B$2:$B$378,'00_SKU_Master'!$O:$O,0),"")</f>
        <v/>
      </c>
      <c r="S142" s="122">
        <f>_xludf.IFNA(_xlfn.XLOOKUP($A144,'00_SKU_Master'!$B$2:$B$378,'00_SKU_Master'!$F$2:$F$378,0)*K144/_xlfn.XLOOKUP($A144,'00_SKU_Master'!$B$2:$B$378,'00_SKU_Master'!$O:$O,0),"")</f>
        <v/>
      </c>
      <c r="T142" s="123">
        <f>SUM(N144:S144)</f>
        <v/>
      </c>
      <c r="U142" s="124">
        <f>'05_Daily_Orders'!L143</f>
        <v/>
      </c>
    </row>
    <row r="143">
      <c r="A143" s="118">
        <f>'05_Daily_Orders'!B144</f>
        <v/>
      </c>
      <c r="B143" s="50" t="n">
        <v>0</v>
      </c>
      <c r="C143" s="50" t="n">
        <v>0</v>
      </c>
      <c r="D143" s="119" t="n"/>
      <c r="E143" s="119" t="n"/>
      <c r="F143" t="n">
        <v>0</v>
      </c>
      <c r="L143" s="120">
        <f>IF($E$1="n",0,(SUM(F145:K145)-B145))</f>
        <v/>
      </c>
      <c r="M143" s="121">
        <f>_xludf.IFNA(_xlfn.XLOOKUP(A145,'00_SKU_Master'!$B$2:$B$378,'00_SKU_Master'!$C$2:$C$378,0),"")</f>
        <v/>
      </c>
      <c r="N143" s="122">
        <f>_xludf.IFNA(_xlfn.XLOOKUP(A145,'00_SKU_Master'!$B$2:$B$378,'00_SKU_Master'!$F$2:$F$378,0)*F145/_xlfn.XLOOKUP(A145,'00_SKU_Master'!$B$2:$B$378,'00_SKU_Master'!$O:$O,0),"")</f>
        <v/>
      </c>
      <c r="O143" s="122">
        <f>_xludf.IFNA(_xlfn.XLOOKUP($A145,'00_SKU_Master'!$B$2:$B$378,'00_SKU_Master'!$F$2:$F$378,0)*G145/_xlfn.XLOOKUP($A145,'00_SKU_Master'!$B$2:$B$378,'00_SKU_Master'!$O:$O,0),"")</f>
        <v/>
      </c>
      <c r="P143" s="122">
        <f>_xludf.IFNA(_xlfn.XLOOKUP($A145,'00_SKU_Master'!$B$2:$B$378,'00_SKU_Master'!$F$2:$F$378,0)*H145/_xlfn.XLOOKUP($A145,'00_SKU_Master'!$B$2:$B$378,'00_SKU_Master'!$O:$O,0),"")</f>
        <v/>
      </c>
      <c r="Q143" s="122">
        <f>_xludf.IFNA(_xlfn.XLOOKUP($A145,'00_SKU_Master'!$B$2:$B$378,'00_SKU_Master'!$F$2:$F$378,0)*I145/_xlfn.XLOOKUP($A145,'00_SKU_Master'!$B$2:$B$378,'00_SKU_Master'!$O:$O,0),"")</f>
        <v/>
      </c>
      <c r="R143" s="122">
        <f>_xludf.IFNA(_xlfn.XLOOKUP($A145,'00_SKU_Master'!$B$2:$B$378,'00_SKU_Master'!$F$2:$F$378,0)*J145/_xlfn.XLOOKUP($A145,'00_SKU_Master'!$B$2:$B$378,'00_SKU_Master'!$O:$O,0),"")</f>
        <v/>
      </c>
      <c r="S143" s="122">
        <f>_xludf.IFNA(_xlfn.XLOOKUP($A145,'00_SKU_Master'!$B$2:$B$378,'00_SKU_Master'!$F$2:$F$378,0)*K145/_xlfn.XLOOKUP($A145,'00_SKU_Master'!$B$2:$B$378,'00_SKU_Master'!$O:$O,0),"")</f>
        <v/>
      </c>
      <c r="T143" s="123">
        <f>SUM(N145:S145)</f>
        <v/>
      </c>
      <c r="U143" s="124">
        <f>'05_Daily_Orders'!L144</f>
        <v/>
      </c>
    </row>
    <row r="144">
      <c r="A144" s="118">
        <f>'05_Daily_Orders'!B145</f>
        <v/>
      </c>
      <c r="B144" s="50" t="n">
        <v>0</v>
      </c>
      <c r="C144" s="50" t="n">
        <v>0</v>
      </c>
      <c r="D144" s="119" t="n"/>
      <c r="E144" s="119" t="n"/>
      <c r="F144" t="n">
        <v>0</v>
      </c>
      <c r="L144" s="120">
        <f>IF($E$1="n",0,(SUM(F146:K146)-B146))</f>
        <v/>
      </c>
      <c r="M144" s="121">
        <f>_xludf.IFNA(_xlfn.XLOOKUP(A146,'00_SKU_Master'!$B$2:$B$378,'00_SKU_Master'!$C$2:$C$378,0),"")</f>
        <v/>
      </c>
      <c r="N144" s="122">
        <f>_xludf.IFNA(_xlfn.XLOOKUP(A146,'00_SKU_Master'!$B$2:$B$378,'00_SKU_Master'!$F$2:$F$378,0)*F146/_xlfn.XLOOKUP(A146,'00_SKU_Master'!$B$2:$B$378,'00_SKU_Master'!$O:$O,0),"")</f>
        <v/>
      </c>
      <c r="O144" s="122">
        <f>_xludf.IFNA(_xlfn.XLOOKUP($A146,'00_SKU_Master'!$B$2:$B$378,'00_SKU_Master'!$F$2:$F$378,0)*G146/_xlfn.XLOOKUP($A146,'00_SKU_Master'!$B$2:$B$378,'00_SKU_Master'!$O:$O,0),"")</f>
        <v/>
      </c>
      <c r="P144" s="122">
        <f>_xludf.IFNA(_xlfn.XLOOKUP($A146,'00_SKU_Master'!$B$2:$B$378,'00_SKU_Master'!$F$2:$F$378,0)*H146/_xlfn.XLOOKUP($A146,'00_SKU_Master'!$B$2:$B$378,'00_SKU_Master'!$O:$O,0),"")</f>
        <v/>
      </c>
      <c r="Q144" s="122">
        <f>_xludf.IFNA(_xlfn.XLOOKUP($A146,'00_SKU_Master'!$B$2:$B$378,'00_SKU_Master'!$F$2:$F$378,0)*I146/_xlfn.XLOOKUP($A146,'00_SKU_Master'!$B$2:$B$378,'00_SKU_Master'!$O:$O,0),"")</f>
        <v/>
      </c>
      <c r="R144" s="122">
        <f>_xludf.IFNA(_xlfn.XLOOKUP($A146,'00_SKU_Master'!$B$2:$B$378,'00_SKU_Master'!$F$2:$F$378,0)*J146/_xlfn.XLOOKUP($A146,'00_SKU_Master'!$B$2:$B$378,'00_SKU_Master'!$O:$O,0),"")</f>
        <v/>
      </c>
      <c r="S144" s="122">
        <f>_xludf.IFNA(_xlfn.XLOOKUP($A146,'00_SKU_Master'!$B$2:$B$378,'00_SKU_Master'!$F$2:$F$378,0)*K146/_xlfn.XLOOKUP($A146,'00_SKU_Master'!$B$2:$B$378,'00_SKU_Master'!$O:$O,0),"")</f>
        <v/>
      </c>
      <c r="T144" s="123">
        <f>SUM(N146:S146)</f>
        <v/>
      </c>
      <c r="U144" s="124">
        <f>'05_Daily_Orders'!L145</f>
        <v/>
      </c>
    </row>
    <row r="145">
      <c r="A145" s="118">
        <f>'05_Daily_Orders'!B146</f>
        <v/>
      </c>
      <c r="B145" s="50" t="n">
        <v>0</v>
      </c>
      <c r="C145" s="50" t="n">
        <v>0</v>
      </c>
      <c r="D145" s="119" t="n"/>
      <c r="E145" s="119" t="n"/>
      <c r="F145" t="n">
        <v>0</v>
      </c>
      <c r="L145" s="120">
        <f>IF($E$1="n",0,(SUM(F147:K147)-B147))</f>
        <v/>
      </c>
      <c r="M145" s="121">
        <f>_xludf.IFNA(_xlfn.XLOOKUP(A147,'00_SKU_Master'!$B$2:$B$378,'00_SKU_Master'!$C$2:$C$378,0),"")</f>
        <v/>
      </c>
      <c r="N145" s="122">
        <f>_xludf.IFNA(_xlfn.XLOOKUP(A147,'00_SKU_Master'!$B$2:$B$378,'00_SKU_Master'!$F$2:$F$378,0)*F147/_xlfn.XLOOKUP(A147,'00_SKU_Master'!$B$2:$B$378,'00_SKU_Master'!$O:$O,0),"")</f>
        <v/>
      </c>
      <c r="O145" s="122">
        <f>_xludf.IFNA(_xlfn.XLOOKUP($A147,'00_SKU_Master'!$B$2:$B$378,'00_SKU_Master'!$F$2:$F$378,0)*G147/_xlfn.XLOOKUP($A147,'00_SKU_Master'!$B$2:$B$378,'00_SKU_Master'!$O:$O,0),"")</f>
        <v/>
      </c>
      <c r="P145" s="122">
        <f>_xludf.IFNA(_xlfn.XLOOKUP($A147,'00_SKU_Master'!$B$2:$B$378,'00_SKU_Master'!$F$2:$F$378,0)*H147/_xlfn.XLOOKUP($A147,'00_SKU_Master'!$B$2:$B$378,'00_SKU_Master'!$O:$O,0),"")</f>
        <v/>
      </c>
      <c r="Q145" s="122">
        <f>_xludf.IFNA(_xlfn.XLOOKUP($A147,'00_SKU_Master'!$B$2:$B$378,'00_SKU_Master'!$F$2:$F$378,0)*I147/_xlfn.XLOOKUP($A147,'00_SKU_Master'!$B$2:$B$378,'00_SKU_Master'!$O:$O,0),"")</f>
        <v/>
      </c>
      <c r="R145" s="122">
        <f>_xludf.IFNA(_xlfn.XLOOKUP($A147,'00_SKU_Master'!$B$2:$B$378,'00_SKU_Master'!$F$2:$F$378,0)*J147/_xlfn.XLOOKUP($A147,'00_SKU_Master'!$B$2:$B$378,'00_SKU_Master'!$O:$O,0),"")</f>
        <v/>
      </c>
      <c r="S145" s="122">
        <f>_xludf.IFNA(_xlfn.XLOOKUP($A147,'00_SKU_Master'!$B$2:$B$378,'00_SKU_Master'!$F$2:$F$378,0)*K147/_xlfn.XLOOKUP($A147,'00_SKU_Master'!$B$2:$B$378,'00_SKU_Master'!$O:$O,0),"")</f>
        <v/>
      </c>
      <c r="T145" s="123">
        <f>SUM(N147:S147)</f>
        <v/>
      </c>
      <c r="U145" s="124">
        <f>'05_Daily_Orders'!L146</f>
        <v/>
      </c>
    </row>
    <row r="146">
      <c r="A146" s="118">
        <f>'05_Daily_Orders'!B147</f>
        <v/>
      </c>
      <c r="B146" s="50" t="n">
        <v>0</v>
      </c>
      <c r="C146" s="50" t="n">
        <v>0</v>
      </c>
      <c r="D146" s="119" t="n"/>
      <c r="E146" s="119" t="n"/>
      <c r="F146" t="n">
        <v>0</v>
      </c>
      <c r="L146" s="120">
        <f>IF($E$1="n",0,(SUM(F148:K148)-B148))</f>
        <v/>
      </c>
      <c r="M146" s="121">
        <f>_xludf.IFNA(_xlfn.XLOOKUP(A148,'00_SKU_Master'!$B$2:$B$378,'00_SKU_Master'!$C$2:$C$378,0),"")</f>
        <v/>
      </c>
      <c r="N146" s="122">
        <f>_xludf.IFNA(_xlfn.XLOOKUP(A148,'00_SKU_Master'!$B$2:$B$378,'00_SKU_Master'!$F$2:$F$378,0)*F148/_xlfn.XLOOKUP(A148,'00_SKU_Master'!$B$2:$B$378,'00_SKU_Master'!$O:$O,0),"")</f>
        <v/>
      </c>
      <c r="O146" s="122">
        <f>_xludf.IFNA(_xlfn.XLOOKUP($A148,'00_SKU_Master'!$B$2:$B$378,'00_SKU_Master'!$F$2:$F$378,0)*G148/_xlfn.XLOOKUP($A148,'00_SKU_Master'!$B$2:$B$378,'00_SKU_Master'!$O:$O,0),"")</f>
        <v/>
      </c>
      <c r="P146" s="122">
        <f>_xludf.IFNA(_xlfn.XLOOKUP($A148,'00_SKU_Master'!$B$2:$B$378,'00_SKU_Master'!$F$2:$F$378,0)*H148/_xlfn.XLOOKUP($A148,'00_SKU_Master'!$B$2:$B$378,'00_SKU_Master'!$O:$O,0),"")</f>
        <v/>
      </c>
      <c r="Q146" s="122">
        <f>_xludf.IFNA(_xlfn.XLOOKUP($A148,'00_SKU_Master'!$B$2:$B$378,'00_SKU_Master'!$F$2:$F$378,0)*I148/_xlfn.XLOOKUP($A148,'00_SKU_Master'!$B$2:$B$378,'00_SKU_Master'!$O:$O,0),"")</f>
        <v/>
      </c>
      <c r="R146" s="122">
        <f>_xludf.IFNA(_xlfn.XLOOKUP($A148,'00_SKU_Master'!$B$2:$B$378,'00_SKU_Master'!$F$2:$F$378,0)*J148/_xlfn.XLOOKUP($A148,'00_SKU_Master'!$B$2:$B$378,'00_SKU_Master'!$O:$O,0),"")</f>
        <v/>
      </c>
      <c r="S146" s="122">
        <f>_xludf.IFNA(_xlfn.XLOOKUP($A148,'00_SKU_Master'!$B$2:$B$378,'00_SKU_Master'!$F$2:$F$378,0)*K148/_xlfn.XLOOKUP($A148,'00_SKU_Master'!$B$2:$B$378,'00_SKU_Master'!$O:$O,0),"")</f>
        <v/>
      </c>
      <c r="T146" s="123">
        <f>SUM(N148:S148)</f>
        <v/>
      </c>
      <c r="U146" s="124">
        <f>'05_Daily_Orders'!L147</f>
        <v/>
      </c>
    </row>
    <row r="147">
      <c r="A147" s="118">
        <f>'05_Daily_Orders'!B148</f>
        <v/>
      </c>
      <c r="B147" s="50" t="n">
        <v>0</v>
      </c>
      <c r="C147" s="50" t="n">
        <v>0</v>
      </c>
      <c r="D147" s="119" t="n"/>
      <c r="E147" s="119" t="n"/>
      <c r="F147" t="n">
        <v>0</v>
      </c>
      <c r="L147" s="120">
        <f>IF($E$1="n",0,(SUM(F149:K149)-B149))</f>
        <v/>
      </c>
      <c r="M147" s="121">
        <f>_xludf.IFNA(_xlfn.XLOOKUP(A149,'00_SKU_Master'!$B$2:$B$378,'00_SKU_Master'!$C$2:$C$378,0),"")</f>
        <v/>
      </c>
      <c r="N147" s="122">
        <f>_xludf.IFNA(_xlfn.XLOOKUP(A149,'00_SKU_Master'!$B$2:$B$378,'00_SKU_Master'!$F$2:$F$378,0)*F149/_xlfn.XLOOKUP(A149,'00_SKU_Master'!$B$2:$B$378,'00_SKU_Master'!$O:$O,0),"")</f>
        <v/>
      </c>
      <c r="O147" s="122">
        <f>_xludf.IFNA(_xlfn.XLOOKUP($A149,'00_SKU_Master'!$B$2:$B$378,'00_SKU_Master'!$F$2:$F$378,0)*G149/_xlfn.XLOOKUP($A149,'00_SKU_Master'!$B$2:$B$378,'00_SKU_Master'!$O:$O,0),"")</f>
        <v/>
      </c>
      <c r="P147" s="122">
        <f>_xludf.IFNA(_xlfn.XLOOKUP($A149,'00_SKU_Master'!$B$2:$B$378,'00_SKU_Master'!$F$2:$F$378,0)*H149/_xlfn.XLOOKUP($A149,'00_SKU_Master'!$B$2:$B$378,'00_SKU_Master'!$O:$O,0),"")</f>
        <v/>
      </c>
      <c r="Q147" s="122">
        <f>_xludf.IFNA(_xlfn.XLOOKUP($A149,'00_SKU_Master'!$B$2:$B$378,'00_SKU_Master'!$F$2:$F$378,0)*I149/_xlfn.XLOOKUP($A149,'00_SKU_Master'!$B$2:$B$378,'00_SKU_Master'!$O:$O,0),"")</f>
        <v/>
      </c>
      <c r="R147" s="122">
        <f>_xludf.IFNA(_xlfn.XLOOKUP($A149,'00_SKU_Master'!$B$2:$B$378,'00_SKU_Master'!$F$2:$F$378,0)*J149/_xlfn.XLOOKUP($A149,'00_SKU_Master'!$B$2:$B$378,'00_SKU_Master'!$O:$O,0),"")</f>
        <v/>
      </c>
      <c r="S147" s="122">
        <f>_xludf.IFNA(_xlfn.XLOOKUP($A149,'00_SKU_Master'!$B$2:$B$378,'00_SKU_Master'!$F$2:$F$378,0)*K149/_xlfn.XLOOKUP($A149,'00_SKU_Master'!$B$2:$B$378,'00_SKU_Master'!$O:$O,0),"")</f>
        <v/>
      </c>
      <c r="T147" s="123">
        <f>SUM(N149:S149)</f>
        <v/>
      </c>
      <c r="U147" s="124">
        <f>'05_Daily_Orders'!L148</f>
        <v/>
      </c>
    </row>
    <row r="148">
      <c r="A148" s="118">
        <f>'05_Daily_Orders'!B149</f>
        <v/>
      </c>
      <c r="B148" s="50" t="n">
        <v>0</v>
      </c>
      <c r="C148" s="50" t="n">
        <v>0</v>
      </c>
      <c r="D148" s="119" t="n"/>
      <c r="E148" s="119" t="n"/>
      <c r="F148" t="n">
        <v>0</v>
      </c>
      <c r="L148" s="120">
        <f>IF($E$1="n",0,(SUM(F150:K150)-B150))</f>
        <v/>
      </c>
      <c r="M148" s="121">
        <f>_xludf.IFNA(_xlfn.XLOOKUP(A150,'00_SKU_Master'!$B$2:$B$378,'00_SKU_Master'!$C$2:$C$378,0),"")</f>
        <v/>
      </c>
      <c r="N148" s="122">
        <f>_xludf.IFNA(_xlfn.XLOOKUP(A150,'00_SKU_Master'!$B$2:$B$378,'00_SKU_Master'!$F$2:$F$378,0)*F150/_xlfn.XLOOKUP(A150,'00_SKU_Master'!$B$2:$B$378,'00_SKU_Master'!$O:$O,0),"")</f>
        <v/>
      </c>
      <c r="O148" s="122">
        <f>_xludf.IFNA(_xlfn.XLOOKUP($A150,'00_SKU_Master'!$B$2:$B$378,'00_SKU_Master'!$F$2:$F$378,0)*G150/_xlfn.XLOOKUP($A150,'00_SKU_Master'!$B$2:$B$378,'00_SKU_Master'!$O:$O,0),"")</f>
        <v/>
      </c>
      <c r="P148" s="122">
        <f>_xludf.IFNA(_xlfn.XLOOKUP($A150,'00_SKU_Master'!$B$2:$B$378,'00_SKU_Master'!$F$2:$F$378,0)*H150/_xlfn.XLOOKUP($A150,'00_SKU_Master'!$B$2:$B$378,'00_SKU_Master'!$O:$O,0),"")</f>
        <v/>
      </c>
      <c r="Q148" s="122">
        <f>_xludf.IFNA(_xlfn.XLOOKUP($A150,'00_SKU_Master'!$B$2:$B$378,'00_SKU_Master'!$F$2:$F$378,0)*I150/_xlfn.XLOOKUP($A150,'00_SKU_Master'!$B$2:$B$378,'00_SKU_Master'!$O:$O,0),"")</f>
        <v/>
      </c>
      <c r="R148" s="122">
        <f>_xludf.IFNA(_xlfn.XLOOKUP($A150,'00_SKU_Master'!$B$2:$B$378,'00_SKU_Master'!$F$2:$F$378,0)*J150/_xlfn.XLOOKUP($A150,'00_SKU_Master'!$B$2:$B$378,'00_SKU_Master'!$O:$O,0),"")</f>
        <v/>
      </c>
      <c r="S148" s="122">
        <f>_xludf.IFNA(_xlfn.XLOOKUP($A150,'00_SKU_Master'!$B$2:$B$378,'00_SKU_Master'!$F$2:$F$378,0)*K150/_xlfn.XLOOKUP($A150,'00_SKU_Master'!$B$2:$B$378,'00_SKU_Master'!$O:$O,0),"")</f>
        <v/>
      </c>
      <c r="T148" s="123">
        <f>SUM(N150:S150)</f>
        <v/>
      </c>
      <c r="U148" s="124">
        <f>'05_Daily_Orders'!L149</f>
        <v/>
      </c>
    </row>
    <row r="149">
      <c r="A149" s="118">
        <f>'05_Daily_Orders'!B150</f>
        <v/>
      </c>
      <c r="B149" s="50" t="n">
        <v>0</v>
      </c>
      <c r="C149" s="50" t="n">
        <v>0</v>
      </c>
      <c r="D149" s="119" t="n"/>
      <c r="E149" s="119" t="n"/>
      <c r="F149" t="n">
        <v>0</v>
      </c>
      <c r="L149" s="120">
        <f>IF($E$1="n",0,(SUM(F151:K151)-B151))</f>
        <v/>
      </c>
      <c r="M149" s="121">
        <f>_xludf.IFNA(_xlfn.XLOOKUP(A151,'00_SKU_Master'!$B$2:$B$378,'00_SKU_Master'!$C$2:$C$378,0),"")</f>
        <v/>
      </c>
      <c r="N149" s="122">
        <f>_xludf.IFNA(_xlfn.XLOOKUP(A151,'00_SKU_Master'!$B$2:$B$378,'00_SKU_Master'!$F$2:$F$378,0)*F151/_xlfn.XLOOKUP(A151,'00_SKU_Master'!$B$2:$B$378,'00_SKU_Master'!$O:$O,0),"")</f>
        <v/>
      </c>
      <c r="O149" s="122">
        <f>_xludf.IFNA(_xlfn.XLOOKUP($A151,'00_SKU_Master'!$B$2:$B$378,'00_SKU_Master'!$F$2:$F$378,0)*G151/_xlfn.XLOOKUP($A151,'00_SKU_Master'!$B$2:$B$378,'00_SKU_Master'!$O:$O,0),"")</f>
        <v/>
      </c>
      <c r="P149" s="122">
        <f>_xludf.IFNA(_xlfn.XLOOKUP($A151,'00_SKU_Master'!$B$2:$B$378,'00_SKU_Master'!$F$2:$F$378,0)*H151/_xlfn.XLOOKUP($A151,'00_SKU_Master'!$B$2:$B$378,'00_SKU_Master'!$O:$O,0),"")</f>
        <v/>
      </c>
      <c r="Q149" s="122">
        <f>_xludf.IFNA(_xlfn.XLOOKUP($A151,'00_SKU_Master'!$B$2:$B$378,'00_SKU_Master'!$F$2:$F$378,0)*I151/_xlfn.XLOOKUP($A151,'00_SKU_Master'!$B$2:$B$378,'00_SKU_Master'!$O:$O,0),"")</f>
        <v/>
      </c>
      <c r="R149" s="122">
        <f>_xludf.IFNA(_xlfn.XLOOKUP($A151,'00_SKU_Master'!$B$2:$B$378,'00_SKU_Master'!$F$2:$F$378,0)*J151/_xlfn.XLOOKUP($A151,'00_SKU_Master'!$B$2:$B$378,'00_SKU_Master'!$O:$O,0),"")</f>
        <v/>
      </c>
      <c r="S149" s="122">
        <f>_xludf.IFNA(_xlfn.XLOOKUP($A151,'00_SKU_Master'!$B$2:$B$378,'00_SKU_Master'!$F$2:$F$378,0)*K151/_xlfn.XLOOKUP($A151,'00_SKU_Master'!$B$2:$B$378,'00_SKU_Master'!$O:$O,0),"")</f>
        <v/>
      </c>
      <c r="T149" s="123">
        <f>SUM(N151:S151)</f>
        <v/>
      </c>
      <c r="U149" s="124">
        <f>'05_Daily_Orders'!L150</f>
        <v/>
      </c>
    </row>
    <row r="150">
      <c r="A150" s="118">
        <f>'05_Daily_Orders'!B151</f>
        <v/>
      </c>
      <c r="B150" s="50" t="n">
        <v>0</v>
      </c>
      <c r="C150" s="50" t="n">
        <v>0</v>
      </c>
      <c r="D150" s="119" t="n"/>
      <c r="E150" s="119" t="n"/>
      <c r="F150" t="n">
        <v>0</v>
      </c>
      <c r="L150" s="120">
        <f>IF($E$1="n",0,(SUM(F152:K152)-B152))</f>
        <v/>
      </c>
      <c r="M150" s="121">
        <f>_xludf.IFNA(_xlfn.XLOOKUP(A152,'00_SKU_Master'!$B$2:$B$378,'00_SKU_Master'!$C$2:$C$378,0),"")</f>
        <v/>
      </c>
      <c r="N150" s="122">
        <f>_xludf.IFNA(_xlfn.XLOOKUP(A152,'00_SKU_Master'!$B$2:$B$378,'00_SKU_Master'!$F$2:$F$378,0)*F152/_xlfn.XLOOKUP(A152,'00_SKU_Master'!$B$2:$B$378,'00_SKU_Master'!$O:$O,0),"")</f>
        <v/>
      </c>
      <c r="O150" s="122">
        <f>_xludf.IFNA(_xlfn.XLOOKUP($A152,'00_SKU_Master'!$B$2:$B$378,'00_SKU_Master'!$F$2:$F$378,0)*G152/_xlfn.XLOOKUP($A152,'00_SKU_Master'!$B$2:$B$378,'00_SKU_Master'!$O:$O,0),"")</f>
        <v/>
      </c>
      <c r="P150" s="122">
        <f>_xludf.IFNA(_xlfn.XLOOKUP($A152,'00_SKU_Master'!$B$2:$B$378,'00_SKU_Master'!$F$2:$F$378,0)*H152/_xlfn.XLOOKUP($A152,'00_SKU_Master'!$B$2:$B$378,'00_SKU_Master'!$O:$O,0),"")</f>
        <v/>
      </c>
      <c r="Q150" s="122">
        <f>_xludf.IFNA(_xlfn.XLOOKUP($A152,'00_SKU_Master'!$B$2:$B$378,'00_SKU_Master'!$F$2:$F$378,0)*I152/_xlfn.XLOOKUP($A152,'00_SKU_Master'!$B$2:$B$378,'00_SKU_Master'!$O:$O,0),"")</f>
        <v/>
      </c>
      <c r="R150" s="122">
        <f>_xludf.IFNA(_xlfn.XLOOKUP($A152,'00_SKU_Master'!$B$2:$B$378,'00_SKU_Master'!$F$2:$F$378,0)*J152/_xlfn.XLOOKUP($A152,'00_SKU_Master'!$B$2:$B$378,'00_SKU_Master'!$O:$O,0),"")</f>
        <v/>
      </c>
      <c r="S150" s="122">
        <f>_xludf.IFNA(_xlfn.XLOOKUP($A152,'00_SKU_Master'!$B$2:$B$378,'00_SKU_Master'!$F$2:$F$378,0)*K152/_xlfn.XLOOKUP($A152,'00_SKU_Master'!$B$2:$B$378,'00_SKU_Master'!$O:$O,0),"")</f>
        <v/>
      </c>
      <c r="T150" s="123">
        <f>SUM(N152:S152)</f>
        <v/>
      </c>
      <c r="U150" s="124">
        <f>'05_Daily_Orders'!L151</f>
        <v/>
      </c>
    </row>
    <row r="151">
      <c r="A151" s="118">
        <f>'05_Daily_Orders'!B152</f>
        <v/>
      </c>
      <c r="B151" s="50" t="n">
        <v>0</v>
      </c>
      <c r="C151" s="50" t="n">
        <v>0</v>
      </c>
      <c r="D151" s="119" t="n"/>
      <c r="E151" s="119" t="n"/>
      <c r="F151" t="n">
        <v>0</v>
      </c>
      <c r="L151" s="120">
        <f>IF($E$1="n",0,(SUM(F153:K153)-B153))</f>
        <v/>
      </c>
      <c r="M151" s="121">
        <f>_xludf.IFNA(_xlfn.XLOOKUP(A153,'00_SKU_Master'!$B$2:$B$378,'00_SKU_Master'!$C$2:$C$378,0),"")</f>
        <v/>
      </c>
      <c r="N151" s="122">
        <f>_xludf.IFNA(_xlfn.XLOOKUP(A153,'00_SKU_Master'!$B$2:$B$378,'00_SKU_Master'!$F$2:$F$378,0)*F153/_xlfn.XLOOKUP(A153,'00_SKU_Master'!$B$2:$B$378,'00_SKU_Master'!$O:$O,0),"")</f>
        <v/>
      </c>
      <c r="O151" s="122">
        <f>_xludf.IFNA(_xlfn.XLOOKUP($A153,'00_SKU_Master'!$B$2:$B$378,'00_SKU_Master'!$F$2:$F$378,0)*G153/_xlfn.XLOOKUP($A153,'00_SKU_Master'!$B$2:$B$378,'00_SKU_Master'!$O:$O,0),"")</f>
        <v/>
      </c>
      <c r="P151" s="122">
        <f>_xludf.IFNA(_xlfn.XLOOKUP($A153,'00_SKU_Master'!$B$2:$B$378,'00_SKU_Master'!$F$2:$F$378,0)*H153/_xlfn.XLOOKUP($A153,'00_SKU_Master'!$B$2:$B$378,'00_SKU_Master'!$O:$O,0),"")</f>
        <v/>
      </c>
      <c r="Q151" s="122">
        <f>_xludf.IFNA(_xlfn.XLOOKUP($A153,'00_SKU_Master'!$B$2:$B$378,'00_SKU_Master'!$F$2:$F$378,0)*I153/_xlfn.XLOOKUP($A153,'00_SKU_Master'!$B$2:$B$378,'00_SKU_Master'!$O:$O,0),"")</f>
        <v/>
      </c>
      <c r="R151" s="122">
        <f>_xludf.IFNA(_xlfn.XLOOKUP($A153,'00_SKU_Master'!$B$2:$B$378,'00_SKU_Master'!$F$2:$F$378,0)*J153/_xlfn.XLOOKUP($A153,'00_SKU_Master'!$B$2:$B$378,'00_SKU_Master'!$O:$O,0),"")</f>
        <v/>
      </c>
      <c r="S151" s="122">
        <f>_xludf.IFNA(_xlfn.XLOOKUP($A153,'00_SKU_Master'!$B$2:$B$378,'00_SKU_Master'!$F$2:$F$378,0)*K153/_xlfn.XLOOKUP($A153,'00_SKU_Master'!$B$2:$B$378,'00_SKU_Master'!$O:$O,0),"")</f>
        <v/>
      </c>
      <c r="T151" s="123">
        <f>SUM(N153:S153)</f>
        <v/>
      </c>
      <c r="U151" s="124">
        <f>'05_Daily_Orders'!L152</f>
        <v/>
      </c>
    </row>
    <row r="152">
      <c r="A152" s="118">
        <f>'05_Daily_Orders'!B153</f>
        <v/>
      </c>
      <c r="B152" s="50" t="n">
        <v>0</v>
      </c>
      <c r="C152" s="50" t="n">
        <v>0</v>
      </c>
      <c r="D152" s="119" t="n"/>
      <c r="E152" s="119" t="n"/>
      <c r="F152" t="n">
        <v>0</v>
      </c>
      <c r="L152" s="120">
        <f>IF($E$1="n",0,(SUM(F154:K154)-B154))</f>
        <v/>
      </c>
      <c r="M152" s="121">
        <f>_xludf.IFNA(_xlfn.XLOOKUP(A154,'00_SKU_Master'!$B$2:$B$378,'00_SKU_Master'!$C$2:$C$378,0),"")</f>
        <v/>
      </c>
      <c r="N152" s="122">
        <f>_xludf.IFNA(_xlfn.XLOOKUP(A154,'00_SKU_Master'!$B$2:$B$378,'00_SKU_Master'!$F$2:$F$378,0)*F154/_xlfn.XLOOKUP(A154,'00_SKU_Master'!$B$2:$B$378,'00_SKU_Master'!$O:$O,0),"")</f>
        <v/>
      </c>
      <c r="O152" s="122">
        <f>_xludf.IFNA(_xlfn.XLOOKUP($A154,'00_SKU_Master'!$B$2:$B$378,'00_SKU_Master'!$F$2:$F$378,0)*G154/_xlfn.XLOOKUP($A154,'00_SKU_Master'!$B$2:$B$378,'00_SKU_Master'!$O:$O,0),"")</f>
        <v/>
      </c>
      <c r="P152" s="122">
        <f>_xludf.IFNA(_xlfn.XLOOKUP($A154,'00_SKU_Master'!$B$2:$B$378,'00_SKU_Master'!$F$2:$F$378,0)*H154/_xlfn.XLOOKUP($A154,'00_SKU_Master'!$B$2:$B$378,'00_SKU_Master'!$O:$O,0),"")</f>
        <v/>
      </c>
      <c r="Q152" s="122">
        <f>_xludf.IFNA(_xlfn.XLOOKUP($A154,'00_SKU_Master'!$B$2:$B$378,'00_SKU_Master'!$F$2:$F$378,0)*I154/_xlfn.XLOOKUP($A154,'00_SKU_Master'!$B$2:$B$378,'00_SKU_Master'!$O:$O,0),"")</f>
        <v/>
      </c>
      <c r="R152" s="122">
        <f>_xludf.IFNA(_xlfn.XLOOKUP($A154,'00_SKU_Master'!$B$2:$B$378,'00_SKU_Master'!$F$2:$F$378,0)*J154/_xlfn.XLOOKUP($A154,'00_SKU_Master'!$B$2:$B$378,'00_SKU_Master'!$O:$O,0),"")</f>
        <v/>
      </c>
      <c r="S152" s="122">
        <f>_xludf.IFNA(_xlfn.XLOOKUP($A154,'00_SKU_Master'!$B$2:$B$378,'00_SKU_Master'!$F$2:$F$378,0)*K154/_xlfn.XLOOKUP($A154,'00_SKU_Master'!$B$2:$B$378,'00_SKU_Master'!$O:$O,0),"")</f>
        <v/>
      </c>
      <c r="T152" s="123">
        <f>SUM(N154:S154)</f>
        <v/>
      </c>
      <c r="U152" s="124">
        <f>'05_Daily_Orders'!L153</f>
        <v/>
      </c>
    </row>
    <row r="153">
      <c r="A153" s="118">
        <f>'05_Daily_Orders'!B154</f>
        <v/>
      </c>
      <c r="B153" s="50" t="n">
        <v>0</v>
      </c>
      <c r="C153" s="50" t="n">
        <v>0</v>
      </c>
      <c r="D153" s="119" t="n"/>
      <c r="E153" s="119" t="n"/>
      <c r="F153" t="n">
        <v>0</v>
      </c>
      <c r="L153" s="120">
        <f>IF($E$1="n",0,(SUM(F155:K155)-B155))</f>
        <v/>
      </c>
      <c r="M153" s="121">
        <f>_xludf.IFNA(_xlfn.XLOOKUP(A155,'00_SKU_Master'!$B$2:$B$378,'00_SKU_Master'!$C$2:$C$378,0),"")</f>
        <v/>
      </c>
      <c r="N153" s="122">
        <f>_xludf.IFNA(_xlfn.XLOOKUP(A155,'00_SKU_Master'!$B$2:$B$378,'00_SKU_Master'!$F$2:$F$378,0)*F155/_xlfn.XLOOKUP(A155,'00_SKU_Master'!$B$2:$B$378,'00_SKU_Master'!$O:$O,0),"")</f>
        <v/>
      </c>
      <c r="O153" s="122">
        <f>_xludf.IFNA(_xlfn.XLOOKUP($A155,'00_SKU_Master'!$B$2:$B$378,'00_SKU_Master'!$F$2:$F$378,0)*G155/_xlfn.XLOOKUP($A155,'00_SKU_Master'!$B$2:$B$378,'00_SKU_Master'!$O:$O,0),"")</f>
        <v/>
      </c>
      <c r="P153" s="122">
        <f>_xludf.IFNA(_xlfn.XLOOKUP($A155,'00_SKU_Master'!$B$2:$B$378,'00_SKU_Master'!$F$2:$F$378,0)*H155/_xlfn.XLOOKUP($A155,'00_SKU_Master'!$B$2:$B$378,'00_SKU_Master'!$O:$O,0),"")</f>
        <v/>
      </c>
      <c r="Q153" s="122">
        <f>_xludf.IFNA(_xlfn.XLOOKUP($A155,'00_SKU_Master'!$B$2:$B$378,'00_SKU_Master'!$F$2:$F$378,0)*I155/_xlfn.XLOOKUP($A155,'00_SKU_Master'!$B$2:$B$378,'00_SKU_Master'!$O:$O,0),"")</f>
        <v/>
      </c>
      <c r="R153" s="122">
        <f>_xludf.IFNA(_xlfn.XLOOKUP($A155,'00_SKU_Master'!$B$2:$B$378,'00_SKU_Master'!$F$2:$F$378,0)*J155/_xlfn.XLOOKUP($A155,'00_SKU_Master'!$B$2:$B$378,'00_SKU_Master'!$O:$O,0),"")</f>
        <v/>
      </c>
      <c r="S153" s="122">
        <f>_xludf.IFNA(_xlfn.XLOOKUP($A155,'00_SKU_Master'!$B$2:$B$378,'00_SKU_Master'!$F$2:$F$378,0)*K155/_xlfn.XLOOKUP($A155,'00_SKU_Master'!$B$2:$B$378,'00_SKU_Master'!$O:$O,0),"")</f>
        <v/>
      </c>
      <c r="T153" s="123">
        <f>SUM(N155:S155)</f>
        <v/>
      </c>
      <c r="U153" s="124">
        <f>'05_Daily_Orders'!L154</f>
        <v/>
      </c>
    </row>
    <row r="154">
      <c r="A154" s="118">
        <f>'05_Daily_Orders'!B155</f>
        <v/>
      </c>
      <c r="B154" s="50" t="n">
        <v>0</v>
      </c>
      <c r="C154" s="50" t="n">
        <v>0</v>
      </c>
      <c r="D154" s="119" t="n"/>
      <c r="E154" s="119" t="n"/>
      <c r="F154" t="n">
        <v>0</v>
      </c>
      <c r="L154" s="120">
        <f>IF($E$1="n",0,(SUM(F156:K156)-B156))</f>
        <v/>
      </c>
      <c r="M154" s="121">
        <f>_xludf.IFNA(_xlfn.XLOOKUP(A156,'00_SKU_Master'!$B$2:$B$378,'00_SKU_Master'!$C$2:$C$378,0),"")</f>
        <v/>
      </c>
      <c r="N154" s="122">
        <f>_xludf.IFNA(_xlfn.XLOOKUP(A156,'00_SKU_Master'!$B$2:$B$378,'00_SKU_Master'!$F$2:$F$378,0)*F156/_xlfn.XLOOKUP(A156,'00_SKU_Master'!$B$2:$B$378,'00_SKU_Master'!$O:$O,0),"")</f>
        <v/>
      </c>
      <c r="O154" s="122">
        <f>_xludf.IFNA(_xlfn.XLOOKUP($A156,'00_SKU_Master'!$B$2:$B$378,'00_SKU_Master'!$F$2:$F$378,0)*G156/_xlfn.XLOOKUP($A156,'00_SKU_Master'!$B$2:$B$378,'00_SKU_Master'!$O:$O,0),"")</f>
        <v/>
      </c>
      <c r="P154" s="122">
        <f>_xludf.IFNA(_xlfn.XLOOKUP($A156,'00_SKU_Master'!$B$2:$B$378,'00_SKU_Master'!$F$2:$F$378,0)*H156/_xlfn.XLOOKUP($A156,'00_SKU_Master'!$B$2:$B$378,'00_SKU_Master'!$O:$O,0),"")</f>
        <v/>
      </c>
      <c r="Q154" s="122">
        <f>_xludf.IFNA(_xlfn.XLOOKUP($A156,'00_SKU_Master'!$B$2:$B$378,'00_SKU_Master'!$F$2:$F$378,0)*I156/_xlfn.XLOOKUP($A156,'00_SKU_Master'!$B$2:$B$378,'00_SKU_Master'!$O:$O,0),"")</f>
        <v/>
      </c>
      <c r="R154" s="122">
        <f>_xludf.IFNA(_xlfn.XLOOKUP($A156,'00_SKU_Master'!$B$2:$B$378,'00_SKU_Master'!$F$2:$F$378,0)*J156/_xlfn.XLOOKUP($A156,'00_SKU_Master'!$B$2:$B$378,'00_SKU_Master'!$O:$O,0),"")</f>
        <v/>
      </c>
      <c r="S154" s="122">
        <f>_xludf.IFNA(_xlfn.XLOOKUP($A156,'00_SKU_Master'!$B$2:$B$378,'00_SKU_Master'!$F$2:$F$378,0)*K156/_xlfn.XLOOKUP($A156,'00_SKU_Master'!$B$2:$B$378,'00_SKU_Master'!$O:$O,0),"")</f>
        <v/>
      </c>
      <c r="T154" s="123">
        <f>SUM(N156:S156)</f>
        <v/>
      </c>
      <c r="U154" s="124">
        <f>'05_Daily_Orders'!L155</f>
        <v/>
      </c>
    </row>
    <row r="155">
      <c r="A155" s="118">
        <f>'05_Daily_Orders'!B156</f>
        <v/>
      </c>
      <c r="B155" s="50" t="n">
        <v>0</v>
      </c>
      <c r="C155" s="50" t="n">
        <v>0</v>
      </c>
      <c r="D155" s="119" t="n"/>
      <c r="E155" s="119" t="n"/>
      <c r="F155" t="n">
        <v>0</v>
      </c>
      <c r="L155" s="120">
        <f>IF($E$1="n",0,(SUM(F157:K157)-B157))</f>
        <v/>
      </c>
      <c r="M155" s="121">
        <f>_xludf.IFNA(_xlfn.XLOOKUP(A157,'00_SKU_Master'!$B$2:$B$378,'00_SKU_Master'!$C$2:$C$378,0),"")</f>
        <v/>
      </c>
      <c r="N155" s="122">
        <f>_xludf.IFNA(_xlfn.XLOOKUP(A157,'00_SKU_Master'!$B$2:$B$378,'00_SKU_Master'!$F$2:$F$378,0)*F157/_xlfn.XLOOKUP(A157,'00_SKU_Master'!$B$2:$B$378,'00_SKU_Master'!$O:$O,0),"")</f>
        <v/>
      </c>
      <c r="O155" s="122">
        <f>_xludf.IFNA(_xlfn.XLOOKUP($A157,'00_SKU_Master'!$B$2:$B$378,'00_SKU_Master'!$F$2:$F$378,0)*G157/_xlfn.XLOOKUP($A157,'00_SKU_Master'!$B$2:$B$378,'00_SKU_Master'!$O:$O,0),"")</f>
        <v/>
      </c>
      <c r="P155" s="122">
        <f>_xludf.IFNA(_xlfn.XLOOKUP($A157,'00_SKU_Master'!$B$2:$B$378,'00_SKU_Master'!$F$2:$F$378,0)*H157/_xlfn.XLOOKUP($A157,'00_SKU_Master'!$B$2:$B$378,'00_SKU_Master'!$O:$O,0),"")</f>
        <v/>
      </c>
      <c r="Q155" s="122">
        <f>_xludf.IFNA(_xlfn.XLOOKUP($A157,'00_SKU_Master'!$B$2:$B$378,'00_SKU_Master'!$F$2:$F$378,0)*I157/_xlfn.XLOOKUP($A157,'00_SKU_Master'!$B$2:$B$378,'00_SKU_Master'!$O:$O,0),"")</f>
        <v/>
      </c>
      <c r="R155" s="122">
        <f>_xludf.IFNA(_xlfn.XLOOKUP($A157,'00_SKU_Master'!$B$2:$B$378,'00_SKU_Master'!$F$2:$F$378,0)*J157/_xlfn.XLOOKUP($A157,'00_SKU_Master'!$B$2:$B$378,'00_SKU_Master'!$O:$O,0),"")</f>
        <v/>
      </c>
      <c r="S155" s="122">
        <f>_xludf.IFNA(_xlfn.XLOOKUP($A157,'00_SKU_Master'!$B$2:$B$378,'00_SKU_Master'!$F$2:$F$378,0)*K157/_xlfn.XLOOKUP($A157,'00_SKU_Master'!$B$2:$B$378,'00_SKU_Master'!$O:$O,0),"")</f>
        <v/>
      </c>
      <c r="T155" s="123">
        <f>SUM(N157:S157)</f>
        <v/>
      </c>
      <c r="U155" s="124">
        <f>'05_Daily_Orders'!L156</f>
        <v/>
      </c>
    </row>
    <row r="156">
      <c r="A156" s="118">
        <f>'05_Daily_Orders'!B157</f>
        <v/>
      </c>
      <c r="B156" s="50" t="n">
        <v>0</v>
      </c>
      <c r="C156" s="50" t="n">
        <v>0</v>
      </c>
      <c r="D156" s="119" t="n"/>
      <c r="E156" s="119" t="n"/>
      <c r="F156" t="n">
        <v>0</v>
      </c>
      <c r="L156" s="120">
        <f>IF($E$1="n",0,(SUM(F158:K158)-B158))</f>
        <v/>
      </c>
      <c r="M156" s="121">
        <f>_xludf.IFNA(_xlfn.XLOOKUP(A158,'00_SKU_Master'!$B$2:$B$378,'00_SKU_Master'!$C$2:$C$378,0),"")</f>
        <v/>
      </c>
      <c r="N156" s="122">
        <f>_xludf.IFNA(_xlfn.XLOOKUP(A158,'00_SKU_Master'!$B$2:$B$378,'00_SKU_Master'!$F$2:$F$378,0)*F158/_xlfn.XLOOKUP(A158,'00_SKU_Master'!$B$2:$B$378,'00_SKU_Master'!$O:$O,0),"")</f>
        <v/>
      </c>
      <c r="O156" s="122">
        <f>_xludf.IFNA(_xlfn.XLOOKUP($A158,'00_SKU_Master'!$B$2:$B$378,'00_SKU_Master'!$F$2:$F$378,0)*G158/_xlfn.XLOOKUP($A158,'00_SKU_Master'!$B$2:$B$378,'00_SKU_Master'!$O:$O,0),"")</f>
        <v/>
      </c>
      <c r="P156" s="122">
        <f>_xludf.IFNA(_xlfn.XLOOKUP($A158,'00_SKU_Master'!$B$2:$B$378,'00_SKU_Master'!$F$2:$F$378,0)*H158/_xlfn.XLOOKUP($A158,'00_SKU_Master'!$B$2:$B$378,'00_SKU_Master'!$O:$O,0),"")</f>
        <v/>
      </c>
      <c r="Q156" s="122">
        <f>_xludf.IFNA(_xlfn.XLOOKUP($A158,'00_SKU_Master'!$B$2:$B$378,'00_SKU_Master'!$F$2:$F$378,0)*I158/_xlfn.XLOOKUP($A158,'00_SKU_Master'!$B$2:$B$378,'00_SKU_Master'!$O:$O,0),"")</f>
        <v/>
      </c>
      <c r="R156" s="122">
        <f>_xludf.IFNA(_xlfn.XLOOKUP($A158,'00_SKU_Master'!$B$2:$B$378,'00_SKU_Master'!$F$2:$F$378,0)*J158/_xlfn.XLOOKUP($A158,'00_SKU_Master'!$B$2:$B$378,'00_SKU_Master'!$O:$O,0),"")</f>
        <v/>
      </c>
      <c r="S156" s="122">
        <f>_xludf.IFNA(_xlfn.XLOOKUP($A158,'00_SKU_Master'!$B$2:$B$378,'00_SKU_Master'!$F$2:$F$378,0)*K158/_xlfn.XLOOKUP($A158,'00_SKU_Master'!$B$2:$B$378,'00_SKU_Master'!$O:$O,0),"")</f>
        <v/>
      </c>
      <c r="T156" s="123">
        <f>SUM(N158:S158)</f>
        <v/>
      </c>
      <c r="U156" s="124">
        <f>'05_Daily_Orders'!L157</f>
        <v/>
      </c>
    </row>
    <row r="157">
      <c r="A157" s="118">
        <f>'05_Daily_Orders'!B158</f>
        <v/>
      </c>
      <c r="B157" s="50" t="n">
        <v>0</v>
      </c>
      <c r="C157" s="50" t="n">
        <v>0</v>
      </c>
      <c r="D157" s="119" t="n"/>
      <c r="E157" s="119" t="n"/>
      <c r="F157" t="n">
        <v>0</v>
      </c>
      <c r="L157" s="120">
        <f>IF($E$1="n",0,(SUM(F159:K159)-B159))</f>
        <v/>
      </c>
      <c r="M157" s="121">
        <f>_xludf.IFNA(_xlfn.XLOOKUP(A159,'00_SKU_Master'!$B$2:$B$378,'00_SKU_Master'!$C$2:$C$378,0),"")</f>
        <v/>
      </c>
      <c r="N157" s="122">
        <f>_xludf.IFNA(_xlfn.XLOOKUP(A159,'00_SKU_Master'!$B$2:$B$378,'00_SKU_Master'!$F$2:$F$378,0)*F159/_xlfn.XLOOKUP(A159,'00_SKU_Master'!$B$2:$B$378,'00_SKU_Master'!$O:$O,0),"")</f>
        <v/>
      </c>
      <c r="O157" s="122">
        <f>_xludf.IFNA(_xlfn.XLOOKUP($A159,'00_SKU_Master'!$B$2:$B$378,'00_SKU_Master'!$F$2:$F$378,0)*G159/_xlfn.XLOOKUP($A159,'00_SKU_Master'!$B$2:$B$378,'00_SKU_Master'!$O:$O,0),"")</f>
        <v/>
      </c>
      <c r="P157" s="122">
        <f>_xludf.IFNA(_xlfn.XLOOKUP($A159,'00_SKU_Master'!$B$2:$B$378,'00_SKU_Master'!$F$2:$F$378,0)*H159/_xlfn.XLOOKUP($A159,'00_SKU_Master'!$B$2:$B$378,'00_SKU_Master'!$O:$O,0),"")</f>
        <v/>
      </c>
      <c r="Q157" s="122">
        <f>_xludf.IFNA(_xlfn.XLOOKUP($A159,'00_SKU_Master'!$B$2:$B$378,'00_SKU_Master'!$F$2:$F$378,0)*I159/_xlfn.XLOOKUP($A159,'00_SKU_Master'!$B$2:$B$378,'00_SKU_Master'!$O:$O,0),"")</f>
        <v/>
      </c>
      <c r="R157" s="122">
        <f>_xludf.IFNA(_xlfn.XLOOKUP($A159,'00_SKU_Master'!$B$2:$B$378,'00_SKU_Master'!$F$2:$F$378,0)*J159/_xlfn.XLOOKUP($A159,'00_SKU_Master'!$B$2:$B$378,'00_SKU_Master'!$O:$O,0),"")</f>
        <v/>
      </c>
      <c r="S157" s="122">
        <f>_xludf.IFNA(_xlfn.XLOOKUP($A159,'00_SKU_Master'!$B$2:$B$378,'00_SKU_Master'!$F$2:$F$378,0)*K159/_xlfn.XLOOKUP($A159,'00_SKU_Master'!$B$2:$B$378,'00_SKU_Master'!$O:$O,0),"")</f>
        <v/>
      </c>
      <c r="T157" s="123">
        <f>SUM(N159:S159)</f>
        <v/>
      </c>
      <c r="U157" s="124">
        <f>'05_Daily_Orders'!L158</f>
        <v/>
      </c>
    </row>
    <row r="158">
      <c r="A158" s="118">
        <f>'05_Daily_Orders'!B159</f>
        <v/>
      </c>
      <c r="B158" s="50" t="n">
        <v>0</v>
      </c>
      <c r="C158" s="50" t="n">
        <v>0</v>
      </c>
      <c r="D158" s="119" t="n"/>
      <c r="E158" s="119" t="n"/>
      <c r="F158" t="n">
        <v>0</v>
      </c>
      <c r="L158" s="120">
        <f>IF($E$1="n",0,(SUM(F160:K160)-B160))</f>
        <v/>
      </c>
      <c r="M158" s="121">
        <f>_xludf.IFNA(_xlfn.XLOOKUP(A160,'00_SKU_Master'!$B$2:$B$378,'00_SKU_Master'!$C$2:$C$378,0),"")</f>
        <v/>
      </c>
      <c r="N158" s="122">
        <f>_xludf.IFNA(_xlfn.XLOOKUP(A160,'00_SKU_Master'!$B$2:$B$378,'00_SKU_Master'!$F$2:$F$378,0)*F160/_xlfn.XLOOKUP(A160,'00_SKU_Master'!$B$2:$B$378,'00_SKU_Master'!$O:$O,0),"")</f>
        <v/>
      </c>
      <c r="O158" s="122">
        <f>_xludf.IFNA(_xlfn.XLOOKUP($A160,'00_SKU_Master'!$B$2:$B$378,'00_SKU_Master'!$F$2:$F$378,0)*G160/_xlfn.XLOOKUP($A160,'00_SKU_Master'!$B$2:$B$378,'00_SKU_Master'!$O:$O,0),"")</f>
        <v/>
      </c>
      <c r="P158" s="122">
        <f>_xludf.IFNA(_xlfn.XLOOKUP($A160,'00_SKU_Master'!$B$2:$B$378,'00_SKU_Master'!$F$2:$F$378,0)*H160/_xlfn.XLOOKUP($A160,'00_SKU_Master'!$B$2:$B$378,'00_SKU_Master'!$O:$O,0),"")</f>
        <v/>
      </c>
      <c r="Q158" s="122">
        <f>_xludf.IFNA(_xlfn.XLOOKUP($A160,'00_SKU_Master'!$B$2:$B$378,'00_SKU_Master'!$F$2:$F$378,0)*I160/_xlfn.XLOOKUP($A160,'00_SKU_Master'!$B$2:$B$378,'00_SKU_Master'!$O:$O,0),"")</f>
        <v/>
      </c>
      <c r="R158" s="122">
        <f>_xludf.IFNA(_xlfn.XLOOKUP($A160,'00_SKU_Master'!$B$2:$B$378,'00_SKU_Master'!$F$2:$F$378,0)*J160/_xlfn.XLOOKUP($A160,'00_SKU_Master'!$B$2:$B$378,'00_SKU_Master'!$O:$O,0),"")</f>
        <v/>
      </c>
      <c r="S158" s="122">
        <f>_xludf.IFNA(_xlfn.XLOOKUP($A160,'00_SKU_Master'!$B$2:$B$378,'00_SKU_Master'!$F$2:$F$378,0)*K160/_xlfn.XLOOKUP($A160,'00_SKU_Master'!$B$2:$B$378,'00_SKU_Master'!$O:$O,0),"")</f>
        <v/>
      </c>
      <c r="T158" s="123">
        <f>SUM(N160:S160)</f>
        <v/>
      </c>
      <c r="U158" s="124">
        <f>'05_Daily_Orders'!L159</f>
        <v/>
      </c>
    </row>
    <row r="159">
      <c r="A159" s="118">
        <f>'05_Daily_Orders'!B160</f>
        <v/>
      </c>
      <c r="B159" s="50" t="n">
        <v>0</v>
      </c>
      <c r="C159" s="50" t="n">
        <v>0</v>
      </c>
      <c r="D159" s="119" t="n"/>
      <c r="E159" s="119" t="n"/>
      <c r="F159" t="n">
        <v>0</v>
      </c>
      <c r="L159" s="120">
        <f>IF($E$1="n",0,(SUM(F161:K161)-B161))</f>
        <v/>
      </c>
      <c r="M159" s="121">
        <f>_xludf.IFNA(_xlfn.XLOOKUP(A161,'00_SKU_Master'!$B$2:$B$378,'00_SKU_Master'!$C$2:$C$378,0),"")</f>
        <v/>
      </c>
      <c r="N159" s="122">
        <f>_xludf.IFNA(_xlfn.XLOOKUP(A161,'00_SKU_Master'!$B$2:$B$378,'00_SKU_Master'!$F$2:$F$378,0)*F161/_xlfn.XLOOKUP(A161,'00_SKU_Master'!$B$2:$B$378,'00_SKU_Master'!$O:$O,0),"")</f>
        <v/>
      </c>
      <c r="O159" s="122">
        <f>_xludf.IFNA(_xlfn.XLOOKUP($A161,'00_SKU_Master'!$B$2:$B$378,'00_SKU_Master'!$F$2:$F$378,0)*G161/_xlfn.XLOOKUP($A161,'00_SKU_Master'!$B$2:$B$378,'00_SKU_Master'!$O:$O,0),"")</f>
        <v/>
      </c>
      <c r="P159" s="122">
        <f>_xludf.IFNA(_xlfn.XLOOKUP($A161,'00_SKU_Master'!$B$2:$B$378,'00_SKU_Master'!$F$2:$F$378,0)*H161/_xlfn.XLOOKUP($A161,'00_SKU_Master'!$B$2:$B$378,'00_SKU_Master'!$O:$O,0),"")</f>
        <v/>
      </c>
      <c r="Q159" s="122">
        <f>_xludf.IFNA(_xlfn.XLOOKUP($A161,'00_SKU_Master'!$B$2:$B$378,'00_SKU_Master'!$F$2:$F$378,0)*I161/_xlfn.XLOOKUP($A161,'00_SKU_Master'!$B$2:$B$378,'00_SKU_Master'!$O:$O,0),"")</f>
        <v/>
      </c>
      <c r="R159" s="122">
        <f>_xludf.IFNA(_xlfn.XLOOKUP($A161,'00_SKU_Master'!$B$2:$B$378,'00_SKU_Master'!$F$2:$F$378,0)*J161/_xlfn.XLOOKUP($A161,'00_SKU_Master'!$B$2:$B$378,'00_SKU_Master'!$O:$O,0),"")</f>
        <v/>
      </c>
      <c r="S159" s="122">
        <f>_xludf.IFNA(_xlfn.XLOOKUP($A161,'00_SKU_Master'!$B$2:$B$378,'00_SKU_Master'!$F$2:$F$378,0)*K161/_xlfn.XLOOKUP($A161,'00_SKU_Master'!$B$2:$B$378,'00_SKU_Master'!$O:$O,0),"")</f>
        <v/>
      </c>
      <c r="T159" s="123">
        <f>SUM(N161:S161)</f>
        <v/>
      </c>
      <c r="U159" s="124">
        <f>'05_Daily_Orders'!L160</f>
        <v/>
      </c>
    </row>
    <row r="160">
      <c r="A160" s="118">
        <f>'05_Daily_Orders'!B161</f>
        <v/>
      </c>
      <c r="B160" s="50" t="n">
        <v>0</v>
      </c>
      <c r="C160" s="50" t="n">
        <v>0</v>
      </c>
      <c r="D160" s="119" t="n"/>
      <c r="E160" s="119" t="n"/>
      <c r="F160" t="n">
        <v>0</v>
      </c>
      <c r="L160" s="120">
        <f>IF($E$1="n",0,(SUM(F162:K162)-B162))</f>
        <v/>
      </c>
      <c r="M160" s="121">
        <f>_xludf.IFNA(_xlfn.XLOOKUP(A162,'00_SKU_Master'!$B$2:$B$378,'00_SKU_Master'!$C$2:$C$378,0),"")</f>
        <v/>
      </c>
      <c r="N160" s="122">
        <f>_xludf.IFNA(_xlfn.XLOOKUP(A162,'00_SKU_Master'!$B$2:$B$378,'00_SKU_Master'!$F$2:$F$378,0)*F162/_xlfn.XLOOKUP(A162,'00_SKU_Master'!$B$2:$B$378,'00_SKU_Master'!$O:$O,0),"")</f>
        <v/>
      </c>
      <c r="O160" s="122">
        <f>_xludf.IFNA(_xlfn.XLOOKUP($A162,'00_SKU_Master'!$B$2:$B$378,'00_SKU_Master'!$F$2:$F$378,0)*G162/_xlfn.XLOOKUP($A162,'00_SKU_Master'!$B$2:$B$378,'00_SKU_Master'!$O:$O,0),"")</f>
        <v/>
      </c>
      <c r="P160" s="122">
        <f>_xludf.IFNA(_xlfn.XLOOKUP($A162,'00_SKU_Master'!$B$2:$B$378,'00_SKU_Master'!$F$2:$F$378,0)*H162/_xlfn.XLOOKUP($A162,'00_SKU_Master'!$B$2:$B$378,'00_SKU_Master'!$O:$O,0),"")</f>
        <v/>
      </c>
      <c r="Q160" s="122">
        <f>_xludf.IFNA(_xlfn.XLOOKUP($A162,'00_SKU_Master'!$B$2:$B$378,'00_SKU_Master'!$F$2:$F$378,0)*I162/_xlfn.XLOOKUP($A162,'00_SKU_Master'!$B$2:$B$378,'00_SKU_Master'!$O:$O,0),"")</f>
        <v/>
      </c>
      <c r="R160" s="122">
        <f>_xludf.IFNA(_xlfn.XLOOKUP($A162,'00_SKU_Master'!$B$2:$B$378,'00_SKU_Master'!$F$2:$F$378,0)*J162/_xlfn.XLOOKUP($A162,'00_SKU_Master'!$B$2:$B$378,'00_SKU_Master'!$O:$O,0),"")</f>
        <v/>
      </c>
      <c r="S160" s="122">
        <f>_xludf.IFNA(_xlfn.XLOOKUP($A162,'00_SKU_Master'!$B$2:$B$378,'00_SKU_Master'!$F$2:$F$378,0)*K162/_xlfn.XLOOKUP($A162,'00_SKU_Master'!$B$2:$B$378,'00_SKU_Master'!$O:$O,0),"")</f>
        <v/>
      </c>
      <c r="T160" s="123">
        <f>SUM(N162:S162)</f>
        <v/>
      </c>
      <c r="U160" s="124">
        <f>'05_Daily_Orders'!L161</f>
        <v/>
      </c>
    </row>
    <row r="161">
      <c r="A161" s="118">
        <f>'05_Daily_Orders'!B162</f>
        <v/>
      </c>
      <c r="B161" s="50" t="n">
        <v>0</v>
      </c>
      <c r="C161" s="50" t="n">
        <v>0</v>
      </c>
      <c r="D161" s="119" t="n"/>
      <c r="E161" s="119" t="n"/>
      <c r="F161" t="n">
        <v>0</v>
      </c>
      <c r="L161" s="120">
        <f>IF($E$1="n",0,(SUM(F163:K163)-B163))</f>
        <v/>
      </c>
      <c r="M161" s="121">
        <f>_xludf.IFNA(_xlfn.XLOOKUP(A163,'00_SKU_Master'!$B$2:$B$378,'00_SKU_Master'!$C$2:$C$378,0),"")</f>
        <v/>
      </c>
      <c r="N161" s="122">
        <f>_xludf.IFNA(_xlfn.XLOOKUP(A163,'00_SKU_Master'!$B$2:$B$378,'00_SKU_Master'!$F$2:$F$378,0)*F163/_xlfn.XLOOKUP(A163,'00_SKU_Master'!$B$2:$B$378,'00_SKU_Master'!$O:$O,0),"")</f>
        <v/>
      </c>
      <c r="O161" s="122">
        <f>_xludf.IFNA(_xlfn.XLOOKUP($A163,'00_SKU_Master'!$B$2:$B$378,'00_SKU_Master'!$F$2:$F$378,0)*G163/_xlfn.XLOOKUP($A163,'00_SKU_Master'!$B$2:$B$378,'00_SKU_Master'!$O:$O,0),"")</f>
        <v/>
      </c>
      <c r="P161" s="122">
        <f>_xludf.IFNA(_xlfn.XLOOKUP($A163,'00_SKU_Master'!$B$2:$B$378,'00_SKU_Master'!$F$2:$F$378,0)*H163/_xlfn.XLOOKUP($A163,'00_SKU_Master'!$B$2:$B$378,'00_SKU_Master'!$O:$O,0),"")</f>
        <v/>
      </c>
      <c r="Q161" s="122">
        <f>_xludf.IFNA(_xlfn.XLOOKUP($A163,'00_SKU_Master'!$B$2:$B$378,'00_SKU_Master'!$F$2:$F$378,0)*I163/_xlfn.XLOOKUP($A163,'00_SKU_Master'!$B$2:$B$378,'00_SKU_Master'!$O:$O,0),"")</f>
        <v/>
      </c>
      <c r="R161" s="122">
        <f>_xludf.IFNA(_xlfn.XLOOKUP($A163,'00_SKU_Master'!$B$2:$B$378,'00_SKU_Master'!$F$2:$F$378,0)*J163/_xlfn.XLOOKUP($A163,'00_SKU_Master'!$B$2:$B$378,'00_SKU_Master'!$O:$O,0),"")</f>
        <v/>
      </c>
      <c r="S161" s="122">
        <f>_xludf.IFNA(_xlfn.XLOOKUP($A163,'00_SKU_Master'!$B$2:$B$378,'00_SKU_Master'!$F$2:$F$378,0)*K163/_xlfn.XLOOKUP($A163,'00_SKU_Master'!$B$2:$B$378,'00_SKU_Master'!$O:$O,0),"")</f>
        <v/>
      </c>
      <c r="T161" s="123">
        <f>SUM(N163:S163)</f>
        <v/>
      </c>
      <c r="U161" s="124">
        <f>'05_Daily_Orders'!L162</f>
        <v/>
      </c>
    </row>
    <row r="162">
      <c r="A162" s="118">
        <f>'05_Daily_Orders'!B163</f>
        <v/>
      </c>
      <c r="B162" s="50" t="n">
        <v>0</v>
      </c>
      <c r="C162" s="50" t="n">
        <v>0</v>
      </c>
      <c r="D162" s="119" t="n"/>
      <c r="E162" s="119" t="n"/>
      <c r="F162" t="n">
        <v>0</v>
      </c>
      <c r="L162" s="120">
        <f>IF($E$1="n",0,(SUM(F164:K164)-B164))</f>
        <v/>
      </c>
      <c r="M162" s="121">
        <f>_xludf.IFNA(_xlfn.XLOOKUP(A164,'00_SKU_Master'!$B$2:$B$378,'00_SKU_Master'!$C$2:$C$378,0),"")</f>
        <v/>
      </c>
      <c r="N162" s="122">
        <f>_xludf.IFNA(_xlfn.XLOOKUP(A164,'00_SKU_Master'!$B$2:$B$378,'00_SKU_Master'!$F$2:$F$378,0)*F164/_xlfn.XLOOKUP(A164,'00_SKU_Master'!$B$2:$B$378,'00_SKU_Master'!$O:$O,0),"")</f>
        <v/>
      </c>
      <c r="O162" s="122">
        <f>_xludf.IFNA(_xlfn.XLOOKUP($A164,'00_SKU_Master'!$B$2:$B$378,'00_SKU_Master'!$F$2:$F$378,0)*G164/_xlfn.XLOOKUP($A164,'00_SKU_Master'!$B$2:$B$378,'00_SKU_Master'!$O:$O,0),"")</f>
        <v/>
      </c>
      <c r="P162" s="122">
        <f>_xludf.IFNA(_xlfn.XLOOKUP($A164,'00_SKU_Master'!$B$2:$B$378,'00_SKU_Master'!$F$2:$F$378,0)*H164/_xlfn.XLOOKUP($A164,'00_SKU_Master'!$B$2:$B$378,'00_SKU_Master'!$O:$O,0),"")</f>
        <v/>
      </c>
      <c r="Q162" s="122">
        <f>_xludf.IFNA(_xlfn.XLOOKUP($A164,'00_SKU_Master'!$B$2:$B$378,'00_SKU_Master'!$F$2:$F$378,0)*I164/_xlfn.XLOOKUP($A164,'00_SKU_Master'!$B$2:$B$378,'00_SKU_Master'!$O:$O,0),"")</f>
        <v/>
      </c>
      <c r="R162" s="122">
        <f>_xludf.IFNA(_xlfn.XLOOKUP($A164,'00_SKU_Master'!$B$2:$B$378,'00_SKU_Master'!$F$2:$F$378,0)*J164/_xlfn.XLOOKUP($A164,'00_SKU_Master'!$B$2:$B$378,'00_SKU_Master'!$O:$O,0),"")</f>
        <v/>
      </c>
      <c r="S162" s="122">
        <f>_xludf.IFNA(_xlfn.XLOOKUP($A164,'00_SKU_Master'!$B$2:$B$378,'00_SKU_Master'!$F$2:$F$378,0)*K164/_xlfn.XLOOKUP($A164,'00_SKU_Master'!$B$2:$B$378,'00_SKU_Master'!$O:$O,0),"")</f>
        <v/>
      </c>
      <c r="T162" s="123">
        <f>SUM(N164:S164)</f>
        <v/>
      </c>
      <c r="U162" s="124">
        <f>'05_Daily_Orders'!L163</f>
        <v/>
      </c>
    </row>
    <row r="163">
      <c r="A163" s="118">
        <f>'05_Daily_Orders'!B164</f>
        <v/>
      </c>
      <c r="B163" s="50" t="n">
        <v>0</v>
      </c>
      <c r="C163" s="50" t="n">
        <v>0</v>
      </c>
      <c r="D163" s="119" t="n"/>
      <c r="E163" s="119" t="n"/>
      <c r="F163" t="n">
        <v>0</v>
      </c>
      <c r="L163" s="120">
        <f>IF($E$1="n",0,(SUM(F165:K165)-B165))</f>
        <v/>
      </c>
      <c r="M163" s="121">
        <f>_xludf.IFNA(_xlfn.XLOOKUP(A165,'00_SKU_Master'!$B$2:$B$378,'00_SKU_Master'!$C$2:$C$378,0),"")</f>
        <v/>
      </c>
      <c r="N163" s="122">
        <f>_xludf.IFNA(_xlfn.XLOOKUP(A165,'00_SKU_Master'!$B$2:$B$378,'00_SKU_Master'!$F$2:$F$378,0)*F165/_xlfn.XLOOKUP(A165,'00_SKU_Master'!$B$2:$B$378,'00_SKU_Master'!$O:$O,0),"")</f>
        <v/>
      </c>
      <c r="O163" s="122">
        <f>_xludf.IFNA(_xlfn.XLOOKUP($A165,'00_SKU_Master'!$B$2:$B$378,'00_SKU_Master'!$F$2:$F$378,0)*G165/_xlfn.XLOOKUP($A165,'00_SKU_Master'!$B$2:$B$378,'00_SKU_Master'!$O:$O,0),"")</f>
        <v/>
      </c>
      <c r="P163" s="122">
        <f>_xludf.IFNA(_xlfn.XLOOKUP($A165,'00_SKU_Master'!$B$2:$B$378,'00_SKU_Master'!$F$2:$F$378,0)*H165/_xlfn.XLOOKUP($A165,'00_SKU_Master'!$B$2:$B$378,'00_SKU_Master'!$O:$O,0),"")</f>
        <v/>
      </c>
      <c r="Q163" s="122">
        <f>_xludf.IFNA(_xlfn.XLOOKUP($A165,'00_SKU_Master'!$B$2:$B$378,'00_SKU_Master'!$F$2:$F$378,0)*I165/_xlfn.XLOOKUP($A165,'00_SKU_Master'!$B$2:$B$378,'00_SKU_Master'!$O:$O,0),"")</f>
        <v/>
      </c>
      <c r="R163" s="122">
        <f>_xludf.IFNA(_xlfn.XLOOKUP($A165,'00_SKU_Master'!$B$2:$B$378,'00_SKU_Master'!$F$2:$F$378,0)*J165/_xlfn.XLOOKUP($A165,'00_SKU_Master'!$B$2:$B$378,'00_SKU_Master'!$O:$O,0),"")</f>
        <v/>
      </c>
      <c r="S163" s="122">
        <f>_xludf.IFNA(_xlfn.XLOOKUP($A165,'00_SKU_Master'!$B$2:$B$378,'00_SKU_Master'!$F$2:$F$378,0)*K165/_xlfn.XLOOKUP($A165,'00_SKU_Master'!$B$2:$B$378,'00_SKU_Master'!$O:$O,0),"")</f>
        <v/>
      </c>
      <c r="T163" s="123">
        <f>SUM(N165:S165)</f>
        <v/>
      </c>
      <c r="U163" s="124">
        <f>'05_Daily_Orders'!L164</f>
        <v/>
      </c>
    </row>
    <row r="164">
      <c r="A164" s="118">
        <f>'05_Daily_Orders'!B165</f>
        <v/>
      </c>
      <c r="B164" s="50" t="n">
        <v>0</v>
      </c>
      <c r="C164" s="50" t="n">
        <v>0</v>
      </c>
      <c r="D164" s="119" t="n"/>
      <c r="E164" s="119" t="n"/>
      <c r="F164" t="n">
        <v>0</v>
      </c>
      <c r="L164" s="120">
        <f>IF($E$1="n",0,(SUM(F166:K166)-B166))</f>
        <v/>
      </c>
      <c r="M164" s="121">
        <f>_xludf.IFNA(_xlfn.XLOOKUP(A166,'00_SKU_Master'!$B$2:$B$378,'00_SKU_Master'!$C$2:$C$378,0),"")</f>
        <v/>
      </c>
      <c r="N164" s="122">
        <f>_xludf.IFNA(_xlfn.XLOOKUP(A166,'00_SKU_Master'!$B$2:$B$378,'00_SKU_Master'!$F$2:$F$378,0)*F166/_xlfn.XLOOKUP(A166,'00_SKU_Master'!$B$2:$B$378,'00_SKU_Master'!$O:$O,0),"")</f>
        <v/>
      </c>
      <c r="O164" s="122">
        <f>_xludf.IFNA(_xlfn.XLOOKUP($A166,'00_SKU_Master'!$B$2:$B$378,'00_SKU_Master'!$F$2:$F$378,0)*G166/_xlfn.XLOOKUP($A166,'00_SKU_Master'!$B$2:$B$378,'00_SKU_Master'!$O:$O,0),"")</f>
        <v/>
      </c>
      <c r="P164" s="122">
        <f>_xludf.IFNA(_xlfn.XLOOKUP($A166,'00_SKU_Master'!$B$2:$B$378,'00_SKU_Master'!$F$2:$F$378,0)*H166/_xlfn.XLOOKUP($A166,'00_SKU_Master'!$B$2:$B$378,'00_SKU_Master'!$O:$O,0),"")</f>
        <v/>
      </c>
      <c r="Q164" s="122">
        <f>_xludf.IFNA(_xlfn.XLOOKUP($A166,'00_SKU_Master'!$B$2:$B$378,'00_SKU_Master'!$F$2:$F$378,0)*I166/_xlfn.XLOOKUP($A166,'00_SKU_Master'!$B$2:$B$378,'00_SKU_Master'!$O:$O,0),"")</f>
        <v/>
      </c>
      <c r="R164" s="122">
        <f>_xludf.IFNA(_xlfn.XLOOKUP($A166,'00_SKU_Master'!$B$2:$B$378,'00_SKU_Master'!$F$2:$F$378,0)*J166/_xlfn.XLOOKUP($A166,'00_SKU_Master'!$B$2:$B$378,'00_SKU_Master'!$O:$O,0),"")</f>
        <v/>
      </c>
      <c r="S164" s="122">
        <f>_xludf.IFNA(_xlfn.XLOOKUP($A166,'00_SKU_Master'!$B$2:$B$378,'00_SKU_Master'!$F$2:$F$378,0)*K166/_xlfn.XLOOKUP($A166,'00_SKU_Master'!$B$2:$B$378,'00_SKU_Master'!$O:$O,0),"")</f>
        <v/>
      </c>
      <c r="T164" s="123">
        <f>SUM(N166:S166)</f>
        <v/>
      </c>
      <c r="U164" s="124">
        <f>'05_Daily_Orders'!L165</f>
        <v/>
      </c>
    </row>
    <row r="165">
      <c r="A165" s="118">
        <f>'05_Daily_Orders'!B166</f>
        <v/>
      </c>
      <c r="B165" s="50" t="n">
        <v>0</v>
      </c>
      <c r="C165" s="50" t="n">
        <v>0</v>
      </c>
      <c r="D165" s="119" t="n"/>
      <c r="E165" s="119" t="n"/>
      <c r="F165" t="n">
        <v>0</v>
      </c>
      <c r="L165" s="120">
        <f>IF($E$1="n",0,(SUM(F167:K167)-B167))</f>
        <v/>
      </c>
      <c r="M165" s="121">
        <f>_xludf.IFNA(_xlfn.XLOOKUP(A167,'00_SKU_Master'!$B$2:$B$378,'00_SKU_Master'!$C$2:$C$378,0),"")</f>
        <v/>
      </c>
      <c r="N165" s="122">
        <f>_xludf.IFNA(_xlfn.XLOOKUP(A167,'00_SKU_Master'!$B$2:$B$378,'00_SKU_Master'!$F$2:$F$378,0)*F167/_xlfn.XLOOKUP(A167,'00_SKU_Master'!$B$2:$B$378,'00_SKU_Master'!$O:$O,0),"")</f>
        <v/>
      </c>
      <c r="O165" s="122">
        <f>_xludf.IFNA(_xlfn.XLOOKUP($A167,'00_SKU_Master'!$B$2:$B$378,'00_SKU_Master'!$F$2:$F$378,0)*G167/_xlfn.XLOOKUP($A167,'00_SKU_Master'!$B$2:$B$378,'00_SKU_Master'!$O:$O,0),"")</f>
        <v/>
      </c>
      <c r="P165" s="122">
        <f>_xludf.IFNA(_xlfn.XLOOKUP($A167,'00_SKU_Master'!$B$2:$B$378,'00_SKU_Master'!$F$2:$F$378,0)*H167/_xlfn.XLOOKUP($A167,'00_SKU_Master'!$B$2:$B$378,'00_SKU_Master'!$O:$O,0),"")</f>
        <v/>
      </c>
      <c r="Q165" s="122">
        <f>_xludf.IFNA(_xlfn.XLOOKUP($A167,'00_SKU_Master'!$B$2:$B$378,'00_SKU_Master'!$F$2:$F$378,0)*I167/_xlfn.XLOOKUP($A167,'00_SKU_Master'!$B$2:$B$378,'00_SKU_Master'!$O:$O,0),"")</f>
        <v/>
      </c>
      <c r="R165" s="122">
        <f>_xludf.IFNA(_xlfn.XLOOKUP($A167,'00_SKU_Master'!$B$2:$B$378,'00_SKU_Master'!$F$2:$F$378,0)*J167/_xlfn.XLOOKUP($A167,'00_SKU_Master'!$B$2:$B$378,'00_SKU_Master'!$O:$O,0),"")</f>
        <v/>
      </c>
      <c r="S165" s="122">
        <f>_xludf.IFNA(_xlfn.XLOOKUP($A167,'00_SKU_Master'!$B$2:$B$378,'00_SKU_Master'!$F$2:$F$378,0)*K167/_xlfn.XLOOKUP($A167,'00_SKU_Master'!$B$2:$B$378,'00_SKU_Master'!$O:$O,0),"")</f>
        <v/>
      </c>
      <c r="T165" s="123">
        <f>SUM(N167:S167)</f>
        <v/>
      </c>
      <c r="U165" s="124">
        <f>'05_Daily_Orders'!L166</f>
        <v/>
      </c>
    </row>
    <row r="166">
      <c r="A166" s="118">
        <f>'05_Daily_Orders'!B167</f>
        <v/>
      </c>
      <c r="B166" s="50" t="n">
        <v>0</v>
      </c>
      <c r="C166" s="50" t="n">
        <v>0</v>
      </c>
      <c r="D166" s="119" t="n"/>
      <c r="E166" s="119" t="n"/>
      <c r="F166" t="n">
        <v>0</v>
      </c>
      <c r="L166" s="120">
        <f>IF($E$1="n",0,(SUM(F168:K168)-B168))</f>
        <v/>
      </c>
      <c r="M166" s="121">
        <f>_xludf.IFNA(_xlfn.XLOOKUP(A168,'00_SKU_Master'!$B$2:$B$378,'00_SKU_Master'!$C$2:$C$378,0),"")</f>
        <v/>
      </c>
      <c r="N166" s="122">
        <f>_xludf.IFNA(_xlfn.XLOOKUP(A168,'00_SKU_Master'!$B$2:$B$378,'00_SKU_Master'!$F$2:$F$378,0)*F168/_xlfn.XLOOKUP(A168,'00_SKU_Master'!$B$2:$B$378,'00_SKU_Master'!$O:$O,0),"")</f>
        <v/>
      </c>
      <c r="O166" s="122">
        <f>_xludf.IFNA(_xlfn.XLOOKUP($A168,'00_SKU_Master'!$B$2:$B$378,'00_SKU_Master'!$F$2:$F$378,0)*G168/_xlfn.XLOOKUP($A168,'00_SKU_Master'!$B$2:$B$378,'00_SKU_Master'!$O:$O,0),"")</f>
        <v/>
      </c>
      <c r="P166" s="122">
        <f>_xludf.IFNA(_xlfn.XLOOKUP($A168,'00_SKU_Master'!$B$2:$B$378,'00_SKU_Master'!$F$2:$F$378,0)*H168/_xlfn.XLOOKUP($A168,'00_SKU_Master'!$B$2:$B$378,'00_SKU_Master'!$O:$O,0),"")</f>
        <v/>
      </c>
      <c r="Q166" s="122">
        <f>_xludf.IFNA(_xlfn.XLOOKUP($A168,'00_SKU_Master'!$B$2:$B$378,'00_SKU_Master'!$F$2:$F$378,0)*I168/_xlfn.XLOOKUP($A168,'00_SKU_Master'!$B$2:$B$378,'00_SKU_Master'!$O:$O,0),"")</f>
        <v/>
      </c>
      <c r="R166" s="122">
        <f>_xludf.IFNA(_xlfn.XLOOKUP($A168,'00_SKU_Master'!$B$2:$B$378,'00_SKU_Master'!$F$2:$F$378,0)*J168/_xlfn.XLOOKUP($A168,'00_SKU_Master'!$B$2:$B$378,'00_SKU_Master'!$O:$O,0),"")</f>
        <v/>
      </c>
      <c r="S166" s="122">
        <f>_xludf.IFNA(_xlfn.XLOOKUP($A168,'00_SKU_Master'!$B$2:$B$378,'00_SKU_Master'!$F$2:$F$378,0)*K168/_xlfn.XLOOKUP($A168,'00_SKU_Master'!$B$2:$B$378,'00_SKU_Master'!$O:$O,0),"")</f>
        <v/>
      </c>
      <c r="T166" s="123">
        <f>SUM(N168:S168)</f>
        <v/>
      </c>
      <c r="U166" s="124">
        <f>'05_Daily_Orders'!L167</f>
        <v/>
      </c>
    </row>
    <row r="167">
      <c r="A167" s="118">
        <f>'05_Daily_Orders'!B168</f>
        <v/>
      </c>
      <c r="B167" s="50" t="n">
        <v>0</v>
      </c>
      <c r="C167" s="50" t="n">
        <v>0</v>
      </c>
      <c r="D167" s="119" t="n"/>
      <c r="E167" s="119" t="n"/>
      <c r="F167" t="n">
        <v>0</v>
      </c>
      <c r="L167" s="120">
        <f>IF($E$1="n",0,(SUM(F169:K169)-B169))</f>
        <v/>
      </c>
      <c r="M167" s="121">
        <f>_xludf.IFNA(_xlfn.XLOOKUP(A169,'00_SKU_Master'!$B$2:$B$378,'00_SKU_Master'!$C$2:$C$378,0),"")</f>
        <v/>
      </c>
      <c r="N167" s="122">
        <f>_xludf.IFNA(_xlfn.XLOOKUP(A169,'00_SKU_Master'!$B$2:$B$378,'00_SKU_Master'!$F$2:$F$378,0)*F169/_xlfn.XLOOKUP(A169,'00_SKU_Master'!$B$2:$B$378,'00_SKU_Master'!$O:$O,0),"")</f>
        <v/>
      </c>
      <c r="O167" s="122">
        <f>_xludf.IFNA(_xlfn.XLOOKUP($A169,'00_SKU_Master'!$B$2:$B$378,'00_SKU_Master'!$F$2:$F$378,0)*G169/_xlfn.XLOOKUP($A169,'00_SKU_Master'!$B$2:$B$378,'00_SKU_Master'!$O:$O,0),"")</f>
        <v/>
      </c>
      <c r="P167" s="122">
        <f>_xludf.IFNA(_xlfn.XLOOKUP($A169,'00_SKU_Master'!$B$2:$B$378,'00_SKU_Master'!$F$2:$F$378,0)*H169/_xlfn.XLOOKUP($A169,'00_SKU_Master'!$B$2:$B$378,'00_SKU_Master'!$O:$O,0),"")</f>
        <v/>
      </c>
      <c r="Q167" s="122">
        <f>_xludf.IFNA(_xlfn.XLOOKUP($A169,'00_SKU_Master'!$B$2:$B$378,'00_SKU_Master'!$F$2:$F$378,0)*I169/_xlfn.XLOOKUP($A169,'00_SKU_Master'!$B$2:$B$378,'00_SKU_Master'!$O:$O,0),"")</f>
        <v/>
      </c>
      <c r="R167" s="122">
        <f>_xludf.IFNA(_xlfn.XLOOKUP($A169,'00_SKU_Master'!$B$2:$B$378,'00_SKU_Master'!$F$2:$F$378,0)*J169/_xlfn.XLOOKUP($A169,'00_SKU_Master'!$B$2:$B$378,'00_SKU_Master'!$O:$O,0),"")</f>
        <v/>
      </c>
      <c r="S167" s="122">
        <f>_xludf.IFNA(_xlfn.XLOOKUP($A169,'00_SKU_Master'!$B$2:$B$378,'00_SKU_Master'!$F$2:$F$378,0)*K169/_xlfn.XLOOKUP($A169,'00_SKU_Master'!$B$2:$B$378,'00_SKU_Master'!$O:$O,0),"")</f>
        <v/>
      </c>
      <c r="T167" s="123">
        <f>SUM(N169:S169)</f>
        <v/>
      </c>
      <c r="U167" s="124">
        <f>'05_Daily_Orders'!L168</f>
        <v/>
      </c>
    </row>
    <row r="168">
      <c r="A168" s="118">
        <f>'05_Daily_Orders'!B169</f>
        <v/>
      </c>
      <c r="B168" s="50" t="n">
        <v>0</v>
      </c>
      <c r="C168" s="50" t="n">
        <v>0</v>
      </c>
      <c r="D168" s="119" t="n"/>
      <c r="E168" s="119" t="n"/>
      <c r="F168" t="n">
        <v>0</v>
      </c>
      <c r="L168" s="120">
        <f>IF($E$1="n",0,(SUM(F170:K170)-B170))</f>
        <v/>
      </c>
      <c r="M168" s="121">
        <f>_xludf.IFNA(_xlfn.XLOOKUP(A170,'00_SKU_Master'!$B$2:$B$378,'00_SKU_Master'!$C$2:$C$378,0),"")</f>
        <v/>
      </c>
      <c r="N168" s="122">
        <f>_xludf.IFNA(_xlfn.XLOOKUP(A170,'00_SKU_Master'!$B$2:$B$378,'00_SKU_Master'!$F$2:$F$378,0)*F170/_xlfn.XLOOKUP(A170,'00_SKU_Master'!$B$2:$B$378,'00_SKU_Master'!$O:$O,0),"")</f>
        <v/>
      </c>
      <c r="O168" s="122">
        <f>_xludf.IFNA(_xlfn.XLOOKUP($A170,'00_SKU_Master'!$B$2:$B$378,'00_SKU_Master'!$F$2:$F$378,0)*G170/_xlfn.XLOOKUP($A170,'00_SKU_Master'!$B$2:$B$378,'00_SKU_Master'!$O:$O,0),"")</f>
        <v/>
      </c>
      <c r="P168" s="122">
        <f>_xludf.IFNA(_xlfn.XLOOKUP($A170,'00_SKU_Master'!$B$2:$B$378,'00_SKU_Master'!$F$2:$F$378,0)*H170/_xlfn.XLOOKUP($A170,'00_SKU_Master'!$B$2:$B$378,'00_SKU_Master'!$O:$O,0),"")</f>
        <v/>
      </c>
      <c r="Q168" s="122">
        <f>_xludf.IFNA(_xlfn.XLOOKUP($A170,'00_SKU_Master'!$B$2:$B$378,'00_SKU_Master'!$F$2:$F$378,0)*I170/_xlfn.XLOOKUP($A170,'00_SKU_Master'!$B$2:$B$378,'00_SKU_Master'!$O:$O,0),"")</f>
        <v/>
      </c>
      <c r="R168" s="122">
        <f>_xludf.IFNA(_xlfn.XLOOKUP($A170,'00_SKU_Master'!$B$2:$B$378,'00_SKU_Master'!$F$2:$F$378,0)*J170/_xlfn.XLOOKUP($A170,'00_SKU_Master'!$B$2:$B$378,'00_SKU_Master'!$O:$O,0),"")</f>
        <v/>
      </c>
      <c r="S168" s="122">
        <f>_xludf.IFNA(_xlfn.XLOOKUP($A170,'00_SKU_Master'!$B$2:$B$378,'00_SKU_Master'!$F$2:$F$378,0)*K170/_xlfn.XLOOKUP($A170,'00_SKU_Master'!$B$2:$B$378,'00_SKU_Master'!$O:$O,0),"")</f>
        <v/>
      </c>
      <c r="T168" s="123">
        <f>SUM(N170:S170)</f>
        <v/>
      </c>
      <c r="U168" s="124">
        <f>'05_Daily_Orders'!L169</f>
        <v/>
      </c>
    </row>
    <row r="169">
      <c r="A169" s="118">
        <f>'05_Daily_Orders'!B170</f>
        <v/>
      </c>
      <c r="B169" s="50" t="n">
        <v>0</v>
      </c>
      <c r="C169" s="50" t="n">
        <v>0</v>
      </c>
      <c r="D169" s="119" t="n"/>
      <c r="E169" s="119" t="n"/>
      <c r="F169" t="n">
        <v>0</v>
      </c>
      <c r="L169" s="120">
        <f>IF($E$1="n",0,(SUM(F171:K171)-B171))</f>
        <v/>
      </c>
      <c r="M169" s="121">
        <f>_xludf.IFNA(_xlfn.XLOOKUP(A171,'00_SKU_Master'!$B$2:$B$378,'00_SKU_Master'!$C$2:$C$378,0),"")</f>
        <v/>
      </c>
      <c r="N169" s="122">
        <f>_xludf.IFNA(_xlfn.XLOOKUP(A171,'00_SKU_Master'!$B$2:$B$378,'00_SKU_Master'!$F$2:$F$378,0)*F171/_xlfn.XLOOKUP(A171,'00_SKU_Master'!$B$2:$B$378,'00_SKU_Master'!$O:$O,0),"")</f>
        <v/>
      </c>
      <c r="O169" s="122">
        <f>_xludf.IFNA(_xlfn.XLOOKUP($A171,'00_SKU_Master'!$B$2:$B$378,'00_SKU_Master'!$F$2:$F$378,0)*G171/_xlfn.XLOOKUP($A171,'00_SKU_Master'!$B$2:$B$378,'00_SKU_Master'!$O:$O,0),"")</f>
        <v/>
      </c>
      <c r="P169" s="122">
        <f>_xludf.IFNA(_xlfn.XLOOKUP($A171,'00_SKU_Master'!$B$2:$B$378,'00_SKU_Master'!$F$2:$F$378,0)*H171/_xlfn.XLOOKUP($A171,'00_SKU_Master'!$B$2:$B$378,'00_SKU_Master'!$O:$O,0),"")</f>
        <v/>
      </c>
      <c r="Q169" s="122">
        <f>_xludf.IFNA(_xlfn.XLOOKUP($A171,'00_SKU_Master'!$B$2:$B$378,'00_SKU_Master'!$F$2:$F$378,0)*I171/_xlfn.XLOOKUP($A171,'00_SKU_Master'!$B$2:$B$378,'00_SKU_Master'!$O:$O,0),"")</f>
        <v/>
      </c>
      <c r="R169" s="122">
        <f>_xludf.IFNA(_xlfn.XLOOKUP($A171,'00_SKU_Master'!$B$2:$B$378,'00_SKU_Master'!$F$2:$F$378,0)*J171/_xlfn.XLOOKUP($A171,'00_SKU_Master'!$B$2:$B$378,'00_SKU_Master'!$O:$O,0),"")</f>
        <v/>
      </c>
      <c r="S169" s="122">
        <f>_xludf.IFNA(_xlfn.XLOOKUP($A171,'00_SKU_Master'!$B$2:$B$378,'00_SKU_Master'!$F$2:$F$378,0)*K171/_xlfn.XLOOKUP($A171,'00_SKU_Master'!$B$2:$B$378,'00_SKU_Master'!$O:$O,0),"")</f>
        <v/>
      </c>
      <c r="T169" s="123">
        <f>SUM(N171:S171)</f>
        <v/>
      </c>
      <c r="U169" s="124">
        <f>'05_Daily_Orders'!L170</f>
        <v/>
      </c>
    </row>
    <row r="170">
      <c r="A170" s="118">
        <f>'05_Daily_Orders'!B171</f>
        <v/>
      </c>
      <c r="B170" s="50" t="n">
        <v>0</v>
      </c>
      <c r="C170" s="50" t="n">
        <v>0</v>
      </c>
      <c r="D170" s="119" t="n"/>
      <c r="E170" s="119" t="n"/>
      <c r="F170" t="n">
        <v>0</v>
      </c>
      <c r="L170" s="120">
        <f>IF($E$1="n",0,(SUM(F172:K172)-B172))</f>
        <v/>
      </c>
      <c r="M170" s="121">
        <f>_xludf.IFNA(_xlfn.XLOOKUP(A172,'00_SKU_Master'!$B$2:$B$378,'00_SKU_Master'!$C$2:$C$378,0),"")</f>
        <v/>
      </c>
      <c r="N170" s="122">
        <f>_xludf.IFNA(_xlfn.XLOOKUP(A172,'00_SKU_Master'!$B$2:$B$378,'00_SKU_Master'!$F$2:$F$378,0)*F172/_xlfn.XLOOKUP(A172,'00_SKU_Master'!$B$2:$B$378,'00_SKU_Master'!$O:$O,0),"")</f>
        <v/>
      </c>
      <c r="O170" s="122">
        <f>_xludf.IFNA(_xlfn.XLOOKUP($A172,'00_SKU_Master'!$B$2:$B$378,'00_SKU_Master'!$F$2:$F$378,0)*G172/_xlfn.XLOOKUP($A172,'00_SKU_Master'!$B$2:$B$378,'00_SKU_Master'!$O:$O,0),"")</f>
        <v/>
      </c>
      <c r="P170" s="122">
        <f>_xludf.IFNA(_xlfn.XLOOKUP($A172,'00_SKU_Master'!$B$2:$B$378,'00_SKU_Master'!$F$2:$F$378,0)*H172/_xlfn.XLOOKUP($A172,'00_SKU_Master'!$B$2:$B$378,'00_SKU_Master'!$O:$O,0),"")</f>
        <v/>
      </c>
      <c r="Q170" s="122">
        <f>_xludf.IFNA(_xlfn.XLOOKUP($A172,'00_SKU_Master'!$B$2:$B$378,'00_SKU_Master'!$F$2:$F$378,0)*I172/_xlfn.XLOOKUP($A172,'00_SKU_Master'!$B$2:$B$378,'00_SKU_Master'!$O:$O,0),"")</f>
        <v/>
      </c>
      <c r="R170" s="122">
        <f>_xludf.IFNA(_xlfn.XLOOKUP($A172,'00_SKU_Master'!$B$2:$B$378,'00_SKU_Master'!$F$2:$F$378,0)*J172/_xlfn.XLOOKUP($A172,'00_SKU_Master'!$B$2:$B$378,'00_SKU_Master'!$O:$O,0),"")</f>
        <v/>
      </c>
      <c r="S170" s="122">
        <f>_xludf.IFNA(_xlfn.XLOOKUP($A172,'00_SKU_Master'!$B$2:$B$378,'00_SKU_Master'!$F$2:$F$378,0)*K172/_xlfn.XLOOKUP($A172,'00_SKU_Master'!$B$2:$B$378,'00_SKU_Master'!$O:$O,0),"")</f>
        <v/>
      </c>
      <c r="T170" s="123">
        <f>SUM(N172:S172)</f>
        <v/>
      </c>
      <c r="U170" s="124">
        <f>'05_Daily_Orders'!L171</f>
        <v/>
      </c>
    </row>
    <row r="171">
      <c r="A171" s="118">
        <f>'05_Daily_Orders'!B172</f>
        <v/>
      </c>
      <c r="B171" s="50" t="n">
        <v>0</v>
      </c>
      <c r="C171" s="50" t="n">
        <v>0</v>
      </c>
      <c r="D171" s="119" t="n"/>
      <c r="E171" s="119" t="n"/>
      <c r="F171" t="n">
        <v>0</v>
      </c>
      <c r="L171" s="120">
        <f>IF($E$1="n",0,(SUM(F173:K173)-B173))</f>
        <v/>
      </c>
      <c r="M171" s="121">
        <f>_xludf.IFNA(_xlfn.XLOOKUP(A173,'00_SKU_Master'!$B$2:$B$378,'00_SKU_Master'!$C$2:$C$378,0),"")</f>
        <v/>
      </c>
      <c r="N171" s="122">
        <f>_xludf.IFNA(_xlfn.XLOOKUP(A173,'00_SKU_Master'!$B$2:$B$378,'00_SKU_Master'!$F$2:$F$378,0)*F173/_xlfn.XLOOKUP(A173,'00_SKU_Master'!$B$2:$B$378,'00_SKU_Master'!$O:$O,0),"")</f>
        <v/>
      </c>
      <c r="O171" s="122">
        <f>_xludf.IFNA(_xlfn.XLOOKUP($A173,'00_SKU_Master'!$B$2:$B$378,'00_SKU_Master'!$F$2:$F$378,0)*G173/_xlfn.XLOOKUP($A173,'00_SKU_Master'!$B$2:$B$378,'00_SKU_Master'!$O:$O,0),"")</f>
        <v/>
      </c>
      <c r="P171" s="122">
        <f>_xludf.IFNA(_xlfn.XLOOKUP($A173,'00_SKU_Master'!$B$2:$B$378,'00_SKU_Master'!$F$2:$F$378,0)*H173/_xlfn.XLOOKUP($A173,'00_SKU_Master'!$B$2:$B$378,'00_SKU_Master'!$O:$O,0),"")</f>
        <v/>
      </c>
      <c r="Q171" s="122">
        <f>_xludf.IFNA(_xlfn.XLOOKUP($A173,'00_SKU_Master'!$B$2:$B$378,'00_SKU_Master'!$F$2:$F$378,0)*I173/_xlfn.XLOOKUP($A173,'00_SKU_Master'!$B$2:$B$378,'00_SKU_Master'!$O:$O,0),"")</f>
        <v/>
      </c>
      <c r="R171" s="122">
        <f>_xludf.IFNA(_xlfn.XLOOKUP($A173,'00_SKU_Master'!$B$2:$B$378,'00_SKU_Master'!$F$2:$F$378,0)*J173/_xlfn.XLOOKUP($A173,'00_SKU_Master'!$B$2:$B$378,'00_SKU_Master'!$O:$O,0),"")</f>
        <v/>
      </c>
      <c r="S171" s="122">
        <f>_xludf.IFNA(_xlfn.XLOOKUP($A173,'00_SKU_Master'!$B$2:$B$378,'00_SKU_Master'!$F$2:$F$378,0)*K173/_xlfn.XLOOKUP($A173,'00_SKU_Master'!$B$2:$B$378,'00_SKU_Master'!$O:$O,0),"")</f>
        <v/>
      </c>
      <c r="T171" s="123">
        <f>SUM(N173:S173)</f>
        <v/>
      </c>
      <c r="U171" s="124">
        <f>'05_Daily_Orders'!L172</f>
        <v/>
      </c>
    </row>
    <row r="172">
      <c r="A172" s="118">
        <f>'05_Daily_Orders'!B173</f>
        <v/>
      </c>
      <c r="B172" s="50" t="n">
        <v>0</v>
      </c>
      <c r="C172" s="50" t="n">
        <v>0</v>
      </c>
      <c r="D172" s="119" t="n"/>
      <c r="E172" s="119" t="n"/>
      <c r="F172" t="n">
        <v>0</v>
      </c>
      <c r="L172" s="120">
        <f>IF($E$1="n",0,(SUM(F174:K174)-B174))</f>
        <v/>
      </c>
      <c r="M172" s="121">
        <f>_xludf.IFNA(_xlfn.XLOOKUP(A174,'00_SKU_Master'!$B$2:$B$378,'00_SKU_Master'!$C$2:$C$378,0),"")</f>
        <v/>
      </c>
      <c r="N172" s="122">
        <f>_xludf.IFNA(_xlfn.XLOOKUP(A174,'00_SKU_Master'!$B$2:$B$378,'00_SKU_Master'!$F$2:$F$378,0)*F174/_xlfn.XLOOKUP(A174,'00_SKU_Master'!$B$2:$B$378,'00_SKU_Master'!$O:$O,0),"")</f>
        <v/>
      </c>
      <c r="O172" s="122">
        <f>_xludf.IFNA(_xlfn.XLOOKUP($A174,'00_SKU_Master'!$B$2:$B$378,'00_SKU_Master'!$F$2:$F$378,0)*G174/_xlfn.XLOOKUP($A174,'00_SKU_Master'!$B$2:$B$378,'00_SKU_Master'!$O:$O,0),"")</f>
        <v/>
      </c>
      <c r="P172" s="122">
        <f>_xludf.IFNA(_xlfn.XLOOKUP($A174,'00_SKU_Master'!$B$2:$B$378,'00_SKU_Master'!$F$2:$F$378,0)*H174/_xlfn.XLOOKUP($A174,'00_SKU_Master'!$B$2:$B$378,'00_SKU_Master'!$O:$O,0),"")</f>
        <v/>
      </c>
      <c r="Q172" s="122">
        <f>_xludf.IFNA(_xlfn.XLOOKUP($A174,'00_SKU_Master'!$B$2:$B$378,'00_SKU_Master'!$F$2:$F$378,0)*I174/_xlfn.XLOOKUP($A174,'00_SKU_Master'!$B$2:$B$378,'00_SKU_Master'!$O:$O,0),"")</f>
        <v/>
      </c>
      <c r="R172" s="122">
        <f>_xludf.IFNA(_xlfn.XLOOKUP($A174,'00_SKU_Master'!$B$2:$B$378,'00_SKU_Master'!$F$2:$F$378,0)*J174/_xlfn.XLOOKUP($A174,'00_SKU_Master'!$B$2:$B$378,'00_SKU_Master'!$O:$O,0),"")</f>
        <v/>
      </c>
      <c r="S172" s="122">
        <f>_xludf.IFNA(_xlfn.XLOOKUP($A174,'00_SKU_Master'!$B$2:$B$378,'00_SKU_Master'!$F$2:$F$378,0)*K174/_xlfn.XLOOKUP($A174,'00_SKU_Master'!$B$2:$B$378,'00_SKU_Master'!$O:$O,0),"")</f>
        <v/>
      </c>
      <c r="T172" s="123">
        <f>SUM(N174:S174)</f>
        <v/>
      </c>
      <c r="U172" s="124">
        <f>'05_Daily_Orders'!L173</f>
        <v/>
      </c>
    </row>
    <row r="173">
      <c r="A173" s="118">
        <f>'05_Daily_Orders'!B174</f>
        <v/>
      </c>
      <c r="B173" s="50" t="n">
        <v>0</v>
      </c>
      <c r="C173" s="50" t="n">
        <v>0</v>
      </c>
      <c r="D173" s="119" t="n"/>
      <c r="E173" s="119" t="n"/>
      <c r="F173" t="n">
        <v>0</v>
      </c>
      <c r="L173" s="120">
        <f>IF($E$1="n",0,(SUM(F175:K175)-B175))</f>
        <v/>
      </c>
      <c r="M173" s="121">
        <f>_xludf.IFNA(_xlfn.XLOOKUP(A175,'00_SKU_Master'!$B$2:$B$378,'00_SKU_Master'!$C$2:$C$378,0),"")</f>
        <v/>
      </c>
      <c r="N173" s="122">
        <f>_xludf.IFNA(_xlfn.XLOOKUP(A175,'00_SKU_Master'!$B$2:$B$378,'00_SKU_Master'!$F$2:$F$378,0)*F175/_xlfn.XLOOKUP(A175,'00_SKU_Master'!$B$2:$B$378,'00_SKU_Master'!$O:$O,0),"")</f>
        <v/>
      </c>
      <c r="O173" s="122">
        <f>_xludf.IFNA(_xlfn.XLOOKUP($A175,'00_SKU_Master'!$B$2:$B$378,'00_SKU_Master'!$F$2:$F$378,0)*G175/_xlfn.XLOOKUP($A175,'00_SKU_Master'!$B$2:$B$378,'00_SKU_Master'!$O:$O,0),"")</f>
        <v/>
      </c>
      <c r="P173" s="122">
        <f>_xludf.IFNA(_xlfn.XLOOKUP($A175,'00_SKU_Master'!$B$2:$B$378,'00_SKU_Master'!$F$2:$F$378,0)*H175/_xlfn.XLOOKUP($A175,'00_SKU_Master'!$B$2:$B$378,'00_SKU_Master'!$O:$O,0),"")</f>
        <v/>
      </c>
      <c r="Q173" s="122">
        <f>_xludf.IFNA(_xlfn.XLOOKUP($A175,'00_SKU_Master'!$B$2:$B$378,'00_SKU_Master'!$F$2:$F$378,0)*I175/_xlfn.XLOOKUP($A175,'00_SKU_Master'!$B$2:$B$378,'00_SKU_Master'!$O:$O,0),"")</f>
        <v/>
      </c>
      <c r="R173" s="122">
        <f>_xludf.IFNA(_xlfn.XLOOKUP($A175,'00_SKU_Master'!$B$2:$B$378,'00_SKU_Master'!$F$2:$F$378,0)*J175/_xlfn.XLOOKUP($A175,'00_SKU_Master'!$B$2:$B$378,'00_SKU_Master'!$O:$O,0),"")</f>
        <v/>
      </c>
      <c r="S173" s="122">
        <f>_xludf.IFNA(_xlfn.XLOOKUP($A175,'00_SKU_Master'!$B$2:$B$378,'00_SKU_Master'!$F$2:$F$378,0)*K175/_xlfn.XLOOKUP($A175,'00_SKU_Master'!$B$2:$B$378,'00_SKU_Master'!$O:$O,0),"")</f>
        <v/>
      </c>
      <c r="T173" s="123">
        <f>SUM(N175:S175)</f>
        <v/>
      </c>
      <c r="U173" s="124">
        <f>'05_Daily_Orders'!L174</f>
        <v/>
      </c>
    </row>
    <row r="174">
      <c r="A174" s="118">
        <f>'05_Daily_Orders'!B175</f>
        <v/>
      </c>
      <c r="B174" s="50" t="n">
        <v>0</v>
      </c>
      <c r="C174" s="50" t="n">
        <v>0</v>
      </c>
      <c r="D174" s="119" t="n"/>
      <c r="E174" s="119" t="n"/>
      <c r="F174" t="n">
        <v>0</v>
      </c>
      <c r="L174" s="120">
        <f>IF($E$1="n",0,(SUM(F176:K176)-B176))</f>
        <v/>
      </c>
      <c r="M174" s="121">
        <f>_xludf.IFNA(_xlfn.XLOOKUP(A176,'00_SKU_Master'!$B$2:$B$378,'00_SKU_Master'!$C$2:$C$378,0),"")</f>
        <v/>
      </c>
      <c r="N174" s="122">
        <f>_xludf.IFNA(_xlfn.XLOOKUP(A176,'00_SKU_Master'!$B$2:$B$378,'00_SKU_Master'!$F$2:$F$378,0)*F176/_xlfn.XLOOKUP(A176,'00_SKU_Master'!$B$2:$B$378,'00_SKU_Master'!$O:$O,0),"")</f>
        <v/>
      </c>
      <c r="O174" s="122">
        <f>_xludf.IFNA(_xlfn.XLOOKUP($A176,'00_SKU_Master'!$B$2:$B$378,'00_SKU_Master'!$F$2:$F$378,0)*G176/_xlfn.XLOOKUP($A176,'00_SKU_Master'!$B$2:$B$378,'00_SKU_Master'!$O:$O,0),"")</f>
        <v/>
      </c>
      <c r="P174" s="122">
        <f>_xludf.IFNA(_xlfn.XLOOKUP($A176,'00_SKU_Master'!$B$2:$B$378,'00_SKU_Master'!$F$2:$F$378,0)*H176/_xlfn.XLOOKUP($A176,'00_SKU_Master'!$B$2:$B$378,'00_SKU_Master'!$O:$O,0),"")</f>
        <v/>
      </c>
      <c r="Q174" s="122">
        <f>_xludf.IFNA(_xlfn.XLOOKUP($A176,'00_SKU_Master'!$B$2:$B$378,'00_SKU_Master'!$F$2:$F$378,0)*I176/_xlfn.XLOOKUP($A176,'00_SKU_Master'!$B$2:$B$378,'00_SKU_Master'!$O:$O,0),"")</f>
        <v/>
      </c>
      <c r="R174" s="122">
        <f>_xludf.IFNA(_xlfn.XLOOKUP($A176,'00_SKU_Master'!$B$2:$B$378,'00_SKU_Master'!$F$2:$F$378,0)*J176/_xlfn.XLOOKUP($A176,'00_SKU_Master'!$B$2:$B$378,'00_SKU_Master'!$O:$O,0),"")</f>
        <v/>
      </c>
      <c r="S174" s="122">
        <f>_xludf.IFNA(_xlfn.XLOOKUP($A176,'00_SKU_Master'!$B$2:$B$378,'00_SKU_Master'!$F$2:$F$378,0)*K176/_xlfn.XLOOKUP($A176,'00_SKU_Master'!$B$2:$B$378,'00_SKU_Master'!$O:$O,0),"")</f>
        <v/>
      </c>
      <c r="T174" s="123">
        <f>SUM(N176:S176)</f>
        <v/>
      </c>
      <c r="U174" s="124">
        <f>'05_Daily_Orders'!L175</f>
        <v/>
      </c>
    </row>
    <row r="175">
      <c r="A175" s="118">
        <f>'05_Daily_Orders'!B176</f>
        <v/>
      </c>
      <c r="B175" s="50" t="n">
        <v>0</v>
      </c>
      <c r="C175" s="50" t="n">
        <v>0</v>
      </c>
      <c r="D175" s="119" t="n"/>
      <c r="E175" s="119" t="n"/>
      <c r="F175" t="n">
        <v>0</v>
      </c>
      <c r="L175" s="120">
        <f>IF($E$1="n",0,(SUM(F177:K177)-B177))</f>
        <v/>
      </c>
      <c r="M175" s="121">
        <f>_xludf.IFNA(_xlfn.XLOOKUP(A177,'00_SKU_Master'!$B$2:$B$378,'00_SKU_Master'!$C$2:$C$378,0),"")</f>
        <v/>
      </c>
      <c r="N175" s="122">
        <f>_xludf.IFNA(_xlfn.XLOOKUP(A177,'00_SKU_Master'!$B$2:$B$378,'00_SKU_Master'!$F$2:$F$378,0)*F177/_xlfn.XLOOKUP(A177,'00_SKU_Master'!$B$2:$B$378,'00_SKU_Master'!$O:$O,0),"")</f>
        <v/>
      </c>
      <c r="O175" s="122">
        <f>_xludf.IFNA(_xlfn.XLOOKUP($A177,'00_SKU_Master'!$B$2:$B$378,'00_SKU_Master'!$F$2:$F$378,0)*G177/_xlfn.XLOOKUP($A177,'00_SKU_Master'!$B$2:$B$378,'00_SKU_Master'!$O:$O,0),"")</f>
        <v/>
      </c>
      <c r="P175" s="122">
        <f>_xludf.IFNA(_xlfn.XLOOKUP($A177,'00_SKU_Master'!$B$2:$B$378,'00_SKU_Master'!$F$2:$F$378,0)*H177/_xlfn.XLOOKUP($A177,'00_SKU_Master'!$B$2:$B$378,'00_SKU_Master'!$O:$O,0),"")</f>
        <v/>
      </c>
      <c r="Q175" s="122">
        <f>_xludf.IFNA(_xlfn.XLOOKUP($A177,'00_SKU_Master'!$B$2:$B$378,'00_SKU_Master'!$F$2:$F$378,0)*I177/_xlfn.XLOOKUP($A177,'00_SKU_Master'!$B$2:$B$378,'00_SKU_Master'!$O:$O,0),"")</f>
        <v/>
      </c>
      <c r="R175" s="122">
        <f>_xludf.IFNA(_xlfn.XLOOKUP($A177,'00_SKU_Master'!$B$2:$B$378,'00_SKU_Master'!$F$2:$F$378,0)*J177/_xlfn.XLOOKUP($A177,'00_SKU_Master'!$B$2:$B$378,'00_SKU_Master'!$O:$O,0),"")</f>
        <v/>
      </c>
      <c r="S175" s="122">
        <f>_xludf.IFNA(_xlfn.XLOOKUP($A177,'00_SKU_Master'!$B$2:$B$378,'00_SKU_Master'!$F$2:$F$378,0)*K177/_xlfn.XLOOKUP($A177,'00_SKU_Master'!$B$2:$B$378,'00_SKU_Master'!$O:$O,0),"")</f>
        <v/>
      </c>
      <c r="T175" s="123">
        <f>SUM(N177:S177)</f>
        <v/>
      </c>
      <c r="U175" s="124">
        <f>'05_Daily_Orders'!L176</f>
        <v/>
      </c>
    </row>
    <row r="176">
      <c r="A176" s="118">
        <f>'05_Daily_Orders'!B177</f>
        <v/>
      </c>
      <c r="B176" s="50" t="n">
        <v>0</v>
      </c>
      <c r="C176" s="50" t="n">
        <v>0</v>
      </c>
      <c r="D176" s="119" t="n"/>
      <c r="E176" s="119" t="n"/>
      <c r="F176" t="n">
        <v>0</v>
      </c>
      <c r="L176" s="120">
        <f>IF($E$1="n",0,(SUM(F178:K178)-B178))</f>
        <v/>
      </c>
      <c r="M176" s="121">
        <f>_xludf.IFNA(_xlfn.XLOOKUP(A178,'00_SKU_Master'!$B$2:$B$378,'00_SKU_Master'!$C$2:$C$378,0),"")</f>
        <v/>
      </c>
      <c r="N176" s="122">
        <f>_xludf.IFNA(_xlfn.XLOOKUP(A178,'00_SKU_Master'!$B$2:$B$378,'00_SKU_Master'!$F$2:$F$378,0)*F178/_xlfn.XLOOKUP(A178,'00_SKU_Master'!$B$2:$B$378,'00_SKU_Master'!$O:$O,0),"")</f>
        <v/>
      </c>
      <c r="O176" s="122">
        <f>_xludf.IFNA(_xlfn.XLOOKUP($A178,'00_SKU_Master'!$B$2:$B$378,'00_SKU_Master'!$F$2:$F$378,0)*G178/_xlfn.XLOOKUP($A178,'00_SKU_Master'!$B$2:$B$378,'00_SKU_Master'!$O:$O,0),"")</f>
        <v/>
      </c>
      <c r="P176" s="122">
        <f>_xludf.IFNA(_xlfn.XLOOKUP($A178,'00_SKU_Master'!$B$2:$B$378,'00_SKU_Master'!$F$2:$F$378,0)*H178/_xlfn.XLOOKUP($A178,'00_SKU_Master'!$B$2:$B$378,'00_SKU_Master'!$O:$O,0),"")</f>
        <v/>
      </c>
      <c r="Q176" s="122">
        <f>_xludf.IFNA(_xlfn.XLOOKUP($A178,'00_SKU_Master'!$B$2:$B$378,'00_SKU_Master'!$F$2:$F$378,0)*I178/_xlfn.XLOOKUP($A178,'00_SKU_Master'!$B$2:$B$378,'00_SKU_Master'!$O:$O,0),"")</f>
        <v/>
      </c>
      <c r="R176" s="122">
        <f>_xludf.IFNA(_xlfn.XLOOKUP($A178,'00_SKU_Master'!$B$2:$B$378,'00_SKU_Master'!$F$2:$F$378,0)*J178/_xlfn.XLOOKUP($A178,'00_SKU_Master'!$B$2:$B$378,'00_SKU_Master'!$O:$O,0),"")</f>
        <v/>
      </c>
      <c r="S176" s="122">
        <f>_xludf.IFNA(_xlfn.XLOOKUP($A178,'00_SKU_Master'!$B$2:$B$378,'00_SKU_Master'!$F$2:$F$378,0)*K178/_xlfn.XLOOKUP($A178,'00_SKU_Master'!$B$2:$B$378,'00_SKU_Master'!$O:$O,0),"")</f>
        <v/>
      </c>
      <c r="T176" s="123">
        <f>SUM(N178:S178)</f>
        <v/>
      </c>
      <c r="U176" s="124">
        <f>'05_Daily_Orders'!L177</f>
        <v/>
      </c>
    </row>
    <row r="177">
      <c r="A177" s="118">
        <f>'05_Daily_Orders'!B178</f>
        <v/>
      </c>
      <c r="B177" s="50" t="n">
        <v>0</v>
      </c>
      <c r="C177" s="50" t="n">
        <v>0</v>
      </c>
      <c r="D177" s="119" t="n"/>
      <c r="E177" s="119" t="n"/>
      <c r="F177" t="n">
        <v>0</v>
      </c>
      <c r="L177" s="120">
        <f>IF($E$1="n",0,(SUM(F179:K179)-B179))</f>
        <v/>
      </c>
      <c r="M177" s="121">
        <f>_xludf.IFNA(_xlfn.XLOOKUP(A179,'00_SKU_Master'!$B$2:$B$378,'00_SKU_Master'!$C$2:$C$378,0),"")</f>
        <v/>
      </c>
      <c r="N177" s="122">
        <f>_xludf.IFNA(_xlfn.XLOOKUP(A179,'00_SKU_Master'!$B$2:$B$378,'00_SKU_Master'!$F$2:$F$378,0)*F179/_xlfn.XLOOKUP(A179,'00_SKU_Master'!$B$2:$B$378,'00_SKU_Master'!$O:$O,0),"")</f>
        <v/>
      </c>
      <c r="O177" s="122">
        <f>_xludf.IFNA(_xlfn.XLOOKUP($A179,'00_SKU_Master'!$B$2:$B$378,'00_SKU_Master'!$F$2:$F$378,0)*G179/_xlfn.XLOOKUP($A179,'00_SKU_Master'!$B$2:$B$378,'00_SKU_Master'!$O:$O,0),"")</f>
        <v/>
      </c>
      <c r="P177" s="122">
        <f>_xludf.IFNA(_xlfn.XLOOKUP($A179,'00_SKU_Master'!$B$2:$B$378,'00_SKU_Master'!$F$2:$F$378,0)*H179/_xlfn.XLOOKUP($A179,'00_SKU_Master'!$B$2:$B$378,'00_SKU_Master'!$O:$O,0),"")</f>
        <v/>
      </c>
      <c r="Q177" s="122">
        <f>_xludf.IFNA(_xlfn.XLOOKUP($A179,'00_SKU_Master'!$B$2:$B$378,'00_SKU_Master'!$F$2:$F$378,0)*I179/_xlfn.XLOOKUP($A179,'00_SKU_Master'!$B$2:$B$378,'00_SKU_Master'!$O:$O,0),"")</f>
        <v/>
      </c>
      <c r="R177" s="122">
        <f>_xludf.IFNA(_xlfn.XLOOKUP($A179,'00_SKU_Master'!$B$2:$B$378,'00_SKU_Master'!$F$2:$F$378,0)*J179/_xlfn.XLOOKUP($A179,'00_SKU_Master'!$B$2:$B$378,'00_SKU_Master'!$O:$O,0),"")</f>
        <v/>
      </c>
      <c r="S177" s="122">
        <f>_xludf.IFNA(_xlfn.XLOOKUP($A179,'00_SKU_Master'!$B$2:$B$378,'00_SKU_Master'!$F$2:$F$378,0)*K179/_xlfn.XLOOKUP($A179,'00_SKU_Master'!$B$2:$B$378,'00_SKU_Master'!$O:$O,0),"")</f>
        <v/>
      </c>
      <c r="T177" s="123">
        <f>SUM(N179:S179)</f>
        <v/>
      </c>
      <c r="U177" s="124">
        <f>'05_Daily_Orders'!L178</f>
        <v/>
      </c>
    </row>
    <row r="178">
      <c r="A178" s="118">
        <f>'05_Daily_Orders'!B179</f>
        <v/>
      </c>
      <c r="B178" s="50" t="n">
        <v>0</v>
      </c>
      <c r="C178" s="50" t="n">
        <v>0</v>
      </c>
      <c r="D178" s="119" t="n"/>
      <c r="E178" s="119" t="n"/>
      <c r="F178" t="n">
        <v>0</v>
      </c>
      <c r="L178" s="120">
        <f>IF($E$1="n",0,(SUM(F180:K180)-B180))</f>
        <v/>
      </c>
      <c r="M178" s="121">
        <f>_xludf.IFNA(_xlfn.XLOOKUP(A180,'00_SKU_Master'!$B$2:$B$378,'00_SKU_Master'!$C$2:$C$378,0),"")</f>
        <v/>
      </c>
      <c r="N178" s="122">
        <f>_xludf.IFNA(_xlfn.XLOOKUP(A180,'00_SKU_Master'!$B$2:$B$378,'00_SKU_Master'!$F$2:$F$378,0)*F180/_xlfn.XLOOKUP(A180,'00_SKU_Master'!$B$2:$B$378,'00_SKU_Master'!$O:$O,0),"")</f>
        <v/>
      </c>
      <c r="O178" s="122">
        <f>_xludf.IFNA(_xlfn.XLOOKUP($A180,'00_SKU_Master'!$B$2:$B$378,'00_SKU_Master'!$F$2:$F$378,0)*G180/_xlfn.XLOOKUP($A180,'00_SKU_Master'!$B$2:$B$378,'00_SKU_Master'!$O:$O,0),"")</f>
        <v/>
      </c>
      <c r="P178" s="122">
        <f>_xludf.IFNA(_xlfn.XLOOKUP($A180,'00_SKU_Master'!$B$2:$B$378,'00_SKU_Master'!$F$2:$F$378,0)*H180/_xlfn.XLOOKUP($A180,'00_SKU_Master'!$B$2:$B$378,'00_SKU_Master'!$O:$O,0),"")</f>
        <v/>
      </c>
      <c r="Q178" s="122">
        <f>_xludf.IFNA(_xlfn.XLOOKUP($A180,'00_SKU_Master'!$B$2:$B$378,'00_SKU_Master'!$F$2:$F$378,0)*I180/_xlfn.XLOOKUP($A180,'00_SKU_Master'!$B$2:$B$378,'00_SKU_Master'!$O:$O,0),"")</f>
        <v/>
      </c>
      <c r="R178" s="122">
        <f>_xludf.IFNA(_xlfn.XLOOKUP($A180,'00_SKU_Master'!$B$2:$B$378,'00_SKU_Master'!$F$2:$F$378,0)*J180/_xlfn.XLOOKUP($A180,'00_SKU_Master'!$B$2:$B$378,'00_SKU_Master'!$O:$O,0),"")</f>
        <v/>
      </c>
      <c r="S178" s="122">
        <f>_xludf.IFNA(_xlfn.XLOOKUP($A180,'00_SKU_Master'!$B$2:$B$378,'00_SKU_Master'!$F$2:$F$378,0)*K180/_xlfn.XLOOKUP($A180,'00_SKU_Master'!$B$2:$B$378,'00_SKU_Master'!$O:$O,0),"")</f>
        <v/>
      </c>
      <c r="T178" s="123">
        <f>SUM(N180:S180)</f>
        <v/>
      </c>
      <c r="U178" s="124">
        <f>'05_Daily_Orders'!L179</f>
        <v/>
      </c>
    </row>
    <row r="179">
      <c r="A179" s="118">
        <f>'05_Daily_Orders'!B180</f>
        <v/>
      </c>
      <c r="B179" s="50" t="n">
        <v>0</v>
      </c>
      <c r="C179" s="50" t="n">
        <v>0</v>
      </c>
      <c r="D179" s="119" t="n"/>
      <c r="E179" s="119" t="n"/>
      <c r="F179" t="n">
        <v>0</v>
      </c>
      <c r="L179" s="120">
        <f>IF($E$1="n",0,(SUM(F181:K181)-B181))</f>
        <v/>
      </c>
      <c r="M179" s="121">
        <f>_xludf.IFNA(_xlfn.XLOOKUP(A181,'00_SKU_Master'!$B$2:$B$378,'00_SKU_Master'!$C$2:$C$378,0),"")</f>
        <v/>
      </c>
      <c r="N179" s="122">
        <f>_xludf.IFNA(_xlfn.XLOOKUP(A181,'00_SKU_Master'!$B$2:$B$378,'00_SKU_Master'!$F$2:$F$378,0)*F181/_xlfn.XLOOKUP(A181,'00_SKU_Master'!$B$2:$B$378,'00_SKU_Master'!$O:$O,0),"")</f>
        <v/>
      </c>
      <c r="O179" s="122">
        <f>_xludf.IFNA(_xlfn.XLOOKUP($A181,'00_SKU_Master'!$B$2:$B$378,'00_SKU_Master'!$F$2:$F$378,0)*G181/_xlfn.XLOOKUP($A181,'00_SKU_Master'!$B$2:$B$378,'00_SKU_Master'!$O:$O,0),"")</f>
        <v/>
      </c>
      <c r="P179" s="122">
        <f>_xludf.IFNA(_xlfn.XLOOKUP($A181,'00_SKU_Master'!$B$2:$B$378,'00_SKU_Master'!$F$2:$F$378,0)*H181/_xlfn.XLOOKUP($A181,'00_SKU_Master'!$B$2:$B$378,'00_SKU_Master'!$O:$O,0),"")</f>
        <v/>
      </c>
      <c r="Q179" s="122">
        <f>_xludf.IFNA(_xlfn.XLOOKUP($A181,'00_SKU_Master'!$B$2:$B$378,'00_SKU_Master'!$F$2:$F$378,0)*I181/_xlfn.XLOOKUP($A181,'00_SKU_Master'!$B$2:$B$378,'00_SKU_Master'!$O:$O,0),"")</f>
        <v/>
      </c>
      <c r="R179" s="122">
        <f>_xludf.IFNA(_xlfn.XLOOKUP($A181,'00_SKU_Master'!$B$2:$B$378,'00_SKU_Master'!$F$2:$F$378,0)*J181/_xlfn.XLOOKUP($A181,'00_SKU_Master'!$B$2:$B$378,'00_SKU_Master'!$O:$O,0),"")</f>
        <v/>
      </c>
      <c r="S179" s="122">
        <f>_xludf.IFNA(_xlfn.XLOOKUP($A181,'00_SKU_Master'!$B$2:$B$378,'00_SKU_Master'!$F$2:$F$378,0)*K181/_xlfn.XLOOKUP($A181,'00_SKU_Master'!$B$2:$B$378,'00_SKU_Master'!$O:$O,0),"")</f>
        <v/>
      </c>
      <c r="T179" s="123">
        <f>SUM(N181:S181)</f>
        <v/>
      </c>
      <c r="U179" s="124">
        <f>'05_Daily_Orders'!L180</f>
        <v/>
      </c>
    </row>
    <row r="180">
      <c r="A180" s="118">
        <f>'05_Daily_Orders'!B181</f>
        <v/>
      </c>
      <c r="B180" s="50" t="n">
        <v>0</v>
      </c>
      <c r="C180" s="50" t="n">
        <v>0</v>
      </c>
      <c r="D180" s="119" t="n"/>
      <c r="E180" s="119" t="n"/>
      <c r="F180" t="n">
        <v>0</v>
      </c>
      <c r="L180" s="120">
        <f>IF($E$1="n",0,(SUM(F182:K182)-B182))</f>
        <v/>
      </c>
      <c r="M180" s="121">
        <f>_xludf.IFNA(_xlfn.XLOOKUP(A182,'00_SKU_Master'!$B$2:$B$378,'00_SKU_Master'!$C$2:$C$378,0),"")</f>
        <v/>
      </c>
      <c r="N180" s="122">
        <f>_xludf.IFNA(_xlfn.XLOOKUP(A182,'00_SKU_Master'!$B$2:$B$378,'00_SKU_Master'!$F$2:$F$378,0)*F182/_xlfn.XLOOKUP(A182,'00_SKU_Master'!$B$2:$B$378,'00_SKU_Master'!$O:$O,0),"")</f>
        <v/>
      </c>
      <c r="O180" s="122">
        <f>_xludf.IFNA(_xlfn.XLOOKUP($A182,'00_SKU_Master'!$B$2:$B$378,'00_SKU_Master'!$F$2:$F$378,0)*G182/_xlfn.XLOOKUP($A182,'00_SKU_Master'!$B$2:$B$378,'00_SKU_Master'!$O:$O,0),"")</f>
        <v/>
      </c>
      <c r="P180" s="122">
        <f>_xludf.IFNA(_xlfn.XLOOKUP($A182,'00_SKU_Master'!$B$2:$B$378,'00_SKU_Master'!$F$2:$F$378,0)*H182/_xlfn.XLOOKUP($A182,'00_SKU_Master'!$B$2:$B$378,'00_SKU_Master'!$O:$O,0),"")</f>
        <v/>
      </c>
      <c r="Q180" s="122">
        <f>_xludf.IFNA(_xlfn.XLOOKUP($A182,'00_SKU_Master'!$B$2:$B$378,'00_SKU_Master'!$F$2:$F$378,0)*I182/_xlfn.XLOOKUP($A182,'00_SKU_Master'!$B$2:$B$378,'00_SKU_Master'!$O:$O,0),"")</f>
        <v/>
      </c>
      <c r="R180" s="122">
        <f>_xludf.IFNA(_xlfn.XLOOKUP($A182,'00_SKU_Master'!$B$2:$B$378,'00_SKU_Master'!$F$2:$F$378,0)*J182/_xlfn.XLOOKUP($A182,'00_SKU_Master'!$B$2:$B$378,'00_SKU_Master'!$O:$O,0),"")</f>
        <v/>
      </c>
      <c r="S180" s="122">
        <f>_xludf.IFNA(_xlfn.XLOOKUP($A182,'00_SKU_Master'!$B$2:$B$378,'00_SKU_Master'!$F$2:$F$378,0)*K182/_xlfn.XLOOKUP($A182,'00_SKU_Master'!$B$2:$B$378,'00_SKU_Master'!$O:$O,0),"")</f>
        <v/>
      </c>
      <c r="T180" s="123">
        <f>SUM(N182:S182)</f>
        <v/>
      </c>
      <c r="U180" s="124">
        <f>'05_Daily_Orders'!L181</f>
        <v/>
      </c>
    </row>
    <row r="181">
      <c r="A181" s="118">
        <f>'05_Daily_Orders'!B182</f>
        <v/>
      </c>
      <c r="B181" s="50" t="n">
        <v>0</v>
      </c>
      <c r="C181" s="50" t="n">
        <v>0</v>
      </c>
      <c r="D181" s="119" t="n"/>
      <c r="E181" s="119" t="n"/>
      <c r="F181" t="n">
        <v>0</v>
      </c>
      <c r="L181" s="120">
        <f>IF($E$1="n",0,(SUM(F183:K183)-B183))</f>
        <v/>
      </c>
      <c r="M181" s="121">
        <f>_xludf.IFNA(_xlfn.XLOOKUP(A183,'00_SKU_Master'!$B$2:$B$378,'00_SKU_Master'!$C$2:$C$378,0),"")</f>
        <v/>
      </c>
      <c r="N181" s="122">
        <f>_xludf.IFNA(_xlfn.XLOOKUP(A183,'00_SKU_Master'!$B$2:$B$378,'00_SKU_Master'!$F$2:$F$378,0)*F183/_xlfn.XLOOKUP(A183,'00_SKU_Master'!$B$2:$B$378,'00_SKU_Master'!$O:$O,0),"")</f>
        <v/>
      </c>
      <c r="O181" s="122">
        <f>_xludf.IFNA(_xlfn.XLOOKUP($A183,'00_SKU_Master'!$B$2:$B$378,'00_SKU_Master'!$F$2:$F$378,0)*G183/_xlfn.XLOOKUP($A183,'00_SKU_Master'!$B$2:$B$378,'00_SKU_Master'!$O:$O,0),"")</f>
        <v/>
      </c>
      <c r="P181" s="122">
        <f>_xludf.IFNA(_xlfn.XLOOKUP($A183,'00_SKU_Master'!$B$2:$B$378,'00_SKU_Master'!$F$2:$F$378,0)*H183/_xlfn.XLOOKUP($A183,'00_SKU_Master'!$B$2:$B$378,'00_SKU_Master'!$O:$O,0),"")</f>
        <v/>
      </c>
      <c r="Q181" s="122">
        <f>_xludf.IFNA(_xlfn.XLOOKUP($A183,'00_SKU_Master'!$B$2:$B$378,'00_SKU_Master'!$F$2:$F$378,0)*I183/_xlfn.XLOOKUP($A183,'00_SKU_Master'!$B$2:$B$378,'00_SKU_Master'!$O:$O,0),"")</f>
        <v/>
      </c>
      <c r="R181" s="122">
        <f>_xludf.IFNA(_xlfn.XLOOKUP($A183,'00_SKU_Master'!$B$2:$B$378,'00_SKU_Master'!$F$2:$F$378,0)*J183/_xlfn.XLOOKUP($A183,'00_SKU_Master'!$B$2:$B$378,'00_SKU_Master'!$O:$O,0),"")</f>
        <v/>
      </c>
      <c r="S181" s="122">
        <f>_xludf.IFNA(_xlfn.XLOOKUP($A183,'00_SKU_Master'!$B$2:$B$378,'00_SKU_Master'!$F$2:$F$378,0)*K183/_xlfn.XLOOKUP($A183,'00_SKU_Master'!$B$2:$B$378,'00_SKU_Master'!$O:$O,0),"")</f>
        <v/>
      </c>
      <c r="T181" s="123">
        <f>SUM(N183:S183)</f>
        <v/>
      </c>
      <c r="U181" s="124">
        <f>'05_Daily_Orders'!L182</f>
        <v/>
      </c>
    </row>
    <row r="182">
      <c r="A182" s="118">
        <f>'05_Daily_Orders'!B183</f>
        <v/>
      </c>
      <c r="B182" s="50" t="n">
        <v>0</v>
      </c>
      <c r="C182" s="50" t="n">
        <v>0</v>
      </c>
      <c r="D182" s="119" t="n"/>
      <c r="E182" s="119" t="n"/>
      <c r="F182" t="n">
        <v>0</v>
      </c>
      <c r="L182" s="120">
        <f>IF($E$1="n",0,(SUM(F184:K184)-B184))</f>
        <v/>
      </c>
      <c r="M182" s="121">
        <f>_xludf.IFNA(_xlfn.XLOOKUP(A184,'00_SKU_Master'!$B$2:$B$378,'00_SKU_Master'!$C$2:$C$378,0),"")</f>
        <v/>
      </c>
      <c r="N182" s="122">
        <f>_xludf.IFNA(_xlfn.XLOOKUP(A184,'00_SKU_Master'!$B$2:$B$378,'00_SKU_Master'!$F$2:$F$378,0)*F184/_xlfn.XLOOKUP(A184,'00_SKU_Master'!$B$2:$B$378,'00_SKU_Master'!$O:$O,0),"")</f>
        <v/>
      </c>
      <c r="O182" s="122">
        <f>_xludf.IFNA(_xlfn.XLOOKUP($A184,'00_SKU_Master'!$B$2:$B$378,'00_SKU_Master'!$F$2:$F$378,0)*G184/_xlfn.XLOOKUP($A184,'00_SKU_Master'!$B$2:$B$378,'00_SKU_Master'!$O:$O,0),"")</f>
        <v/>
      </c>
      <c r="P182" s="122">
        <f>_xludf.IFNA(_xlfn.XLOOKUP($A184,'00_SKU_Master'!$B$2:$B$378,'00_SKU_Master'!$F$2:$F$378,0)*H184/_xlfn.XLOOKUP($A184,'00_SKU_Master'!$B$2:$B$378,'00_SKU_Master'!$O:$O,0),"")</f>
        <v/>
      </c>
      <c r="Q182" s="122">
        <f>_xludf.IFNA(_xlfn.XLOOKUP($A184,'00_SKU_Master'!$B$2:$B$378,'00_SKU_Master'!$F$2:$F$378,0)*I184/_xlfn.XLOOKUP($A184,'00_SKU_Master'!$B$2:$B$378,'00_SKU_Master'!$O:$O,0),"")</f>
        <v/>
      </c>
      <c r="R182" s="122">
        <f>_xludf.IFNA(_xlfn.XLOOKUP($A184,'00_SKU_Master'!$B$2:$B$378,'00_SKU_Master'!$F$2:$F$378,0)*J184/_xlfn.XLOOKUP($A184,'00_SKU_Master'!$B$2:$B$378,'00_SKU_Master'!$O:$O,0),"")</f>
        <v/>
      </c>
      <c r="S182" s="122">
        <f>_xludf.IFNA(_xlfn.XLOOKUP($A184,'00_SKU_Master'!$B$2:$B$378,'00_SKU_Master'!$F$2:$F$378,0)*K184/_xlfn.XLOOKUP($A184,'00_SKU_Master'!$B$2:$B$378,'00_SKU_Master'!$O:$O,0),"")</f>
        <v/>
      </c>
      <c r="T182" s="123">
        <f>SUM(N184:S184)</f>
        <v/>
      </c>
      <c r="U182" s="124">
        <f>'05_Daily_Orders'!L183</f>
        <v/>
      </c>
    </row>
    <row r="183">
      <c r="A183" s="118">
        <f>'05_Daily_Orders'!B184</f>
        <v/>
      </c>
      <c r="B183" s="50" t="n">
        <v>0</v>
      </c>
      <c r="C183" s="50" t="n">
        <v>0</v>
      </c>
      <c r="D183" s="119" t="n"/>
      <c r="E183" s="119" t="n"/>
      <c r="F183" t="n">
        <v>0</v>
      </c>
      <c r="L183" s="120">
        <f>IF($E$1="n",0,(SUM(F185:K185)-B185))</f>
        <v/>
      </c>
      <c r="M183" s="121">
        <f>_xludf.IFNA(_xlfn.XLOOKUP(A185,'00_SKU_Master'!$B$2:$B$378,'00_SKU_Master'!$C$2:$C$378,0),"")</f>
        <v/>
      </c>
      <c r="N183" s="122">
        <f>_xludf.IFNA(_xlfn.XLOOKUP(A185,'00_SKU_Master'!$B$2:$B$378,'00_SKU_Master'!$F$2:$F$378,0)*F185/_xlfn.XLOOKUP(A185,'00_SKU_Master'!$B$2:$B$378,'00_SKU_Master'!$O:$O,0),"")</f>
        <v/>
      </c>
      <c r="O183" s="122">
        <f>_xludf.IFNA(_xlfn.XLOOKUP($A185,'00_SKU_Master'!$B$2:$B$378,'00_SKU_Master'!$F$2:$F$378,0)*G185/_xlfn.XLOOKUP($A185,'00_SKU_Master'!$B$2:$B$378,'00_SKU_Master'!$O:$O,0),"")</f>
        <v/>
      </c>
      <c r="P183" s="122">
        <f>_xludf.IFNA(_xlfn.XLOOKUP($A185,'00_SKU_Master'!$B$2:$B$378,'00_SKU_Master'!$F$2:$F$378,0)*H185/_xlfn.XLOOKUP($A185,'00_SKU_Master'!$B$2:$B$378,'00_SKU_Master'!$O:$O,0),"")</f>
        <v/>
      </c>
      <c r="Q183" s="122">
        <f>_xludf.IFNA(_xlfn.XLOOKUP($A185,'00_SKU_Master'!$B$2:$B$378,'00_SKU_Master'!$F$2:$F$378,0)*I185/_xlfn.XLOOKUP($A185,'00_SKU_Master'!$B$2:$B$378,'00_SKU_Master'!$O:$O,0),"")</f>
        <v/>
      </c>
      <c r="R183" s="122">
        <f>_xludf.IFNA(_xlfn.XLOOKUP($A185,'00_SKU_Master'!$B$2:$B$378,'00_SKU_Master'!$F$2:$F$378,0)*J185/_xlfn.XLOOKUP($A185,'00_SKU_Master'!$B$2:$B$378,'00_SKU_Master'!$O:$O,0),"")</f>
        <v/>
      </c>
      <c r="S183" s="122">
        <f>_xludf.IFNA(_xlfn.XLOOKUP($A185,'00_SKU_Master'!$B$2:$B$378,'00_SKU_Master'!$F$2:$F$378,0)*K185/_xlfn.XLOOKUP($A185,'00_SKU_Master'!$B$2:$B$378,'00_SKU_Master'!$O:$O,0),"")</f>
        <v/>
      </c>
      <c r="T183" s="123">
        <f>SUM(N185:S185)</f>
        <v/>
      </c>
      <c r="U183" s="124">
        <f>'05_Daily_Orders'!L184</f>
        <v/>
      </c>
    </row>
    <row r="184">
      <c r="A184" s="118">
        <f>'05_Daily_Orders'!B185</f>
        <v/>
      </c>
      <c r="B184" s="50" t="n">
        <v>0</v>
      </c>
      <c r="C184" s="50" t="n">
        <v>0</v>
      </c>
      <c r="D184" s="119" t="n"/>
      <c r="E184" s="119" t="n"/>
      <c r="F184" t="n">
        <v>0</v>
      </c>
      <c r="L184" s="120">
        <f>IF($E$1="n",0,(SUM(F186:K186)-B186))</f>
        <v/>
      </c>
      <c r="M184" s="121">
        <f>_xludf.IFNA(_xlfn.XLOOKUP(A186,'00_SKU_Master'!$B$2:$B$378,'00_SKU_Master'!$C$2:$C$378,0),"")</f>
        <v/>
      </c>
      <c r="N184" s="122">
        <f>_xludf.IFNA(_xlfn.XLOOKUP(A186,'00_SKU_Master'!$B$2:$B$378,'00_SKU_Master'!$F$2:$F$378,0)*F186/_xlfn.XLOOKUP(A186,'00_SKU_Master'!$B$2:$B$378,'00_SKU_Master'!$O:$O,0),"")</f>
        <v/>
      </c>
      <c r="O184" s="122">
        <f>_xludf.IFNA(_xlfn.XLOOKUP($A186,'00_SKU_Master'!$B$2:$B$378,'00_SKU_Master'!$F$2:$F$378,0)*G186/_xlfn.XLOOKUP($A186,'00_SKU_Master'!$B$2:$B$378,'00_SKU_Master'!$O:$O,0),"")</f>
        <v/>
      </c>
      <c r="P184" s="122">
        <f>_xludf.IFNA(_xlfn.XLOOKUP($A186,'00_SKU_Master'!$B$2:$B$378,'00_SKU_Master'!$F$2:$F$378,0)*H186/_xlfn.XLOOKUP($A186,'00_SKU_Master'!$B$2:$B$378,'00_SKU_Master'!$O:$O,0),"")</f>
        <v/>
      </c>
      <c r="Q184" s="122">
        <f>_xludf.IFNA(_xlfn.XLOOKUP($A186,'00_SKU_Master'!$B$2:$B$378,'00_SKU_Master'!$F$2:$F$378,0)*I186/_xlfn.XLOOKUP($A186,'00_SKU_Master'!$B$2:$B$378,'00_SKU_Master'!$O:$O,0),"")</f>
        <v/>
      </c>
      <c r="R184" s="122">
        <f>_xludf.IFNA(_xlfn.XLOOKUP($A186,'00_SKU_Master'!$B$2:$B$378,'00_SKU_Master'!$F$2:$F$378,0)*J186/_xlfn.XLOOKUP($A186,'00_SKU_Master'!$B$2:$B$378,'00_SKU_Master'!$O:$O,0),"")</f>
        <v/>
      </c>
      <c r="S184" s="122">
        <f>_xludf.IFNA(_xlfn.XLOOKUP($A186,'00_SKU_Master'!$B$2:$B$378,'00_SKU_Master'!$F$2:$F$378,0)*K186/_xlfn.XLOOKUP($A186,'00_SKU_Master'!$B$2:$B$378,'00_SKU_Master'!$O:$O,0),"")</f>
        <v/>
      </c>
      <c r="T184" s="123">
        <f>SUM(N186:S186)</f>
        <v/>
      </c>
      <c r="U184" s="124">
        <f>'05_Daily_Orders'!L185</f>
        <v/>
      </c>
    </row>
    <row r="185">
      <c r="A185" s="118">
        <f>'05_Daily_Orders'!B186</f>
        <v/>
      </c>
      <c r="B185" s="50" t="n">
        <v>0</v>
      </c>
      <c r="C185" s="50" t="n">
        <v>0</v>
      </c>
      <c r="D185" s="119" t="n"/>
      <c r="E185" s="119" t="n"/>
      <c r="F185" t="n">
        <v>0</v>
      </c>
      <c r="L185" s="120">
        <f>IF($E$1="n",0,(SUM(F187:K187)-B187))</f>
        <v/>
      </c>
      <c r="M185" s="121">
        <f>_xludf.IFNA(_xlfn.XLOOKUP(A187,'00_SKU_Master'!$B$2:$B$378,'00_SKU_Master'!$C$2:$C$378,0),"")</f>
        <v/>
      </c>
      <c r="N185" s="122">
        <f>_xludf.IFNA(_xlfn.XLOOKUP(A187,'00_SKU_Master'!$B$2:$B$378,'00_SKU_Master'!$F$2:$F$378,0)*F187/_xlfn.XLOOKUP(A187,'00_SKU_Master'!$B$2:$B$378,'00_SKU_Master'!$O:$O,0),"")</f>
        <v/>
      </c>
      <c r="O185" s="122">
        <f>_xludf.IFNA(_xlfn.XLOOKUP($A187,'00_SKU_Master'!$B$2:$B$378,'00_SKU_Master'!$F$2:$F$378,0)*G187/_xlfn.XLOOKUP($A187,'00_SKU_Master'!$B$2:$B$378,'00_SKU_Master'!$O:$O,0),"")</f>
        <v/>
      </c>
      <c r="P185" s="122">
        <f>_xludf.IFNA(_xlfn.XLOOKUP($A187,'00_SKU_Master'!$B$2:$B$378,'00_SKU_Master'!$F$2:$F$378,0)*H187/_xlfn.XLOOKUP($A187,'00_SKU_Master'!$B$2:$B$378,'00_SKU_Master'!$O:$O,0),"")</f>
        <v/>
      </c>
      <c r="Q185" s="122">
        <f>_xludf.IFNA(_xlfn.XLOOKUP($A187,'00_SKU_Master'!$B$2:$B$378,'00_SKU_Master'!$F$2:$F$378,0)*I187/_xlfn.XLOOKUP($A187,'00_SKU_Master'!$B$2:$B$378,'00_SKU_Master'!$O:$O,0),"")</f>
        <v/>
      </c>
      <c r="R185" s="122">
        <f>_xludf.IFNA(_xlfn.XLOOKUP($A187,'00_SKU_Master'!$B$2:$B$378,'00_SKU_Master'!$F$2:$F$378,0)*J187/_xlfn.XLOOKUP($A187,'00_SKU_Master'!$B$2:$B$378,'00_SKU_Master'!$O:$O,0),"")</f>
        <v/>
      </c>
      <c r="S185" s="122">
        <f>_xludf.IFNA(_xlfn.XLOOKUP($A187,'00_SKU_Master'!$B$2:$B$378,'00_SKU_Master'!$F$2:$F$378,0)*K187/_xlfn.XLOOKUP($A187,'00_SKU_Master'!$B$2:$B$378,'00_SKU_Master'!$O:$O,0),"")</f>
        <v/>
      </c>
      <c r="T185" s="123">
        <f>SUM(N187:S187)</f>
        <v/>
      </c>
      <c r="U185" s="124">
        <f>'05_Daily_Orders'!L186</f>
        <v/>
      </c>
    </row>
    <row r="186">
      <c r="A186" s="118">
        <f>'05_Daily_Orders'!B187</f>
        <v/>
      </c>
      <c r="B186" s="50" t="n">
        <v>0</v>
      </c>
      <c r="C186" s="50" t="n">
        <v>0</v>
      </c>
      <c r="D186" s="119" t="n"/>
      <c r="E186" s="119" t="n"/>
      <c r="F186" t="n">
        <v>0</v>
      </c>
      <c r="L186" s="120">
        <f>IF($E$1="n",0,(SUM(F188:K188)-B188))</f>
        <v/>
      </c>
      <c r="M186" s="121">
        <f>_xludf.IFNA(_xlfn.XLOOKUP(A188,'00_SKU_Master'!$B$2:$B$378,'00_SKU_Master'!$C$2:$C$378,0),"")</f>
        <v/>
      </c>
      <c r="N186" s="122">
        <f>_xludf.IFNA(_xlfn.XLOOKUP(A188,'00_SKU_Master'!$B$2:$B$378,'00_SKU_Master'!$F$2:$F$378,0)*F188/_xlfn.XLOOKUP(A188,'00_SKU_Master'!$B$2:$B$378,'00_SKU_Master'!$O:$O,0),"")</f>
        <v/>
      </c>
      <c r="O186" s="122">
        <f>_xludf.IFNA(_xlfn.XLOOKUP($A188,'00_SKU_Master'!$B$2:$B$378,'00_SKU_Master'!$F$2:$F$378,0)*G188/_xlfn.XLOOKUP($A188,'00_SKU_Master'!$B$2:$B$378,'00_SKU_Master'!$O:$O,0),"")</f>
        <v/>
      </c>
      <c r="P186" s="122">
        <f>_xludf.IFNA(_xlfn.XLOOKUP($A188,'00_SKU_Master'!$B$2:$B$378,'00_SKU_Master'!$F$2:$F$378,0)*H188/_xlfn.XLOOKUP($A188,'00_SKU_Master'!$B$2:$B$378,'00_SKU_Master'!$O:$O,0),"")</f>
        <v/>
      </c>
      <c r="Q186" s="122">
        <f>_xludf.IFNA(_xlfn.XLOOKUP($A188,'00_SKU_Master'!$B$2:$B$378,'00_SKU_Master'!$F$2:$F$378,0)*I188/_xlfn.XLOOKUP($A188,'00_SKU_Master'!$B$2:$B$378,'00_SKU_Master'!$O:$O,0),"")</f>
        <v/>
      </c>
      <c r="R186" s="122">
        <f>_xludf.IFNA(_xlfn.XLOOKUP($A188,'00_SKU_Master'!$B$2:$B$378,'00_SKU_Master'!$F$2:$F$378,0)*J188/_xlfn.XLOOKUP($A188,'00_SKU_Master'!$B$2:$B$378,'00_SKU_Master'!$O:$O,0),"")</f>
        <v/>
      </c>
      <c r="S186" s="122">
        <f>_xludf.IFNA(_xlfn.XLOOKUP($A188,'00_SKU_Master'!$B$2:$B$378,'00_SKU_Master'!$F$2:$F$378,0)*K188/_xlfn.XLOOKUP($A188,'00_SKU_Master'!$B$2:$B$378,'00_SKU_Master'!$O:$O,0),"")</f>
        <v/>
      </c>
      <c r="T186" s="123">
        <f>SUM(N188:S188)</f>
        <v/>
      </c>
      <c r="U186" s="124">
        <f>'05_Daily_Orders'!L187</f>
        <v/>
      </c>
    </row>
    <row r="187">
      <c r="A187" s="118">
        <f>'05_Daily_Orders'!B188</f>
        <v/>
      </c>
      <c r="B187" s="50" t="n">
        <v>0</v>
      </c>
      <c r="C187" s="50" t="n">
        <v>131</v>
      </c>
      <c r="D187" s="119" t="n"/>
      <c r="E187" s="119" t="n"/>
      <c r="F187" t="n">
        <v>108</v>
      </c>
      <c r="L187" s="120">
        <f>IF($E$1="n",0,(SUM(F189:K189)-B189))</f>
        <v/>
      </c>
      <c r="M187" s="121">
        <f>_xludf.IFNA(_xlfn.XLOOKUP(A189,'00_SKU_Master'!$B$2:$B$378,'00_SKU_Master'!$C$2:$C$378,0),"")</f>
        <v/>
      </c>
      <c r="N187" s="122">
        <f>_xludf.IFNA(_xlfn.XLOOKUP(A189,'00_SKU_Master'!$B$2:$B$378,'00_SKU_Master'!$F$2:$F$378,0)*F189/_xlfn.XLOOKUP(A189,'00_SKU_Master'!$B$2:$B$378,'00_SKU_Master'!$O:$O,0),"")</f>
        <v/>
      </c>
      <c r="O187" s="122">
        <f>_xludf.IFNA(_xlfn.XLOOKUP($A189,'00_SKU_Master'!$B$2:$B$378,'00_SKU_Master'!$F$2:$F$378,0)*G189/_xlfn.XLOOKUP($A189,'00_SKU_Master'!$B$2:$B$378,'00_SKU_Master'!$O:$O,0),"")</f>
        <v/>
      </c>
      <c r="P187" s="122">
        <f>_xludf.IFNA(_xlfn.XLOOKUP($A189,'00_SKU_Master'!$B$2:$B$378,'00_SKU_Master'!$F$2:$F$378,0)*H189/_xlfn.XLOOKUP($A189,'00_SKU_Master'!$B$2:$B$378,'00_SKU_Master'!$O:$O,0),"")</f>
        <v/>
      </c>
      <c r="Q187" s="122">
        <f>_xludf.IFNA(_xlfn.XLOOKUP($A189,'00_SKU_Master'!$B$2:$B$378,'00_SKU_Master'!$F$2:$F$378,0)*I189/_xlfn.XLOOKUP($A189,'00_SKU_Master'!$B$2:$B$378,'00_SKU_Master'!$O:$O,0),"")</f>
        <v/>
      </c>
      <c r="R187" s="122">
        <f>_xludf.IFNA(_xlfn.XLOOKUP($A189,'00_SKU_Master'!$B$2:$B$378,'00_SKU_Master'!$F$2:$F$378,0)*J189/_xlfn.XLOOKUP($A189,'00_SKU_Master'!$B$2:$B$378,'00_SKU_Master'!$O:$O,0),"")</f>
        <v/>
      </c>
      <c r="S187" s="122">
        <f>_xludf.IFNA(_xlfn.XLOOKUP($A189,'00_SKU_Master'!$B$2:$B$378,'00_SKU_Master'!$F$2:$F$378,0)*K189/_xlfn.XLOOKUP($A189,'00_SKU_Master'!$B$2:$B$378,'00_SKU_Master'!$O:$O,0),"")</f>
        <v/>
      </c>
      <c r="T187" s="123">
        <f>SUM(N189:S189)</f>
        <v/>
      </c>
      <c r="U187" s="124">
        <f>'05_Daily_Orders'!L188</f>
        <v/>
      </c>
    </row>
    <row r="188">
      <c r="A188" s="118">
        <f>'05_Daily_Orders'!B189</f>
        <v/>
      </c>
      <c r="B188" s="50" t="n">
        <v>2</v>
      </c>
      <c r="C188" s="50" t="n">
        <v>0</v>
      </c>
      <c r="D188" s="119" t="n"/>
      <c r="E188" s="119" t="n"/>
      <c r="F188" t="n">
        <v>83</v>
      </c>
      <c r="L188" s="120">
        <f>IF($E$1="n",0,(SUM(F190:K190)-B190))</f>
        <v/>
      </c>
      <c r="M188" s="121">
        <f>_xludf.IFNA(_xlfn.XLOOKUP(A190,'00_SKU_Master'!$B$2:$B$378,'00_SKU_Master'!$C$2:$C$378,0),"")</f>
        <v/>
      </c>
      <c r="N188" s="122">
        <f>_xludf.IFNA(_xlfn.XLOOKUP(A190,'00_SKU_Master'!$B$2:$B$378,'00_SKU_Master'!$F$2:$F$378,0)*F190/_xlfn.XLOOKUP(A190,'00_SKU_Master'!$B$2:$B$378,'00_SKU_Master'!$O:$O,0),"")</f>
        <v/>
      </c>
      <c r="O188" s="122">
        <f>_xludf.IFNA(_xlfn.XLOOKUP($A190,'00_SKU_Master'!$B$2:$B$378,'00_SKU_Master'!$F$2:$F$378,0)*G190/_xlfn.XLOOKUP($A190,'00_SKU_Master'!$B$2:$B$378,'00_SKU_Master'!$O:$O,0),"")</f>
        <v/>
      </c>
      <c r="P188" s="122">
        <f>_xludf.IFNA(_xlfn.XLOOKUP($A190,'00_SKU_Master'!$B$2:$B$378,'00_SKU_Master'!$F$2:$F$378,0)*H190/_xlfn.XLOOKUP($A190,'00_SKU_Master'!$B$2:$B$378,'00_SKU_Master'!$O:$O,0),"")</f>
        <v/>
      </c>
      <c r="Q188" s="122">
        <f>_xludf.IFNA(_xlfn.XLOOKUP($A190,'00_SKU_Master'!$B$2:$B$378,'00_SKU_Master'!$F$2:$F$378,0)*I190/_xlfn.XLOOKUP($A190,'00_SKU_Master'!$B$2:$B$378,'00_SKU_Master'!$O:$O,0),"")</f>
        <v/>
      </c>
      <c r="R188" s="122">
        <f>_xludf.IFNA(_xlfn.XLOOKUP($A190,'00_SKU_Master'!$B$2:$B$378,'00_SKU_Master'!$F$2:$F$378,0)*J190/_xlfn.XLOOKUP($A190,'00_SKU_Master'!$B$2:$B$378,'00_SKU_Master'!$O:$O,0),"")</f>
        <v/>
      </c>
      <c r="S188" s="122">
        <f>_xludf.IFNA(_xlfn.XLOOKUP($A190,'00_SKU_Master'!$B$2:$B$378,'00_SKU_Master'!$F$2:$F$378,0)*K190/_xlfn.XLOOKUP($A190,'00_SKU_Master'!$B$2:$B$378,'00_SKU_Master'!$O:$O,0),"")</f>
        <v/>
      </c>
      <c r="T188" s="123">
        <f>SUM(N190:S190)</f>
        <v/>
      </c>
      <c r="U188" s="124">
        <f>'05_Daily_Orders'!L189</f>
        <v/>
      </c>
    </row>
    <row r="189">
      <c r="A189" s="118">
        <f>'05_Daily_Orders'!B190</f>
        <v/>
      </c>
      <c r="B189" s="50" t="n">
        <v>0</v>
      </c>
      <c r="C189" s="50" t="n">
        <v>0</v>
      </c>
      <c r="D189" s="119" t="n"/>
      <c r="E189" s="119" t="n"/>
      <c r="F189" t="n">
        <v>145</v>
      </c>
      <c r="L189" s="120">
        <f>IF($E$1="n",0,(SUM(F191:K191)-B191))</f>
        <v/>
      </c>
      <c r="M189" s="121">
        <f>_xludf.IFNA(_xlfn.XLOOKUP(A191,'00_SKU_Master'!$B$2:$B$378,'00_SKU_Master'!$C$2:$C$378,0),"")</f>
        <v/>
      </c>
      <c r="N189" s="122">
        <f>_xludf.IFNA(_xlfn.XLOOKUP(A191,'00_SKU_Master'!$B$2:$B$378,'00_SKU_Master'!$F$2:$F$378,0)*F191/_xlfn.XLOOKUP(A191,'00_SKU_Master'!$B$2:$B$378,'00_SKU_Master'!$O:$O,0),"")</f>
        <v/>
      </c>
      <c r="O189" s="122">
        <f>_xludf.IFNA(_xlfn.XLOOKUP($A191,'00_SKU_Master'!$B$2:$B$378,'00_SKU_Master'!$F$2:$F$378,0)*G191/_xlfn.XLOOKUP($A191,'00_SKU_Master'!$B$2:$B$378,'00_SKU_Master'!$O:$O,0),"")</f>
        <v/>
      </c>
      <c r="P189" s="122">
        <f>_xludf.IFNA(_xlfn.XLOOKUP($A191,'00_SKU_Master'!$B$2:$B$378,'00_SKU_Master'!$F$2:$F$378,0)*H191/_xlfn.XLOOKUP($A191,'00_SKU_Master'!$B$2:$B$378,'00_SKU_Master'!$O:$O,0),"")</f>
        <v/>
      </c>
      <c r="Q189" s="122">
        <f>_xludf.IFNA(_xlfn.XLOOKUP($A191,'00_SKU_Master'!$B$2:$B$378,'00_SKU_Master'!$F$2:$F$378,0)*I191/_xlfn.XLOOKUP($A191,'00_SKU_Master'!$B$2:$B$378,'00_SKU_Master'!$O:$O,0),"")</f>
        <v/>
      </c>
      <c r="R189" s="122">
        <f>_xludf.IFNA(_xlfn.XLOOKUP($A191,'00_SKU_Master'!$B$2:$B$378,'00_SKU_Master'!$F$2:$F$378,0)*J191/_xlfn.XLOOKUP($A191,'00_SKU_Master'!$B$2:$B$378,'00_SKU_Master'!$O:$O,0),"")</f>
        <v/>
      </c>
      <c r="S189" s="122">
        <f>_xludf.IFNA(_xlfn.XLOOKUP($A191,'00_SKU_Master'!$B$2:$B$378,'00_SKU_Master'!$F$2:$F$378,0)*K191/_xlfn.XLOOKUP($A191,'00_SKU_Master'!$B$2:$B$378,'00_SKU_Master'!$O:$O,0),"")</f>
        <v/>
      </c>
      <c r="T189" s="123">
        <f>SUM(N191:S191)</f>
        <v/>
      </c>
      <c r="U189" s="124">
        <f>'05_Daily_Orders'!L190</f>
        <v/>
      </c>
    </row>
    <row r="190">
      <c r="A190" s="118">
        <f>'05_Daily_Orders'!B191</f>
        <v/>
      </c>
      <c r="B190" s="50" t="n">
        <v>0</v>
      </c>
      <c r="C190" s="50" t="n">
        <v>9</v>
      </c>
      <c r="D190" s="119" t="n"/>
      <c r="E190" s="119" t="n"/>
      <c r="F190" t="n">
        <v>513</v>
      </c>
      <c r="L190" s="120">
        <f>IF($E$1="n",0,(SUM(F192:K192)-B192))</f>
        <v/>
      </c>
      <c r="M190" s="121">
        <f>_xludf.IFNA(_xlfn.XLOOKUP(A192,'00_SKU_Master'!$B$2:$B$378,'00_SKU_Master'!$C$2:$C$378,0),"")</f>
        <v/>
      </c>
      <c r="N190" s="122">
        <f>_xludf.IFNA(_xlfn.XLOOKUP(A192,'00_SKU_Master'!$B$2:$B$378,'00_SKU_Master'!$F$2:$F$378,0)*F192/_xlfn.XLOOKUP(A192,'00_SKU_Master'!$B$2:$B$378,'00_SKU_Master'!$O:$O,0),"")</f>
        <v/>
      </c>
      <c r="O190" s="122">
        <f>_xludf.IFNA(_xlfn.XLOOKUP($A192,'00_SKU_Master'!$B$2:$B$378,'00_SKU_Master'!$F$2:$F$378,0)*G192/_xlfn.XLOOKUP($A192,'00_SKU_Master'!$B$2:$B$378,'00_SKU_Master'!$O:$O,0),"")</f>
        <v/>
      </c>
      <c r="P190" s="122">
        <f>_xludf.IFNA(_xlfn.XLOOKUP($A192,'00_SKU_Master'!$B$2:$B$378,'00_SKU_Master'!$F$2:$F$378,0)*H192/_xlfn.XLOOKUP($A192,'00_SKU_Master'!$B$2:$B$378,'00_SKU_Master'!$O:$O,0),"")</f>
        <v/>
      </c>
      <c r="Q190" s="122">
        <f>_xludf.IFNA(_xlfn.XLOOKUP($A192,'00_SKU_Master'!$B$2:$B$378,'00_SKU_Master'!$F$2:$F$378,0)*I192/_xlfn.XLOOKUP($A192,'00_SKU_Master'!$B$2:$B$378,'00_SKU_Master'!$O:$O,0),"")</f>
        <v/>
      </c>
      <c r="R190" s="122">
        <f>_xludf.IFNA(_xlfn.XLOOKUP($A192,'00_SKU_Master'!$B$2:$B$378,'00_SKU_Master'!$F$2:$F$378,0)*J192/_xlfn.XLOOKUP($A192,'00_SKU_Master'!$B$2:$B$378,'00_SKU_Master'!$O:$O,0),"")</f>
        <v/>
      </c>
      <c r="S190" s="122">
        <f>_xludf.IFNA(_xlfn.XLOOKUP($A192,'00_SKU_Master'!$B$2:$B$378,'00_SKU_Master'!$F$2:$F$378,0)*K192/_xlfn.XLOOKUP($A192,'00_SKU_Master'!$B$2:$B$378,'00_SKU_Master'!$O:$O,0),"")</f>
        <v/>
      </c>
      <c r="T190" s="123">
        <f>SUM(N192:S192)</f>
        <v/>
      </c>
      <c r="U190" s="124">
        <f>'05_Daily_Orders'!L191</f>
        <v/>
      </c>
    </row>
    <row r="191">
      <c r="A191" s="118">
        <f>'05_Daily_Orders'!B192</f>
        <v/>
      </c>
      <c r="B191" s="50" t="n">
        <v>0</v>
      </c>
      <c r="C191" s="50" t="n">
        <v>76</v>
      </c>
      <c r="D191" s="119" t="n"/>
      <c r="E191" s="119" t="n"/>
      <c r="F191" t="n">
        <v>88</v>
      </c>
      <c r="L191" s="120">
        <f>IF($E$1="n",0,(SUM(F193:K193)-B193))</f>
        <v/>
      </c>
      <c r="M191" s="121">
        <f>_xludf.IFNA(_xlfn.XLOOKUP(A193,'00_SKU_Master'!$B$2:$B$378,'00_SKU_Master'!$C$2:$C$378,0),"")</f>
        <v/>
      </c>
      <c r="N191" s="122">
        <f>_xludf.IFNA(_xlfn.XLOOKUP(A193,'00_SKU_Master'!$B$2:$B$378,'00_SKU_Master'!$F$2:$F$378,0)*F193/_xlfn.XLOOKUP(A193,'00_SKU_Master'!$B$2:$B$378,'00_SKU_Master'!$O:$O,0),"")</f>
        <v/>
      </c>
      <c r="O191" s="122">
        <f>_xludf.IFNA(_xlfn.XLOOKUP($A193,'00_SKU_Master'!$B$2:$B$378,'00_SKU_Master'!$F$2:$F$378,0)*G193/_xlfn.XLOOKUP($A193,'00_SKU_Master'!$B$2:$B$378,'00_SKU_Master'!$O:$O,0),"")</f>
        <v/>
      </c>
      <c r="P191" s="122">
        <f>_xludf.IFNA(_xlfn.XLOOKUP($A193,'00_SKU_Master'!$B$2:$B$378,'00_SKU_Master'!$F$2:$F$378,0)*H193/_xlfn.XLOOKUP($A193,'00_SKU_Master'!$B$2:$B$378,'00_SKU_Master'!$O:$O,0),"")</f>
        <v/>
      </c>
      <c r="Q191" s="122">
        <f>_xludf.IFNA(_xlfn.XLOOKUP($A193,'00_SKU_Master'!$B$2:$B$378,'00_SKU_Master'!$F$2:$F$378,0)*I193/_xlfn.XLOOKUP($A193,'00_SKU_Master'!$B$2:$B$378,'00_SKU_Master'!$O:$O,0),"")</f>
        <v/>
      </c>
      <c r="R191" s="122">
        <f>_xludf.IFNA(_xlfn.XLOOKUP($A193,'00_SKU_Master'!$B$2:$B$378,'00_SKU_Master'!$F$2:$F$378,0)*J193/_xlfn.XLOOKUP($A193,'00_SKU_Master'!$B$2:$B$378,'00_SKU_Master'!$O:$O,0),"")</f>
        <v/>
      </c>
      <c r="S191" s="122">
        <f>_xludf.IFNA(_xlfn.XLOOKUP($A193,'00_SKU_Master'!$B$2:$B$378,'00_SKU_Master'!$F$2:$F$378,0)*K193/_xlfn.XLOOKUP($A193,'00_SKU_Master'!$B$2:$B$378,'00_SKU_Master'!$O:$O,0),"")</f>
        <v/>
      </c>
      <c r="T191" s="123">
        <f>SUM(N193:S193)</f>
        <v/>
      </c>
      <c r="U191" s="124">
        <f>'05_Daily_Orders'!L192</f>
        <v/>
      </c>
    </row>
    <row r="192">
      <c r="A192" s="118">
        <f>'05_Daily_Orders'!B193</f>
        <v/>
      </c>
      <c r="B192" s="50" t="n">
        <v>0</v>
      </c>
      <c r="C192" s="50" t="n">
        <v>0</v>
      </c>
      <c r="D192" s="119" t="n"/>
      <c r="E192" s="119" t="n"/>
      <c r="F192" t="n">
        <v>0</v>
      </c>
      <c r="L192" s="120">
        <f>IF($E$1="n",0,(SUM(F194:K194)-B194))</f>
        <v/>
      </c>
      <c r="M192" s="121">
        <f>_xludf.IFNA(_xlfn.XLOOKUP(A194,'00_SKU_Master'!$B$2:$B$378,'00_SKU_Master'!$C$2:$C$378,0),"")</f>
        <v/>
      </c>
      <c r="N192" s="122">
        <f>_xludf.IFNA(_xlfn.XLOOKUP(A194,'00_SKU_Master'!$B$2:$B$378,'00_SKU_Master'!$F$2:$F$378,0)*F194/_xlfn.XLOOKUP(A194,'00_SKU_Master'!$B$2:$B$378,'00_SKU_Master'!$O:$O,0),"")</f>
        <v/>
      </c>
      <c r="O192" s="122">
        <f>_xludf.IFNA(_xlfn.XLOOKUP($A194,'00_SKU_Master'!$B$2:$B$378,'00_SKU_Master'!$F$2:$F$378,0)*G194/_xlfn.XLOOKUP($A194,'00_SKU_Master'!$B$2:$B$378,'00_SKU_Master'!$O:$O,0),"")</f>
        <v/>
      </c>
      <c r="P192" s="122">
        <f>_xludf.IFNA(_xlfn.XLOOKUP($A194,'00_SKU_Master'!$B$2:$B$378,'00_SKU_Master'!$F$2:$F$378,0)*H194/_xlfn.XLOOKUP($A194,'00_SKU_Master'!$B$2:$B$378,'00_SKU_Master'!$O:$O,0),"")</f>
        <v/>
      </c>
      <c r="Q192" s="122">
        <f>_xludf.IFNA(_xlfn.XLOOKUP($A194,'00_SKU_Master'!$B$2:$B$378,'00_SKU_Master'!$F$2:$F$378,0)*I194/_xlfn.XLOOKUP($A194,'00_SKU_Master'!$B$2:$B$378,'00_SKU_Master'!$O:$O,0),"")</f>
        <v/>
      </c>
      <c r="R192" s="122">
        <f>_xludf.IFNA(_xlfn.XLOOKUP($A194,'00_SKU_Master'!$B$2:$B$378,'00_SKU_Master'!$F$2:$F$378,0)*J194/_xlfn.XLOOKUP($A194,'00_SKU_Master'!$B$2:$B$378,'00_SKU_Master'!$O:$O,0),"")</f>
        <v/>
      </c>
      <c r="S192" s="122">
        <f>_xludf.IFNA(_xlfn.XLOOKUP($A194,'00_SKU_Master'!$B$2:$B$378,'00_SKU_Master'!$F$2:$F$378,0)*K194/_xlfn.XLOOKUP($A194,'00_SKU_Master'!$B$2:$B$378,'00_SKU_Master'!$O:$O,0),"")</f>
        <v/>
      </c>
      <c r="T192" s="123">
        <f>SUM(N194:S194)</f>
        <v/>
      </c>
      <c r="U192" s="124">
        <f>'05_Daily_Orders'!L193</f>
        <v/>
      </c>
    </row>
    <row r="193">
      <c r="A193" s="118">
        <f>'05_Daily_Orders'!B194</f>
        <v/>
      </c>
      <c r="B193" s="50" t="n">
        <v>0</v>
      </c>
      <c r="C193" s="50" t="n">
        <v>40</v>
      </c>
      <c r="D193" s="119" t="n"/>
      <c r="E193" s="119" t="n"/>
      <c r="F193" t="n">
        <v>33</v>
      </c>
      <c r="L193" s="120">
        <f>IF($E$1="n",0,(SUM(F195:K195)-B195))</f>
        <v/>
      </c>
      <c r="M193" s="121">
        <f>_xludf.IFNA(_xlfn.XLOOKUP(A195,'00_SKU_Master'!$B$2:$B$378,'00_SKU_Master'!$C$2:$C$378,0),"")</f>
        <v/>
      </c>
      <c r="N193" s="122">
        <f>_xludf.IFNA(_xlfn.XLOOKUP(A195,'00_SKU_Master'!$B$2:$B$378,'00_SKU_Master'!$F$2:$F$378,0)*F195/_xlfn.XLOOKUP(A195,'00_SKU_Master'!$B$2:$B$378,'00_SKU_Master'!$O:$O,0),"")</f>
        <v/>
      </c>
      <c r="O193" s="122">
        <f>_xludf.IFNA(_xlfn.XLOOKUP($A195,'00_SKU_Master'!$B$2:$B$378,'00_SKU_Master'!$F$2:$F$378,0)*G195/_xlfn.XLOOKUP($A195,'00_SKU_Master'!$B$2:$B$378,'00_SKU_Master'!$O:$O,0),"")</f>
        <v/>
      </c>
      <c r="P193" s="122">
        <f>_xludf.IFNA(_xlfn.XLOOKUP($A195,'00_SKU_Master'!$B$2:$B$378,'00_SKU_Master'!$F$2:$F$378,0)*H195/_xlfn.XLOOKUP($A195,'00_SKU_Master'!$B$2:$B$378,'00_SKU_Master'!$O:$O,0),"")</f>
        <v/>
      </c>
      <c r="Q193" s="122">
        <f>_xludf.IFNA(_xlfn.XLOOKUP($A195,'00_SKU_Master'!$B$2:$B$378,'00_SKU_Master'!$F$2:$F$378,0)*I195/_xlfn.XLOOKUP($A195,'00_SKU_Master'!$B$2:$B$378,'00_SKU_Master'!$O:$O,0),"")</f>
        <v/>
      </c>
      <c r="R193" s="122">
        <f>_xludf.IFNA(_xlfn.XLOOKUP($A195,'00_SKU_Master'!$B$2:$B$378,'00_SKU_Master'!$F$2:$F$378,0)*J195/_xlfn.XLOOKUP($A195,'00_SKU_Master'!$B$2:$B$378,'00_SKU_Master'!$O:$O,0),"")</f>
        <v/>
      </c>
      <c r="S193" s="122">
        <f>_xludf.IFNA(_xlfn.XLOOKUP($A195,'00_SKU_Master'!$B$2:$B$378,'00_SKU_Master'!$F$2:$F$378,0)*K195/_xlfn.XLOOKUP($A195,'00_SKU_Master'!$B$2:$B$378,'00_SKU_Master'!$O:$O,0),"")</f>
        <v/>
      </c>
      <c r="T193" s="123">
        <f>SUM(N195:S195)</f>
        <v/>
      </c>
      <c r="U193" s="124">
        <f>'05_Daily_Orders'!L194</f>
        <v/>
      </c>
    </row>
    <row r="194">
      <c r="A194" s="118">
        <f>'05_Daily_Orders'!B195</f>
        <v/>
      </c>
      <c r="B194" s="50" t="n">
        <v>0</v>
      </c>
      <c r="C194" s="50" t="n">
        <v>5</v>
      </c>
      <c r="D194" s="119" t="n"/>
      <c r="E194" s="119" t="n"/>
      <c r="F194" t="n">
        <v>355</v>
      </c>
      <c r="L194" s="120">
        <f>IF($E$1="n",0,(SUM(F196:K196)-B196))</f>
        <v/>
      </c>
      <c r="M194" s="121">
        <f>_xludf.IFNA(_xlfn.XLOOKUP(A196,'00_SKU_Master'!$B$2:$B$378,'00_SKU_Master'!$C$2:$C$378,0),"")</f>
        <v/>
      </c>
      <c r="N194" s="122">
        <f>_xludf.IFNA(_xlfn.XLOOKUP(A196,'00_SKU_Master'!$B$2:$B$378,'00_SKU_Master'!$F$2:$F$378,0)*F196/_xlfn.XLOOKUP(A196,'00_SKU_Master'!$B$2:$B$378,'00_SKU_Master'!$O:$O,0),"")</f>
        <v/>
      </c>
      <c r="O194" s="122">
        <f>_xludf.IFNA(_xlfn.XLOOKUP($A196,'00_SKU_Master'!$B$2:$B$378,'00_SKU_Master'!$F$2:$F$378,0)*G196/_xlfn.XLOOKUP($A196,'00_SKU_Master'!$B$2:$B$378,'00_SKU_Master'!$O:$O,0),"")</f>
        <v/>
      </c>
      <c r="P194" s="122">
        <f>_xludf.IFNA(_xlfn.XLOOKUP($A196,'00_SKU_Master'!$B$2:$B$378,'00_SKU_Master'!$F$2:$F$378,0)*H196/_xlfn.XLOOKUP($A196,'00_SKU_Master'!$B$2:$B$378,'00_SKU_Master'!$O:$O,0),"")</f>
        <v/>
      </c>
      <c r="Q194" s="122">
        <f>_xludf.IFNA(_xlfn.XLOOKUP($A196,'00_SKU_Master'!$B$2:$B$378,'00_SKU_Master'!$F$2:$F$378,0)*I196/_xlfn.XLOOKUP($A196,'00_SKU_Master'!$B$2:$B$378,'00_SKU_Master'!$O:$O,0),"")</f>
        <v/>
      </c>
      <c r="R194" s="122">
        <f>_xludf.IFNA(_xlfn.XLOOKUP($A196,'00_SKU_Master'!$B$2:$B$378,'00_SKU_Master'!$F$2:$F$378,0)*J196/_xlfn.XLOOKUP($A196,'00_SKU_Master'!$B$2:$B$378,'00_SKU_Master'!$O:$O,0),"")</f>
        <v/>
      </c>
      <c r="S194" s="122">
        <f>_xludf.IFNA(_xlfn.XLOOKUP($A196,'00_SKU_Master'!$B$2:$B$378,'00_SKU_Master'!$F$2:$F$378,0)*K196/_xlfn.XLOOKUP($A196,'00_SKU_Master'!$B$2:$B$378,'00_SKU_Master'!$O:$O,0),"")</f>
        <v/>
      </c>
      <c r="T194" s="123">
        <f>SUM(N196:S196)</f>
        <v/>
      </c>
      <c r="U194" s="124">
        <f>'05_Daily_Orders'!L195</f>
        <v/>
      </c>
    </row>
    <row r="195">
      <c r="A195" s="118">
        <f>'05_Daily_Orders'!B196</f>
        <v/>
      </c>
      <c r="B195" s="50" t="n">
        <v>0</v>
      </c>
      <c r="C195" s="50" t="n">
        <v>310</v>
      </c>
      <c r="D195" s="119" t="n"/>
      <c r="E195" s="119" t="n"/>
      <c r="F195" t="n">
        <v>423</v>
      </c>
      <c r="L195" s="120">
        <f>IF($E$1="n",0,(SUM(F197:K197)-B197))</f>
        <v/>
      </c>
      <c r="M195" s="121">
        <f>_xludf.IFNA(_xlfn.XLOOKUP(A197,'00_SKU_Master'!$B$2:$B$378,'00_SKU_Master'!$C$2:$C$378,0),"")</f>
        <v/>
      </c>
      <c r="N195" s="122">
        <f>_xludf.IFNA(_xlfn.XLOOKUP(A197,'00_SKU_Master'!$B$2:$B$378,'00_SKU_Master'!$F$2:$F$378,0)*F197/_xlfn.XLOOKUP(A197,'00_SKU_Master'!$B$2:$B$378,'00_SKU_Master'!$O:$O,0),"")</f>
        <v/>
      </c>
      <c r="O195" s="122">
        <f>_xludf.IFNA(_xlfn.XLOOKUP($A197,'00_SKU_Master'!$B$2:$B$378,'00_SKU_Master'!$F$2:$F$378,0)*G197/_xlfn.XLOOKUP($A197,'00_SKU_Master'!$B$2:$B$378,'00_SKU_Master'!$O:$O,0),"")</f>
        <v/>
      </c>
      <c r="P195" s="122">
        <f>_xludf.IFNA(_xlfn.XLOOKUP($A197,'00_SKU_Master'!$B$2:$B$378,'00_SKU_Master'!$F$2:$F$378,0)*H197/_xlfn.XLOOKUP($A197,'00_SKU_Master'!$B$2:$B$378,'00_SKU_Master'!$O:$O,0),"")</f>
        <v/>
      </c>
      <c r="Q195" s="122">
        <f>_xludf.IFNA(_xlfn.XLOOKUP($A197,'00_SKU_Master'!$B$2:$B$378,'00_SKU_Master'!$F$2:$F$378,0)*I197/_xlfn.XLOOKUP($A197,'00_SKU_Master'!$B$2:$B$378,'00_SKU_Master'!$O:$O,0),"")</f>
        <v/>
      </c>
      <c r="R195" s="122">
        <f>_xludf.IFNA(_xlfn.XLOOKUP($A197,'00_SKU_Master'!$B$2:$B$378,'00_SKU_Master'!$F$2:$F$378,0)*J197/_xlfn.XLOOKUP($A197,'00_SKU_Master'!$B$2:$B$378,'00_SKU_Master'!$O:$O,0),"")</f>
        <v/>
      </c>
      <c r="S195" s="122">
        <f>_xludf.IFNA(_xlfn.XLOOKUP($A197,'00_SKU_Master'!$B$2:$B$378,'00_SKU_Master'!$F$2:$F$378,0)*K197/_xlfn.XLOOKUP($A197,'00_SKU_Master'!$B$2:$B$378,'00_SKU_Master'!$O:$O,0),"")</f>
        <v/>
      </c>
      <c r="T195" s="123">
        <f>SUM(N197:S197)</f>
        <v/>
      </c>
      <c r="U195" s="124">
        <f>'05_Daily_Orders'!L196</f>
        <v/>
      </c>
    </row>
    <row r="196">
      <c r="A196" s="118">
        <f>'05_Daily_Orders'!B197</f>
        <v/>
      </c>
      <c r="B196" s="50" t="n">
        <v>0</v>
      </c>
      <c r="C196" s="50" t="n">
        <v>0</v>
      </c>
      <c r="D196" s="119" t="n"/>
      <c r="E196" s="119" t="n"/>
      <c r="F196" t="n">
        <v>0</v>
      </c>
      <c r="L196" s="120">
        <f>IF($E$1="n",0,(SUM(F198:K198)-B198))</f>
        <v/>
      </c>
      <c r="M196" s="121">
        <f>_xludf.IFNA(_xlfn.XLOOKUP(A198,'00_SKU_Master'!$B$2:$B$378,'00_SKU_Master'!$C$2:$C$378,0),"")</f>
        <v/>
      </c>
      <c r="N196" s="122">
        <f>_xludf.IFNA(_xlfn.XLOOKUP(A198,'00_SKU_Master'!$B$2:$B$378,'00_SKU_Master'!$F$2:$F$378,0)*F198/_xlfn.XLOOKUP(A198,'00_SKU_Master'!$B$2:$B$378,'00_SKU_Master'!$O:$O,0),"")</f>
        <v/>
      </c>
      <c r="O196" s="122">
        <f>_xludf.IFNA(_xlfn.XLOOKUP($A198,'00_SKU_Master'!$B$2:$B$378,'00_SKU_Master'!$F$2:$F$378,0)*G198/_xlfn.XLOOKUP($A198,'00_SKU_Master'!$B$2:$B$378,'00_SKU_Master'!$O:$O,0),"")</f>
        <v/>
      </c>
      <c r="P196" s="122">
        <f>_xludf.IFNA(_xlfn.XLOOKUP($A198,'00_SKU_Master'!$B$2:$B$378,'00_SKU_Master'!$F$2:$F$378,0)*H198/_xlfn.XLOOKUP($A198,'00_SKU_Master'!$B$2:$B$378,'00_SKU_Master'!$O:$O,0),"")</f>
        <v/>
      </c>
      <c r="Q196" s="122">
        <f>_xludf.IFNA(_xlfn.XLOOKUP($A198,'00_SKU_Master'!$B$2:$B$378,'00_SKU_Master'!$F$2:$F$378,0)*I198/_xlfn.XLOOKUP($A198,'00_SKU_Master'!$B$2:$B$378,'00_SKU_Master'!$O:$O,0),"")</f>
        <v/>
      </c>
      <c r="R196" s="122">
        <f>_xludf.IFNA(_xlfn.XLOOKUP($A198,'00_SKU_Master'!$B$2:$B$378,'00_SKU_Master'!$F$2:$F$378,0)*J198/_xlfn.XLOOKUP($A198,'00_SKU_Master'!$B$2:$B$378,'00_SKU_Master'!$O:$O,0),"")</f>
        <v/>
      </c>
      <c r="S196" s="122">
        <f>_xludf.IFNA(_xlfn.XLOOKUP($A198,'00_SKU_Master'!$B$2:$B$378,'00_SKU_Master'!$F$2:$F$378,0)*K198/_xlfn.XLOOKUP($A198,'00_SKU_Master'!$B$2:$B$378,'00_SKU_Master'!$O:$O,0),"")</f>
        <v/>
      </c>
      <c r="T196" s="123">
        <f>SUM(N198:S198)</f>
        <v/>
      </c>
      <c r="U196" s="124">
        <f>'05_Daily_Orders'!L197</f>
        <v/>
      </c>
    </row>
    <row r="197">
      <c r="A197" s="118">
        <f>'05_Daily_Orders'!B198</f>
        <v/>
      </c>
      <c r="B197" s="50" t="n">
        <v>0</v>
      </c>
      <c r="C197" s="50" t="n">
        <v>0</v>
      </c>
      <c r="D197" s="119" t="n"/>
      <c r="E197" s="119" t="n"/>
      <c r="F197" t="n">
        <v>0</v>
      </c>
      <c r="L197" s="120">
        <f>IF($E$1="n",0,(SUM(F199:K199)-B199))</f>
        <v/>
      </c>
      <c r="M197" s="121">
        <f>_xludf.IFNA(_xlfn.XLOOKUP(A199,'00_SKU_Master'!$B$2:$B$378,'00_SKU_Master'!$C$2:$C$378,0),"")</f>
        <v/>
      </c>
      <c r="N197" s="122">
        <f>_xludf.IFNA(_xlfn.XLOOKUP(A199,'00_SKU_Master'!$B$2:$B$378,'00_SKU_Master'!$F$2:$F$378,0)*F199/_xlfn.XLOOKUP(A199,'00_SKU_Master'!$B$2:$B$378,'00_SKU_Master'!$O:$O,0),"")</f>
        <v/>
      </c>
      <c r="O197" s="122">
        <f>_xludf.IFNA(_xlfn.XLOOKUP($A199,'00_SKU_Master'!$B$2:$B$378,'00_SKU_Master'!$F$2:$F$378,0)*G199/_xlfn.XLOOKUP($A199,'00_SKU_Master'!$B$2:$B$378,'00_SKU_Master'!$O:$O,0),"")</f>
        <v/>
      </c>
      <c r="P197" s="122">
        <f>_xludf.IFNA(_xlfn.XLOOKUP($A199,'00_SKU_Master'!$B$2:$B$378,'00_SKU_Master'!$F$2:$F$378,0)*H199/_xlfn.XLOOKUP($A199,'00_SKU_Master'!$B$2:$B$378,'00_SKU_Master'!$O:$O,0),"")</f>
        <v/>
      </c>
      <c r="Q197" s="122">
        <f>_xludf.IFNA(_xlfn.XLOOKUP($A199,'00_SKU_Master'!$B$2:$B$378,'00_SKU_Master'!$F$2:$F$378,0)*I199/_xlfn.XLOOKUP($A199,'00_SKU_Master'!$B$2:$B$378,'00_SKU_Master'!$O:$O,0),"")</f>
        <v/>
      </c>
      <c r="R197" s="122">
        <f>_xludf.IFNA(_xlfn.XLOOKUP($A199,'00_SKU_Master'!$B$2:$B$378,'00_SKU_Master'!$F$2:$F$378,0)*J199/_xlfn.XLOOKUP($A199,'00_SKU_Master'!$B$2:$B$378,'00_SKU_Master'!$O:$O,0),"")</f>
        <v/>
      </c>
      <c r="S197" s="122">
        <f>_xludf.IFNA(_xlfn.XLOOKUP($A199,'00_SKU_Master'!$B$2:$B$378,'00_SKU_Master'!$F$2:$F$378,0)*K199/_xlfn.XLOOKUP($A199,'00_SKU_Master'!$B$2:$B$378,'00_SKU_Master'!$O:$O,0),"")</f>
        <v/>
      </c>
      <c r="T197" s="123">
        <f>SUM(N199:S199)</f>
        <v/>
      </c>
      <c r="U197" s="124">
        <f>'05_Daily_Orders'!L198</f>
        <v/>
      </c>
    </row>
    <row r="198">
      <c r="A198" s="118">
        <f>'05_Daily_Orders'!B199</f>
        <v/>
      </c>
      <c r="B198" s="50" t="n">
        <v>0</v>
      </c>
      <c r="C198" s="50" t="n">
        <v>0</v>
      </c>
      <c r="D198" s="119" t="n"/>
      <c r="E198" s="119" t="n"/>
      <c r="F198" t="n">
        <v>0</v>
      </c>
      <c r="L198" s="120">
        <f>IF($E$1="n",0,(SUM(F200:K200)-B200))</f>
        <v/>
      </c>
      <c r="M198" s="121">
        <f>_xludf.IFNA(_xlfn.XLOOKUP(A200,'00_SKU_Master'!$B$2:$B$378,'00_SKU_Master'!$C$2:$C$378,0),"")</f>
        <v/>
      </c>
      <c r="N198" s="122">
        <f>_xludf.IFNA(_xlfn.XLOOKUP(A200,'00_SKU_Master'!$B$2:$B$378,'00_SKU_Master'!$F$2:$F$378,0)*F200/_xlfn.XLOOKUP(A200,'00_SKU_Master'!$B$2:$B$378,'00_SKU_Master'!$O:$O,0),"")</f>
        <v/>
      </c>
      <c r="O198" s="122">
        <f>_xludf.IFNA(_xlfn.XLOOKUP($A200,'00_SKU_Master'!$B$2:$B$378,'00_SKU_Master'!$F$2:$F$378,0)*G200/_xlfn.XLOOKUP($A200,'00_SKU_Master'!$B$2:$B$378,'00_SKU_Master'!$O:$O,0),"")</f>
        <v/>
      </c>
      <c r="P198" s="122">
        <f>_xludf.IFNA(_xlfn.XLOOKUP($A200,'00_SKU_Master'!$B$2:$B$378,'00_SKU_Master'!$F$2:$F$378,0)*H200/_xlfn.XLOOKUP($A200,'00_SKU_Master'!$B$2:$B$378,'00_SKU_Master'!$O:$O,0),"")</f>
        <v/>
      </c>
      <c r="Q198" s="122">
        <f>_xludf.IFNA(_xlfn.XLOOKUP($A200,'00_SKU_Master'!$B$2:$B$378,'00_SKU_Master'!$F$2:$F$378,0)*I200/_xlfn.XLOOKUP($A200,'00_SKU_Master'!$B$2:$B$378,'00_SKU_Master'!$O:$O,0),"")</f>
        <v/>
      </c>
      <c r="R198" s="122">
        <f>_xludf.IFNA(_xlfn.XLOOKUP($A200,'00_SKU_Master'!$B$2:$B$378,'00_SKU_Master'!$F$2:$F$378,0)*J200/_xlfn.XLOOKUP($A200,'00_SKU_Master'!$B$2:$B$378,'00_SKU_Master'!$O:$O,0),"")</f>
        <v/>
      </c>
      <c r="S198" s="122">
        <f>_xludf.IFNA(_xlfn.XLOOKUP($A200,'00_SKU_Master'!$B$2:$B$378,'00_SKU_Master'!$F$2:$F$378,0)*K200/_xlfn.XLOOKUP($A200,'00_SKU_Master'!$B$2:$B$378,'00_SKU_Master'!$O:$O,0),"")</f>
        <v/>
      </c>
      <c r="T198" s="123">
        <f>SUM(N200:S200)</f>
        <v/>
      </c>
      <c r="U198" s="124">
        <f>'05_Daily_Orders'!L199</f>
        <v/>
      </c>
    </row>
    <row r="199">
      <c r="A199" s="118">
        <f>'05_Daily_Orders'!B200</f>
        <v/>
      </c>
      <c r="B199" s="50" t="n">
        <v>0</v>
      </c>
      <c r="C199" s="50" t="n">
        <v>0</v>
      </c>
      <c r="D199" s="119" t="n"/>
      <c r="E199" s="119" t="n"/>
      <c r="F199" t="n">
        <v>0</v>
      </c>
      <c r="L199" s="120">
        <f>IF($E$1="n",0,(SUM(F201:K201)-B201))</f>
        <v/>
      </c>
      <c r="M199" s="121">
        <f>_xludf.IFNA(_xlfn.XLOOKUP(A201,'00_SKU_Master'!$B$2:$B$378,'00_SKU_Master'!$C$2:$C$378,0),"")</f>
        <v/>
      </c>
      <c r="N199" s="122">
        <f>_xludf.IFNA(_xlfn.XLOOKUP(A201,'00_SKU_Master'!$B$2:$B$378,'00_SKU_Master'!$F$2:$F$378,0)*F201/_xlfn.XLOOKUP(A201,'00_SKU_Master'!$B$2:$B$378,'00_SKU_Master'!$O:$O,0),"")</f>
        <v/>
      </c>
      <c r="O199" s="122">
        <f>_xludf.IFNA(_xlfn.XLOOKUP($A201,'00_SKU_Master'!$B$2:$B$378,'00_SKU_Master'!$F$2:$F$378,0)*G201/_xlfn.XLOOKUP($A201,'00_SKU_Master'!$B$2:$B$378,'00_SKU_Master'!$O:$O,0),"")</f>
        <v/>
      </c>
      <c r="P199" s="122">
        <f>_xludf.IFNA(_xlfn.XLOOKUP($A201,'00_SKU_Master'!$B$2:$B$378,'00_SKU_Master'!$F$2:$F$378,0)*H201/_xlfn.XLOOKUP($A201,'00_SKU_Master'!$B$2:$B$378,'00_SKU_Master'!$O:$O,0),"")</f>
        <v/>
      </c>
      <c r="Q199" s="122">
        <f>_xludf.IFNA(_xlfn.XLOOKUP($A201,'00_SKU_Master'!$B$2:$B$378,'00_SKU_Master'!$F$2:$F$378,0)*I201/_xlfn.XLOOKUP($A201,'00_SKU_Master'!$B$2:$B$378,'00_SKU_Master'!$O:$O,0),"")</f>
        <v/>
      </c>
      <c r="R199" s="122">
        <f>_xludf.IFNA(_xlfn.XLOOKUP($A201,'00_SKU_Master'!$B$2:$B$378,'00_SKU_Master'!$F$2:$F$378,0)*J201/_xlfn.XLOOKUP($A201,'00_SKU_Master'!$B$2:$B$378,'00_SKU_Master'!$O:$O,0),"")</f>
        <v/>
      </c>
      <c r="S199" s="122">
        <f>_xludf.IFNA(_xlfn.XLOOKUP($A201,'00_SKU_Master'!$B$2:$B$378,'00_SKU_Master'!$F$2:$F$378,0)*K201/_xlfn.XLOOKUP($A201,'00_SKU_Master'!$B$2:$B$378,'00_SKU_Master'!$O:$O,0),"")</f>
        <v/>
      </c>
      <c r="T199" s="123">
        <f>SUM(N201:S201)</f>
        <v/>
      </c>
      <c r="U199" s="124">
        <f>'05_Daily_Orders'!L200</f>
        <v/>
      </c>
    </row>
    <row r="200">
      <c r="A200" s="118">
        <f>'05_Daily_Orders'!B201</f>
        <v/>
      </c>
      <c r="B200" s="50" t="n">
        <v>0</v>
      </c>
      <c r="C200" s="50" t="n">
        <v>0</v>
      </c>
      <c r="D200" s="119" t="n"/>
      <c r="E200" s="119" t="n"/>
      <c r="F200" t="n">
        <v>0</v>
      </c>
      <c r="L200" s="120">
        <f>IF($E$1="n",0,(SUM(F202:K202)-B202))</f>
        <v/>
      </c>
      <c r="M200" s="121">
        <f>_xludf.IFNA(_xlfn.XLOOKUP(A202,'00_SKU_Master'!$B$2:$B$378,'00_SKU_Master'!$C$2:$C$378,0),"")</f>
        <v/>
      </c>
      <c r="N200" s="122">
        <f>_xludf.IFNA(_xlfn.XLOOKUP(A202,'00_SKU_Master'!$B$2:$B$378,'00_SKU_Master'!$F$2:$F$378,0)*F202/_xlfn.XLOOKUP(A202,'00_SKU_Master'!$B$2:$B$378,'00_SKU_Master'!$O:$O,0),"")</f>
        <v/>
      </c>
      <c r="O200" s="122">
        <f>_xludf.IFNA(_xlfn.XLOOKUP($A202,'00_SKU_Master'!$B$2:$B$378,'00_SKU_Master'!$F$2:$F$378,0)*G202/_xlfn.XLOOKUP($A202,'00_SKU_Master'!$B$2:$B$378,'00_SKU_Master'!$O:$O,0),"")</f>
        <v/>
      </c>
      <c r="P200" s="122">
        <f>_xludf.IFNA(_xlfn.XLOOKUP($A202,'00_SKU_Master'!$B$2:$B$378,'00_SKU_Master'!$F$2:$F$378,0)*H202/_xlfn.XLOOKUP($A202,'00_SKU_Master'!$B$2:$B$378,'00_SKU_Master'!$O:$O,0),"")</f>
        <v/>
      </c>
      <c r="Q200" s="122">
        <f>_xludf.IFNA(_xlfn.XLOOKUP($A202,'00_SKU_Master'!$B$2:$B$378,'00_SKU_Master'!$F$2:$F$378,0)*I202/_xlfn.XLOOKUP($A202,'00_SKU_Master'!$B$2:$B$378,'00_SKU_Master'!$O:$O,0),"")</f>
        <v/>
      </c>
      <c r="R200" s="122">
        <f>_xludf.IFNA(_xlfn.XLOOKUP($A202,'00_SKU_Master'!$B$2:$B$378,'00_SKU_Master'!$F$2:$F$378,0)*J202/_xlfn.XLOOKUP($A202,'00_SKU_Master'!$B$2:$B$378,'00_SKU_Master'!$O:$O,0),"")</f>
        <v/>
      </c>
      <c r="S200" s="122">
        <f>_xludf.IFNA(_xlfn.XLOOKUP($A202,'00_SKU_Master'!$B$2:$B$378,'00_SKU_Master'!$F$2:$F$378,0)*K202/_xlfn.XLOOKUP($A202,'00_SKU_Master'!$B$2:$B$378,'00_SKU_Master'!$O:$O,0),"")</f>
        <v/>
      </c>
      <c r="T200" s="123">
        <f>SUM(N202:S202)</f>
        <v/>
      </c>
      <c r="U200" s="124">
        <f>'05_Daily_Orders'!L201</f>
        <v/>
      </c>
    </row>
    <row r="201">
      <c r="A201" s="118">
        <f>'05_Daily_Orders'!B202</f>
        <v/>
      </c>
      <c r="B201" s="50" t="n">
        <v>0</v>
      </c>
      <c r="C201" s="50" t="n">
        <v>0</v>
      </c>
      <c r="D201" s="119" t="n"/>
      <c r="E201" s="119" t="n"/>
      <c r="F201" t="n">
        <v>0</v>
      </c>
      <c r="L201" s="120">
        <f>IF($E$1="n",0,(SUM(F203:K203)-B203))</f>
        <v/>
      </c>
      <c r="M201" s="121">
        <f>_xludf.IFNA(_xlfn.XLOOKUP(A203,'00_SKU_Master'!$B$2:$B$378,'00_SKU_Master'!$C$2:$C$378,0),"")</f>
        <v/>
      </c>
      <c r="N201" s="122">
        <f>_xludf.IFNA(_xlfn.XLOOKUP(A203,'00_SKU_Master'!$B$2:$B$378,'00_SKU_Master'!$F$2:$F$378,0)*F203/_xlfn.XLOOKUP(A203,'00_SKU_Master'!$B$2:$B$378,'00_SKU_Master'!$O:$O,0),"")</f>
        <v/>
      </c>
      <c r="O201" s="122">
        <f>_xludf.IFNA(_xlfn.XLOOKUP($A203,'00_SKU_Master'!$B$2:$B$378,'00_SKU_Master'!$F$2:$F$378,0)*G203/_xlfn.XLOOKUP($A203,'00_SKU_Master'!$B$2:$B$378,'00_SKU_Master'!$O:$O,0),"")</f>
        <v/>
      </c>
      <c r="P201" s="122">
        <f>_xludf.IFNA(_xlfn.XLOOKUP($A203,'00_SKU_Master'!$B$2:$B$378,'00_SKU_Master'!$F$2:$F$378,0)*H203/_xlfn.XLOOKUP($A203,'00_SKU_Master'!$B$2:$B$378,'00_SKU_Master'!$O:$O,0),"")</f>
        <v/>
      </c>
      <c r="Q201" s="122">
        <f>_xludf.IFNA(_xlfn.XLOOKUP($A203,'00_SKU_Master'!$B$2:$B$378,'00_SKU_Master'!$F$2:$F$378,0)*I203/_xlfn.XLOOKUP($A203,'00_SKU_Master'!$B$2:$B$378,'00_SKU_Master'!$O:$O,0),"")</f>
        <v/>
      </c>
      <c r="R201" s="122">
        <f>_xludf.IFNA(_xlfn.XLOOKUP($A203,'00_SKU_Master'!$B$2:$B$378,'00_SKU_Master'!$F$2:$F$378,0)*J203/_xlfn.XLOOKUP($A203,'00_SKU_Master'!$B$2:$B$378,'00_SKU_Master'!$O:$O,0),"")</f>
        <v/>
      </c>
      <c r="S201" s="122">
        <f>_xludf.IFNA(_xlfn.XLOOKUP($A203,'00_SKU_Master'!$B$2:$B$378,'00_SKU_Master'!$F$2:$F$378,0)*K203/_xlfn.XLOOKUP($A203,'00_SKU_Master'!$B$2:$B$378,'00_SKU_Master'!$O:$O,0),"")</f>
        <v/>
      </c>
      <c r="T201" s="123">
        <f>SUM(N203:S203)</f>
        <v/>
      </c>
      <c r="U201" s="124">
        <f>'05_Daily_Orders'!L202</f>
        <v/>
      </c>
    </row>
    <row r="202">
      <c r="A202" s="118">
        <f>'05_Daily_Orders'!B203</f>
        <v/>
      </c>
      <c r="B202" s="50" t="n">
        <v>0</v>
      </c>
      <c r="C202" s="50" t="n">
        <v>0</v>
      </c>
      <c r="D202" s="119" t="n"/>
      <c r="E202" s="119" t="n"/>
      <c r="F202" t="n">
        <v>144</v>
      </c>
      <c r="L202" s="120">
        <f>IF($E$1="n",0,(SUM(F204:K204)-B204))</f>
        <v/>
      </c>
      <c r="M202" s="121">
        <f>_xludf.IFNA(_xlfn.XLOOKUP(A204,'00_SKU_Master'!$B$2:$B$378,'00_SKU_Master'!$C$2:$C$378,0),"")</f>
        <v/>
      </c>
      <c r="N202" s="122">
        <f>_xludf.IFNA(_xlfn.XLOOKUP(A204,'00_SKU_Master'!$B$2:$B$378,'00_SKU_Master'!$F$2:$F$378,0)*F204/_xlfn.XLOOKUP(A204,'00_SKU_Master'!$B$2:$B$378,'00_SKU_Master'!$O:$O,0),"")</f>
        <v/>
      </c>
      <c r="O202" s="122">
        <f>_xludf.IFNA(_xlfn.XLOOKUP($A204,'00_SKU_Master'!$B$2:$B$378,'00_SKU_Master'!$F$2:$F$378,0)*G204/_xlfn.XLOOKUP($A204,'00_SKU_Master'!$B$2:$B$378,'00_SKU_Master'!$O:$O,0),"")</f>
        <v/>
      </c>
      <c r="P202" s="122">
        <f>_xludf.IFNA(_xlfn.XLOOKUP($A204,'00_SKU_Master'!$B$2:$B$378,'00_SKU_Master'!$F$2:$F$378,0)*H204/_xlfn.XLOOKUP($A204,'00_SKU_Master'!$B$2:$B$378,'00_SKU_Master'!$O:$O,0),"")</f>
        <v/>
      </c>
      <c r="Q202" s="122">
        <f>_xludf.IFNA(_xlfn.XLOOKUP($A204,'00_SKU_Master'!$B$2:$B$378,'00_SKU_Master'!$F$2:$F$378,0)*I204/_xlfn.XLOOKUP($A204,'00_SKU_Master'!$B$2:$B$378,'00_SKU_Master'!$O:$O,0),"")</f>
        <v/>
      </c>
      <c r="R202" s="122">
        <f>_xludf.IFNA(_xlfn.XLOOKUP($A204,'00_SKU_Master'!$B$2:$B$378,'00_SKU_Master'!$F$2:$F$378,0)*J204/_xlfn.XLOOKUP($A204,'00_SKU_Master'!$B$2:$B$378,'00_SKU_Master'!$O:$O,0),"")</f>
        <v/>
      </c>
      <c r="S202" s="122">
        <f>_xludf.IFNA(_xlfn.XLOOKUP($A204,'00_SKU_Master'!$B$2:$B$378,'00_SKU_Master'!$F$2:$F$378,0)*K204/_xlfn.XLOOKUP($A204,'00_SKU_Master'!$B$2:$B$378,'00_SKU_Master'!$O:$O,0),"")</f>
        <v/>
      </c>
      <c r="T202" s="123">
        <f>SUM(N204:S204)</f>
        <v/>
      </c>
      <c r="U202" s="124">
        <f>'05_Daily_Orders'!L203</f>
        <v/>
      </c>
    </row>
    <row r="203">
      <c r="A203" s="118">
        <f>'05_Daily_Orders'!B204</f>
        <v/>
      </c>
      <c r="B203" s="50" t="n">
        <v>4</v>
      </c>
      <c r="C203" s="50" t="n">
        <v>0</v>
      </c>
      <c r="D203" s="119" t="n"/>
      <c r="E203" s="119" t="n"/>
      <c r="F203" t="n">
        <v>327</v>
      </c>
      <c r="L203" s="120">
        <f>IF($E$1="n",0,(SUM(F205:K205)-B205))</f>
        <v/>
      </c>
      <c r="M203" s="121">
        <f>_xludf.IFNA(_xlfn.XLOOKUP(A205,'00_SKU_Master'!$B$2:$B$378,'00_SKU_Master'!$C$2:$C$378,0),"")</f>
        <v/>
      </c>
      <c r="N203" s="122">
        <f>_xludf.IFNA(_xlfn.XLOOKUP(A205,'00_SKU_Master'!$B$2:$B$378,'00_SKU_Master'!$F$2:$F$378,0)*F205/_xlfn.XLOOKUP(A205,'00_SKU_Master'!$B$2:$B$378,'00_SKU_Master'!$O:$O,0),"")</f>
        <v/>
      </c>
      <c r="O203" s="122">
        <f>_xludf.IFNA(_xlfn.XLOOKUP($A205,'00_SKU_Master'!$B$2:$B$378,'00_SKU_Master'!$F$2:$F$378,0)*G205/_xlfn.XLOOKUP($A205,'00_SKU_Master'!$B$2:$B$378,'00_SKU_Master'!$O:$O,0),"")</f>
        <v/>
      </c>
      <c r="P203" s="122">
        <f>_xludf.IFNA(_xlfn.XLOOKUP($A205,'00_SKU_Master'!$B$2:$B$378,'00_SKU_Master'!$F$2:$F$378,0)*H205/_xlfn.XLOOKUP($A205,'00_SKU_Master'!$B$2:$B$378,'00_SKU_Master'!$O:$O,0),"")</f>
        <v/>
      </c>
      <c r="Q203" s="122">
        <f>_xludf.IFNA(_xlfn.XLOOKUP($A205,'00_SKU_Master'!$B$2:$B$378,'00_SKU_Master'!$F$2:$F$378,0)*I205/_xlfn.XLOOKUP($A205,'00_SKU_Master'!$B$2:$B$378,'00_SKU_Master'!$O:$O,0),"")</f>
        <v/>
      </c>
      <c r="R203" s="122">
        <f>_xludf.IFNA(_xlfn.XLOOKUP($A205,'00_SKU_Master'!$B$2:$B$378,'00_SKU_Master'!$F$2:$F$378,0)*J205/_xlfn.XLOOKUP($A205,'00_SKU_Master'!$B$2:$B$378,'00_SKU_Master'!$O:$O,0),"")</f>
        <v/>
      </c>
      <c r="S203" s="122">
        <f>_xludf.IFNA(_xlfn.XLOOKUP($A205,'00_SKU_Master'!$B$2:$B$378,'00_SKU_Master'!$F$2:$F$378,0)*K205/_xlfn.XLOOKUP($A205,'00_SKU_Master'!$B$2:$B$378,'00_SKU_Master'!$O:$O,0),"")</f>
        <v/>
      </c>
      <c r="T203" s="123">
        <f>SUM(N205:S205)</f>
        <v/>
      </c>
      <c r="U203" s="124">
        <f>'05_Daily_Orders'!L204</f>
        <v/>
      </c>
    </row>
    <row r="204">
      <c r="A204" s="118">
        <f>'05_Daily_Orders'!B205</f>
        <v/>
      </c>
      <c r="B204" s="50" t="n">
        <v>0</v>
      </c>
      <c r="C204" s="50" t="n">
        <v>187</v>
      </c>
      <c r="D204" s="119" t="n"/>
      <c r="E204" s="119" t="n"/>
      <c r="F204" t="n">
        <v>182</v>
      </c>
      <c r="L204" s="120">
        <f>IF($E$1="n",0,(SUM(F206:K206)-B206))</f>
        <v/>
      </c>
      <c r="M204" s="121">
        <f>_xludf.IFNA(_xlfn.XLOOKUP(A206,'00_SKU_Master'!$B$2:$B$378,'00_SKU_Master'!$C$2:$C$378,0),"")</f>
        <v/>
      </c>
      <c r="N204" s="122">
        <f>_xludf.IFNA(_xlfn.XLOOKUP(A206,'00_SKU_Master'!$B$2:$B$378,'00_SKU_Master'!$F$2:$F$378,0)*F206/_xlfn.XLOOKUP(A206,'00_SKU_Master'!$B$2:$B$378,'00_SKU_Master'!$O:$O,0),"")</f>
        <v/>
      </c>
      <c r="O204" s="122">
        <f>_xludf.IFNA(_xlfn.XLOOKUP($A206,'00_SKU_Master'!$B$2:$B$378,'00_SKU_Master'!$F$2:$F$378,0)*G206/_xlfn.XLOOKUP($A206,'00_SKU_Master'!$B$2:$B$378,'00_SKU_Master'!$O:$O,0),"")</f>
        <v/>
      </c>
      <c r="P204" s="122">
        <f>_xludf.IFNA(_xlfn.XLOOKUP($A206,'00_SKU_Master'!$B$2:$B$378,'00_SKU_Master'!$F$2:$F$378,0)*H206/_xlfn.XLOOKUP($A206,'00_SKU_Master'!$B$2:$B$378,'00_SKU_Master'!$O:$O,0),"")</f>
        <v/>
      </c>
      <c r="Q204" s="122">
        <f>_xludf.IFNA(_xlfn.XLOOKUP($A206,'00_SKU_Master'!$B$2:$B$378,'00_SKU_Master'!$F$2:$F$378,0)*I206/_xlfn.XLOOKUP($A206,'00_SKU_Master'!$B$2:$B$378,'00_SKU_Master'!$O:$O,0),"")</f>
        <v/>
      </c>
      <c r="R204" s="122">
        <f>_xludf.IFNA(_xlfn.XLOOKUP($A206,'00_SKU_Master'!$B$2:$B$378,'00_SKU_Master'!$F$2:$F$378,0)*J206/_xlfn.XLOOKUP($A206,'00_SKU_Master'!$B$2:$B$378,'00_SKU_Master'!$O:$O,0),"")</f>
        <v/>
      </c>
      <c r="S204" s="122">
        <f>_xludf.IFNA(_xlfn.XLOOKUP($A206,'00_SKU_Master'!$B$2:$B$378,'00_SKU_Master'!$F$2:$F$378,0)*K206/_xlfn.XLOOKUP($A206,'00_SKU_Master'!$B$2:$B$378,'00_SKU_Master'!$O:$O,0),"")</f>
        <v/>
      </c>
      <c r="T204" s="123">
        <f>SUM(N206:S206)</f>
        <v/>
      </c>
      <c r="U204" s="124">
        <f>'05_Daily_Orders'!L205</f>
        <v/>
      </c>
    </row>
    <row r="205">
      <c r="A205" s="118">
        <f>'05_Daily_Orders'!B206</f>
        <v/>
      </c>
      <c r="B205" s="50" t="n">
        <v>0</v>
      </c>
      <c r="C205" s="50" t="n">
        <v>0</v>
      </c>
      <c r="D205" s="119" t="n"/>
      <c r="E205" s="119" t="n"/>
      <c r="F205" t="n">
        <v>127</v>
      </c>
      <c r="L205" s="120">
        <f>IF($E$1="n",0,(SUM(F207:K207)-B207))</f>
        <v/>
      </c>
      <c r="M205" s="121">
        <f>_xludf.IFNA(_xlfn.XLOOKUP(A207,'00_SKU_Master'!$B$2:$B$378,'00_SKU_Master'!$C$2:$C$378,0),"")</f>
        <v/>
      </c>
      <c r="N205" s="122">
        <f>_xludf.IFNA(_xlfn.XLOOKUP(A207,'00_SKU_Master'!$B$2:$B$378,'00_SKU_Master'!$F$2:$F$378,0)*F207/_xlfn.XLOOKUP(A207,'00_SKU_Master'!$B$2:$B$378,'00_SKU_Master'!$O:$O,0),"")</f>
        <v/>
      </c>
      <c r="O205" s="122">
        <f>_xludf.IFNA(_xlfn.XLOOKUP($A207,'00_SKU_Master'!$B$2:$B$378,'00_SKU_Master'!$F$2:$F$378,0)*G207/_xlfn.XLOOKUP($A207,'00_SKU_Master'!$B$2:$B$378,'00_SKU_Master'!$O:$O,0),"")</f>
        <v/>
      </c>
      <c r="P205" s="122">
        <f>_xludf.IFNA(_xlfn.XLOOKUP($A207,'00_SKU_Master'!$B$2:$B$378,'00_SKU_Master'!$F$2:$F$378,0)*H207/_xlfn.XLOOKUP($A207,'00_SKU_Master'!$B$2:$B$378,'00_SKU_Master'!$O:$O,0),"")</f>
        <v/>
      </c>
      <c r="Q205" s="122">
        <f>_xludf.IFNA(_xlfn.XLOOKUP($A207,'00_SKU_Master'!$B$2:$B$378,'00_SKU_Master'!$F$2:$F$378,0)*I207/_xlfn.XLOOKUP($A207,'00_SKU_Master'!$B$2:$B$378,'00_SKU_Master'!$O:$O,0),"")</f>
        <v/>
      </c>
      <c r="R205" s="122">
        <f>_xludf.IFNA(_xlfn.XLOOKUP($A207,'00_SKU_Master'!$B$2:$B$378,'00_SKU_Master'!$F$2:$F$378,0)*J207/_xlfn.XLOOKUP($A207,'00_SKU_Master'!$B$2:$B$378,'00_SKU_Master'!$O:$O,0),"")</f>
        <v/>
      </c>
      <c r="S205" s="122">
        <f>_xludf.IFNA(_xlfn.XLOOKUP($A207,'00_SKU_Master'!$B$2:$B$378,'00_SKU_Master'!$F$2:$F$378,0)*K207/_xlfn.XLOOKUP($A207,'00_SKU_Master'!$B$2:$B$378,'00_SKU_Master'!$O:$O,0),"")</f>
        <v/>
      </c>
      <c r="T205" s="123">
        <f>SUM(N207:S207)</f>
        <v/>
      </c>
      <c r="U205" s="124">
        <f>'05_Daily_Orders'!L206</f>
        <v/>
      </c>
    </row>
    <row r="206">
      <c r="A206" s="118">
        <f>'05_Daily_Orders'!B207</f>
        <v/>
      </c>
      <c r="B206" s="50" t="n">
        <v>0</v>
      </c>
      <c r="C206" s="50" t="n">
        <v>0</v>
      </c>
      <c r="D206" s="119" t="n"/>
      <c r="E206" s="119" t="n"/>
      <c r="F206" t="n">
        <v>109</v>
      </c>
      <c r="L206" s="120">
        <f>IF($E$1="n",0,(SUM(F208:K208)-B208))</f>
        <v/>
      </c>
      <c r="M206" s="121">
        <f>_xludf.IFNA(_xlfn.XLOOKUP(A208,'00_SKU_Master'!$B$2:$B$378,'00_SKU_Master'!$C$2:$C$378,0),"")</f>
        <v/>
      </c>
      <c r="N206" s="122">
        <f>_xludf.IFNA(_xlfn.XLOOKUP(A208,'00_SKU_Master'!$B$2:$B$378,'00_SKU_Master'!$F$2:$F$378,0)*F208/_xlfn.XLOOKUP(A208,'00_SKU_Master'!$B$2:$B$378,'00_SKU_Master'!$O:$O,0),"")</f>
        <v/>
      </c>
      <c r="O206" s="122">
        <f>_xludf.IFNA(_xlfn.XLOOKUP($A208,'00_SKU_Master'!$B$2:$B$378,'00_SKU_Master'!$F$2:$F$378,0)*G208/_xlfn.XLOOKUP($A208,'00_SKU_Master'!$B$2:$B$378,'00_SKU_Master'!$O:$O,0),"")</f>
        <v/>
      </c>
      <c r="P206" s="122">
        <f>_xludf.IFNA(_xlfn.XLOOKUP($A208,'00_SKU_Master'!$B$2:$B$378,'00_SKU_Master'!$F$2:$F$378,0)*H208/_xlfn.XLOOKUP($A208,'00_SKU_Master'!$B$2:$B$378,'00_SKU_Master'!$O:$O,0),"")</f>
        <v/>
      </c>
      <c r="Q206" s="122">
        <f>_xludf.IFNA(_xlfn.XLOOKUP($A208,'00_SKU_Master'!$B$2:$B$378,'00_SKU_Master'!$F$2:$F$378,0)*I208/_xlfn.XLOOKUP($A208,'00_SKU_Master'!$B$2:$B$378,'00_SKU_Master'!$O:$O,0),"")</f>
        <v/>
      </c>
      <c r="R206" s="122">
        <f>_xludf.IFNA(_xlfn.XLOOKUP($A208,'00_SKU_Master'!$B$2:$B$378,'00_SKU_Master'!$F$2:$F$378,0)*J208/_xlfn.XLOOKUP($A208,'00_SKU_Master'!$B$2:$B$378,'00_SKU_Master'!$O:$O,0),"")</f>
        <v/>
      </c>
      <c r="S206" s="122">
        <f>_xludf.IFNA(_xlfn.XLOOKUP($A208,'00_SKU_Master'!$B$2:$B$378,'00_SKU_Master'!$F$2:$F$378,0)*K208/_xlfn.XLOOKUP($A208,'00_SKU_Master'!$B$2:$B$378,'00_SKU_Master'!$O:$O,0),"")</f>
        <v/>
      </c>
      <c r="T206" s="123">
        <f>SUM(N208:S208)</f>
        <v/>
      </c>
      <c r="U206" s="124">
        <f>'05_Daily_Orders'!L207</f>
        <v/>
      </c>
    </row>
    <row r="207">
      <c r="A207" s="118">
        <f>'05_Daily_Orders'!B208</f>
        <v/>
      </c>
      <c r="B207" s="50" t="n">
        <v>0</v>
      </c>
      <c r="C207" s="50" t="n">
        <v>0</v>
      </c>
      <c r="D207" s="119" t="n"/>
      <c r="E207" s="119" t="n"/>
      <c r="F207" t="n">
        <v>0</v>
      </c>
      <c r="L207" s="120">
        <f>IF($E$1="n",0,(SUM(F209:K209)-B209))</f>
        <v/>
      </c>
      <c r="M207" s="121">
        <f>_xludf.IFNA(_xlfn.XLOOKUP(A209,'00_SKU_Master'!$B$2:$B$378,'00_SKU_Master'!$C$2:$C$378,0),"")</f>
        <v/>
      </c>
      <c r="N207" s="122">
        <f>_xludf.IFNA(_xlfn.XLOOKUP(A209,'00_SKU_Master'!$B$2:$B$378,'00_SKU_Master'!$F$2:$F$378,0)*F209/_xlfn.XLOOKUP(A209,'00_SKU_Master'!$B$2:$B$378,'00_SKU_Master'!$O:$O,0),"")</f>
        <v/>
      </c>
      <c r="O207" s="122">
        <f>_xludf.IFNA(_xlfn.XLOOKUP($A209,'00_SKU_Master'!$B$2:$B$378,'00_SKU_Master'!$F$2:$F$378,0)*G209/_xlfn.XLOOKUP($A209,'00_SKU_Master'!$B$2:$B$378,'00_SKU_Master'!$O:$O,0),"")</f>
        <v/>
      </c>
      <c r="P207" s="122">
        <f>_xludf.IFNA(_xlfn.XLOOKUP($A209,'00_SKU_Master'!$B$2:$B$378,'00_SKU_Master'!$F$2:$F$378,0)*H209/_xlfn.XLOOKUP($A209,'00_SKU_Master'!$B$2:$B$378,'00_SKU_Master'!$O:$O,0),"")</f>
        <v/>
      </c>
      <c r="Q207" s="122">
        <f>_xludf.IFNA(_xlfn.XLOOKUP($A209,'00_SKU_Master'!$B$2:$B$378,'00_SKU_Master'!$F$2:$F$378,0)*I209/_xlfn.XLOOKUP($A209,'00_SKU_Master'!$B$2:$B$378,'00_SKU_Master'!$O:$O,0),"")</f>
        <v/>
      </c>
      <c r="R207" s="122">
        <f>_xludf.IFNA(_xlfn.XLOOKUP($A209,'00_SKU_Master'!$B$2:$B$378,'00_SKU_Master'!$F$2:$F$378,0)*J209/_xlfn.XLOOKUP($A209,'00_SKU_Master'!$B$2:$B$378,'00_SKU_Master'!$O:$O,0),"")</f>
        <v/>
      </c>
      <c r="S207" s="122">
        <f>_xludf.IFNA(_xlfn.XLOOKUP($A209,'00_SKU_Master'!$B$2:$B$378,'00_SKU_Master'!$F$2:$F$378,0)*K209/_xlfn.XLOOKUP($A209,'00_SKU_Master'!$B$2:$B$378,'00_SKU_Master'!$O:$O,0),"")</f>
        <v/>
      </c>
      <c r="T207" s="123">
        <f>SUM(N209:S209)</f>
        <v/>
      </c>
      <c r="U207" s="124">
        <f>'05_Daily_Orders'!L208</f>
        <v/>
      </c>
    </row>
    <row r="208">
      <c r="A208" s="118">
        <f>'05_Daily_Orders'!B209</f>
        <v/>
      </c>
      <c r="B208" s="50" t="n">
        <v>0</v>
      </c>
      <c r="C208" s="50" t="n">
        <v>16</v>
      </c>
      <c r="D208" s="119" t="n"/>
      <c r="E208" s="119" t="n"/>
      <c r="F208" t="n">
        <v>14</v>
      </c>
      <c r="L208" s="120">
        <f>IF($E$1="n",0,(SUM(F210:K210)-B210))</f>
        <v/>
      </c>
      <c r="M208" s="121">
        <f>_xludf.IFNA(_xlfn.XLOOKUP(A210,'00_SKU_Master'!$B$2:$B$378,'00_SKU_Master'!$C$2:$C$378,0),"")</f>
        <v/>
      </c>
      <c r="N208" s="122">
        <f>_xludf.IFNA(_xlfn.XLOOKUP(A210,'00_SKU_Master'!$B$2:$B$378,'00_SKU_Master'!$F$2:$F$378,0)*F210/_xlfn.XLOOKUP(A210,'00_SKU_Master'!$B$2:$B$378,'00_SKU_Master'!$O:$O,0),"")</f>
        <v/>
      </c>
      <c r="O208" s="122">
        <f>_xludf.IFNA(_xlfn.XLOOKUP($A210,'00_SKU_Master'!$B$2:$B$378,'00_SKU_Master'!$F$2:$F$378,0)*G210/_xlfn.XLOOKUP($A210,'00_SKU_Master'!$B$2:$B$378,'00_SKU_Master'!$O:$O,0),"")</f>
        <v/>
      </c>
      <c r="P208" s="122">
        <f>_xludf.IFNA(_xlfn.XLOOKUP($A210,'00_SKU_Master'!$B$2:$B$378,'00_SKU_Master'!$F$2:$F$378,0)*H210/_xlfn.XLOOKUP($A210,'00_SKU_Master'!$B$2:$B$378,'00_SKU_Master'!$O:$O,0),"")</f>
        <v/>
      </c>
      <c r="Q208" s="122">
        <f>_xludf.IFNA(_xlfn.XLOOKUP($A210,'00_SKU_Master'!$B$2:$B$378,'00_SKU_Master'!$F$2:$F$378,0)*I210/_xlfn.XLOOKUP($A210,'00_SKU_Master'!$B$2:$B$378,'00_SKU_Master'!$O:$O,0),"")</f>
        <v/>
      </c>
      <c r="R208" s="122">
        <f>_xludf.IFNA(_xlfn.XLOOKUP($A210,'00_SKU_Master'!$B$2:$B$378,'00_SKU_Master'!$F$2:$F$378,0)*J210/_xlfn.XLOOKUP($A210,'00_SKU_Master'!$B$2:$B$378,'00_SKU_Master'!$O:$O,0),"")</f>
        <v/>
      </c>
      <c r="S208" s="122">
        <f>_xludf.IFNA(_xlfn.XLOOKUP($A210,'00_SKU_Master'!$B$2:$B$378,'00_SKU_Master'!$F$2:$F$378,0)*K210/_xlfn.XLOOKUP($A210,'00_SKU_Master'!$B$2:$B$378,'00_SKU_Master'!$O:$O,0),"")</f>
        <v/>
      </c>
      <c r="T208" s="123">
        <f>SUM(N210:S210)</f>
        <v/>
      </c>
      <c r="U208" s="124">
        <f>'05_Daily_Orders'!L209</f>
        <v/>
      </c>
    </row>
    <row r="209">
      <c r="A209" s="118">
        <f>'05_Daily_Orders'!B210</f>
        <v/>
      </c>
      <c r="B209" s="50" t="n">
        <v>0</v>
      </c>
      <c r="C209" s="50" t="n">
        <v>32</v>
      </c>
      <c r="D209" s="119" t="n"/>
      <c r="E209" s="119" t="n"/>
      <c r="F209" t="n">
        <v>226</v>
      </c>
      <c r="L209" s="120">
        <f>IF($E$1="n",0,(SUM(F211:K211)-B211))</f>
        <v/>
      </c>
      <c r="M209" s="121">
        <f>_xludf.IFNA(_xlfn.XLOOKUP(A211,'00_SKU_Master'!$B$2:$B$378,'00_SKU_Master'!$C$2:$C$378,0),"")</f>
        <v/>
      </c>
      <c r="N209" s="122">
        <f>_xludf.IFNA(_xlfn.XLOOKUP(A211,'00_SKU_Master'!$B$2:$B$378,'00_SKU_Master'!$F$2:$F$378,0)*F211/_xlfn.XLOOKUP(A211,'00_SKU_Master'!$B$2:$B$378,'00_SKU_Master'!$O:$O,0),"")</f>
        <v/>
      </c>
      <c r="O209" s="122">
        <f>_xludf.IFNA(_xlfn.XLOOKUP($A211,'00_SKU_Master'!$B$2:$B$378,'00_SKU_Master'!$F$2:$F$378,0)*G211/_xlfn.XLOOKUP($A211,'00_SKU_Master'!$B$2:$B$378,'00_SKU_Master'!$O:$O,0),"")</f>
        <v/>
      </c>
      <c r="P209" s="122">
        <f>_xludf.IFNA(_xlfn.XLOOKUP($A211,'00_SKU_Master'!$B$2:$B$378,'00_SKU_Master'!$F$2:$F$378,0)*H211/_xlfn.XLOOKUP($A211,'00_SKU_Master'!$B$2:$B$378,'00_SKU_Master'!$O:$O,0),"")</f>
        <v/>
      </c>
      <c r="Q209" s="122">
        <f>_xludf.IFNA(_xlfn.XLOOKUP($A211,'00_SKU_Master'!$B$2:$B$378,'00_SKU_Master'!$F$2:$F$378,0)*I211/_xlfn.XLOOKUP($A211,'00_SKU_Master'!$B$2:$B$378,'00_SKU_Master'!$O:$O,0),"")</f>
        <v/>
      </c>
      <c r="R209" s="122">
        <f>_xludf.IFNA(_xlfn.XLOOKUP($A211,'00_SKU_Master'!$B$2:$B$378,'00_SKU_Master'!$F$2:$F$378,0)*J211/_xlfn.XLOOKUP($A211,'00_SKU_Master'!$B$2:$B$378,'00_SKU_Master'!$O:$O,0),"")</f>
        <v/>
      </c>
      <c r="S209" s="122">
        <f>_xludf.IFNA(_xlfn.XLOOKUP($A211,'00_SKU_Master'!$B$2:$B$378,'00_SKU_Master'!$F$2:$F$378,0)*K211/_xlfn.XLOOKUP($A211,'00_SKU_Master'!$B$2:$B$378,'00_SKU_Master'!$O:$O,0),"")</f>
        <v/>
      </c>
      <c r="T209" s="123">
        <f>SUM(N211:S211)</f>
        <v/>
      </c>
      <c r="U209" s="124">
        <f>'05_Daily_Orders'!L210</f>
        <v/>
      </c>
    </row>
    <row r="210">
      <c r="A210" s="118">
        <f>'05_Daily_Orders'!B211</f>
        <v/>
      </c>
      <c r="B210" s="50" t="n">
        <v>0</v>
      </c>
      <c r="C210" s="50" t="n">
        <v>0</v>
      </c>
      <c r="D210" s="119" t="n"/>
      <c r="E210" s="119" t="n"/>
      <c r="F210" t="n">
        <v>0</v>
      </c>
      <c r="L210" s="120">
        <f>IF($E$1="n",0,(SUM(F212:K212)-B212))</f>
        <v/>
      </c>
      <c r="M210" s="121">
        <f>_xludf.IFNA(_xlfn.XLOOKUP(A212,'00_SKU_Master'!$B$2:$B$378,'00_SKU_Master'!$C$2:$C$378,0),"")</f>
        <v/>
      </c>
      <c r="N210" s="122">
        <f>_xludf.IFNA(_xlfn.XLOOKUP(A212,'00_SKU_Master'!$B$2:$B$378,'00_SKU_Master'!$F$2:$F$378,0)*F212/_xlfn.XLOOKUP(A212,'00_SKU_Master'!$B$2:$B$378,'00_SKU_Master'!$O:$O,0),"")</f>
        <v/>
      </c>
      <c r="O210" s="122">
        <f>_xludf.IFNA(_xlfn.XLOOKUP($A212,'00_SKU_Master'!$B$2:$B$378,'00_SKU_Master'!$F$2:$F$378,0)*G212/_xlfn.XLOOKUP($A212,'00_SKU_Master'!$B$2:$B$378,'00_SKU_Master'!$O:$O,0),"")</f>
        <v/>
      </c>
      <c r="P210" s="122">
        <f>_xludf.IFNA(_xlfn.XLOOKUP($A212,'00_SKU_Master'!$B$2:$B$378,'00_SKU_Master'!$F$2:$F$378,0)*H212/_xlfn.XLOOKUP($A212,'00_SKU_Master'!$B$2:$B$378,'00_SKU_Master'!$O:$O,0),"")</f>
        <v/>
      </c>
      <c r="Q210" s="122">
        <f>_xludf.IFNA(_xlfn.XLOOKUP($A212,'00_SKU_Master'!$B$2:$B$378,'00_SKU_Master'!$F$2:$F$378,0)*I212/_xlfn.XLOOKUP($A212,'00_SKU_Master'!$B$2:$B$378,'00_SKU_Master'!$O:$O,0),"")</f>
        <v/>
      </c>
      <c r="R210" s="122">
        <f>_xludf.IFNA(_xlfn.XLOOKUP($A212,'00_SKU_Master'!$B$2:$B$378,'00_SKU_Master'!$F$2:$F$378,0)*J212/_xlfn.XLOOKUP($A212,'00_SKU_Master'!$B$2:$B$378,'00_SKU_Master'!$O:$O,0),"")</f>
        <v/>
      </c>
      <c r="S210" s="122">
        <f>_xludf.IFNA(_xlfn.XLOOKUP($A212,'00_SKU_Master'!$B$2:$B$378,'00_SKU_Master'!$F$2:$F$378,0)*K212/_xlfn.XLOOKUP($A212,'00_SKU_Master'!$B$2:$B$378,'00_SKU_Master'!$O:$O,0),"")</f>
        <v/>
      </c>
      <c r="T210" s="123">
        <f>SUM(N212:S212)</f>
        <v/>
      </c>
      <c r="U210" s="124">
        <f>'05_Daily_Orders'!L211</f>
        <v/>
      </c>
    </row>
    <row r="211">
      <c r="A211" s="118">
        <f>'05_Daily_Orders'!B212</f>
        <v/>
      </c>
      <c r="B211" s="50" t="n">
        <v>0</v>
      </c>
      <c r="C211" s="50" t="n">
        <v>0</v>
      </c>
      <c r="D211" s="119" t="n"/>
      <c r="E211" s="119" t="n"/>
      <c r="F211" t="n">
        <v>0</v>
      </c>
      <c r="L211" s="120">
        <f>IF($E$1="n",0,(SUM(F213:K213)-B213))</f>
        <v/>
      </c>
      <c r="M211" s="121">
        <f>_xludf.IFNA(_xlfn.XLOOKUP(A213,'00_SKU_Master'!$B$2:$B$378,'00_SKU_Master'!$C$2:$C$378,0),"")</f>
        <v/>
      </c>
      <c r="N211" s="122">
        <f>_xludf.IFNA(_xlfn.XLOOKUP(A213,'00_SKU_Master'!$B$2:$B$378,'00_SKU_Master'!$F$2:$F$378,0)*F213/_xlfn.XLOOKUP(A213,'00_SKU_Master'!$B$2:$B$378,'00_SKU_Master'!$O:$O,0),"")</f>
        <v/>
      </c>
      <c r="O211" s="122">
        <f>_xludf.IFNA(_xlfn.XLOOKUP($A213,'00_SKU_Master'!$B$2:$B$378,'00_SKU_Master'!$F$2:$F$378,0)*G213/_xlfn.XLOOKUP($A213,'00_SKU_Master'!$B$2:$B$378,'00_SKU_Master'!$O:$O,0),"")</f>
        <v/>
      </c>
      <c r="P211" s="122">
        <f>_xludf.IFNA(_xlfn.XLOOKUP($A213,'00_SKU_Master'!$B$2:$B$378,'00_SKU_Master'!$F$2:$F$378,0)*H213/_xlfn.XLOOKUP($A213,'00_SKU_Master'!$B$2:$B$378,'00_SKU_Master'!$O:$O,0),"")</f>
        <v/>
      </c>
      <c r="Q211" s="122">
        <f>_xludf.IFNA(_xlfn.XLOOKUP($A213,'00_SKU_Master'!$B$2:$B$378,'00_SKU_Master'!$F$2:$F$378,0)*I213/_xlfn.XLOOKUP($A213,'00_SKU_Master'!$B$2:$B$378,'00_SKU_Master'!$O:$O,0),"")</f>
        <v/>
      </c>
      <c r="R211" s="122">
        <f>_xludf.IFNA(_xlfn.XLOOKUP($A213,'00_SKU_Master'!$B$2:$B$378,'00_SKU_Master'!$F$2:$F$378,0)*J213/_xlfn.XLOOKUP($A213,'00_SKU_Master'!$B$2:$B$378,'00_SKU_Master'!$O:$O,0),"")</f>
        <v/>
      </c>
      <c r="S211" s="122">
        <f>_xludf.IFNA(_xlfn.XLOOKUP($A213,'00_SKU_Master'!$B$2:$B$378,'00_SKU_Master'!$F$2:$F$378,0)*K213/_xlfn.XLOOKUP($A213,'00_SKU_Master'!$B$2:$B$378,'00_SKU_Master'!$O:$O,0),"")</f>
        <v/>
      </c>
      <c r="T211" s="123">
        <f>SUM(N213:S213)</f>
        <v/>
      </c>
      <c r="U211" s="124">
        <f>'05_Daily_Orders'!L212</f>
        <v/>
      </c>
    </row>
    <row r="212">
      <c r="A212" s="118">
        <f>'05_Daily_Orders'!B213</f>
        <v/>
      </c>
      <c r="B212" s="50" t="n">
        <v>0</v>
      </c>
      <c r="C212" s="50" t="n">
        <v>0</v>
      </c>
      <c r="D212" s="119" t="n"/>
      <c r="E212" s="119" t="n"/>
      <c r="F212" t="n">
        <v>0</v>
      </c>
      <c r="L212" s="120">
        <f>IF($E$1="n",0,(SUM(F214:K214)-B214))</f>
        <v/>
      </c>
      <c r="M212" s="121">
        <f>_xludf.IFNA(_xlfn.XLOOKUP(A214,'00_SKU_Master'!$B$2:$B$378,'00_SKU_Master'!$C$2:$C$378,0),"")</f>
        <v/>
      </c>
      <c r="N212" s="122">
        <f>_xludf.IFNA(_xlfn.XLOOKUP(A214,'00_SKU_Master'!$B$2:$B$378,'00_SKU_Master'!$F$2:$F$378,0)*F214/_xlfn.XLOOKUP(A214,'00_SKU_Master'!$B$2:$B$378,'00_SKU_Master'!$O:$O,0),"")</f>
        <v/>
      </c>
      <c r="O212" s="122">
        <f>_xludf.IFNA(_xlfn.XLOOKUP($A214,'00_SKU_Master'!$B$2:$B$378,'00_SKU_Master'!$F$2:$F$378,0)*G214/_xlfn.XLOOKUP($A214,'00_SKU_Master'!$B$2:$B$378,'00_SKU_Master'!$O:$O,0),"")</f>
        <v/>
      </c>
      <c r="P212" s="122">
        <f>_xludf.IFNA(_xlfn.XLOOKUP($A214,'00_SKU_Master'!$B$2:$B$378,'00_SKU_Master'!$F$2:$F$378,0)*H214/_xlfn.XLOOKUP($A214,'00_SKU_Master'!$B$2:$B$378,'00_SKU_Master'!$O:$O,0),"")</f>
        <v/>
      </c>
      <c r="Q212" s="122">
        <f>_xludf.IFNA(_xlfn.XLOOKUP($A214,'00_SKU_Master'!$B$2:$B$378,'00_SKU_Master'!$F$2:$F$378,0)*I214/_xlfn.XLOOKUP($A214,'00_SKU_Master'!$B$2:$B$378,'00_SKU_Master'!$O:$O,0),"")</f>
        <v/>
      </c>
      <c r="R212" s="122">
        <f>_xludf.IFNA(_xlfn.XLOOKUP($A214,'00_SKU_Master'!$B$2:$B$378,'00_SKU_Master'!$F$2:$F$378,0)*J214/_xlfn.XLOOKUP($A214,'00_SKU_Master'!$B$2:$B$378,'00_SKU_Master'!$O:$O,0),"")</f>
        <v/>
      </c>
      <c r="S212" s="122">
        <f>_xludf.IFNA(_xlfn.XLOOKUP($A214,'00_SKU_Master'!$B$2:$B$378,'00_SKU_Master'!$F$2:$F$378,0)*K214/_xlfn.XLOOKUP($A214,'00_SKU_Master'!$B$2:$B$378,'00_SKU_Master'!$O:$O,0),"")</f>
        <v/>
      </c>
      <c r="T212" s="123">
        <f>SUM(N214:S214)</f>
        <v/>
      </c>
      <c r="U212" s="124">
        <f>'05_Daily_Orders'!L213</f>
        <v/>
      </c>
    </row>
    <row r="213">
      <c r="A213" s="118">
        <f>'05_Daily_Orders'!B214</f>
        <v/>
      </c>
      <c r="B213" s="50" t="n">
        <v>0</v>
      </c>
      <c r="C213" s="50" t="n">
        <v>0</v>
      </c>
      <c r="D213" s="119" t="n"/>
      <c r="E213" s="119" t="n"/>
      <c r="F213" t="n">
        <v>0</v>
      </c>
      <c r="L213" s="120">
        <f>IF($E$1="n",0,(SUM(F215:K215)-B215))</f>
        <v/>
      </c>
      <c r="M213" s="121">
        <f>_xludf.IFNA(_xlfn.XLOOKUP(A215,'00_SKU_Master'!$B$2:$B$378,'00_SKU_Master'!$C$2:$C$378,0),"")</f>
        <v/>
      </c>
      <c r="N213" s="122">
        <f>_xludf.IFNA(_xlfn.XLOOKUP(A215,'00_SKU_Master'!$B$2:$B$378,'00_SKU_Master'!$F$2:$F$378,0)*F215/_xlfn.XLOOKUP(A215,'00_SKU_Master'!$B$2:$B$378,'00_SKU_Master'!$O:$O,0),"")</f>
        <v/>
      </c>
      <c r="O213" s="122">
        <f>_xludf.IFNA(_xlfn.XLOOKUP($A215,'00_SKU_Master'!$B$2:$B$378,'00_SKU_Master'!$F$2:$F$378,0)*G215/_xlfn.XLOOKUP($A215,'00_SKU_Master'!$B$2:$B$378,'00_SKU_Master'!$O:$O,0),"")</f>
        <v/>
      </c>
      <c r="P213" s="122">
        <f>_xludf.IFNA(_xlfn.XLOOKUP($A215,'00_SKU_Master'!$B$2:$B$378,'00_SKU_Master'!$F$2:$F$378,0)*H215/_xlfn.XLOOKUP($A215,'00_SKU_Master'!$B$2:$B$378,'00_SKU_Master'!$O:$O,0),"")</f>
        <v/>
      </c>
      <c r="Q213" s="122">
        <f>_xludf.IFNA(_xlfn.XLOOKUP($A215,'00_SKU_Master'!$B$2:$B$378,'00_SKU_Master'!$F$2:$F$378,0)*I215/_xlfn.XLOOKUP($A215,'00_SKU_Master'!$B$2:$B$378,'00_SKU_Master'!$O:$O,0),"")</f>
        <v/>
      </c>
      <c r="R213" s="122">
        <f>_xludf.IFNA(_xlfn.XLOOKUP($A215,'00_SKU_Master'!$B$2:$B$378,'00_SKU_Master'!$F$2:$F$378,0)*J215/_xlfn.XLOOKUP($A215,'00_SKU_Master'!$B$2:$B$378,'00_SKU_Master'!$O:$O,0),"")</f>
        <v/>
      </c>
      <c r="S213" s="122">
        <f>_xludf.IFNA(_xlfn.XLOOKUP($A215,'00_SKU_Master'!$B$2:$B$378,'00_SKU_Master'!$F$2:$F$378,0)*K215/_xlfn.XLOOKUP($A215,'00_SKU_Master'!$B$2:$B$378,'00_SKU_Master'!$O:$O,0),"")</f>
        <v/>
      </c>
      <c r="T213" s="123">
        <f>SUM(N215:S215)</f>
        <v/>
      </c>
      <c r="U213" s="124">
        <f>'05_Daily_Orders'!L214</f>
        <v/>
      </c>
    </row>
    <row r="214">
      <c r="A214" s="118">
        <f>'05_Daily_Orders'!B215</f>
        <v/>
      </c>
      <c r="B214" s="50" t="n">
        <v>0</v>
      </c>
      <c r="C214" s="50" t="n">
        <v>0</v>
      </c>
      <c r="D214" s="119" t="n"/>
      <c r="E214" s="119" t="n"/>
      <c r="F214" t="n">
        <v>0</v>
      </c>
      <c r="L214" s="120">
        <f>IF($E$1="n",0,(SUM(F216:K216)-B216))</f>
        <v/>
      </c>
      <c r="M214" s="121">
        <f>_xludf.IFNA(_xlfn.XLOOKUP(A216,'00_SKU_Master'!$B$2:$B$378,'00_SKU_Master'!$C$2:$C$378,0),"")</f>
        <v/>
      </c>
      <c r="N214" s="122">
        <f>_xludf.IFNA(_xlfn.XLOOKUP(A216,'00_SKU_Master'!$B$2:$B$378,'00_SKU_Master'!$F$2:$F$378,0)*F216/_xlfn.XLOOKUP(A216,'00_SKU_Master'!$B$2:$B$378,'00_SKU_Master'!$O:$O,0),"")</f>
        <v/>
      </c>
      <c r="O214" s="122">
        <f>_xludf.IFNA(_xlfn.XLOOKUP($A216,'00_SKU_Master'!$B$2:$B$378,'00_SKU_Master'!$F$2:$F$378,0)*G216/_xlfn.XLOOKUP($A216,'00_SKU_Master'!$B$2:$B$378,'00_SKU_Master'!$O:$O,0),"")</f>
        <v/>
      </c>
      <c r="P214" s="122">
        <f>_xludf.IFNA(_xlfn.XLOOKUP($A216,'00_SKU_Master'!$B$2:$B$378,'00_SKU_Master'!$F$2:$F$378,0)*H216/_xlfn.XLOOKUP($A216,'00_SKU_Master'!$B$2:$B$378,'00_SKU_Master'!$O:$O,0),"")</f>
        <v/>
      </c>
      <c r="Q214" s="122">
        <f>_xludf.IFNA(_xlfn.XLOOKUP($A216,'00_SKU_Master'!$B$2:$B$378,'00_SKU_Master'!$F$2:$F$378,0)*I216/_xlfn.XLOOKUP($A216,'00_SKU_Master'!$B$2:$B$378,'00_SKU_Master'!$O:$O,0),"")</f>
        <v/>
      </c>
      <c r="R214" s="122">
        <f>_xludf.IFNA(_xlfn.XLOOKUP($A216,'00_SKU_Master'!$B$2:$B$378,'00_SKU_Master'!$F$2:$F$378,0)*J216/_xlfn.XLOOKUP($A216,'00_SKU_Master'!$B$2:$B$378,'00_SKU_Master'!$O:$O,0),"")</f>
        <v/>
      </c>
      <c r="S214" s="122">
        <f>_xludf.IFNA(_xlfn.XLOOKUP($A216,'00_SKU_Master'!$B$2:$B$378,'00_SKU_Master'!$F$2:$F$378,0)*K216/_xlfn.XLOOKUP($A216,'00_SKU_Master'!$B$2:$B$378,'00_SKU_Master'!$O:$O,0),"")</f>
        <v/>
      </c>
      <c r="T214" s="123">
        <f>SUM(N216:S216)</f>
        <v/>
      </c>
      <c r="U214" s="124">
        <f>'05_Daily_Orders'!L215</f>
        <v/>
      </c>
    </row>
    <row r="215">
      <c r="A215" s="118">
        <f>'05_Daily_Orders'!B216</f>
        <v/>
      </c>
      <c r="B215" s="50" t="n">
        <v>0</v>
      </c>
      <c r="C215" s="50" t="n">
        <v>0</v>
      </c>
      <c r="D215" s="119" t="n"/>
      <c r="E215" s="119" t="n"/>
      <c r="F215" t="n">
        <v>0</v>
      </c>
      <c r="L215" s="120">
        <f>IF($E$1="n",0,(SUM(F217:K217)-B217))</f>
        <v/>
      </c>
      <c r="M215" s="121">
        <f>_xludf.IFNA(_xlfn.XLOOKUP(A217,'00_SKU_Master'!$B$2:$B$378,'00_SKU_Master'!$C$2:$C$378,0),"")</f>
        <v/>
      </c>
      <c r="N215" s="122">
        <f>_xludf.IFNA(_xlfn.XLOOKUP(A217,'00_SKU_Master'!$B$2:$B$378,'00_SKU_Master'!$F$2:$F$378,0)*F217/_xlfn.XLOOKUP(A217,'00_SKU_Master'!$B$2:$B$378,'00_SKU_Master'!$O:$O,0),"")</f>
        <v/>
      </c>
      <c r="O215" s="122">
        <f>_xludf.IFNA(_xlfn.XLOOKUP($A217,'00_SKU_Master'!$B$2:$B$378,'00_SKU_Master'!$F$2:$F$378,0)*G217/_xlfn.XLOOKUP($A217,'00_SKU_Master'!$B$2:$B$378,'00_SKU_Master'!$O:$O,0),"")</f>
        <v/>
      </c>
      <c r="P215" s="122">
        <f>_xludf.IFNA(_xlfn.XLOOKUP($A217,'00_SKU_Master'!$B$2:$B$378,'00_SKU_Master'!$F$2:$F$378,0)*H217/_xlfn.XLOOKUP($A217,'00_SKU_Master'!$B$2:$B$378,'00_SKU_Master'!$O:$O,0),"")</f>
        <v/>
      </c>
      <c r="Q215" s="122">
        <f>_xludf.IFNA(_xlfn.XLOOKUP($A217,'00_SKU_Master'!$B$2:$B$378,'00_SKU_Master'!$F$2:$F$378,0)*I217/_xlfn.XLOOKUP($A217,'00_SKU_Master'!$B$2:$B$378,'00_SKU_Master'!$O:$O,0),"")</f>
        <v/>
      </c>
      <c r="R215" s="122">
        <f>_xludf.IFNA(_xlfn.XLOOKUP($A217,'00_SKU_Master'!$B$2:$B$378,'00_SKU_Master'!$F$2:$F$378,0)*J217/_xlfn.XLOOKUP($A217,'00_SKU_Master'!$B$2:$B$378,'00_SKU_Master'!$O:$O,0),"")</f>
        <v/>
      </c>
      <c r="S215" s="122">
        <f>_xludf.IFNA(_xlfn.XLOOKUP($A217,'00_SKU_Master'!$B$2:$B$378,'00_SKU_Master'!$F$2:$F$378,0)*K217/_xlfn.XLOOKUP($A217,'00_SKU_Master'!$B$2:$B$378,'00_SKU_Master'!$O:$O,0),"")</f>
        <v/>
      </c>
      <c r="T215" s="123">
        <f>SUM(N217:S217)</f>
        <v/>
      </c>
      <c r="U215" s="124">
        <f>'05_Daily_Orders'!L216</f>
        <v/>
      </c>
    </row>
    <row r="216">
      <c r="A216" s="118">
        <f>'05_Daily_Orders'!B217</f>
        <v/>
      </c>
      <c r="B216" s="50" t="n">
        <v>0</v>
      </c>
      <c r="C216" s="50" t="n">
        <v>0</v>
      </c>
      <c r="D216" s="119" t="n"/>
      <c r="E216" s="119" t="n"/>
      <c r="F216" t="n">
        <v>0</v>
      </c>
      <c r="L216" s="120">
        <f>IF($E$1="n",0,(SUM(F218:K218)-B218))</f>
        <v/>
      </c>
      <c r="M216" s="121">
        <f>_xludf.IFNA(_xlfn.XLOOKUP(A218,'00_SKU_Master'!$B$2:$B$378,'00_SKU_Master'!$C$2:$C$378,0),"")</f>
        <v/>
      </c>
      <c r="N216" s="122">
        <f>_xludf.IFNA(_xlfn.XLOOKUP(A218,'00_SKU_Master'!$B$2:$B$378,'00_SKU_Master'!$F$2:$F$378,0)*F218/_xlfn.XLOOKUP(A218,'00_SKU_Master'!$B$2:$B$378,'00_SKU_Master'!$O:$O,0),"")</f>
        <v/>
      </c>
      <c r="O216" s="122">
        <f>_xludf.IFNA(_xlfn.XLOOKUP($A218,'00_SKU_Master'!$B$2:$B$378,'00_SKU_Master'!$F$2:$F$378,0)*G218/_xlfn.XLOOKUP($A218,'00_SKU_Master'!$B$2:$B$378,'00_SKU_Master'!$O:$O,0),"")</f>
        <v/>
      </c>
      <c r="P216" s="122">
        <f>_xludf.IFNA(_xlfn.XLOOKUP($A218,'00_SKU_Master'!$B$2:$B$378,'00_SKU_Master'!$F$2:$F$378,0)*H218/_xlfn.XLOOKUP($A218,'00_SKU_Master'!$B$2:$B$378,'00_SKU_Master'!$O:$O,0),"")</f>
        <v/>
      </c>
      <c r="Q216" s="122">
        <f>_xludf.IFNA(_xlfn.XLOOKUP($A218,'00_SKU_Master'!$B$2:$B$378,'00_SKU_Master'!$F$2:$F$378,0)*I218/_xlfn.XLOOKUP($A218,'00_SKU_Master'!$B$2:$B$378,'00_SKU_Master'!$O:$O,0),"")</f>
        <v/>
      </c>
      <c r="R216" s="122">
        <f>_xludf.IFNA(_xlfn.XLOOKUP($A218,'00_SKU_Master'!$B$2:$B$378,'00_SKU_Master'!$F$2:$F$378,0)*J218/_xlfn.XLOOKUP($A218,'00_SKU_Master'!$B$2:$B$378,'00_SKU_Master'!$O:$O,0),"")</f>
        <v/>
      </c>
      <c r="S216" s="122">
        <f>_xludf.IFNA(_xlfn.XLOOKUP($A218,'00_SKU_Master'!$B$2:$B$378,'00_SKU_Master'!$F$2:$F$378,0)*K218/_xlfn.XLOOKUP($A218,'00_SKU_Master'!$B$2:$B$378,'00_SKU_Master'!$O:$O,0),"")</f>
        <v/>
      </c>
      <c r="T216" s="123">
        <f>SUM(N218:S218)</f>
        <v/>
      </c>
      <c r="U216" s="124">
        <f>'05_Daily_Orders'!L217</f>
        <v/>
      </c>
    </row>
    <row r="217">
      <c r="A217" s="118">
        <f>'05_Daily_Orders'!B218</f>
        <v/>
      </c>
      <c r="B217" s="50" t="n">
        <v>0</v>
      </c>
      <c r="C217" s="50" t="n">
        <v>4</v>
      </c>
      <c r="D217" s="119" t="n"/>
      <c r="E217" s="119" t="n"/>
      <c r="F217" t="n">
        <v>37</v>
      </c>
      <c r="L217" s="120">
        <f>IF($E$1="n",0,(SUM(F219:K219)-B219))</f>
        <v/>
      </c>
      <c r="M217" s="121">
        <f>_xludf.IFNA(_xlfn.XLOOKUP(A219,'00_SKU_Master'!$B$2:$B$378,'00_SKU_Master'!$C$2:$C$378,0),"")</f>
        <v/>
      </c>
      <c r="N217" s="122">
        <f>_xludf.IFNA(_xlfn.XLOOKUP(A219,'00_SKU_Master'!$B$2:$B$378,'00_SKU_Master'!$F$2:$F$378,0)*F219/_xlfn.XLOOKUP(A219,'00_SKU_Master'!$B$2:$B$378,'00_SKU_Master'!$O:$O,0),"")</f>
        <v/>
      </c>
      <c r="O217" s="122">
        <f>_xludf.IFNA(_xlfn.XLOOKUP($A219,'00_SKU_Master'!$B$2:$B$378,'00_SKU_Master'!$F$2:$F$378,0)*G219/_xlfn.XLOOKUP($A219,'00_SKU_Master'!$B$2:$B$378,'00_SKU_Master'!$O:$O,0),"")</f>
        <v/>
      </c>
      <c r="P217" s="122">
        <f>_xludf.IFNA(_xlfn.XLOOKUP($A219,'00_SKU_Master'!$B$2:$B$378,'00_SKU_Master'!$F$2:$F$378,0)*H219/_xlfn.XLOOKUP($A219,'00_SKU_Master'!$B$2:$B$378,'00_SKU_Master'!$O:$O,0),"")</f>
        <v/>
      </c>
      <c r="Q217" s="122">
        <f>_xludf.IFNA(_xlfn.XLOOKUP($A219,'00_SKU_Master'!$B$2:$B$378,'00_SKU_Master'!$F$2:$F$378,0)*I219/_xlfn.XLOOKUP($A219,'00_SKU_Master'!$B$2:$B$378,'00_SKU_Master'!$O:$O,0),"")</f>
        <v/>
      </c>
      <c r="R217" s="122">
        <f>_xludf.IFNA(_xlfn.XLOOKUP($A219,'00_SKU_Master'!$B$2:$B$378,'00_SKU_Master'!$F$2:$F$378,0)*J219/_xlfn.XLOOKUP($A219,'00_SKU_Master'!$B$2:$B$378,'00_SKU_Master'!$O:$O,0),"")</f>
        <v/>
      </c>
      <c r="S217" s="122">
        <f>_xludf.IFNA(_xlfn.XLOOKUP($A219,'00_SKU_Master'!$B$2:$B$378,'00_SKU_Master'!$F$2:$F$378,0)*K219/_xlfn.XLOOKUP($A219,'00_SKU_Master'!$B$2:$B$378,'00_SKU_Master'!$O:$O,0),"")</f>
        <v/>
      </c>
      <c r="T217" s="123">
        <f>SUM(N219:S219)</f>
        <v/>
      </c>
      <c r="U217" s="124">
        <f>'05_Daily_Orders'!L218</f>
        <v/>
      </c>
    </row>
    <row r="218">
      <c r="A218" s="118">
        <f>'05_Daily_Orders'!B219</f>
        <v/>
      </c>
      <c r="B218" s="50" t="n">
        <v>0</v>
      </c>
      <c r="C218" s="50" t="n">
        <v>0</v>
      </c>
      <c r="D218" s="119" t="n"/>
      <c r="E218" s="119" t="n"/>
      <c r="F218" t="n">
        <v>0</v>
      </c>
      <c r="L218" s="120">
        <f>IF($E$1="n",0,(SUM(F220:K220)-B220))</f>
        <v/>
      </c>
      <c r="M218" s="121">
        <f>_xludf.IFNA(_xlfn.XLOOKUP(A220,'00_SKU_Master'!$B$2:$B$378,'00_SKU_Master'!$C$2:$C$378,0),"")</f>
        <v/>
      </c>
      <c r="N218" s="122">
        <f>_xludf.IFNA(_xlfn.XLOOKUP(A220,'00_SKU_Master'!$B$2:$B$378,'00_SKU_Master'!$F$2:$F$378,0)*F220/_xlfn.XLOOKUP(A220,'00_SKU_Master'!$B$2:$B$378,'00_SKU_Master'!$O:$O,0),"")</f>
        <v/>
      </c>
      <c r="O218" s="122">
        <f>_xludf.IFNA(_xlfn.XLOOKUP($A220,'00_SKU_Master'!$B$2:$B$378,'00_SKU_Master'!$F$2:$F$378,0)*G220/_xlfn.XLOOKUP($A220,'00_SKU_Master'!$B$2:$B$378,'00_SKU_Master'!$O:$O,0),"")</f>
        <v/>
      </c>
      <c r="P218" s="122">
        <f>_xludf.IFNA(_xlfn.XLOOKUP($A220,'00_SKU_Master'!$B$2:$B$378,'00_SKU_Master'!$F$2:$F$378,0)*H220/_xlfn.XLOOKUP($A220,'00_SKU_Master'!$B$2:$B$378,'00_SKU_Master'!$O:$O,0),"")</f>
        <v/>
      </c>
      <c r="Q218" s="122">
        <f>_xludf.IFNA(_xlfn.XLOOKUP($A220,'00_SKU_Master'!$B$2:$B$378,'00_SKU_Master'!$F$2:$F$378,0)*I220/_xlfn.XLOOKUP($A220,'00_SKU_Master'!$B$2:$B$378,'00_SKU_Master'!$O:$O,0),"")</f>
        <v/>
      </c>
      <c r="R218" s="122">
        <f>_xludf.IFNA(_xlfn.XLOOKUP($A220,'00_SKU_Master'!$B$2:$B$378,'00_SKU_Master'!$F$2:$F$378,0)*J220/_xlfn.XLOOKUP($A220,'00_SKU_Master'!$B$2:$B$378,'00_SKU_Master'!$O:$O,0),"")</f>
        <v/>
      </c>
      <c r="S218" s="122">
        <f>_xludf.IFNA(_xlfn.XLOOKUP($A220,'00_SKU_Master'!$B$2:$B$378,'00_SKU_Master'!$F$2:$F$378,0)*K220/_xlfn.XLOOKUP($A220,'00_SKU_Master'!$B$2:$B$378,'00_SKU_Master'!$O:$O,0),"")</f>
        <v/>
      </c>
      <c r="T218" s="123">
        <f>SUM(N220:S220)</f>
        <v/>
      </c>
      <c r="U218" s="124">
        <f>'05_Daily_Orders'!L219</f>
        <v/>
      </c>
    </row>
    <row r="219">
      <c r="A219" s="118">
        <f>'05_Daily_Orders'!B220</f>
        <v/>
      </c>
      <c r="B219" s="50" t="n">
        <v>0</v>
      </c>
      <c r="C219" s="50" t="n">
        <v>0</v>
      </c>
      <c r="D219" s="119" t="n"/>
      <c r="E219" s="119" t="n"/>
      <c r="F219" t="n">
        <v>0</v>
      </c>
      <c r="L219" s="120">
        <f>IF($E$1="n",0,(SUM(F221:K221)-B221))</f>
        <v/>
      </c>
      <c r="M219" s="121">
        <f>_xludf.IFNA(_xlfn.XLOOKUP(A221,'00_SKU_Master'!$B$2:$B$378,'00_SKU_Master'!$C$2:$C$378,0),"")</f>
        <v/>
      </c>
      <c r="N219" s="122">
        <f>_xludf.IFNA(_xlfn.XLOOKUP(A221,'00_SKU_Master'!$B$2:$B$378,'00_SKU_Master'!$F$2:$F$378,0)*F221/_xlfn.XLOOKUP(A221,'00_SKU_Master'!$B$2:$B$378,'00_SKU_Master'!$O:$O,0),"")</f>
        <v/>
      </c>
      <c r="O219" s="122">
        <f>_xludf.IFNA(_xlfn.XLOOKUP($A221,'00_SKU_Master'!$B$2:$B$378,'00_SKU_Master'!$F$2:$F$378,0)*G221/_xlfn.XLOOKUP($A221,'00_SKU_Master'!$B$2:$B$378,'00_SKU_Master'!$O:$O,0),"")</f>
        <v/>
      </c>
      <c r="P219" s="122">
        <f>_xludf.IFNA(_xlfn.XLOOKUP($A221,'00_SKU_Master'!$B$2:$B$378,'00_SKU_Master'!$F$2:$F$378,0)*H221/_xlfn.XLOOKUP($A221,'00_SKU_Master'!$B$2:$B$378,'00_SKU_Master'!$O:$O,0),"")</f>
        <v/>
      </c>
      <c r="Q219" s="122">
        <f>_xludf.IFNA(_xlfn.XLOOKUP($A221,'00_SKU_Master'!$B$2:$B$378,'00_SKU_Master'!$F$2:$F$378,0)*I221/_xlfn.XLOOKUP($A221,'00_SKU_Master'!$B$2:$B$378,'00_SKU_Master'!$O:$O,0),"")</f>
        <v/>
      </c>
      <c r="R219" s="122">
        <f>_xludf.IFNA(_xlfn.XLOOKUP($A221,'00_SKU_Master'!$B$2:$B$378,'00_SKU_Master'!$F$2:$F$378,0)*J221/_xlfn.XLOOKUP($A221,'00_SKU_Master'!$B$2:$B$378,'00_SKU_Master'!$O:$O,0),"")</f>
        <v/>
      </c>
      <c r="S219" s="122">
        <f>_xludf.IFNA(_xlfn.XLOOKUP($A221,'00_SKU_Master'!$B$2:$B$378,'00_SKU_Master'!$F$2:$F$378,0)*K221/_xlfn.XLOOKUP($A221,'00_SKU_Master'!$B$2:$B$378,'00_SKU_Master'!$O:$O,0),"")</f>
        <v/>
      </c>
      <c r="T219" s="123">
        <f>SUM(N221:S221)</f>
        <v/>
      </c>
      <c r="U219" s="124">
        <f>'05_Daily_Orders'!L220</f>
        <v/>
      </c>
    </row>
    <row r="220">
      <c r="A220" s="118">
        <f>'05_Daily_Orders'!B221</f>
        <v/>
      </c>
      <c r="B220" s="50" t="n">
        <v>0</v>
      </c>
      <c r="C220" s="50" t="n">
        <v>0</v>
      </c>
      <c r="D220" s="119" t="n"/>
      <c r="E220" s="119" t="n"/>
      <c r="F220" t="n">
        <v>0</v>
      </c>
      <c r="L220" s="120">
        <f>IF($E$1="n",0,(SUM(F222:K222)-B222))</f>
        <v/>
      </c>
      <c r="M220" s="121">
        <f>_xludf.IFNA(_xlfn.XLOOKUP(A222,'00_SKU_Master'!$B$2:$B$378,'00_SKU_Master'!$C$2:$C$378,0),"")</f>
        <v/>
      </c>
      <c r="N220" s="122">
        <f>_xludf.IFNA(_xlfn.XLOOKUP(A222,'00_SKU_Master'!$B$2:$B$378,'00_SKU_Master'!$F$2:$F$378,0)*F222/_xlfn.XLOOKUP(A222,'00_SKU_Master'!$B$2:$B$378,'00_SKU_Master'!$O:$O,0),"")</f>
        <v/>
      </c>
      <c r="O220" s="122">
        <f>_xludf.IFNA(_xlfn.XLOOKUP($A222,'00_SKU_Master'!$B$2:$B$378,'00_SKU_Master'!$F$2:$F$378,0)*G222/_xlfn.XLOOKUP($A222,'00_SKU_Master'!$B$2:$B$378,'00_SKU_Master'!$O:$O,0),"")</f>
        <v/>
      </c>
      <c r="P220" s="122">
        <f>_xludf.IFNA(_xlfn.XLOOKUP($A222,'00_SKU_Master'!$B$2:$B$378,'00_SKU_Master'!$F$2:$F$378,0)*H222/_xlfn.XLOOKUP($A222,'00_SKU_Master'!$B$2:$B$378,'00_SKU_Master'!$O:$O,0),"")</f>
        <v/>
      </c>
      <c r="Q220" s="122">
        <f>_xludf.IFNA(_xlfn.XLOOKUP($A222,'00_SKU_Master'!$B$2:$B$378,'00_SKU_Master'!$F$2:$F$378,0)*I222/_xlfn.XLOOKUP($A222,'00_SKU_Master'!$B$2:$B$378,'00_SKU_Master'!$O:$O,0),"")</f>
        <v/>
      </c>
      <c r="R220" s="122">
        <f>_xludf.IFNA(_xlfn.XLOOKUP($A222,'00_SKU_Master'!$B$2:$B$378,'00_SKU_Master'!$F$2:$F$378,0)*J222/_xlfn.XLOOKUP($A222,'00_SKU_Master'!$B$2:$B$378,'00_SKU_Master'!$O:$O,0),"")</f>
        <v/>
      </c>
      <c r="S220" s="122">
        <f>_xludf.IFNA(_xlfn.XLOOKUP($A222,'00_SKU_Master'!$B$2:$B$378,'00_SKU_Master'!$F$2:$F$378,0)*K222/_xlfn.XLOOKUP($A222,'00_SKU_Master'!$B$2:$B$378,'00_SKU_Master'!$O:$O,0),"")</f>
        <v/>
      </c>
      <c r="T220" s="123">
        <f>SUM(N222:S222)</f>
        <v/>
      </c>
      <c r="U220" s="124">
        <f>'05_Daily_Orders'!L221</f>
        <v/>
      </c>
    </row>
    <row r="221">
      <c r="A221" s="118">
        <f>'05_Daily_Orders'!B222</f>
        <v/>
      </c>
      <c r="B221" s="50" t="n">
        <v>0</v>
      </c>
      <c r="C221" s="50" t="n">
        <v>0</v>
      </c>
      <c r="D221" s="119" t="n"/>
      <c r="E221" s="119" t="n"/>
      <c r="F221" t="n">
        <v>0</v>
      </c>
      <c r="L221" s="120">
        <f>IF($E$1="n",0,(SUM(F223:K223)-B223))</f>
        <v/>
      </c>
      <c r="M221" s="121">
        <f>_xludf.IFNA(_xlfn.XLOOKUP(A223,'00_SKU_Master'!$B$2:$B$378,'00_SKU_Master'!$C$2:$C$378,0),"")</f>
        <v/>
      </c>
      <c r="N221" s="122">
        <f>_xludf.IFNA(_xlfn.XLOOKUP(A223,'00_SKU_Master'!$B$2:$B$378,'00_SKU_Master'!$F$2:$F$378,0)*F223/_xlfn.XLOOKUP(A223,'00_SKU_Master'!$B$2:$B$378,'00_SKU_Master'!$O:$O,0),"")</f>
        <v/>
      </c>
      <c r="O221" s="122">
        <f>_xludf.IFNA(_xlfn.XLOOKUP($A223,'00_SKU_Master'!$B$2:$B$378,'00_SKU_Master'!$F$2:$F$378,0)*G223/_xlfn.XLOOKUP($A223,'00_SKU_Master'!$B$2:$B$378,'00_SKU_Master'!$O:$O,0),"")</f>
        <v/>
      </c>
      <c r="P221" s="122">
        <f>_xludf.IFNA(_xlfn.XLOOKUP($A223,'00_SKU_Master'!$B$2:$B$378,'00_SKU_Master'!$F$2:$F$378,0)*H223/_xlfn.XLOOKUP($A223,'00_SKU_Master'!$B$2:$B$378,'00_SKU_Master'!$O:$O,0),"")</f>
        <v/>
      </c>
      <c r="Q221" s="122">
        <f>_xludf.IFNA(_xlfn.XLOOKUP($A223,'00_SKU_Master'!$B$2:$B$378,'00_SKU_Master'!$F$2:$F$378,0)*I223/_xlfn.XLOOKUP($A223,'00_SKU_Master'!$B$2:$B$378,'00_SKU_Master'!$O:$O,0),"")</f>
        <v/>
      </c>
      <c r="R221" s="122">
        <f>_xludf.IFNA(_xlfn.XLOOKUP($A223,'00_SKU_Master'!$B$2:$B$378,'00_SKU_Master'!$F$2:$F$378,0)*J223/_xlfn.XLOOKUP($A223,'00_SKU_Master'!$B$2:$B$378,'00_SKU_Master'!$O:$O,0),"")</f>
        <v/>
      </c>
      <c r="S221" s="122">
        <f>_xludf.IFNA(_xlfn.XLOOKUP($A223,'00_SKU_Master'!$B$2:$B$378,'00_SKU_Master'!$F$2:$F$378,0)*K223/_xlfn.XLOOKUP($A223,'00_SKU_Master'!$B$2:$B$378,'00_SKU_Master'!$O:$O,0),"")</f>
        <v/>
      </c>
      <c r="T221" s="123">
        <f>SUM(N223:S223)</f>
        <v/>
      </c>
      <c r="U221" s="124">
        <f>'05_Daily_Orders'!L222</f>
        <v/>
      </c>
    </row>
    <row r="222">
      <c r="A222" s="118">
        <f>'05_Daily_Orders'!B223</f>
        <v/>
      </c>
      <c r="B222" s="50" t="n">
        <v>0</v>
      </c>
      <c r="C222" s="50" t="n">
        <v>0</v>
      </c>
      <c r="D222" s="119" t="n"/>
      <c r="E222" s="119" t="n"/>
      <c r="F222" t="n">
        <v>0</v>
      </c>
      <c r="L222" s="120">
        <f>IF($E$1="n",0,(SUM(F224:K224)-B224))</f>
        <v/>
      </c>
      <c r="M222" s="121">
        <f>_xludf.IFNA(_xlfn.XLOOKUP(A224,'00_SKU_Master'!$B$2:$B$378,'00_SKU_Master'!$C$2:$C$378,0),"")</f>
        <v/>
      </c>
      <c r="N222" s="122">
        <f>_xludf.IFNA(_xlfn.XLOOKUP(A224,'00_SKU_Master'!$B$2:$B$378,'00_SKU_Master'!$F$2:$F$378,0)*F224/_xlfn.XLOOKUP(A224,'00_SKU_Master'!$B$2:$B$378,'00_SKU_Master'!$O:$O,0),"")</f>
        <v/>
      </c>
      <c r="O222" s="122">
        <f>_xludf.IFNA(_xlfn.XLOOKUP($A224,'00_SKU_Master'!$B$2:$B$378,'00_SKU_Master'!$F$2:$F$378,0)*G224/_xlfn.XLOOKUP($A224,'00_SKU_Master'!$B$2:$B$378,'00_SKU_Master'!$O:$O,0),"")</f>
        <v/>
      </c>
      <c r="P222" s="122">
        <f>_xludf.IFNA(_xlfn.XLOOKUP($A224,'00_SKU_Master'!$B$2:$B$378,'00_SKU_Master'!$F$2:$F$378,0)*H224/_xlfn.XLOOKUP($A224,'00_SKU_Master'!$B$2:$B$378,'00_SKU_Master'!$O:$O,0),"")</f>
        <v/>
      </c>
      <c r="Q222" s="122">
        <f>_xludf.IFNA(_xlfn.XLOOKUP($A224,'00_SKU_Master'!$B$2:$B$378,'00_SKU_Master'!$F$2:$F$378,0)*I224/_xlfn.XLOOKUP($A224,'00_SKU_Master'!$B$2:$B$378,'00_SKU_Master'!$O:$O,0),"")</f>
        <v/>
      </c>
      <c r="R222" s="122">
        <f>_xludf.IFNA(_xlfn.XLOOKUP($A224,'00_SKU_Master'!$B$2:$B$378,'00_SKU_Master'!$F$2:$F$378,0)*J224/_xlfn.XLOOKUP($A224,'00_SKU_Master'!$B$2:$B$378,'00_SKU_Master'!$O:$O,0),"")</f>
        <v/>
      </c>
      <c r="S222" s="122">
        <f>_xludf.IFNA(_xlfn.XLOOKUP($A224,'00_SKU_Master'!$B$2:$B$378,'00_SKU_Master'!$F$2:$F$378,0)*K224/_xlfn.XLOOKUP($A224,'00_SKU_Master'!$B$2:$B$378,'00_SKU_Master'!$O:$O,0),"")</f>
        <v/>
      </c>
      <c r="T222" s="123">
        <f>SUM(N224:S224)</f>
        <v/>
      </c>
      <c r="U222" s="124">
        <f>'05_Daily_Orders'!L223</f>
        <v/>
      </c>
    </row>
    <row r="223">
      <c r="A223" s="118">
        <f>'05_Daily_Orders'!B224</f>
        <v/>
      </c>
      <c r="B223" s="50" t="n">
        <v>0</v>
      </c>
      <c r="C223" s="50" t="n">
        <v>10</v>
      </c>
      <c r="D223" s="119" t="n"/>
      <c r="E223" s="119" t="n"/>
      <c r="F223" t="n">
        <v>0</v>
      </c>
      <c r="L223" s="120">
        <f>IF($E$1="n",0,(SUM(F225:K225)-B225))</f>
        <v/>
      </c>
      <c r="M223" s="121">
        <f>_xludf.IFNA(_xlfn.XLOOKUP(A225,'00_SKU_Master'!$B$2:$B$378,'00_SKU_Master'!$C$2:$C$378,0),"")</f>
        <v/>
      </c>
      <c r="N223" s="122">
        <f>_xludf.IFNA(_xlfn.XLOOKUP(A225,'00_SKU_Master'!$B$2:$B$378,'00_SKU_Master'!$F$2:$F$378,0)*F225/_xlfn.XLOOKUP(A225,'00_SKU_Master'!$B$2:$B$378,'00_SKU_Master'!$O:$O,0),"")</f>
        <v/>
      </c>
      <c r="O223" s="122">
        <f>_xludf.IFNA(_xlfn.XLOOKUP($A225,'00_SKU_Master'!$B$2:$B$378,'00_SKU_Master'!$F$2:$F$378,0)*G225/_xlfn.XLOOKUP($A225,'00_SKU_Master'!$B$2:$B$378,'00_SKU_Master'!$O:$O,0),"")</f>
        <v/>
      </c>
      <c r="P223" s="122">
        <f>_xludf.IFNA(_xlfn.XLOOKUP($A225,'00_SKU_Master'!$B$2:$B$378,'00_SKU_Master'!$F$2:$F$378,0)*H225/_xlfn.XLOOKUP($A225,'00_SKU_Master'!$B$2:$B$378,'00_SKU_Master'!$O:$O,0),"")</f>
        <v/>
      </c>
      <c r="Q223" s="122">
        <f>_xludf.IFNA(_xlfn.XLOOKUP($A225,'00_SKU_Master'!$B$2:$B$378,'00_SKU_Master'!$F$2:$F$378,0)*I225/_xlfn.XLOOKUP($A225,'00_SKU_Master'!$B$2:$B$378,'00_SKU_Master'!$O:$O,0),"")</f>
        <v/>
      </c>
      <c r="R223" s="122">
        <f>_xludf.IFNA(_xlfn.XLOOKUP($A225,'00_SKU_Master'!$B$2:$B$378,'00_SKU_Master'!$F$2:$F$378,0)*J225/_xlfn.XLOOKUP($A225,'00_SKU_Master'!$B$2:$B$378,'00_SKU_Master'!$O:$O,0),"")</f>
        <v/>
      </c>
      <c r="S223" s="122">
        <f>_xludf.IFNA(_xlfn.XLOOKUP($A225,'00_SKU_Master'!$B$2:$B$378,'00_SKU_Master'!$F$2:$F$378,0)*K225/_xlfn.XLOOKUP($A225,'00_SKU_Master'!$B$2:$B$378,'00_SKU_Master'!$O:$O,0),"")</f>
        <v/>
      </c>
      <c r="T223" s="123">
        <f>SUM(N225:S225)</f>
        <v/>
      </c>
      <c r="U223" s="124">
        <f>'05_Daily_Orders'!L224</f>
        <v/>
      </c>
    </row>
    <row r="224">
      <c r="A224" s="118">
        <f>'05_Daily_Orders'!B225</f>
        <v/>
      </c>
      <c r="B224" s="50" t="n">
        <v>57</v>
      </c>
      <c r="C224" s="50" t="n">
        <v>0</v>
      </c>
      <c r="D224" s="119" t="n"/>
      <c r="E224" s="119" t="n"/>
      <c r="F224" t="n">
        <v>98</v>
      </c>
      <c r="L224" s="120">
        <f>IF($E$1="n",0,(SUM(F226:K226)-B226))</f>
        <v/>
      </c>
      <c r="M224" s="121">
        <f>_xludf.IFNA(_xlfn.XLOOKUP(A226,'00_SKU_Master'!$B$2:$B$378,'00_SKU_Master'!$C$2:$C$378,0),"")</f>
        <v/>
      </c>
      <c r="N224" s="122">
        <f>_xludf.IFNA(_xlfn.XLOOKUP(A226,'00_SKU_Master'!$B$2:$B$378,'00_SKU_Master'!$F$2:$F$378,0)*F226/_xlfn.XLOOKUP(A226,'00_SKU_Master'!$B$2:$B$378,'00_SKU_Master'!$O:$O,0),"")</f>
        <v/>
      </c>
      <c r="O224" s="122">
        <f>_xludf.IFNA(_xlfn.XLOOKUP($A226,'00_SKU_Master'!$B$2:$B$378,'00_SKU_Master'!$F$2:$F$378,0)*G226/_xlfn.XLOOKUP($A226,'00_SKU_Master'!$B$2:$B$378,'00_SKU_Master'!$O:$O,0),"")</f>
        <v/>
      </c>
      <c r="P224" s="122">
        <f>_xludf.IFNA(_xlfn.XLOOKUP($A226,'00_SKU_Master'!$B$2:$B$378,'00_SKU_Master'!$F$2:$F$378,0)*H226/_xlfn.XLOOKUP($A226,'00_SKU_Master'!$B$2:$B$378,'00_SKU_Master'!$O:$O,0),"")</f>
        <v/>
      </c>
      <c r="Q224" s="122">
        <f>_xludf.IFNA(_xlfn.XLOOKUP($A226,'00_SKU_Master'!$B$2:$B$378,'00_SKU_Master'!$F$2:$F$378,0)*I226/_xlfn.XLOOKUP($A226,'00_SKU_Master'!$B$2:$B$378,'00_SKU_Master'!$O:$O,0),"")</f>
        <v/>
      </c>
      <c r="R224" s="122">
        <f>_xludf.IFNA(_xlfn.XLOOKUP($A226,'00_SKU_Master'!$B$2:$B$378,'00_SKU_Master'!$F$2:$F$378,0)*J226/_xlfn.XLOOKUP($A226,'00_SKU_Master'!$B$2:$B$378,'00_SKU_Master'!$O:$O,0),"")</f>
        <v/>
      </c>
      <c r="S224" s="122">
        <f>_xludf.IFNA(_xlfn.XLOOKUP($A226,'00_SKU_Master'!$B$2:$B$378,'00_SKU_Master'!$F$2:$F$378,0)*K226/_xlfn.XLOOKUP($A226,'00_SKU_Master'!$B$2:$B$378,'00_SKU_Master'!$O:$O,0),"")</f>
        <v/>
      </c>
      <c r="T224" s="123">
        <f>SUM(N226:S226)</f>
        <v/>
      </c>
      <c r="U224" s="124">
        <f>'05_Daily_Orders'!L225</f>
        <v/>
      </c>
    </row>
    <row r="225">
      <c r="A225" s="118">
        <f>'05_Daily_Orders'!B226</f>
        <v/>
      </c>
      <c r="B225" s="50" t="n">
        <v>0</v>
      </c>
      <c r="C225" s="50" t="n">
        <v>120</v>
      </c>
      <c r="D225" s="119" t="n"/>
      <c r="E225" s="119" t="n"/>
      <c r="F225" t="n">
        <v>130</v>
      </c>
      <c r="L225" s="120">
        <f>IF($E$1="n",0,(SUM(F227:K227)-B227))</f>
        <v/>
      </c>
      <c r="M225" s="121">
        <f>_xludf.IFNA(_xlfn.XLOOKUP(A227,'00_SKU_Master'!$B$2:$B$378,'00_SKU_Master'!$C$2:$C$378,0),"")</f>
        <v/>
      </c>
      <c r="N225" s="122">
        <f>_xludf.IFNA(_xlfn.XLOOKUP(A227,'00_SKU_Master'!$B$2:$B$378,'00_SKU_Master'!$F$2:$F$378,0)*F227/_xlfn.XLOOKUP(A227,'00_SKU_Master'!$B$2:$B$378,'00_SKU_Master'!$O:$O,0),"")</f>
        <v/>
      </c>
      <c r="O225" s="122">
        <f>_xludf.IFNA(_xlfn.XLOOKUP($A227,'00_SKU_Master'!$B$2:$B$378,'00_SKU_Master'!$F$2:$F$378,0)*G227/_xlfn.XLOOKUP($A227,'00_SKU_Master'!$B$2:$B$378,'00_SKU_Master'!$O:$O,0),"")</f>
        <v/>
      </c>
      <c r="P225" s="122">
        <f>_xludf.IFNA(_xlfn.XLOOKUP($A227,'00_SKU_Master'!$B$2:$B$378,'00_SKU_Master'!$F$2:$F$378,0)*H227/_xlfn.XLOOKUP($A227,'00_SKU_Master'!$B$2:$B$378,'00_SKU_Master'!$O:$O,0),"")</f>
        <v/>
      </c>
      <c r="Q225" s="122">
        <f>_xludf.IFNA(_xlfn.XLOOKUP($A227,'00_SKU_Master'!$B$2:$B$378,'00_SKU_Master'!$F$2:$F$378,0)*I227/_xlfn.XLOOKUP($A227,'00_SKU_Master'!$B$2:$B$378,'00_SKU_Master'!$O:$O,0),"")</f>
        <v/>
      </c>
      <c r="R225" s="122">
        <f>_xludf.IFNA(_xlfn.XLOOKUP($A227,'00_SKU_Master'!$B$2:$B$378,'00_SKU_Master'!$F$2:$F$378,0)*J227/_xlfn.XLOOKUP($A227,'00_SKU_Master'!$B$2:$B$378,'00_SKU_Master'!$O:$O,0),"")</f>
        <v/>
      </c>
      <c r="S225" s="122">
        <f>_xludf.IFNA(_xlfn.XLOOKUP($A227,'00_SKU_Master'!$B$2:$B$378,'00_SKU_Master'!$F$2:$F$378,0)*K227/_xlfn.XLOOKUP($A227,'00_SKU_Master'!$B$2:$B$378,'00_SKU_Master'!$O:$O,0),"")</f>
        <v/>
      </c>
      <c r="T225" s="123">
        <f>SUM(N227:S227)</f>
        <v/>
      </c>
      <c r="U225" s="124">
        <f>'05_Daily_Orders'!L226</f>
        <v/>
      </c>
    </row>
    <row r="226">
      <c r="A226" s="118">
        <f>'05_Daily_Orders'!B227</f>
        <v/>
      </c>
      <c r="B226" s="50" t="n">
        <v>33</v>
      </c>
      <c r="C226" s="50" t="n">
        <v>0</v>
      </c>
      <c r="D226" s="119" t="n"/>
      <c r="E226" s="119" t="n"/>
      <c r="F226" t="n">
        <v>35</v>
      </c>
      <c r="L226" s="120">
        <f>IF($E$1="n",0,(SUM(F228:K228)-B228))</f>
        <v/>
      </c>
      <c r="M226" s="121">
        <f>_xludf.IFNA(_xlfn.XLOOKUP(A228,'00_SKU_Master'!$B$2:$B$378,'00_SKU_Master'!$C$2:$C$378,0),"")</f>
        <v/>
      </c>
      <c r="N226" s="122">
        <f>_xludf.IFNA(_xlfn.XLOOKUP(A228,'00_SKU_Master'!$B$2:$B$378,'00_SKU_Master'!$F$2:$F$378,0)*F228/_xlfn.XLOOKUP(A228,'00_SKU_Master'!$B$2:$B$378,'00_SKU_Master'!$O:$O,0),"")</f>
        <v/>
      </c>
      <c r="O226" s="122">
        <f>_xludf.IFNA(_xlfn.XLOOKUP($A228,'00_SKU_Master'!$B$2:$B$378,'00_SKU_Master'!$F$2:$F$378,0)*G228/_xlfn.XLOOKUP($A228,'00_SKU_Master'!$B$2:$B$378,'00_SKU_Master'!$O:$O,0),"")</f>
        <v/>
      </c>
      <c r="P226" s="122">
        <f>_xludf.IFNA(_xlfn.XLOOKUP($A228,'00_SKU_Master'!$B$2:$B$378,'00_SKU_Master'!$F$2:$F$378,0)*H228/_xlfn.XLOOKUP($A228,'00_SKU_Master'!$B$2:$B$378,'00_SKU_Master'!$O:$O,0),"")</f>
        <v/>
      </c>
      <c r="Q226" s="122">
        <f>_xludf.IFNA(_xlfn.XLOOKUP($A228,'00_SKU_Master'!$B$2:$B$378,'00_SKU_Master'!$F$2:$F$378,0)*I228/_xlfn.XLOOKUP($A228,'00_SKU_Master'!$B$2:$B$378,'00_SKU_Master'!$O:$O,0),"")</f>
        <v/>
      </c>
      <c r="R226" s="122">
        <f>_xludf.IFNA(_xlfn.XLOOKUP($A228,'00_SKU_Master'!$B$2:$B$378,'00_SKU_Master'!$F$2:$F$378,0)*J228/_xlfn.XLOOKUP($A228,'00_SKU_Master'!$B$2:$B$378,'00_SKU_Master'!$O:$O,0),"")</f>
        <v/>
      </c>
      <c r="S226" s="122">
        <f>_xludf.IFNA(_xlfn.XLOOKUP($A228,'00_SKU_Master'!$B$2:$B$378,'00_SKU_Master'!$F$2:$F$378,0)*K228/_xlfn.XLOOKUP($A228,'00_SKU_Master'!$B$2:$B$378,'00_SKU_Master'!$O:$O,0),"")</f>
        <v/>
      </c>
      <c r="T226" s="123">
        <f>SUM(N228:S228)</f>
        <v/>
      </c>
      <c r="U226" s="124">
        <f>'05_Daily_Orders'!L227</f>
        <v/>
      </c>
    </row>
    <row r="227">
      <c r="A227" s="118">
        <f>'05_Daily_Orders'!B228</f>
        <v/>
      </c>
      <c r="B227" s="50" t="n">
        <v>42</v>
      </c>
      <c r="C227" s="50" t="n">
        <v>0</v>
      </c>
      <c r="D227" s="119" t="n"/>
      <c r="E227" s="119" t="n"/>
      <c r="F227" t="n">
        <v>60</v>
      </c>
      <c r="L227" s="120">
        <f>IF($E$1="n",0,(SUM(F229:K229)-B229))</f>
        <v/>
      </c>
      <c r="M227" s="121">
        <f>_xludf.IFNA(_xlfn.XLOOKUP(A229,'00_SKU_Master'!$B$2:$B$378,'00_SKU_Master'!$C$2:$C$378,0),"")</f>
        <v/>
      </c>
      <c r="N227" s="122">
        <f>_xludf.IFNA(_xlfn.XLOOKUP(A229,'00_SKU_Master'!$B$2:$B$378,'00_SKU_Master'!$F$2:$F$378,0)*F229/_xlfn.XLOOKUP(A229,'00_SKU_Master'!$B$2:$B$378,'00_SKU_Master'!$O:$O,0),"")</f>
        <v/>
      </c>
      <c r="O227" s="122">
        <f>_xludf.IFNA(_xlfn.XLOOKUP($A229,'00_SKU_Master'!$B$2:$B$378,'00_SKU_Master'!$F$2:$F$378,0)*G229/_xlfn.XLOOKUP($A229,'00_SKU_Master'!$B$2:$B$378,'00_SKU_Master'!$O:$O,0),"")</f>
        <v/>
      </c>
      <c r="P227" s="122">
        <f>_xludf.IFNA(_xlfn.XLOOKUP($A229,'00_SKU_Master'!$B$2:$B$378,'00_SKU_Master'!$F$2:$F$378,0)*H229/_xlfn.XLOOKUP($A229,'00_SKU_Master'!$B$2:$B$378,'00_SKU_Master'!$O:$O,0),"")</f>
        <v/>
      </c>
      <c r="Q227" s="122">
        <f>_xludf.IFNA(_xlfn.XLOOKUP($A229,'00_SKU_Master'!$B$2:$B$378,'00_SKU_Master'!$F$2:$F$378,0)*I229/_xlfn.XLOOKUP($A229,'00_SKU_Master'!$B$2:$B$378,'00_SKU_Master'!$O:$O,0),"")</f>
        <v/>
      </c>
      <c r="R227" s="122">
        <f>_xludf.IFNA(_xlfn.XLOOKUP($A229,'00_SKU_Master'!$B$2:$B$378,'00_SKU_Master'!$F$2:$F$378,0)*J229/_xlfn.XLOOKUP($A229,'00_SKU_Master'!$B$2:$B$378,'00_SKU_Master'!$O:$O,0),"")</f>
        <v/>
      </c>
      <c r="S227" s="122">
        <f>_xludf.IFNA(_xlfn.XLOOKUP($A229,'00_SKU_Master'!$B$2:$B$378,'00_SKU_Master'!$F$2:$F$378,0)*K229/_xlfn.XLOOKUP($A229,'00_SKU_Master'!$B$2:$B$378,'00_SKU_Master'!$O:$O,0),"")</f>
        <v/>
      </c>
      <c r="T227" s="123">
        <f>SUM(N229:S229)</f>
        <v/>
      </c>
      <c r="U227" s="124">
        <f>'05_Daily_Orders'!L228</f>
        <v/>
      </c>
    </row>
    <row r="228">
      <c r="A228" s="118">
        <f>'05_Daily_Orders'!B229</f>
        <v/>
      </c>
      <c r="B228" s="50" t="n">
        <v>24</v>
      </c>
      <c r="C228" s="50" t="n">
        <v>0</v>
      </c>
      <c r="D228" s="119" t="n"/>
      <c r="E228" s="119" t="n"/>
      <c r="F228" t="n">
        <v>29</v>
      </c>
      <c r="L228" s="120">
        <f>IF($E$1="n",0,(SUM(F230:K230)-B230))</f>
        <v/>
      </c>
      <c r="M228" s="121">
        <f>_xludf.IFNA(_xlfn.XLOOKUP(A230,'00_SKU_Master'!$B$2:$B$378,'00_SKU_Master'!$C$2:$C$378,0),"")</f>
        <v/>
      </c>
      <c r="N228" s="122">
        <f>_xludf.IFNA(_xlfn.XLOOKUP(A230,'00_SKU_Master'!$B$2:$B$378,'00_SKU_Master'!$F$2:$F$378,0)*F230/_xlfn.XLOOKUP(A230,'00_SKU_Master'!$B$2:$B$378,'00_SKU_Master'!$O:$O,0),"")</f>
        <v/>
      </c>
      <c r="O228" s="122">
        <f>_xludf.IFNA(_xlfn.XLOOKUP($A230,'00_SKU_Master'!$B$2:$B$378,'00_SKU_Master'!$F$2:$F$378,0)*G230/_xlfn.XLOOKUP($A230,'00_SKU_Master'!$B$2:$B$378,'00_SKU_Master'!$O:$O,0),"")</f>
        <v/>
      </c>
      <c r="P228" s="122">
        <f>_xludf.IFNA(_xlfn.XLOOKUP($A230,'00_SKU_Master'!$B$2:$B$378,'00_SKU_Master'!$F$2:$F$378,0)*H230/_xlfn.XLOOKUP($A230,'00_SKU_Master'!$B$2:$B$378,'00_SKU_Master'!$O:$O,0),"")</f>
        <v/>
      </c>
      <c r="Q228" s="122">
        <f>_xludf.IFNA(_xlfn.XLOOKUP($A230,'00_SKU_Master'!$B$2:$B$378,'00_SKU_Master'!$F$2:$F$378,0)*I230/_xlfn.XLOOKUP($A230,'00_SKU_Master'!$B$2:$B$378,'00_SKU_Master'!$O:$O,0),"")</f>
        <v/>
      </c>
      <c r="R228" s="122">
        <f>_xludf.IFNA(_xlfn.XLOOKUP($A230,'00_SKU_Master'!$B$2:$B$378,'00_SKU_Master'!$F$2:$F$378,0)*J230/_xlfn.XLOOKUP($A230,'00_SKU_Master'!$B$2:$B$378,'00_SKU_Master'!$O:$O,0),"")</f>
        <v/>
      </c>
      <c r="S228" s="122">
        <f>_xludf.IFNA(_xlfn.XLOOKUP($A230,'00_SKU_Master'!$B$2:$B$378,'00_SKU_Master'!$F$2:$F$378,0)*K230/_xlfn.XLOOKUP($A230,'00_SKU_Master'!$B$2:$B$378,'00_SKU_Master'!$O:$O,0),"")</f>
        <v/>
      </c>
      <c r="T228" s="123">
        <f>SUM(N230:S230)</f>
        <v/>
      </c>
      <c r="U228" s="124">
        <f>'05_Daily_Orders'!L229</f>
        <v/>
      </c>
    </row>
    <row r="229">
      <c r="A229" s="118">
        <f>'05_Daily_Orders'!B230</f>
        <v/>
      </c>
      <c r="B229" s="50" t="n">
        <v>0</v>
      </c>
      <c r="C229" s="50" t="n">
        <v>0</v>
      </c>
      <c r="D229" s="119" t="n"/>
      <c r="E229" s="119" t="n"/>
      <c r="F229" t="n">
        <v>0</v>
      </c>
      <c r="L229" s="120">
        <f>IF($E$1="n",0,(SUM(F231:K231)-B231))</f>
        <v/>
      </c>
      <c r="M229" s="121">
        <f>_xludf.IFNA(_xlfn.XLOOKUP(A231,'00_SKU_Master'!$B$2:$B$378,'00_SKU_Master'!$C$2:$C$378,0),"")</f>
        <v/>
      </c>
      <c r="N229" s="122">
        <f>_xludf.IFNA(_xlfn.XLOOKUP(A231,'00_SKU_Master'!$B$2:$B$378,'00_SKU_Master'!$F$2:$F$378,0)*F231/_xlfn.XLOOKUP(A231,'00_SKU_Master'!$B$2:$B$378,'00_SKU_Master'!$O:$O,0),"")</f>
        <v/>
      </c>
      <c r="O229" s="122">
        <f>_xludf.IFNA(_xlfn.XLOOKUP($A231,'00_SKU_Master'!$B$2:$B$378,'00_SKU_Master'!$F$2:$F$378,0)*G231/_xlfn.XLOOKUP($A231,'00_SKU_Master'!$B$2:$B$378,'00_SKU_Master'!$O:$O,0),"")</f>
        <v/>
      </c>
      <c r="P229" s="122">
        <f>_xludf.IFNA(_xlfn.XLOOKUP($A231,'00_SKU_Master'!$B$2:$B$378,'00_SKU_Master'!$F$2:$F$378,0)*H231/_xlfn.XLOOKUP($A231,'00_SKU_Master'!$B$2:$B$378,'00_SKU_Master'!$O:$O,0),"")</f>
        <v/>
      </c>
      <c r="Q229" s="122">
        <f>_xludf.IFNA(_xlfn.XLOOKUP($A231,'00_SKU_Master'!$B$2:$B$378,'00_SKU_Master'!$F$2:$F$378,0)*I231/_xlfn.XLOOKUP($A231,'00_SKU_Master'!$B$2:$B$378,'00_SKU_Master'!$O:$O,0),"")</f>
        <v/>
      </c>
      <c r="R229" s="122">
        <f>_xludf.IFNA(_xlfn.XLOOKUP($A231,'00_SKU_Master'!$B$2:$B$378,'00_SKU_Master'!$F$2:$F$378,0)*J231/_xlfn.XLOOKUP($A231,'00_SKU_Master'!$B$2:$B$378,'00_SKU_Master'!$O:$O,0),"")</f>
        <v/>
      </c>
      <c r="S229" s="122">
        <f>_xludf.IFNA(_xlfn.XLOOKUP($A231,'00_SKU_Master'!$B$2:$B$378,'00_SKU_Master'!$F$2:$F$378,0)*K231/_xlfn.XLOOKUP($A231,'00_SKU_Master'!$B$2:$B$378,'00_SKU_Master'!$O:$O,0),"")</f>
        <v/>
      </c>
      <c r="T229" s="123">
        <f>SUM(N231:S231)</f>
        <v/>
      </c>
      <c r="U229" s="124">
        <f>'05_Daily_Orders'!L230</f>
        <v/>
      </c>
    </row>
    <row r="230">
      <c r="A230" s="118">
        <f>'05_Daily_Orders'!B231</f>
        <v/>
      </c>
      <c r="B230" s="50" t="n">
        <v>0</v>
      </c>
      <c r="C230" s="50" t="n">
        <v>64</v>
      </c>
      <c r="D230" s="119" t="n"/>
      <c r="E230" s="119" t="n"/>
      <c r="F230" t="n">
        <v>0</v>
      </c>
      <c r="L230" s="120">
        <f>IF($E$1="n",0,(SUM(F232:K232)-B232))</f>
        <v/>
      </c>
      <c r="M230" s="121">
        <f>_xludf.IFNA(_xlfn.XLOOKUP(A232,'00_SKU_Master'!$B$2:$B$378,'00_SKU_Master'!$C$2:$C$378,0),"")</f>
        <v/>
      </c>
      <c r="N230" s="122">
        <f>_xludf.IFNA(_xlfn.XLOOKUP(A232,'00_SKU_Master'!$B$2:$B$378,'00_SKU_Master'!$F$2:$F$378,0)*F232/_xlfn.XLOOKUP(A232,'00_SKU_Master'!$B$2:$B$378,'00_SKU_Master'!$O:$O,0),"")</f>
        <v/>
      </c>
      <c r="O230" s="122">
        <f>_xludf.IFNA(_xlfn.XLOOKUP($A232,'00_SKU_Master'!$B$2:$B$378,'00_SKU_Master'!$F$2:$F$378,0)*G232/_xlfn.XLOOKUP($A232,'00_SKU_Master'!$B$2:$B$378,'00_SKU_Master'!$O:$O,0),"")</f>
        <v/>
      </c>
      <c r="P230" s="122">
        <f>_xludf.IFNA(_xlfn.XLOOKUP($A232,'00_SKU_Master'!$B$2:$B$378,'00_SKU_Master'!$F$2:$F$378,0)*H232/_xlfn.XLOOKUP($A232,'00_SKU_Master'!$B$2:$B$378,'00_SKU_Master'!$O:$O,0),"")</f>
        <v/>
      </c>
      <c r="Q230" s="122">
        <f>_xludf.IFNA(_xlfn.XLOOKUP($A232,'00_SKU_Master'!$B$2:$B$378,'00_SKU_Master'!$F$2:$F$378,0)*I232/_xlfn.XLOOKUP($A232,'00_SKU_Master'!$B$2:$B$378,'00_SKU_Master'!$O:$O,0),"")</f>
        <v/>
      </c>
      <c r="R230" s="122">
        <f>_xludf.IFNA(_xlfn.XLOOKUP($A232,'00_SKU_Master'!$B$2:$B$378,'00_SKU_Master'!$F$2:$F$378,0)*J232/_xlfn.XLOOKUP($A232,'00_SKU_Master'!$B$2:$B$378,'00_SKU_Master'!$O:$O,0),"")</f>
        <v/>
      </c>
      <c r="S230" s="122">
        <f>_xludf.IFNA(_xlfn.XLOOKUP($A232,'00_SKU_Master'!$B$2:$B$378,'00_SKU_Master'!$F$2:$F$378,0)*K232/_xlfn.XLOOKUP($A232,'00_SKU_Master'!$B$2:$B$378,'00_SKU_Master'!$O:$O,0),"")</f>
        <v/>
      </c>
      <c r="T230" s="123">
        <f>SUM(N232:S232)</f>
        <v/>
      </c>
      <c r="U230" s="124">
        <f>'05_Daily_Orders'!L231</f>
        <v/>
      </c>
    </row>
    <row r="231">
      <c r="A231" s="118">
        <f>'05_Daily_Orders'!B232</f>
        <v/>
      </c>
      <c r="B231" s="50" t="n">
        <v>0</v>
      </c>
      <c r="C231" s="50" t="n">
        <v>30</v>
      </c>
      <c r="D231" s="119" t="n"/>
      <c r="E231" s="119" t="n"/>
      <c r="F231" t="n">
        <v>0</v>
      </c>
      <c r="L231" s="120">
        <f>IF($E$1="n",0,(SUM(F233:K233)-B233))</f>
        <v/>
      </c>
      <c r="M231" s="121">
        <f>_xludf.IFNA(_xlfn.XLOOKUP(A233,'00_SKU_Master'!$B$2:$B$378,'00_SKU_Master'!$C$2:$C$378,0),"")</f>
        <v/>
      </c>
      <c r="N231" s="122">
        <f>_xludf.IFNA(_xlfn.XLOOKUP(A233,'00_SKU_Master'!$B$2:$B$378,'00_SKU_Master'!$F$2:$F$378,0)*F233/_xlfn.XLOOKUP(A233,'00_SKU_Master'!$B$2:$B$378,'00_SKU_Master'!$O:$O,0),"")</f>
        <v/>
      </c>
      <c r="O231" s="122">
        <f>_xludf.IFNA(_xlfn.XLOOKUP($A233,'00_SKU_Master'!$B$2:$B$378,'00_SKU_Master'!$F$2:$F$378,0)*G233/_xlfn.XLOOKUP($A233,'00_SKU_Master'!$B$2:$B$378,'00_SKU_Master'!$O:$O,0),"")</f>
        <v/>
      </c>
      <c r="P231" s="122">
        <f>_xludf.IFNA(_xlfn.XLOOKUP($A233,'00_SKU_Master'!$B$2:$B$378,'00_SKU_Master'!$F$2:$F$378,0)*H233/_xlfn.XLOOKUP($A233,'00_SKU_Master'!$B$2:$B$378,'00_SKU_Master'!$O:$O,0),"")</f>
        <v/>
      </c>
      <c r="Q231" s="122">
        <f>_xludf.IFNA(_xlfn.XLOOKUP($A233,'00_SKU_Master'!$B$2:$B$378,'00_SKU_Master'!$F$2:$F$378,0)*I233/_xlfn.XLOOKUP($A233,'00_SKU_Master'!$B$2:$B$378,'00_SKU_Master'!$O:$O,0),"")</f>
        <v/>
      </c>
      <c r="R231" s="122">
        <f>_xludf.IFNA(_xlfn.XLOOKUP($A233,'00_SKU_Master'!$B$2:$B$378,'00_SKU_Master'!$F$2:$F$378,0)*J233/_xlfn.XLOOKUP($A233,'00_SKU_Master'!$B$2:$B$378,'00_SKU_Master'!$O:$O,0),"")</f>
        <v/>
      </c>
      <c r="S231" s="122">
        <f>_xludf.IFNA(_xlfn.XLOOKUP($A233,'00_SKU_Master'!$B$2:$B$378,'00_SKU_Master'!$F$2:$F$378,0)*K233/_xlfn.XLOOKUP($A233,'00_SKU_Master'!$B$2:$B$378,'00_SKU_Master'!$O:$O,0),"")</f>
        <v/>
      </c>
      <c r="T231" s="123">
        <f>SUM(N233:S233)</f>
        <v/>
      </c>
      <c r="U231" s="124">
        <f>'05_Daily_Orders'!L232</f>
        <v/>
      </c>
    </row>
    <row r="232">
      <c r="A232" s="118">
        <f>'05_Daily_Orders'!B233</f>
        <v/>
      </c>
      <c r="B232" s="50" t="n">
        <v>0</v>
      </c>
      <c r="C232" s="50" t="n">
        <v>30</v>
      </c>
      <c r="D232" s="119" t="n"/>
      <c r="E232" s="119" t="n"/>
      <c r="F232" t="n">
        <v>0</v>
      </c>
      <c r="L232" s="120">
        <f>IF($E$1="n",0,(SUM(F234:K234)-B234))</f>
        <v/>
      </c>
      <c r="M232" s="121">
        <f>_xludf.IFNA(_xlfn.XLOOKUP(A234,'00_SKU_Master'!$B$2:$B$378,'00_SKU_Master'!$C$2:$C$378,0),"")</f>
        <v/>
      </c>
      <c r="N232" s="122">
        <f>_xludf.IFNA(_xlfn.XLOOKUP(A234,'00_SKU_Master'!$B$2:$B$378,'00_SKU_Master'!$F$2:$F$378,0)*F234/_xlfn.XLOOKUP(A234,'00_SKU_Master'!$B$2:$B$378,'00_SKU_Master'!$O:$O,0),"")</f>
        <v/>
      </c>
      <c r="O232" s="122">
        <f>_xludf.IFNA(_xlfn.XLOOKUP($A234,'00_SKU_Master'!$B$2:$B$378,'00_SKU_Master'!$F$2:$F$378,0)*G234/_xlfn.XLOOKUP($A234,'00_SKU_Master'!$B$2:$B$378,'00_SKU_Master'!$O:$O,0),"")</f>
        <v/>
      </c>
      <c r="P232" s="122">
        <f>_xludf.IFNA(_xlfn.XLOOKUP($A234,'00_SKU_Master'!$B$2:$B$378,'00_SKU_Master'!$F$2:$F$378,0)*H234/_xlfn.XLOOKUP($A234,'00_SKU_Master'!$B$2:$B$378,'00_SKU_Master'!$O:$O,0),"")</f>
        <v/>
      </c>
      <c r="Q232" s="122">
        <f>_xludf.IFNA(_xlfn.XLOOKUP($A234,'00_SKU_Master'!$B$2:$B$378,'00_SKU_Master'!$F$2:$F$378,0)*I234/_xlfn.XLOOKUP($A234,'00_SKU_Master'!$B$2:$B$378,'00_SKU_Master'!$O:$O,0),"")</f>
        <v/>
      </c>
      <c r="R232" s="122">
        <f>_xludf.IFNA(_xlfn.XLOOKUP($A234,'00_SKU_Master'!$B$2:$B$378,'00_SKU_Master'!$F$2:$F$378,0)*J234/_xlfn.XLOOKUP($A234,'00_SKU_Master'!$B$2:$B$378,'00_SKU_Master'!$O:$O,0),"")</f>
        <v/>
      </c>
      <c r="S232" s="122">
        <f>_xludf.IFNA(_xlfn.XLOOKUP($A234,'00_SKU_Master'!$B$2:$B$378,'00_SKU_Master'!$F$2:$F$378,0)*K234/_xlfn.XLOOKUP($A234,'00_SKU_Master'!$B$2:$B$378,'00_SKU_Master'!$O:$O,0),"")</f>
        <v/>
      </c>
      <c r="T232" s="123">
        <f>SUM(N234:S234)</f>
        <v/>
      </c>
      <c r="U232" s="124">
        <f>'05_Daily_Orders'!L233</f>
        <v/>
      </c>
    </row>
    <row r="233">
      <c r="A233" s="118">
        <f>'05_Daily_Orders'!B234</f>
        <v/>
      </c>
      <c r="B233" s="50" t="n">
        <v>0</v>
      </c>
      <c r="C233" s="50" t="n">
        <v>31</v>
      </c>
      <c r="D233" s="119" t="n"/>
      <c r="E233" s="119" t="n"/>
      <c r="F233" t="n">
        <v>0</v>
      </c>
      <c r="L233" s="120">
        <f>IF($E$1="n",0,(SUM(F235:K235)-B235))</f>
        <v/>
      </c>
      <c r="M233" s="121">
        <f>_xludf.IFNA(_xlfn.XLOOKUP(A235,'00_SKU_Master'!$B$2:$B$378,'00_SKU_Master'!$C$2:$C$378,0),"")</f>
        <v/>
      </c>
      <c r="N233" s="122">
        <f>_xludf.IFNA(_xlfn.XLOOKUP(A235,'00_SKU_Master'!$B$2:$B$378,'00_SKU_Master'!$F$2:$F$378,0)*F235/_xlfn.XLOOKUP(A235,'00_SKU_Master'!$B$2:$B$378,'00_SKU_Master'!$O:$O,0),"")</f>
        <v/>
      </c>
      <c r="O233" s="122">
        <f>_xludf.IFNA(_xlfn.XLOOKUP($A235,'00_SKU_Master'!$B$2:$B$378,'00_SKU_Master'!$F$2:$F$378,0)*G235/_xlfn.XLOOKUP($A235,'00_SKU_Master'!$B$2:$B$378,'00_SKU_Master'!$O:$O,0),"")</f>
        <v/>
      </c>
      <c r="P233" s="122">
        <f>_xludf.IFNA(_xlfn.XLOOKUP($A235,'00_SKU_Master'!$B$2:$B$378,'00_SKU_Master'!$F$2:$F$378,0)*H235/_xlfn.XLOOKUP($A235,'00_SKU_Master'!$B$2:$B$378,'00_SKU_Master'!$O:$O,0),"")</f>
        <v/>
      </c>
      <c r="Q233" s="122">
        <f>_xludf.IFNA(_xlfn.XLOOKUP($A235,'00_SKU_Master'!$B$2:$B$378,'00_SKU_Master'!$F$2:$F$378,0)*I235/_xlfn.XLOOKUP($A235,'00_SKU_Master'!$B$2:$B$378,'00_SKU_Master'!$O:$O,0),"")</f>
        <v/>
      </c>
      <c r="R233" s="122">
        <f>_xludf.IFNA(_xlfn.XLOOKUP($A235,'00_SKU_Master'!$B$2:$B$378,'00_SKU_Master'!$F$2:$F$378,0)*J235/_xlfn.XLOOKUP($A235,'00_SKU_Master'!$B$2:$B$378,'00_SKU_Master'!$O:$O,0),"")</f>
        <v/>
      </c>
      <c r="S233" s="122">
        <f>_xludf.IFNA(_xlfn.XLOOKUP($A235,'00_SKU_Master'!$B$2:$B$378,'00_SKU_Master'!$F$2:$F$378,0)*K235/_xlfn.XLOOKUP($A235,'00_SKU_Master'!$B$2:$B$378,'00_SKU_Master'!$O:$O,0),"")</f>
        <v/>
      </c>
      <c r="T233" s="123">
        <f>SUM(N235:S235)</f>
        <v/>
      </c>
      <c r="U233" s="124">
        <f>'05_Daily_Orders'!L234</f>
        <v/>
      </c>
    </row>
    <row r="234">
      <c r="A234" s="118">
        <f>'05_Daily_Orders'!B235</f>
        <v/>
      </c>
      <c r="B234" s="50" t="n">
        <v>0</v>
      </c>
      <c r="C234" s="50" t="n">
        <v>31</v>
      </c>
      <c r="D234" s="119" t="n"/>
      <c r="E234" s="119" t="n"/>
      <c r="F234" t="n">
        <v>0</v>
      </c>
      <c r="L234" s="120">
        <f>IF($E$1="n",0,(SUM(F236:K236)-B236))</f>
        <v/>
      </c>
      <c r="M234" s="121">
        <f>_xludf.IFNA(_xlfn.XLOOKUP(A236,'00_SKU_Master'!$B$2:$B$378,'00_SKU_Master'!$C$2:$C$378,0),"")</f>
        <v/>
      </c>
      <c r="N234" s="122">
        <f>_xludf.IFNA(_xlfn.XLOOKUP(A236,'00_SKU_Master'!$B$2:$B$378,'00_SKU_Master'!$F$2:$F$378,0)*F236/_xlfn.XLOOKUP(A236,'00_SKU_Master'!$B$2:$B$378,'00_SKU_Master'!$O:$O,0),"")</f>
        <v/>
      </c>
      <c r="O234" s="122">
        <f>_xludf.IFNA(_xlfn.XLOOKUP($A236,'00_SKU_Master'!$B$2:$B$378,'00_SKU_Master'!$F$2:$F$378,0)*G236/_xlfn.XLOOKUP($A236,'00_SKU_Master'!$B$2:$B$378,'00_SKU_Master'!$O:$O,0),"")</f>
        <v/>
      </c>
      <c r="P234" s="122">
        <f>_xludf.IFNA(_xlfn.XLOOKUP($A236,'00_SKU_Master'!$B$2:$B$378,'00_SKU_Master'!$F$2:$F$378,0)*H236/_xlfn.XLOOKUP($A236,'00_SKU_Master'!$B$2:$B$378,'00_SKU_Master'!$O:$O,0),"")</f>
        <v/>
      </c>
      <c r="Q234" s="122">
        <f>_xludf.IFNA(_xlfn.XLOOKUP($A236,'00_SKU_Master'!$B$2:$B$378,'00_SKU_Master'!$F$2:$F$378,0)*I236/_xlfn.XLOOKUP($A236,'00_SKU_Master'!$B$2:$B$378,'00_SKU_Master'!$O:$O,0),"")</f>
        <v/>
      </c>
      <c r="R234" s="122">
        <f>_xludf.IFNA(_xlfn.XLOOKUP($A236,'00_SKU_Master'!$B$2:$B$378,'00_SKU_Master'!$F$2:$F$378,0)*J236/_xlfn.XLOOKUP($A236,'00_SKU_Master'!$B$2:$B$378,'00_SKU_Master'!$O:$O,0),"")</f>
        <v/>
      </c>
      <c r="S234" s="122">
        <f>_xludf.IFNA(_xlfn.XLOOKUP($A236,'00_SKU_Master'!$B$2:$B$378,'00_SKU_Master'!$F$2:$F$378,0)*K236/_xlfn.XLOOKUP($A236,'00_SKU_Master'!$B$2:$B$378,'00_SKU_Master'!$O:$O,0),"")</f>
        <v/>
      </c>
      <c r="T234" s="123">
        <f>SUM(N236:S236)</f>
        <v/>
      </c>
      <c r="U234" s="124">
        <f>'05_Daily_Orders'!L235</f>
        <v/>
      </c>
    </row>
    <row r="235">
      <c r="A235" s="118">
        <f>'05_Daily_Orders'!B236</f>
        <v/>
      </c>
      <c r="B235" s="50" t="n">
        <v>0</v>
      </c>
      <c r="C235" s="50" t="n">
        <v>10</v>
      </c>
      <c r="D235" s="119" t="n"/>
      <c r="E235" s="119" t="n"/>
      <c r="F235" t="n">
        <v>0</v>
      </c>
      <c r="L235" s="120">
        <f>IF($E$1="n",0,(SUM(F237:K237)-B237))</f>
        <v/>
      </c>
      <c r="M235" s="121">
        <f>_xludf.IFNA(_xlfn.XLOOKUP(A237,'00_SKU_Master'!$B$2:$B$378,'00_SKU_Master'!$C$2:$C$378,0),"")</f>
        <v/>
      </c>
      <c r="N235" s="122">
        <f>_xludf.IFNA(_xlfn.XLOOKUP(A237,'00_SKU_Master'!$B$2:$B$378,'00_SKU_Master'!$F$2:$F$378,0)*F237/_xlfn.XLOOKUP(A237,'00_SKU_Master'!$B$2:$B$378,'00_SKU_Master'!$O:$O,0),"")</f>
        <v/>
      </c>
      <c r="O235" s="122">
        <f>_xludf.IFNA(_xlfn.XLOOKUP($A237,'00_SKU_Master'!$B$2:$B$378,'00_SKU_Master'!$F$2:$F$378,0)*G237/_xlfn.XLOOKUP($A237,'00_SKU_Master'!$B$2:$B$378,'00_SKU_Master'!$O:$O,0),"")</f>
        <v/>
      </c>
      <c r="P235" s="122">
        <f>_xludf.IFNA(_xlfn.XLOOKUP($A237,'00_SKU_Master'!$B$2:$B$378,'00_SKU_Master'!$F$2:$F$378,0)*H237/_xlfn.XLOOKUP($A237,'00_SKU_Master'!$B$2:$B$378,'00_SKU_Master'!$O:$O,0),"")</f>
        <v/>
      </c>
      <c r="Q235" s="122">
        <f>_xludf.IFNA(_xlfn.XLOOKUP($A237,'00_SKU_Master'!$B$2:$B$378,'00_SKU_Master'!$F$2:$F$378,0)*I237/_xlfn.XLOOKUP($A237,'00_SKU_Master'!$B$2:$B$378,'00_SKU_Master'!$O:$O,0),"")</f>
        <v/>
      </c>
      <c r="R235" s="122">
        <f>_xludf.IFNA(_xlfn.XLOOKUP($A237,'00_SKU_Master'!$B$2:$B$378,'00_SKU_Master'!$F$2:$F$378,0)*J237/_xlfn.XLOOKUP($A237,'00_SKU_Master'!$B$2:$B$378,'00_SKU_Master'!$O:$O,0),"")</f>
        <v/>
      </c>
      <c r="S235" s="122">
        <f>_xludf.IFNA(_xlfn.XLOOKUP($A237,'00_SKU_Master'!$B$2:$B$378,'00_SKU_Master'!$F$2:$F$378,0)*K237/_xlfn.XLOOKUP($A237,'00_SKU_Master'!$B$2:$B$378,'00_SKU_Master'!$O:$O,0),"")</f>
        <v/>
      </c>
      <c r="T235" s="123">
        <f>SUM(N237:S237)</f>
        <v/>
      </c>
      <c r="U235" s="124">
        <f>'05_Daily_Orders'!L236</f>
        <v/>
      </c>
    </row>
    <row r="236">
      <c r="A236" s="118">
        <f>'05_Daily_Orders'!B237</f>
        <v/>
      </c>
      <c r="B236" s="50" t="n">
        <v>58</v>
      </c>
      <c r="C236" s="50" t="n">
        <v>0</v>
      </c>
      <c r="D236" s="119" t="n"/>
      <c r="E236" s="119" t="n"/>
      <c r="F236" t="n">
        <v>100</v>
      </c>
      <c r="L236" s="120">
        <f>IF($E$1="n",0,(SUM(F238:K238)-B238))</f>
        <v/>
      </c>
      <c r="M236" s="121">
        <f>_xludf.IFNA(_xlfn.XLOOKUP(A238,'00_SKU_Master'!$B$2:$B$378,'00_SKU_Master'!$C$2:$C$378,0),"")</f>
        <v/>
      </c>
      <c r="N236" s="122">
        <f>_xludf.IFNA(_xlfn.XLOOKUP(A238,'00_SKU_Master'!$B$2:$B$378,'00_SKU_Master'!$F$2:$F$378,0)*F238/_xlfn.XLOOKUP(A238,'00_SKU_Master'!$B$2:$B$378,'00_SKU_Master'!$O:$O,0),"")</f>
        <v/>
      </c>
      <c r="O236" s="122">
        <f>_xludf.IFNA(_xlfn.XLOOKUP($A238,'00_SKU_Master'!$B$2:$B$378,'00_SKU_Master'!$F$2:$F$378,0)*G238/_xlfn.XLOOKUP($A238,'00_SKU_Master'!$B$2:$B$378,'00_SKU_Master'!$O:$O,0),"")</f>
        <v/>
      </c>
      <c r="P236" s="122">
        <f>_xludf.IFNA(_xlfn.XLOOKUP($A238,'00_SKU_Master'!$B$2:$B$378,'00_SKU_Master'!$F$2:$F$378,0)*H238/_xlfn.XLOOKUP($A238,'00_SKU_Master'!$B$2:$B$378,'00_SKU_Master'!$O:$O,0),"")</f>
        <v/>
      </c>
      <c r="Q236" s="122">
        <f>_xludf.IFNA(_xlfn.XLOOKUP($A238,'00_SKU_Master'!$B$2:$B$378,'00_SKU_Master'!$F$2:$F$378,0)*I238/_xlfn.XLOOKUP($A238,'00_SKU_Master'!$B$2:$B$378,'00_SKU_Master'!$O:$O,0),"")</f>
        <v/>
      </c>
      <c r="R236" s="122">
        <f>_xludf.IFNA(_xlfn.XLOOKUP($A238,'00_SKU_Master'!$B$2:$B$378,'00_SKU_Master'!$F$2:$F$378,0)*J238/_xlfn.XLOOKUP($A238,'00_SKU_Master'!$B$2:$B$378,'00_SKU_Master'!$O:$O,0),"")</f>
        <v/>
      </c>
      <c r="S236" s="122">
        <f>_xludf.IFNA(_xlfn.XLOOKUP($A238,'00_SKU_Master'!$B$2:$B$378,'00_SKU_Master'!$F$2:$F$378,0)*K238/_xlfn.XLOOKUP($A238,'00_SKU_Master'!$B$2:$B$378,'00_SKU_Master'!$O:$O,0),"")</f>
        <v/>
      </c>
      <c r="T236" s="123">
        <f>SUM(N238:S238)</f>
        <v/>
      </c>
      <c r="U236" s="124">
        <f>'05_Daily_Orders'!L237</f>
        <v/>
      </c>
    </row>
    <row r="237">
      <c r="A237" s="118">
        <f>'05_Daily_Orders'!B238</f>
        <v/>
      </c>
      <c r="B237" s="50" t="n">
        <v>65</v>
      </c>
      <c r="C237" s="50" t="n">
        <v>0</v>
      </c>
      <c r="D237" s="119" t="n"/>
      <c r="E237" s="119" t="n"/>
      <c r="F237" t="n">
        <v>85</v>
      </c>
      <c r="L237" s="120">
        <f>IF($E$1="n",0,(SUM(F239:K239)-B239))</f>
        <v/>
      </c>
      <c r="M237" s="121">
        <f>_xludf.IFNA(_xlfn.XLOOKUP(A239,'00_SKU_Master'!$B$2:$B$378,'00_SKU_Master'!$C$2:$C$378,0),"")</f>
        <v/>
      </c>
      <c r="N237" s="122">
        <f>_xludf.IFNA(_xlfn.XLOOKUP(A239,'00_SKU_Master'!$B$2:$B$378,'00_SKU_Master'!$F$2:$F$378,0)*F239/_xlfn.XLOOKUP(A239,'00_SKU_Master'!$B$2:$B$378,'00_SKU_Master'!$O:$O,0),"")</f>
        <v/>
      </c>
      <c r="O237" s="122">
        <f>_xludf.IFNA(_xlfn.XLOOKUP($A239,'00_SKU_Master'!$B$2:$B$378,'00_SKU_Master'!$F$2:$F$378,0)*G239/_xlfn.XLOOKUP($A239,'00_SKU_Master'!$B$2:$B$378,'00_SKU_Master'!$O:$O,0),"")</f>
        <v/>
      </c>
      <c r="P237" s="122">
        <f>_xludf.IFNA(_xlfn.XLOOKUP($A239,'00_SKU_Master'!$B$2:$B$378,'00_SKU_Master'!$F$2:$F$378,0)*H239/_xlfn.XLOOKUP($A239,'00_SKU_Master'!$B$2:$B$378,'00_SKU_Master'!$O:$O,0),"")</f>
        <v/>
      </c>
      <c r="Q237" s="122">
        <f>_xludf.IFNA(_xlfn.XLOOKUP($A239,'00_SKU_Master'!$B$2:$B$378,'00_SKU_Master'!$F$2:$F$378,0)*I239/_xlfn.XLOOKUP($A239,'00_SKU_Master'!$B$2:$B$378,'00_SKU_Master'!$O:$O,0),"")</f>
        <v/>
      </c>
      <c r="R237" s="122">
        <f>_xludf.IFNA(_xlfn.XLOOKUP($A239,'00_SKU_Master'!$B$2:$B$378,'00_SKU_Master'!$F$2:$F$378,0)*J239/_xlfn.XLOOKUP($A239,'00_SKU_Master'!$B$2:$B$378,'00_SKU_Master'!$O:$O,0),"")</f>
        <v/>
      </c>
      <c r="S237" s="122">
        <f>_xludf.IFNA(_xlfn.XLOOKUP($A239,'00_SKU_Master'!$B$2:$B$378,'00_SKU_Master'!$F$2:$F$378,0)*K239/_xlfn.XLOOKUP($A239,'00_SKU_Master'!$B$2:$B$378,'00_SKU_Master'!$O:$O,0),"")</f>
        <v/>
      </c>
      <c r="T237" s="123">
        <f>SUM(N239:S239)</f>
        <v/>
      </c>
      <c r="U237" s="124">
        <f>'05_Daily_Orders'!L238</f>
        <v/>
      </c>
    </row>
    <row r="238">
      <c r="A238" s="118">
        <f>'05_Daily_Orders'!B239</f>
        <v/>
      </c>
      <c r="B238" s="50" t="n">
        <v>46</v>
      </c>
      <c r="C238" s="50" t="n">
        <v>0</v>
      </c>
      <c r="D238" s="119" t="n"/>
      <c r="E238" s="119" t="n"/>
      <c r="F238" t="n">
        <v>65</v>
      </c>
      <c r="L238" s="120">
        <f>IF($E$1="n",0,(SUM(F240:K240)-B240))</f>
        <v/>
      </c>
      <c r="M238" s="121">
        <f>_xludf.IFNA(_xlfn.XLOOKUP(A240,'00_SKU_Master'!$B$2:$B$378,'00_SKU_Master'!$C$2:$C$378,0),"")</f>
        <v/>
      </c>
      <c r="N238" s="122">
        <f>_xludf.IFNA(_xlfn.XLOOKUP(A240,'00_SKU_Master'!$B$2:$B$378,'00_SKU_Master'!$F$2:$F$378,0)*F240/_xlfn.XLOOKUP(A240,'00_SKU_Master'!$B$2:$B$378,'00_SKU_Master'!$O:$O,0),"")</f>
        <v/>
      </c>
      <c r="O238" s="122">
        <f>_xludf.IFNA(_xlfn.XLOOKUP($A240,'00_SKU_Master'!$B$2:$B$378,'00_SKU_Master'!$F$2:$F$378,0)*G240/_xlfn.XLOOKUP($A240,'00_SKU_Master'!$B$2:$B$378,'00_SKU_Master'!$O:$O,0),"")</f>
        <v/>
      </c>
      <c r="P238" s="122">
        <f>_xludf.IFNA(_xlfn.XLOOKUP($A240,'00_SKU_Master'!$B$2:$B$378,'00_SKU_Master'!$F$2:$F$378,0)*H240/_xlfn.XLOOKUP($A240,'00_SKU_Master'!$B$2:$B$378,'00_SKU_Master'!$O:$O,0),"")</f>
        <v/>
      </c>
      <c r="Q238" s="122">
        <f>_xludf.IFNA(_xlfn.XLOOKUP($A240,'00_SKU_Master'!$B$2:$B$378,'00_SKU_Master'!$F$2:$F$378,0)*I240/_xlfn.XLOOKUP($A240,'00_SKU_Master'!$B$2:$B$378,'00_SKU_Master'!$O:$O,0),"")</f>
        <v/>
      </c>
      <c r="R238" s="122">
        <f>_xludf.IFNA(_xlfn.XLOOKUP($A240,'00_SKU_Master'!$B$2:$B$378,'00_SKU_Master'!$F$2:$F$378,0)*J240/_xlfn.XLOOKUP($A240,'00_SKU_Master'!$B$2:$B$378,'00_SKU_Master'!$O:$O,0),"")</f>
        <v/>
      </c>
      <c r="S238" s="122">
        <f>_xludf.IFNA(_xlfn.XLOOKUP($A240,'00_SKU_Master'!$B$2:$B$378,'00_SKU_Master'!$F$2:$F$378,0)*K240/_xlfn.XLOOKUP($A240,'00_SKU_Master'!$B$2:$B$378,'00_SKU_Master'!$O:$O,0),"")</f>
        <v/>
      </c>
      <c r="T238" s="123">
        <f>SUM(N240:S240)</f>
        <v/>
      </c>
      <c r="U238" s="124">
        <f>'05_Daily_Orders'!L239</f>
        <v/>
      </c>
    </row>
    <row r="239">
      <c r="A239" s="118">
        <f>'05_Daily_Orders'!B240</f>
        <v/>
      </c>
      <c r="B239" s="50" t="n">
        <v>0</v>
      </c>
      <c r="C239" s="50" t="n">
        <v>0</v>
      </c>
      <c r="D239" s="119" t="n"/>
      <c r="E239" s="119" t="n"/>
      <c r="F239" t="n">
        <v>0</v>
      </c>
      <c r="L239" s="120">
        <f>IF($E$1="n",0,(SUM(F241:K241)-B241))</f>
        <v/>
      </c>
      <c r="M239" s="121">
        <f>_xludf.IFNA(_xlfn.XLOOKUP(A241,'00_SKU_Master'!$B$2:$B$378,'00_SKU_Master'!$C$2:$C$378,0),"")</f>
        <v/>
      </c>
      <c r="N239" s="122">
        <f>_xludf.IFNA(_xlfn.XLOOKUP(A241,'00_SKU_Master'!$B$2:$B$378,'00_SKU_Master'!$F$2:$F$378,0)*F241/_xlfn.XLOOKUP(A241,'00_SKU_Master'!$B$2:$B$378,'00_SKU_Master'!$O:$O,0),"")</f>
        <v/>
      </c>
      <c r="O239" s="122">
        <f>_xludf.IFNA(_xlfn.XLOOKUP($A241,'00_SKU_Master'!$B$2:$B$378,'00_SKU_Master'!$F$2:$F$378,0)*G241/_xlfn.XLOOKUP($A241,'00_SKU_Master'!$B$2:$B$378,'00_SKU_Master'!$O:$O,0),"")</f>
        <v/>
      </c>
      <c r="P239" s="122">
        <f>_xludf.IFNA(_xlfn.XLOOKUP($A241,'00_SKU_Master'!$B$2:$B$378,'00_SKU_Master'!$F$2:$F$378,0)*H241/_xlfn.XLOOKUP($A241,'00_SKU_Master'!$B$2:$B$378,'00_SKU_Master'!$O:$O,0),"")</f>
        <v/>
      </c>
      <c r="Q239" s="122">
        <f>_xludf.IFNA(_xlfn.XLOOKUP($A241,'00_SKU_Master'!$B$2:$B$378,'00_SKU_Master'!$F$2:$F$378,0)*I241/_xlfn.XLOOKUP($A241,'00_SKU_Master'!$B$2:$B$378,'00_SKU_Master'!$O:$O,0),"")</f>
        <v/>
      </c>
      <c r="R239" s="122">
        <f>_xludf.IFNA(_xlfn.XLOOKUP($A241,'00_SKU_Master'!$B$2:$B$378,'00_SKU_Master'!$F$2:$F$378,0)*J241/_xlfn.XLOOKUP($A241,'00_SKU_Master'!$B$2:$B$378,'00_SKU_Master'!$O:$O,0),"")</f>
        <v/>
      </c>
      <c r="S239" s="122">
        <f>_xludf.IFNA(_xlfn.XLOOKUP($A241,'00_SKU_Master'!$B$2:$B$378,'00_SKU_Master'!$F$2:$F$378,0)*K241/_xlfn.XLOOKUP($A241,'00_SKU_Master'!$B$2:$B$378,'00_SKU_Master'!$O:$O,0),"")</f>
        <v/>
      </c>
      <c r="T239" s="123">
        <f>SUM(N241:S241)</f>
        <v/>
      </c>
      <c r="U239" s="124">
        <f>'05_Daily_Orders'!L240</f>
        <v/>
      </c>
    </row>
    <row r="240">
      <c r="A240" s="118">
        <f>'05_Daily_Orders'!B241</f>
        <v/>
      </c>
      <c r="B240" s="50" t="n">
        <v>0</v>
      </c>
      <c r="C240" s="50" t="n">
        <v>0</v>
      </c>
      <c r="D240" s="119" t="n"/>
      <c r="E240" s="119" t="n"/>
      <c r="F240" t="n">
        <v>0</v>
      </c>
      <c r="L240" s="120">
        <f>IF($E$1="n",0,(SUM(F242:K242)-B242))</f>
        <v/>
      </c>
      <c r="M240" s="121">
        <f>_xludf.IFNA(_xlfn.XLOOKUP(A242,'00_SKU_Master'!$B$2:$B$378,'00_SKU_Master'!$C$2:$C$378,0),"")</f>
        <v/>
      </c>
      <c r="N240" s="122">
        <f>_xludf.IFNA(_xlfn.XLOOKUP(A242,'00_SKU_Master'!$B$2:$B$378,'00_SKU_Master'!$F$2:$F$378,0)*F242/_xlfn.XLOOKUP(A242,'00_SKU_Master'!$B$2:$B$378,'00_SKU_Master'!$O:$O,0),"")</f>
        <v/>
      </c>
      <c r="O240" s="122">
        <f>_xludf.IFNA(_xlfn.XLOOKUP($A242,'00_SKU_Master'!$B$2:$B$378,'00_SKU_Master'!$F$2:$F$378,0)*G242/_xlfn.XLOOKUP($A242,'00_SKU_Master'!$B$2:$B$378,'00_SKU_Master'!$O:$O,0),"")</f>
        <v/>
      </c>
      <c r="P240" s="122">
        <f>_xludf.IFNA(_xlfn.XLOOKUP($A242,'00_SKU_Master'!$B$2:$B$378,'00_SKU_Master'!$F$2:$F$378,0)*H242/_xlfn.XLOOKUP($A242,'00_SKU_Master'!$B$2:$B$378,'00_SKU_Master'!$O:$O,0),"")</f>
        <v/>
      </c>
      <c r="Q240" s="122">
        <f>_xludf.IFNA(_xlfn.XLOOKUP($A242,'00_SKU_Master'!$B$2:$B$378,'00_SKU_Master'!$F$2:$F$378,0)*I242/_xlfn.XLOOKUP($A242,'00_SKU_Master'!$B$2:$B$378,'00_SKU_Master'!$O:$O,0),"")</f>
        <v/>
      </c>
      <c r="R240" s="122">
        <f>_xludf.IFNA(_xlfn.XLOOKUP($A242,'00_SKU_Master'!$B$2:$B$378,'00_SKU_Master'!$F$2:$F$378,0)*J242/_xlfn.XLOOKUP($A242,'00_SKU_Master'!$B$2:$B$378,'00_SKU_Master'!$O:$O,0),"")</f>
        <v/>
      </c>
      <c r="S240" s="122">
        <f>_xludf.IFNA(_xlfn.XLOOKUP($A242,'00_SKU_Master'!$B$2:$B$378,'00_SKU_Master'!$F$2:$F$378,0)*K242/_xlfn.XLOOKUP($A242,'00_SKU_Master'!$B$2:$B$378,'00_SKU_Master'!$O:$O,0),"")</f>
        <v/>
      </c>
      <c r="T240" s="123">
        <f>SUM(N242:S242)</f>
        <v/>
      </c>
      <c r="U240" s="124">
        <f>'05_Daily_Orders'!L241</f>
        <v/>
      </c>
    </row>
    <row r="241">
      <c r="A241" s="118">
        <f>'05_Daily_Orders'!B242</f>
        <v/>
      </c>
      <c r="B241" s="50" t="n">
        <v>0</v>
      </c>
      <c r="C241" s="50" t="n">
        <v>0</v>
      </c>
      <c r="D241" s="119" t="n"/>
      <c r="E241" s="119" t="n"/>
      <c r="F241" t="n">
        <v>0</v>
      </c>
      <c r="L241" s="120">
        <f>IF($E$1="n",0,(SUM(F243:K243)-B243))</f>
        <v/>
      </c>
      <c r="M241" s="121">
        <f>_xludf.IFNA(_xlfn.XLOOKUP(A243,'00_SKU_Master'!$B$2:$B$378,'00_SKU_Master'!$C$2:$C$378,0),"")</f>
        <v/>
      </c>
      <c r="N241" s="122">
        <f>_xludf.IFNA(_xlfn.XLOOKUP(A243,'00_SKU_Master'!$B$2:$B$378,'00_SKU_Master'!$F$2:$F$378,0)*F243/_xlfn.XLOOKUP(A243,'00_SKU_Master'!$B$2:$B$378,'00_SKU_Master'!$O:$O,0),"")</f>
        <v/>
      </c>
      <c r="O241" s="122">
        <f>_xludf.IFNA(_xlfn.XLOOKUP($A243,'00_SKU_Master'!$B$2:$B$378,'00_SKU_Master'!$F$2:$F$378,0)*G243/_xlfn.XLOOKUP($A243,'00_SKU_Master'!$B$2:$B$378,'00_SKU_Master'!$O:$O,0),"")</f>
        <v/>
      </c>
      <c r="P241" s="122">
        <f>_xludf.IFNA(_xlfn.XLOOKUP($A243,'00_SKU_Master'!$B$2:$B$378,'00_SKU_Master'!$F$2:$F$378,0)*H243/_xlfn.XLOOKUP($A243,'00_SKU_Master'!$B$2:$B$378,'00_SKU_Master'!$O:$O,0),"")</f>
        <v/>
      </c>
      <c r="Q241" s="122">
        <f>_xludf.IFNA(_xlfn.XLOOKUP($A243,'00_SKU_Master'!$B$2:$B$378,'00_SKU_Master'!$F$2:$F$378,0)*I243/_xlfn.XLOOKUP($A243,'00_SKU_Master'!$B$2:$B$378,'00_SKU_Master'!$O:$O,0),"")</f>
        <v/>
      </c>
      <c r="R241" s="122">
        <f>_xludf.IFNA(_xlfn.XLOOKUP($A243,'00_SKU_Master'!$B$2:$B$378,'00_SKU_Master'!$F$2:$F$378,0)*J243/_xlfn.XLOOKUP($A243,'00_SKU_Master'!$B$2:$B$378,'00_SKU_Master'!$O:$O,0),"")</f>
        <v/>
      </c>
      <c r="S241" s="122">
        <f>_xludf.IFNA(_xlfn.XLOOKUP($A243,'00_SKU_Master'!$B$2:$B$378,'00_SKU_Master'!$F$2:$F$378,0)*K243/_xlfn.XLOOKUP($A243,'00_SKU_Master'!$B$2:$B$378,'00_SKU_Master'!$O:$O,0),"")</f>
        <v/>
      </c>
      <c r="T241" s="123">
        <f>SUM(N243:S243)</f>
        <v/>
      </c>
      <c r="U241" s="124">
        <f>'05_Daily_Orders'!L242</f>
        <v/>
      </c>
    </row>
    <row r="242">
      <c r="A242" s="118">
        <f>'05_Daily_Orders'!B243</f>
        <v/>
      </c>
      <c r="B242" s="50" t="n">
        <v>0</v>
      </c>
      <c r="C242" s="50" t="n">
        <v>0</v>
      </c>
      <c r="D242" s="119" t="n"/>
      <c r="E242" s="119" t="n"/>
      <c r="F242" t="n">
        <v>0</v>
      </c>
      <c r="L242" s="120">
        <f>IF($E$1="n",0,(SUM(F244:K244)-B244))</f>
        <v/>
      </c>
      <c r="M242" s="121">
        <f>_xludf.IFNA(_xlfn.XLOOKUP(A244,'00_SKU_Master'!$B$2:$B$378,'00_SKU_Master'!$C$2:$C$378,0),"")</f>
        <v/>
      </c>
      <c r="N242" s="122">
        <f>_xludf.IFNA(_xlfn.XLOOKUP(A244,'00_SKU_Master'!$B$2:$B$378,'00_SKU_Master'!$F$2:$F$378,0)*F244/_xlfn.XLOOKUP(A244,'00_SKU_Master'!$B$2:$B$378,'00_SKU_Master'!$O:$O,0),"")</f>
        <v/>
      </c>
      <c r="O242" s="122">
        <f>_xludf.IFNA(_xlfn.XLOOKUP($A244,'00_SKU_Master'!$B$2:$B$378,'00_SKU_Master'!$F$2:$F$378,0)*G244/_xlfn.XLOOKUP($A244,'00_SKU_Master'!$B$2:$B$378,'00_SKU_Master'!$O:$O,0),"")</f>
        <v/>
      </c>
      <c r="P242" s="122">
        <f>_xludf.IFNA(_xlfn.XLOOKUP($A244,'00_SKU_Master'!$B$2:$B$378,'00_SKU_Master'!$F$2:$F$378,0)*H244/_xlfn.XLOOKUP($A244,'00_SKU_Master'!$B$2:$B$378,'00_SKU_Master'!$O:$O,0),"")</f>
        <v/>
      </c>
      <c r="Q242" s="122">
        <f>_xludf.IFNA(_xlfn.XLOOKUP($A244,'00_SKU_Master'!$B$2:$B$378,'00_SKU_Master'!$F$2:$F$378,0)*I244/_xlfn.XLOOKUP($A244,'00_SKU_Master'!$B$2:$B$378,'00_SKU_Master'!$O:$O,0),"")</f>
        <v/>
      </c>
      <c r="R242" s="122">
        <f>_xludf.IFNA(_xlfn.XLOOKUP($A244,'00_SKU_Master'!$B$2:$B$378,'00_SKU_Master'!$F$2:$F$378,0)*J244/_xlfn.XLOOKUP($A244,'00_SKU_Master'!$B$2:$B$378,'00_SKU_Master'!$O:$O,0),"")</f>
        <v/>
      </c>
      <c r="S242" s="122">
        <f>_xludf.IFNA(_xlfn.XLOOKUP($A244,'00_SKU_Master'!$B$2:$B$378,'00_SKU_Master'!$F$2:$F$378,0)*K244/_xlfn.XLOOKUP($A244,'00_SKU_Master'!$B$2:$B$378,'00_SKU_Master'!$O:$O,0),"")</f>
        <v/>
      </c>
      <c r="T242" s="123">
        <f>SUM(N244:S244)</f>
        <v/>
      </c>
      <c r="U242" s="124">
        <f>'05_Daily_Orders'!L243</f>
        <v/>
      </c>
    </row>
    <row r="243">
      <c r="A243" s="118">
        <f>'05_Daily_Orders'!B244</f>
        <v/>
      </c>
      <c r="B243" s="50" t="n">
        <v>0</v>
      </c>
      <c r="C243" s="50" t="n">
        <v>6</v>
      </c>
      <c r="D243" s="119" t="n"/>
      <c r="E243" s="119" t="n"/>
      <c r="F243" t="n">
        <v>40</v>
      </c>
      <c r="L243" s="120">
        <f>IF($E$1="n",0,(SUM(F245:K245)-B245))</f>
        <v/>
      </c>
      <c r="M243" s="121">
        <f>_xludf.IFNA(_xlfn.XLOOKUP(A245,'00_SKU_Master'!$B$2:$B$378,'00_SKU_Master'!$C$2:$C$378,0),"")</f>
        <v/>
      </c>
      <c r="N243" s="122">
        <f>_xludf.IFNA(_xlfn.XLOOKUP(A245,'00_SKU_Master'!$B$2:$B$378,'00_SKU_Master'!$F$2:$F$378,0)*F245/_xlfn.XLOOKUP(A245,'00_SKU_Master'!$B$2:$B$378,'00_SKU_Master'!$O:$O,0),"")</f>
        <v/>
      </c>
      <c r="O243" s="122">
        <f>_xludf.IFNA(_xlfn.XLOOKUP($A245,'00_SKU_Master'!$B$2:$B$378,'00_SKU_Master'!$F$2:$F$378,0)*G245/_xlfn.XLOOKUP($A245,'00_SKU_Master'!$B$2:$B$378,'00_SKU_Master'!$O:$O,0),"")</f>
        <v/>
      </c>
      <c r="P243" s="122">
        <f>_xludf.IFNA(_xlfn.XLOOKUP($A245,'00_SKU_Master'!$B$2:$B$378,'00_SKU_Master'!$F$2:$F$378,0)*H245/_xlfn.XLOOKUP($A245,'00_SKU_Master'!$B$2:$B$378,'00_SKU_Master'!$O:$O,0),"")</f>
        <v/>
      </c>
      <c r="Q243" s="122">
        <f>_xludf.IFNA(_xlfn.XLOOKUP($A245,'00_SKU_Master'!$B$2:$B$378,'00_SKU_Master'!$F$2:$F$378,0)*I245/_xlfn.XLOOKUP($A245,'00_SKU_Master'!$B$2:$B$378,'00_SKU_Master'!$O:$O,0),"")</f>
        <v/>
      </c>
      <c r="R243" s="122">
        <f>_xludf.IFNA(_xlfn.XLOOKUP($A245,'00_SKU_Master'!$B$2:$B$378,'00_SKU_Master'!$F$2:$F$378,0)*J245/_xlfn.XLOOKUP($A245,'00_SKU_Master'!$B$2:$B$378,'00_SKU_Master'!$O:$O,0),"")</f>
        <v/>
      </c>
      <c r="S243" s="122">
        <f>_xludf.IFNA(_xlfn.XLOOKUP($A245,'00_SKU_Master'!$B$2:$B$378,'00_SKU_Master'!$F$2:$F$378,0)*K245/_xlfn.XLOOKUP($A245,'00_SKU_Master'!$B$2:$B$378,'00_SKU_Master'!$O:$O,0),"")</f>
        <v/>
      </c>
      <c r="T243" s="123">
        <f>SUM(N245:S245)</f>
        <v/>
      </c>
      <c r="U243" s="124">
        <f>'05_Daily_Orders'!L244</f>
        <v/>
      </c>
    </row>
    <row r="244">
      <c r="A244" s="118">
        <f>'05_Daily_Orders'!B245</f>
        <v/>
      </c>
      <c r="B244" s="50" t="n">
        <v>0</v>
      </c>
      <c r="C244" s="50" t="n">
        <v>0</v>
      </c>
      <c r="D244" s="119" t="n"/>
      <c r="E244" s="119" t="n"/>
      <c r="F244" t="n">
        <v>0</v>
      </c>
      <c r="L244" s="120">
        <f>IF($E$1="n",0,(SUM(F246:K246)-B246))</f>
        <v/>
      </c>
      <c r="M244" s="121">
        <f>_xludf.IFNA(_xlfn.XLOOKUP(A246,'00_SKU_Master'!$B$2:$B$378,'00_SKU_Master'!$C$2:$C$378,0),"")</f>
        <v/>
      </c>
      <c r="N244" s="122">
        <f>_xludf.IFNA(_xlfn.XLOOKUP(A246,'00_SKU_Master'!$B$2:$B$378,'00_SKU_Master'!$F$2:$F$378,0)*F246/_xlfn.XLOOKUP(A246,'00_SKU_Master'!$B$2:$B$378,'00_SKU_Master'!$O:$O,0),"")</f>
        <v/>
      </c>
      <c r="O244" s="122">
        <f>_xludf.IFNA(_xlfn.XLOOKUP($A246,'00_SKU_Master'!$B$2:$B$378,'00_SKU_Master'!$F$2:$F$378,0)*G246/_xlfn.XLOOKUP($A246,'00_SKU_Master'!$B$2:$B$378,'00_SKU_Master'!$O:$O,0),"")</f>
        <v/>
      </c>
      <c r="P244" s="122">
        <f>_xludf.IFNA(_xlfn.XLOOKUP($A246,'00_SKU_Master'!$B$2:$B$378,'00_SKU_Master'!$F$2:$F$378,0)*H246/_xlfn.XLOOKUP($A246,'00_SKU_Master'!$B$2:$B$378,'00_SKU_Master'!$O:$O,0),"")</f>
        <v/>
      </c>
      <c r="Q244" s="122">
        <f>_xludf.IFNA(_xlfn.XLOOKUP($A246,'00_SKU_Master'!$B$2:$B$378,'00_SKU_Master'!$F$2:$F$378,0)*I246/_xlfn.XLOOKUP($A246,'00_SKU_Master'!$B$2:$B$378,'00_SKU_Master'!$O:$O,0),"")</f>
        <v/>
      </c>
      <c r="R244" s="122">
        <f>_xludf.IFNA(_xlfn.XLOOKUP($A246,'00_SKU_Master'!$B$2:$B$378,'00_SKU_Master'!$F$2:$F$378,0)*J246/_xlfn.XLOOKUP($A246,'00_SKU_Master'!$B$2:$B$378,'00_SKU_Master'!$O:$O,0),"")</f>
        <v/>
      </c>
      <c r="S244" s="122">
        <f>_xludf.IFNA(_xlfn.XLOOKUP($A246,'00_SKU_Master'!$B$2:$B$378,'00_SKU_Master'!$F$2:$F$378,0)*K246/_xlfn.XLOOKUP($A246,'00_SKU_Master'!$B$2:$B$378,'00_SKU_Master'!$O:$O,0),"")</f>
        <v/>
      </c>
      <c r="T244" s="123">
        <f>SUM(N246:S246)</f>
        <v/>
      </c>
      <c r="U244" s="124">
        <f>'05_Daily_Orders'!L245</f>
        <v/>
      </c>
    </row>
    <row r="245">
      <c r="A245" s="118">
        <f>'05_Daily_Orders'!B246</f>
        <v/>
      </c>
      <c r="B245" s="50" t="n">
        <v>0</v>
      </c>
      <c r="C245" s="50" t="n">
        <v>0</v>
      </c>
      <c r="D245" s="119" t="n"/>
      <c r="E245" s="119" t="n"/>
      <c r="F245" t="n">
        <v>0</v>
      </c>
      <c r="L245" s="120">
        <f>IF($E$1="n",0,(SUM(F247:K247)-B247))</f>
        <v/>
      </c>
      <c r="M245" s="121">
        <f>_xludf.IFNA(_xlfn.XLOOKUP(A247,'00_SKU_Master'!$B$2:$B$378,'00_SKU_Master'!$C$2:$C$378,0),"")</f>
        <v/>
      </c>
      <c r="N245" s="122">
        <f>_xludf.IFNA(_xlfn.XLOOKUP(A247,'00_SKU_Master'!$B$2:$B$378,'00_SKU_Master'!$F$2:$F$378,0)*F247/_xlfn.XLOOKUP(A247,'00_SKU_Master'!$B$2:$B$378,'00_SKU_Master'!$O:$O,0),"")</f>
        <v/>
      </c>
      <c r="O245" s="122">
        <f>_xludf.IFNA(_xlfn.XLOOKUP($A247,'00_SKU_Master'!$B$2:$B$378,'00_SKU_Master'!$F$2:$F$378,0)*G247/_xlfn.XLOOKUP($A247,'00_SKU_Master'!$B$2:$B$378,'00_SKU_Master'!$O:$O,0),"")</f>
        <v/>
      </c>
      <c r="P245" s="122">
        <f>_xludf.IFNA(_xlfn.XLOOKUP($A247,'00_SKU_Master'!$B$2:$B$378,'00_SKU_Master'!$F$2:$F$378,0)*H247/_xlfn.XLOOKUP($A247,'00_SKU_Master'!$B$2:$B$378,'00_SKU_Master'!$O:$O,0),"")</f>
        <v/>
      </c>
      <c r="Q245" s="122">
        <f>_xludf.IFNA(_xlfn.XLOOKUP($A247,'00_SKU_Master'!$B$2:$B$378,'00_SKU_Master'!$F$2:$F$378,0)*I247/_xlfn.XLOOKUP($A247,'00_SKU_Master'!$B$2:$B$378,'00_SKU_Master'!$O:$O,0),"")</f>
        <v/>
      </c>
      <c r="R245" s="122">
        <f>_xludf.IFNA(_xlfn.XLOOKUP($A247,'00_SKU_Master'!$B$2:$B$378,'00_SKU_Master'!$F$2:$F$378,0)*J247/_xlfn.XLOOKUP($A247,'00_SKU_Master'!$B$2:$B$378,'00_SKU_Master'!$O:$O,0),"")</f>
        <v/>
      </c>
      <c r="S245" s="122">
        <f>_xludf.IFNA(_xlfn.XLOOKUP($A247,'00_SKU_Master'!$B$2:$B$378,'00_SKU_Master'!$F$2:$F$378,0)*K247/_xlfn.XLOOKUP($A247,'00_SKU_Master'!$B$2:$B$378,'00_SKU_Master'!$O:$O,0),"")</f>
        <v/>
      </c>
      <c r="T245" s="123">
        <f>SUM(N247:S247)</f>
        <v/>
      </c>
      <c r="U245" s="124">
        <f>'05_Daily_Orders'!L246</f>
        <v/>
      </c>
    </row>
    <row r="246">
      <c r="A246" s="118">
        <f>'05_Daily_Orders'!B247</f>
        <v/>
      </c>
      <c r="B246" s="50" t="n">
        <v>0</v>
      </c>
      <c r="C246" s="50" t="n">
        <v>0</v>
      </c>
      <c r="D246" s="119" t="n"/>
      <c r="E246" s="119" t="n"/>
      <c r="F246" t="n">
        <v>0</v>
      </c>
      <c r="L246" s="120">
        <f>IF($E$1="n",0,(SUM(F248:K248)-B248))</f>
        <v/>
      </c>
      <c r="M246" s="121">
        <f>_xludf.IFNA(_xlfn.XLOOKUP(A248,'00_SKU_Master'!$B$2:$B$378,'00_SKU_Master'!$C$2:$C$378,0),"")</f>
        <v/>
      </c>
      <c r="N246" s="122">
        <f>_xludf.IFNA(_xlfn.XLOOKUP(A248,'00_SKU_Master'!$B$2:$B$378,'00_SKU_Master'!$F$2:$F$378,0)*F248/_xlfn.XLOOKUP(A248,'00_SKU_Master'!$B$2:$B$378,'00_SKU_Master'!$O:$O,0),"")</f>
        <v/>
      </c>
      <c r="O246" s="122">
        <f>_xludf.IFNA(_xlfn.XLOOKUP($A248,'00_SKU_Master'!$B$2:$B$378,'00_SKU_Master'!$F$2:$F$378,0)*G248/_xlfn.XLOOKUP($A248,'00_SKU_Master'!$B$2:$B$378,'00_SKU_Master'!$O:$O,0),"")</f>
        <v/>
      </c>
      <c r="P246" s="122">
        <f>_xludf.IFNA(_xlfn.XLOOKUP($A248,'00_SKU_Master'!$B$2:$B$378,'00_SKU_Master'!$F$2:$F$378,0)*H248/_xlfn.XLOOKUP($A248,'00_SKU_Master'!$B$2:$B$378,'00_SKU_Master'!$O:$O,0),"")</f>
        <v/>
      </c>
      <c r="Q246" s="122">
        <f>_xludf.IFNA(_xlfn.XLOOKUP($A248,'00_SKU_Master'!$B$2:$B$378,'00_SKU_Master'!$F$2:$F$378,0)*I248/_xlfn.XLOOKUP($A248,'00_SKU_Master'!$B$2:$B$378,'00_SKU_Master'!$O:$O,0),"")</f>
        <v/>
      </c>
      <c r="R246" s="122">
        <f>_xludf.IFNA(_xlfn.XLOOKUP($A248,'00_SKU_Master'!$B$2:$B$378,'00_SKU_Master'!$F$2:$F$378,0)*J248/_xlfn.XLOOKUP($A248,'00_SKU_Master'!$B$2:$B$378,'00_SKU_Master'!$O:$O,0),"")</f>
        <v/>
      </c>
      <c r="S246" s="122">
        <f>_xludf.IFNA(_xlfn.XLOOKUP($A248,'00_SKU_Master'!$B$2:$B$378,'00_SKU_Master'!$F$2:$F$378,0)*K248/_xlfn.XLOOKUP($A248,'00_SKU_Master'!$B$2:$B$378,'00_SKU_Master'!$O:$O,0),"")</f>
        <v/>
      </c>
      <c r="T246" s="123">
        <f>SUM(N248:S248)</f>
        <v/>
      </c>
      <c r="U246" s="124">
        <f>'05_Daily_Orders'!L247</f>
        <v/>
      </c>
    </row>
    <row r="247">
      <c r="A247" s="118">
        <f>'05_Daily_Orders'!B248</f>
        <v/>
      </c>
      <c r="B247" s="50" t="n">
        <v>0</v>
      </c>
      <c r="C247" s="50" t="n">
        <v>0</v>
      </c>
      <c r="D247" s="119" t="n"/>
      <c r="E247" s="119" t="n"/>
      <c r="F247" t="n">
        <v>0</v>
      </c>
      <c r="L247" s="120">
        <f>IF($E$1="n",0,(SUM(F249:K249)-B249))</f>
        <v/>
      </c>
      <c r="M247" s="121">
        <f>_xludf.IFNA(_xlfn.XLOOKUP(A249,'00_SKU_Master'!$B$2:$B$378,'00_SKU_Master'!$C$2:$C$378,0),"")</f>
        <v/>
      </c>
      <c r="N247" s="122">
        <f>_xludf.IFNA(_xlfn.XLOOKUP(A249,'00_SKU_Master'!$B$2:$B$378,'00_SKU_Master'!$F$2:$F$378,0)*F249/_xlfn.XLOOKUP(A249,'00_SKU_Master'!$B$2:$B$378,'00_SKU_Master'!$O:$O,0),"")</f>
        <v/>
      </c>
      <c r="O247" s="122">
        <f>_xludf.IFNA(_xlfn.XLOOKUP($A249,'00_SKU_Master'!$B$2:$B$378,'00_SKU_Master'!$F$2:$F$378,0)*G249/_xlfn.XLOOKUP($A249,'00_SKU_Master'!$B$2:$B$378,'00_SKU_Master'!$O:$O,0),"")</f>
        <v/>
      </c>
      <c r="P247" s="122">
        <f>_xludf.IFNA(_xlfn.XLOOKUP($A249,'00_SKU_Master'!$B$2:$B$378,'00_SKU_Master'!$F$2:$F$378,0)*H249/_xlfn.XLOOKUP($A249,'00_SKU_Master'!$B$2:$B$378,'00_SKU_Master'!$O:$O,0),"")</f>
        <v/>
      </c>
      <c r="Q247" s="122">
        <f>_xludf.IFNA(_xlfn.XLOOKUP($A249,'00_SKU_Master'!$B$2:$B$378,'00_SKU_Master'!$F$2:$F$378,0)*I249/_xlfn.XLOOKUP($A249,'00_SKU_Master'!$B$2:$B$378,'00_SKU_Master'!$O:$O,0),"")</f>
        <v/>
      </c>
      <c r="R247" s="122">
        <f>_xludf.IFNA(_xlfn.XLOOKUP($A249,'00_SKU_Master'!$B$2:$B$378,'00_SKU_Master'!$F$2:$F$378,0)*J249/_xlfn.XLOOKUP($A249,'00_SKU_Master'!$B$2:$B$378,'00_SKU_Master'!$O:$O,0),"")</f>
        <v/>
      </c>
      <c r="S247" s="122">
        <f>_xludf.IFNA(_xlfn.XLOOKUP($A249,'00_SKU_Master'!$B$2:$B$378,'00_SKU_Master'!$F$2:$F$378,0)*K249/_xlfn.XLOOKUP($A249,'00_SKU_Master'!$B$2:$B$378,'00_SKU_Master'!$O:$O,0),"")</f>
        <v/>
      </c>
      <c r="T247" s="123">
        <f>SUM(N249:S249)</f>
        <v/>
      </c>
      <c r="U247" s="124">
        <f>'05_Daily_Orders'!L248</f>
        <v/>
      </c>
    </row>
    <row r="248">
      <c r="A248" s="118">
        <f>'05_Daily_Orders'!B249</f>
        <v/>
      </c>
      <c r="B248" s="50" t="n">
        <v>0</v>
      </c>
      <c r="C248" s="50" t="n">
        <v>0</v>
      </c>
      <c r="D248" s="119" t="n"/>
      <c r="E248" s="119" t="n"/>
      <c r="F248" t="n">
        <v>0</v>
      </c>
      <c r="L248" s="120">
        <f>IF($E$1="n",0,(SUM(F250:K250)-B250))</f>
        <v/>
      </c>
      <c r="M248" s="121">
        <f>_xludf.IFNA(_xlfn.XLOOKUP(A250,'00_SKU_Master'!$B$2:$B$378,'00_SKU_Master'!$C$2:$C$378,0),"")</f>
        <v/>
      </c>
      <c r="N248" s="122">
        <f>_xludf.IFNA(_xlfn.XLOOKUP(A250,'00_SKU_Master'!$B$2:$B$378,'00_SKU_Master'!$F$2:$F$378,0)*F250/_xlfn.XLOOKUP(A250,'00_SKU_Master'!$B$2:$B$378,'00_SKU_Master'!$O:$O,0),"")</f>
        <v/>
      </c>
      <c r="O248" s="122">
        <f>_xludf.IFNA(_xlfn.XLOOKUP($A250,'00_SKU_Master'!$B$2:$B$378,'00_SKU_Master'!$F$2:$F$378,0)*G250/_xlfn.XLOOKUP($A250,'00_SKU_Master'!$B$2:$B$378,'00_SKU_Master'!$O:$O,0),"")</f>
        <v/>
      </c>
      <c r="P248" s="122">
        <f>_xludf.IFNA(_xlfn.XLOOKUP($A250,'00_SKU_Master'!$B$2:$B$378,'00_SKU_Master'!$F$2:$F$378,0)*H250/_xlfn.XLOOKUP($A250,'00_SKU_Master'!$B$2:$B$378,'00_SKU_Master'!$O:$O,0),"")</f>
        <v/>
      </c>
      <c r="Q248" s="122">
        <f>_xludf.IFNA(_xlfn.XLOOKUP($A250,'00_SKU_Master'!$B$2:$B$378,'00_SKU_Master'!$F$2:$F$378,0)*I250/_xlfn.XLOOKUP($A250,'00_SKU_Master'!$B$2:$B$378,'00_SKU_Master'!$O:$O,0),"")</f>
        <v/>
      </c>
      <c r="R248" s="122">
        <f>_xludf.IFNA(_xlfn.XLOOKUP($A250,'00_SKU_Master'!$B$2:$B$378,'00_SKU_Master'!$F$2:$F$378,0)*J250/_xlfn.XLOOKUP($A250,'00_SKU_Master'!$B$2:$B$378,'00_SKU_Master'!$O:$O,0),"")</f>
        <v/>
      </c>
      <c r="S248" s="122">
        <f>_xludf.IFNA(_xlfn.XLOOKUP($A250,'00_SKU_Master'!$B$2:$B$378,'00_SKU_Master'!$F$2:$F$378,0)*K250/_xlfn.XLOOKUP($A250,'00_SKU_Master'!$B$2:$B$378,'00_SKU_Master'!$O:$O,0),"")</f>
        <v/>
      </c>
      <c r="T248" s="123">
        <f>SUM(N250:S250)</f>
        <v/>
      </c>
      <c r="U248" s="124">
        <f>'05_Daily_Orders'!L249</f>
        <v/>
      </c>
    </row>
    <row r="249">
      <c r="A249" s="118">
        <f>'05_Daily_Orders'!B250</f>
        <v/>
      </c>
      <c r="B249" s="50" t="n">
        <v>0</v>
      </c>
      <c r="C249" s="50" t="n">
        <v>0</v>
      </c>
      <c r="D249" s="119" t="n"/>
      <c r="E249" s="119" t="n"/>
      <c r="F249" t="n">
        <v>0</v>
      </c>
      <c r="L249" s="120">
        <f>IF($E$1="n",0,(SUM(F251:K251)-B251))</f>
        <v/>
      </c>
      <c r="M249" s="121">
        <f>_xludf.IFNA(_xlfn.XLOOKUP(A251,'00_SKU_Master'!$B$2:$B$378,'00_SKU_Master'!$C$2:$C$378,0),"")</f>
        <v/>
      </c>
      <c r="N249" s="122">
        <f>_xludf.IFNA(_xlfn.XLOOKUP(A251,'00_SKU_Master'!$B$2:$B$378,'00_SKU_Master'!$F$2:$F$378,0)*F251/_xlfn.XLOOKUP(A251,'00_SKU_Master'!$B$2:$B$378,'00_SKU_Master'!$O:$O,0),"")</f>
        <v/>
      </c>
      <c r="O249" s="122">
        <f>_xludf.IFNA(_xlfn.XLOOKUP($A251,'00_SKU_Master'!$B$2:$B$378,'00_SKU_Master'!$F$2:$F$378,0)*G251/_xlfn.XLOOKUP($A251,'00_SKU_Master'!$B$2:$B$378,'00_SKU_Master'!$O:$O,0),"")</f>
        <v/>
      </c>
      <c r="P249" s="122">
        <f>_xludf.IFNA(_xlfn.XLOOKUP($A251,'00_SKU_Master'!$B$2:$B$378,'00_SKU_Master'!$F$2:$F$378,0)*H251/_xlfn.XLOOKUP($A251,'00_SKU_Master'!$B$2:$B$378,'00_SKU_Master'!$O:$O,0),"")</f>
        <v/>
      </c>
      <c r="Q249" s="122">
        <f>_xludf.IFNA(_xlfn.XLOOKUP($A251,'00_SKU_Master'!$B$2:$B$378,'00_SKU_Master'!$F$2:$F$378,0)*I251/_xlfn.XLOOKUP($A251,'00_SKU_Master'!$B$2:$B$378,'00_SKU_Master'!$O:$O,0),"")</f>
        <v/>
      </c>
      <c r="R249" s="122">
        <f>_xludf.IFNA(_xlfn.XLOOKUP($A251,'00_SKU_Master'!$B$2:$B$378,'00_SKU_Master'!$F$2:$F$378,0)*J251/_xlfn.XLOOKUP($A251,'00_SKU_Master'!$B$2:$B$378,'00_SKU_Master'!$O:$O,0),"")</f>
        <v/>
      </c>
      <c r="S249" s="122">
        <f>_xludf.IFNA(_xlfn.XLOOKUP($A251,'00_SKU_Master'!$B$2:$B$378,'00_SKU_Master'!$F$2:$F$378,0)*K251/_xlfn.XLOOKUP($A251,'00_SKU_Master'!$B$2:$B$378,'00_SKU_Master'!$O:$O,0),"")</f>
        <v/>
      </c>
      <c r="T249" s="123">
        <f>SUM(N251:S251)</f>
        <v/>
      </c>
      <c r="U249" s="124">
        <f>'05_Daily_Orders'!L250</f>
        <v/>
      </c>
    </row>
    <row r="250">
      <c r="A250" s="118">
        <f>'05_Daily_Orders'!B251</f>
        <v/>
      </c>
      <c r="B250" s="50" t="n">
        <v>0</v>
      </c>
      <c r="C250" s="50" t="n">
        <v>0</v>
      </c>
      <c r="D250" s="119" t="n"/>
      <c r="E250" s="119" t="n"/>
      <c r="F250" t="n">
        <v>0</v>
      </c>
      <c r="L250" s="120">
        <f>IF($E$1="n",0,(SUM(F252:K252)-B252))</f>
        <v/>
      </c>
      <c r="M250" s="121">
        <f>_xludf.IFNA(_xlfn.XLOOKUP(A252,'00_SKU_Master'!$B$2:$B$378,'00_SKU_Master'!$C$2:$C$378,0),"")</f>
        <v/>
      </c>
      <c r="N250" s="122">
        <f>_xludf.IFNA(_xlfn.XLOOKUP(A252,'00_SKU_Master'!$B$2:$B$378,'00_SKU_Master'!$F$2:$F$378,0)*F252/_xlfn.XLOOKUP(A252,'00_SKU_Master'!$B$2:$B$378,'00_SKU_Master'!$O:$O,0),"")</f>
        <v/>
      </c>
      <c r="O250" s="122">
        <f>_xludf.IFNA(_xlfn.XLOOKUP($A252,'00_SKU_Master'!$B$2:$B$378,'00_SKU_Master'!$F$2:$F$378,0)*G252/_xlfn.XLOOKUP($A252,'00_SKU_Master'!$B$2:$B$378,'00_SKU_Master'!$O:$O,0),"")</f>
        <v/>
      </c>
      <c r="P250" s="122">
        <f>_xludf.IFNA(_xlfn.XLOOKUP($A252,'00_SKU_Master'!$B$2:$B$378,'00_SKU_Master'!$F$2:$F$378,0)*H252/_xlfn.XLOOKUP($A252,'00_SKU_Master'!$B$2:$B$378,'00_SKU_Master'!$O:$O,0),"")</f>
        <v/>
      </c>
      <c r="Q250" s="122">
        <f>_xludf.IFNA(_xlfn.XLOOKUP($A252,'00_SKU_Master'!$B$2:$B$378,'00_SKU_Master'!$F$2:$F$378,0)*I252/_xlfn.XLOOKUP($A252,'00_SKU_Master'!$B$2:$B$378,'00_SKU_Master'!$O:$O,0),"")</f>
        <v/>
      </c>
      <c r="R250" s="122">
        <f>_xludf.IFNA(_xlfn.XLOOKUP($A252,'00_SKU_Master'!$B$2:$B$378,'00_SKU_Master'!$F$2:$F$378,0)*J252/_xlfn.XLOOKUP($A252,'00_SKU_Master'!$B$2:$B$378,'00_SKU_Master'!$O:$O,0),"")</f>
        <v/>
      </c>
      <c r="S250" s="122">
        <f>_xludf.IFNA(_xlfn.XLOOKUP($A252,'00_SKU_Master'!$B$2:$B$378,'00_SKU_Master'!$F$2:$F$378,0)*K252/_xlfn.XLOOKUP($A252,'00_SKU_Master'!$B$2:$B$378,'00_SKU_Master'!$O:$O,0),"")</f>
        <v/>
      </c>
      <c r="T250" s="123">
        <f>SUM(N252:S252)</f>
        <v/>
      </c>
      <c r="U250" s="124">
        <f>'05_Daily_Orders'!L251</f>
        <v/>
      </c>
    </row>
    <row r="251">
      <c r="A251" s="118">
        <f>'05_Daily_Orders'!B252</f>
        <v/>
      </c>
      <c r="B251" s="50" t="n">
        <v>0</v>
      </c>
      <c r="C251" s="50" t="n">
        <v>0</v>
      </c>
      <c r="D251" s="119" t="n"/>
      <c r="E251" s="119" t="n"/>
      <c r="F251" t="n">
        <v>0</v>
      </c>
      <c r="L251" s="120">
        <f>IF($E$1="n",0,(SUM(F253:K253)-B253))</f>
        <v/>
      </c>
      <c r="M251" s="121">
        <f>_xludf.IFNA(_xlfn.XLOOKUP(A253,'00_SKU_Master'!$B$2:$B$378,'00_SKU_Master'!$C$2:$C$378,0),"")</f>
        <v/>
      </c>
      <c r="N251" s="122">
        <f>_xludf.IFNA(_xlfn.XLOOKUP(A253,'00_SKU_Master'!$B$2:$B$378,'00_SKU_Master'!$F$2:$F$378,0)*F253/_xlfn.XLOOKUP(A253,'00_SKU_Master'!$B$2:$B$378,'00_SKU_Master'!$O:$O,0),"")</f>
        <v/>
      </c>
      <c r="O251" s="122">
        <f>_xludf.IFNA(_xlfn.XLOOKUP($A253,'00_SKU_Master'!$B$2:$B$378,'00_SKU_Master'!$F$2:$F$378,0)*G253/_xlfn.XLOOKUP($A253,'00_SKU_Master'!$B$2:$B$378,'00_SKU_Master'!$O:$O,0),"")</f>
        <v/>
      </c>
      <c r="P251" s="122">
        <f>_xludf.IFNA(_xlfn.XLOOKUP($A253,'00_SKU_Master'!$B$2:$B$378,'00_SKU_Master'!$F$2:$F$378,0)*H253/_xlfn.XLOOKUP($A253,'00_SKU_Master'!$B$2:$B$378,'00_SKU_Master'!$O:$O,0),"")</f>
        <v/>
      </c>
      <c r="Q251" s="122">
        <f>_xludf.IFNA(_xlfn.XLOOKUP($A253,'00_SKU_Master'!$B$2:$B$378,'00_SKU_Master'!$F$2:$F$378,0)*I253/_xlfn.XLOOKUP($A253,'00_SKU_Master'!$B$2:$B$378,'00_SKU_Master'!$O:$O,0),"")</f>
        <v/>
      </c>
      <c r="R251" s="122">
        <f>_xludf.IFNA(_xlfn.XLOOKUP($A253,'00_SKU_Master'!$B$2:$B$378,'00_SKU_Master'!$F$2:$F$378,0)*J253/_xlfn.XLOOKUP($A253,'00_SKU_Master'!$B$2:$B$378,'00_SKU_Master'!$O:$O,0),"")</f>
        <v/>
      </c>
      <c r="S251" s="122">
        <f>_xludf.IFNA(_xlfn.XLOOKUP($A253,'00_SKU_Master'!$B$2:$B$378,'00_SKU_Master'!$F$2:$F$378,0)*K253/_xlfn.XLOOKUP($A253,'00_SKU_Master'!$B$2:$B$378,'00_SKU_Master'!$O:$O,0),"")</f>
        <v/>
      </c>
      <c r="T251" s="123">
        <f>SUM(N253:S253)</f>
        <v/>
      </c>
      <c r="U251" s="124">
        <f>'05_Daily_Orders'!L252</f>
        <v/>
      </c>
    </row>
    <row r="252">
      <c r="A252" s="118">
        <f>'05_Daily_Orders'!B253</f>
        <v/>
      </c>
      <c r="B252" s="50" t="n">
        <v>0</v>
      </c>
      <c r="C252" s="50" t="n">
        <v>0</v>
      </c>
      <c r="D252" s="119" t="n"/>
      <c r="E252" s="119" t="n"/>
      <c r="F252" t="n">
        <v>0</v>
      </c>
      <c r="L252" s="120">
        <f>IF($E$1="n",0,(SUM(F254:K254)-B254))</f>
        <v/>
      </c>
      <c r="M252" s="121">
        <f>_xludf.IFNA(_xlfn.XLOOKUP(A254,'00_SKU_Master'!$B$2:$B$378,'00_SKU_Master'!$C$2:$C$378,0),"")</f>
        <v/>
      </c>
      <c r="N252" s="122">
        <f>_xludf.IFNA(_xlfn.XLOOKUP(A254,'00_SKU_Master'!$B$2:$B$378,'00_SKU_Master'!$F$2:$F$378,0)*F254/_xlfn.XLOOKUP(A254,'00_SKU_Master'!$B$2:$B$378,'00_SKU_Master'!$O:$O,0),"")</f>
        <v/>
      </c>
      <c r="O252" s="122">
        <f>_xludf.IFNA(_xlfn.XLOOKUP($A254,'00_SKU_Master'!$B$2:$B$378,'00_SKU_Master'!$F$2:$F$378,0)*G254/_xlfn.XLOOKUP($A254,'00_SKU_Master'!$B$2:$B$378,'00_SKU_Master'!$O:$O,0),"")</f>
        <v/>
      </c>
      <c r="P252" s="122">
        <f>_xludf.IFNA(_xlfn.XLOOKUP($A254,'00_SKU_Master'!$B$2:$B$378,'00_SKU_Master'!$F$2:$F$378,0)*H254/_xlfn.XLOOKUP($A254,'00_SKU_Master'!$B$2:$B$378,'00_SKU_Master'!$O:$O,0),"")</f>
        <v/>
      </c>
      <c r="Q252" s="122">
        <f>_xludf.IFNA(_xlfn.XLOOKUP($A254,'00_SKU_Master'!$B$2:$B$378,'00_SKU_Master'!$F$2:$F$378,0)*I254/_xlfn.XLOOKUP($A254,'00_SKU_Master'!$B$2:$B$378,'00_SKU_Master'!$O:$O,0),"")</f>
        <v/>
      </c>
      <c r="R252" s="122">
        <f>_xludf.IFNA(_xlfn.XLOOKUP($A254,'00_SKU_Master'!$B$2:$B$378,'00_SKU_Master'!$F$2:$F$378,0)*J254/_xlfn.XLOOKUP($A254,'00_SKU_Master'!$B$2:$B$378,'00_SKU_Master'!$O:$O,0),"")</f>
        <v/>
      </c>
      <c r="S252" s="122">
        <f>_xludf.IFNA(_xlfn.XLOOKUP($A254,'00_SKU_Master'!$B$2:$B$378,'00_SKU_Master'!$F$2:$F$378,0)*K254/_xlfn.XLOOKUP($A254,'00_SKU_Master'!$B$2:$B$378,'00_SKU_Master'!$O:$O,0),"")</f>
        <v/>
      </c>
      <c r="T252" s="123">
        <f>SUM(N254:S254)</f>
        <v/>
      </c>
      <c r="U252" s="124">
        <f>'05_Daily_Orders'!L253</f>
        <v/>
      </c>
    </row>
    <row r="253">
      <c r="A253" s="118">
        <f>'05_Daily_Orders'!B254</f>
        <v/>
      </c>
      <c r="B253" s="50" t="n">
        <v>0</v>
      </c>
      <c r="C253" s="50" t="n">
        <v>0</v>
      </c>
      <c r="D253" s="119" t="n"/>
      <c r="E253" s="119" t="n"/>
      <c r="F253" t="n">
        <v>0</v>
      </c>
      <c r="L253" s="120">
        <f>IF($E$1="n",0,(SUM(F255:K255)-B255))</f>
        <v/>
      </c>
      <c r="M253" s="121">
        <f>_xludf.IFNA(_xlfn.XLOOKUP(A255,'00_SKU_Master'!$B$2:$B$378,'00_SKU_Master'!$C$2:$C$378,0),"")</f>
        <v/>
      </c>
      <c r="N253" s="122">
        <f>_xludf.IFNA(_xlfn.XLOOKUP(A255,'00_SKU_Master'!$B$2:$B$378,'00_SKU_Master'!$F$2:$F$378,0)*F255/_xlfn.XLOOKUP(A255,'00_SKU_Master'!$B$2:$B$378,'00_SKU_Master'!$O:$O,0),"")</f>
        <v/>
      </c>
      <c r="O253" s="122">
        <f>_xludf.IFNA(_xlfn.XLOOKUP($A255,'00_SKU_Master'!$B$2:$B$378,'00_SKU_Master'!$F$2:$F$378,0)*G255/_xlfn.XLOOKUP($A255,'00_SKU_Master'!$B$2:$B$378,'00_SKU_Master'!$O:$O,0),"")</f>
        <v/>
      </c>
      <c r="P253" s="122">
        <f>_xludf.IFNA(_xlfn.XLOOKUP($A255,'00_SKU_Master'!$B$2:$B$378,'00_SKU_Master'!$F$2:$F$378,0)*H255/_xlfn.XLOOKUP($A255,'00_SKU_Master'!$B$2:$B$378,'00_SKU_Master'!$O:$O,0),"")</f>
        <v/>
      </c>
      <c r="Q253" s="122">
        <f>_xludf.IFNA(_xlfn.XLOOKUP($A255,'00_SKU_Master'!$B$2:$B$378,'00_SKU_Master'!$F$2:$F$378,0)*I255/_xlfn.XLOOKUP($A255,'00_SKU_Master'!$B$2:$B$378,'00_SKU_Master'!$O:$O,0),"")</f>
        <v/>
      </c>
      <c r="R253" s="122">
        <f>_xludf.IFNA(_xlfn.XLOOKUP($A255,'00_SKU_Master'!$B$2:$B$378,'00_SKU_Master'!$F$2:$F$378,0)*J255/_xlfn.XLOOKUP($A255,'00_SKU_Master'!$B$2:$B$378,'00_SKU_Master'!$O:$O,0),"")</f>
        <v/>
      </c>
      <c r="S253" s="122">
        <f>_xludf.IFNA(_xlfn.XLOOKUP($A255,'00_SKU_Master'!$B$2:$B$378,'00_SKU_Master'!$F$2:$F$378,0)*K255/_xlfn.XLOOKUP($A255,'00_SKU_Master'!$B$2:$B$378,'00_SKU_Master'!$O:$O,0),"")</f>
        <v/>
      </c>
      <c r="T253" s="123">
        <f>SUM(N255:S255)</f>
        <v/>
      </c>
      <c r="U253" s="124">
        <f>'05_Daily_Orders'!L254</f>
        <v/>
      </c>
    </row>
    <row r="254">
      <c r="A254" s="118">
        <f>'05_Daily_Orders'!B255</f>
        <v/>
      </c>
      <c r="B254" s="50" t="n">
        <v>0</v>
      </c>
      <c r="C254" s="50" t="n">
        <v>12</v>
      </c>
      <c r="D254" s="119" t="n"/>
      <c r="E254" s="119" t="n"/>
      <c r="F254" t="n">
        <v>50</v>
      </c>
      <c r="L254" s="120">
        <f>IF($E$1="n",0,(SUM(F256:K256)-B256))</f>
        <v/>
      </c>
      <c r="M254" s="121">
        <f>_xludf.IFNA(_xlfn.XLOOKUP(A256,'00_SKU_Master'!$B$2:$B$378,'00_SKU_Master'!$C$2:$C$378,0),"")</f>
        <v/>
      </c>
      <c r="N254" s="122">
        <f>_xludf.IFNA(_xlfn.XLOOKUP(A256,'00_SKU_Master'!$B$2:$B$378,'00_SKU_Master'!$F$2:$F$378,0)*F256/_xlfn.XLOOKUP(A256,'00_SKU_Master'!$B$2:$B$378,'00_SKU_Master'!$O:$O,0),"")</f>
        <v/>
      </c>
      <c r="O254" s="122">
        <f>_xludf.IFNA(_xlfn.XLOOKUP($A256,'00_SKU_Master'!$B$2:$B$378,'00_SKU_Master'!$F$2:$F$378,0)*G256/_xlfn.XLOOKUP($A256,'00_SKU_Master'!$B$2:$B$378,'00_SKU_Master'!$O:$O,0),"")</f>
        <v/>
      </c>
      <c r="P254" s="122">
        <f>_xludf.IFNA(_xlfn.XLOOKUP($A256,'00_SKU_Master'!$B$2:$B$378,'00_SKU_Master'!$F$2:$F$378,0)*H256/_xlfn.XLOOKUP($A256,'00_SKU_Master'!$B$2:$B$378,'00_SKU_Master'!$O:$O,0),"")</f>
        <v/>
      </c>
      <c r="Q254" s="122">
        <f>_xludf.IFNA(_xlfn.XLOOKUP($A256,'00_SKU_Master'!$B$2:$B$378,'00_SKU_Master'!$F$2:$F$378,0)*I256/_xlfn.XLOOKUP($A256,'00_SKU_Master'!$B$2:$B$378,'00_SKU_Master'!$O:$O,0),"")</f>
        <v/>
      </c>
      <c r="R254" s="122">
        <f>_xludf.IFNA(_xlfn.XLOOKUP($A256,'00_SKU_Master'!$B$2:$B$378,'00_SKU_Master'!$F$2:$F$378,0)*J256/_xlfn.XLOOKUP($A256,'00_SKU_Master'!$B$2:$B$378,'00_SKU_Master'!$O:$O,0),"")</f>
        <v/>
      </c>
      <c r="S254" s="122">
        <f>_xludf.IFNA(_xlfn.XLOOKUP($A256,'00_SKU_Master'!$B$2:$B$378,'00_SKU_Master'!$F$2:$F$378,0)*K256/_xlfn.XLOOKUP($A256,'00_SKU_Master'!$B$2:$B$378,'00_SKU_Master'!$O:$O,0),"")</f>
        <v/>
      </c>
      <c r="T254" s="123">
        <f>SUM(N256:S256)</f>
        <v/>
      </c>
      <c r="U254" s="124">
        <f>'05_Daily_Orders'!L255</f>
        <v/>
      </c>
    </row>
    <row r="255">
      <c r="A255" s="118">
        <f>'05_Daily_Orders'!B256</f>
        <v/>
      </c>
      <c r="B255" s="50" t="n">
        <v>0</v>
      </c>
      <c r="C255" s="50" t="n">
        <v>831</v>
      </c>
      <c r="D255" s="119" t="n"/>
      <c r="E255" s="119" t="n"/>
      <c r="F255" t="n">
        <v>880</v>
      </c>
      <c r="L255" s="120">
        <f>IF($E$1="n",0,(SUM(F257:K257)-B257))</f>
        <v/>
      </c>
      <c r="M255" s="121">
        <f>_xludf.IFNA(_xlfn.XLOOKUP(A257,'00_SKU_Master'!$B$2:$B$378,'00_SKU_Master'!$C$2:$C$378,0),"")</f>
        <v/>
      </c>
      <c r="N255" s="122">
        <f>_xludf.IFNA(_xlfn.XLOOKUP(A257,'00_SKU_Master'!$B$2:$B$378,'00_SKU_Master'!$F$2:$F$378,0)*F257/_xlfn.XLOOKUP(A257,'00_SKU_Master'!$B$2:$B$378,'00_SKU_Master'!$O:$O,0),"")</f>
        <v/>
      </c>
      <c r="O255" s="122">
        <f>_xludf.IFNA(_xlfn.XLOOKUP($A257,'00_SKU_Master'!$B$2:$B$378,'00_SKU_Master'!$F$2:$F$378,0)*G257/_xlfn.XLOOKUP($A257,'00_SKU_Master'!$B$2:$B$378,'00_SKU_Master'!$O:$O,0),"")</f>
        <v/>
      </c>
      <c r="P255" s="122">
        <f>_xludf.IFNA(_xlfn.XLOOKUP($A257,'00_SKU_Master'!$B$2:$B$378,'00_SKU_Master'!$F$2:$F$378,0)*H257/_xlfn.XLOOKUP($A257,'00_SKU_Master'!$B$2:$B$378,'00_SKU_Master'!$O:$O,0),"")</f>
        <v/>
      </c>
      <c r="Q255" s="122">
        <f>_xludf.IFNA(_xlfn.XLOOKUP($A257,'00_SKU_Master'!$B$2:$B$378,'00_SKU_Master'!$F$2:$F$378,0)*I257/_xlfn.XLOOKUP($A257,'00_SKU_Master'!$B$2:$B$378,'00_SKU_Master'!$O:$O,0),"")</f>
        <v/>
      </c>
      <c r="R255" s="122">
        <f>_xludf.IFNA(_xlfn.XLOOKUP($A257,'00_SKU_Master'!$B$2:$B$378,'00_SKU_Master'!$F$2:$F$378,0)*J257/_xlfn.XLOOKUP($A257,'00_SKU_Master'!$B$2:$B$378,'00_SKU_Master'!$O:$O,0),"")</f>
        <v/>
      </c>
      <c r="S255" s="122">
        <f>_xludf.IFNA(_xlfn.XLOOKUP($A257,'00_SKU_Master'!$B$2:$B$378,'00_SKU_Master'!$F$2:$F$378,0)*K257/_xlfn.XLOOKUP($A257,'00_SKU_Master'!$B$2:$B$378,'00_SKU_Master'!$O:$O,0),"")</f>
        <v/>
      </c>
      <c r="T255" s="123">
        <f>SUM(N257:S257)</f>
        <v/>
      </c>
      <c r="U255" s="124">
        <f>'05_Daily_Orders'!L256</f>
        <v/>
      </c>
    </row>
    <row r="256">
      <c r="A256" s="118">
        <f>'05_Daily_Orders'!B257</f>
        <v/>
      </c>
      <c r="B256" s="50" t="n">
        <v>0</v>
      </c>
      <c r="C256" s="50" t="n">
        <v>0</v>
      </c>
      <c r="D256" s="119" t="n"/>
      <c r="E256" s="119" t="n"/>
      <c r="F256" t="n">
        <v>0</v>
      </c>
      <c r="L256" s="120">
        <f>IF($E$1="n",0,(SUM(F258:K258)-B258))</f>
        <v/>
      </c>
      <c r="M256" s="121">
        <f>_xludf.IFNA(_xlfn.XLOOKUP(A258,'00_SKU_Master'!$B$2:$B$378,'00_SKU_Master'!$C$2:$C$378,0),"")</f>
        <v/>
      </c>
      <c r="N256" s="122">
        <f>_xludf.IFNA(_xlfn.XLOOKUP(A258,'00_SKU_Master'!$B$2:$B$378,'00_SKU_Master'!$F$2:$F$378,0)*F258/_xlfn.XLOOKUP(A258,'00_SKU_Master'!$B$2:$B$378,'00_SKU_Master'!$O:$O,0),"")</f>
        <v/>
      </c>
      <c r="O256" s="122">
        <f>_xludf.IFNA(_xlfn.XLOOKUP($A258,'00_SKU_Master'!$B$2:$B$378,'00_SKU_Master'!$F$2:$F$378,0)*G258/_xlfn.XLOOKUP($A258,'00_SKU_Master'!$B$2:$B$378,'00_SKU_Master'!$O:$O,0),"")</f>
        <v/>
      </c>
      <c r="P256" s="122">
        <f>_xludf.IFNA(_xlfn.XLOOKUP($A258,'00_SKU_Master'!$B$2:$B$378,'00_SKU_Master'!$F$2:$F$378,0)*H258/_xlfn.XLOOKUP($A258,'00_SKU_Master'!$B$2:$B$378,'00_SKU_Master'!$O:$O,0),"")</f>
        <v/>
      </c>
      <c r="Q256" s="122">
        <f>_xludf.IFNA(_xlfn.XLOOKUP($A258,'00_SKU_Master'!$B$2:$B$378,'00_SKU_Master'!$F$2:$F$378,0)*I258/_xlfn.XLOOKUP($A258,'00_SKU_Master'!$B$2:$B$378,'00_SKU_Master'!$O:$O,0),"")</f>
        <v/>
      </c>
      <c r="R256" s="122">
        <f>_xludf.IFNA(_xlfn.XLOOKUP($A258,'00_SKU_Master'!$B$2:$B$378,'00_SKU_Master'!$F$2:$F$378,0)*J258/_xlfn.XLOOKUP($A258,'00_SKU_Master'!$B$2:$B$378,'00_SKU_Master'!$O:$O,0),"")</f>
        <v/>
      </c>
      <c r="S256" s="122">
        <f>_xludf.IFNA(_xlfn.XLOOKUP($A258,'00_SKU_Master'!$B$2:$B$378,'00_SKU_Master'!$F$2:$F$378,0)*K258/_xlfn.XLOOKUP($A258,'00_SKU_Master'!$B$2:$B$378,'00_SKU_Master'!$O:$O,0),"")</f>
        <v/>
      </c>
      <c r="T256" s="123">
        <f>SUM(N258:S258)</f>
        <v/>
      </c>
      <c r="U256" s="124">
        <f>'05_Daily_Orders'!L257</f>
        <v/>
      </c>
    </row>
    <row r="257">
      <c r="A257" s="118">
        <f>'05_Daily_Orders'!B258</f>
        <v/>
      </c>
      <c r="B257" s="50" t="n">
        <v>0</v>
      </c>
      <c r="C257" s="50" t="n">
        <v>39</v>
      </c>
      <c r="D257" s="119" t="n"/>
      <c r="E257" s="119" t="n"/>
      <c r="F257" t="n">
        <v>40</v>
      </c>
      <c r="L257" s="120">
        <f>IF($E$1="n",0,(SUM(F259:K259)-B259))</f>
        <v/>
      </c>
      <c r="M257" s="121">
        <f>_xludf.IFNA(_xlfn.XLOOKUP(A259,'00_SKU_Master'!$B$2:$B$378,'00_SKU_Master'!$C$2:$C$378,0),"")</f>
        <v/>
      </c>
      <c r="N257" s="122">
        <f>_xludf.IFNA(_xlfn.XLOOKUP(A259,'00_SKU_Master'!$B$2:$B$378,'00_SKU_Master'!$F$2:$F$378,0)*F259/_xlfn.XLOOKUP(A259,'00_SKU_Master'!$B$2:$B$378,'00_SKU_Master'!$O:$O,0),"")</f>
        <v/>
      </c>
      <c r="O257" s="122">
        <f>_xludf.IFNA(_xlfn.XLOOKUP($A259,'00_SKU_Master'!$B$2:$B$378,'00_SKU_Master'!$F$2:$F$378,0)*G259/_xlfn.XLOOKUP($A259,'00_SKU_Master'!$B$2:$B$378,'00_SKU_Master'!$O:$O,0),"")</f>
        <v/>
      </c>
      <c r="P257" s="122">
        <f>_xludf.IFNA(_xlfn.XLOOKUP($A259,'00_SKU_Master'!$B$2:$B$378,'00_SKU_Master'!$F$2:$F$378,0)*H259/_xlfn.XLOOKUP($A259,'00_SKU_Master'!$B$2:$B$378,'00_SKU_Master'!$O:$O,0),"")</f>
        <v/>
      </c>
      <c r="Q257" s="122">
        <f>_xludf.IFNA(_xlfn.XLOOKUP($A259,'00_SKU_Master'!$B$2:$B$378,'00_SKU_Master'!$F$2:$F$378,0)*I259/_xlfn.XLOOKUP($A259,'00_SKU_Master'!$B$2:$B$378,'00_SKU_Master'!$O:$O,0),"")</f>
        <v/>
      </c>
      <c r="R257" s="122">
        <f>_xludf.IFNA(_xlfn.XLOOKUP($A259,'00_SKU_Master'!$B$2:$B$378,'00_SKU_Master'!$F$2:$F$378,0)*J259/_xlfn.XLOOKUP($A259,'00_SKU_Master'!$B$2:$B$378,'00_SKU_Master'!$O:$O,0),"")</f>
        <v/>
      </c>
      <c r="S257" s="122">
        <f>_xludf.IFNA(_xlfn.XLOOKUP($A259,'00_SKU_Master'!$B$2:$B$378,'00_SKU_Master'!$F$2:$F$378,0)*K259/_xlfn.XLOOKUP($A259,'00_SKU_Master'!$B$2:$B$378,'00_SKU_Master'!$O:$O,0),"")</f>
        <v/>
      </c>
      <c r="T257" s="123">
        <f>SUM(N259:S259)</f>
        <v/>
      </c>
      <c r="U257" s="124">
        <f>'05_Daily_Orders'!L258</f>
        <v/>
      </c>
    </row>
    <row r="258">
      <c r="A258" s="118">
        <f>'05_Daily_Orders'!B259</f>
        <v/>
      </c>
      <c r="B258" s="50" t="n">
        <v>0</v>
      </c>
      <c r="C258" s="50" t="n">
        <v>217</v>
      </c>
      <c r="D258" s="119" t="n"/>
      <c r="E258" s="119" t="n"/>
      <c r="F258" t="n">
        <v>300</v>
      </c>
      <c r="L258" s="120">
        <f>IF($E$1="n",0,(SUM(F260:K260)-B260))</f>
        <v/>
      </c>
      <c r="M258" s="121">
        <f>_xludf.IFNA(_xlfn.XLOOKUP(A260,'00_SKU_Master'!$B$2:$B$378,'00_SKU_Master'!$C$2:$C$378,0),"")</f>
        <v/>
      </c>
      <c r="N258" s="122">
        <f>_xludf.IFNA(_xlfn.XLOOKUP(A260,'00_SKU_Master'!$B$2:$B$378,'00_SKU_Master'!$F$2:$F$378,0)*F260/_xlfn.XLOOKUP(A260,'00_SKU_Master'!$B$2:$B$378,'00_SKU_Master'!$O:$O,0),"")</f>
        <v/>
      </c>
      <c r="O258" s="122">
        <f>_xludf.IFNA(_xlfn.XLOOKUP($A260,'00_SKU_Master'!$B$2:$B$378,'00_SKU_Master'!$F$2:$F$378,0)*G260/_xlfn.XLOOKUP($A260,'00_SKU_Master'!$B$2:$B$378,'00_SKU_Master'!$O:$O,0),"")</f>
        <v/>
      </c>
      <c r="P258" s="122">
        <f>_xludf.IFNA(_xlfn.XLOOKUP($A260,'00_SKU_Master'!$B$2:$B$378,'00_SKU_Master'!$F$2:$F$378,0)*H260/_xlfn.XLOOKUP($A260,'00_SKU_Master'!$B$2:$B$378,'00_SKU_Master'!$O:$O,0),"")</f>
        <v/>
      </c>
      <c r="Q258" s="122">
        <f>_xludf.IFNA(_xlfn.XLOOKUP($A260,'00_SKU_Master'!$B$2:$B$378,'00_SKU_Master'!$F$2:$F$378,0)*I260/_xlfn.XLOOKUP($A260,'00_SKU_Master'!$B$2:$B$378,'00_SKU_Master'!$O:$O,0),"")</f>
        <v/>
      </c>
      <c r="R258" s="122">
        <f>_xludf.IFNA(_xlfn.XLOOKUP($A260,'00_SKU_Master'!$B$2:$B$378,'00_SKU_Master'!$F$2:$F$378,0)*J260/_xlfn.XLOOKUP($A260,'00_SKU_Master'!$B$2:$B$378,'00_SKU_Master'!$O:$O,0),"")</f>
        <v/>
      </c>
      <c r="S258" s="122">
        <f>_xludf.IFNA(_xlfn.XLOOKUP($A260,'00_SKU_Master'!$B$2:$B$378,'00_SKU_Master'!$F$2:$F$378,0)*K260/_xlfn.XLOOKUP($A260,'00_SKU_Master'!$B$2:$B$378,'00_SKU_Master'!$O:$O,0),"")</f>
        <v/>
      </c>
      <c r="T258" s="123">
        <f>SUM(N260:S260)</f>
        <v/>
      </c>
      <c r="U258" s="124">
        <f>'05_Daily_Orders'!L259</f>
        <v/>
      </c>
    </row>
    <row r="259">
      <c r="A259" s="118">
        <f>'05_Daily_Orders'!B260</f>
        <v/>
      </c>
      <c r="B259" s="50" t="n">
        <v>0</v>
      </c>
      <c r="C259" s="50" t="n">
        <v>0</v>
      </c>
      <c r="D259" s="119" t="n"/>
      <c r="E259" s="119" t="n"/>
      <c r="F259" t="n">
        <v>0</v>
      </c>
      <c r="L259" s="120">
        <f>IF($E$1="n",0,(SUM(F261:K261)-B261))</f>
        <v/>
      </c>
      <c r="M259" s="121">
        <f>_xludf.IFNA(_xlfn.XLOOKUP(A261,'00_SKU_Master'!$B$2:$B$378,'00_SKU_Master'!$C$2:$C$378,0),"")</f>
        <v/>
      </c>
      <c r="N259" s="122">
        <f>_xludf.IFNA(_xlfn.XLOOKUP(A261,'00_SKU_Master'!$B$2:$B$378,'00_SKU_Master'!$F$2:$F$378,0)*F261/_xlfn.XLOOKUP(A261,'00_SKU_Master'!$B$2:$B$378,'00_SKU_Master'!$O:$O,0),"")</f>
        <v/>
      </c>
      <c r="O259" s="122">
        <f>_xludf.IFNA(_xlfn.XLOOKUP($A261,'00_SKU_Master'!$B$2:$B$378,'00_SKU_Master'!$F$2:$F$378,0)*G261/_xlfn.XLOOKUP($A261,'00_SKU_Master'!$B$2:$B$378,'00_SKU_Master'!$O:$O,0),"")</f>
        <v/>
      </c>
      <c r="P259" s="122">
        <f>_xludf.IFNA(_xlfn.XLOOKUP($A261,'00_SKU_Master'!$B$2:$B$378,'00_SKU_Master'!$F$2:$F$378,0)*H261/_xlfn.XLOOKUP($A261,'00_SKU_Master'!$B$2:$B$378,'00_SKU_Master'!$O:$O,0),"")</f>
        <v/>
      </c>
      <c r="Q259" s="122">
        <f>_xludf.IFNA(_xlfn.XLOOKUP($A261,'00_SKU_Master'!$B$2:$B$378,'00_SKU_Master'!$F$2:$F$378,0)*I261/_xlfn.XLOOKUP($A261,'00_SKU_Master'!$B$2:$B$378,'00_SKU_Master'!$O:$O,0),"")</f>
        <v/>
      </c>
      <c r="R259" s="122">
        <f>_xludf.IFNA(_xlfn.XLOOKUP($A261,'00_SKU_Master'!$B$2:$B$378,'00_SKU_Master'!$F$2:$F$378,0)*J261/_xlfn.XLOOKUP($A261,'00_SKU_Master'!$B$2:$B$378,'00_SKU_Master'!$O:$O,0),"")</f>
        <v/>
      </c>
      <c r="S259" s="122">
        <f>_xludf.IFNA(_xlfn.XLOOKUP($A261,'00_SKU_Master'!$B$2:$B$378,'00_SKU_Master'!$F$2:$F$378,0)*K261/_xlfn.XLOOKUP($A261,'00_SKU_Master'!$B$2:$B$378,'00_SKU_Master'!$O:$O,0),"")</f>
        <v/>
      </c>
      <c r="T259" s="123">
        <f>SUM(N261:S261)</f>
        <v/>
      </c>
      <c r="U259" s="124">
        <f>'05_Daily_Orders'!L260</f>
        <v/>
      </c>
    </row>
    <row r="260">
      <c r="A260" s="118">
        <f>'05_Daily_Orders'!B261</f>
        <v/>
      </c>
      <c r="B260" s="50" t="n">
        <v>0</v>
      </c>
      <c r="C260" s="50" t="n">
        <v>0</v>
      </c>
      <c r="D260" s="119" t="n"/>
      <c r="E260" s="119" t="n"/>
      <c r="F260" t="n">
        <v>0</v>
      </c>
      <c r="L260" s="120">
        <f>IF($E$1="n",0,(SUM(F262:K262)-B262))</f>
        <v/>
      </c>
      <c r="M260" s="121">
        <f>_xludf.IFNA(_xlfn.XLOOKUP(A262,'00_SKU_Master'!$B$2:$B$378,'00_SKU_Master'!$C$2:$C$378,0),"")</f>
        <v/>
      </c>
      <c r="N260" s="122">
        <f>_xludf.IFNA(_xlfn.XLOOKUP(A262,'00_SKU_Master'!$B$2:$B$378,'00_SKU_Master'!$F$2:$F$378,0)*F262/_xlfn.XLOOKUP(A262,'00_SKU_Master'!$B$2:$B$378,'00_SKU_Master'!$O:$O,0),"")</f>
        <v/>
      </c>
      <c r="O260" s="122">
        <f>_xludf.IFNA(_xlfn.XLOOKUP($A262,'00_SKU_Master'!$B$2:$B$378,'00_SKU_Master'!$F$2:$F$378,0)*G262/_xlfn.XLOOKUP($A262,'00_SKU_Master'!$B$2:$B$378,'00_SKU_Master'!$O:$O,0),"")</f>
        <v/>
      </c>
      <c r="P260" s="122">
        <f>_xludf.IFNA(_xlfn.XLOOKUP($A262,'00_SKU_Master'!$B$2:$B$378,'00_SKU_Master'!$F$2:$F$378,0)*H262/_xlfn.XLOOKUP($A262,'00_SKU_Master'!$B$2:$B$378,'00_SKU_Master'!$O:$O,0),"")</f>
        <v/>
      </c>
      <c r="Q260" s="122">
        <f>_xludf.IFNA(_xlfn.XLOOKUP($A262,'00_SKU_Master'!$B$2:$B$378,'00_SKU_Master'!$F$2:$F$378,0)*I262/_xlfn.XLOOKUP($A262,'00_SKU_Master'!$B$2:$B$378,'00_SKU_Master'!$O:$O,0),"")</f>
        <v/>
      </c>
      <c r="R260" s="122">
        <f>_xludf.IFNA(_xlfn.XLOOKUP($A262,'00_SKU_Master'!$B$2:$B$378,'00_SKU_Master'!$F$2:$F$378,0)*J262/_xlfn.XLOOKUP($A262,'00_SKU_Master'!$B$2:$B$378,'00_SKU_Master'!$O:$O,0),"")</f>
        <v/>
      </c>
      <c r="S260" s="122">
        <f>_xludf.IFNA(_xlfn.XLOOKUP($A262,'00_SKU_Master'!$B$2:$B$378,'00_SKU_Master'!$F$2:$F$378,0)*K262/_xlfn.XLOOKUP($A262,'00_SKU_Master'!$B$2:$B$378,'00_SKU_Master'!$O:$O,0),"")</f>
        <v/>
      </c>
      <c r="T260" s="123">
        <f>SUM(N262:S262)</f>
        <v/>
      </c>
      <c r="U260" s="124">
        <f>'05_Daily_Orders'!L261</f>
        <v/>
      </c>
    </row>
    <row r="261">
      <c r="A261" s="118">
        <f>'05_Daily_Orders'!B262</f>
        <v/>
      </c>
      <c r="B261" s="50" t="n">
        <v>0</v>
      </c>
      <c r="C261" s="50" t="n">
        <v>0</v>
      </c>
      <c r="D261" s="119" t="n"/>
      <c r="E261" s="119" t="n"/>
      <c r="F261" t="n">
        <v>0</v>
      </c>
      <c r="L261" s="120">
        <f>IF($E$1="n",0,(SUM(F263:K263)-B263))</f>
        <v/>
      </c>
      <c r="M261" s="121">
        <f>_xludf.IFNA(_xlfn.XLOOKUP(A263,'00_SKU_Master'!$B$2:$B$378,'00_SKU_Master'!$C$2:$C$378,0),"")</f>
        <v/>
      </c>
      <c r="N261" s="122">
        <f>_xludf.IFNA(_xlfn.XLOOKUP(A263,'00_SKU_Master'!$B$2:$B$378,'00_SKU_Master'!$F$2:$F$378,0)*F263/_xlfn.XLOOKUP(A263,'00_SKU_Master'!$B$2:$B$378,'00_SKU_Master'!$O:$O,0),"")</f>
        <v/>
      </c>
      <c r="O261" s="122">
        <f>_xludf.IFNA(_xlfn.XLOOKUP($A263,'00_SKU_Master'!$B$2:$B$378,'00_SKU_Master'!$F$2:$F$378,0)*G263/_xlfn.XLOOKUP($A263,'00_SKU_Master'!$B$2:$B$378,'00_SKU_Master'!$O:$O,0),"")</f>
        <v/>
      </c>
      <c r="P261" s="122">
        <f>_xludf.IFNA(_xlfn.XLOOKUP($A263,'00_SKU_Master'!$B$2:$B$378,'00_SKU_Master'!$F$2:$F$378,0)*H263/_xlfn.XLOOKUP($A263,'00_SKU_Master'!$B$2:$B$378,'00_SKU_Master'!$O:$O,0),"")</f>
        <v/>
      </c>
      <c r="Q261" s="122">
        <f>_xludf.IFNA(_xlfn.XLOOKUP($A263,'00_SKU_Master'!$B$2:$B$378,'00_SKU_Master'!$F$2:$F$378,0)*I263/_xlfn.XLOOKUP($A263,'00_SKU_Master'!$B$2:$B$378,'00_SKU_Master'!$O:$O,0),"")</f>
        <v/>
      </c>
      <c r="R261" s="122">
        <f>_xludf.IFNA(_xlfn.XLOOKUP($A263,'00_SKU_Master'!$B$2:$B$378,'00_SKU_Master'!$F$2:$F$378,0)*J263/_xlfn.XLOOKUP($A263,'00_SKU_Master'!$B$2:$B$378,'00_SKU_Master'!$O:$O,0),"")</f>
        <v/>
      </c>
      <c r="S261" s="122">
        <f>_xludf.IFNA(_xlfn.XLOOKUP($A263,'00_SKU_Master'!$B$2:$B$378,'00_SKU_Master'!$F$2:$F$378,0)*K263/_xlfn.XLOOKUP($A263,'00_SKU_Master'!$B$2:$B$378,'00_SKU_Master'!$O:$O,0),"")</f>
        <v/>
      </c>
      <c r="T261" s="123">
        <f>SUM(N263:S263)</f>
        <v/>
      </c>
      <c r="U261" s="124">
        <f>'05_Daily_Orders'!L262</f>
        <v/>
      </c>
    </row>
    <row r="262">
      <c r="A262" s="118">
        <f>'05_Daily_Orders'!B263</f>
        <v/>
      </c>
      <c r="B262" s="50" t="n">
        <v>0</v>
      </c>
      <c r="C262" s="50" t="n">
        <v>0</v>
      </c>
      <c r="D262" s="119" t="n"/>
      <c r="E262" s="119" t="n"/>
      <c r="F262" t="n">
        <v>0</v>
      </c>
      <c r="L262" s="120">
        <f>IF($E$1="n",0,(SUM(F264:K264)-B264))</f>
        <v/>
      </c>
      <c r="M262" s="121">
        <f>_xludf.IFNA(_xlfn.XLOOKUP(A264,'00_SKU_Master'!$B$2:$B$378,'00_SKU_Master'!$C$2:$C$378,0),"")</f>
        <v/>
      </c>
      <c r="N262" s="122">
        <f>_xludf.IFNA(_xlfn.XLOOKUP(A264,'00_SKU_Master'!$B$2:$B$378,'00_SKU_Master'!$F$2:$F$378,0)*F264/_xlfn.XLOOKUP(A264,'00_SKU_Master'!$B$2:$B$378,'00_SKU_Master'!$O:$O,0),"")</f>
        <v/>
      </c>
      <c r="O262" s="122">
        <f>_xludf.IFNA(_xlfn.XLOOKUP($A264,'00_SKU_Master'!$B$2:$B$378,'00_SKU_Master'!$F$2:$F$378,0)*G264/_xlfn.XLOOKUP($A264,'00_SKU_Master'!$B$2:$B$378,'00_SKU_Master'!$O:$O,0),"")</f>
        <v/>
      </c>
      <c r="P262" s="122">
        <f>_xludf.IFNA(_xlfn.XLOOKUP($A264,'00_SKU_Master'!$B$2:$B$378,'00_SKU_Master'!$F$2:$F$378,0)*H264/_xlfn.XLOOKUP($A264,'00_SKU_Master'!$B$2:$B$378,'00_SKU_Master'!$O:$O,0),"")</f>
        <v/>
      </c>
      <c r="Q262" s="122">
        <f>_xludf.IFNA(_xlfn.XLOOKUP($A264,'00_SKU_Master'!$B$2:$B$378,'00_SKU_Master'!$F$2:$F$378,0)*I264/_xlfn.XLOOKUP($A264,'00_SKU_Master'!$B$2:$B$378,'00_SKU_Master'!$O:$O,0),"")</f>
        <v/>
      </c>
      <c r="R262" s="122">
        <f>_xludf.IFNA(_xlfn.XLOOKUP($A264,'00_SKU_Master'!$B$2:$B$378,'00_SKU_Master'!$F$2:$F$378,0)*J264/_xlfn.XLOOKUP($A264,'00_SKU_Master'!$B$2:$B$378,'00_SKU_Master'!$O:$O,0),"")</f>
        <v/>
      </c>
      <c r="S262" s="122">
        <f>_xludf.IFNA(_xlfn.XLOOKUP($A264,'00_SKU_Master'!$B$2:$B$378,'00_SKU_Master'!$F$2:$F$378,0)*K264/_xlfn.XLOOKUP($A264,'00_SKU_Master'!$B$2:$B$378,'00_SKU_Master'!$O:$O,0),"")</f>
        <v/>
      </c>
      <c r="T262" s="123">
        <f>SUM(N264:S264)</f>
        <v/>
      </c>
      <c r="U262" s="124">
        <f>'05_Daily_Orders'!L263</f>
        <v/>
      </c>
    </row>
    <row r="263">
      <c r="A263" s="118">
        <f>'05_Daily_Orders'!B264</f>
        <v/>
      </c>
      <c r="B263" s="50" t="n">
        <v>0</v>
      </c>
      <c r="C263" s="50" t="n">
        <v>0</v>
      </c>
      <c r="D263" s="119" t="n"/>
      <c r="E263" s="119" t="n"/>
      <c r="F263" t="n">
        <v>0</v>
      </c>
      <c r="L263" s="120">
        <f>IF($E$1="n",0,(SUM(F265:K265)-B265))</f>
        <v/>
      </c>
      <c r="M263" s="121">
        <f>_xludf.IFNA(_xlfn.XLOOKUP(A265,'00_SKU_Master'!$B$2:$B$378,'00_SKU_Master'!$C$2:$C$378,0),"")</f>
        <v/>
      </c>
      <c r="N263" s="122">
        <f>_xludf.IFNA(_xlfn.XLOOKUP(A265,'00_SKU_Master'!$B$2:$B$378,'00_SKU_Master'!$F$2:$F$378,0)*F265/_xlfn.XLOOKUP(A265,'00_SKU_Master'!$B$2:$B$378,'00_SKU_Master'!$O:$O,0),"")</f>
        <v/>
      </c>
      <c r="O263" s="122">
        <f>_xludf.IFNA(_xlfn.XLOOKUP($A265,'00_SKU_Master'!$B$2:$B$378,'00_SKU_Master'!$F$2:$F$378,0)*G265/_xlfn.XLOOKUP($A265,'00_SKU_Master'!$B$2:$B$378,'00_SKU_Master'!$O:$O,0),"")</f>
        <v/>
      </c>
      <c r="P263" s="122">
        <f>_xludf.IFNA(_xlfn.XLOOKUP($A265,'00_SKU_Master'!$B$2:$B$378,'00_SKU_Master'!$F$2:$F$378,0)*H265/_xlfn.XLOOKUP($A265,'00_SKU_Master'!$B$2:$B$378,'00_SKU_Master'!$O:$O,0),"")</f>
        <v/>
      </c>
      <c r="Q263" s="122">
        <f>_xludf.IFNA(_xlfn.XLOOKUP($A265,'00_SKU_Master'!$B$2:$B$378,'00_SKU_Master'!$F$2:$F$378,0)*I265/_xlfn.XLOOKUP($A265,'00_SKU_Master'!$B$2:$B$378,'00_SKU_Master'!$O:$O,0),"")</f>
        <v/>
      </c>
      <c r="R263" s="122">
        <f>_xludf.IFNA(_xlfn.XLOOKUP($A265,'00_SKU_Master'!$B$2:$B$378,'00_SKU_Master'!$F$2:$F$378,0)*J265/_xlfn.XLOOKUP($A265,'00_SKU_Master'!$B$2:$B$378,'00_SKU_Master'!$O:$O,0),"")</f>
        <v/>
      </c>
      <c r="S263" s="122">
        <f>_xludf.IFNA(_xlfn.XLOOKUP($A265,'00_SKU_Master'!$B$2:$B$378,'00_SKU_Master'!$F$2:$F$378,0)*K265/_xlfn.XLOOKUP($A265,'00_SKU_Master'!$B$2:$B$378,'00_SKU_Master'!$O:$O,0),"")</f>
        <v/>
      </c>
      <c r="T263" s="123">
        <f>SUM(N265:S265)</f>
        <v/>
      </c>
      <c r="U263" s="124">
        <f>'05_Daily_Orders'!L264</f>
        <v/>
      </c>
    </row>
    <row r="264">
      <c r="A264" s="118">
        <f>'05_Daily_Orders'!B265</f>
        <v/>
      </c>
      <c r="B264" s="50" t="n">
        <v>0</v>
      </c>
      <c r="C264" s="50" t="n">
        <v>0</v>
      </c>
      <c r="D264" s="119" t="n"/>
      <c r="E264" s="119" t="n"/>
      <c r="F264" t="n">
        <v>0</v>
      </c>
      <c r="L264" s="120">
        <f>IF($E$1="n",0,(SUM(F266:K266)-B266))</f>
        <v/>
      </c>
      <c r="M264" s="121">
        <f>_xludf.IFNA(_xlfn.XLOOKUP(A266,'00_SKU_Master'!$B$2:$B$378,'00_SKU_Master'!$C$2:$C$378,0),"")</f>
        <v/>
      </c>
      <c r="N264" s="122">
        <f>_xludf.IFNA(_xlfn.XLOOKUP(A266,'00_SKU_Master'!$B$2:$B$378,'00_SKU_Master'!$F$2:$F$378,0)*F266/_xlfn.XLOOKUP(A266,'00_SKU_Master'!$B$2:$B$378,'00_SKU_Master'!$O:$O,0),"")</f>
        <v/>
      </c>
      <c r="O264" s="122">
        <f>_xludf.IFNA(_xlfn.XLOOKUP($A266,'00_SKU_Master'!$B$2:$B$378,'00_SKU_Master'!$F$2:$F$378,0)*G266/_xlfn.XLOOKUP($A266,'00_SKU_Master'!$B$2:$B$378,'00_SKU_Master'!$O:$O,0),"")</f>
        <v/>
      </c>
      <c r="P264" s="122">
        <f>_xludf.IFNA(_xlfn.XLOOKUP($A266,'00_SKU_Master'!$B$2:$B$378,'00_SKU_Master'!$F$2:$F$378,0)*H266/_xlfn.XLOOKUP($A266,'00_SKU_Master'!$B$2:$B$378,'00_SKU_Master'!$O:$O,0),"")</f>
        <v/>
      </c>
      <c r="Q264" s="122">
        <f>_xludf.IFNA(_xlfn.XLOOKUP($A266,'00_SKU_Master'!$B$2:$B$378,'00_SKU_Master'!$F$2:$F$378,0)*I266/_xlfn.XLOOKUP($A266,'00_SKU_Master'!$B$2:$B$378,'00_SKU_Master'!$O:$O,0),"")</f>
        <v/>
      </c>
      <c r="R264" s="122">
        <f>_xludf.IFNA(_xlfn.XLOOKUP($A266,'00_SKU_Master'!$B$2:$B$378,'00_SKU_Master'!$F$2:$F$378,0)*J266/_xlfn.XLOOKUP($A266,'00_SKU_Master'!$B$2:$B$378,'00_SKU_Master'!$O:$O,0),"")</f>
        <v/>
      </c>
      <c r="S264" s="122">
        <f>_xludf.IFNA(_xlfn.XLOOKUP($A266,'00_SKU_Master'!$B$2:$B$378,'00_SKU_Master'!$F$2:$F$378,0)*K266/_xlfn.XLOOKUP($A266,'00_SKU_Master'!$B$2:$B$378,'00_SKU_Master'!$O:$O,0),"")</f>
        <v/>
      </c>
      <c r="T264" s="123">
        <f>SUM(N266:S266)</f>
        <v/>
      </c>
      <c r="U264" s="124">
        <f>'05_Daily_Orders'!L265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D30" sqref="D30"/>
    </sheetView>
  </sheetViews>
  <sheetFormatPr baseColWidth="8" defaultRowHeight="14.5"/>
  <cols>
    <col width="11.54296875" customWidth="1" min="1" max="1"/>
    <col width="29.7265625" customWidth="1" min="2" max="2"/>
    <col width="11.08984375" customWidth="1" min="3" max="3"/>
    <col width="2.26953125" customWidth="1" min="6" max="6"/>
  </cols>
  <sheetData>
    <row r="1">
      <c r="B1" s="58" t="n"/>
      <c r="C1" s="58" t="n"/>
      <c r="D1" s="58" t="n"/>
      <c r="E1" s="58" t="n"/>
    </row>
    <row r="2" ht="23.5" customHeight="1">
      <c r="B2" s="40" t="inlineStr">
        <is>
          <t>Cages to cut today</t>
        </is>
      </c>
      <c r="C2" s="14" t="n">
        <v>120</v>
      </c>
      <c r="D2" s="125" t="n"/>
      <c r="E2" s="125" t="n"/>
    </row>
    <row r="3">
      <c r="B3" s="15" t="inlineStr">
        <is>
          <t>Traypack Target</t>
        </is>
      </c>
      <c r="C3" s="15" t="inlineStr">
        <is>
          <t>5000cs</t>
        </is>
      </c>
      <c r="D3" s="15" t="n"/>
      <c r="E3" s="15" t="n"/>
    </row>
    <row r="4">
      <c r="B4" s="15" t="n"/>
      <c r="C4" s="15" t="n"/>
      <c r="D4" s="15" t="n"/>
      <c r="E4" s="15" t="n"/>
    </row>
    <row r="5">
      <c r="B5" s="15" t="inlineStr">
        <is>
          <t>For Generic Traypack</t>
        </is>
      </c>
      <c r="C5" s="15" t="inlineStr">
        <is>
          <t>Qty x25kg</t>
        </is>
      </c>
      <c r="D5" s="15" t="n"/>
      <c r="E5" s="15" t="n"/>
    </row>
    <row r="6">
      <c r="B6" s="15" t="n"/>
      <c r="C6" s="15" t="inlineStr">
        <is>
          <t>Today</t>
        </is>
      </c>
      <c r="D6" s="15" t="inlineStr">
        <is>
          <t>Tomorrow</t>
        </is>
      </c>
      <c r="E6" s="15" t="inlineStr">
        <is>
          <t>Total</t>
        </is>
      </c>
    </row>
    <row r="7">
      <c r="A7" s="126" t="n"/>
      <c r="B7" s="15" t="inlineStr">
        <is>
          <t>Boneless Breast</t>
        </is>
      </c>
      <c r="C7" s="15" t="n"/>
      <c r="D7" s="15" t="n">
        <v>0</v>
      </c>
      <c r="E7" s="15" t="n">
        <v>0</v>
      </c>
    </row>
    <row r="8">
      <c r="A8" s="126" t="n"/>
      <c r="B8" s="15" t="inlineStr">
        <is>
          <t>Skin on  split breast</t>
        </is>
      </c>
      <c r="C8" s="15" t="n">
        <v>31</v>
      </c>
      <c r="D8" s="15" t="n">
        <v>50</v>
      </c>
      <c r="E8" s="15" t="n">
        <v>81</v>
      </c>
    </row>
    <row r="9">
      <c r="A9" s="126" t="n"/>
      <c r="B9" s="15" t="inlineStr">
        <is>
          <t>Skinless  split breast</t>
        </is>
      </c>
      <c r="C9" s="15" t="n">
        <v>5</v>
      </c>
      <c r="D9" s="15" t="n">
        <v>30</v>
      </c>
      <c r="E9" s="15" t="n">
        <v>35</v>
      </c>
    </row>
    <row r="10">
      <c r="A10" s="126" t="n"/>
      <c r="B10" s="15" t="inlineStr">
        <is>
          <t>Whole wing</t>
        </is>
      </c>
      <c r="C10" s="15" t="n">
        <v>5</v>
      </c>
      <c r="D10" s="15" t="n">
        <v>20</v>
      </c>
      <c r="E10" s="15" t="n">
        <v>25</v>
      </c>
    </row>
    <row r="11">
      <c r="A11" s="126" t="n"/>
      <c r="B11" s="15" t="inlineStr">
        <is>
          <t>Split wing</t>
        </is>
      </c>
      <c r="C11" s="15" t="n">
        <v>15</v>
      </c>
      <c r="D11" s="15" t="n">
        <v>15</v>
      </c>
      <c r="E11" s="15" t="n">
        <v>30</v>
      </c>
    </row>
    <row r="12">
      <c r="A12" s="127" t="n"/>
      <c r="B12" s="15" t="inlineStr">
        <is>
          <t>Drums</t>
        </is>
      </c>
      <c r="C12" s="15" t="n"/>
      <c r="D12" s="15" t="n">
        <v>40</v>
      </c>
      <c r="E12" s="15" t="n">
        <v>40</v>
      </c>
    </row>
    <row r="13">
      <c r="A13" s="126" t="n"/>
      <c r="B13" s="15" t="inlineStr">
        <is>
          <t>Bi thigh</t>
        </is>
      </c>
      <c r="C13" s="15" t="n"/>
      <c r="D13" s="15" t="n">
        <v>60</v>
      </c>
      <c r="E13" s="15" t="n">
        <v>60</v>
      </c>
    </row>
    <row r="14">
      <c r="A14" s="126" t="n"/>
      <c r="B14" s="15" t="inlineStr">
        <is>
          <t>Bnls thighs</t>
        </is>
      </c>
      <c r="C14" s="15" t="n"/>
      <c r="D14" s="15" t="n">
        <v>80</v>
      </c>
      <c r="E14" s="15" t="n">
        <v>80</v>
      </c>
    </row>
    <row r="15">
      <c r="A15" s="126" t="n"/>
      <c r="B15" s="15" t="inlineStr">
        <is>
          <t>Ba legs</t>
        </is>
      </c>
      <c r="C15" s="15" t="n">
        <v>20</v>
      </c>
      <c r="D15" s="15" t="n">
        <v>55</v>
      </c>
      <c r="E15" s="15" t="n">
        <v>75</v>
      </c>
    </row>
    <row r="16">
      <c r="A16" s="126" t="n"/>
      <c r="B16" s="15" t="n"/>
      <c r="C16" s="15" t="n"/>
      <c r="D16" s="15" t="n"/>
      <c r="E16" s="15" t="n"/>
    </row>
    <row r="17">
      <c r="A17" s="128" t="n"/>
      <c r="B17" s="15" t="inlineStr">
        <is>
          <t>For Bagging</t>
        </is>
      </c>
      <c r="C17" s="15" t="inlineStr">
        <is>
          <t>Qtyx800kg</t>
        </is>
      </c>
      <c r="D17" s="15" t="n"/>
      <c r="E17" s="15" t="n"/>
      <c r="G17" s="129" t="n"/>
      <c r="H17" s="129" t="n"/>
    </row>
    <row r="18">
      <c r="A18" s="128" t="n"/>
      <c r="B18" s="15" t="n"/>
      <c r="C18" s="15" t="inlineStr">
        <is>
          <t>Today</t>
        </is>
      </c>
      <c r="D18" s="15" t="inlineStr">
        <is>
          <t>Tomorrow</t>
        </is>
      </c>
      <c r="E18" s="15" t="inlineStr">
        <is>
          <t>Total</t>
        </is>
      </c>
      <c r="G18" s="129" t="n"/>
      <c r="H18" s="129" t="n"/>
    </row>
    <row r="19">
      <c r="A19" s="128" t="n">
        <v>61062</v>
      </c>
      <c r="B19" s="15" t="inlineStr">
        <is>
          <t>BA Legs</t>
        </is>
      </c>
      <c r="C19" s="15" t="n"/>
      <c r="D19" s="15" t="n">
        <v>1</v>
      </c>
      <c r="E19" s="15" t="n">
        <v>1</v>
      </c>
      <c r="G19" s="130">
        <f>IFERROR(SUMIF('13_Progress_Track'!$A$2:$A$108,A19,'13_Progress_Track'!$E$2:$E$108),"0")</f>
        <v/>
      </c>
      <c r="H19" s="129">
        <f>SUM(C19:D19)</f>
        <v/>
      </c>
    </row>
    <row r="20">
      <c r="A20" s="128" t="n">
        <v>61073</v>
      </c>
      <c r="B20" s="15" t="inlineStr">
        <is>
          <t>Drum</t>
        </is>
      </c>
      <c r="C20" s="15" t="n">
        <v>2</v>
      </c>
      <c r="D20" s="15" t="n">
        <v>3</v>
      </c>
      <c r="E20" s="15" t="n">
        <v>5</v>
      </c>
      <c r="G20" s="130">
        <f>IFERROR(SUMIF('13_Progress_Track'!$A$2:$A$108,A20,'13_Progress_Track'!$E$2:$E$108),"0")</f>
        <v/>
      </c>
      <c r="H20" s="129">
        <f>SUM(C20:D20)</f>
        <v/>
      </c>
    </row>
    <row r="21">
      <c r="A21" s="128" t="n">
        <v>61018</v>
      </c>
      <c r="B21" s="15" t="inlineStr">
        <is>
          <t>Whole wing</t>
        </is>
      </c>
      <c r="C21" s="15" t="n">
        <v>1</v>
      </c>
      <c r="D21" s="15" t="n">
        <v>3</v>
      </c>
      <c r="E21" s="15" t="n">
        <v>4</v>
      </c>
      <c r="G21" s="130">
        <f>IFERROR(SUMIF('13_Progress_Track'!$A$2:$A$108,A21,'13_Progress_Track'!$E$2:$E$108),"0")</f>
        <v/>
      </c>
      <c r="H21" s="129">
        <f>SUM(C21:D21)</f>
        <v/>
      </c>
    </row>
    <row r="22">
      <c r="A22" s="128" t="inlineStr">
        <is>
          <t>61014B</t>
        </is>
      </c>
      <c r="B22" s="15" t="inlineStr">
        <is>
          <t>Split wingx25kg</t>
        </is>
      </c>
      <c r="C22" s="15" t="n"/>
      <c r="D22" s="15" t="n"/>
      <c r="E22" s="15" t="n">
        <v>0</v>
      </c>
      <c r="G22" s="130">
        <f>IFERROR(SUMIF('13_Progress_Track'!$A$2:$A$108,A22,'13_Progress_Track'!$E$2:$E$108),"0")</f>
        <v/>
      </c>
      <c r="H22" s="129">
        <f>SUM(C22:D22)</f>
        <v/>
      </c>
    </row>
    <row r="23">
      <c r="A23" s="128" t="n"/>
      <c r="B23" s="15" t="n"/>
      <c r="C23" s="15" t="n"/>
      <c r="D23" s="15" t="n"/>
      <c r="E23" s="15" t="n"/>
      <c r="G23" s="130">
        <f>IFERROR(SUMIF('13_Progress_Track'!$A$2:$A$108,A23,'13_Progress_Track'!$E$2:$E$108),"0")</f>
        <v/>
      </c>
      <c r="H23" s="129" t="n"/>
    </row>
    <row r="24">
      <c r="A24" s="128" t="n"/>
      <c r="B24" s="15" t="n"/>
      <c r="C24" s="15" t="n"/>
      <c r="D24" s="15" t="n"/>
      <c r="E24" s="15" t="n"/>
      <c r="G24" s="130">
        <f>IFERROR(SUMIF('13_Progress_Track'!$A$2:$A$108,A24,'13_Progress_Track'!$E$2:$E$108),"0")</f>
        <v/>
      </c>
      <c r="H24" s="129" t="n"/>
    </row>
    <row r="25">
      <c r="A25" s="128">
        <f t="array" ref="A25">IFERROR(VALUE(LEFT(B25, MATCH(FALSE, ISNUMBER(MID(B25, ROW(INDIRECT("1:"&amp;LEN(B25)+1)), 1) *1), 0) -1)),"")</f>
        <v/>
      </c>
      <c r="B25" s="15" t="inlineStr">
        <is>
          <t>For sale</t>
        </is>
      </c>
      <c r="C25" s="15" t="n"/>
      <c r="D25" s="15" t="n"/>
      <c r="E25" s="15" t="n"/>
      <c r="G25" s="130">
        <f>IFERROR(SUMIF('13_Progress_Track'!$A$2:$A$108,A25,'13_Progress_Track'!$E$2:$E$108),"0")</f>
        <v/>
      </c>
      <c r="H25" s="129" t="n"/>
    </row>
    <row r="26">
      <c r="A26" s="128">
        <f t="array" ref="A26">IFERROR(VALUE(LEFT(B26, MATCH(FALSE, ISNUMBER(MID(B26, ROW(INDIRECT("1:"&amp;LEN(B26)+1)), 1) *1), 0) -1)),"")</f>
        <v/>
      </c>
      <c r="B26" s="15" t="inlineStr">
        <is>
          <t>203035 container</t>
        </is>
      </c>
      <c r="C26" s="15" t="n"/>
      <c r="D26" s="15" t="n"/>
      <c r="E26" s="15" t="n"/>
      <c r="G26" s="130">
        <f>IFERROR(SUMIF('13_Progress_Track'!$A$2:$A$108,A26,'13_Progress_Track'!$E$2:$E$108),"0")</f>
        <v/>
      </c>
      <c r="H26" s="129">
        <f>IFERROR(C26-G26,"")</f>
        <v/>
      </c>
    </row>
    <row r="27">
      <c r="A27" s="128">
        <f t="array" ref="A27">IFERROR(VALUE(LEFT(B27, MATCH(FALSE, ISNUMBER(MID(B27, ROW(INDIRECT("1:"&amp;LEN(B27)+1)), 1) *1), 0) -1)),"")</f>
        <v/>
      </c>
      <c r="B27" s="15" t="inlineStr">
        <is>
          <t>203172 container</t>
        </is>
      </c>
      <c r="C27" s="15" t="n"/>
      <c r="D27" s="15" t="n"/>
      <c r="E27" s="15" t="n"/>
      <c r="G27" s="130">
        <f>IFERROR(SUMIF('13_Progress_Track'!$A$2:$A$108,A27,'13_Progress_Track'!$E$2:$E$108),"0")</f>
        <v/>
      </c>
      <c r="H27" s="129">
        <f>IFERROR(C27-G27,"")</f>
        <v/>
      </c>
    </row>
    <row r="28">
      <c r="A28" s="128">
        <f t="array" ref="A28">IFERROR(VALUE(LEFT(B28, MATCH(FALSE, ISNUMBER(MID(B28, ROW(INDIRECT("1:"&amp;LEN(B28)+1)), 1) *1), 0) -1)),"")</f>
        <v/>
      </c>
      <c r="B28" s="15" t="inlineStr">
        <is>
          <t>868 Spl Wings</t>
        </is>
      </c>
      <c r="C28" s="15" t="n"/>
      <c r="D28" s="15" t="n"/>
      <c r="E28" s="15" t="n"/>
      <c r="G28" s="130">
        <f>IFERROR(SUMIF('13_Progress_Track'!$A$2:$A$108,A28,'13_Progress_Track'!$E$2:$E$108),"0")</f>
        <v/>
      </c>
      <c r="H28" s="129">
        <f>IFERROR(C28-G28,"")</f>
        <v/>
      </c>
    </row>
    <row r="29">
      <c r="A29" s="128">
        <f t="array" ref="A29">IFERROR(VALUE(LEFT(B29, MATCH(FALSE, ISNUMBER(MID(B29, ROW(INDIRECT("1:"&amp;LEN(B29)+1)), 1) *1), 0) -1)),"")</f>
        <v/>
      </c>
      <c r="B29" s="15" t="inlineStr">
        <is>
          <t>200868 MB HA SPL WING AC 18KG</t>
        </is>
      </c>
      <c r="C29" s="15" t="n">
        <v>100</v>
      </c>
      <c r="D29" s="15" t="n"/>
      <c r="E29" s="15" t="n"/>
      <c r="G29" s="130">
        <f>IFERROR(SUMIF('13_Progress_Track'!$A$2:$A$108,A29,'13_Progress_Track'!$E$2:$E$108),"0")</f>
        <v/>
      </c>
      <c r="H29" s="129">
        <f>IFERROR(C29-G29,"")</f>
        <v/>
      </c>
    </row>
    <row r="30">
      <c r="A30" s="128">
        <f t="array" ref="A30">IFERROR(VALUE(LEFT(B30, MATCH(FALSE, ISNUMBER(MID(B30, ROW(INDIRECT("1:"&amp;LEN(B30)+1)), 1) *1), 0) -1)),"")</f>
        <v/>
      </c>
      <c r="B30" s="15" t="inlineStr">
        <is>
          <t>40021 Spl Wings 4x10lb</t>
        </is>
      </c>
      <c r="C30" s="15" t="n"/>
      <c r="D30" s="15" t="n"/>
      <c r="E30" s="15" t="n"/>
      <c r="G30" s="130">
        <f>IFERROR(SUMIF('13_Progress_Track'!$A$2:$A$108,A30,'13_Progress_Track'!$E$2:$E$108),"0")</f>
        <v/>
      </c>
      <c r="H30" s="129">
        <f>IFERROR(C30-G30,"")</f>
        <v/>
      </c>
    </row>
    <row r="31">
      <c r="A31" s="128">
        <f t="array" ref="A31">IFERROR(VALUE(LEFT(B31, MATCH(FALSE, ISNUMBER(MID(B31, ROW(INDIRECT("1:"&amp;LEN(B31)+1)), 1) *1), 0) -1)),"")</f>
        <v/>
      </c>
      <c r="B31" s="15" t="inlineStr">
        <is>
          <t>904 H. Whole wings</t>
        </is>
      </c>
      <c r="C31" s="15" t="n"/>
      <c r="D31" s="15" t="n"/>
      <c r="E31" s="15" t="n"/>
      <c r="G31" s="130">
        <f>IFERROR(SUMIF('13_Progress_Track'!$A$2:$A$108,A31,'13_Progress_Track'!$E$2:$E$108),"0")</f>
        <v/>
      </c>
      <c r="H31" s="129">
        <f>IFERROR(C31-G31,"")</f>
        <v/>
      </c>
    </row>
    <row r="32">
      <c r="A32" s="128">
        <f t="array" ref="A32">IFERROR(VALUE(LEFT(B32, MATCH(FALSE, ISNUMBER(MID(B32, ROW(INDIRECT("1:"&amp;LEN(B32)+1)), 1) *1), 0) -1)),"")</f>
        <v/>
      </c>
      <c r="B32" s="15" t="inlineStr">
        <is>
          <t>200904 H. Whole wings</t>
        </is>
      </c>
      <c r="C32" s="15" t="n"/>
      <c r="D32" s="15" t="n"/>
      <c r="E32" s="15" t="n"/>
      <c r="G32" s="130">
        <f>IFERROR(SUMIF('13_Progress_Track'!$A$2:$A$108,A32,'13_Progress_Track'!$E$2:$E$108),"0")</f>
        <v/>
      </c>
      <c r="H32" s="129">
        <f>IFERROR(C32-G32,"")</f>
        <v/>
      </c>
    </row>
    <row r="33">
      <c r="A33" s="128">
        <f t="array" ref="A33">IFERROR(VALUE(LEFT(B33, MATCH(FALSE, ISNUMBER(MID(B33, ROW(INDIRECT("1:"&amp;LEN(B33)+1)), 1) *1), 0) -1)),"")</f>
        <v/>
      </c>
      <c r="B33" s="15" t="inlineStr">
        <is>
          <t>200905 H. Whole wings</t>
        </is>
      </c>
      <c r="C33" s="15" t="n"/>
      <c r="D33" s="15" t="n"/>
      <c r="E33" s="15" t="n"/>
      <c r="G33" s="130">
        <f>IFERROR(SUMIF('13_Progress_Track'!$A$2:$A$108,A33,'13_Progress_Track'!$E$2:$E$108),"0")</f>
        <v/>
      </c>
      <c r="H33" s="129">
        <f>IFERROR(C33-G33,"")</f>
        <v/>
      </c>
    </row>
    <row r="34">
      <c r="A34" s="128">
        <f t="array" ref="A34">IFERROR(VALUE(LEFT(B34, MATCH(FALSE, ISNUMBER(MID(B34, ROW(INDIRECT("1:"&amp;LEN(B34)+1)), 1) *1), 0) -1)),"")</f>
        <v/>
      </c>
      <c r="B34" s="15" t="inlineStr">
        <is>
          <t>895 Drums</t>
        </is>
      </c>
      <c r="C34" s="15" t="n"/>
      <c r="D34" s="15" t="n"/>
      <c r="E34" s="15" t="n"/>
      <c r="G34" s="130">
        <f>IFERROR(SUMIF('13_Progress_Track'!$A$2:$A$108,A34,'13_Progress_Track'!$E$2:$E$108),"0")</f>
        <v/>
      </c>
      <c r="H34" s="129">
        <f>IFERROR(C34-G34,"")</f>
        <v/>
      </c>
    </row>
    <row r="35">
      <c r="A35" s="128">
        <f t="array" ref="A35">IFERROR(VALUE(LEFT(B35, MATCH(FALSE, ISNUMBER(MID(B35, ROW(INDIRECT("1:"&amp;LEN(B35)+1)), 1) *1), 0) -1)),"")</f>
        <v/>
      </c>
      <c r="B35" s="15" t="inlineStr">
        <is>
          <t>200095 H. Drums</t>
        </is>
      </c>
      <c r="C35" s="15" t="n">
        <v>40</v>
      </c>
      <c r="D35" s="15" t="n"/>
      <c r="E35" s="15" t="n"/>
      <c r="G35" s="130">
        <f>IFERROR(SUMIF('13_Progress_Track'!$A$2:$A$108,A35,'13_Progress_Track'!$E$2:$E$108),"0")</f>
        <v/>
      </c>
      <c r="H35" s="129">
        <f>IFERROR(C35-G35,"")</f>
        <v/>
      </c>
    </row>
    <row r="36">
      <c r="A36" s="128">
        <f t="array" ref="A36">IFERROR(VALUE(LEFT(B36, MATCH(FALSE, ISNUMBER(MID(B36, ROW(INDIRECT("1:"&amp;LEN(B36)+1)), 1) *1), 0) -1)),"")</f>
        <v/>
      </c>
      <c r="B36" s="15" t="inlineStr">
        <is>
          <t>0160 Drums</t>
        </is>
      </c>
      <c r="C36" s="15" t="n"/>
      <c r="D36" s="15" t="n"/>
      <c r="E36" s="15" t="n"/>
      <c r="G36" s="130">
        <f>IFERROR(SUMIF('13_Progress_Track'!$A$2:$A$108,A36,'13_Progress_Track'!$E$2:$E$108),"0")</f>
        <v/>
      </c>
      <c r="H36" s="129">
        <f>IFERROR(C36-G36,"")</f>
        <v/>
      </c>
    </row>
    <row r="37">
      <c r="A37" s="128">
        <f t="array" ref="A37">IFERROR(VALUE(LEFT(B37, MATCH(FALSE, ISNUMBER(MID(B37, ROW(INDIRECT("1:"&amp;LEN(B37)+1)), 1) *1), 0) -1)),"")</f>
        <v/>
      </c>
      <c r="B37" s="15" t="inlineStr">
        <is>
          <t>203271 DRUM 110G LESS RET 25KG</t>
        </is>
      </c>
      <c r="C37" s="15" t="n"/>
      <c r="D37" s="15" t="n"/>
      <c r="E37" s="15" t="n"/>
      <c r="G37" s="130">
        <f>IFERROR(SUMIF('13_Progress_Track'!$A$2:$A$108,A37,'13_Progress_Track'!$E$2:$E$108),"0")</f>
        <v/>
      </c>
      <c r="H37" s="129">
        <f>IFERROR(C37-G37,"")</f>
        <v/>
      </c>
    </row>
    <row r="38">
      <c r="A38" s="128">
        <f t="array" ref="A38">IFERROR(VALUE(LEFT(B38, MATCH(FALSE, ISNUMBER(MID(B38, ROW(INDIRECT("1:"&amp;LEN(B38)+1)), 1) *1), 0) -1)),"")</f>
        <v/>
      </c>
      <c r="B38" s="15" t="inlineStr">
        <is>
          <t>159 BA Legs</t>
        </is>
      </c>
      <c r="C38" s="15" t="n">
        <v>150</v>
      </c>
      <c r="D38" s="15" t="n"/>
      <c r="E38" s="15" t="n"/>
      <c r="G38" s="130">
        <f>IFERROR(SUMIF('13_Progress_Track'!$A$2:$A$108,A38,'13_Progress_Track'!$E$2:$E$108),"0")</f>
        <v/>
      </c>
      <c r="H38" s="129">
        <f>IFERROR(C38-G38,"")</f>
        <v/>
      </c>
    </row>
    <row r="39">
      <c r="A39" s="128">
        <f t="array" ref="A39">IFERROR(VALUE(LEFT(B39, MATCH(FALSE, ISNUMBER(MID(B39, ROW(INDIRECT("1:"&amp;LEN(B39)+1)), 1) *1), 0) -1)),"")</f>
        <v/>
      </c>
      <c r="B39" s="15" t="inlineStr">
        <is>
          <t>200159 H. BA Legs</t>
        </is>
      </c>
      <c r="C39" s="15" t="n"/>
      <c r="D39" s="15" t="n"/>
      <c r="E39" s="15" t="n"/>
      <c r="G39" s="130">
        <f>IFERROR(SUMIF('13_Progress_Track'!$A$2:$A$108,A39,'13_Progress_Track'!$E$2:$E$108),"0")</f>
        <v/>
      </c>
      <c r="H39" s="129">
        <f>IFERROR(C39-G39,"")</f>
        <v/>
      </c>
    </row>
    <row r="40">
      <c r="A40" s="128">
        <f t="array" ref="A40">IFERROR(VALUE(LEFT(B40, MATCH(FALSE, ISNUMBER(MID(B40, ROW(INDIRECT("1:"&amp;LEN(B40)+1)), 1) *1), 0) -1)),"")</f>
        <v/>
      </c>
      <c r="B40" s="15" t="inlineStr">
        <is>
          <t>200903 H. BA Legs a/c</t>
        </is>
      </c>
      <c r="C40" s="15" t="n">
        <v>150</v>
      </c>
      <c r="D40" s="15" t="n"/>
      <c r="E40" s="15" t="n"/>
      <c r="G40" s="130">
        <f>IFERROR(SUMIF('13_Progress_Track'!$A$2:$A$108,A40,'13_Progress_Track'!$E$2:$E$108),"0")</f>
        <v/>
      </c>
      <c r="H40" s="129">
        <f>IFERROR(C40-G40,"")</f>
        <v/>
      </c>
    </row>
    <row r="41">
      <c r="A41" s="128">
        <f t="array" ref="A41">IFERROR(VALUE(LEFT(B41, MATCH(FALSE, ISNUMBER(MID(B41, ROW(INDIRECT("1:"&amp;LEN(B41)+1)), 1) *1), 0) -1)),"")</f>
        <v/>
      </c>
      <c r="B41" s="15" t="inlineStr">
        <is>
          <t>165 Bnls breast</t>
        </is>
      </c>
      <c r="C41" s="15" t="n"/>
      <c r="D41" s="15" t="n"/>
      <c r="E41" s="15" t="n"/>
      <c r="G41" s="130">
        <f>IFERROR(SUMIF('13_Progress_Track'!$A$2:$A$108,A41,'13_Progress_Track'!$E$2:$E$108),"0")</f>
        <v/>
      </c>
      <c r="H41" s="129">
        <f>IFERROR(C41-G41,"")</f>
        <v/>
      </c>
    </row>
    <row r="42">
      <c r="A42" s="128">
        <f t="array" ref="A42">IFERROR(VALUE(LEFT(B42, MATCH(FALSE, ISNUMBER(MID(B42, ROW(INDIRECT("1:"&amp;LEN(B42)+1)), 1) *1), 0) -1)),"")</f>
        <v/>
      </c>
      <c r="B42" s="15" t="inlineStr">
        <is>
          <t>1894 Bnls breast</t>
        </is>
      </c>
      <c r="C42" s="15" t="n"/>
      <c r="D42" s="15" t="n"/>
      <c r="E42" s="15" t="n"/>
      <c r="G42" s="130">
        <f>IFERROR(SUMIF('13_Progress_Track'!$A$2:$A$108,A42,'13_Progress_Track'!$E$2:$E$108),"0")</f>
        <v/>
      </c>
      <c r="H42" s="129">
        <f>IFERROR(C42-G42,"")</f>
        <v/>
      </c>
    </row>
    <row r="43">
      <c r="A43" s="128">
        <f t="array" ref="A43">IFERROR(VALUE(LEFT(B43, MATCH(FALSE, ISNUMBER(MID(B43, ROW(INDIRECT("1:"&amp;LEN(B43)+1)), 1) *1), 0) -1)),"")</f>
        <v/>
      </c>
      <c r="B43" s="15" t="inlineStr">
        <is>
          <t>201894 H. Bnls breast</t>
        </is>
      </c>
      <c r="C43" s="15" t="n"/>
      <c r="D43" s="15" t="n"/>
      <c r="E43" s="15" t="n"/>
      <c r="G43" s="130">
        <f>IFERROR(SUMIF('13_Progress_Track'!$A$2:$A$108,A43,'13_Progress_Track'!$E$2:$E$108),"0")</f>
        <v/>
      </c>
      <c r="H43" s="129">
        <f>IFERROR(C43-G43,"")</f>
        <v/>
      </c>
    </row>
    <row r="44">
      <c r="A44" s="128">
        <f t="array" ref="A44">IFERROR(VALUE(LEFT(B44, MATCH(FALSE, ISNUMBER(MID(B44, ROW(INDIRECT("1:"&amp;LEN(B44)+1)), 1) *1), 0) -1)),"")</f>
        <v/>
      </c>
      <c r="B44" s="15" t="inlineStr">
        <is>
          <t>201895 H. Bnls breast</t>
        </is>
      </c>
      <c r="C44" s="15" t="n"/>
      <c r="D44" s="15" t="n"/>
      <c r="E44" s="15" t="n"/>
      <c r="G44" s="130">
        <f>IFERROR(SUMIF('13_Progress_Track'!$A$2:$A$108,A44,'13_Progress_Track'!$E$2:$E$108),"0")</f>
        <v/>
      </c>
      <c r="H44" s="129">
        <f>IFERROR(C44-G44,"")</f>
        <v/>
      </c>
    </row>
    <row r="45">
      <c r="A45" s="128">
        <f t="array" ref="A45">IFERROR(VALUE(LEFT(B45, MATCH(FALSE, ISNUMBER(MID(B45, ROW(INDIRECT("1:"&amp;LEN(B45)+1)), 1) *1), 0) -1)),"")</f>
        <v/>
      </c>
      <c r="B45" s="15" t="inlineStr">
        <is>
          <t>834 Bone in Thigh</t>
        </is>
      </c>
      <c r="C45" s="15" t="n">
        <v>50</v>
      </c>
      <c r="D45" s="15" t="n"/>
      <c r="E45" s="15" t="n"/>
      <c r="G45" s="130">
        <f>IFERROR(SUMIF('13_Progress_Track'!$A$2:$A$108,A45,'13_Progress_Track'!$E$2:$E$108),"0")</f>
        <v/>
      </c>
      <c r="H45" s="129">
        <f>IFERROR(C45-G45,"")</f>
        <v/>
      </c>
    </row>
    <row r="46">
      <c r="A46" s="128">
        <f t="array" ref="A46">IFERROR(VALUE(LEFT(B46, MATCH(FALSE, ISNUMBER(MID(B46, ROW(INDIRECT("1:"&amp;LEN(B46)+1)), 1) *1), 0) -1)),"")</f>
        <v/>
      </c>
      <c r="B46" s="15" t="inlineStr">
        <is>
          <t>200902 Bone in Thigh</t>
        </is>
      </c>
      <c r="C46" s="15" t="n">
        <v>92</v>
      </c>
      <c r="D46" s="15" t="n"/>
      <c r="E46" s="15" t="n"/>
      <c r="G46" s="130">
        <f>IFERROR(SUMIF('13_Progress_Track'!$A$2:$A$108,A46,'13_Progress_Track'!$E$2:$E$108),"0")</f>
        <v/>
      </c>
      <c r="H46" s="129">
        <f>IFERROR(C46-G46,"")</f>
        <v/>
      </c>
    </row>
    <row r="47">
      <c r="A47" s="128">
        <f t="array" ref="A47">IFERROR(VALUE(LEFT(B47, MATCH(FALSE, ISNUMBER(MID(B47, ROW(INDIRECT("1:"&amp;LEN(B47)+1)), 1) *1), 0) -1)),"")</f>
        <v/>
      </c>
      <c r="B47" s="15" t="inlineStr">
        <is>
          <t>161 Bone in Thigh</t>
        </is>
      </c>
      <c r="C47" s="15" t="n"/>
      <c r="D47" s="15" t="n"/>
      <c r="E47" s="15" t="n"/>
      <c r="G47" s="130">
        <f>IFERROR(SUMIF('13_Progress_Track'!$A$2:$A$108,A47,'13_Progress_Track'!$E$2:$E$108),"0")</f>
        <v/>
      </c>
      <c r="H47" s="129">
        <f>IFERROR(C47-G47,"")</f>
        <v/>
      </c>
    </row>
    <row r="48">
      <c r="A48" s="128">
        <f t="array" ref="A48">IFERROR(VALUE(LEFT(B48, MATCH(FALSE, ISNUMBER(MID(B48, ROW(INDIRECT("1:"&amp;LEN(B48)+1)), 1) *1), 0) -1)),"")</f>
        <v/>
      </c>
      <c r="B48" s="15" t="inlineStr">
        <is>
          <t>200064 H. bnls thighs</t>
        </is>
      </c>
      <c r="C48" s="15" t="n">
        <v>76</v>
      </c>
      <c r="D48" s="15" t="n"/>
      <c r="E48" s="15" t="n"/>
      <c r="G48" s="130">
        <f>IFERROR(SUMIF('13_Progress_Track'!$A$2:$A$108,A48,'13_Progress_Track'!$E$2:$E$108),"0")</f>
        <v/>
      </c>
      <c r="H48" s="129">
        <f>IFERROR(C48-G48,"")</f>
        <v/>
      </c>
    </row>
    <row r="49">
      <c r="A49" s="128">
        <f t="array" ref="A49">IFERROR(VALUE(LEFT(B49, MATCH(FALSE, ISNUMBER(MID(B49, ROW(INDIRECT("1:"&amp;LEN(B49)+1)), 1) *1), 0) -1)),"")</f>
        <v/>
      </c>
      <c r="B49" s="15" t="inlineStr">
        <is>
          <t>0064 H. bnls thighs</t>
        </is>
      </c>
      <c r="C49" s="15" t="n">
        <v>126</v>
      </c>
      <c r="D49" s="15" t="n"/>
      <c r="E49" s="15" t="n"/>
      <c r="G49" s="130">
        <f>IFERROR(SUMIF('13_Progress_Track'!$A$2:$A$108,A49,'13_Progress_Track'!$E$2:$E$108),"0")</f>
        <v/>
      </c>
      <c r="H49" s="129">
        <f>IFERROR(C49-G49,"")</f>
        <v/>
      </c>
    </row>
    <row r="50">
      <c r="A50" s="128">
        <f t="array" ref="A50">IFERROR(VALUE(LEFT(B50, MATCH(FALSE, ISNUMBER(MID(B50, ROW(INDIRECT("1:"&amp;LEN(B50)+1)), 1) *1), 0) -1)),"")</f>
        <v/>
      </c>
      <c r="B50" s="15" t="n"/>
      <c r="C50" s="15" t="n"/>
      <c r="D50" s="15" t="n"/>
      <c r="E50" s="15" t="n"/>
      <c r="G50" s="130">
        <f>IFERROR(SUMIF('13_Progress_Track'!$A$2:$A$108,A50,'13_Progress_Track'!$E$2:$E$108),"0")</f>
        <v/>
      </c>
      <c r="H50" s="129">
        <f>IFERROR(C50-G50,"")</f>
        <v/>
      </c>
    </row>
    <row r="51">
      <c r="A51" s="128">
        <f t="array" ref="A51">IFERROR(VALUE(LEFT(B51, MATCH(FALSE, ISNUMBER(MID(B51, ROW(INDIRECT("1:"&amp;LEN(B51)+1)), 1) *1), 0) -1)),"")</f>
        <v/>
      </c>
      <c r="B51" s="15" t="n"/>
      <c r="C51" s="15" t="n"/>
      <c r="D51" s="15" t="n"/>
      <c r="E51" s="15" t="n"/>
      <c r="G51" s="130">
        <f>IFERROR(SUMIF('13_Progress_Track'!$A$2:$A$108,A51,'13_Progress_Track'!$E$2:$E$108),"0")</f>
        <v/>
      </c>
      <c r="H51" s="129">
        <f>IFERROR(C51-G51,"")</f>
        <v/>
      </c>
    </row>
    <row r="52">
      <c r="A52" s="128">
        <f t="array" ref="A52">IFERROR(VALUE(LEFT(B52, MATCH(FALSE, ISNUMBER(MID(B52, ROW(INDIRECT("1:"&amp;LEN(B52)+1)), 1) *1), 0) -1)),"")</f>
        <v/>
      </c>
      <c r="B52" s="15" t="n"/>
      <c r="C52" s="15" t="n"/>
      <c r="D52" s="15" t="n"/>
      <c r="E52" s="15" t="n"/>
      <c r="G52" s="130">
        <f>IFERROR(SUMIF('13_Progress_Track'!$A$2:$A$108,A52,'13_Progress_Track'!$E$2:$E$108),"0")</f>
        <v/>
      </c>
      <c r="H52" s="129">
        <f>IFERROR(C52-G52,"")</f>
        <v/>
      </c>
    </row>
    <row r="53">
      <c r="A53" s="128">
        <f t="array" ref="A53">IFERROR(VALUE(LEFT(B53, MATCH(FALSE, ISNUMBER(MID(B53, ROW(INDIRECT("1:"&amp;LEN(B53)+1)), 1) *1), 0) -1)),"")</f>
        <v/>
      </c>
      <c r="B53" s="15" t="n"/>
      <c r="C53" s="15" t="n"/>
      <c r="D53" s="15" t="n"/>
      <c r="E53" s="15" t="n"/>
      <c r="G53" s="130">
        <f>IFERROR(SUMIF('13_Progress_Track'!$A$2:$A$108,A53,'13_Progress_Track'!$E$2:$E$108),"0")</f>
        <v/>
      </c>
      <c r="H53" s="129">
        <f>IFERROR(C53-G53,"")</f>
        <v/>
      </c>
    </row>
    <row r="54">
      <c r="A54" s="128">
        <f t="array" ref="A54">IFERROR(VALUE(LEFT(B54, MATCH(FALSE, ISNUMBER(MID(B54, ROW(INDIRECT("1:"&amp;LEN(B54)+1)), 1) *1), 0) -1)),"")</f>
        <v/>
      </c>
      <c r="B54" s="15" t="n"/>
      <c r="C54" s="15" t="n"/>
      <c r="D54" s="15" t="n"/>
      <c r="E54" s="15" t="n"/>
      <c r="G54" s="130">
        <f>IFERROR(SUMIF('13_Progress_Track'!$A$2:$A$108,A54,'13_Progress_Track'!$E$2:$E$108),"0")</f>
        <v/>
      </c>
      <c r="H54" s="129">
        <f>IFERROR(C54-G54,"")</f>
        <v/>
      </c>
    </row>
    <row r="55">
      <c r="A55" s="128">
        <f t="array" ref="A55">IFERROR(VALUE(LEFT(B55, MATCH(FALSE, ISNUMBER(MID(B55, ROW(INDIRECT("1:"&amp;LEN(B55)+1)), 1) *1), 0) -1)),"")</f>
        <v/>
      </c>
      <c r="B55" s="15" t="n"/>
      <c r="C55" s="15" t="n"/>
      <c r="D55" s="15" t="n"/>
      <c r="E55" s="15" t="n"/>
      <c r="G55" s="130">
        <f>IFERROR(SUMIF('13_Progress_Track'!$A$2:$A$108,A55,'13_Progress_Track'!$E$2:$E$108),"0")</f>
        <v/>
      </c>
      <c r="H55" s="129">
        <f>IFERROR(C55-G55,"")</f>
        <v/>
      </c>
    </row>
    <row r="56">
      <c r="A56" s="128">
        <f t="array" ref="A56">IFERROR(VALUE(LEFT(B56, MATCH(FALSE, ISNUMBER(MID(B56, ROW(INDIRECT("1:"&amp;LEN(B56)+1)), 1) *1), 0) -1)),"")</f>
        <v/>
      </c>
      <c r="B56" s="15" t="n"/>
      <c r="C56" s="15" t="n"/>
      <c r="D56" s="15" t="n"/>
      <c r="E56" s="15" t="n"/>
      <c r="G56" s="130">
        <f>IFERROR(SUMIF('13_Progress_Track'!$A$2:$A$108,A56,'13_Progress_Track'!$E$2:$E$108),"0")</f>
        <v/>
      </c>
      <c r="H56" s="129">
        <f>IFERROR(C56-G56,"")</f>
        <v/>
      </c>
    </row>
    <row r="57">
      <c r="A57" s="128">
        <f t="array" ref="A57">IFERROR(VALUE(LEFT(B57, MATCH(FALSE, ISNUMBER(MID(B57, ROW(INDIRECT("1:"&amp;LEN(B57)+1)), 1) *1), 0) -1)),"")</f>
        <v/>
      </c>
      <c r="B57" s="15" t="n"/>
      <c r="C57" s="15" t="n"/>
      <c r="D57" s="15" t="n"/>
      <c r="E57" s="15" t="n"/>
      <c r="G57" s="130">
        <f>IFERROR(SUMIF('13_Progress_Track'!$A$2:$A$108,A57,'13_Progress_Track'!$E$2:$E$108),"0")</f>
        <v/>
      </c>
      <c r="H57" s="129">
        <f>IFERROR(C57-G57,"")</f>
        <v/>
      </c>
    </row>
    <row r="58">
      <c r="A58" s="128">
        <f t="array" ref="A58">IFERROR(VALUE(LEFT(B58, MATCH(FALSE, ISNUMBER(MID(B58, ROW(INDIRECT("1:"&amp;LEN(B58)+1)), 1) *1), 0) -1)),"")</f>
        <v/>
      </c>
      <c r="B58" s="15" t="n"/>
      <c r="C58" s="15" t="n"/>
      <c r="D58" s="15" t="n"/>
      <c r="E58" s="15" t="n"/>
      <c r="G58" s="130">
        <f>IFERROR(SUMIF('13_Progress_Track'!$A$2:$A$108,A58,'13_Progress_Track'!$E$2:$E$108),"0")</f>
        <v/>
      </c>
      <c r="H58" s="129">
        <f>IFERROR(C58-G58,"")</f>
        <v/>
      </c>
    </row>
    <row r="59">
      <c r="A59" s="128">
        <f t="array" ref="A59">IFERROR(VALUE(LEFT(B59, MATCH(FALSE, ISNUMBER(MID(B59, ROW(INDIRECT("1:"&amp;LEN(B59)+1)), 1) *1), 0) -1)),"")</f>
        <v/>
      </c>
      <c r="B59" s="15" t="n"/>
      <c r="C59" s="15" t="n"/>
      <c r="D59" s="15" t="n"/>
      <c r="E59" s="15" t="n"/>
      <c r="G59" s="130">
        <f>IFERROR(SUMIF('13_Progress_Track'!$A$2:$A$108,A59,'13_Progress_Track'!$E$2:$E$108),"0")</f>
        <v/>
      </c>
      <c r="H59" s="129">
        <f>IFERROR(C59-G59,"")</f>
        <v/>
      </c>
    </row>
    <row r="60">
      <c r="A60" s="128">
        <f t="array" ref="A60">IFERROR(VALUE(LEFT(B60, MATCH(FALSE, ISNUMBER(MID(B60, ROW(INDIRECT("1:"&amp;LEN(B60)+1)), 1) *1), 0) -1)),"")</f>
        <v/>
      </c>
      <c r="B60" s="15" t="n"/>
      <c r="C60" s="15" t="n"/>
      <c r="D60" s="15" t="n"/>
      <c r="E60" s="15" t="n"/>
      <c r="G60" s="130">
        <f>IFERROR(SUMIF('13_Progress_Track'!$A$2:$A$108,A60,'13_Progress_Track'!$E$2:$E$108),"0")</f>
        <v/>
      </c>
      <c r="H60" s="129">
        <f>IFERROR(C60-G60,"")</f>
        <v/>
      </c>
    </row>
    <row r="61">
      <c r="A61" s="128" t="n">
        <v>2233</v>
      </c>
      <c r="B61" s="15" t="n"/>
      <c r="C61" s="15" t="n"/>
      <c r="D61" s="15" t="n"/>
      <c r="E61" s="15" t="n"/>
      <c r="G61" s="130">
        <f>IFERROR(SUMIF('13_Progress_Track'!$A$2:$A$108,A61,'13_Progress_Track'!$E$2:$E$108),"0")</f>
        <v/>
      </c>
      <c r="H61" s="129">
        <f>IFERROR(C61-G61,"")</f>
        <v/>
      </c>
    </row>
    <row r="62">
      <c r="A62" s="128" t="n">
        <v>2235</v>
      </c>
      <c r="B62" s="15" t="n"/>
      <c r="C62" s="15" t="n"/>
      <c r="D62" s="15" t="n"/>
      <c r="E62" s="15" t="n"/>
      <c r="G62" s="130">
        <f>IFERROR(SUMIF('13_Progress_Track'!$A$2:$A$108,A62,'13_Progress_Track'!$E$2:$E$108),"0")</f>
        <v/>
      </c>
      <c r="H62" s="129">
        <f>IFERROR(C62-G62,"")</f>
        <v/>
      </c>
    </row>
    <row r="63">
      <c r="A63" s="128" t="n">
        <v>2236</v>
      </c>
      <c r="B63" s="15" t="n"/>
      <c r="C63" s="15" t="n"/>
      <c r="D63" s="15" t="n"/>
      <c r="E63" s="15" t="n"/>
      <c r="G63" s="130">
        <f>IFERROR(SUMIF('13_Progress_Track'!$A$2:$A$108,A63,'13_Progress_Track'!$E$2:$E$108),"0")</f>
        <v/>
      </c>
      <c r="H63" s="129">
        <f>IFERROR(C63-G63,"")</f>
        <v/>
      </c>
    </row>
    <row r="64">
      <c r="A64" s="128" t="n">
        <v>423002</v>
      </c>
      <c r="B64" s="15" t="n"/>
      <c r="C64" s="15" t="n"/>
      <c r="D64" s="15" t="n"/>
      <c r="E64" s="15" t="n"/>
      <c r="G64" s="130">
        <f>IFERROR(SUMIF('13_Progress_Track'!$A$2:$A$108,A64,'13_Progress_Track'!$E$2:$E$108),"0")</f>
        <v/>
      </c>
      <c r="H64" s="129">
        <f>IFERROR(C64-G64,"")</f>
        <v/>
      </c>
    </row>
    <row r="65">
      <c r="A65" s="128" t="n">
        <v>203010</v>
      </c>
      <c r="B65" s="15" t="n"/>
      <c r="C65" s="15" t="n"/>
      <c r="D65" s="15" t="n"/>
      <c r="E65" s="15" t="n"/>
      <c r="G65" s="130">
        <f>IFERROR(SUMIF('13_Progress_Track'!$A$2:$A$108,A65,'13_Progress_Track'!$E$2:$E$108),"0")</f>
        <v/>
      </c>
      <c r="H65" s="129">
        <f>IFERROR(C65-G65,"")</f>
        <v/>
      </c>
    </row>
    <row r="66">
      <c r="A66" s="128" t="n">
        <v>423625</v>
      </c>
      <c r="B66" s="15" t="n"/>
      <c r="C66" s="15" t="n"/>
      <c r="D66" s="15" t="n"/>
      <c r="E66" s="15" t="n"/>
      <c r="G66" s="130">
        <f>IFERROR(SUMIF('13_Progress_Track'!$A$2:$A$108,A66,'13_Progress_Track'!$E$2:$E$108),"0")</f>
        <v/>
      </c>
      <c r="H66" s="129">
        <f>IFERROR(C66-G66,"")</f>
        <v/>
      </c>
    </row>
    <row r="67">
      <c r="A67" s="128" t="n">
        <v>203624</v>
      </c>
      <c r="B67" s="15" t="n"/>
      <c r="C67" s="15" t="n"/>
      <c r="D67" s="15" t="n"/>
      <c r="E67" s="15" t="n"/>
      <c r="G67" s="130">
        <f>IFERROR(SUMIF('13_Progress_Track'!$A$2:$A$108,A67,'13_Progress_Track'!$E$2:$E$108),"0")</f>
        <v/>
      </c>
      <c r="H67" s="129">
        <f>IFERROR(C67-G67,"")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T43"/>
  <sheetViews>
    <sheetView workbookViewId="0">
      <selection activeCell="J15" sqref="J15"/>
    </sheetView>
  </sheetViews>
  <sheetFormatPr baseColWidth="8" defaultRowHeight="14.5"/>
  <cols>
    <col width="2.54296875" customWidth="1" min="1" max="1"/>
    <col width="13.7265625" customWidth="1" min="2" max="2"/>
    <col width="12.453125" customWidth="1" min="3" max="3"/>
    <col width="8.54296875" customWidth="1" min="4" max="4"/>
    <col width="10" customWidth="1" min="5" max="5"/>
    <col width="8.54296875" customWidth="1" min="6" max="6"/>
    <col width="3.08984375" customWidth="1" min="7" max="7"/>
    <col width="8.54296875" customWidth="1" min="8" max="8"/>
    <col width="8.7265625" customWidth="1" min="16" max="16"/>
    <col width="7.7265625" customWidth="1" min="17" max="17"/>
    <col width="10" customWidth="1" min="18" max="18"/>
  </cols>
  <sheetData>
    <row r="1" ht="23.5" customHeight="1">
      <c r="H1" s="131" t="n"/>
      <c r="R1" s="132" t="n"/>
    </row>
    <row r="2">
      <c r="B2" s="133" t="inlineStr">
        <is>
          <t>Total Cases</t>
        </is>
      </c>
      <c r="C2" s="15" t="n"/>
      <c r="D2" s="15" t="n"/>
      <c r="E2" s="15" t="n"/>
      <c r="F2" s="15" t="n"/>
      <c r="G2" s="134" t="n"/>
      <c r="H2" s="134" t="n"/>
      <c r="I2" s="134" t="n"/>
      <c r="J2" s="134" t="n"/>
      <c r="K2" s="134" t="n">
        <v>1356</v>
      </c>
      <c r="L2" s="134" t="n">
        <v>2103</v>
      </c>
      <c r="M2" s="134" t="n">
        <v>1149</v>
      </c>
      <c r="N2" s="134" t="n"/>
      <c r="O2" s="134" t="n"/>
      <c r="R2" s="134" t="n"/>
    </row>
    <row r="3">
      <c r="B3" s="135" t="inlineStr">
        <is>
          <t>DAY</t>
        </is>
      </c>
      <c r="C3" s="15" t="n"/>
      <c r="D3" s="15" t="n"/>
      <c r="E3" s="136" t="n"/>
      <c r="F3" s="15" t="n"/>
      <c r="G3" s="137" t="n"/>
      <c r="H3" s="137" t="n"/>
      <c r="I3" s="138">
        <f>SUMIF(I5:I25,"&gt;0")</f>
        <v/>
      </c>
      <c r="J3" s="138">
        <f>SUM(J5:J22)</f>
        <v/>
      </c>
      <c r="K3" s="138">
        <f>SUMIF(K5:K23,"&gt;0")</f>
        <v/>
      </c>
      <c r="L3" s="137" t="n"/>
      <c r="M3" s="137" t="n"/>
      <c r="N3" s="137" t="n"/>
      <c r="O3" s="137" t="n"/>
      <c r="R3" s="134" t="n"/>
    </row>
    <row r="4">
      <c r="B4" s="139" t="inlineStr">
        <is>
          <t>SKU</t>
        </is>
      </c>
      <c r="C4" s="15" t="n"/>
      <c r="D4" s="15" t="n"/>
      <c r="E4" s="15" t="n"/>
      <c r="F4" s="15" t="n"/>
      <c r="G4" s="140" t="n"/>
      <c r="H4" s="141" t="inlineStr">
        <is>
          <t>SKU</t>
        </is>
      </c>
      <c r="I4" s="141" t="inlineStr">
        <is>
          <t>Today's</t>
        </is>
      </c>
      <c r="J4" s="142" t="inlineStr">
        <is>
          <t>Completed</t>
        </is>
      </c>
      <c r="K4" s="143" t="inlineStr">
        <is>
          <t>Remaining</t>
        </is>
      </c>
      <c r="L4" s="141" t="inlineStr">
        <is>
          <t>KG</t>
        </is>
      </c>
      <c r="M4" s="141" t="inlineStr">
        <is>
          <t>Raw Cages</t>
        </is>
      </c>
      <c r="N4" s="141" t="n"/>
      <c r="O4" s="141" t="inlineStr">
        <is>
          <t>WIP</t>
        </is>
      </c>
      <c r="P4" s="144" t="n"/>
      <c r="Q4" s="50" t="n"/>
      <c r="R4" s="145" t="n"/>
    </row>
    <row r="5">
      <c r="B5" s="146">
        <f>'00_SKU_Master'!B357</f>
        <v/>
      </c>
      <c r="C5" s="15" t="n"/>
      <c r="D5" s="15" t="n">
        <v>99</v>
      </c>
      <c r="E5" s="15" t="n"/>
      <c r="F5" s="15" t="n"/>
      <c r="G5" s="147" t="n"/>
      <c r="H5" s="148">
        <f>B5</f>
        <v/>
      </c>
      <c r="I5" s="149">
        <f>SUM(C5:F5)</f>
        <v/>
      </c>
      <c r="J5" s="148">
        <f>SUMIF('13_Progress_Track'!$A$2:$A$108,B5,'13_Progress_Track'!$E$2:$E$108)</f>
        <v/>
      </c>
      <c r="K5" s="150">
        <f>I5-J5</f>
        <v/>
      </c>
      <c r="L5" s="149">
        <f>_xludf.IFNA(_xlfn.XLOOKUP(H5,$B$27:$B$41,$C$27:$C$41,0)*K5,"")</f>
        <v/>
      </c>
      <c r="M5" s="151">
        <f>_xludf.IFNA(L5/_xlfn.XLOOKUP(H5,$B$27:$B$43,$F$27:$F$43,0),"")</f>
        <v/>
      </c>
      <c r="N5" s="151" t="n"/>
      <c r="O5" s="148">
        <f>_xludf.IFNA(_xlfn.XLOOKUP(H5,$B$27:$B$43,$E$27:$E$43),"")</f>
        <v/>
      </c>
      <c r="P5" s="44" t="n"/>
      <c r="R5" s="152" t="n"/>
    </row>
    <row r="6">
      <c r="B6" s="146">
        <f>'00_SKU_Master'!B358</f>
        <v/>
      </c>
      <c r="C6" s="15" t="n"/>
      <c r="D6" s="15" t="n">
        <v>188</v>
      </c>
      <c r="E6" s="15" t="n"/>
      <c r="F6" s="15" t="n"/>
      <c r="G6" s="147" t="n"/>
      <c r="H6" s="148">
        <f>B6</f>
        <v/>
      </c>
      <c r="I6" s="149">
        <f>SUM(C6:F6)</f>
        <v/>
      </c>
      <c r="J6" s="148">
        <f>SUMIF('13_Progress_Track'!$A$2:$A$108,B6,'13_Progress_Track'!$E$2:$E$108)</f>
        <v/>
      </c>
      <c r="K6" s="150">
        <f>I6-J6</f>
        <v/>
      </c>
      <c r="L6" s="149">
        <f>_xludf.IFNA(_xlfn.XLOOKUP(H6,$B$27:$B$41,$C$27:$C$41,0)*K6,"")</f>
        <v/>
      </c>
      <c r="M6" s="151">
        <f>_xludf.IFNA(L6/_xlfn.XLOOKUP(H6,$B$27:$B$43,$F$27:$F$43,0),"")</f>
        <v/>
      </c>
      <c r="N6" s="151" t="n"/>
      <c r="O6" s="148">
        <f>_xludf.IFNA(_xlfn.XLOOKUP(H6,$B$27:$B$43,$E$27:$E$43),"")</f>
        <v/>
      </c>
      <c r="P6" s="44" t="n"/>
      <c r="R6" s="152" t="n"/>
      <c r="T6" s="153" t="n"/>
    </row>
    <row r="7">
      <c r="B7" s="146">
        <f>'00_SKU_Master'!B359</f>
        <v/>
      </c>
      <c r="C7" s="15" t="n"/>
      <c r="D7" s="15" t="n">
        <v>81</v>
      </c>
      <c r="E7" s="15" t="n"/>
      <c r="F7" s="15" t="n"/>
      <c r="G7" s="147" t="n"/>
      <c r="H7" s="148">
        <f>B7</f>
        <v/>
      </c>
      <c r="I7" s="149">
        <f>SUM(C7:F7)</f>
        <v/>
      </c>
      <c r="J7" s="148">
        <f>SUMIF('13_Progress_Track'!$A$2:$A$108,B7,'13_Progress_Track'!$E$2:$E$108)</f>
        <v/>
      </c>
      <c r="K7" s="150">
        <f>I7-J7</f>
        <v/>
      </c>
      <c r="L7" s="149">
        <f>_xludf.IFNA(_xlfn.XLOOKUP(H7,$B$27:$B$41,$C$27:$C$41,0)*K7,"")</f>
        <v/>
      </c>
      <c r="M7" s="151">
        <f>_xludf.IFNA(L7/_xlfn.XLOOKUP(H7,$B$27:$B$43,$F$27:$F$43,0),"")</f>
        <v/>
      </c>
      <c r="N7" s="151" t="n"/>
      <c r="O7" s="148">
        <f>_xludf.IFNA(_xlfn.XLOOKUP(H7,$B$27:$B$43,$E$27:$E$43),"")</f>
        <v/>
      </c>
      <c r="P7" s="44" t="n"/>
      <c r="R7" s="152" t="n"/>
      <c r="T7" s="153" t="n"/>
    </row>
    <row r="8">
      <c r="B8" s="146">
        <f>'00_SKU_Master'!B360</f>
        <v/>
      </c>
      <c r="C8" s="15" t="n"/>
      <c r="D8" s="15" t="n">
        <v>0</v>
      </c>
      <c r="E8" s="15" t="n"/>
      <c r="F8" s="15" t="n"/>
      <c r="G8" s="147" t="n"/>
      <c r="H8" s="148">
        <f>B8</f>
        <v/>
      </c>
      <c r="I8" s="149">
        <f>SUM(C8:F8)</f>
        <v/>
      </c>
      <c r="J8" s="148">
        <f>SUMIF('13_Progress_Track'!$A$2:$A$108,B8,'13_Progress_Track'!$E$2:$E$108)</f>
        <v/>
      </c>
      <c r="K8" s="150">
        <f>I8-J8</f>
        <v/>
      </c>
      <c r="L8" s="149">
        <f>_xludf.IFNA(_xlfn.XLOOKUP(H8,$B$27:$B$41,$C$27:$C$41,0)*K8,"")</f>
        <v/>
      </c>
      <c r="M8" s="151">
        <f>_xludf.IFNA(L8/_xlfn.XLOOKUP(H8,$B$27:$B$43,$F$27:$F$43,0),"")</f>
        <v/>
      </c>
      <c r="N8" s="151" t="n"/>
      <c r="O8" s="148">
        <f>_xludf.IFNA(_xlfn.XLOOKUP(H8,$B$27:$B$43,$E$27:$E$43),"")</f>
        <v/>
      </c>
      <c r="P8" s="44" t="n"/>
      <c r="R8" s="152" t="n"/>
      <c r="T8" s="153" t="n"/>
    </row>
    <row r="9">
      <c r="B9" s="146">
        <f>'00_SKU_Master'!B361</f>
        <v/>
      </c>
      <c r="C9" s="15" t="n"/>
      <c r="D9" s="15" t="n">
        <v>0</v>
      </c>
      <c r="E9" s="15" t="n"/>
      <c r="F9" s="15" t="n"/>
      <c r="G9" s="147" t="n"/>
      <c r="H9" s="148">
        <f>B9</f>
        <v/>
      </c>
      <c r="I9" s="149">
        <f>SUM(C9:F9)</f>
        <v/>
      </c>
      <c r="J9" s="148">
        <f>SUMIF('13_Progress_Track'!$A$2:$A$108,B9,'13_Progress_Track'!$E$2:$E$108)</f>
        <v/>
      </c>
      <c r="K9" s="150">
        <f>I9-J9</f>
        <v/>
      </c>
      <c r="L9" s="149">
        <f>_xludf.IFNA(_xlfn.XLOOKUP(H9,$B$27:$B$41,$C$27:$C$41,0)*K9,"")</f>
        <v/>
      </c>
      <c r="M9" s="151">
        <f>_xludf.IFNA(L9/_xlfn.XLOOKUP(H9,$B$27:$B$43,$F$27:$F$43,0),"")</f>
        <v/>
      </c>
      <c r="N9" s="151" t="n"/>
      <c r="O9" s="148">
        <f>_xludf.IFNA(_xlfn.XLOOKUP(H9,$B$27:$B$43,$E$27:$E$43),"")</f>
        <v/>
      </c>
      <c r="P9" s="44" t="n"/>
      <c r="R9" s="152" t="n"/>
    </row>
    <row r="10">
      <c r="B10" s="146">
        <f>'00_SKU_Master'!B362</f>
        <v/>
      </c>
      <c r="C10" s="15" t="n"/>
      <c r="D10" s="15" t="n">
        <v>34</v>
      </c>
      <c r="E10" s="15" t="n"/>
      <c r="F10" s="15" t="n"/>
      <c r="G10" s="147" t="n"/>
      <c r="H10" s="148">
        <f>B10</f>
        <v/>
      </c>
      <c r="I10" s="149">
        <f>SUM(C10:F10)</f>
        <v/>
      </c>
      <c r="J10" s="148">
        <f>SUMIF('13_Progress_Track'!$A$2:$A$108,B10,'13_Progress_Track'!$E$2:$E$108)</f>
        <v/>
      </c>
      <c r="K10" s="150">
        <f>I10-J10</f>
        <v/>
      </c>
      <c r="L10" s="149">
        <f>_xludf.IFNA(_xlfn.XLOOKUP(H10,$B$27:$B$41,$C$27:$C$41,0)*K10,"")</f>
        <v/>
      </c>
      <c r="M10" s="151">
        <f>_xludf.IFNA(L10/_xlfn.XLOOKUP(H10,$B$27:$B$43,$F$27:$F$43,0),"")</f>
        <v/>
      </c>
      <c r="N10" s="151" t="n"/>
      <c r="O10" s="148">
        <f>_xludf.IFNA(_xlfn.XLOOKUP(H10,$B$27:$B$43,$E$27:$E$43),"")</f>
        <v/>
      </c>
      <c r="P10" s="44" t="n"/>
      <c r="R10" s="152" t="n"/>
    </row>
    <row r="11">
      <c r="B11" s="146">
        <f>'00_SKU_Master'!B363</f>
        <v/>
      </c>
      <c r="C11" s="15" t="n"/>
      <c r="D11" s="15" t="n">
        <v>-11</v>
      </c>
      <c r="E11" s="15" t="n"/>
      <c r="F11" s="15" t="n"/>
      <c r="G11" s="147" t="n"/>
      <c r="H11" s="148">
        <f>B11</f>
        <v/>
      </c>
      <c r="I11" s="149">
        <f>SUM(C11:F11)</f>
        <v/>
      </c>
      <c r="J11" s="148">
        <f>SUMIF('13_Progress_Track'!$A$2:$A$108,B11,'13_Progress_Track'!$E$2:$E$108)</f>
        <v/>
      </c>
      <c r="K11" s="150">
        <f>I11-J11</f>
        <v/>
      </c>
      <c r="L11" s="149">
        <f>_xludf.IFNA(_xlfn.XLOOKUP(H11,$B$27:$B$41,$C$27:$C$41,0)*K11,"")</f>
        <v/>
      </c>
      <c r="M11" s="151">
        <f>_xludf.IFNA(L11/_xlfn.XLOOKUP(H11,$B$27:$B$43,$F$27:$F$43,0),"")</f>
        <v/>
      </c>
      <c r="N11" s="151" t="n"/>
      <c r="O11" s="148">
        <f>_xludf.IFNA(_xlfn.XLOOKUP(H11,$B$27:$B$43,$E$27:$E$43),"")</f>
        <v/>
      </c>
      <c r="P11" s="44" t="n"/>
      <c r="R11" s="152" t="n"/>
    </row>
    <row r="12">
      <c r="B12" s="146">
        <f>'00_SKU_Master'!B364</f>
        <v/>
      </c>
      <c r="C12" s="15" t="n"/>
      <c r="D12" s="15" t="n">
        <v>30</v>
      </c>
      <c r="E12" s="15" t="n"/>
      <c r="F12" s="15" t="n"/>
      <c r="G12" s="147" t="n"/>
      <c r="H12" s="148">
        <f>B12</f>
        <v/>
      </c>
      <c r="I12" s="149">
        <f>SUM(C12:F12)</f>
        <v/>
      </c>
      <c r="J12" s="148">
        <f>SUMIF('13_Progress_Track'!$A$2:$A$108,B12,'13_Progress_Track'!$E$2:$E$108)</f>
        <v/>
      </c>
      <c r="K12" s="150">
        <f>I12-J12</f>
        <v/>
      </c>
      <c r="L12" s="149">
        <f>_xludf.IFNA(_xlfn.XLOOKUP(H12,$B$27:$B$41,$C$27:$C$41,0)*K12,"")</f>
        <v/>
      </c>
      <c r="M12" s="151">
        <f>_xludf.IFNA(L12/_xlfn.XLOOKUP(H12,$B$27:$B$43,$F$27:$F$43,0),"")</f>
        <v/>
      </c>
      <c r="N12" s="151" t="n"/>
      <c r="O12" s="148">
        <f>_xludf.IFNA(_xlfn.XLOOKUP(H12,$B$27:$B$43,$E$27:$E$43),"")</f>
        <v/>
      </c>
      <c r="P12" s="44" t="n"/>
      <c r="R12" s="152" t="n"/>
    </row>
    <row r="13">
      <c r="B13" s="146">
        <f>'00_SKU_Master'!B365</f>
        <v/>
      </c>
      <c r="C13" s="15" t="n"/>
      <c r="D13" s="15" t="n">
        <v>0</v>
      </c>
      <c r="E13" s="15" t="n"/>
      <c r="F13" s="15" t="n"/>
      <c r="G13" s="147" t="n"/>
      <c r="H13" s="148">
        <f>B13</f>
        <v/>
      </c>
      <c r="I13" s="149">
        <f>SUM(C13:F13)</f>
        <v/>
      </c>
      <c r="J13" s="148">
        <f>SUMIF('13_Progress_Track'!$A$2:$A$108,B13,'13_Progress_Track'!$E$2:$E$108)</f>
        <v/>
      </c>
      <c r="K13" s="150">
        <f>I13-J13</f>
        <v/>
      </c>
      <c r="L13" s="149">
        <f>_xludf.IFNA(_xlfn.XLOOKUP(H13,$B$27:$B$41,$C$27:$C$41,0)*K13,"")</f>
        <v/>
      </c>
      <c r="M13" s="151">
        <f>_xludf.IFNA(L13/_xlfn.XLOOKUP(H13,$B$27:$B$43,$F$27:$F$43,0),"")</f>
        <v/>
      </c>
      <c r="N13" s="151" t="n"/>
      <c r="O13" s="148">
        <f>_xludf.IFNA(_xlfn.XLOOKUP(H13,$B$27:$B$43,$E$27:$E$43),"")</f>
        <v/>
      </c>
      <c r="P13" s="44" t="n"/>
      <c r="R13" s="152" t="n"/>
    </row>
    <row r="14">
      <c r="B14" s="146">
        <f>'00_SKU_Master'!B366</f>
        <v/>
      </c>
      <c r="C14" s="15" t="n"/>
      <c r="D14" s="15" t="n"/>
      <c r="E14" s="15" t="n"/>
      <c r="F14" s="15" t="n"/>
      <c r="G14" s="147" t="n"/>
      <c r="H14" s="148">
        <f>B14</f>
        <v/>
      </c>
      <c r="I14" s="149">
        <f>SUM(C14:F14)</f>
        <v/>
      </c>
      <c r="J14" s="148">
        <f>SUMIF('13_Progress_Track'!$A$2:$A$108,B14,'13_Progress_Track'!$E$2:$E$108)</f>
        <v/>
      </c>
      <c r="K14" s="150">
        <f>I14-J14</f>
        <v/>
      </c>
      <c r="L14" s="149">
        <f>_xludf.IFNA(_xlfn.XLOOKUP(H14,$B$27:$B$41,$C$27:$C$41,0)*K14,"")</f>
        <v/>
      </c>
      <c r="M14" s="151">
        <f>_xludf.IFNA(L14/_xlfn.XLOOKUP(H14,$B$27:$B$43,$F$27:$F$43,0),"")</f>
        <v/>
      </c>
      <c r="N14" s="151" t="n"/>
      <c r="O14" s="148">
        <f>_xludf.IFNA(_xlfn.XLOOKUP(H14,$B$27:$B$43,$E$27:$E$43),"")</f>
        <v/>
      </c>
      <c r="P14" s="44" t="n"/>
      <c r="R14" s="152" t="n"/>
    </row>
    <row r="15">
      <c r="B15" s="146">
        <f>'00_SKU_Master'!B367</f>
        <v/>
      </c>
      <c r="C15" s="15" t="n"/>
      <c r="D15" s="15" t="n"/>
      <c r="E15" s="15" t="n"/>
      <c r="F15" s="15" t="n"/>
      <c r="G15" s="147" t="n"/>
      <c r="H15" s="148">
        <f>B15</f>
        <v/>
      </c>
      <c r="I15" s="149">
        <f>SUM(C15:F15)</f>
        <v/>
      </c>
      <c r="J15" s="148">
        <f>SUMIF('13_Progress_Track'!$A$2:$A$108,B15,'13_Progress_Track'!$E$2:$E$108)</f>
        <v/>
      </c>
      <c r="K15" s="150">
        <f>I15-J15</f>
        <v/>
      </c>
      <c r="L15" s="149">
        <f>_xludf.IFNA(_xlfn.XLOOKUP(H15,$B$27:$B$41,$C$27:$C$41,0)*K15,"")</f>
        <v/>
      </c>
      <c r="M15" s="151">
        <f>_xludf.IFNA(L15/_xlfn.XLOOKUP(H15,$B$27:$B$43,$F$27:$F$43,0),"")</f>
        <v/>
      </c>
      <c r="N15" s="151" t="n"/>
      <c r="O15" s="148">
        <f>_xludf.IFNA(_xlfn.XLOOKUP(H15,$B$27:$B$43,$E$27:$E$43),"")</f>
        <v/>
      </c>
      <c r="P15" s="44" t="n"/>
      <c r="R15" s="152" t="n"/>
    </row>
    <row r="16">
      <c r="B16" s="146">
        <f>'00_SKU_Master'!B368</f>
        <v/>
      </c>
      <c r="C16" s="15" t="n"/>
      <c r="D16" s="15" t="n"/>
      <c r="E16" s="15" t="n"/>
      <c r="F16" s="15" t="n"/>
      <c r="G16" s="147" t="n"/>
      <c r="H16" s="148">
        <f>B16</f>
        <v/>
      </c>
      <c r="I16" s="149">
        <f>SUM(C16:F16)</f>
        <v/>
      </c>
      <c r="J16" s="148">
        <f>SUMIF('13_Progress_Track'!$A$2:$A$108,B16,'13_Progress_Track'!$E$2:$E$108)</f>
        <v/>
      </c>
      <c r="K16" s="150">
        <f>I16-J16</f>
        <v/>
      </c>
      <c r="L16" s="149">
        <f>_xludf.IFNA(_xlfn.XLOOKUP(H16,$B$27:$B$41,$C$27:$C$41,0)*K16,"")</f>
        <v/>
      </c>
      <c r="M16" s="151">
        <f>_xludf.IFNA(L16/_xlfn.XLOOKUP(H16,$B$27:$B$43,$F$27:$F$43,0),"")</f>
        <v/>
      </c>
      <c r="N16" s="151" t="n"/>
      <c r="O16" s="148">
        <f>_xludf.IFNA(_xlfn.XLOOKUP(H16,$B$27:$B$43,$E$27:$E$43),"")</f>
        <v/>
      </c>
      <c r="P16" s="44" t="n"/>
      <c r="R16" s="152" t="n"/>
    </row>
    <row r="17">
      <c r="B17" s="146">
        <f>'00_SKU_Master'!B369</f>
        <v/>
      </c>
      <c r="C17" s="15" t="n"/>
      <c r="D17" s="15" t="n"/>
      <c r="E17" s="15" t="n"/>
      <c r="F17" s="15" t="n"/>
      <c r="G17" s="147" t="n"/>
      <c r="H17" s="148">
        <f>B17</f>
        <v/>
      </c>
      <c r="I17" s="149">
        <f>SUM(C17:F17)</f>
        <v/>
      </c>
      <c r="J17" s="148">
        <f>SUMIF('13_Progress_Track'!$A$2:$A$108,B17,'13_Progress_Track'!$E$2:$E$108)</f>
        <v/>
      </c>
      <c r="K17" s="150">
        <f>I17-J17</f>
        <v/>
      </c>
      <c r="L17" s="149">
        <f>_xludf.IFNA(_xlfn.XLOOKUP(H17,$B$27:$B$41,$C$27:$C$41,0)*K17,"")</f>
        <v/>
      </c>
      <c r="M17" s="151">
        <f>_xludf.IFNA(L17/_xlfn.XLOOKUP(H17,$B$27:$B$43,$F$27:$F$43,0),"")</f>
        <v/>
      </c>
      <c r="N17" s="151" t="n"/>
      <c r="O17" s="148">
        <f>_xludf.IFNA(_xlfn.XLOOKUP(H17,$B$27:$B$43,$E$27:$E$43),"")</f>
        <v/>
      </c>
      <c r="P17" s="44" t="n"/>
      <c r="R17" s="152" t="n"/>
    </row>
    <row r="18">
      <c r="B18" s="146">
        <f>'00_SKU_Master'!B370</f>
        <v/>
      </c>
      <c r="C18" s="15" t="n"/>
      <c r="D18" s="15" t="n"/>
      <c r="E18" s="15" t="n"/>
      <c r="F18" s="15" t="n"/>
      <c r="G18" s="154" t="n"/>
      <c r="H18" s="148">
        <f>B18</f>
        <v/>
      </c>
      <c r="I18" s="149">
        <f>SUM(C18:F18)</f>
        <v/>
      </c>
      <c r="J18" s="148">
        <f>SUMIF('13_Progress_Track'!$A$2:$A$108,B18,'13_Progress_Track'!$E$2:$E$108)</f>
        <v/>
      </c>
      <c r="K18" s="150">
        <f>I18-J18</f>
        <v/>
      </c>
      <c r="L18" s="149">
        <f>_xludf.IFNA(_xlfn.XLOOKUP(H18,$B$27:$B$41,$C$27:$C$41,0)*K18,"")</f>
        <v/>
      </c>
      <c r="M18" s="151">
        <f>_xludf.IFNA(L18/_xlfn.XLOOKUP(H18,$B$27:$B$43,$F$27:$F$43,0),"")</f>
        <v/>
      </c>
      <c r="N18" s="151" t="n"/>
      <c r="O18" s="148">
        <f>_xludf.IFNA(_xlfn.XLOOKUP(H18,$B$27:$B$43,$E$27:$E$43),"")</f>
        <v/>
      </c>
      <c r="P18" s="44" t="n"/>
      <c r="R18" s="152" t="n"/>
    </row>
    <row r="19">
      <c r="B19" s="146">
        <f>'00_SKU_Master'!B371</f>
        <v/>
      </c>
      <c r="C19" s="15" t="n"/>
      <c r="D19" s="15" t="n"/>
      <c r="E19" s="15" t="n"/>
      <c r="F19" s="15" t="n"/>
      <c r="G19" s="154" t="n"/>
      <c r="H19" s="148">
        <f>B19</f>
        <v/>
      </c>
      <c r="I19" s="149">
        <f>SUM(C19:F19)</f>
        <v/>
      </c>
      <c r="J19" s="148">
        <f>SUMIF('13_Progress_Track'!$A$2:$A$108,B19,'13_Progress_Track'!$E$2:$E$108)</f>
        <v/>
      </c>
      <c r="K19" s="150">
        <f>I19-J19</f>
        <v/>
      </c>
      <c r="L19" s="149">
        <f>_xludf.IFNA(_xlfn.XLOOKUP(H19,$B$27:$B$41,$C$27:$C$41,0)*K19,"")</f>
        <v/>
      </c>
      <c r="M19" s="151">
        <f>_xludf.IFNA(L19/_xlfn.XLOOKUP(H19,$B$27:$B$43,$F$27:$F$43,0),"")</f>
        <v/>
      </c>
      <c r="N19" s="151" t="n"/>
      <c r="O19" s="148">
        <f>_xludf.IFNA(_xlfn.XLOOKUP(H19,$B$27:$B$43,$E$27:$E$43),"")</f>
        <v/>
      </c>
      <c r="P19" s="44" t="n"/>
      <c r="R19" s="152" t="n"/>
    </row>
    <row r="20">
      <c r="B20" s="146">
        <f>'00_SKU_Master'!B372</f>
        <v/>
      </c>
      <c r="C20" s="15" t="n"/>
      <c r="D20" s="15" t="n"/>
      <c r="E20" s="15" t="n"/>
      <c r="F20" s="15" t="n"/>
      <c r="G20" s="154" t="n"/>
      <c r="H20" s="148">
        <f>B20</f>
        <v/>
      </c>
      <c r="I20" s="149">
        <f>SUM(C20:F20)</f>
        <v/>
      </c>
      <c r="J20" s="148">
        <f>SUMIF('13_Progress_Track'!$A$2:$A$108,B20,'13_Progress_Track'!$E$2:$E$108)</f>
        <v/>
      </c>
      <c r="K20" s="150">
        <f>I20-J20</f>
        <v/>
      </c>
      <c r="L20" s="149">
        <f>_xludf.IFNA(_xlfn.XLOOKUP(H20,$B$27:$B$41,$C$27:$C$41,0)*K20,"")</f>
        <v/>
      </c>
      <c r="M20" s="151">
        <f>_xludf.IFNA(L20/_xlfn.XLOOKUP(H20,$B$27:$B$43,$F$27:$F$43,0),"")</f>
        <v/>
      </c>
      <c r="N20" s="151" t="n"/>
      <c r="O20" s="148">
        <f>_xludf.IFNA(_xlfn.XLOOKUP(H20,$B$27:$B$43,$E$27:$E$43),"")</f>
        <v/>
      </c>
      <c r="P20" s="44" t="n"/>
      <c r="R20" s="152" t="n"/>
    </row>
    <row r="21">
      <c r="B21" s="146">
        <f>'00_SKU_Master'!B373</f>
        <v/>
      </c>
      <c r="C21" s="15" t="n"/>
      <c r="D21" s="15" t="n"/>
      <c r="E21" s="15" t="n"/>
      <c r="F21" s="15" t="n"/>
      <c r="G21" s="155" t="n"/>
      <c r="H21" s="148">
        <f>B21</f>
        <v/>
      </c>
      <c r="I21" s="149">
        <f>SUM(C21:F21)</f>
        <v/>
      </c>
      <c r="J21" s="148">
        <f>SUMIF('13_Progress_Track'!$A$2:$A$108,B21,'13_Progress_Track'!$E$2:$E$108)</f>
        <v/>
      </c>
      <c r="K21" s="150">
        <f>I21-J21</f>
        <v/>
      </c>
      <c r="L21" s="149">
        <f>_xludf.IFNA(_xlfn.XLOOKUP(H21,$B$27:$B$41,$C$27:$C$41,0)*K21,"")</f>
        <v/>
      </c>
      <c r="M21" s="151">
        <f>_xludf.IFNA(L21/_xlfn.XLOOKUP(H21,$B$27:$B$43,$F$27:$F$43,0),"")</f>
        <v/>
      </c>
      <c r="N21" s="151" t="n"/>
      <c r="O21" s="148">
        <f>_xludf.IFNA(_xlfn.XLOOKUP(H21,$B$27:$B$43,$E$27:$E$43),"")</f>
        <v/>
      </c>
      <c r="P21" s="44" t="n"/>
      <c r="R21" s="152" t="n"/>
    </row>
    <row r="22">
      <c r="B22" s="146">
        <f>'00_SKU_Master'!B374</f>
        <v/>
      </c>
      <c r="C22" s="15" t="n"/>
      <c r="D22" s="15" t="n"/>
      <c r="E22" s="15" t="n"/>
      <c r="F22" s="15" t="n"/>
      <c r="G22" s="155" t="n"/>
      <c r="H22" s="148">
        <f>B22</f>
        <v/>
      </c>
      <c r="I22" s="149">
        <f>SUM(C22:F22)</f>
        <v/>
      </c>
      <c r="J22" s="148">
        <f>SUMIF('13_Progress_Track'!$A$2:$A$108,B22,'13_Progress_Track'!$E$2:$E$108)</f>
        <v/>
      </c>
      <c r="K22" s="150">
        <f>I22-J22</f>
        <v/>
      </c>
      <c r="L22" s="149">
        <f>_xludf.IFNA(_xlfn.XLOOKUP(H22,$B$27:$B$41,$C$27:$C$41,0)*K22,"")</f>
        <v/>
      </c>
      <c r="M22" s="151">
        <f>_xludf.IFNA(L22/_xlfn.XLOOKUP(H22,$B$27:$B$43,$F$27:$F$43,0),"")</f>
        <v/>
      </c>
      <c r="N22" s="151" t="n"/>
      <c r="O22" s="148">
        <f>_xludf.IFNA(_xlfn.XLOOKUP(H22,$B$27:$B$43,$E$27:$E$43),"")</f>
        <v/>
      </c>
      <c r="P22" s="44" t="n"/>
      <c r="R22" s="152" t="n"/>
    </row>
    <row r="23">
      <c r="B23" s="146" t="n"/>
      <c r="C23" s="15" t="n"/>
      <c r="D23" s="15" t="n"/>
      <c r="E23" s="15" t="n"/>
      <c r="F23" s="15" t="n"/>
      <c r="G23" s="155" t="n"/>
      <c r="H23" s="148" t="n"/>
      <c r="I23" s="149" t="n"/>
      <c r="J23" s="148" t="n"/>
      <c r="K23" s="150" t="n"/>
      <c r="L23" s="149" t="n"/>
      <c r="M23" s="151">
        <f>_xludf.IFNA(L23/_xlfn.XLOOKUP(H23,$B$27:$B$43,$F$27:$F$43,0),"")</f>
        <v/>
      </c>
      <c r="N23" s="151" t="n"/>
      <c r="O23" s="148">
        <f>_xludf.IFNA(_xlfn.XLOOKUP(H23,$B$27:$B$43,$E$27:$E$43),"")</f>
        <v/>
      </c>
      <c r="P23" s="44" t="n"/>
      <c r="Q23" s="4" t="n"/>
      <c r="R23" s="152" t="n"/>
    </row>
    <row r="24">
      <c r="B24" s="146" t="n"/>
      <c r="C24" s="148" t="n"/>
      <c r="D24" s="148" t="n"/>
      <c r="E24" s="148" t="n"/>
      <c r="F24" s="148" t="n"/>
      <c r="G24" s="155" t="n"/>
      <c r="H24" s="148" t="n"/>
      <c r="I24" s="148" t="n"/>
      <c r="J24" s="148" t="n"/>
      <c r="K24" s="148" t="n"/>
      <c r="L24" s="149" t="n"/>
      <c r="M24" s="148" t="n"/>
      <c r="N24" s="151" t="n"/>
      <c r="O24" s="148" t="n"/>
      <c r="P24" s="44" t="n"/>
      <c r="Q24" s="4" t="n"/>
      <c r="R24" s="33" t="n"/>
    </row>
    <row r="25">
      <c r="B25" s="146" t="n"/>
      <c r="C25" s="14" t="n"/>
      <c r="D25" s="148" t="n"/>
      <c r="E25" s="14" t="n"/>
      <c r="F25" s="14" t="n"/>
      <c r="G25" s="50" t="n"/>
      <c r="H25" s="148" t="n"/>
      <c r="I25" s="148" t="n"/>
      <c r="J25" s="148" t="n"/>
      <c r="K25" s="148" t="n"/>
      <c r="L25" s="149" t="n"/>
      <c r="M25" s="14" t="n"/>
      <c r="N25" s="151" t="n"/>
      <c r="O25" s="148" t="n"/>
      <c r="P25" s="44" t="n"/>
      <c r="Q25" s="4" t="n"/>
      <c r="R25" s="33" t="n"/>
    </row>
    <row r="26">
      <c r="B26" s="155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Q26" s="22" t="inlineStr">
        <is>
          <t>Request</t>
        </is>
      </c>
    </row>
    <row r="27">
      <c r="B27" s="156" t="n">
        <v>2050</v>
      </c>
      <c r="C27" s="157" t="n">
        <v>11.33334516415262</v>
      </c>
      <c r="D27" s="158" t="n">
        <v>0.46</v>
      </c>
      <c r="E27" s="14" t="n">
        <v>61062</v>
      </c>
      <c r="F27" s="14" t="n">
        <v>600</v>
      </c>
      <c r="I27" t="inlineStr">
        <is>
          <t xml:space="preserve">Inventory </t>
        </is>
      </c>
      <c r="J27" s="14" t="n">
        <v>61062</v>
      </c>
      <c r="K27" s="14" t="n"/>
      <c r="L27" s="159" t="n">
        <v>1151</v>
      </c>
      <c r="O27" s="15" t="n">
        <v>61062</v>
      </c>
      <c r="P27" s="160">
        <f>SUMIF($O$5:$O$25,O27,$L$5:$L$25)</f>
        <v/>
      </c>
      <c r="Q27" s="161">
        <f>P27-L27</f>
        <v/>
      </c>
      <c r="R27" s="162">
        <f>Q27/_xlfn.XLOOKUP(O27,$E$27:$E$41,$F$27:$F$41)</f>
        <v/>
      </c>
      <c r="T27" s="153" t="n"/>
    </row>
    <row r="28">
      <c r="B28" s="156" t="n">
        <v>2051</v>
      </c>
      <c r="C28" s="157" t="n">
        <v>10.94522547770701</v>
      </c>
      <c r="D28" s="158" t="n">
        <v>0.14</v>
      </c>
      <c r="E28" s="14" t="n">
        <v>61073</v>
      </c>
      <c r="F28" s="14" t="n">
        <v>800</v>
      </c>
      <c r="J28" s="14" t="n">
        <v>61073</v>
      </c>
      <c r="K28" s="40" t="n"/>
      <c r="L28" s="159" t="n">
        <v>2266</v>
      </c>
      <c r="O28" s="15" t="n">
        <v>61073</v>
      </c>
      <c r="P28" s="160">
        <f>SUMIF($O$5:$O$25,O28,$L$5:$L$25)</f>
        <v/>
      </c>
      <c r="Q28" s="161">
        <f>P28-L28</f>
        <v/>
      </c>
      <c r="R28" s="162">
        <f>Q28/_xlfn.XLOOKUP(O28,$E$27:$E$41,$F$27:$F$41)</f>
        <v/>
      </c>
    </row>
    <row r="29">
      <c r="B29" s="156" t="n">
        <v>2051</v>
      </c>
      <c r="C29" s="157" t="n">
        <v>10.6</v>
      </c>
      <c r="D29" s="158" t="n">
        <v>0.14</v>
      </c>
      <c r="E29" s="23" t="n">
        <v>61073</v>
      </c>
      <c r="F29" s="23" t="n">
        <v>800</v>
      </c>
      <c r="J29" s="14" t="n">
        <v>61018</v>
      </c>
      <c r="K29" s="40" t="n"/>
      <c r="L29" s="159" t="n">
        <v>788</v>
      </c>
      <c r="O29" s="15" t="n">
        <v>61018</v>
      </c>
      <c r="P29" s="160">
        <f>SUMIF($O$5:$O$25,O29,$L$5:$L$25)</f>
        <v/>
      </c>
      <c r="Q29" s="161">
        <f>P29-L29</f>
        <v/>
      </c>
      <c r="R29" s="162">
        <f>Q29/_xlfn.XLOOKUP(O29,$E$27:$E$41,$F$27:$F$41)</f>
        <v/>
      </c>
    </row>
    <row r="30">
      <c r="B30" s="156" t="n">
        <v>2081</v>
      </c>
      <c r="C30" s="157" t="n">
        <v>11.2445375</v>
      </c>
      <c r="D30" s="158" t="n">
        <v>0.105</v>
      </c>
      <c r="E30" s="23" t="n">
        <v>61018</v>
      </c>
      <c r="F30" s="23" t="n">
        <v>600</v>
      </c>
      <c r="J30" s="14" t="inlineStr">
        <is>
          <t>61014B</t>
        </is>
      </c>
      <c r="K30" s="14" t="n"/>
      <c r="L30" s="14" t="n"/>
      <c r="O30" s="163" t="inlineStr">
        <is>
          <t>61014B</t>
        </is>
      </c>
      <c r="P30" s="160">
        <f>SUMIF($O$5:$O$25,O30,$L$5:$L$25)</f>
        <v/>
      </c>
      <c r="Q30" s="161">
        <f>P30-L30</f>
        <v/>
      </c>
      <c r="R30" s="162">
        <f>P30/_xlfn.XLOOKUP(O30,$E$27:$E$41,$F$27:$F$41)</f>
        <v/>
      </c>
    </row>
    <row r="31">
      <c r="B31" s="156" t="n">
        <v>2112</v>
      </c>
      <c r="C31" s="157" t="n">
        <v>13.5</v>
      </c>
      <c r="D31" s="158" t="n">
        <v>0.46</v>
      </c>
      <c r="E31" s="14" t="n">
        <v>61062</v>
      </c>
      <c r="F31" s="14" t="n">
        <v>800</v>
      </c>
      <c r="J31" s="14" t="n">
        <v>200157</v>
      </c>
      <c r="K31" s="23" t="n"/>
      <c r="L31" s="14" t="n"/>
    </row>
    <row r="32">
      <c r="B32" s="156" t="n">
        <v>2511</v>
      </c>
      <c r="C32" s="157" t="n">
        <v>14</v>
      </c>
      <c r="D32" s="158" t="n">
        <v>0.095</v>
      </c>
      <c r="E32" s="14" t="inlineStr">
        <is>
          <t>61014B</t>
        </is>
      </c>
      <c r="F32" s="14" t="n">
        <v>600</v>
      </c>
      <c r="L32" s="50" t="n"/>
    </row>
    <row r="33">
      <c r="B33" s="156" t="n">
        <v>7011</v>
      </c>
      <c r="C33" s="157" t="n">
        <v>9.6</v>
      </c>
      <c r="D33" s="164" t="n"/>
      <c r="E33" s="23" t="inlineStr">
        <is>
          <t>W-Chicken</t>
        </is>
      </c>
      <c r="F33" s="23" t="n">
        <v>600</v>
      </c>
      <c r="J33" s="165" t="inlineStr">
        <is>
          <t>BSK</t>
        </is>
      </c>
      <c r="K33" s="23">
        <f>SUMIF(G5:G25,J33,D5:D25)</f>
        <v/>
      </c>
      <c r="L33" s="50" t="n"/>
    </row>
    <row r="34">
      <c r="B34" s="156" t="n">
        <v>7113</v>
      </c>
      <c r="C34" s="157" t="n">
        <v>12.853</v>
      </c>
      <c r="D34" s="158" t="n"/>
      <c r="E34" s="23" t="inlineStr">
        <is>
          <t>W-Chicken</t>
        </is>
      </c>
      <c r="F34" s="23" t="n">
        <v>600</v>
      </c>
      <c r="J34" s="165" t="inlineStr">
        <is>
          <t>BOX</t>
        </is>
      </c>
      <c r="K34" s="23">
        <f>SUMIF(G5:G25,J34,D5:D25)</f>
        <v/>
      </c>
      <c r="L34" s="50" t="n"/>
    </row>
    <row r="35">
      <c r="B35" s="156" t="n">
        <v>7301</v>
      </c>
      <c r="C35" s="157" t="n">
        <v>12.6</v>
      </c>
      <c r="D35" s="164" t="n">
        <v>0.46</v>
      </c>
      <c r="E35" s="23" t="n">
        <v>61062</v>
      </c>
      <c r="F35" s="23" t="n">
        <v>800</v>
      </c>
      <c r="L35" s="50" t="n"/>
    </row>
    <row r="36">
      <c r="B36" s="156" t="n">
        <v>200182</v>
      </c>
      <c r="C36" s="157" t="n">
        <v>9.930222222222223</v>
      </c>
      <c r="D36" s="164" t="n">
        <v>0.105</v>
      </c>
      <c r="E36" s="23" t="n">
        <v>61018</v>
      </c>
      <c r="F36" s="23" t="n">
        <v>600</v>
      </c>
    </row>
    <row r="37">
      <c r="B37" s="156" t="n">
        <v>200183</v>
      </c>
      <c r="C37" s="166" t="n">
        <v>9.092663934426231</v>
      </c>
      <c r="D37" s="164" t="n">
        <v>0.46</v>
      </c>
      <c r="E37" s="23" t="n">
        <v>61062</v>
      </c>
      <c r="F37" s="23" t="n">
        <v>800</v>
      </c>
      <c r="O37" s="167" t="n"/>
      <c r="P37" s="167" t="n"/>
    </row>
    <row r="38">
      <c r="B38" s="156" t="n">
        <v>200184</v>
      </c>
      <c r="C38" s="166" t="n">
        <v>8.982093023255814</v>
      </c>
      <c r="D38" s="164" t="n">
        <v>0.14</v>
      </c>
      <c r="E38" s="23" t="n">
        <v>61073</v>
      </c>
      <c r="F38" s="23" t="n">
        <v>800</v>
      </c>
      <c r="O38" s="167" t="n"/>
      <c r="P38" s="167" t="n"/>
    </row>
    <row r="39">
      <c r="B39" s="156" t="n">
        <v>207526</v>
      </c>
      <c r="C39" s="166" t="n">
        <v>12</v>
      </c>
      <c r="D39" s="164" t="n">
        <v>0.46</v>
      </c>
      <c r="E39" s="23" t="n">
        <v>61062</v>
      </c>
      <c r="F39" s="23" t="n">
        <v>800</v>
      </c>
      <c r="O39" s="167" t="n"/>
      <c r="P39" s="167" t="n"/>
    </row>
    <row r="40">
      <c r="B40" s="156" t="n">
        <v>207527</v>
      </c>
      <c r="C40" s="166" t="n">
        <v>12</v>
      </c>
      <c r="D40" s="164" t="n">
        <v>0.46</v>
      </c>
      <c r="E40" s="23" t="n">
        <v>61062</v>
      </c>
      <c r="F40" s="23" t="n">
        <v>800</v>
      </c>
      <c r="P40" s="167" t="n"/>
    </row>
    <row r="41">
      <c r="B41" s="168" t="n">
        <v>2513</v>
      </c>
      <c r="C41" s="169" t="n"/>
      <c r="D41" s="170" t="n"/>
      <c r="E41" s="171" t="n"/>
      <c r="F41" s="171" t="n"/>
      <c r="P41" s="167" t="n"/>
    </row>
    <row r="42">
      <c r="P42" s="167" t="n"/>
    </row>
    <row r="43">
      <c r="O43" s="167" t="n"/>
      <c r="P43" s="1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8"/>
  <sheetViews>
    <sheetView topLeftCell="A57" workbookViewId="0">
      <selection activeCell="K170" sqref="K170"/>
    </sheetView>
  </sheetViews>
  <sheetFormatPr baseColWidth="8" defaultRowHeight="14.5"/>
  <cols>
    <col width="39.7265625" customWidth="1" min="1" max="1"/>
    <col width="9.54296875" customWidth="1" min="2" max="2"/>
    <col width="9.54296875" customWidth="1" min="9" max="9"/>
    <col width="9.54296875" customWidth="1" min="12" max="12"/>
    <col width="10.08984375" customWidth="1" min="14" max="14"/>
    <col width="15.26953125" customWidth="1" min="15" max="15"/>
    <col width="8.54296875" customWidth="1" min="16" max="16"/>
  </cols>
  <sheetData>
    <row r="1" ht="52" customHeight="1">
      <c r="A1" s="172" t="inlineStr">
        <is>
          <t>Description</t>
        </is>
      </c>
      <c r="B1" s="172" t="inlineStr">
        <is>
          <t>SKU</t>
        </is>
      </c>
      <c r="C1" s="172" t="inlineStr">
        <is>
          <t>Cases Ordered - Orginal</t>
        </is>
      </c>
      <c r="D1" s="172" t="inlineStr">
        <is>
          <t>Cases Added On</t>
        </is>
      </c>
      <c r="E1" s="172" t="inlineStr">
        <is>
          <t xml:space="preserve">Cases Completed </t>
        </is>
      </c>
      <c r="F1" s="172" t="inlineStr">
        <is>
          <t>Extra Cases Produced</t>
        </is>
      </c>
      <c r="G1" s="172" t="inlineStr">
        <is>
          <t>Cases Remaining</t>
        </is>
      </c>
      <c r="H1" s="172" t="inlineStr">
        <is>
          <t>Tray/box</t>
        </is>
      </c>
      <c r="I1" s="173" t="inlineStr">
        <is>
          <t>Don’t change</t>
        </is>
      </c>
      <c r="J1" s="172" t="inlineStr">
        <is>
          <t>Tray/Min</t>
        </is>
      </c>
      <c r="K1" s="172" t="inlineStr">
        <is>
          <t>Speed</t>
        </is>
      </c>
      <c r="L1" s="172" t="inlineStr">
        <is>
          <t>Category</t>
        </is>
      </c>
      <c r="M1" s="172" t="inlineStr">
        <is>
          <t>Today's Order</t>
        </is>
      </c>
      <c r="N1" s="174" t="n"/>
    </row>
    <row r="2">
      <c r="A2" s="148">
        <f>'00_SKU_Master'!J94</f>
        <v/>
      </c>
      <c r="B2" s="148">
        <f>'00_SKU_Master'!B94</f>
        <v/>
      </c>
      <c r="C2" s="175">
        <f>_xlfn.XLOOKUP(B3,'02_TrayPack_Order'!$A$2:$A$264,'02_TrayPack_Order'!$C$2:$C$264)</f>
        <v/>
      </c>
      <c r="D2" s="176">
        <f>_xlfn.XLOOKUP(B3,'02_TrayPack_Order'!$A$2:$A$264,'02_TrayPack_Order'!$L$2:$L$264,0)</f>
        <v/>
      </c>
      <c r="E2" s="175">
        <f>SUMIF('13_Progress_Track'!$A$2:$A$108,B3,'13_Progress_Track'!$E$2:$E$108)</f>
        <v/>
      </c>
      <c r="F2" s="175">
        <f>IF(E3&gt;(C3+D3),(E3-(C3+D3)),0)</f>
        <v/>
      </c>
      <c r="G2" s="177">
        <f>IF(F3&gt;0,0,C3+D3-E3)</f>
        <v/>
      </c>
      <c r="H2" s="148">
        <f>_xludf.IFNA(_xlfn.XLOOKUP(B3,'00_SKU_Master'!$B$2:$B$378,'00_SKU_Master'!$C$2:$C$378),"")</f>
        <v/>
      </c>
      <c r="I2" s="148" t="n"/>
      <c r="J2" s="14">
        <f>_xludf.IFNA(_xlfn.XLOOKUP(B3,'00_SKU_Master'!B$2:B$378,'00_SKU_Master'!H$2:H$378,0),"")</f>
        <v/>
      </c>
      <c r="K2" s="14">
        <f>_xludf.IFNA(_xlfn.XLOOKUP(B3,'00_SKU_Master'!B$2:B$378,'00_SKU_Master'!K$2:K$378,0),"")</f>
        <v/>
      </c>
      <c r="L2" s="148">
        <f>_xlfn.XLOOKUP(B3,'00_SKU_Master'!$B$2:$B$378,'00_SKU_Master'!D:D)</f>
        <v/>
      </c>
      <c r="M2" s="148">
        <f>IF((C3-E3)&lt;0,0,C3-E3)</f>
        <v/>
      </c>
    </row>
    <row r="3">
      <c r="A3" s="148">
        <f>'00_SKU_Master'!J95</f>
        <v/>
      </c>
      <c r="B3" s="148">
        <f>'00_SKU_Master'!B95</f>
        <v/>
      </c>
      <c r="C3" s="175">
        <f>_xlfn.XLOOKUP(B4,'02_TrayPack_Order'!$A$2:$A$264,'02_TrayPack_Order'!$C$2:$C$264)</f>
        <v/>
      </c>
      <c r="D3" s="176">
        <f>_xlfn.XLOOKUP(B4,'02_TrayPack_Order'!$A$2:$A$264,'02_TrayPack_Order'!$L$2:$L$264,0)</f>
        <v/>
      </c>
      <c r="E3" s="175">
        <f>SUMIF('13_Progress_Track'!$A$2:$A$108,B4,'13_Progress_Track'!$E$2:$E$108)</f>
        <v/>
      </c>
      <c r="F3" s="175">
        <f>IF(E4&gt;(C4+D4),(E4-(C4+D4)),0)</f>
        <v/>
      </c>
      <c r="G3" s="177">
        <f>IF(F4&gt;0,0,C4+D4-E4)</f>
        <v/>
      </c>
      <c r="H3" s="148">
        <f>_xludf.IFNA(_xlfn.XLOOKUP(B4,'00_SKU_Master'!$B$2:$B$378,'00_SKU_Master'!$C$2:$C$378),"")</f>
        <v/>
      </c>
      <c r="I3" s="148" t="n"/>
      <c r="J3" s="14">
        <f>_xludf.IFNA(_xlfn.XLOOKUP(B4,'00_SKU_Master'!B$2:B$378,'00_SKU_Master'!H$2:H$378,0),"")</f>
        <v/>
      </c>
      <c r="K3" s="14">
        <f>_xludf.IFNA(_xlfn.XLOOKUP(B4,'00_SKU_Master'!B$2:B$378,'00_SKU_Master'!K$2:K$378,0),"")</f>
        <v/>
      </c>
      <c r="L3" s="148">
        <f>_xlfn.XLOOKUP(B4,'00_SKU_Master'!$B$2:$B$378,'00_SKU_Master'!D:D)</f>
        <v/>
      </c>
      <c r="M3" s="148">
        <f>IF((C4-E4)&lt;0,0,C4-E4)</f>
        <v/>
      </c>
    </row>
    <row r="4">
      <c r="A4" s="148">
        <f>'00_SKU_Master'!J96</f>
        <v/>
      </c>
      <c r="B4" s="148">
        <f>'00_SKU_Master'!B96</f>
        <v/>
      </c>
      <c r="C4" s="175">
        <f>_xlfn.XLOOKUP(B5,'02_TrayPack_Order'!$A$2:$A$264,'02_TrayPack_Order'!$C$2:$C$264)</f>
        <v/>
      </c>
      <c r="D4" s="176">
        <f>_xlfn.XLOOKUP(B5,'02_TrayPack_Order'!$A$2:$A$264,'02_TrayPack_Order'!$L$2:$L$264,0)</f>
        <v/>
      </c>
      <c r="E4" s="175">
        <f>SUMIF('13_Progress_Track'!$A$2:$A$108,B5,'13_Progress_Track'!$E$2:$E$108)</f>
        <v/>
      </c>
      <c r="F4" s="175">
        <f>IF(E5&gt;(C5+D5),(E5-(C5+D5)),0)</f>
        <v/>
      </c>
      <c r="G4" s="177">
        <f>IF(F5&gt;0,0,C5+D5-E5)</f>
        <v/>
      </c>
      <c r="H4" s="148">
        <f>_xludf.IFNA(_xlfn.XLOOKUP(B5,'00_SKU_Master'!$B$2:$B$378,'00_SKU_Master'!$C$2:$C$378),"")</f>
        <v/>
      </c>
      <c r="I4" s="148" t="n"/>
      <c r="J4" s="14">
        <f>_xludf.IFNA(_xlfn.XLOOKUP(B5,'00_SKU_Master'!B$2:B$378,'00_SKU_Master'!H$2:H$378,0),"")</f>
        <v/>
      </c>
      <c r="K4" s="14">
        <f>_xludf.IFNA(_xlfn.XLOOKUP(B5,'00_SKU_Master'!B$2:B$378,'00_SKU_Master'!K$2:K$378,0),"")</f>
        <v/>
      </c>
      <c r="L4" s="148">
        <f>_xlfn.XLOOKUP(B5,'00_SKU_Master'!$B$2:$B$378,'00_SKU_Master'!D:D)</f>
        <v/>
      </c>
      <c r="M4" s="148">
        <f>IF((C5-E5)&lt;0,0,C5-E5)</f>
        <v/>
      </c>
    </row>
    <row r="5">
      <c r="A5" s="148">
        <f>'00_SKU_Master'!J97</f>
        <v/>
      </c>
      <c r="B5" s="148">
        <f>'00_SKU_Master'!B97</f>
        <v/>
      </c>
      <c r="C5" s="175">
        <f>_xlfn.XLOOKUP(B6,'02_TrayPack_Order'!$A$2:$A$264,'02_TrayPack_Order'!$C$2:$C$264)</f>
        <v/>
      </c>
      <c r="D5" s="176">
        <f>_xlfn.XLOOKUP(B6,'02_TrayPack_Order'!$A$2:$A$264,'02_TrayPack_Order'!$L$2:$L$264,0)</f>
        <v/>
      </c>
      <c r="E5" s="175">
        <f>SUMIF('13_Progress_Track'!$A$2:$A$108,B6,'13_Progress_Track'!$E$2:$E$108)</f>
        <v/>
      </c>
      <c r="F5" s="175">
        <f>IF(E6&gt;(C6+D6),(E6-(C6+D6)),0)</f>
        <v/>
      </c>
      <c r="G5" s="177">
        <f>IF(F6&gt;0,0,C6+D6-E6)</f>
        <v/>
      </c>
      <c r="H5" s="148">
        <f>_xludf.IFNA(_xlfn.XLOOKUP(B6,'00_SKU_Master'!$B$2:$B$378,'00_SKU_Master'!$C$2:$C$378),"")</f>
        <v/>
      </c>
      <c r="I5" s="148" t="n"/>
      <c r="J5" s="14">
        <f>_xludf.IFNA(_xlfn.XLOOKUP(B6,'00_SKU_Master'!B$2:B$378,'00_SKU_Master'!H$2:H$378,0),"")</f>
        <v/>
      </c>
      <c r="K5" s="14">
        <f>_xludf.IFNA(_xlfn.XLOOKUP(B6,'00_SKU_Master'!B$2:B$378,'00_SKU_Master'!K$2:K$378,0),"")</f>
        <v/>
      </c>
      <c r="L5" s="148">
        <f>_xlfn.XLOOKUP(B6,'00_SKU_Master'!$B$2:$B$378,'00_SKU_Master'!D:D)</f>
        <v/>
      </c>
      <c r="M5" s="148">
        <f>IF((C6-E6)&lt;0,0,C6-E6)</f>
        <v/>
      </c>
    </row>
    <row r="6">
      <c r="A6" s="148">
        <f>'00_SKU_Master'!J98</f>
        <v/>
      </c>
      <c r="B6" s="148">
        <f>'00_SKU_Master'!B98</f>
        <v/>
      </c>
      <c r="C6" s="175">
        <f>_xlfn.XLOOKUP(B7,'02_TrayPack_Order'!$A$2:$A$264,'02_TrayPack_Order'!$C$2:$C$264)</f>
        <v/>
      </c>
      <c r="D6" s="176">
        <f>_xlfn.XLOOKUP(B7,'02_TrayPack_Order'!$A$2:$A$264,'02_TrayPack_Order'!$L$2:$L$264,0)</f>
        <v/>
      </c>
      <c r="E6" s="175">
        <f>SUMIF('13_Progress_Track'!$A$2:$A$108,B7,'13_Progress_Track'!$E$2:$E$108)</f>
        <v/>
      </c>
      <c r="F6" s="175">
        <f>IF(E7&gt;(C7+D7),(E7-(C7+D7)),0)</f>
        <v/>
      </c>
      <c r="G6" s="177">
        <f>IF(F7&gt;0,0,C7+D7-E7)</f>
        <v/>
      </c>
      <c r="H6" s="148">
        <f>_xludf.IFNA(_xlfn.XLOOKUP(B7,'00_SKU_Master'!$B$2:$B$378,'00_SKU_Master'!$C$2:$C$378),"")</f>
        <v/>
      </c>
      <c r="I6" s="148" t="n"/>
      <c r="J6" s="14">
        <f>_xludf.IFNA(_xlfn.XLOOKUP(B7,'00_SKU_Master'!B$2:B$378,'00_SKU_Master'!H$2:H$378,0),"")</f>
        <v/>
      </c>
      <c r="K6" s="14">
        <f>_xludf.IFNA(_xlfn.XLOOKUP(B7,'00_SKU_Master'!B$2:B$378,'00_SKU_Master'!K$2:K$378,0),"")</f>
        <v/>
      </c>
      <c r="L6" s="148">
        <f>_xlfn.XLOOKUP(B7,'00_SKU_Master'!$B$2:$B$378,'00_SKU_Master'!D:D)</f>
        <v/>
      </c>
      <c r="M6" s="148">
        <f>IF((C7-E7)&lt;0,0,C7-E7)</f>
        <v/>
      </c>
    </row>
    <row r="7">
      <c r="A7" s="148">
        <f>'00_SKU_Master'!J99</f>
        <v/>
      </c>
      <c r="B7" s="148">
        <f>'00_SKU_Master'!B99</f>
        <v/>
      </c>
      <c r="C7" s="175">
        <f>_xlfn.XLOOKUP(B8,'02_TrayPack_Order'!$A$2:$A$264,'02_TrayPack_Order'!$C$2:$C$264)</f>
        <v/>
      </c>
      <c r="D7" s="176">
        <f>_xlfn.XLOOKUP(B8,'02_TrayPack_Order'!$A$2:$A$264,'02_TrayPack_Order'!$L$2:$L$264,0)</f>
        <v/>
      </c>
      <c r="E7" s="175">
        <f>SUMIF('13_Progress_Track'!$A$2:$A$108,B8,'13_Progress_Track'!$E$2:$E$108)</f>
        <v/>
      </c>
      <c r="F7" s="175">
        <f>IF(E8&gt;(C8+D8),(E8-(C8+D8)),0)</f>
        <v/>
      </c>
      <c r="G7" s="177">
        <f>IF(F8&gt;0,0,C8+D8-E8)</f>
        <v/>
      </c>
      <c r="H7" s="148">
        <f>_xludf.IFNA(_xlfn.XLOOKUP(B8,'00_SKU_Master'!$B$2:$B$378,'00_SKU_Master'!$C$2:$C$378),"")</f>
        <v/>
      </c>
      <c r="I7" s="148" t="n"/>
      <c r="J7" s="14">
        <f>_xludf.IFNA(_xlfn.XLOOKUP(B8,'00_SKU_Master'!B$2:B$378,'00_SKU_Master'!H$2:H$378,0),"")</f>
        <v/>
      </c>
      <c r="K7" s="14">
        <f>_xludf.IFNA(_xlfn.XLOOKUP(B8,'00_SKU_Master'!B$2:B$378,'00_SKU_Master'!K$2:K$378,0),"")</f>
        <v/>
      </c>
      <c r="L7" s="148">
        <f>_xlfn.XLOOKUP(B8,'00_SKU_Master'!$B$2:$B$378,'00_SKU_Master'!D:D)</f>
        <v/>
      </c>
      <c r="M7" s="148">
        <f>IF((C8-E8)&lt;0,0,C8-E8)</f>
        <v/>
      </c>
    </row>
    <row r="8">
      <c r="A8" s="148">
        <f>'00_SKU_Master'!J100</f>
        <v/>
      </c>
      <c r="B8" s="148">
        <f>'00_SKU_Master'!B100</f>
        <v/>
      </c>
      <c r="C8" s="175">
        <f>_xlfn.XLOOKUP(B9,'02_TrayPack_Order'!$A$2:$A$264,'02_TrayPack_Order'!$C$2:$C$264)</f>
        <v/>
      </c>
      <c r="D8" s="176">
        <f>_xlfn.XLOOKUP(B9,'02_TrayPack_Order'!$A$2:$A$264,'02_TrayPack_Order'!$L$2:$L$264,0)</f>
        <v/>
      </c>
      <c r="E8" s="175">
        <f>SUMIF('13_Progress_Track'!$A$2:$A$108,B9,'13_Progress_Track'!$E$2:$E$108)</f>
        <v/>
      </c>
      <c r="F8" s="175">
        <f>IF(E9&gt;(C9+D9),(E9-(C9+D9)),0)</f>
        <v/>
      </c>
      <c r="G8" s="177">
        <f>IF(F9&gt;0,0,C9+D9-E9)</f>
        <v/>
      </c>
      <c r="H8" s="148">
        <f>_xludf.IFNA(_xlfn.XLOOKUP(B9,'00_SKU_Master'!$B$2:$B$378,'00_SKU_Master'!$C$2:$C$378),"")</f>
        <v/>
      </c>
      <c r="I8" s="148" t="n"/>
      <c r="J8" s="14">
        <f>_xludf.IFNA(_xlfn.XLOOKUP(B9,'00_SKU_Master'!B$2:B$378,'00_SKU_Master'!H$2:H$378,0),"")</f>
        <v/>
      </c>
      <c r="K8" s="14">
        <f>_xludf.IFNA(_xlfn.XLOOKUP(B9,'00_SKU_Master'!B$2:B$378,'00_SKU_Master'!K$2:K$378,0),"")</f>
        <v/>
      </c>
      <c r="L8" s="148">
        <f>_xlfn.XLOOKUP(B9,'00_SKU_Master'!$B$2:$B$378,'00_SKU_Master'!D:D)</f>
        <v/>
      </c>
      <c r="M8" s="148">
        <f>IF((C9-E9)&lt;0,0,C9-E9)</f>
        <v/>
      </c>
    </row>
    <row r="9">
      <c r="A9" s="148">
        <f>'00_SKU_Master'!J101</f>
        <v/>
      </c>
      <c r="B9" s="148">
        <f>'00_SKU_Master'!B101</f>
        <v/>
      </c>
      <c r="C9" s="175">
        <f>_xlfn.XLOOKUP(B10,'02_TrayPack_Order'!$A$2:$A$264,'02_TrayPack_Order'!$C$2:$C$264)</f>
        <v/>
      </c>
      <c r="D9" s="176">
        <f>_xlfn.XLOOKUP(B10,'02_TrayPack_Order'!$A$2:$A$264,'02_TrayPack_Order'!$L$2:$L$264,0)</f>
        <v/>
      </c>
      <c r="E9" s="175">
        <f>SUMIF('13_Progress_Track'!$A$2:$A$108,B10,'13_Progress_Track'!$E$2:$E$108)</f>
        <v/>
      </c>
      <c r="F9" s="175">
        <f>IF(E10&gt;(C10+D10),(E10-(C10+D10)),0)</f>
        <v/>
      </c>
      <c r="G9" s="177">
        <f>IF(F10&gt;0,0,C10+D10-E10)</f>
        <v/>
      </c>
      <c r="H9" s="148">
        <f>_xludf.IFNA(_xlfn.XLOOKUP(B10,'00_SKU_Master'!$B$2:$B$378,'00_SKU_Master'!$C$2:$C$378),"")</f>
        <v/>
      </c>
      <c r="I9" s="148" t="n"/>
      <c r="J9" s="14">
        <f>_xludf.IFNA(_xlfn.XLOOKUP(B10,'00_SKU_Master'!B$2:B$378,'00_SKU_Master'!H$2:H$378,0),"")</f>
        <v/>
      </c>
      <c r="K9" s="14">
        <f>_xludf.IFNA(_xlfn.XLOOKUP(B10,'00_SKU_Master'!B$2:B$378,'00_SKU_Master'!K$2:K$378,0),"")</f>
        <v/>
      </c>
      <c r="L9" s="148">
        <f>_xlfn.XLOOKUP(B10,'00_SKU_Master'!$B$2:$B$378,'00_SKU_Master'!D:D)</f>
        <v/>
      </c>
      <c r="M9" s="148">
        <f>IF((C10-E10)&lt;0,0,C10-E10)</f>
        <v/>
      </c>
    </row>
    <row r="10">
      <c r="A10" s="148">
        <f>'00_SKU_Master'!J102</f>
        <v/>
      </c>
      <c r="B10" s="148">
        <f>'00_SKU_Master'!B102</f>
        <v/>
      </c>
      <c r="C10" s="175">
        <f>_xlfn.XLOOKUP(B11,'02_TrayPack_Order'!$A$2:$A$264,'02_TrayPack_Order'!$C$2:$C$264)</f>
        <v/>
      </c>
      <c r="D10" s="176">
        <f>_xlfn.XLOOKUP(B11,'02_TrayPack_Order'!$A$2:$A$264,'02_TrayPack_Order'!$L$2:$L$264,0)</f>
        <v/>
      </c>
      <c r="E10" s="175">
        <f>SUMIF('13_Progress_Track'!$A$2:$A$108,B11,'13_Progress_Track'!$E$2:$E$108)</f>
        <v/>
      </c>
      <c r="F10" s="175">
        <f>IF(E11&gt;(C11+D11),(E11-(C11+D11)),0)</f>
        <v/>
      </c>
      <c r="G10" s="177">
        <f>IF(F11&gt;0,0,C11+D11-E11)</f>
        <v/>
      </c>
      <c r="H10" s="148">
        <f>_xludf.IFNA(_xlfn.XLOOKUP(B11,'00_SKU_Master'!$B$2:$B$378,'00_SKU_Master'!$C$2:$C$378),"")</f>
        <v/>
      </c>
      <c r="I10" s="148" t="n"/>
      <c r="J10" s="14">
        <f>_xludf.IFNA(_xlfn.XLOOKUP(B11,'00_SKU_Master'!B$2:B$378,'00_SKU_Master'!H$2:H$378,0),"")</f>
        <v/>
      </c>
      <c r="K10" s="14">
        <f>_xludf.IFNA(_xlfn.XLOOKUP(B11,'00_SKU_Master'!B$2:B$378,'00_SKU_Master'!K$2:K$378,0),"")</f>
        <v/>
      </c>
      <c r="L10" s="148">
        <f>_xlfn.XLOOKUP(B11,'00_SKU_Master'!$B$2:$B$378,'00_SKU_Master'!D:D)</f>
        <v/>
      </c>
      <c r="M10" s="148">
        <f>IF((C11-E11)&lt;0,0,C11-E11)</f>
        <v/>
      </c>
    </row>
    <row r="11">
      <c r="A11" s="148">
        <f>'00_SKU_Master'!J103</f>
        <v/>
      </c>
      <c r="B11" s="148">
        <f>'00_SKU_Master'!B103</f>
        <v/>
      </c>
      <c r="C11" s="175">
        <f>_xlfn.XLOOKUP(B12,'02_TrayPack_Order'!$A$2:$A$264,'02_TrayPack_Order'!$C$2:$C$264)</f>
        <v/>
      </c>
      <c r="D11" s="176">
        <f>_xlfn.XLOOKUP(B12,'02_TrayPack_Order'!$A$2:$A$264,'02_TrayPack_Order'!$L$2:$L$264,0)</f>
        <v/>
      </c>
      <c r="E11" s="175">
        <f>SUMIF('13_Progress_Track'!$A$2:$A$108,B12,'13_Progress_Track'!$E$2:$E$108)</f>
        <v/>
      </c>
      <c r="F11" s="175">
        <f>IF(E12&gt;(C12+D12),(E12-(C12+D12)),0)</f>
        <v/>
      </c>
      <c r="G11" s="177">
        <f>IF(F12&gt;0,0,C12+D12-E12)</f>
        <v/>
      </c>
      <c r="H11" s="148">
        <f>_xludf.IFNA(_xlfn.XLOOKUP(B12,'00_SKU_Master'!$B$2:$B$378,'00_SKU_Master'!$C$2:$C$378),"")</f>
        <v/>
      </c>
      <c r="I11" s="148" t="n"/>
      <c r="J11" s="14">
        <f>_xlfn.SINGLE(_xlfn.IFNA(_xlfn.XLOOKUP(B12,'00_SKU_Master'!B$2:B$378,'00_SKU_Master'!H$2:H$378,0),""))</f>
        <v/>
      </c>
      <c r="K11" s="14">
        <f>_xludf.IFNA(_xlfn.XLOOKUP(B12,'00_SKU_Master'!B$2:B$378,'00_SKU_Master'!K$2:K$378,0),"")</f>
        <v/>
      </c>
      <c r="L11" s="148">
        <f>_xlfn.XLOOKUP(B12,'00_SKU_Master'!$B$2:$B$378,'00_SKU_Master'!D:D)</f>
        <v/>
      </c>
      <c r="M11" s="148">
        <f>IF((C12-E12)&lt;0,0,C12-E12)</f>
        <v/>
      </c>
    </row>
    <row r="12">
      <c r="A12" s="148">
        <f>'00_SKU_Master'!J104</f>
        <v/>
      </c>
      <c r="B12" s="148">
        <f>'00_SKU_Master'!B104</f>
        <v/>
      </c>
      <c r="C12" s="175">
        <f>_xlfn.XLOOKUP(B13,'02_TrayPack_Order'!$A$2:$A$264,'02_TrayPack_Order'!$C$2:$C$264)</f>
        <v/>
      </c>
      <c r="D12" s="176">
        <f>_xlfn.XLOOKUP(B13,'02_TrayPack_Order'!$A$2:$A$264,'02_TrayPack_Order'!$L$2:$L$264,0)</f>
        <v/>
      </c>
      <c r="E12" s="175">
        <f>SUMIF('13_Progress_Track'!$A$2:$A$108,B13,'13_Progress_Track'!$E$2:$E$108)</f>
        <v/>
      </c>
      <c r="F12" s="175">
        <f>IF(E13&gt;(C13+D13),(E13-(C13+D13)),0)</f>
        <v/>
      </c>
      <c r="G12" s="177">
        <f>IF(F13&gt;0,0,C13+D13-E13)</f>
        <v/>
      </c>
      <c r="H12" s="148">
        <f>_xludf.IFNA(_xlfn.XLOOKUP(B13,'00_SKU_Master'!$B$2:$B$378,'00_SKU_Master'!$C$2:$C$378),"")</f>
        <v/>
      </c>
      <c r="I12" s="148" t="n"/>
      <c r="J12" s="14">
        <f>_xludf.IFNA(_xlfn.XLOOKUP(B13,'00_SKU_Master'!B$2:B$378,'00_SKU_Master'!H$2:H$378,0),"")</f>
        <v/>
      </c>
      <c r="K12" s="14">
        <f>_xludf.IFNA(_xlfn.XLOOKUP(B13,'00_SKU_Master'!B$2:B$378,'00_SKU_Master'!K$2:K$378,0),"")</f>
        <v/>
      </c>
      <c r="L12" s="148">
        <f>_xlfn.XLOOKUP(B13,'00_SKU_Master'!$B$2:$B$378,'00_SKU_Master'!D:D)</f>
        <v/>
      </c>
      <c r="M12" s="148">
        <f>IF((C13-E13)&lt;0,0,C13-E13)</f>
        <v/>
      </c>
    </row>
    <row r="13">
      <c r="A13" s="148">
        <f>'00_SKU_Master'!J105</f>
        <v/>
      </c>
      <c r="B13" s="148">
        <f>'00_SKU_Master'!B105</f>
        <v/>
      </c>
      <c r="C13" s="175">
        <f>_xlfn.XLOOKUP(B14,'02_TrayPack_Order'!$A$2:$A$264,'02_TrayPack_Order'!$C$2:$C$264)</f>
        <v/>
      </c>
      <c r="D13" s="176">
        <f>_xlfn.XLOOKUP(B14,'02_TrayPack_Order'!$A$2:$A$264,'02_TrayPack_Order'!$L$2:$L$264,0)</f>
        <v/>
      </c>
      <c r="E13" s="175">
        <f>SUMIF('13_Progress_Track'!$A$2:$A$108,B14,'13_Progress_Track'!$E$2:$E$108)</f>
        <v/>
      </c>
      <c r="F13" s="175">
        <f>IF(E14&gt;(C14+D14),(E14-(C14+D14)),0)</f>
        <v/>
      </c>
      <c r="G13" s="177">
        <f>IF(F14&gt;0,0,C14+D14-E14)</f>
        <v/>
      </c>
      <c r="H13" s="148">
        <f>_xludf.IFNA(_xlfn.XLOOKUP(B14,'00_SKU_Master'!$B$2:$B$378,'00_SKU_Master'!$C$2:$C$378),"")</f>
        <v/>
      </c>
      <c r="I13" s="148" t="n"/>
      <c r="J13" s="14">
        <f>_xludf.IFNA(_xlfn.XLOOKUP(B14,'00_SKU_Master'!B$2:B$378,'00_SKU_Master'!H$2:H$378,0),"")</f>
        <v/>
      </c>
      <c r="K13" s="14">
        <f>_xludf.IFNA(_xlfn.XLOOKUP(B14,'00_SKU_Master'!B$2:B$378,'00_SKU_Master'!K$2:K$378,0),"")</f>
        <v/>
      </c>
      <c r="L13" s="148">
        <f>_xlfn.XLOOKUP(B14,'00_SKU_Master'!$B$2:$B$378,'00_SKU_Master'!D:D)</f>
        <v/>
      </c>
      <c r="M13" s="148">
        <f>IF((C14-E14)&lt;0,0,C14-E14)</f>
        <v/>
      </c>
    </row>
    <row r="14">
      <c r="A14" s="148">
        <f>'00_SKU_Master'!J106</f>
        <v/>
      </c>
      <c r="B14" s="148">
        <f>'00_SKU_Master'!B106</f>
        <v/>
      </c>
      <c r="C14" s="175">
        <f>_xlfn.XLOOKUP(B15,'02_TrayPack_Order'!$A$2:$A$264,'02_TrayPack_Order'!$C$2:$C$264)</f>
        <v/>
      </c>
      <c r="D14" s="176">
        <f>_xlfn.XLOOKUP(B15,'02_TrayPack_Order'!$A$2:$A$264,'02_TrayPack_Order'!$L$2:$L$264,0)</f>
        <v/>
      </c>
      <c r="E14" s="175">
        <f>SUMIF('13_Progress_Track'!$A$2:$A$108,B15,'13_Progress_Track'!$E$2:$E$108)</f>
        <v/>
      </c>
      <c r="F14" s="175">
        <f>IF(E15&gt;(C15+D15),(E15-(C15+D15)),0)</f>
        <v/>
      </c>
      <c r="G14" s="177">
        <f>IF(F15&gt;0,0,C15+D15-E15)</f>
        <v/>
      </c>
      <c r="H14" s="148">
        <f>_xludf.IFNA(_xlfn.XLOOKUP(B15,'00_SKU_Master'!$B$2:$B$378,'00_SKU_Master'!$C$2:$C$378),"")</f>
        <v/>
      </c>
      <c r="I14" s="148" t="n"/>
      <c r="J14" s="14">
        <f>_xludf.IFNA(_xlfn.XLOOKUP(B15,'00_SKU_Master'!B$2:B$378,'00_SKU_Master'!H$2:H$378,0),"")</f>
        <v/>
      </c>
      <c r="K14" s="14">
        <f>_xludf.IFNA(_xlfn.XLOOKUP(B15,'00_SKU_Master'!B$2:B$378,'00_SKU_Master'!K$2:K$378,0),"")</f>
        <v/>
      </c>
      <c r="L14" s="148">
        <f>_xlfn.XLOOKUP(B15,'00_SKU_Master'!$B$2:$B$378,'00_SKU_Master'!D:D)</f>
        <v/>
      </c>
      <c r="M14" s="148">
        <f>IF((C15-E15)&lt;0,0,C15-E15)</f>
        <v/>
      </c>
    </row>
    <row r="15">
      <c r="A15" s="148">
        <f>'00_SKU_Master'!J107</f>
        <v/>
      </c>
      <c r="B15" s="148">
        <f>'00_SKU_Master'!B107</f>
        <v/>
      </c>
      <c r="C15" s="175">
        <f>_xlfn.XLOOKUP(B16,'02_TrayPack_Order'!$A$2:$A$264,'02_TrayPack_Order'!$C$2:$C$264)</f>
        <v/>
      </c>
      <c r="D15" s="176">
        <f>_xlfn.XLOOKUP(B16,'02_TrayPack_Order'!$A$2:$A$264,'02_TrayPack_Order'!$L$2:$L$264,0)</f>
        <v/>
      </c>
      <c r="E15" s="175">
        <f>SUMIF('13_Progress_Track'!$A$2:$A$108,B16,'13_Progress_Track'!$E$2:$E$108)</f>
        <v/>
      </c>
      <c r="F15" s="175">
        <f>IF(E16&gt;(C16+D16),(E16-(C16+D16)),0)</f>
        <v/>
      </c>
      <c r="G15" s="177">
        <f>IF(F16&gt;0,0,C16+D16-E16)</f>
        <v/>
      </c>
      <c r="H15" s="148">
        <f>_xludf.IFNA(_xlfn.XLOOKUP(B16,'00_SKU_Master'!$B$2:$B$378,'00_SKU_Master'!$C$2:$C$378),"")</f>
        <v/>
      </c>
      <c r="I15" s="148" t="n"/>
      <c r="J15" s="14">
        <f>_xludf.IFNA(_xlfn.XLOOKUP(B16,'00_SKU_Master'!B$2:B$378,'00_SKU_Master'!H$2:H$378,0),"")</f>
        <v/>
      </c>
      <c r="K15" s="14">
        <f>_xludf.IFNA(_xlfn.XLOOKUP(B16,'00_SKU_Master'!B$2:B$378,'00_SKU_Master'!K$2:K$378,0),"")</f>
        <v/>
      </c>
      <c r="L15" s="148">
        <f>_xlfn.XLOOKUP(B16,'00_SKU_Master'!$B$2:$B$378,'00_SKU_Master'!D:D)</f>
        <v/>
      </c>
      <c r="M15" s="148">
        <f>IF((C16-E16)&lt;0,0,C16-E16)</f>
        <v/>
      </c>
    </row>
    <row r="16">
      <c r="A16" s="148">
        <f>'00_SKU_Master'!J108</f>
        <v/>
      </c>
      <c r="B16" s="148">
        <f>'00_SKU_Master'!B108</f>
        <v/>
      </c>
      <c r="C16" s="175">
        <f>_xlfn.XLOOKUP(B17,'02_TrayPack_Order'!$A$2:$A$264,'02_TrayPack_Order'!$C$2:$C$264)</f>
        <v/>
      </c>
      <c r="D16" s="176">
        <f>_xlfn.XLOOKUP(B17,'02_TrayPack_Order'!$A$2:$A$264,'02_TrayPack_Order'!$L$2:$L$264,0)</f>
        <v/>
      </c>
      <c r="E16" s="175">
        <f>SUMIF('13_Progress_Track'!$A$2:$A$108,B17,'13_Progress_Track'!$E$2:$E$108)</f>
        <v/>
      </c>
      <c r="F16" s="175">
        <f>IF(E17&gt;(C17+D17),(E17-(C17+D17)),0)</f>
        <v/>
      </c>
      <c r="G16" s="177">
        <f>IF(F17&gt;0,0,C17+D17-E17)</f>
        <v/>
      </c>
      <c r="H16" s="148">
        <f>_xludf.IFNA(_xlfn.XLOOKUP(B17,'00_SKU_Master'!$B$2:$B$378,'00_SKU_Master'!$C$2:$C$378),"")</f>
        <v/>
      </c>
      <c r="I16" s="148" t="n"/>
      <c r="J16" s="14">
        <f>_xludf.IFNA(_xlfn.XLOOKUP(B17,'00_SKU_Master'!B$2:B$378,'00_SKU_Master'!H$2:H$378,0),"")</f>
        <v/>
      </c>
      <c r="K16" s="14">
        <f>_xludf.IFNA(_xlfn.XLOOKUP(B17,'00_SKU_Master'!B$2:B$378,'00_SKU_Master'!K$2:K$378,0),"")</f>
        <v/>
      </c>
      <c r="L16" s="148">
        <f>_xlfn.XLOOKUP(B17,'00_SKU_Master'!$B$2:$B$378,'00_SKU_Master'!D:D)</f>
        <v/>
      </c>
      <c r="M16" s="148">
        <f>IF((C17-E17)&lt;0,0,C17-E17)</f>
        <v/>
      </c>
    </row>
    <row r="17">
      <c r="A17" s="148">
        <f>'00_SKU_Master'!J109</f>
        <v/>
      </c>
      <c r="B17" s="148">
        <f>'00_SKU_Master'!B109</f>
        <v/>
      </c>
      <c r="C17" s="175">
        <f>_xlfn.XLOOKUP(B18,'02_TrayPack_Order'!$A$2:$A$264,'02_TrayPack_Order'!$C$2:$C$264)</f>
        <v/>
      </c>
      <c r="D17" s="176">
        <f>_xlfn.XLOOKUP(B18,'02_TrayPack_Order'!$A$2:$A$264,'02_TrayPack_Order'!$L$2:$L$264,0)</f>
        <v/>
      </c>
      <c r="E17" s="175">
        <f>SUMIF('13_Progress_Track'!$A$2:$A$108,B18,'13_Progress_Track'!$E$2:$E$108)</f>
        <v/>
      </c>
      <c r="F17" s="175">
        <f>IF(E18&gt;(C18+D18),(E18-(C18+D18)),0)</f>
        <v/>
      </c>
      <c r="G17" s="177">
        <f>IF(F18&gt;0,0,C18+D18-E18)</f>
        <v/>
      </c>
      <c r="H17" s="148">
        <f>_xludf.IFNA(_xlfn.XLOOKUP(B18,'00_SKU_Master'!$B$2:$B$378,'00_SKU_Master'!$C$2:$C$378),"")</f>
        <v/>
      </c>
      <c r="I17" s="148" t="n"/>
      <c r="J17" s="14">
        <f>_xludf.IFNA(_xlfn.XLOOKUP(B18,'00_SKU_Master'!B$2:B$378,'00_SKU_Master'!H$2:H$378,0),"")</f>
        <v/>
      </c>
      <c r="K17" s="14">
        <f>_xludf.IFNA(_xlfn.XLOOKUP(B18,'00_SKU_Master'!B$2:B$378,'00_SKU_Master'!K$2:K$378,0),"")</f>
        <v/>
      </c>
      <c r="L17" s="148">
        <f>_xlfn.XLOOKUP(B18,'00_SKU_Master'!$B$2:$B$378,'00_SKU_Master'!D:D)</f>
        <v/>
      </c>
      <c r="M17" s="148">
        <f>IF((C18-E18)&lt;0,0,C18-E18)</f>
        <v/>
      </c>
    </row>
    <row r="18">
      <c r="A18" s="148">
        <f>'00_SKU_Master'!J110</f>
        <v/>
      </c>
      <c r="B18" s="148">
        <f>'00_SKU_Master'!B110</f>
        <v/>
      </c>
      <c r="C18" s="175">
        <f>_xlfn.XLOOKUP(B19,'02_TrayPack_Order'!$A$2:$A$264,'02_TrayPack_Order'!$C$2:$C$264)</f>
        <v/>
      </c>
      <c r="D18" s="176">
        <f>_xlfn.XLOOKUP(B19,'02_TrayPack_Order'!$A$2:$A$264,'02_TrayPack_Order'!$L$2:$L$264,0)</f>
        <v/>
      </c>
      <c r="E18" s="175">
        <f>SUMIF('13_Progress_Track'!$A$2:$A$108,B19,'13_Progress_Track'!$E$2:$E$108)</f>
        <v/>
      </c>
      <c r="F18" s="175">
        <f>IF(E19&gt;(C19+D19),(E19-(C19+D19)),0)</f>
        <v/>
      </c>
      <c r="G18" s="177">
        <f>IF(F19&gt;0,0,C19+D19-E19)</f>
        <v/>
      </c>
      <c r="H18" s="148">
        <f>_xludf.IFNA(_xlfn.XLOOKUP(B19,'00_SKU_Master'!$B$2:$B$378,'00_SKU_Master'!$C$2:$C$378),"")</f>
        <v/>
      </c>
      <c r="I18" s="148" t="n"/>
      <c r="J18" s="14">
        <f>_xludf.IFNA(_xlfn.XLOOKUP(B19,'00_SKU_Master'!B$2:B$378,'00_SKU_Master'!H$2:H$378,0),"")</f>
        <v/>
      </c>
      <c r="K18" s="14">
        <f>_xludf.IFNA(_xlfn.XLOOKUP(B19,'00_SKU_Master'!B$2:B$378,'00_SKU_Master'!K$2:K$378,0),"")</f>
        <v/>
      </c>
      <c r="L18" s="148">
        <f>_xlfn.XLOOKUP(B19,'00_SKU_Master'!$B$2:$B$378,'00_SKU_Master'!D:D)</f>
        <v/>
      </c>
      <c r="M18" s="148">
        <f>IF((C19-E19)&lt;0,0,C19-E19)</f>
        <v/>
      </c>
    </row>
    <row r="19">
      <c r="A19" s="148">
        <f>'00_SKU_Master'!J111</f>
        <v/>
      </c>
      <c r="B19" s="148">
        <f>'00_SKU_Master'!B111</f>
        <v/>
      </c>
      <c r="C19" s="175">
        <f>_xlfn.XLOOKUP(B20,'02_TrayPack_Order'!$A$2:$A$264,'02_TrayPack_Order'!$C$2:$C$264)</f>
        <v/>
      </c>
      <c r="D19" s="176">
        <f>_xlfn.XLOOKUP(B20,'02_TrayPack_Order'!$A$2:$A$264,'02_TrayPack_Order'!$L$2:$L$264,0)</f>
        <v/>
      </c>
      <c r="E19" s="175">
        <f>SUMIF('13_Progress_Track'!$A$2:$A$108,B20,'13_Progress_Track'!$E$2:$E$108)</f>
        <v/>
      </c>
      <c r="F19" s="175">
        <f>IF(E20&gt;(C20+D20),(E20-(C20+D20)),0)</f>
        <v/>
      </c>
      <c r="G19" s="177">
        <f>IF(F20&gt;0,0,C20+D20-E20)</f>
        <v/>
      </c>
      <c r="H19" s="148">
        <f>_xludf.IFNA(_xlfn.XLOOKUP(B20,'00_SKU_Master'!$B$2:$B$378,'00_SKU_Master'!$C$2:$C$378),"")</f>
        <v/>
      </c>
      <c r="I19" s="148" t="n"/>
      <c r="J19" s="14">
        <f>_xludf.IFNA(_xlfn.XLOOKUP(B20,'00_SKU_Master'!B$2:B$378,'00_SKU_Master'!H$2:H$378,0),"")</f>
        <v/>
      </c>
      <c r="K19" s="14">
        <f>_xludf.IFNA(_xlfn.XLOOKUP(B20,'00_SKU_Master'!B$2:B$378,'00_SKU_Master'!K$2:K$378,0),"")</f>
        <v/>
      </c>
      <c r="L19" s="148">
        <f>_xlfn.XLOOKUP(B20,'00_SKU_Master'!$B$2:$B$378,'00_SKU_Master'!D:D)</f>
        <v/>
      </c>
      <c r="M19" s="148">
        <f>IF((C20-E20)&lt;0,0,C20-E20)</f>
        <v/>
      </c>
    </row>
    <row r="20">
      <c r="A20" s="148">
        <f>'00_SKU_Master'!J112</f>
        <v/>
      </c>
      <c r="B20" s="148">
        <f>'00_SKU_Master'!B112</f>
        <v/>
      </c>
      <c r="C20" s="175">
        <f>_xlfn.XLOOKUP(B21,'02_TrayPack_Order'!$A$2:$A$264,'02_TrayPack_Order'!$C$2:$C$264)</f>
        <v/>
      </c>
      <c r="D20" s="176">
        <f>_xlfn.XLOOKUP(B21,'02_TrayPack_Order'!$A$2:$A$264,'02_TrayPack_Order'!$L$2:$L$264,0)</f>
        <v/>
      </c>
      <c r="E20" s="175">
        <f>SUMIF('13_Progress_Track'!$A$2:$A$108,B21,'13_Progress_Track'!$E$2:$E$108)</f>
        <v/>
      </c>
      <c r="F20" s="175">
        <f>IF(E21&gt;(C21+D21),(E21-(C21+D21)),0)</f>
        <v/>
      </c>
      <c r="G20" s="177">
        <f>IF(F21&gt;0,0,C21+D21-E21)</f>
        <v/>
      </c>
      <c r="H20" s="148">
        <f>_xludf.IFNA(_xlfn.XLOOKUP(B21,'00_SKU_Master'!$B$2:$B$378,'00_SKU_Master'!$C$2:$C$378),"")</f>
        <v/>
      </c>
      <c r="I20" s="148" t="n"/>
      <c r="J20" s="14">
        <f>_xludf.IFNA(_xlfn.XLOOKUP(B21,'00_SKU_Master'!B$2:B$378,'00_SKU_Master'!H$2:H$378,0),"")</f>
        <v/>
      </c>
      <c r="K20" s="14">
        <f>_xludf.IFNA(_xlfn.XLOOKUP(B21,'00_SKU_Master'!B$2:B$378,'00_SKU_Master'!K$2:K$378,0),"")</f>
        <v/>
      </c>
      <c r="L20" s="148">
        <f>_xlfn.XLOOKUP(B21,'00_SKU_Master'!$B$2:$B$378,'00_SKU_Master'!D:D)</f>
        <v/>
      </c>
      <c r="M20" s="148">
        <f>IF((C21-E21)&lt;0,0,C21-E21)</f>
        <v/>
      </c>
    </row>
    <row r="21">
      <c r="A21" s="148">
        <f>'00_SKU_Master'!J113</f>
        <v/>
      </c>
      <c r="B21" s="148">
        <f>'00_SKU_Master'!B113</f>
        <v/>
      </c>
      <c r="C21" s="175">
        <f>_xlfn.XLOOKUP(B22,'02_TrayPack_Order'!$A$2:$A$264,'02_TrayPack_Order'!$C$2:$C$264)</f>
        <v/>
      </c>
      <c r="D21" s="176">
        <f>_xlfn.XLOOKUP(B22,'02_TrayPack_Order'!$A$2:$A$264,'02_TrayPack_Order'!$L$2:$L$264,0)</f>
        <v/>
      </c>
      <c r="E21" s="175">
        <f>SUMIF('13_Progress_Track'!$A$2:$A$108,B22,'13_Progress_Track'!$E$2:$E$108)</f>
        <v/>
      </c>
      <c r="F21" s="175">
        <f>IF(E22&gt;(C22+D22),(E22-(C22+D22)),0)</f>
        <v/>
      </c>
      <c r="G21" s="177">
        <f>IF(F22&gt;0,0,C22+D22-E22)</f>
        <v/>
      </c>
      <c r="H21" s="148">
        <f>_xludf.IFNA(_xlfn.XLOOKUP(B22,'00_SKU_Master'!$B$2:$B$378,'00_SKU_Master'!$C$2:$C$378),"")</f>
        <v/>
      </c>
      <c r="I21" s="148" t="n"/>
      <c r="J21" s="14">
        <f>_xludf.IFNA(_xlfn.XLOOKUP(B22,'00_SKU_Master'!B$2:B$378,'00_SKU_Master'!H$2:H$378,0),"")</f>
        <v/>
      </c>
      <c r="K21" s="14">
        <f>_xludf.IFNA(_xlfn.XLOOKUP(B22,'00_SKU_Master'!B$2:B$378,'00_SKU_Master'!K$2:K$378,0),"")</f>
        <v/>
      </c>
      <c r="L21" s="148">
        <f>_xlfn.XLOOKUP(B22,'00_SKU_Master'!$B$2:$B$378,'00_SKU_Master'!D:D)</f>
        <v/>
      </c>
      <c r="M21" s="148">
        <f>IF((C22-E22)&lt;0,0,C22-E22)</f>
        <v/>
      </c>
    </row>
    <row r="22">
      <c r="A22" s="148">
        <f>'00_SKU_Master'!J114</f>
        <v/>
      </c>
      <c r="B22" s="148">
        <f>'00_SKU_Master'!B114</f>
        <v/>
      </c>
      <c r="C22" s="175">
        <f>_xlfn.XLOOKUP(B23,'02_TrayPack_Order'!$A$2:$A$264,'02_TrayPack_Order'!$C$2:$C$264)</f>
        <v/>
      </c>
      <c r="D22" s="176">
        <f>_xlfn.XLOOKUP(B23,'02_TrayPack_Order'!$A$2:$A$264,'02_TrayPack_Order'!$L$2:$L$264,0)</f>
        <v/>
      </c>
      <c r="E22" s="175">
        <f>SUMIF('13_Progress_Track'!$A$2:$A$108,B23,'13_Progress_Track'!$E$2:$E$108)</f>
        <v/>
      </c>
      <c r="F22" s="175">
        <f>IF(E23&gt;(C23+D23),(E23-(C23+D23)),0)</f>
        <v/>
      </c>
      <c r="G22" s="177">
        <f>IF(F23&gt;0,0,C23+D23-E23)</f>
        <v/>
      </c>
      <c r="H22" s="148">
        <f>_xludf.IFNA(_xlfn.XLOOKUP(B23,'00_SKU_Master'!$B$2:$B$378,'00_SKU_Master'!$C$2:$C$378),"")</f>
        <v/>
      </c>
      <c r="I22" s="148" t="n"/>
      <c r="J22" s="14">
        <f>_xludf.IFNA(_xlfn.XLOOKUP(B23,'00_SKU_Master'!B$2:B$378,'00_SKU_Master'!H$2:H$378,0),"")</f>
        <v/>
      </c>
      <c r="K22" s="14">
        <f>_xludf.IFNA(_xlfn.XLOOKUP(B23,'00_SKU_Master'!B$2:B$378,'00_SKU_Master'!K$2:K$378,0),"")</f>
        <v/>
      </c>
      <c r="L22" s="148">
        <f>_xlfn.XLOOKUP(B23,'00_SKU_Master'!$B$2:$B$378,'00_SKU_Master'!D:D)</f>
        <v/>
      </c>
      <c r="M22" s="148">
        <f>IF((C23-E23)&lt;0,0,C23-E23)</f>
        <v/>
      </c>
    </row>
    <row r="23">
      <c r="A23" s="148">
        <f>'00_SKU_Master'!J115</f>
        <v/>
      </c>
      <c r="B23" s="148">
        <f>'00_SKU_Master'!B115</f>
        <v/>
      </c>
      <c r="C23" s="175">
        <f>_xlfn.XLOOKUP(B24,'02_TrayPack_Order'!$A$2:$A$264,'02_TrayPack_Order'!$C$2:$C$264)</f>
        <v/>
      </c>
      <c r="D23" s="176">
        <f>_xlfn.XLOOKUP(B24,'02_TrayPack_Order'!$A$2:$A$264,'02_TrayPack_Order'!$L$2:$L$264,0)</f>
        <v/>
      </c>
      <c r="E23" s="175">
        <f>SUMIF('13_Progress_Track'!$A$2:$A$108,B24,'13_Progress_Track'!$E$2:$E$108)</f>
        <v/>
      </c>
      <c r="F23" s="175">
        <f>IF(E24&gt;(C24+D24),(E24-(C24+D24)),0)</f>
        <v/>
      </c>
      <c r="G23" s="177">
        <f>IF(F24&gt;0,0,C24+D24-E24)</f>
        <v/>
      </c>
      <c r="H23" s="148">
        <f>_xludf.IFNA(_xlfn.XLOOKUP(B24,'00_SKU_Master'!$B$2:$B$378,'00_SKU_Master'!$C$2:$C$378),"")</f>
        <v/>
      </c>
      <c r="I23" s="148" t="n"/>
      <c r="J23" s="14">
        <f>_xludf.IFNA(_xlfn.XLOOKUP(B24,'00_SKU_Master'!B$2:B$378,'00_SKU_Master'!H$2:H$378,0),"")</f>
        <v/>
      </c>
      <c r="K23" s="14">
        <f>_xludf.IFNA(_xlfn.XLOOKUP(B24,'00_SKU_Master'!B$2:B$378,'00_SKU_Master'!K$2:K$378,0),"")</f>
        <v/>
      </c>
      <c r="L23" s="148">
        <f>_xlfn.XLOOKUP(B24,'00_SKU_Master'!$B$2:$B$378,'00_SKU_Master'!D:D)</f>
        <v/>
      </c>
      <c r="M23" s="148">
        <f>IF((C24-E24)&lt;0,0,C24-E24)</f>
        <v/>
      </c>
    </row>
    <row r="24">
      <c r="A24" s="148">
        <f>'00_SKU_Master'!J116</f>
        <v/>
      </c>
      <c r="B24" s="148">
        <f>'00_SKU_Master'!B116</f>
        <v/>
      </c>
      <c r="C24" s="175">
        <f>_xlfn.XLOOKUP(B25,'02_TrayPack_Order'!$A$2:$A$264,'02_TrayPack_Order'!$C$2:$C$264)</f>
        <v/>
      </c>
      <c r="D24" s="176">
        <f>_xlfn.XLOOKUP(B25,'02_TrayPack_Order'!$A$2:$A$264,'02_TrayPack_Order'!$L$2:$L$264,0)</f>
        <v/>
      </c>
      <c r="E24" s="175">
        <f>SUMIF('13_Progress_Track'!$A$2:$A$108,B25,'13_Progress_Track'!$E$2:$E$108)</f>
        <v/>
      </c>
      <c r="F24" s="175">
        <f>IF(E25&gt;(C25+D25),(E25-(C25+D25)),0)</f>
        <v/>
      </c>
      <c r="G24" s="177">
        <f>IF(F25&gt;0,0,C25+D25-E25)</f>
        <v/>
      </c>
      <c r="H24" s="148">
        <f>_xludf.IFNA(_xlfn.XLOOKUP(B25,'00_SKU_Master'!$B$2:$B$378,'00_SKU_Master'!$C$2:$C$378),"")</f>
        <v/>
      </c>
      <c r="I24" s="148" t="n"/>
      <c r="J24" s="14">
        <f>_xludf.IFNA(_xlfn.XLOOKUP(B25,'00_SKU_Master'!B$2:B$378,'00_SKU_Master'!H$2:H$378,0),"")</f>
        <v/>
      </c>
      <c r="K24" s="14">
        <f>_xludf.IFNA(_xlfn.XLOOKUP(B25,'00_SKU_Master'!B$2:B$378,'00_SKU_Master'!K$2:K$378,0),"")</f>
        <v/>
      </c>
      <c r="L24" s="148">
        <f>_xlfn.XLOOKUP(B25,'00_SKU_Master'!$B$2:$B$378,'00_SKU_Master'!D:D)</f>
        <v/>
      </c>
      <c r="M24" s="148">
        <f>IF((C25-E25)&lt;0,0,C25-E25)</f>
        <v/>
      </c>
    </row>
    <row r="25">
      <c r="A25" s="148">
        <f>'00_SKU_Master'!J117</f>
        <v/>
      </c>
      <c r="B25" s="148">
        <f>'00_SKU_Master'!B117</f>
        <v/>
      </c>
      <c r="C25" s="175">
        <f>_xlfn.XLOOKUP(B26,'02_TrayPack_Order'!$A$2:$A$264,'02_TrayPack_Order'!$C$2:$C$264)</f>
        <v/>
      </c>
      <c r="D25" s="176">
        <f>_xlfn.XLOOKUP(B26,'02_TrayPack_Order'!$A$2:$A$264,'02_TrayPack_Order'!$L$2:$L$264,0)</f>
        <v/>
      </c>
      <c r="E25" s="175">
        <f>SUMIF('13_Progress_Track'!$A$2:$A$108,B26,'13_Progress_Track'!$E$2:$E$108)</f>
        <v/>
      </c>
      <c r="F25" s="175">
        <f>IF(E26&gt;(C26+D26),(E26-(C26+D26)),0)</f>
        <v/>
      </c>
      <c r="G25" s="177">
        <f>IF(F26&gt;0,0,C26+D26-E26)</f>
        <v/>
      </c>
      <c r="H25" s="148">
        <f>_xludf.IFNA(_xlfn.XLOOKUP(B26,'00_SKU_Master'!$B$2:$B$378,'00_SKU_Master'!$C$2:$C$378),"")</f>
        <v/>
      </c>
      <c r="I25" s="148" t="n"/>
      <c r="J25" s="14">
        <f>_xludf.IFNA(_xlfn.XLOOKUP(B26,'00_SKU_Master'!B$2:B$378,'00_SKU_Master'!H$2:H$378,0),"")</f>
        <v/>
      </c>
      <c r="K25" s="14">
        <f>_xludf.IFNA(_xlfn.XLOOKUP(B26,'00_SKU_Master'!B$2:B$378,'00_SKU_Master'!K$2:K$378,0),"")</f>
        <v/>
      </c>
      <c r="L25" s="148">
        <f>_xlfn.XLOOKUP(B26,'00_SKU_Master'!$B$2:$B$378,'00_SKU_Master'!D:D)</f>
        <v/>
      </c>
      <c r="M25" s="148">
        <f>IF((C26-E26)&lt;0,0,C26-E26)</f>
        <v/>
      </c>
    </row>
    <row r="26">
      <c r="A26" s="148">
        <f>'00_SKU_Master'!J118</f>
        <v/>
      </c>
      <c r="B26" s="148">
        <f>'00_SKU_Master'!B118</f>
        <v/>
      </c>
      <c r="C26" s="175">
        <f>_xlfn.XLOOKUP(B27,'02_TrayPack_Order'!$A$2:$A$264,'02_TrayPack_Order'!$C$2:$C$264)</f>
        <v/>
      </c>
      <c r="D26" s="176">
        <f>_xlfn.XLOOKUP(B27,'02_TrayPack_Order'!$A$2:$A$264,'02_TrayPack_Order'!$L$2:$L$264,0)</f>
        <v/>
      </c>
      <c r="E26" s="175">
        <f>SUMIF('13_Progress_Track'!$A$2:$A$108,B27,'13_Progress_Track'!$E$2:$E$108)</f>
        <v/>
      </c>
      <c r="F26" s="175">
        <f>IF(E27&gt;(C27+D27),(E27-(C27+D27)),0)</f>
        <v/>
      </c>
      <c r="G26" s="177">
        <f>IF(F27&gt;0,0,C27+D27-E27)</f>
        <v/>
      </c>
      <c r="H26" s="148">
        <f>_xludf.IFNA(_xlfn.XLOOKUP(B27,'00_SKU_Master'!$B$2:$B$378,'00_SKU_Master'!$C$2:$C$378),"")</f>
        <v/>
      </c>
      <c r="I26" s="148" t="n"/>
      <c r="J26" s="14">
        <f>_xludf.IFNA(_xlfn.XLOOKUP(B27,'00_SKU_Master'!B$2:B$378,'00_SKU_Master'!H$2:H$378,0),"")</f>
        <v/>
      </c>
      <c r="K26" s="14">
        <f>_xludf.IFNA(_xlfn.XLOOKUP(B27,'00_SKU_Master'!B$2:B$378,'00_SKU_Master'!K$2:K$378,0),"")</f>
        <v/>
      </c>
      <c r="L26" s="148">
        <f>_xlfn.XLOOKUP(B27,'00_SKU_Master'!$B$2:$B$378,'00_SKU_Master'!D:D)</f>
        <v/>
      </c>
      <c r="M26" s="148">
        <f>IF((C27-E27)&lt;0,0,C27-E27)</f>
        <v/>
      </c>
    </row>
    <row r="27">
      <c r="A27" s="148">
        <f>'00_SKU_Master'!J119</f>
        <v/>
      </c>
      <c r="B27" s="148">
        <f>'00_SKU_Master'!B119</f>
        <v/>
      </c>
      <c r="C27" s="175">
        <f>_xlfn.XLOOKUP(B28,'02_TrayPack_Order'!$A$2:$A$264,'02_TrayPack_Order'!$C$2:$C$264)</f>
        <v/>
      </c>
      <c r="D27" s="176">
        <f>_xlfn.XLOOKUP(B28,'02_TrayPack_Order'!$A$2:$A$264,'02_TrayPack_Order'!$L$2:$L$264,0)</f>
        <v/>
      </c>
      <c r="E27" s="175">
        <f>SUMIF('13_Progress_Track'!$A$2:$A$108,B28,'13_Progress_Track'!$E$2:$E$108)</f>
        <v/>
      </c>
      <c r="F27" s="175">
        <f>IF(E28&gt;(C28+D28),(E28-(C28+D28)),0)</f>
        <v/>
      </c>
      <c r="G27" s="177">
        <f>IF(F28&gt;0,0,C28+D28-E28)</f>
        <v/>
      </c>
      <c r="H27" s="148">
        <f>_xludf.IFNA(_xlfn.XLOOKUP(B28,'00_SKU_Master'!$B$2:$B$378,'00_SKU_Master'!$C$2:$C$378),"")</f>
        <v/>
      </c>
      <c r="I27" s="148" t="n"/>
      <c r="J27" s="14">
        <f>_xludf.IFNA(_xlfn.XLOOKUP(B28,'00_SKU_Master'!B$2:B$378,'00_SKU_Master'!H$2:H$378,0),"")</f>
        <v/>
      </c>
      <c r="K27" s="14">
        <f>_xludf.IFNA(_xlfn.XLOOKUP(B28,'00_SKU_Master'!B$2:B$378,'00_SKU_Master'!K$2:K$378,0),"")</f>
        <v/>
      </c>
      <c r="L27" s="148">
        <f>_xlfn.XLOOKUP(B28,'00_SKU_Master'!$B$2:$B$378,'00_SKU_Master'!D:D)</f>
        <v/>
      </c>
      <c r="M27" s="148">
        <f>IF((C28-E28)&lt;0,0,C28-E28)</f>
        <v/>
      </c>
    </row>
    <row r="28">
      <c r="A28" s="148">
        <f>'00_SKU_Master'!J120</f>
        <v/>
      </c>
      <c r="B28" s="148">
        <f>'00_SKU_Master'!B120</f>
        <v/>
      </c>
      <c r="C28" s="175">
        <f>_xlfn.XLOOKUP(B29,'02_TrayPack_Order'!$A$2:$A$264,'02_TrayPack_Order'!$C$2:$C$264)</f>
        <v/>
      </c>
      <c r="D28" s="176">
        <f>_xlfn.XLOOKUP(B29,'02_TrayPack_Order'!$A$2:$A$264,'02_TrayPack_Order'!$L$2:$L$264,0)</f>
        <v/>
      </c>
      <c r="E28" s="175">
        <f>SUMIF('13_Progress_Track'!$A$2:$A$108,B29,'13_Progress_Track'!$E$2:$E$108)</f>
        <v/>
      </c>
      <c r="F28" s="175">
        <f>IF(E29&gt;(C29+D29),(E29-(C29+D29)),0)</f>
        <v/>
      </c>
      <c r="G28" s="177">
        <f>IF(F29&gt;0,0,C29+D29-E29)</f>
        <v/>
      </c>
      <c r="H28" s="148">
        <f>_xludf.IFNA(_xlfn.XLOOKUP(B29,'00_SKU_Master'!$B$2:$B$378,'00_SKU_Master'!$C$2:$C$378),"")</f>
        <v/>
      </c>
      <c r="I28" s="148" t="n"/>
      <c r="J28" s="14">
        <f>_xludf.IFNA(_xlfn.XLOOKUP(B29,'00_SKU_Master'!B$2:B$378,'00_SKU_Master'!H$2:H$378,0),"")</f>
        <v/>
      </c>
      <c r="K28" s="14">
        <f>_xludf.IFNA(_xlfn.XLOOKUP(B29,'00_SKU_Master'!B$2:B$378,'00_SKU_Master'!K$2:K$378,0),"")</f>
        <v/>
      </c>
      <c r="L28" s="148">
        <f>_xlfn.XLOOKUP(B29,'00_SKU_Master'!$B$2:$B$378,'00_SKU_Master'!D:D)</f>
        <v/>
      </c>
      <c r="M28" s="148">
        <f>IF((C29-E29)&lt;0,0,C29-E29)</f>
        <v/>
      </c>
    </row>
    <row r="29">
      <c r="A29" s="148">
        <f>'00_SKU_Master'!J121</f>
        <v/>
      </c>
      <c r="B29" s="148">
        <f>'00_SKU_Master'!B121</f>
        <v/>
      </c>
      <c r="C29" s="175">
        <f>_xlfn.XLOOKUP(B30,'02_TrayPack_Order'!$A$2:$A$264,'02_TrayPack_Order'!$C$2:$C$264)</f>
        <v/>
      </c>
      <c r="D29" s="176">
        <f>_xlfn.XLOOKUP(B30,'02_TrayPack_Order'!$A$2:$A$264,'02_TrayPack_Order'!$L$2:$L$264,0)</f>
        <v/>
      </c>
      <c r="E29" s="175">
        <f>SUMIF('13_Progress_Track'!$A$2:$A$108,B30,'13_Progress_Track'!$E$2:$E$108)</f>
        <v/>
      </c>
      <c r="F29" s="175">
        <f>IF(E30&gt;(C30+D30),(E30-(C30+D30)),0)</f>
        <v/>
      </c>
      <c r="G29" s="177">
        <f>IF(F30&gt;0,0,C30+D30-E30)</f>
        <v/>
      </c>
      <c r="H29" s="148">
        <f>_xludf.IFNA(_xlfn.XLOOKUP(B30,'00_SKU_Master'!$B$2:$B$378,'00_SKU_Master'!$C$2:$C$378),"")</f>
        <v/>
      </c>
      <c r="I29" s="148" t="n"/>
      <c r="J29" s="14">
        <f>_xludf.IFNA(_xlfn.XLOOKUP(B30,'00_SKU_Master'!B$2:B$378,'00_SKU_Master'!H$2:H$378,0),"")</f>
        <v/>
      </c>
      <c r="K29" s="14">
        <f>_xludf.IFNA(_xlfn.XLOOKUP(B30,'00_SKU_Master'!B$2:B$378,'00_SKU_Master'!K$2:K$378,0),"")</f>
        <v/>
      </c>
      <c r="L29" s="148">
        <f>_xlfn.XLOOKUP(B30,'00_SKU_Master'!$B$2:$B$378,'00_SKU_Master'!D:D)</f>
        <v/>
      </c>
      <c r="M29" s="148">
        <f>IF((C30-E30)&lt;0,0,C30-E30)</f>
        <v/>
      </c>
    </row>
    <row r="30">
      <c r="A30" s="148">
        <f>'00_SKU_Master'!J122</f>
        <v/>
      </c>
      <c r="B30" s="148">
        <f>'00_SKU_Master'!B122</f>
        <v/>
      </c>
      <c r="C30" s="175">
        <f>_xlfn.XLOOKUP(B31,'02_TrayPack_Order'!$A$2:$A$264,'02_TrayPack_Order'!$C$2:$C$264)</f>
        <v/>
      </c>
      <c r="D30" s="176">
        <f>_xlfn.XLOOKUP(B31,'02_TrayPack_Order'!$A$2:$A$264,'02_TrayPack_Order'!$L$2:$L$264,0)</f>
        <v/>
      </c>
      <c r="E30" s="175">
        <f>SUMIF('13_Progress_Track'!$A$2:$A$108,B31,'13_Progress_Track'!$E$2:$E$108)</f>
        <v/>
      </c>
      <c r="F30" s="175">
        <f>IF(E31&gt;(C31+D31),(E31-(C31+D31)),0)</f>
        <v/>
      </c>
      <c r="G30" s="177">
        <f>IF(F31&gt;0,0,C31+D31-E31)</f>
        <v/>
      </c>
      <c r="H30" s="148">
        <f>_xludf.IFNA(_xlfn.XLOOKUP(B31,'00_SKU_Master'!$B$2:$B$378,'00_SKU_Master'!$C$2:$C$378),"")</f>
        <v/>
      </c>
      <c r="I30" s="148" t="n"/>
      <c r="J30" s="14">
        <f>_xludf.IFNA(_xlfn.XLOOKUP(B31,'00_SKU_Master'!B$2:B$378,'00_SKU_Master'!H$2:H$378,0),"")</f>
        <v/>
      </c>
      <c r="K30" s="14">
        <f>_xludf.IFNA(_xlfn.XLOOKUP(B31,'00_SKU_Master'!B$2:B$378,'00_SKU_Master'!K$2:K$378,0),"")</f>
        <v/>
      </c>
      <c r="L30" s="148">
        <f>_xlfn.XLOOKUP(B31,'00_SKU_Master'!$B$2:$B$378,'00_SKU_Master'!D:D)</f>
        <v/>
      </c>
      <c r="M30" s="148">
        <f>IF((C31-E31)&lt;0,0,C31-E31)</f>
        <v/>
      </c>
    </row>
    <row r="31">
      <c r="A31" s="148">
        <f>'00_SKU_Master'!J123</f>
        <v/>
      </c>
      <c r="B31" s="148">
        <f>'00_SKU_Master'!B123</f>
        <v/>
      </c>
      <c r="C31" s="175">
        <f>_xlfn.XLOOKUP(B32,'02_TrayPack_Order'!$A$2:$A$264,'02_TrayPack_Order'!$C$2:$C$264)</f>
        <v/>
      </c>
      <c r="D31" s="176">
        <f>_xlfn.XLOOKUP(B32,'02_TrayPack_Order'!$A$2:$A$264,'02_TrayPack_Order'!$L$2:$L$264,0)</f>
        <v/>
      </c>
      <c r="E31" s="175">
        <f>SUMIF('13_Progress_Track'!$A$2:$A$108,B32,'13_Progress_Track'!$E$2:$E$108)</f>
        <v/>
      </c>
      <c r="F31" s="175">
        <f>IF(E32&gt;(C32+D32),(E32-(C32+D32)),0)</f>
        <v/>
      </c>
      <c r="G31" s="177">
        <f>IF(F32&gt;0,0,C32+D32-E32)</f>
        <v/>
      </c>
      <c r="H31" s="148">
        <f>_xludf.IFNA(_xlfn.XLOOKUP(B32,'00_SKU_Master'!$B$2:$B$378,'00_SKU_Master'!$C$2:$C$378),"")</f>
        <v/>
      </c>
      <c r="I31" s="148" t="n"/>
      <c r="J31" s="14">
        <f>_xludf.IFNA(_xlfn.XLOOKUP(B32,'00_SKU_Master'!B$2:B$378,'00_SKU_Master'!H$2:H$378,0),"")</f>
        <v/>
      </c>
      <c r="K31" s="14">
        <f>_xludf.IFNA(_xlfn.XLOOKUP(B32,'00_SKU_Master'!B$2:B$378,'00_SKU_Master'!K$2:K$378,0),"")</f>
        <v/>
      </c>
      <c r="L31" s="148">
        <f>_xlfn.XLOOKUP(B32,'00_SKU_Master'!$B$2:$B$378,'00_SKU_Master'!D:D)</f>
        <v/>
      </c>
      <c r="M31" s="148">
        <f>IF((C32-E32)&lt;0,0,C32-E32)</f>
        <v/>
      </c>
    </row>
    <row r="32">
      <c r="A32" s="148">
        <f>'00_SKU_Master'!J124</f>
        <v/>
      </c>
      <c r="B32" s="148">
        <f>'00_SKU_Master'!B124</f>
        <v/>
      </c>
      <c r="C32" s="175">
        <f>_xlfn.XLOOKUP(B33,'02_TrayPack_Order'!$A$2:$A$264,'02_TrayPack_Order'!$C$2:$C$264)</f>
        <v/>
      </c>
      <c r="D32" s="176">
        <f>_xlfn.XLOOKUP(B33,'02_TrayPack_Order'!$A$2:$A$264,'02_TrayPack_Order'!$L$2:$L$264,0)</f>
        <v/>
      </c>
      <c r="E32" s="175">
        <f>SUMIF('13_Progress_Track'!$A$2:$A$108,B33,'13_Progress_Track'!$E$2:$E$108)</f>
        <v/>
      </c>
      <c r="F32" s="175">
        <f>IF(E33&gt;(C33+D33),(E33-(C33+D33)),0)</f>
        <v/>
      </c>
      <c r="G32" s="177">
        <f>IF(F33&gt;0,0,C33+D33-E33)</f>
        <v/>
      </c>
      <c r="H32" s="148">
        <f>_xludf.IFNA(_xlfn.XLOOKUP(B33,'00_SKU_Master'!$B$2:$B$378,'00_SKU_Master'!$C$2:$C$378),"")</f>
        <v/>
      </c>
      <c r="I32" s="148" t="n"/>
      <c r="J32" s="14">
        <f>_xludf.IFNA(_xlfn.XLOOKUP(B33,'00_SKU_Master'!B$2:B$378,'00_SKU_Master'!H$2:H$378,0),"")</f>
        <v/>
      </c>
      <c r="K32" s="14">
        <f>_xludf.IFNA(_xlfn.XLOOKUP(B33,'00_SKU_Master'!B$2:B$378,'00_SKU_Master'!K$2:K$378,0),"")</f>
        <v/>
      </c>
      <c r="L32" s="148">
        <f>_xlfn.XLOOKUP(B33,'00_SKU_Master'!$B$2:$B$378,'00_SKU_Master'!D:D)</f>
        <v/>
      </c>
      <c r="M32" s="148">
        <f>IF((C33-E33)&lt;0,0,C33-E33)</f>
        <v/>
      </c>
    </row>
    <row r="33">
      <c r="A33" s="148">
        <f>'00_SKU_Master'!J125</f>
        <v/>
      </c>
      <c r="B33" s="148">
        <f>'00_SKU_Master'!B125</f>
        <v/>
      </c>
      <c r="C33" s="175">
        <f>_xlfn.XLOOKUP(B34,'02_TrayPack_Order'!$A$2:$A$264,'02_TrayPack_Order'!$C$2:$C$264)</f>
        <v/>
      </c>
      <c r="D33" s="176">
        <f>_xlfn.XLOOKUP(B34,'02_TrayPack_Order'!$A$2:$A$264,'02_TrayPack_Order'!$L$2:$L$264,0)</f>
        <v/>
      </c>
      <c r="E33" s="175">
        <f>SUMIF('13_Progress_Track'!$A$2:$A$108,B34,'13_Progress_Track'!$E$2:$E$108)</f>
        <v/>
      </c>
      <c r="F33" s="175">
        <f>IF(E34&gt;(C34+D34),(E34-(C34+D34)),0)</f>
        <v/>
      </c>
      <c r="G33" s="177">
        <f>IF(F34&gt;0,0,C34+D34-E34)</f>
        <v/>
      </c>
      <c r="H33" s="148">
        <f>_xludf.IFNA(_xlfn.XLOOKUP(B34,'00_SKU_Master'!$B$2:$B$378,'00_SKU_Master'!$C$2:$C$378),"")</f>
        <v/>
      </c>
      <c r="I33" s="148" t="n"/>
      <c r="J33" s="14">
        <f>_xludf.IFNA(_xlfn.XLOOKUP(B34,'00_SKU_Master'!B$2:B$378,'00_SKU_Master'!H$2:H$378,0),"")</f>
        <v/>
      </c>
      <c r="K33" s="14">
        <f>_xludf.IFNA(_xlfn.XLOOKUP(B34,'00_SKU_Master'!B$2:B$378,'00_SKU_Master'!K$2:K$378,0),"")</f>
        <v/>
      </c>
      <c r="L33" s="148">
        <f>_xlfn.XLOOKUP(B34,'00_SKU_Master'!$B$2:$B$378,'00_SKU_Master'!D:D)</f>
        <v/>
      </c>
      <c r="M33" s="148">
        <f>IF((C34-E34)&lt;0,0,C34-E34)</f>
        <v/>
      </c>
    </row>
    <row r="34">
      <c r="A34" s="148">
        <f>'00_SKU_Master'!J126</f>
        <v/>
      </c>
      <c r="B34" s="148">
        <f>'00_SKU_Master'!B126</f>
        <v/>
      </c>
      <c r="C34" s="175">
        <f>_xlfn.XLOOKUP(B35,'02_TrayPack_Order'!$A$2:$A$264,'02_TrayPack_Order'!$C$2:$C$264)</f>
        <v/>
      </c>
      <c r="D34" s="176">
        <f>_xlfn.XLOOKUP(B35,'02_TrayPack_Order'!$A$2:$A$264,'02_TrayPack_Order'!$L$2:$L$264,0)</f>
        <v/>
      </c>
      <c r="E34" s="175">
        <f>SUMIF('13_Progress_Track'!$A$2:$A$108,B35,'13_Progress_Track'!$E$2:$E$108)</f>
        <v/>
      </c>
      <c r="F34" s="175">
        <f>IF(E35&gt;(C35+D35),(E35-(C35+D35)),0)</f>
        <v/>
      </c>
      <c r="G34" s="177">
        <f>IF(F35&gt;0,0,C35+D35-E35)</f>
        <v/>
      </c>
      <c r="H34" s="148">
        <f>_xludf.IFNA(_xlfn.XLOOKUP(B35,'00_SKU_Master'!$B$2:$B$378,'00_SKU_Master'!$C$2:$C$378),"")</f>
        <v/>
      </c>
      <c r="I34" s="148" t="n"/>
      <c r="J34" s="14">
        <f>_xludf.IFNA(_xlfn.XLOOKUP(B35,'00_SKU_Master'!B$2:B$378,'00_SKU_Master'!H$2:H$378,0),"")</f>
        <v/>
      </c>
      <c r="K34" s="14">
        <f>_xludf.IFNA(_xlfn.XLOOKUP(B35,'00_SKU_Master'!B$2:B$378,'00_SKU_Master'!K$2:K$378,0),"")</f>
        <v/>
      </c>
      <c r="L34" s="148">
        <f>_xlfn.XLOOKUP(B35,'00_SKU_Master'!$B$2:$B$378,'00_SKU_Master'!D:D)</f>
        <v/>
      </c>
      <c r="M34" s="148">
        <f>IF((C35-E35)&lt;0,0,C35-E35)</f>
        <v/>
      </c>
    </row>
    <row r="35">
      <c r="A35" s="148">
        <f>'00_SKU_Master'!J127</f>
        <v/>
      </c>
      <c r="B35" s="148">
        <f>'00_SKU_Master'!B127</f>
        <v/>
      </c>
      <c r="C35" s="175">
        <f>_xlfn.XLOOKUP(B36,'02_TrayPack_Order'!$A$2:$A$264,'02_TrayPack_Order'!$C$2:$C$264)</f>
        <v/>
      </c>
      <c r="D35" s="176">
        <f>_xlfn.XLOOKUP(B36,'02_TrayPack_Order'!$A$2:$A$264,'02_TrayPack_Order'!$L$2:$L$264,0)</f>
        <v/>
      </c>
      <c r="E35" s="175">
        <f>SUMIF('13_Progress_Track'!$A$2:$A$108,B36,'13_Progress_Track'!$E$2:$E$108)</f>
        <v/>
      </c>
      <c r="F35" s="175">
        <f>IF(E36&gt;(C36+D36),(E36-(C36+D36)),0)</f>
        <v/>
      </c>
      <c r="G35" s="177">
        <f>IF(F36&gt;0,0,C36+D36-E36)</f>
        <v/>
      </c>
      <c r="H35" s="148">
        <f>_xludf.IFNA(_xlfn.XLOOKUP(B36,'00_SKU_Master'!$B$2:$B$378,'00_SKU_Master'!$C$2:$C$378),"")</f>
        <v/>
      </c>
      <c r="I35" s="148" t="n"/>
      <c r="J35" s="14">
        <f>_xludf.IFNA(_xlfn.XLOOKUP(B36,'00_SKU_Master'!B$2:B$378,'00_SKU_Master'!H$2:H$378,0),"")</f>
        <v/>
      </c>
      <c r="K35" s="14">
        <f>_xludf.IFNA(_xlfn.XLOOKUP(B36,'00_SKU_Master'!B$2:B$378,'00_SKU_Master'!K$2:K$378,0),"")</f>
        <v/>
      </c>
      <c r="L35" s="148">
        <f>_xlfn.XLOOKUP(B36,'00_SKU_Master'!$B$2:$B$378,'00_SKU_Master'!D:D)</f>
        <v/>
      </c>
      <c r="M35" s="148">
        <f>IF((C36-E36)&lt;0,0,C36-E36)</f>
        <v/>
      </c>
    </row>
    <row r="36">
      <c r="A36" s="148">
        <f>'00_SKU_Master'!J128</f>
        <v/>
      </c>
      <c r="B36" s="148">
        <f>'00_SKU_Master'!B128</f>
        <v/>
      </c>
      <c r="C36" s="175">
        <f>_xlfn.XLOOKUP(B37,'02_TrayPack_Order'!$A$2:$A$264,'02_TrayPack_Order'!$C$2:$C$264)</f>
        <v/>
      </c>
      <c r="D36" s="176">
        <f>_xlfn.XLOOKUP(B37,'02_TrayPack_Order'!$A$2:$A$264,'02_TrayPack_Order'!$L$2:$L$264,0)</f>
        <v/>
      </c>
      <c r="E36" s="175">
        <f>SUMIF('13_Progress_Track'!$A$2:$A$108,B37,'13_Progress_Track'!$E$2:$E$108)</f>
        <v/>
      </c>
      <c r="F36" s="175">
        <f>IF(E37&gt;(C37+D37),(E37-(C37+D37)),0)</f>
        <v/>
      </c>
      <c r="G36" s="177">
        <f>IF(F37&gt;0,0,C37+D37-E37)</f>
        <v/>
      </c>
      <c r="H36" s="148">
        <f>_xludf.IFNA(_xlfn.XLOOKUP(B37,'00_SKU_Master'!$B$2:$B$378,'00_SKU_Master'!$C$2:$C$378),"")</f>
        <v/>
      </c>
      <c r="I36" s="148" t="n"/>
      <c r="J36" s="14">
        <f>_xludf.IFNA(_xlfn.XLOOKUP(B37,'00_SKU_Master'!B$2:B$378,'00_SKU_Master'!H$2:H$378,0),"")</f>
        <v/>
      </c>
      <c r="K36" s="14">
        <f>_xludf.IFNA(_xlfn.XLOOKUP(B37,'00_SKU_Master'!B$2:B$378,'00_SKU_Master'!K$2:K$378,0),"")</f>
        <v/>
      </c>
      <c r="L36" s="148">
        <f>_xlfn.XLOOKUP(B37,'00_SKU_Master'!$B$2:$B$378,'00_SKU_Master'!D:D)</f>
        <v/>
      </c>
      <c r="M36" s="148">
        <f>IF((C37-E37)&lt;0,0,C37-E37)</f>
        <v/>
      </c>
    </row>
    <row r="37">
      <c r="A37" s="148">
        <f>'00_SKU_Master'!J129</f>
        <v/>
      </c>
      <c r="B37" s="148">
        <f>'00_SKU_Master'!B129</f>
        <v/>
      </c>
      <c r="C37" s="175">
        <f>_xlfn.XLOOKUP(B38,'02_TrayPack_Order'!$A$2:$A$264,'02_TrayPack_Order'!$C$2:$C$264)</f>
        <v/>
      </c>
      <c r="D37" s="176">
        <f>_xlfn.XLOOKUP(B38,'02_TrayPack_Order'!$A$2:$A$264,'02_TrayPack_Order'!$L$2:$L$264,0)</f>
        <v/>
      </c>
      <c r="E37" s="175">
        <f>SUMIF('13_Progress_Track'!$A$2:$A$108,B38,'13_Progress_Track'!$E$2:$E$108)</f>
        <v/>
      </c>
      <c r="F37" s="175">
        <f>IF(E38&gt;(C38+D38),(E38-(C38+D38)),0)</f>
        <v/>
      </c>
      <c r="G37" s="177">
        <f>IF(F38&gt;0,0,C38+D38-E38)</f>
        <v/>
      </c>
      <c r="H37" s="148">
        <f>_xludf.IFNA(_xlfn.XLOOKUP(B38,'00_SKU_Master'!$B$2:$B$378,'00_SKU_Master'!$C$2:$C$378),"")</f>
        <v/>
      </c>
      <c r="I37" s="148" t="n"/>
      <c r="J37" s="14">
        <f>_xludf.IFNA(_xlfn.XLOOKUP(B38,'00_SKU_Master'!B$2:B$378,'00_SKU_Master'!H$2:H$378,0),"")</f>
        <v/>
      </c>
      <c r="K37" s="14">
        <f>_xludf.IFNA(_xlfn.XLOOKUP(B38,'00_SKU_Master'!B$2:B$378,'00_SKU_Master'!K$2:K$378,0),"")</f>
        <v/>
      </c>
      <c r="L37" s="148">
        <f>_xlfn.XLOOKUP(B38,'00_SKU_Master'!$B$2:$B$378,'00_SKU_Master'!D:D)</f>
        <v/>
      </c>
      <c r="M37" s="148">
        <f>IF((C38-E38)&lt;0,0,C38-E38)</f>
        <v/>
      </c>
    </row>
    <row r="38">
      <c r="A38" s="148">
        <f>'00_SKU_Master'!J130</f>
        <v/>
      </c>
      <c r="B38" s="148">
        <f>'00_SKU_Master'!B130</f>
        <v/>
      </c>
      <c r="C38" s="175">
        <f>_xlfn.XLOOKUP(B39,'02_TrayPack_Order'!$A$2:$A$264,'02_TrayPack_Order'!$C$2:$C$264)</f>
        <v/>
      </c>
      <c r="D38" s="176">
        <f>_xlfn.XLOOKUP(B39,'02_TrayPack_Order'!$A$2:$A$264,'02_TrayPack_Order'!$L$2:$L$264,0)</f>
        <v/>
      </c>
      <c r="E38" s="175">
        <f>SUMIF('13_Progress_Track'!$A$2:$A$108,B39,'13_Progress_Track'!$E$2:$E$108)</f>
        <v/>
      </c>
      <c r="F38" s="175">
        <f>IF(E39&gt;(C39+D39),(E39-(C39+D39)),0)</f>
        <v/>
      </c>
      <c r="G38" s="177">
        <f>IF(F39&gt;0,0,C39+D39-E39)</f>
        <v/>
      </c>
      <c r="H38" s="148">
        <f>_xludf.IFNA(_xlfn.XLOOKUP(B39,'00_SKU_Master'!$B$2:$B$378,'00_SKU_Master'!$C$2:$C$378),"")</f>
        <v/>
      </c>
      <c r="I38" s="148" t="n"/>
      <c r="J38" s="14">
        <f>_xludf.IFNA(_xlfn.XLOOKUP(B39,'00_SKU_Master'!B$2:B$378,'00_SKU_Master'!H$2:H$378,0),"")</f>
        <v/>
      </c>
      <c r="K38" s="14">
        <f>_xludf.IFNA(_xlfn.XLOOKUP(B39,'00_SKU_Master'!B$2:B$378,'00_SKU_Master'!K$2:K$378,0),"")</f>
        <v/>
      </c>
      <c r="L38" s="148">
        <f>_xlfn.XLOOKUP(B39,'00_SKU_Master'!$B$2:$B$378,'00_SKU_Master'!D:D)</f>
        <v/>
      </c>
      <c r="M38" s="148">
        <f>IF((C39-E39)&lt;0,0,C39-E39)</f>
        <v/>
      </c>
    </row>
    <row r="39">
      <c r="A39" s="148">
        <f>'00_SKU_Master'!J131</f>
        <v/>
      </c>
      <c r="B39" s="148">
        <f>'00_SKU_Master'!B131</f>
        <v/>
      </c>
      <c r="C39" s="175">
        <f>_xlfn.XLOOKUP(B40,'02_TrayPack_Order'!$A$2:$A$264,'02_TrayPack_Order'!$C$2:$C$264)</f>
        <v/>
      </c>
      <c r="D39" s="176">
        <f>_xlfn.XLOOKUP(B40,'02_TrayPack_Order'!$A$2:$A$264,'02_TrayPack_Order'!$L$2:$L$264,0)</f>
        <v/>
      </c>
      <c r="E39" s="175">
        <f>SUMIF('13_Progress_Track'!$A$2:$A$108,B40,'13_Progress_Track'!$E$2:$E$108)</f>
        <v/>
      </c>
      <c r="F39" s="175">
        <f>IF(E40&gt;(C40+D40),(E40-(C40+D40)),0)</f>
        <v/>
      </c>
      <c r="G39" s="177">
        <f>IF(F40&gt;0,0,C40+D40-E40)</f>
        <v/>
      </c>
      <c r="H39" s="148">
        <f>_xludf.IFNA(_xlfn.XLOOKUP(B40,'00_SKU_Master'!$B$2:$B$378,'00_SKU_Master'!$C$2:$C$378),"")</f>
        <v/>
      </c>
      <c r="I39" s="148" t="n"/>
      <c r="J39" s="14">
        <f>_xludf.IFNA(_xlfn.XLOOKUP(B40,'00_SKU_Master'!B$2:B$378,'00_SKU_Master'!H$2:H$378,0),"")</f>
        <v/>
      </c>
      <c r="K39" s="14">
        <f>_xludf.IFNA(_xlfn.XLOOKUP(B40,'00_SKU_Master'!B$2:B$378,'00_SKU_Master'!K$2:K$378,0),"")</f>
        <v/>
      </c>
      <c r="L39" s="148">
        <f>_xlfn.XLOOKUP(B40,'00_SKU_Master'!$B$2:$B$378,'00_SKU_Master'!D:D)</f>
        <v/>
      </c>
      <c r="M39" s="148">
        <f>IF((C40-E40)&lt;0,0,C40-E40)</f>
        <v/>
      </c>
    </row>
    <row r="40">
      <c r="A40" s="148">
        <f>'00_SKU_Master'!J132</f>
        <v/>
      </c>
      <c r="B40" s="148">
        <f>'00_SKU_Master'!B132</f>
        <v/>
      </c>
      <c r="C40" s="175">
        <f>_xlfn.XLOOKUP(B41,'02_TrayPack_Order'!$A$2:$A$264,'02_TrayPack_Order'!$C$2:$C$264)</f>
        <v/>
      </c>
      <c r="D40" s="176">
        <f>_xlfn.XLOOKUP(B41,'02_TrayPack_Order'!$A$2:$A$264,'02_TrayPack_Order'!$L$2:$L$264,0)</f>
        <v/>
      </c>
      <c r="E40" s="175">
        <f>SUMIF('13_Progress_Track'!$A$2:$A$108,B41,'13_Progress_Track'!$E$2:$E$108)</f>
        <v/>
      </c>
      <c r="F40" s="175">
        <f>IF(E41&gt;(C41+D41),(E41-(C41+D41)),0)</f>
        <v/>
      </c>
      <c r="G40" s="177">
        <f>IF(F41&gt;0,0,C41+D41-E41)</f>
        <v/>
      </c>
      <c r="H40" s="148">
        <f>_xludf.IFNA(_xlfn.XLOOKUP(B41,'00_SKU_Master'!$B$2:$B$378,'00_SKU_Master'!$C$2:$C$378),"")</f>
        <v/>
      </c>
      <c r="I40" s="148" t="n"/>
      <c r="J40" s="14">
        <f>_xludf.IFNA(_xlfn.XLOOKUP(B41,'00_SKU_Master'!B$2:B$378,'00_SKU_Master'!H$2:H$378,0),"")</f>
        <v/>
      </c>
      <c r="K40" s="14">
        <f>_xludf.IFNA(_xlfn.XLOOKUP(B41,'00_SKU_Master'!B$2:B$378,'00_SKU_Master'!K$2:K$378,0),"")</f>
        <v/>
      </c>
      <c r="L40" s="148">
        <f>_xlfn.XLOOKUP(B41,'00_SKU_Master'!$B$2:$B$378,'00_SKU_Master'!D:D)</f>
        <v/>
      </c>
      <c r="M40" s="148">
        <f>IF((C41-E41)&lt;0,0,C41-E41)</f>
        <v/>
      </c>
    </row>
    <row r="41">
      <c r="A41" s="148">
        <f>'00_SKU_Master'!J133</f>
        <v/>
      </c>
      <c r="B41" s="148">
        <f>'00_SKU_Master'!B133</f>
        <v/>
      </c>
      <c r="C41" s="175">
        <f>_xlfn.XLOOKUP(B42,'02_TrayPack_Order'!$A$2:$A$264,'02_TrayPack_Order'!$C$2:$C$264)</f>
        <v/>
      </c>
      <c r="D41" s="176">
        <f>_xlfn.XLOOKUP(B42,'02_TrayPack_Order'!$A$2:$A$264,'02_TrayPack_Order'!$L$2:$L$264,0)</f>
        <v/>
      </c>
      <c r="E41" s="175">
        <f>SUMIF('13_Progress_Track'!$A$2:$A$108,B42,'13_Progress_Track'!$E$2:$E$108)</f>
        <v/>
      </c>
      <c r="F41" s="175">
        <f>IF(E42&gt;(C42+D42),(E42-(C42+D42)),0)</f>
        <v/>
      </c>
      <c r="G41" s="177">
        <f>IF(F42&gt;0,0,C42+D42-E42)</f>
        <v/>
      </c>
      <c r="H41" s="148">
        <f>_xludf.IFNA(_xlfn.XLOOKUP(B42,'00_SKU_Master'!$B$2:$B$378,'00_SKU_Master'!$C$2:$C$378),"")</f>
        <v/>
      </c>
      <c r="I41" s="148" t="n"/>
      <c r="J41" s="14">
        <f>_xludf.IFNA(_xlfn.XLOOKUP(B42,'00_SKU_Master'!B$2:B$378,'00_SKU_Master'!H$2:H$378,0),"")</f>
        <v/>
      </c>
      <c r="K41" s="14">
        <f>_xludf.IFNA(_xlfn.XLOOKUP(B42,'00_SKU_Master'!B$2:B$378,'00_SKU_Master'!K$2:K$378,0),"")</f>
        <v/>
      </c>
      <c r="L41" s="148">
        <f>_xlfn.XLOOKUP(B42,'00_SKU_Master'!$B$2:$B$378,'00_SKU_Master'!D:D)</f>
        <v/>
      </c>
      <c r="M41" s="148">
        <f>IF((C42-E42)&lt;0,0,C42-E42)</f>
        <v/>
      </c>
    </row>
    <row r="42">
      <c r="A42" s="148">
        <f>'00_SKU_Master'!J134</f>
        <v/>
      </c>
      <c r="B42" s="148">
        <f>'00_SKU_Master'!B134</f>
        <v/>
      </c>
      <c r="C42" s="175">
        <f>_xlfn.XLOOKUP(B43,'02_TrayPack_Order'!$A$2:$A$264,'02_TrayPack_Order'!$C$2:$C$264)</f>
        <v/>
      </c>
      <c r="D42" s="176">
        <f>_xlfn.XLOOKUP(B43,'02_TrayPack_Order'!$A$2:$A$264,'02_TrayPack_Order'!$L$2:$L$264,0)</f>
        <v/>
      </c>
      <c r="E42" s="175">
        <f>SUMIF('13_Progress_Track'!$A$2:$A$108,B43,'13_Progress_Track'!$E$2:$E$108)</f>
        <v/>
      </c>
      <c r="F42" s="175">
        <f>IF(E43&gt;(C43+D43),(E43-(C43+D43)),0)</f>
        <v/>
      </c>
      <c r="G42" s="177">
        <f>IF(F43&gt;0,0,C43+D43-E43)</f>
        <v/>
      </c>
      <c r="H42" s="148">
        <f>_xludf.IFNA(_xlfn.XLOOKUP(B43,'00_SKU_Master'!$B$2:$B$378,'00_SKU_Master'!$C$2:$C$378),"")</f>
        <v/>
      </c>
      <c r="I42" s="148" t="n"/>
      <c r="J42" s="14">
        <f>_xludf.IFNA(_xlfn.XLOOKUP(B43,'00_SKU_Master'!B$2:B$378,'00_SKU_Master'!H$2:H$378,0),"")</f>
        <v/>
      </c>
      <c r="K42" s="14">
        <f>_xludf.IFNA(_xlfn.XLOOKUP(B43,'00_SKU_Master'!B$2:B$378,'00_SKU_Master'!K$2:K$378,0),"")</f>
        <v/>
      </c>
      <c r="L42" s="148">
        <f>_xlfn.XLOOKUP(B43,'00_SKU_Master'!$B$2:$B$378,'00_SKU_Master'!D:D)</f>
        <v/>
      </c>
      <c r="M42" s="148">
        <f>IF((C43-E43)&lt;0,0,C43-E43)</f>
        <v/>
      </c>
    </row>
    <row r="43">
      <c r="A43" s="148">
        <f>'00_SKU_Master'!J135</f>
        <v/>
      </c>
      <c r="B43" s="148">
        <f>'00_SKU_Master'!B135</f>
        <v/>
      </c>
      <c r="C43" s="175">
        <f>_xlfn.XLOOKUP(B44,'02_TrayPack_Order'!$A$2:$A$264,'02_TrayPack_Order'!$C$2:$C$264)</f>
        <v/>
      </c>
      <c r="D43" s="176">
        <f>_xlfn.XLOOKUP(B44,'02_TrayPack_Order'!$A$2:$A$264,'02_TrayPack_Order'!$L$2:$L$264,0)</f>
        <v/>
      </c>
      <c r="E43" s="175">
        <f>SUMIF('13_Progress_Track'!$A$2:$A$108,B44,'13_Progress_Track'!$E$2:$E$108)</f>
        <v/>
      </c>
      <c r="F43" s="175">
        <f>IF(E44&gt;(C44+D44),(E44-(C44+D44)),0)</f>
        <v/>
      </c>
      <c r="G43" s="177">
        <f>IF(F44&gt;0,0,C44+D44-E44)</f>
        <v/>
      </c>
      <c r="H43" s="148">
        <f>_xludf.IFNA(_xlfn.XLOOKUP(B44,'00_SKU_Master'!$B$2:$B$378,'00_SKU_Master'!$C$2:$C$378),"")</f>
        <v/>
      </c>
      <c r="I43" s="148" t="n"/>
      <c r="J43" s="14">
        <f>_xludf.IFNA(_xlfn.XLOOKUP(B44,'00_SKU_Master'!B$2:B$378,'00_SKU_Master'!H$2:H$378,0),"")</f>
        <v/>
      </c>
      <c r="K43" s="14">
        <f>_xludf.IFNA(_xlfn.XLOOKUP(B44,'00_SKU_Master'!B$2:B$378,'00_SKU_Master'!K$2:K$378,0),"")</f>
        <v/>
      </c>
      <c r="L43" s="148">
        <f>_xlfn.XLOOKUP(B44,'00_SKU_Master'!$B$2:$B$378,'00_SKU_Master'!D:D)</f>
        <v/>
      </c>
      <c r="M43" s="148">
        <f>IF((C44-E44)&lt;0,0,C44-E44)</f>
        <v/>
      </c>
    </row>
    <row r="44">
      <c r="A44" s="148">
        <f>'00_SKU_Master'!J136</f>
        <v/>
      </c>
      <c r="B44" s="148">
        <f>'00_SKU_Master'!B136</f>
        <v/>
      </c>
      <c r="C44" s="175">
        <f>_xlfn.XLOOKUP(B45,'02_TrayPack_Order'!$A$2:$A$264,'02_TrayPack_Order'!$C$2:$C$264)</f>
        <v/>
      </c>
      <c r="D44" s="176">
        <f>_xlfn.XLOOKUP(B45,'02_TrayPack_Order'!$A$2:$A$264,'02_TrayPack_Order'!$L$2:$L$264,0)</f>
        <v/>
      </c>
      <c r="E44" s="175">
        <f>SUMIF('13_Progress_Track'!$A$2:$A$108,B45,'13_Progress_Track'!$E$2:$E$108)</f>
        <v/>
      </c>
      <c r="F44" s="175">
        <f>IF(E45&gt;(C45+D45),(E45-(C45+D45)),0)</f>
        <v/>
      </c>
      <c r="G44" s="177">
        <f>IF(F45&gt;0,0,C45+D45-E45)</f>
        <v/>
      </c>
      <c r="H44" s="148">
        <f>_xludf.IFNA(_xlfn.XLOOKUP(B45,'00_SKU_Master'!$B$2:$B$378,'00_SKU_Master'!$C$2:$C$378),"")</f>
        <v/>
      </c>
      <c r="I44" s="148" t="n"/>
      <c r="J44" s="14">
        <f>_xludf.IFNA(_xlfn.XLOOKUP(B45,'00_SKU_Master'!B$2:B$378,'00_SKU_Master'!H$2:H$378,0),"")</f>
        <v/>
      </c>
      <c r="K44" s="14">
        <f>_xludf.IFNA(_xlfn.XLOOKUP(B45,'00_SKU_Master'!B$2:B$378,'00_SKU_Master'!K$2:K$378,0),"")</f>
        <v/>
      </c>
      <c r="L44" s="148">
        <f>_xlfn.XLOOKUP(B45,'00_SKU_Master'!$B$2:$B$378,'00_SKU_Master'!D:D)</f>
        <v/>
      </c>
      <c r="M44" s="148">
        <f>IF((C45-E45)&lt;0,0,C45-E45)</f>
        <v/>
      </c>
    </row>
    <row r="45">
      <c r="A45" s="148">
        <f>'00_SKU_Master'!J137</f>
        <v/>
      </c>
      <c r="B45" s="148">
        <f>'00_SKU_Master'!B137</f>
        <v/>
      </c>
      <c r="C45" s="175">
        <f>_xlfn.XLOOKUP(B46,'02_TrayPack_Order'!$A$2:$A$264,'02_TrayPack_Order'!$C$2:$C$264)</f>
        <v/>
      </c>
      <c r="D45" s="176">
        <f>_xlfn.XLOOKUP(B46,'02_TrayPack_Order'!$A$2:$A$264,'02_TrayPack_Order'!$L$2:$L$264,0)</f>
        <v/>
      </c>
      <c r="E45" s="175">
        <f>SUMIF('13_Progress_Track'!$A$2:$A$108,B46,'13_Progress_Track'!$E$2:$E$108)</f>
        <v/>
      </c>
      <c r="F45" s="175">
        <f>IF(E46&gt;(C46+D46),(E46-(C46+D46)),0)</f>
        <v/>
      </c>
      <c r="G45" s="177">
        <f>IF(F46&gt;0,0,C46+D46-E46)</f>
        <v/>
      </c>
      <c r="H45" s="148">
        <f>_xludf.IFNA(_xlfn.XLOOKUP(B46,'00_SKU_Master'!$B$2:$B$378,'00_SKU_Master'!$C$2:$C$378),"")</f>
        <v/>
      </c>
      <c r="I45" s="148" t="n"/>
      <c r="J45" s="14">
        <f>_xludf.IFNA(_xlfn.XLOOKUP(B46,'00_SKU_Master'!B$2:B$378,'00_SKU_Master'!H$2:H$378,0),"")</f>
        <v/>
      </c>
      <c r="K45" s="14">
        <f>_xludf.IFNA(_xlfn.XLOOKUP(B46,'00_SKU_Master'!B$2:B$378,'00_SKU_Master'!K$2:K$378,0),"")</f>
        <v/>
      </c>
      <c r="L45" s="148">
        <f>_xlfn.XLOOKUP(B46,'00_SKU_Master'!$B$2:$B$378,'00_SKU_Master'!D:D)</f>
        <v/>
      </c>
      <c r="M45" s="148">
        <f>IF((C46-E46)&lt;0,0,C46-E46)</f>
        <v/>
      </c>
    </row>
    <row r="46">
      <c r="A46" s="148">
        <f>'00_SKU_Master'!J138</f>
        <v/>
      </c>
      <c r="B46" s="148">
        <f>'00_SKU_Master'!B138</f>
        <v/>
      </c>
      <c r="C46" s="175">
        <f>_xlfn.XLOOKUP(B47,'02_TrayPack_Order'!$A$2:$A$264,'02_TrayPack_Order'!$C$2:$C$264)</f>
        <v/>
      </c>
      <c r="D46" s="176">
        <f>_xlfn.XLOOKUP(B47,'02_TrayPack_Order'!$A$2:$A$264,'02_TrayPack_Order'!$L$2:$L$264,0)</f>
        <v/>
      </c>
      <c r="E46" s="175">
        <f>SUMIF('13_Progress_Track'!$A$2:$A$108,B47,'13_Progress_Track'!$E$2:$E$108)</f>
        <v/>
      </c>
      <c r="F46" s="175">
        <f>IF(E47&gt;(C47+D47),(E47-(C47+D47)),0)</f>
        <v/>
      </c>
      <c r="G46" s="177">
        <f>IF(F47&gt;0,0,C47+D47-E47)</f>
        <v/>
      </c>
      <c r="H46" s="148">
        <f>_xludf.IFNA(_xlfn.XLOOKUP(B47,'00_SKU_Master'!$B$2:$B$378,'00_SKU_Master'!$C$2:$C$378),"")</f>
        <v/>
      </c>
      <c r="I46" s="148" t="n"/>
      <c r="J46" s="14">
        <f>_xludf.IFNA(_xlfn.XLOOKUP(B47,'00_SKU_Master'!B$2:B$378,'00_SKU_Master'!H$2:H$378,0),"")</f>
        <v/>
      </c>
      <c r="K46" s="14">
        <f>_xludf.IFNA(_xlfn.XLOOKUP(B47,'00_SKU_Master'!B$2:B$378,'00_SKU_Master'!K$2:K$378,0),"")</f>
        <v/>
      </c>
      <c r="L46" s="148">
        <f>_xlfn.XLOOKUP(B47,'00_SKU_Master'!$B$2:$B$378,'00_SKU_Master'!D:D)</f>
        <v/>
      </c>
      <c r="M46" s="148">
        <f>IF((C47-E47)&lt;0,0,C47-E47)</f>
        <v/>
      </c>
    </row>
    <row r="47">
      <c r="A47" s="148">
        <f>'00_SKU_Master'!J139</f>
        <v/>
      </c>
      <c r="B47" s="148">
        <f>'00_SKU_Master'!B139</f>
        <v/>
      </c>
      <c r="C47" s="175">
        <f>_xlfn.XLOOKUP(B48,'02_TrayPack_Order'!$A$2:$A$264,'02_TrayPack_Order'!$C$2:$C$264)</f>
        <v/>
      </c>
      <c r="D47" s="176">
        <f>_xlfn.XLOOKUP(B48,'02_TrayPack_Order'!$A$2:$A$264,'02_TrayPack_Order'!$L$2:$L$264,0)</f>
        <v/>
      </c>
      <c r="E47" s="175">
        <f>SUMIF('13_Progress_Track'!$A$2:$A$108,B48,'13_Progress_Track'!$E$2:$E$108)</f>
        <v/>
      </c>
      <c r="F47" s="175">
        <f>IF(E48&gt;(C48+D48),(E48-(C48+D48)),0)</f>
        <v/>
      </c>
      <c r="G47" s="177">
        <f>IF(F48&gt;0,0,C48+D48-E48)</f>
        <v/>
      </c>
      <c r="H47" s="148">
        <f>_xludf.IFNA(_xlfn.XLOOKUP(B48,'00_SKU_Master'!$B$2:$B$378,'00_SKU_Master'!$C$2:$C$378),"")</f>
        <v/>
      </c>
      <c r="I47" s="148" t="n"/>
      <c r="J47" s="14">
        <f>_xludf.IFNA(_xlfn.XLOOKUP(B48,'00_SKU_Master'!B$2:B$378,'00_SKU_Master'!H$2:H$378,0),"")</f>
        <v/>
      </c>
      <c r="K47" s="14">
        <f>_xludf.IFNA(_xlfn.XLOOKUP(B48,'00_SKU_Master'!B$2:B$378,'00_SKU_Master'!K$2:K$378,0),"")</f>
        <v/>
      </c>
      <c r="L47" s="148">
        <f>_xlfn.XLOOKUP(B48,'00_SKU_Master'!$B$2:$B$378,'00_SKU_Master'!D:D)</f>
        <v/>
      </c>
      <c r="M47" s="148">
        <f>IF((C48-E48)&lt;0,0,C48-E48)</f>
        <v/>
      </c>
    </row>
    <row r="48">
      <c r="A48" s="148">
        <f>'00_SKU_Master'!J140</f>
        <v/>
      </c>
      <c r="B48" s="148">
        <f>'00_SKU_Master'!B140</f>
        <v/>
      </c>
      <c r="C48" s="175">
        <f>_xlfn.XLOOKUP(B49,'02_TrayPack_Order'!$A$2:$A$264,'02_TrayPack_Order'!$C$2:$C$264)</f>
        <v/>
      </c>
      <c r="D48" s="176">
        <f>_xlfn.XLOOKUP(B49,'02_TrayPack_Order'!$A$2:$A$264,'02_TrayPack_Order'!$L$2:$L$264,0)</f>
        <v/>
      </c>
      <c r="E48" s="175">
        <f>SUMIF('13_Progress_Track'!$A$2:$A$108,B49,'13_Progress_Track'!$E$2:$E$108)</f>
        <v/>
      </c>
      <c r="F48" s="175">
        <f>IF(E49&gt;(C49+D49),(E49-(C49+D49)),0)</f>
        <v/>
      </c>
      <c r="G48" s="177">
        <f>IF(F49&gt;0,0,C49+D49-E49)</f>
        <v/>
      </c>
      <c r="H48" s="148">
        <f>_xludf.IFNA(_xlfn.XLOOKUP(B49,'00_SKU_Master'!$B$2:$B$378,'00_SKU_Master'!$C$2:$C$378),"")</f>
        <v/>
      </c>
      <c r="I48" s="148" t="n"/>
      <c r="J48" s="14">
        <f>_xludf.IFNA(_xlfn.XLOOKUP(B49,'00_SKU_Master'!B$2:B$378,'00_SKU_Master'!H$2:H$378,0),"")</f>
        <v/>
      </c>
      <c r="K48" s="14">
        <f>_xludf.IFNA(_xlfn.XLOOKUP(B49,'00_SKU_Master'!B$2:B$378,'00_SKU_Master'!K$2:K$378,0),"")</f>
        <v/>
      </c>
      <c r="L48" s="148">
        <f>_xlfn.XLOOKUP(B49,'00_SKU_Master'!$B$2:$B$378,'00_SKU_Master'!D:D)</f>
        <v/>
      </c>
      <c r="M48" s="148">
        <f>IF((C49-E49)&lt;0,0,C49-E49)</f>
        <v/>
      </c>
    </row>
    <row r="49">
      <c r="A49" s="148">
        <f>'00_SKU_Master'!J141</f>
        <v/>
      </c>
      <c r="B49" s="148">
        <f>'00_SKU_Master'!B141</f>
        <v/>
      </c>
      <c r="C49" s="175">
        <f>_xlfn.XLOOKUP(B50,'02_TrayPack_Order'!$A$2:$A$264,'02_TrayPack_Order'!$C$2:$C$264)</f>
        <v/>
      </c>
      <c r="D49" s="176">
        <f>_xlfn.XLOOKUP(B50,'02_TrayPack_Order'!$A$2:$A$264,'02_TrayPack_Order'!$L$2:$L$264,0)</f>
        <v/>
      </c>
      <c r="E49" s="175">
        <f>SUMIF('13_Progress_Track'!$A$2:$A$108,B50,'13_Progress_Track'!$E$2:$E$108)</f>
        <v/>
      </c>
      <c r="F49" s="175">
        <f>IF(E50&gt;(C50+D50),(E50-(C50+D50)),0)</f>
        <v/>
      </c>
      <c r="G49" s="177">
        <f>IF(F50&gt;0,0,C50+D50-E50)</f>
        <v/>
      </c>
      <c r="H49" s="148">
        <f>_xludf.IFNA(_xlfn.XLOOKUP(B50,'00_SKU_Master'!$B$2:$B$378,'00_SKU_Master'!$C$2:$C$378),"")</f>
        <v/>
      </c>
      <c r="I49" s="148" t="n"/>
      <c r="J49" s="14">
        <f>_xludf.IFNA(_xlfn.XLOOKUP(B50,'00_SKU_Master'!B$2:B$378,'00_SKU_Master'!H$2:H$378,0),"")</f>
        <v/>
      </c>
      <c r="K49" s="14">
        <f>_xludf.IFNA(_xlfn.XLOOKUP(B50,'00_SKU_Master'!B$2:B$378,'00_SKU_Master'!K$2:K$378,0),"")</f>
        <v/>
      </c>
      <c r="L49" s="148">
        <f>_xlfn.XLOOKUP(B50,'00_SKU_Master'!$B$2:$B$378,'00_SKU_Master'!D:D)</f>
        <v/>
      </c>
      <c r="M49" s="148">
        <f>IF((C50-E50)&lt;0,0,C50-E50)</f>
        <v/>
      </c>
    </row>
    <row r="50">
      <c r="A50" s="148">
        <f>'00_SKU_Master'!J142</f>
        <v/>
      </c>
      <c r="B50" s="148">
        <f>'00_SKU_Master'!B142</f>
        <v/>
      </c>
      <c r="C50" s="175">
        <f>_xlfn.XLOOKUP(B51,'02_TrayPack_Order'!$A$2:$A$264,'02_TrayPack_Order'!$C$2:$C$264)</f>
        <v/>
      </c>
      <c r="D50" s="176">
        <f>_xlfn.XLOOKUP(B51,'02_TrayPack_Order'!$A$2:$A$264,'02_TrayPack_Order'!$L$2:$L$264,0)</f>
        <v/>
      </c>
      <c r="E50" s="175">
        <f>SUMIF('13_Progress_Track'!$A$2:$A$108,B51,'13_Progress_Track'!$E$2:$E$108)</f>
        <v/>
      </c>
      <c r="F50" s="175">
        <f>IF(E51&gt;(C51+D51),(E51-(C51+D51)),0)</f>
        <v/>
      </c>
      <c r="G50" s="177">
        <f>IF(F51&gt;0,0,C51+D51-E51)</f>
        <v/>
      </c>
      <c r="H50" s="148">
        <f>_xludf.IFNA(_xlfn.XLOOKUP(B51,'00_SKU_Master'!$B$2:$B$378,'00_SKU_Master'!$C$2:$C$378),"")</f>
        <v/>
      </c>
      <c r="I50" s="148" t="n"/>
      <c r="J50" s="14">
        <f>_xludf.IFNA(_xlfn.XLOOKUP(B51,'00_SKU_Master'!B$2:B$378,'00_SKU_Master'!H$2:H$378,0),"")</f>
        <v/>
      </c>
      <c r="K50" s="14">
        <f>_xludf.IFNA(_xlfn.XLOOKUP(B51,'00_SKU_Master'!B$2:B$378,'00_SKU_Master'!K$2:K$378,0),"")</f>
        <v/>
      </c>
      <c r="L50" s="148">
        <f>_xlfn.XLOOKUP(B51,'00_SKU_Master'!$B$2:$B$378,'00_SKU_Master'!D:D)</f>
        <v/>
      </c>
      <c r="M50" s="148">
        <f>IF((C51-E51)&lt;0,0,C51-E51)</f>
        <v/>
      </c>
    </row>
    <row r="51">
      <c r="A51" s="148">
        <f>'00_SKU_Master'!J143</f>
        <v/>
      </c>
      <c r="B51" s="148">
        <f>'00_SKU_Master'!B143</f>
        <v/>
      </c>
      <c r="C51" s="175">
        <f>_xlfn.XLOOKUP(B52,'02_TrayPack_Order'!$A$2:$A$264,'02_TrayPack_Order'!$C$2:$C$264)</f>
        <v/>
      </c>
      <c r="D51" s="176">
        <f>_xlfn.XLOOKUP(B52,'02_TrayPack_Order'!$A$2:$A$264,'02_TrayPack_Order'!$L$2:$L$264,0)</f>
        <v/>
      </c>
      <c r="E51" s="175">
        <f>SUMIF('13_Progress_Track'!$A$2:$A$108,B52,'13_Progress_Track'!$E$2:$E$108)</f>
        <v/>
      </c>
      <c r="F51" s="175">
        <f>IF(E52&gt;(C52+D52),(E52-(C52+D52)),0)</f>
        <v/>
      </c>
      <c r="G51" s="177">
        <f>IF(F52&gt;0,0,C52+D52-E52)</f>
        <v/>
      </c>
      <c r="H51" s="148">
        <f>_xludf.IFNA(_xlfn.XLOOKUP(B52,'00_SKU_Master'!$B$2:$B$378,'00_SKU_Master'!$C$2:$C$378),"")</f>
        <v/>
      </c>
      <c r="I51" s="148" t="n"/>
      <c r="J51" s="14">
        <f>_xludf.IFNA(_xlfn.XLOOKUP(B52,'00_SKU_Master'!B$2:B$378,'00_SKU_Master'!H$2:H$378,0),"")</f>
        <v/>
      </c>
      <c r="K51" s="14">
        <f>_xludf.IFNA(_xlfn.XLOOKUP(B52,'00_SKU_Master'!B$2:B$378,'00_SKU_Master'!K$2:K$378,0),"")</f>
        <v/>
      </c>
      <c r="L51" s="148">
        <f>_xlfn.XLOOKUP(B52,'00_SKU_Master'!$B$2:$B$378,'00_SKU_Master'!D:D)</f>
        <v/>
      </c>
      <c r="M51" s="148">
        <f>IF((C52-E52)&lt;0,0,C52-E52)</f>
        <v/>
      </c>
    </row>
    <row r="52">
      <c r="A52" s="148">
        <f>'00_SKU_Master'!J144</f>
        <v/>
      </c>
      <c r="B52" s="148">
        <f>'00_SKU_Master'!B144</f>
        <v/>
      </c>
      <c r="C52" s="175">
        <f>_xlfn.XLOOKUP(B53,'02_TrayPack_Order'!$A$2:$A$264,'02_TrayPack_Order'!$C$2:$C$264)</f>
        <v/>
      </c>
      <c r="D52" s="176">
        <f>_xlfn.XLOOKUP(B53,'02_TrayPack_Order'!$A$2:$A$264,'02_TrayPack_Order'!$L$2:$L$264,0)</f>
        <v/>
      </c>
      <c r="E52" s="175">
        <f>SUMIF('13_Progress_Track'!$A$2:$A$108,B53,'13_Progress_Track'!$E$2:$E$108)</f>
        <v/>
      </c>
      <c r="F52" s="175">
        <f>IF(E53&gt;(C53+D53),(E53-(C53+D53)),0)</f>
        <v/>
      </c>
      <c r="G52" s="177">
        <f>IF(F53&gt;0,0,C53+D53-E53)</f>
        <v/>
      </c>
      <c r="H52" s="148">
        <f>_xludf.IFNA(_xlfn.XLOOKUP(B53,'00_SKU_Master'!$B$2:$B$378,'00_SKU_Master'!$C$2:$C$378),"")</f>
        <v/>
      </c>
      <c r="I52" s="148" t="n"/>
      <c r="J52" s="14">
        <f>_xludf.IFNA(_xlfn.XLOOKUP(B53,'00_SKU_Master'!B$2:B$378,'00_SKU_Master'!H$2:H$378,0),"")</f>
        <v/>
      </c>
      <c r="K52" s="14">
        <f>_xludf.IFNA(_xlfn.XLOOKUP(B53,'00_SKU_Master'!B$2:B$378,'00_SKU_Master'!K$2:K$378,0),"")</f>
        <v/>
      </c>
      <c r="L52" s="148">
        <f>_xlfn.XLOOKUP(B53,'00_SKU_Master'!$B$2:$B$378,'00_SKU_Master'!D:D)</f>
        <v/>
      </c>
      <c r="M52" s="148">
        <f>IF((C53-E53)&lt;0,0,C53-E53)</f>
        <v/>
      </c>
    </row>
    <row r="53">
      <c r="A53" s="148">
        <f>'00_SKU_Master'!J145</f>
        <v/>
      </c>
      <c r="B53" s="148">
        <f>'00_SKU_Master'!B145</f>
        <v/>
      </c>
      <c r="C53" s="175">
        <f>_xlfn.XLOOKUP(B54,'02_TrayPack_Order'!$A$2:$A$264,'02_TrayPack_Order'!$C$2:$C$264)</f>
        <v/>
      </c>
      <c r="D53" s="176">
        <f>_xlfn.XLOOKUP(B54,'02_TrayPack_Order'!$A$2:$A$264,'02_TrayPack_Order'!$L$2:$L$264,0)</f>
        <v/>
      </c>
      <c r="E53" s="175">
        <f>SUMIF('13_Progress_Track'!$A$2:$A$108,B54,'13_Progress_Track'!$E$2:$E$108)</f>
        <v/>
      </c>
      <c r="F53" s="175">
        <f>IF(E54&gt;(C54+D54),(E54-(C54+D54)),0)</f>
        <v/>
      </c>
      <c r="G53" s="177">
        <f>IF(F54&gt;0,0,C54+D54-E54)</f>
        <v/>
      </c>
      <c r="H53" s="148">
        <f>_xludf.IFNA(_xlfn.XLOOKUP(B54,'00_SKU_Master'!$B$2:$B$378,'00_SKU_Master'!$C$2:$C$378),"")</f>
        <v/>
      </c>
      <c r="I53" s="148" t="n"/>
      <c r="J53" s="14">
        <f>_xludf.IFNA(_xlfn.XLOOKUP(B54,'00_SKU_Master'!B$2:B$378,'00_SKU_Master'!H$2:H$378,0),"")</f>
        <v/>
      </c>
      <c r="K53" s="14">
        <f>_xludf.IFNA(_xlfn.XLOOKUP(B54,'00_SKU_Master'!B$2:B$378,'00_SKU_Master'!K$2:K$378,0),"")</f>
        <v/>
      </c>
      <c r="L53" s="148">
        <f>_xlfn.XLOOKUP(B54,'00_SKU_Master'!$B$2:$B$378,'00_SKU_Master'!D:D)</f>
        <v/>
      </c>
      <c r="M53" s="148">
        <f>IF((C54-E54)&lt;0,0,C54-E54)</f>
        <v/>
      </c>
    </row>
    <row r="54">
      <c r="A54" s="148">
        <f>'00_SKU_Master'!J146</f>
        <v/>
      </c>
      <c r="B54" s="148">
        <f>'00_SKU_Master'!B146</f>
        <v/>
      </c>
      <c r="C54" s="175">
        <f>_xlfn.XLOOKUP(B55,'02_TrayPack_Order'!$A$2:$A$264,'02_TrayPack_Order'!$C$2:$C$264)</f>
        <v/>
      </c>
      <c r="D54" s="176">
        <f>_xlfn.XLOOKUP(B55,'02_TrayPack_Order'!$A$2:$A$264,'02_TrayPack_Order'!$L$2:$L$264,0)</f>
        <v/>
      </c>
      <c r="E54" s="175">
        <f>SUMIF('13_Progress_Track'!$A$2:$A$108,B55,'13_Progress_Track'!$E$2:$E$108)</f>
        <v/>
      </c>
      <c r="F54" s="175">
        <f>IF(E55&gt;(C55+D55),(E55-(C55+D55)),0)</f>
        <v/>
      </c>
      <c r="G54" s="177">
        <f>IF(F55&gt;0,0,C55+D55-E55)</f>
        <v/>
      </c>
      <c r="H54" s="148">
        <f>_xludf.IFNA(_xlfn.XLOOKUP(B55,'00_SKU_Master'!$B$2:$B$378,'00_SKU_Master'!$C$2:$C$378),"")</f>
        <v/>
      </c>
      <c r="I54" s="148" t="n"/>
      <c r="J54" s="14">
        <f>_xludf.IFNA(_xlfn.XLOOKUP(B55,'00_SKU_Master'!B$2:B$378,'00_SKU_Master'!H$2:H$378,0),"")</f>
        <v/>
      </c>
      <c r="K54" s="14">
        <f>_xludf.IFNA(_xlfn.XLOOKUP(B55,'00_SKU_Master'!B$2:B$378,'00_SKU_Master'!K$2:K$378,0),"")</f>
        <v/>
      </c>
      <c r="L54" s="148">
        <f>_xlfn.XLOOKUP(B55,'00_SKU_Master'!$B$2:$B$378,'00_SKU_Master'!D:D)</f>
        <v/>
      </c>
      <c r="M54" s="148">
        <f>IF((C55-E55)&lt;0,0,C55-E55)</f>
        <v/>
      </c>
    </row>
    <row r="55">
      <c r="A55" s="148">
        <f>'00_SKU_Master'!J147</f>
        <v/>
      </c>
      <c r="B55" s="148">
        <f>'00_SKU_Master'!B147</f>
        <v/>
      </c>
      <c r="C55" s="175">
        <f>_xlfn.XLOOKUP(B56,'02_TrayPack_Order'!$A$2:$A$264,'02_TrayPack_Order'!$C$2:$C$264)</f>
        <v/>
      </c>
      <c r="D55" s="176">
        <f>_xlfn.XLOOKUP(B56,'02_TrayPack_Order'!$A$2:$A$264,'02_TrayPack_Order'!$L$2:$L$264,0)</f>
        <v/>
      </c>
      <c r="E55" s="175">
        <f>SUMIF('13_Progress_Track'!$A$2:$A$108,B56,'13_Progress_Track'!$E$2:$E$108)</f>
        <v/>
      </c>
      <c r="F55" s="175">
        <f>IF(E56&gt;(C56+D56),(E56-(C56+D56)),0)</f>
        <v/>
      </c>
      <c r="G55" s="177">
        <f>IF(F56&gt;0,0,C56+D56-E56)</f>
        <v/>
      </c>
      <c r="H55" s="148">
        <f>_xludf.IFNA(_xlfn.XLOOKUP(B56,'00_SKU_Master'!$B$2:$B$378,'00_SKU_Master'!$C$2:$C$378),"")</f>
        <v/>
      </c>
      <c r="I55" s="148" t="n"/>
      <c r="J55" s="14">
        <f>_xludf.IFNA(_xlfn.XLOOKUP(B56,'00_SKU_Master'!B$2:B$378,'00_SKU_Master'!H$2:H$378,0),"")</f>
        <v/>
      </c>
      <c r="K55" s="14">
        <f>_xludf.IFNA(_xlfn.XLOOKUP(B56,'00_SKU_Master'!B$2:B$378,'00_SKU_Master'!K$2:K$378,0),"")</f>
        <v/>
      </c>
      <c r="L55" s="148">
        <f>_xlfn.XLOOKUP(B56,'00_SKU_Master'!$B$2:$B$378,'00_SKU_Master'!D:D)</f>
        <v/>
      </c>
      <c r="M55" s="148">
        <f>IF((C56-E56)&lt;0,0,C56-E56)</f>
        <v/>
      </c>
    </row>
    <row r="56">
      <c r="A56" s="148">
        <f>'00_SKU_Master'!J148</f>
        <v/>
      </c>
      <c r="B56" s="148">
        <f>'00_SKU_Master'!B148</f>
        <v/>
      </c>
      <c r="C56" s="175">
        <f>_xlfn.XLOOKUP(B57,'02_TrayPack_Order'!$A$2:$A$264,'02_TrayPack_Order'!$C$2:$C$264)</f>
        <v/>
      </c>
      <c r="D56" s="176">
        <f>_xlfn.XLOOKUP(B57,'02_TrayPack_Order'!$A$2:$A$264,'02_TrayPack_Order'!$L$2:$L$264,0)</f>
        <v/>
      </c>
      <c r="E56" s="175">
        <f>SUMIF('13_Progress_Track'!$A$2:$A$108,B57,'13_Progress_Track'!$E$2:$E$108)</f>
        <v/>
      </c>
      <c r="F56" s="175">
        <f>IF(E57&gt;(C57+D57),(E57-(C57+D57)),0)</f>
        <v/>
      </c>
      <c r="G56" s="177">
        <f>IF(F57&gt;0,0,C57+D57-E57)</f>
        <v/>
      </c>
      <c r="H56" s="148">
        <f>_xludf.IFNA(_xlfn.XLOOKUP(B57,'00_SKU_Master'!$B$2:$B$378,'00_SKU_Master'!$C$2:$C$378),"")</f>
        <v/>
      </c>
      <c r="I56" s="148" t="n"/>
      <c r="J56" s="14">
        <f>_xludf.IFNA(_xlfn.XLOOKUP(B57,'00_SKU_Master'!B$2:B$378,'00_SKU_Master'!H$2:H$378,0),"")</f>
        <v/>
      </c>
      <c r="K56" s="14">
        <f>_xludf.IFNA(_xlfn.XLOOKUP(B57,'00_SKU_Master'!B$2:B$378,'00_SKU_Master'!K$2:K$378,0),"")</f>
        <v/>
      </c>
      <c r="L56" s="148">
        <f>_xlfn.XLOOKUP(B57,'00_SKU_Master'!$B$2:$B$378,'00_SKU_Master'!D:D)</f>
        <v/>
      </c>
      <c r="M56" s="148">
        <f>IF((C57-E57)&lt;0,0,C57-E57)</f>
        <v/>
      </c>
    </row>
    <row r="57">
      <c r="A57" s="148">
        <f>'00_SKU_Master'!J149</f>
        <v/>
      </c>
      <c r="B57" s="148">
        <f>'00_SKU_Master'!B149</f>
        <v/>
      </c>
      <c r="C57" s="175">
        <f>_xlfn.XLOOKUP(B58,'02_TrayPack_Order'!$A$2:$A$264,'02_TrayPack_Order'!$C$2:$C$264)</f>
        <v/>
      </c>
      <c r="D57" s="176">
        <f>_xlfn.XLOOKUP(B58,'02_TrayPack_Order'!$A$2:$A$264,'02_TrayPack_Order'!$L$2:$L$264,0)</f>
        <v/>
      </c>
      <c r="E57" s="175">
        <f>SUMIF('13_Progress_Track'!$A$2:$A$108,B58,'13_Progress_Track'!$E$2:$E$108)</f>
        <v/>
      </c>
      <c r="F57" s="175">
        <f>IF(E58&gt;(C58+D58),(E58-(C58+D58)),0)</f>
        <v/>
      </c>
      <c r="G57" s="177">
        <f>IF(F58&gt;0,0,C58+D58-E58)</f>
        <v/>
      </c>
      <c r="H57" s="148">
        <f>_xludf.IFNA(_xlfn.XLOOKUP(B58,'00_SKU_Master'!$B$2:$B$378,'00_SKU_Master'!$C$2:$C$378),"")</f>
        <v/>
      </c>
      <c r="I57" s="148" t="n"/>
      <c r="J57" s="14">
        <f>_xludf.IFNA(_xlfn.XLOOKUP(B58,'00_SKU_Master'!B$2:B$378,'00_SKU_Master'!H$2:H$378,0),"")</f>
        <v/>
      </c>
      <c r="K57" s="14">
        <f>_xludf.IFNA(_xlfn.XLOOKUP(B58,'00_SKU_Master'!B$2:B$378,'00_SKU_Master'!K$2:K$378,0),"")</f>
        <v/>
      </c>
      <c r="L57" s="148">
        <f>_xlfn.XLOOKUP(B58,'00_SKU_Master'!$B$2:$B$378,'00_SKU_Master'!D:D)</f>
        <v/>
      </c>
      <c r="M57" s="148">
        <f>IF((C58-E58)&lt;0,0,C58-E58)</f>
        <v/>
      </c>
    </row>
    <row r="58">
      <c r="A58" s="148">
        <f>'00_SKU_Master'!J150</f>
        <v/>
      </c>
      <c r="B58" s="148">
        <f>'00_SKU_Master'!B150</f>
        <v/>
      </c>
      <c r="C58" s="175">
        <f>_xlfn.XLOOKUP(B59,'02_TrayPack_Order'!$A$2:$A$264,'02_TrayPack_Order'!$C$2:$C$264)</f>
        <v/>
      </c>
      <c r="D58" s="176">
        <f>_xlfn.XLOOKUP(B59,'02_TrayPack_Order'!$A$2:$A$264,'02_TrayPack_Order'!$L$2:$L$264,0)</f>
        <v/>
      </c>
      <c r="E58" s="175">
        <f>SUMIF('13_Progress_Track'!$A$2:$A$108,B59,'13_Progress_Track'!$E$2:$E$108)</f>
        <v/>
      </c>
      <c r="F58" s="175">
        <f>IF(E59&gt;(C59+D59),(E59-(C59+D59)),0)</f>
        <v/>
      </c>
      <c r="G58" s="177">
        <f>IF(F59&gt;0,0,C59+D59-E59)</f>
        <v/>
      </c>
      <c r="H58" s="148">
        <f>_xludf.IFNA(_xlfn.XLOOKUP(B59,'00_SKU_Master'!$B$2:$B$378,'00_SKU_Master'!$C$2:$C$378),"")</f>
        <v/>
      </c>
      <c r="I58" s="148" t="n"/>
      <c r="J58" s="14">
        <f>_xludf.IFNA(_xlfn.XLOOKUP(B59,'00_SKU_Master'!B$2:B$378,'00_SKU_Master'!H$2:H$378,0),"")</f>
        <v/>
      </c>
      <c r="K58" s="14">
        <f>_xludf.IFNA(_xlfn.XLOOKUP(B59,'00_SKU_Master'!B$2:B$378,'00_SKU_Master'!K$2:K$378,0),"")</f>
        <v/>
      </c>
      <c r="L58" s="148">
        <f>_xlfn.XLOOKUP(B59,'00_SKU_Master'!$B$2:$B$378,'00_SKU_Master'!D:D)</f>
        <v/>
      </c>
      <c r="M58" s="148">
        <f>IF((C59-E59)&lt;0,0,C59-E59)</f>
        <v/>
      </c>
    </row>
    <row r="59">
      <c r="A59" s="148">
        <f>'00_SKU_Master'!J151</f>
        <v/>
      </c>
      <c r="B59" s="148">
        <f>'00_SKU_Master'!B151</f>
        <v/>
      </c>
      <c r="C59" s="175">
        <f>_xlfn.XLOOKUP(B60,'02_TrayPack_Order'!$A$2:$A$264,'02_TrayPack_Order'!$C$2:$C$264)</f>
        <v/>
      </c>
      <c r="D59" s="176">
        <f>_xlfn.XLOOKUP(B60,'02_TrayPack_Order'!$A$2:$A$264,'02_TrayPack_Order'!$L$2:$L$264,0)</f>
        <v/>
      </c>
      <c r="E59" s="175">
        <f>SUMIF('13_Progress_Track'!$A$2:$A$108,B60,'13_Progress_Track'!$E$2:$E$108)</f>
        <v/>
      </c>
      <c r="F59" s="175">
        <f>IF(E60&gt;(C60+D60),(E60-(C60+D60)),0)</f>
        <v/>
      </c>
      <c r="G59" s="177">
        <f>IF(F60&gt;0,0,C60+D60-E60)</f>
        <v/>
      </c>
      <c r="H59" s="148">
        <f>_xludf.IFNA(_xlfn.XLOOKUP(B60,'00_SKU_Master'!$B$2:$B$378,'00_SKU_Master'!$C$2:$C$378),"")</f>
        <v/>
      </c>
      <c r="I59" s="148" t="n"/>
      <c r="J59" s="14">
        <f>_xludf.IFNA(_xlfn.XLOOKUP(B60,'00_SKU_Master'!B$2:B$378,'00_SKU_Master'!H$2:H$378,0),"")</f>
        <v/>
      </c>
      <c r="K59" s="14">
        <f>_xludf.IFNA(_xlfn.XLOOKUP(B60,'00_SKU_Master'!B$2:B$378,'00_SKU_Master'!K$2:K$378,0),"")</f>
        <v/>
      </c>
      <c r="L59" s="148">
        <f>_xlfn.XLOOKUP(B60,'00_SKU_Master'!$B$2:$B$378,'00_SKU_Master'!D:D)</f>
        <v/>
      </c>
      <c r="M59" s="148">
        <f>IF((C60-E60)&lt;0,0,C60-E60)</f>
        <v/>
      </c>
    </row>
    <row r="60">
      <c r="A60" s="148">
        <f>'00_SKU_Master'!J152</f>
        <v/>
      </c>
      <c r="B60" s="148">
        <f>'00_SKU_Master'!B152</f>
        <v/>
      </c>
      <c r="C60" s="175">
        <f>_xlfn.XLOOKUP(B61,'02_TrayPack_Order'!$A$2:$A$264,'02_TrayPack_Order'!$C$2:$C$264)</f>
        <v/>
      </c>
      <c r="D60" s="176">
        <f>_xlfn.XLOOKUP(B61,'02_TrayPack_Order'!$A$2:$A$264,'02_TrayPack_Order'!$L$2:$L$264,0)</f>
        <v/>
      </c>
      <c r="E60" s="175">
        <f>SUMIF('13_Progress_Track'!$A$2:$A$108,B61,'13_Progress_Track'!$E$2:$E$108)</f>
        <v/>
      </c>
      <c r="F60" s="175">
        <f>IF(E61&gt;(C61+D61),(E61-(C61+D61)),0)</f>
        <v/>
      </c>
      <c r="G60" s="177">
        <f>IF(F61&gt;0,0,C61+D61-E61)</f>
        <v/>
      </c>
      <c r="H60" s="148">
        <f>_xludf.IFNA(_xlfn.XLOOKUP(B61,'00_SKU_Master'!$B$2:$B$378,'00_SKU_Master'!$C$2:$C$378),"")</f>
        <v/>
      </c>
      <c r="I60" s="148" t="n"/>
      <c r="J60" s="14">
        <f>_xludf.IFNA(_xlfn.XLOOKUP(B61,'00_SKU_Master'!B$2:B$378,'00_SKU_Master'!H$2:H$378,0),"")</f>
        <v/>
      </c>
      <c r="K60" s="14">
        <f>_xludf.IFNA(_xlfn.XLOOKUP(B61,'00_SKU_Master'!B$2:B$378,'00_SKU_Master'!K$2:K$378,0),"")</f>
        <v/>
      </c>
      <c r="L60" s="148">
        <f>_xlfn.XLOOKUP(B61,'00_SKU_Master'!$B$2:$B$378,'00_SKU_Master'!D:D)</f>
        <v/>
      </c>
      <c r="M60" s="148">
        <f>IF((C61-E61)&lt;0,0,C61-E61)</f>
        <v/>
      </c>
    </row>
    <row r="61">
      <c r="A61" s="148">
        <f>'00_SKU_Master'!J153</f>
        <v/>
      </c>
      <c r="B61" s="148">
        <f>'00_SKU_Master'!B153</f>
        <v/>
      </c>
      <c r="C61" s="175">
        <f>_xlfn.XLOOKUP(B62,'02_TrayPack_Order'!$A$2:$A$264,'02_TrayPack_Order'!$C$2:$C$264)</f>
        <v/>
      </c>
      <c r="D61" s="176">
        <f>_xlfn.XLOOKUP(B62,'02_TrayPack_Order'!$A$2:$A$264,'02_TrayPack_Order'!$L$2:$L$264,0)</f>
        <v/>
      </c>
      <c r="E61" s="175">
        <f>SUMIF('13_Progress_Track'!$A$2:$A$108,B62,'13_Progress_Track'!$E$2:$E$108)</f>
        <v/>
      </c>
      <c r="F61" s="175">
        <f>IF(E62&gt;(C62+D62),(E62-(C62+D62)),0)</f>
        <v/>
      </c>
      <c r="G61" s="177">
        <f>IF(F62&gt;0,0,C62+D62-E62)</f>
        <v/>
      </c>
      <c r="H61" s="148">
        <f>_xludf.IFNA(_xlfn.XLOOKUP(B62,'00_SKU_Master'!$B$2:$B$378,'00_SKU_Master'!$C$2:$C$378),"")</f>
        <v/>
      </c>
      <c r="I61" s="148" t="n"/>
      <c r="J61" s="14">
        <f>_xludf.IFNA(_xlfn.XLOOKUP(B62,'00_SKU_Master'!B$2:B$378,'00_SKU_Master'!H$2:H$378,0),"")</f>
        <v/>
      </c>
      <c r="K61" s="14">
        <f>_xludf.IFNA(_xlfn.XLOOKUP(B62,'00_SKU_Master'!B$2:B$378,'00_SKU_Master'!K$2:K$378,0),"")</f>
        <v/>
      </c>
      <c r="L61" s="148">
        <f>_xlfn.XLOOKUP(B62,'00_SKU_Master'!$B$2:$B$378,'00_SKU_Master'!D:D)</f>
        <v/>
      </c>
      <c r="M61" s="148">
        <f>IF((C62-E62)&lt;0,0,C62-E62)</f>
        <v/>
      </c>
    </row>
    <row r="62">
      <c r="A62" s="148">
        <f>'00_SKU_Master'!J154</f>
        <v/>
      </c>
      <c r="B62" s="148">
        <f>'00_SKU_Master'!B154</f>
        <v/>
      </c>
      <c r="C62" s="175">
        <f>_xlfn.XLOOKUP(B63,'02_TrayPack_Order'!$A$2:$A$264,'02_TrayPack_Order'!$C$2:$C$264)</f>
        <v/>
      </c>
      <c r="D62" s="176">
        <f>_xlfn.XLOOKUP(B63,'02_TrayPack_Order'!$A$2:$A$264,'02_TrayPack_Order'!$L$2:$L$264,0)</f>
        <v/>
      </c>
      <c r="E62" s="175">
        <f>SUMIF('13_Progress_Track'!$A$2:$A$108,B63,'13_Progress_Track'!$E$2:$E$108)</f>
        <v/>
      </c>
      <c r="F62" s="175">
        <f>IF(E63&gt;(C63+D63),(E63-(C63+D63)),0)</f>
        <v/>
      </c>
      <c r="G62" s="177">
        <f>IF(F63&gt;0,0,C63+D63-E63)</f>
        <v/>
      </c>
      <c r="H62" s="148">
        <f>_xludf.IFNA(_xlfn.XLOOKUP(B63,'00_SKU_Master'!$B$2:$B$378,'00_SKU_Master'!$C$2:$C$378),"")</f>
        <v/>
      </c>
      <c r="I62" s="148" t="n"/>
      <c r="J62" s="14">
        <f>_xludf.IFNA(_xlfn.XLOOKUP(B63,'00_SKU_Master'!B$2:B$378,'00_SKU_Master'!H$2:H$378,0),"")</f>
        <v/>
      </c>
      <c r="K62" s="14">
        <f>_xludf.IFNA(_xlfn.XLOOKUP(B63,'00_SKU_Master'!B$2:B$378,'00_SKU_Master'!K$2:K$378,0),"")</f>
        <v/>
      </c>
      <c r="L62" s="148">
        <f>_xlfn.XLOOKUP(B63,'00_SKU_Master'!$B$2:$B$378,'00_SKU_Master'!D:D)</f>
        <v/>
      </c>
      <c r="M62" s="148">
        <f>IF((C63-E63)&lt;0,0,C63-E63)</f>
        <v/>
      </c>
    </row>
    <row r="63">
      <c r="A63" s="148">
        <f>'00_SKU_Master'!J155</f>
        <v/>
      </c>
      <c r="B63" s="148">
        <f>'00_SKU_Master'!B155</f>
        <v/>
      </c>
      <c r="C63" s="175">
        <f>_xlfn.XLOOKUP(B64,'02_TrayPack_Order'!$A$2:$A$264,'02_TrayPack_Order'!$C$2:$C$264)</f>
        <v/>
      </c>
      <c r="D63" s="176">
        <f>_xlfn.XLOOKUP(B64,'02_TrayPack_Order'!$A$2:$A$264,'02_TrayPack_Order'!$L$2:$L$264,0)</f>
        <v/>
      </c>
      <c r="E63" s="175">
        <f>SUMIF('13_Progress_Track'!$A$2:$A$108,B64,'13_Progress_Track'!$E$2:$E$108)</f>
        <v/>
      </c>
      <c r="F63" s="175">
        <f>IF(E64&gt;(C64+D64),(E64-(C64+D64)),0)</f>
        <v/>
      </c>
      <c r="G63" s="177">
        <f>IF(F64&gt;0,0,C64+D64-E64)</f>
        <v/>
      </c>
      <c r="H63" s="148">
        <f>_xludf.IFNA(_xlfn.XLOOKUP(B64,'00_SKU_Master'!$B$2:$B$378,'00_SKU_Master'!$C$2:$C$378),"")</f>
        <v/>
      </c>
      <c r="I63" s="148" t="n"/>
      <c r="J63" s="14">
        <f>_xludf.IFNA(_xlfn.XLOOKUP(B64,'00_SKU_Master'!B$2:B$378,'00_SKU_Master'!H$2:H$378,0),"")</f>
        <v/>
      </c>
      <c r="K63" s="14">
        <f>_xludf.IFNA(_xlfn.XLOOKUP(B64,'00_SKU_Master'!B$2:B$378,'00_SKU_Master'!K$2:K$378,0),"")</f>
        <v/>
      </c>
      <c r="L63" s="148">
        <f>_xlfn.XLOOKUP(B64,'00_SKU_Master'!$B$2:$B$378,'00_SKU_Master'!D:D)</f>
        <v/>
      </c>
      <c r="M63" s="148">
        <f>IF((C64-E64)&lt;0,0,C64-E64)</f>
        <v/>
      </c>
    </row>
    <row r="64">
      <c r="A64" s="148">
        <f>'00_SKU_Master'!J156</f>
        <v/>
      </c>
      <c r="B64" s="148">
        <f>'00_SKU_Master'!B156</f>
        <v/>
      </c>
      <c r="C64" s="175">
        <f>_xlfn.XLOOKUP(B65,'02_TrayPack_Order'!$A$2:$A$264,'02_TrayPack_Order'!$C$2:$C$264)</f>
        <v/>
      </c>
      <c r="D64" s="176">
        <f>_xlfn.XLOOKUP(B65,'02_TrayPack_Order'!$A$2:$A$264,'02_TrayPack_Order'!$L$2:$L$264,0)</f>
        <v/>
      </c>
      <c r="E64" s="175">
        <f>SUMIF('13_Progress_Track'!$A$2:$A$108,B65,'13_Progress_Track'!$E$2:$E$108)</f>
        <v/>
      </c>
      <c r="F64" s="175">
        <f>IF(E65&gt;(C65+D65),(E65-(C65+D65)),0)</f>
        <v/>
      </c>
      <c r="G64" s="177">
        <f>IF(F65&gt;0,0,C65+D65-E65)</f>
        <v/>
      </c>
      <c r="H64" s="148">
        <f>_xludf.IFNA(_xlfn.XLOOKUP(B65,'00_SKU_Master'!$B$2:$B$378,'00_SKU_Master'!$C$2:$C$378),"")</f>
        <v/>
      </c>
      <c r="I64" s="148" t="n"/>
      <c r="J64" s="14">
        <f>_xludf.IFNA(_xlfn.XLOOKUP(B65,'00_SKU_Master'!B$2:B$378,'00_SKU_Master'!H$2:H$378,0),"")</f>
        <v/>
      </c>
      <c r="K64" s="14">
        <f>_xludf.IFNA(_xlfn.XLOOKUP(B65,'00_SKU_Master'!B$2:B$378,'00_SKU_Master'!K$2:K$378,0),"")</f>
        <v/>
      </c>
      <c r="L64" s="148">
        <f>_xlfn.XLOOKUP(B65,'00_SKU_Master'!$B$2:$B$378,'00_SKU_Master'!D:D)</f>
        <v/>
      </c>
      <c r="M64" s="148">
        <f>IF((C65-E65)&lt;0,0,C65-E65)</f>
        <v/>
      </c>
    </row>
    <row r="65">
      <c r="A65" s="148">
        <f>'00_SKU_Master'!J157</f>
        <v/>
      </c>
      <c r="B65" s="148">
        <f>'00_SKU_Master'!B157</f>
        <v/>
      </c>
      <c r="C65" s="175">
        <f>_xlfn.XLOOKUP(B66,'02_TrayPack_Order'!$A$2:$A$264,'02_TrayPack_Order'!$C$2:$C$264)</f>
        <v/>
      </c>
      <c r="D65" s="176">
        <f>_xlfn.XLOOKUP(B66,'02_TrayPack_Order'!$A$2:$A$264,'02_TrayPack_Order'!$L$2:$L$264,0)</f>
        <v/>
      </c>
      <c r="E65" s="175">
        <f>SUMIF('13_Progress_Track'!$A$2:$A$108,B66,'13_Progress_Track'!$E$2:$E$108)</f>
        <v/>
      </c>
      <c r="F65" s="175">
        <f>IF(E66&gt;(C66+D66),(E66-(C66+D66)),0)</f>
        <v/>
      </c>
      <c r="G65" s="177">
        <f>IF(F66&gt;0,0,C66+D66-E66)</f>
        <v/>
      </c>
      <c r="H65" s="148">
        <f>_xludf.IFNA(_xlfn.XLOOKUP(B66,'00_SKU_Master'!$B$2:$B$378,'00_SKU_Master'!$C$2:$C$378),"")</f>
        <v/>
      </c>
      <c r="I65" s="148" t="n"/>
      <c r="J65" s="14">
        <f>_xludf.IFNA(_xlfn.XLOOKUP(B66,'00_SKU_Master'!B$2:B$378,'00_SKU_Master'!H$2:H$378,0),"")</f>
        <v/>
      </c>
      <c r="K65" s="14">
        <f>_xludf.IFNA(_xlfn.XLOOKUP(B66,'00_SKU_Master'!B$2:B$378,'00_SKU_Master'!K$2:K$378,0),"")</f>
        <v/>
      </c>
      <c r="L65" s="148">
        <f>_xlfn.XLOOKUP(B66,'00_SKU_Master'!$B$2:$B$378,'00_SKU_Master'!D:D)</f>
        <v/>
      </c>
      <c r="M65" s="148">
        <f>IF((C66-E66)&lt;0,0,C66-E66)</f>
        <v/>
      </c>
    </row>
    <row r="66">
      <c r="A66" s="148">
        <f>'00_SKU_Master'!J158</f>
        <v/>
      </c>
      <c r="B66" s="148">
        <f>'00_SKU_Master'!B158</f>
        <v/>
      </c>
      <c r="C66" s="175">
        <f>_xlfn.XLOOKUP(B67,'02_TrayPack_Order'!$A$2:$A$264,'02_TrayPack_Order'!$C$2:$C$264)</f>
        <v/>
      </c>
      <c r="D66" s="176">
        <f>_xlfn.XLOOKUP(B67,'02_TrayPack_Order'!$A$2:$A$264,'02_TrayPack_Order'!$L$2:$L$264,0)</f>
        <v/>
      </c>
      <c r="E66" s="175">
        <f>SUMIF('13_Progress_Track'!$A$2:$A$108,B67,'13_Progress_Track'!$E$2:$E$108)</f>
        <v/>
      </c>
      <c r="F66" s="175">
        <f>IF(E67&gt;(C67+D67),(E67-(C67+D67)),0)</f>
        <v/>
      </c>
      <c r="G66" s="177">
        <f>IF(F67&gt;0,0,C67+D67-E67)</f>
        <v/>
      </c>
      <c r="H66" s="148">
        <f>_xludf.IFNA(_xlfn.XLOOKUP(B67,'00_SKU_Master'!$B$2:$B$378,'00_SKU_Master'!$C$2:$C$378),"")</f>
        <v/>
      </c>
      <c r="I66" s="148" t="n"/>
      <c r="J66" s="14">
        <f>_xludf.IFNA(_xlfn.XLOOKUP(B67,'00_SKU_Master'!B$2:B$378,'00_SKU_Master'!H$2:H$378,0),"")</f>
        <v/>
      </c>
      <c r="K66" s="14">
        <f>_xludf.IFNA(_xlfn.XLOOKUP(B67,'00_SKU_Master'!B$2:B$378,'00_SKU_Master'!K$2:K$378,0),"")</f>
        <v/>
      </c>
      <c r="L66" s="148">
        <f>_xlfn.XLOOKUP(B67,'00_SKU_Master'!$B$2:$B$378,'00_SKU_Master'!D:D)</f>
        <v/>
      </c>
      <c r="M66" s="148">
        <f>IF((C67-E67)&lt;0,0,C67-E67)</f>
        <v/>
      </c>
    </row>
    <row r="67">
      <c r="A67" s="148">
        <f>'00_SKU_Master'!J159</f>
        <v/>
      </c>
      <c r="B67" s="148">
        <f>'00_SKU_Master'!B159</f>
        <v/>
      </c>
      <c r="C67" s="175">
        <f>_xlfn.XLOOKUP(B68,'02_TrayPack_Order'!$A$2:$A$264,'02_TrayPack_Order'!$C$2:$C$264)</f>
        <v/>
      </c>
      <c r="D67" s="176">
        <f>_xlfn.XLOOKUP(B68,'02_TrayPack_Order'!$A$2:$A$264,'02_TrayPack_Order'!$L$2:$L$264,0)</f>
        <v/>
      </c>
      <c r="E67" s="175">
        <f>SUMIF('13_Progress_Track'!$A$2:$A$108,B68,'13_Progress_Track'!$E$2:$E$108)</f>
        <v/>
      </c>
      <c r="F67" s="175">
        <f>IF(E68&gt;(C68+D68),(E68-(C68+D68)),0)</f>
        <v/>
      </c>
      <c r="G67" s="177">
        <f>IF(F68&gt;0,0,C68+D68-E68)</f>
        <v/>
      </c>
      <c r="H67" s="148">
        <f>_xludf.IFNA(_xlfn.XLOOKUP(B68,'00_SKU_Master'!$B$2:$B$378,'00_SKU_Master'!$C$2:$C$378),"")</f>
        <v/>
      </c>
      <c r="I67" s="148" t="n"/>
      <c r="J67" s="14">
        <f>_xludf.IFNA(_xlfn.XLOOKUP(B68,'00_SKU_Master'!B$2:B$378,'00_SKU_Master'!H$2:H$378,0),"")</f>
        <v/>
      </c>
      <c r="K67" s="14">
        <f>_xludf.IFNA(_xlfn.XLOOKUP(B68,'00_SKU_Master'!B$2:B$378,'00_SKU_Master'!K$2:K$378,0),"")</f>
        <v/>
      </c>
      <c r="L67" s="148">
        <f>_xlfn.XLOOKUP(B68,'00_SKU_Master'!$B$2:$B$378,'00_SKU_Master'!D:D)</f>
        <v/>
      </c>
      <c r="M67" s="148">
        <f>IF((C68-E68)&lt;0,0,C68-E68)</f>
        <v/>
      </c>
    </row>
    <row r="68">
      <c r="A68" s="148">
        <f>'00_SKU_Master'!J160</f>
        <v/>
      </c>
      <c r="B68" s="148">
        <f>'00_SKU_Master'!B160</f>
        <v/>
      </c>
      <c r="C68" s="175">
        <f>_xlfn.XLOOKUP(B69,'02_TrayPack_Order'!$A$2:$A$264,'02_TrayPack_Order'!$C$2:$C$264)</f>
        <v/>
      </c>
      <c r="D68" s="176">
        <f>_xlfn.XLOOKUP(B69,'02_TrayPack_Order'!$A$2:$A$264,'02_TrayPack_Order'!$L$2:$L$264,0)</f>
        <v/>
      </c>
      <c r="E68" s="175">
        <f>SUMIF('13_Progress_Track'!$A$2:$A$108,B69,'13_Progress_Track'!$E$2:$E$108)</f>
        <v/>
      </c>
      <c r="F68" s="175">
        <f>IF(E69&gt;(C69+D69),(E69-(C69+D69)),0)</f>
        <v/>
      </c>
      <c r="G68" s="177">
        <f>IF(F69&gt;0,0,C69+D69-E69)</f>
        <v/>
      </c>
      <c r="H68" s="148">
        <f>_xludf.IFNA(_xlfn.XLOOKUP(B69,'00_SKU_Master'!$B$2:$B$378,'00_SKU_Master'!$C$2:$C$378),"")</f>
        <v/>
      </c>
      <c r="I68" s="148" t="n"/>
      <c r="J68" s="14">
        <f>_xludf.IFNA(_xlfn.XLOOKUP(B69,'00_SKU_Master'!B$2:B$378,'00_SKU_Master'!H$2:H$378,0),"")</f>
        <v/>
      </c>
      <c r="K68" s="14">
        <f>_xludf.IFNA(_xlfn.XLOOKUP(B69,'00_SKU_Master'!B$2:B$378,'00_SKU_Master'!K$2:K$378,0),"")</f>
        <v/>
      </c>
      <c r="L68" s="148">
        <f>_xlfn.XLOOKUP(B69,'00_SKU_Master'!$B$2:$B$378,'00_SKU_Master'!D:D)</f>
        <v/>
      </c>
      <c r="M68" s="148">
        <f>IF((C69-E69)&lt;0,0,C69-E69)</f>
        <v/>
      </c>
    </row>
    <row r="69">
      <c r="A69" s="148">
        <f>'00_SKU_Master'!J161</f>
        <v/>
      </c>
      <c r="B69" s="148">
        <f>'00_SKU_Master'!B161</f>
        <v/>
      </c>
      <c r="C69" s="175">
        <f>_xlfn.XLOOKUP(B70,'02_TrayPack_Order'!$A$2:$A$264,'02_TrayPack_Order'!$C$2:$C$264)</f>
        <v/>
      </c>
      <c r="D69" s="176">
        <f>_xlfn.XLOOKUP(B70,'02_TrayPack_Order'!$A$2:$A$264,'02_TrayPack_Order'!$L$2:$L$264,0)</f>
        <v/>
      </c>
      <c r="E69" s="175">
        <f>SUMIF('13_Progress_Track'!$A$2:$A$108,B70,'13_Progress_Track'!$E$2:$E$108)</f>
        <v/>
      </c>
      <c r="F69" s="175">
        <f>IF(E70&gt;(C70+D70),(E70-(C70+D70)),0)</f>
        <v/>
      </c>
      <c r="G69" s="177">
        <f>IF(F70&gt;0,0,C70+D70-E70)</f>
        <v/>
      </c>
      <c r="H69" s="148">
        <f>_xludf.IFNA(_xlfn.XLOOKUP(B70,'00_SKU_Master'!$B$2:$B$378,'00_SKU_Master'!$C$2:$C$378),"")</f>
        <v/>
      </c>
      <c r="I69" s="148" t="n"/>
      <c r="J69" s="14">
        <f>_xludf.IFNA(_xlfn.XLOOKUP(B70,'00_SKU_Master'!B$2:B$378,'00_SKU_Master'!H$2:H$378,0),"")</f>
        <v/>
      </c>
      <c r="K69" s="14">
        <f>_xludf.IFNA(_xlfn.XLOOKUP(B70,'00_SKU_Master'!B$2:B$378,'00_SKU_Master'!K$2:K$378,0),"")</f>
        <v/>
      </c>
      <c r="L69" s="148">
        <f>_xlfn.XLOOKUP(B70,'00_SKU_Master'!$B$2:$B$378,'00_SKU_Master'!D:D)</f>
        <v/>
      </c>
      <c r="M69" s="148">
        <f>IF((C70-E70)&lt;0,0,C70-E70)</f>
        <v/>
      </c>
    </row>
    <row r="70">
      <c r="A70" s="148">
        <f>'00_SKU_Master'!J162</f>
        <v/>
      </c>
      <c r="B70" s="148">
        <f>'00_SKU_Master'!B162</f>
        <v/>
      </c>
      <c r="C70" s="175">
        <f>_xlfn.XLOOKUP(B71,'02_TrayPack_Order'!$A$2:$A$264,'02_TrayPack_Order'!$C$2:$C$264)</f>
        <v/>
      </c>
      <c r="D70" s="176">
        <f>_xlfn.XLOOKUP(B71,'02_TrayPack_Order'!$A$2:$A$264,'02_TrayPack_Order'!$L$2:$L$264,0)</f>
        <v/>
      </c>
      <c r="E70" s="175">
        <f>SUMIF('13_Progress_Track'!$A$2:$A$108,B71,'13_Progress_Track'!$E$2:$E$108)</f>
        <v/>
      </c>
      <c r="F70" s="175">
        <f>IF(E71&gt;(C71+D71),(E71-(C71+D71)),0)</f>
        <v/>
      </c>
      <c r="G70" s="177">
        <f>IF(F71&gt;0,0,C71+D71-E71)</f>
        <v/>
      </c>
      <c r="H70" s="148">
        <f>_xludf.IFNA(_xlfn.XLOOKUP(B71,'00_SKU_Master'!$B$2:$B$378,'00_SKU_Master'!$C$2:$C$378),"")</f>
        <v/>
      </c>
      <c r="I70" s="148" t="n"/>
      <c r="J70" s="14">
        <f>_xludf.IFNA(_xlfn.XLOOKUP(B71,'00_SKU_Master'!B$2:B$378,'00_SKU_Master'!H$2:H$378,0),"")</f>
        <v/>
      </c>
      <c r="K70" s="14">
        <f>_xludf.IFNA(_xlfn.XLOOKUP(B71,'00_SKU_Master'!B$2:B$378,'00_SKU_Master'!K$2:K$378,0),"")</f>
        <v/>
      </c>
      <c r="L70" s="148">
        <f>_xlfn.XLOOKUP(B71,'00_SKU_Master'!$B$2:$B$378,'00_SKU_Master'!D:D)</f>
        <v/>
      </c>
      <c r="M70" s="148">
        <f>IF((C71-E71)&lt;0,0,C71-E71)</f>
        <v/>
      </c>
    </row>
    <row r="71">
      <c r="A71" s="148">
        <f>'00_SKU_Master'!J163</f>
        <v/>
      </c>
      <c r="B71" s="148">
        <f>'00_SKU_Master'!B163</f>
        <v/>
      </c>
      <c r="C71" s="175">
        <f>_xlfn.XLOOKUP(B72,'02_TrayPack_Order'!$A$2:$A$264,'02_TrayPack_Order'!$C$2:$C$264)</f>
        <v/>
      </c>
      <c r="D71" s="176">
        <f>_xlfn.XLOOKUP(B72,'02_TrayPack_Order'!$A$2:$A$264,'02_TrayPack_Order'!$L$2:$L$264,0)</f>
        <v/>
      </c>
      <c r="E71" s="175">
        <f>SUMIF('13_Progress_Track'!$A$2:$A$108,B72,'13_Progress_Track'!$E$2:$E$108)</f>
        <v/>
      </c>
      <c r="F71" s="175">
        <f>IF(E72&gt;(C72+D72),(E72-(C72+D72)),0)</f>
        <v/>
      </c>
      <c r="G71" s="177">
        <f>IF(F72&gt;0,0,C72+D72-E72)</f>
        <v/>
      </c>
      <c r="H71" s="148">
        <f>_xludf.IFNA(_xlfn.XLOOKUP(B72,'00_SKU_Master'!$B$2:$B$378,'00_SKU_Master'!$C$2:$C$378),"")</f>
        <v/>
      </c>
      <c r="I71" s="148" t="n"/>
      <c r="J71" s="14">
        <f>_xludf.IFNA(_xlfn.XLOOKUP(B72,'00_SKU_Master'!B$2:B$378,'00_SKU_Master'!H$2:H$378,0),"")</f>
        <v/>
      </c>
      <c r="K71" s="14">
        <f>_xludf.IFNA(_xlfn.XLOOKUP(B72,'00_SKU_Master'!B$2:B$378,'00_SKU_Master'!K$2:K$378,0),"")</f>
        <v/>
      </c>
      <c r="L71" s="148">
        <f>_xlfn.XLOOKUP(B72,'00_SKU_Master'!$B$2:$B$378,'00_SKU_Master'!D:D)</f>
        <v/>
      </c>
      <c r="M71" s="148">
        <f>IF((C72-E72)&lt;0,0,C72-E72)</f>
        <v/>
      </c>
    </row>
    <row r="72">
      <c r="A72" s="148">
        <f>'00_SKU_Master'!J164</f>
        <v/>
      </c>
      <c r="B72" s="148">
        <f>'00_SKU_Master'!B164</f>
        <v/>
      </c>
      <c r="C72" s="175">
        <f>_xlfn.XLOOKUP(B73,'02_TrayPack_Order'!$A$2:$A$264,'02_TrayPack_Order'!$C$2:$C$264)</f>
        <v/>
      </c>
      <c r="D72" s="176">
        <f>_xlfn.XLOOKUP(B73,'02_TrayPack_Order'!$A$2:$A$264,'02_TrayPack_Order'!$L$2:$L$264,0)</f>
        <v/>
      </c>
      <c r="E72" s="175">
        <f>SUMIF('13_Progress_Track'!$A$2:$A$108,B73,'13_Progress_Track'!$E$2:$E$108)</f>
        <v/>
      </c>
      <c r="F72" s="175">
        <f>IF(E73&gt;(C73+D73),(E73-(C73+D73)),0)</f>
        <v/>
      </c>
      <c r="G72" s="177">
        <f>IF(F73&gt;0,0,C73+D73-E73)</f>
        <v/>
      </c>
      <c r="H72" s="148">
        <f>_xludf.IFNA(_xlfn.XLOOKUP(B73,'00_SKU_Master'!$B$2:$B$378,'00_SKU_Master'!$C$2:$C$378),"")</f>
        <v/>
      </c>
      <c r="I72" s="148" t="n"/>
      <c r="J72" s="14">
        <f>_xludf.IFNA(_xlfn.XLOOKUP(B73,'00_SKU_Master'!B$2:B$378,'00_SKU_Master'!H$2:H$378,0),"")</f>
        <v/>
      </c>
      <c r="K72" s="14">
        <f>_xludf.IFNA(_xlfn.XLOOKUP(B73,'00_SKU_Master'!B$2:B$378,'00_SKU_Master'!K$2:K$378,0),"")</f>
        <v/>
      </c>
      <c r="L72" s="148">
        <f>_xlfn.XLOOKUP(B73,'00_SKU_Master'!$B$2:$B$378,'00_SKU_Master'!D:D)</f>
        <v/>
      </c>
      <c r="M72" s="148">
        <f>IF((C73-E73)&lt;0,0,C73-E73)</f>
        <v/>
      </c>
    </row>
    <row r="73">
      <c r="A73" s="148">
        <f>'00_SKU_Master'!J165</f>
        <v/>
      </c>
      <c r="B73" s="148">
        <f>'00_SKU_Master'!B165</f>
        <v/>
      </c>
      <c r="C73" s="175">
        <f>_xlfn.XLOOKUP(B74,'02_TrayPack_Order'!$A$2:$A$264,'02_TrayPack_Order'!$C$2:$C$264)</f>
        <v/>
      </c>
      <c r="D73" s="176">
        <f>_xlfn.XLOOKUP(B74,'02_TrayPack_Order'!$A$2:$A$264,'02_TrayPack_Order'!$L$2:$L$264,0)</f>
        <v/>
      </c>
      <c r="E73" s="175">
        <f>SUMIF('13_Progress_Track'!$A$2:$A$108,B74,'13_Progress_Track'!$E$2:$E$108)</f>
        <v/>
      </c>
      <c r="F73" s="175">
        <f>IF(E74&gt;(C74+D74),(E74-(C74+D74)),0)</f>
        <v/>
      </c>
      <c r="G73" s="177">
        <f>IF(F74&gt;0,0,C74+D74-E74)</f>
        <v/>
      </c>
      <c r="H73" s="148">
        <f>_xludf.IFNA(_xlfn.XLOOKUP(B74,'00_SKU_Master'!$B$2:$B$378,'00_SKU_Master'!$C$2:$C$378),"")</f>
        <v/>
      </c>
      <c r="I73" s="148" t="n"/>
      <c r="J73" s="14">
        <f>_xludf.IFNA(_xlfn.XLOOKUP(B74,'00_SKU_Master'!B$2:B$378,'00_SKU_Master'!H$2:H$378,0),"")</f>
        <v/>
      </c>
      <c r="K73" s="14">
        <f>_xludf.IFNA(_xlfn.XLOOKUP(B74,'00_SKU_Master'!B$2:B$378,'00_SKU_Master'!K$2:K$378,0),"")</f>
        <v/>
      </c>
      <c r="L73" s="148">
        <f>_xlfn.XLOOKUP(B74,'00_SKU_Master'!$B$2:$B$378,'00_SKU_Master'!D:D)</f>
        <v/>
      </c>
      <c r="M73" s="148">
        <f>IF((C74-E74)&lt;0,0,C74-E74)</f>
        <v/>
      </c>
    </row>
    <row r="74">
      <c r="A74" s="148">
        <f>'00_SKU_Master'!J166</f>
        <v/>
      </c>
      <c r="B74" s="148">
        <f>'00_SKU_Master'!B166</f>
        <v/>
      </c>
      <c r="C74" s="175">
        <f>_xlfn.XLOOKUP(B75,'02_TrayPack_Order'!$A$2:$A$264,'02_TrayPack_Order'!$C$2:$C$264)</f>
        <v/>
      </c>
      <c r="D74" s="176">
        <f>_xlfn.XLOOKUP(B75,'02_TrayPack_Order'!$A$2:$A$264,'02_TrayPack_Order'!$L$2:$L$264,0)</f>
        <v/>
      </c>
      <c r="E74" s="175">
        <f>SUMIF('13_Progress_Track'!$A$2:$A$108,B75,'13_Progress_Track'!$E$2:$E$108)</f>
        <v/>
      </c>
      <c r="F74" s="175">
        <f>IF(E75&gt;(C75+D75),(E75-(C75+D75)),0)</f>
        <v/>
      </c>
      <c r="G74" s="177">
        <f>IF(F75&gt;0,0,C75+D75-E75)</f>
        <v/>
      </c>
      <c r="H74" s="148">
        <f>_xludf.IFNA(_xlfn.XLOOKUP(B75,'00_SKU_Master'!$B$2:$B$378,'00_SKU_Master'!$C$2:$C$378),"")</f>
        <v/>
      </c>
      <c r="I74" s="148" t="n"/>
      <c r="J74" s="14">
        <f>_xludf.IFNA(_xlfn.XLOOKUP(B75,'00_SKU_Master'!B$2:B$378,'00_SKU_Master'!H$2:H$378,0),"")</f>
        <v/>
      </c>
      <c r="K74" s="14">
        <f>_xludf.IFNA(_xlfn.XLOOKUP(B75,'00_SKU_Master'!B$2:B$378,'00_SKU_Master'!K$2:K$378,0),"")</f>
        <v/>
      </c>
      <c r="L74" s="148">
        <f>_xlfn.XLOOKUP(B75,'00_SKU_Master'!$B$2:$B$378,'00_SKU_Master'!D:D)</f>
        <v/>
      </c>
      <c r="M74" s="148">
        <f>IF((C75-E75)&lt;0,0,C75-E75)</f>
        <v/>
      </c>
    </row>
    <row r="75">
      <c r="A75" s="148">
        <f>'00_SKU_Master'!J167</f>
        <v/>
      </c>
      <c r="B75" s="148">
        <f>'00_SKU_Master'!B167</f>
        <v/>
      </c>
      <c r="C75" s="175">
        <f>_xlfn.XLOOKUP(B76,'02_TrayPack_Order'!$A$2:$A$264,'02_TrayPack_Order'!$C$2:$C$264)</f>
        <v/>
      </c>
      <c r="D75" s="176">
        <f>_xlfn.XLOOKUP(B76,'02_TrayPack_Order'!$A$2:$A$264,'02_TrayPack_Order'!$L$2:$L$264,0)</f>
        <v/>
      </c>
      <c r="E75" s="175">
        <f>SUMIF('13_Progress_Track'!$A$2:$A$108,B76,'13_Progress_Track'!$E$2:$E$108)</f>
        <v/>
      </c>
      <c r="F75" s="175">
        <f>IF(E76&gt;(C76+D76),(E76-(C76+D76)),0)</f>
        <v/>
      </c>
      <c r="G75" s="177">
        <f>IF(F76&gt;0,0,C76+D76-E76)</f>
        <v/>
      </c>
      <c r="H75" s="148">
        <f>_xludf.IFNA(_xlfn.XLOOKUP(B76,'00_SKU_Master'!$B$2:$B$378,'00_SKU_Master'!$C$2:$C$378),"")</f>
        <v/>
      </c>
      <c r="I75" s="148" t="n"/>
      <c r="J75" s="14">
        <f>_xludf.IFNA(_xlfn.XLOOKUP(B76,'00_SKU_Master'!B$2:B$378,'00_SKU_Master'!H$2:H$378,0),"")</f>
        <v/>
      </c>
      <c r="K75" s="14">
        <f>_xludf.IFNA(_xlfn.XLOOKUP(B76,'00_SKU_Master'!B$2:B$378,'00_SKU_Master'!K$2:K$378,0),"")</f>
        <v/>
      </c>
      <c r="L75" s="148">
        <f>_xlfn.XLOOKUP(B76,'00_SKU_Master'!$B$2:$B$378,'00_SKU_Master'!D:D)</f>
        <v/>
      </c>
      <c r="M75" s="148">
        <f>IF((C76-E76)&lt;0,0,C76-E76)</f>
        <v/>
      </c>
    </row>
    <row r="76">
      <c r="A76" s="148">
        <f>'00_SKU_Master'!J168</f>
        <v/>
      </c>
      <c r="B76" s="148">
        <f>'00_SKU_Master'!B168</f>
        <v/>
      </c>
      <c r="C76" s="175">
        <f>_xlfn.XLOOKUP(B77,'02_TrayPack_Order'!$A$2:$A$264,'02_TrayPack_Order'!$C$2:$C$264)</f>
        <v/>
      </c>
      <c r="D76" s="176">
        <f>_xlfn.XLOOKUP(B77,'02_TrayPack_Order'!$A$2:$A$264,'02_TrayPack_Order'!$L$2:$L$264,0)</f>
        <v/>
      </c>
      <c r="E76" s="175">
        <f>SUMIF('13_Progress_Track'!$A$2:$A$108,B77,'13_Progress_Track'!$E$2:$E$108)</f>
        <v/>
      </c>
      <c r="F76" s="175">
        <f>IF(E77&gt;(C77+D77),(E77-(C77+D77)),0)</f>
        <v/>
      </c>
      <c r="G76" s="177">
        <f>IF(F77&gt;0,0,C77+D77-E77)</f>
        <v/>
      </c>
      <c r="H76" s="148">
        <f>_xludf.IFNA(_xlfn.XLOOKUP(B77,'00_SKU_Master'!$B$2:$B$378,'00_SKU_Master'!$C$2:$C$378),"")</f>
        <v/>
      </c>
      <c r="I76" s="148" t="n"/>
      <c r="J76" s="14">
        <f>_xludf.IFNA(_xlfn.XLOOKUP(B77,'00_SKU_Master'!B$2:B$378,'00_SKU_Master'!H$2:H$378,0),"")</f>
        <v/>
      </c>
      <c r="K76" s="14">
        <f>_xludf.IFNA(_xlfn.XLOOKUP(B77,'00_SKU_Master'!B$2:B$378,'00_SKU_Master'!K$2:K$378,0),"")</f>
        <v/>
      </c>
      <c r="L76" s="148">
        <f>_xlfn.XLOOKUP(B77,'00_SKU_Master'!$B$2:$B$378,'00_SKU_Master'!D:D)</f>
        <v/>
      </c>
      <c r="M76" s="148">
        <f>IF((C77-E77)&lt;0,0,C77-E77)</f>
        <v/>
      </c>
    </row>
    <row r="77">
      <c r="A77" s="148">
        <f>'00_SKU_Master'!J169</f>
        <v/>
      </c>
      <c r="B77" s="148">
        <f>'00_SKU_Master'!B169</f>
        <v/>
      </c>
      <c r="C77" s="175">
        <f>_xlfn.XLOOKUP(B78,'02_TrayPack_Order'!$A$2:$A$264,'02_TrayPack_Order'!$C$2:$C$264)</f>
        <v/>
      </c>
      <c r="D77" s="176">
        <f>_xlfn.XLOOKUP(B78,'02_TrayPack_Order'!$A$2:$A$264,'02_TrayPack_Order'!$L$2:$L$264,0)</f>
        <v/>
      </c>
      <c r="E77" s="175">
        <f>SUMIF('13_Progress_Track'!$A$2:$A$108,B78,'13_Progress_Track'!$E$2:$E$108)</f>
        <v/>
      </c>
      <c r="F77" s="175">
        <f>IF(E78&gt;(C78+D78),(E78-(C78+D78)),0)</f>
        <v/>
      </c>
      <c r="G77" s="177">
        <f>IF(F78&gt;0,0,C78+D78-E78)</f>
        <v/>
      </c>
      <c r="H77" s="148">
        <f>_xludf.IFNA(_xlfn.XLOOKUP(B78,'00_SKU_Master'!$B$2:$B$378,'00_SKU_Master'!$C$2:$C$378),"")</f>
        <v/>
      </c>
      <c r="I77" s="148" t="n"/>
      <c r="J77" s="14">
        <f>_xludf.IFNA(_xlfn.XLOOKUP(B78,'00_SKU_Master'!B$2:B$378,'00_SKU_Master'!H$2:H$378,0),"")</f>
        <v/>
      </c>
      <c r="K77" s="14">
        <f>_xludf.IFNA(_xlfn.XLOOKUP(B78,'00_SKU_Master'!B$2:B$378,'00_SKU_Master'!K$2:K$378,0),"")</f>
        <v/>
      </c>
      <c r="L77" s="148">
        <f>_xlfn.XLOOKUP(B78,'00_SKU_Master'!$B$2:$B$378,'00_SKU_Master'!D:D)</f>
        <v/>
      </c>
      <c r="M77" s="148">
        <f>IF((C78-E78)&lt;0,0,C78-E78)</f>
        <v/>
      </c>
    </row>
    <row r="78">
      <c r="A78" s="148">
        <f>'00_SKU_Master'!J170</f>
        <v/>
      </c>
      <c r="B78" s="148">
        <f>'00_SKU_Master'!B170</f>
        <v/>
      </c>
      <c r="C78" s="175">
        <f>_xlfn.XLOOKUP(B79,'02_TrayPack_Order'!$A$2:$A$264,'02_TrayPack_Order'!$C$2:$C$264)</f>
        <v/>
      </c>
      <c r="D78" s="176">
        <f>_xlfn.XLOOKUP(B79,'02_TrayPack_Order'!$A$2:$A$264,'02_TrayPack_Order'!$L$2:$L$264,0)</f>
        <v/>
      </c>
      <c r="E78" s="175">
        <f>SUMIF('13_Progress_Track'!$A$2:$A$108,B79,'13_Progress_Track'!$E$2:$E$108)</f>
        <v/>
      </c>
      <c r="F78" s="175">
        <f>IF(E79&gt;(C79+D79),(E79-(C79+D79)),0)</f>
        <v/>
      </c>
      <c r="G78" s="177">
        <f>IF(F79&gt;0,0,C79+D79-E79)</f>
        <v/>
      </c>
      <c r="H78" s="148">
        <f>_xludf.IFNA(_xlfn.XLOOKUP(B79,'00_SKU_Master'!$B$2:$B$378,'00_SKU_Master'!$C$2:$C$378),"")</f>
        <v/>
      </c>
      <c r="I78" s="148" t="n"/>
      <c r="J78" s="14">
        <f>_xludf.IFNA(_xlfn.XLOOKUP(B79,'00_SKU_Master'!B$2:B$378,'00_SKU_Master'!H$2:H$378,0),"")</f>
        <v/>
      </c>
      <c r="K78" s="14">
        <f>_xludf.IFNA(_xlfn.XLOOKUP(B79,'00_SKU_Master'!B$2:B$378,'00_SKU_Master'!K$2:K$378,0),"")</f>
        <v/>
      </c>
      <c r="L78" s="148">
        <f>_xlfn.XLOOKUP(B79,'00_SKU_Master'!$B$2:$B$378,'00_SKU_Master'!D:D)</f>
        <v/>
      </c>
      <c r="M78" s="148">
        <f>IF((C79-E79)&lt;0,0,C79-E79)</f>
        <v/>
      </c>
    </row>
    <row r="79">
      <c r="A79" s="148">
        <f>'00_SKU_Master'!J171</f>
        <v/>
      </c>
      <c r="B79" s="148">
        <f>'00_SKU_Master'!B171</f>
        <v/>
      </c>
      <c r="C79" s="175">
        <f>_xlfn.XLOOKUP(B80,'02_TrayPack_Order'!$A$2:$A$264,'02_TrayPack_Order'!$C$2:$C$264)</f>
        <v/>
      </c>
      <c r="D79" s="176">
        <f>_xlfn.XLOOKUP(B80,'02_TrayPack_Order'!$A$2:$A$264,'02_TrayPack_Order'!$L$2:$L$264,0)</f>
        <v/>
      </c>
      <c r="E79" s="175">
        <f>SUMIF('13_Progress_Track'!$A$2:$A$108,B80,'13_Progress_Track'!$E$2:$E$108)</f>
        <v/>
      </c>
      <c r="F79" s="175">
        <f>IF(E80&gt;(C80+D80),(E80-(C80+D80)),0)</f>
        <v/>
      </c>
      <c r="G79" s="177">
        <f>IF(F80&gt;0,0,C80+D80-E80)</f>
        <v/>
      </c>
      <c r="H79" s="148">
        <f>_xludf.IFNA(_xlfn.XLOOKUP(B80,'00_SKU_Master'!$B$2:$B$378,'00_SKU_Master'!$C$2:$C$378),"")</f>
        <v/>
      </c>
      <c r="I79" s="148" t="n"/>
      <c r="J79" s="14">
        <f>_xludf.IFNA(_xlfn.XLOOKUP(B80,'00_SKU_Master'!B$2:B$378,'00_SKU_Master'!H$2:H$378,0),"")</f>
        <v/>
      </c>
      <c r="K79" s="14">
        <f>_xludf.IFNA(_xlfn.XLOOKUP(B80,'00_SKU_Master'!B$2:B$378,'00_SKU_Master'!K$2:K$378,0),"")</f>
        <v/>
      </c>
      <c r="L79" s="148">
        <f>_xlfn.XLOOKUP(B80,'00_SKU_Master'!$B$2:$B$378,'00_SKU_Master'!D:D)</f>
        <v/>
      </c>
      <c r="M79" s="148">
        <f>IF((C80-E80)&lt;0,0,C80-E80)</f>
        <v/>
      </c>
    </row>
    <row r="80">
      <c r="A80" s="148">
        <f>'00_SKU_Master'!J172</f>
        <v/>
      </c>
      <c r="B80" s="148">
        <f>'00_SKU_Master'!B172</f>
        <v/>
      </c>
      <c r="C80" s="175">
        <f>_xlfn.XLOOKUP(B81,'02_TrayPack_Order'!$A$2:$A$264,'02_TrayPack_Order'!$C$2:$C$264)</f>
        <v/>
      </c>
      <c r="D80" s="176">
        <f>_xlfn.XLOOKUP(B81,'02_TrayPack_Order'!$A$2:$A$264,'02_TrayPack_Order'!$L$2:$L$264,0)</f>
        <v/>
      </c>
      <c r="E80" s="175">
        <f>SUMIF('13_Progress_Track'!$A$2:$A$108,B81,'13_Progress_Track'!$E$2:$E$108)</f>
        <v/>
      </c>
      <c r="F80" s="175">
        <f>IF(E81&gt;(C81+D81),(E81-(C81+D81)),0)</f>
        <v/>
      </c>
      <c r="G80" s="177">
        <f>IF(F81&gt;0,0,C81+D81-E81)</f>
        <v/>
      </c>
      <c r="H80" s="148">
        <f>_xludf.IFNA(_xlfn.XLOOKUP(B81,'00_SKU_Master'!$B$2:$B$378,'00_SKU_Master'!$C$2:$C$378),"")</f>
        <v/>
      </c>
      <c r="I80" s="148" t="n"/>
      <c r="J80" s="14">
        <f>_xludf.IFNA(_xlfn.XLOOKUP(B81,'00_SKU_Master'!B$2:B$378,'00_SKU_Master'!H$2:H$378,0),"")</f>
        <v/>
      </c>
      <c r="K80" s="14">
        <f>_xludf.IFNA(_xlfn.XLOOKUP(B81,'00_SKU_Master'!B$2:B$378,'00_SKU_Master'!K$2:K$378,0),"")</f>
        <v/>
      </c>
      <c r="L80" s="148">
        <f>_xlfn.XLOOKUP(B81,'00_SKU_Master'!$B$2:$B$378,'00_SKU_Master'!D:D)</f>
        <v/>
      </c>
      <c r="M80" s="148">
        <f>IF((C81-E81)&lt;0,0,C81-E81)</f>
        <v/>
      </c>
    </row>
    <row r="81">
      <c r="A81" s="148">
        <f>'00_SKU_Master'!J173</f>
        <v/>
      </c>
      <c r="B81" s="148">
        <f>'00_SKU_Master'!B173</f>
        <v/>
      </c>
      <c r="C81" s="175">
        <f>_xlfn.XLOOKUP(B82,'02_TrayPack_Order'!$A$2:$A$264,'02_TrayPack_Order'!$C$2:$C$264)</f>
        <v/>
      </c>
      <c r="D81" s="176">
        <f>_xlfn.XLOOKUP(B82,'02_TrayPack_Order'!$A$2:$A$264,'02_TrayPack_Order'!$L$2:$L$264,0)</f>
        <v/>
      </c>
      <c r="E81" s="175">
        <f>SUMIF('13_Progress_Track'!$A$2:$A$108,B82,'13_Progress_Track'!$E$2:$E$108)</f>
        <v/>
      </c>
      <c r="F81" s="175">
        <f>IF(E82&gt;(C82+D82),(E82-(C82+D82)),0)</f>
        <v/>
      </c>
      <c r="G81" s="177">
        <f>IF(F82&gt;0,0,C82+D82-E82)</f>
        <v/>
      </c>
      <c r="H81" s="148">
        <f>_xludf.IFNA(_xlfn.XLOOKUP(B82,'00_SKU_Master'!$B$2:$B$378,'00_SKU_Master'!$C$2:$C$378),"")</f>
        <v/>
      </c>
      <c r="I81" s="148" t="n"/>
      <c r="J81" s="14">
        <f>_xludf.IFNA(_xlfn.XLOOKUP(B82,'00_SKU_Master'!B$2:B$378,'00_SKU_Master'!H$2:H$378,0),"")</f>
        <v/>
      </c>
      <c r="K81" s="14">
        <f>_xludf.IFNA(_xlfn.XLOOKUP(B82,'00_SKU_Master'!B$2:B$378,'00_SKU_Master'!K$2:K$378,0),"")</f>
        <v/>
      </c>
      <c r="L81" s="148">
        <f>_xlfn.XLOOKUP(B82,'00_SKU_Master'!$B$2:$B$378,'00_SKU_Master'!D:D)</f>
        <v/>
      </c>
      <c r="M81" s="148">
        <f>IF((C82-E82)&lt;0,0,C82-E82)</f>
        <v/>
      </c>
    </row>
    <row r="82">
      <c r="A82" s="148">
        <f>'00_SKU_Master'!J174</f>
        <v/>
      </c>
      <c r="B82" s="148">
        <f>'00_SKU_Master'!B174</f>
        <v/>
      </c>
      <c r="C82" s="175">
        <f>_xlfn.XLOOKUP(B83,'02_TrayPack_Order'!$A$2:$A$264,'02_TrayPack_Order'!$C$2:$C$264)</f>
        <v/>
      </c>
      <c r="D82" s="176">
        <f>_xlfn.XLOOKUP(B83,'02_TrayPack_Order'!$A$2:$A$264,'02_TrayPack_Order'!$L$2:$L$264,0)</f>
        <v/>
      </c>
      <c r="E82" s="175">
        <f>SUMIF('13_Progress_Track'!$A$2:$A$108,B83,'13_Progress_Track'!$E$2:$E$108)</f>
        <v/>
      </c>
      <c r="F82" s="175">
        <f>IF(E83&gt;(C83+D83),(E83-(C83+D83)),0)</f>
        <v/>
      </c>
      <c r="G82" s="177">
        <f>IF(F83&gt;0,0,C83+D83-E83)</f>
        <v/>
      </c>
      <c r="H82" s="148">
        <f>_xludf.IFNA(_xlfn.XLOOKUP(B83,'00_SKU_Master'!$B$2:$B$378,'00_SKU_Master'!$C$2:$C$378),"")</f>
        <v/>
      </c>
      <c r="I82" s="148" t="n"/>
      <c r="J82" s="14">
        <f>_xludf.IFNA(_xlfn.XLOOKUP(B83,'00_SKU_Master'!B$2:B$378,'00_SKU_Master'!H$2:H$378,0),"")</f>
        <v/>
      </c>
      <c r="K82" s="14">
        <f>_xludf.IFNA(_xlfn.XLOOKUP(B83,'00_SKU_Master'!B$2:B$378,'00_SKU_Master'!K$2:K$378,0),"")</f>
        <v/>
      </c>
      <c r="L82" s="148">
        <f>_xlfn.XLOOKUP(B83,'00_SKU_Master'!$B$2:$B$378,'00_SKU_Master'!D:D)</f>
        <v/>
      </c>
      <c r="M82" s="148">
        <f>IF((C83-E83)&lt;0,0,C83-E83)</f>
        <v/>
      </c>
    </row>
    <row r="83">
      <c r="A83" s="148">
        <f>'00_SKU_Master'!J175</f>
        <v/>
      </c>
      <c r="B83" s="148">
        <f>'00_SKU_Master'!B175</f>
        <v/>
      </c>
      <c r="C83" s="175">
        <f>_xlfn.XLOOKUP(B84,'02_TrayPack_Order'!$A$2:$A$264,'02_TrayPack_Order'!$C$2:$C$264)</f>
        <v/>
      </c>
      <c r="D83" s="176">
        <f>_xlfn.XLOOKUP(B84,'02_TrayPack_Order'!$A$2:$A$264,'02_TrayPack_Order'!$L$2:$L$264,0)</f>
        <v/>
      </c>
      <c r="E83" s="175">
        <f>SUMIF('13_Progress_Track'!$A$2:$A$108,B84,'13_Progress_Track'!$E$2:$E$108)</f>
        <v/>
      </c>
      <c r="F83" s="175">
        <f>IF(E84&gt;(C84+D84),(E84-(C84+D84)),0)</f>
        <v/>
      </c>
      <c r="G83" s="177">
        <f>IF(F84&gt;0,0,C84+D84-E84)</f>
        <v/>
      </c>
      <c r="H83" s="148">
        <f>_xludf.IFNA(_xlfn.XLOOKUP(B84,'00_SKU_Master'!$B$2:$B$378,'00_SKU_Master'!$C$2:$C$378),"")</f>
        <v/>
      </c>
      <c r="I83" s="148" t="n"/>
      <c r="J83" s="14">
        <f>_xludf.IFNA(_xlfn.XLOOKUP(B84,'00_SKU_Master'!B$2:B$378,'00_SKU_Master'!H$2:H$378,0),"")</f>
        <v/>
      </c>
      <c r="K83" s="14">
        <f>_xludf.IFNA(_xlfn.XLOOKUP(B84,'00_SKU_Master'!B$2:B$378,'00_SKU_Master'!K$2:K$378,0),"")</f>
        <v/>
      </c>
      <c r="L83" s="148">
        <f>_xlfn.XLOOKUP(B84,'00_SKU_Master'!$B$2:$B$378,'00_SKU_Master'!D:D)</f>
        <v/>
      </c>
      <c r="M83" s="148">
        <f>IF((C84-E84)&lt;0,0,C84-E84)</f>
        <v/>
      </c>
    </row>
    <row r="84">
      <c r="A84" s="148">
        <f>'00_SKU_Master'!J176</f>
        <v/>
      </c>
      <c r="B84" s="148">
        <f>'00_SKU_Master'!B176</f>
        <v/>
      </c>
      <c r="C84" s="175">
        <f>_xlfn.XLOOKUP(B85,'02_TrayPack_Order'!$A$2:$A$264,'02_TrayPack_Order'!$C$2:$C$264)</f>
        <v/>
      </c>
      <c r="D84" s="176">
        <f>_xlfn.XLOOKUP(B85,'02_TrayPack_Order'!$A$2:$A$264,'02_TrayPack_Order'!$L$2:$L$264,0)</f>
        <v/>
      </c>
      <c r="E84" s="175">
        <f>SUMIF('13_Progress_Track'!$A$2:$A$108,B85,'13_Progress_Track'!$E$2:$E$108)</f>
        <v/>
      </c>
      <c r="F84" s="175">
        <f>IF(E85&gt;(C85+D85),(E85-(C85+D85)),0)</f>
        <v/>
      </c>
      <c r="G84" s="177">
        <f>IF(F85&gt;0,0,C85+D85-E85)</f>
        <v/>
      </c>
      <c r="H84" s="148">
        <f>_xludf.IFNA(_xlfn.XLOOKUP(B85,'00_SKU_Master'!$B$2:$B$378,'00_SKU_Master'!$C$2:$C$378),"")</f>
        <v/>
      </c>
      <c r="I84" s="148" t="n"/>
      <c r="J84" s="14">
        <f>_xludf.IFNA(_xlfn.XLOOKUP(B85,'00_SKU_Master'!B$2:B$378,'00_SKU_Master'!H$2:H$378,0),"")</f>
        <v/>
      </c>
      <c r="K84" s="14">
        <f>_xludf.IFNA(_xlfn.XLOOKUP(B85,'00_SKU_Master'!B$2:B$378,'00_SKU_Master'!K$2:K$378,0),"")</f>
        <v/>
      </c>
      <c r="L84" s="148">
        <f>_xlfn.XLOOKUP(B85,'00_SKU_Master'!$B$2:$B$378,'00_SKU_Master'!D:D)</f>
        <v/>
      </c>
      <c r="M84" s="148">
        <f>IF((C85-E85)&lt;0,0,C85-E85)</f>
        <v/>
      </c>
    </row>
    <row r="85">
      <c r="A85" s="148">
        <f>'00_SKU_Master'!J177</f>
        <v/>
      </c>
      <c r="B85" s="148">
        <f>'00_SKU_Master'!B177</f>
        <v/>
      </c>
      <c r="C85" s="175">
        <f>_xlfn.XLOOKUP(B86,'02_TrayPack_Order'!$A$2:$A$264,'02_TrayPack_Order'!$C$2:$C$264)</f>
        <v/>
      </c>
      <c r="D85" s="176">
        <f>_xlfn.XLOOKUP(B86,'02_TrayPack_Order'!$A$2:$A$264,'02_TrayPack_Order'!$L$2:$L$264,0)</f>
        <v/>
      </c>
      <c r="E85" s="175">
        <f>SUMIF('13_Progress_Track'!$A$2:$A$108,B86,'13_Progress_Track'!$E$2:$E$108)</f>
        <v/>
      </c>
      <c r="F85" s="175">
        <f>IF(E86&gt;(C86+D86),(E86-(C86+D86)),0)</f>
        <v/>
      </c>
      <c r="G85" s="177">
        <f>IF(F86&gt;0,0,C86+D86-E86)</f>
        <v/>
      </c>
      <c r="H85" s="148">
        <f>_xludf.IFNA(_xlfn.XLOOKUP(B86,'00_SKU_Master'!$B$2:$B$378,'00_SKU_Master'!$C$2:$C$378),"")</f>
        <v/>
      </c>
      <c r="I85" s="148" t="n"/>
      <c r="J85" s="14">
        <f>_xludf.IFNA(_xlfn.XLOOKUP(B86,'00_SKU_Master'!B$2:B$378,'00_SKU_Master'!H$2:H$378,0),"")</f>
        <v/>
      </c>
      <c r="K85" s="14">
        <f>_xludf.IFNA(_xlfn.XLOOKUP(B86,'00_SKU_Master'!B$2:B$378,'00_SKU_Master'!K$2:K$378,0),"")</f>
        <v/>
      </c>
      <c r="L85" s="148">
        <f>_xlfn.XLOOKUP(B86,'00_SKU_Master'!$B$2:$B$378,'00_SKU_Master'!D:D)</f>
        <v/>
      </c>
      <c r="M85" s="148">
        <f>IF((C86-E86)&lt;0,0,C86-E86)</f>
        <v/>
      </c>
    </row>
    <row r="86">
      <c r="A86" s="148">
        <f>'00_SKU_Master'!J178</f>
        <v/>
      </c>
      <c r="B86" s="148">
        <f>'00_SKU_Master'!B178</f>
        <v/>
      </c>
      <c r="C86" s="175">
        <f>_xlfn.XLOOKUP(B87,'02_TrayPack_Order'!$A$2:$A$264,'02_TrayPack_Order'!$C$2:$C$264)</f>
        <v/>
      </c>
      <c r="D86" s="176">
        <f>_xlfn.XLOOKUP(B87,'02_TrayPack_Order'!$A$2:$A$264,'02_TrayPack_Order'!$L$2:$L$264,0)</f>
        <v/>
      </c>
      <c r="E86" s="175">
        <f>SUMIF('13_Progress_Track'!$A$2:$A$108,B87,'13_Progress_Track'!$E$2:$E$108)</f>
        <v/>
      </c>
      <c r="F86" s="175">
        <f>IF(E87&gt;(C87+D87),(E87-(C87+D87)),0)</f>
        <v/>
      </c>
      <c r="G86" s="177">
        <f>IF(F87&gt;0,0,C87+D87-E87)</f>
        <v/>
      </c>
      <c r="H86" s="148">
        <f>_xludf.IFNA(_xlfn.XLOOKUP(B87,'00_SKU_Master'!$B$2:$B$378,'00_SKU_Master'!$C$2:$C$378),"")</f>
        <v/>
      </c>
      <c r="I86" s="148" t="n"/>
      <c r="J86" s="14">
        <f>_xludf.IFNA(_xlfn.XLOOKUP(B87,'00_SKU_Master'!B$2:B$378,'00_SKU_Master'!H$2:H$378,0),"")</f>
        <v/>
      </c>
      <c r="K86" s="14">
        <f>_xludf.IFNA(_xlfn.XLOOKUP(B87,'00_SKU_Master'!B$2:B$378,'00_SKU_Master'!K$2:K$378,0),"")</f>
        <v/>
      </c>
      <c r="L86" s="148">
        <f>_xlfn.XLOOKUP(B87,'00_SKU_Master'!$B$2:$B$378,'00_SKU_Master'!D:D)</f>
        <v/>
      </c>
      <c r="M86" s="148">
        <f>IF((C87-E87)&lt;0,0,C87-E87)</f>
        <v/>
      </c>
    </row>
    <row r="87">
      <c r="A87" s="148">
        <f>'00_SKU_Master'!J179</f>
        <v/>
      </c>
      <c r="B87" s="148">
        <f>'00_SKU_Master'!B179</f>
        <v/>
      </c>
      <c r="C87" s="175">
        <f>_xlfn.XLOOKUP(B88,'02_TrayPack_Order'!$A$2:$A$264,'02_TrayPack_Order'!$C$2:$C$264)</f>
        <v/>
      </c>
      <c r="D87" s="176">
        <f>_xlfn.XLOOKUP(B88,'02_TrayPack_Order'!$A$2:$A$264,'02_TrayPack_Order'!$L$2:$L$264,0)</f>
        <v/>
      </c>
      <c r="E87" s="175">
        <f>SUMIF('13_Progress_Track'!$A$2:$A$108,B88,'13_Progress_Track'!$E$2:$E$108)</f>
        <v/>
      </c>
      <c r="F87" s="175">
        <f>IF(E88&gt;(C88+D88),(E88-(C88+D88)),0)</f>
        <v/>
      </c>
      <c r="G87" s="177">
        <f>IF(F88&gt;0,0,C88+D88-E88)</f>
        <v/>
      </c>
      <c r="H87" s="148">
        <f>_xludf.IFNA(_xlfn.XLOOKUP(B88,'00_SKU_Master'!$B$2:$B$378,'00_SKU_Master'!$C$2:$C$378),"")</f>
        <v/>
      </c>
      <c r="I87" s="148" t="n"/>
      <c r="J87" s="14">
        <f>_xludf.IFNA(_xlfn.XLOOKUP(B88,'00_SKU_Master'!B$2:B$378,'00_SKU_Master'!H$2:H$378,0),"")</f>
        <v/>
      </c>
      <c r="K87" s="14">
        <f>_xludf.IFNA(_xlfn.XLOOKUP(B88,'00_SKU_Master'!B$2:B$378,'00_SKU_Master'!K$2:K$378,0),"")</f>
        <v/>
      </c>
      <c r="L87" s="148">
        <f>_xlfn.XLOOKUP(B88,'00_SKU_Master'!$B$2:$B$378,'00_SKU_Master'!D:D)</f>
        <v/>
      </c>
      <c r="M87" s="148">
        <f>IF((C88-E88)&lt;0,0,C88-E88)</f>
        <v/>
      </c>
    </row>
    <row r="88">
      <c r="A88" s="148">
        <f>'00_SKU_Master'!J180</f>
        <v/>
      </c>
      <c r="B88" s="148">
        <f>'00_SKU_Master'!B180</f>
        <v/>
      </c>
      <c r="C88" s="175">
        <f>_xlfn.XLOOKUP(B89,'02_TrayPack_Order'!$A$2:$A$264,'02_TrayPack_Order'!$C$2:$C$264)</f>
        <v/>
      </c>
      <c r="D88" s="176">
        <f>_xlfn.XLOOKUP(B89,'02_TrayPack_Order'!$A$2:$A$264,'02_TrayPack_Order'!$L$2:$L$264,0)</f>
        <v/>
      </c>
      <c r="E88" s="175">
        <f>SUMIF('13_Progress_Track'!$A$2:$A$108,B89,'13_Progress_Track'!$E$2:$E$108)</f>
        <v/>
      </c>
      <c r="F88" s="175">
        <f>IF(E89&gt;(C89+D89),(E89-(C89+D89)),0)</f>
        <v/>
      </c>
      <c r="G88" s="177">
        <f>IF(F89&gt;0,0,C89+D89-E89)</f>
        <v/>
      </c>
      <c r="H88" s="148">
        <f>_xludf.IFNA(_xlfn.XLOOKUP(B89,'00_SKU_Master'!$B$2:$B$378,'00_SKU_Master'!$C$2:$C$378),"")</f>
        <v/>
      </c>
      <c r="I88" s="148" t="n"/>
      <c r="J88" s="14">
        <f>_xludf.IFNA(_xlfn.XLOOKUP(B89,'00_SKU_Master'!B$2:B$378,'00_SKU_Master'!H$2:H$378,0),"")</f>
        <v/>
      </c>
      <c r="K88" s="14">
        <f>_xludf.IFNA(_xlfn.XLOOKUP(B89,'00_SKU_Master'!B$2:B$378,'00_SKU_Master'!K$2:K$378,0),"")</f>
        <v/>
      </c>
      <c r="L88" s="148">
        <f>_xlfn.XLOOKUP(B89,'00_SKU_Master'!$B$2:$B$378,'00_SKU_Master'!D:D)</f>
        <v/>
      </c>
      <c r="M88" s="148">
        <f>IF((C89-E89)&lt;0,0,C89-E89)</f>
        <v/>
      </c>
    </row>
    <row r="89">
      <c r="A89" s="148">
        <f>'00_SKU_Master'!J181</f>
        <v/>
      </c>
      <c r="B89" s="148">
        <f>'00_SKU_Master'!B181</f>
        <v/>
      </c>
      <c r="C89" s="175">
        <f>_xlfn.XLOOKUP(B90,'02_TrayPack_Order'!$A$2:$A$264,'02_TrayPack_Order'!$C$2:$C$264)</f>
        <v/>
      </c>
      <c r="D89" s="176">
        <f>_xlfn.XLOOKUP(B90,'02_TrayPack_Order'!$A$2:$A$264,'02_TrayPack_Order'!$L$2:$L$264,0)</f>
        <v/>
      </c>
      <c r="E89" s="175">
        <f>SUMIF('13_Progress_Track'!$A$2:$A$108,B90,'13_Progress_Track'!$E$2:$E$108)</f>
        <v/>
      </c>
      <c r="F89" s="175">
        <f>IF(E90&gt;(C90+D90),(E90-(C90+D90)),0)</f>
        <v/>
      </c>
      <c r="G89" s="177">
        <f>IF(F90&gt;0,0,C90+D90-E90)</f>
        <v/>
      </c>
      <c r="H89" s="148">
        <f>_xludf.IFNA(_xlfn.XLOOKUP(B90,'00_SKU_Master'!$B$2:$B$378,'00_SKU_Master'!$C$2:$C$378),"")</f>
        <v/>
      </c>
      <c r="I89" s="148" t="n"/>
      <c r="J89" s="14">
        <f>_xludf.IFNA(_xlfn.XLOOKUP(B90,'00_SKU_Master'!B$2:B$378,'00_SKU_Master'!H$2:H$378,0),"")</f>
        <v/>
      </c>
      <c r="K89" s="14">
        <f>_xludf.IFNA(_xlfn.XLOOKUP(B90,'00_SKU_Master'!B$2:B$378,'00_SKU_Master'!K$2:K$378,0),"")</f>
        <v/>
      </c>
      <c r="L89" s="148">
        <f>_xlfn.XLOOKUP(B90,'00_SKU_Master'!$B$2:$B$378,'00_SKU_Master'!D:D)</f>
        <v/>
      </c>
      <c r="M89" s="148">
        <f>IF((C90-E90)&lt;0,0,C90-E90)</f>
        <v/>
      </c>
    </row>
    <row r="90">
      <c r="A90" s="148">
        <f>'00_SKU_Master'!J182</f>
        <v/>
      </c>
      <c r="B90" s="148">
        <f>'00_SKU_Master'!B182</f>
        <v/>
      </c>
      <c r="C90" s="175">
        <f>_xlfn.XLOOKUP(B91,'02_TrayPack_Order'!$A$2:$A$264,'02_TrayPack_Order'!$C$2:$C$264)</f>
        <v/>
      </c>
      <c r="D90" s="176">
        <f>_xlfn.XLOOKUP(B91,'02_TrayPack_Order'!$A$2:$A$264,'02_TrayPack_Order'!$L$2:$L$264,0)</f>
        <v/>
      </c>
      <c r="E90" s="175">
        <f>SUMIF('13_Progress_Track'!$A$2:$A$108,B91,'13_Progress_Track'!$E$2:$E$108)</f>
        <v/>
      </c>
      <c r="F90" s="175">
        <f>IF(E91&gt;(C91+D91),(E91-(C91+D91)),0)</f>
        <v/>
      </c>
      <c r="G90" s="177">
        <f>IF(F91&gt;0,0,C91+D91-E91)</f>
        <v/>
      </c>
      <c r="H90" s="148">
        <f>_xludf.IFNA(_xlfn.XLOOKUP(B91,'00_SKU_Master'!$B$2:$B$378,'00_SKU_Master'!$C$2:$C$378),"")</f>
        <v/>
      </c>
      <c r="I90" s="148" t="n"/>
      <c r="J90" s="14">
        <f>_xludf.IFNA(_xlfn.XLOOKUP(B91,'00_SKU_Master'!B$2:B$378,'00_SKU_Master'!H$2:H$378,0),"")</f>
        <v/>
      </c>
      <c r="K90" s="14">
        <f>_xludf.IFNA(_xlfn.XLOOKUP(B91,'00_SKU_Master'!B$2:B$378,'00_SKU_Master'!K$2:K$378,0),"")</f>
        <v/>
      </c>
      <c r="L90" s="148">
        <f>_xlfn.XLOOKUP(B91,'00_SKU_Master'!$B$2:$B$378,'00_SKU_Master'!D:D)</f>
        <v/>
      </c>
      <c r="M90" s="148">
        <f>IF((C91-E91)&lt;0,0,C91-E91)</f>
        <v/>
      </c>
    </row>
    <row r="91">
      <c r="A91" s="148">
        <f>'00_SKU_Master'!J183</f>
        <v/>
      </c>
      <c r="B91" s="148">
        <f>'00_SKU_Master'!B183</f>
        <v/>
      </c>
      <c r="C91" s="175">
        <f>_xlfn.XLOOKUP(B92,'02_TrayPack_Order'!$A$2:$A$264,'02_TrayPack_Order'!$C$2:$C$264)</f>
        <v/>
      </c>
      <c r="D91" s="176">
        <f>_xlfn.XLOOKUP(B92,'02_TrayPack_Order'!$A$2:$A$264,'02_TrayPack_Order'!$L$2:$L$264,0)</f>
        <v/>
      </c>
      <c r="E91" s="175">
        <f>SUMIF('13_Progress_Track'!$A$2:$A$108,B92,'13_Progress_Track'!$E$2:$E$108)</f>
        <v/>
      </c>
      <c r="F91" s="175">
        <f>IF(E92&gt;(C92+D92),(E92-(C92+D92)),0)</f>
        <v/>
      </c>
      <c r="G91" s="177">
        <f>IF(F92&gt;0,0,C92+D92-E92)</f>
        <v/>
      </c>
      <c r="H91" s="148">
        <f>_xludf.IFNA(_xlfn.XLOOKUP(B92,'00_SKU_Master'!$B$2:$B$378,'00_SKU_Master'!$C$2:$C$378),"")</f>
        <v/>
      </c>
      <c r="I91" s="148" t="n"/>
      <c r="J91" s="14">
        <f>_xludf.IFNA(_xlfn.XLOOKUP(B92,'00_SKU_Master'!B$2:B$378,'00_SKU_Master'!H$2:H$378,0),"")</f>
        <v/>
      </c>
      <c r="K91" s="14">
        <f>_xludf.IFNA(_xlfn.XLOOKUP(B92,'00_SKU_Master'!B$2:B$378,'00_SKU_Master'!K$2:K$378,0),"")</f>
        <v/>
      </c>
      <c r="L91" s="148">
        <f>_xlfn.XLOOKUP(B92,'00_SKU_Master'!$B$2:$B$378,'00_SKU_Master'!D:D)</f>
        <v/>
      </c>
      <c r="M91" s="148">
        <f>IF((C92-E92)&lt;0,0,C92-E92)</f>
        <v/>
      </c>
    </row>
    <row r="92">
      <c r="A92" s="148">
        <f>'00_SKU_Master'!J184</f>
        <v/>
      </c>
      <c r="B92" s="148">
        <f>'00_SKU_Master'!B184</f>
        <v/>
      </c>
      <c r="C92" s="175">
        <f>_xlfn.XLOOKUP(B93,'02_TrayPack_Order'!$A$2:$A$264,'02_TrayPack_Order'!$C$2:$C$264)</f>
        <v/>
      </c>
      <c r="D92" s="176">
        <f>_xlfn.XLOOKUP(B93,'02_TrayPack_Order'!$A$2:$A$264,'02_TrayPack_Order'!$L$2:$L$264,0)</f>
        <v/>
      </c>
      <c r="E92" s="175">
        <f>SUMIF('13_Progress_Track'!$A$2:$A$108,B93,'13_Progress_Track'!$E$2:$E$108)</f>
        <v/>
      </c>
      <c r="F92" s="175">
        <f>IF(E93&gt;(C93+D93),(E93-(C93+D93)),0)</f>
        <v/>
      </c>
      <c r="G92" s="177">
        <f>IF(F93&gt;0,0,C93+D93-E93)</f>
        <v/>
      </c>
      <c r="H92" s="148">
        <f>_xludf.IFNA(_xlfn.XLOOKUP(B93,'00_SKU_Master'!$B$2:$B$378,'00_SKU_Master'!$C$2:$C$378),"")</f>
        <v/>
      </c>
      <c r="I92" s="148" t="n"/>
      <c r="J92" s="14">
        <f>_xludf.IFNA(_xlfn.XLOOKUP(B93,'00_SKU_Master'!B$2:B$378,'00_SKU_Master'!H$2:H$378,0),"")</f>
        <v/>
      </c>
      <c r="K92" s="14">
        <f>_xludf.IFNA(_xlfn.XLOOKUP(B93,'00_SKU_Master'!B$2:B$378,'00_SKU_Master'!K$2:K$378,0),"")</f>
        <v/>
      </c>
      <c r="L92" s="148">
        <f>_xlfn.XLOOKUP(B93,'00_SKU_Master'!$B$2:$B$378,'00_SKU_Master'!D:D)</f>
        <v/>
      </c>
      <c r="M92" s="148">
        <f>IF((C93-E93)&lt;0,0,C93-E93)</f>
        <v/>
      </c>
    </row>
    <row r="93">
      <c r="A93" s="148">
        <f>'00_SKU_Master'!J185</f>
        <v/>
      </c>
      <c r="B93" s="148">
        <f>'00_SKU_Master'!B185</f>
        <v/>
      </c>
      <c r="C93" s="175">
        <f>_xlfn.XLOOKUP(B94,'02_TrayPack_Order'!$A$2:$A$264,'02_TrayPack_Order'!$C$2:$C$264)</f>
        <v/>
      </c>
      <c r="D93" s="176">
        <f>_xlfn.XLOOKUP(B94,'02_TrayPack_Order'!$A$2:$A$264,'02_TrayPack_Order'!$L$2:$L$264,0)</f>
        <v/>
      </c>
      <c r="E93" s="175">
        <f>SUMIF('13_Progress_Track'!$A$2:$A$108,B94,'13_Progress_Track'!$E$2:$E$108)</f>
        <v/>
      </c>
      <c r="F93" s="175">
        <f>IF(E94&gt;(C94+D94),(E94-(C94+D94)),0)</f>
        <v/>
      </c>
      <c r="G93" s="177">
        <f>IF(F94&gt;0,0,C94+D94-E94)</f>
        <v/>
      </c>
      <c r="H93" s="148">
        <f>_xludf.IFNA(_xlfn.XLOOKUP(B94,'00_SKU_Master'!$B$2:$B$378,'00_SKU_Master'!$C$2:$C$378),"")</f>
        <v/>
      </c>
      <c r="I93" s="148" t="n"/>
      <c r="J93" s="14">
        <f>_xludf.IFNA(_xlfn.XLOOKUP(B94,'00_SKU_Master'!B$2:B$378,'00_SKU_Master'!H$2:H$378,0),"")</f>
        <v/>
      </c>
      <c r="K93" s="14">
        <f>_xludf.IFNA(_xlfn.XLOOKUP(B94,'00_SKU_Master'!B$2:B$378,'00_SKU_Master'!K$2:K$378,0),"")</f>
        <v/>
      </c>
      <c r="L93" s="148">
        <f>_xlfn.XLOOKUP(B94,'00_SKU_Master'!$B$2:$B$378,'00_SKU_Master'!D:D)</f>
        <v/>
      </c>
      <c r="M93" s="148">
        <f>IF((C94-E94)&lt;0,0,C94-E94)</f>
        <v/>
      </c>
    </row>
    <row r="94">
      <c r="A94" s="148">
        <f>'00_SKU_Master'!J186</f>
        <v/>
      </c>
      <c r="B94" s="148">
        <f>'00_SKU_Master'!B186</f>
        <v/>
      </c>
      <c r="C94" s="175">
        <f>_xlfn.XLOOKUP(B95,'02_TrayPack_Order'!$A$2:$A$264,'02_TrayPack_Order'!$C$2:$C$264)</f>
        <v/>
      </c>
      <c r="D94" s="176">
        <f>_xlfn.XLOOKUP(B95,'02_TrayPack_Order'!$A$2:$A$264,'02_TrayPack_Order'!$L$2:$L$264,0)</f>
        <v/>
      </c>
      <c r="E94" s="175">
        <f>SUMIF('13_Progress_Track'!$A$2:$A$108,B95,'13_Progress_Track'!$E$2:$E$108)</f>
        <v/>
      </c>
      <c r="F94" s="175">
        <f>IF(E95&gt;(C95+D95),(E95-(C95+D95)),0)</f>
        <v/>
      </c>
      <c r="G94" s="177">
        <f>IF(F95&gt;0,0,C95+D95-E95)</f>
        <v/>
      </c>
      <c r="H94" s="148">
        <f>_xludf.IFNA(_xlfn.XLOOKUP(B95,'00_SKU_Master'!$B$2:$B$378,'00_SKU_Master'!$C$2:$C$378),"")</f>
        <v/>
      </c>
      <c r="I94" s="148" t="n"/>
      <c r="J94" s="14">
        <f>_xludf.IFNA(_xlfn.XLOOKUP(B95,'00_SKU_Master'!B$2:B$378,'00_SKU_Master'!H$2:H$378,0),"")</f>
        <v/>
      </c>
      <c r="K94" s="14">
        <f>_xludf.IFNA(_xlfn.XLOOKUP(B95,'00_SKU_Master'!B$2:B$378,'00_SKU_Master'!K$2:K$378,0),"")</f>
        <v/>
      </c>
      <c r="L94" s="148">
        <f>_xlfn.XLOOKUP(B95,'00_SKU_Master'!$B$2:$B$378,'00_SKU_Master'!D:D)</f>
        <v/>
      </c>
      <c r="M94" s="148">
        <f>IF((C95-E95)&lt;0,0,C95-E95)</f>
        <v/>
      </c>
    </row>
    <row r="95">
      <c r="A95" s="148">
        <f>'00_SKU_Master'!J187</f>
        <v/>
      </c>
      <c r="B95" s="148">
        <f>'00_SKU_Master'!B187</f>
        <v/>
      </c>
      <c r="C95" s="175">
        <f>_xlfn.XLOOKUP(B96,'02_TrayPack_Order'!$A$2:$A$264,'02_TrayPack_Order'!$C$2:$C$264)</f>
        <v/>
      </c>
      <c r="D95" s="176">
        <f>_xlfn.XLOOKUP(B96,'02_TrayPack_Order'!$A$2:$A$264,'02_TrayPack_Order'!$L$2:$L$264,0)</f>
        <v/>
      </c>
      <c r="E95" s="175">
        <f>SUMIF('13_Progress_Track'!$A$2:$A$108,B96,'13_Progress_Track'!$E$2:$E$108)</f>
        <v/>
      </c>
      <c r="F95" s="175">
        <f>IF(E96&gt;(C96+D96),(E96-(C96+D96)),0)</f>
        <v/>
      </c>
      <c r="G95" s="177">
        <f>IF(F96&gt;0,0,C96+D96-E96)</f>
        <v/>
      </c>
      <c r="H95" s="148">
        <f>_xludf.IFNA(_xlfn.XLOOKUP(B96,'00_SKU_Master'!$B$2:$B$378,'00_SKU_Master'!$C$2:$C$378),"")</f>
        <v/>
      </c>
      <c r="I95" s="148" t="n"/>
      <c r="J95" s="14">
        <f>_xludf.IFNA(_xlfn.XLOOKUP(B96,'00_SKU_Master'!B$2:B$378,'00_SKU_Master'!H$2:H$378,0),"")</f>
        <v/>
      </c>
      <c r="K95" s="14">
        <f>_xludf.IFNA(_xlfn.XLOOKUP(B96,'00_SKU_Master'!B$2:B$378,'00_SKU_Master'!K$2:K$378,0),"")</f>
        <v/>
      </c>
      <c r="L95" s="148">
        <f>_xlfn.XLOOKUP(B96,'00_SKU_Master'!$B$2:$B$378,'00_SKU_Master'!D:D)</f>
        <v/>
      </c>
      <c r="M95" s="148">
        <f>IF((C96-E96)&lt;0,0,C96-E96)</f>
        <v/>
      </c>
    </row>
    <row r="96">
      <c r="A96" s="148">
        <f>'00_SKU_Master'!J188</f>
        <v/>
      </c>
      <c r="B96" s="148">
        <f>'00_SKU_Master'!B188</f>
        <v/>
      </c>
      <c r="C96" s="175">
        <f>_xlfn.XLOOKUP(B97,'02_TrayPack_Order'!$A$2:$A$264,'02_TrayPack_Order'!$C$2:$C$264)</f>
        <v/>
      </c>
      <c r="D96" s="176">
        <f>_xlfn.XLOOKUP(B97,'02_TrayPack_Order'!$A$2:$A$264,'02_TrayPack_Order'!$L$2:$L$264,0)</f>
        <v/>
      </c>
      <c r="E96" s="175">
        <f>SUMIF('13_Progress_Track'!$A$2:$A$108,B97,'13_Progress_Track'!$E$2:$E$108)</f>
        <v/>
      </c>
      <c r="F96" s="175">
        <f>IF(E97&gt;(C97+D97),(E97-(C97+D97)),0)</f>
        <v/>
      </c>
      <c r="G96" s="177">
        <f>IF(F97&gt;0,0,C97+D97-E97)</f>
        <v/>
      </c>
      <c r="H96" s="148">
        <f>_xludf.IFNA(_xlfn.XLOOKUP(B97,'00_SKU_Master'!$B$2:$B$378,'00_SKU_Master'!$C$2:$C$378),"")</f>
        <v/>
      </c>
      <c r="I96" s="148" t="n"/>
      <c r="J96" s="14">
        <f>_xludf.IFNA(_xlfn.XLOOKUP(B97,'00_SKU_Master'!B$2:B$378,'00_SKU_Master'!H$2:H$378,0),"")</f>
        <v/>
      </c>
      <c r="K96" s="14">
        <f>_xludf.IFNA(_xlfn.XLOOKUP(B97,'00_SKU_Master'!B$2:B$378,'00_SKU_Master'!K$2:K$378,0),"")</f>
        <v/>
      </c>
      <c r="L96" s="148">
        <f>_xlfn.XLOOKUP(B97,'00_SKU_Master'!$B$2:$B$378,'00_SKU_Master'!D:D)</f>
        <v/>
      </c>
      <c r="M96" s="148">
        <f>IF((C97-E97)&lt;0,0,C97-E97)</f>
        <v/>
      </c>
    </row>
    <row r="97">
      <c r="A97" s="148">
        <f>'00_SKU_Master'!J189</f>
        <v/>
      </c>
      <c r="B97" s="148">
        <f>'00_SKU_Master'!B189</f>
        <v/>
      </c>
      <c r="C97" s="175">
        <f>_xlfn.XLOOKUP(B98,'02_TrayPack_Order'!$A$2:$A$264,'02_TrayPack_Order'!$C$2:$C$264)</f>
        <v/>
      </c>
      <c r="D97" s="176">
        <f>_xlfn.XLOOKUP(B98,'02_TrayPack_Order'!$A$2:$A$264,'02_TrayPack_Order'!$L$2:$L$264,0)</f>
        <v/>
      </c>
      <c r="E97" s="175">
        <f>SUMIF('13_Progress_Track'!$A$2:$A$108,B98,'13_Progress_Track'!$E$2:$E$108)</f>
        <v/>
      </c>
      <c r="F97" s="175">
        <f>IF(E98&gt;(C98+D98),(E98-(C98+D98)),0)</f>
        <v/>
      </c>
      <c r="G97" s="177">
        <f>IF(F98&gt;0,0,C98+D98-E98)</f>
        <v/>
      </c>
      <c r="H97" s="148">
        <f>_xludf.IFNA(_xlfn.XLOOKUP(B98,'00_SKU_Master'!$B$2:$B$378,'00_SKU_Master'!$C$2:$C$378),"")</f>
        <v/>
      </c>
      <c r="I97" s="148" t="n"/>
      <c r="J97" s="14">
        <f>_xludf.IFNA(_xlfn.XLOOKUP(B98,'00_SKU_Master'!B$2:B$378,'00_SKU_Master'!H$2:H$378,0),"")</f>
        <v/>
      </c>
      <c r="K97" s="14">
        <f>_xludf.IFNA(_xlfn.XLOOKUP(B98,'00_SKU_Master'!B$2:B$378,'00_SKU_Master'!K$2:K$378,0),"")</f>
        <v/>
      </c>
      <c r="L97" s="148">
        <f>_xlfn.XLOOKUP(B98,'00_SKU_Master'!$B$2:$B$378,'00_SKU_Master'!D:D)</f>
        <v/>
      </c>
      <c r="M97" s="148">
        <f>IF((C98-E98)&lt;0,0,C98-E98)</f>
        <v/>
      </c>
    </row>
    <row r="98">
      <c r="A98" s="148">
        <f>'00_SKU_Master'!J190</f>
        <v/>
      </c>
      <c r="B98" s="148">
        <f>'00_SKU_Master'!B190</f>
        <v/>
      </c>
      <c r="C98" s="175">
        <f>_xlfn.XLOOKUP(B99,'02_TrayPack_Order'!$A$2:$A$264,'02_TrayPack_Order'!$C$2:$C$264)</f>
        <v/>
      </c>
      <c r="D98" s="176">
        <f>_xlfn.XLOOKUP(B99,'02_TrayPack_Order'!$A$2:$A$264,'02_TrayPack_Order'!$L$2:$L$264,0)</f>
        <v/>
      </c>
      <c r="E98" s="175">
        <f>SUMIF('13_Progress_Track'!$A$2:$A$108,B99,'13_Progress_Track'!$E$2:$E$108)</f>
        <v/>
      </c>
      <c r="F98" s="175">
        <f>IF(E99&gt;(C99+D99),(E99-(C99+D99)),0)</f>
        <v/>
      </c>
      <c r="G98" s="177">
        <f>IF(F99&gt;0,0,C99+D99-E99)</f>
        <v/>
      </c>
      <c r="H98" s="148">
        <f>_xludf.IFNA(_xlfn.XLOOKUP(B99,'00_SKU_Master'!$B$2:$B$378,'00_SKU_Master'!$C$2:$C$378),"")</f>
        <v/>
      </c>
      <c r="I98" s="148" t="n"/>
      <c r="J98" s="14">
        <f>_xludf.IFNA(_xlfn.XLOOKUP(B99,'00_SKU_Master'!B$2:B$378,'00_SKU_Master'!H$2:H$378,0),"")</f>
        <v/>
      </c>
      <c r="K98" s="14">
        <f>_xludf.IFNA(_xlfn.XLOOKUP(B99,'00_SKU_Master'!B$2:B$378,'00_SKU_Master'!K$2:K$378,0),"")</f>
        <v/>
      </c>
      <c r="L98" s="148">
        <f>_xlfn.XLOOKUP(B99,'00_SKU_Master'!$B$2:$B$378,'00_SKU_Master'!D:D)</f>
        <v/>
      </c>
      <c r="M98" s="148">
        <f>IF((C99-E99)&lt;0,0,C99-E99)</f>
        <v/>
      </c>
    </row>
    <row r="99">
      <c r="A99" s="148">
        <f>'00_SKU_Master'!J191</f>
        <v/>
      </c>
      <c r="B99" s="148">
        <f>'00_SKU_Master'!B191</f>
        <v/>
      </c>
      <c r="C99" s="175">
        <f>_xlfn.XLOOKUP(B100,'02_TrayPack_Order'!$A$2:$A$264,'02_TrayPack_Order'!$C$2:$C$264)</f>
        <v/>
      </c>
      <c r="D99" s="176">
        <f>_xlfn.XLOOKUP(B100,'02_TrayPack_Order'!$A$2:$A$264,'02_TrayPack_Order'!$L$2:$L$264,0)</f>
        <v/>
      </c>
      <c r="E99" s="175">
        <f>SUMIF('13_Progress_Track'!$A$2:$A$108,B100,'13_Progress_Track'!$E$2:$E$108)</f>
        <v/>
      </c>
      <c r="F99" s="175">
        <f>IF(E100&gt;(C100+D100),(E100-(C100+D100)),0)</f>
        <v/>
      </c>
      <c r="G99" s="177">
        <f>IF(F100&gt;0,0,C100+D100-E100)</f>
        <v/>
      </c>
      <c r="H99" s="148">
        <f>_xludf.IFNA(_xlfn.XLOOKUP(B100,'00_SKU_Master'!$B$2:$B$378,'00_SKU_Master'!$C$2:$C$378),"")</f>
        <v/>
      </c>
      <c r="I99" s="148" t="n"/>
      <c r="J99" s="14">
        <f>_xludf.IFNA(_xlfn.XLOOKUP(B100,'00_SKU_Master'!B$2:B$378,'00_SKU_Master'!H$2:H$378,0),"")</f>
        <v/>
      </c>
      <c r="K99" s="14">
        <f>_xludf.IFNA(_xlfn.XLOOKUP(B100,'00_SKU_Master'!B$2:B$378,'00_SKU_Master'!K$2:K$378,0),"")</f>
        <v/>
      </c>
      <c r="L99" s="148">
        <f>_xlfn.XLOOKUP(B100,'00_SKU_Master'!$B$2:$B$378,'00_SKU_Master'!D:D)</f>
        <v/>
      </c>
      <c r="M99" s="148">
        <f>IF((C100-E100)&lt;0,0,C100-E100)</f>
        <v/>
      </c>
    </row>
    <row r="100">
      <c r="A100" s="148">
        <f>'00_SKU_Master'!J192</f>
        <v/>
      </c>
      <c r="B100" s="148">
        <f>'00_SKU_Master'!B192</f>
        <v/>
      </c>
      <c r="C100" s="175">
        <f>_xlfn.XLOOKUP(B101,'02_TrayPack_Order'!$A$2:$A$264,'02_TrayPack_Order'!$C$2:$C$264)</f>
        <v/>
      </c>
      <c r="D100" s="176">
        <f>_xlfn.XLOOKUP(B101,'02_TrayPack_Order'!$A$2:$A$264,'02_TrayPack_Order'!$L$2:$L$264,0)</f>
        <v/>
      </c>
      <c r="E100" s="175">
        <f>SUMIF('13_Progress_Track'!$A$2:$A$108,B101,'13_Progress_Track'!$E$2:$E$108)</f>
        <v/>
      </c>
      <c r="F100" s="175">
        <f>IF(E101&gt;(C101+D101),(E101-(C101+D101)),0)</f>
        <v/>
      </c>
      <c r="G100" s="177">
        <f>IF(F101&gt;0,0,C101+D101-E101)</f>
        <v/>
      </c>
      <c r="H100" s="148">
        <f>_xludf.IFNA(_xlfn.XLOOKUP(B101,'00_SKU_Master'!$B$2:$B$378,'00_SKU_Master'!$C$2:$C$378),"")</f>
        <v/>
      </c>
      <c r="I100" s="148" t="n"/>
      <c r="J100" s="14">
        <f>_xludf.IFNA(_xlfn.XLOOKUP(B101,'00_SKU_Master'!B$2:B$378,'00_SKU_Master'!H$2:H$378,0),"")</f>
        <v/>
      </c>
      <c r="K100" s="14">
        <f>_xludf.IFNA(_xlfn.XLOOKUP(B101,'00_SKU_Master'!B$2:B$378,'00_SKU_Master'!K$2:K$378,0),"")</f>
        <v/>
      </c>
      <c r="L100" s="148">
        <f>_xlfn.XLOOKUP(B101,'00_SKU_Master'!$B$2:$B$378,'00_SKU_Master'!D:D)</f>
        <v/>
      </c>
      <c r="M100" s="148">
        <f>IF((C101-E101)&lt;0,0,C101-E101)</f>
        <v/>
      </c>
    </row>
    <row r="101">
      <c r="A101" s="148">
        <f>'00_SKU_Master'!J193</f>
        <v/>
      </c>
      <c r="B101" s="148">
        <f>'00_SKU_Master'!B193</f>
        <v/>
      </c>
      <c r="C101" s="175">
        <f>_xlfn.XLOOKUP(B102,'02_TrayPack_Order'!$A$2:$A$264,'02_TrayPack_Order'!$C$2:$C$264)</f>
        <v/>
      </c>
      <c r="D101" s="176">
        <f>_xlfn.XLOOKUP(B102,'02_TrayPack_Order'!$A$2:$A$264,'02_TrayPack_Order'!$L$2:$L$264,0)</f>
        <v/>
      </c>
      <c r="E101" s="175">
        <f>SUMIF('13_Progress_Track'!$A$2:$A$108,B102,'13_Progress_Track'!$E$2:$E$108)</f>
        <v/>
      </c>
      <c r="F101" s="175">
        <f>IF(E102&gt;(C102+D102),(E102-(C102+D102)),0)</f>
        <v/>
      </c>
      <c r="G101" s="177">
        <f>IF(F102&gt;0,0,C102+D102-E102)</f>
        <v/>
      </c>
      <c r="H101" s="148">
        <f>_xludf.IFNA(_xlfn.XLOOKUP(B102,'00_SKU_Master'!$B$2:$B$378,'00_SKU_Master'!$C$2:$C$378),"")</f>
        <v/>
      </c>
      <c r="I101" s="148" t="n"/>
      <c r="J101" s="14">
        <f>_xludf.IFNA(_xlfn.XLOOKUP(B102,'00_SKU_Master'!B$2:B$378,'00_SKU_Master'!H$2:H$378,0),"")</f>
        <v/>
      </c>
      <c r="K101" s="14">
        <f>_xludf.IFNA(_xlfn.XLOOKUP(B102,'00_SKU_Master'!B$2:B$378,'00_SKU_Master'!K$2:K$378,0),"")</f>
        <v/>
      </c>
      <c r="L101" s="148">
        <f>_xlfn.XLOOKUP(B102,'00_SKU_Master'!$B$2:$B$378,'00_SKU_Master'!D:D)</f>
        <v/>
      </c>
      <c r="M101" s="148">
        <f>IF((C102-E102)&lt;0,0,C102-E102)</f>
        <v/>
      </c>
    </row>
    <row r="102">
      <c r="A102" s="148">
        <f>'00_SKU_Master'!J194</f>
        <v/>
      </c>
      <c r="B102" s="148">
        <f>'00_SKU_Master'!B194</f>
        <v/>
      </c>
      <c r="C102" s="175">
        <f>_xlfn.XLOOKUP(B103,'02_TrayPack_Order'!$A$2:$A$264,'02_TrayPack_Order'!$C$2:$C$264)</f>
        <v/>
      </c>
      <c r="D102" s="176">
        <f>_xlfn.XLOOKUP(B103,'02_TrayPack_Order'!$A$2:$A$264,'02_TrayPack_Order'!$L$2:$L$264,0)</f>
        <v/>
      </c>
      <c r="E102" s="175">
        <f>SUMIF('13_Progress_Track'!$A$2:$A$108,B103,'13_Progress_Track'!$E$2:$E$108)</f>
        <v/>
      </c>
      <c r="F102" s="175">
        <f>IF(E103&gt;(C103+D103),(E103-(C103+D103)),0)</f>
        <v/>
      </c>
      <c r="G102" s="177">
        <f>IF(F103&gt;0,0,C103+D103-E103)</f>
        <v/>
      </c>
      <c r="H102" s="148">
        <f>_xludf.IFNA(_xlfn.XLOOKUP(B103,'00_SKU_Master'!$B$2:$B$378,'00_SKU_Master'!$C$2:$C$378),"")</f>
        <v/>
      </c>
      <c r="I102" s="148" t="n"/>
      <c r="J102" s="14">
        <f>_xludf.IFNA(_xlfn.XLOOKUP(B103,'00_SKU_Master'!B$2:B$378,'00_SKU_Master'!H$2:H$378,0),"")</f>
        <v/>
      </c>
      <c r="K102" s="14">
        <f>_xludf.IFNA(_xlfn.XLOOKUP(B103,'00_SKU_Master'!B$2:B$378,'00_SKU_Master'!K$2:K$378,0),"")</f>
        <v/>
      </c>
      <c r="L102" s="148">
        <f>_xlfn.XLOOKUP(B103,'00_SKU_Master'!$B$2:$B$378,'00_SKU_Master'!D:D)</f>
        <v/>
      </c>
      <c r="M102" s="148">
        <f>IF((C103-E103)&lt;0,0,C103-E103)</f>
        <v/>
      </c>
    </row>
    <row r="103">
      <c r="A103" s="148">
        <f>'00_SKU_Master'!J195</f>
        <v/>
      </c>
      <c r="B103" s="148">
        <f>'00_SKU_Master'!B195</f>
        <v/>
      </c>
      <c r="C103" s="175">
        <f>_xlfn.XLOOKUP(B104,'02_TrayPack_Order'!$A$2:$A$264,'02_TrayPack_Order'!$C$2:$C$264)</f>
        <v/>
      </c>
      <c r="D103" s="176">
        <f>_xlfn.XLOOKUP(B104,'02_TrayPack_Order'!$A$2:$A$264,'02_TrayPack_Order'!$L$2:$L$264,0)</f>
        <v/>
      </c>
      <c r="E103" s="175">
        <f>SUMIF('13_Progress_Track'!$A$2:$A$108,B104,'13_Progress_Track'!$E$2:$E$108)</f>
        <v/>
      </c>
      <c r="F103" s="175">
        <f>IF(E104&gt;(C104+D104),(E104-(C104+D104)),0)</f>
        <v/>
      </c>
      <c r="G103" s="177">
        <f>IF(F104&gt;0,0,C104+D104-E104)</f>
        <v/>
      </c>
      <c r="H103" s="148">
        <f>_xludf.IFNA(_xlfn.XLOOKUP(B104,'00_SKU_Master'!$B$2:$B$378,'00_SKU_Master'!$C$2:$C$378),"")</f>
        <v/>
      </c>
      <c r="I103" s="148" t="n"/>
      <c r="J103" s="14">
        <f>_xludf.IFNA(_xlfn.XLOOKUP(B104,'00_SKU_Master'!B$2:B$378,'00_SKU_Master'!H$2:H$378,0),"")</f>
        <v/>
      </c>
      <c r="K103" s="14">
        <f>_xludf.IFNA(_xlfn.XLOOKUP(B104,'00_SKU_Master'!B$2:B$378,'00_SKU_Master'!K$2:K$378,0),"")</f>
        <v/>
      </c>
      <c r="L103" s="148">
        <f>_xlfn.XLOOKUP(B104,'00_SKU_Master'!$B$2:$B$378,'00_SKU_Master'!D:D)</f>
        <v/>
      </c>
      <c r="M103" s="148">
        <f>IF((C104-E104)&lt;0,0,C104-E104)</f>
        <v/>
      </c>
      <c r="N103" s="178" t="n"/>
    </row>
    <row r="104">
      <c r="A104" s="148">
        <f>'00_SKU_Master'!J196</f>
        <v/>
      </c>
      <c r="B104" s="148">
        <f>'00_SKU_Master'!B196</f>
        <v/>
      </c>
      <c r="C104" s="175">
        <f>_xlfn.XLOOKUP(B105,'02_TrayPack_Order'!$A$2:$A$264,'02_TrayPack_Order'!$C$2:$C$264)</f>
        <v/>
      </c>
      <c r="D104" s="176">
        <f>_xlfn.XLOOKUP(B105,'02_TrayPack_Order'!$A$2:$A$264,'02_TrayPack_Order'!$L$2:$L$264,0)</f>
        <v/>
      </c>
      <c r="E104" s="175">
        <f>SUMIF('13_Progress_Track'!$A$2:$A$108,B105,'13_Progress_Track'!$E$2:$E$108)</f>
        <v/>
      </c>
      <c r="F104" s="175">
        <f>IF(E105&gt;(C105+D105),(E105-(C105+D105)),0)</f>
        <v/>
      </c>
      <c r="G104" s="177">
        <f>IF(F105&gt;0,0,C105+D105-E105)</f>
        <v/>
      </c>
      <c r="H104" s="148">
        <f>_xludf.IFNA(_xlfn.XLOOKUP(B105,'00_SKU_Master'!$B$2:$B$378,'00_SKU_Master'!$C$2:$C$378),"")</f>
        <v/>
      </c>
      <c r="I104" s="148" t="n"/>
      <c r="J104" s="14">
        <f>_xludf.IFNA(_xlfn.XLOOKUP(B105,'00_SKU_Master'!B$2:B$378,'00_SKU_Master'!H$2:H$378,0),"")</f>
        <v/>
      </c>
      <c r="K104" s="14">
        <f>_xludf.IFNA(_xlfn.XLOOKUP(B105,'00_SKU_Master'!B$2:B$378,'00_SKU_Master'!K$2:K$378,0),"")</f>
        <v/>
      </c>
      <c r="L104" s="148">
        <f>_xlfn.XLOOKUP(B105,'00_SKU_Master'!$B$2:$B$378,'00_SKU_Master'!D:D)</f>
        <v/>
      </c>
      <c r="M104" s="148">
        <f>IF((C105-E105)&lt;0,0,C105-E105)</f>
        <v/>
      </c>
    </row>
    <row r="105">
      <c r="A105" s="148">
        <f>'00_SKU_Master'!J197</f>
        <v/>
      </c>
      <c r="B105" s="148">
        <f>'00_SKU_Master'!B197</f>
        <v/>
      </c>
      <c r="C105" s="175">
        <f>_xlfn.XLOOKUP(B106,'02_TrayPack_Order'!$A$2:$A$264,'02_TrayPack_Order'!$C$2:$C$264)</f>
        <v/>
      </c>
      <c r="D105" s="176">
        <f>_xlfn.XLOOKUP(B106,'02_TrayPack_Order'!$A$2:$A$264,'02_TrayPack_Order'!$L$2:$L$264,0)</f>
        <v/>
      </c>
      <c r="E105" s="175">
        <f>SUMIF('13_Progress_Track'!$A$2:$A$108,B106,'13_Progress_Track'!$E$2:$E$108)</f>
        <v/>
      </c>
      <c r="F105" s="175">
        <f>IF(E106&gt;(C106+D106),(E106-(C106+D106)),0)</f>
        <v/>
      </c>
      <c r="G105" s="177">
        <f>IF(F106&gt;0,0,C106+D106-E106)</f>
        <v/>
      </c>
      <c r="H105" s="148">
        <f>_xludf.IFNA(_xlfn.XLOOKUP(B106,'00_SKU_Master'!$B$2:$B$378,'00_SKU_Master'!$C$2:$C$378),"")</f>
        <v/>
      </c>
      <c r="I105" s="148" t="n"/>
      <c r="J105" s="14">
        <f>_xludf.IFNA(_xlfn.XLOOKUP(B106,'00_SKU_Master'!B$2:B$378,'00_SKU_Master'!H$2:H$378,0),"")</f>
        <v/>
      </c>
      <c r="K105" s="14">
        <f>_xludf.IFNA(_xlfn.XLOOKUP(B106,'00_SKU_Master'!B$2:B$378,'00_SKU_Master'!K$2:K$378,0),"")</f>
        <v/>
      </c>
      <c r="L105" s="148">
        <f>_xlfn.XLOOKUP(B106,'00_SKU_Master'!$B$2:$B$378,'00_SKU_Master'!D:D)</f>
        <v/>
      </c>
      <c r="M105" s="148">
        <f>IF((C106-E106)&lt;0,0,C106-E106)</f>
        <v/>
      </c>
    </row>
    <row r="106">
      <c r="A106" s="148">
        <f>'00_SKU_Master'!J198</f>
        <v/>
      </c>
      <c r="B106" s="148">
        <f>'00_SKU_Master'!B198</f>
        <v/>
      </c>
      <c r="C106" s="175">
        <f>_xlfn.XLOOKUP(B107,'02_TrayPack_Order'!$A$2:$A$264,'02_TrayPack_Order'!$C$2:$C$264)</f>
        <v/>
      </c>
      <c r="D106" s="176">
        <f>_xlfn.XLOOKUP(B107,'02_TrayPack_Order'!$A$2:$A$264,'02_TrayPack_Order'!$L$2:$L$264,0)</f>
        <v/>
      </c>
      <c r="E106" s="175">
        <f>SUMIF('13_Progress_Track'!$A$2:$A$108,B107,'13_Progress_Track'!$E$2:$E$108)</f>
        <v/>
      </c>
      <c r="F106" s="175">
        <f>IF(E107&gt;(C107+D107),(E107-(C107+D107)),0)</f>
        <v/>
      </c>
      <c r="G106" s="177">
        <f>IF(F107&gt;0,0,C107+D107-E107)</f>
        <v/>
      </c>
      <c r="H106" s="148">
        <f>_xludf.IFNA(_xlfn.XLOOKUP(B107,'00_SKU_Master'!$B$2:$B$378,'00_SKU_Master'!$C$2:$C$378),"")</f>
        <v/>
      </c>
      <c r="I106" s="148" t="n"/>
      <c r="J106" s="14">
        <f>_xludf.IFNA(_xlfn.XLOOKUP(B107,'00_SKU_Master'!B$2:B$378,'00_SKU_Master'!H$2:H$378,0),"")</f>
        <v/>
      </c>
      <c r="K106" s="14">
        <f>_xludf.IFNA(_xlfn.XLOOKUP(B107,'00_SKU_Master'!B$2:B$378,'00_SKU_Master'!K$2:K$378,0),"")</f>
        <v/>
      </c>
      <c r="L106" s="148">
        <f>_xlfn.XLOOKUP(B107,'00_SKU_Master'!$B$2:$B$378,'00_SKU_Master'!D:D)</f>
        <v/>
      </c>
      <c r="M106" s="148">
        <f>IF((C107-E107)&lt;0,0,C107-E107)</f>
        <v/>
      </c>
    </row>
    <row r="107">
      <c r="A107" s="148">
        <f>'00_SKU_Master'!J199</f>
        <v/>
      </c>
      <c r="B107" s="148">
        <f>'00_SKU_Master'!B199</f>
        <v/>
      </c>
      <c r="C107" s="175">
        <f>_xlfn.XLOOKUP(B108,'02_TrayPack_Order'!$A$2:$A$264,'02_TrayPack_Order'!$C$2:$C$264)</f>
        <v/>
      </c>
      <c r="D107" s="176">
        <f>_xlfn.XLOOKUP(B108,'02_TrayPack_Order'!$A$2:$A$264,'02_TrayPack_Order'!$L$2:$L$264,0)</f>
        <v/>
      </c>
      <c r="E107" s="175">
        <f>SUMIF('13_Progress_Track'!$A$2:$A$108,B108,'13_Progress_Track'!$E$2:$E$108)</f>
        <v/>
      </c>
      <c r="F107" s="175">
        <f>IF(E108&gt;(C108+D108),(E108-(C108+D108)),0)</f>
        <v/>
      </c>
      <c r="G107" s="177">
        <f>IF(F108&gt;0,0,C108+D108-E108)</f>
        <v/>
      </c>
      <c r="H107" s="148">
        <f>_xludf.IFNA(_xlfn.XLOOKUP(B108,'00_SKU_Master'!$B$2:$B$378,'00_SKU_Master'!$C$2:$C$378),"")</f>
        <v/>
      </c>
      <c r="I107" s="148" t="n"/>
      <c r="J107" s="14">
        <f>_xludf.IFNA(_xlfn.XLOOKUP(B108,'00_SKU_Master'!B$2:B$378,'00_SKU_Master'!H$2:H$378,0),"")</f>
        <v/>
      </c>
      <c r="K107" s="14">
        <f>_xludf.IFNA(_xlfn.XLOOKUP(B108,'00_SKU_Master'!B$2:B$378,'00_SKU_Master'!K$2:K$378,0),"")</f>
        <v/>
      </c>
      <c r="L107" s="148">
        <f>_xlfn.XLOOKUP(B108,'00_SKU_Master'!$B$2:$B$378,'00_SKU_Master'!D:D)</f>
        <v/>
      </c>
      <c r="M107" s="148">
        <f>IF((C108-E108)&lt;0,0,C108-E108)</f>
        <v/>
      </c>
    </row>
    <row r="108">
      <c r="A108" s="148">
        <f>'00_SKU_Master'!J200</f>
        <v/>
      </c>
      <c r="B108" s="148">
        <f>'00_SKU_Master'!B200</f>
        <v/>
      </c>
      <c r="C108" s="175">
        <f>_xlfn.XLOOKUP(B109,'02_TrayPack_Order'!$A$2:$A$264,'02_TrayPack_Order'!$C$2:$C$264)</f>
        <v/>
      </c>
      <c r="D108" s="176">
        <f>_xlfn.XLOOKUP(B109,'02_TrayPack_Order'!$A$2:$A$264,'02_TrayPack_Order'!$L$2:$L$264,0)</f>
        <v/>
      </c>
      <c r="E108" s="175">
        <f>SUMIF('13_Progress_Track'!$A$2:$A$108,B109,'13_Progress_Track'!$E$2:$E$108)</f>
        <v/>
      </c>
      <c r="F108" s="175">
        <f>IF(E109&gt;(C109+D109),(E109-(C109+D109)),0)</f>
        <v/>
      </c>
      <c r="G108" s="177">
        <f>IF(F109&gt;0,0,C109+D109-E109)</f>
        <v/>
      </c>
      <c r="H108" s="148">
        <f>_xludf.IFNA(_xlfn.XLOOKUP(B109,'00_SKU_Master'!$B$2:$B$378,'00_SKU_Master'!$C$2:$C$378),"")</f>
        <v/>
      </c>
      <c r="I108" s="148" t="n"/>
      <c r="J108" s="14">
        <f>_xludf.IFNA(_xlfn.XLOOKUP(B109,'00_SKU_Master'!B$2:B$378,'00_SKU_Master'!H$2:H$378,0),"")</f>
        <v/>
      </c>
      <c r="K108" s="14">
        <f>_xludf.IFNA(_xlfn.XLOOKUP(B109,'00_SKU_Master'!B$2:B$378,'00_SKU_Master'!K$2:K$378,0),"")</f>
        <v/>
      </c>
      <c r="L108" s="148">
        <f>_xlfn.XLOOKUP(B109,'00_SKU_Master'!$B$2:$B$378,'00_SKU_Master'!D:D)</f>
        <v/>
      </c>
      <c r="M108" s="148">
        <f>IF((C109-E109)&lt;0,0,C109-E109)</f>
        <v/>
      </c>
    </row>
    <row r="109">
      <c r="A109" s="148">
        <f>'00_SKU_Master'!J201</f>
        <v/>
      </c>
      <c r="B109" s="148">
        <f>'00_SKU_Master'!B201</f>
        <v/>
      </c>
      <c r="C109" s="175">
        <f>_xlfn.XLOOKUP(B110,'02_TrayPack_Order'!$A$2:$A$264,'02_TrayPack_Order'!$C$2:$C$264)</f>
        <v/>
      </c>
      <c r="D109" s="176">
        <f>_xlfn.XLOOKUP(B110,'02_TrayPack_Order'!$A$2:$A$264,'02_TrayPack_Order'!$L$2:$L$264,0)</f>
        <v/>
      </c>
      <c r="E109" s="175">
        <f>SUMIF('13_Progress_Track'!$A$2:$A$108,B110,'13_Progress_Track'!$E$2:$E$108)</f>
        <v/>
      </c>
      <c r="F109" s="175">
        <f>IF(E110&gt;(C110+D110),(E110-(C110+D110)),0)</f>
        <v/>
      </c>
      <c r="G109" s="177">
        <f>IF(F110&gt;0,0,C110+D110-E110)</f>
        <v/>
      </c>
      <c r="H109" s="148">
        <f>_xludf.IFNA(_xlfn.XLOOKUP(B110,'00_SKU_Master'!$B$2:$B$378,'00_SKU_Master'!$C$2:$C$378),"")</f>
        <v/>
      </c>
      <c r="I109" s="148" t="n"/>
      <c r="J109" s="14">
        <f>_xludf.IFNA(_xlfn.XLOOKUP(B110,'00_SKU_Master'!B$2:B$378,'00_SKU_Master'!H$2:H$378,0),"")</f>
        <v/>
      </c>
      <c r="K109" s="14">
        <f>_xludf.IFNA(_xlfn.XLOOKUP(B110,'00_SKU_Master'!B$2:B$378,'00_SKU_Master'!K$2:K$378,0),"")</f>
        <v/>
      </c>
      <c r="L109" s="148">
        <f>_xlfn.XLOOKUP(B110,'00_SKU_Master'!$B$2:$B$378,'00_SKU_Master'!D:D)</f>
        <v/>
      </c>
      <c r="M109" s="148">
        <f>IF((C110-E110)&lt;0,0,C110-E110)</f>
        <v/>
      </c>
    </row>
    <row r="110">
      <c r="A110" s="148">
        <f>'00_SKU_Master'!J202</f>
        <v/>
      </c>
      <c r="B110" s="148">
        <f>'00_SKU_Master'!B202</f>
        <v/>
      </c>
      <c r="C110" s="175">
        <f>_xlfn.XLOOKUP(B111,'02_TrayPack_Order'!$A$2:$A$264,'02_TrayPack_Order'!$C$2:$C$264)</f>
        <v/>
      </c>
      <c r="D110" s="176">
        <f>_xlfn.XLOOKUP(B111,'02_TrayPack_Order'!$A$2:$A$264,'02_TrayPack_Order'!$L$2:$L$264,0)</f>
        <v/>
      </c>
      <c r="E110" s="175">
        <f>SUMIF('13_Progress_Track'!$A$2:$A$108,B111,'13_Progress_Track'!$E$2:$E$108)</f>
        <v/>
      </c>
      <c r="F110" s="175">
        <f>IF(E111&gt;(C111+D111),(E111-(C111+D111)),0)</f>
        <v/>
      </c>
      <c r="G110" s="177">
        <f>IF(F111&gt;0,0,C111+D111-E111)</f>
        <v/>
      </c>
      <c r="H110" s="148">
        <f>_xludf.IFNA(_xlfn.XLOOKUP(B111,'00_SKU_Master'!$B$2:$B$378,'00_SKU_Master'!$C$2:$C$378),"")</f>
        <v/>
      </c>
      <c r="I110" s="148" t="n"/>
      <c r="J110" s="14">
        <f>_xludf.IFNA(_xlfn.XLOOKUP(B111,'00_SKU_Master'!B$2:B$378,'00_SKU_Master'!H$2:H$378,0),"")</f>
        <v/>
      </c>
      <c r="K110" s="14">
        <f>_xludf.IFNA(_xlfn.XLOOKUP(B111,'00_SKU_Master'!B$2:B$378,'00_SKU_Master'!K$2:K$378,0),"")</f>
        <v/>
      </c>
      <c r="L110" s="148">
        <f>_xlfn.XLOOKUP(B111,'00_SKU_Master'!$B$2:$B$378,'00_SKU_Master'!D:D)</f>
        <v/>
      </c>
      <c r="M110" s="148">
        <f>IF((C111-E111)&lt;0,0,C111-E111)</f>
        <v/>
      </c>
    </row>
    <row r="111">
      <c r="A111" s="148">
        <f>'00_SKU_Master'!J203</f>
        <v/>
      </c>
      <c r="B111" s="148">
        <f>'00_SKU_Master'!B203</f>
        <v/>
      </c>
      <c r="C111" s="175">
        <f>_xlfn.XLOOKUP(B112,'02_TrayPack_Order'!$A$2:$A$264,'02_TrayPack_Order'!$C$2:$C$264)</f>
        <v/>
      </c>
      <c r="D111" s="176">
        <f>_xlfn.XLOOKUP(B112,'02_TrayPack_Order'!$A$2:$A$264,'02_TrayPack_Order'!$L$2:$L$264,0)</f>
        <v/>
      </c>
      <c r="E111" s="175">
        <f>SUMIF('13_Progress_Track'!$A$2:$A$108,B112,'13_Progress_Track'!$E$2:$E$108)</f>
        <v/>
      </c>
      <c r="F111" s="175">
        <f>IF(E112&gt;(C112+D112),(E112-(C112+D112)),0)</f>
        <v/>
      </c>
      <c r="G111" s="177">
        <f>IF(F112&gt;0,0,C112+D112-E112)</f>
        <v/>
      </c>
      <c r="H111" s="148">
        <f>_xludf.IFNA(_xlfn.XLOOKUP(B112,'00_SKU_Master'!$B$2:$B$378,'00_SKU_Master'!$C$2:$C$378),"")</f>
        <v/>
      </c>
      <c r="I111" s="148" t="n"/>
      <c r="J111" s="14">
        <f>_xludf.IFNA(_xlfn.XLOOKUP(B112,'00_SKU_Master'!B$2:B$378,'00_SKU_Master'!H$2:H$378,0),"")</f>
        <v/>
      </c>
      <c r="K111" s="14">
        <f>_xludf.IFNA(_xlfn.XLOOKUP(B112,'00_SKU_Master'!B$2:B$378,'00_SKU_Master'!K$2:K$378,0),"")</f>
        <v/>
      </c>
      <c r="L111" s="148">
        <f>_xlfn.XLOOKUP(B112,'00_SKU_Master'!$B$2:$B$378,'00_SKU_Master'!D:D)</f>
        <v/>
      </c>
      <c r="M111" s="148">
        <f>IF((C112-E112)&lt;0,0,C112-E112)</f>
        <v/>
      </c>
    </row>
    <row r="112">
      <c r="A112" s="148">
        <f>'00_SKU_Master'!J204</f>
        <v/>
      </c>
      <c r="B112" s="148">
        <f>'00_SKU_Master'!B204</f>
        <v/>
      </c>
      <c r="C112" s="175">
        <f>_xlfn.XLOOKUP(B113,'02_TrayPack_Order'!$A$2:$A$264,'02_TrayPack_Order'!$C$2:$C$264)</f>
        <v/>
      </c>
      <c r="D112" s="176">
        <f>_xlfn.XLOOKUP(B113,'02_TrayPack_Order'!$A$2:$A$264,'02_TrayPack_Order'!$L$2:$L$264,0)</f>
        <v/>
      </c>
      <c r="E112" s="175">
        <f>SUMIF('13_Progress_Track'!$A$2:$A$108,B113,'13_Progress_Track'!$E$2:$E$108)</f>
        <v/>
      </c>
      <c r="F112" s="175">
        <f>IF(E113&gt;(C113+D113),(E113-(C113+D113)),0)</f>
        <v/>
      </c>
      <c r="G112" s="177">
        <f>IF(F113&gt;0,0,C113+D113-E113)</f>
        <v/>
      </c>
      <c r="H112" s="148">
        <f>_xludf.IFNA(_xlfn.XLOOKUP(B113,'00_SKU_Master'!$B$2:$B$378,'00_SKU_Master'!$C$2:$C$378),"")</f>
        <v/>
      </c>
      <c r="I112" s="148" t="n"/>
      <c r="J112" s="14">
        <f>_xludf.IFNA(_xlfn.XLOOKUP(B113,'00_SKU_Master'!B$2:B$378,'00_SKU_Master'!H$2:H$378,0),"")</f>
        <v/>
      </c>
      <c r="K112" s="14">
        <f>_xludf.IFNA(_xlfn.XLOOKUP(B113,'00_SKU_Master'!B$2:B$378,'00_SKU_Master'!K$2:K$378,0),"")</f>
        <v/>
      </c>
      <c r="L112" s="148">
        <f>_xlfn.XLOOKUP(B113,'00_SKU_Master'!$B$2:$B$378,'00_SKU_Master'!D:D)</f>
        <v/>
      </c>
      <c r="M112" s="148">
        <f>IF((C113-E113)&lt;0,0,C113-E113)</f>
        <v/>
      </c>
    </row>
    <row r="113">
      <c r="A113" s="148">
        <f>'00_SKU_Master'!J205</f>
        <v/>
      </c>
      <c r="B113" s="148">
        <f>'00_SKU_Master'!B205</f>
        <v/>
      </c>
      <c r="C113" s="175">
        <f>_xlfn.XLOOKUP(B114,'02_TrayPack_Order'!$A$2:$A$264,'02_TrayPack_Order'!$C$2:$C$264)</f>
        <v/>
      </c>
      <c r="D113" s="176">
        <f>_xlfn.XLOOKUP(B114,'02_TrayPack_Order'!$A$2:$A$264,'02_TrayPack_Order'!$L$2:$L$264,0)</f>
        <v/>
      </c>
      <c r="E113" s="175">
        <f>SUMIF('13_Progress_Track'!$A$2:$A$108,B114,'13_Progress_Track'!$E$2:$E$108)</f>
        <v/>
      </c>
      <c r="F113" s="175">
        <f>IF(E114&gt;(C114+D114),(E114-(C114+D114)),0)</f>
        <v/>
      </c>
      <c r="G113" s="177">
        <f>IF(F114&gt;0,0,C114+D114-E114)</f>
        <v/>
      </c>
      <c r="H113" s="148">
        <f>_xludf.IFNA(_xlfn.XLOOKUP(B114,'00_SKU_Master'!$B$2:$B$378,'00_SKU_Master'!$C$2:$C$378),"")</f>
        <v/>
      </c>
      <c r="I113" s="148" t="n"/>
      <c r="J113" s="14">
        <f>_xludf.IFNA(_xlfn.XLOOKUP(B114,'00_SKU_Master'!B$2:B$378,'00_SKU_Master'!H$2:H$378,0),"")</f>
        <v/>
      </c>
      <c r="K113" s="14">
        <f>_xludf.IFNA(_xlfn.XLOOKUP(B114,'00_SKU_Master'!B$2:B$378,'00_SKU_Master'!K$2:K$378,0),"")</f>
        <v/>
      </c>
      <c r="L113" s="148">
        <f>_xlfn.XLOOKUP(B114,'00_SKU_Master'!$B$2:$B$378,'00_SKU_Master'!D:D)</f>
        <v/>
      </c>
      <c r="M113" s="148">
        <f>IF((C114-E114)&lt;0,0,C114-E114)</f>
        <v/>
      </c>
    </row>
    <row r="114">
      <c r="A114" s="148">
        <f>'00_SKU_Master'!J206</f>
        <v/>
      </c>
      <c r="B114" s="148">
        <f>'00_SKU_Master'!B206</f>
        <v/>
      </c>
      <c r="C114" s="175">
        <f>_xlfn.XLOOKUP(B115,'02_TrayPack_Order'!$A$2:$A$264,'02_TrayPack_Order'!$C$2:$C$264)</f>
        <v/>
      </c>
      <c r="D114" s="176">
        <f>_xlfn.XLOOKUP(B115,'02_TrayPack_Order'!$A$2:$A$264,'02_TrayPack_Order'!$L$2:$L$264,0)</f>
        <v/>
      </c>
      <c r="E114" s="175">
        <f>SUMIF('13_Progress_Track'!$A$2:$A$108,B115,'13_Progress_Track'!$E$2:$E$108)</f>
        <v/>
      </c>
      <c r="F114" s="175">
        <f>IF(E115&gt;(C115+D115),(E115-(C115+D115)),0)</f>
        <v/>
      </c>
      <c r="G114" s="177">
        <f>IF(F115&gt;0,0,C115+D115-E115)</f>
        <v/>
      </c>
      <c r="H114" s="148">
        <f>_xludf.IFNA(_xlfn.XLOOKUP(B115,'00_SKU_Master'!$B$2:$B$378,'00_SKU_Master'!$C$2:$C$378),"")</f>
        <v/>
      </c>
      <c r="I114" s="148" t="n"/>
      <c r="J114" s="14">
        <f>_xludf.IFNA(_xlfn.XLOOKUP(B115,'00_SKU_Master'!B$2:B$378,'00_SKU_Master'!H$2:H$378,0),"")</f>
        <v/>
      </c>
      <c r="K114" s="14">
        <f>_xludf.IFNA(_xlfn.XLOOKUP(B115,'00_SKU_Master'!B$2:B$378,'00_SKU_Master'!K$2:K$378,0),"")</f>
        <v/>
      </c>
      <c r="L114" s="148">
        <f>_xlfn.XLOOKUP(B115,'00_SKU_Master'!$B$2:$B$378,'00_SKU_Master'!D:D)</f>
        <v/>
      </c>
      <c r="M114" s="148">
        <f>IF((C115-E115)&lt;0,0,C115-E115)</f>
        <v/>
      </c>
    </row>
    <row r="115">
      <c r="A115" s="148">
        <f>'00_SKU_Master'!J207</f>
        <v/>
      </c>
      <c r="B115" s="148">
        <f>'00_SKU_Master'!B207</f>
        <v/>
      </c>
      <c r="C115" s="175">
        <f>_xlfn.XLOOKUP(B116,'02_TrayPack_Order'!$A$2:$A$264,'02_TrayPack_Order'!$C$2:$C$264)</f>
        <v/>
      </c>
      <c r="D115" s="176">
        <f>_xlfn.XLOOKUP(B116,'02_TrayPack_Order'!$A$2:$A$264,'02_TrayPack_Order'!$L$2:$L$264,0)</f>
        <v/>
      </c>
      <c r="E115" s="175">
        <f>SUMIF('13_Progress_Track'!$A$2:$A$108,B116,'13_Progress_Track'!$E$2:$E$108)</f>
        <v/>
      </c>
      <c r="F115" s="175">
        <f>IF(E116&gt;(C116+D116),(E116-(C116+D116)),0)</f>
        <v/>
      </c>
      <c r="G115" s="177">
        <f>IF(F116&gt;0,0,C116+D116-E116)</f>
        <v/>
      </c>
      <c r="H115" s="148">
        <f>_xludf.IFNA(_xlfn.XLOOKUP(B116,'00_SKU_Master'!$B$2:$B$378,'00_SKU_Master'!$C$2:$C$378),"")</f>
        <v/>
      </c>
      <c r="I115" s="148" t="n"/>
      <c r="J115" s="14">
        <f>_xludf.IFNA(_xlfn.XLOOKUP(B116,'00_SKU_Master'!B$2:B$378,'00_SKU_Master'!H$2:H$378,0),"")</f>
        <v/>
      </c>
      <c r="K115" s="14">
        <f>_xludf.IFNA(_xlfn.XLOOKUP(B116,'00_SKU_Master'!B$2:B$378,'00_SKU_Master'!K$2:K$378,0),"")</f>
        <v/>
      </c>
      <c r="L115" s="148">
        <f>_xlfn.XLOOKUP(B116,'00_SKU_Master'!$B$2:$B$378,'00_SKU_Master'!D:D)</f>
        <v/>
      </c>
      <c r="M115" s="148">
        <f>IF((C116-E116)&lt;0,0,C116-E116)</f>
        <v/>
      </c>
    </row>
    <row r="116">
      <c r="A116" s="148">
        <f>'00_SKU_Master'!J208</f>
        <v/>
      </c>
      <c r="B116" s="148">
        <f>'00_SKU_Master'!B208</f>
        <v/>
      </c>
      <c r="C116" s="175">
        <f>_xlfn.XLOOKUP(B117,'02_TrayPack_Order'!$A$2:$A$264,'02_TrayPack_Order'!$C$2:$C$264)</f>
        <v/>
      </c>
      <c r="D116" s="176">
        <f>_xlfn.XLOOKUP(B117,'02_TrayPack_Order'!$A$2:$A$264,'02_TrayPack_Order'!$L$2:$L$264,0)</f>
        <v/>
      </c>
      <c r="E116" s="175">
        <f>SUMIF('13_Progress_Track'!$A$2:$A$108,B117,'13_Progress_Track'!$E$2:$E$108)</f>
        <v/>
      </c>
      <c r="F116" s="175">
        <f>IF(E117&gt;(C117+D117),(E117-(C117+D117)),0)</f>
        <v/>
      </c>
      <c r="G116" s="177">
        <f>IF(F117&gt;0,0,C117+D117-E117)</f>
        <v/>
      </c>
      <c r="H116" s="148">
        <f>_xludf.IFNA(_xlfn.XLOOKUP(B117,'00_SKU_Master'!$B$2:$B$378,'00_SKU_Master'!$C$2:$C$378),"")</f>
        <v/>
      </c>
      <c r="I116" s="148" t="n"/>
      <c r="J116" s="14">
        <f>_xludf.IFNA(_xlfn.XLOOKUP(B117,'00_SKU_Master'!B$2:B$378,'00_SKU_Master'!H$2:H$378,0),"")</f>
        <v/>
      </c>
      <c r="K116" s="14">
        <f>_xludf.IFNA(_xlfn.XLOOKUP(B117,'00_SKU_Master'!B$2:B$378,'00_SKU_Master'!K$2:K$378,0),"")</f>
        <v/>
      </c>
      <c r="L116" s="148">
        <f>_xlfn.XLOOKUP(B117,'00_SKU_Master'!$B$2:$B$378,'00_SKU_Master'!D:D)</f>
        <v/>
      </c>
      <c r="M116" s="148">
        <f>IF((C117-E117)&lt;0,0,C117-E117)</f>
        <v/>
      </c>
    </row>
    <row r="117">
      <c r="A117" s="148">
        <f>'00_SKU_Master'!J209</f>
        <v/>
      </c>
      <c r="B117" s="148">
        <f>'00_SKU_Master'!B209</f>
        <v/>
      </c>
      <c r="C117" s="175">
        <f>_xlfn.XLOOKUP(B118,'02_TrayPack_Order'!$A$2:$A$264,'02_TrayPack_Order'!$C$2:$C$264)</f>
        <v/>
      </c>
      <c r="D117" s="176">
        <f>_xlfn.XLOOKUP(B118,'02_TrayPack_Order'!$A$2:$A$264,'02_TrayPack_Order'!$L$2:$L$264,0)</f>
        <v/>
      </c>
      <c r="E117" s="175">
        <f>SUMIF('13_Progress_Track'!$A$2:$A$108,B118,'13_Progress_Track'!$E$2:$E$108)</f>
        <v/>
      </c>
      <c r="F117" s="175">
        <f>IF(E118&gt;(C118+D118),(E118-(C118+D118)),0)</f>
        <v/>
      </c>
      <c r="G117" s="177">
        <f>IF(F118&gt;0,0,C118+D118-E118)</f>
        <v/>
      </c>
      <c r="H117" s="148">
        <f>_xludf.IFNA(_xlfn.XLOOKUP(B118,'00_SKU_Master'!$B$2:$B$378,'00_SKU_Master'!$C$2:$C$378),"")</f>
        <v/>
      </c>
      <c r="I117" s="148" t="n"/>
      <c r="J117" s="14">
        <f>_xludf.IFNA(_xlfn.XLOOKUP(B118,'00_SKU_Master'!B$2:B$378,'00_SKU_Master'!H$2:H$378,0),"")</f>
        <v/>
      </c>
      <c r="K117" s="14">
        <f>_xludf.IFNA(_xlfn.XLOOKUP(B118,'00_SKU_Master'!B$2:B$378,'00_SKU_Master'!K$2:K$378,0),"")</f>
        <v/>
      </c>
      <c r="L117" s="148">
        <f>_xlfn.XLOOKUP(B118,'00_SKU_Master'!$B$2:$B$378,'00_SKU_Master'!D:D)</f>
        <v/>
      </c>
      <c r="M117" s="148">
        <f>IF((C118-E118)&lt;0,0,C118-E118)</f>
        <v/>
      </c>
    </row>
    <row r="118">
      <c r="A118" s="148">
        <f>'00_SKU_Master'!J210</f>
        <v/>
      </c>
      <c r="B118" s="148">
        <f>'00_SKU_Master'!B210</f>
        <v/>
      </c>
      <c r="C118" s="175">
        <f>_xlfn.XLOOKUP(B119,'02_TrayPack_Order'!$A$2:$A$264,'02_TrayPack_Order'!$C$2:$C$264)</f>
        <v/>
      </c>
      <c r="D118" s="176">
        <f>_xlfn.XLOOKUP(B119,'02_TrayPack_Order'!$A$2:$A$264,'02_TrayPack_Order'!$L$2:$L$264,0)</f>
        <v/>
      </c>
      <c r="E118" s="175">
        <f>SUMIF('13_Progress_Track'!$A$2:$A$108,B119,'13_Progress_Track'!$E$2:$E$108)</f>
        <v/>
      </c>
      <c r="F118" s="175">
        <f>IF(E119&gt;(C119+D119),(E119-(C119+D119)),0)</f>
        <v/>
      </c>
      <c r="G118" s="177">
        <f>IF(F119&gt;0,0,C119+D119-E119)</f>
        <v/>
      </c>
      <c r="H118" s="148">
        <f>_xludf.IFNA(_xlfn.XLOOKUP(B119,'00_SKU_Master'!$B$2:$B$378,'00_SKU_Master'!$C$2:$C$378),"")</f>
        <v/>
      </c>
      <c r="I118" s="148" t="n"/>
      <c r="J118" s="14">
        <f>_xludf.IFNA(_xlfn.XLOOKUP(B119,'00_SKU_Master'!B$2:B$378,'00_SKU_Master'!H$2:H$378,0),"")</f>
        <v/>
      </c>
      <c r="K118" s="14">
        <f>_xludf.IFNA(_xlfn.XLOOKUP(B119,'00_SKU_Master'!B$2:B$378,'00_SKU_Master'!K$2:K$378,0),"")</f>
        <v/>
      </c>
      <c r="L118" s="148">
        <f>_xlfn.XLOOKUP(B119,'00_SKU_Master'!$B$2:$B$378,'00_SKU_Master'!D:D)</f>
        <v/>
      </c>
      <c r="M118" s="148">
        <f>IF((C119-E119)&lt;0,0,C119-E119)</f>
        <v/>
      </c>
    </row>
    <row r="119">
      <c r="A119" s="148">
        <f>'00_SKU_Master'!J211</f>
        <v/>
      </c>
      <c r="B119" s="148">
        <f>'00_SKU_Master'!B211</f>
        <v/>
      </c>
      <c r="C119" s="175">
        <f>_xlfn.XLOOKUP(B120,'02_TrayPack_Order'!$A$2:$A$264,'02_TrayPack_Order'!$C$2:$C$264)</f>
        <v/>
      </c>
      <c r="D119" s="176">
        <f>_xlfn.XLOOKUP(B120,'02_TrayPack_Order'!$A$2:$A$264,'02_TrayPack_Order'!$L$2:$L$264,0)</f>
        <v/>
      </c>
      <c r="E119" s="175">
        <f>SUMIF('13_Progress_Track'!$A$2:$A$108,B120,'13_Progress_Track'!$E$2:$E$108)</f>
        <v/>
      </c>
      <c r="F119" s="175">
        <f>IF(E120&gt;(C120+D120),(E120-(C120+D120)),0)</f>
        <v/>
      </c>
      <c r="G119" s="177">
        <f>IF(F120&gt;0,0,C120+D120-E120)</f>
        <v/>
      </c>
      <c r="H119" s="148">
        <f>_xludf.IFNA(_xlfn.XLOOKUP(B120,'00_SKU_Master'!$B$2:$B$378,'00_SKU_Master'!$C$2:$C$378),"")</f>
        <v/>
      </c>
      <c r="I119" s="148" t="n"/>
      <c r="J119" s="14">
        <f>_xludf.IFNA(_xlfn.XLOOKUP(B120,'00_SKU_Master'!B$2:B$378,'00_SKU_Master'!H$2:H$378,0),"")</f>
        <v/>
      </c>
      <c r="K119" s="14">
        <f>_xludf.IFNA(_xlfn.XLOOKUP(B120,'00_SKU_Master'!B$2:B$378,'00_SKU_Master'!K$2:K$378,0),"")</f>
        <v/>
      </c>
      <c r="L119" s="148">
        <f>_xlfn.XLOOKUP(B120,'00_SKU_Master'!$B$2:$B$378,'00_SKU_Master'!D:D)</f>
        <v/>
      </c>
      <c r="M119" s="148">
        <f>IF((C120-E120)&lt;0,0,C120-E120)</f>
        <v/>
      </c>
    </row>
    <row r="120">
      <c r="A120" s="148">
        <f>'00_SKU_Master'!J212</f>
        <v/>
      </c>
      <c r="B120" s="148">
        <f>'00_SKU_Master'!B212</f>
        <v/>
      </c>
      <c r="C120" s="175">
        <f>_xlfn.XLOOKUP(B121,'02_TrayPack_Order'!$A$2:$A$264,'02_TrayPack_Order'!$C$2:$C$264)</f>
        <v/>
      </c>
      <c r="D120" s="176">
        <f>_xlfn.XLOOKUP(B121,'02_TrayPack_Order'!$A$2:$A$264,'02_TrayPack_Order'!$L$2:$L$264,0)</f>
        <v/>
      </c>
      <c r="E120" s="175">
        <f>SUMIF('13_Progress_Track'!$A$2:$A$108,B121,'13_Progress_Track'!$E$2:$E$108)</f>
        <v/>
      </c>
      <c r="F120" s="175">
        <f>IF(E121&gt;(C121+D121),(E121-(C121+D121)),0)</f>
        <v/>
      </c>
      <c r="G120" s="177">
        <f>IF(F121&gt;0,0,C121+D121-E121)</f>
        <v/>
      </c>
      <c r="H120" s="148">
        <f>_xludf.IFNA(_xlfn.XLOOKUP(B121,'00_SKU_Master'!$B$2:$B$378,'00_SKU_Master'!$C$2:$C$378),"")</f>
        <v/>
      </c>
      <c r="I120" s="148" t="n"/>
      <c r="J120" s="14">
        <f>_xludf.IFNA(_xlfn.XLOOKUP(B121,'00_SKU_Master'!B$2:B$378,'00_SKU_Master'!H$2:H$378,0),"")</f>
        <v/>
      </c>
      <c r="K120" s="14">
        <f>_xludf.IFNA(_xlfn.XLOOKUP(B121,'00_SKU_Master'!B$2:B$378,'00_SKU_Master'!K$2:K$378,0),"")</f>
        <v/>
      </c>
      <c r="L120" s="148">
        <f>_xlfn.XLOOKUP(B121,'00_SKU_Master'!$B$2:$B$378,'00_SKU_Master'!D:D)</f>
        <v/>
      </c>
      <c r="M120" s="148">
        <f>IF((C121-E121)&lt;0,0,C121-E121)</f>
        <v/>
      </c>
    </row>
    <row r="121">
      <c r="A121" s="148">
        <f>'00_SKU_Master'!J213</f>
        <v/>
      </c>
      <c r="B121" s="148">
        <f>'00_SKU_Master'!B213</f>
        <v/>
      </c>
      <c r="C121" s="175">
        <f>_xlfn.XLOOKUP(B122,'02_TrayPack_Order'!$A$2:$A$264,'02_TrayPack_Order'!$C$2:$C$264)</f>
        <v/>
      </c>
      <c r="D121" s="176">
        <f>_xlfn.XLOOKUP(B122,'02_TrayPack_Order'!$A$2:$A$264,'02_TrayPack_Order'!$L$2:$L$264,0)</f>
        <v/>
      </c>
      <c r="E121" s="175">
        <f>SUMIF('13_Progress_Track'!$A$2:$A$108,B122,'13_Progress_Track'!$E$2:$E$108)</f>
        <v/>
      </c>
      <c r="F121" s="175">
        <f>IF(E122&gt;(C122+D122),(E122-(C122+D122)),0)</f>
        <v/>
      </c>
      <c r="G121" s="177">
        <f>IF(F122&gt;0,0,C122+D122-E122)</f>
        <v/>
      </c>
      <c r="H121" s="148">
        <f>_xludf.IFNA(_xlfn.XLOOKUP(B122,'00_SKU_Master'!$B$2:$B$378,'00_SKU_Master'!$C$2:$C$378),"")</f>
        <v/>
      </c>
      <c r="I121" s="148" t="n"/>
      <c r="J121" s="14">
        <f>_xludf.IFNA(_xlfn.XLOOKUP(B122,'00_SKU_Master'!B$2:B$378,'00_SKU_Master'!H$2:H$378,0),"")</f>
        <v/>
      </c>
      <c r="K121" s="14">
        <f>_xludf.IFNA(_xlfn.XLOOKUP(B122,'00_SKU_Master'!B$2:B$378,'00_SKU_Master'!K$2:K$378,0),"")</f>
        <v/>
      </c>
      <c r="L121" s="148">
        <f>_xlfn.XLOOKUP(B122,'00_SKU_Master'!$B$2:$B$378,'00_SKU_Master'!D:D)</f>
        <v/>
      </c>
      <c r="M121" s="148">
        <f>IF((C122-E122)&lt;0,0,C122-E122)</f>
        <v/>
      </c>
    </row>
    <row r="122">
      <c r="A122" s="148">
        <f>'00_SKU_Master'!J214</f>
        <v/>
      </c>
      <c r="B122" s="148">
        <f>'00_SKU_Master'!B214</f>
        <v/>
      </c>
      <c r="C122" s="175">
        <f>_xlfn.XLOOKUP(B123,'02_TrayPack_Order'!$A$2:$A$264,'02_TrayPack_Order'!$C$2:$C$264)</f>
        <v/>
      </c>
      <c r="D122" s="176">
        <f>_xlfn.XLOOKUP(B123,'02_TrayPack_Order'!$A$2:$A$264,'02_TrayPack_Order'!$L$2:$L$264,0)</f>
        <v/>
      </c>
      <c r="E122" s="175">
        <f>SUMIF('13_Progress_Track'!$A$2:$A$108,B123,'13_Progress_Track'!$E$2:$E$108)</f>
        <v/>
      </c>
      <c r="F122" s="175">
        <f>IF(E123&gt;(C123+D123),(E123-(C123+D123)),0)</f>
        <v/>
      </c>
      <c r="G122" s="177">
        <f>IF(F123&gt;0,0,C123+D123-E123)</f>
        <v/>
      </c>
      <c r="H122" s="148">
        <f>_xludf.IFNA(_xlfn.XLOOKUP(B123,'00_SKU_Master'!$B$2:$B$378,'00_SKU_Master'!$C$2:$C$378),"")</f>
        <v/>
      </c>
      <c r="I122" s="148" t="n"/>
      <c r="J122" s="14">
        <f>_xludf.IFNA(_xlfn.XLOOKUP(B123,'00_SKU_Master'!B$2:B$378,'00_SKU_Master'!H$2:H$378,0),"")</f>
        <v/>
      </c>
      <c r="K122" s="14">
        <f>_xludf.IFNA(_xlfn.XLOOKUP(B123,'00_SKU_Master'!B$2:B$378,'00_SKU_Master'!K$2:K$378,0),"")</f>
        <v/>
      </c>
      <c r="L122" s="148">
        <f>_xlfn.XLOOKUP(B123,'00_SKU_Master'!$B$2:$B$378,'00_SKU_Master'!D:D)</f>
        <v/>
      </c>
      <c r="M122" s="148">
        <f>IF((C123-E123)&lt;0,0,C123-E123)</f>
        <v/>
      </c>
    </row>
    <row r="123">
      <c r="A123" s="148">
        <f>'00_SKU_Master'!J215</f>
        <v/>
      </c>
      <c r="B123" s="148">
        <f>'00_SKU_Master'!B215</f>
        <v/>
      </c>
      <c r="C123" s="175">
        <f>_xlfn.XLOOKUP(B124,'02_TrayPack_Order'!$A$2:$A$264,'02_TrayPack_Order'!$C$2:$C$264)</f>
        <v/>
      </c>
      <c r="D123" s="176">
        <f>_xlfn.XLOOKUP(B124,'02_TrayPack_Order'!$A$2:$A$264,'02_TrayPack_Order'!$L$2:$L$264,0)</f>
        <v/>
      </c>
      <c r="E123" s="175">
        <f>SUMIF('13_Progress_Track'!$A$2:$A$108,B124,'13_Progress_Track'!$E$2:$E$108)</f>
        <v/>
      </c>
      <c r="F123" s="175">
        <f>IF(E124&gt;(C124+D124),(E124-(C124+D124)),0)</f>
        <v/>
      </c>
      <c r="G123" s="177">
        <f>IF(F124&gt;0,0,C124+D124-E124)</f>
        <v/>
      </c>
      <c r="H123" s="148">
        <f>_xludf.IFNA(_xlfn.XLOOKUP(B124,'00_SKU_Master'!$B$2:$B$378,'00_SKU_Master'!$C$2:$C$378),"")</f>
        <v/>
      </c>
      <c r="I123" s="148" t="n"/>
      <c r="J123" s="14">
        <f>_xludf.IFNA(_xlfn.XLOOKUP(B124,'00_SKU_Master'!B$2:B$378,'00_SKU_Master'!H$2:H$378,0),"")</f>
        <v/>
      </c>
      <c r="K123" s="14">
        <f>_xludf.IFNA(_xlfn.XLOOKUP(B124,'00_SKU_Master'!B$2:B$378,'00_SKU_Master'!K$2:K$378,0),"")</f>
        <v/>
      </c>
      <c r="L123" s="148">
        <f>_xlfn.XLOOKUP(B124,'00_SKU_Master'!$B$2:$B$378,'00_SKU_Master'!D:D)</f>
        <v/>
      </c>
      <c r="M123" s="148">
        <f>IF((C124-E124)&lt;0,0,C124-E124)</f>
        <v/>
      </c>
    </row>
    <row r="124">
      <c r="A124" s="148">
        <f>'00_SKU_Master'!J216</f>
        <v/>
      </c>
      <c r="B124" s="148">
        <f>'00_SKU_Master'!B216</f>
        <v/>
      </c>
      <c r="C124" s="175">
        <f>_xlfn.XLOOKUP(B125,'02_TrayPack_Order'!$A$2:$A$264,'02_TrayPack_Order'!$C$2:$C$264)</f>
        <v/>
      </c>
      <c r="D124" s="176">
        <f>_xlfn.XLOOKUP(B125,'02_TrayPack_Order'!$A$2:$A$264,'02_TrayPack_Order'!$L$2:$L$264,0)</f>
        <v/>
      </c>
      <c r="E124" s="175">
        <f>SUMIF('13_Progress_Track'!$A$2:$A$108,B125,'13_Progress_Track'!$E$2:$E$108)</f>
        <v/>
      </c>
      <c r="F124" s="175">
        <f>IF(E125&gt;(C125+D125),(E125-(C125+D125)),0)</f>
        <v/>
      </c>
      <c r="G124" s="177">
        <f>IF(F125&gt;0,0,C125+D125-E125)</f>
        <v/>
      </c>
      <c r="H124" s="148">
        <f>_xludf.IFNA(_xlfn.XLOOKUP(B125,'00_SKU_Master'!$B$2:$B$378,'00_SKU_Master'!$C$2:$C$378),"")</f>
        <v/>
      </c>
      <c r="I124" s="148" t="n"/>
      <c r="J124" s="14">
        <f>_xludf.IFNA(_xlfn.XLOOKUP(B125,'00_SKU_Master'!B$2:B$378,'00_SKU_Master'!H$2:H$378,0),"")</f>
        <v/>
      </c>
      <c r="K124" s="14">
        <f>_xludf.IFNA(_xlfn.XLOOKUP(B125,'00_SKU_Master'!B$2:B$378,'00_SKU_Master'!K$2:K$378,0),"")</f>
        <v/>
      </c>
      <c r="L124" s="148">
        <f>_xlfn.XLOOKUP(B125,'00_SKU_Master'!$B$2:$B$378,'00_SKU_Master'!D:D)</f>
        <v/>
      </c>
      <c r="M124" s="148">
        <f>IF((C125-E125)&lt;0,0,C125-E125)</f>
        <v/>
      </c>
    </row>
    <row r="125">
      <c r="A125" s="148">
        <f>'00_SKU_Master'!J217</f>
        <v/>
      </c>
      <c r="B125" s="148">
        <f>'00_SKU_Master'!B217</f>
        <v/>
      </c>
      <c r="C125" s="175">
        <f>_xlfn.XLOOKUP(B126,'02_TrayPack_Order'!$A$2:$A$264,'02_TrayPack_Order'!$C$2:$C$264)</f>
        <v/>
      </c>
      <c r="D125" s="176">
        <f>_xlfn.XLOOKUP(B126,'02_TrayPack_Order'!$A$2:$A$264,'02_TrayPack_Order'!$L$2:$L$264,0)</f>
        <v/>
      </c>
      <c r="E125" s="175">
        <f>SUMIF('13_Progress_Track'!$A$2:$A$108,B126,'13_Progress_Track'!$E$2:$E$108)</f>
        <v/>
      </c>
      <c r="F125" s="175">
        <f>IF(E126&gt;(C126+D126),(E126-(C126+D126)),0)</f>
        <v/>
      </c>
      <c r="G125" s="177">
        <f>IF(F126&gt;0,0,C126+D126-E126)</f>
        <v/>
      </c>
      <c r="H125" s="148">
        <f>_xludf.IFNA(_xlfn.XLOOKUP(B126,'00_SKU_Master'!$B$2:$B$378,'00_SKU_Master'!$C$2:$C$378),"")</f>
        <v/>
      </c>
      <c r="I125" s="148" t="n"/>
      <c r="J125" s="14">
        <f>_xludf.IFNA(_xlfn.XLOOKUP(B126,'00_SKU_Master'!B$2:B$378,'00_SKU_Master'!H$2:H$378,0),"")</f>
        <v/>
      </c>
      <c r="K125" s="14">
        <f>_xludf.IFNA(_xlfn.XLOOKUP(B126,'00_SKU_Master'!B$2:B$378,'00_SKU_Master'!K$2:K$378,0),"")</f>
        <v/>
      </c>
      <c r="L125" s="148">
        <f>_xlfn.XLOOKUP(B126,'00_SKU_Master'!$B$2:$B$378,'00_SKU_Master'!D:D)</f>
        <v/>
      </c>
      <c r="M125" s="148">
        <f>IF((C126-E126)&lt;0,0,C126-E126)</f>
        <v/>
      </c>
    </row>
    <row r="126">
      <c r="A126" s="148">
        <f>'00_SKU_Master'!J218</f>
        <v/>
      </c>
      <c r="B126" s="148">
        <f>'00_SKU_Master'!B218</f>
        <v/>
      </c>
      <c r="C126" s="175">
        <f>_xlfn.XLOOKUP(B127,'02_TrayPack_Order'!$A$2:$A$264,'02_TrayPack_Order'!$C$2:$C$264)</f>
        <v/>
      </c>
      <c r="D126" s="176">
        <f>_xlfn.XLOOKUP(B127,'02_TrayPack_Order'!$A$2:$A$264,'02_TrayPack_Order'!$L$2:$L$264,0)</f>
        <v/>
      </c>
      <c r="E126" s="175">
        <f>SUMIF('13_Progress_Track'!$A$2:$A$108,B127,'13_Progress_Track'!$E$2:$E$108)</f>
        <v/>
      </c>
      <c r="F126" s="175">
        <f>IF(E127&gt;(C127+D127),(E127-(C127+D127)),0)</f>
        <v/>
      </c>
      <c r="G126" s="177">
        <f>IF(F127&gt;0,0,C127+D127-E127)</f>
        <v/>
      </c>
      <c r="H126" s="148">
        <f>_xludf.IFNA(_xlfn.XLOOKUP(B127,'00_SKU_Master'!$B$2:$B$378,'00_SKU_Master'!$C$2:$C$378),"")</f>
        <v/>
      </c>
      <c r="I126" s="148" t="n"/>
      <c r="J126" s="14">
        <f>_xludf.IFNA(_xlfn.XLOOKUP(B127,'00_SKU_Master'!B$2:B$378,'00_SKU_Master'!H$2:H$378,0),"")</f>
        <v/>
      </c>
      <c r="K126" s="14">
        <f>_xludf.IFNA(_xlfn.XLOOKUP(B127,'00_SKU_Master'!B$2:B$378,'00_SKU_Master'!K$2:K$378,0),"")</f>
        <v/>
      </c>
      <c r="L126" s="148">
        <f>_xlfn.XLOOKUP(B127,'00_SKU_Master'!$B$2:$B$378,'00_SKU_Master'!D:D)</f>
        <v/>
      </c>
      <c r="M126" s="148">
        <f>IF((C127-E127)&lt;0,0,C127-E127)</f>
        <v/>
      </c>
    </row>
    <row r="127">
      <c r="A127" s="148">
        <f>'00_SKU_Master'!J219</f>
        <v/>
      </c>
      <c r="B127" s="148">
        <f>'00_SKU_Master'!B219</f>
        <v/>
      </c>
      <c r="C127" s="175">
        <f>_xlfn.XLOOKUP(B128,'02_TrayPack_Order'!$A$2:$A$264,'02_TrayPack_Order'!$C$2:$C$264)</f>
        <v/>
      </c>
      <c r="D127" s="176">
        <f>_xlfn.XLOOKUP(B128,'02_TrayPack_Order'!$A$2:$A$264,'02_TrayPack_Order'!$L$2:$L$264,0)</f>
        <v/>
      </c>
      <c r="E127" s="175">
        <f>SUMIF('13_Progress_Track'!$A$2:$A$108,B128,'13_Progress_Track'!$E$2:$E$108)</f>
        <v/>
      </c>
      <c r="F127" s="175">
        <f>IF(E128&gt;(C128+D128),(E128-(C128+D128)),0)</f>
        <v/>
      </c>
      <c r="G127" s="177">
        <f>IF(F128&gt;0,0,C128+D128-E128)</f>
        <v/>
      </c>
      <c r="H127" s="148">
        <f>_xludf.IFNA(_xlfn.XLOOKUP(B128,'00_SKU_Master'!$B$2:$B$378,'00_SKU_Master'!$C$2:$C$378),"")</f>
        <v/>
      </c>
      <c r="I127" s="148" t="n"/>
      <c r="J127" s="14">
        <f>_xludf.IFNA(_xlfn.XLOOKUP(B128,'00_SKU_Master'!B$2:B$378,'00_SKU_Master'!H$2:H$378,0),"")</f>
        <v/>
      </c>
      <c r="K127" s="14">
        <f>_xludf.IFNA(_xlfn.XLOOKUP(B128,'00_SKU_Master'!B$2:B$378,'00_SKU_Master'!K$2:K$378,0),"")</f>
        <v/>
      </c>
      <c r="L127" s="148">
        <f>_xlfn.XLOOKUP(B128,'00_SKU_Master'!$B$2:$B$378,'00_SKU_Master'!D:D)</f>
        <v/>
      </c>
      <c r="M127" s="148">
        <f>IF((C128-E128)&lt;0,0,C128-E128)</f>
        <v/>
      </c>
    </row>
    <row r="128">
      <c r="A128" s="148">
        <f>'00_SKU_Master'!J220</f>
        <v/>
      </c>
      <c r="B128" s="148">
        <f>'00_SKU_Master'!B220</f>
        <v/>
      </c>
      <c r="C128" s="175">
        <f>_xlfn.XLOOKUP(B129,'02_TrayPack_Order'!$A$2:$A$264,'02_TrayPack_Order'!$C$2:$C$264)</f>
        <v/>
      </c>
      <c r="D128" s="176">
        <f>_xlfn.XLOOKUP(B129,'02_TrayPack_Order'!$A$2:$A$264,'02_TrayPack_Order'!$L$2:$L$264,0)</f>
        <v/>
      </c>
      <c r="E128" s="175">
        <f>SUMIF('13_Progress_Track'!$A$2:$A$108,B129,'13_Progress_Track'!$E$2:$E$108)</f>
        <v/>
      </c>
      <c r="F128" s="175">
        <f>IF(E129&gt;(C129+D129),(E129-(C129+D129)),0)</f>
        <v/>
      </c>
      <c r="G128" s="177">
        <f>IF(F129&gt;0,0,C129+D129-E129)</f>
        <v/>
      </c>
      <c r="H128" s="148">
        <f>_xludf.IFNA(_xlfn.XLOOKUP(B129,'00_SKU_Master'!$B$2:$B$378,'00_SKU_Master'!$C$2:$C$378),"")</f>
        <v/>
      </c>
      <c r="I128" s="148" t="n"/>
      <c r="J128" s="14">
        <f>_xludf.IFNA(_xlfn.XLOOKUP(B129,'00_SKU_Master'!B$2:B$378,'00_SKU_Master'!H$2:H$378,0),"")</f>
        <v/>
      </c>
      <c r="K128" s="14">
        <f>_xludf.IFNA(_xlfn.XLOOKUP(B129,'00_SKU_Master'!B$2:B$378,'00_SKU_Master'!K$2:K$378,0),"")</f>
        <v/>
      </c>
      <c r="L128" s="148">
        <f>_xlfn.XLOOKUP(B129,'00_SKU_Master'!$B$2:$B$378,'00_SKU_Master'!D:D)</f>
        <v/>
      </c>
      <c r="M128" s="148">
        <f>IF((C129-E129)&lt;0,0,C129-E129)</f>
        <v/>
      </c>
    </row>
    <row r="129">
      <c r="A129" s="148">
        <f>'00_SKU_Master'!J221</f>
        <v/>
      </c>
      <c r="B129" s="148">
        <f>'00_SKU_Master'!B221</f>
        <v/>
      </c>
      <c r="C129" s="175">
        <f>_xlfn.XLOOKUP(B130,'02_TrayPack_Order'!$A$2:$A$264,'02_TrayPack_Order'!$C$2:$C$264)</f>
        <v/>
      </c>
      <c r="D129" s="176">
        <f>_xlfn.XLOOKUP(B130,'02_TrayPack_Order'!$A$2:$A$264,'02_TrayPack_Order'!$L$2:$L$264,0)</f>
        <v/>
      </c>
      <c r="E129" s="175">
        <f>SUMIF('13_Progress_Track'!$A$2:$A$108,B130,'13_Progress_Track'!$E$2:$E$108)</f>
        <v/>
      </c>
      <c r="F129" s="175">
        <f>IF(E130&gt;(C130+D130),(E130-(C130+D130)),0)</f>
        <v/>
      </c>
      <c r="G129" s="177">
        <f>IF(F130&gt;0,0,C130+D130-E130)</f>
        <v/>
      </c>
      <c r="H129" s="148">
        <f>_xludf.IFNA(_xlfn.XLOOKUP(B130,'00_SKU_Master'!$B$2:$B$378,'00_SKU_Master'!$C$2:$C$378),"")</f>
        <v/>
      </c>
      <c r="I129" s="148" t="n"/>
      <c r="J129" s="14">
        <f>_xludf.IFNA(_xlfn.XLOOKUP(B130,'00_SKU_Master'!B$2:B$378,'00_SKU_Master'!H$2:H$378,0),"")</f>
        <v/>
      </c>
      <c r="K129" s="14">
        <f>_xludf.IFNA(_xlfn.XLOOKUP(B130,'00_SKU_Master'!B$2:B$378,'00_SKU_Master'!K$2:K$378,0),"")</f>
        <v/>
      </c>
      <c r="L129" s="148">
        <f>_xlfn.XLOOKUP(B130,'00_SKU_Master'!$B$2:$B$378,'00_SKU_Master'!D:D)</f>
        <v/>
      </c>
      <c r="M129" s="148">
        <f>IF((C130-E130)&lt;0,0,C130-E130)</f>
        <v/>
      </c>
    </row>
    <row r="130">
      <c r="A130" s="148">
        <f>'00_SKU_Master'!J222</f>
        <v/>
      </c>
      <c r="B130" s="148">
        <f>'00_SKU_Master'!B222</f>
        <v/>
      </c>
      <c r="C130" s="175">
        <f>_xlfn.XLOOKUP(B131,'02_TrayPack_Order'!$A$2:$A$264,'02_TrayPack_Order'!$C$2:$C$264)</f>
        <v/>
      </c>
      <c r="D130" s="176">
        <f>_xlfn.XLOOKUP(B131,'02_TrayPack_Order'!$A$2:$A$264,'02_TrayPack_Order'!$L$2:$L$264,0)</f>
        <v/>
      </c>
      <c r="E130" s="175">
        <f>SUMIF('13_Progress_Track'!$A$2:$A$108,B131,'13_Progress_Track'!$E$2:$E$108)</f>
        <v/>
      </c>
      <c r="F130" s="175">
        <f>IF(E131&gt;(C131+D131),(E131-(C131+D131)),0)</f>
        <v/>
      </c>
      <c r="G130" s="177">
        <f>IF(F131&gt;0,0,C131+D131-E131)</f>
        <v/>
      </c>
      <c r="H130" s="148">
        <f>_xludf.IFNA(_xlfn.XLOOKUP(B131,'00_SKU_Master'!$B$2:$B$378,'00_SKU_Master'!$C$2:$C$378),"")</f>
        <v/>
      </c>
      <c r="I130" s="148" t="n"/>
      <c r="J130" s="14">
        <f>_xludf.IFNA(_xlfn.XLOOKUP(B131,'00_SKU_Master'!B$2:B$378,'00_SKU_Master'!H$2:H$378,0),"")</f>
        <v/>
      </c>
      <c r="K130" s="14">
        <f>_xludf.IFNA(_xlfn.XLOOKUP(B131,'00_SKU_Master'!B$2:B$378,'00_SKU_Master'!K$2:K$378,0),"")</f>
        <v/>
      </c>
      <c r="L130" s="148">
        <f>_xlfn.XLOOKUP(B131,'00_SKU_Master'!$B$2:$B$378,'00_SKU_Master'!D:D)</f>
        <v/>
      </c>
      <c r="M130" s="148">
        <f>IF((C131-E131)&lt;0,0,C131-E131)</f>
        <v/>
      </c>
    </row>
    <row r="131">
      <c r="A131" s="148">
        <f>'00_SKU_Master'!J223</f>
        <v/>
      </c>
      <c r="B131" s="148">
        <f>'00_SKU_Master'!B223</f>
        <v/>
      </c>
      <c r="C131" s="175">
        <f>_xlfn.XLOOKUP(B132,'02_TrayPack_Order'!$A$2:$A$264,'02_TrayPack_Order'!$C$2:$C$264)</f>
        <v/>
      </c>
      <c r="D131" s="176">
        <f>_xlfn.XLOOKUP(B132,'02_TrayPack_Order'!$A$2:$A$264,'02_TrayPack_Order'!$L$2:$L$264,0)</f>
        <v/>
      </c>
      <c r="E131" s="175">
        <f>SUMIF('13_Progress_Track'!$A$2:$A$108,B132,'13_Progress_Track'!$E$2:$E$108)</f>
        <v/>
      </c>
      <c r="F131" s="175">
        <f>IF(E132&gt;(C132+D132),(E132-(C132+D132)),0)</f>
        <v/>
      </c>
      <c r="G131" s="177">
        <f>IF(F132&gt;0,0,C132+D132-E132)</f>
        <v/>
      </c>
      <c r="H131" s="148">
        <f>_xludf.IFNA(_xlfn.XLOOKUP(B132,'00_SKU_Master'!$B$2:$B$378,'00_SKU_Master'!$C$2:$C$378),"")</f>
        <v/>
      </c>
      <c r="I131" s="148" t="n"/>
      <c r="J131" s="14">
        <f>_xludf.IFNA(_xlfn.XLOOKUP(B132,'00_SKU_Master'!B$2:B$378,'00_SKU_Master'!H$2:H$378,0),"")</f>
        <v/>
      </c>
      <c r="K131" s="14">
        <f>_xludf.IFNA(_xlfn.XLOOKUP(B132,'00_SKU_Master'!B$2:B$378,'00_SKU_Master'!K$2:K$378,0),"")</f>
        <v/>
      </c>
      <c r="L131" s="148">
        <f>_xlfn.XLOOKUP(B132,'00_SKU_Master'!$B$2:$B$378,'00_SKU_Master'!D:D)</f>
        <v/>
      </c>
      <c r="M131" s="148">
        <f>IF((C132-E132)&lt;0,0,C132-E132)</f>
        <v/>
      </c>
    </row>
    <row r="132">
      <c r="A132" s="148">
        <f>'00_SKU_Master'!J224</f>
        <v/>
      </c>
      <c r="B132" s="148">
        <f>'00_SKU_Master'!B224</f>
        <v/>
      </c>
      <c r="C132" s="175">
        <f>_xlfn.XLOOKUP(B133,'02_TrayPack_Order'!$A$2:$A$264,'02_TrayPack_Order'!$C$2:$C$264)</f>
        <v/>
      </c>
      <c r="D132" s="176">
        <f>_xlfn.XLOOKUP(B133,'02_TrayPack_Order'!$A$2:$A$264,'02_TrayPack_Order'!$L$2:$L$264,0)</f>
        <v/>
      </c>
      <c r="E132" s="175">
        <f>SUMIF('13_Progress_Track'!$A$2:$A$108,B133,'13_Progress_Track'!$E$2:$E$108)</f>
        <v/>
      </c>
      <c r="F132" s="175">
        <f>IF(E133&gt;(C133+D133),(E133-(C133+D133)),0)</f>
        <v/>
      </c>
      <c r="G132" s="177">
        <f>IF(F133&gt;0,0,C133+D133-E133)</f>
        <v/>
      </c>
      <c r="H132" s="148">
        <f>_xludf.IFNA(_xlfn.XLOOKUP(B133,'00_SKU_Master'!$B$2:$B$378,'00_SKU_Master'!$C$2:$C$378),"")</f>
        <v/>
      </c>
      <c r="I132" s="148" t="n"/>
      <c r="J132" s="14">
        <f>_xludf.IFNA(_xlfn.XLOOKUP(B133,'00_SKU_Master'!B$2:B$378,'00_SKU_Master'!H$2:H$378,0),"")</f>
        <v/>
      </c>
      <c r="K132" s="14">
        <f>_xludf.IFNA(_xlfn.XLOOKUP(B133,'00_SKU_Master'!B$2:B$378,'00_SKU_Master'!K$2:K$378,0),"")</f>
        <v/>
      </c>
      <c r="L132" s="148">
        <f>_xlfn.XLOOKUP(B133,'00_SKU_Master'!$B$2:$B$378,'00_SKU_Master'!D:D)</f>
        <v/>
      </c>
      <c r="M132" s="148">
        <f>IF((C133-E133)&lt;0,0,C133-E133)</f>
        <v/>
      </c>
    </row>
    <row r="133">
      <c r="A133" s="148">
        <f>'00_SKU_Master'!J225</f>
        <v/>
      </c>
      <c r="B133" s="148">
        <f>'00_SKU_Master'!B225</f>
        <v/>
      </c>
      <c r="C133" s="175">
        <f>_xlfn.XLOOKUP(B134,'02_TrayPack_Order'!$A$2:$A$264,'02_TrayPack_Order'!$C$2:$C$264)</f>
        <v/>
      </c>
      <c r="D133" s="176">
        <f>_xlfn.XLOOKUP(B134,'02_TrayPack_Order'!$A$2:$A$264,'02_TrayPack_Order'!$L$2:$L$264,0)</f>
        <v/>
      </c>
      <c r="E133" s="175">
        <f>SUMIF('13_Progress_Track'!$A$2:$A$108,B134,'13_Progress_Track'!$E$2:$E$108)</f>
        <v/>
      </c>
      <c r="F133" s="175">
        <f>IF(E134&gt;(C134+D134),(E134-(C134+D134)),0)</f>
        <v/>
      </c>
      <c r="G133" s="177">
        <f>IF(F134&gt;0,0,C134+D134-E134)</f>
        <v/>
      </c>
      <c r="H133" s="148">
        <f>_xludf.IFNA(_xlfn.XLOOKUP(B134,'00_SKU_Master'!$B$2:$B$378,'00_SKU_Master'!$C$2:$C$378),"")</f>
        <v/>
      </c>
      <c r="I133" s="148" t="n"/>
      <c r="J133" s="14">
        <f>_xludf.IFNA(_xlfn.XLOOKUP(B134,'00_SKU_Master'!B$2:B$378,'00_SKU_Master'!H$2:H$378,0),"")</f>
        <v/>
      </c>
      <c r="K133" s="14">
        <f>_xludf.IFNA(_xlfn.XLOOKUP(B134,'00_SKU_Master'!B$2:B$378,'00_SKU_Master'!K$2:K$378,0),"")</f>
        <v/>
      </c>
      <c r="L133" s="148">
        <f>_xlfn.XLOOKUP(B134,'00_SKU_Master'!$B$2:$B$378,'00_SKU_Master'!D:D)</f>
        <v/>
      </c>
      <c r="M133" s="148">
        <f>IF((C134-E134)&lt;0,0,C134-E134)</f>
        <v/>
      </c>
    </row>
    <row r="134">
      <c r="A134" s="148">
        <f>'00_SKU_Master'!J226</f>
        <v/>
      </c>
      <c r="B134" s="148">
        <f>'00_SKU_Master'!B226</f>
        <v/>
      </c>
      <c r="C134" s="175">
        <f>_xlfn.XLOOKUP(B135,'02_TrayPack_Order'!$A$2:$A$264,'02_TrayPack_Order'!$C$2:$C$264)</f>
        <v/>
      </c>
      <c r="D134" s="176">
        <f>_xlfn.XLOOKUP(B135,'02_TrayPack_Order'!$A$2:$A$264,'02_TrayPack_Order'!$L$2:$L$264,0)</f>
        <v/>
      </c>
      <c r="E134" s="175">
        <f>SUMIF('13_Progress_Track'!$A$2:$A$108,B135,'13_Progress_Track'!$E$2:$E$108)</f>
        <v/>
      </c>
      <c r="F134" s="175">
        <f>IF(E135&gt;(C135+D135),(E135-(C135+D135)),0)</f>
        <v/>
      </c>
      <c r="G134" s="177">
        <f>IF(F135&gt;0,0,C135+D135-E135)</f>
        <v/>
      </c>
      <c r="H134" s="148">
        <f>_xludf.IFNA(_xlfn.XLOOKUP(B135,'00_SKU_Master'!$B$2:$B$378,'00_SKU_Master'!$C$2:$C$378),"")</f>
        <v/>
      </c>
      <c r="I134" s="148" t="n"/>
      <c r="J134" s="14">
        <f>_xludf.IFNA(_xlfn.XLOOKUP(B135,'00_SKU_Master'!B$2:B$378,'00_SKU_Master'!H$2:H$378,0),"")</f>
        <v/>
      </c>
      <c r="K134" s="14">
        <f>_xludf.IFNA(_xlfn.XLOOKUP(B135,'00_SKU_Master'!B$2:B$378,'00_SKU_Master'!K$2:K$378,0),"")</f>
        <v/>
      </c>
      <c r="L134" s="148">
        <f>_xlfn.XLOOKUP(B135,'00_SKU_Master'!$B$2:$B$378,'00_SKU_Master'!D:D)</f>
        <v/>
      </c>
      <c r="M134" s="148">
        <f>IF((C135-E135)&lt;0,0,C135-E135)</f>
        <v/>
      </c>
    </row>
    <row r="135">
      <c r="A135" s="148">
        <f>'00_SKU_Master'!J227</f>
        <v/>
      </c>
      <c r="B135" s="148">
        <f>'00_SKU_Master'!B227</f>
        <v/>
      </c>
      <c r="C135" s="175">
        <f>_xlfn.XLOOKUP(B136,'02_TrayPack_Order'!$A$2:$A$264,'02_TrayPack_Order'!$C$2:$C$264)</f>
        <v/>
      </c>
      <c r="D135" s="176">
        <f>_xlfn.XLOOKUP(B136,'02_TrayPack_Order'!$A$2:$A$264,'02_TrayPack_Order'!$L$2:$L$264,0)</f>
        <v/>
      </c>
      <c r="E135" s="175">
        <f>SUMIF('13_Progress_Track'!$A$2:$A$108,B136,'13_Progress_Track'!$E$2:$E$108)</f>
        <v/>
      </c>
      <c r="F135" s="175">
        <f>IF(E136&gt;(C136+D136),(E136-(C136+D136)),0)</f>
        <v/>
      </c>
      <c r="G135" s="177">
        <f>IF(F136&gt;0,0,C136+D136-E136)</f>
        <v/>
      </c>
      <c r="H135" s="148">
        <f>_xludf.IFNA(_xlfn.XLOOKUP(B136,'00_SKU_Master'!$B$2:$B$378,'00_SKU_Master'!$C$2:$C$378),"")</f>
        <v/>
      </c>
      <c r="I135" s="148" t="n"/>
      <c r="J135" s="14">
        <f>_xludf.IFNA(_xlfn.XLOOKUP(B136,'00_SKU_Master'!B$2:B$378,'00_SKU_Master'!H$2:H$378,0),"")</f>
        <v/>
      </c>
      <c r="K135" s="14">
        <f>_xludf.IFNA(_xlfn.XLOOKUP(B136,'00_SKU_Master'!B$2:B$378,'00_SKU_Master'!K$2:K$378,0),"")</f>
        <v/>
      </c>
      <c r="L135" s="148">
        <f>_xlfn.XLOOKUP(B136,'00_SKU_Master'!$B$2:$B$378,'00_SKU_Master'!D:D)</f>
        <v/>
      </c>
      <c r="M135" s="148">
        <f>IF((C136-E136)&lt;0,0,C136-E136)</f>
        <v/>
      </c>
    </row>
    <row r="136">
      <c r="A136" s="148">
        <f>'00_SKU_Master'!J228</f>
        <v/>
      </c>
      <c r="B136" s="148">
        <f>'00_SKU_Master'!B228</f>
        <v/>
      </c>
      <c r="C136" s="175">
        <f>_xlfn.XLOOKUP(B137,'02_TrayPack_Order'!$A$2:$A$264,'02_TrayPack_Order'!$C$2:$C$264)</f>
        <v/>
      </c>
      <c r="D136" s="176">
        <f>_xlfn.XLOOKUP(B137,'02_TrayPack_Order'!$A$2:$A$264,'02_TrayPack_Order'!$L$2:$L$264,0)</f>
        <v/>
      </c>
      <c r="E136" s="175">
        <f>SUMIF('13_Progress_Track'!$A$2:$A$108,B137,'13_Progress_Track'!$E$2:$E$108)</f>
        <v/>
      </c>
      <c r="F136" s="175">
        <f>IF(E137&gt;(C137+D137),(E137-(C137+D137)),0)</f>
        <v/>
      </c>
      <c r="G136" s="177">
        <f>IF(F137&gt;0,0,C137+D137-E137)</f>
        <v/>
      </c>
      <c r="H136" s="148">
        <f>_xludf.IFNA(_xlfn.XLOOKUP(B137,'00_SKU_Master'!$B$2:$B$378,'00_SKU_Master'!$C$2:$C$378),"")</f>
        <v/>
      </c>
      <c r="I136" s="148" t="n"/>
      <c r="J136" s="14">
        <f>_xludf.IFNA(_xlfn.XLOOKUP(B137,'00_SKU_Master'!B$2:B$378,'00_SKU_Master'!H$2:H$378,0),"")</f>
        <v/>
      </c>
      <c r="K136" s="14">
        <f>_xludf.IFNA(_xlfn.XLOOKUP(B137,'00_SKU_Master'!B$2:B$378,'00_SKU_Master'!K$2:K$378,0),"")</f>
        <v/>
      </c>
      <c r="L136" s="148">
        <f>_xlfn.XLOOKUP(B137,'00_SKU_Master'!$B$2:$B$378,'00_SKU_Master'!D:D)</f>
        <v/>
      </c>
      <c r="M136" s="148">
        <f>IF((C137-E137)&lt;0,0,C137-E137)</f>
        <v/>
      </c>
    </row>
    <row r="137">
      <c r="A137" s="148">
        <f>'00_SKU_Master'!J229</f>
        <v/>
      </c>
      <c r="B137" s="148">
        <f>'00_SKU_Master'!B229</f>
        <v/>
      </c>
      <c r="C137" s="175">
        <f>_xlfn.XLOOKUP(B138,'02_TrayPack_Order'!$A$2:$A$264,'02_TrayPack_Order'!$C$2:$C$264)</f>
        <v/>
      </c>
      <c r="D137" s="176">
        <f>_xlfn.XLOOKUP(B138,'02_TrayPack_Order'!$A$2:$A$264,'02_TrayPack_Order'!$L$2:$L$264,0)</f>
        <v/>
      </c>
      <c r="E137" s="175">
        <f>SUMIF('13_Progress_Track'!$A$2:$A$108,B138,'13_Progress_Track'!$E$2:$E$108)</f>
        <v/>
      </c>
      <c r="F137" s="175">
        <f>IF(E138&gt;(C138+D138),(E138-(C138+D138)),0)</f>
        <v/>
      </c>
      <c r="G137" s="177">
        <f>IF(F138&gt;0,0,C138+D138-E138)</f>
        <v/>
      </c>
      <c r="H137" s="148">
        <f>_xludf.IFNA(_xlfn.XLOOKUP(B138,'00_SKU_Master'!$B$2:$B$378,'00_SKU_Master'!$C$2:$C$378),"")</f>
        <v/>
      </c>
      <c r="I137" s="148" t="n"/>
      <c r="J137" s="14">
        <f>_xludf.IFNA(_xlfn.XLOOKUP(B138,'00_SKU_Master'!B$2:B$378,'00_SKU_Master'!H$2:H$378,0),"")</f>
        <v/>
      </c>
      <c r="K137" s="14">
        <f>_xludf.IFNA(_xlfn.XLOOKUP(B138,'00_SKU_Master'!B$2:B$378,'00_SKU_Master'!K$2:K$378,0),"")</f>
        <v/>
      </c>
      <c r="L137" s="148">
        <f>_xlfn.XLOOKUP(B138,'00_SKU_Master'!$B$2:$B$378,'00_SKU_Master'!D:D)</f>
        <v/>
      </c>
      <c r="M137" s="148">
        <f>IF((C138-E138)&lt;0,0,C138-E138)</f>
        <v/>
      </c>
    </row>
    <row r="138">
      <c r="A138" s="148">
        <f>'00_SKU_Master'!J230</f>
        <v/>
      </c>
      <c r="B138" s="148">
        <f>'00_SKU_Master'!B230</f>
        <v/>
      </c>
      <c r="C138" s="175">
        <f>_xlfn.XLOOKUP(B139,'02_TrayPack_Order'!$A$2:$A$264,'02_TrayPack_Order'!$C$2:$C$264)</f>
        <v/>
      </c>
      <c r="D138" s="176">
        <f>_xlfn.XLOOKUP(B139,'02_TrayPack_Order'!$A$2:$A$264,'02_TrayPack_Order'!$L$2:$L$264,0)</f>
        <v/>
      </c>
      <c r="E138" s="175">
        <f>SUMIF('13_Progress_Track'!$A$2:$A$108,B139,'13_Progress_Track'!$E$2:$E$108)</f>
        <v/>
      </c>
      <c r="F138" s="175">
        <f>IF(E139&gt;(C139+D139),(E139-(C139+D139)),0)</f>
        <v/>
      </c>
      <c r="G138" s="177">
        <f>IF(F139&gt;0,0,C139+D139-E139)</f>
        <v/>
      </c>
      <c r="H138" s="148">
        <f>_xludf.IFNA(_xlfn.XLOOKUP(B139,'00_SKU_Master'!$B$2:$B$378,'00_SKU_Master'!$C$2:$C$378),"")</f>
        <v/>
      </c>
      <c r="I138" s="148" t="n"/>
      <c r="J138" s="14">
        <f>_xludf.IFNA(_xlfn.XLOOKUP(B139,'00_SKU_Master'!B$2:B$378,'00_SKU_Master'!H$2:H$378,0),"")</f>
        <v/>
      </c>
      <c r="K138" s="14">
        <f>_xludf.IFNA(_xlfn.XLOOKUP(B139,'00_SKU_Master'!B$2:B$378,'00_SKU_Master'!K$2:K$378,0),"")</f>
        <v/>
      </c>
      <c r="L138" s="148">
        <f>_xlfn.XLOOKUP(B139,'00_SKU_Master'!$B$2:$B$378,'00_SKU_Master'!D:D)</f>
        <v/>
      </c>
      <c r="M138" s="148">
        <f>IF((C139-E139)&lt;0,0,C139-E139)</f>
        <v/>
      </c>
    </row>
    <row r="139">
      <c r="A139" s="148">
        <f>'00_SKU_Master'!J231</f>
        <v/>
      </c>
      <c r="B139" s="148">
        <f>'00_SKU_Master'!B231</f>
        <v/>
      </c>
      <c r="C139" s="175">
        <f>_xlfn.XLOOKUP(B140,'02_TrayPack_Order'!$A$2:$A$264,'02_TrayPack_Order'!$C$2:$C$264)</f>
        <v/>
      </c>
      <c r="D139" s="176">
        <f>_xlfn.XLOOKUP(B140,'02_TrayPack_Order'!$A$2:$A$264,'02_TrayPack_Order'!$L$2:$L$264,0)</f>
        <v/>
      </c>
      <c r="E139" s="175">
        <f>SUMIF('13_Progress_Track'!$A$2:$A$108,B140,'13_Progress_Track'!$E$2:$E$108)</f>
        <v/>
      </c>
      <c r="F139" s="175">
        <f>IF(E140&gt;(C140+D140),(E140-(C140+D140)),0)</f>
        <v/>
      </c>
      <c r="G139" s="177">
        <f>IF(F140&gt;0,0,C140+D140-E140)</f>
        <v/>
      </c>
      <c r="H139" s="148">
        <f>_xludf.IFNA(_xlfn.XLOOKUP(B140,'00_SKU_Master'!$B$2:$B$378,'00_SKU_Master'!$C$2:$C$378),"")</f>
        <v/>
      </c>
      <c r="I139" s="148" t="n"/>
      <c r="J139" s="14">
        <f>_xludf.IFNA(_xlfn.XLOOKUP(B140,'00_SKU_Master'!B$2:B$378,'00_SKU_Master'!H$2:H$378,0),"")</f>
        <v/>
      </c>
      <c r="K139" s="14">
        <f>_xludf.IFNA(_xlfn.XLOOKUP(B140,'00_SKU_Master'!B$2:B$378,'00_SKU_Master'!K$2:K$378,0),"")</f>
        <v/>
      </c>
      <c r="L139" s="148">
        <f>_xlfn.XLOOKUP(B140,'00_SKU_Master'!$B$2:$B$378,'00_SKU_Master'!D:D)</f>
        <v/>
      </c>
      <c r="M139" s="148">
        <f>IF((C140-E140)&lt;0,0,C140-E140)</f>
        <v/>
      </c>
    </row>
    <row r="140">
      <c r="A140" s="148">
        <f>'00_SKU_Master'!J232</f>
        <v/>
      </c>
      <c r="B140" s="148">
        <f>'00_SKU_Master'!B232</f>
        <v/>
      </c>
      <c r="C140" s="175">
        <f>_xlfn.XLOOKUP(B141,'02_TrayPack_Order'!$A$2:$A$264,'02_TrayPack_Order'!$C$2:$C$264)</f>
        <v/>
      </c>
      <c r="D140" s="176">
        <f>_xlfn.XLOOKUP(B141,'02_TrayPack_Order'!$A$2:$A$264,'02_TrayPack_Order'!$L$2:$L$264,0)</f>
        <v/>
      </c>
      <c r="E140" s="175">
        <f>SUMIF('13_Progress_Track'!$A$2:$A$108,B141,'13_Progress_Track'!$E$2:$E$108)</f>
        <v/>
      </c>
      <c r="F140" s="175">
        <f>IF(E141&gt;(C141+D141),(E141-(C141+D141)),0)</f>
        <v/>
      </c>
      <c r="G140" s="177">
        <f>IF(F141&gt;0,0,C141+D141-E141)</f>
        <v/>
      </c>
      <c r="H140" s="148">
        <f>_xludf.IFNA(_xlfn.XLOOKUP(B141,'00_SKU_Master'!$B$2:$B$378,'00_SKU_Master'!$C$2:$C$378),"")</f>
        <v/>
      </c>
      <c r="I140" s="148" t="n"/>
      <c r="J140" s="14">
        <f>_xludf.IFNA(_xlfn.XLOOKUP(B141,'00_SKU_Master'!B$2:B$378,'00_SKU_Master'!H$2:H$378,0),"")</f>
        <v/>
      </c>
      <c r="K140" s="14">
        <f>_xludf.IFNA(_xlfn.XLOOKUP(B141,'00_SKU_Master'!B$2:B$378,'00_SKU_Master'!K$2:K$378,0),"")</f>
        <v/>
      </c>
      <c r="L140" s="148">
        <f>_xlfn.XLOOKUP(B141,'00_SKU_Master'!$B$2:$B$378,'00_SKU_Master'!D:D)</f>
        <v/>
      </c>
      <c r="M140" s="148">
        <f>IF((C141-E141)&lt;0,0,C141-E141)</f>
        <v/>
      </c>
    </row>
    <row r="141">
      <c r="A141" s="148">
        <f>'00_SKU_Master'!J233</f>
        <v/>
      </c>
      <c r="B141" s="148">
        <f>'00_SKU_Master'!B233</f>
        <v/>
      </c>
      <c r="C141" s="175">
        <f>_xlfn.XLOOKUP(B142,'02_TrayPack_Order'!$A$2:$A$264,'02_TrayPack_Order'!$C$2:$C$264)</f>
        <v/>
      </c>
      <c r="D141" s="176">
        <f>_xlfn.XLOOKUP(B142,'02_TrayPack_Order'!$A$2:$A$264,'02_TrayPack_Order'!$L$2:$L$264,0)</f>
        <v/>
      </c>
      <c r="E141" s="175">
        <f>SUMIF('13_Progress_Track'!$A$2:$A$108,B142,'13_Progress_Track'!$E$2:$E$108)</f>
        <v/>
      </c>
      <c r="F141" s="175">
        <f>IF(E142&gt;(C142+D142),(E142-(C142+D142)),0)</f>
        <v/>
      </c>
      <c r="G141" s="177">
        <f>IF(F142&gt;0,0,C142+D142-E142)</f>
        <v/>
      </c>
      <c r="H141" s="148">
        <f>_xludf.IFNA(_xlfn.XLOOKUP(B142,'00_SKU_Master'!$B$2:$B$378,'00_SKU_Master'!$C$2:$C$378),"")</f>
        <v/>
      </c>
      <c r="I141" s="148" t="n"/>
      <c r="J141" s="14">
        <f>_xludf.IFNA(_xlfn.XLOOKUP(B142,'00_SKU_Master'!B$2:B$378,'00_SKU_Master'!H$2:H$378,0),"")</f>
        <v/>
      </c>
      <c r="K141" s="14">
        <f>_xludf.IFNA(_xlfn.XLOOKUP(B142,'00_SKU_Master'!B$2:B$378,'00_SKU_Master'!K$2:K$378,0),"")</f>
        <v/>
      </c>
      <c r="L141" s="148">
        <f>_xlfn.XLOOKUP(B142,'00_SKU_Master'!$B$2:$B$378,'00_SKU_Master'!D:D)</f>
        <v/>
      </c>
      <c r="M141" s="148">
        <f>IF((C142-E142)&lt;0,0,C142-E142)</f>
        <v/>
      </c>
    </row>
    <row r="142">
      <c r="A142" s="148">
        <f>'00_SKU_Master'!J234</f>
        <v/>
      </c>
      <c r="B142" s="148">
        <f>'00_SKU_Master'!B234</f>
        <v/>
      </c>
      <c r="C142" s="175">
        <f>_xlfn.XLOOKUP(B143,'02_TrayPack_Order'!$A$2:$A$264,'02_TrayPack_Order'!$C$2:$C$264)</f>
        <v/>
      </c>
      <c r="D142" s="176">
        <f>_xlfn.XLOOKUP(B143,'02_TrayPack_Order'!$A$2:$A$264,'02_TrayPack_Order'!$L$2:$L$264,0)</f>
        <v/>
      </c>
      <c r="E142" s="175">
        <f>SUMIF('13_Progress_Track'!$A$2:$A$108,B143,'13_Progress_Track'!$E$2:$E$108)</f>
        <v/>
      </c>
      <c r="F142" s="175">
        <f>IF(E143&gt;(C143+D143),(E143-(C143+D143)),0)</f>
        <v/>
      </c>
      <c r="G142" s="177">
        <f>IF(F143&gt;0,0,C143+D143-E143)</f>
        <v/>
      </c>
      <c r="H142" s="148">
        <f>_xludf.IFNA(_xlfn.XLOOKUP(B143,'00_SKU_Master'!$B$2:$B$378,'00_SKU_Master'!$C$2:$C$378),"")</f>
        <v/>
      </c>
      <c r="I142" s="148" t="n"/>
      <c r="J142" s="14">
        <f>_xludf.IFNA(_xlfn.XLOOKUP(B143,'00_SKU_Master'!B$2:B$378,'00_SKU_Master'!H$2:H$378,0),"")</f>
        <v/>
      </c>
      <c r="K142" s="14">
        <f>_xludf.IFNA(_xlfn.XLOOKUP(B143,'00_SKU_Master'!B$2:B$378,'00_SKU_Master'!K$2:K$378,0),"")</f>
        <v/>
      </c>
      <c r="L142" s="148">
        <f>_xlfn.XLOOKUP(B143,'00_SKU_Master'!$B$2:$B$378,'00_SKU_Master'!D:D)</f>
        <v/>
      </c>
      <c r="M142" s="148">
        <f>IF((C143-E143)&lt;0,0,C143-E143)</f>
        <v/>
      </c>
    </row>
    <row r="143">
      <c r="A143" s="148">
        <f>'00_SKU_Master'!J235</f>
        <v/>
      </c>
      <c r="B143" s="148">
        <f>'00_SKU_Master'!B235</f>
        <v/>
      </c>
      <c r="C143" s="175">
        <f>_xlfn.XLOOKUP(B144,'02_TrayPack_Order'!$A$2:$A$264,'02_TrayPack_Order'!$C$2:$C$264)</f>
        <v/>
      </c>
      <c r="D143" s="176">
        <f>_xlfn.XLOOKUP(B144,'02_TrayPack_Order'!$A$2:$A$264,'02_TrayPack_Order'!$L$2:$L$264,0)</f>
        <v/>
      </c>
      <c r="E143" s="175">
        <f>SUMIF('13_Progress_Track'!$A$2:$A$108,B144,'13_Progress_Track'!$E$2:$E$108)</f>
        <v/>
      </c>
      <c r="F143" s="175">
        <f>IF(E144&gt;(C144+D144),(E144-(C144+D144)),0)</f>
        <v/>
      </c>
      <c r="G143" s="177">
        <f>IF(F144&gt;0,0,C144+D144-E144)</f>
        <v/>
      </c>
      <c r="H143" s="148">
        <f>_xludf.IFNA(_xlfn.XLOOKUP(B144,'00_SKU_Master'!$B$2:$B$378,'00_SKU_Master'!$C$2:$C$378),"")</f>
        <v/>
      </c>
      <c r="I143" s="148" t="n"/>
      <c r="J143" s="14">
        <f>_xludf.IFNA(_xlfn.XLOOKUP(B144,'00_SKU_Master'!B$2:B$378,'00_SKU_Master'!H$2:H$378,0),"")</f>
        <v/>
      </c>
      <c r="K143" s="14">
        <f>_xludf.IFNA(_xlfn.XLOOKUP(B144,'00_SKU_Master'!B$2:B$378,'00_SKU_Master'!K$2:K$378,0),"")</f>
        <v/>
      </c>
      <c r="L143" s="148">
        <f>_xlfn.XLOOKUP(B144,'00_SKU_Master'!$B$2:$B$378,'00_SKU_Master'!D:D)</f>
        <v/>
      </c>
      <c r="M143" s="148">
        <f>IF((C144-E144)&lt;0,0,C144-E144)</f>
        <v/>
      </c>
    </row>
    <row r="144">
      <c r="A144" s="148">
        <f>'00_SKU_Master'!J236</f>
        <v/>
      </c>
      <c r="B144" s="148">
        <f>'00_SKU_Master'!B236</f>
        <v/>
      </c>
      <c r="C144" s="175">
        <f>_xlfn.XLOOKUP(B145,'02_TrayPack_Order'!$A$2:$A$264,'02_TrayPack_Order'!$C$2:$C$264)</f>
        <v/>
      </c>
      <c r="D144" s="176">
        <f>_xlfn.XLOOKUP(B145,'02_TrayPack_Order'!$A$2:$A$264,'02_TrayPack_Order'!$L$2:$L$264,0)</f>
        <v/>
      </c>
      <c r="E144" s="175">
        <f>SUMIF('13_Progress_Track'!$A$2:$A$108,B145,'13_Progress_Track'!$E$2:$E$108)</f>
        <v/>
      </c>
      <c r="F144" s="175">
        <f>IF(E145&gt;(C145+D145),(E145-(C145+D145)),0)</f>
        <v/>
      </c>
      <c r="G144" s="177">
        <f>IF(F145&gt;0,0,C145+D145-E145)</f>
        <v/>
      </c>
      <c r="H144" s="148">
        <f>_xludf.IFNA(_xlfn.XLOOKUP(B145,'00_SKU_Master'!$B$2:$B$378,'00_SKU_Master'!$C$2:$C$378),"")</f>
        <v/>
      </c>
      <c r="I144" s="148" t="n"/>
      <c r="J144" s="14">
        <f>_xludf.IFNA(_xlfn.XLOOKUP(B145,'00_SKU_Master'!B$2:B$378,'00_SKU_Master'!H$2:H$378,0),"")</f>
        <v/>
      </c>
      <c r="K144" s="14">
        <f>_xludf.IFNA(_xlfn.XLOOKUP(B145,'00_SKU_Master'!B$2:B$378,'00_SKU_Master'!K$2:K$378,0),"")</f>
        <v/>
      </c>
      <c r="L144" s="148">
        <f>_xlfn.XLOOKUP(B145,'00_SKU_Master'!$B$2:$B$378,'00_SKU_Master'!D:D)</f>
        <v/>
      </c>
      <c r="M144" s="148">
        <f>IF((C145-E145)&lt;0,0,C145-E145)</f>
        <v/>
      </c>
    </row>
    <row r="145">
      <c r="A145" s="148">
        <f>'00_SKU_Master'!J237</f>
        <v/>
      </c>
      <c r="B145" s="148">
        <f>'00_SKU_Master'!B237</f>
        <v/>
      </c>
      <c r="C145" s="175">
        <f>_xlfn.XLOOKUP(B146,'02_TrayPack_Order'!$A$2:$A$264,'02_TrayPack_Order'!$C$2:$C$264)</f>
        <v/>
      </c>
      <c r="D145" s="176">
        <f>_xlfn.XLOOKUP(B146,'02_TrayPack_Order'!$A$2:$A$264,'02_TrayPack_Order'!$L$2:$L$264,0)</f>
        <v/>
      </c>
      <c r="E145" s="175">
        <f>SUMIF('13_Progress_Track'!$A$2:$A$108,B146,'13_Progress_Track'!$E$2:$E$108)</f>
        <v/>
      </c>
      <c r="F145" s="175">
        <f>IF(E146&gt;(C146+D146),(E146-(C146+D146)),0)</f>
        <v/>
      </c>
      <c r="G145" s="177">
        <f>IF(F146&gt;0,0,C146+D146-E146)</f>
        <v/>
      </c>
      <c r="H145" s="148">
        <f>_xludf.IFNA(_xlfn.XLOOKUP(B146,'00_SKU_Master'!$B$2:$B$378,'00_SKU_Master'!$C$2:$C$378),"")</f>
        <v/>
      </c>
      <c r="I145" s="148" t="n"/>
      <c r="J145" s="14">
        <f>_xludf.IFNA(_xlfn.XLOOKUP(B146,'00_SKU_Master'!B$2:B$378,'00_SKU_Master'!H$2:H$378,0),"")</f>
        <v/>
      </c>
      <c r="K145" s="14">
        <f>_xludf.IFNA(_xlfn.XLOOKUP(B146,'00_SKU_Master'!B$2:B$378,'00_SKU_Master'!K$2:K$378,0),"")</f>
        <v/>
      </c>
      <c r="L145" s="148">
        <f>_xlfn.XLOOKUP(B146,'00_SKU_Master'!$B$2:$B$378,'00_SKU_Master'!D:D)</f>
        <v/>
      </c>
      <c r="M145" s="148">
        <f>IF((C146-E146)&lt;0,0,C146-E146)</f>
        <v/>
      </c>
    </row>
    <row r="146">
      <c r="A146" s="148">
        <f>'00_SKU_Master'!J238</f>
        <v/>
      </c>
      <c r="B146" s="148">
        <f>'00_SKU_Master'!B238</f>
        <v/>
      </c>
      <c r="C146" s="175">
        <f>_xlfn.XLOOKUP(B147,'02_TrayPack_Order'!$A$2:$A$264,'02_TrayPack_Order'!$C$2:$C$264)</f>
        <v/>
      </c>
      <c r="D146" s="176">
        <f>_xlfn.XLOOKUP(B147,'02_TrayPack_Order'!$A$2:$A$264,'02_TrayPack_Order'!$L$2:$L$264,0)</f>
        <v/>
      </c>
      <c r="E146" s="175">
        <f>SUMIF('13_Progress_Track'!$A$2:$A$108,B147,'13_Progress_Track'!$E$2:$E$108)</f>
        <v/>
      </c>
      <c r="F146" s="175">
        <f>IF(E147&gt;(C147+D147),(E147-(C147+D147)),0)</f>
        <v/>
      </c>
      <c r="G146" s="177">
        <f>IF(F147&gt;0,0,C147+D147-E147)</f>
        <v/>
      </c>
      <c r="H146" s="148">
        <f>_xludf.IFNA(_xlfn.XLOOKUP(B147,'00_SKU_Master'!$B$2:$B$378,'00_SKU_Master'!$C$2:$C$378),"")</f>
        <v/>
      </c>
      <c r="I146" s="148" t="n"/>
      <c r="J146" s="14">
        <f>_xludf.IFNA(_xlfn.XLOOKUP(B147,'00_SKU_Master'!B$2:B$378,'00_SKU_Master'!H$2:H$378,0),"")</f>
        <v/>
      </c>
      <c r="K146" s="14">
        <f>_xludf.IFNA(_xlfn.XLOOKUP(B147,'00_SKU_Master'!B$2:B$378,'00_SKU_Master'!K$2:K$378,0),"")</f>
        <v/>
      </c>
      <c r="L146" s="148">
        <f>_xlfn.XLOOKUP(B147,'00_SKU_Master'!$B$2:$B$378,'00_SKU_Master'!D:D)</f>
        <v/>
      </c>
      <c r="M146" s="148">
        <f>IF((C147-E147)&lt;0,0,C147-E147)</f>
        <v/>
      </c>
    </row>
    <row r="147">
      <c r="A147" s="148">
        <f>'00_SKU_Master'!J239</f>
        <v/>
      </c>
      <c r="B147" s="148">
        <f>'00_SKU_Master'!B239</f>
        <v/>
      </c>
      <c r="C147" s="175">
        <f>_xlfn.XLOOKUP(B148,'02_TrayPack_Order'!$A$2:$A$264,'02_TrayPack_Order'!$C$2:$C$264)</f>
        <v/>
      </c>
      <c r="D147" s="176">
        <f>_xlfn.XLOOKUP(B148,'02_TrayPack_Order'!$A$2:$A$264,'02_TrayPack_Order'!$L$2:$L$264,0)</f>
        <v/>
      </c>
      <c r="E147" s="175">
        <f>SUMIF('13_Progress_Track'!$A$2:$A$108,B148,'13_Progress_Track'!$E$2:$E$108)</f>
        <v/>
      </c>
      <c r="F147" s="175">
        <f>IF(E148&gt;(C148+D148),(E148-(C148+D148)),0)</f>
        <v/>
      </c>
      <c r="G147" s="177">
        <f>IF(F148&gt;0,0,C148+D148-E148)</f>
        <v/>
      </c>
      <c r="H147" s="148">
        <f>_xludf.IFNA(_xlfn.XLOOKUP(B148,'00_SKU_Master'!$B$2:$B$378,'00_SKU_Master'!$C$2:$C$378),"")</f>
        <v/>
      </c>
      <c r="I147" s="148" t="n"/>
      <c r="J147" s="14">
        <f>_xludf.IFNA(_xlfn.XLOOKUP(B148,'00_SKU_Master'!B$2:B$378,'00_SKU_Master'!H$2:H$378,0),"")</f>
        <v/>
      </c>
      <c r="K147" s="14">
        <f>_xludf.IFNA(_xlfn.XLOOKUP(B148,'00_SKU_Master'!B$2:B$378,'00_SKU_Master'!K$2:K$378,0),"")</f>
        <v/>
      </c>
      <c r="L147" s="148">
        <f>_xlfn.XLOOKUP(B148,'00_SKU_Master'!$B$2:$B$378,'00_SKU_Master'!D:D)</f>
        <v/>
      </c>
      <c r="M147" s="148">
        <f>IF((C148-E148)&lt;0,0,C148-E148)</f>
        <v/>
      </c>
    </row>
    <row r="148">
      <c r="A148" s="148">
        <f>'00_SKU_Master'!J240</f>
        <v/>
      </c>
      <c r="B148" s="148">
        <f>'00_SKU_Master'!B240</f>
        <v/>
      </c>
      <c r="C148" s="175">
        <f>_xlfn.XLOOKUP(B149,'02_TrayPack_Order'!$A$2:$A$264,'02_TrayPack_Order'!$C$2:$C$264)</f>
        <v/>
      </c>
      <c r="D148" s="176">
        <f>_xlfn.XLOOKUP(B149,'02_TrayPack_Order'!$A$2:$A$264,'02_TrayPack_Order'!$L$2:$L$264,0)</f>
        <v/>
      </c>
      <c r="E148" s="175">
        <f>SUMIF('13_Progress_Track'!$A$2:$A$108,B149,'13_Progress_Track'!$E$2:$E$108)</f>
        <v/>
      </c>
      <c r="F148" s="175">
        <f>IF(E149&gt;(C149+D149),(E149-(C149+D149)),0)</f>
        <v/>
      </c>
      <c r="G148" s="177">
        <f>IF(F149&gt;0,0,C149+D149-E149)</f>
        <v/>
      </c>
      <c r="H148" s="148">
        <f>_xludf.IFNA(_xlfn.XLOOKUP(B149,'00_SKU_Master'!$B$2:$B$378,'00_SKU_Master'!$C$2:$C$378),"")</f>
        <v/>
      </c>
      <c r="I148" s="148" t="n"/>
      <c r="J148" s="14">
        <f>_xludf.IFNA(_xlfn.XLOOKUP(B149,'00_SKU_Master'!B$2:B$378,'00_SKU_Master'!H$2:H$378,0),"")</f>
        <v/>
      </c>
      <c r="K148" s="14">
        <f>_xludf.IFNA(_xlfn.XLOOKUP(B149,'00_SKU_Master'!B$2:B$378,'00_SKU_Master'!K$2:K$378,0),"")</f>
        <v/>
      </c>
      <c r="L148" s="148">
        <f>_xlfn.XLOOKUP(B149,'00_SKU_Master'!$B$2:$B$378,'00_SKU_Master'!D:D)</f>
        <v/>
      </c>
      <c r="M148" s="148">
        <f>IF((C149-E149)&lt;0,0,C149-E149)</f>
        <v/>
      </c>
    </row>
    <row r="149">
      <c r="A149" s="148">
        <f>'00_SKU_Master'!J241</f>
        <v/>
      </c>
      <c r="B149" s="148">
        <f>'00_SKU_Master'!B241</f>
        <v/>
      </c>
      <c r="C149" s="175">
        <f>_xlfn.XLOOKUP(B150,'02_TrayPack_Order'!$A$2:$A$264,'02_TrayPack_Order'!$C$2:$C$264)</f>
        <v/>
      </c>
      <c r="D149" s="176">
        <f>_xlfn.XLOOKUP(B150,'02_TrayPack_Order'!$A$2:$A$264,'02_TrayPack_Order'!$L$2:$L$264,0)</f>
        <v/>
      </c>
      <c r="E149" s="175">
        <f>SUMIF('13_Progress_Track'!$A$2:$A$108,B150,'13_Progress_Track'!$E$2:$E$108)</f>
        <v/>
      </c>
      <c r="F149" s="175">
        <f>IF(E150&gt;(C150+D150),(E150-(C150+D150)),0)</f>
        <v/>
      </c>
      <c r="G149" s="177">
        <f>IF(F150&gt;0,0,C150+D150-E150)</f>
        <v/>
      </c>
      <c r="H149" s="148">
        <f>_xludf.IFNA(_xlfn.XLOOKUP(B150,'00_SKU_Master'!$B$2:$B$378,'00_SKU_Master'!$C$2:$C$378),"")</f>
        <v/>
      </c>
      <c r="I149" s="148" t="n"/>
      <c r="J149" s="14">
        <f>_xludf.IFNA(_xlfn.XLOOKUP(B150,'00_SKU_Master'!B$2:B$378,'00_SKU_Master'!H$2:H$378,0),"")</f>
        <v/>
      </c>
      <c r="K149" s="14">
        <f>_xludf.IFNA(_xlfn.XLOOKUP(B150,'00_SKU_Master'!B$2:B$378,'00_SKU_Master'!K$2:K$378,0),"")</f>
        <v/>
      </c>
      <c r="L149" s="148">
        <f>_xlfn.XLOOKUP(B150,'00_SKU_Master'!$B$2:$B$378,'00_SKU_Master'!D:D)</f>
        <v/>
      </c>
      <c r="M149" s="148">
        <f>IF((C150-E150)&lt;0,0,C150-E150)</f>
        <v/>
      </c>
    </row>
    <row r="150">
      <c r="A150" s="148">
        <f>'00_SKU_Master'!J242</f>
        <v/>
      </c>
      <c r="B150" s="148">
        <f>'00_SKU_Master'!B242</f>
        <v/>
      </c>
      <c r="C150" s="175">
        <f>_xlfn.XLOOKUP(B151,'02_TrayPack_Order'!$A$2:$A$264,'02_TrayPack_Order'!$C$2:$C$264)</f>
        <v/>
      </c>
      <c r="D150" s="176">
        <f>_xlfn.XLOOKUP(B151,'02_TrayPack_Order'!$A$2:$A$264,'02_TrayPack_Order'!$L$2:$L$264,0)</f>
        <v/>
      </c>
      <c r="E150" s="175">
        <f>SUMIF('13_Progress_Track'!$A$2:$A$108,B151,'13_Progress_Track'!$E$2:$E$108)</f>
        <v/>
      </c>
      <c r="F150" s="175">
        <f>IF(E151&gt;(C151+D151),(E151-(C151+D151)),0)</f>
        <v/>
      </c>
      <c r="G150" s="177">
        <f>IF(F151&gt;0,0,C151+D151-E151)</f>
        <v/>
      </c>
      <c r="H150" s="148">
        <f>_xludf.IFNA(_xlfn.XLOOKUP(B151,'00_SKU_Master'!$B$2:$B$378,'00_SKU_Master'!$C$2:$C$378),"")</f>
        <v/>
      </c>
      <c r="I150" s="148" t="n"/>
      <c r="J150" s="14">
        <f>_xludf.IFNA(_xlfn.XLOOKUP(B151,'00_SKU_Master'!B$2:B$378,'00_SKU_Master'!H$2:H$378,0),"")</f>
        <v/>
      </c>
      <c r="K150" s="14">
        <f>_xludf.IFNA(_xlfn.XLOOKUP(B151,'00_SKU_Master'!B$2:B$378,'00_SKU_Master'!K$2:K$378,0),"")</f>
        <v/>
      </c>
      <c r="L150" s="148">
        <f>_xlfn.XLOOKUP(B151,'00_SKU_Master'!$B$2:$B$378,'00_SKU_Master'!D:D)</f>
        <v/>
      </c>
      <c r="M150" s="148">
        <f>IF((C151-E151)&lt;0,0,C151-E151)</f>
        <v/>
      </c>
    </row>
    <row r="151">
      <c r="A151" s="148">
        <f>'00_SKU_Master'!J243</f>
        <v/>
      </c>
      <c r="B151" s="148">
        <f>'00_SKU_Master'!B243</f>
        <v/>
      </c>
      <c r="C151" s="175">
        <f>_xlfn.XLOOKUP(B152,'02_TrayPack_Order'!$A$2:$A$264,'02_TrayPack_Order'!$C$2:$C$264)</f>
        <v/>
      </c>
      <c r="D151" s="176">
        <f>_xlfn.XLOOKUP(B152,'02_TrayPack_Order'!$A$2:$A$264,'02_TrayPack_Order'!$L$2:$L$264,0)</f>
        <v/>
      </c>
      <c r="E151" s="175">
        <f>SUMIF('13_Progress_Track'!$A$2:$A$108,B152,'13_Progress_Track'!$E$2:$E$108)</f>
        <v/>
      </c>
      <c r="F151" s="175">
        <f>IF(E152&gt;(C152+D152),(E152-(C152+D152)),0)</f>
        <v/>
      </c>
      <c r="G151" s="177">
        <f>IF(F152&gt;0,0,C152+D152-E152)</f>
        <v/>
      </c>
      <c r="H151" s="148">
        <f>_xludf.IFNA(_xlfn.XLOOKUP(B152,'00_SKU_Master'!$B$2:$B$378,'00_SKU_Master'!$C$2:$C$378),"")</f>
        <v/>
      </c>
      <c r="I151" s="148" t="n"/>
      <c r="J151" s="14">
        <f>_xludf.IFNA(_xlfn.XLOOKUP(B152,'00_SKU_Master'!B$2:B$378,'00_SKU_Master'!H$2:H$378,0),"")</f>
        <v/>
      </c>
      <c r="K151" s="14">
        <f>_xludf.IFNA(_xlfn.XLOOKUP(B152,'00_SKU_Master'!B$2:B$378,'00_SKU_Master'!K$2:K$378,0),"")</f>
        <v/>
      </c>
      <c r="L151" s="148">
        <f>_xlfn.XLOOKUP(B152,'00_SKU_Master'!$B$2:$B$378,'00_SKU_Master'!D:D)</f>
        <v/>
      </c>
      <c r="M151" s="148">
        <f>IF((C152-E152)&lt;0,0,C152-E152)</f>
        <v/>
      </c>
    </row>
    <row r="152">
      <c r="A152" s="148">
        <f>'00_SKU_Master'!J244</f>
        <v/>
      </c>
      <c r="B152" s="148">
        <f>'00_SKU_Master'!B244</f>
        <v/>
      </c>
      <c r="C152" s="175">
        <f>_xlfn.XLOOKUP(B153,'02_TrayPack_Order'!$A$2:$A$264,'02_TrayPack_Order'!$C$2:$C$264)</f>
        <v/>
      </c>
      <c r="D152" s="176">
        <f>_xlfn.XLOOKUP(B153,'02_TrayPack_Order'!$A$2:$A$264,'02_TrayPack_Order'!$L$2:$L$264,0)</f>
        <v/>
      </c>
      <c r="E152" s="175">
        <f>SUMIF('13_Progress_Track'!$A$2:$A$108,B153,'13_Progress_Track'!$E$2:$E$108)</f>
        <v/>
      </c>
      <c r="F152" s="175">
        <f>IF(E153&gt;(C153+D153),(E153-(C153+D153)),0)</f>
        <v/>
      </c>
      <c r="G152" s="177">
        <f>IF(F153&gt;0,0,C153+D153-E153)</f>
        <v/>
      </c>
      <c r="H152" s="148">
        <f>_xludf.IFNA(_xlfn.XLOOKUP(B153,'00_SKU_Master'!$B$2:$B$378,'00_SKU_Master'!$C$2:$C$378),"")</f>
        <v/>
      </c>
      <c r="I152" s="148" t="n"/>
      <c r="J152" s="14">
        <f>_xludf.IFNA(_xlfn.XLOOKUP(B153,'00_SKU_Master'!B$2:B$378,'00_SKU_Master'!H$2:H$378,0),"")</f>
        <v/>
      </c>
      <c r="K152" s="14">
        <f>_xludf.IFNA(_xlfn.XLOOKUP(B153,'00_SKU_Master'!B$2:B$378,'00_SKU_Master'!K$2:K$378,0),"")</f>
        <v/>
      </c>
      <c r="L152" s="148">
        <f>_xlfn.XLOOKUP(B153,'00_SKU_Master'!$B$2:$B$378,'00_SKU_Master'!D:D)</f>
        <v/>
      </c>
      <c r="M152" s="148">
        <f>IF((C153-E153)&lt;0,0,C153-E153)</f>
        <v/>
      </c>
    </row>
    <row r="153">
      <c r="A153" s="148">
        <f>'00_SKU_Master'!J245</f>
        <v/>
      </c>
      <c r="B153" s="148">
        <f>'00_SKU_Master'!B245</f>
        <v/>
      </c>
      <c r="C153" s="175">
        <f>_xlfn.XLOOKUP(B154,'02_TrayPack_Order'!$A$2:$A$264,'02_TrayPack_Order'!$C$2:$C$264)</f>
        <v/>
      </c>
      <c r="D153" s="176">
        <f>_xlfn.XLOOKUP(B154,'02_TrayPack_Order'!$A$2:$A$264,'02_TrayPack_Order'!$L$2:$L$264,0)</f>
        <v/>
      </c>
      <c r="E153" s="175">
        <f>SUMIF('13_Progress_Track'!$A$2:$A$108,B154,'13_Progress_Track'!$E$2:$E$108)</f>
        <v/>
      </c>
      <c r="F153" s="175">
        <f>IF(E154&gt;(C154+D154),(E154-(C154+D154)),0)</f>
        <v/>
      </c>
      <c r="G153" s="177">
        <f>IF(F154&gt;0,0,C154+D154-E154)</f>
        <v/>
      </c>
      <c r="H153" s="148">
        <f>_xludf.IFNA(_xlfn.XLOOKUP(B154,'00_SKU_Master'!$B$2:$B$378,'00_SKU_Master'!$C$2:$C$378),"")</f>
        <v/>
      </c>
      <c r="I153" s="148" t="n"/>
      <c r="J153" s="14">
        <f>_xludf.IFNA(_xlfn.XLOOKUP(B154,'00_SKU_Master'!B$2:B$378,'00_SKU_Master'!H$2:H$378,0),"")</f>
        <v/>
      </c>
      <c r="K153" s="14">
        <f>_xludf.IFNA(_xlfn.XLOOKUP(B154,'00_SKU_Master'!B$2:B$378,'00_SKU_Master'!K$2:K$378,0),"")</f>
        <v/>
      </c>
      <c r="L153" s="148">
        <f>_xlfn.XLOOKUP(B154,'00_SKU_Master'!$B$2:$B$378,'00_SKU_Master'!D:D)</f>
        <v/>
      </c>
      <c r="M153" s="148">
        <f>IF((C154-E154)&lt;0,0,C154-E154)</f>
        <v/>
      </c>
    </row>
    <row r="154">
      <c r="A154" s="148">
        <f>'00_SKU_Master'!J246</f>
        <v/>
      </c>
      <c r="B154" s="148">
        <f>'00_SKU_Master'!B246</f>
        <v/>
      </c>
      <c r="C154" s="175">
        <f>_xlfn.XLOOKUP(B155,'02_TrayPack_Order'!$A$2:$A$264,'02_TrayPack_Order'!$C$2:$C$264)</f>
        <v/>
      </c>
      <c r="D154" s="176">
        <f>_xlfn.XLOOKUP(B155,'02_TrayPack_Order'!$A$2:$A$264,'02_TrayPack_Order'!$L$2:$L$264,0)</f>
        <v/>
      </c>
      <c r="E154" s="175">
        <f>SUMIF('13_Progress_Track'!$A$2:$A$108,B155,'13_Progress_Track'!$E$2:$E$108)</f>
        <v/>
      </c>
      <c r="F154" s="175">
        <f>IF(E155&gt;(C155+D155),(E155-(C155+D155)),0)</f>
        <v/>
      </c>
      <c r="G154" s="177">
        <f>IF(F155&gt;0,0,C155+D155-E155)</f>
        <v/>
      </c>
      <c r="H154" s="148">
        <f>_xludf.IFNA(_xlfn.XLOOKUP(B155,'00_SKU_Master'!$B$2:$B$378,'00_SKU_Master'!$C$2:$C$378),"")</f>
        <v/>
      </c>
      <c r="I154" s="148" t="n"/>
      <c r="J154" s="14">
        <f>_xludf.IFNA(_xlfn.XLOOKUP(B155,'00_SKU_Master'!B$2:B$378,'00_SKU_Master'!H$2:H$378,0),"")</f>
        <v/>
      </c>
      <c r="K154" s="14">
        <f>_xludf.IFNA(_xlfn.XLOOKUP(B155,'00_SKU_Master'!B$2:B$378,'00_SKU_Master'!K$2:K$378,0),"")</f>
        <v/>
      </c>
      <c r="L154" s="148">
        <f>_xlfn.XLOOKUP(B155,'00_SKU_Master'!$B$2:$B$378,'00_SKU_Master'!D:D)</f>
        <v/>
      </c>
      <c r="M154" s="148">
        <f>IF((C155-E155)&lt;0,0,C155-E155)</f>
        <v/>
      </c>
    </row>
    <row r="155">
      <c r="A155" s="148">
        <f>'00_SKU_Master'!J247</f>
        <v/>
      </c>
      <c r="B155" s="148">
        <f>'00_SKU_Master'!B247</f>
        <v/>
      </c>
      <c r="C155" s="175">
        <f>_xlfn.XLOOKUP(B156,'02_TrayPack_Order'!$A$2:$A$264,'02_TrayPack_Order'!$C$2:$C$264)</f>
        <v/>
      </c>
      <c r="D155" s="176">
        <f>_xlfn.XLOOKUP(B156,'02_TrayPack_Order'!$A$2:$A$264,'02_TrayPack_Order'!$L$2:$L$264,0)</f>
        <v/>
      </c>
      <c r="E155" s="175">
        <f>SUMIF('13_Progress_Track'!$A$2:$A$108,B156,'13_Progress_Track'!$E$2:$E$108)</f>
        <v/>
      </c>
      <c r="F155" s="175">
        <f>IF(E156&gt;(C156+D156),(E156-(C156+D156)),0)</f>
        <v/>
      </c>
      <c r="G155" s="177">
        <f>IF(F156&gt;0,0,C156+D156-E156)</f>
        <v/>
      </c>
      <c r="H155" s="148">
        <f>_xludf.IFNA(_xlfn.XLOOKUP(B156,'00_SKU_Master'!$B$2:$B$378,'00_SKU_Master'!$C$2:$C$378),"")</f>
        <v/>
      </c>
      <c r="I155" s="148" t="n"/>
      <c r="J155" s="14">
        <f>_xludf.IFNA(_xlfn.XLOOKUP(B156,'00_SKU_Master'!B$2:B$378,'00_SKU_Master'!H$2:H$378,0),"")</f>
        <v/>
      </c>
      <c r="K155" s="14">
        <f>_xludf.IFNA(_xlfn.XLOOKUP(B156,'00_SKU_Master'!B$2:B$378,'00_SKU_Master'!K$2:K$378,0),"")</f>
        <v/>
      </c>
      <c r="L155" s="148">
        <f>_xlfn.XLOOKUP(B156,'00_SKU_Master'!$B$2:$B$378,'00_SKU_Master'!D:D)</f>
        <v/>
      </c>
      <c r="M155" s="148">
        <f>IF((C156-E156)&lt;0,0,C156-E156)</f>
        <v/>
      </c>
    </row>
    <row r="156">
      <c r="A156" s="148">
        <f>'00_SKU_Master'!J248</f>
        <v/>
      </c>
      <c r="B156" s="148">
        <f>'00_SKU_Master'!B248</f>
        <v/>
      </c>
      <c r="C156" s="175">
        <f>_xlfn.XLOOKUP(B157,'02_TrayPack_Order'!$A$2:$A$264,'02_TrayPack_Order'!$C$2:$C$264)</f>
        <v/>
      </c>
      <c r="D156" s="176">
        <f>_xlfn.XLOOKUP(B157,'02_TrayPack_Order'!$A$2:$A$264,'02_TrayPack_Order'!$L$2:$L$264,0)</f>
        <v/>
      </c>
      <c r="E156" s="175">
        <f>SUMIF('13_Progress_Track'!$A$2:$A$108,B157,'13_Progress_Track'!$E$2:$E$108)</f>
        <v/>
      </c>
      <c r="F156" s="175">
        <f>IF(E157&gt;(C157+D157),(E157-(C157+D157)),0)</f>
        <v/>
      </c>
      <c r="G156" s="177">
        <f>IF(F157&gt;0,0,C157+D157-E157)</f>
        <v/>
      </c>
      <c r="H156" s="148">
        <f>_xludf.IFNA(_xlfn.XLOOKUP(B157,'00_SKU_Master'!$B$2:$B$378,'00_SKU_Master'!$C$2:$C$378),"")</f>
        <v/>
      </c>
      <c r="I156" s="148" t="n"/>
      <c r="J156" s="14">
        <f>_xludf.IFNA(_xlfn.XLOOKUP(B157,'00_SKU_Master'!B$2:B$378,'00_SKU_Master'!H$2:H$378,0),"")</f>
        <v/>
      </c>
      <c r="K156" s="14">
        <f>_xludf.IFNA(_xlfn.XLOOKUP(B157,'00_SKU_Master'!B$2:B$378,'00_SKU_Master'!K$2:K$378,0),"")</f>
        <v/>
      </c>
      <c r="L156" s="148">
        <f>_xlfn.XLOOKUP(B157,'00_SKU_Master'!$B$2:$B$378,'00_SKU_Master'!D:D)</f>
        <v/>
      </c>
      <c r="M156" s="148">
        <f>IF((C157-E157)&lt;0,0,C157-E157)</f>
        <v/>
      </c>
    </row>
    <row r="157">
      <c r="A157" s="148">
        <f>'00_SKU_Master'!J249</f>
        <v/>
      </c>
      <c r="B157" s="148">
        <f>'00_SKU_Master'!B249</f>
        <v/>
      </c>
      <c r="C157" s="175">
        <f>_xlfn.XLOOKUP(B158,'02_TrayPack_Order'!$A$2:$A$264,'02_TrayPack_Order'!$C$2:$C$264)</f>
        <v/>
      </c>
      <c r="D157" s="176">
        <f>_xlfn.XLOOKUP(B158,'02_TrayPack_Order'!$A$2:$A$264,'02_TrayPack_Order'!$L$2:$L$264,0)</f>
        <v/>
      </c>
      <c r="E157" s="175">
        <f>SUMIF('13_Progress_Track'!$A$2:$A$108,B158,'13_Progress_Track'!$E$2:$E$108)</f>
        <v/>
      </c>
      <c r="F157" s="175">
        <f>IF(E158&gt;(C158+D158),(E158-(C158+D158)),0)</f>
        <v/>
      </c>
      <c r="G157" s="177">
        <f>IF(F158&gt;0,0,C158+D158-E158)</f>
        <v/>
      </c>
      <c r="H157" s="148">
        <f>_xludf.IFNA(_xlfn.XLOOKUP(B158,'00_SKU_Master'!$B$2:$B$378,'00_SKU_Master'!$C$2:$C$378),"")</f>
        <v/>
      </c>
      <c r="I157" s="148" t="n"/>
      <c r="J157" s="14">
        <f>_xludf.IFNA(_xlfn.XLOOKUP(B158,'00_SKU_Master'!B$2:B$378,'00_SKU_Master'!H$2:H$378,0),"")</f>
        <v/>
      </c>
      <c r="K157" s="14">
        <f>_xludf.IFNA(_xlfn.XLOOKUP(B158,'00_SKU_Master'!B$2:B$378,'00_SKU_Master'!K$2:K$378,0),"")</f>
        <v/>
      </c>
      <c r="L157" s="148">
        <f>_xlfn.XLOOKUP(B158,'00_SKU_Master'!$B$2:$B$378,'00_SKU_Master'!D:D)</f>
        <v/>
      </c>
      <c r="M157" s="148">
        <f>IF((C158-E158)&lt;0,0,C158-E158)</f>
        <v/>
      </c>
    </row>
    <row r="158">
      <c r="A158" s="148">
        <f>'00_SKU_Master'!J250</f>
        <v/>
      </c>
      <c r="B158" s="148">
        <f>'00_SKU_Master'!B250</f>
        <v/>
      </c>
      <c r="C158" s="175">
        <f>_xlfn.XLOOKUP(B159,'02_TrayPack_Order'!$A$2:$A$264,'02_TrayPack_Order'!$C$2:$C$264)</f>
        <v/>
      </c>
      <c r="D158" s="176">
        <f>_xlfn.XLOOKUP(B159,'02_TrayPack_Order'!$A$2:$A$264,'02_TrayPack_Order'!$L$2:$L$264,0)</f>
        <v/>
      </c>
      <c r="E158" s="175">
        <f>SUMIF('13_Progress_Track'!$A$2:$A$108,B159,'13_Progress_Track'!$E$2:$E$108)</f>
        <v/>
      </c>
      <c r="F158" s="175">
        <f>IF(E159&gt;(C159+D159),(E159-(C159+D159)),0)</f>
        <v/>
      </c>
      <c r="G158" s="177">
        <f>IF(F159&gt;0,0,C159+D159-E159)</f>
        <v/>
      </c>
      <c r="H158" s="148">
        <f>_xludf.IFNA(_xlfn.XLOOKUP(B159,'00_SKU_Master'!$B$2:$B$378,'00_SKU_Master'!$C$2:$C$378),"")</f>
        <v/>
      </c>
      <c r="I158" s="148" t="n"/>
      <c r="J158" s="14">
        <f>_xludf.IFNA(_xlfn.XLOOKUP(B159,'00_SKU_Master'!B$2:B$378,'00_SKU_Master'!H$2:H$378,0),"")</f>
        <v/>
      </c>
      <c r="K158" s="14">
        <f>_xludf.IFNA(_xlfn.XLOOKUP(B159,'00_SKU_Master'!B$2:B$378,'00_SKU_Master'!K$2:K$378,0),"")</f>
        <v/>
      </c>
      <c r="L158" s="148">
        <f>_xlfn.XLOOKUP(B159,'00_SKU_Master'!$B$2:$B$378,'00_SKU_Master'!D:D)</f>
        <v/>
      </c>
      <c r="M158" s="148">
        <f>IF((C159-E159)&lt;0,0,C159-E159)</f>
        <v/>
      </c>
    </row>
    <row r="159">
      <c r="A159" s="148">
        <f>'00_SKU_Master'!J251</f>
        <v/>
      </c>
      <c r="B159" s="148">
        <f>'00_SKU_Master'!B251</f>
        <v/>
      </c>
      <c r="C159" s="175">
        <f>_xlfn.XLOOKUP(B160,'02_TrayPack_Order'!$A$2:$A$264,'02_TrayPack_Order'!$C$2:$C$264)</f>
        <v/>
      </c>
      <c r="D159" s="176">
        <f>_xlfn.XLOOKUP(B160,'02_TrayPack_Order'!$A$2:$A$264,'02_TrayPack_Order'!$L$2:$L$264,0)</f>
        <v/>
      </c>
      <c r="E159" s="175">
        <f>SUMIF('13_Progress_Track'!$A$2:$A$108,B160,'13_Progress_Track'!$E$2:$E$108)</f>
        <v/>
      </c>
      <c r="F159" s="175">
        <f>IF(E160&gt;(C160+D160),(E160-(C160+D160)),0)</f>
        <v/>
      </c>
      <c r="G159" s="177">
        <f>IF(F160&gt;0,0,C160+D160-E160)</f>
        <v/>
      </c>
      <c r="H159" s="148">
        <f>_xludf.IFNA(_xlfn.XLOOKUP(B160,'00_SKU_Master'!$B$2:$B$378,'00_SKU_Master'!$C$2:$C$378),"")</f>
        <v/>
      </c>
      <c r="I159" s="148" t="n"/>
      <c r="J159" s="14">
        <f>_xludf.IFNA(_xlfn.XLOOKUP(B160,'00_SKU_Master'!B$2:B$378,'00_SKU_Master'!H$2:H$378,0),"")</f>
        <v/>
      </c>
      <c r="K159" s="14">
        <f>_xludf.IFNA(_xlfn.XLOOKUP(B160,'00_SKU_Master'!B$2:B$378,'00_SKU_Master'!K$2:K$378,0),"")</f>
        <v/>
      </c>
      <c r="L159" s="148">
        <f>_xlfn.XLOOKUP(B160,'00_SKU_Master'!$B$2:$B$378,'00_SKU_Master'!D:D)</f>
        <v/>
      </c>
      <c r="M159" s="148">
        <f>IF((C160-E160)&lt;0,0,C160-E160)</f>
        <v/>
      </c>
    </row>
    <row r="160">
      <c r="A160" s="148">
        <f>'00_SKU_Master'!J252</f>
        <v/>
      </c>
      <c r="B160" s="148">
        <f>'00_SKU_Master'!B252</f>
        <v/>
      </c>
      <c r="C160" s="175">
        <f>_xlfn.XLOOKUP(B161,'02_TrayPack_Order'!$A$2:$A$264,'02_TrayPack_Order'!$C$2:$C$264)</f>
        <v/>
      </c>
      <c r="D160" s="176">
        <f>_xlfn.XLOOKUP(B161,'02_TrayPack_Order'!$A$2:$A$264,'02_TrayPack_Order'!$L$2:$L$264,0)</f>
        <v/>
      </c>
      <c r="E160" s="175">
        <f>SUMIF('13_Progress_Track'!$A$2:$A$108,B161,'13_Progress_Track'!$E$2:$E$108)</f>
        <v/>
      </c>
      <c r="F160" s="175">
        <f>IF(E161&gt;(C161+D161),(E161-(C161+D161)),0)</f>
        <v/>
      </c>
      <c r="G160" s="177">
        <f>IF(F161&gt;0,0,C161+D161-E161)</f>
        <v/>
      </c>
      <c r="H160" s="148">
        <f>_xludf.IFNA(_xlfn.XLOOKUP(B161,'00_SKU_Master'!$B$2:$B$378,'00_SKU_Master'!$C$2:$C$378),"")</f>
        <v/>
      </c>
      <c r="I160" s="148" t="n"/>
      <c r="J160" s="14">
        <f>_xludf.IFNA(_xlfn.XLOOKUP(B161,'00_SKU_Master'!B$2:B$378,'00_SKU_Master'!H$2:H$378,0),"")</f>
        <v/>
      </c>
      <c r="K160" s="14">
        <f>_xludf.IFNA(_xlfn.XLOOKUP(B161,'00_SKU_Master'!B$2:B$378,'00_SKU_Master'!K$2:K$378,0),"")</f>
        <v/>
      </c>
      <c r="L160" s="148">
        <f>_xlfn.XLOOKUP(B161,'00_SKU_Master'!$B$2:$B$378,'00_SKU_Master'!D:D)</f>
        <v/>
      </c>
      <c r="M160" s="148">
        <f>IF((C161-E161)&lt;0,0,C161-E161)</f>
        <v/>
      </c>
    </row>
    <row r="161">
      <c r="A161" s="148">
        <f>'00_SKU_Master'!J253</f>
        <v/>
      </c>
      <c r="B161" s="148">
        <f>'00_SKU_Master'!B253</f>
        <v/>
      </c>
      <c r="C161" s="175">
        <f>_xlfn.XLOOKUP(B162,'02_TrayPack_Order'!$A$2:$A$264,'02_TrayPack_Order'!$C$2:$C$264)</f>
        <v/>
      </c>
      <c r="D161" s="176">
        <f>_xlfn.XLOOKUP(B162,'02_TrayPack_Order'!$A$2:$A$264,'02_TrayPack_Order'!$L$2:$L$264,0)</f>
        <v/>
      </c>
      <c r="E161" s="175">
        <f>SUMIF('13_Progress_Track'!$A$2:$A$108,B162,'13_Progress_Track'!$E$2:$E$108)</f>
        <v/>
      </c>
      <c r="F161" s="175">
        <f>IF(E162&gt;(C162+D162),(E162-(C162+D162)),0)</f>
        <v/>
      </c>
      <c r="G161" s="177">
        <f>IF(F162&gt;0,0,C162+D162-E162)</f>
        <v/>
      </c>
      <c r="H161" s="148">
        <f>_xludf.IFNA(_xlfn.XLOOKUP(B162,'00_SKU_Master'!$B$2:$B$378,'00_SKU_Master'!$C$2:$C$378),"")</f>
        <v/>
      </c>
      <c r="I161" s="148" t="n"/>
      <c r="J161" s="14">
        <f>_xludf.IFNA(_xlfn.XLOOKUP(B162,'00_SKU_Master'!B$2:B$378,'00_SKU_Master'!H$2:H$378,0),"")</f>
        <v/>
      </c>
      <c r="K161" s="14">
        <f>_xludf.IFNA(_xlfn.XLOOKUP(B162,'00_SKU_Master'!B$2:B$378,'00_SKU_Master'!K$2:K$378,0),"")</f>
        <v/>
      </c>
      <c r="L161" s="148">
        <f>_xlfn.XLOOKUP(B162,'00_SKU_Master'!$B$2:$B$378,'00_SKU_Master'!D:D)</f>
        <v/>
      </c>
      <c r="M161" s="148">
        <f>IF((C162-E162)&lt;0,0,C162-E162)</f>
        <v/>
      </c>
    </row>
    <row r="162">
      <c r="A162" s="148">
        <f>'00_SKU_Master'!J254</f>
        <v/>
      </c>
      <c r="B162" s="148">
        <f>'00_SKU_Master'!B254</f>
        <v/>
      </c>
      <c r="C162" s="175">
        <f>_xlfn.XLOOKUP(B163,'02_TrayPack_Order'!$A$2:$A$264,'02_TrayPack_Order'!$C$2:$C$264)</f>
        <v/>
      </c>
      <c r="D162" s="176">
        <f>_xlfn.XLOOKUP(B163,'02_TrayPack_Order'!$A$2:$A$264,'02_TrayPack_Order'!$L$2:$L$264,0)</f>
        <v/>
      </c>
      <c r="E162" s="175">
        <f>SUMIF('13_Progress_Track'!$A$2:$A$108,B163,'13_Progress_Track'!$E$2:$E$108)</f>
        <v/>
      </c>
      <c r="F162" s="175">
        <f>IF(E163&gt;(C163+D163),(E163-(C163+D163)),0)</f>
        <v/>
      </c>
      <c r="G162" s="177">
        <f>IF(F163&gt;0,0,C163+D163-E163)</f>
        <v/>
      </c>
      <c r="H162" s="148">
        <f>_xludf.IFNA(_xlfn.XLOOKUP(B163,'00_SKU_Master'!$B$2:$B$378,'00_SKU_Master'!$C$2:$C$378),"")</f>
        <v/>
      </c>
      <c r="I162" s="148" t="n"/>
      <c r="J162" s="14">
        <f>_xludf.IFNA(_xlfn.XLOOKUP(B163,'00_SKU_Master'!B$2:B$378,'00_SKU_Master'!H$2:H$378,0),"")</f>
        <v/>
      </c>
      <c r="K162" s="14">
        <f>_xludf.IFNA(_xlfn.XLOOKUP(B163,'00_SKU_Master'!B$2:B$378,'00_SKU_Master'!K$2:K$378,0),"")</f>
        <v/>
      </c>
      <c r="L162" s="148">
        <f>_xlfn.XLOOKUP(B163,'00_SKU_Master'!$B$2:$B$378,'00_SKU_Master'!D:D)</f>
        <v/>
      </c>
      <c r="M162" s="148">
        <f>IF((C163-E163)&lt;0,0,C163-E163)</f>
        <v/>
      </c>
    </row>
    <row r="163">
      <c r="A163" s="148">
        <f>'00_SKU_Master'!J255</f>
        <v/>
      </c>
      <c r="B163" s="148">
        <f>'00_SKU_Master'!B255</f>
        <v/>
      </c>
      <c r="C163" s="175">
        <f>_xlfn.XLOOKUP(B164,'02_TrayPack_Order'!$A$2:$A$264,'02_TrayPack_Order'!$C$2:$C$264)</f>
        <v/>
      </c>
      <c r="D163" s="176">
        <f>_xlfn.XLOOKUP(B164,'02_TrayPack_Order'!$A$2:$A$264,'02_TrayPack_Order'!$L$2:$L$264,0)</f>
        <v/>
      </c>
      <c r="E163" s="175">
        <f>SUMIF('13_Progress_Track'!$A$2:$A$108,B164,'13_Progress_Track'!$E$2:$E$108)</f>
        <v/>
      </c>
      <c r="F163" s="175">
        <f>IF(E164&gt;(C164+D164),(E164-(C164+D164)),0)</f>
        <v/>
      </c>
      <c r="G163" s="177">
        <f>IF(F164&gt;0,0,C164+D164-E164)</f>
        <v/>
      </c>
      <c r="H163" s="148">
        <f>_xludf.IFNA(_xlfn.XLOOKUP(B164,'00_SKU_Master'!$B$2:$B$378,'00_SKU_Master'!$C$2:$C$378),"")</f>
        <v/>
      </c>
      <c r="I163" s="148" t="n"/>
      <c r="J163" s="14">
        <f>_xludf.IFNA(_xlfn.XLOOKUP(B164,'00_SKU_Master'!B$2:B$378,'00_SKU_Master'!H$2:H$378,0),"")</f>
        <v/>
      </c>
      <c r="K163" s="14">
        <f>_xludf.IFNA(_xlfn.XLOOKUP(B164,'00_SKU_Master'!B$2:B$378,'00_SKU_Master'!K$2:K$378,0),"")</f>
        <v/>
      </c>
      <c r="L163" s="148">
        <f>_xlfn.XLOOKUP(B164,'00_SKU_Master'!$B$2:$B$378,'00_SKU_Master'!D:D)</f>
        <v/>
      </c>
      <c r="M163" s="148">
        <f>IF((C164-E164)&lt;0,0,C164-E164)</f>
        <v/>
      </c>
    </row>
    <row r="164">
      <c r="A164" s="148">
        <f>'00_SKU_Master'!J256</f>
        <v/>
      </c>
      <c r="B164" s="148">
        <f>'00_SKU_Master'!B256</f>
        <v/>
      </c>
      <c r="C164" s="175">
        <f>_xlfn.XLOOKUP(B165,'02_TrayPack_Order'!$A$2:$A$264,'02_TrayPack_Order'!$C$2:$C$264)</f>
        <v/>
      </c>
      <c r="D164" s="176">
        <f>_xlfn.XLOOKUP(B165,'02_TrayPack_Order'!$A$2:$A$264,'02_TrayPack_Order'!$L$2:$L$264,0)</f>
        <v/>
      </c>
      <c r="E164" s="175">
        <f>SUMIF('13_Progress_Track'!$A$2:$A$108,B165,'13_Progress_Track'!$E$2:$E$108)</f>
        <v/>
      </c>
      <c r="F164" s="175">
        <f>IF(E165&gt;(C165+D165),(E165-(C165+D165)),0)</f>
        <v/>
      </c>
      <c r="G164" s="177">
        <f>IF(F165&gt;0,0,C165+D165-E165)</f>
        <v/>
      </c>
      <c r="H164" s="148">
        <f>_xludf.IFNA(_xlfn.XLOOKUP(B165,'00_SKU_Master'!$B$2:$B$378,'00_SKU_Master'!$C$2:$C$378),"")</f>
        <v/>
      </c>
      <c r="I164" s="148" t="n"/>
      <c r="J164" s="14">
        <f>_xludf.IFNA(_xlfn.XLOOKUP(B165,'00_SKU_Master'!B$2:B$378,'00_SKU_Master'!H$2:H$378,0),"")</f>
        <v/>
      </c>
      <c r="K164" s="14">
        <f>_xludf.IFNA(_xlfn.XLOOKUP(B165,'00_SKU_Master'!B$2:B$378,'00_SKU_Master'!K$2:K$378,0),"")</f>
        <v/>
      </c>
      <c r="L164" s="148">
        <f>_xlfn.XLOOKUP(B165,'00_SKU_Master'!$B$2:$B$378,'00_SKU_Master'!D:D)</f>
        <v/>
      </c>
      <c r="M164" s="148">
        <f>IF((C165-E165)&lt;0,0,C165-E165)</f>
        <v/>
      </c>
    </row>
    <row r="165">
      <c r="A165" s="148">
        <f>'00_SKU_Master'!J257</f>
        <v/>
      </c>
      <c r="B165" s="148">
        <f>'00_SKU_Master'!B257</f>
        <v/>
      </c>
      <c r="C165" s="175">
        <f>_xlfn.XLOOKUP(B166,'02_TrayPack_Order'!$A$2:$A$264,'02_TrayPack_Order'!$C$2:$C$264)</f>
        <v/>
      </c>
      <c r="D165" s="176">
        <f>_xlfn.XLOOKUP(B166,'02_TrayPack_Order'!$A$2:$A$264,'02_TrayPack_Order'!$L$2:$L$264,0)</f>
        <v/>
      </c>
      <c r="E165" s="175">
        <f>SUMIF('13_Progress_Track'!$A$2:$A$108,B166,'13_Progress_Track'!$E$2:$E$108)</f>
        <v/>
      </c>
      <c r="F165" s="175">
        <f>IF(E166&gt;(C166+D166),(E166-(C166+D166)),0)</f>
        <v/>
      </c>
      <c r="G165" s="177">
        <f>IF(F166&gt;0,0,C166+D166-E166)</f>
        <v/>
      </c>
      <c r="H165" s="148">
        <f>_xludf.IFNA(_xlfn.XLOOKUP(B166,'00_SKU_Master'!$B$2:$B$378,'00_SKU_Master'!$C$2:$C$378),"")</f>
        <v/>
      </c>
      <c r="I165" s="148" t="n"/>
      <c r="J165" s="14">
        <f>_xludf.IFNA(_xlfn.XLOOKUP(B166,'00_SKU_Master'!B$2:B$378,'00_SKU_Master'!H$2:H$378,0),"")</f>
        <v/>
      </c>
      <c r="K165" s="14">
        <f>_xludf.IFNA(_xlfn.XLOOKUP(B166,'00_SKU_Master'!B$2:B$378,'00_SKU_Master'!K$2:K$378,0),"")</f>
        <v/>
      </c>
      <c r="L165" s="148">
        <f>_xlfn.XLOOKUP(B166,'00_SKU_Master'!$B$2:$B$378,'00_SKU_Master'!D:D)</f>
        <v/>
      </c>
      <c r="M165" s="148">
        <f>IF((C166-E166)&lt;0,0,C166-E166)</f>
        <v/>
      </c>
    </row>
    <row r="166">
      <c r="A166" s="148">
        <f>'00_SKU_Master'!J258</f>
        <v/>
      </c>
      <c r="B166" s="148">
        <f>'00_SKU_Master'!B258</f>
        <v/>
      </c>
      <c r="C166" s="175">
        <f>_xlfn.XLOOKUP(B167,'02_TrayPack_Order'!$A$2:$A$264,'02_TrayPack_Order'!$C$2:$C$264)</f>
        <v/>
      </c>
      <c r="D166" s="176">
        <f>_xlfn.XLOOKUP(B167,'02_TrayPack_Order'!$A$2:$A$264,'02_TrayPack_Order'!$L$2:$L$264,0)</f>
        <v/>
      </c>
      <c r="E166" s="175">
        <f>SUMIF('13_Progress_Track'!$A$2:$A$108,B167,'13_Progress_Track'!$E$2:$E$108)</f>
        <v/>
      </c>
      <c r="F166" s="175">
        <f>IF(E167&gt;(C167+D167),(E167-(C167+D167)),0)</f>
        <v/>
      </c>
      <c r="G166" s="177">
        <f>IF(F167&gt;0,0,C167+D167-E167)</f>
        <v/>
      </c>
      <c r="H166" s="148">
        <f>_xludf.IFNA(_xlfn.XLOOKUP(B167,'00_SKU_Master'!$B$2:$B$378,'00_SKU_Master'!$C$2:$C$378),"")</f>
        <v/>
      </c>
      <c r="I166" s="148" t="n"/>
      <c r="J166" s="14">
        <f>_xludf.IFNA(_xlfn.XLOOKUP(B167,'00_SKU_Master'!B$2:B$378,'00_SKU_Master'!H$2:H$378,0),"")</f>
        <v/>
      </c>
      <c r="K166" s="14">
        <f>_xludf.IFNA(_xlfn.XLOOKUP(B167,'00_SKU_Master'!B$2:B$378,'00_SKU_Master'!K$2:K$378,0),"")</f>
        <v/>
      </c>
      <c r="L166" s="148">
        <f>_xlfn.XLOOKUP(B167,'00_SKU_Master'!$B$2:$B$378,'00_SKU_Master'!D:D)</f>
        <v/>
      </c>
      <c r="M166" s="148">
        <f>IF((C167-E167)&lt;0,0,C167-E167)</f>
        <v/>
      </c>
    </row>
    <row r="167">
      <c r="A167" s="148">
        <f>'00_SKU_Master'!J259</f>
        <v/>
      </c>
      <c r="B167" s="148">
        <f>'00_SKU_Master'!B259</f>
        <v/>
      </c>
      <c r="C167" s="175">
        <f>_xlfn.XLOOKUP(B168,'02_TrayPack_Order'!$A$2:$A$264,'02_TrayPack_Order'!$C$2:$C$264)</f>
        <v/>
      </c>
      <c r="D167" s="176">
        <f>_xlfn.XLOOKUP(B168,'02_TrayPack_Order'!$A$2:$A$264,'02_TrayPack_Order'!$L$2:$L$264,0)</f>
        <v/>
      </c>
      <c r="E167" s="175">
        <f>SUMIF('13_Progress_Track'!$A$2:$A$108,B168,'13_Progress_Track'!$E$2:$E$108)</f>
        <v/>
      </c>
      <c r="F167" s="175">
        <f>IF(E168&gt;(C168+D168),(E168-(C168+D168)),0)</f>
        <v/>
      </c>
      <c r="G167" s="177">
        <f>IF(F168&gt;0,0,C168+D168-E168)</f>
        <v/>
      </c>
      <c r="H167" s="148">
        <f>_xludf.IFNA(_xlfn.XLOOKUP(B168,'00_SKU_Master'!$B$2:$B$378,'00_SKU_Master'!$C$2:$C$378),"")</f>
        <v/>
      </c>
      <c r="I167" s="148" t="n"/>
      <c r="J167" s="14">
        <f>_xludf.IFNA(_xlfn.XLOOKUP(B168,'00_SKU_Master'!B$2:B$378,'00_SKU_Master'!H$2:H$378,0),"")</f>
        <v/>
      </c>
      <c r="K167" s="14">
        <f>_xludf.IFNA(_xlfn.XLOOKUP(B168,'00_SKU_Master'!B$2:B$378,'00_SKU_Master'!K$2:K$378,0),"")</f>
        <v/>
      </c>
      <c r="L167" s="148">
        <f>_xlfn.XLOOKUP(B168,'00_SKU_Master'!$B$2:$B$378,'00_SKU_Master'!D:D)</f>
        <v/>
      </c>
      <c r="M167" s="148">
        <f>IF((C168-E168)&lt;0,0,C168-E168)</f>
        <v/>
      </c>
    </row>
    <row r="168">
      <c r="A168" s="148">
        <f>'00_SKU_Master'!J260</f>
        <v/>
      </c>
      <c r="B168" s="148">
        <f>'00_SKU_Master'!B260</f>
        <v/>
      </c>
      <c r="C168" s="175">
        <f>_xlfn.XLOOKUP(B169,'02_TrayPack_Order'!$A$2:$A$264,'02_TrayPack_Order'!$C$2:$C$264)</f>
        <v/>
      </c>
      <c r="D168" s="176">
        <f>_xlfn.XLOOKUP(B169,'02_TrayPack_Order'!$A$2:$A$264,'02_TrayPack_Order'!$L$2:$L$264,0)</f>
        <v/>
      </c>
      <c r="E168" s="175">
        <f>SUMIF('13_Progress_Track'!$A$2:$A$108,B169,'13_Progress_Track'!$E$2:$E$108)</f>
        <v/>
      </c>
      <c r="F168" s="175">
        <f>IF(E169&gt;(C169+D169),(E169-(C169+D169)),0)</f>
        <v/>
      </c>
      <c r="G168" s="177">
        <f>IF(F169&gt;0,0,C169+D169-E169)</f>
        <v/>
      </c>
      <c r="H168" s="148">
        <f>_xludf.IFNA(_xlfn.XLOOKUP(B169,'00_SKU_Master'!$B$2:$B$378,'00_SKU_Master'!$C$2:$C$378),"")</f>
        <v/>
      </c>
      <c r="I168" s="148" t="n"/>
      <c r="J168" s="14">
        <f>_xludf.IFNA(_xlfn.XLOOKUP(B169,'00_SKU_Master'!B$2:B$378,'00_SKU_Master'!H$2:H$378,0),"")</f>
        <v/>
      </c>
      <c r="K168" s="14">
        <f>_xludf.IFNA(_xlfn.XLOOKUP(B169,'00_SKU_Master'!B$2:B$378,'00_SKU_Master'!K$2:K$378,0),"")</f>
        <v/>
      </c>
      <c r="L168" s="148">
        <f>_xlfn.XLOOKUP(B169,'00_SKU_Master'!$B$2:$B$378,'00_SKU_Master'!D:D)</f>
        <v/>
      </c>
      <c r="M168" s="148">
        <f>IF((C169-E169)&lt;0,0,C169-E169)</f>
        <v/>
      </c>
    </row>
    <row r="169">
      <c r="A169" s="148">
        <f>'00_SKU_Master'!J261</f>
        <v/>
      </c>
      <c r="B169" s="148">
        <f>'00_SKU_Master'!B261</f>
        <v/>
      </c>
      <c r="C169" s="175">
        <f>_xlfn.XLOOKUP(B170,'02_TrayPack_Order'!$A$2:$A$264,'02_TrayPack_Order'!$C$2:$C$264)</f>
        <v/>
      </c>
      <c r="D169" s="176">
        <f>_xlfn.XLOOKUP(B170,'02_TrayPack_Order'!$A$2:$A$264,'02_TrayPack_Order'!$L$2:$L$264,0)</f>
        <v/>
      </c>
      <c r="E169" s="175">
        <f>SUMIF('13_Progress_Track'!$A$2:$A$108,B170,'13_Progress_Track'!$E$2:$E$108)</f>
        <v/>
      </c>
      <c r="F169" s="175">
        <f>IF(E170&gt;(C170+D170),(E170-(C170+D170)),0)</f>
        <v/>
      </c>
      <c r="G169" s="177">
        <f>IF(F170&gt;0,0,C170+D170-E170)</f>
        <v/>
      </c>
      <c r="H169" s="148">
        <f>_xludf.IFNA(_xlfn.XLOOKUP(B170,'00_SKU_Master'!$B$2:$B$378,'00_SKU_Master'!$C$2:$C$378),"")</f>
        <v/>
      </c>
      <c r="I169" s="148" t="n"/>
      <c r="J169" s="14">
        <f>_xludf.IFNA(_xlfn.XLOOKUP(B170,'00_SKU_Master'!B$2:B$378,'00_SKU_Master'!H$2:H$378,0),"")</f>
        <v/>
      </c>
      <c r="K169" s="14">
        <f>_xludf.IFNA(_xlfn.XLOOKUP(B170,'00_SKU_Master'!B$2:B$378,'00_SKU_Master'!K$2:K$378,0),"")</f>
        <v/>
      </c>
      <c r="L169" s="148">
        <f>_xlfn.XLOOKUP(B170,'00_SKU_Master'!$B$2:$B$378,'00_SKU_Master'!D:D)</f>
        <v/>
      </c>
      <c r="M169" s="148">
        <f>IF((C170-E170)&lt;0,0,C170-E170)</f>
        <v/>
      </c>
    </row>
    <row r="170">
      <c r="A170" s="148">
        <f>'00_SKU_Master'!J262</f>
        <v/>
      </c>
      <c r="B170" s="148">
        <f>'00_SKU_Master'!B262</f>
        <v/>
      </c>
      <c r="C170" s="175">
        <f>_xlfn.XLOOKUP(B171,'02_TrayPack_Order'!$A$2:$A$264,'02_TrayPack_Order'!$C$2:$C$264)</f>
        <v/>
      </c>
      <c r="D170" s="176">
        <f>_xlfn.XLOOKUP(B171,'02_TrayPack_Order'!$A$2:$A$264,'02_TrayPack_Order'!$L$2:$L$264,0)</f>
        <v/>
      </c>
      <c r="E170" s="175">
        <f>SUMIF('13_Progress_Track'!$A$2:$A$108,B171,'13_Progress_Track'!$E$2:$E$108)</f>
        <v/>
      </c>
      <c r="F170" s="175">
        <f>IF(E171&gt;(C171+D171),(E171-(C171+D171)),0)</f>
        <v/>
      </c>
      <c r="G170" s="177">
        <f>IF(F171&gt;0,0,C171+D171-E171)</f>
        <v/>
      </c>
      <c r="H170" s="148">
        <f>_xludf.IFNA(_xlfn.XLOOKUP(B171,'00_SKU_Master'!$B$2:$B$378,'00_SKU_Master'!$C$2:$C$378),"")</f>
        <v/>
      </c>
      <c r="I170" s="148" t="n"/>
      <c r="J170" s="14">
        <f>_xludf.IFNA(_xlfn.XLOOKUP(B171,'00_SKU_Master'!B$2:B$378,'00_SKU_Master'!H$2:H$378,0),"")</f>
        <v/>
      </c>
      <c r="K170" s="14">
        <f>_xludf.IFNA(_xlfn.XLOOKUP(B171,'00_SKU_Master'!B$2:B$378,'00_SKU_Master'!K$2:K$378,0),"")</f>
        <v/>
      </c>
      <c r="L170" s="148">
        <f>_xlfn.XLOOKUP(B171,'00_SKU_Master'!$B$2:$B$378,'00_SKU_Master'!D:D)</f>
        <v/>
      </c>
      <c r="M170" s="148">
        <f>IF((C171-E171)&lt;0,0,C171-E171)</f>
        <v/>
      </c>
    </row>
    <row r="171">
      <c r="A171" s="148">
        <f>'00_SKU_Master'!J263</f>
        <v/>
      </c>
      <c r="B171" s="148">
        <f>'00_SKU_Master'!B263</f>
        <v/>
      </c>
      <c r="C171" s="175">
        <f>_xlfn.XLOOKUP(B172,'02_TrayPack_Order'!$A$2:$A$264,'02_TrayPack_Order'!$C$2:$C$264)</f>
        <v/>
      </c>
      <c r="D171" s="176">
        <f>_xlfn.XLOOKUP(B172,'02_TrayPack_Order'!$A$2:$A$264,'02_TrayPack_Order'!$L$2:$L$264,0)</f>
        <v/>
      </c>
      <c r="E171" s="175">
        <f>SUMIF('13_Progress_Track'!$A$2:$A$108,B172,'13_Progress_Track'!$E$2:$E$108)</f>
        <v/>
      </c>
      <c r="F171" s="175">
        <f>IF(E172&gt;(C172+D172),(E172-(C172+D172)),0)</f>
        <v/>
      </c>
      <c r="G171" s="177">
        <f>IF(F172&gt;0,0,C172+D172-E172)</f>
        <v/>
      </c>
      <c r="H171" s="148">
        <f>_xludf.IFNA(_xlfn.XLOOKUP(B172,'00_SKU_Master'!$B$2:$B$378,'00_SKU_Master'!$C$2:$C$378),"")</f>
        <v/>
      </c>
      <c r="I171" s="148" t="n"/>
      <c r="J171" s="14">
        <f>_xludf.IFNA(_xlfn.XLOOKUP(B172,'00_SKU_Master'!B$2:B$378,'00_SKU_Master'!H$2:H$378,0),"")</f>
        <v/>
      </c>
      <c r="K171" s="14">
        <f>_xludf.IFNA(_xlfn.XLOOKUP(B172,'00_SKU_Master'!B$2:B$378,'00_SKU_Master'!K$2:K$378,0),"")</f>
        <v/>
      </c>
      <c r="L171" s="148">
        <f>_xlfn.XLOOKUP(B172,'00_SKU_Master'!$B$2:$B$378,'00_SKU_Master'!D:D)</f>
        <v/>
      </c>
      <c r="M171" s="148">
        <f>IF((C172-E172)&lt;0,0,C172-E172)</f>
        <v/>
      </c>
    </row>
    <row r="172">
      <c r="A172" s="148">
        <f>'00_SKU_Master'!J264</f>
        <v/>
      </c>
      <c r="B172" s="148">
        <f>'00_SKU_Master'!B264</f>
        <v/>
      </c>
      <c r="C172" s="175">
        <f>_xlfn.XLOOKUP(B173,'02_TrayPack_Order'!$A$2:$A$264,'02_TrayPack_Order'!$C$2:$C$264)</f>
        <v/>
      </c>
      <c r="D172" s="176">
        <f>_xlfn.XLOOKUP(B173,'02_TrayPack_Order'!$A$2:$A$264,'02_TrayPack_Order'!$L$2:$L$264,0)</f>
        <v/>
      </c>
      <c r="E172" s="175">
        <f>SUMIF('13_Progress_Track'!$A$2:$A$108,B173,'13_Progress_Track'!$E$2:$E$108)</f>
        <v/>
      </c>
      <c r="F172" s="175">
        <f>IF(E173&gt;(C173+D173),(E173-(C173+D173)),0)</f>
        <v/>
      </c>
      <c r="G172" s="177">
        <f>IF(F173&gt;0,0,C173+D173-E173)</f>
        <v/>
      </c>
      <c r="H172" s="148">
        <f>_xludf.IFNA(_xlfn.XLOOKUP(B173,'00_SKU_Master'!$B$2:$B$378,'00_SKU_Master'!$C$2:$C$378),"")</f>
        <v/>
      </c>
      <c r="I172" s="148" t="n"/>
      <c r="J172" s="14">
        <f>_xludf.IFNA(_xlfn.XLOOKUP(B173,'00_SKU_Master'!B$2:B$378,'00_SKU_Master'!H$2:H$378,0),"")</f>
        <v/>
      </c>
      <c r="K172" s="14">
        <f>_xludf.IFNA(_xlfn.XLOOKUP(B173,'00_SKU_Master'!B$2:B$378,'00_SKU_Master'!K$2:K$378,0),"")</f>
        <v/>
      </c>
      <c r="L172" s="148">
        <f>_xlfn.XLOOKUP(B173,'00_SKU_Master'!$B$2:$B$378,'00_SKU_Master'!D:D)</f>
        <v/>
      </c>
      <c r="M172" s="148">
        <f>IF((C173-E173)&lt;0,0,C173-E173)</f>
        <v/>
      </c>
    </row>
    <row r="173">
      <c r="A173" s="148">
        <f>'00_SKU_Master'!J265</f>
        <v/>
      </c>
      <c r="B173" s="148">
        <f>'00_SKU_Master'!B265</f>
        <v/>
      </c>
      <c r="C173" s="175">
        <f>_xlfn.XLOOKUP(B174,'02_TrayPack_Order'!$A$2:$A$264,'02_TrayPack_Order'!$C$2:$C$264)</f>
        <v/>
      </c>
      <c r="D173" s="176">
        <f>_xlfn.XLOOKUP(B174,'02_TrayPack_Order'!$A$2:$A$264,'02_TrayPack_Order'!$L$2:$L$264,0)</f>
        <v/>
      </c>
      <c r="E173" s="175">
        <f>SUMIF('13_Progress_Track'!$A$2:$A$108,B174,'13_Progress_Track'!$E$2:$E$108)</f>
        <v/>
      </c>
      <c r="F173" s="175">
        <f>IF(E174&gt;(C174+D174),(E174-(C174+D174)),0)</f>
        <v/>
      </c>
      <c r="G173" s="177">
        <f>IF(F174&gt;0,0,C174+D174-E174)</f>
        <v/>
      </c>
      <c r="H173" s="148">
        <f>_xludf.IFNA(_xlfn.XLOOKUP(B174,'00_SKU_Master'!$B$2:$B$378,'00_SKU_Master'!$C$2:$C$378),"")</f>
        <v/>
      </c>
      <c r="I173" s="148" t="n"/>
      <c r="J173" s="14">
        <f>_xludf.IFNA(_xlfn.XLOOKUP(B174,'00_SKU_Master'!B$2:B$378,'00_SKU_Master'!H$2:H$378,0),"")</f>
        <v/>
      </c>
      <c r="K173" s="14">
        <f>_xludf.IFNA(_xlfn.XLOOKUP(B174,'00_SKU_Master'!B$2:B$378,'00_SKU_Master'!K$2:K$378,0),"")</f>
        <v/>
      </c>
      <c r="L173" s="148">
        <f>_xlfn.XLOOKUP(B174,'00_SKU_Master'!$B$2:$B$378,'00_SKU_Master'!D:D)</f>
        <v/>
      </c>
      <c r="M173" s="148">
        <f>IF((C174-E174)&lt;0,0,C174-E174)</f>
        <v/>
      </c>
      <c r="N173" s="178" t="n"/>
    </row>
    <row r="174">
      <c r="A174" s="148">
        <f>'00_SKU_Master'!J266</f>
        <v/>
      </c>
      <c r="B174" s="148">
        <f>'00_SKU_Master'!B266</f>
        <v/>
      </c>
      <c r="C174" s="175">
        <f>_xlfn.XLOOKUP(B175,'02_TrayPack_Order'!$A$2:$A$264,'02_TrayPack_Order'!$C$2:$C$264)</f>
        <v/>
      </c>
      <c r="D174" s="176">
        <f>_xlfn.XLOOKUP(B175,'02_TrayPack_Order'!$A$2:$A$264,'02_TrayPack_Order'!$L$2:$L$264,0)</f>
        <v/>
      </c>
      <c r="E174" s="175">
        <f>SUMIF('13_Progress_Track'!$A$2:$A$108,B175,'13_Progress_Track'!$E$2:$E$108)</f>
        <v/>
      </c>
      <c r="F174" s="175">
        <f>IF(E175&gt;(C175+D175),(E175-(C175+D175)),0)</f>
        <v/>
      </c>
      <c r="G174" s="177">
        <f>IF(F175&gt;0,0,C175+D175-E175)</f>
        <v/>
      </c>
      <c r="H174" s="148">
        <f>_xludf.IFNA(_xlfn.XLOOKUP(B175,'00_SKU_Master'!$B$2:$B$378,'00_SKU_Master'!$C$2:$C$378),"")</f>
        <v/>
      </c>
      <c r="I174" s="148" t="n"/>
      <c r="J174" s="14">
        <f>_xludf.IFNA(_xlfn.XLOOKUP(B175,'00_SKU_Master'!B$2:B$378,'00_SKU_Master'!H$2:H$378,0),"")</f>
        <v/>
      </c>
      <c r="K174" s="14">
        <f>_xludf.IFNA(_xlfn.XLOOKUP(B175,'00_SKU_Master'!B$2:B$378,'00_SKU_Master'!K$2:K$378,0),"")</f>
        <v/>
      </c>
      <c r="L174" s="148">
        <f>_xlfn.XLOOKUP(B175,'00_SKU_Master'!$B$2:$B$378,'00_SKU_Master'!D:D)</f>
        <v/>
      </c>
      <c r="M174" s="148">
        <f>IF((C175-E175)&lt;0,0,C175-E175)</f>
        <v/>
      </c>
    </row>
    <row r="175">
      <c r="A175" s="148">
        <f>'00_SKU_Master'!J267</f>
        <v/>
      </c>
      <c r="B175" s="148">
        <f>'00_SKU_Master'!B267</f>
        <v/>
      </c>
      <c r="C175" s="175">
        <f>_xlfn.XLOOKUP(B176,'02_TrayPack_Order'!$A$2:$A$264,'02_TrayPack_Order'!$C$2:$C$264)</f>
        <v/>
      </c>
      <c r="D175" s="176">
        <f>_xlfn.XLOOKUP(B176,'02_TrayPack_Order'!$A$2:$A$264,'02_TrayPack_Order'!$L$2:$L$264,0)</f>
        <v/>
      </c>
      <c r="E175" s="175">
        <f>SUMIF('13_Progress_Track'!$A$2:$A$108,B176,'13_Progress_Track'!$E$2:$E$108)</f>
        <v/>
      </c>
      <c r="F175" s="175">
        <f>IF(E176&gt;(C176+D176),(E176-(C176+D176)),0)</f>
        <v/>
      </c>
      <c r="G175" s="177">
        <f>IF(F176&gt;0,0,C176+D176-E176)</f>
        <v/>
      </c>
      <c r="H175" s="148">
        <f>_xludf.IFNA(_xlfn.XLOOKUP(B176,'00_SKU_Master'!$B$2:$B$378,'00_SKU_Master'!$C$2:$C$378),"")</f>
        <v/>
      </c>
      <c r="I175" s="148" t="n"/>
      <c r="J175" s="14">
        <f>_xludf.IFNA(_xlfn.XLOOKUP(B176,'00_SKU_Master'!B$2:B$378,'00_SKU_Master'!H$2:H$378,0),"")</f>
        <v/>
      </c>
      <c r="K175" s="14">
        <f>_xludf.IFNA(_xlfn.XLOOKUP(B176,'00_SKU_Master'!B$2:B$378,'00_SKU_Master'!K$2:K$378,0),"")</f>
        <v/>
      </c>
      <c r="L175" s="148">
        <f>_xlfn.XLOOKUP(B176,'00_SKU_Master'!$B$2:$B$378,'00_SKU_Master'!D:D)</f>
        <v/>
      </c>
      <c r="M175" s="148">
        <f>IF((C176-E176)&lt;0,0,C176-E176)</f>
        <v/>
      </c>
    </row>
    <row r="176">
      <c r="A176" s="148">
        <f>'00_SKU_Master'!J268</f>
        <v/>
      </c>
      <c r="B176" s="148">
        <f>'00_SKU_Master'!B268</f>
        <v/>
      </c>
      <c r="C176" s="175">
        <f>_xlfn.XLOOKUP(B177,'02_TrayPack_Order'!$A$2:$A$264,'02_TrayPack_Order'!$C$2:$C$264)</f>
        <v/>
      </c>
      <c r="D176" s="176">
        <f>_xlfn.XLOOKUP(B177,'02_TrayPack_Order'!$A$2:$A$264,'02_TrayPack_Order'!$L$2:$L$264,0)</f>
        <v/>
      </c>
      <c r="E176" s="175">
        <f>SUMIF('13_Progress_Track'!$A$2:$A$108,B177,'13_Progress_Track'!$E$2:$E$108)</f>
        <v/>
      </c>
      <c r="F176" s="175">
        <f>IF(E177&gt;(C177+D177),(E177-(C177+D177)),0)</f>
        <v/>
      </c>
      <c r="G176" s="177">
        <f>IF(F177&gt;0,0,C177+D177-E177)</f>
        <v/>
      </c>
      <c r="H176" s="148">
        <f>_xludf.IFNA(_xlfn.XLOOKUP(B177,'00_SKU_Master'!$B$2:$B$378,'00_SKU_Master'!$C$2:$C$378),"")</f>
        <v/>
      </c>
      <c r="I176" s="148" t="n"/>
      <c r="J176" s="14">
        <f>_xludf.IFNA(_xlfn.XLOOKUP(B177,'00_SKU_Master'!B$2:B$378,'00_SKU_Master'!H$2:H$378,0),"")</f>
        <v/>
      </c>
      <c r="K176" s="14">
        <f>_xludf.IFNA(_xlfn.XLOOKUP(B177,'00_SKU_Master'!B$2:B$378,'00_SKU_Master'!K$2:K$378,0),"")</f>
        <v/>
      </c>
      <c r="L176" s="148">
        <f>_xlfn.XLOOKUP(B177,'00_SKU_Master'!$B$2:$B$378,'00_SKU_Master'!D:D)</f>
        <v/>
      </c>
      <c r="M176" s="148">
        <f>IF((C177-E177)&lt;0,0,C177-E177)</f>
        <v/>
      </c>
    </row>
    <row r="177">
      <c r="A177" s="148">
        <f>'00_SKU_Master'!J269</f>
        <v/>
      </c>
      <c r="B177" s="148">
        <f>'00_SKU_Master'!B269</f>
        <v/>
      </c>
      <c r="C177" s="175">
        <f>_xlfn.XLOOKUP(B178,'02_TrayPack_Order'!$A$2:$A$264,'02_TrayPack_Order'!$C$2:$C$264)</f>
        <v/>
      </c>
      <c r="D177" s="176">
        <f>_xlfn.XLOOKUP(B178,'02_TrayPack_Order'!$A$2:$A$264,'02_TrayPack_Order'!$L$2:$L$264,0)</f>
        <v/>
      </c>
      <c r="E177" s="175">
        <f>SUMIF('13_Progress_Track'!$A$2:$A$108,B178,'13_Progress_Track'!$E$2:$E$108)</f>
        <v/>
      </c>
      <c r="F177" s="175">
        <f>IF(E178&gt;(C178+D178),(E178-(C178+D178)),0)</f>
        <v/>
      </c>
      <c r="G177" s="177">
        <f>IF(F178&gt;0,0,C178+D178-E178)</f>
        <v/>
      </c>
      <c r="H177" s="148">
        <f>_xludf.IFNA(_xlfn.XLOOKUP(B178,'00_SKU_Master'!$B$2:$B$378,'00_SKU_Master'!$C$2:$C$378),"")</f>
        <v/>
      </c>
      <c r="I177" s="148" t="n"/>
      <c r="J177" s="14">
        <f>_xludf.IFNA(_xlfn.XLOOKUP(B178,'00_SKU_Master'!B$2:B$378,'00_SKU_Master'!H$2:H$378,0),"")</f>
        <v/>
      </c>
      <c r="K177" s="14">
        <f>_xludf.IFNA(_xlfn.XLOOKUP(B178,'00_SKU_Master'!B$2:B$378,'00_SKU_Master'!K$2:K$378,0),"")</f>
        <v/>
      </c>
      <c r="L177" s="148">
        <f>_xlfn.XLOOKUP(B178,'00_SKU_Master'!$B$2:$B$378,'00_SKU_Master'!D:D)</f>
        <v/>
      </c>
      <c r="M177" s="148">
        <f>IF((C178-E178)&lt;0,0,C178-E178)</f>
        <v/>
      </c>
    </row>
    <row r="178">
      <c r="A178" s="148">
        <f>'00_SKU_Master'!J270</f>
        <v/>
      </c>
      <c r="B178" s="148">
        <f>'00_SKU_Master'!B270</f>
        <v/>
      </c>
      <c r="C178" s="175">
        <f>_xlfn.XLOOKUP(B179,'02_TrayPack_Order'!$A$2:$A$264,'02_TrayPack_Order'!$C$2:$C$264)</f>
        <v/>
      </c>
      <c r="D178" s="176">
        <f>_xlfn.XLOOKUP(B179,'02_TrayPack_Order'!$A$2:$A$264,'02_TrayPack_Order'!$L$2:$L$264,0)</f>
        <v/>
      </c>
      <c r="E178" s="175">
        <f>SUMIF('13_Progress_Track'!$A$2:$A$108,B179,'13_Progress_Track'!$E$2:$E$108)</f>
        <v/>
      </c>
      <c r="F178" s="175">
        <f>IF(E179&gt;(C179+D179),(E179-(C179+D179)),0)</f>
        <v/>
      </c>
      <c r="G178" s="177">
        <f>IF(F179&gt;0,0,C179+D179-E179)</f>
        <v/>
      </c>
      <c r="H178" s="148">
        <f>_xludf.IFNA(_xlfn.XLOOKUP(B179,'00_SKU_Master'!$B$2:$B$378,'00_SKU_Master'!$C$2:$C$378),"")</f>
        <v/>
      </c>
      <c r="I178" s="148" t="n"/>
      <c r="J178" s="14">
        <f>_xludf.IFNA(_xlfn.XLOOKUP(B179,'00_SKU_Master'!B$2:B$378,'00_SKU_Master'!H$2:H$378,0),"")</f>
        <v/>
      </c>
      <c r="K178" s="14">
        <f>_xludf.IFNA(_xlfn.XLOOKUP(B179,'00_SKU_Master'!B$2:B$378,'00_SKU_Master'!K$2:K$378,0),"")</f>
        <v/>
      </c>
      <c r="L178" s="148">
        <f>_xlfn.XLOOKUP(B179,'00_SKU_Master'!$B$2:$B$378,'00_SKU_Master'!D:D)</f>
        <v/>
      </c>
      <c r="M178" s="148">
        <f>IF((C179-E179)&lt;0,0,C179-E179)</f>
        <v/>
      </c>
    </row>
    <row r="179">
      <c r="A179" s="148">
        <f>'00_SKU_Master'!J271</f>
        <v/>
      </c>
      <c r="B179" s="148">
        <f>'00_SKU_Master'!B271</f>
        <v/>
      </c>
      <c r="C179" s="175">
        <f>_xlfn.XLOOKUP(B180,'02_TrayPack_Order'!$A$2:$A$264,'02_TrayPack_Order'!$C$2:$C$264)</f>
        <v/>
      </c>
      <c r="D179" s="176">
        <f>_xlfn.XLOOKUP(B180,'02_TrayPack_Order'!$A$2:$A$264,'02_TrayPack_Order'!$L$2:$L$264,0)</f>
        <v/>
      </c>
      <c r="E179" s="175">
        <f>SUMIF('13_Progress_Track'!$A$2:$A$108,B180,'13_Progress_Track'!$E$2:$E$108)</f>
        <v/>
      </c>
      <c r="F179" s="175">
        <f>IF(E180&gt;(C180+D180),(E180-(C180+D180)),0)</f>
        <v/>
      </c>
      <c r="G179" s="177">
        <f>IF(F180&gt;0,0,C180+D180-E180)</f>
        <v/>
      </c>
      <c r="H179" s="148">
        <f>_xludf.IFNA(_xlfn.XLOOKUP(B180,'00_SKU_Master'!$B$2:$B$378,'00_SKU_Master'!$C$2:$C$378),"")</f>
        <v/>
      </c>
      <c r="I179" s="148" t="n"/>
      <c r="J179" s="14">
        <f>_xludf.IFNA(_xlfn.XLOOKUP(B180,'00_SKU_Master'!B$2:B$378,'00_SKU_Master'!H$2:H$378,0),"")</f>
        <v/>
      </c>
      <c r="K179" s="14">
        <f>_xludf.IFNA(_xlfn.XLOOKUP(B180,'00_SKU_Master'!B$2:B$378,'00_SKU_Master'!K$2:K$378,0),"")</f>
        <v/>
      </c>
      <c r="L179" s="148">
        <f>_xlfn.XLOOKUP(B180,'00_SKU_Master'!$B$2:$B$378,'00_SKU_Master'!D:D)</f>
        <v/>
      </c>
      <c r="M179" s="148">
        <f>IF((C180-E180)&lt;0,0,C180-E180)</f>
        <v/>
      </c>
    </row>
    <row r="180">
      <c r="A180" s="148">
        <f>'00_SKU_Master'!J272</f>
        <v/>
      </c>
      <c r="B180" s="148">
        <f>'00_SKU_Master'!B272</f>
        <v/>
      </c>
      <c r="C180" s="175">
        <f>_xlfn.XLOOKUP(B181,'02_TrayPack_Order'!$A$2:$A$264,'02_TrayPack_Order'!$C$2:$C$264)</f>
        <v/>
      </c>
      <c r="D180" s="176">
        <f>_xlfn.XLOOKUP(B181,'02_TrayPack_Order'!$A$2:$A$264,'02_TrayPack_Order'!$L$2:$L$264,0)</f>
        <v/>
      </c>
      <c r="E180" s="175">
        <f>SUMIF('13_Progress_Track'!$A$2:$A$108,B181,'13_Progress_Track'!$E$2:$E$108)</f>
        <v/>
      </c>
      <c r="F180" s="175">
        <f>IF(E181&gt;(C181+D181),(E181-(C181+D181)),0)</f>
        <v/>
      </c>
      <c r="G180" s="177">
        <f>IF(F181&gt;0,0,C181+D181-E181)</f>
        <v/>
      </c>
      <c r="H180" s="148">
        <f>_xludf.IFNA(_xlfn.XLOOKUP(B181,'00_SKU_Master'!$B$2:$B$378,'00_SKU_Master'!$C$2:$C$378),"")</f>
        <v/>
      </c>
      <c r="I180" s="148" t="n"/>
      <c r="J180" s="14">
        <f>_xludf.IFNA(_xlfn.XLOOKUP(B181,'00_SKU_Master'!B$2:B$378,'00_SKU_Master'!H$2:H$378,0),"")</f>
        <v/>
      </c>
      <c r="K180" s="14">
        <f>_xludf.IFNA(_xlfn.XLOOKUP(B181,'00_SKU_Master'!B$2:B$378,'00_SKU_Master'!K$2:K$378,0),"")</f>
        <v/>
      </c>
      <c r="L180" s="148">
        <f>_xlfn.XLOOKUP(B181,'00_SKU_Master'!$B$2:$B$378,'00_SKU_Master'!D:D)</f>
        <v/>
      </c>
      <c r="M180" s="148">
        <f>IF((C181-E181)&lt;0,0,C181-E181)</f>
        <v/>
      </c>
    </row>
    <row r="181">
      <c r="A181" s="148">
        <f>'00_SKU_Master'!J273</f>
        <v/>
      </c>
      <c r="B181" s="148">
        <f>'00_SKU_Master'!B273</f>
        <v/>
      </c>
      <c r="C181" s="175">
        <f>_xlfn.XLOOKUP(B182,'02_TrayPack_Order'!$A$2:$A$264,'02_TrayPack_Order'!$C$2:$C$264)</f>
        <v/>
      </c>
      <c r="D181" s="176">
        <f>_xlfn.XLOOKUP(B182,'02_TrayPack_Order'!$A$2:$A$264,'02_TrayPack_Order'!$L$2:$L$264,0)</f>
        <v/>
      </c>
      <c r="E181" s="175">
        <f>SUMIF('13_Progress_Track'!$A$2:$A$108,B182,'13_Progress_Track'!$E$2:$E$108)</f>
        <v/>
      </c>
      <c r="F181" s="175">
        <f>IF(E182&gt;(C182+D182),(E182-(C182+D182)),0)</f>
        <v/>
      </c>
      <c r="G181" s="177">
        <f>IF(F182&gt;0,0,C182+D182-E182)</f>
        <v/>
      </c>
      <c r="H181" s="148">
        <f>_xludf.IFNA(_xlfn.XLOOKUP(B182,'00_SKU_Master'!$B$2:$B$378,'00_SKU_Master'!$C$2:$C$378),"")</f>
        <v/>
      </c>
      <c r="I181" s="148" t="n"/>
      <c r="J181" s="14">
        <f>_xludf.IFNA(_xlfn.XLOOKUP(B182,'00_SKU_Master'!B$2:B$378,'00_SKU_Master'!H$2:H$378,0),"")</f>
        <v/>
      </c>
      <c r="K181" s="14">
        <f>_xludf.IFNA(_xlfn.XLOOKUP(B182,'00_SKU_Master'!B$2:B$378,'00_SKU_Master'!K$2:K$378,0),"")</f>
        <v/>
      </c>
      <c r="L181" s="148">
        <f>_xlfn.XLOOKUP(B182,'00_SKU_Master'!$B$2:$B$378,'00_SKU_Master'!D:D)</f>
        <v/>
      </c>
      <c r="M181" s="148">
        <f>IF((C182-E182)&lt;0,0,C182-E182)</f>
        <v/>
      </c>
    </row>
    <row r="182">
      <c r="A182" s="148">
        <f>'00_SKU_Master'!J274</f>
        <v/>
      </c>
      <c r="B182" s="148">
        <f>'00_SKU_Master'!B274</f>
        <v/>
      </c>
      <c r="C182" s="175">
        <f>_xlfn.XLOOKUP(B183,'02_TrayPack_Order'!$A$2:$A$264,'02_TrayPack_Order'!$C$2:$C$264)</f>
        <v/>
      </c>
      <c r="D182" s="176">
        <f>_xlfn.XLOOKUP(B183,'02_TrayPack_Order'!$A$2:$A$264,'02_TrayPack_Order'!$L$2:$L$264,0)</f>
        <v/>
      </c>
      <c r="E182" s="175">
        <f>SUMIF('13_Progress_Track'!$A$2:$A$108,B183,'13_Progress_Track'!$E$2:$E$108)</f>
        <v/>
      </c>
      <c r="F182" s="175">
        <f>IF(E183&gt;(C183+D183),(E183-(C183+D183)),0)</f>
        <v/>
      </c>
      <c r="G182" s="177">
        <f>IF(F183&gt;0,0,C183+D183-E183)</f>
        <v/>
      </c>
      <c r="H182" s="148">
        <f>_xludf.IFNA(_xlfn.XLOOKUP(B183,'00_SKU_Master'!$B$2:$B$378,'00_SKU_Master'!$C$2:$C$378),"")</f>
        <v/>
      </c>
      <c r="I182" s="148" t="n"/>
      <c r="J182" s="14">
        <f>_xludf.IFNA(_xlfn.XLOOKUP(B183,'00_SKU_Master'!B$2:B$378,'00_SKU_Master'!H$2:H$378,0),"")</f>
        <v/>
      </c>
      <c r="K182" s="14">
        <f>_xludf.IFNA(_xlfn.XLOOKUP(B183,'00_SKU_Master'!B$2:B$378,'00_SKU_Master'!K$2:K$378,0),"")</f>
        <v/>
      </c>
      <c r="L182" s="148">
        <f>_xlfn.XLOOKUP(B183,'00_SKU_Master'!$B$2:$B$378,'00_SKU_Master'!D:D)</f>
        <v/>
      </c>
      <c r="M182" s="148">
        <f>IF((C183-E183)&lt;0,0,C183-E183)</f>
        <v/>
      </c>
    </row>
    <row r="183">
      <c r="A183" s="148">
        <f>'00_SKU_Master'!J275</f>
        <v/>
      </c>
      <c r="B183" s="148">
        <f>'00_SKU_Master'!B275</f>
        <v/>
      </c>
      <c r="C183" s="175">
        <f>_xlfn.XLOOKUP(B184,'02_TrayPack_Order'!$A$2:$A$264,'02_TrayPack_Order'!$C$2:$C$264)</f>
        <v/>
      </c>
      <c r="D183" s="176">
        <f>_xlfn.XLOOKUP(B184,'02_TrayPack_Order'!$A$2:$A$264,'02_TrayPack_Order'!$L$2:$L$264,0)</f>
        <v/>
      </c>
      <c r="E183" s="175">
        <f>SUMIF('13_Progress_Track'!$A$2:$A$108,B184,'13_Progress_Track'!$E$2:$E$108)</f>
        <v/>
      </c>
      <c r="F183" s="175">
        <f>IF(E184&gt;(C184+D184),(E184-(C184+D184)),0)</f>
        <v/>
      </c>
      <c r="G183" s="177">
        <f>IF(F184&gt;0,0,C184+D184-E184)</f>
        <v/>
      </c>
      <c r="H183" s="148">
        <f>_xludf.IFNA(_xlfn.XLOOKUP(B184,'00_SKU_Master'!$B$2:$B$378,'00_SKU_Master'!$C$2:$C$378),"")</f>
        <v/>
      </c>
      <c r="I183" s="148" t="n"/>
      <c r="J183" s="14">
        <f>_xludf.IFNA(_xlfn.XLOOKUP(B184,'00_SKU_Master'!B$2:B$378,'00_SKU_Master'!H$2:H$378,0),"")</f>
        <v/>
      </c>
      <c r="K183" s="14">
        <f>_xludf.IFNA(_xlfn.XLOOKUP(B184,'00_SKU_Master'!B$2:B$378,'00_SKU_Master'!K$2:K$378,0),"")</f>
        <v/>
      </c>
      <c r="L183" s="148">
        <f>_xlfn.XLOOKUP(B184,'00_SKU_Master'!$B$2:$B$378,'00_SKU_Master'!D:D)</f>
        <v/>
      </c>
      <c r="M183" s="148">
        <f>IF((C184-E184)&lt;0,0,C184-E184)</f>
        <v/>
      </c>
    </row>
    <row r="184">
      <c r="A184" s="148">
        <f>'00_SKU_Master'!J276</f>
        <v/>
      </c>
      <c r="B184" s="148">
        <f>'00_SKU_Master'!B276</f>
        <v/>
      </c>
      <c r="C184" s="175">
        <f>_xlfn.XLOOKUP(B185,'02_TrayPack_Order'!$A$2:$A$264,'02_TrayPack_Order'!$C$2:$C$264)</f>
        <v/>
      </c>
      <c r="D184" s="176">
        <f>_xlfn.XLOOKUP(B185,'02_TrayPack_Order'!$A$2:$A$264,'02_TrayPack_Order'!$L$2:$L$264,0)</f>
        <v/>
      </c>
      <c r="E184" s="175">
        <f>SUMIF('13_Progress_Track'!$A$2:$A$108,B185,'13_Progress_Track'!$E$2:$E$108)</f>
        <v/>
      </c>
      <c r="F184" s="175">
        <f>IF(E185&gt;(C185+D185),(E185-(C185+D185)),0)</f>
        <v/>
      </c>
      <c r="G184" s="177">
        <f>IF(F185&gt;0,0,C185+D185-E185)</f>
        <v/>
      </c>
      <c r="H184" s="148">
        <f>_xludf.IFNA(_xlfn.XLOOKUP(B185,'00_SKU_Master'!$B$2:$B$378,'00_SKU_Master'!$C$2:$C$378),"")</f>
        <v/>
      </c>
      <c r="I184" s="148" t="n"/>
      <c r="J184" s="14">
        <f>_xludf.IFNA(_xlfn.XLOOKUP(B185,'00_SKU_Master'!B$2:B$378,'00_SKU_Master'!H$2:H$378,0),"")</f>
        <v/>
      </c>
      <c r="K184" s="14">
        <f>_xludf.IFNA(_xlfn.XLOOKUP(B185,'00_SKU_Master'!B$2:B$378,'00_SKU_Master'!K$2:K$378,0),"")</f>
        <v/>
      </c>
      <c r="L184" s="148">
        <f>_xlfn.XLOOKUP(B185,'00_SKU_Master'!$B$2:$B$378,'00_SKU_Master'!D:D)</f>
        <v/>
      </c>
      <c r="M184" s="148">
        <f>IF((C185-E185)&lt;0,0,C185-E185)</f>
        <v/>
      </c>
    </row>
    <row r="185">
      <c r="A185" s="148">
        <f>'00_SKU_Master'!J277</f>
        <v/>
      </c>
      <c r="B185" s="148">
        <f>'00_SKU_Master'!B277</f>
        <v/>
      </c>
      <c r="C185" s="175">
        <f>_xlfn.XLOOKUP(B186,'02_TrayPack_Order'!$A$2:$A$264,'02_TrayPack_Order'!$C$2:$C$264)</f>
        <v/>
      </c>
      <c r="D185" s="176">
        <f>_xlfn.XLOOKUP(B186,'02_TrayPack_Order'!$A$2:$A$264,'02_TrayPack_Order'!$L$2:$L$264,0)</f>
        <v/>
      </c>
      <c r="E185" s="175">
        <f>SUMIF('13_Progress_Track'!$A$2:$A$108,B186,'13_Progress_Track'!$E$2:$E$108)</f>
        <v/>
      </c>
      <c r="F185" s="175">
        <f>IF(E186&gt;(C186+D186),(E186-(C186+D186)),0)</f>
        <v/>
      </c>
      <c r="G185" s="177">
        <f>IF(F186&gt;0,0,C186+D186-E186)</f>
        <v/>
      </c>
      <c r="H185" s="148">
        <f>_xludf.IFNA(_xlfn.XLOOKUP(B186,'00_SKU_Master'!$B$2:$B$378,'00_SKU_Master'!$C$2:$C$378),"")</f>
        <v/>
      </c>
      <c r="I185" s="148" t="n"/>
      <c r="J185" s="14">
        <f>_xludf.IFNA(_xlfn.XLOOKUP(B186,'00_SKU_Master'!B$2:B$378,'00_SKU_Master'!H$2:H$378,0),"")</f>
        <v/>
      </c>
      <c r="K185" s="14">
        <f>_xludf.IFNA(_xlfn.XLOOKUP(B186,'00_SKU_Master'!B$2:B$378,'00_SKU_Master'!K$2:K$378,0),"")</f>
        <v/>
      </c>
      <c r="L185" s="148">
        <f>_xlfn.XLOOKUP(B186,'00_SKU_Master'!$B$2:$B$378,'00_SKU_Master'!D:D)</f>
        <v/>
      </c>
      <c r="M185" s="148">
        <f>IF((C186-E186)&lt;0,0,C186-E186)</f>
        <v/>
      </c>
    </row>
    <row r="186">
      <c r="A186" s="148">
        <f>'00_SKU_Master'!J278</f>
        <v/>
      </c>
      <c r="B186" s="148">
        <f>'00_SKU_Master'!B278</f>
        <v/>
      </c>
      <c r="C186" s="175">
        <f>_xlfn.XLOOKUP(B187,'02_TrayPack_Order'!$A$2:$A$264,'02_TrayPack_Order'!$C$2:$C$264)</f>
        <v/>
      </c>
      <c r="D186" s="176">
        <f>_xlfn.XLOOKUP(B187,'02_TrayPack_Order'!$A$2:$A$264,'02_TrayPack_Order'!$L$2:$L$264,0)</f>
        <v/>
      </c>
      <c r="E186" s="175">
        <f>SUMIF('13_Progress_Track'!$A$2:$A$108,B187,'13_Progress_Track'!$E$2:$E$108)</f>
        <v/>
      </c>
      <c r="F186" s="175">
        <f>IF(E187&gt;(C187+D187),(E187-(C187+D187)),0)</f>
        <v/>
      </c>
      <c r="G186" s="177">
        <f>IF(F187&gt;0,0,C187+D187-E187)</f>
        <v/>
      </c>
      <c r="H186" s="148">
        <f>_xludf.IFNA(_xlfn.XLOOKUP(B187,'00_SKU_Master'!$B$2:$B$378,'00_SKU_Master'!$C$2:$C$378),"")</f>
        <v/>
      </c>
      <c r="I186" s="148" t="n"/>
      <c r="J186" s="14">
        <f>_xludf.IFNA(_xlfn.XLOOKUP(B187,'00_SKU_Master'!B$2:B$378,'00_SKU_Master'!H$2:H$378,0),"")</f>
        <v/>
      </c>
      <c r="K186" s="14">
        <f>_xludf.IFNA(_xlfn.XLOOKUP(B187,'00_SKU_Master'!B$2:B$378,'00_SKU_Master'!K$2:K$378,0),"")</f>
        <v/>
      </c>
      <c r="L186" s="148">
        <f>_xlfn.XLOOKUP(B187,'00_SKU_Master'!$B$2:$B$378,'00_SKU_Master'!D:D)</f>
        <v/>
      </c>
      <c r="M186" s="148">
        <f>IF((C187-E187)&lt;0,0,C187-E187)</f>
        <v/>
      </c>
    </row>
    <row r="187">
      <c r="A187" s="148">
        <f>'00_SKU_Master'!J279</f>
        <v/>
      </c>
      <c r="B187" s="148">
        <f>'00_SKU_Master'!B279</f>
        <v/>
      </c>
      <c r="C187" s="175">
        <f>_xlfn.XLOOKUP(B188,'02_TrayPack_Order'!$A$2:$A$264,'02_TrayPack_Order'!$C$2:$C$264)</f>
        <v/>
      </c>
      <c r="D187" s="176">
        <f>_xlfn.XLOOKUP(B188,'02_TrayPack_Order'!$A$2:$A$264,'02_TrayPack_Order'!$L$2:$L$264,0)</f>
        <v/>
      </c>
      <c r="E187" s="175">
        <f>SUMIF('13_Progress_Track'!$A$2:$A$108,B188,'13_Progress_Track'!$E$2:$E$108)</f>
        <v/>
      </c>
      <c r="F187" s="175">
        <f>IF(E188&gt;(C188+D188),(E188-(C188+D188)),0)</f>
        <v/>
      </c>
      <c r="G187" s="177">
        <f>IF(F188&gt;0,0,C188+D188-E188)</f>
        <v/>
      </c>
      <c r="H187" s="148">
        <f>_xludf.IFNA(_xlfn.XLOOKUP(B188,'00_SKU_Master'!$B$2:$B$378,'00_SKU_Master'!$C$2:$C$378),"")</f>
        <v/>
      </c>
      <c r="I187" s="148" t="n"/>
      <c r="J187" s="14">
        <f>_xludf.IFNA(_xlfn.XLOOKUP(B188,'00_SKU_Master'!B$2:B$378,'00_SKU_Master'!H$2:H$378,0),"")</f>
        <v/>
      </c>
      <c r="K187" s="14">
        <f>_xludf.IFNA(_xlfn.XLOOKUP(B188,'00_SKU_Master'!B$2:B$378,'00_SKU_Master'!K$2:K$378,0),"")</f>
        <v/>
      </c>
      <c r="L187" s="148">
        <f>_xlfn.XLOOKUP(B188,'00_SKU_Master'!$B$2:$B$378,'00_SKU_Master'!D:D)</f>
        <v/>
      </c>
      <c r="M187" s="148">
        <f>IF((C188-E188)&lt;0,0,C188-E188)</f>
        <v/>
      </c>
    </row>
    <row r="188">
      <c r="A188" s="148">
        <f>'00_SKU_Master'!J280</f>
        <v/>
      </c>
      <c r="B188" s="148">
        <f>'00_SKU_Master'!B280</f>
        <v/>
      </c>
      <c r="C188" s="175">
        <f>_xlfn.XLOOKUP(B189,'02_TrayPack_Order'!$A$2:$A$264,'02_TrayPack_Order'!$C$2:$C$264)</f>
        <v/>
      </c>
      <c r="D188" s="176">
        <f>_xlfn.XLOOKUP(B189,'02_TrayPack_Order'!$A$2:$A$264,'02_TrayPack_Order'!$L$2:$L$264,0)</f>
        <v/>
      </c>
      <c r="E188" s="175">
        <f>SUMIF('13_Progress_Track'!$A$2:$A$108,B189,'13_Progress_Track'!$E$2:$E$108)</f>
        <v/>
      </c>
      <c r="F188" s="175">
        <f>IF(E189&gt;(C189+D189),(E189-(C189+D189)),0)</f>
        <v/>
      </c>
      <c r="G188" s="177">
        <f>IF(F189&gt;0,0,C189+D189-E189)</f>
        <v/>
      </c>
      <c r="H188" s="148">
        <f>_xludf.IFNA(_xlfn.XLOOKUP(B189,'00_SKU_Master'!$B$2:$B$378,'00_SKU_Master'!$C$2:$C$378),"")</f>
        <v/>
      </c>
      <c r="I188" s="148" t="n"/>
      <c r="J188" s="14">
        <f>_xludf.IFNA(_xlfn.XLOOKUP(B189,'00_SKU_Master'!B$2:B$378,'00_SKU_Master'!H$2:H$378,0),"")</f>
        <v/>
      </c>
      <c r="K188" s="14">
        <f>_xludf.IFNA(_xlfn.XLOOKUP(B189,'00_SKU_Master'!B$2:B$378,'00_SKU_Master'!K$2:K$378,0),"")</f>
        <v/>
      </c>
      <c r="L188" s="148">
        <f>_xlfn.XLOOKUP(B189,'00_SKU_Master'!$B$2:$B$378,'00_SKU_Master'!D:D)</f>
        <v/>
      </c>
      <c r="M188" s="148">
        <f>IF((C189-E189)&lt;0,0,C189-E189)</f>
        <v/>
      </c>
    </row>
    <row r="189">
      <c r="A189" s="148">
        <f>'00_SKU_Master'!J281</f>
        <v/>
      </c>
      <c r="B189" s="148">
        <f>'00_SKU_Master'!B281</f>
        <v/>
      </c>
      <c r="C189" s="175">
        <f>_xlfn.XLOOKUP(B190,'02_TrayPack_Order'!$A$2:$A$264,'02_TrayPack_Order'!$C$2:$C$264)</f>
        <v/>
      </c>
      <c r="D189" s="176">
        <f>_xlfn.XLOOKUP(B190,'02_TrayPack_Order'!$A$2:$A$264,'02_TrayPack_Order'!$L$2:$L$264,0)</f>
        <v/>
      </c>
      <c r="E189" s="175">
        <f>SUMIF('13_Progress_Track'!$A$2:$A$108,B190,'13_Progress_Track'!$E$2:$E$108)</f>
        <v/>
      </c>
      <c r="F189" s="175">
        <f>IF(E190&gt;(C190+D190),(E190-(C190+D190)),0)</f>
        <v/>
      </c>
      <c r="G189" s="177">
        <f>IF(F190&gt;0,0,C190+D190-E190)</f>
        <v/>
      </c>
      <c r="H189" s="148">
        <f>_xludf.IFNA(_xlfn.XLOOKUP(B190,'00_SKU_Master'!$B$2:$B$378,'00_SKU_Master'!$C$2:$C$378),"")</f>
        <v/>
      </c>
      <c r="I189" s="148" t="n"/>
      <c r="J189" s="14">
        <f>_xludf.IFNA(_xlfn.XLOOKUP(B190,'00_SKU_Master'!B$2:B$378,'00_SKU_Master'!H$2:H$378,0),"")</f>
        <v/>
      </c>
      <c r="K189" s="14">
        <f>_xludf.IFNA(_xlfn.XLOOKUP(B190,'00_SKU_Master'!B$2:B$378,'00_SKU_Master'!K$2:K$378,0),"")</f>
        <v/>
      </c>
      <c r="L189" s="148">
        <f>_xlfn.XLOOKUP(B190,'00_SKU_Master'!$B$2:$B$378,'00_SKU_Master'!D:D)</f>
        <v/>
      </c>
      <c r="M189" s="148">
        <f>IF((C190-E190)&lt;0,0,C190-E190)</f>
        <v/>
      </c>
    </row>
    <row r="190">
      <c r="A190" s="148">
        <f>'00_SKU_Master'!J282</f>
        <v/>
      </c>
      <c r="B190" s="148">
        <f>'00_SKU_Master'!B282</f>
        <v/>
      </c>
      <c r="C190" s="175">
        <f>_xlfn.XLOOKUP(B191,'02_TrayPack_Order'!$A$2:$A$264,'02_TrayPack_Order'!$C$2:$C$264)</f>
        <v/>
      </c>
      <c r="D190" s="176">
        <f>_xlfn.XLOOKUP(B191,'02_TrayPack_Order'!$A$2:$A$264,'02_TrayPack_Order'!$L$2:$L$264,0)</f>
        <v/>
      </c>
      <c r="E190" s="175">
        <f>SUMIF('13_Progress_Track'!$A$2:$A$108,B191,'13_Progress_Track'!$E$2:$E$108)</f>
        <v/>
      </c>
      <c r="F190" s="175">
        <f>IF(E191&gt;(C191+D191),(E191-(C191+D191)),0)</f>
        <v/>
      </c>
      <c r="G190" s="177">
        <f>IF(F191&gt;0,0,C191+D191-E191)</f>
        <v/>
      </c>
      <c r="H190" s="148">
        <f>_xludf.IFNA(_xlfn.XLOOKUP(B191,'00_SKU_Master'!$B$2:$B$378,'00_SKU_Master'!$C$2:$C$378),"")</f>
        <v/>
      </c>
      <c r="I190" s="148" t="n"/>
      <c r="J190" s="14">
        <f>_xludf.IFNA(_xlfn.XLOOKUP(B191,'00_SKU_Master'!B$2:B$378,'00_SKU_Master'!H$2:H$378,0),"")</f>
        <v/>
      </c>
      <c r="K190" s="14">
        <f>_xludf.IFNA(_xlfn.XLOOKUP(B191,'00_SKU_Master'!B$2:B$378,'00_SKU_Master'!K$2:K$378,0),"")</f>
        <v/>
      </c>
      <c r="L190" s="148">
        <f>_xlfn.XLOOKUP(B191,'00_SKU_Master'!$B$2:$B$378,'00_SKU_Master'!D:D)</f>
        <v/>
      </c>
      <c r="M190" s="148">
        <f>IF((C191-E191)&lt;0,0,C191-E191)</f>
        <v/>
      </c>
    </row>
    <row r="191">
      <c r="A191" s="148">
        <f>'00_SKU_Master'!J283</f>
        <v/>
      </c>
      <c r="B191" s="148">
        <f>'00_SKU_Master'!B283</f>
        <v/>
      </c>
      <c r="C191" s="175">
        <f>_xlfn.XLOOKUP(B192,'02_TrayPack_Order'!$A$2:$A$264,'02_TrayPack_Order'!$C$2:$C$264)</f>
        <v/>
      </c>
      <c r="D191" s="176">
        <f>_xlfn.XLOOKUP(B192,'02_TrayPack_Order'!$A$2:$A$264,'02_TrayPack_Order'!$L$2:$L$264,0)</f>
        <v/>
      </c>
      <c r="E191" s="175">
        <f>SUMIF('13_Progress_Track'!$A$2:$A$108,B192,'13_Progress_Track'!$E$2:$E$108)</f>
        <v/>
      </c>
      <c r="F191" s="175">
        <f>IF(E192&gt;(C192+D192),(E192-(C192+D192)),0)</f>
        <v/>
      </c>
      <c r="G191" s="177">
        <f>IF(F192&gt;0,0,C192+D192-E192)</f>
        <v/>
      </c>
      <c r="H191" s="148">
        <f>_xludf.IFNA(_xlfn.XLOOKUP(B192,'00_SKU_Master'!$B$2:$B$378,'00_SKU_Master'!$C$2:$C$378),"")</f>
        <v/>
      </c>
      <c r="I191" s="148" t="n"/>
      <c r="J191" s="14">
        <f>_xludf.IFNA(_xlfn.XLOOKUP(B192,'00_SKU_Master'!B$2:B$378,'00_SKU_Master'!H$2:H$378,0),"")</f>
        <v/>
      </c>
      <c r="K191" s="14">
        <f>_xludf.IFNA(_xlfn.XLOOKUP(B192,'00_SKU_Master'!B$2:B$378,'00_SKU_Master'!K$2:K$378,0),"")</f>
        <v/>
      </c>
      <c r="L191" s="148">
        <f>_xlfn.XLOOKUP(B192,'00_SKU_Master'!$B$2:$B$378,'00_SKU_Master'!D:D)</f>
        <v/>
      </c>
      <c r="M191" s="148">
        <f>IF((C192-E192)&lt;0,0,C192-E192)</f>
        <v/>
      </c>
      <c r="O191" s="178" t="n"/>
    </row>
    <row r="192">
      <c r="A192" s="148">
        <f>'00_SKU_Master'!J284</f>
        <v/>
      </c>
      <c r="B192" s="148">
        <f>'00_SKU_Master'!B284</f>
        <v/>
      </c>
      <c r="C192" s="175">
        <f>_xlfn.XLOOKUP(B193,'02_TrayPack_Order'!$A$2:$A$264,'02_TrayPack_Order'!$C$2:$C$264)</f>
        <v/>
      </c>
      <c r="D192" s="176">
        <f>_xlfn.XLOOKUP(B193,'02_TrayPack_Order'!$A$2:$A$264,'02_TrayPack_Order'!$L$2:$L$264,0)</f>
        <v/>
      </c>
      <c r="E192" s="175">
        <f>SUMIF('13_Progress_Track'!$A$2:$A$108,B193,'13_Progress_Track'!$E$2:$E$108)</f>
        <v/>
      </c>
      <c r="F192" s="175">
        <f>IF(E193&gt;(C193+D193),(E193-(C193+D193)),0)</f>
        <v/>
      </c>
      <c r="G192" s="177">
        <f>IF(F193&gt;0,0,C193+D193-E193)</f>
        <v/>
      </c>
      <c r="H192" s="148">
        <f>_xludf.IFNA(_xlfn.XLOOKUP(B193,'00_SKU_Master'!$B$2:$B$378,'00_SKU_Master'!$C$2:$C$378),"")</f>
        <v/>
      </c>
      <c r="I192" s="148" t="n"/>
      <c r="J192" s="14">
        <f>_xludf.IFNA(_xlfn.XLOOKUP(B193,'00_SKU_Master'!B$2:B$378,'00_SKU_Master'!H$2:H$378,0),"")</f>
        <v/>
      </c>
      <c r="K192" s="14">
        <f>_xludf.IFNA(_xlfn.XLOOKUP(B193,'00_SKU_Master'!B$2:B$378,'00_SKU_Master'!K$2:K$378,0),"")</f>
        <v/>
      </c>
      <c r="L192" s="148">
        <f>_xlfn.XLOOKUP(B193,'00_SKU_Master'!$B$2:$B$378,'00_SKU_Master'!D:D)</f>
        <v/>
      </c>
      <c r="M192" s="148">
        <f>IF((C193-E193)&lt;0,0,C193-E193)</f>
        <v/>
      </c>
    </row>
    <row r="193">
      <c r="A193" s="148">
        <f>'00_SKU_Master'!J285</f>
        <v/>
      </c>
      <c r="B193" s="148">
        <f>'00_SKU_Master'!B285</f>
        <v/>
      </c>
      <c r="C193" s="175">
        <f>_xlfn.XLOOKUP(B194,'02_TrayPack_Order'!$A$2:$A$264,'02_TrayPack_Order'!$C$2:$C$264)</f>
        <v/>
      </c>
      <c r="D193" s="176">
        <f>_xlfn.XLOOKUP(B194,'02_TrayPack_Order'!$A$2:$A$264,'02_TrayPack_Order'!$L$2:$L$264,0)</f>
        <v/>
      </c>
      <c r="E193" s="175">
        <f>SUMIF('13_Progress_Track'!$A$2:$A$108,B194,'13_Progress_Track'!$E$2:$E$108)</f>
        <v/>
      </c>
      <c r="F193" s="175">
        <f>IF(E194&gt;(C194+D194),(E194-(C194+D194)),0)</f>
        <v/>
      </c>
      <c r="G193" s="177">
        <f>IF(F194&gt;0,0,C194+D194-E194)</f>
        <v/>
      </c>
      <c r="H193" s="148">
        <f>_xludf.IFNA(_xlfn.XLOOKUP(B194,'00_SKU_Master'!$B$2:$B$378,'00_SKU_Master'!$C$2:$C$378),"")</f>
        <v/>
      </c>
      <c r="I193" s="148" t="n"/>
      <c r="J193" s="14">
        <f>_xludf.IFNA(_xlfn.XLOOKUP(B194,'00_SKU_Master'!B$2:B$378,'00_SKU_Master'!H$2:H$378,0),"")</f>
        <v/>
      </c>
      <c r="K193" s="14">
        <f>_xludf.IFNA(_xlfn.XLOOKUP(B194,'00_SKU_Master'!B$2:B$378,'00_SKU_Master'!K$2:K$378,0),"")</f>
        <v/>
      </c>
      <c r="L193" s="148">
        <f>_xlfn.XLOOKUP(B194,'00_SKU_Master'!$B$2:$B$378,'00_SKU_Master'!D:D)</f>
        <v/>
      </c>
      <c r="M193" s="148">
        <f>IF((C194-E194)&lt;0,0,C194-E194)</f>
        <v/>
      </c>
    </row>
    <row r="194">
      <c r="A194" s="148">
        <f>'00_SKU_Master'!J286</f>
        <v/>
      </c>
      <c r="B194" s="148">
        <f>'00_SKU_Master'!B286</f>
        <v/>
      </c>
      <c r="C194" s="175">
        <f>_xlfn.XLOOKUP(B195,'02_TrayPack_Order'!$A$2:$A$264,'02_TrayPack_Order'!$C$2:$C$264)</f>
        <v/>
      </c>
      <c r="D194" s="176">
        <f>_xlfn.XLOOKUP(B195,'02_TrayPack_Order'!$A$2:$A$264,'02_TrayPack_Order'!$L$2:$L$264,0)</f>
        <v/>
      </c>
      <c r="E194" s="175">
        <f>SUMIF('13_Progress_Track'!$A$2:$A$108,B195,'13_Progress_Track'!$E$2:$E$108)</f>
        <v/>
      </c>
      <c r="F194" s="175">
        <f>IF(E195&gt;(C195+D195),(E195-(C195+D195)),0)</f>
        <v/>
      </c>
      <c r="G194" s="177">
        <f>IF(F195&gt;0,0,C195+D195-E195)</f>
        <v/>
      </c>
      <c r="H194" s="148">
        <f>_xludf.IFNA(_xlfn.XLOOKUP(B195,'00_SKU_Master'!$B$2:$B$378,'00_SKU_Master'!$C$2:$C$378),"")</f>
        <v/>
      </c>
      <c r="I194" s="148" t="n"/>
      <c r="J194" s="14">
        <f>_xludf.IFNA(_xlfn.XLOOKUP(B195,'00_SKU_Master'!B$2:B$378,'00_SKU_Master'!H$2:H$378,0),"")</f>
        <v/>
      </c>
      <c r="K194" s="14">
        <f>_xludf.IFNA(_xlfn.XLOOKUP(B195,'00_SKU_Master'!B$2:B$378,'00_SKU_Master'!K$2:K$378,0),"")</f>
        <v/>
      </c>
      <c r="L194" s="148">
        <f>_xlfn.XLOOKUP(B195,'00_SKU_Master'!$B$2:$B$378,'00_SKU_Master'!D:D)</f>
        <v/>
      </c>
      <c r="M194" s="148">
        <f>IF((C195-E195)&lt;0,0,C195-E195)</f>
        <v/>
      </c>
    </row>
    <row r="195">
      <c r="A195" s="148">
        <f>'00_SKU_Master'!J287</f>
        <v/>
      </c>
      <c r="B195" s="148">
        <f>'00_SKU_Master'!B287</f>
        <v/>
      </c>
      <c r="C195" s="175">
        <f>_xlfn.XLOOKUP(B196,'02_TrayPack_Order'!$A$2:$A$264,'02_TrayPack_Order'!$C$2:$C$264)</f>
        <v/>
      </c>
      <c r="D195" s="176">
        <f>_xlfn.XLOOKUP(B196,'02_TrayPack_Order'!$A$2:$A$264,'02_TrayPack_Order'!$L$2:$L$264,0)</f>
        <v/>
      </c>
      <c r="E195" s="175">
        <f>SUMIF('13_Progress_Track'!$A$2:$A$108,B196,'13_Progress_Track'!$E$2:$E$108)</f>
        <v/>
      </c>
      <c r="F195" s="175">
        <f>IF(E196&gt;(C196+D196),(E196-(C196+D196)),0)</f>
        <v/>
      </c>
      <c r="G195" s="177">
        <f>IF(F196&gt;0,0,C196+D196-E196)</f>
        <v/>
      </c>
      <c r="H195" s="148">
        <f>_xludf.IFNA(_xlfn.XLOOKUP(B196,'00_SKU_Master'!$B$2:$B$378,'00_SKU_Master'!$C$2:$C$378),"")</f>
        <v/>
      </c>
      <c r="I195" s="148" t="n"/>
      <c r="J195" s="14">
        <f>_xludf.IFNA(_xlfn.XLOOKUP(B196,'00_SKU_Master'!B$2:B$378,'00_SKU_Master'!H$2:H$378,0),"")</f>
        <v/>
      </c>
      <c r="K195" s="14">
        <f>_xludf.IFNA(_xlfn.XLOOKUP(B196,'00_SKU_Master'!B$2:B$378,'00_SKU_Master'!K$2:K$378,0),"")</f>
        <v/>
      </c>
      <c r="L195" s="148">
        <f>_xlfn.XLOOKUP(B196,'00_SKU_Master'!$B$2:$B$378,'00_SKU_Master'!D:D)</f>
        <v/>
      </c>
      <c r="M195" s="148">
        <f>IF((C196-E196)&lt;0,0,C196-E196)</f>
        <v/>
      </c>
    </row>
    <row r="196">
      <c r="A196" s="148">
        <f>'00_SKU_Master'!J288</f>
        <v/>
      </c>
      <c r="B196" s="148">
        <f>'00_SKU_Master'!B288</f>
        <v/>
      </c>
      <c r="C196" s="175">
        <f>_xlfn.XLOOKUP(B197,'02_TrayPack_Order'!$A$2:$A$264,'02_TrayPack_Order'!$C$2:$C$264)</f>
        <v/>
      </c>
      <c r="D196" s="176">
        <f>_xlfn.XLOOKUP(B197,'02_TrayPack_Order'!$A$2:$A$264,'02_TrayPack_Order'!$L$2:$L$264,0)</f>
        <v/>
      </c>
      <c r="E196" s="175">
        <f>SUMIF('13_Progress_Track'!$A$2:$A$108,B197,'13_Progress_Track'!$E$2:$E$108)</f>
        <v/>
      </c>
      <c r="F196" s="175">
        <f>IF(E197&gt;(C197+D197),(E197-(C197+D197)),0)</f>
        <v/>
      </c>
      <c r="G196" s="177">
        <f>IF(F197&gt;0,0,C197+D197-E197)</f>
        <v/>
      </c>
      <c r="H196" s="148">
        <f>_xludf.IFNA(_xlfn.XLOOKUP(B197,'00_SKU_Master'!$B$2:$B$378,'00_SKU_Master'!$C$2:$C$378),"")</f>
        <v/>
      </c>
      <c r="I196" s="148" t="n"/>
      <c r="J196" s="14">
        <f>_xludf.IFNA(_xlfn.XLOOKUP(B197,'00_SKU_Master'!B$2:B$378,'00_SKU_Master'!H$2:H$378,0),"")</f>
        <v/>
      </c>
      <c r="K196" s="14">
        <f>_xludf.IFNA(_xlfn.XLOOKUP(B197,'00_SKU_Master'!B$2:B$378,'00_SKU_Master'!K$2:K$378,0),"")</f>
        <v/>
      </c>
      <c r="L196" s="148">
        <f>_xlfn.XLOOKUP(B197,'00_SKU_Master'!$B$2:$B$378,'00_SKU_Master'!D:D)</f>
        <v/>
      </c>
      <c r="M196" s="148">
        <f>IF((C197-E197)&lt;0,0,C197-E197)</f>
        <v/>
      </c>
    </row>
    <row r="197">
      <c r="A197" s="148">
        <f>'00_SKU_Master'!J289</f>
        <v/>
      </c>
      <c r="B197" s="148">
        <f>'00_SKU_Master'!B289</f>
        <v/>
      </c>
      <c r="C197" s="175">
        <f>_xlfn.XLOOKUP(B198,'02_TrayPack_Order'!$A$2:$A$264,'02_TrayPack_Order'!$C$2:$C$264)</f>
        <v/>
      </c>
      <c r="D197" s="176">
        <f>_xlfn.XLOOKUP(B198,'02_TrayPack_Order'!$A$2:$A$264,'02_TrayPack_Order'!$L$2:$L$264,0)</f>
        <v/>
      </c>
      <c r="E197" s="175">
        <f>SUMIF('13_Progress_Track'!$A$2:$A$108,B198,'13_Progress_Track'!$E$2:$E$108)</f>
        <v/>
      </c>
      <c r="F197" s="175">
        <f>IF(E198&gt;(C198+D198),(E198-(C198+D198)),0)</f>
        <v/>
      </c>
      <c r="G197" s="177">
        <f>IF(F198&gt;0,0,C198+D198-E198)</f>
        <v/>
      </c>
      <c r="H197" s="148">
        <f>_xludf.IFNA(_xlfn.XLOOKUP(B198,'00_SKU_Master'!$B$2:$B$378,'00_SKU_Master'!$C$2:$C$378),"")</f>
        <v/>
      </c>
      <c r="I197" s="148" t="n"/>
      <c r="J197" s="14">
        <f>_xludf.IFNA(_xlfn.XLOOKUP(B198,'00_SKU_Master'!B$2:B$378,'00_SKU_Master'!H$2:H$378,0),"")</f>
        <v/>
      </c>
      <c r="K197" s="14">
        <f>_xludf.IFNA(_xlfn.XLOOKUP(B198,'00_SKU_Master'!B$2:B$378,'00_SKU_Master'!K$2:K$378,0),"")</f>
        <v/>
      </c>
      <c r="L197" s="148">
        <f>_xlfn.XLOOKUP(B198,'00_SKU_Master'!$B$2:$B$378,'00_SKU_Master'!D:D)</f>
        <v/>
      </c>
      <c r="M197" s="148">
        <f>IF((C198-E198)&lt;0,0,C198-E198)</f>
        <v/>
      </c>
    </row>
    <row r="198">
      <c r="A198" s="148">
        <f>'00_SKU_Master'!J290</f>
        <v/>
      </c>
      <c r="B198" s="148">
        <f>'00_SKU_Master'!B290</f>
        <v/>
      </c>
      <c r="C198" s="175">
        <f>_xlfn.XLOOKUP(B199,'02_TrayPack_Order'!$A$2:$A$264,'02_TrayPack_Order'!$C$2:$C$264)</f>
        <v/>
      </c>
      <c r="D198" s="176">
        <f>_xlfn.XLOOKUP(B199,'02_TrayPack_Order'!$A$2:$A$264,'02_TrayPack_Order'!$L$2:$L$264,0)</f>
        <v/>
      </c>
      <c r="E198" s="175">
        <f>SUMIF('13_Progress_Track'!$A$2:$A$108,B199,'13_Progress_Track'!$E$2:$E$108)</f>
        <v/>
      </c>
      <c r="F198" s="175">
        <f>IF(E199&gt;(C199+D199),(E199-(C199+D199)),0)</f>
        <v/>
      </c>
      <c r="G198" s="177">
        <f>IF(F199&gt;0,0,C199+D199-E199)</f>
        <v/>
      </c>
      <c r="H198" s="148">
        <f>_xludf.IFNA(_xlfn.XLOOKUP(B199,'00_SKU_Master'!$B$2:$B$378,'00_SKU_Master'!$C$2:$C$378),"")</f>
        <v/>
      </c>
      <c r="I198" s="148" t="n"/>
      <c r="J198" s="14">
        <f>_xludf.IFNA(_xlfn.XLOOKUP(B199,'00_SKU_Master'!B$2:B$378,'00_SKU_Master'!H$2:H$378,0),"")</f>
        <v/>
      </c>
      <c r="K198" s="14">
        <f>_xludf.IFNA(_xlfn.XLOOKUP(B199,'00_SKU_Master'!B$2:B$378,'00_SKU_Master'!K$2:K$378,0),"")</f>
        <v/>
      </c>
      <c r="L198" s="148">
        <f>_xlfn.XLOOKUP(B199,'00_SKU_Master'!$B$2:$B$378,'00_SKU_Master'!D:D)</f>
        <v/>
      </c>
      <c r="M198" s="148">
        <f>IF((C199-E199)&lt;0,0,C199-E199)</f>
        <v/>
      </c>
    </row>
    <row r="199">
      <c r="A199" s="148">
        <f>'00_SKU_Master'!J291</f>
        <v/>
      </c>
      <c r="B199" s="148">
        <f>'00_SKU_Master'!B291</f>
        <v/>
      </c>
      <c r="C199" s="175">
        <f>_xlfn.XLOOKUP(B200,'02_TrayPack_Order'!$A$2:$A$264,'02_TrayPack_Order'!$C$2:$C$264)</f>
        <v/>
      </c>
      <c r="D199" s="176">
        <f>_xlfn.XLOOKUP(B200,'02_TrayPack_Order'!$A$2:$A$264,'02_TrayPack_Order'!$L$2:$L$264,0)</f>
        <v/>
      </c>
      <c r="E199" s="175">
        <f>SUMIF('13_Progress_Track'!$A$2:$A$108,B200,'13_Progress_Track'!$E$2:$E$108)</f>
        <v/>
      </c>
      <c r="F199" s="175">
        <f>IF(E200&gt;(C200+D200),(E200-(C200+D200)),0)</f>
        <v/>
      </c>
      <c r="G199" s="177">
        <f>IF(F200&gt;0,0,C200+D200-E200)</f>
        <v/>
      </c>
      <c r="H199" s="148">
        <f>_xludf.IFNA(_xlfn.XLOOKUP(B200,'00_SKU_Master'!$B$2:$B$378,'00_SKU_Master'!$C$2:$C$378),"")</f>
        <v/>
      </c>
      <c r="I199" s="148" t="n"/>
      <c r="J199" s="14">
        <f>_xludf.IFNA(_xlfn.XLOOKUP(B200,'00_SKU_Master'!B$2:B$378,'00_SKU_Master'!H$2:H$378,0),"")</f>
        <v/>
      </c>
      <c r="K199" s="14">
        <f>_xludf.IFNA(_xlfn.XLOOKUP(B200,'00_SKU_Master'!B$2:B$378,'00_SKU_Master'!K$2:K$378,0),"")</f>
        <v/>
      </c>
      <c r="L199" s="148">
        <f>_xlfn.XLOOKUP(B200,'00_SKU_Master'!$B$2:$B$378,'00_SKU_Master'!D:D)</f>
        <v/>
      </c>
      <c r="M199" s="148">
        <f>IF((C200-E200)&lt;0,0,C200-E200)</f>
        <v/>
      </c>
    </row>
    <row r="200">
      <c r="A200" s="148">
        <f>'00_SKU_Master'!J292</f>
        <v/>
      </c>
      <c r="B200" s="148">
        <f>'00_SKU_Master'!B292</f>
        <v/>
      </c>
      <c r="C200" s="175">
        <f>_xlfn.XLOOKUP(B201,'02_TrayPack_Order'!$A$2:$A$264,'02_TrayPack_Order'!$C$2:$C$264)</f>
        <v/>
      </c>
      <c r="D200" s="176">
        <f>_xlfn.XLOOKUP(B201,'02_TrayPack_Order'!$A$2:$A$264,'02_TrayPack_Order'!$L$2:$L$264,0)</f>
        <v/>
      </c>
      <c r="E200" s="175">
        <f>SUMIF('13_Progress_Track'!$A$2:$A$108,B201,'13_Progress_Track'!$E$2:$E$108)</f>
        <v/>
      </c>
      <c r="F200" s="175">
        <f>IF(E201&gt;(C201+D201),(E201-(C201+D201)),0)</f>
        <v/>
      </c>
      <c r="G200" s="177">
        <f>IF(F201&gt;0,0,C201+D201-E201)</f>
        <v/>
      </c>
      <c r="H200" s="148">
        <f>_xludf.IFNA(_xlfn.XLOOKUP(B201,'00_SKU_Master'!$B$2:$B$378,'00_SKU_Master'!$C$2:$C$378),"")</f>
        <v/>
      </c>
      <c r="I200" s="148" t="n"/>
      <c r="J200" s="14">
        <f>_xludf.IFNA(_xlfn.XLOOKUP(B201,'00_SKU_Master'!B$2:B$378,'00_SKU_Master'!H$2:H$378,0),"")</f>
        <v/>
      </c>
      <c r="K200" s="14">
        <f>_xludf.IFNA(_xlfn.XLOOKUP(B201,'00_SKU_Master'!B$2:B$378,'00_SKU_Master'!K$2:K$378,0),"")</f>
        <v/>
      </c>
      <c r="L200" s="148">
        <f>_xlfn.XLOOKUP(B201,'00_SKU_Master'!$B$2:$B$378,'00_SKU_Master'!D:D)</f>
        <v/>
      </c>
      <c r="M200" s="148">
        <f>IF((C201-E201)&lt;0,0,C201-E201)</f>
        <v/>
      </c>
    </row>
    <row r="201">
      <c r="A201" s="148">
        <f>'00_SKU_Master'!J293</f>
        <v/>
      </c>
      <c r="B201" s="148">
        <f>'00_SKU_Master'!B293</f>
        <v/>
      </c>
      <c r="C201" s="175">
        <f>_xlfn.XLOOKUP(B202,'02_TrayPack_Order'!$A$2:$A$264,'02_TrayPack_Order'!$C$2:$C$264)</f>
        <v/>
      </c>
      <c r="D201" s="176">
        <f>_xlfn.XLOOKUP(B202,'02_TrayPack_Order'!$A$2:$A$264,'02_TrayPack_Order'!$L$2:$L$264,0)</f>
        <v/>
      </c>
      <c r="E201" s="175">
        <f>SUMIF('13_Progress_Track'!$A$2:$A$108,B202,'13_Progress_Track'!$E$2:$E$108)</f>
        <v/>
      </c>
      <c r="F201" s="175">
        <f>IF(E202&gt;(C202+D202),(E202-(C202+D202)),0)</f>
        <v/>
      </c>
      <c r="G201" s="177">
        <f>IF(F202&gt;0,0,C202+D202-E202)</f>
        <v/>
      </c>
      <c r="H201" s="148">
        <f>_xludf.IFNA(_xlfn.XLOOKUP(B202,'00_SKU_Master'!$B$2:$B$378,'00_SKU_Master'!$C$2:$C$378),"")</f>
        <v/>
      </c>
      <c r="I201" s="148" t="n"/>
      <c r="J201" s="14">
        <f>_xludf.IFNA(_xlfn.XLOOKUP(B202,'00_SKU_Master'!B$2:B$378,'00_SKU_Master'!H$2:H$378,0),"")</f>
        <v/>
      </c>
      <c r="K201" s="14">
        <f>_xludf.IFNA(_xlfn.XLOOKUP(B202,'00_SKU_Master'!B$2:B$378,'00_SKU_Master'!K$2:K$378,0),"")</f>
        <v/>
      </c>
      <c r="L201" s="148">
        <f>_xlfn.XLOOKUP(B202,'00_SKU_Master'!$B$2:$B$378,'00_SKU_Master'!D:D)</f>
        <v/>
      </c>
      <c r="M201" s="148">
        <f>IF((C202-E202)&lt;0,0,C202-E202)</f>
        <v/>
      </c>
    </row>
    <row r="202">
      <c r="A202" s="148">
        <f>'00_SKU_Master'!J294</f>
        <v/>
      </c>
      <c r="B202" s="148">
        <f>'00_SKU_Master'!B294</f>
        <v/>
      </c>
      <c r="C202" s="175">
        <f>_xlfn.XLOOKUP(B203,'02_TrayPack_Order'!$A$2:$A$264,'02_TrayPack_Order'!$C$2:$C$264)</f>
        <v/>
      </c>
      <c r="D202" s="176">
        <f>_xlfn.XLOOKUP(B203,'02_TrayPack_Order'!$A$2:$A$264,'02_TrayPack_Order'!$L$2:$L$264,0)</f>
        <v/>
      </c>
      <c r="E202" s="175">
        <f>SUMIF('13_Progress_Track'!$A$2:$A$108,B203,'13_Progress_Track'!$E$2:$E$108)</f>
        <v/>
      </c>
      <c r="F202" s="175">
        <f>IF(E203&gt;(C203+D203),(E203-(C203+D203)),0)</f>
        <v/>
      </c>
      <c r="G202" s="177">
        <f>IF(F203&gt;0,0,C203+D203-E203)</f>
        <v/>
      </c>
      <c r="H202" s="148">
        <f>_xludf.IFNA(_xlfn.XLOOKUP(B203,'00_SKU_Master'!$B$2:$B$378,'00_SKU_Master'!$C$2:$C$378),"")</f>
        <v/>
      </c>
      <c r="I202" s="148" t="n"/>
      <c r="J202" s="14">
        <f>_xludf.IFNA(_xlfn.XLOOKUP(B203,'00_SKU_Master'!B$2:B$378,'00_SKU_Master'!H$2:H$378,0),"")</f>
        <v/>
      </c>
      <c r="K202" s="14">
        <f>_xludf.IFNA(_xlfn.XLOOKUP(B203,'00_SKU_Master'!B$2:B$378,'00_SKU_Master'!K$2:K$378,0),"")</f>
        <v/>
      </c>
      <c r="L202" s="148">
        <f>_xlfn.XLOOKUP(B203,'00_SKU_Master'!$B$2:$B$378,'00_SKU_Master'!D:D)</f>
        <v/>
      </c>
      <c r="M202" s="148">
        <f>IF((C203-E203)&lt;0,0,C203-E203)</f>
        <v/>
      </c>
    </row>
    <row r="203">
      <c r="A203" s="148">
        <f>'00_SKU_Master'!J295</f>
        <v/>
      </c>
      <c r="B203" s="148">
        <f>'00_SKU_Master'!B295</f>
        <v/>
      </c>
      <c r="C203" s="175">
        <f>_xlfn.XLOOKUP(B204,'02_TrayPack_Order'!$A$2:$A$264,'02_TrayPack_Order'!$C$2:$C$264)</f>
        <v/>
      </c>
      <c r="D203" s="176">
        <f>_xlfn.XLOOKUP(B204,'02_TrayPack_Order'!$A$2:$A$264,'02_TrayPack_Order'!$L$2:$L$264,0)</f>
        <v/>
      </c>
      <c r="E203" s="175">
        <f>SUMIF('13_Progress_Track'!$A$2:$A$108,B204,'13_Progress_Track'!$E$2:$E$108)</f>
        <v/>
      </c>
      <c r="F203" s="175">
        <f>IF(E204&gt;(C204+D204),(E204-(C204+D204)),0)</f>
        <v/>
      </c>
      <c r="G203" s="177">
        <f>IF(F204&gt;0,0,C204+D204-E204)</f>
        <v/>
      </c>
      <c r="H203" s="148">
        <f>_xludf.IFNA(_xlfn.XLOOKUP(B204,'00_SKU_Master'!$B$2:$B$378,'00_SKU_Master'!$C$2:$C$378),"")</f>
        <v/>
      </c>
      <c r="I203" s="148" t="n"/>
      <c r="J203" s="14">
        <f>_xludf.IFNA(_xlfn.XLOOKUP(B204,'00_SKU_Master'!B$2:B$378,'00_SKU_Master'!H$2:H$378,0),"")</f>
        <v/>
      </c>
      <c r="K203" s="14">
        <f>_xludf.IFNA(_xlfn.XLOOKUP(B204,'00_SKU_Master'!B$2:B$378,'00_SKU_Master'!K$2:K$378,0),"")</f>
        <v/>
      </c>
      <c r="L203" s="148">
        <f>_xlfn.XLOOKUP(B204,'00_SKU_Master'!$B$2:$B$378,'00_SKU_Master'!D:D)</f>
        <v/>
      </c>
      <c r="M203" s="148">
        <f>IF((C204-E204)&lt;0,0,C204-E204)</f>
        <v/>
      </c>
    </row>
    <row r="204">
      <c r="A204" s="148">
        <f>'00_SKU_Master'!J296</f>
        <v/>
      </c>
      <c r="B204" s="148">
        <f>'00_SKU_Master'!B296</f>
        <v/>
      </c>
      <c r="C204" s="175">
        <f>_xlfn.XLOOKUP(B205,'02_TrayPack_Order'!$A$2:$A$264,'02_TrayPack_Order'!$C$2:$C$264)</f>
        <v/>
      </c>
      <c r="D204" s="176">
        <f>_xlfn.XLOOKUP(B205,'02_TrayPack_Order'!$A$2:$A$264,'02_TrayPack_Order'!$L$2:$L$264,0)</f>
        <v/>
      </c>
      <c r="E204" s="175">
        <f>SUMIF('13_Progress_Track'!$A$2:$A$108,B205,'13_Progress_Track'!$E$2:$E$108)</f>
        <v/>
      </c>
      <c r="F204" s="175">
        <f>IF(E205&gt;(C205+D205),(E205-(C205+D205)),0)</f>
        <v/>
      </c>
      <c r="G204" s="177">
        <f>IF(F205&gt;0,0,C205+D205-E205)</f>
        <v/>
      </c>
      <c r="H204" s="148">
        <f>_xludf.IFNA(_xlfn.XLOOKUP(B205,'00_SKU_Master'!$B$2:$B$378,'00_SKU_Master'!$C$2:$C$378),"")</f>
        <v/>
      </c>
      <c r="I204" s="148" t="n"/>
      <c r="J204" s="14">
        <f>_xludf.IFNA(_xlfn.XLOOKUP(B205,'00_SKU_Master'!B$2:B$378,'00_SKU_Master'!H$2:H$378,0),"")</f>
        <v/>
      </c>
      <c r="K204" s="14">
        <f>_xludf.IFNA(_xlfn.XLOOKUP(B205,'00_SKU_Master'!B$2:B$378,'00_SKU_Master'!K$2:K$378,0),"")</f>
        <v/>
      </c>
      <c r="L204" s="148">
        <f>_xlfn.XLOOKUP(B205,'00_SKU_Master'!$B$2:$B$378,'00_SKU_Master'!D:D)</f>
        <v/>
      </c>
      <c r="M204" s="148">
        <f>IF((C205-E205)&lt;0,0,C205-E205)</f>
        <v/>
      </c>
    </row>
    <row r="205">
      <c r="A205" s="148">
        <f>'00_SKU_Master'!J297</f>
        <v/>
      </c>
      <c r="B205" s="148">
        <f>'00_SKU_Master'!B297</f>
        <v/>
      </c>
      <c r="C205" s="175">
        <f>_xlfn.XLOOKUP(B206,'02_TrayPack_Order'!$A$2:$A$264,'02_TrayPack_Order'!$C$2:$C$264)</f>
        <v/>
      </c>
      <c r="D205" s="176">
        <f>_xlfn.XLOOKUP(B206,'02_TrayPack_Order'!$A$2:$A$264,'02_TrayPack_Order'!$L$2:$L$264,0)</f>
        <v/>
      </c>
      <c r="E205" s="175">
        <f>SUMIF('13_Progress_Track'!$A$2:$A$108,B206,'13_Progress_Track'!$E$2:$E$108)</f>
        <v/>
      </c>
      <c r="F205" s="175">
        <f>IF(E206&gt;(C206+D206),(E206-(C206+D206)),0)</f>
        <v/>
      </c>
      <c r="G205" s="177">
        <f>IF(F206&gt;0,0,C206+D206-E206)</f>
        <v/>
      </c>
      <c r="H205" s="148">
        <f>_xludf.IFNA(_xlfn.XLOOKUP(B206,'00_SKU_Master'!$B$2:$B$378,'00_SKU_Master'!$C$2:$C$378),"")</f>
        <v/>
      </c>
      <c r="I205" s="148" t="n"/>
      <c r="J205" s="14">
        <f>_xludf.IFNA(_xlfn.XLOOKUP(B206,'00_SKU_Master'!B$2:B$378,'00_SKU_Master'!H$2:H$378,0),"")</f>
        <v/>
      </c>
      <c r="K205" s="14">
        <f>_xludf.IFNA(_xlfn.XLOOKUP(B206,'00_SKU_Master'!B$2:B$378,'00_SKU_Master'!K$2:K$378,0),"")</f>
        <v/>
      </c>
      <c r="L205" s="148">
        <f>_xlfn.XLOOKUP(B206,'00_SKU_Master'!$B$2:$B$378,'00_SKU_Master'!D:D)</f>
        <v/>
      </c>
      <c r="M205" s="148">
        <f>IF((C206-E206)&lt;0,0,C206-E206)</f>
        <v/>
      </c>
    </row>
    <row r="206">
      <c r="A206" s="148">
        <f>'00_SKU_Master'!J298</f>
        <v/>
      </c>
      <c r="B206" s="148">
        <f>'00_SKU_Master'!B298</f>
        <v/>
      </c>
      <c r="C206" s="175">
        <f>_xlfn.XLOOKUP(B207,'02_TrayPack_Order'!$A$2:$A$264,'02_TrayPack_Order'!$C$2:$C$264)</f>
        <v/>
      </c>
      <c r="D206" s="176">
        <f>_xlfn.XLOOKUP(B207,'02_TrayPack_Order'!$A$2:$A$264,'02_TrayPack_Order'!$L$2:$L$264,0)</f>
        <v/>
      </c>
      <c r="E206" s="175">
        <f>SUMIF('13_Progress_Track'!$A$2:$A$108,B207,'13_Progress_Track'!$E$2:$E$108)</f>
        <v/>
      </c>
      <c r="F206" s="175">
        <f>IF(E207&gt;(C207+D207),(E207-(C207+D207)),0)</f>
        <v/>
      </c>
      <c r="G206" s="177">
        <f>IF(F207&gt;0,0,C207+D207-E207)</f>
        <v/>
      </c>
      <c r="H206" s="148">
        <f>_xludf.IFNA(_xlfn.XLOOKUP(B207,'00_SKU_Master'!$B$2:$B$378,'00_SKU_Master'!$C$2:$C$378),"")</f>
        <v/>
      </c>
      <c r="I206" s="148" t="n"/>
      <c r="J206" s="14">
        <f>_xludf.IFNA(_xlfn.XLOOKUP(B207,'00_SKU_Master'!B$2:B$378,'00_SKU_Master'!H$2:H$378,0),"")</f>
        <v/>
      </c>
      <c r="K206" s="14">
        <f>_xludf.IFNA(_xlfn.XLOOKUP(B207,'00_SKU_Master'!B$2:B$378,'00_SKU_Master'!K$2:K$378,0),"")</f>
        <v/>
      </c>
      <c r="L206" s="148">
        <f>_xlfn.XLOOKUP(B207,'00_SKU_Master'!$B$2:$B$378,'00_SKU_Master'!D:D)</f>
        <v/>
      </c>
      <c r="M206" s="148">
        <f>IF((C207-E207)&lt;0,0,C207-E207)</f>
        <v/>
      </c>
    </row>
    <row r="207">
      <c r="A207" s="148">
        <f>'00_SKU_Master'!J299</f>
        <v/>
      </c>
      <c r="B207" s="148">
        <f>'00_SKU_Master'!B299</f>
        <v/>
      </c>
      <c r="C207" s="175">
        <f>_xlfn.XLOOKUP(B208,'02_TrayPack_Order'!$A$2:$A$264,'02_TrayPack_Order'!$C$2:$C$264)</f>
        <v/>
      </c>
      <c r="D207" s="176">
        <f>_xlfn.XLOOKUP(B208,'02_TrayPack_Order'!$A$2:$A$264,'02_TrayPack_Order'!$L$2:$L$264,0)</f>
        <v/>
      </c>
      <c r="E207" s="175">
        <f>SUMIF('13_Progress_Track'!$A$2:$A$108,B208,'13_Progress_Track'!$E$2:$E$108)</f>
        <v/>
      </c>
      <c r="F207" s="175">
        <f>IF(E208&gt;(C208+D208),(E208-(C208+D208)),0)</f>
        <v/>
      </c>
      <c r="G207" s="177">
        <f>IF(F208&gt;0,0,C208+D208-E208)</f>
        <v/>
      </c>
      <c r="H207" s="148">
        <f>_xludf.IFNA(_xlfn.XLOOKUP(B208,'00_SKU_Master'!$B$2:$B$378,'00_SKU_Master'!$C$2:$C$378),"")</f>
        <v/>
      </c>
      <c r="I207" s="148" t="n"/>
      <c r="J207" s="14">
        <f>_xludf.IFNA(_xlfn.XLOOKUP(B208,'00_SKU_Master'!B$2:B$378,'00_SKU_Master'!H$2:H$378,0),"")</f>
        <v/>
      </c>
      <c r="K207" s="14">
        <f>_xludf.IFNA(_xlfn.XLOOKUP(B208,'00_SKU_Master'!B$2:B$378,'00_SKU_Master'!K$2:K$378,0),"")</f>
        <v/>
      </c>
      <c r="L207" s="148">
        <f>_xlfn.XLOOKUP(B208,'00_SKU_Master'!$B$2:$B$378,'00_SKU_Master'!D:D)</f>
        <v/>
      </c>
      <c r="M207" s="148">
        <f>IF((C208-E208)&lt;0,0,C208-E208)</f>
        <v/>
      </c>
    </row>
    <row r="208">
      <c r="A208" s="148">
        <f>'00_SKU_Master'!J300</f>
        <v/>
      </c>
      <c r="B208" s="148">
        <f>'00_SKU_Master'!B300</f>
        <v/>
      </c>
      <c r="C208" s="175">
        <f>_xlfn.XLOOKUP(B209,'02_TrayPack_Order'!$A$2:$A$264,'02_TrayPack_Order'!$C$2:$C$264)</f>
        <v/>
      </c>
      <c r="D208" s="176">
        <f>_xlfn.XLOOKUP(B209,'02_TrayPack_Order'!$A$2:$A$264,'02_TrayPack_Order'!$L$2:$L$264,0)</f>
        <v/>
      </c>
      <c r="E208" s="175">
        <f>SUMIF('13_Progress_Track'!$A$2:$A$108,B209,'13_Progress_Track'!$E$2:$E$108)</f>
        <v/>
      </c>
      <c r="F208" s="175">
        <f>IF(E209&gt;(C209+D209),(E209-(C209+D209)),0)</f>
        <v/>
      </c>
      <c r="G208" s="177">
        <f>IF(F209&gt;0,0,C209+D209-E209)</f>
        <v/>
      </c>
      <c r="H208" s="148">
        <f>_xludf.IFNA(_xlfn.XLOOKUP(B209,'00_SKU_Master'!$B$2:$B$378,'00_SKU_Master'!$C$2:$C$378),"")</f>
        <v/>
      </c>
      <c r="I208" s="148" t="n"/>
      <c r="J208" s="14">
        <f>_xludf.IFNA(_xlfn.XLOOKUP(B209,'00_SKU_Master'!B$2:B$378,'00_SKU_Master'!H$2:H$378,0),"")</f>
        <v/>
      </c>
      <c r="K208" s="14">
        <f>_xludf.IFNA(_xlfn.XLOOKUP(B209,'00_SKU_Master'!B$2:B$378,'00_SKU_Master'!K$2:K$378,0),"")</f>
        <v/>
      </c>
      <c r="L208" s="148">
        <f>_xlfn.XLOOKUP(B209,'00_SKU_Master'!$B$2:$B$378,'00_SKU_Master'!D:D)</f>
        <v/>
      </c>
      <c r="M208" s="148">
        <f>IF((C209-E209)&lt;0,0,C209-E209)</f>
        <v/>
      </c>
    </row>
    <row r="209">
      <c r="A209" s="148">
        <f>'00_SKU_Master'!J301</f>
        <v/>
      </c>
      <c r="B209" s="148">
        <f>'00_SKU_Master'!B301</f>
        <v/>
      </c>
      <c r="C209" s="175">
        <f>_xlfn.XLOOKUP(B210,'02_TrayPack_Order'!$A$2:$A$264,'02_TrayPack_Order'!$C$2:$C$264)</f>
        <v/>
      </c>
      <c r="D209" s="176">
        <f>_xlfn.XLOOKUP(B210,'02_TrayPack_Order'!$A$2:$A$264,'02_TrayPack_Order'!$L$2:$L$264,0)</f>
        <v/>
      </c>
      <c r="E209" s="175">
        <f>SUMIF('13_Progress_Track'!$A$2:$A$108,B210,'13_Progress_Track'!$E$2:$E$108)</f>
        <v/>
      </c>
      <c r="F209" s="175">
        <f>IF(E210&gt;(C210+D210),(E210-(C210+D210)),0)</f>
        <v/>
      </c>
      <c r="G209" s="177">
        <f>IF(F210&gt;0,0,C210+D210-E210)</f>
        <v/>
      </c>
      <c r="H209" s="148">
        <f>_xludf.IFNA(_xlfn.XLOOKUP(B210,'00_SKU_Master'!$B$2:$B$378,'00_SKU_Master'!$C$2:$C$378),"")</f>
        <v/>
      </c>
      <c r="I209" s="148" t="n"/>
      <c r="J209" s="14">
        <f>_xludf.IFNA(_xlfn.XLOOKUP(B210,'00_SKU_Master'!B$2:B$378,'00_SKU_Master'!H$2:H$378,0),"")</f>
        <v/>
      </c>
      <c r="K209" s="14">
        <f>_xludf.IFNA(_xlfn.XLOOKUP(B210,'00_SKU_Master'!B$2:B$378,'00_SKU_Master'!K$2:K$378,0),"")</f>
        <v/>
      </c>
      <c r="L209" s="148">
        <f>_xlfn.XLOOKUP(B210,'00_SKU_Master'!$B$2:$B$378,'00_SKU_Master'!D:D)</f>
        <v/>
      </c>
      <c r="M209" s="148">
        <f>IF((C210-E210)&lt;0,0,C210-E210)</f>
        <v/>
      </c>
    </row>
    <row r="210">
      <c r="A210" s="148">
        <f>'00_SKU_Master'!J302</f>
        <v/>
      </c>
      <c r="B210" s="148">
        <f>'00_SKU_Master'!B302</f>
        <v/>
      </c>
      <c r="C210" s="175">
        <f>_xlfn.XLOOKUP(B211,'02_TrayPack_Order'!$A$2:$A$264,'02_TrayPack_Order'!$C$2:$C$264)</f>
        <v/>
      </c>
      <c r="D210" s="176">
        <f>_xlfn.XLOOKUP(B211,'02_TrayPack_Order'!$A$2:$A$264,'02_TrayPack_Order'!$L$2:$L$264,0)</f>
        <v/>
      </c>
      <c r="E210" s="175">
        <f>SUMIF('13_Progress_Track'!$A$2:$A$108,B211,'13_Progress_Track'!$E$2:$E$108)</f>
        <v/>
      </c>
      <c r="F210" s="175">
        <f>IF(E211&gt;(C211+D211),(E211-(C211+D211)),0)</f>
        <v/>
      </c>
      <c r="G210" s="177">
        <f>IF(F211&gt;0,0,C211+D211-E211)</f>
        <v/>
      </c>
      <c r="H210" s="148">
        <f>_xludf.IFNA(_xlfn.XLOOKUP(B211,'00_SKU_Master'!$B$2:$B$378,'00_SKU_Master'!$C$2:$C$378),"")</f>
        <v/>
      </c>
      <c r="I210" s="148" t="n"/>
      <c r="J210" s="14">
        <f>_xludf.IFNA(_xlfn.XLOOKUP(B211,'00_SKU_Master'!B$2:B$378,'00_SKU_Master'!H$2:H$378,0),"")</f>
        <v/>
      </c>
      <c r="K210" s="14">
        <f>_xludf.IFNA(_xlfn.XLOOKUP(B211,'00_SKU_Master'!B$2:B$378,'00_SKU_Master'!K$2:K$378,0),"")</f>
        <v/>
      </c>
      <c r="L210" s="148">
        <f>_xlfn.XLOOKUP(B211,'00_SKU_Master'!$B$2:$B$378,'00_SKU_Master'!D:D)</f>
        <v/>
      </c>
      <c r="M210" s="148">
        <f>IF((C211-E211)&lt;0,0,C211-E211)</f>
        <v/>
      </c>
    </row>
    <row r="211">
      <c r="A211" s="148">
        <f>'00_SKU_Master'!J303</f>
        <v/>
      </c>
      <c r="B211" s="148">
        <f>'00_SKU_Master'!B303</f>
        <v/>
      </c>
      <c r="C211" s="175">
        <f>_xlfn.XLOOKUP(B212,'02_TrayPack_Order'!$A$2:$A$264,'02_TrayPack_Order'!$C$2:$C$264)</f>
        <v/>
      </c>
      <c r="D211" s="176">
        <f>_xlfn.XLOOKUP(B212,'02_TrayPack_Order'!$A$2:$A$264,'02_TrayPack_Order'!$L$2:$L$264,0)</f>
        <v/>
      </c>
      <c r="E211" s="175">
        <f>SUMIF('13_Progress_Track'!$A$2:$A$108,B212,'13_Progress_Track'!$E$2:$E$108)</f>
        <v/>
      </c>
      <c r="F211" s="175">
        <f>IF(E212&gt;(C212+D212),(E212-(C212+D212)),0)</f>
        <v/>
      </c>
      <c r="G211" s="177">
        <f>IF(F212&gt;0,0,C212+D212-E212)</f>
        <v/>
      </c>
      <c r="H211" s="148">
        <f>_xludf.IFNA(_xlfn.XLOOKUP(B212,'00_SKU_Master'!$B$2:$B$378,'00_SKU_Master'!$C$2:$C$378),"")</f>
        <v/>
      </c>
      <c r="I211" s="148" t="n"/>
      <c r="J211" s="14">
        <f>_xludf.IFNA(_xlfn.XLOOKUP(B212,'00_SKU_Master'!B$2:B$378,'00_SKU_Master'!H$2:H$378,0),"")</f>
        <v/>
      </c>
      <c r="K211" s="14">
        <f>_xludf.IFNA(_xlfn.XLOOKUP(B212,'00_SKU_Master'!B$2:B$378,'00_SKU_Master'!K$2:K$378,0),"")</f>
        <v/>
      </c>
      <c r="L211" s="148">
        <f>_xlfn.XLOOKUP(B212,'00_SKU_Master'!$B$2:$B$378,'00_SKU_Master'!D:D)</f>
        <v/>
      </c>
      <c r="M211" s="148">
        <f>IF((C212-E212)&lt;0,0,C212-E212)</f>
        <v/>
      </c>
    </row>
    <row r="212">
      <c r="A212" s="148">
        <f>'00_SKU_Master'!J304</f>
        <v/>
      </c>
      <c r="B212" s="148">
        <f>'00_SKU_Master'!B304</f>
        <v/>
      </c>
      <c r="C212" s="175">
        <f>_xlfn.XLOOKUP(B213,'02_TrayPack_Order'!$A$2:$A$264,'02_TrayPack_Order'!$C$2:$C$264)</f>
        <v/>
      </c>
      <c r="D212" s="176">
        <f>_xlfn.XLOOKUP(B213,'02_TrayPack_Order'!$A$2:$A$264,'02_TrayPack_Order'!$L$2:$L$264,0)</f>
        <v/>
      </c>
      <c r="E212" s="175">
        <f>SUMIF('13_Progress_Track'!$A$2:$A$108,B213,'13_Progress_Track'!$E$2:$E$108)</f>
        <v/>
      </c>
      <c r="F212" s="175">
        <f>IF(E213&gt;(C213+D213),(E213-(C213+D213)),0)</f>
        <v/>
      </c>
      <c r="G212" s="177">
        <f>IF(F213&gt;0,0,C213+D213-E213)</f>
        <v/>
      </c>
      <c r="H212" s="148">
        <f>_xludf.IFNA(_xlfn.XLOOKUP(B213,'00_SKU_Master'!$B$2:$B$378,'00_SKU_Master'!$C$2:$C$378),"")</f>
        <v/>
      </c>
      <c r="I212" s="148" t="n"/>
      <c r="J212" s="14">
        <f>_xludf.IFNA(_xlfn.XLOOKUP(B213,'00_SKU_Master'!B$2:B$378,'00_SKU_Master'!H$2:H$378,0),"")</f>
        <v/>
      </c>
      <c r="K212" s="14">
        <f>_xludf.IFNA(_xlfn.XLOOKUP(B213,'00_SKU_Master'!B$2:B$378,'00_SKU_Master'!K$2:K$378,0),"")</f>
        <v/>
      </c>
      <c r="L212" s="148">
        <f>_xlfn.XLOOKUP(B213,'00_SKU_Master'!$B$2:$B$378,'00_SKU_Master'!D:D)</f>
        <v/>
      </c>
      <c r="M212" s="148">
        <f>IF((C213-E213)&lt;0,0,C213-E213)</f>
        <v/>
      </c>
    </row>
    <row r="213">
      <c r="A213" s="148">
        <f>'00_SKU_Master'!J305</f>
        <v/>
      </c>
      <c r="B213" s="148">
        <f>'00_SKU_Master'!B305</f>
        <v/>
      </c>
      <c r="C213" s="175">
        <f>_xlfn.XLOOKUP(B214,'02_TrayPack_Order'!$A$2:$A$264,'02_TrayPack_Order'!$C$2:$C$264)</f>
        <v/>
      </c>
      <c r="D213" s="176">
        <f>_xlfn.XLOOKUP(B214,'02_TrayPack_Order'!$A$2:$A$264,'02_TrayPack_Order'!$L$2:$L$264,0)</f>
        <v/>
      </c>
      <c r="E213" s="175">
        <f>SUMIF('13_Progress_Track'!$A$2:$A$108,B214,'13_Progress_Track'!$E$2:$E$108)</f>
        <v/>
      </c>
      <c r="F213" s="175">
        <f>IF(E214&gt;(C214+D214),(E214-(C214+D214)),0)</f>
        <v/>
      </c>
      <c r="G213" s="177">
        <f>IF(F214&gt;0,0,C214+D214-E214)</f>
        <v/>
      </c>
      <c r="H213" s="148">
        <f>_xludf.IFNA(_xlfn.XLOOKUP(B214,'00_SKU_Master'!$B$2:$B$378,'00_SKU_Master'!$C$2:$C$378),"")</f>
        <v/>
      </c>
      <c r="I213" s="148" t="n"/>
      <c r="J213" s="14">
        <f>_xludf.IFNA(_xlfn.XLOOKUP(B214,'00_SKU_Master'!B$2:B$378,'00_SKU_Master'!H$2:H$378,0),"")</f>
        <v/>
      </c>
      <c r="K213" s="14">
        <f>_xludf.IFNA(_xlfn.XLOOKUP(B214,'00_SKU_Master'!B$2:B$378,'00_SKU_Master'!K$2:K$378,0),"")</f>
        <v/>
      </c>
      <c r="L213" s="148">
        <f>_xlfn.XLOOKUP(B214,'00_SKU_Master'!$B$2:$B$378,'00_SKU_Master'!D:D)</f>
        <v/>
      </c>
      <c r="M213" s="148">
        <f>IF((C214-E214)&lt;0,0,C214-E214)</f>
        <v/>
      </c>
    </row>
    <row r="214">
      <c r="A214" s="148">
        <f>'00_SKU_Master'!J306</f>
        <v/>
      </c>
      <c r="B214" s="148">
        <f>'00_SKU_Master'!B306</f>
        <v/>
      </c>
      <c r="C214" s="175">
        <f>_xlfn.XLOOKUP(B215,'02_TrayPack_Order'!$A$2:$A$264,'02_TrayPack_Order'!$C$2:$C$264)</f>
        <v/>
      </c>
      <c r="D214" s="176">
        <f>_xlfn.XLOOKUP(B215,'02_TrayPack_Order'!$A$2:$A$264,'02_TrayPack_Order'!$L$2:$L$264,0)</f>
        <v/>
      </c>
      <c r="E214" s="175">
        <f>SUMIF('13_Progress_Track'!$A$2:$A$108,B215,'13_Progress_Track'!$E$2:$E$108)</f>
        <v/>
      </c>
      <c r="F214" s="175">
        <f>IF(E215&gt;(C215+D215),(E215-(C215+D215)),0)</f>
        <v/>
      </c>
      <c r="G214" s="177">
        <f>IF(F215&gt;0,0,C215+D215-E215)</f>
        <v/>
      </c>
      <c r="H214" s="148">
        <f>_xludf.IFNA(_xlfn.XLOOKUP(B215,'00_SKU_Master'!$B$2:$B$378,'00_SKU_Master'!$C$2:$C$378),"")</f>
        <v/>
      </c>
      <c r="I214" s="148" t="n"/>
      <c r="J214" s="14">
        <f>_xludf.IFNA(_xlfn.XLOOKUP(B215,'00_SKU_Master'!B$2:B$378,'00_SKU_Master'!H$2:H$378,0),"")</f>
        <v/>
      </c>
      <c r="K214" s="14">
        <f>_xludf.IFNA(_xlfn.XLOOKUP(B215,'00_SKU_Master'!B$2:B$378,'00_SKU_Master'!K$2:K$378,0),"")</f>
        <v/>
      </c>
      <c r="L214" s="148">
        <f>_xlfn.XLOOKUP(B215,'00_SKU_Master'!$B$2:$B$378,'00_SKU_Master'!D:D)</f>
        <v/>
      </c>
      <c r="M214" s="148">
        <f>IF((C215-E215)&lt;0,0,C215-E215)</f>
        <v/>
      </c>
    </row>
    <row r="215">
      <c r="A215" s="148">
        <f>'00_SKU_Master'!J307</f>
        <v/>
      </c>
      <c r="B215" s="148">
        <f>'00_SKU_Master'!B307</f>
        <v/>
      </c>
      <c r="C215" s="175">
        <f>_xlfn.XLOOKUP(B216,'02_TrayPack_Order'!$A$2:$A$264,'02_TrayPack_Order'!$C$2:$C$264)</f>
        <v/>
      </c>
      <c r="D215" s="176">
        <f>_xlfn.XLOOKUP(B216,'02_TrayPack_Order'!$A$2:$A$264,'02_TrayPack_Order'!$L$2:$L$264,0)</f>
        <v/>
      </c>
      <c r="E215" s="175">
        <f>SUMIF('13_Progress_Track'!$A$2:$A$108,B216,'13_Progress_Track'!$E$2:$E$108)</f>
        <v/>
      </c>
      <c r="F215" s="175">
        <f>IF(E216&gt;(C216+D216),(E216-(C216+D216)),0)</f>
        <v/>
      </c>
      <c r="G215" s="177">
        <f>IF(F216&gt;0,0,C216+D216-E216)</f>
        <v/>
      </c>
      <c r="H215" s="148">
        <f>_xludf.IFNA(_xlfn.XLOOKUP(B216,'00_SKU_Master'!$B$2:$B$378,'00_SKU_Master'!$C$2:$C$378),"")</f>
        <v/>
      </c>
      <c r="I215" s="148" t="n"/>
      <c r="J215" s="14">
        <f>_xludf.IFNA(_xlfn.XLOOKUP(B216,'00_SKU_Master'!B$2:B$378,'00_SKU_Master'!H$2:H$378,0),"")</f>
        <v/>
      </c>
      <c r="K215" s="14">
        <f>_xludf.IFNA(_xlfn.XLOOKUP(B216,'00_SKU_Master'!B$2:B$378,'00_SKU_Master'!K$2:K$378,0),"")</f>
        <v/>
      </c>
      <c r="L215" s="148">
        <f>_xlfn.XLOOKUP(B216,'00_SKU_Master'!$B$2:$B$378,'00_SKU_Master'!D:D)</f>
        <v/>
      </c>
      <c r="M215" s="148">
        <f>IF((C216-E216)&lt;0,0,C216-E216)</f>
        <v/>
      </c>
    </row>
    <row r="216">
      <c r="A216" s="148">
        <f>'00_SKU_Master'!J308</f>
        <v/>
      </c>
      <c r="B216" s="148">
        <f>'00_SKU_Master'!B308</f>
        <v/>
      </c>
      <c r="C216" s="175">
        <f>_xlfn.XLOOKUP(B217,'02_TrayPack_Order'!$A$2:$A$264,'02_TrayPack_Order'!$C$2:$C$264)</f>
        <v/>
      </c>
      <c r="D216" s="176">
        <f>_xlfn.XLOOKUP(B217,'02_TrayPack_Order'!$A$2:$A$264,'02_TrayPack_Order'!$L$2:$L$264,0)</f>
        <v/>
      </c>
      <c r="E216" s="175">
        <f>SUMIF('13_Progress_Track'!$A$2:$A$108,B217,'13_Progress_Track'!$E$2:$E$108)</f>
        <v/>
      </c>
      <c r="F216" s="175">
        <f>IF(E217&gt;(C217+D217),(E217-(C217+D217)),0)</f>
        <v/>
      </c>
      <c r="G216" s="177">
        <f>IF(F217&gt;0,0,C217+D217-E217)</f>
        <v/>
      </c>
      <c r="H216" s="148">
        <f>_xludf.IFNA(_xlfn.XLOOKUP(B217,'00_SKU_Master'!$B$2:$B$378,'00_SKU_Master'!$C$2:$C$378),"")</f>
        <v/>
      </c>
      <c r="I216" s="148" t="n"/>
      <c r="J216" s="14">
        <f>_xludf.IFNA(_xlfn.XLOOKUP(B217,'00_SKU_Master'!B$2:B$378,'00_SKU_Master'!H$2:H$378,0),"")</f>
        <v/>
      </c>
      <c r="K216" s="14">
        <f>_xludf.IFNA(_xlfn.XLOOKUP(B217,'00_SKU_Master'!B$2:B$378,'00_SKU_Master'!K$2:K$378,0),"")</f>
        <v/>
      </c>
      <c r="L216" s="148">
        <f>_xlfn.XLOOKUP(B217,'00_SKU_Master'!$B$2:$B$378,'00_SKU_Master'!D:D)</f>
        <v/>
      </c>
      <c r="M216" s="148">
        <f>IF((C217-E217)&lt;0,0,C217-E217)</f>
        <v/>
      </c>
    </row>
    <row r="217">
      <c r="A217" s="148">
        <f>'00_SKU_Master'!J309</f>
        <v/>
      </c>
      <c r="B217" s="148">
        <f>'00_SKU_Master'!B309</f>
        <v/>
      </c>
      <c r="C217" s="175">
        <f>_xlfn.XLOOKUP(B218,'02_TrayPack_Order'!$A$2:$A$264,'02_TrayPack_Order'!$C$2:$C$264)</f>
        <v/>
      </c>
      <c r="D217" s="176">
        <f>_xlfn.XLOOKUP(B218,'02_TrayPack_Order'!$A$2:$A$264,'02_TrayPack_Order'!$L$2:$L$264,0)</f>
        <v/>
      </c>
      <c r="E217" s="175">
        <f>SUMIF('13_Progress_Track'!$A$2:$A$108,B218,'13_Progress_Track'!$E$2:$E$108)</f>
        <v/>
      </c>
      <c r="F217" s="175">
        <f>IF(E218&gt;(C218+D218),(E218-(C218+D218)),0)</f>
        <v/>
      </c>
      <c r="G217" s="177">
        <f>IF(F218&gt;0,0,C218+D218-E218)</f>
        <v/>
      </c>
      <c r="H217" s="148">
        <f>_xludf.IFNA(_xlfn.XLOOKUP(B218,'00_SKU_Master'!$B$2:$B$378,'00_SKU_Master'!$C$2:$C$378),"")</f>
        <v/>
      </c>
      <c r="I217" s="148" t="n"/>
      <c r="J217" s="14">
        <f>_xludf.IFNA(_xlfn.XLOOKUP(B218,'00_SKU_Master'!B$2:B$378,'00_SKU_Master'!H$2:H$378,0),"")</f>
        <v/>
      </c>
      <c r="K217" s="14">
        <f>_xludf.IFNA(_xlfn.XLOOKUP(B218,'00_SKU_Master'!B$2:B$378,'00_SKU_Master'!K$2:K$378,0),"")</f>
        <v/>
      </c>
      <c r="L217" s="148">
        <f>_xlfn.XLOOKUP(B218,'00_SKU_Master'!$B$2:$B$378,'00_SKU_Master'!D:D)</f>
        <v/>
      </c>
      <c r="M217" s="148">
        <f>IF((C218-E218)&lt;0,0,C218-E218)</f>
        <v/>
      </c>
    </row>
    <row r="218">
      <c r="A218" s="148">
        <f>'00_SKU_Master'!J310</f>
        <v/>
      </c>
      <c r="B218" s="148">
        <f>'00_SKU_Master'!B310</f>
        <v/>
      </c>
      <c r="C218" s="175">
        <f>_xlfn.XLOOKUP(B219,'02_TrayPack_Order'!$A$2:$A$264,'02_TrayPack_Order'!$C$2:$C$264)</f>
        <v/>
      </c>
      <c r="D218" s="176">
        <f>_xlfn.XLOOKUP(B219,'02_TrayPack_Order'!$A$2:$A$264,'02_TrayPack_Order'!$L$2:$L$264,0)</f>
        <v/>
      </c>
      <c r="E218" s="175">
        <f>SUMIF('13_Progress_Track'!$A$2:$A$108,B219,'13_Progress_Track'!$E$2:$E$108)</f>
        <v/>
      </c>
      <c r="F218" s="175">
        <f>IF(E219&gt;(C219+D219),(E219-(C219+D219)),0)</f>
        <v/>
      </c>
      <c r="G218" s="177">
        <f>IF(F219&gt;0,0,C219+D219-E219)</f>
        <v/>
      </c>
      <c r="H218" s="148">
        <f>_xludf.IFNA(_xlfn.XLOOKUP(B219,'00_SKU_Master'!$B$2:$B$378,'00_SKU_Master'!$C$2:$C$378),"")</f>
        <v/>
      </c>
      <c r="I218" s="148" t="n"/>
      <c r="J218" s="14">
        <f>_xludf.IFNA(_xlfn.XLOOKUP(B219,'00_SKU_Master'!B$2:B$378,'00_SKU_Master'!H$2:H$378,0),"")</f>
        <v/>
      </c>
      <c r="K218" s="14">
        <f>_xludf.IFNA(_xlfn.XLOOKUP(B219,'00_SKU_Master'!B$2:B$378,'00_SKU_Master'!K$2:K$378,0),"")</f>
        <v/>
      </c>
      <c r="L218" s="148">
        <f>_xlfn.XLOOKUP(B219,'00_SKU_Master'!$B$2:$B$378,'00_SKU_Master'!D:D)</f>
        <v/>
      </c>
      <c r="M218" s="148">
        <f>IF((C219-E219)&lt;0,0,C219-E219)</f>
        <v/>
      </c>
    </row>
    <row r="219">
      <c r="A219" s="148">
        <f>'00_SKU_Master'!J311</f>
        <v/>
      </c>
      <c r="B219" s="148">
        <f>'00_SKU_Master'!B311</f>
        <v/>
      </c>
      <c r="C219" s="175">
        <f>_xlfn.XLOOKUP(B220,'02_TrayPack_Order'!$A$2:$A$264,'02_TrayPack_Order'!$C$2:$C$264)</f>
        <v/>
      </c>
      <c r="D219" s="176">
        <f>_xlfn.XLOOKUP(B220,'02_TrayPack_Order'!$A$2:$A$264,'02_TrayPack_Order'!$L$2:$L$264,0)</f>
        <v/>
      </c>
      <c r="E219" s="175">
        <f>SUMIF('13_Progress_Track'!$A$2:$A$108,B220,'13_Progress_Track'!$E$2:$E$108)</f>
        <v/>
      </c>
      <c r="F219" s="175">
        <f>IF(E220&gt;(C220+D220),(E220-(C220+D220)),0)</f>
        <v/>
      </c>
      <c r="G219" s="177">
        <f>IF(F220&gt;0,0,C220+D220-E220)</f>
        <v/>
      </c>
      <c r="H219" s="148">
        <f>_xludf.IFNA(_xlfn.XLOOKUP(B220,'00_SKU_Master'!$B$2:$B$378,'00_SKU_Master'!$C$2:$C$378),"")</f>
        <v/>
      </c>
      <c r="I219" s="148" t="n"/>
      <c r="J219" s="14">
        <f>_xludf.IFNA(_xlfn.XLOOKUP(B220,'00_SKU_Master'!B$2:B$378,'00_SKU_Master'!H$2:H$378,0),"")</f>
        <v/>
      </c>
      <c r="K219" s="14">
        <f>_xludf.IFNA(_xlfn.XLOOKUP(B220,'00_SKU_Master'!B$2:B$378,'00_SKU_Master'!K$2:K$378,0),"")</f>
        <v/>
      </c>
      <c r="L219" s="148">
        <f>_xlfn.XLOOKUP(B220,'00_SKU_Master'!$B$2:$B$378,'00_SKU_Master'!D:D)</f>
        <v/>
      </c>
      <c r="M219" s="148">
        <f>IF((C220-E220)&lt;0,0,C220-E220)</f>
        <v/>
      </c>
    </row>
    <row r="220">
      <c r="A220" s="148">
        <f>'00_SKU_Master'!J312</f>
        <v/>
      </c>
      <c r="B220" s="148">
        <f>'00_SKU_Master'!B312</f>
        <v/>
      </c>
      <c r="C220" s="175">
        <f>_xlfn.XLOOKUP(B221,'02_TrayPack_Order'!$A$2:$A$264,'02_TrayPack_Order'!$C$2:$C$264)</f>
        <v/>
      </c>
      <c r="D220" s="176">
        <f>_xlfn.XLOOKUP(B221,'02_TrayPack_Order'!$A$2:$A$264,'02_TrayPack_Order'!$L$2:$L$264,0)</f>
        <v/>
      </c>
      <c r="E220" s="175">
        <f>SUMIF('13_Progress_Track'!$A$2:$A$108,B221,'13_Progress_Track'!$E$2:$E$108)</f>
        <v/>
      </c>
      <c r="F220" s="175">
        <f>IF(E221&gt;(C221+D221),(E221-(C221+D221)),0)</f>
        <v/>
      </c>
      <c r="G220" s="177">
        <f>IF(F221&gt;0,0,C221+D221-E221)</f>
        <v/>
      </c>
      <c r="H220" s="148">
        <f>_xludf.IFNA(_xlfn.XLOOKUP(B221,'00_SKU_Master'!$B$2:$B$378,'00_SKU_Master'!$C$2:$C$378),"")</f>
        <v/>
      </c>
      <c r="I220" s="148" t="n"/>
      <c r="J220" s="14">
        <f>_xludf.IFNA(_xlfn.XLOOKUP(B221,'00_SKU_Master'!B$2:B$378,'00_SKU_Master'!H$2:H$378,0),"")</f>
        <v/>
      </c>
      <c r="K220" s="14">
        <f>_xludf.IFNA(_xlfn.XLOOKUP(B221,'00_SKU_Master'!B$2:B$378,'00_SKU_Master'!K$2:K$378,0),"")</f>
        <v/>
      </c>
      <c r="L220" s="148">
        <f>_xlfn.XLOOKUP(B221,'00_SKU_Master'!$B$2:$B$378,'00_SKU_Master'!D:D)</f>
        <v/>
      </c>
      <c r="M220" s="148">
        <f>IF((C221-E221)&lt;0,0,C221-E221)</f>
        <v/>
      </c>
    </row>
    <row r="221">
      <c r="A221" s="148">
        <f>'00_SKU_Master'!J313</f>
        <v/>
      </c>
      <c r="B221" s="148">
        <f>'00_SKU_Master'!B313</f>
        <v/>
      </c>
      <c r="C221" s="175">
        <f>_xlfn.XLOOKUP(B222,'02_TrayPack_Order'!$A$2:$A$264,'02_TrayPack_Order'!$C$2:$C$264)</f>
        <v/>
      </c>
      <c r="D221" s="176">
        <f>_xlfn.XLOOKUP(B222,'02_TrayPack_Order'!$A$2:$A$264,'02_TrayPack_Order'!$L$2:$L$264,0)</f>
        <v/>
      </c>
      <c r="E221" s="175">
        <f>SUMIF('13_Progress_Track'!$A$2:$A$108,B222,'13_Progress_Track'!$E$2:$E$108)</f>
        <v/>
      </c>
      <c r="F221" s="175">
        <f>IF(E222&gt;(C222+D222),(E222-(C222+D222)),0)</f>
        <v/>
      </c>
      <c r="G221" s="177">
        <f>IF(F222&gt;0,0,C222+D222-E222)</f>
        <v/>
      </c>
      <c r="H221" s="148">
        <f>_xludf.IFNA(_xlfn.XLOOKUP(B222,'00_SKU_Master'!$B$2:$B$378,'00_SKU_Master'!$C$2:$C$378),"")</f>
        <v/>
      </c>
      <c r="I221" s="148" t="n"/>
      <c r="J221" s="14">
        <f>_xludf.IFNA(_xlfn.XLOOKUP(B222,'00_SKU_Master'!B$2:B$378,'00_SKU_Master'!H$2:H$378,0),"")</f>
        <v/>
      </c>
      <c r="K221" s="14">
        <f>_xludf.IFNA(_xlfn.XLOOKUP(B222,'00_SKU_Master'!B$2:B$378,'00_SKU_Master'!K$2:K$378,0),"")</f>
        <v/>
      </c>
      <c r="L221" s="148">
        <f>_xlfn.XLOOKUP(B222,'00_SKU_Master'!$B$2:$B$378,'00_SKU_Master'!D:D)</f>
        <v/>
      </c>
      <c r="M221" s="148">
        <f>IF((C222-E222)&lt;0,0,C222-E222)</f>
        <v/>
      </c>
    </row>
    <row r="222">
      <c r="A222" s="148">
        <f>'00_SKU_Master'!J314</f>
        <v/>
      </c>
      <c r="B222" s="148">
        <f>'00_SKU_Master'!B314</f>
        <v/>
      </c>
      <c r="C222" s="175">
        <f>_xlfn.XLOOKUP(B223,'02_TrayPack_Order'!$A$2:$A$264,'02_TrayPack_Order'!$C$2:$C$264)</f>
        <v/>
      </c>
      <c r="D222" s="176">
        <f>_xlfn.XLOOKUP(B223,'02_TrayPack_Order'!$A$2:$A$264,'02_TrayPack_Order'!$L$2:$L$264,0)</f>
        <v/>
      </c>
      <c r="E222" s="175">
        <f>SUMIF('13_Progress_Track'!$A$2:$A$108,B223,'13_Progress_Track'!$E$2:$E$108)</f>
        <v/>
      </c>
      <c r="F222" s="175">
        <f>IF(E223&gt;(C223+D223),(E223-(C223+D223)),0)</f>
        <v/>
      </c>
      <c r="G222" s="177">
        <f>IF(F223&gt;0,0,C223+D223-E223)</f>
        <v/>
      </c>
      <c r="H222" s="148">
        <f>_xludf.IFNA(_xlfn.XLOOKUP(B223,'00_SKU_Master'!$B$2:$B$378,'00_SKU_Master'!$C$2:$C$378),"")</f>
        <v/>
      </c>
      <c r="I222" s="148" t="n"/>
      <c r="J222" s="14">
        <f>_xludf.IFNA(_xlfn.XLOOKUP(B223,'00_SKU_Master'!B$2:B$378,'00_SKU_Master'!H$2:H$378,0),"")</f>
        <v/>
      </c>
      <c r="K222" s="14">
        <f>_xludf.IFNA(_xlfn.XLOOKUP(B223,'00_SKU_Master'!B$2:B$378,'00_SKU_Master'!K$2:K$378,0),"")</f>
        <v/>
      </c>
      <c r="L222" s="148">
        <f>_xlfn.XLOOKUP(B223,'00_SKU_Master'!$B$2:$B$378,'00_SKU_Master'!D:D)</f>
        <v/>
      </c>
      <c r="M222" s="148">
        <f>IF((C223-E223)&lt;0,0,C223-E223)</f>
        <v/>
      </c>
    </row>
    <row r="223">
      <c r="A223" s="148">
        <f>'00_SKU_Master'!J315</f>
        <v/>
      </c>
      <c r="B223" s="148">
        <f>'00_SKU_Master'!B315</f>
        <v/>
      </c>
      <c r="C223" s="175">
        <f>_xlfn.XLOOKUP(B224,'02_TrayPack_Order'!$A$2:$A$264,'02_TrayPack_Order'!$C$2:$C$264)</f>
        <v/>
      </c>
      <c r="D223" s="176">
        <f>_xlfn.XLOOKUP(B224,'02_TrayPack_Order'!$A$2:$A$264,'02_TrayPack_Order'!$L$2:$L$264,0)</f>
        <v/>
      </c>
      <c r="E223" s="175">
        <f>SUMIF('13_Progress_Track'!$A$2:$A$108,B224,'13_Progress_Track'!$E$2:$E$108)</f>
        <v/>
      </c>
      <c r="F223" s="175">
        <f>IF(E224&gt;(C224+D224),(E224-(C224+D224)),0)</f>
        <v/>
      </c>
      <c r="G223" s="177">
        <f>IF(F224&gt;0,0,C224+D224-E224)</f>
        <v/>
      </c>
      <c r="H223" s="148">
        <f>_xludf.IFNA(_xlfn.XLOOKUP(B224,'00_SKU_Master'!$B$2:$B$378,'00_SKU_Master'!$C$2:$C$378),"")</f>
        <v/>
      </c>
      <c r="I223" s="148" t="n"/>
      <c r="J223" s="14">
        <f>_xludf.IFNA(_xlfn.XLOOKUP(B224,'00_SKU_Master'!B$2:B$378,'00_SKU_Master'!H$2:H$378,0),"")</f>
        <v/>
      </c>
      <c r="K223" s="14">
        <f>_xludf.IFNA(_xlfn.XLOOKUP(B224,'00_SKU_Master'!B$2:B$378,'00_SKU_Master'!K$2:K$378,0),"")</f>
        <v/>
      </c>
      <c r="L223" s="148">
        <f>_xlfn.XLOOKUP(B224,'00_SKU_Master'!$B$2:$B$378,'00_SKU_Master'!D:D)</f>
        <v/>
      </c>
      <c r="M223" s="148">
        <f>IF((C224-E224)&lt;0,0,C224-E224)</f>
        <v/>
      </c>
    </row>
    <row r="224">
      <c r="A224" s="148">
        <f>'00_SKU_Master'!J316</f>
        <v/>
      </c>
      <c r="B224" s="148">
        <f>'00_SKU_Master'!B316</f>
        <v/>
      </c>
      <c r="C224" s="175">
        <f>_xlfn.XLOOKUP(B225,'02_TrayPack_Order'!$A$2:$A$264,'02_TrayPack_Order'!$C$2:$C$264)</f>
        <v/>
      </c>
      <c r="D224" s="176">
        <f>_xlfn.XLOOKUP(B225,'02_TrayPack_Order'!$A$2:$A$264,'02_TrayPack_Order'!$L$2:$L$264,0)</f>
        <v/>
      </c>
      <c r="E224" s="175">
        <f>SUMIF('13_Progress_Track'!$A$2:$A$108,B225,'13_Progress_Track'!$E$2:$E$108)</f>
        <v/>
      </c>
      <c r="F224" s="175">
        <f>IF(E225&gt;(C225+D225),(E225-(C225+D225)),0)</f>
        <v/>
      </c>
      <c r="G224" s="177">
        <f>IF(F225&gt;0,0,C225+D225-E225)</f>
        <v/>
      </c>
      <c r="H224" s="148">
        <f>_xludf.IFNA(_xlfn.XLOOKUP(B225,'00_SKU_Master'!$B$2:$B$378,'00_SKU_Master'!$C$2:$C$378),"")</f>
        <v/>
      </c>
      <c r="I224" s="148" t="n"/>
      <c r="J224" s="14">
        <f>_xludf.IFNA(_xlfn.XLOOKUP(B225,'00_SKU_Master'!B$2:B$378,'00_SKU_Master'!H$2:H$378,0),"")</f>
        <v/>
      </c>
      <c r="K224" s="14">
        <f>_xludf.IFNA(_xlfn.XLOOKUP(B225,'00_SKU_Master'!B$2:B$378,'00_SKU_Master'!K$2:K$378,0),"")</f>
        <v/>
      </c>
      <c r="L224" s="148">
        <f>_xlfn.XLOOKUP(B225,'00_SKU_Master'!$B$2:$B$378,'00_SKU_Master'!D:D)</f>
        <v/>
      </c>
      <c r="M224" s="148">
        <f>IF((C225-E225)&lt;0,0,C225-E225)</f>
        <v/>
      </c>
    </row>
    <row r="225">
      <c r="A225" s="148">
        <f>'00_SKU_Master'!J317</f>
        <v/>
      </c>
      <c r="B225" s="148">
        <f>'00_SKU_Master'!B317</f>
        <v/>
      </c>
      <c r="C225" s="175">
        <f>_xlfn.XLOOKUP(B226,'02_TrayPack_Order'!$A$2:$A$264,'02_TrayPack_Order'!$C$2:$C$264)</f>
        <v/>
      </c>
      <c r="D225" s="176">
        <f>_xlfn.XLOOKUP(B226,'02_TrayPack_Order'!$A$2:$A$264,'02_TrayPack_Order'!$L$2:$L$264,0)</f>
        <v/>
      </c>
      <c r="E225" s="175">
        <f>SUMIF('13_Progress_Track'!$A$2:$A$108,B226,'13_Progress_Track'!$E$2:$E$108)</f>
        <v/>
      </c>
      <c r="F225" s="175">
        <f>IF(E226&gt;(C226+D226),(E226-(C226+D226)),0)</f>
        <v/>
      </c>
      <c r="G225" s="177">
        <f>IF(F226&gt;0,0,C226+D226-E226)</f>
        <v/>
      </c>
      <c r="H225" s="148">
        <f>_xludf.IFNA(_xlfn.XLOOKUP(B226,'00_SKU_Master'!$B$2:$B$378,'00_SKU_Master'!$C$2:$C$378),"")</f>
        <v/>
      </c>
      <c r="I225" s="148" t="n"/>
      <c r="J225" s="14">
        <f>_xludf.IFNA(_xlfn.XLOOKUP(B226,'00_SKU_Master'!B$2:B$378,'00_SKU_Master'!H$2:H$378,0),"")</f>
        <v/>
      </c>
      <c r="K225" s="14">
        <f>_xludf.IFNA(_xlfn.XLOOKUP(B226,'00_SKU_Master'!B$2:B$378,'00_SKU_Master'!K$2:K$378,0),"")</f>
        <v/>
      </c>
      <c r="L225" s="148">
        <f>_xlfn.XLOOKUP(B226,'00_SKU_Master'!$B$2:$B$378,'00_SKU_Master'!D:D)</f>
        <v/>
      </c>
      <c r="M225" s="148">
        <f>IF((C226-E226)&lt;0,0,C226-E226)</f>
        <v/>
      </c>
    </row>
    <row r="226">
      <c r="A226" s="148">
        <f>'00_SKU_Master'!J318</f>
        <v/>
      </c>
      <c r="B226" s="148">
        <f>'00_SKU_Master'!B318</f>
        <v/>
      </c>
      <c r="C226" s="175">
        <f>_xlfn.XLOOKUP(B227,'02_TrayPack_Order'!$A$2:$A$264,'02_TrayPack_Order'!$C$2:$C$264)</f>
        <v/>
      </c>
      <c r="D226" s="176">
        <f>_xlfn.XLOOKUP(B227,'02_TrayPack_Order'!$A$2:$A$264,'02_TrayPack_Order'!$L$2:$L$264,0)</f>
        <v/>
      </c>
      <c r="E226" s="175">
        <f>SUMIF('13_Progress_Track'!$A$2:$A$108,B227,'13_Progress_Track'!$E$2:$E$108)</f>
        <v/>
      </c>
      <c r="F226" s="175">
        <f>IF(E227&gt;(C227+D227),(E227-(C227+D227)),0)</f>
        <v/>
      </c>
      <c r="G226" s="177">
        <f>IF(F227&gt;0,0,C227+D227-E227)</f>
        <v/>
      </c>
      <c r="H226" s="148">
        <f>_xludf.IFNA(_xlfn.XLOOKUP(B227,'00_SKU_Master'!$B$2:$B$378,'00_SKU_Master'!$C$2:$C$378),"")</f>
        <v/>
      </c>
      <c r="I226" s="148" t="n"/>
      <c r="J226" s="14">
        <f>_xludf.IFNA(_xlfn.XLOOKUP(B227,'00_SKU_Master'!B$2:B$378,'00_SKU_Master'!H$2:H$378,0),"")</f>
        <v/>
      </c>
      <c r="K226" s="14">
        <f>_xludf.IFNA(_xlfn.XLOOKUP(B227,'00_SKU_Master'!B$2:B$378,'00_SKU_Master'!K$2:K$378,0),"")</f>
        <v/>
      </c>
      <c r="L226" s="148">
        <f>_xlfn.XLOOKUP(B227,'00_SKU_Master'!$B$2:$B$378,'00_SKU_Master'!D:D)</f>
        <v/>
      </c>
      <c r="M226" s="148">
        <f>IF((C227-E227)&lt;0,0,C227-E227)</f>
        <v/>
      </c>
    </row>
    <row r="227">
      <c r="A227" s="148">
        <f>'00_SKU_Master'!J319</f>
        <v/>
      </c>
      <c r="B227" s="148">
        <f>'00_SKU_Master'!B319</f>
        <v/>
      </c>
      <c r="C227" s="175">
        <f>_xlfn.XLOOKUP(B228,'02_TrayPack_Order'!$A$2:$A$264,'02_TrayPack_Order'!$C$2:$C$264)</f>
        <v/>
      </c>
      <c r="D227" s="176">
        <f>_xlfn.XLOOKUP(B228,'02_TrayPack_Order'!$A$2:$A$264,'02_TrayPack_Order'!$L$2:$L$264,0)</f>
        <v/>
      </c>
      <c r="E227" s="175">
        <f>SUMIF('13_Progress_Track'!$A$2:$A$108,B228,'13_Progress_Track'!$E$2:$E$108)</f>
        <v/>
      </c>
      <c r="F227" s="175">
        <f>IF(E228&gt;(C228+D228),(E228-(C228+D228)),0)</f>
        <v/>
      </c>
      <c r="G227" s="177">
        <f>IF(F228&gt;0,0,C228+D228-E228)</f>
        <v/>
      </c>
      <c r="H227" s="148">
        <f>_xludf.IFNA(_xlfn.XLOOKUP(B228,'00_SKU_Master'!$B$2:$B$378,'00_SKU_Master'!$C$2:$C$378),"")</f>
        <v/>
      </c>
      <c r="I227" s="148" t="n"/>
      <c r="J227" s="14">
        <f>_xludf.IFNA(_xlfn.XLOOKUP(B228,'00_SKU_Master'!B$2:B$378,'00_SKU_Master'!H$2:H$378,0),"")</f>
        <v/>
      </c>
      <c r="K227" s="14">
        <f>_xludf.IFNA(_xlfn.XLOOKUP(B228,'00_SKU_Master'!B$2:B$378,'00_SKU_Master'!K$2:K$378,0),"")</f>
        <v/>
      </c>
      <c r="L227" s="148">
        <f>_xlfn.XLOOKUP(B228,'00_SKU_Master'!$B$2:$B$378,'00_SKU_Master'!D:D)</f>
        <v/>
      </c>
      <c r="M227" s="148">
        <f>IF((C228-E228)&lt;0,0,C228-E228)</f>
        <v/>
      </c>
    </row>
    <row r="228">
      <c r="A228" s="148">
        <f>'00_SKU_Master'!J320</f>
        <v/>
      </c>
      <c r="B228" s="148">
        <f>'00_SKU_Master'!B320</f>
        <v/>
      </c>
      <c r="C228" s="175">
        <f>_xlfn.XLOOKUP(B229,'02_TrayPack_Order'!$A$2:$A$264,'02_TrayPack_Order'!$C$2:$C$264)</f>
        <v/>
      </c>
      <c r="D228" s="176">
        <f>_xlfn.XLOOKUP(B229,'02_TrayPack_Order'!$A$2:$A$264,'02_TrayPack_Order'!$L$2:$L$264,0)</f>
        <v/>
      </c>
      <c r="E228" s="175">
        <f>SUMIF('13_Progress_Track'!$A$2:$A$108,B229,'13_Progress_Track'!$E$2:$E$108)</f>
        <v/>
      </c>
      <c r="F228" s="175">
        <f>IF(E229&gt;(C229+D229),(E229-(C229+D229)),0)</f>
        <v/>
      </c>
      <c r="G228" s="177">
        <f>IF(F229&gt;0,0,C229+D229-E229)</f>
        <v/>
      </c>
      <c r="H228" s="148">
        <f>_xludf.IFNA(_xlfn.XLOOKUP(B229,'00_SKU_Master'!$B$2:$B$378,'00_SKU_Master'!$C$2:$C$378),"")</f>
        <v/>
      </c>
      <c r="I228" s="148" t="n"/>
      <c r="J228" s="14">
        <f>_xludf.IFNA(_xlfn.XLOOKUP(B229,'00_SKU_Master'!B$2:B$378,'00_SKU_Master'!H$2:H$378,0),"")</f>
        <v/>
      </c>
      <c r="K228" s="14">
        <f>_xludf.IFNA(_xlfn.XLOOKUP(B229,'00_SKU_Master'!B$2:B$378,'00_SKU_Master'!K$2:K$378,0),"")</f>
        <v/>
      </c>
      <c r="L228" s="148">
        <f>_xlfn.XLOOKUP(B229,'00_SKU_Master'!$B$2:$B$378,'00_SKU_Master'!D:D)</f>
        <v/>
      </c>
      <c r="M228" s="148">
        <f>IF((C229-E229)&lt;0,0,C229-E229)</f>
        <v/>
      </c>
    </row>
    <row r="229">
      <c r="A229" s="148">
        <f>'00_SKU_Master'!J321</f>
        <v/>
      </c>
      <c r="B229" s="148">
        <f>'00_SKU_Master'!B321</f>
        <v/>
      </c>
      <c r="C229" s="175">
        <f>_xlfn.XLOOKUP(B230,'02_TrayPack_Order'!$A$2:$A$264,'02_TrayPack_Order'!$C$2:$C$264)</f>
        <v/>
      </c>
      <c r="D229" s="176">
        <f>_xlfn.XLOOKUP(B230,'02_TrayPack_Order'!$A$2:$A$264,'02_TrayPack_Order'!$L$2:$L$264,0)</f>
        <v/>
      </c>
      <c r="E229" s="175">
        <f>SUMIF('13_Progress_Track'!$A$2:$A$108,B230,'13_Progress_Track'!$E$2:$E$108)</f>
        <v/>
      </c>
      <c r="F229" s="175">
        <f>IF(E230&gt;(C230+D230),(E230-(C230+D230)),0)</f>
        <v/>
      </c>
      <c r="G229" s="177">
        <f>IF(F230&gt;0,0,C230+D230-E230)</f>
        <v/>
      </c>
      <c r="H229" s="148">
        <f>_xludf.IFNA(_xlfn.XLOOKUP(B230,'00_SKU_Master'!$B$2:$B$378,'00_SKU_Master'!$C$2:$C$378),"")</f>
        <v/>
      </c>
      <c r="I229" s="148" t="n"/>
      <c r="J229" s="14">
        <f>_xludf.IFNA(_xlfn.XLOOKUP(B230,'00_SKU_Master'!B$2:B$378,'00_SKU_Master'!H$2:H$378,0),"")</f>
        <v/>
      </c>
      <c r="K229" s="14">
        <f>_xludf.IFNA(_xlfn.XLOOKUP(B230,'00_SKU_Master'!B$2:B$378,'00_SKU_Master'!K$2:K$378,0),"")</f>
        <v/>
      </c>
      <c r="L229" s="148">
        <f>_xlfn.XLOOKUP(B230,'00_SKU_Master'!$B$2:$B$378,'00_SKU_Master'!D:D)</f>
        <v/>
      </c>
      <c r="M229" s="148">
        <f>IF((C230-E230)&lt;0,0,C230-E230)</f>
        <v/>
      </c>
    </row>
    <row r="230">
      <c r="A230" s="148">
        <f>'00_SKU_Master'!J322</f>
        <v/>
      </c>
      <c r="B230" s="148">
        <f>'00_SKU_Master'!B322</f>
        <v/>
      </c>
      <c r="C230" s="175">
        <f>_xlfn.XLOOKUP(B231,'02_TrayPack_Order'!$A$2:$A$264,'02_TrayPack_Order'!$C$2:$C$264)</f>
        <v/>
      </c>
      <c r="D230" s="176">
        <f>_xlfn.XLOOKUP(B231,'02_TrayPack_Order'!$A$2:$A$264,'02_TrayPack_Order'!$L$2:$L$264,0)</f>
        <v/>
      </c>
      <c r="E230" s="175">
        <f>SUMIF('13_Progress_Track'!$A$2:$A$108,B231,'13_Progress_Track'!$E$2:$E$108)</f>
        <v/>
      </c>
      <c r="F230" s="175">
        <f>IF(E231&gt;(C231+D231),(E231-(C231+D231)),0)</f>
        <v/>
      </c>
      <c r="G230" s="177">
        <f>IF(F231&gt;0,0,C231+D231-E231)</f>
        <v/>
      </c>
      <c r="H230" s="148">
        <f>_xludf.IFNA(_xlfn.XLOOKUP(B231,'00_SKU_Master'!$B$2:$B$378,'00_SKU_Master'!$C$2:$C$378),"")</f>
        <v/>
      </c>
      <c r="I230" s="148" t="n"/>
      <c r="J230" s="14">
        <f>_xludf.IFNA(_xlfn.XLOOKUP(B231,'00_SKU_Master'!B$2:B$378,'00_SKU_Master'!H$2:H$378,0),"")</f>
        <v/>
      </c>
      <c r="K230" s="14">
        <f>_xludf.IFNA(_xlfn.XLOOKUP(B231,'00_SKU_Master'!B$2:B$378,'00_SKU_Master'!K$2:K$378,0),"")</f>
        <v/>
      </c>
      <c r="L230" s="148">
        <f>_xlfn.XLOOKUP(B231,'00_SKU_Master'!$B$2:$B$378,'00_SKU_Master'!D:D)</f>
        <v/>
      </c>
      <c r="M230" s="148">
        <f>IF((C231-E231)&lt;0,0,C231-E231)</f>
        <v/>
      </c>
      <c r="O230" s="178" t="n"/>
    </row>
    <row r="231">
      <c r="A231" s="148">
        <f>'00_SKU_Master'!J323</f>
        <v/>
      </c>
      <c r="B231" s="148">
        <f>'00_SKU_Master'!B323</f>
        <v/>
      </c>
      <c r="C231" s="175">
        <f>_xlfn.XLOOKUP(B232,'02_TrayPack_Order'!$A$2:$A$264,'02_TrayPack_Order'!$C$2:$C$264)</f>
        <v/>
      </c>
      <c r="D231" s="176">
        <f>_xlfn.XLOOKUP(B232,'02_TrayPack_Order'!$A$2:$A$264,'02_TrayPack_Order'!$L$2:$L$264,0)</f>
        <v/>
      </c>
      <c r="E231" s="175">
        <f>SUMIF('13_Progress_Track'!$A$2:$A$108,B232,'13_Progress_Track'!$E$2:$E$108)</f>
        <v/>
      </c>
      <c r="F231" s="175">
        <f>IF(E232&gt;(C232+D232),(E232-(C232+D232)),0)</f>
        <v/>
      </c>
      <c r="G231" s="177">
        <f>IF(F232&gt;0,0,C232+D232-E232)</f>
        <v/>
      </c>
      <c r="H231" s="148">
        <f>_xludf.IFNA(_xlfn.XLOOKUP(B232,'00_SKU_Master'!$B$2:$B$378,'00_SKU_Master'!$C$2:$C$378),"")</f>
        <v/>
      </c>
      <c r="I231" s="148" t="n"/>
      <c r="J231" s="14">
        <f>_xludf.IFNA(_xlfn.XLOOKUP(B232,'00_SKU_Master'!B$2:B$378,'00_SKU_Master'!H$2:H$378,0),"")</f>
        <v/>
      </c>
      <c r="K231" s="14">
        <f>_xludf.IFNA(_xlfn.XLOOKUP(B232,'00_SKU_Master'!B$2:B$378,'00_SKU_Master'!K$2:K$378,0),"")</f>
        <v/>
      </c>
      <c r="L231" s="148">
        <f>_xlfn.XLOOKUP(B232,'00_SKU_Master'!$B$2:$B$378,'00_SKU_Master'!D:D)</f>
        <v/>
      </c>
      <c r="M231" s="148">
        <f>IF((C232-E232)&lt;0,0,C232-E232)</f>
        <v/>
      </c>
    </row>
    <row r="232">
      <c r="A232" s="148">
        <f>'00_SKU_Master'!J324</f>
        <v/>
      </c>
      <c r="B232" s="148">
        <f>'00_SKU_Master'!B324</f>
        <v/>
      </c>
      <c r="C232" s="175">
        <f>_xlfn.XLOOKUP(B233,'02_TrayPack_Order'!$A$2:$A$264,'02_TrayPack_Order'!$C$2:$C$264)</f>
        <v/>
      </c>
      <c r="D232" s="176">
        <f>_xlfn.XLOOKUP(B233,'02_TrayPack_Order'!$A$2:$A$264,'02_TrayPack_Order'!$L$2:$L$264,0)</f>
        <v/>
      </c>
      <c r="E232" s="175">
        <f>SUMIF('13_Progress_Track'!$A$2:$A$108,B233,'13_Progress_Track'!$E$2:$E$108)</f>
        <v/>
      </c>
      <c r="F232" s="175">
        <f>IF(E233&gt;(C233+D233),(E233-(C233+D233)),0)</f>
        <v/>
      </c>
      <c r="G232" s="177">
        <f>IF(F233&gt;0,0,C233+D233-E233)</f>
        <v/>
      </c>
      <c r="H232" s="148">
        <f>_xludf.IFNA(_xlfn.XLOOKUP(B233,'00_SKU_Master'!$B$2:$B$378,'00_SKU_Master'!$C$2:$C$378),"")</f>
        <v/>
      </c>
      <c r="I232" s="148" t="n"/>
      <c r="J232" s="14">
        <f>_xludf.IFNA(_xlfn.XLOOKUP(B233,'00_SKU_Master'!B$2:B$378,'00_SKU_Master'!H$2:H$378,0),"")</f>
        <v/>
      </c>
      <c r="K232" s="14">
        <f>_xludf.IFNA(_xlfn.XLOOKUP(B233,'00_SKU_Master'!B$2:B$378,'00_SKU_Master'!K$2:K$378,0),"")</f>
        <v/>
      </c>
      <c r="L232" s="148">
        <f>_xlfn.XLOOKUP(B233,'00_SKU_Master'!$B$2:$B$378,'00_SKU_Master'!D:D)</f>
        <v/>
      </c>
      <c r="M232" s="148">
        <f>IF((C233-E233)&lt;0,0,C233-E233)</f>
        <v/>
      </c>
    </row>
    <row r="233">
      <c r="A233" s="148">
        <f>'00_SKU_Master'!J325</f>
        <v/>
      </c>
      <c r="B233" s="148">
        <f>'00_SKU_Master'!B325</f>
        <v/>
      </c>
      <c r="C233" s="175">
        <f>_xlfn.XLOOKUP(B234,'02_TrayPack_Order'!$A$2:$A$264,'02_TrayPack_Order'!$C$2:$C$264)</f>
        <v/>
      </c>
      <c r="D233" s="176">
        <f>_xlfn.XLOOKUP(B234,'02_TrayPack_Order'!$A$2:$A$264,'02_TrayPack_Order'!$L$2:$L$264,0)</f>
        <v/>
      </c>
      <c r="E233" s="175">
        <f>SUMIF('13_Progress_Track'!$A$2:$A$108,B234,'13_Progress_Track'!$E$2:$E$108)</f>
        <v/>
      </c>
      <c r="F233" s="175">
        <f>IF(E234&gt;(C234+D234),(E234-(C234+D234)),0)</f>
        <v/>
      </c>
      <c r="G233" s="177">
        <f>IF(F234&gt;0,0,C234+D234-E234)</f>
        <v/>
      </c>
      <c r="H233" s="148">
        <f>_xludf.IFNA(_xlfn.XLOOKUP(B234,'00_SKU_Master'!$B$2:$B$378,'00_SKU_Master'!$C$2:$C$378),"")</f>
        <v/>
      </c>
      <c r="I233" s="148" t="n"/>
      <c r="J233" s="14">
        <f>_xludf.IFNA(_xlfn.XLOOKUP(B234,'00_SKU_Master'!B$2:B$378,'00_SKU_Master'!H$2:H$378,0),"")</f>
        <v/>
      </c>
      <c r="K233" s="14">
        <f>_xludf.IFNA(_xlfn.XLOOKUP(B234,'00_SKU_Master'!B$2:B$378,'00_SKU_Master'!K$2:K$378,0),"")</f>
        <v/>
      </c>
      <c r="L233" s="148">
        <f>_xlfn.XLOOKUP(B234,'00_SKU_Master'!$B$2:$B$378,'00_SKU_Master'!D:D)</f>
        <v/>
      </c>
      <c r="M233" s="148">
        <f>IF((C234-E234)&lt;0,0,C234-E234)</f>
        <v/>
      </c>
    </row>
    <row r="234">
      <c r="A234" s="148">
        <f>'00_SKU_Master'!J326</f>
        <v/>
      </c>
      <c r="B234" s="148">
        <f>'00_SKU_Master'!B326</f>
        <v/>
      </c>
      <c r="C234" s="175">
        <f>_xlfn.XLOOKUP(B235,'02_TrayPack_Order'!$A$2:$A$264,'02_TrayPack_Order'!$C$2:$C$264)</f>
        <v/>
      </c>
      <c r="D234" s="176">
        <f>_xlfn.XLOOKUP(B235,'02_TrayPack_Order'!$A$2:$A$264,'02_TrayPack_Order'!$L$2:$L$264,0)</f>
        <v/>
      </c>
      <c r="E234" s="175">
        <f>SUMIF('13_Progress_Track'!$A$2:$A$108,B235,'13_Progress_Track'!$E$2:$E$108)</f>
        <v/>
      </c>
      <c r="F234" s="175">
        <f>IF(E235&gt;(C235+D235),(E235-(C235+D235)),0)</f>
        <v/>
      </c>
      <c r="G234" s="177">
        <f>IF(F235&gt;0,0,C235+D235-E235)</f>
        <v/>
      </c>
      <c r="H234" s="148">
        <f>_xludf.IFNA(_xlfn.XLOOKUP(B235,'00_SKU_Master'!$B$2:$B$378,'00_SKU_Master'!$C$2:$C$378),"")</f>
        <v/>
      </c>
      <c r="I234" s="148" t="n"/>
      <c r="J234" s="14">
        <f>_xludf.IFNA(_xlfn.XLOOKUP(B235,'00_SKU_Master'!B$2:B$378,'00_SKU_Master'!H$2:H$378,0),"")</f>
        <v/>
      </c>
      <c r="K234" s="14">
        <f>_xludf.IFNA(_xlfn.XLOOKUP(B235,'00_SKU_Master'!B$2:B$378,'00_SKU_Master'!K$2:K$378,0),"")</f>
        <v/>
      </c>
      <c r="L234" s="148">
        <f>_xlfn.XLOOKUP(B235,'00_SKU_Master'!$B$2:$B$378,'00_SKU_Master'!D:D)</f>
        <v/>
      </c>
      <c r="M234" s="148">
        <f>IF((C235-E235)&lt;0,0,C235-E235)</f>
        <v/>
      </c>
    </row>
    <row r="235">
      <c r="A235" s="148">
        <f>'00_SKU_Master'!J327</f>
        <v/>
      </c>
      <c r="B235" s="148">
        <f>'00_SKU_Master'!B327</f>
        <v/>
      </c>
      <c r="C235" s="175">
        <f>_xlfn.XLOOKUP(B236,'02_TrayPack_Order'!$A$2:$A$264,'02_TrayPack_Order'!$C$2:$C$264)</f>
        <v/>
      </c>
      <c r="D235" s="176">
        <f>_xlfn.XLOOKUP(B236,'02_TrayPack_Order'!$A$2:$A$264,'02_TrayPack_Order'!$L$2:$L$264,0)</f>
        <v/>
      </c>
      <c r="E235" s="175">
        <f>SUMIF('13_Progress_Track'!$A$2:$A$108,B236,'13_Progress_Track'!$E$2:$E$108)</f>
        <v/>
      </c>
      <c r="F235" s="175">
        <f>IF(E236&gt;(C236+D236),(E236-(C236+D236)),0)</f>
        <v/>
      </c>
      <c r="G235" s="177">
        <f>IF(F236&gt;0,0,C236+D236-E236)</f>
        <v/>
      </c>
      <c r="H235" s="148">
        <f>_xludf.IFNA(_xlfn.XLOOKUP(B236,'00_SKU_Master'!$B$2:$B$378,'00_SKU_Master'!$C$2:$C$378),"")</f>
        <v/>
      </c>
      <c r="I235" s="148" t="n"/>
      <c r="J235" s="14">
        <f>_xludf.IFNA(_xlfn.XLOOKUP(B236,'00_SKU_Master'!B$2:B$378,'00_SKU_Master'!H$2:H$378,0),"")</f>
        <v/>
      </c>
      <c r="K235" s="14">
        <f>_xludf.IFNA(_xlfn.XLOOKUP(B236,'00_SKU_Master'!B$2:B$378,'00_SKU_Master'!K$2:K$378,0),"")</f>
        <v/>
      </c>
      <c r="L235" s="148">
        <f>_xlfn.XLOOKUP(B236,'00_SKU_Master'!$B$2:$B$378,'00_SKU_Master'!D:D)</f>
        <v/>
      </c>
      <c r="M235" s="148">
        <f>IF((C236-E236)&lt;0,0,C236-E236)</f>
        <v/>
      </c>
    </row>
    <row r="236">
      <c r="A236" s="148">
        <f>'00_SKU_Master'!J328</f>
        <v/>
      </c>
      <c r="B236" s="148">
        <f>'00_SKU_Master'!B328</f>
        <v/>
      </c>
      <c r="C236" s="175">
        <f>_xlfn.XLOOKUP(B237,'02_TrayPack_Order'!$A$2:$A$264,'02_TrayPack_Order'!$C$2:$C$264)</f>
        <v/>
      </c>
      <c r="D236" s="176">
        <f>_xlfn.XLOOKUP(B237,'02_TrayPack_Order'!$A$2:$A$264,'02_TrayPack_Order'!$L$2:$L$264,0)</f>
        <v/>
      </c>
      <c r="E236" s="175">
        <f>SUMIF('13_Progress_Track'!$A$2:$A$108,B237,'13_Progress_Track'!$E$2:$E$108)</f>
        <v/>
      </c>
      <c r="F236" s="175">
        <f>IF(E237&gt;(C237+D237),(E237-(C237+D237)),0)</f>
        <v/>
      </c>
      <c r="G236" s="177">
        <f>IF(F237&gt;0,0,C237+D237-E237)</f>
        <v/>
      </c>
      <c r="H236" s="148">
        <f>_xludf.IFNA(_xlfn.XLOOKUP(B237,'00_SKU_Master'!$B$2:$B$378,'00_SKU_Master'!$C$2:$C$378),"")</f>
        <v/>
      </c>
      <c r="I236" s="148" t="n"/>
      <c r="J236" s="14">
        <f>_xludf.IFNA(_xlfn.XLOOKUP(B237,'00_SKU_Master'!B$2:B$378,'00_SKU_Master'!H$2:H$378,0),"")</f>
        <v/>
      </c>
      <c r="K236" s="14">
        <f>_xludf.IFNA(_xlfn.XLOOKUP(B237,'00_SKU_Master'!B$2:B$378,'00_SKU_Master'!K$2:K$378,0),"")</f>
        <v/>
      </c>
      <c r="L236" s="148">
        <f>_xlfn.XLOOKUP(B237,'00_SKU_Master'!$B$2:$B$378,'00_SKU_Master'!D:D)</f>
        <v/>
      </c>
      <c r="M236" s="148">
        <f>IF((C237-E237)&lt;0,0,C237-E237)</f>
        <v/>
      </c>
    </row>
    <row r="237">
      <c r="A237" s="148">
        <f>'00_SKU_Master'!J329</f>
        <v/>
      </c>
      <c r="B237" s="148">
        <f>'00_SKU_Master'!B329</f>
        <v/>
      </c>
      <c r="C237" s="175">
        <f>_xlfn.XLOOKUP(B238,'02_TrayPack_Order'!$A$2:$A$264,'02_TrayPack_Order'!$C$2:$C$264)</f>
        <v/>
      </c>
      <c r="D237" s="176">
        <f>_xlfn.XLOOKUP(B238,'02_TrayPack_Order'!$A$2:$A$264,'02_TrayPack_Order'!$L$2:$L$264,0)</f>
        <v/>
      </c>
      <c r="E237" s="175">
        <f>SUMIF('13_Progress_Track'!$A$2:$A$108,B238,'13_Progress_Track'!$E$2:$E$108)</f>
        <v/>
      </c>
      <c r="F237" s="175">
        <f>IF(E238&gt;(C238+D238),(E238-(C238+D238)),0)</f>
        <v/>
      </c>
      <c r="G237" s="177">
        <f>IF(F238&gt;0,0,C238+D238-E238)</f>
        <v/>
      </c>
      <c r="H237" s="148">
        <f>_xludf.IFNA(_xlfn.XLOOKUP(B238,'00_SKU_Master'!$B$2:$B$378,'00_SKU_Master'!$C$2:$C$378),"")</f>
        <v/>
      </c>
      <c r="I237" s="148" t="n"/>
      <c r="J237" s="14">
        <f>_xludf.IFNA(_xlfn.XLOOKUP(B238,'00_SKU_Master'!B$2:B$378,'00_SKU_Master'!H$2:H$378,0),"")</f>
        <v/>
      </c>
      <c r="K237" s="14">
        <f>_xludf.IFNA(_xlfn.XLOOKUP(B238,'00_SKU_Master'!B$2:B$378,'00_SKU_Master'!K$2:K$378,0),"")</f>
        <v/>
      </c>
      <c r="L237" s="148">
        <f>_xlfn.XLOOKUP(B238,'00_SKU_Master'!$B$2:$B$378,'00_SKU_Master'!D:D)</f>
        <v/>
      </c>
      <c r="M237" s="148">
        <f>IF((C238-E238)&lt;0,0,C238-E238)</f>
        <v/>
      </c>
    </row>
    <row r="238">
      <c r="A238" s="148">
        <f>'00_SKU_Master'!J330</f>
        <v/>
      </c>
      <c r="B238" s="148">
        <f>'00_SKU_Master'!B330</f>
        <v/>
      </c>
      <c r="C238" s="175">
        <f>_xlfn.XLOOKUP(B239,'02_TrayPack_Order'!$A$2:$A$264,'02_TrayPack_Order'!$C$2:$C$264)</f>
        <v/>
      </c>
      <c r="D238" s="176">
        <f>_xlfn.XLOOKUP(B239,'02_TrayPack_Order'!$A$2:$A$264,'02_TrayPack_Order'!$L$2:$L$264,0)</f>
        <v/>
      </c>
      <c r="E238" s="175">
        <f>SUMIF('13_Progress_Track'!$A$2:$A$108,B239,'13_Progress_Track'!$E$2:$E$108)</f>
        <v/>
      </c>
      <c r="F238" s="175">
        <f>IF(E239&gt;(C239+D239),(E239-(C239+D239)),0)</f>
        <v/>
      </c>
      <c r="G238" s="177">
        <f>IF(F239&gt;0,0,C239+D239-E239)</f>
        <v/>
      </c>
      <c r="H238" s="148">
        <f>_xludf.IFNA(_xlfn.XLOOKUP(B239,'00_SKU_Master'!$B$2:$B$378,'00_SKU_Master'!$C$2:$C$378),"")</f>
        <v/>
      </c>
      <c r="I238" s="148" t="n"/>
      <c r="J238" s="14">
        <f>_xludf.IFNA(_xlfn.XLOOKUP(B239,'00_SKU_Master'!B$2:B$378,'00_SKU_Master'!H$2:H$378,0),"")</f>
        <v/>
      </c>
      <c r="K238" s="14">
        <f>_xludf.IFNA(_xlfn.XLOOKUP(B239,'00_SKU_Master'!B$2:B$378,'00_SKU_Master'!K$2:K$378,0),"")</f>
        <v/>
      </c>
      <c r="L238" s="148">
        <f>_xlfn.XLOOKUP(B239,'00_SKU_Master'!$B$2:$B$378,'00_SKU_Master'!D:D)</f>
        <v/>
      </c>
      <c r="M238" s="148">
        <f>IF((C239-E239)&lt;0,0,C239-E239)</f>
        <v/>
      </c>
    </row>
    <row r="239">
      <c r="A239" s="148">
        <f>'00_SKU_Master'!J331</f>
        <v/>
      </c>
      <c r="B239" s="148">
        <f>'00_SKU_Master'!B331</f>
        <v/>
      </c>
      <c r="C239" s="175">
        <f>_xlfn.XLOOKUP(B240,'02_TrayPack_Order'!$A$2:$A$264,'02_TrayPack_Order'!$C$2:$C$264)</f>
        <v/>
      </c>
      <c r="D239" s="176">
        <f>_xlfn.XLOOKUP(B240,'02_TrayPack_Order'!$A$2:$A$264,'02_TrayPack_Order'!$L$2:$L$264,0)</f>
        <v/>
      </c>
      <c r="E239" s="175">
        <f>SUMIF('13_Progress_Track'!$A$2:$A$108,B240,'13_Progress_Track'!$E$2:$E$108)</f>
        <v/>
      </c>
      <c r="F239" s="175">
        <f>IF(E240&gt;(C240+D240),(E240-(C240+D240)),0)</f>
        <v/>
      </c>
      <c r="G239" s="177">
        <f>IF(F240&gt;0,0,C240+D240-E240)</f>
        <v/>
      </c>
      <c r="H239" s="148">
        <f>_xludf.IFNA(_xlfn.XLOOKUP(B240,'00_SKU_Master'!$B$2:$B$378,'00_SKU_Master'!$C$2:$C$378),"")</f>
        <v/>
      </c>
      <c r="I239" s="148" t="n"/>
      <c r="J239" s="14">
        <f>_xludf.IFNA(_xlfn.XLOOKUP(B240,'00_SKU_Master'!B$2:B$378,'00_SKU_Master'!H$2:H$378,0),"")</f>
        <v/>
      </c>
      <c r="K239" s="14">
        <f>_xludf.IFNA(_xlfn.XLOOKUP(B240,'00_SKU_Master'!B$2:B$378,'00_SKU_Master'!K$2:K$378,0),"")</f>
        <v/>
      </c>
      <c r="L239" s="148">
        <f>_xlfn.XLOOKUP(B240,'00_SKU_Master'!$B$2:$B$378,'00_SKU_Master'!D:D)</f>
        <v/>
      </c>
      <c r="M239" s="148">
        <f>IF((C240-E240)&lt;0,0,C240-E240)</f>
        <v/>
      </c>
    </row>
    <row r="240">
      <c r="A240" s="148">
        <f>'00_SKU_Master'!J332</f>
        <v/>
      </c>
      <c r="B240" s="148">
        <f>'00_SKU_Master'!B332</f>
        <v/>
      </c>
      <c r="C240" s="175">
        <f>_xlfn.XLOOKUP(B241,'02_TrayPack_Order'!$A$2:$A$264,'02_TrayPack_Order'!$C$2:$C$264)</f>
        <v/>
      </c>
      <c r="D240" s="176">
        <f>_xlfn.XLOOKUP(B241,'02_TrayPack_Order'!$A$2:$A$264,'02_TrayPack_Order'!$L$2:$L$264,0)</f>
        <v/>
      </c>
      <c r="E240" s="175">
        <f>SUMIF('13_Progress_Track'!$A$2:$A$108,B241,'13_Progress_Track'!$E$2:$E$108)</f>
        <v/>
      </c>
      <c r="F240" s="175">
        <f>IF(E241&gt;(C241+D241),(E241-(C241+D241)),0)</f>
        <v/>
      </c>
      <c r="G240" s="177">
        <f>IF(F241&gt;0,0,C241+D241-E241)</f>
        <v/>
      </c>
      <c r="H240" s="148">
        <f>_xludf.IFNA(_xlfn.XLOOKUP(B241,'00_SKU_Master'!$B$2:$B$378,'00_SKU_Master'!$C$2:$C$378),"")</f>
        <v/>
      </c>
      <c r="I240" s="148" t="n"/>
      <c r="J240" s="14">
        <f>_xludf.IFNA(_xlfn.XLOOKUP(B241,'00_SKU_Master'!B$2:B$378,'00_SKU_Master'!H$2:H$378,0),"")</f>
        <v/>
      </c>
      <c r="K240" s="14">
        <f>_xludf.IFNA(_xlfn.XLOOKUP(B241,'00_SKU_Master'!B$2:B$378,'00_SKU_Master'!K$2:K$378,0),"")</f>
        <v/>
      </c>
      <c r="L240" s="148">
        <f>_xlfn.XLOOKUP(B241,'00_SKU_Master'!$B$2:$B$378,'00_SKU_Master'!D:D)</f>
        <v/>
      </c>
      <c r="M240" s="148">
        <f>IF((C241-E241)&lt;0,0,C241-E241)</f>
        <v/>
      </c>
    </row>
    <row r="241">
      <c r="A241" s="148">
        <f>'00_SKU_Master'!J333</f>
        <v/>
      </c>
      <c r="B241" s="148">
        <f>'00_SKU_Master'!B333</f>
        <v/>
      </c>
      <c r="C241" s="175">
        <f>_xlfn.XLOOKUP(B242,'02_TrayPack_Order'!$A$2:$A$264,'02_TrayPack_Order'!$C$2:$C$264)</f>
        <v/>
      </c>
      <c r="D241" s="176">
        <f>_xlfn.XLOOKUP(B242,'02_TrayPack_Order'!$A$2:$A$264,'02_TrayPack_Order'!$L$2:$L$264,0)</f>
        <v/>
      </c>
      <c r="E241" s="175">
        <f>SUMIF('13_Progress_Track'!$A$2:$A$108,B242,'13_Progress_Track'!$E$2:$E$108)</f>
        <v/>
      </c>
      <c r="F241" s="175">
        <f>IF(E242&gt;(C242+D242),(E242-(C242+D242)),0)</f>
        <v/>
      </c>
      <c r="G241" s="177">
        <f>IF(F242&gt;0,0,C242+D242-E242)</f>
        <v/>
      </c>
      <c r="H241" s="148">
        <f>_xludf.IFNA(_xlfn.XLOOKUP(B242,'00_SKU_Master'!$B$2:$B$378,'00_SKU_Master'!$C$2:$C$378),"")</f>
        <v/>
      </c>
      <c r="I241" s="148" t="n"/>
      <c r="J241" s="14">
        <f>_xludf.IFNA(_xlfn.XLOOKUP(B242,'00_SKU_Master'!B$2:B$378,'00_SKU_Master'!H$2:H$378,0),"")</f>
        <v/>
      </c>
      <c r="K241" s="14">
        <f>_xludf.IFNA(_xlfn.XLOOKUP(B242,'00_SKU_Master'!B$2:B$378,'00_SKU_Master'!K$2:K$378,0),"")</f>
        <v/>
      </c>
      <c r="L241" s="148">
        <f>_xlfn.XLOOKUP(B242,'00_SKU_Master'!$B$2:$B$378,'00_SKU_Master'!D:D)</f>
        <v/>
      </c>
      <c r="M241" s="148">
        <f>IF((C242-E242)&lt;0,0,C242-E242)</f>
        <v/>
      </c>
    </row>
    <row r="242">
      <c r="A242" s="148">
        <f>'00_SKU_Master'!J334</f>
        <v/>
      </c>
      <c r="B242" s="148">
        <f>'00_SKU_Master'!B334</f>
        <v/>
      </c>
      <c r="C242" s="175">
        <f>_xlfn.XLOOKUP(B243,'02_TrayPack_Order'!$A$2:$A$264,'02_TrayPack_Order'!$C$2:$C$264)</f>
        <v/>
      </c>
      <c r="D242" s="176">
        <f>_xlfn.XLOOKUP(B243,'02_TrayPack_Order'!$A$2:$A$264,'02_TrayPack_Order'!$L$2:$L$264,0)</f>
        <v/>
      </c>
      <c r="E242" s="175">
        <f>SUMIF('13_Progress_Track'!$A$2:$A$108,B243,'13_Progress_Track'!$E$2:$E$108)</f>
        <v/>
      </c>
      <c r="F242" s="175">
        <f>IF(E243&gt;(C243+D243),(E243-(C243+D243)),0)</f>
        <v/>
      </c>
      <c r="G242" s="177">
        <f>IF(F243&gt;0,0,C243+D243-E243)</f>
        <v/>
      </c>
      <c r="H242" s="148">
        <f>_xludf.IFNA(_xlfn.XLOOKUP(B243,'00_SKU_Master'!$B$2:$B$378,'00_SKU_Master'!$C$2:$C$378),"")</f>
        <v/>
      </c>
      <c r="I242" s="148" t="n"/>
      <c r="J242" s="14">
        <f>_xludf.IFNA(_xlfn.XLOOKUP(B243,'00_SKU_Master'!B$2:B$378,'00_SKU_Master'!H$2:H$378,0),"")</f>
        <v/>
      </c>
      <c r="K242" s="14">
        <f>_xludf.IFNA(_xlfn.XLOOKUP(B243,'00_SKU_Master'!B$2:B$378,'00_SKU_Master'!K$2:K$378,0),"")</f>
        <v/>
      </c>
      <c r="L242" s="148">
        <f>_xlfn.XLOOKUP(B243,'00_SKU_Master'!$B$2:$B$378,'00_SKU_Master'!D:D)</f>
        <v/>
      </c>
      <c r="M242" s="148">
        <f>IF((C243-E243)&lt;0,0,C243-E243)</f>
        <v/>
      </c>
    </row>
    <row r="243">
      <c r="A243" s="148">
        <f>'00_SKU_Master'!J335</f>
        <v/>
      </c>
      <c r="B243" s="148">
        <f>'00_SKU_Master'!B335</f>
        <v/>
      </c>
      <c r="C243" s="175">
        <f>_xlfn.XLOOKUP(B244,'02_TrayPack_Order'!$A$2:$A$264,'02_TrayPack_Order'!$C$2:$C$264)</f>
        <v/>
      </c>
      <c r="D243" s="176">
        <f>_xlfn.XLOOKUP(B244,'02_TrayPack_Order'!$A$2:$A$264,'02_TrayPack_Order'!$L$2:$L$264,0)</f>
        <v/>
      </c>
      <c r="E243" s="175">
        <f>SUMIF('13_Progress_Track'!$A$2:$A$108,B244,'13_Progress_Track'!$E$2:$E$108)</f>
        <v/>
      </c>
      <c r="F243" s="175">
        <f>IF(E244&gt;(C244+D244),(E244-(C244+D244)),0)</f>
        <v/>
      </c>
      <c r="G243" s="177">
        <f>IF(F244&gt;0,0,C244+D244-E244)</f>
        <v/>
      </c>
      <c r="H243" s="148">
        <f>_xludf.IFNA(_xlfn.XLOOKUP(B244,'00_SKU_Master'!$B$2:$B$378,'00_SKU_Master'!$C$2:$C$378),"")</f>
        <v/>
      </c>
      <c r="I243" s="179" t="n"/>
      <c r="J243" s="14">
        <f>_xludf.IFNA(_xlfn.XLOOKUP(B244,'00_SKU_Master'!B$2:B$378,'00_SKU_Master'!H$2:H$378,0),"")</f>
        <v/>
      </c>
      <c r="K243" s="14">
        <f>_xludf.IFNA(_xlfn.XLOOKUP(B244,'00_SKU_Master'!B$2:B$378,'00_SKU_Master'!K$2:K$378,0),"")</f>
        <v/>
      </c>
      <c r="L243" s="148">
        <f>_xlfn.XLOOKUP(B244,'00_SKU_Master'!$B$2:$B$378,'00_SKU_Master'!D:D)</f>
        <v/>
      </c>
      <c r="M243" s="148">
        <f>IF((C244-E244)&lt;0,0,C244-E244)</f>
        <v/>
      </c>
    </row>
    <row r="244">
      <c r="A244" s="148">
        <f>'00_SKU_Master'!J336</f>
        <v/>
      </c>
      <c r="B244" s="148">
        <f>'00_SKU_Master'!B336</f>
        <v/>
      </c>
      <c r="C244" s="175">
        <f>_xlfn.XLOOKUP(B245,'02_TrayPack_Order'!$A$2:$A$264,'02_TrayPack_Order'!$C$2:$C$264)</f>
        <v/>
      </c>
      <c r="D244" s="176">
        <f>_xlfn.XLOOKUP(B245,'02_TrayPack_Order'!$A$2:$A$264,'02_TrayPack_Order'!$L$2:$L$264,0)</f>
        <v/>
      </c>
      <c r="E244" s="175">
        <f>SUMIF('13_Progress_Track'!$A$2:$A$108,B245,'13_Progress_Track'!$E$2:$E$108)</f>
        <v/>
      </c>
      <c r="F244" s="175">
        <f>IF(E245&gt;(C245+D245),(E245-(C245+D245)),0)</f>
        <v/>
      </c>
      <c r="G244" s="177">
        <f>IF(F245&gt;0,0,C245+D245-E245)</f>
        <v/>
      </c>
      <c r="H244" s="148">
        <f>_xludf.IFNA(_xlfn.XLOOKUP(B245,'00_SKU_Master'!$B$2:$B$378,'00_SKU_Master'!$C$2:$C$378),"")</f>
        <v/>
      </c>
      <c r="I244" s="179" t="n"/>
      <c r="J244" s="14">
        <f>_xludf.IFNA(_xlfn.XLOOKUP(B245,'00_SKU_Master'!B$2:B$378,'00_SKU_Master'!H$2:H$378,0),"")</f>
        <v/>
      </c>
      <c r="K244" s="14">
        <f>_xludf.IFNA(_xlfn.XLOOKUP(B245,'00_SKU_Master'!B$2:B$378,'00_SKU_Master'!K$2:K$378,0),"")</f>
        <v/>
      </c>
      <c r="L244" s="148">
        <f>_xlfn.XLOOKUP(B245,'00_SKU_Master'!$B$2:$B$378,'00_SKU_Master'!D:D)</f>
        <v/>
      </c>
      <c r="M244" s="148">
        <f>IF((C245-E245)&lt;0,0,C245-E245)</f>
        <v/>
      </c>
    </row>
    <row r="245">
      <c r="A245" s="148">
        <f>'00_SKU_Master'!J337</f>
        <v/>
      </c>
      <c r="B245" s="148">
        <f>'00_SKU_Master'!B337</f>
        <v/>
      </c>
      <c r="C245" s="175">
        <f>_xlfn.XLOOKUP(B246,'02_TrayPack_Order'!$A$2:$A$264,'02_TrayPack_Order'!$C$2:$C$264)</f>
        <v/>
      </c>
      <c r="D245" s="176">
        <f>_xlfn.XLOOKUP(B246,'02_TrayPack_Order'!$A$2:$A$264,'02_TrayPack_Order'!$L$2:$L$264,0)</f>
        <v/>
      </c>
      <c r="E245" s="175">
        <f>SUMIF('13_Progress_Track'!$A$2:$A$108,B246,'13_Progress_Track'!$E$2:$E$108)</f>
        <v/>
      </c>
      <c r="F245" s="175">
        <f>IF(E246&gt;(C246+D246),(E246-(C246+D246)),0)</f>
        <v/>
      </c>
      <c r="G245" s="177">
        <f>IF(F246&gt;0,0,C246+D246-E246)</f>
        <v/>
      </c>
      <c r="H245" s="148">
        <f>_xludf.IFNA(_xlfn.XLOOKUP(B246,'00_SKU_Master'!$B$2:$B$378,'00_SKU_Master'!$C$2:$C$378),"")</f>
        <v/>
      </c>
      <c r="I245" s="179" t="n"/>
      <c r="J245" s="14">
        <f>_xludf.IFNA(_xlfn.XLOOKUP(B246,'00_SKU_Master'!B$2:B$378,'00_SKU_Master'!H$2:H$378,0),"")</f>
        <v/>
      </c>
      <c r="K245" s="14">
        <f>_xludf.IFNA(_xlfn.XLOOKUP(B246,'00_SKU_Master'!B$2:B$378,'00_SKU_Master'!K$2:K$378,0),"")</f>
        <v/>
      </c>
      <c r="L245" s="148">
        <f>_xlfn.XLOOKUP(B246,'00_SKU_Master'!$B$2:$B$378,'00_SKU_Master'!D:D)</f>
        <v/>
      </c>
      <c r="M245" s="148">
        <f>IF((C246-E246)&lt;0,0,C246-E246)</f>
        <v/>
      </c>
    </row>
    <row r="246">
      <c r="A246" s="148">
        <f>'00_SKU_Master'!J338</f>
        <v/>
      </c>
      <c r="B246" s="148">
        <f>'00_SKU_Master'!B338</f>
        <v/>
      </c>
      <c r="C246" s="175">
        <f>_xlfn.XLOOKUP(B247,'02_TrayPack_Order'!$A$2:$A$264,'02_TrayPack_Order'!$C$2:$C$264)</f>
        <v/>
      </c>
      <c r="D246" s="176">
        <f>_xlfn.XLOOKUP(B247,'02_TrayPack_Order'!$A$2:$A$264,'02_TrayPack_Order'!$L$2:$L$264,0)</f>
        <v/>
      </c>
      <c r="E246" s="175">
        <f>SUMIF('13_Progress_Track'!$A$2:$A$108,B247,'13_Progress_Track'!$E$2:$E$108)</f>
        <v/>
      </c>
      <c r="F246" s="175">
        <f>IF(E247&gt;(C247+D247),(E247-(C247+D247)),0)</f>
        <v/>
      </c>
      <c r="G246" s="177">
        <f>IF(F247&gt;0,0,C247+D247-E247)</f>
        <v/>
      </c>
      <c r="H246" s="148">
        <f>_xludf.IFNA(_xlfn.XLOOKUP(B247,'00_SKU_Master'!$B$2:$B$378,'00_SKU_Master'!$C$2:$C$378),"")</f>
        <v/>
      </c>
      <c r="I246" s="179" t="n"/>
      <c r="J246" s="14">
        <f>_xludf.IFNA(_xlfn.XLOOKUP(B247,'00_SKU_Master'!B$2:B$378,'00_SKU_Master'!H$2:H$378,0),"")</f>
        <v/>
      </c>
      <c r="K246" s="14">
        <f>_xludf.IFNA(_xlfn.XLOOKUP(B247,'00_SKU_Master'!B$2:B$378,'00_SKU_Master'!K$2:K$378,0),"")</f>
        <v/>
      </c>
      <c r="L246" s="148">
        <f>_xlfn.XLOOKUP(B247,'00_SKU_Master'!$B$2:$B$378,'00_SKU_Master'!D:D)</f>
        <v/>
      </c>
      <c r="M246" s="148">
        <f>IF((C247-E247)&lt;0,0,C247-E247)</f>
        <v/>
      </c>
    </row>
    <row r="247">
      <c r="A247" s="148">
        <f>'00_SKU_Master'!J339</f>
        <v/>
      </c>
      <c r="B247" s="148">
        <f>'00_SKU_Master'!B339</f>
        <v/>
      </c>
      <c r="C247" s="175">
        <f>_xlfn.XLOOKUP(B248,'02_TrayPack_Order'!$A$2:$A$264,'02_TrayPack_Order'!$C$2:$C$264)</f>
        <v/>
      </c>
      <c r="D247" s="176">
        <f>_xlfn.XLOOKUP(B248,'02_TrayPack_Order'!$A$2:$A$264,'02_TrayPack_Order'!$L$2:$L$264,0)</f>
        <v/>
      </c>
      <c r="E247" s="175">
        <f>SUMIF('13_Progress_Track'!$A$2:$A$108,B248,'13_Progress_Track'!$E$2:$E$108)</f>
        <v/>
      </c>
      <c r="F247" s="175">
        <f>IF(E248&gt;(C248+D248),(E248-(C248+D248)),0)</f>
        <v/>
      </c>
      <c r="G247" s="177">
        <f>IF(F248&gt;0,0,C248+D248-E248)</f>
        <v/>
      </c>
      <c r="H247" s="148">
        <f>_xludf.IFNA(_xlfn.XLOOKUP(B248,'00_SKU_Master'!$B$2:$B$378,'00_SKU_Master'!$C$2:$C$378),"")</f>
        <v/>
      </c>
      <c r="I247" s="179" t="n"/>
      <c r="J247" s="14">
        <f>_xludf.IFNA(_xlfn.XLOOKUP(B248,'00_SKU_Master'!B$2:B$378,'00_SKU_Master'!H$2:H$378,0),"")</f>
        <v/>
      </c>
      <c r="K247" s="14">
        <f>_xludf.IFNA(_xlfn.XLOOKUP(B248,'00_SKU_Master'!B$2:B$378,'00_SKU_Master'!K$2:K$378,0),"")</f>
        <v/>
      </c>
      <c r="L247" s="148">
        <f>_xlfn.XLOOKUP(B248,'00_SKU_Master'!$B$2:$B$378,'00_SKU_Master'!D:D)</f>
        <v/>
      </c>
      <c r="M247" s="148">
        <f>IF((C248-E248)&lt;0,0,C248-E248)</f>
        <v/>
      </c>
    </row>
    <row r="248">
      <c r="A248" s="148">
        <f>'00_SKU_Master'!J340</f>
        <v/>
      </c>
      <c r="B248" s="148">
        <f>'00_SKU_Master'!B340</f>
        <v/>
      </c>
      <c r="C248" s="175">
        <f>_xlfn.XLOOKUP(B249,'02_TrayPack_Order'!$A$2:$A$264,'02_TrayPack_Order'!$C$2:$C$264)</f>
        <v/>
      </c>
      <c r="D248" s="176">
        <f>_xlfn.XLOOKUP(B249,'02_TrayPack_Order'!$A$2:$A$264,'02_TrayPack_Order'!$L$2:$L$264,0)</f>
        <v/>
      </c>
      <c r="E248" s="175">
        <f>SUMIF('13_Progress_Track'!$A$2:$A$108,B249,'13_Progress_Track'!$E$2:$E$108)</f>
        <v/>
      </c>
      <c r="F248" s="175">
        <f>IF(E249&gt;(C249+D249),(E249-(C249+D249)),0)</f>
        <v/>
      </c>
      <c r="G248" s="177">
        <f>IF(F249&gt;0,0,C249+D249-E249)</f>
        <v/>
      </c>
      <c r="H248" s="148">
        <f>_xludf.IFNA(_xlfn.XLOOKUP(B249,'00_SKU_Master'!$B$2:$B$378,'00_SKU_Master'!$C$2:$C$378),"")</f>
        <v/>
      </c>
      <c r="I248" s="179" t="n"/>
      <c r="J248" s="14">
        <f>_xludf.IFNA(_xlfn.XLOOKUP(B249,'00_SKU_Master'!B$2:B$378,'00_SKU_Master'!H$2:H$378,0),"")</f>
        <v/>
      </c>
      <c r="K248" s="14">
        <f>_xludf.IFNA(_xlfn.XLOOKUP(B249,'00_SKU_Master'!B$2:B$378,'00_SKU_Master'!K$2:K$378,0),"")</f>
        <v/>
      </c>
      <c r="L248" s="148">
        <f>_xlfn.XLOOKUP(B249,'00_SKU_Master'!$B$2:$B$378,'00_SKU_Master'!D:D)</f>
        <v/>
      </c>
      <c r="M248" s="148">
        <f>IF((C249-E249)&lt;0,0,C249-E249)</f>
        <v/>
      </c>
    </row>
    <row r="249">
      <c r="A249" s="148">
        <f>'00_SKU_Master'!J341</f>
        <v/>
      </c>
      <c r="B249" s="148">
        <f>'00_SKU_Master'!B341</f>
        <v/>
      </c>
      <c r="C249" s="175">
        <f>_xlfn.XLOOKUP(B250,'02_TrayPack_Order'!$A$2:$A$264,'02_TrayPack_Order'!$C$2:$C$264)</f>
        <v/>
      </c>
      <c r="D249" s="176">
        <f>_xlfn.XLOOKUP(B250,'02_TrayPack_Order'!$A$2:$A$264,'02_TrayPack_Order'!$L$2:$L$264,0)</f>
        <v/>
      </c>
      <c r="E249" s="175">
        <f>SUMIF('13_Progress_Track'!$A$2:$A$108,B250,'13_Progress_Track'!$E$2:$E$108)</f>
        <v/>
      </c>
      <c r="F249" s="175">
        <f>IF(E250&gt;(C250+D250),(E250-(C250+D250)),0)</f>
        <v/>
      </c>
      <c r="G249" s="177">
        <f>IF(F250&gt;0,0,C250+D250-E250)</f>
        <v/>
      </c>
      <c r="H249" s="148">
        <f>_xludf.IFNA(_xlfn.XLOOKUP(B250,'00_SKU_Master'!$B$2:$B$378,'00_SKU_Master'!$C$2:$C$378),"")</f>
        <v/>
      </c>
      <c r="I249" s="179" t="n"/>
      <c r="J249" s="14">
        <f>_xludf.IFNA(_xlfn.XLOOKUP(B250,'00_SKU_Master'!B$2:B$378,'00_SKU_Master'!H$2:H$378,0),"")</f>
        <v/>
      </c>
      <c r="K249" s="14">
        <f>_xludf.IFNA(_xlfn.XLOOKUP(B250,'00_SKU_Master'!B$2:B$378,'00_SKU_Master'!K$2:K$378,0),"")</f>
        <v/>
      </c>
      <c r="L249" s="148">
        <f>_xlfn.XLOOKUP(B250,'00_SKU_Master'!$B$2:$B$378,'00_SKU_Master'!D:D)</f>
        <v/>
      </c>
      <c r="M249" s="148">
        <f>IF((C250-E250)&lt;0,0,C250-E250)</f>
        <v/>
      </c>
    </row>
    <row r="250">
      <c r="A250" s="148">
        <f>'00_SKU_Master'!J342</f>
        <v/>
      </c>
      <c r="B250" s="148">
        <f>'00_SKU_Master'!B342</f>
        <v/>
      </c>
      <c r="C250" s="175">
        <f>_xlfn.XLOOKUP(B251,'02_TrayPack_Order'!$A$2:$A$264,'02_TrayPack_Order'!$C$2:$C$264)</f>
        <v/>
      </c>
      <c r="D250" s="176">
        <f>_xlfn.XLOOKUP(B251,'02_TrayPack_Order'!$A$2:$A$264,'02_TrayPack_Order'!$L$2:$L$264,0)</f>
        <v/>
      </c>
      <c r="E250" s="175">
        <f>SUMIF('13_Progress_Track'!$A$2:$A$108,B251,'13_Progress_Track'!$E$2:$E$108)</f>
        <v/>
      </c>
      <c r="F250" s="175">
        <f>IF(E251&gt;(C251+D251),(E251-(C251+D251)),0)</f>
        <v/>
      </c>
      <c r="G250" s="177">
        <f>IF(F251&gt;0,0,C251+D251-E251)</f>
        <v/>
      </c>
      <c r="H250" s="148">
        <f>_xludf.IFNA(_xlfn.XLOOKUP(B251,'00_SKU_Master'!$B$2:$B$378,'00_SKU_Master'!$C$2:$C$378),"")</f>
        <v/>
      </c>
      <c r="I250" s="179" t="n"/>
      <c r="J250" s="14">
        <f>_xludf.IFNA(_xlfn.XLOOKUP(B251,'00_SKU_Master'!B$2:B$378,'00_SKU_Master'!H$2:H$378,0),"")</f>
        <v/>
      </c>
      <c r="K250" s="14">
        <f>_xludf.IFNA(_xlfn.XLOOKUP(B251,'00_SKU_Master'!B$2:B$378,'00_SKU_Master'!K$2:K$378,0),"")</f>
        <v/>
      </c>
      <c r="L250" s="148">
        <f>_xlfn.XLOOKUP(B251,'00_SKU_Master'!$B$2:$B$378,'00_SKU_Master'!D:D)</f>
        <v/>
      </c>
      <c r="M250" s="148">
        <f>IF((C251-E251)&lt;0,0,C251-E251)</f>
        <v/>
      </c>
    </row>
    <row r="251">
      <c r="A251" s="148">
        <f>'00_SKU_Master'!J343</f>
        <v/>
      </c>
      <c r="B251" s="148">
        <f>'00_SKU_Master'!B343</f>
        <v/>
      </c>
      <c r="C251" s="175">
        <f>_xlfn.XLOOKUP(B252,'02_TrayPack_Order'!$A$2:$A$264,'02_TrayPack_Order'!$C$2:$C$264)</f>
        <v/>
      </c>
      <c r="D251" s="176">
        <f>_xlfn.XLOOKUP(B252,'02_TrayPack_Order'!$A$2:$A$264,'02_TrayPack_Order'!$L$2:$L$264,0)</f>
        <v/>
      </c>
      <c r="E251" s="175">
        <f>SUMIF('13_Progress_Track'!$A$2:$A$108,B252,'13_Progress_Track'!$E$2:$E$108)</f>
        <v/>
      </c>
      <c r="F251" s="175">
        <f>IF(E252&gt;(C252+D252),(E252-(C252+D252)),0)</f>
        <v/>
      </c>
      <c r="G251" s="177">
        <f>IF(F252&gt;0,0,C252+D252-E252)</f>
        <v/>
      </c>
      <c r="H251" s="148">
        <f>_xludf.IFNA(_xlfn.XLOOKUP(B252,'00_SKU_Master'!$B$2:$B$378,'00_SKU_Master'!$C$2:$C$378),"")</f>
        <v/>
      </c>
      <c r="I251" s="179" t="n"/>
      <c r="J251" s="14">
        <f>_xludf.IFNA(_xlfn.XLOOKUP(B252,'00_SKU_Master'!B$2:B$378,'00_SKU_Master'!H$2:H$378,0),"")</f>
        <v/>
      </c>
      <c r="K251" s="14">
        <f>_xludf.IFNA(_xlfn.XLOOKUP(B252,'00_SKU_Master'!B$2:B$378,'00_SKU_Master'!K$2:K$378,0),"")</f>
        <v/>
      </c>
      <c r="L251" s="148">
        <f>_xlfn.XLOOKUP(B252,'00_SKU_Master'!$B$2:$B$378,'00_SKU_Master'!D:D)</f>
        <v/>
      </c>
      <c r="M251" s="148">
        <f>IF((C252-E252)&lt;0,0,C252-E252)</f>
        <v/>
      </c>
    </row>
    <row r="252">
      <c r="A252" s="148">
        <f>'00_SKU_Master'!J344</f>
        <v/>
      </c>
      <c r="B252" s="148">
        <f>'00_SKU_Master'!B344</f>
        <v/>
      </c>
      <c r="C252" s="175">
        <f>_xlfn.XLOOKUP(B253,'02_TrayPack_Order'!$A$2:$A$264,'02_TrayPack_Order'!$C$2:$C$264)</f>
        <v/>
      </c>
      <c r="D252" s="176">
        <f>_xlfn.XLOOKUP(B253,'02_TrayPack_Order'!$A$2:$A$264,'02_TrayPack_Order'!$L$2:$L$264,0)</f>
        <v/>
      </c>
      <c r="E252" s="175">
        <f>SUMIF('13_Progress_Track'!$A$2:$A$108,B253,'13_Progress_Track'!$E$2:$E$108)</f>
        <v/>
      </c>
      <c r="F252" s="175">
        <f>IF(E253&gt;(C253+D253),(E253-(C253+D253)),0)</f>
        <v/>
      </c>
      <c r="G252" s="177">
        <f>IF(F253&gt;0,0,C253+D253-E253)</f>
        <v/>
      </c>
      <c r="H252" s="148">
        <f>_xludf.IFNA(_xlfn.XLOOKUP(B253,'00_SKU_Master'!$B$2:$B$378,'00_SKU_Master'!$C$2:$C$378),"")</f>
        <v/>
      </c>
      <c r="I252" s="179" t="n"/>
      <c r="J252" s="14">
        <f>_xludf.IFNA(_xlfn.XLOOKUP(B253,'00_SKU_Master'!B$2:B$378,'00_SKU_Master'!H$2:H$378,0),"")</f>
        <v/>
      </c>
      <c r="K252" s="14">
        <f>_xludf.IFNA(_xlfn.XLOOKUP(B253,'00_SKU_Master'!B$2:B$378,'00_SKU_Master'!K$2:K$378,0),"")</f>
        <v/>
      </c>
      <c r="L252" s="148">
        <f>_xlfn.XLOOKUP(B253,'00_SKU_Master'!$B$2:$B$378,'00_SKU_Master'!D:D)</f>
        <v/>
      </c>
      <c r="M252" s="148">
        <f>IF((C253-E253)&lt;0,0,C253-E253)</f>
        <v/>
      </c>
    </row>
    <row r="253">
      <c r="A253" s="148">
        <f>'00_SKU_Master'!J345</f>
        <v/>
      </c>
      <c r="B253" s="148">
        <f>'00_SKU_Master'!B345</f>
        <v/>
      </c>
      <c r="C253" s="175">
        <f>_xlfn.XLOOKUP(B254,'02_TrayPack_Order'!$A$2:$A$264,'02_TrayPack_Order'!$C$2:$C$264)</f>
        <v/>
      </c>
      <c r="D253" s="176">
        <f>_xlfn.XLOOKUP(B254,'02_TrayPack_Order'!$A$2:$A$264,'02_TrayPack_Order'!$L$2:$L$264,0)</f>
        <v/>
      </c>
      <c r="E253" s="175">
        <f>SUMIF('13_Progress_Track'!$A$2:$A$108,B254,'13_Progress_Track'!$E$2:$E$108)</f>
        <v/>
      </c>
      <c r="F253" s="175">
        <f>IF(E254&gt;(C254+D254),(E254-(C254+D254)),0)</f>
        <v/>
      </c>
      <c r="G253" s="177">
        <f>IF(F254&gt;0,0,C254+D254-E254)</f>
        <v/>
      </c>
      <c r="H253" s="148">
        <f>_xludf.IFNA(_xlfn.XLOOKUP(B254,'00_SKU_Master'!$B$2:$B$378,'00_SKU_Master'!$C$2:$C$378),"")</f>
        <v/>
      </c>
      <c r="I253" s="179" t="n"/>
      <c r="J253" s="14">
        <f>_xludf.IFNA(_xlfn.XLOOKUP(B254,'00_SKU_Master'!B$2:B$378,'00_SKU_Master'!H$2:H$378,0),"")</f>
        <v/>
      </c>
      <c r="K253" s="14">
        <f>_xludf.IFNA(_xlfn.XLOOKUP(B254,'00_SKU_Master'!B$2:B$378,'00_SKU_Master'!K$2:K$378,0),"")</f>
        <v/>
      </c>
      <c r="L253" s="148">
        <f>_xlfn.XLOOKUP(B254,'00_SKU_Master'!$B$2:$B$378,'00_SKU_Master'!D:D)</f>
        <v/>
      </c>
      <c r="M253" s="148">
        <f>IF((C254-E254)&lt;0,0,C254-E254)</f>
        <v/>
      </c>
    </row>
    <row r="254">
      <c r="A254" s="148">
        <f>'00_SKU_Master'!J346</f>
        <v/>
      </c>
      <c r="B254" s="148">
        <f>'00_SKU_Master'!B346</f>
        <v/>
      </c>
      <c r="C254" s="175">
        <f>_xlfn.XLOOKUP(B255,'02_TrayPack_Order'!$A$2:$A$264,'02_TrayPack_Order'!$C$2:$C$264)</f>
        <v/>
      </c>
      <c r="D254" s="176">
        <f>_xlfn.XLOOKUP(B255,'02_TrayPack_Order'!$A$2:$A$264,'02_TrayPack_Order'!$L$2:$L$264,0)</f>
        <v/>
      </c>
      <c r="E254" s="175">
        <f>SUMIF('13_Progress_Track'!$A$2:$A$108,B255,'13_Progress_Track'!$E$2:$E$108)</f>
        <v/>
      </c>
      <c r="F254" s="175">
        <f>IF(E255&gt;(C255+D255),(E255-(C255+D255)),0)</f>
        <v/>
      </c>
      <c r="G254" s="177">
        <f>IF(F255&gt;0,0,C255+D255-E255)</f>
        <v/>
      </c>
      <c r="H254" s="148">
        <f>_xludf.IFNA(_xlfn.XLOOKUP(B255,'00_SKU_Master'!$B$2:$B$378,'00_SKU_Master'!$C$2:$C$378),"")</f>
        <v/>
      </c>
      <c r="I254" s="179" t="n"/>
      <c r="J254" s="14">
        <f>_xludf.IFNA(_xlfn.XLOOKUP(B255,'00_SKU_Master'!B$2:B$378,'00_SKU_Master'!H$2:H$378,0),"")</f>
        <v/>
      </c>
      <c r="K254" s="14">
        <f>_xludf.IFNA(_xlfn.XLOOKUP(B255,'00_SKU_Master'!B$2:B$378,'00_SKU_Master'!K$2:K$378,0),"")</f>
        <v/>
      </c>
      <c r="L254" s="148">
        <f>_xlfn.XLOOKUP(B255,'00_SKU_Master'!$B$2:$B$378,'00_SKU_Master'!D:D)</f>
        <v/>
      </c>
      <c r="M254" s="148">
        <f>IF((C255-E255)&lt;0,0,C255-E255)</f>
        <v/>
      </c>
    </row>
    <row r="255">
      <c r="A255" s="148">
        <f>'00_SKU_Master'!J347</f>
        <v/>
      </c>
      <c r="B255" s="148">
        <f>'00_SKU_Master'!B347</f>
        <v/>
      </c>
      <c r="C255" s="175">
        <f>_xlfn.XLOOKUP(B256,'02_TrayPack_Order'!$A$2:$A$264,'02_TrayPack_Order'!$C$2:$C$264)</f>
        <v/>
      </c>
      <c r="D255" s="176">
        <f>_xlfn.XLOOKUP(B256,'02_TrayPack_Order'!$A$2:$A$264,'02_TrayPack_Order'!$L$2:$L$264,0)</f>
        <v/>
      </c>
      <c r="E255" s="175">
        <f>SUMIF('13_Progress_Track'!$A$2:$A$108,B256,'13_Progress_Track'!$E$2:$E$108)</f>
        <v/>
      </c>
      <c r="F255" s="175">
        <f>IF(E256&gt;(C256+D256),(E256-(C256+D256)),0)</f>
        <v/>
      </c>
      <c r="G255" s="177">
        <f>IF(F256&gt;0,0,C256+D256-E256)</f>
        <v/>
      </c>
      <c r="H255" s="148">
        <f>_xludf.IFNA(_xlfn.XLOOKUP(B256,'00_SKU_Master'!$B$2:$B$378,'00_SKU_Master'!$C$2:$C$378),"")</f>
        <v/>
      </c>
      <c r="I255" s="179" t="n"/>
      <c r="J255" s="14">
        <f>_xludf.IFNA(_xlfn.XLOOKUP(B256,'00_SKU_Master'!B$2:B$378,'00_SKU_Master'!H$2:H$378,0),"")</f>
        <v/>
      </c>
      <c r="K255" s="14">
        <f>_xludf.IFNA(_xlfn.XLOOKUP(B256,'00_SKU_Master'!B$2:B$378,'00_SKU_Master'!K$2:K$378,0),"")</f>
        <v/>
      </c>
      <c r="L255" s="148">
        <f>_xlfn.XLOOKUP(B256,'00_SKU_Master'!$B$2:$B$378,'00_SKU_Master'!D:D)</f>
        <v/>
      </c>
      <c r="M255" s="148">
        <f>IF((C256-E256)&lt;0,0,C256-E256)</f>
        <v/>
      </c>
    </row>
    <row r="256">
      <c r="A256" s="148">
        <f>'00_SKU_Master'!J348</f>
        <v/>
      </c>
      <c r="B256" s="148">
        <f>'00_SKU_Master'!B348</f>
        <v/>
      </c>
      <c r="C256" s="175">
        <f>_xlfn.XLOOKUP(B257,'02_TrayPack_Order'!$A$2:$A$264,'02_TrayPack_Order'!$C$2:$C$264)</f>
        <v/>
      </c>
      <c r="D256" s="176">
        <f>_xlfn.XLOOKUP(B257,'02_TrayPack_Order'!$A$2:$A$264,'02_TrayPack_Order'!$L$2:$L$264,0)</f>
        <v/>
      </c>
      <c r="E256" s="175">
        <f>SUMIF('13_Progress_Track'!$A$2:$A$108,B257,'13_Progress_Track'!$E$2:$E$108)</f>
        <v/>
      </c>
      <c r="F256" s="175">
        <f>IF(E257&gt;(C257+D257),(E257-(C257+D257)),0)</f>
        <v/>
      </c>
      <c r="G256" s="177">
        <f>IF(F257&gt;0,0,C257+D257-E257)</f>
        <v/>
      </c>
      <c r="H256" s="148">
        <f>_xludf.IFNA(_xlfn.XLOOKUP(B257,'00_SKU_Master'!$B$2:$B$378,'00_SKU_Master'!$C$2:$C$378),"")</f>
        <v/>
      </c>
      <c r="I256" s="179" t="n"/>
      <c r="J256" s="14">
        <f>_xludf.IFNA(_xlfn.XLOOKUP(B257,'00_SKU_Master'!B$2:B$378,'00_SKU_Master'!H$2:H$378,0),"")</f>
        <v/>
      </c>
      <c r="K256" s="14">
        <f>_xludf.IFNA(_xlfn.XLOOKUP(B257,'00_SKU_Master'!B$2:B$378,'00_SKU_Master'!K$2:K$378,0),"")</f>
        <v/>
      </c>
      <c r="L256" s="148">
        <f>_xlfn.XLOOKUP(B257,'00_SKU_Master'!$B$2:$B$378,'00_SKU_Master'!D:D)</f>
        <v/>
      </c>
      <c r="M256" s="148">
        <f>IF((C257-E257)&lt;0,0,C257-E257)</f>
        <v/>
      </c>
    </row>
    <row r="257">
      <c r="A257" s="148">
        <f>'00_SKU_Master'!J349</f>
        <v/>
      </c>
      <c r="B257" s="148">
        <f>'00_SKU_Master'!B349</f>
        <v/>
      </c>
      <c r="C257" s="175">
        <f>_xlfn.XLOOKUP(B258,'02_TrayPack_Order'!$A$2:$A$264,'02_TrayPack_Order'!$C$2:$C$264)</f>
        <v/>
      </c>
      <c r="D257" s="176">
        <f>_xlfn.XLOOKUP(B258,'02_TrayPack_Order'!$A$2:$A$264,'02_TrayPack_Order'!$L$2:$L$264,0)</f>
        <v/>
      </c>
      <c r="E257" s="175">
        <f>SUMIF('13_Progress_Track'!$A$2:$A$108,B258,'13_Progress_Track'!$E$2:$E$108)</f>
        <v/>
      </c>
      <c r="F257" s="175">
        <f>IF(E258&gt;(C258+D258),(E258-(C258+D258)),0)</f>
        <v/>
      </c>
      <c r="G257" s="177">
        <f>IF(F258&gt;0,0,C258+D258-E258)</f>
        <v/>
      </c>
      <c r="H257" s="148">
        <f>_xludf.IFNA(_xlfn.XLOOKUP(B258,'00_SKU_Master'!$B$2:$B$378,'00_SKU_Master'!$C$2:$C$378),"")</f>
        <v/>
      </c>
      <c r="I257" s="179" t="n"/>
      <c r="J257" s="14">
        <f>_xludf.IFNA(_xlfn.XLOOKUP(B258,'00_SKU_Master'!B$2:B$378,'00_SKU_Master'!H$2:H$378,0),"")</f>
        <v/>
      </c>
      <c r="K257" s="14">
        <f>_xludf.IFNA(_xlfn.XLOOKUP(B258,'00_SKU_Master'!B$2:B$378,'00_SKU_Master'!K$2:K$378,0),"")</f>
        <v/>
      </c>
      <c r="L257" s="148">
        <f>_xlfn.XLOOKUP(B258,'00_SKU_Master'!$B$2:$B$378,'00_SKU_Master'!D:D)</f>
        <v/>
      </c>
      <c r="M257" s="148">
        <f>IF((C258-E258)&lt;0,0,C258-E258)</f>
        <v/>
      </c>
    </row>
    <row r="258">
      <c r="A258" s="148">
        <f>'00_SKU_Master'!J350</f>
        <v/>
      </c>
      <c r="B258" s="148">
        <f>'00_SKU_Master'!B350</f>
        <v/>
      </c>
      <c r="C258" s="175">
        <f>_xlfn.XLOOKUP(B259,'02_TrayPack_Order'!$A$2:$A$264,'02_TrayPack_Order'!$C$2:$C$264)</f>
        <v/>
      </c>
      <c r="D258" s="176">
        <f>_xlfn.XLOOKUP(B259,'02_TrayPack_Order'!$A$2:$A$264,'02_TrayPack_Order'!$L$2:$L$264,0)</f>
        <v/>
      </c>
      <c r="E258" s="175">
        <f>SUMIF('13_Progress_Track'!$A$2:$A$108,B259,'13_Progress_Track'!$E$2:$E$108)</f>
        <v/>
      </c>
      <c r="F258" s="175">
        <f>IF(E259&gt;(C259+D259),(E259-(C259+D259)),0)</f>
        <v/>
      </c>
      <c r="G258" s="177">
        <f>IF(F259&gt;0,0,C259+D259-E259)</f>
        <v/>
      </c>
      <c r="H258" s="148">
        <f>_xludf.IFNA(_xlfn.XLOOKUP(B259,'00_SKU_Master'!$B$2:$B$378,'00_SKU_Master'!$C$2:$C$378),"")</f>
        <v/>
      </c>
      <c r="I258" s="179" t="n"/>
      <c r="J258" s="14">
        <f>_xludf.IFNA(_xlfn.XLOOKUP(B259,'00_SKU_Master'!B$2:B$378,'00_SKU_Master'!H$2:H$378,0),"")</f>
        <v/>
      </c>
      <c r="K258" s="14">
        <f>_xludf.IFNA(_xlfn.XLOOKUP(B259,'00_SKU_Master'!B$2:B$378,'00_SKU_Master'!K$2:K$378,0),"")</f>
        <v/>
      </c>
      <c r="L258" s="148">
        <f>_xlfn.XLOOKUP(B259,'00_SKU_Master'!$B$2:$B$378,'00_SKU_Master'!D:D)</f>
        <v/>
      </c>
      <c r="M258" s="148">
        <f>IF((C259-E259)&lt;0,0,C259-E259)</f>
        <v/>
      </c>
    </row>
    <row r="259">
      <c r="A259" s="148">
        <f>'00_SKU_Master'!J351</f>
        <v/>
      </c>
      <c r="B259" s="148">
        <f>'00_SKU_Master'!B351</f>
        <v/>
      </c>
      <c r="C259" s="175">
        <f>_xlfn.XLOOKUP(B260,'02_TrayPack_Order'!$A$2:$A$264,'02_TrayPack_Order'!$C$2:$C$264)</f>
        <v/>
      </c>
      <c r="D259" s="176">
        <f>_xlfn.XLOOKUP(B260,'02_TrayPack_Order'!$A$2:$A$264,'02_TrayPack_Order'!$L$2:$L$264,0)</f>
        <v/>
      </c>
      <c r="E259" s="175">
        <f>SUMIF('13_Progress_Track'!$A$2:$A$108,B260,'13_Progress_Track'!$E$2:$E$108)</f>
        <v/>
      </c>
      <c r="F259" s="175">
        <f>IF(E260&gt;(C260+D260),(E260-(C260+D260)),0)</f>
        <v/>
      </c>
      <c r="G259" s="177">
        <f>IF(F260&gt;0,0,C260+D260-E260)</f>
        <v/>
      </c>
      <c r="H259" s="148">
        <f>_xludf.IFNA(_xlfn.XLOOKUP(B260,'00_SKU_Master'!$B$2:$B$378,'00_SKU_Master'!$C$2:$C$378),"")</f>
        <v/>
      </c>
      <c r="I259" s="179" t="n"/>
      <c r="J259" s="14">
        <f>_xludf.IFNA(_xlfn.XLOOKUP(B260,'00_SKU_Master'!B$2:B$378,'00_SKU_Master'!H$2:H$378,0),"")</f>
        <v/>
      </c>
      <c r="K259" s="14">
        <f>_xludf.IFNA(_xlfn.XLOOKUP(B260,'00_SKU_Master'!B$2:B$378,'00_SKU_Master'!K$2:K$378,0),"")</f>
        <v/>
      </c>
      <c r="L259" s="148">
        <f>_xlfn.XLOOKUP(B260,'00_SKU_Master'!$B$2:$B$378,'00_SKU_Master'!D:D)</f>
        <v/>
      </c>
      <c r="M259" s="148">
        <f>IF((C260-E260)&lt;0,0,C260-E260)</f>
        <v/>
      </c>
    </row>
    <row r="260">
      <c r="A260" s="148">
        <f>'00_SKU_Master'!J352</f>
        <v/>
      </c>
      <c r="B260" s="148">
        <f>'00_SKU_Master'!B352</f>
        <v/>
      </c>
      <c r="C260" s="175">
        <f>_xlfn.XLOOKUP(B261,'02_TrayPack_Order'!$A$2:$A$264,'02_TrayPack_Order'!$C$2:$C$264)</f>
        <v/>
      </c>
      <c r="D260" s="176">
        <f>_xlfn.XLOOKUP(B261,'02_TrayPack_Order'!$A$2:$A$264,'02_TrayPack_Order'!$L$2:$L$264,0)</f>
        <v/>
      </c>
      <c r="E260" s="175">
        <f>SUMIF('13_Progress_Track'!$A$2:$A$108,B261,'13_Progress_Track'!$E$2:$E$108)</f>
        <v/>
      </c>
      <c r="F260" s="175">
        <f>IF(E261&gt;(C261+D261),(E261-(C261+D261)),0)</f>
        <v/>
      </c>
      <c r="G260" s="177">
        <f>IF(F261&gt;0,0,C261+D261-E261)</f>
        <v/>
      </c>
      <c r="H260" s="148">
        <f>_xludf.IFNA(_xlfn.XLOOKUP(B261,'00_SKU_Master'!$B$2:$B$378,'00_SKU_Master'!$C$2:$C$378),"")</f>
        <v/>
      </c>
      <c r="I260" s="179" t="n"/>
      <c r="J260" s="14">
        <f>_xludf.IFNA(_xlfn.XLOOKUP(B261,'00_SKU_Master'!B$2:B$378,'00_SKU_Master'!H$2:H$378,0),"")</f>
        <v/>
      </c>
      <c r="K260" s="14">
        <f>_xludf.IFNA(_xlfn.XLOOKUP(B261,'00_SKU_Master'!B$2:B$378,'00_SKU_Master'!K$2:K$378,0),"")</f>
        <v/>
      </c>
      <c r="L260" s="148">
        <f>_xlfn.XLOOKUP(B261,'00_SKU_Master'!$B$2:$B$378,'00_SKU_Master'!D:D)</f>
        <v/>
      </c>
      <c r="M260" s="148">
        <f>IF((C261-E261)&lt;0,0,C261-E261)</f>
        <v/>
      </c>
    </row>
    <row r="261">
      <c r="A261" s="148">
        <f>'00_SKU_Master'!J353</f>
        <v/>
      </c>
      <c r="B261" s="148">
        <f>'00_SKU_Master'!B353</f>
        <v/>
      </c>
      <c r="C261" s="175">
        <f>_xlfn.XLOOKUP(B262,'02_TrayPack_Order'!$A$2:$A$264,'02_TrayPack_Order'!$C$2:$C$264)</f>
        <v/>
      </c>
      <c r="D261" s="176">
        <f>_xlfn.XLOOKUP(B262,'02_TrayPack_Order'!$A$2:$A$264,'02_TrayPack_Order'!$L$2:$L$264,0)</f>
        <v/>
      </c>
      <c r="E261" s="175">
        <f>SUMIF('13_Progress_Track'!$A$2:$A$108,B262,'13_Progress_Track'!$E$2:$E$108)</f>
        <v/>
      </c>
      <c r="F261" s="175">
        <f>IF(E262&gt;(C262+D262),(E262-(C262+D262)),0)</f>
        <v/>
      </c>
      <c r="G261" s="177">
        <f>IF(F262&gt;0,0,C262+D262-E262)</f>
        <v/>
      </c>
      <c r="H261" s="148">
        <f>_xludf.IFNA(_xlfn.XLOOKUP(B262,'00_SKU_Master'!$B$2:$B$378,'00_SKU_Master'!$C$2:$C$378),"")</f>
        <v/>
      </c>
      <c r="I261" s="179" t="n"/>
      <c r="J261" s="14">
        <f>_xludf.IFNA(_xlfn.XLOOKUP(B262,'00_SKU_Master'!B$2:B$378,'00_SKU_Master'!H$2:H$378,0),"")</f>
        <v/>
      </c>
      <c r="K261" s="14">
        <f>_xludf.IFNA(_xlfn.XLOOKUP(B262,'00_SKU_Master'!B$2:B$378,'00_SKU_Master'!K$2:K$378,0),"")</f>
        <v/>
      </c>
      <c r="L261" s="148">
        <f>_xlfn.XLOOKUP(B262,'00_SKU_Master'!$B$2:$B$378,'00_SKU_Master'!D:D)</f>
        <v/>
      </c>
      <c r="M261" s="148">
        <f>IF((C262-E262)&lt;0,0,C262-E262)</f>
        <v/>
      </c>
    </row>
    <row r="262">
      <c r="A262" s="148">
        <f>'00_SKU_Master'!J354</f>
        <v/>
      </c>
      <c r="B262" s="148">
        <f>'00_SKU_Master'!B354</f>
        <v/>
      </c>
      <c r="C262" s="175">
        <f>_xlfn.XLOOKUP(B263,'02_TrayPack_Order'!$A$2:$A$264,'02_TrayPack_Order'!$C$2:$C$264)</f>
        <v/>
      </c>
      <c r="D262" s="176">
        <f>_xlfn.XLOOKUP(B263,'02_TrayPack_Order'!$A$2:$A$264,'02_TrayPack_Order'!$L$2:$L$264,0)</f>
        <v/>
      </c>
      <c r="E262" s="175">
        <f>SUMIF('13_Progress_Track'!$A$2:$A$108,B263,'13_Progress_Track'!$E$2:$E$108)</f>
        <v/>
      </c>
      <c r="F262" s="175">
        <f>IF(E263&gt;(C263+D263),(E263-(C263+D263)),0)</f>
        <v/>
      </c>
      <c r="G262" s="177">
        <f>IF(F263&gt;0,0,C263+D263-E263)</f>
        <v/>
      </c>
      <c r="H262" s="148">
        <f>_xludf.IFNA(_xlfn.XLOOKUP(B263,'00_SKU_Master'!$B$2:$B$378,'00_SKU_Master'!$C$2:$C$378),"")</f>
        <v/>
      </c>
      <c r="I262" s="179" t="n"/>
      <c r="J262" s="14">
        <f>_xludf.IFNA(_xlfn.XLOOKUP(B263,'00_SKU_Master'!B$2:B$378,'00_SKU_Master'!H$2:H$378,0),"")</f>
        <v/>
      </c>
      <c r="K262" s="14">
        <f>_xludf.IFNA(_xlfn.XLOOKUP(B263,'00_SKU_Master'!B$2:B$378,'00_SKU_Master'!K$2:K$378,0),"")</f>
        <v/>
      </c>
      <c r="L262" s="148">
        <f>_xlfn.XLOOKUP(B263,'00_SKU_Master'!$B$2:$B$378,'00_SKU_Master'!D:D)</f>
        <v/>
      </c>
      <c r="M262" s="148">
        <f>IF((C263-E263)&lt;0,0,C263-E263)</f>
        <v/>
      </c>
    </row>
    <row r="263">
      <c r="A263" s="148">
        <f>'00_SKU_Master'!J355</f>
        <v/>
      </c>
      <c r="B263" s="148">
        <f>'00_SKU_Master'!B355</f>
        <v/>
      </c>
      <c r="C263" s="175">
        <f>_xlfn.XLOOKUP(B264,'02_TrayPack_Order'!$A$2:$A$264,'02_TrayPack_Order'!$C$2:$C$264)</f>
        <v/>
      </c>
      <c r="D263" s="176">
        <f>_xlfn.XLOOKUP(B264,'02_TrayPack_Order'!$A$2:$A$264,'02_TrayPack_Order'!$L$2:$L$264,0)</f>
        <v/>
      </c>
      <c r="E263" s="175">
        <f>SUMIF('13_Progress_Track'!$A$2:$A$108,B264,'13_Progress_Track'!$E$2:$E$108)</f>
        <v/>
      </c>
      <c r="F263" s="175">
        <f>IF(E264&gt;(C264+D264),(E264-(C264+D264)),0)</f>
        <v/>
      </c>
      <c r="G263" s="177">
        <f>IF(F264&gt;0,0,C264+D264-E264)</f>
        <v/>
      </c>
      <c r="H263" s="148">
        <f>_xludf.IFNA(_xlfn.XLOOKUP(B264,'00_SKU_Master'!$B$2:$B$378,'00_SKU_Master'!$C$2:$C$378),"")</f>
        <v/>
      </c>
      <c r="I263" s="179" t="n"/>
      <c r="J263" s="14">
        <f>_xludf.IFNA(_xlfn.XLOOKUP(B264,'00_SKU_Master'!B$2:B$378,'00_SKU_Master'!H$2:H$378,0),"")</f>
        <v/>
      </c>
      <c r="K263" s="14">
        <f>_xludf.IFNA(_xlfn.XLOOKUP(B264,'00_SKU_Master'!B$2:B$378,'00_SKU_Master'!K$2:K$378,0),"")</f>
        <v/>
      </c>
      <c r="L263" s="148">
        <f>_xlfn.XLOOKUP(B264,'00_SKU_Master'!$B$2:$B$378,'00_SKU_Master'!D:D)</f>
        <v/>
      </c>
      <c r="M263" s="148">
        <f>IF((C264-E264)&lt;0,0,C264-E264)</f>
        <v/>
      </c>
    </row>
    <row r="264">
      <c r="A264" s="148">
        <f>'00_SKU_Master'!J356</f>
        <v/>
      </c>
      <c r="B264" s="148">
        <f>'00_SKU_Master'!B356</f>
        <v/>
      </c>
      <c r="C264" s="175">
        <f>_xlfn.XLOOKUP(B265,'02_TrayPack_Order'!$A$2:$A$264,'02_TrayPack_Order'!$C$2:$C$264)</f>
        <v/>
      </c>
      <c r="D264" s="176">
        <f>_xlfn.XLOOKUP(B265,'02_TrayPack_Order'!$A$2:$A$264,'02_TrayPack_Order'!$L$2:$L$264,0)</f>
        <v/>
      </c>
      <c r="E264" s="175">
        <f>SUMIF('13_Progress_Track'!$A$2:$A$108,B265,'13_Progress_Track'!$E$2:$E$108)</f>
        <v/>
      </c>
      <c r="F264" s="175">
        <f>IF(E265&gt;(C265+D265),(E265-(C265+D265)),0)</f>
        <v/>
      </c>
      <c r="G264" s="177">
        <f>IF(F265&gt;0,0,C265+D265-E265)</f>
        <v/>
      </c>
      <c r="H264" s="148">
        <f>_xludf.IFNA(_xlfn.XLOOKUP(B265,'00_SKU_Master'!$B$2:$B$378,'00_SKU_Master'!$C$2:$C$378),"")</f>
        <v/>
      </c>
      <c r="I264" s="179" t="n"/>
      <c r="J264" s="14">
        <f>_xludf.IFNA(_xlfn.XLOOKUP(B265,'00_SKU_Master'!B$2:B$378,'00_SKU_Master'!H$2:H$378,0),"")</f>
        <v/>
      </c>
      <c r="K264" s="14">
        <f>_xludf.IFNA(_xlfn.XLOOKUP(B265,'00_SKU_Master'!B$2:B$378,'00_SKU_Master'!K$2:K$378,0),"")</f>
        <v/>
      </c>
      <c r="L264" s="148">
        <f>_xlfn.XLOOKUP(B265,'00_SKU_Master'!$B$2:$B$378,'00_SKU_Master'!D:D)</f>
        <v/>
      </c>
      <c r="M264" s="148">
        <f>IF((C265-E265)&lt;0,0,C265-E265)</f>
        <v/>
      </c>
    </row>
    <row r="265">
      <c r="A265" s="180" t="n"/>
      <c r="B265" s="181" t="n"/>
      <c r="C265" s="182" t="n"/>
      <c r="D265" s="183" t="n"/>
      <c r="E265" s="184" t="n"/>
      <c r="F265" s="184" t="n"/>
      <c r="G265" s="182" t="n"/>
      <c r="H265" s="181" t="n"/>
      <c r="I265" s="181" t="n"/>
      <c r="J265" s="181" t="n"/>
      <c r="K265" s="181" t="n"/>
      <c r="L265" s="181" t="n"/>
      <c r="M265" s="185" t="n"/>
    </row>
    <row r="266">
      <c r="A266" s="186" t="n"/>
      <c r="B266" s="187" t="n"/>
      <c r="C266" s="188" t="n"/>
      <c r="D266" s="188" t="n"/>
      <c r="E266" s="188" t="n"/>
      <c r="F266" s="188" t="n"/>
      <c r="G266" s="189" t="n"/>
      <c r="H266" s="187" t="n"/>
      <c r="I266" s="187" t="n"/>
      <c r="J266" s="187" t="n"/>
      <c r="K266" s="187" t="n"/>
      <c r="L266" s="187" t="n"/>
      <c r="M266" s="190" t="n"/>
    </row>
    <row r="267">
      <c r="B267" s="50" t="n"/>
      <c r="C267" s="178" t="n"/>
      <c r="F267" s="154" t="n"/>
      <c r="G267" s="191" t="n"/>
      <c r="L267" s="155" t="n"/>
    </row>
    <row r="268">
      <c r="C268" s="178" t="n"/>
    </row>
    <row r="269">
      <c r="C269" s="178" t="n"/>
    </row>
    <row r="270">
      <c r="C270" s="178" t="n"/>
    </row>
    <row r="271">
      <c r="C271" s="178" t="n"/>
    </row>
    <row r="272">
      <c r="C272" s="178" t="n"/>
    </row>
    <row r="273">
      <c r="C273" s="178" t="n"/>
    </row>
    <row r="274">
      <c r="C274" s="178" t="n"/>
    </row>
    <row r="275">
      <c r="C275" s="178" t="n"/>
    </row>
    <row r="276">
      <c r="C276" s="178" t="n"/>
    </row>
    <row r="277">
      <c r="C277" s="178" t="n"/>
    </row>
    <row r="278">
      <c r="C278" s="178" t="n"/>
    </row>
    <row r="279">
      <c r="C279" s="178" t="n"/>
    </row>
    <row r="280">
      <c r="C280" s="178" t="n"/>
    </row>
    <row r="281">
      <c r="C281" s="178" t="n"/>
    </row>
    <row r="282">
      <c r="C282" s="178" t="n"/>
    </row>
    <row r="283">
      <c r="C283" s="178" t="n"/>
    </row>
    <row r="284">
      <c r="C284" s="178" t="n"/>
    </row>
    <row r="285">
      <c r="C285" s="178" t="n"/>
    </row>
    <row r="286">
      <c r="C286" s="178" t="n"/>
    </row>
    <row r="287">
      <c r="C287" s="178" t="n"/>
    </row>
    <row r="288">
      <c r="C288" s="178" t="n"/>
    </row>
    <row r="289">
      <c r="C289" s="178" t="n"/>
    </row>
    <row r="290">
      <c r="C290" s="178" t="n"/>
    </row>
    <row r="291">
      <c r="C291" s="178" t="n"/>
    </row>
    <row r="292">
      <c r="C292" s="178" t="n"/>
    </row>
    <row r="293">
      <c r="C293" s="178" t="n"/>
    </row>
    <row r="294">
      <c r="C294" s="178" t="n"/>
    </row>
    <row r="295">
      <c r="C295" s="178" t="n"/>
    </row>
    <row r="296">
      <c r="C296" s="178" t="n"/>
    </row>
    <row r="297">
      <c r="C297" s="178" t="n"/>
    </row>
    <row r="298">
      <c r="C298" s="178" t="n"/>
    </row>
    <row r="299">
      <c r="C299" s="178" t="n"/>
    </row>
    <row r="300">
      <c r="C300" s="178" t="n"/>
    </row>
    <row r="301">
      <c r="C301" s="178" t="n"/>
    </row>
    <row r="302">
      <c r="C302" s="178" t="n"/>
    </row>
    <row r="303">
      <c r="C303" s="178" t="n"/>
    </row>
    <row r="304">
      <c r="C304" s="178" t="n"/>
    </row>
    <row r="305">
      <c r="C305" s="178" t="n"/>
    </row>
    <row r="306">
      <c r="C306" s="178" t="n"/>
    </row>
    <row r="307">
      <c r="C307" s="178" t="n"/>
    </row>
    <row r="308">
      <c r="C308" s="178" t="n"/>
    </row>
    <row r="309">
      <c r="C309" s="178" t="n"/>
    </row>
    <row r="310">
      <c r="C310" s="178" t="n"/>
    </row>
    <row r="311">
      <c r="C311" s="178" t="n"/>
    </row>
    <row r="312">
      <c r="C312" s="178" t="n"/>
    </row>
    <row r="313">
      <c r="C313" s="178" t="n"/>
    </row>
    <row r="314">
      <c r="C314" s="178" t="n"/>
    </row>
    <row r="315">
      <c r="C315" s="178" t="n"/>
    </row>
    <row r="316">
      <c r="C316" s="178" t="n"/>
    </row>
    <row r="317">
      <c r="C317" s="178" t="n"/>
    </row>
    <row r="318">
      <c r="C318" s="178" t="n"/>
    </row>
    <row r="319">
      <c r="C319" s="178" t="n"/>
    </row>
    <row r="320">
      <c r="C320" s="178" t="n"/>
    </row>
    <row r="321">
      <c r="C321" s="178" t="n"/>
    </row>
    <row r="322">
      <c r="C322" s="178" t="n"/>
    </row>
    <row r="323">
      <c r="C323" s="178" t="n"/>
    </row>
    <row r="324">
      <c r="C324" s="178" t="n"/>
    </row>
    <row r="325">
      <c r="C325" s="178" t="n"/>
    </row>
    <row r="326">
      <c r="C326" s="178" t="n"/>
    </row>
    <row r="327">
      <c r="C327" s="178" t="n"/>
    </row>
    <row r="328">
      <c r="C328" s="17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4.5"/>
  <cols>
    <col width="2.08984375" customWidth="1" min="1" max="1"/>
    <col width="42" customWidth="1" min="2" max="2"/>
    <col width="11.26953125" customWidth="1" min="3" max="3"/>
    <col width="10.54296875" customWidth="1" min="4" max="4"/>
    <col width="12.26953125" customWidth="1" min="5" max="5"/>
    <col width="10.26953125" customWidth="1" min="6" max="6"/>
    <col width="9.26953125" customWidth="1" min="7" max="7"/>
    <col width="2.7265625" customWidth="1" min="8" max="8"/>
    <col width="11.7265625" customWidth="1" min="10" max="10"/>
  </cols>
  <sheetData>
    <row r="1" ht="39" customHeight="1">
      <c r="A1" s="192" t="n"/>
      <c r="B1" s="193" t="inlineStr">
        <is>
          <t>Product Sub-Category</t>
        </is>
      </c>
      <c r="C1" s="193" t="inlineStr">
        <is>
          <t>Potential RAW SKU</t>
        </is>
      </c>
      <c r="D1" s="193" t="inlineStr">
        <is>
          <t>Cases of Raw Required</t>
        </is>
      </c>
      <c r="E1" s="193" t="inlineStr">
        <is>
          <t>Cases of Raw in Inventory</t>
        </is>
      </c>
      <c r="F1" s="194" t="inlineStr">
        <is>
          <t>Today's order Reqeust</t>
        </is>
      </c>
      <c r="G1" s="194" t="inlineStr">
        <is>
          <t>Next Order Request</t>
        </is>
      </c>
      <c r="H1" s="195" t="n"/>
      <c r="J1" s="196" t="inlineStr">
        <is>
          <t>Supply#</t>
        </is>
      </c>
      <c r="K1" s="196" t="inlineStr">
        <is>
          <t>Cases of RAW Required</t>
        </is>
      </c>
      <c r="L1" s="196" t="inlineStr">
        <is>
          <t>Inventory</t>
        </is>
      </c>
      <c r="M1" s="196" t="inlineStr">
        <is>
          <t>Request</t>
        </is>
      </c>
    </row>
    <row r="2">
      <c r="A2" s="197" t="n"/>
      <c r="B2" s="198">
        <f>_xlfn.XLOOKUP(C3,'00_SKU_Master'!$B$2:$B$378,'00_SKU_Master'!J:J)</f>
        <v/>
      </c>
      <c r="C2" s="199" t="n">
        <v>61010</v>
      </c>
      <c r="D2" s="200">
        <f>CEILING(SUMIF('00_SKU_Master'!$C$2:$C$378,C3,'00_SKU_Master'!S:S),1)/25</f>
        <v/>
      </c>
      <c r="E2" s="201">
        <f>_xludf.IFNA(_xlfn.XLOOKUP(C3,J:J,L:L),"0")</f>
        <v/>
      </c>
      <c r="F2" s="202">
        <f>D3-E3</f>
        <v/>
      </c>
      <c r="G2" s="203">
        <f>SUMIF('02_TrayPack_Order'!M4:M256,C3,'02_TrayPack_Order'!T4:T256)</f>
        <v/>
      </c>
      <c r="H2" s="204" t="n"/>
      <c r="J2" s="50" t="n">
        <v>61086</v>
      </c>
      <c r="K2" s="50" t="n"/>
      <c r="L2" s="50" t="n">
        <v>14</v>
      </c>
      <c r="M2" s="50" t="n"/>
    </row>
    <row r="3">
      <c r="B3" s="198">
        <f>_xlfn.XLOOKUP(C4,'00_SKU_Master'!$B$2:$B$378,'00_SKU_Master'!J:J)</f>
        <v/>
      </c>
      <c r="C3" s="199" t="n">
        <v>61014</v>
      </c>
      <c r="D3" s="200">
        <f>CEILING(SUMIF('00_SKU_Master'!$C$2:$C$378,C4,'00_SKU_Master'!S:S),1)/25</f>
        <v/>
      </c>
      <c r="E3" s="201">
        <f>_xludf.IFNA(_xlfn.XLOOKUP(C4,J:J,L:L),"0")</f>
        <v/>
      </c>
      <c r="F3" s="202">
        <f>D4-E4</f>
        <v/>
      </c>
      <c r="G3" s="203">
        <f>SUMIF('02_TrayPack_Order'!M5:M257,C4,'02_TrayPack_Order'!T5:T257)</f>
        <v/>
      </c>
      <c r="H3" s="204" t="n"/>
      <c r="I3" s="197" t="n"/>
      <c r="J3" s="50" t="n">
        <v>61072</v>
      </c>
      <c r="K3" s="50" t="n"/>
      <c r="L3" s="50" t="n">
        <v>25</v>
      </c>
      <c r="M3" s="50" t="n"/>
      <c r="N3" s="197" t="n"/>
      <c r="P3" s="197" t="n"/>
    </row>
    <row r="4">
      <c r="A4" s="197" t="n"/>
      <c r="B4" s="198">
        <f>_xlfn.XLOOKUP(C5,'00_SKU_Master'!$B$2:$B$378,'00_SKU_Master'!J:J)</f>
        <v/>
      </c>
      <c r="C4" s="199" t="n">
        <v>61018</v>
      </c>
      <c r="D4" s="200">
        <f>CEILING(SUMIF('00_SKU_Master'!$C$2:$C$378,C5,'00_SKU_Master'!S:S),1)/25</f>
        <v/>
      </c>
      <c r="E4" s="201">
        <f>_xludf.IFNA(_xlfn.XLOOKUP(C5,J:J,L:L),"0")</f>
        <v/>
      </c>
      <c r="F4" s="202">
        <f>D5-E5</f>
        <v/>
      </c>
      <c r="G4" s="203">
        <f>SUMIF('02_TrayPack_Order'!M6:M258,C5,'02_TrayPack_Order'!T6:T258)</f>
        <v/>
      </c>
      <c r="H4" s="204" t="n"/>
      <c r="J4" s="50" t="n">
        <v>61050</v>
      </c>
      <c r="K4" s="50" t="n"/>
      <c r="L4" s="50" t="n"/>
      <c r="M4" s="50" t="n"/>
    </row>
    <row r="5">
      <c r="A5" s="197" t="n"/>
      <c r="B5" s="198">
        <f>_xlfn.XLOOKUP(C6,'00_SKU_Master'!$B$2:$B$378,'00_SKU_Master'!J:J)</f>
        <v/>
      </c>
      <c r="C5" s="199" t="n">
        <v>61040</v>
      </c>
      <c r="D5" s="200">
        <f>CEILING(SUMIF('00_SKU_Master'!$C$2:$C$378,C6,'00_SKU_Master'!S:S),1)/25</f>
        <v/>
      </c>
      <c r="E5" s="201">
        <f>_xludf.IFNA(_xlfn.XLOOKUP(C6,J:J,L:L),"0")</f>
        <v/>
      </c>
      <c r="F5" s="202">
        <f>D6-E6</f>
        <v/>
      </c>
      <c r="G5" s="203">
        <f>SUMIF('02_TrayPack_Order'!M7:M259,C6,'02_TrayPack_Order'!T7:T259)</f>
        <v/>
      </c>
      <c r="H5" s="204" t="n"/>
      <c r="J5" s="50" t="n">
        <v>61014</v>
      </c>
      <c r="K5" s="50" t="n"/>
      <c r="L5" s="50" t="n">
        <v>73</v>
      </c>
      <c r="M5" s="50" t="n"/>
    </row>
    <row r="6">
      <c r="A6" s="197" t="n"/>
      <c r="B6" s="198">
        <f>_xlfn.XLOOKUP(C7,'00_SKU_Master'!$B$2:$B$378,'00_SKU_Master'!J:J)</f>
        <v/>
      </c>
      <c r="C6" s="199" t="n">
        <v>61050</v>
      </c>
      <c r="D6" s="200">
        <f>CEILING(SUMIF('00_SKU_Master'!$C$2:$C$378,C7,'00_SKU_Master'!S:S),1)/25</f>
        <v/>
      </c>
      <c r="E6" s="201">
        <f>_xludf.IFNA(_xlfn.XLOOKUP(C7,J:J,L:L),"0")</f>
        <v/>
      </c>
      <c r="F6" s="202">
        <f>D7-E7</f>
        <v/>
      </c>
      <c r="G6" s="203">
        <f>SUMIF('02_TrayPack_Order'!M8:M260,C7,'02_TrayPack_Order'!T8:T260)</f>
        <v/>
      </c>
      <c r="H6" s="205" t="n"/>
      <c r="J6" s="50" t="n">
        <v>61040</v>
      </c>
      <c r="K6" s="50" t="n"/>
      <c r="L6" s="50" t="n"/>
      <c r="M6" s="50" t="n"/>
    </row>
    <row r="7">
      <c r="A7" s="197" t="n"/>
      <c r="B7" s="206">
        <f>_xlfn.XLOOKUP(C8,'00_SKU_Master'!$B$2:$B$378,'00_SKU_Master'!J:J)</f>
        <v/>
      </c>
      <c r="C7" s="199" t="n">
        <v>61052</v>
      </c>
      <c r="D7" s="200">
        <f>CEILING(SUMIF('00_SKU_Master'!$C$2:$C$378,C8,'00_SKU_Master'!S:S),1)/25</f>
        <v/>
      </c>
      <c r="E7" s="201">
        <f>_xludf.IFNA(_xlfn.XLOOKUP(C8,J:J,L:L),"0")</f>
        <v/>
      </c>
      <c r="F7" s="202">
        <f>D8-E8</f>
        <v/>
      </c>
      <c r="G7" s="203">
        <f>SUMIF('02_TrayPack_Order'!M9:M261,C8,'02_TrayPack_Order'!T9:T261)</f>
        <v/>
      </c>
      <c r="H7" s="205" t="n"/>
      <c r="J7" s="50" t="n">
        <v>61048</v>
      </c>
      <c r="K7" s="50" t="n"/>
      <c r="L7" s="50" t="n"/>
      <c r="M7" s="50" t="n"/>
    </row>
    <row r="8">
      <c r="A8" s="197" t="n"/>
      <c r="B8" s="198">
        <f>_xlfn.XLOOKUP(C9,'00_SKU_Master'!$B$2:$B$378,'00_SKU_Master'!J:J)</f>
        <v/>
      </c>
      <c r="C8" s="199" t="n">
        <v>61054</v>
      </c>
      <c r="D8" s="200">
        <f>CEILING(SUMIF('00_SKU_Master'!$C$2:$C$378,C9,'00_SKU_Master'!S:S),1)/25</f>
        <v/>
      </c>
      <c r="E8" s="201">
        <f>_xludf.IFNA(_xlfn.XLOOKUP(C9,J:J,L:L),"0")</f>
        <v/>
      </c>
      <c r="F8" s="202">
        <f>D9-E9</f>
        <v/>
      </c>
      <c r="G8" s="203">
        <f>SUMIF('02_TrayPack_Order'!M10:M262,C9,'02_TrayPack_Order'!T10:T262)</f>
        <v/>
      </c>
      <c r="H8" s="204" t="n"/>
      <c r="J8" s="50" t="inlineStr">
        <is>
          <t>61077F</t>
        </is>
      </c>
      <c r="K8" s="50" t="n"/>
      <c r="L8" s="50" t="n">
        <v>19</v>
      </c>
      <c r="M8" s="50" t="n"/>
    </row>
    <row r="9">
      <c r="A9" s="197" t="n"/>
      <c r="B9" s="198">
        <f>_xlfn.XLOOKUP(C10,'00_SKU_Master'!$B$2:$B$378,'00_SKU_Master'!J:J)</f>
        <v/>
      </c>
      <c r="C9" s="199" t="n">
        <v>61055</v>
      </c>
      <c r="D9" s="200">
        <f>CEILING(SUMIF('00_SKU_Master'!$C$2:$C$378,C10,'00_SKU_Master'!S:S),1)/25</f>
        <v/>
      </c>
      <c r="E9" s="201">
        <f>_xludf.IFNA(_xlfn.XLOOKUP(C10,J:J,L:L),"0")</f>
        <v/>
      </c>
      <c r="F9" s="202">
        <f>D10-E10</f>
        <v/>
      </c>
      <c r="G9" s="203">
        <f>SUMIF('02_TrayPack_Order'!M11:M263,C10,'02_TrayPack_Order'!T11:T263)</f>
        <v/>
      </c>
      <c r="H9" s="204" t="n"/>
      <c r="J9" s="50" t="inlineStr">
        <is>
          <t>61072F</t>
        </is>
      </c>
      <c r="K9" s="50" t="n"/>
      <c r="L9" s="197" t="n">
        <v>67</v>
      </c>
      <c r="M9" s="50" t="n"/>
    </row>
    <row r="10">
      <c r="A10" s="197" t="n"/>
      <c r="B10" s="198">
        <f>_xlfn.XLOOKUP(C11,'00_SKU_Master'!$B$2:$B$378,'00_SKU_Master'!J:J)</f>
        <v/>
      </c>
      <c r="C10" s="207" t="n">
        <v>61061</v>
      </c>
      <c r="D10" s="200">
        <f>CEILING(SUMIF('00_SKU_Master'!$C$2:$C$378,C11,'00_SKU_Master'!S:S),1)/25</f>
        <v/>
      </c>
      <c r="E10" s="201">
        <f>_xludf.IFNA(_xlfn.XLOOKUP(C11,J:J,L:L),"0")</f>
        <v/>
      </c>
      <c r="F10" s="202">
        <f>D11-E11</f>
        <v/>
      </c>
      <c r="G10" s="203">
        <f>SUMIF('02_TrayPack_Order'!M12:M264,C11,'02_TrayPack_Order'!T12:T264)</f>
        <v/>
      </c>
      <c r="H10" s="204" t="n"/>
      <c r="J10" s="50" t="inlineStr">
        <is>
          <t>61086F</t>
        </is>
      </c>
      <c r="K10" s="50" t="n"/>
      <c r="L10" s="50" t="n">
        <v>104</v>
      </c>
      <c r="M10" s="50" t="n"/>
    </row>
    <row r="11">
      <c r="A11" s="197" t="n"/>
      <c r="B11" s="198">
        <f>_xlfn.XLOOKUP(C12,'00_SKU_Master'!$B$2:$B$378,'00_SKU_Master'!J:J)</f>
        <v/>
      </c>
      <c r="C11" s="207" t="n">
        <v>61064</v>
      </c>
      <c r="D11" s="200">
        <f>CEILING(SUMIF('00_SKU_Master'!$C$2:$C$378,C12,'00_SKU_Master'!S:S),1)/25</f>
        <v/>
      </c>
      <c r="E11" s="201">
        <f>_xludf.IFNA(_xlfn.XLOOKUP(C12,J:J,L:L),"0")</f>
        <v/>
      </c>
      <c r="F11" s="202">
        <f>D12-E12</f>
        <v/>
      </c>
      <c r="G11" s="203">
        <f>SUMIF('02_TrayPack_Order'!M13:M265,C12,'02_TrayPack_Order'!T13:T265)</f>
        <v/>
      </c>
      <c r="H11" s="204" t="n"/>
      <c r="J11" s="50" t="inlineStr">
        <is>
          <t>61050F</t>
        </is>
      </c>
      <c r="K11" s="50" t="n"/>
      <c r="L11" s="50" t="n">
        <v>166</v>
      </c>
      <c r="M11" s="50" t="n"/>
    </row>
    <row r="12">
      <c r="A12" s="197" t="n"/>
      <c r="B12" s="198">
        <f>_xlfn.XLOOKUP(C13,'00_SKU_Master'!$B$2:$B$378,'00_SKU_Master'!J:J)</f>
        <v/>
      </c>
      <c r="C12" s="207" t="n">
        <v>61062</v>
      </c>
      <c r="D12" s="200">
        <f>CEILING(SUMIF('00_SKU_Master'!$C$2:$C$378,C13,'00_SKU_Master'!S:S),1)/25</f>
        <v/>
      </c>
      <c r="E12" s="201">
        <f>_xludf.IFNA(_xlfn.XLOOKUP(C13,J:J,L:L),"0")</f>
        <v/>
      </c>
      <c r="F12" s="202">
        <f>D13-E13</f>
        <v/>
      </c>
      <c r="G12" s="203">
        <f>SUMIF('02_TrayPack_Order'!M14:M266,C13,'02_TrayPack_Order'!T14:T266)</f>
        <v/>
      </c>
      <c r="H12" s="204" t="n"/>
      <c r="J12" s="50" t="n">
        <v>61054</v>
      </c>
      <c r="K12" s="50" t="n"/>
      <c r="L12" s="50" t="n">
        <v>2</v>
      </c>
      <c r="M12" s="50" t="n"/>
    </row>
    <row r="13">
      <c r="A13" s="197" t="n"/>
      <c r="B13" s="206">
        <f>_xlfn.XLOOKUP(C14,'00_SKU_Master'!$B$2:$B$378,'00_SKU_Master'!J:J)</f>
        <v/>
      </c>
      <c r="C13" s="207" t="n">
        <v>61071</v>
      </c>
      <c r="D13" s="200">
        <f>CEILING(SUMIF('00_SKU_Master'!$C$2:$C$378,C14,'00_SKU_Master'!S:S),1)/25</f>
        <v/>
      </c>
      <c r="E13" s="201">
        <f>_xludf.IFNA(_xlfn.XLOOKUP(C14,J:J,L:L),"0")</f>
        <v/>
      </c>
      <c r="F13" s="202">
        <f>D14-E14</f>
        <v/>
      </c>
      <c r="G13" s="203">
        <f>SUMIF('02_TrayPack_Order'!M15:M267,C14,'02_TrayPack_Order'!T15:T267)</f>
        <v/>
      </c>
      <c r="H13" s="204" t="n"/>
      <c r="J13" s="50" t="inlineStr">
        <is>
          <t>61014F</t>
        </is>
      </c>
      <c r="K13" s="50" t="n"/>
      <c r="L13" s="50" t="n"/>
      <c r="M13" s="50" t="n"/>
    </row>
    <row r="14">
      <c r="A14" s="197" t="n"/>
      <c r="B14" s="198">
        <f>_xlfn.XLOOKUP(C15,'00_SKU_Master'!$B$2:$B$378,'00_SKU_Master'!J:J)</f>
        <v/>
      </c>
      <c r="C14" s="207" t="n">
        <v>61072</v>
      </c>
      <c r="D14" s="200">
        <f>CEILING(SUMIF('00_SKU_Master'!$C$2:$C$378,C15,'00_SKU_Master'!S:S),1)/25</f>
        <v/>
      </c>
      <c r="E14" s="201">
        <f>_xludf.IFNA(_xlfn.XLOOKUP(C15,J:J,L:L),"0")</f>
        <v/>
      </c>
      <c r="F14" s="202">
        <f>D15-E15</f>
        <v/>
      </c>
      <c r="G14" s="203">
        <f>SUMIF('02_TrayPack_Order'!M16:M268,C15,'02_TrayPack_Order'!T16:T268)</f>
        <v/>
      </c>
      <c r="H14" s="204" t="n"/>
      <c r="J14" s="50" t="inlineStr">
        <is>
          <t>61061F</t>
        </is>
      </c>
      <c r="K14" s="50" t="n"/>
      <c r="L14" s="50" t="n"/>
      <c r="M14" s="50" t="n"/>
    </row>
    <row r="15">
      <c r="A15" s="197" t="n"/>
      <c r="B15" s="198">
        <f>_xlfn.XLOOKUP(C16,'00_SKU_Master'!$B$2:$B$378,'00_SKU_Master'!J:J)</f>
        <v/>
      </c>
      <c r="C15" s="207" t="n">
        <v>61073</v>
      </c>
      <c r="D15" s="200">
        <f>CEILING(SUMIF('00_SKU_Master'!$C$2:$C$378,C16,'00_SKU_Master'!S:S),1)/25</f>
        <v/>
      </c>
      <c r="E15" s="201">
        <f>_xludf.IFNA(_xlfn.XLOOKUP(C16,J:J,L:L),"0")</f>
        <v/>
      </c>
      <c r="F15" s="202">
        <f>D16-E16</f>
        <v/>
      </c>
      <c r="G15" s="203">
        <f>SUMIF('02_TrayPack_Order'!M17:M269,C16,'02_TrayPack_Order'!T17:T269)</f>
        <v/>
      </c>
      <c r="H15" s="204" t="n"/>
      <c r="J15" s="50" t="n">
        <v>61052</v>
      </c>
      <c r="K15" s="50" t="n"/>
      <c r="L15" s="50" t="n"/>
      <c r="M15" s="50" t="n"/>
    </row>
    <row r="16">
      <c r="B16" s="198">
        <f>_xlfn.XLOOKUP(C17,'00_SKU_Master'!$B$2:$B$378,'00_SKU_Master'!J:J)</f>
        <v/>
      </c>
      <c r="C16" s="208" t="n">
        <v>61077</v>
      </c>
      <c r="D16" s="200">
        <f>CEILING(SUMIF('00_SKU_Master'!$C$2:$C$378,C17,'00_SKU_Master'!S:S),1)/25</f>
        <v/>
      </c>
      <c r="E16" s="201">
        <f>_xludf.IFNA(_xlfn.XLOOKUP(C17,J:J,L:L),"0")</f>
        <v/>
      </c>
      <c r="F16" s="202">
        <f>D17-E17</f>
        <v/>
      </c>
      <c r="G16" s="203">
        <f>SUMIF('02_TrayPack_Order'!M18:M270,C17,'02_TrayPack_Order'!T18:T270)</f>
        <v/>
      </c>
      <c r="H16" s="204" t="n"/>
      <c r="I16" s="197" t="n"/>
      <c r="J16" s="50" t="n">
        <v>61078</v>
      </c>
      <c r="K16" s="50" t="n"/>
      <c r="L16" s="50" t="n"/>
      <c r="M16" s="50" t="n"/>
      <c r="N16" s="197" t="n"/>
      <c r="P16" s="197" t="n"/>
    </row>
    <row r="17">
      <c r="B17" s="198">
        <f>_xlfn.XLOOKUP(C18,'00_SKU_Master'!$B$2:$B$378,'00_SKU_Master'!J:J)</f>
        <v/>
      </c>
      <c r="C17" s="208" t="n">
        <v>61078</v>
      </c>
      <c r="D17" s="200">
        <f>CEILING(SUMIF('00_SKU_Master'!$C$2:$C$378,C18,'00_SKU_Master'!S:S),1)/25</f>
        <v/>
      </c>
      <c r="E17" s="201">
        <f>_xludf.IFNA(_xlfn.XLOOKUP(C18,J:J,L:L),"0")</f>
        <v/>
      </c>
      <c r="F17" s="202">
        <f>D18-E18</f>
        <v/>
      </c>
      <c r="G17" s="203">
        <f>SUMIF('02_TrayPack_Order'!M19:M271,C18,'02_TrayPack_Order'!T19:T271)</f>
        <v/>
      </c>
      <c r="H17" s="204" t="n"/>
      <c r="I17" s="197" t="n"/>
      <c r="J17" s="50" t="inlineStr">
        <is>
          <t>61050C</t>
        </is>
      </c>
      <c r="K17" s="50" t="n"/>
      <c r="L17" s="50" t="n">
        <v>325</v>
      </c>
      <c r="M17" s="50" t="n"/>
      <c r="N17" s="197" t="n"/>
      <c r="P17" s="197" t="n"/>
    </row>
    <row r="18">
      <c r="B18" s="198">
        <f>_xlfn.XLOOKUP(C19,'00_SKU_Master'!$B$2:$B$378,'00_SKU_Master'!J:J)</f>
        <v/>
      </c>
      <c r="C18" s="209" t="n">
        <v>61082</v>
      </c>
      <c r="D18" s="200">
        <f>CEILING(SUMIF('00_SKU_Master'!$C$2:$C$378,C19,'00_SKU_Master'!S:S),1)/25</f>
        <v/>
      </c>
      <c r="E18" s="201">
        <f>_xludf.IFNA(_xlfn.XLOOKUP(C19,J:J,L:L),"0")</f>
        <v/>
      </c>
      <c r="F18" s="202">
        <f>D19-E19</f>
        <v/>
      </c>
      <c r="G18" s="203">
        <f>SUMIF('02_TrayPack_Order'!M20:M272,C19,'02_TrayPack_Order'!T20:T272)</f>
        <v/>
      </c>
      <c r="H18" s="210" t="n"/>
      <c r="I18" s="197" t="n"/>
      <c r="J18" s="50" t="inlineStr">
        <is>
          <t>61086C</t>
        </is>
      </c>
      <c r="K18" s="50" t="n"/>
      <c r="L18" s="50" t="n"/>
      <c r="M18" s="50" t="n"/>
      <c r="N18" s="197" t="n"/>
      <c r="P18" s="197" t="n"/>
    </row>
    <row r="19">
      <c r="B19" s="198">
        <f>_xlfn.XLOOKUP(C20,'00_SKU_Master'!$B$2:$B$378,'00_SKU_Master'!J:J)</f>
        <v/>
      </c>
      <c r="C19" s="199" t="n">
        <v>61086</v>
      </c>
      <c r="D19" s="200">
        <f>CEILING(SUMIF('00_SKU_Master'!$C$2:$C$378,C20,'00_SKU_Master'!S:S),1)/25</f>
        <v/>
      </c>
      <c r="E19" s="201">
        <f>_xludf.IFNA(_xlfn.XLOOKUP(C20,J:J,L:L),"0")</f>
        <v/>
      </c>
      <c r="F19" s="202">
        <f>D20-E20</f>
        <v/>
      </c>
      <c r="G19" s="203">
        <f>SUMIF('02_TrayPack_Order'!M21:M273,C20,'02_TrayPack_Order'!T21:T273)</f>
        <v/>
      </c>
      <c r="H19" s="204" t="n"/>
      <c r="I19" s="197" t="n"/>
      <c r="J19" s="50" t="inlineStr">
        <is>
          <t>61072C</t>
        </is>
      </c>
      <c r="K19" s="50" t="n"/>
      <c r="L19" s="50" t="n"/>
      <c r="M19" s="50" t="n"/>
      <c r="N19" s="197" t="n"/>
      <c r="P19" s="197" t="n"/>
    </row>
    <row r="20">
      <c r="A20" s="197" t="n"/>
      <c r="B20" s="198">
        <f>_xlfn.XLOOKUP(C21,'00_SKU_Master'!$B$2:$B$378,'00_SKU_Master'!J:J)</f>
        <v/>
      </c>
      <c r="C20" s="199" t="n">
        <v>61104</v>
      </c>
      <c r="D20" s="200">
        <f>CEILING(SUMIF('00_SKU_Master'!$C$2:$C$378,C21,'00_SKU_Master'!S:S),1)/25</f>
        <v/>
      </c>
      <c r="E20" s="201">
        <f>_xludf.IFNA(_xlfn.XLOOKUP(C21,J:J,L:L),"0")</f>
        <v/>
      </c>
      <c r="F20" s="202">
        <f>D21-E21</f>
        <v/>
      </c>
      <c r="G20" s="203">
        <f>SUMIF('02_TrayPack_Order'!M22:M274,C21,'02_TrayPack_Order'!T22:T274)</f>
        <v/>
      </c>
      <c r="H20" s="204" t="n"/>
      <c r="J20" s="50" t="inlineStr">
        <is>
          <t>61014C</t>
        </is>
      </c>
      <c r="K20" s="50" t="n"/>
      <c r="L20" s="50" t="n"/>
      <c r="M20" s="50" t="n"/>
    </row>
    <row r="21">
      <c r="A21" s="197" t="n"/>
      <c r="B21" s="198">
        <f>_xlfn.XLOOKUP(C22,'00_SKU_Master'!$B$2:$B$378,'00_SKU_Master'!J:J)</f>
        <v/>
      </c>
      <c r="C21" s="199" t="n">
        <v>61121</v>
      </c>
      <c r="D21" s="200">
        <f>CEILING(SUMIF('00_SKU_Master'!$C$2:$C$378,C22,'00_SKU_Master'!S:S),1)/25</f>
        <v/>
      </c>
      <c r="E21" s="201">
        <f>_xludf.IFNA(_xlfn.XLOOKUP(C22,J:J,L:L),"0")</f>
        <v/>
      </c>
      <c r="F21" s="202">
        <f>D22-E22</f>
        <v/>
      </c>
      <c r="G21" s="203">
        <f>SUMIF('02_TrayPack_Order'!M23:M275,C22,'02_TrayPack_Order'!T23:T275)</f>
        <v/>
      </c>
      <c r="H21" s="204" t="n"/>
      <c r="J21" s="50" t="inlineStr">
        <is>
          <t>61040#2</t>
        </is>
      </c>
      <c r="K21" s="50" t="n"/>
      <c r="L21" s="50" t="n"/>
      <c r="M21" s="50" t="n"/>
    </row>
    <row r="22">
      <c r="A22" s="197" t="n"/>
      <c r="B22" s="198">
        <f>_xlfn.XLOOKUP(C23,'00_SKU_Master'!$B$2:$B$378,'00_SKU_Master'!J:J)</f>
        <v/>
      </c>
      <c r="C22" s="199" t="n">
        <v>200157</v>
      </c>
      <c r="D22" s="200">
        <f>CEILING(SUMIF('00_SKU_Master'!$C$2:$C$378,C23,'00_SKU_Master'!S:S),1)/25</f>
        <v/>
      </c>
      <c r="E22" s="201">
        <f>_xludf.IFNA(_xlfn.XLOOKUP(C23,J:J,L:L),"0")</f>
        <v/>
      </c>
      <c r="F22" s="202">
        <f>D23-E23</f>
        <v/>
      </c>
      <c r="G22" s="203">
        <f>SUMIF('02_TrayPack_Order'!M24:M276,C23,'02_TrayPack_Order'!T24:T276)</f>
        <v/>
      </c>
      <c r="H22" s="204" t="n"/>
      <c r="J22" s="50" t="inlineStr">
        <is>
          <t>61048#2</t>
        </is>
      </c>
      <c r="K22" s="50" t="n"/>
      <c r="L22" s="50" t="n">
        <v>6</v>
      </c>
      <c r="M22" s="50" t="n"/>
    </row>
    <row r="23">
      <c r="A23" s="197" t="n"/>
      <c r="B23" s="198">
        <f>_xlfn.XLOOKUP(C24,'00_SKU_Master'!$B$2:$B$378,'00_SKU_Master'!J:J)</f>
        <v/>
      </c>
      <c r="C23" s="199" t="n">
        <v>203043</v>
      </c>
      <c r="D23" s="200">
        <f>CEILING(SUMIF('00_SKU_Master'!$C$2:$C$378,C24,'00_SKU_Master'!S:S),1)/25</f>
        <v/>
      </c>
      <c r="E23" s="201">
        <f>_xludf.IFNA(_xlfn.XLOOKUP(C24,J:J,L:L),"0")</f>
        <v/>
      </c>
      <c r="F23" s="202">
        <f>D24-E24</f>
        <v/>
      </c>
      <c r="G23" s="203">
        <f>SUMIF('02_TrayPack_Order'!M25:M277,C24,'02_TrayPack_Order'!T25:T277)</f>
        <v/>
      </c>
      <c r="H23" s="204" t="n"/>
      <c r="J23" s="50" t="inlineStr">
        <is>
          <t>61050#2</t>
        </is>
      </c>
      <c r="K23" s="50" t="n"/>
      <c r="L23" s="50" t="n">
        <v>194</v>
      </c>
      <c r="M23" s="50" t="n"/>
    </row>
    <row r="24">
      <c r="A24" s="197" t="n"/>
      <c r="B24" s="206">
        <f>_xlfn.XLOOKUP(C25,'00_SKU_Master'!$B$2:$B$378,'00_SKU_Master'!J:J)</f>
        <v/>
      </c>
      <c r="C24" s="199" t="n">
        <v>203044</v>
      </c>
      <c r="D24" s="200">
        <f>CEILING(SUMIF('00_SKU_Master'!$C$2:$C$378,C25,'00_SKU_Master'!S:S),1)/25</f>
        <v/>
      </c>
      <c r="E24" s="201">
        <f>_xludf.IFNA(_xlfn.XLOOKUP(C25,J:J,L:L),"0")</f>
        <v/>
      </c>
      <c r="F24" s="202">
        <f>D25-E25</f>
        <v/>
      </c>
      <c r="G24" s="203">
        <f>SUMIF('02_TrayPack_Order'!M26:M278,C25,'02_TrayPack_Order'!T26:T278)</f>
        <v/>
      </c>
      <c r="H24" s="204" t="n"/>
      <c r="I24" s="197" t="inlineStr">
        <is>
          <t>12 birds/totes</t>
        </is>
      </c>
      <c r="J24" s="50" t="n">
        <v>61061</v>
      </c>
      <c r="K24" s="50" t="n"/>
      <c r="L24" s="50" t="n">
        <v>10</v>
      </c>
      <c r="M24" s="50" t="n"/>
    </row>
    <row r="25">
      <c r="A25" s="197" t="n"/>
      <c r="B25" s="198">
        <f>_xlfn.XLOOKUP(C26,'00_SKU_Master'!$B$2:$B$378,'00_SKU_Master'!J:J)</f>
        <v/>
      </c>
      <c r="C25" s="199" t="n">
        <v>203891</v>
      </c>
      <c r="D25" s="200">
        <f>CEILING(SUMIF('00_SKU_Master'!$C$2:$C$378,C26,'00_SKU_Master'!S:S),1)/25</f>
        <v/>
      </c>
      <c r="E25" s="201">
        <f>_xludf.IFNA(_xlfn.XLOOKUP(C26,J:J,L:L),"0")</f>
        <v/>
      </c>
      <c r="F25" s="202">
        <f>D26-E26</f>
        <v/>
      </c>
      <c r="G25" s="203">
        <f>SUMIF('02_TrayPack_Order'!M27:M279,C26,'02_TrayPack_Order'!T27:T279)</f>
        <v/>
      </c>
      <c r="H25" s="204" t="n"/>
      <c r="J25" s="50" t="n">
        <v>61082</v>
      </c>
      <c r="K25" s="50" t="n"/>
      <c r="L25" s="50" t="n">
        <v>65</v>
      </c>
      <c r="M25" s="50" t="n"/>
    </row>
    <row r="26">
      <c r="A26" s="197" t="n"/>
      <c r="B26" s="198">
        <f>_xlfn.XLOOKUP(C27,'00_SKU_Master'!$B$2:$B$378,'00_SKU_Master'!J:J)</f>
        <v/>
      </c>
      <c r="C26" s="199" t="inlineStr">
        <is>
          <t>61014#2</t>
        </is>
      </c>
      <c r="D26" s="200">
        <f>CEILING(SUMIF('00_SKU_Master'!$C$2:$C$378,C27,'00_SKU_Master'!S:S),1)/25</f>
        <v/>
      </c>
      <c r="E26" s="201">
        <f>_xludf.IFNA(_xlfn.XLOOKUP(C27,J:J,L:L),"0")</f>
        <v/>
      </c>
      <c r="F26" s="202">
        <f>D27-E27</f>
        <v/>
      </c>
      <c r="G26" s="203">
        <f>SUMIF('02_TrayPack_Order'!M28:M280,C27,'02_TrayPack_Order'!T28:T280)</f>
        <v/>
      </c>
      <c r="H26" s="204" t="n"/>
      <c r="J26" s="50" t="inlineStr">
        <is>
          <t>61086#2</t>
        </is>
      </c>
      <c r="K26" s="50" t="n"/>
      <c r="L26" s="50" t="n">
        <v>19</v>
      </c>
      <c r="M26" s="50" t="n"/>
    </row>
    <row r="27">
      <c r="A27" s="197" t="n"/>
      <c r="B27" s="198">
        <f>_xlfn.XLOOKUP(C28,'00_SKU_Master'!$B$2:$B$378,'00_SKU_Master'!J:J)</f>
        <v/>
      </c>
      <c r="C27" s="199" t="inlineStr">
        <is>
          <t>61014B</t>
        </is>
      </c>
      <c r="D27" s="200">
        <f>CEILING(SUMIF('00_SKU_Master'!$C$2:$C$378,C28,'00_SKU_Master'!S:S),1)/25</f>
        <v/>
      </c>
      <c r="E27" s="201">
        <f>_xludf.IFNA(_xlfn.XLOOKUP(C28,J:J,L:L),"0")</f>
        <v/>
      </c>
      <c r="F27" s="202">
        <f>D28-E28</f>
        <v/>
      </c>
      <c r="G27" s="203">
        <f>SUMIF('02_TrayPack_Order'!M29:M281,C28,'02_TrayPack_Order'!T29:T281)</f>
        <v/>
      </c>
      <c r="H27" s="204" t="n"/>
      <c r="J27" s="50" t="inlineStr">
        <is>
          <t>61072#2</t>
        </is>
      </c>
      <c r="K27" s="50" t="n"/>
      <c r="L27" s="50" t="n">
        <v>51</v>
      </c>
      <c r="M27" s="50" t="n"/>
    </row>
    <row r="28">
      <c r="A28" s="197" t="n"/>
      <c r="B28" s="198">
        <f>_xlfn.XLOOKUP(C29,'00_SKU_Master'!$B$2:$B$378,'00_SKU_Master'!J:J)</f>
        <v/>
      </c>
      <c r="C28" s="199" t="inlineStr">
        <is>
          <t>61014C</t>
        </is>
      </c>
      <c r="D28" s="200">
        <f>CEILING(SUMIF('00_SKU_Master'!$C$2:$C$378,C29,'00_SKU_Master'!S:S),1)/25</f>
        <v/>
      </c>
      <c r="E28" s="201">
        <f>_xludf.IFNA(_xlfn.XLOOKUP(C29,J:J,L:L),"0")</f>
        <v/>
      </c>
      <c r="F28" s="202">
        <f>D29-E29</f>
        <v/>
      </c>
      <c r="G28" s="203">
        <f>SUMIF('02_TrayPack_Order'!M30:M282,C29,'02_TrayPack_Order'!T30:T282)</f>
        <v/>
      </c>
      <c r="H28" s="204" t="n"/>
      <c r="J28" s="50" t="n">
        <v>61010</v>
      </c>
      <c r="K28" s="50" t="n"/>
      <c r="L28" s="50" t="n"/>
      <c r="M28" s="50" t="n"/>
    </row>
    <row r="29">
      <c r="A29" s="197" t="n"/>
      <c r="B29" s="198">
        <f>_xlfn.XLOOKUP(C30,'00_SKU_Master'!$B$2:$B$378,'00_SKU_Master'!J:J)</f>
        <v/>
      </c>
      <c r="C29" s="199" t="inlineStr">
        <is>
          <t>61014F</t>
        </is>
      </c>
      <c r="D29" s="200">
        <f>CEILING(SUMIF('00_SKU_Master'!$C$2:$C$378,C30,'00_SKU_Master'!S:S),1)/25</f>
        <v/>
      </c>
      <c r="E29" s="201">
        <f>_xludf.IFNA(_xlfn.XLOOKUP(C30,J:J,L:L),"0")</f>
        <v/>
      </c>
      <c r="F29" s="202">
        <f>D30-E30</f>
        <v/>
      </c>
      <c r="G29" s="203">
        <f>SUMIF('02_TrayPack_Order'!M31:M283,C30,'02_TrayPack_Order'!T31:T283)</f>
        <v/>
      </c>
      <c r="H29" s="204" t="n"/>
      <c r="J29" s="50" t="n">
        <v>61104</v>
      </c>
      <c r="K29" s="50" t="n"/>
      <c r="L29" s="50" t="n"/>
      <c r="M29" s="50" t="n"/>
    </row>
    <row r="30">
      <c r="A30" s="197" t="n"/>
      <c r="B30" s="198">
        <f>_xlfn.XLOOKUP(C31,'00_SKU_Master'!$B$2:$B$378,'00_SKU_Master'!J:J)</f>
        <v/>
      </c>
      <c r="C30" s="199" t="inlineStr">
        <is>
          <t>61040#2</t>
        </is>
      </c>
      <c r="D30" s="200">
        <f>CEILING(SUMIF('00_SKU_Master'!$C$2:$C$378,C31,'00_SKU_Master'!S:S),1)/25</f>
        <v/>
      </c>
      <c r="E30" s="201">
        <f>_xludf.IFNA(_xlfn.XLOOKUP(C31,J:J,L:L),"0")</f>
        <v/>
      </c>
      <c r="F30" s="202">
        <f>D31-E31</f>
        <v/>
      </c>
      <c r="G30" s="203">
        <f>SUMIF('02_TrayPack_Order'!M32:M284,C31,'02_TrayPack_Order'!T32:T284)</f>
        <v/>
      </c>
      <c r="H30" s="204" t="n"/>
      <c r="J30" s="50" t="n">
        <v>61121</v>
      </c>
      <c r="K30" s="50" t="n"/>
      <c r="L30" s="50" t="n"/>
      <c r="M30" s="50" t="n"/>
    </row>
    <row r="31">
      <c r="A31" s="197" t="n"/>
      <c r="B31" s="198">
        <f>_xlfn.XLOOKUP(C32,'00_SKU_Master'!$B$2:$B$378,'00_SKU_Master'!J:J)</f>
        <v/>
      </c>
      <c r="C31" s="199" t="inlineStr">
        <is>
          <t>61048#2</t>
        </is>
      </c>
      <c r="D31" s="200">
        <f>CEILING(SUMIF('00_SKU_Master'!$C$2:$C$378,C32,'00_SKU_Master'!S:S),1)/25</f>
        <v/>
      </c>
      <c r="E31" s="201">
        <f>_xludf.IFNA(_xlfn.XLOOKUP(C32,J:J,L:L),"0")</f>
        <v/>
      </c>
      <c r="F31" s="202">
        <f>D32-E32</f>
        <v/>
      </c>
      <c r="G31" s="203">
        <f>SUMIF('02_TrayPack_Order'!M33:M285,C32,'02_TrayPack_Order'!T33:T285)</f>
        <v/>
      </c>
      <c r="H31" s="204" t="n"/>
      <c r="J31" s="50" t="inlineStr">
        <is>
          <t>61014#2</t>
        </is>
      </c>
      <c r="K31" s="50" t="n"/>
      <c r="L31" s="50" t="n"/>
      <c r="M31" s="50" t="n"/>
    </row>
    <row r="32">
      <c r="A32" s="197" t="n"/>
      <c r="B32" s="198">
        <f>_xlfn.XLOOKUP(C33,'00_SKU_Master'!$B$2:$B$378,'00_SKU_Master'!J:J)</f>
        <v/>
      </c>
      <c r="C32" s="199" t="inlineStr">
        <is>
          <t>61050#2</t>
        </is>
      </c>
      <c r="D32" s="200">
        <f>CEILING(SUMIF('00_SKU_Master'!$C$2:$C$378,C33,'00_SKU_Master'!S:S),1)/25</f>
        <v/>
      </c>
      <c r="E32" s="201">
        <f>_xludf.IFNA(_xlfn.XLOOKUP(C33,J:J,L:L),"0")</f>
        <v/>
      </c>
      <c r="F32" s="202">
        <f>D33-E33</f>
        <v/>
      </c>
      <c r="G32" s="203">
        <f>SUMIF('02_TrayPack_Order'!M34:M286,C33,'02_TrayPack_Order'!T34:T286)</f>
        <v/>
      </c>
      <c r="H32" s="204" t="n"/>
      <c r="J32" s="50" t="n">
        <v>61055</v>
      </c>
      <c r="K32" s="50" t="n"/>
      <c r="L32" s="50" t="n"/>
      <c r="M32" s="50" t="n"/>
    </row>
    <row r="33">
      <c r="A33" s="197" t="n"/>
      <c r="B33" s="198">
        <f>_xlfn.XLOOKUP(C34,'00_SKU_Master'!$B$2:$B$378,'00_SKU_Master'!J:J)</f>
        <v/>
      </c>
      <c r="C33" s="199" t="inlineStr">
        <is>
          <t>61050C</t>
        </is>
      </c>
      <c r="D33" s="200">
        <f>CEILING(SUMIF('00_SKU_Master'!$C$2:$C$378,C34,'00_SKU_Master'!S:S),1)/25</f>
        <v/>
      </c>
      <c r="E33" s="201">
        <f>_xludf.IFNA(_xlfn.XLOOKUP(C34,J:J,L:L),"0")</f>
        <v/>
      </c>
      <c r="F33" s="202">
        <f>D34-E34</f>
        <v/>
      </c>
      <c r="G33" s="203">
        <f>SUMIF('02_TrayPack_Order'!M35:M287,C34,'02_TrayPack_Order'!T35:T287)</f>
        <v/>
      </c>
      <c r="H33" s="204" t="n"/>
      <c r="J33" s="50" t="n">
        <v>203043</v>
      </c>
      <c r="K33" s="50" t="n"/>
      <c r="L33" s="50" t="n"/>
      <c r="M33" s="50" t="n"/>
    </row>
    <row r="34">
      <c r="A34" s="197" t="n"/>
      <c r="B34" s="198">
        <f>_xlfn.XLOOKUP(C35,'00_SKU_Master'!$B$2:$B$378,'00_SKU_Master'!J:J)</f>
        <v/>
      </c>
      <c r="C34" s="199" t="inlineStr">
        <is>
          <t>61050F</t>
        </is>
      </c>
      <c r="D34" s="200">
        <f>CEILING(SUMIF('00_SKU_Master'!$C$2:$C$378,C35,'00_SKU_Master'!S:S),1)/25</f>
        <v/>
      </c>
      <c r="E34" s="201">
        <f>_xludf.IFNA(_xlfn.XLOOKUP(C35,J:J,L:L),"0")</f>
        <v/>
      </c>
      <c r="F34" s="202">
        <f>D35-E35</f>
        <v/>
      </c>
      <c r="G34" s="203">
        <f>SUMIF('02_TrayPack_Order'!M36:M288,C35,'02_TrayPack_Order'!T36:T288)</f>
        <v/>
      </c>
      <c r="H34" s="204" t="n"/>
      <c r="J34" s="50" t="n">
        <v>203891</v>
      </c>
      <c r="K34" s="50" t="n"/>
      <c r="L34" s="50" t="n"/>
      <c r="M34" s="50" t="n"/>
    </row>
    <row r="35">
      <c r="B35" s="198">
        <f>_xlfn.XLOOKUP(C36,'00_SKU_Master'!$B$2:$B$378,'00_SKU_Master'!J:J)</f>
        <v/>
      </c>
      <c r="C35" s="199" t="inlineStr">
        <is>
          <t>61061F</t>
        </is>
      </c>
      <c r="D35" s="200">
        <f>CEILING(SUMIF('00_SKU_Master'!$C$2:$C$378,C36,'00_SKU_Master'!S:S),1)/25</f>
        <v/>
      </c>
      <c r="E35" s="201">
        <f>_xludf.IFNA(_xlfn.XLOOKUP(C36,J:J,L:L),"0")</f>
        <v/>
      </c>
      <c r="F35" s="202">
        <f>D36-E36</f>
        <v/>
      </c>
      <c r="G35" s="203">
        <f>SUMIF('02_TrayPack_Order'!M37:M289,C36,'02_TrayPack_Order'!T37:T289)</f>
        <v/>
      </c>
      <c r="H35" s="204" t="n"/>
      <c r="I35" s="197" t="n"/>
      <c r="J35" s="50" t="n">
        <v>203044</v>
      </c>
      <c r="K35" s="50" t="n"/>
      <c r="L35" s="50" t="n"/>
      <c r="M35" s="50" t="n"/>
      <c r="N35" s="197" t="n"/>
    </row>
    <row r="36">
      <c r="B36" s="198">
        <f>_xlfn.XLOOKUP(C37,'00_SKU_Master'!$B$2:$B$378,'00_SKU_Master'!J:J)</f>
        <v/>
      </c>
      <c r="C36" s="199" t="inlineStr">
        <is>
          <t>61072#2</t>
        </is>
      </c>
      <c r="D36" s="200">
        <f>CEILING(SUMIF('00_SKU_Master'!$C$2:$C$378,C37,'00_SKU_Master'!S:S),1)/25</f>
        <v/>
      </c>
      <c r="E36" s="201">
        <f>_xludf.IFNA(_xlfn.XLOOKUP(C37,J:J,L:L),"0")</f>
        <v/>
      </c>
      <c r="F36" s="202">
        <f>D37-E37</f>
        <v/>
      </c>
      <c r="G36" s="203">
        <f>SUMIF('02_TrayPack_Order'!M38:M290,C37,'02_TrayPack_Order'!T38:T290)</f>
        <v/>
      </c>
      <c r="H36" s="204" t="n"/>
      <c r="I36" s="197" t="n"/>
      <c r="J36" s="50" t="n">
        <v>61071</v>
      </c>
      <c r="K36" s="50" t="n"/>
      <c r="L36" s="50" t="n"/>
      <c r="M36" s="50" t="n"/>
      <c r="N36" s="197" t="n"/>
    </row>
    <row r="37">
      <c r="B37" s="198">
        <f>_xlfn.XLOOKUP(C38,'00_SKU_Master'!$B$2:$B$378,'00_SKU_Master'!J:J)</f>
        <v/>
      </c>
      <c r="C37" s="209" t="inlineStr">
        <is>
          <t>61072C</t>
        </is>
      </c>
      <c r="D37" s="200">
        <f>CEILING(SUMIF('00_SKU_Master'!$C$2:$C$378,C38,'00_SKU_Master'!S:S),1)/25</f>
        <v/>
      </c>
      <c r="E37" s="201">
        <f>_xludf.IFNA(_xlfn.XLOOKUP(C38,J:J,L:L),"0")</f>
        <v/>
      </c>
      <c r="F37" s="202">
        <f>D38-E38</f>
        <v/>
      </c>
      <c r="G37" s="203">
        <f>SUMIF('02_TrayPack_Order'!M39:M291,C38,'02_TrayPack_Order'!T39:T291)</f>
        <v/>
      </c>
      <c r="H37" s="211" t="n"/>
      <c r="I37" s="197" t="n"/>
      <c r="J37" s="50" t="n">
        <v>61077</v>
      </c>
      <c r="K37" s="50" t="n"/>
      <c r="L37" s="50" t="n">
        <v>159</v>
      </c>
      <c r="M37" s="50" t="n"/>
      <c r="N37" s="197" t="n"/>
    </row>
    <row r="38">
      <c r="B38" s="198">
        <f>_xlfn.XLOOKUP(C39,'00_SKU_Master'!$B$2:$B$378,'00_SKU_Master'!J:J)</f>
        <v/>
      </c>
      <c r="C38" s="212" t="inlineStr">
        <is>
          <t>61072F</t>
        </is>
      </c>
      <c r="D38" s="200">
        <f>CEILING(SUMIF('00_SKU_Master'!$C$2:$C$378,C39,'00_SKU_Master'!S:S),1)/25</f>
        <v/>
      </c>
      <c r="E38" s="201">
        <f>_xludf.IFNA(_xlfn.XLOOKUP(C39,J:J,L:L),"0")</f>
        <v/>
      </c>
      <c r="F38" s="202">
        <f>D39-E39</f>
        <v/>
      </c>
      <c r="G38" s="203">
        <f>SUMIF('02_TrayPack_Order'!M40:M292,C39,'02_TrayPack_Order'!T40:T292)</f>
        <v/>
      </c>
      <c r="H38" s="213" t="n"/>
      <c r="I38" s="197" t="n"/>
      <c r="J38" s="50" t="n"/>
      <c r="K38" s="50" t="n"/>
      <c r="L38" s="50" t="n"/>
      <c r="M38" s="50" t="n"/>
      <c r="N38" s="197" t="n"/>
    </row>
    <row r="39">
      <c r="B39" s="198">
        <f>_xlfn.XLOOKUP(C40,'00_SKU_Master'!$B$2:$B$378,'00_SKU_Master'!J:J)</f>
        <v/>
      </c>
      <c r="C39" s="212" t="inlineStr">
        <is>
          <t>61077F</t>
        </is>
      </c>
      <c r="D39" s="200">
        <f>CEILING(SUMIF('00_SKU_Master'!$C$2:$C$378,C40,'00_SKU_Master'!S:S),1)/25</f>
        <v/>
      </c>
      <c r="E39" s="201">
        <f>_xludf.IFNA(_xlfn.XLOOKUP(C40,J:J,L:L),"0")</f>
        <v/>
      </c>
      <c r="F39" s="202">
        <f>D40-E40</f>
        <v/>
      </c>
      <c r="G39" s="203">
        <f>SUMIF('02_TrayPack_Order'!M41:M293,C40,'02_TrayPack_Order'!T41:T293)</f>
        <v/>
      </c>
      <c r="H39" s="213" t="n"/>
      <c r="I39" s="197" t="n"/>
      <c r="J39" s="50" t="n"/>
      <c r="K39" s="50" t="n"/>
      <c r="L39" s="50" t="n"/>
      <c r="M39" s="50" t="n"/>
      <c r="N39" s="197" t="n"/>
    </row>
    <row r="40">
      <c r="B40" s="198">
        <f>_xlfn.XLOOKUP(C41,'00_SKU_Master'!$B$2:$B$378,'00_SKU_Master'!J:J)</f>
        <v/>
      </c>
      <c r="C40" s="212" t="inlineStr">
        <is>
          <t>61086#2</t>
        </is>
      </c>
      <c r="D40" s="200">
        <f>CEILING(SUMIF('00_SKU_Master'!$C$2:$C$378,C41,'00_SKU_Master'!S:S),1)/25</f>
        <v/>
      </c>
      <c r="E40" s="201">
        <f>_xludf.IFNA(_xlfn.XLOOKUP(C41,J:J,L:L),"0")</f>
        <v/>
      </c>
      <c r="F40" s="202">
        <f>D41-E41</f>
        <v/>
      </c>
      <c r="G40" s="203">
        <f>SUMIF('02_TrayPack_Order'!M42:M294,C41,'02_TrayPack_Order'!T42:T294)</f>
        <v/>
      </c>
      <c r="H40" s="213" t="n"/>
      <c r="I40" s="197" t="n"/>
      <c r="J40" s="50" t="n"/>
      <c r="K40" s="50" t="n"/>
      <c r="L40" s="50" t="n"/>
      <c r="M40" s="50" t="n"/>
      <c r="N40" s="197" t="n"/>
    </row>
    <row r="41">
      <c r="B41" s="198">
        <f>_xlfn.XLOOKUP(C42,'00_SKU_Master'!$B$2:$B$378,'00_SKU_Master'!J:J)</f>
        <v/>
      </c>
      <c r="C41" s="212" t="inlineStr">
        <is>
          <t>61086C</t>
        </is>
      </c>
      <c r="D41" s="200">
        <f>CEILING(SUMIF('00_SKU_Master'!$C$2:$C$378,C42,'00_SKU_Master'!S:S),1)/25</f>
        <v/>
      </c>
      <c r="E41" s="201">
        <f>_xludf.IFNA(_xlfn.XLOOKUP(C42,J:J,L:L),"0")</f>
        <v/>
      </c>
      <c r="F41" s="202">
        <f>D42-E42</f>
        <v/>
      </c>
      <c r="G41" s="203">
        <f>SUMIF('02_TrayPack_Order'!M43:M295,C42,'02_TrayPack_Order'!T43:T295)</f>
        <v/>
      </c>
      <c r="H41" s="213" t="n"/>
      <c r="I41" s="197" t="n"/>
      <c r="J41" s="50" t="n"/>
      <c r="K41" s="50" t="n"/>
      <c r="L41" s="50" t="n"/>
      <c r="M41" s="50" t="n"/>
      <c r="N41" s="197" t="n"/>
    </row>
    <row r="42">
      <c r="B42" s="198">
        <f>_xlfn.XLOOKUP(C43,'00_SKU_Master'!$B$2:$B$378,'00_SKU_Master'!J:J)</f>
        <v/>
      </c>
      <c r="C42" s="212" t="inlineStr">
        <is>
          <t>61086F</t>
        </is>
      </c>
      <c r="D42" s="200">
        <f>CEILING(SUMIF('00_SKU_Master'!$C$2:$C$378,C43,'00_SKU_Master'!S:S),1)/25</f>
        <v/>
      </c>
      <c r="E42" s="201">
        <f>_xludf.IFNA(_xlfn.XLOOKUP(C43,J:J,L:L),"0")</f>
        <v/>
      </c>
      <c r="F42" s="202">
        <f>D43-E43</f>
        <v/>
      </c>
      <c r="G42" s="203">
        <f>SUMIF('02_TrayPack_Order'!M44:M296,C43,'02_TrayPack_Order'!T44:T296)</f>
        <v/>
      </c>
      <c r="H42" s="213" t="n"/>
      <c r="I42" s="197" t="n"/>
      <c r="J42" s="50" t="n"/>
      <c r="K42" s="50" t="n"/>
      <c r="L42" s="50" t="n"/>
      <c r="M42" s="50" t="n"/>
      <c r="N42" s="197" t="n"/>
    </row>
    <row r="43">
      <c r="B43" s="198" t="n"/>
      <c r="C43" s="214" t="n"/>
      <c r="D43" s="214" t="n"/>
      <c r="E43" s="215" t="n"/>
      <c r="F43" s="214" t="n"/>
      <c r="G43" s="214" t="n"/>
      <c r="J43" s="50" t="n"/>
      <c r="K43" s="50" t="n"/>
      <c r="L43" s="50" t="n"/>
      <c r="M43" s="50" t="n"/>
      <c r="N43" s="197" t="n"/>
    </row>
    <row r="44">
      <c r="B44" s="198" t="n"/>
      <c r="C44" s="214" t="n"/>
      <c r="D44" s="214" t="n"/>
      <c r="E44" s="215" t="n"/>
      <c r="F44" s="214" t="n"/>
      <c r="G44" s="214" t="n"/>
      <c r="J44" s="50" t="n"/>
      <c r="K44" s="50" t="n"/>
      <c r="L44" s="50" t="n"/>
      <c r="M44" s="50" t="n"/>
      <c r="N44" s="197" t="n"/>
    </row>
    <row r="45">
      <c r="B45" s="198" t="n"/>
      <c r="C45" s="214" t="n"/>
      <c r="D45" s="214" t="n"/>
      <c r="E45" s="215" t="n"/>
      <c r="F45" s="214" t="n"/>
      <c r="G45" s="214" t="n"/>
      <c r="J45" s="216" t="n"/>
      <c r="K45" s="216" t="n"/>
      <c r="L45" s="216" t="n"/>
      <c r="M45" s="216" t="n"/>
    </row>
    <row r="46">
      <c r="B46" s="198" t="n"/>
      <c r="C46" s="214" t="n"/>
      <c r="D46" s="214" t="n"/>
      <c r="E46" s="215" t="n"/>
      <c r="F46" s="214" t="n"/>
      <c r="G46" s="214" t="n"/>
      <c r="J46" s="216" t="n"/>
      <c r="K46" s="216" t="n"/>
      <c r="L46" s="216" t="n"/>
      <c r="M46" s="216" t="n"/>
    </row>
    <row r="47">
      <c r="B47" s="198" t="n"/>
      <c r="C47" s="214" t="n"/>
      <c r="D47" s="214" t="n"/>
      <c r="E47" s="215" t="n"/>
      <c r="F47" s="214" t="n"/>
      <c r="G47" s="214" t="n"/>
      <c r="J47" s="216" t="n"/>
      <c r="K47" s="216" t="n"/>
      <c r="L47" s="216" t="n"/>
      <c r="M47" s="216" t="n"/>
    </row>
    <row r="48">
      <c r="B48" s="198" t="n"/>
      <c r="C48" s="214" t="n"/>
      <c r="D48" s="214" t="n"/>
      <c r="E48" s="215" t="n"/>
      <c r="F48" s="214" t="n"/>
      <c r="G48" s="214" t="n"/>
      <c r="J48" s="216" t="n"/>
      <c r="K48" s="216" t="n"/>
      <c r="L48" s="216" t="n"/>
      <c r="M48" s="216" t="n"/>
    </row>
    <row r="49">
      <c r="B49" s="198" t="n"/>
      <c r="C49" s="214" t="n"/>
      <c r="D49" s="214" t="n"/>
      <c r="E49" s="215" t="n"/>
      <c r="F49" s="214" t="n"/>
      <c r="G49" s="214" t="n"/>
      <c r="J49" s="216" t="n"/>
      <c r="K49" s="216" t="n"/>
      <c r="L49" s="216" t="n"/>
      <c r="M49" s="216" t="n"/>
    </row>
    <row r="50">
      <c r="B50" s="198" t="n"/>
      <c r="C50" s="214" t="n"/>
      <c r="D50" s="214" t="n"/>
      <c r="E50" s="215" t="n"/>
      <c r="F50" s="214" t="n"/>
      <c r="G50" s="214" t="n"/>
      <c r="J50" s="216" t="n"/>
      <c r="K50" s="216" t="n"/>
      <c r="L50" s="216" t="n"/>
      <c r="M50" s="216" t="n"/>
    </row>
    <row r="51">
      <c r="B51" s="198" t="n"/>
      <c r="C51" s="214" t="n"/>
      <c r="D51" s="214" t="n"/>
      <c r="E51" s="215" t="n"/>
      <c r="F51" s="214" t="n"/>
      <c r="G51" s="214" t="n"/>
      <c r="J51" s="216" t="n"/>
      <c r="K51" s="216" t="n"/>
      <c r="L51" s="216" t="n"/>
      <c r="M51" s="216" t="n"/>
    </row>
    <row r="52">
      <c r="B52" s="198" t="n"/>
      <c r="C52" s="214" t="n"/>
      <c r="D52" s="214" t="n"/>
      <c r="E52" s="215" t="n"/>
      <c r="F52" s="214" t="n"/>
      <c r="G52" s="214" t="n"/>
      <c r="J52" s="216" t="n"/>
      <c r="K52" s="216" t="n"/>
      <c r="L52" s="216" t="n"/>
      <c r="M52" s="216" t="n"/>
    </row>
    <row r="53">
      <c r="B53" s="198" t="n"/>
      <c r="C53" s="214" t="n"/>
      <c r="D53" s="214" t="n"/>
      <c r="E53" s="215" t="n"/>
      <c r="F53" s="214" t="n"/>
      <c r="G53" s="214" t="n"/>
      <c r="J53" s="216" t="n"/>
      <c r="K53" s="216" t="n"/>
      <c r="L53" s="216" t="n"/>
      <c r="M53" s="216" t="n"/>
    </row>
    <row r="54">
      <c r="B54" s="198" t="n"/>
      <c r="C54" s="214" t="n"/>
      <c r="D54" s="214" t="n"/>
      <c r="E54" s="215" t="n"/>
      <c r="F54" s="214" t="n"/>
      <c r="G54" s="214" t="n"/>
      <c r="J54" s="216" t="n"/>
      <c r="K54" s="216" t="n"/>
      <c r="L54" s="216" t="n"/>
      <c r="M54" s="216" t="n"/>
    </row>
    <row r="55">
      <c r="B55" s="198" t="n"/>
      <c r="C55" s="214" t="n"/>
      <c r="D55" s="214" t="n"/>
      <c r="E55" s="215" t="n"/>
      <c r="F55" s="214" t="n"/>
      <c r="G55" s="214" t="n"/>
      <c r="J55" s="216" t="n"/>
      <c r="K55" s="216" t="n"/>
      <c r="L55" s="216" t="n"/>
      <c r="M55" s="216" t="n"/>
    </row>
    <row r="56">
      <c r="B56" s="198" t="n"/>
      <c r="C56" s="214" t="n"/>
      <c r="D56" s="15" t="n"/>
      <c r="E56" s="217" t="n"/>
      <c r="F56" s="218" t="n"/>
      <c r="G56" s="219" t="n"/>
    </row>
    <row r="57">
      <c r="B57" s="198" t="n"/>
      <c r="C57" s="214" t="n"/>
      <c r="D57" s="15" t="n"/>
      <c r="E57" s="217" t="n"/>
      <c r="F57" s="218" t="n"/>
      <c r="G57" s="219" t="n"/>
    </row>
    <row r="58">
      <c r="B58" s="198" t="n"/>
      <c r="C58" s="214" t="n"/>
      <c r="D58" s="15" t="n"/>
      <c r="E58" s="217" t="n"/>
      <c r="F58" s="218" t="n"/>
      <c r="G58" s="2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80"/>
  <sheetViews>
    <sheetView workbookViewId="0">
      <selection activeCell="A1" sqref="A1"/>
    </sheetView>
  </sheetViews>
  <sheetFormatPr baseColWidth="8" defaultRowHeight="14.5"/>
  <cols>
    <col width="8.7265625" customWidth="1" min="1" max="1"/>
    <col width="7.26953125" customWidth="1" min="2" max="2"/>
    <col width="7" customWidth="1" min="3" max="3"/>
    <col width="17.08984375" customWidth="1" min="4" max="4"/>
    <col width="11.08984375" customWidth="1" min="5" max="5"/>
    <col width="12.54296875" customWidth="1" min="6" max="6"/>
    <col width="10.7265625" customWidth="1" min="7" max="7"/>
    <col width="8.08984375" customWidth="1" min="8" max="8"/>
    <col width="6.08984375" customWidth="1" min="9" max="9"/>
    <col width="8.08984375" customWidth="1" min="10" max="12"/>
    <col width="8.08984375" customWidth="1" min="14" max="14"/>
    <col width="10.08984375" customWidth="1" min="15" max="15"/>
    <col width="11.08984375" customWidth="1" min="16" max="16"/>
    <col width="6.08984375" customWidth="1" min="17" max="17"/>
    <col width="7.453125" customWidth="1" min="18" max="18"/>
    <col width="7.08984375" customWidth="1" min="19" max="19"/>
    <col width="10.08984375" customWidth="1" min="20" max="20"/>
    <col width="37.453125" customWidth="1" min="21" max="21"/>
    <col width="4.08984375" customWidth="1" min="22" max="22"/>
    <col width="11.453125" customWidth="1" min="24" max="24"/>
    <col width="9.26953125" customWidth="1" min="25" max="25"/>
    <col width="10" customWidth="1" min="27" max="27"/>
    <col width="6.453125" customWidth="1" min="28" max="28"/>
    <col width="6" customWidth="1" min="30" max="30"/>
    <col width="7.08984375" customWidth="1" min="31" max="31"/>
    <col width="8.08984375" customWidth="1" min="32" max="32"/>
  </cols>
  <sheetData>
    <row r="1">
      <c r="A1" s="220" t="inlineStr">
        <is>
          <t>Sku</t>
        </is>
      </c>
      <c r="B1" s="220" t="inlineStr">
        <is>
          <t>STD</t>
        </is>
      </c>
      <c r="C1" s="220" t="inlineStr">
        <is>
          <t>SKU</t>
        </is>
      </c>
      <c r="D1" s="220" t="inlineStr">
        <is>
          <t>Absolute High Weight</t>
        </is>
      </c>
      <c r="E1" s="221" t="n"/>
      <c r="F1" s="222" t="inlineStr">
        <is>
          <t>Total Earned Hr</t>
        </is>
      </c>
      <c r="G1" s="223">
        <f>SUM(P3:P150)</f>
        <v/>
      </c>
      <c r="H1" s="191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</row>
    <row r="2" ht="30" customHeight="1">
      <c r="A2" s="148" t="n">
        <v>260</v>
      </c>
      <c r="B2" s="225" t="n">
        <v>109.6</v>
      </c>
      <c r="C2" s="226" t="n">
        <v>213</v>
      </c>
      <c r="D2" s="227" t="n">
        <v>6</v>
      </c>
      <c r="E2" s="228" t="n"/>
      <c r="F2" s="229" t="inlineStr">
        <is>
          <t>Will make</t>
        </is>
      </c>
      <c r="G2" s="230">
        <f>G3/((G16-F16)*24)*8</f>
        <v/>
      </c>
      <c r="H2" s="231">
        <f>SUM(O3:O301)</f>
        <v/>
      </c>
      <c r="J2" s="232" t="inlineStr">
        <is>
          <t>CODE</t>
        </is>
      </c>
      <c r="K2" s="233" t="inlineStr">
        <is>
          <t>WIP CODE</t>
        </is>
      </c>
      <c r="L2" s="232" t="inlineStr">
        <is>
          <t>Case</t>
        </is>
      </c>
      <c r="M2" s="220" t="inlineStr">
        <is>
          <t>Total KGs</t>
        </is>
      </c>
      <c r="N2" s="177" t="inlineStr">
        <is>
          <t>AVG</t>
        </is>
      </c>
      <c r="O2" s="234" t="inlineStr">
        <is>
          <t>STD</t>
        </is>
      </c>
      <c r="P2" s="177" t="inlineStr">
        <is>
          <t>Earned Hours</t>
        </is>
      </c>
      <c r="Q2" s="177" t="inlineStr">
        <is>
          <t>AVG KG</t>
        </is>
      </c>
      <c r="R2" s="220" t="inlineStr">
        <is>
          <t>time</t>
        </is>
      </c>
      <c r="S2" s="220" t="inlineStr">
        <is>
          <t>Different</t>
        </is>
      </c>
      <c r="T2" s="235" t="inlineStr">
        <is>
          <t>Code</t>
        </is>
      </c>
      <c r="U2" s="235" t="inlineStr">
        <is>
          <t>Description</t>
        </is>
      </c>
      <c r="V2" s="235" t="inlineStr">
        <is>
          <t>Planned</t>
        </is>
      </c>
      <c r="W2" s="235" t="inlineStr">
        <is>
          <t>Require</t>
        </is>
      </c>
      <c r="X2" s="235" t="inlineStr">
        <is>
          <t>Produced</t>
        </is>
      </c>
      <c r="Y2" s="235" t="inlineStr">
        <is>
          <t>Diff</t>
        </is>
      </c>
      <c r="Z2" s="235" t="inlineStr">
        <is>
          <t>Net WT</t>
        </is>
      </c>
      <c r="AA2" s="235" t="inlineStr">
        <is>
          <t>Gross WT</t>
        </is>
      </c>
      <c r="AB2" s="235" t="inlineStr">
        <is>
          <t>% Tare</t>
        </is>
      </c>
      <c r="AC2" s="235" t="inlineStr">
        <is>
          <t>Under</t>
        </is>
      </c>
      <c r="AD2" s="235" t="inlineStr">
        <is>
          <t>Over</t>
        </is>
      </c>
      <c r="AE2" s="235" t="inlineStr">
        <is>
          <t>At Time</t>
        </is>
      </c>
    </row>
    <row r="3">
      <c r="A3" s="148" t="n">
        <v>331</v>
      </c>
      <c r="B3" s="225" t="n">
        <v>32.31</v>
      </c>
      <c r="C3" s="226" t="n">
        <v>207104</v>
      </c>
      <c r="D3" s="227" t="n">
        <v>5</v>
      </c>
      <c r="E3" s="236" t="n"/>
      <c r="F3" s="237" t="inlineStr">
        <is>
          <t>Total Cases</t>
        </is>
      </c>
      <c r="G3" s="238">
        <f>SUM(O3:O301)</f>
        <v/>
      </c>
      <c r="H3" s="138">
        <f>SUM(O150:O300)</f>
        <v/>
      </c>
      <c r="J3" s="232">
        <f>T3</f>
        <v/>
      </c>
      <c r="K3" s="233" t="n">
        <v>0</v>
      </c>
      <c r="L3" s="239">
        <f>IFERROR(M3/25,"")</f>
        <v/>
      </c>
      <c r="M3" s="240">
        <f>IF(ISNUMBER(P3),Z3,0)</f>
        <v/>
      </c>
      <c r="N3" s="175" t="n">
        <v>0</v>
      </c>
      <c r="O3" s="241">
        <f>IF(ISNUMBER(P3),X3,0)</f>
        <v/>
      </c>
      <c r="P3" s="242">
        <f>_xludf.IFNA(Z3/_xlfn.XLOOKUP(T3,$A$2:$A$624,$B$2:$B$624,""),"")</f>
        <v/>
      </c>
      <c r="Q3" s="242">
        <f>IFERROR(M3/O3,"-")</f>
        <v/>
      </c>
      <c r="R3" s="243">
        <f>IF(ISNUMBER(P3),AE3,0)</f>
        <v/>
      </c>
      <c r="S3" s="244">
        <f>IFERROR((N3/Q3),"-")</f>
        <v/>
      </c>
      <c r="Z3" s="167" t="n"/>
      <c r="AA3" s="167" t="n"/>
      <c r="AE3" s="245" t="n"/>
    </row>
    <row r="4">
      <c r="A4" s="148" t="n">
        <v>484</v>
      </c>
      <c r="B4" s="225" t="n">
        <v>47.38</v>
      </c>
      <c r="C4" s="226" t="n">
        <v>7174</v>
      </c>
      <c r="D4" s="227" t="n">
        <v>10</v>
      </c>
      <c r="E4" s="246" t="n"/>
      <c r="F4" s="247" t="inlineStr">
        <is>
          <t>AVG weight</t>
        </is>
      </c>
      <c r="G4" s="248">
        <f>IFERROR(G5/H2,"")</f>
        <v/>
      </c>
      <c r="H4" s="191">
        <f>SUM(N150:N300)</f>
        <v/>
      </c>
      <c r="J4" s="232">
        <f>T4</f>
        <v/>
      </c>
      <c r="K4" s="233" t="n">
        <v>0</v>
      </c>
      <c r="L4" s="239">
        <f>IFERROR(M4/25,"")</f>
        <v/>
      </c>
      <c r="M4" s="240">
        <f>IF(ISNUMBER(P4),Z4,0)</f>
        <v/>
      </c>
      <c r="N4" s="175" t="n">
        <v>0</v>
      </c>
      <c r="O4" s="241">
        <f>IF(ISNUMBER(P4),X4,0)</f>
        <v/>
      </c>
      <c r="P4" s="242">
        <f>_xludf.IFNA(Z4/_xlfn.XLOOKUP(T4,$A$2:$A$624,$B$2:$B$624,""),"")</f>
        <v/>
      </c>
      <c r="Q4" s="242">
        <f>IFERROR(M4/O4,"-")</f>
        <v/>
      </c>
      <c r="R4" s="243">
        <f>IF(ISNUMBER(P4),AE4,0)</f>
        <v/>
      </c>
      <c r="S4" s="244">
        <f>IFERROR((N4/Q4),"-")</f>
        <v/>
      </c>
      <c r="Z4" s="167" t="n"/>
      <c r="AA4" s="167" t="n"/>
      <c r="AE4" s="245" t="n"/>
    </row>
    <row r="5">
      <c r="A5" s="148" t="n">
        <v>784</v>
      </c>
      <c r="B5" s="225" t="n">
        <v>17.92</v>
      </c>
      <c r="C5" s="226" t="n">
        <v>7175</v>
      </c>
      <c r="D5" s="227" t="n">
        <v>17</v>
      </c>
      <c r="E5" s="221" t="n"/>
      <c r="F5" s="237" t="inlineStr">
        <is>
          <t>Total KGs</t>
        </is>
      </c>
      <c r="G5" s="249">
        <f>SUM(M3:M150)</f>
        <v/>
      </c>
      <c r="H5" s="138" t="n"/>
      <c r="J5" s="250">
        <f>T5</f>
        <v/>
      </c>
      <c r="K5" s="233" t="n">
        <v>0</v>
      </c>
      <c r="L5" s="239">
        <f>IFERROR(M5/25,"")</f>
        <v/>
      </c>
      <c r="M5" s="240">
        <f>IF(ISNUMBER(P5),Z5,0)</f>
        <v/>
      </c>
      <c r="N5" s="175" t="n">
        <v>0</v>
      </c>
      <c r="O5" s="241">
        <f>IF(ISNUMBER(P5),X5,0)</f>
        <v/>
      </c>
      <c r="P5" s="242">
        <f>_xludf.IFNA(Z5/_xlfn.XLOOKUP(T5,$A$2:$A$624,$B$2:$B$624,""),"")</f>
        <v/>
      </c>
      <c r="Q5" s="242">
        <f>IFERROR(M5/O5,"-")</f>
        <v/>
      </c>
      <c r="R5" s="243">
        <f>IF(ISNUMBER(P5),AE5,0)</f>
        <v/>
      </c>
      <c r="S5" s="244">
        <f>IFERROR((N5/Q5),"-")</f>
        <v/>
      </c>
      <c r="Z5" s="167" t="n"/>
      <c r="AA5" s="167" t="n"/>
      <c r="AE5" s="245" t="n"/>
    </row>
    <row r="6">
      <c r="A6" s="148" t="n">
        <v>1023</v>
      </c>
      <c r="B6" s="225" t="n">
        <v>47.38</v>
      </c>
      <c r="C6" s="226" t="n">
        <v>262</v>
      </c>
      <c r="D6" s="227" t="n">
        <v>9.24</v>
      </c>
      <c r="E6" s="251" t="n"/>
      <c r="F6" s="252" t="inlineStr">
        <is>
          <t>Case/Hours</t>
        </is>
      </c>
      <c r="G6" s="253">
        <f>IFERROR(G3/SUM(H13:H16),"-")</f>
        <v/>
      </c>
      <c r="J6" s="232">
        <f>T6</f>
        <v/>
      </c>
      <c r="K6" s="233" t="n">
        <v>0</v>
      </c>
      <c r="L6" s="239">
        <f>IFERROR(M6/25,"")</f>
        <v/>
      </c>
      <c r="M6" s="240">
        <f>IF(ISNUMBER(P6),Z6,0)</f>
        <v/>
      </c>
      <c r="N6" s="175" t="n">
        <v>0</v>
      </c>
      <c r="O6" s="241">
        <f>IF(ISNUMBER(P6),X6,0)</f>
        <v/>
      </c>
      <c r="P6" s="242">
        <f>_xludf.IFNA(Z6/_xlfn.XLOOKUP(T6,$A$2:$A$624,$B$2:$B$624,""),"")</f>
        <v/>
      </c>
      <c r="Q6" s="242">
        <f>IFERROR(M6/O6,"-")</f>
        <v/>
      </c>
      <c r="R6" s="243">
        <f>IF(ISNUMBER(P6),AE6,0)</f>
        <v/>
      </c>
      <c r="S6" s="244">
        <f>IFERROR((N6/Q6),"-")</f>
        <v/>
      </c>
      <c r="Z6" s="167" t="n"/>
      <c r="AA6" s="167" t="n"/>
      <c r="AE6" s="245" t="n"/>
    </row>
    <row r="7">
      <c r="A7" s="148" t="n">
        <v>1830</v>
      </c>
      <c r="B7" s="225" t="n">
        <v>56.51</v>
      </c>
      <c r="C7" s="226" t="n">
        <v>263</v>
      </c>
      <c r="D7" s="227" t="n">
        <v>8.58</v>
      </c>
      <c r="F7" s="254" t="inlineStr">
        <is>
          <t>Efficiency</t>
        </is>
      </c>
      <c r="G7" s="255">
        <f>IFERROR(G1/SUM(H14:H16),"-")</f>
        <v/>
      </c>
      <c r="H7" s="256">
        <f>IFERROR(SUM(P150:P300)/SUM(H13:H14),"-")</f>
        <v/>
      </c>
      <c r="J7" s="232">
        <f>T7</f>
        <v/>
      </c>
      <c r="K7" s="233" t="n">
        <v>0</v>
      </c>
      <c r="L7" s="239">
        <f>IFERROR(M7/25,"")</f>
        <v/>
      </c>
      <c r="M7" s="240">
        <f>IF(ISNUMBER(P7),Z7,0)</f>
        <v/>
      </c>
      <c r="N7" s="175" t="n">
        <v>0</v>
      </c>
      <c r="O7" s="241">
        <f>IF(ISNUMBER(P7),X7,0)</f>
        <v/>
      </c>
      <c r="P7" s="242">
        <f>_xludf.IFNA(Z7/_xlfn.XLOOKUP(T7,$A$2:$A$624,$B$2:$B$624,""),"")</f>
        <v/>
      </c>
      <c r="Q7" s="242">
        <f>IFERROR(M7/O7,"-")</f>
        <v/>
      </c>
      <c r="R7" s="243">
        <f>IF(ISNUMBER(P7),AE7,0)</f>
        <v/>
      </c>
      <c r="S7" s="244">
        <f>IFERROR((N7/Q7),"-")</f>
        <v/>
      </c>
      <c r="Z7" s="167" t="n"/>
      <c r="AA7" s="167" t="n"/>
      <c r="AE7" s="245" t="n"/>
    </row>
    <row r="8">
      <c r="A8" s="148" t="n">
        <v>1831</v>
      </c>
      <c r="B8" s="225" t="n">
        <v>131.17</v>
      </c>
      <c r="C8" s="226" t="n">
        <v>264</v>
      </c>
      <c r="D8" s="227" t="n">
        <v>10.56</v>
      </c>
      <c r="F8" s="252" t="inlineStr">
        <is>
          <t>Fill Rate</t>
        </is>
      </c>
      <c r="G8" s="257">
        <f>IFERROR(G5/G4,"-")</f>
        <v/>
      </c>
      <c r="H8" s="256">
        <f>IFERROR(H5/H4,"-")</f>
        <v/>
      </c>
      <c r="J8" s="232">
        <f>T8</f>
        <v/>
      </c>
      <c r="K8" s="233" t="n">
        <v>0</v>
      </c>
      <c r="L8" s="239">
        <f>IFERROR(M8/25,"")</f>
        <v/>
      </c>
      <c r="M8" s="240">
        <f>IF(ISNUMBER(P8),Z8,0)</f>
        <v/>
      </c>
      <c r="N8" s="175" t="n">
        <v>0</v>
      </c>
      <c r="O8" s="241">
        <f>IF(ISNUMBER(P8),X8,0)</f>
        <v/>
      </c>
      <c r="P8" s="242">
        <f>_xludf.IFNA(Z8/_xlfn.XLOOKUP(T8,$A$2:$A$624,$B$2:$B$624,""),"")</f>
        <v/>
      </c>
      <c r="Q8" s="242">
        <f>IFERROR(M8/O8,"-")</f>
        <v/>
      </c>
      <c r="R8" s="243">
        <f>IF(ISNUMBER(P8),AE8,0)</f>
        <v/>
      </c>
      <c r="S8" s="244">
        <f>IFERROR((N8/Q8),"-")</f>
        <v/>
      </c>
      <c r="Z8" s="167" t="n"/>
      <c r="AA8" s="167" t="n"/>
      <c r="AE8" s="245" t="n"/>
    </row>
    <row r="9">
      <c r="A9" s="148" t="n">
        <v>1876</v>
      </c>
      <c r="B9" s="225" t="n">
        <v>72.73</v>
      </c>
      <c r="C9" s="226" t="n">
        <v>265</v>
      </c>
      <c r="D9" s="227" t="n">
        <v>9.24</v>
      </c>
      <c r="G9" s="258" t="n"/>
      <c r="J9" s="232">
        <f>T9</f>
        <v/>
      </c>
      <c r="K9" s="233" t="n">
        <v>0</v>
      </c>
      <c r="L9" s="239">
        <f>IFERROR(M9/25,"")</f>
        <v/>
      </c>
      <c r="M9" s="240">
        <f>IF(ISNUMBER(P9),Z9,0)</f>
        <v/>
      </c>
      <c r="N9" s="175" t="n">
        <v>0</v>
      </c>
      <c r="O9" s="241">
        <f>IF(ISNUMBER(P9),X9,0)</f>
        <v/>
      </c>
      <c r="P9" s="242">
        <f>_xludf.IFNA(Z9/_xlfn.XLOOKUP(T9,$A$2:$A$624,$B$2:$B$624,""),"")</f>
        <v/>
      </c>
      <c r="Q9" s="242">
        <f>IFERROR(M9/O9,"-")</f>
        <v/>
      </c>
      <c r="R9" s="243">
        <f>IF(ISNUMBER(P9),AE9,0)</f>
        <v/>
      </c>
      <c r="S9" s="244">
        <f>IFERROR((N9/Q9),"-")</f>
        <v/>
      </c>
      <c r="Z9" s="167" t="n"/>
      <c r="AA9" s="167" t="n"/>
      <c r="AE9" s="245" t="n"/>
    </row>
    <row r="10">
      <c r="A10" s="148" t="n">
        <v>1877</v>
      </c>
      <c r="B10" s="225" t="n">
        <v>57.23</v>
      </c>
      <c r="C10" s="226" t="n">
        <v>266</v>
      </c>
      <c r="D10" s="227" t="n">
        <v>7.92</v>
      </c>
      <c r="E10" s="259" t="inlineStr">
        <is>
          <t>NO. of EE</t>
        </is>
      </c>
      <c r="F10" s="260" t="inlineStr">
        <is>
          <t>Start Time</t>
        </is>
      </c>
      <c r="G10" s="260" t="inlineStr">
        <is>
          <t>End Time</t>
        </is>
      </c>
      <c r="H10" s="260" t="inlineStr">
        <is>
          <t>Total Time</t>
        </is>
      </c>
      <c r="J10" s="232">
        <f>T10</f>
        <v/>
      </c>
      <c r="K10" s="233" t="n">
        <v>0</v>
      </c>
      <c r="L10" s="239">
        <f>IFERROR(M10/25,"")</f>
        <v/>
      </c>
      <c r="M10" s="240">
        <f>IF(ISNUMBER(P10),Z10,0)</f>
        <v/>
      </c>
      <c r="N10" s="175" t="n">
        <v>0</v>
      </c>
      <c r="O10" s="241">
        <f>IF(ISNUMBER(P10),X10,0)</f>
        <v/>
      </c>
      <c r="P10" s="242">
        <f>_xludf.IFNA(Z10/_xlfn.XLOOKUP(T10,$A$2:$A$624,$B$2:$B$624,""),"")</f>
        <v/>
      </c>
      <c r="Q10" s="242">
        <f>IFERROR(M10/O10,"-")</f>
        <v/>
      </c>
      <c r="R10" s="243">
        <f>IF(ISNUMBER(P10),AE10,0)</f>
        <v/>
      </c>
      <c r="S10" s="244">
        <f>IFERROR((N10/Q10),"-")</f>
        <v/>
      </c>
      <c r="Z10" s="167" t="n"/>
      <c r="AA10" s="167" t="n"/>
      <c r="AE10" s="245" t="n"/>
    </row>
    <row r="11">
      <c r="A11" s="148" t="n">
        <v>200168</v>
      </c>
      <c r="B11" s="225" t="n">
        <v>89.73999999999999</v>
      </c>
      <c r="C11" s="226" t="n">
        <v>267</v>
      </c>
      <c r="D11" s="227" t="n">
        <v>5.94</v>
      </c>
      <c r="E11" s="261" t="n"/>
      <c r="F11" s="262" t="n">
        <v>0.5</v>
      </c>
      <c r="G11" s="262" t="n">
        <v>0.5416666666666666</v>
      </c>
      <c r="H11" s="263">
        <f>IFERROR(((G11-F11)-INT(G11-F11))*24*E11,"-")</f>
        <v/>
      </c>
      <c r="J11" s="232">
        <f>T11</f>
        <v/>
      </c>
      <c r="K11" s="233" t="n">
        <v>0</v>
      </c>
      <c r="L11" s="239">
        <f>IFERROR(M11/25,"")</f>
        <v/>
      </c>
      <c r="M11" s="240">
        <f>IF(ISNUMBER(P11),Z11,0)</f>
        <v/>
      </c>
      <c r="N11" s="175" t="n">
        <v>0</v>
      </c>
      <c r="O11" s="241">
        <f>IF(ISNUMBER(P11),X11,0)</f>
        <v/>
      </c>
      <c r="P11" s="242">
        <f>_xludf.IFNA(Z11/_xlfn.XLOOKUP(T11,$A$2:$A$624,$B$2:$B$624,""),"")</f>
        <v/>
      </c>
      <c r="Q11" s="242">
        <f>IFERROR(M11/O11,"-")</f>
        <v/>
      </c>
      <c r="R11" s="243">
        <f>IF(ISNUMBER(P11),AE11,0)</f>
        <v/>
      </c>
      <c r="S11" s="244">
        <f>IFERROR((N11/Q11),"-")</f>
        <v/>
      </c>
      <c r="Z11" s="167" t="n"/>
      <c r="AA11" s="167" t="n"/>
      <c r="AE11" s="245" t="n"/>
    </row>
    <row r="12">
      <c r="A12" s="148" t="n">
        <v>200703</v>
      </c>
      <c r="B12" s="225" t="n">
        <v>75.65000000000001</v>
      </c>
      <c r="C12" s="226" t="n">
        <v>268</v>
      </c>
      <c r="D12" s="227" t="n">
        <v>9.9</v>
      </c>
      <c r="E12" s="264" t="n"/>
      <c r="F12" s="2" t="n">
        <v>0.2708333333333333</v>
      </c>
      <c r="G12" s="2" t="n">
        <v>0.6041666666666666</v>
      </c>
      <c r="H12" s="263">
        <f>IFERROR(((G12-F12)-INT(G12-F12))*24*E12,"-")</f>
        <v/>
      </c>
      <c r="J12" s="232">
        <f>T12</f>
        <v/>
      </c>
      <c r="K12" s="233" t="n">
        <v>0</v>
      </c>
      <c r="L12" s="239">
        <f>IFERROR(M12/25,"")</f>
        <v/>
      </c>
      <c r="M12" s="240">
        <f>IF(ISNUMBER(P12),Z12,0)</f>
        <v/>
      </c>
      <c r="N12" s="175" t="n">
        <v>0</v>
      </c>
      <c r="O12" s="241">
        <f>IF(ISNUMBER(P12),X12,0)</f>
        <v/>
      </c>
      <c r="P12" s="242">
        <f>_xludf.IFNA(Z12/_xlfn.XLOOKUP(T12,$A$2:$A$624,$B$2:$B$624,""),"")</f>
        <v/>
      </c>
      <c r="Q12" s="242">
        <f>IFERROR(M12/O12,"-")</f>
        <v/>
      </c>
      <c r="R12" s="243">
        <f>IF(ISNUMBER(P12),AE12,0)</f>
        <v/>
      </c>
      <c r="S12" s="244">
        <f>IFERROR((N12/Q12),"-")</f>
        <v/>
      </c>
      <c r="Z12" s="167" t="n"/>
      <c r="AA12" s="167" t="n"/>
      <c r="AE12" s="245" t="n"/>
    </row>
    <row r="13">
      <c r="A13" s="148" t="n">
        <v>200704</v>
      </c>
      <c r="B13" s="225" t="n">
        <v>130.09</v>
      </c>
      <c r="C13" s="226" t="n">
        <v>269</v>
      </c>
      <c r="D13" s="227" t="n">
        <v>9.24</v>
      </c>
      <c r="E13" s="264" t="n"/>
      <c r="F13" s="2" t="n">
        <v>0.2916666666666667</v>
      </c>
      <c r="G13" s="2" t="n">
        <v>0.3333333333333333</v>
      </c>
      <c r="H13" s="265">
        <f>IFERROR(((G13-F13)-INT(G13-F13))*24*E13,"-")</f>
        <v/>
      </c>
      <c r="J13" s="232">
        <f>T13</f>
        <v/>
      </c>
      <c r="K13" s="233" t="n">
        <v>0</v>
      </c>
      <c r="L13" s="239">
        <f>IFERROR(M13/25,"")</f>
        <v/>
      </c>
      <c r="M13" s="240">
        <f>IF(ISNUMBER(P13),Z13,0)</f>
        <v/>
      </c>
      <c r="N13" s="175" t="n">
        <v>0</v>
      </c>
      <c r="O13" s="241">
        <f>IF(ISNUMBER(P13),X13,0)</f>
        <v/>
      </c>
      <c r="P13" s="242">
        <f>_xludf.IFNA(Z13/_xlfn.XLOOKUP(T13,$A$2:$A$624,$B$2:$B$624,""),"")</f>
        <v/>
      </c>
      <c r="Q13" s="242">
        <f>IFERROR(M13/O13,"-")</f>
        <v/>
      </c>
      <c r="R13" s="243">
        <f>IF(ISNUMBER(P13),AE13,0)</f>
        <v/>
      </c>
      <c r="S13" s="244">
        <f>IFERROR((N13/Q13),"-")</f>
        <v/>
      </c>
      <c r="Z13" s="167" t="n"/>
      <c r="AA13" s="167" t="n"/>
      <c r="AE13" s="245" t="n"/>
    </row>
    <row r="14">
      <c r="A14" s="148" t="n">
        <v>200705</v>
      </c>
      <c r="B14" s="225" t="n">
        <v>70.31999999999999</v>
      </c>
      <c r="C14" s="226" t="n">
        <v>270</v>
      </c>
      <c r="D14" s="227" t="n">
        <v>9.24</v>
      </c>
      <c r="E14" s="266" t="n"/>
      <c r="F14" s="267" t="n">
        <v>0.2916666666666667</v>
      </c>
      <c r="G14" s="267" t="n">
        <v>0.3333333333333333</v>
      </c>
      <c r="H14" s="268">
        <f>IFERROR(((G14-F14)-INT(G14-F14))*24*E14,"-")</f>
        <v/>
      </c>
      <c r="J14" s="232">
        <f>T14</f>
        <v/>
      </c>
      <c r="K14" s="233" t="n">
        <v>0</v>
      </c>
      <c r="L14" s="239">
        <f>IFERROR(M14/25,"")</f>
        <v/>
      </c>
      <c r="M14" s="240">
        <f>IF(ISNUMBER(P14),Z14,0)</f>
        <v/>
      </c>
      <c r="N14" s="175" t="n">
        <v>0</v>
      </c>
      <c r="O14" s="241">
        <f>IF(ISNUMBER(P14),X14,0)</f>
        <v/>
      </c>
      <c r="P14" s="242">
        <f>_xludf.IFNA(Z14/_xlfn.XLOOKUP(T14,$A$2:$A$624,$B$2:$B$624,""),"")</f>
        <v/>
      </c>
      <c r="Q14" s="242">
        <f>IFERROR(M14/O14,"-")</f>
        <v/>
      </c>
      <c r="R14" s="243">
        <f>IF(ISNUMBER(P14),AE14,0)</f>
        <v/>
      </c>
      <c r="S14" s="244">
        <f>IFERROR((N14/Q14),"-")</f>
        <v/>
      </c>
      <c r="Z14" s="167" t="n"/>
      <c r="AA14" s="167" t="n"/>
      <c r="AE14" s="245" t="n"/>
    </row>
    <row r="15">
      <c r="A15" s="148" t="n">
        <v>200706</v>
      </c>
      <c r="B15" s="225" t="n">
        <v>25.34</v>
      </c>
      <c r="C15" s="226" t="n">
        <v>276</v>
      </c>
      <c r="D15" s="227" t="n">
        <v>12</v>
      </c>
      <c r="E15" s="264" t="n"/>
      <c r="F15" s="2" t="n">
        <v>0.5208333333333334</v>
      </c>
      <c r="G15" s="2">
        <f>IF(VALUE(NOW()-TODAY())&lt;VALUE(0.82292),VALUE(NOW()-TODAY()),VALUE(NOW()-TODAY())-0.021)</f>
        <v/>
      </c>
      <c r="H15" s="269">
        <f>IFERROR(((G15-F15)-INT(G15-F15))*24*E15,"-")</f>
        <v/>
      </c>
      <c r="J15" s="232">
        <f>T15</f>
        <v/>
      </c>
      <c r="K15" s="233" t="n">
        <v>0</v>
      </c>
      <c r="L15" s="239">
        <f>IFERROR(M15/25,"")</f>
        <v/>
      </c>
      <c r="M15" s="240">
        <f>IF(ISNUMBER(P15),Z15,0)</f>
        <v/>
      </c>
      <c r="N15" s="175" t="n">
        <v>0</v>
      </c>
      <c r="O15" s="241">
        <f>IF(ISNUMBER(P15),X15,0)</f>
        <v/>
      </c>
      <c r="P15" s="242">
        <f>_xludf.IFNA(Z15/_xlfn.XLOOKUP(T15,$A$2:$A$624,$B$2:$B$624,""),"")</f>
        <v/>
      </c>
      <c r="Q15" s="242">
        <f>IFERROR(M15/O15,"-")</f>
        <v/>
      </c>
      <c r="R15" s="243">
        <f>IF(ISNUMBER(P15),AE15,0)</f>
        <v/>
      </c>
      <c r="S15" s="244">
        <f>IFERROR((N15/Q15),"-")</f>
        <v/>
      </c>
      <c r="AE15" s="245" t="n"/>
    </row>
    <row r="16">
      <c r="A16" s="148" t="n">
        <v>200707</v>
      </c>
      <c r="B16" s="225" t="n">
        <v>51.14</v>
      </c>
      <c r="C16" s="226" t="n">
        <v>278</v>
      </c>
      <c r="D16" s="227" t="n">
        <v>10</v>
      </c>
      <c r="E16" s="264" t="n">
        <v>106</v>
      </c>
      <c r="F16" s="2" t="n">
        <v>0.2916666666666667</v>
      </c>
      <c r="G16" s="2">
        <f>IF(VALUE(NOW()-TODAY())&lt;VALUE(0.82292),VALUE(NOW()-TODAY()),VALUE(NOW()-TODAY())-0.021)</f>
        <v/>
      </c>
      <c r="H16" s="269">
        <f>IFERROR(((G16-F16)-INT(G16-F16))*24*E16,"-")</f>
        <v/>
      </c>
      <c r="J16" s="232">
        <f>T16</f>
        <v/>
      </c>
      <c r="K16" s="233" t="n">
        <v>0</v>
      </c>
      <c r="L16" s="239">
        <f>IFERROR(M16/25,"")</f>
        <v/>
      </c>
      <c r="M16" s="240">
        <f>IF(ISNUMBER(P16),Z16,0)</f>
        <v/>
      </c>
      <c r="N16" s="175" t="n">
        <v>0</v>
      </c>
      <c r="O16" s="241">
        <f>IF(ISNUMBER(P16),X16,0)</f>
        <v/>
      </c>
      <c r="P16" s="242">
        <f>_xludf.IFNA(Z16/_xlfn.XLOOKUP(T16,$A$2:$A$624,$B$2:$B$624,""),"")</f>
        <v/>
      </c>
      <c r="Q16" s="242">
        <f>IFERROR(M16/O16,"-")</f>
        <v/>
      </c>
      <c r="R16" s="243">
        <f>IF(ISNUMBER(P16),AE16,0)</f>
        <v/>
      </c>
      <c r="S16" s="244">
        <f>IFERROR((N16/Q16),"-")</f>
        <v/>
      </c>
      <c r="Z16" s="167" t="n"/>
      <c r="AA16" s="167" t="n"/>
      <c r="AE16" s="245" t="n"/>
    </row>
    <row r="17">
      <c r="A17" s="148" t="n">
        <v>200709</v>
      </c>
      <c r="B17" s="225" t="n">
        <v>75.65000000000001</v>
      </c>
      <c r="C17" s="226" t="n">
        <v>281</v>
      </c>
      <c r="D17" s="227" t="n">
        <v>9.24</v>
      </c>
      <c r="H17" s="270" t="n"/>
      <c r="J17" s="232">
        <f>T17</f>
        <v/>
      </c>
      <c r="K17" s="233" t="n">
        <v>0</v>
      </c>
      <c r="L17" s="239">
        <f>IFERROR(M17/25,"")</f>
        <v/>
      </c>
      <c r="M17" s="240">
        <f>IF(ISNUMBER(P17),Z17,0)</f>
        <v/>
      </c>
      <c r="N17" s="175" t="n">
        <v>0</v>
      </c>
      <c r="O17" s="241">
        <f>IF(ISNUMBER(P17),X17,0)</f>
        <v/>
      </c>
      <c r="P17" s="242">
        <f>_xludf.IFNA(Z17/_xlfn.XLOOKUP(T17,$A$2:$A$624,$B$2:$B$624,""),"")</f>
        <v/>
      </c>
      <c r="Q17" s="242">
        <f>IFERROR(M17/O17,"-")</f>
        <v/>
      </c>
      <c r="R17" s="243">
        <f>IF(ISNUMBER(P17),AE17,0)</f>
        <v/>
      </c>
      <c r="S17" s="244">
        <f>IFERROR((N17/Q17),"-")</f>
        <v/>
      </c>
      <c r="Z17" s="167" t="n"/>
      <c r="AA17" s="167" t="n"/>
      <c r="AE17" s="245" t="n"/>
    </row>
    <row r="18">
      <c r="A18" s="148" t="n">
        <v>200710</v>
      </c>
      <c r="B18" s="225" t="n">
        <v>130.09</v>
      </c>
      <c r="C18" s="226" t="n">
        <v>282</v>
      </c>
      <c r="D18" s="271" t="n">
        <v>10.56</v>
      </c>
      <c r="E18" s="272" t="n"/>
      <c r="F18" s="273" t="n"/>
      <c r="G18" s="274" t="n"/>
      <c r="H18" s="274" t="n"/>
      <c r="I18" s="275" t="n"/>
      <c r="J18" s="232">
        <f>T18</f>
        <v/>
      </c>
      <c r="K18" s="233" t="n">
        <v>0</v>
      </c>
      <c r="L18" s="239">
        <f>IFERROR(M18/25,"")</f>
        <v/>
      </c>
      <c r="M18" s="240">
        <f>IF(ISNUMBER(P18),Z18,0)</f>
        <v/>
      </c>
      <c r="N18" s="175" t="n">
        <v>0</v>
      </c>
      <c r="O18" s="241">
        <f>IF(ISNUMBER(P18),X18,0)</f>
        <v/>
      </c>
      <c r="P18" s="242">
        <f>_xludf.IFNA(Z18/_xlfn.XLOOKUP(T18,$A$2:$A$624,$B$2:$B$624,""),"")</f>
        <v/>
      </c>
      <c r="Q18" s="242">
        <f>IFERROR(M18/O18,"-")</f>
        <v/>
      </c>
      <c r="R18" s="243">
        <f>IF(ISNUMBER(P18),AE18,0)</f>
        <v/>
      </c>
      <c r="S18" s="244">
        <f>IFERROR((N18/Q18),"-")</f>
        <v/>
      </c>
      <c r="Z18" s="167" t="n"/>
      <c r="AA18" s="167" t="n"/>
      <c r="AE18" s="245" t="n"/>
    </row>
    <row r="19">
      <c r="A19" s="148" t="n">
        <v>200711</v>
      </c>
      <c r="B19" s="225" t="n">
        <v>70.31999999999999</v>
      </c>
      <c r="C19" s="226" t="n">
        <v>283</v>
      </c>
      <c r="D19" s="271" t="n">
        <v>13.64</v>
      </c>
      <c r="E19" s="276" t="n"/>
      <c r="F19" s="277" t="n"/>
      <c r="G19" s="154" t="n"/>
      <c r="H19" s="274" t="n"/>
      <c r="I19" s="275" t="n"/>
      <c r="J19" s="232">
        <f>T19</f>
        <v/>
      </c>
      <c r="K19" s="233" t="n">
        <v>0</v>
      </c>
      <c r="L19" s="239">
        <f>IFERROR(M19/25,"")</f>
        <v/>
      </c>
      <c r="M19" s="240">
        <f>IF(ISNUMBER(P19),Z19,0)</f>
        <v/>
      </c>
      <c r="N19" s="175" t="n">
        <v>0</v>
      </c>
      <c r="O19" s="241">
        <f>IF(ISNUMBER(P19),X19,0)</f>
        <v/>
      </c>
      <c r="P19" s="242">
        <f>_xludf.IFNA(Z19/_xlfn.XLOOKUP(T19,$A$2:$A$624,$B$2:$B$624,""),"")</f>
        <v/>
      </c>
      <c r="Q19" s="242">
        <f>IFERROR(M19/O19,"-")</f>
        <v/>
      </c>
      <c r="R19" s="243">
        <f>IF(ISNUMBER(P19),AE19,0)</f>
        <v/>
      </c>
      <c r="S19" s="244">
        <f>IFERROR((N19/Q19),"-")</f>
        <v/>
      </c>
      <c r="Z19" s="167" t="n"/>
      <c r="AA19" s="167" t="n"/>
      <c r="AE19" s="245" t="n"/>
    </row>
    <row r="20">
      <c r="A20" s="148" t="n">
        <v>200712</v>
      </c>
      <c r="B20" s="225" t="n">
        <v>25.34</v>
      </c>
      <c r="C20" s="226" t="n">
        <v>284</v>
      </c>
      <c r="D20" s="271" t="n">
        <v>15.84</v>
      </c>
      <c r="E20" s="276" t="n"/>
      <c r="F20" s="278" t="n"/>
      <c r="G20" s="274" t="n"/>
      <c r="H20" s="274" t="n"/>
      <c r="I20" s="275" t="n"/>
      <c r="J20" s="232">
        <f>T20</f>
        <v/>
      </c>
      <c r="K20" s="233" t="n">
        <v>0</v>
      </c>
      <c r="L20" s="239">
        <f>IFERROR(M20/25,"")</f>
        <v/>
      </c>
      <c r="M20" s="240">
        <f>IF(ISNUMBER(P20),Z20,0)</f>
        <v/>
      </c>
      <c r="N20" s="175" t="n">
        <v>0</v>
      </c>
      <c r="O20" s="241">
        <f>IF(ISNUMBER(P20),X20,0)</f>
        <v/>
      </c>
      <c r="P20" s="242">
        <f>_xludf.IFNA(Z20/_xlfn.XLOOKUP(T20,$A$2:$A$624,$B$2:$B$624,""),"")</f>
        <v/>
      </c>
      <c r="Q20" s="242">
        <f>IFERROR(M20/O20,"-")</f>
        <v/>
      </c>
      <c r="R20" s="243">
        <f>IF(ISNUMBER(P20),AE20,0)</f>
        <v/>
      </c>
      <c r="S20" s="244">
        <f>IFERROR((N20/Q20),"-")</f>
        <v/>
      </c>
      <c r="Z20" s="167" t="n"/>
      <c r="AA20" s="167" t="n"/>
      <c r="AE20" s="245" t="n"/>
    </row>
    <row r="21">
      <c r="A21" s="148" t="n">
        <v>200713</v>
      </c>
      <c r="B21" s="225" t="n">
        <v>51.14</v>
      </c>
      <c r="C21" s="226" t="n">
        <v>285</v>
      </c>
      <c r="D21" s="271" t="n">
        <v>15.84</v>
      </c>
      <c r="E21" s="279" t="n"/>
      <c r="F21" s="274" t="n"/>
      <c r="G21" s="154" t="n"/>
      <c r="H21" s="274" t="n"/>
      <c r="I21" s="275" t="n"/>
      <c r="J21" s="232">
        <f>T21</f>
        <v/>
      </c>
      <c r="K21" s="233" t="n">
        <v>0</v>
      </c>
      <c r="L21" s="239">
        <f>IFERROR(M21/25,"")</f>
        <v/>
      </c>
      <c r="M21" s="240">
        <f>IF(ISNUMBER(P21),Z21,0)</f>
        <v/>
      </c>
      <c r="N21" s="175" t="n">
        <v>0</v>
      </c>
      <c r="O21" s="241">
        <f>IF(ISNUMBER(P21),X21,0)</f>
        <v/>
      </c>
      <c r="P21" s="242">
        <f>_xludf.IFNA(Z21/_xlfn.XLOOKUP(T21,$A$2:$A$624,$B$2:$B$624,""),"")</f>
        <v/>
      </c>
      <c r="Q21" s="242">
        <f>IFERROR(M21/O21,"-")</f>
        <v/>
      </c>
      <c r="R21" s="243">
        <f>IF(ISNUMBER(P21),AE21,0)</f>
        <v/>
      </c>
      <c r="S21" s="244">
        <f>IFERROR((N21/Q21),"-")</f>
        <v/>
      </c>
      <c r="Z21" s="167" t="n"/>
      <c r="AA21" s="167" t="n"/>
      <c r="AE21" s="245" t="n"/>
    </row>
    <row r="22">
      <c r="A22" s="148" t="n">
        <v>200714</v>
      </c>
      <c r="B22" s="225" t="n">
        <v>29.13</v>
      </c>
      <c r="C22" s="226" t="n">
        <v>286</v>
      </c>
      <c r="D22" s="271" t="n">
        <v>10.56</v>
      </c>
      <c r="F22" s="278" t="n"/>
      <c r="G22" s="154" t="n"/>
      <c r="H22" s="280" t="n"/>
      <c r="I22" s="275" t="n"/>
      <c r="J22" s="232">
        <f>T22</f>
        <v/>
      </c>
      <c r="K22" s="233" t="n">
        <v>0</v>
      </c>
      <c r="L22" s="239">
        <f>IFERROR(M22/25,"")</f>
        <v/>
      </c>
      <c r="M22" s="240">
        <f>IF(ISNUMBER(P22),Z22,0)</f>
        <v/>
      </c>
      <c r="N22" s="175" t="n">
        <v>0</v>
      </c>
      <c r="O22" s="241">
        <f>IF(ISNUMBER(P22),X22,0)</f>
        <v/>
      </c>
      <c r="P22" s="242">
        <f>_xludf.IFNA(Z22/_xlfn.XLOOKUP(T22,$A$2:$A$624,$B$2:$B$624,""),"")</f>
        <v/>
      </c>
      <c r="Q22" s="242">
        <f>IFERROR(M22/O22,"-")</f>
        <v/>
      </c>
      <c r="R22" s="243">
        <f>IF(ISNUMBER(P22),AE22,0)</f>
        <v/>
      </c>
      <c r="S22" s="244">
        <f>IFERROR((N22/Q22),"-")</f>
        <v/>
      </c>
      <c r="Z22" s="167" t="n"/>
      <c r="AA22" s="167" t="n"/>
      <c r="AE22" s="245" t="n"/>
    </row>
    <row r="23">
      <c r="A23" s="148" t="n">
        <v>200715</v>
      </c>
      <c r="B23" s="225" t="n">
        <v>144.32</v>
      </c>
      <c r="C23" s="226" t="n">
        <v>287</v>
      </c>
      <c r="D23" s="271" t="n">
        <v>10.4</v>
      </c>
      <c r="F23" s="274" t="n"/>
      <c r="G23" s="154" t="n"/>
      <c r="H23" s="274" t="n"/>
      <c r="J23" s="232">
        <f>T23</f>
        <v/>
      </c>
      <c r="K23" s="233" t="n">
        <v>0</v>
      </c>
      <c r="L23" s="239">
        <f>IFERROR(M23/25,"")</f>
        <v/>
      </c>
      <c r="M23" s="240">
        <f>IF(ISNUMBER(P23),Z23,0)</f>
        <v/>
      </c>
      <c r="N23" s="175" t="n">
        <v>0</v>
      </c>
      <c r="O23" s="241">
        <f>IF(ISNUMBER(P23),X23,0)</f>
        <v/>
      </c>
      <c r="P23" s="242">
        <f>_xludf.IFNA(Z23/_xlfn.XLOOKUP(T23,$A$2:$A$624,$B$2:$B$624,""),"")</f>
        <v/>
      </c>
      <c r="Q23" s="242">
        <f>IFERROR(M23/O23,"-")</f>
        <v/>
      </c>
      <c r="R23" s="243">
        <f>IF(ISNUMBER(P23),AE23,0)</f>
        <v/>
      </c>
      <c r="S23" s="244">
        <f>IFERROR((N23/Q23),"-")</f>
        <v/>
      </c>
      <c r="Z23" s="167" t="n"/>
      <c r="AA23" s="167" t="n"/>
      <c r="AE23" s="245" t="n"/>
    </row>
    <row r="24">
      <c r="A24" s="148" t="n">
        <v>200716</v>
      </c>
      <c r="B24" s="225" t="n">
        <v>72.03</v>
      </c>
      <c r="C24" s="226" t="n">
        <v>288</v>
      </c>
      <c r="D24" s="271" t="n">
        <v>8.4</v>
      </c>
      <c r="F24" s="281" t="n"/>
      <c r="G24" s="274" t="n"/>
      <c r="H24" s="274" t="n"/>
      <c r="J24" s="232">
        <f>T24</f>
        <v/>
      </c>
      <c r="K24" s="233" t="n">
        <v>0</v>
      </c>
      <c r="L24" s="239">
        <f>IFERROR(M24/25,"")</f>
        <v/>
      </c>
      <c r="M24" s="240">
        <f>IF(ISNUMBER(P24),Z24,0)</f>
        <v/>
      </c>
      <c r="N24" s="175" t="n">
        <v>0</v>
      </c>
      <c r="O24" s="241">
        <f>IF(ISNUMBER(P24),X24,0)</f>
        <v/>
      </c>
      <c r="P24" s="242">
        <f>_xludf.IFNA(Z24/_xlfn.XLOOKUP(T24,$A$2:$A$624,$B$2:$B$624,""),"")</f>
        <v/>
      </c>
      <c r="Q24" s="242">
        <f>IFERROR(M24/O24,"-")</f>
        <v/>
      </c>
      <c r="R24" s="243">
        <f>IF(ISNUMBER(P24),AE24,0)</f>
        <v/>
      </c>
      <c r="S24" s="244">
        <f>IFERROR((N24/Q24),"-")</f>
        <v/>
      </c>
      <c r="Z24" s="167" t="n"/>
      <c r="AA24" s="167" t="n"/>
      <c r="AE24" s="245" t="n"/>
    </row>
    <row r="25">
      <c r="A25" s="148" t="n">
        <v>200717</v>
      </c>
      <c r="B25" s="225" t="n">
        <v>58.08</v>
      </c>
      <c r="C25" s="226" t="n">
        <v>289</v>
      </c>
      <c r="D25" s="271" t="n">
        <v>10.56</v>
      </c>
      <c r="F25" s="282" t="n"/>
      <c r="G25" s="154" t="n"/>
      <c r="H25" s="274" t="n"/>
      <c r="J25" s="232">
        <f>T25</f>
        <v/>
      </c>
      <c r="K25" s="233" t="n">
        <v>0</v>
      </c>
      <c r="L25" s="239">
        <f>IFERROR(M25/25,"")</f>
        <v/>
      </c>
      <c r="M25" s="240">
        <f>IF(ISNUMBER(P25),Z25,0)</f>
        <v/>
      </c>
      <c r="N25" s="175" t="n">
        <v>0</v>
      </c>
      <c r="O25" s="241">
        <f>IF(ISNUMBER(P25),X25,0)</f>
        <v/>
      </c>
      <c r="P25" s="242">
        <f>_xludf.IFNA(Z25/_xlfn.XLOOKUP(T25,$A$2:$A$624,$B$2:$B$624,""),"")</f>
        <v/>
      </c>
      <c r="Q25" s="242">
        <f>IFERROR(M25/O25,"-")</f>
        <v/>
      </c>
      <c r="R25" s="243">
        <f>IF(ISNUMBER(P25),AE25,0)</f>
        <v/>
      </c>
      <c r="S25" s="244">
        <f>IFERROR((N25/Q25),"-")</f>
        <v/>
      </c>
      <c r="Z25" s="167" t="n"/>
      <c r="AA25" s="167" t="n"/>
      <c r="AE25" s="245" t="n"/>
    </row>
    <row r="26">
      <c r="A26" s="148" t="n">
        <v>200724</v>
      </c>
      <c r="B26" s="225" t="n">
        <v>51.47</v>
      </c>
      <c r="C26" s="226" t="n">
        <v>290</v>
      </c>
      <c r="D26" s="271" t="n">
        <v>10.56</v>
      </c>
      <c r="E26" s="283" t="n"/>
      <c r="F26" s="154" t="n"/>
      <c r="G26" s="282" t="n"/>
      <c r="H26" s="274" t="n"/>
      <c r="J26" s="232">
        <f>T26</f>
        <v/>
      </c>
      <c r="K26" s="233" t="n">
        <v>0</v>
      </c>
      <c r="L26" s="239">
        <f>IFERROR(M26/25,"")</f>
        <v/>
      </c>
      <c r="M26" s="240">
        <f>IF(ISNUMBER(P26),Z26,0)</f>
        <v/>
      </c>
      <c r="N26" s="175" t="n">
        <v>0</v>
      </c>
      <c r="O26" s="241">
        <f>IF(ISNUMBER(P26),X26,0)</f>
        <v/>
      </c>
      <c r="P26" s="242">
        <f>_xludf.IFNA(Z26/_xlfn.XLOOKUP(T26,$A$2:$A$624,$B$2:$B$624,""),"")</f>
        <v/>
      </c>
      <c r="Q26" s="242">
        <f>IFERROR(M26/O26,"-")</f>
        <v/>
      </c>
      <c r="R26" s="243">
        <f>IF(ISNUMBER(P26),AE26,0)</f>
        <v/>
      </c>
      <c r="S26" s="244">
        <f>IFERROR((N26/Q26),"-")</f>
        <v/>
      </c>
      <c r="Z26" s="167" t="n"/>
      <c r="AA26" s="167" t="n"/>
      <c r="AE26" s="245" t="n"/>
    </row>
    <row r="27">
      <c r="A27" s="148" t="n">
        <v>201851</v>
      </c>
      <c r="B27" s="225" t="n">
        <v>42.09</v>
      </c>
      <c r="C27" s="226" t="n">
        <v>7173</v>
      </c>
      <c r="D27" s="271" t="n">
        <v>15</v>
      </c>
      <c r="F27" s="274" t="n"/>
      <c r="G27" s="154" t="n"/>
      <c r="H27" s="274" t="n"/>
      <c r="J27" s="232">
        <f>T27</f>
        <v/>
      </c>
      <c r="K27" s="233" t="n">
        <v>0</v>
      </c>
      <c r="L27" s="239">
        <f>IFERROR(M27/25,"")</f>
        <v/>
      </c>
      <c r="M27" s="240">
        <f>IF(ISNUMBER(P27),Z27,0)</f>
        <v/>
      </c>
      <c r="N27" s="175" t="n">
        <v>0</v>
      </c>
      <c r="O27" s="241">
        <f>IF(ISNUMBER(P27),X27,0)</f>
        <v/>
      </c>
      <c r="P27" s="242">
        <f>_xludf.IFNA(Z27/_xlfn.XLOOKUP(T27,$A$2:$A$624,$B$2:$B$624,""),"")</f>
        <v/>
      </c>
      <c r="Q27" s="242">
        <f>IFERROR(M27/O27,"-")</f>
        <v/>
      </c>
      <c r="R27" s="243">
        <f>IF(ISNUMBER(P27),AE27,0)</f>
        <v/>
      </c>
      <c r="S27" s="244">
        <f>IFERROR((N27/Q27),"-")</f>
        <v/>
      </c>
      <c r="AE27" s="245" t="n"/>
    </row>
    <row r="28">
      <c r="A28" s="148" t="n">
        <v>201853</v>
      </c>
      <c r="B28" s="225" t="n">
        <v>62.66</v>
      </c>
      <c r="C28" s="226" t="n">
        <v>293</v>
      </c>
      <c r="D28" s="271" t="n">
        <v>9.24</v>
      </c>
      <c r="F28" s="154" t="n"/>
      <c r="G28" s="174" t="n"/>
      <c r="J28" s="232">
        <f>T28</f>
        <v/>
      </c>
      <c r="K28" s="233" t="n">
        <v>0</v>
      </c>
      <c r="L28" s="239">
        <f>IFERROR(M28/25,"")</f>
        <v/>
      </c>
      <c r="M28" s="240">
        <f>IF(ISNUMBER(P28),Z28,0)</f>
        <v/>
      </c>
      <c r="N28" s="175" t="n">
        <v>0</v>
      </c>
      <c r="O28" s="241">
        <f>IF(ISNUMBER(P28),X28,0)</f>
        <v/>
      </c>
      <c r="P28" s="242">
        <f>_xludf.IFNA(Z28/_xlfn.XLOOKUP(T28,$A$2:$A$624,$B$2:$B$624,""),"")</f>
        <v/>
      </c>
      <c r="Q28" s="242">
        <f>IFERROR(M28/O28,"-")</f>
        <v/>
      </c>
      <c r="R28" s="243">
        <f>IF(ISNUMBER(P28),AE28,0)</f>
        <v/>
      </c>
      <c r="S28" s="244">
        <f>IFERROR((N28/Q28),"-")</f>
        <v/>
      </c>
      <c r="Z28" s="167" t="n"/>
      <c r="AA28" s="167" t="n"/>
      <c r="AE28" s="245" t="n"/>
    </row>
    <row r="29">
      <c r="A29" s="148" t="n">
        <v>201854</v>
      </c>
      <c r="B29" s="225" t="n">
        <v>22.76</v>
      </c>
      <c r="C29" s="226" t="n">
        <v>294</v>
      </c>
      <c r="D29" s="271" t="n">
        <v>7.26</v>
      </c>
      <c r="F29" s="154" t="n"/>
      <c r="G29" s="284" t="n"/>
      <c r="J29" s="232">
        <f>T29</f>
        <v/>
      </c>
      <c r="K29" s="233" t="n">
        <v>0</v>
      </c>
      <c r="L29" s="239">
        <f>IFERROR(M29/25,"")</f>
        <v/>
      </c>
      <c r="M29" s="240">
        <f>IF(ISNUMBER(P29),Z29,0)</f>
        <v/>
      </c>
      <c r="N29" s="175" t="n">
        <v>0</v>
      </c>
      <c r="O29" s="241">
        <f>IF(ISNUMBER(P29),X29,0)</f>
        <v/>
      </c>
      <c r="P29" s="242">
        <f>_xludf.IFNA(Z29/_xlfn.XLOOKUP(T29,$A$2:$A$624,$B$2:$B$624,""),"")</f>
        <v/>
      </c>
      <c r="Q29" s="242">
        <f>IFERROR(M29/O29,"-")</f>
        <v/>
      </c>
      <c r="R29" s="243">
        <f>IF(ISNUMBER(P29),AE29,0)</f>
        <v/>
      </c>
      <c r="S29" s="244">
        <f>IFERROR((N29/Q29),"-")</f>
        <v/>
      </c>
      <c r="Z29" s="167" t="n"/>
      <c r="AA29" s="167" t="n"/>
      <c r="AE29" s="245" t="n"/>
    </row>
    <row r="30">
      <c r="A30" s="148" t="n">
        <v>201855</v>
      </c>
      <c r="B30" s="225" t="n">
        <v>45.6</v>
      </c>
      <c r="C30" s="226" t="n">
        <v>295</v>
      </c>
      <c r="D30" s="271" t="n">
        <v>9.02</v>
      </c>
      <c r="F30" s="154" t="n"/>
      <c r="G30" s="284" t="n"/>
      <c r="J30" s="232">
        <f>T30</f>
        <v/>
      </c>
      <c r="K30" s="233" t="n">
        <v>0</v>
      </c>
      <c r="L30" s="239">
        <f>IFERROR(M30/25,"")</f>
        <v/>
      </c>
      <c r="M30" s="240">
        <f>IF(ISNUMBER(P30),Z30,0)</f>
        <v/>
      </c>
      <c r="N30" s="175" t="n">
        <v>0</v>
      </c>
      <c r="O30" s="241">
        <f>IF(ISNUMBER(P30),X30,0)</f>
        <v/>
      </c>
      <c r="P30" s="242">
        <f>_xludf.IFNA(Z30/_xlfn.XLOOKUP(T30,$A$2:$A$624,$B$2:$B$624,""),"")</f>
        <v/>
      </c>
      <c r="Q30" s="242">
        <f>IFERROR(M30/O30,"-")</f>
        <v/>
      </c>
      <c r="R30" s="243">
        <f>IF(ISNUMBER(P30),AE30,0)</f>
        <v/>
      </c>
      <c r="S30" s="244">
        <f>IFERROR((N30/Q30),"-")</f>
        <v/>
      </c>
      <c r="Z30" s="167" t="n"/>
      <c r="AA30" s="167" t="n"/>
      <c r="AE30" s="245" t="n"/>
    </row>
    <row r="31">
      <c r="A31" s="148" t="n">
        <v>2031</v>
      </c>
      <c r="B31" s="225" t="n">
        <v>92.77</v>
      </c>
      <c r="C31" s="226" t="n">
        <v>301</v>
      </c>
      <c r="D31" s="271" t="n">
        <v>11</v>
      </c>
      <c r="E31" s="154" t="n"/>
      <c r="F31" s="285" t="n"/>
      <c r="G31" s="154" t="n"/>
      <c r="J31" s="232">
        <f>T31</f>
        <v/>
      </c>
      <c r="K31" s="233" t="n">
        <v>0</v>
      </c>
      <c r="L31" s="239">
        <f>IFERROR(M31/25,"")</f>
        <v/>
      </c>
      <c r="M31" s="240">
        <f>IF(ISNUMBER(P31),Z31,0)</f>
        <v/>
      </c>
      <c r="N31" s="175" t="n">
        <v>0</v>
      </c>
      <c r="O31" s="241">
        <f>IF(ISNUMBER(P31),X31,0)</f>
        <v/>
      </c>
      <c r="P31" s="242">
        <f>_xludf.IFNA(Z31/_xlfn.XLOOKUP(T31,$A$2:$A$624,$B$2:$B$624,""),"")</f>
        <v/>
      </c>
      <c r="Q31" s="242">
        <f>IFERROR(M31/O31,"-")</f>
        <v/>
      </c>
      <c r="R31" s="243">
        <f>IF(ISNUMBER(P31),AE31,0)</f>
        <v/>
      </c>
      <c r="S31" s="244">
        <f>IFERROR((N31/Q31),"-")</f>
        <v/>
      </c>
      <c r="Z31" s="167" t="n"/>
      <c r="AA31" s="167" t="n"/>
      <c r="AE31" s="245" t="n"/>
    </row>
    <row r="32">
      <c r="A32" s="148" t="n">
        <v>2043</v>
      </c>
      <c r="B32" s="225" t="n">
        <v>134.32</v>
      </c>
      <c r="C32" s="226" t="n">
        <v>305</v>
      </c>
      <c r="D32" s="271" t="n">
        <v>12</v>
      </c>
      <c r="E32" s="154" t="n"/>
      <c r="F32" s="285" t="n"/>
      <c r="G32" s="4" t="n"/>
      <c r="J32" s="232">
        <f>T32</f>
        <v/>
      </c>
      <c r="K32" s="233" t="n">
        <v>0</v>
      </c>
      <c r="L32" s="239">
        <f>IFERROR(M32/25,"")</f>
        <v/>
      </c>
      <c r="M32" s="240">
        <f>IF(ISNUMBER(P32),Z32,0)</f>
        <v/>
      </c>
      <c r="N32" s="175" t="n">
        <v>0</v>
      </c>
      <c r="O32" s="241">
        <f>IF(ISNUMBER(P32),X32,0)</f>
        <v/>
      </c>
      <c r="P32" s="242">
        <f>_xludf.IFNA(Z32/_xlfn.XLOOKUP(T32,$A$2:$A$624,$B$2:$B$624,""),"")</f>
        <v/>
      </c>
      <c r="Q32" s="242">
        <f>IFERROR(M32/O32,"-")</f>
        <v/>
      </c>
      <c r="R32" s="243">
        <f>IF(ISNUMBER(P32),AE32,0)</f>
        <v/>
      </c>
      <c r="S32" s="244">
        <f>IFERROR((N32/Q32),"-")</f>
        <v/>
      </c>
      <c r="Z32" s="167" t="n"/>
      <c r="AA32" s="167" t="n"/>
      <c r="AE32" s="245" t="n"/>
    </row>
    <row r="33">
      <c r="A33" s="148" t="n">
        <v>2044</v>
      </c>
      <c r="B33" s="225" t="n">
        <v>56.92</v>
      </c>
      <c r="C33" s="226" t="n">
        <v>306</v>
      </c>
      <c r="D33" s="271" t="n">
        <v>15</v>
      </c>
      <c r="E33" s="284" t="n"/>
      <c r="F33" s="286" t="n"/>
      <c r="J33" s="232">
        <f>T33</f>
        <v/>
      </c>
      <c r="K33" s="233" t="n">
        <v>0</v>
      </c>
      <c r="L33" s="239">
        <f>IFERROR(M33/25,"")</f>
        <v/>
      </c>
      <c r="M33" s="240">
        <f>IF(ISNUMBER(P33),Z33,0)</f>
        <v/>
      </c>
      <c r="N33" s="175" t="n">
        <v>0</v>
      </c>
      <c r="O33" s="241">
        <f>IF(ISNUMBER(P33),X33,0)</f>
        <v/>
      </c>
      <c r="P33" s="242">
        <f>_xludf.IFNA(Z33/_xlfn.XLOOKUP(T33,$A$2:$A$624,$B$2:$B$624,""),"")</f>
        <v/>
      </c>
      <c r="Q33" s="242">
        <f>IFERROR(M33/O33,"-")</f>
        <v/>
      </c>
      <c r="R33" s="243">
        <f>IF(ISNUMBER(P33),AE33,0)</f>
        <v/>
      </c>
      <c r="S33" s="244">
        <f>IFERROR((N33/Q33),"-")</f>
        <v/>
      </c>
      <c r="Z33" s="167" t="n"/>
      <c r="AA33" s="167" t="n"/>
      <c r="AE33" s="245" t="n"/>
    </row>
    <row r="34">
      <c r="A34" s="148" t="n">
        <v>2047</v>
      </c>
      <c r="B34" s="225" t="n">
        <v>35.1</v>
      </c>
      <c r="C34" s="226" t="n">
        <v>307</v>
      </c>
      <c r="D34" s="271" t="n">
        <v>14</v>
      </c>
      <c r="E34" s="284" t="n"/>
      <c r="F34" s="286" t="n"/>
      <c r="G34" s="287" t="n"/>
      <c r="J34" s="232">
        <f>T34</f>
        <v/>
      </c>
      <c r="K34" s="233" t="n">
        <v>0</v>
      </c>
      <c r="L34" s="239">
        <f>IFERROR(M34/25,"")</f>
        <v/>
      </c>
      <c r="M34" s="240">
        <f>IF(ISNUMBER(P34),Z34,0)</f>
        <v/>
      </c>
      <c r="N34" s="175">
        <f>_xlfn.XLOOKUP(J34,C:C,D:D)</f>
        <v/>
      </c>
      <c r="O34" s="241">
        <f>IF(ISNUMBER(P34),X34,0)</f>
        <v/>
      </c>
      <c r="P34" s="242">
        <f>_xludf.IFNA(Z34/_xlfn.XLOOKUP(T34,$A$2:$A$624,$B$2:$B$624,""),"")</f>
        <v/>
      </c>
      <c r="Q34" s="242">
        <f>IFERROR(M34/O34,"-")</f>
        <v/>
      </c>
      <c r="R34" s="243">
        <f>IF(ISNUMBER(P34),AE34,0)</f>
        <v/>
      </c>
      <c r="S34" s="244">
        <f>IFERROR((N34/Q34),"-")</f>
        <v/>
      </c>
      <c r="Z34" s="167" t="n"/>
      <c r="AA34" s="167" t="n"/>
      <c r="AE34" s="245" t="n"/>
    </row>
    <row r="35">
      <c r="A35" s="148" t="n">
        <v>2060</v>
      </c>
      <c r="B35" s="225" t="n">
        <v>44.6</v>
      </c>
      <c r="C35" s="226" t="n">
        <v>311</v>
      </c>
      <c r="D35" s="271" t="n">
        <v>15</v>
      </c>
      <c r="E35" s="288" t="n"/>
      <c r="F35" s="289" t="n"/>
      <c r="J35" s="232">
        <f>T35</f>
        <v/>
      </c>
      <c r="K35" s="233" t="n">
        <v>0</v>
      </c>
      <c r="L35" s="239">
        <f>IFERROR(M35/25,"")</f>
        <v/>
      </c>
      <c r="M35" s="240">
        <f>IF(ISNUMBER(P35),Z35,0)</f>
        <v/>
      </c>
      <c r="N35" s="175" t="n">
        <v>0</v>
      </c>
      <c r="O35" s="241">
        <f>IF(ISNUMBER(P35),X35,0)</f>
        <v/>
      </c>
      <c r="P35" s="242">
        <f>_xludf.IFNA(Z35/_xlfn.XLOOKUP(T35,$A$2:$A$624,$B$2:$B$624,""),"")</f>
        <v/>
      </c>
      <c r="Q35" s="242">
        <f>IFERROR(M35/O35,"-")</f>
        <v/>
      </c>
      <c r="R35" s="243">
        <f>IF(ISNUMBER(P35),AE35,0)</f>
        <v/>
      </c>
      <c r="S35" s="244">
        <f>IFERROR((N35/Q35),"-")</f>
        <v/>
      </c>
      <c r="Z35" s="167" t="n"/>
      <c r="AA35" s="167" t="n"/>
      <c r="AE35" s="245" t="n"/>
    </row>
    <row r="36">
      <c r="A36" s="148" t="n">
        <v>2061</v>
      </c>
      <c r="B36" s="225" t="n">
        <v>52.81</v>
      </c>
      <c r="C36" s="226" t="n">
        <v>320</v>
      </c>
      <c r="D36" s="271" t="n">
        <v>9.199999999999999</v>
      </c>
      <c r="E36" s="288" t="n"/>
      <c r="F36" s="289" t="n"/>
      <c r="J36" s="232">
        <f>T36</f>
        <v/>
      </c>
      <c r="K36" s="233" t="n">
        <v>0</v>
      </c>
      <c r="L36" s="239">
        <f>IFERROR(M36/25,"")</f>
        <v/>
      </c>
      <c r="M36" s="240">
        <f>IF(ISNUMBER(P36),Z36,0)</f>
        <v/>
      </c>
      <c r="N36" s="175" t="n">
        <v>0</v>
      </c>
      <c r="O36" s="241">
        <f>IF(ISNUMBER(P36),X36,0)</f>
        <v/>
      </c>
      <c r="P36" s="242">
        <f>_xludf.IFNA(Z36/_xlfn.XLOOKUP(T36,$A$2:$A$624,$B$2:$B$624,""),"")</f>
        <v/>
      </c>
      <c r="Q36" s="242">
        <f>IFERROR(M36/O36,"-")</f>
        <v/>
      </c>
      <c r="R36" s="243">
        <f>IF(ISNUMBER(P36),AE36,0)</f>
        <v/>
      </c>
      <c r="S36" s="244">
        <f>IFERROR((N36/Q36),"-")</f>
        <v/>
      </c>
      <c r="Z36" s="167" t="n"/>
      <c r="AA36" s="167" t="n"/>
      <c r="AE36" s="245" t="n"/>
    </row>
    <row r="37">
      <c r="A37" s="148" t="n">
        <v>2062</v>
      </c>
      <c r="B37" s="225" t="n">
        <v>92.66</v>
      </c>
      <c r="C37" s="226" t="n">
        <v>323</v>
      </c>
      <c r="D37" s="271" t="n">
        <v>16</v>
      </c>
      <c r="E37" s="288" t="n"/>
      <c r="F37" s="289" t="n"/>
      <c r="J37" s="232">
        <f>T37</f>
        <v/>
      </c>
      <c r="K37" s="233" t="n">
        <v>0</v>
      </c>
      <c r="L37" s="239">
        <f>IFERROR(M37/25,"")</f>
        <v/>
      </c>
      <c r="M37" s="240">
        <f>IF(ISNUMBER(P37),Z37,0)</f>
        <v/>
      </c>
      <c r="N37" s="175" t="n">
        <v>0</v>
      </c>
      <c r="O37" s="241">
        <f>IF(ISNUMBER(P37),X37,0)</f>
        <v/>
      </c>
      <c r="P37" s="242">
        <f>_xludf.IFNA(Z37/_xlfn.XLOOKUP(T37,$A$2:$A$624,$B$2:$B$624,""),"")</f>
        <v/>
      </c>
      <c r="Q37" s="242">
        <f>IFERROR(M37/O37,"-")</f>
        <v/>
      </c>
      <c r="R37" s="243">
        <f>IF(ISNUMBER(P37),AE37,0)</f>
        <v/>
      </c>
      <c r="S37" s="244">
        <f>IFERROR((N37/Q37),"-")</f>
        <v/>
      </c>
      <c r="Z37" s="167" t="n"/>
      <c r="AA37" s="167" t="n"/>
      <c r="AE37" s="245" t="n"/>
    </row>
    <row r="38">
      <c r="A38" s="148" t="n">
        <v>2063</v>
      </c>
      <c r="B38" s="225" t="n">
        <v>131.02</v>
      </c>
      <c r="C38" s="226" t="n">
        <v>324</v>
      </c>
      <c r="D38" s="271" t="n">
        <v>12.8</v>
      </c>
      <c r="E38" s="288" t="n"/>
      <c r="F38" s="289" t="n"/>
      <c r="J38" s="232">
        <f>T38</f>
        <v/>
      </c>
      <c r="K38" s="233" t="n">
        <v>0</v>
      </c>
      <c r="L38" s="239">
        <f>IFERROR(M38/25,"")</f>
        <v/>
      </c>
      <c r="M38" s="240">
        <f>IF(ISNUMBER(P38),Z38,0)</f>
        <v/>
      </c>
      <c r="N38" s="175" t="n">
        <v>0</v>
      </c>
      <c r="O38" s="241">
        <f>IF(ISNUMBER(P38),X38,0)</f>
        <v/>
      </c>
      <c r="P38" s="242">
        <f>_xludf.IFNA(Z38/_xlfn.XLOOKUP(T38,$A$2:$A$624,$B$2:$B$624,""),"")</f>
        <v/>
      </c>
      <c r="Q38" s="242">
        <f>IFERROR(M38/O38,"-")</f>
        <v/>
      </c>
      <c r="R38" s="243">
        <f>IF(ISNUMBER(P38),AE38,0)</f>
        <v/>
      </c>
      <c r="S38" s="244">
        <f>IFERROR((N38/Q38),"-")</f>
        <v/>
      </c>
      <c r="Z38" s="167" t="n"/>
      <c r="AA38" s="167" t="n"/>
      <c r="AE38" s="245" t="n"/>
    </row>
    <row r="39">
      <c r="A39" s="148" t="n">
        <v>2064</v>
      </c>
      <c r="B39" s="225" t="n">
        <v>61.57</v>
      </c>
      <c r="C39" s="226" t="n">
        <v>325</v>
      </c>
      <c r="D39" s="271" t="n">
        <v>12</v>
      </c>
      <c r="E39" s="288" t="n"/>
      <c r="F39" s="289" t="n"/>
      <c r="G39" s="284" t="n"/>
      <c r="J39" s="232">
        <f>T39</f>
        <v/>
      </c>
      <c r="K39" s="233" t="n">
        <v>0</v>
      </c>
      <c r="L39" s="239">
        <f>IFERROR(M39/25,"")</f>
        <v/>
      </c>
      <c r="M39" s="240">
        <f>IF(ISNUMBER(P39),Z39,0)</f>
        <v/>
      </c>
      <c r="N39" s="175" t="n">
        <v>0</v>
      </c>
      <c r="O39" s="241">
        <f>IF(ISNUMBER(P39),X39,0)</f>
        <v/>
      </c>
      <c r="P39" s="242">
        <f>_xludf.IFNA(Z39/_xlfn.XLOOKUP(T39,$A$2:$A$624,$B$2:$B$624,""),"")</f>
        <v/>
      </c>
      <c r="Q39" s="242">
        <f>IFERROR(M39/O39,"-")</f>
        <v/>
      </c>
      <c r="R39" s="243">
        <f>IF(ISNUMBER(P39),AE39,0)</f>
        <v/>
      </c>
      <c r="S39" s="244">
        <f>IFERROR((N39/Q39),"-")</f>
        <v/>
      </c>
      <c r="Z39" s="167" t="n"/>
      <c r="AA39" s="167" t="n"/>
      <c r="AE39" s="245" t="n"/>
    </row>
    <row r="40">
      <c r="A40" s="148" t="n">
        <v>2065</v>
      </c>
      <c r="B40" s="225" t="n">
        <v>26.74</v>
      </c>
      <c r="C40" s="226" t="n">
        <v>329</v>
      </c>
      <c r="D40" s="271" t="n">
        <v>16</v>
      </c>
      <c r="E40" s="288" t="n"/>
      <c r="F40" s="289" t="n"/>
      <c r="G40" s="284" t="n"/>
      <c r="J40" s="232">
        <f>T40</f>
        <v/>
      </c>
      <c r="K40" s="233" t="n">
        <v>0</v>
      </c>
      <c r="L40" s="239">
        <f>IFERROR(M40/25,"")</f>
        <v/>
      </c>
      <c r="M40" s="240">
        <f>IF(ISNUMBER(P40),Z40,0)</f>
        <v/>
      </c>
      <c r="N40" s="175" t="n">
        <v>0</v>
      </c>
      <c r="O40" s="241">
        <f>IF(ISNUMBER(P40),X40,0)</f>
        <v/>
      </c>
      <c r="P40" s="242">
        <f>_xludf.IFNA(Z40/_xlfn.XLOOKUP(T40,$A$2:$A$624,$B$2:$B$624,""),"")</f>
        <v/>
      </c>
      <c r="Q40" s="242">
        <f>IFERROR(M40/O40,"-")</f>
        <v/>
      </c>
      <c r="R40" s="243">
        <f>IF(ISNUMBER(P40),AE40,0)</f>
        <v/>
      </c>
      <c r="S40" s="244">
        <f>IFERROR((N40/Q40),"-")</f>
        <v/>
      </c>
      <c r="Z40" s="167" t="n"/>
      <c r="AA40" s="167" t="n"/>
      <c r="AE40" s="245" t="n"/>
    </row>
    <row r="41">
      <c r="A41" s="148" t="n">
        <v>2066</v>
      </c>
      <c r="B41" s="225" t="n">
        <v>87.06</v>
      </c>
      <c r="C41" s="226" t="n">
        <v>330</v>
      </c>
      <c r="D41" s="271" t="n">
        <v>10</v>
      </c>
      <c r="E41" s="288" t="n"/>
      <c r="G41" s="284" t="n"/>
      <c r="J41" s="232">
        <f>T41</f>
        <v/>
      </c>
      <c r="K41" s="233" t="n">
        <v>0</v>
      </c>
      <c r="L41" s="239">
        <f>IFERROR(M41/25,"")</f>
        <v/>
      </c>
      <c r="M41" s="240">
        <f>IF(ISNUMBER(P41),Z41,0)</f>
        <v/>
      </c>
      <c r="N41" s="175" t="n">
        <v>0</v>
      </c>
      <c r="O41" s="241">
        <f>IF(ISNUMBER(P41),X41,0)</f>
        <v/>
      </c>
      <c r="P41" s="242">
        <f>_xludf.IFNA(Z41/_xlfn.XLOOKUP(T41,$A$2:$A$624,$B$2:$B$624,""),"")</f>
        <v/>
      </c>
      <c r="Q41" s="242">
        <f>IFERROR(M41/O41,"-")</f>
        <v/>
      </c>
      <c r="R41" s="243">
        <f>IF(ISNUMBER(P41),AE41,0)</f>
        <v/>
      </c>
      <c r="S41" s="244">
        <f>IFERROR((N41/Q41),"-")</f>
        <v/>
      </c>
      <c r="Z41" s="167" t="n"/>
      <c r="AA41" s="167" t="n"/>
      <c r="AE41" s="245" t="n"/>
    </row>
    <row r="42">
      <c r="A42" s="148" t="n">
        <v>2067</v>
      </c>
      <c r="B42" s="225" t="n">
        <v>16.82</v>
      </c>
      <c r="C42" s="226" t="n">
        <v>331</v>
      </c>
      <c r="D42" s="227" t="n">
        <v>15</v>
      </c>
      <c r="G42" s="284" t="n"/>
      <c r="J42" s="232">
        <f>T42</f>
        <v/>
      </c>
      <c r="K42" s="233" t="n">
        <v>0</v>
      </c>
      <c r="L42" s="239">
        <f>IFERROR(M42/25,"")</f>
        <v/>
      </c>
      <c r="M42" s="240">
        <f>IF(ISNUMBER(P42),Z42,0)</f>
        <v/>
      </c>
      <c r="N42" s="175" t="n">
        <v>0</v>
      </c>
      <c r="O42" s="241">
        <f>IF(ISNUMBER(P42),X42,0)</f>
        <v/>
      </c>
      <c r="P42" s="242">
        <f>_xludf.IFNA(Z42/_xlfn.XLOOKUP(T42,$A$2:$A$624,$B$2:$B$624,""),"")</f>
        <v/>
      </c>
      <c r="Q42" s="242">
        <f>IFERROR(M42/O42,"-")</f>
        <v/>
      </c>
      <c r="R42" s="243">
        <f>IF(ISNUMBER(P42),AE42,0)</f>
        <v/>
      </c>
      <c r="S42" s="244">
        <f>IFERROR((N42/Q42),"-")</f>
        <v/>
      </c>
      <c r="Z42" s="167" t="n"/>
      <c r="AA42" s="167" t="n"/>
      <c r="AE42" s="245" t="n"/>
    </row>
    <row r="43">
      <c r="A43" s="148" t="n">
        <v>2068</v>
      </c>
      <c r="B43" s="225" t="n">
        <v>121.26</v>
      </c>
      <c r="C43" s="226" t="n">
        <v>332</v>
      </c>
      <c r="D43" s="227" t="n">
        <v>15</v>
      </c>
      <c r="J43" s="232">
        <f>T43</f>
        <v/>
      </c>
      <c r="K43" s="233" t="n">
        <v>0</v>
      </c>
      <c r="L43" s="239">
        <f>IFERROR(M43/25,"")</f>
        <v/>
      </c>
      <c r="M43" s="240">
        <f>IF(ISNUMBER(P43),Z43,0)</f>
        <v/>
      </c>
      <c r="N43" s="175" t="n">
        <v>0</v>
      </c>
      <c r="O43" s="241">
        <f>IF(ISNUMBER(P43),X43,0)</f>
        <v/>
      </c>
      <c r="P43" s="242">
        <f>_xludf.IFNA(Z43/_xlfn.XLOOKUP(T43,$A$2:$A$624,$B$2:$B$624,""),"")</f>
        <v/>
      </c>
      <c r="Q43" s="242">
        <f>IFERROR(M43/O43,"-")</f>
        <v/>
      </c>
      <c r="R43" s="243">
        <f>IF(ISNUMBER(P43),AE43,0)</f>
        <v/>
      </c>
      <c r="S43" s="244">
        <f>IFERROR((N43/Q43),"-")</f>
        <v/>
      </c>
      <c r="Z43" s="167" t="n"/>
      <c r="AA43" s="167" t="n"/>
      <c r="AE43" s="245" t="n"/>
    </row>
    <row r="44">
      <c r="A44" s="148" t="n">
        <v>2500</v>
      </c>
      <c r="B44" s="225" t="n">
        <v>31.19</v>
      </c>
      <c r="C44" s="226" t="n">
        <v>334</v>
      </c>
      <c r="D44" s="227" t="n">
        <v>12</v>
      </c>
      <c r="J44" s="232">
        <f>T44</f>
        <v/>
      </c>
      <c r="K44" s="233" t="n">
        <v>0</v>
      </c>
      <c r="L44" s="239">
        <f>IFERROR(M44/25,"")</f>
        <v/>
      </c>
      <c r="M44" s="240">
        <f>IF(ISNUMBER(P44),Z44,0)</f>
        <v/>
      </c>
      <c r="N44" s="175" t="n">
        <v>0</v>
      </c>
      <c r="O44" s="241">
        <f>IF(ISNUMBER(P44),X44,0)</f>
        <v/>
      </c>
      <c r="P44" s="242">
        <f>_xludf.IFNA(Z44/_xlfn.XLOOKUP(T44,$A$2:$A$624,$B$2:$B$624,""),"")</f>
        <v/>
      </c>
      <c r="Q44" s="242">
        <f>IFERROR(M44/O44,"-")</f>
        <v/>
      </c>
      <c r="R44" s="243">
        <f>IF(ISNUMBER(P44),AE44,0)</f>
        <v/>
      </c>
      <c r="S44" s="244">
        <f>IFERROR((N44/Q44),"-")</f>
        <v/>
      </c>
      <c r="Z44" s="167" t="n"/>
      <c r="AA44" s="167" t="n"/>
      <c r="AE44" s="245" t="n"/>
    </row>
    <row r="45">
      <c r="A45" s="148" t="n">
        <v>2502</v>
      </c>
      <c r="B45" s="225" t="n">
        <v>50.84</v>
      </c>
      <c r="C45" s="226" t="n">
        <v>344</v>
      </c>
      <c r="D45" s="227" t="n">
        <v>15</v>
      </c>
      <c r="J45" s="232">
        <f>T45</f>
        <v/>
      </c>
      <c r="K45" s="233" t="n">
        <v>0</v>
      </c>
      <c r="L45" s="239">
        <f>IFERROR(M45/25,"")</f>
        <v/>
      </c>
      <c r="M45" s="240">
        <f>IF(ISNUMBER(P45),Z45,0)</f>
        <v/>
      </c>
      <c r="N45" s="175" t="n">
        <v>0</v>
      </c>
      <c r="O45" s="241">
        <f>IF(ISNUMBER(P45),X45,0)</f>
        <v/>
      </c>
      <c r="P45" s="242">
        <f>_xludf.IFNA(Z45/_xlfn.XLOOKUP(T45,$A$2:$A$624,$B$2:$B$624,""),"")</f>
        <v/>
      </c>
      <c r="Q45" s="242">
        <f>IFERROR(M45/O45,"-")</f>
        <v/>
      </c>
      <c r="R45" s="243">
        <f>IF(ISNUMBER(P45),AE45,0)</f>
        <v/>
      </c>
      <c r="S45" s="244">
        <f>IFERROR((N45/Q45),"-")</f>
        <v/>
      </c>
      <c r="Z45" s="167" t="n"/>
      <c r="AA45" s="167" t="n"/>
      <c r="AE45" s="245" t="n"/>
    </row>
    <row r="46">
      <c r="A46" s="148" t="n">
        <v>2504</v>
      </c>
      <c r="B46" s="225" t="n">
        <v>51.39</v>
      </c>
      <c r="C46" s="226" t="n">
        <v>347</v>
      </c>
      <c r="D46" s="227" t="n">
        <v>15</v>
      </c>
      <c r="J46" s="232">
        <f>T46</f>
        <v/>
      </c>
      <c r="K46" s="233" t="n">
        <v>0</v>
      </c>
      <c r="L46" s="239">
        <f>IFERROR(M46/25,"")</f>
        <v/>
      </c>
      <c r="M46" s="240">
        <f>IF(ISNUMBER(P46),Z46,0)</f>
        <v/>
      </c>
      <c r="N46" s="175" t="n">
        <v>0</v>
      </c>
      <c r="O46" s="241">
        <f>IF(ISNUMBER(P46),X46,0)</f>
        <v/>
      </c>
      <c r="P46" s="242">
        <f>_xludf.IFNA(Z46/_xlfn.XLOOKUP(T46,$A$2:$A$624,$B$2:$B$624,""),"")</f>
        <v/>
      </c>
      <c r="Q46" s="242">
        <f>IFERROR(M46/O46,"-")</f>
        <v/>
      </c>
      <c r="R46" s="243">
        <f>IF(ISNUMBER(P46),AE46,0)</f>
        <v/>
      </c>
      <c r="S46" s="244">
        <f>IFERROR((N46/Q46),"-")</f>
        <v/>
      </c>
      <c r="Z46" s="167" t="n"/>
      <c r="AA46" s="167" t="n"/>
      <c r="AE46" s="245" t="n"/>
    </row>
    <row r="47">
      <c r="A47" s="148" t="n">
        <v>2506</v>
      </c>
      <c r="B47" s="225" t="n">
        <v>27.07</v>
      </c>
      <c r="C47" s="226" t="n">
        <v>348</v>
      </c>
      <c r="D47" s="227" t="n">
        <v>12</v>
      </c>
      <c r="J47" s="232">
        <f>T47</f>
        <v/>
      </c>
      <c r="K47" s="233" t="n">
        <v>0</v>
      </c>
      <c r="L47" s="239">
        <f>IFERROR(M47/25,"")</f>
        <v/>
      </c>
      <c r="M47" s="240">
        <f>IF(ISNUMBER(P47),Z47,0)</f>
        <v/>
      </c>
      <c r="N47" s="175" t="n">
        <v>0</v>
      </c>
      <c r="O47" s="241">
        <f>IF(ISNUMBER(P47),X47,0)</f>
        <v/>
      </c>
      <c r="P47" s="242">
        <f>_xludf.IFNA(Z47/_xlfn.XLOOKUP(T47,$A$2:$A$624,$B$2:$B$624,""),"")</f>
        <v/>
      </c>
      <c r="Q47" s="242">
        <f>IFERROR(M47/O47,"-")</f>
        <v/>
      </c>
      <c r="R47" s="243">
        <f>IF(ISNUMBER(P47),AE47,0)</f>
        <v/>
      </c>
      <c r="S47" s="244">
        <f>IFERROR((N47/Q47),"-")</f>
        <v/>
      </c>
      <c r="Z47" s="167" t="n"/>
      <c r="AA47" s="167" t="n"/>
      <c r="AE47" s="245" t="n"/>
    </row>
    <row r="48">
      <c r="A48" s="148" t="n">
        <v>2508</v>
      </c>
      <c r="B48" s="225" t="n">
        <v>114</v>
      </c>
      <c r="C48" s="226" t="n">
        <v>349</v>
      </c>
      <c r="D48" s="227" t="n">
        <v>14</v>
      </c>
      <c r="J48" s="232">
        <f>T48</f>
        <v/>
      </c>
      <c r="K48" s="233" t="n">
        <v>0</v>
      </c>
      <c r="L48" s="239">
        <f>IFERROR(M48/25,"")</f>
        <v/>
      </c>
      <c r="M48" s="240">
        <f>IF(ISNUMBER(P48),Z48,0)</f>
        <v/>
      </c>
      <c r="N48" s="175" t="n">
        <v>0</v>
      </c>
      <c r="O48" s="241">
        <f>IF(ISNUMBER(P48),X48,0)</f>
        <v/>
      </c>
      <c r="P48" s="242">
        <f>_xludf.IFNA(Z48/_xlfn.XLOOKUP(T48,$A$2:$A$624,$B$2:$B$624,""),"")</f>
        <v/>
      </c>
      <c r="Q48" s="242">
        <f>IFERROR(M48/O48,"-")</f>
        <v/>
      </c>
      <c r="R48" s="243">
        <f>IF(ISNUMBER(P48),AE48,0)</f>
        <v/>
      </c>
      <c r="S48" s="244">
        <f>IFERROR((N48/Q48),"-")</f>
        <v/>
      </c>
      <c r="Z48" s="167" t="n"/>
      <c r="AA48" s="167" t="n"/>
      <c r="AE48" s="245" t="n"/>
    </row>
    <row r="49">
      <c r="A49" s="148" t="n">
        <v>2509</v>
      </c>
      <c r="B49" s="225" t="n">
        <v>126.19</v>
      </c>
      <c r="C49" s="226" t="n">
        <v>350</v>
      </c>
      <c r="D49" s="227" t="n">
        <v>8</v>
      </c>
      <c r="J49" s="232">
        <f>T49</f>
        <v/>
      </c>
      <c r="K49" s="233" t="n">
        <v>0</v>
      </c>
      <c r="L49" s="239">
        <f>IFERROR(M49/25,"")</f>
        <v/>
      </c>
      <c r="M49" s="240">
        <f>IF(ISNUMBER(P49),Z49,0)</f>
        <v/>
      </c>
      <c r="N49" s="175" t="n">
        <v>0</v>
      </c>
      <c r="O49" s="241">
        <f>IF(ISNUMBER(P49),X49,0)</f>
        <v/>
      </c>
      <c r="P49" s="242">
        <f>_xludf.IFNA(Z49/_xlfn.XLOOKUP(T49,$A$2:$A$624,$B$2:$B$624,""),"")</f>
        <v/>
      </c>
      <c r="Q49" s="242">
        <f>IFERROR(M49/O49,"-")</f>
        <v/>
      </c>
      <c r="R49" s="243">
        <f>IF(ISNUMBER(P49),AE49,0)</f>
        <v/>
      </c>
      <c r="S49" s="244">
        <f>IFERROR((N49/Q49),"-")</f>
        <v/>
      </c>
      <c r="Z49" s="167" t="n"/>
      <c r="AA49" s="167" t="n"/>
      <c r="AE49" s="245" t="n"/>
    </row>
    <row r="50">
      <c r="A50" s="148" t="n">
        <v>2510</v>
      </c>
      <c r="B50" s="225" t="n">
        <v>30.7</v>
      </c>
      <c r="C50" s="226" t="n">
        <v>352</v>
      </c>
      <c r="D50" s="227" t="n">
        <v>9</v>
      </c>
      <c r="H50" s="290" t="n"/>
      <c r="J50" s="232">
        <f>T50</f>
        <v/>
      </c>
      <c r="K50" s="233" t="n">
        <v>0</v>
      </c>
      <c r="L50" s="239">
        <f>IFERROR(M50/25,"")</f>
        <v/>
      </c>
      <c r="M50" s="240">
        <f>IF(ISNUMBER(P50),Z50,0)</f>
        <v/>
      </c>
      <c r="N50" s="175" t="n">
        <v>0</v>
      </c>
      <c r="O50" s="241">
        <f>IF(ISNUMBER(P50),X50,0)</f>
        <v/>
      </c>
      <c r="P50" s="242">
        <f>_xludf.IFNA(Z50/_xlfn.XLOOKUP(T50,$A$2:$A$624,$B$2:$B$624,""),"")</f>
        <v/>
      </c>
      <c r="Q50" s="242">
        <f>IFERROR(M50/O50,"-")</f>
        <v/>
      </c>
      <c r="R50" s="243">
        <f>IF(ISNUMBER(P50),AE50,0)</f>
        <v/>
      </c>
      <c r="S50" s="244">
        <f>IFERROR((N50/Q50),"-")</f>
        <v/>
      </c>
      <c r="Z50" s="167" t="n"/>
      <c r="AA50" s="167" t="n"/>
      <c r="AE50" s="245" t="n"/>
    </row>
    <row r="51">
      <c r="A51" s="148" t="n">
        <v>2512</v>
      </c>
      <c r="B51" s="225" t="n">
        <v>30.7</v>
      </c>
      <c r="C51" s="226" t="n"/>
      <c r="D51" s="227" t="n"/>
      <c r="J51" s="232">
        <f>T51</f>
        <v/>
      </c>
      <c r="K51" s="233" t="n">
        <v>0</v>
      </c>
      <c r="L51" s="239">
        <f>IFERROR(M51/25,"")</f>
        <v/>
      </c>
      <c r="M51" s="240">
        <f>IF(ISNUMBER(P51),Z51,0)</f>
        <v/>
      </c>
      <c r="N51" s="175" t="n">
        <v>0</v>
      </c>
      <c r="O51" s="241">
        <f>IF(ISNUMBER(P51),X51,0)</f>
        <v/>
      </c>
      <c r="P51" s="242">
        <f>_xludf.IFNA(Z51/_xlfn.XLOOKUP(T51,$A$2:$A$624,$B$2:$B$624,""),"")</f>
        <v/>
      </c>
      <c r="Q51" s="242">
        <f>IFERROR(M51/O51,"-")</f>
        <v/>
      </c>
      <c r="R51" s="243">
        <f>IF(ISNUMBER(P51),AE51,0)</f>
        <v/>
      </c>
      <c r="S51" s="244">
        <f>IFERROR((N51/Q51),"-")</f>
        <v/>
      </c>
      <c r="Z51" s="167" t="n"/>
      <c r="AA51" s="167" t="n"/>
      <c r="AE51" s="245" t="n"/>
    </row>
    <row r="52">
      <c r="A52" s="148" t="n">
        <v>7017</v>
      </c>
      <c r="B52" s="225" t="n">
        <v>96.02</v>
      </c>
      <c r="C52" s="226" t="n">
        <v>355</v>
      </c>
      <c r="D52" s="227" t="n">
        <v>15</v>
      </c>
      <c r="J52" s="232">
        <f>T52</f>
        <v/>
      </c>
      <c r="K52" s="233" t="n">
        <v>0</v>
      </c>
      <c r="L52" s="239">
        <f>IFERROR(M52/25,"")</f>
        <v/>
      </c>
      <c r="M52" s="240">
        <f>IF(ISNUMBER(P52),Z52,0)</f>
        <v/>
      </c>
      <c r="N52" s="175" t="n">
        <v>0</v>
      </c>
      <c r="O52" s="241">
        <f>IF(ISNUMBER(P52),X52,0)</f>
        <v/>
      </c>
      <c r="P52" s="242">
        <f>_xludf.IFNA(Z52/_xlfn.XLOOKUP(T52,$A$2:$A$624,$B$2:$B$624,""),"")</f>
        <v/>
      </c>
      <c r="Q52" s="242">
        <f>IFERROR(M52/O52,"-")</f>
        <v/>
      </c>
      <c r="R52" s="243">
        <f>IF(ISNUMBER(P52),AE52,0)</f>
        <v/>
      </c>
      <c r="S52" s="244">
        <f>IFERROR((N52/Q52),"-")</f>
        <v/>
      </c>
      <c r="Z52" s="167" t="n"/>
      <c r="AA52" s="167" t="n"/>
      <c r="AE52" s="245" t="n"/>
    </row>
    <row r="53">
      <c r="A53" s="148" t="n">
        <v>7018</v>
      </c>
      <c r="B53" s="225" t="n">
        <v>26.78</v>
      </c>
      <c r="C53" s="226" t="n">
        <v>359</v>
      </c>
      <c r="D53" s="227" t="n">
        <v>12</v>
      </c>
      <c r="J53" s="232">
        <f>T53</f>
        <v/>
      </c>
      <c r="K53" s="233" t="n">
        <v>0</v>
      </c>
      <c r="L53" s="239">
        <f>IFERROR(M53/25,"")</f>
        <v/>
      </c>
      <c r="M53" s="240">
        <f>IF(ISNUMBER(P53),Z53,0)</f>
        <v/>
      </c>
      <c r="N53" s="175" t="n">
        <v>0</v>
      </c>
      <c r="O53" s="241">
        <f>IF(ISNUMBER(P53),X53,0)</f>
        <v/>
      </c>
      <c r="P53" s="242">
        <f>_xludf.IFNA(Z53/_xlfn.XLOOKUP(T53,$A$2:$A$624,$B$2:$B$624,""),"")</f>
        <v/>
      </c>
      <c r="Q53" s="242">
        <f>IFERROR(M53/O53,"-")</f>
        <v/>
      </c>
      <c r="R53" s="243">
        <f>IF(ISNUMBER(P53),AE53,0)</f>
        <v/>
      </c>
      <c r="S53" s="244">
        <f>IFERROR((N53/Q53),"-")</f>
        <v/>
      </c>
      <c r="Z53" s="167" t="n"/>
      <c r="AA53" s="167" t="n"/>
      <c r="AE53" s="245" t="n"/>
    </row>
    <row r="54">
      <c r="A54" s="148" t="n">
        <v>7091</v>
      </c>
      <c r="B54" s="225" t="n">
        <v>82.95999999999999</v>
      </c>
      <c r="C54" s="226" t="n">
        <v>361</v>
      </c>
      <c r="D54" s="227" t="n">
        <v>9.24</v>
      </c>
      <c r="J54" s="232">
        <f>T54</f>
        <v/>
      </c>
      <c r="K54" s="233" t="n">
        <v>0</v>
      </c>
      <c r="L54" s="239">
        <f>IFERROR(M54/25,"")</f>
        <v/>
      </c>
      <c r="M54" s="240">
        <f>IF(ISNUMBER(P54),Z54,0)</f>
        <v/>
      </c>
      <c r="N54" s="175" t="n">
        <v>0</v>
      </c>
      <c r="O54" s="241">
        <f>IF(ISNUMBER(P54),X54,0)</f>
        <v/>
      </c>
      <c r="P54" s="242">
        <f>_xludf.IFNA(Z54/_xlfn.XLOOKUP(T54,$A$2:$A$624,$B$2:$B$624,""),"")</f>
        <v/>
      </c>
      <c r="Q54" s="242">
        <f>IFERROR(M54/O54,"-")</f>
        <v/>
      </c>
      <c r="R54" s="243">
        <f>IF(ISNUMBER(P54),AE54,0)</f>
        <v/>
      </c>
      <c r="S54" s="244">
        <f>IFERROR((N54/Q54),"-")</f>
        <v/>
      </c>
      <c r="Z54" s="167" t="n"/>
      <c r="AA54" s="167" t="n"/>
      <c r="AE54" s="245" t="n"/>
    </row>
    <row r="55">
      <c r="A55" s="148" t="n">
        <v>7104</v>
      </c>
      <c r="B55" s="225" t="n">
        <v>45.72</v>
      </c>
      <c r="C55" s="226" t="n">
        <v>362</v>
      </c>
      <c r="D55" s="227" t="n">
        <v>9.24</v>
      </c>
      <c r="J55" s="232">
        <f>T55</f>
        <v/>
      </c>
      <c r="K55" s="233" t="n">
        <v>0</v>
      </c>
      <c r="L55" s="239">
        <f>IFERROR(M55/25,"")</f>
        <v/>
      </c>
      <c r="M55" s="240">
        <f>IF(ISNUMBER(P55),Z55,0)</f>
        <v/>
      </c>
      <c r="N55" s="175" t="n">
        <v>0</v>
      </c>
      <c r="O55" s="241">
        <f>IF(ISNUMBER(P55),X55,0)</f>
        <v/>
      </c>
      <c r="P55" s="242">
        <f>_xludf.IFNA(Z55/_xlfn.XLOOKUP(T55,$A$2:$A$624,$B$2:$B$624,""),"")</f>
        <v/>
      </c>
      <c r="Q55" s="242">
        <f>IFERROR(M55/O55,"-")</f>
        <v/>
      </c>
      <c r="R55" s="243">
        <f>IF(ISNUMBER(P55),AE55,0)</f>
        <v/>
      </c>
      <c r="S55" s="244">
        <f>IFERROR((N55/Q55),"-")</f>
        <v/>
      </c>
      <c r="Z55" s="167" t="n"/>
      <c r="AA55" s="167" t="n"/>
      <c r="AE55" s="245" t="n"/>
    </row>
    <row r="56">
      <c r="A56" s="148" t="n">
        <v>7105</v>
      </c>
      <c r="B56" s="225" t="n">
        <v>107.39</v>
      </c>
      <c r="C56" s="226" t="n">
        <v>363</v>
      </c>
      <c r="D56" s="227" t="n">
        <v>8.58</v>
      </c>
      <c r="J56" s="232">
        <f>T56</f>
        <v/>
      </c>
      <c r="K56" s="233" t="n">
        <v>0</v>
      </c>
      <c r="L56" s="239">
        <f>IFERROR(M56/25,"")</f>
        <v/>
      </c>
      <c r="M56" s="240">
        <f>IF(ISNUMBER(P56),Z56,0)</f>
        <v/>
      </c>
      <c r="N56" s="175" t="n">
        <v>0</v>
      </c>
      <c r="O56" s="241">
        <f>IF(ISNUMBER(P56),X56,0)</f>
        <v/>
      </c>
      <c r="P56" s="242">
        <f>_xludf.IFNA(Z56/_xlfn.XLOOKUP(T56,$A$2:$A$624,$B$2:$B$624,""),"")</f>
        <v/>
      </c>
      <c r="Q56" s="242">
        <f>IFERROR(M56/O56,"-")</f>
        <v/>
      </c>
      <c r="R56" s="243">
        <f>IF(ISNUMBER(P56),AE56,0)</f>
        <v/>
      </c>
      <c r="S56" s="244">
        <f>IFERROR((N56/Q56),"-")</f>
        <v/>
      </c>
      <c r="Z56" s="167" t="n"/>
      <c r="AA56" s="167" t="n"/>
      <c r="AE56" s="245" t="n"/>
    </row>
    <row r="57">
      <c r="A57" s="148" t="n">
        <v>7107</v>
      </c>
      <c r="B57" s="225" t="n">
        <v>70.01000000000001</v>
      </c>
      <c r="C57" s="226" t="n">
        <v>364</v>
      </c>
      <c r="D57" s="227" t="n">
        <v>10.56</v>
      </c>
      <c r="J57" s="232">
        <f>T57</f>
        <v/>
      </c>
      <c r="K57" s="233" t="n">
        <v>0</v>
      </c>
      <c r="L57" s="239">
        <f>IFERROR(M57/25,"")</f>
        <v/>
      </c>
      <c r="M57" s="240">
        <f>IF(ISNUMBER(P57),Z57,0)</f>
        <v/>
      </c>
      <c r="N57" s="175" t="n">
        <v>0</v>
      </c>
      <c r="O57" s="241">
        <f>IF(ISNUMBER(P57),X57,0)</f>
        <v/>
      </c>
      <c r="P57" s="242">
        <f>_xludf.IFNA(Z57/_xlfn.XLOOKUP(T57,$A$2:$A$624,$B$2:$B$624,""),"")</f>
        <v/>
      </c>
      <c r="Q57" s="242">
        <f>IFERROR(M57/O57,"-")</f>
        <v/>
      </c>
      <c r="R57" s="243">
        <f>IF(ISNUMBER(P57),AE57,0)</f>
        <v/>
      </c>
      <c r="S57" s="244">
        <f>IFERROR((N57/Q57),"-")</f>
        <v/>
      </c>
      <c r="Z57" s="167" t="n"/>
      <c r="AA57" s="167" t="n"/>
      <c r="AE57" s="245" t="n"/>
    </row>
    <row r="58">
      <c r="A58" s="148" t="n">
        <v>7108</v>
      </c>
      <c r="B58" s="225" t="n">
        <v>67.90000000000001</v>
      </c>
      <c r="C58" s="226" t="n">
        <v>365</v>
      </c>
      <c r="D58" s="227" t="n">
        <v>9.24</v>
      </c>
      <c r="J58" s="232">
        <f>T58</f>
        <v/>
      </c>
      <c r="K58" s="233" t="n">
        <v>0</v>
      </c>
      <c r="L58" s="239">
        <f>IFERROR(M58/25,"")</f>
        <v/>
      </c>
      <c r="M58" s="240">
        <f>IF(ISNUMBER(P58),Z58,0)</f>
        <v/>
      </c>
      <c r="N58" s="175" t="n">
        <v>0</v>
      </c>
      <c r="O58" s="241">
        <f>IF(ISNUMBER(P58),X58,0)</f>
        <v/>
      </c>
      <c r="P58" s="242">
        <f>_xludf.IFNA(Z58/_xlfn.XLOOKUP(T58,$A$2:$A$624,$B$2:$B$624,""),"")</f>
        <v/>
      </c>
      <c r="Q58" s="242">
        <f>IFERROR(M58/O58,"-")</f>
        <v/>
      </c>
      <c r="R58" s="243">
        <f>IF(ISNUMBER(P58),AE58,0)</f>
        <v/>
      </c>
      <c r="S58" s="244">
        <f>IFERROR((N58/Q58),"-")</f>
        <v/>
      </c>
      <c r="Z58" s="167" t="n"/>
      <c r="AA58" s="167" t="n"/>
      <c r="AE58" s="245" t="n"/>
    </row>
    <row r="59">
      <c r="A59" s="148" t="n">
        <v>7109</v>
      </c>
      <c r="B59" s="225" t="n">
        <v>96.02</v>
      </c>
      <c r="C59" s="226" t="n">
        <v>366</v>
      </c>
      <c r="D59" s="227" t="n">
        <v>10.5</v>
      </c>
      <c r="J59" s="232">
        <f>T59</f>
        <v/>
      </c>
      <c r="K59" s="233" t="n">
        <v>0</v>
      </c>
      <c r="L59" s="239">
        <f>IFERROR(M59/25,"")</f>
        <v/>
      </c>
      <c r="M59" s="240">
        <f>IF(ISNUMBER(P59),Z59,0)</f>
        <v/>
      </c>
      <c r="N59" s="175" t="n">
        <v>0</v>
      </c>
      <c r="O59" s="241">
        <f>IF(ISNUMBER(P59),X59,0)</f>
        <v/>
      </c>
      <c r="P59" s="242">
        <f>_xludf.IFNA(Z59/_xlfn.XLOOKUP(T59,$A$2:$A$624,$B$2:$B$624,""),"")</f>
        <v/>
      </c>
      <c r="Q59" s="242">
        <f>IFERROR(M59/O59,"-")</f>
        <v/>
      </c>
      <c r="R59" s="243">
        <f>IF(ISNUMBER(P59),AE59,0)</f>
        <v/>
      </c>
      <c r="S59" s="244">
        <f>IFERROR((N59/Q59),"-")</f>
        <v/>
      </c>
      <c r="Z59" s="167" t="n"/>
      <c r="AA59" s="167" t="n"/>
      <c r="AE59" s="245" t="n"/>
    </row>
    <row r="60">
      <c r="A60" s="148" t="n">
        <v>7115</v>
      </c>
      <c r="B60" s="225" t="n">
        <v>67.90000000000001</v>
      </c>
      <c r="C60" s="226" t="n">
        <v>367</v>
      </c>
      <c r="D60" s="227" t="n">
        <v>8.91</v>
      </c>
      <c r="J60" s="232">
        <f>T60</f>
        <v/>
      </c>
      <c r="K60" s="233" t="n">
        <v>0</v>
      </c>
      <c r="L60" s="239">
        <f>IFERROR(M60/25,"")</f>
        <v/>
      </c>
      <c r="M60" s="240">
        <f>IF(ISNUMBER(P60),Z60,0)</f>
        <v/>
      </c>
      <c r="N60" s="175" t="n">
        <v>0</v>
      </c>
      <c r="O60" s="241">
        <f>IF(ISNUMBER(P60),X60,0)</f>
        <v/>
      </c>
      <c r="P60" s="242">
        <f>_xludf.IFNA(Z60/_xlfn.XLOOKUP(T60,$A$2:$A$624,$B$2:$B$624,""),"")</f>
        <v/>
      </c>
      <c r="Q60" s="242">
        <f>IFERROR(M60/O60,"-")</f>
        <v/>
      </c>
      <c r="R60" s="243">
        <f>IF(ISNUMBER(P60),AE60,0)</f>
        <v/>
      </c>
      <c r="S60" s="244">
        <f>IFERROR((N60/Q60),"-")</f>
        <v/>
      </c>
      <c r="Z60" s="167" t="n"/>
      <c r="AA60" s="167" t="n"/>
      <c r="AE60" s="245" t="n"/>
    </row>
    <row r="61">
      <c r="A61" s="148" t="n">
        <v>7116</v>
      </c>
      <c r="B61" s="225" t="n">
        <v>45.72</v>
      </c>
      <c r="C61" s="226" t="n">
        <v>368</v>
      </c>
      <c r="D61" s="227" t="n">
        <v>9.9</v>
      </c>
      <c r="J61" s="232">
        <f>T61</f>
        <v/>
      </c>
      <c r="K61" s="233" t="n">
        <v>0</v>
      </c>
      <c r="L61" s="239">
        <f>IFERROR(M61/25,"")</f>
        <v/>
      </c>
      <c r="M61" s="240">
        <f>IF(ISNUMBER(P61),Z61,0)</f>
        <v/>
      </c>
      <c r="N61" s="175" t="n">
        <v>0</v>
      </c>
      <c r="O61" s="241">
        <f>IF(ISNUMBER(P61),X61,0)</f>
        <v/>
      </c>
      <c r="P61" s="242">
        <f>_xludf.IFNA(Z61/_xlfn.XLOOKUP(T61,$A$2:$A$624,$B$2:$B$624,""),"")</f>
        <v/>
      </c>
      <c r="Q61" s="242">
        <f>IFERROR(M61/O61,"-")</f>
        <v/>
      </c>
      <c r="R61" s="243">
        <f>IF(ISNUMBER(P61),AE61,0)</f>
        <v/>
      </c>
      <c r="S61" s="244">
        <f>IFERROR((N61/Q61),"-")</f>
        <v/>
      </c>
      <c r="Z61" s="167" t="n"/>
      <c r="AA61" s="167" t="n"/>
      <c r="AE61" s="245" t="n"/>
    </row>
    <row r="62">
      <c r="A62" s="148" t="n">
        <v>7117</v>
      </c>
      <c r="B62" s="225" t="n">
        <v>96.02</v>
      </c>
      <c r="C62" s="226" t="n">
        <v>369</v>
      </c>
      <c r="D62" s="227" t="n">
        <v>9.24</v>
      </c>
      <c r="J62" s="232">
        <f>T62</f>
        <v/>
      </c>
      <c r="K62" s="233" t="n">
        <v>0</v>
      </c>
      <c r="L62" s="239">
        <f>IFERROR(M62/25,"")</f>
        <v/>
      </c>
      <c r="M62" s="240">
        <f>IF(ISNUMBER(P62),Z62,0)</f>
        <v/>
      </c>
      <c r="N62" s="175" t="n">
        <v>0</v>
      </c>
      <c r="O62" s="241">
        <f>IF(ISNUMBER(P62),X62,0)</f>
        <v/>
      </c>
      <c r="P62" s="242">
        <f>_xludf.IFNA(Z62/_xlfn.XLOOKUP(T62,$A$2:$A$624,$B$2:$B$624,""),"")</f>
        <v/>
      </c>
      <c r="Q62" s="242">
        <f>IFERROR(M62/O62,"-")</f>
        <v/>
      </c>
      <c r="R62" s="243">
        <f>IF(ISNUMBER(P62),AE62,0)</f>
        <v/>
      </c>
      <c r="S62" s="244">
        <f>IFERROR((N62/Q62),"-")</f>
        <v/>
      </c>
      <c r="Z62" s="167" t="n"/>
      <c r="AA62" s="167" t="n"/>
      <c r="AE62" s="245" t="n"/>
    </row>
    <row r="63">
      <c r="A63" s="148" t="n">
        <v>7118</v>
      </c>
      <c r="B63" s="225" t="n">
        <v>70.01000000000001</v>
      </c>
      <c r="C63" s="226" t="n">
        <v>370</v>
      </c>
      <c r="D63" s="227" t="n">
        <v>9.24</v>
      </c>
      <c r="J63" s="232">
        <f>T63</f>
        <v/>
      </c>
      <c r="K63" s="233" t="n">
        <v>0</v>
      </c>
      <c r="L63" s="239">
        <f>IFERROR(M63/25,"")</f>
        <v/>
      </c>
      <c r="M63" s="240">
        <f>IF(ISNUMBER(P63),Z63,0)</f>
        <v/>
      </c>
      <c r="N63" s="175" t="n">
        <v>0</v>
      </c>
      <c r="O63" s="241">
        <f>IF(ISNUMBER(P63),X63,0)</f>
        <v/>
      </c>
      <c r="P63" s="242">
        <f>_xludf.IFNA(Z63/_xlfn.XLOOKUP(T63,$A$2:$A$624,$B$2:$B$624,""),"")</f>
        <v/>
      </c>
      <c r="Q63" s="242">
        <f>IFERROR(M63/O63,"-")</f>
        <v/>
      </c>
      <c r="R63" s="243">
        <f>IF(ISNUMBER(P63),AE63,0)</f>
        <v/>
      </c>
      <c r="S63" s="244">
        <f>IFERROR((N63/Q63),"-")</f>
        <v/>
      </c>
      <c r="Z63" s="167" t="n"/>
      <c r="AA63" s="167" t="n"/>
      <c r="AE63" s="245" t="n"/>
    </row>
    <row r="64">
      <c r="A64" s="148" t="n">
        <v>7119</v>
      </c>
      <c r="B64" s="225" t="n">
        <v>70.01000000000001</v>
      </c>
      <c r="C64" s="226" t="n">
        <v>378</v>
      </c>
      <c r="D64" s="227" t="n">
        <v>16</v>
      </c>
      <c r="J64" s="232">
        <f>T64</f>
        <v/>
      </c>
      <c r="K64" s="233" t="n">
        <v>0</v>
      </c>
      <c r="L64" s="239">
        <f>IFERROR(M64/25,"")</f>
        <v/>
      </c>
      <c r="M64" s="240">
        <f>IF(ISNUMBER(P64),Z64,0)</f>
        <v/>
      </c>
      <c r="N64" s="175" t="n">
        <v>0</v>
      </c>
      <c r="O64" s="241">
        <f>IF(ISNUMBER(P64),X64,0)</f>
        <v/>
      </c>
      <c r="P64" s="242">
        <f>_xludf.IFNA(Z64/_xlfn.XLOOKUP(T64,$A$2:$A$624,$B$2:$B$624,""),"")</f>
        <v/>
      </c>
      <c r="Q64" s="242">
        <f>IFERROR(M64/O64,"-")</f>
        <v/>
      </c>
      <c r="R64" s="243">
        <f>IF(ISNUMBER(P64),AE64,0)</f>
        <v/>
      </c>
      <c r="S64" s="244">
        <f>IFERROR((N64/Q64),"-")</f>
        <v/>
      </c>
      <c r="Z64" s="167" t="n"/>
      <c r="AA64" s="167" t="n"/>
      <c r="AE64" s="245" t="n"/>
    </row>
    <row r="65">
      <c r="A65" s="148" t="n">
        <v>7120</v>
      </c>
      <c r="B65" s="225" t="n">
        <v>20.8</v>
      </c>
      <c r="C65" s="226" t="n">
        <v>381</v>
      </c>
      <c r="D65" s="227" t="n">
        <v>9.24</v>
      </c>
      <c r="J65" s="232">
        <f>T65</f>
        <v/>
      </c>
      <c r="K65" s="233" t="n">
        <v>0</v>
      </c>
      <c r="L65" s="239">
        <f>IFERROR(M65/25,"")</f>
        <v/>
      </c>
      <c r="M65" s="240">
        <f>IF(ISNUMBER(P65),Z65,0)</f>
        <v/>
      </c>
      <c r="N65" s="175" t="n">
        <v>0</v>
      </c>
      <c r="O65" s="241">
        <f>IF(ISNUMBER(P65),X65,0)</f>
        <v/>
      </c>
      <c r="P65" s="242">
        <f>_xludf.IFNA(Z65/_xlfn.XLOOKUP(T65,$A$2:$A$624,$B$2:$B$624,""),"")</f>
        <v/>
      </c>
      <c r="Q65" s="242">
        <f>IFERROR(M65/O65,"-")</f>
        <v/>
      </c>
      <c r="R65" s="243">
        <f>IF(ISNUMBER(P65),AE65,0)</f>
        <v/>
      </c>
      <c r="S65" s="244">
        <f>IFERROR((N65/Q65),"-")</f>
        <v/>
      </c>
      <c r="Z65" s="167" t="n"/>
      <c r="AA65" s="167" t="n"/>
      <c r="AE65" s="245" t="n"/>
    </row>
    <row r="66">
      <c r="A66" s="148" t="n">
        <v>7137</v>
      </c>
      <c r="B66" s="225" t="n">
        <v>34.75</v>
      </c>
      <c r="C66" s="226" t="n">
        <v>382</v>
      </c>
      <c r="D66" s="227" t="n">
        <v>10.56</v>
      </c>
      <c r="J66" s="232">
        <f>T66</f>
        <v/>
      </c>
      <c r="K66" s="233" t="n">
        <v>0</v>
      </c>
      <c r="L66" s="239">
        <f>IFERROR(M66/25,"")</f>
        <v/>
      </c>
      <c r="M66" s="240">
        <f>IF(ISNUMBER(P66),Z66,0)</f>
        <v/>
      </c>
      <c r="N66" s="175" t="n">
        <v>0</v>
      </c>
      <c r="O66" s="241">
        <f>IF(ISNUMBER(P66),X66,0)</f>
        <v/>
      </c>
      <c r="P66" s="242">
        <f>_xludf.IFNA(Z66/_xlfn.XLOOKUP(T66,$A$2:$A$624,$B$2:$B$624,""),"")</f>
        <v/>
      </c>
      <c r="Q66" s="242">
        <f>IFERROR(M66/O66,"-")</f>
        <v/>
      </c>
      <c r="R66" s="243">
        <f>IF(ISNUMBER(P66),AE66,0)</f>
        <v/>
      </c>
      <c r="S66" s="244">
        <f>IFERROR((N66/Q66),"-")</f>
        <v/>
      </c>
      <c r="Z66" s="167" t="n"/>
      <c r="AA66" s="167" t="n"/>
      <c r="AE66" s="245" t="n"/>
    </row>
    <row r="67">
      <c r="A67" s="148" t="n">
        <v>7145</v>
      </c>
      <c r="B67" s="225" t="n">
        <v>89.97</v>
      </c>
      <c r="C67" s="226" t="n">
        <v>383</v>
      </c>
      <c r="D67" s="227" t="n">
        <v>13.64</v>
      </c>
      <c r="J67" s="232">
        <f>T67</f>
        <v/>
      </c>
      <c r="K67" s="233" t="n">
        <v>0</v>
      </c>
      <c r="L67" s="239">
        <f>IFERROR(M67/25,"")</f>
        <v/>
      </c>
      <c r="M67" s="240">
        <f>IF(ISNUMBER(P67),Z67,0)</f>
        <v/>
      </c>
      <c r="N67" s="175" t="n">
        <v>0</v>
      </c>
      <c r="O67" s="241">
        <f>IF(ISNUMBER(P67),X67,0)</f>
        <v/>
      </c>
      <c r="P67" s="242">
        <f>_xludf.IFNA(Z67/_xlfn.XLOOKUP(T67,$A$2:$A$624,$B$2:$B$624,""),"")</f>
        <v/>
      </c>
      <c r="Q67" s="242">
        <f>IFERROR(M67/O67,"-")</f>
        <v/>
      </c>
      <c r="R67" s="243">
        <f>IF(ISNUMBER(P67),AE67,0)</f>
        <v/>
      </c>
      <c r="S67" s="244">
        <f>IFERROR((N67/Q67),"-")</f>
        <v/>
      </c>
      <c r="Z67" s="167" t="n"/>
      <c r="AA67" s="167" t="n"/>
      <c r="AE67" s="245" t="n"/>
    </row>
    <row r="68">
      <c r="A68" s="148" t="n">
        <v>7146</v>
      </c>
      <c r="B68" s="225" t="n">
        <v>92.34999999999999</v>
      </c>
      <c r="C68" s="226" t="n">
        <v>384</v>
      </c>
      <c r="D68" s="227" t="n">
        <v>15.84</v>
      </c>
      <c r="J68" s="232">
        <f>T68</f>
        <v/>
      </c>
      <c r="K68" s="233" t="n">
        <v>0</v>
      </c>
      <c r="L68" s="239">
        <f>IFERROR(M68/25,"")</f>
        <v/>
      </c>
      <c r="M68" s="240">
        <f>IF(ISNUMBER(P68),Z68,0)</f>
        <v/>
      </c>
      <c r="N68" s="175" t="n">
        <v>0</v>
      </c>
      <c r="O68" s="241">
        <f>IF(ISNUMBER(P68),X68,0)</f>
        <v/>
      </c>
      <c r="P68" s="242">
        <f>_xludf.IFNA(Z68/_xlfn.XLOOKUP(T68,$A$2:$A$624,$B$2:$B$624,""),"")</f>
        <v/>
      </c>
      <c r="Q68" s="242">
        <f>IFERROR(M68/O68,"-")</f>
        <v/>
      </c>
      <c r="R68" s="243">
        <f>IF(ISNUMBER(P68),AE68,0)</f>
        <v/>
      </c>
      <c r="S68" s="244">
        <f>IFERROR((N68/Q68),"-")</f>
        <v/>
      </c>
      <c r="Z68" s="167" t="n"/>
      <c r="AA68" s="167" t="n"/>
      <c r="AE68" s="245" t="n"/>
    </row>
    <row r="69">
      <c r="A69" s="148" t="n">
        <v>7149</v>
      </c>
      <c r="B69" s="225" t="n">
        <v>92.34999999999999</v>
      </c>
      <c r="C69" s="226" t="n">
        <v>385</v>
      </c>
      <c r="D69" s="227" t="n">
        <v>15.84</v>
      </c>
      <c r="J69" s="232">
        <f>T69</f>
        <v/>
      </c>
      <c r="K69" s="233" t="n">
        <v>0</v>
      </c>
      <c r="L69" s="239">
        <f>IFERROR(M69/25,"")</f>
        <v/>
      </c>
      <c r="M69" s="240">
        <f>IF(ISNUMBER(P69),Z69,0)</f>
        <v/>
      </c>
      <c r="N69" s="175" t="n">
        <v>0</v>
      </c>
      <c r="O69" s="241">
        <f>IF(ISNUMBER(P69),X69,0)</f>
        <v/>
      </c>
      <c r="P69" s="242">
        <f>_xludf.IFNA(Z69/_xlfn.XLOOKUP(T69,$A$2:$A$624,$B$2:$B$624,""),"")</f>
        <v/>
      </c>
      <c r="Q69" s="242">
        <f>IFERROR(M69/O69,"-")</f>
        <v/>
      </c>
      <c r="R69" s="243">
        <f>IF(ISNUMBER(P69),AE69,0)</f>
        <v/>
      </c>
      <c r="S69" s="244">
        <f>IFERROR((N69/Q69),"-")</f>
        <v/>
      </c>
      <c r="Z69" s="167" t="n"/>
      <c r="AA69" s="167" t="n"/>
      <c r="AE69" s="245" t="n"/>
    </row>
    <row r="70">
      <c r="A70" s="148" t="n">
        <v>7150</v>
      </c>
      <c r="B70" s="225" t="n">
        <v>113.7</v>
      </c>
      <c r="C70" s="226" t="n">
        <v>386</v>
      </c>
      <c r="D70" s="227" t="n">
        <v>10.56</v>
      </c>
      <c r="J70" s="232">
        <f>T70</f>
        <v/>
      </c>
      <c r="K70" s="233" t="n">
        <v>0</v>
      </c>
      <c r="L70" s="239">
        <f>IFERROR(M70/25,"")</f>
        <v/>
      </c>
      <c r="M70" s="240">
        <f>IF(ISNUMBER(P70),Z70,0)</f>
        <v/>
      </c>
      <c r="N70" s="175" t="n">
        <v>0</v>
      </c>
      <c r="O70" s="241">
        <f>IF(ISNUMBER(P70),X70,0)</f>
        <v/>
      </c>
      <c r="P70" s="242">
        <f>_xludf.IFNA(Z70/_xlfn.XLOOKUP(T70,$A$2:$A$624,$B$2:$B$624,""),"")</f>
        <v/>
      </c>
      <c r="Q70" s="242">
        <f>IFERROR(M70/O70,"-")</f>
        <v/>
      </c>
      <c r="R70" s="243">
        <f>IF(ISNUMBER(P70),AE70,0)</f>
        <v/>
      </c>
      <c r="S70" s="244">
        <f>IFERROR((N70/Q70),"-")</f>
        <v/>
      </c>
      <c r="Z70" s="167" t="n"/>
      <c r="AA70" s="167" t="n"/>
      <c r="AE70" s="245" t="n"/>
    </row>
    <row r="71">
      <c r="A71" s="148" t="n">
        <v>7153</v>
      </c>
      <c r="B71" s="225" t="n">
        <v>70.01000000000001</v>
      </c>
      <c r="C71" s="226" t="n">
        <v>389</v>
      </c>
      <c r="D71" s="227" t="n">
        <v>10.56</v>
      </c>
      <c r="J71" s="232">
        <f>T71</f>
        <v/>
      </c>
      <c r="K71" s="233" t="n">
        <v>0</v>
      </c>
      <c r="L71" s="239">
        <f>IFERROR(M71/25,"")</f>
        <v/>
      </c>
      <c r="M71" s="240">
        <f>IF(ISNUMBER(P71),Z71,0)</f>
        <v/>
      </c>
      <c r="N71" s="175" t="n">
        <v>0</v>
      </c>
      <c r="O71" s="241">
        <f>IF(ISNUMBER(P71),X71,0)</f>
        <v/>
      </c>
      <c r="P71" s="242">
        <f>_xludf.IFNA(Z71/_xlfn.XLOOKUP(T71,$A$2:$A$624,$B$2:$B$624,""),"")</f>
        <v/>
      </c>
      <c r="Q71" s="242">
        <f>IFERROR(M71/O71,"-")</f>
        <v/>
      </c>
      <c r="R71" s="243">
        <f>IF(ISNUMBER(P71),AE71,0)</f>
        <v/>
      </c>
      <c r="S71" s="244">
        <f>IFERROR((N71/Q71),"-")</f>
        <v/>
      </c>
      <c r="Z71" s="167" t="n"/>
      <c r="AA71" s="167" t="n"/>
      <c r="AE71" s="245" t="n"/>
    </row>
    <row r="72">
      <c r="A72" s="148" t="n">
        <v>7155</v>
      </c>
      <c r="B72" s="225" t="n">
        <v>88.44</v>
      </c>
      <c r="C72" s="226" t="n">
        <v>390</v>
      </c>
      <c r="D72" s="227" t="n">
        <v>10.56</v>
      </c>
      <c r="J72" s="232">
        <f>T72</f>
        <v/>
      </c>
      <c r="K72" s="233" t="n">
        <v>0</v>
      </c>
      <c r="L72" s="239">
        <f>IFERROR(M72/25,"")</f>
        <v/>
      </c>
      <c r="M72" s="240">
        <f>IF(ISNUMBER(P72),Z72,0)</f>
        <v/>
      </c>
      <c r="N72" s="175" t="n">
        <v>0</v>
      </c>
      <c r="O72" s="241">
        <f>IF(ISNUMBER(P72),X72,0)</f>
        <v/>
      </c>
      <c r="P72" s="242">
        <f>_xludf.IFNA(Z72/_xlfn.XLOOKUP(T72,$A$2:$A$624,$B$2:$B$624,""),"")</f>
        <v/>
      </c>
      <c r="Q72" s="242">
        <f>IFERROR(M72/O72,"-")</f>
        <v/>
      </c>
      <c r="R72" s="243">
        <f>IF(ISNUMBER(P72),AE72,0)</f>
        <v/>
      </c>
      <c r="S72" s="244">
        <f>IFERROR((N72/Q72),"-")</f>
        <v/>
      </c>
      <c r="Z72" s="167" t="n"/>
      <c r="AA72" s="167" t="n"/>
      <c r="AE72" s="245" t="n"/>
    </row>
    <row r="73">
      <c r="A73" s="148" t="n">
        <v>7168</v>
      </c>
      <c r="B73" s="225" t="n">
        <v>67.90000000000001</v>
      </c>
      <c r="C73" s="226" t="n">
        <v>392</v>
      </c>
      <c r="D73" s="227" t="n">
        <v>10.12</v>
      </c>
      <c r="J73" s="232">
        <f>T73</f>
        <v/>
      </c>
      <c r="K73" s="233" t="n">
        <v>0</v>
      </c>
      <c r="L73" s="239">
        <f>IFERROR(M73/25,"")</f>
        <v/>
      </c>
      <c r="M73" s="240">
        <f>IF(ISNUMBER(P73),Z73,0)</f>
        <v/>
      </c>
      <c r="N73" s="175" t="n">
        <v>0</v>
      </c>
      <c r="O73" s="241">
        <f>IF(ISNUMBER(P73),X73,0)</f>
        <v/>
      </c>
      <c r="P73" s="242">
        <f>_xludf.IFNA(Z73/_xlfn.XLOOKUP(T73,$A$2:$A$624,$B$2:$B$624,""),"")</f>
        <v/>
      </c>
      <c r="Q73" s="242">
        <f>IFERROR(M73/O73,"-")</f>
        <v/>
      </c>
      <c r="R73" s="243">
        <f>IF(ISNUMBER(P73),AE73,0)</f>
        <v/>
      </c>
      <c r="S73" s="244">
        <f>IFERROR((N73/Q73),"-")</f>
        <v/>
      </c>
      <c r="Z73" s="167" t="n"/>
      <c r="AA73" s="167" t="n"/>
      <c r="AE73" s="245" t="n"/>
    </row>
    <row r="74">
      <c r="A74" s="148" t="n">
        <v>7169</v>
      </c>
      <c r="B74" s="225" t="n">
        <v>45.72</v>
      </c>
      <c r="C74" s="226" t="n">
        <v>393</v>
      </c>
      <c r="D74" s="227" t="n">
        <v>9.24</v>
      </c>
      <c r="J74" s="232">
        <f>T74</f>
        <v/>
      </c>
      <c r="K74" s="233" t="n">
        <v>0</v>
      </c>
      <c r="L74" s="239">
        <f>IFERROR(M74/25,"")</f>
        <v/>
      </c>
      <c r="M74" s="240">
        <f>IF(ISNUMBER(P74),Z74,0)</f>
        <v/>
      </c>
      <c r="N74" s="175" t="n">
        <v>0</v>
      </c>
      <c r="O74" s="241">
        <f>IF(ISNUMBER(P74),X74,0)</f>
        <v/>
      </c>
      <c r="P74" s="242">
        <f>_xludf.IFNA(Z74/_xlfn.XLOOKUP(T74,$A$2:$A$624,$B$2:$B$624,""),"")</f>
        <v/>
      </c>
      <c r="Q74" s="242">
        <f>IFERROR(M74/O74,"-")</f>
        <v/>
      </c>
      <c r="R74" s="243">
        <f>IF(ISNUMBER(P74),AE74,0)</f>
        <v/>
      </c>
      <c r="S74" s="244">
        <f>IFERROR((N74/Q74),"-")</f>
        <v/>
      </c>
      <c r="Z74" s="167" t="n"/>
      <c r="AA74" s="167" t="n"/>
      <c r="AE74" s="245" t="n"/>
    </row>
    <row r="75">
      <c r="A75" s="148" t="n">
        <v>7178</v>
      </c>
      <c r="B75" s="225" t="n">
        <v>133.08</v>
      </c>
      <c r="C75" s="226" t="n">
        <v>394</v>
      </c>
      <c r="D75" s="227" t="n">
        <v>7.26</v>
      </c>
      <c r="J75" s="232">
        <f>T75</f>
        <v/>
      </c>
      <c r="K75" s="233" t="n">
        <v>0</v>
      </c>
      <c r="L75" s="239">
        <f>IFERROR(M75/25,"")</f>
        <v/>
      </c>
      <c r="M75" s="240">
        <f>IF(ISNUMBER(P75),Z75,0)</f>
        <v/>
      </c>
      <c r="N75" s="175" t="n">
        <v>0</v>
      </c>
      <c r="O75" s="241">
        <f>IF(ISNUMBER(P75),X75,0)</f>
        <v/>
      </c>
      <c r="P75" s="242">
        <f>_xludf.IFNA(Z75/_xlfn.XLOOKUP(T75,$A$2:$A$624,$B$2:$B$624,""),"")</f>
        <v/>
      </c>
      <c r="Q75" s="242">
        <f>IFERROR(M75/O75,"-")</f>
        <v/>
      </c>
      <c r="R75" s="243">
        <f>IF(ISNUMBER(P75),AE75,0)</f>
        <v/>
      </c>
      <c r="S75" s="244">
        <f>IFERROR((N75/Q75),"-")</f>
        <v/>
      </c>
      <c r="Z75" s="167" t="n"/>
      <c r="AA75" s="167" t="n"/>
      <c r="AE75" s="245" t="n"/>
    </row>
    <row r="76">
      <c r="A76" s="148" t="n">
        <v>7179</v>
      </c>
      <c r="B76" s="225" t="n">
        <v>113.7</v>
      </c>
      <c r="C76" s="226" t="n">
        <v>395</v>
      </c>
      <c r="D76" s="227" t="n">
        <v>9.02</v>
      </c>
      <c r="J76" s="232">
        <f>T76</f>
        <v/>
      </c>
      <c r="K76" s="233" t="n">
        <v>0</v>
      </c>
      <c r="L76" s="239">
        <f>IFERROR(M76/25,"")</f>
        <v/>
      </c>
      <c r="M76" s="240">
        <f>IF(ISNUMBER(P76),Z76,0)</f>
        <v/>
      </c>
      <c r="N76" s="175" t="n">
        <v>0</v>
      </c>
      <c r="O76" s="241">
        <f>IF(ISNUMBER(P76),X76,0)</f>
        <v/>
      </c>
      <c r="P76" s="242">
        <f>_xludf.IFNA(Z76/_xlfn.XLOOKUP(T76,$A$2:$A$624,$B$2:$B$624,""),"")</f>
        <v/>
      </c>
      <c r="Q76" s="242">
        <f>IFERROR(M76/O76,"-")</f>
        <v/>
      </c>
      <c r="R76" s="243">
        <f>IF(ISNUMBER(P76),AE76,0)</f>
        <v/>
      </c>
      <c r="S76" s="244">
        <f>IFERROR((N76/Q76),"-")</f>
        <v/>
      </c>
      <c r="Z76" s="167" t="n"/>
      <c r="AA76" s="167" t="n"/>
      <c r="AE76" s="245" t="n"/>
    </row>
    <row r="77">
      <c r="A77" s="148" t="n">
        <v>7188</v>
      </c>
      <c r="B77" s="225" t="n">
        <v>52.6</v>
      </c>
      <c r="C77" s="226" t="n">
        <v>396</v>
      </c>
      <c r="D77" s="227" t="n">
        <v>12</v>
      </c>
      <c r="J77" s="232">
        <f>T77</f>
        <v/>
      </c>
      <c r="K77" s="233" t="n">
        <v>0</v>
      </c>
      <c r="L77" s="239">
        <f>IFERROR(M77/25,"")</f>
        <v/>
      </c>
      <c r="M77" s="240">
        <f>IF(ISNUMBER(P77),Z77,0)</f>
        <v/>
      </c>
      <c r="N77" s="175" t="n">
        <v>0</v>
      </c>
      <c r="O77" s="241">
        <f>IF(ISNUMBER(P77),X77,0)</f>
        <v/>
      </c>
      <c r="P77" s="242">
        <f>_xludf.IFNA(Z77/_xlfn.XLOOKUP(T77,$A$2:$A$624,$B$2:$B$624,""),"")</f>
        <v/>
      </c>
      <c r="Q77" s="242">
        <f>IFERROR(M77/O77,"-")</f>
        <v/>
      </c>
      <c r="R77" s="243">
        <f>IF(ISNUMBER(P77),AE77,0)</f>
        <v/>
      </c>
      <c r="S77" s="244">
        <f>IFERROR((N77/Q77),"-")</f>
        <v/>
      </c>
      <c r="Z77" s="167" t="n"/>
      <c r="AA77" s="167" t="n"/>
      <c r="AE77" s="245" t="n"/>
    </row>
    <row r="78">
      <c r="A78" s="148" t="n">
        <v>7191</v>
      </c>
      <c r="B78" s="225" t="n">
        <v>82.95999999999999</v>
      </c>
      <c r="C78" s="226" t="n">
        <v>397</v>
      </c>
      <c r="D78" s="227" t="n">
        <v>14</v>
      </c>
      <c r="J78" s="232">
        <f>T78</f>
        <v/>
      </c>
      <c r="K78" s="233" t="n">
        <v>0</v>
      </c>
      <c r="L78" s="239">
        <f>IFERROR(M78/25,"")</f>
        <v/>
      </c>
      <c r="M78" s="240">
        <f>IF(ISNUMBER(P78),Z78,0)</f>
        <v/>
      </c>
      <c r="N78" s="175" t="n">
        <v>0</v>
      </c>
      <c r="O78" s="241">
        <f>IF(ISNUMBER(P78),X78,0)</f>
        <v/>
      </c>
      <c r="P78" s="242">
        <f>_xludf.IFNA(Z78/_xlfn.XLOOKUP(T78,$A$2:$A$624,$B$2:$B$624,""),"")</f>
        <v/>
      </c>
      <c r="Q78" s="242">
        <f>IFERROR(M78/O78,"-")</f>
        <v/>
      </c>
      <c r="R78" s="243">
        <f>IF(ISNUMBER(P78),AE78,0)</f>
        <v/>
      </c>
      <c r="S78" s="244">
        <f>IFERROR((N78/Q78),"-")</f>
        <v/>
      </c>
      <c r="Z78" s="167" t="n"/>
      <c r="AA78" s="167" t="n"/>
      <c r="AE78" s="245" t="n"/>
    </row>
    <row r="79">
      <c r="A79" s="148" t="n">
        <v>7229</v>
      </c>
      <c r="B79" s="225" t="n">
        <v>95.34</v>
      </c>
      <c r="C79" s="226" t="n">
        <v>398</v>
      </c>
      <c r="D79" s="227" t="n">
        <v>15</v>
      </c>
      <c r="J79" s="232">
        <f>T79</f>
        <v/>
      </c>
      <c r="K79" s="233" t="n">
        <v>0</v>
      </c>
      <c r="L79" s="239">
        <f>IFERROR(M79/25,"")</f>
        <v/>
      </c>
      <c r="M79" s="240">
        <f>IF(ISNUMBER(P79),Z79,0)</f>
        <v/>
      </c>
      <c r="N79" s="175" t="n">
        <v>0</v>
      </c>
      <c r="O79" s="241">
        <f>IF(ISNUMBER(P79),X79,0)</f>
        <v/>
      </c>
      <c r="P79" s="242">
        <f>_xludf.IFNA(Z79/_xlfn.XLOOKUP(T79,$A$2:$A$624,$B$2:$B$624,""),"")</f>
        <v/>
      </c>
      <c r="Q79" s="242">
        <f>IFERROR(M79/O79,"-")</f>
        <v/>
      </c>
      <c r="R79" s="243">
        <f>IF(ISNUMBER(P79),AE79,0)</f>
        <v/>
      </c>
      <c r="S79" s="244">
        <f>IFERROR((N79/Q79),"-")</f>
        <v/>
      </c>
      <c r="Z79" s="167" t="n"/>
      <c r="AA79" s="167" t="n"/>
      <c r="AE79" s="245" t="n"/>
    </row>
    <row r="80">
      <c r="A80" s="148" t="n">
        <v>7230</v>
      </c>
      <c r="B80" s="225" t="n">
        <v>79.09999999999999</v>
      </c>
      <c r="C80" s="226" t="n">
        <v>401</v>
      </c>
      <c r="D80" s="227" t="n">
        <v>12.5</v>
      </c>
      <c r="J80" s="232">
        <f>T80</f>
        <v/>
      </c>
      <c r="K80" s="233" t="n">
        <v>0</v>
      </c>
      <c r="L80" s="239">
        <f>IFERROR(M80/25,"")</f>
        <v/>
      </c>
      <c r="M80" s="240">
        <f>IF(ISNUMBER(P80),Z80,0)</f>
        <v/>
      </c>
      <c r="N80" s="175" t="n">
        <v>0</v>
      </c>
      <c r="O80" s="241">
        <f>IF(ISNUMBER(P80),X80,0)</f>
        <v/>
      </c>
      <c r="P80" s="242">
        <f>_xludf.IFNA(Z80/_xlfn.XLOOKUP(T80,$A$2:$A$624,$B$2:$B$624,""),"")</f>
        <v/>
      </c>
      <c r="Q80" s="242">
        <f>IFERROR(M80/O80,"-")</f>
        <v/>
      </c>
      <c r="R80" s="243">
        <f>IF(ISNUMBER(P80),AE80,0)</f>
        <v/>
      </c>
      <c r="S80" s="244">
        <f>IFERROR((N80/Q80),"-")</f>
        <v/>
      </c>
      <c r="Z80" s="167" t="n"/>
      <c r="AA80" s="167" t="n"/>
      <c r="AE80" s="245" t="n"/>
    </row>
    <row r="81">
      <c r="A81" s="148" t="n">
        <v>7231</v>
      </c>
      <c r="B81" s="225" t="n">
        <v>72.03</v>
      </c>
      <c r="C81" s="226" t="n">
        <v>411</v>
      </c>
      <c r="D81" s="227" t="n">
        <v>12</v>
      </c>
      <c r="J81" s="232">
        <f>T81</f>
        <v/>
      </c>
      <c r="K81" s="233" t="n">
        <v>0</v>
      </c>
      <c r="L81" s="239">
        <f>IFERROR(M81/25,"")</f>
        <v/>
      </c>
      <c r="M81" s="240">
        <f>IF(ISNUMBER(P81),Z81,0)</f>
        <v/>
      </c>
      <c r="N81" s="175" t="n">
        <v>0</v>
      </c>
      <c r="O81" s="241">
        <f>IF(ISNUMBER(P81),X81,0)</f>
        <v/>
      </c>
      <c r="P81" s="242">
        <f>_xludf.IFNA(Z81/_xlfn.XLOOKUP(T81,$A$2:$A$624,$B$2:$B$624,""),"")</f>
        <v/>
      </c>
      <c r="Q81" s="242">
        <f>IFERROR(M81/O81,"-")</f>
        <v/>
      </c>
      <c r="R81" s="243">
        <f>IF(ISNUMBER(P81),AE81,0)</f>
        <v/>
      </c>
      <c r="S81" s="244">
        <f>IFERROR((N81/Q81),"-")</f>
        <v/>
      </c>
      <c r="Z81" s="167" t="n"/>
      <c r="AA81" s="167" t="n"/>
      <c r="AE81" s="245" t="n"/>
    </row>
    <row r="82">
      <c r="A82" s="148" t="n">
        <v>7232</v>
      </c>
      <c r="B82" s="225" t="n">
        <v>31.1</v>
      </c>
      <c r="C82" s="226" t="n">
        <v>412</v>
      </c>
      <c r="D82" s="227" t="n">
        <v>5.1</v>
      </c>
      <c r="J82" s="232">
        <f>T82</f>
        <v/>
      </c>
      <c r="K82" s="233" t="n">
        <v>0</v>
      </c>
      <c r="L82" s="239">
        <f>IFERROR(M82/25,"")</f>
        <v/>
      </c>
      <c r="M82" s="240">
        <f>IF(ISNUMBER(P82),Z82,0)</f>
        <v/>
      </c>
      <c r="N82" s="175" t="n">
        <v>0</v>
      </c>
      <c r="O82" s="241">
        <f>IF(ISNUMBER(P82),X82,0)</f>
        <v/>
      </c>
      <c r="P82" s="242">
        <f>_xludf.IFNA(Z82/_xlfn.XLOOKUP(T82,$A$2:$A$624,$B$2:$B$624,""),"")</f>
        <v/>
      </c>
      <c r="Q82" s="242">
        <f>IFERROR(M82/O82,"-")</f>
        <v/>
      </c>
      <c r="R82" s="243">
        <f>IF(ISNUMBER(P82),AE82,0)</f>
        <v/>
      </c>
      <c r="S82" s="244">
        <f>IFERROR((N82/Q82),"-")</f>
        <v/>
      </c>
      <c r="Z82" s="167" t="n"/>
      <c r="AA82" s="167" t="n"/>
      <c r="AE82" s="245" t="n"/>
    </row>
    <row r="83">
      <c r="A83" s="148" t="n">
        <v>7234</v>
      </c>
      <c r="B83" s="225" t="n">
        <v>37.58</v>
      </c>
      <c r="C83" s="226" t="n">
        <v>414</v>
      </c>
      <c r="D83" s="227" t="n">
        <v>7.2</v>
      </c>
      <c r="J83" s="232">
        <f>T83</f>
        <v/>
      </c>
      <c r="K83" s="233" t="n">
        <v>0</v>
      </c>
      <c r="L83" s="239">
        <f>IFERROR(M83/25,"")</f>
        <v/>
      </c>
      <c r="M83" s="240">
        <f>IF(ISNUMBER(P83),Z83,0)</f>
        <v/>
      </c>
      <c r="N83" s="175" t="n">
        <v>0</v>
      </c>
      <c r="O83" s="241">
        <f>IF(ISNUMBER(P83),X83,0)</f>
        <v/>
      </c>
      <c r="P83" s="242">
        <f>_xludf.IFNA(Z83/_xlfn.XLOOKUP(T83,$A$2:$A$624,$B$2:$B$624,""),"")</f>
        <v/>
      </c>
      <c r="Q83" s="242">
        <f>IFERROR(M83/O83,"-")</f>
        <v/>
      </c>
      <c r="R83" s="243">
        <f>IF(ISNUMBER(P83),AE83,0)</f>
        <v/>
      </c>
      <c r="S83" s="244">
        <f>IFERROR((N83/Q83),"-")</f>
        <v/>
      </c>
      <c r="Z83" s="167" t="n"/>
      <c r="AA83" s="167" t="n"/>
      <c r="AE83" s="245" t="n"/>
    </row>
    <row r="84">
      <c r="A84" s="148" t="n">
        <v>7235</v>
      </c>
      <c r="B84" s="225" t="n">
        <v>29.8</v>
      </c>
      <c r="C84" s="226" t="n">
        <v>415</v>
      </c>
      <c r="D84" s="227" t="n">
        <v>12</v>
      </c>
      <c r="J84" s="232">
        <f>T84</f>
        <v/>
      </c>
      <c r="K84" s="233" t="n">
        <v>0</v>
      </c>
      <c r="L84" s="239">
        <f>IFERROR(M84/25,"")</f>
        <v/>
      </c>
      <c r="M84" s="240">
        <f>IF(ISNUMBER(P84),Z84,0)</f>
        <v/>
      </c>
      <c r="N84" s="175" t="n">
        <v>0</v>
      </c>
      <c r="O84" s="241">
        <f>IF(ISNUMBER(P84),X84,0)</f>
        <v/>
      </c>
      <c r="P84" s="242">
        <f>_xludf.IFNA(Z84/_xlfn.XLOOKUP(T84,$A$2:$A$624,$B$2:$B$624,""),"")</f>
        <v/>
      </c>
      <c r="Q84" s="242">
        <f>IFERROR(M84/O84,"-")</f>
        <v/>
      </c>
      <c r="R84" s="243">
        <f>IF(ISNUMBER(P84),AE84,0)</f>
        <v/>
      </c>
      <c r="S84" s="244">
        <f>IFERROR((N84/Q84),"-")</f>
        <v/>
      </c>
      <c r="Z84" s="167" t="n"/>
      <c r="AA84" s="167" t="n"/>
      <c r="AE84" s="245" t="n"/>
    </row>
    <row r="85">
      <c r="A85" s="148" t="n">
        <v>7236</v>
      </c>
      <c r="B85" s="225" t="n">
        <v>62.64</v>
      </c>
      <c r="C85" s="226" t="n">
        <v>417</v>
      </c>
      <c r="D85" s="227" t="n">
        <v>12</v>
      </c>
      <c r="J85" s="232">
        <f>T85</f>
        <v/>
      </c>
      <c r="K85" s="233" t="n">
        <v>0</v>
      </c>
      <c r="L85" s="239">
        <f>IFERROR(M85/25,"")</f>
        <v/>
      </c>
      <c r="M85" s="240">
        <f>IF(ISNUMBER(P85),Z85,0)</f>
        <v/>
      </c>
      <c r="N85" s="175" t="n">
        <v>0</v>
      </c>
      <c r="O85" s="241">
        <f>IF(ISNUMBER(P85),X85,0)</f>
        <v/>
      </c>
      <c r="P85" s="242">
        <f>_xludf.IFNA(Z85/_xlfn.XLOOKUP(T85,$A$2:$A$624,$B$2:$B$624,""),"")</f>
        <v/>
      </c>
      <c r="Q85" s="242">
        <f>IFERROR(M85/O85,"-")</f>
        <v/>
      </c>
      <c r="R85" s="243">
        <f>IF(ISNUMBER(P85),AE85,0)</f>
        <v/>
      </c>
      <c r="S85" s="244">
        <f>IFERROR((N85/Q85),"-")</f>
        <v/>
      </c>
      <c r="Z85" s="167" t="n"/>
      <c r="AA85" s="167" t="n"/>
      <c r="AE85" s="245" t="n"/>
    </row>
    <row r="86">
      <c r="A86" s="148" t="n">
        <v>7239</v>
      </c>
      <c r="B86" s="225" t="n">
        <v>132.63</v>
      </c>
      <c r="C86" s="226" t="n">
        <v>418</v>
      </c>
      <c r="D86" s="227" t="n">
        <v>12</v>
      </c>
      <c r="J86" s="232">
        <f>T86</f>
        <v/>
      </c>
      <c r="K86" s="233" t="n">
        <v>0</v>
      </c>
      <c r="L86" s="239">
        <f>IFERROR(M86/25,"")</f>
        <v/>
      </c>
      <c r="M86" s="240">
        <f>IF(ISNUMBER(P86),Z86,0)</f>
        <v/>
      </c>
      <c r="N86" s="175" t="n">
        <v>0</v>
      </c>
      <c r="O86" s="241">
        <f>IF(ISNUMBER(P86),X86,0)</f>
        <v/>
      </c>
      <c r="P86" s="242">
        <f>_xludf.IFNA(Z86/_xlfn.XLOOKUP(T86,$A$2:$A$624,$B$2:$B$624,""),"")</f>
        <v/>
      </c>
      <c r="Q86" s="242">
        <f>IFERROR(M86/O86,"-")</f>
        <v/>
      </c>
      <c r="R86" s="243">
        <f>IF(ISNUMBER(P86),AE86,0)</f>
        <v/>
      </c>
      <c r="S86" s="244">
        <f>IFERROR((N86/Q86),"-")</f>
        <v/>
      </c>
      <c r="Z86" s="167" t="n"/>
      <c r="AA86" s="167" t="n"/>
      <c r="AE86" s="245" t="n"/>
    </row>
    <row r="87">
      <c r="A87" s="148" t="n">
        <v>7240</v>
      </c>
      <c r="B87" s="225" t="n">
        <v>114.34</v>
      </c>
      <c r="C87" s="226" t="n">
        <v>447</v>
      </c>
      <c r="D87" s="227" t="n">
        <v>15</v>
      </c>
      <c r="J87" s="232">
        <f>T87</f>
        <v/>
      </c>
      <c r="K87" s="233" t="n">
        <v>0</v>
      </c>
      <c r="L87" s="239">
        <f>IFERROR(M87/25,"")</f>
        <v/>
      </c>
      <c r="M87" s="240">
        <f>IF(ISNUMBER(P87),Z87,0)</f>
        <v/>
      </c>
      <c r="N87" s="175" t="n">
        <v>0</v>
      </c>
      <c r="O87" s="241">
        <f>IF(ISNUMBER(P87),X87,0)</f>
        <v/>
      </c>
      <c r="P87" s="242">
        <f>_xludf.IFNA(Z87/_xlfn.XLOOKUP(T87,$A$2:$A$624,$B$2:$B$624,""),"")</f>
        <v/>
      </c>
      <c r="Q87" s="242">
        <f>IFERROR(M87/O87,"-")</f>
        <v/>
      </c>
      <c r="R87" s="243">
        <f>IF(ISNUMBER(P87),AE87,0)</f>
        <v/>
      </c>
      <c r="S87" s="244">
        <f>IFERROR((N87/Q87),"-")</f>
        <v/>
      </c>
      <c r="Z87" s="167" t="n"/>
      <c r="AA87" s="167" t="n"/>
      <c r="AE87" s="245" t="n"/>
    </row>
    <row r="88">
      <c r="A88" s="148" t="n">
        <v>7241</v>
      </c>
      <c r="B88" s="225" t="n">
        <v>22.85</v>
      </c>
      <c r="C88" s="226" t="n">
        <v>455</v>
      </c>
      <c r="D88" s="227" t="n">
        <v>12</v>
      </c>
      <c r="J88" s="232">
        <f>T88</f>
        <v/>
      </c>
      <c r="K88" s="233" t="n">
        <v>0</v>
      </c>
      <c r="L88" s="239">
        <f>IFERROR(M88/25,"")</f>
        <v/>
      </c>
      <c r="M88" s="240">
        <f>IF(ISNUMBER(P88),Z88,0)</f>
        <v/>
      </c>
      <c r="N88" s="175" t="n">
        <v>0</v>
      </c>
      <c r="O88" s="241">
        <f>IF(ISNUMBER(P88),X88,0)</f>
        <v/>
      </c>
      <c r="P88" s="242">
        <f>_xludf.IFNA(Z88/_xlfn.XLOOKUP(T88,$A$2:$A$624,$B$2:$B$624,""),"")</f>
        <v/>
      </c>
      <c r="Q88" s="242">
        <f>IFERROR(M88/O88,"-")</f>
        <v/>
      </c>
      <c r="R88" s="243">
        <f>IF(ISNUMBER(P88),AE88,0)</f>
        <v/>
      </c>
      <c r="S88" s="244">
        <f>IFERROR((N88/Q88),"-")</f>
        <v/>
      </c>
      <c r="Z88" s="167" t="n"/>
      <c r="AA88" s="167" t="n"/>
      <c r="AE88" s="245" t="n"/>
    </row>
    <row r="89">
      <c r="A89" s="148" t="n">
        <v>7242</v>
      </c>
      <c r="B89" s="225" t="n">
        <v>25.17</v>
      </c>
      <c r="C89" s="226" t="n">
        <v>484</v>
      </c>
      <c r="D89" s="227" t="n">
        <v>13</v>
      </c>
      <c r="J89" s="232">
        <f>T89</f>
        <v/>
      </c>
      <c r="K89" s="233" t="n">
        <v>0</v>
      </c>
      <c r="L89" s="239">
        <f>IFERROR(M89/25,"")</f>
        <v/>
      </c>
      <c r="M89" s="240">
        <f>IF(ISNUMBER(P89),Z89,0)</f>
        <v/>
      </c>
      <c r="N89" s="175" t="n">
        <v>0</v>
      </c>
      <c r="O89" s="241">
        <f>IF(ISNUMBER(P89),X89,0)</f>
        <v/>
      </c>
      <c r="P89" s="242">
        <f>_xludf.IFNA(Z89/_xlfn.XLOOKUP(T89,$A$2:$A$624,$B$2:$B$624,""),"")</f>
        <v/>
      </c>
      <c r="Q89" s="242">
        <f>IFERROR(M89/O89,"-")</f>
        <v/>
      </c>
      <c r="R89" s="243">
        <f>IF(ISNUMBER(P89),AE89,0)</f>
        <v/>
      </c>
      <c r="S89" s="244">
        <f>IFERROR((N89/Q89),"-")</f>
        <v/>
      </c>
      <c r="Z89" s="167" t="n"/>
      <c r="AA89" s="167" t="n"/>
      <c r="AE89" s="245" t="n"/>
    </row>
    <row r="90">
      <c r="A90" s="148" t="n">
        <v>7250</v>
      </c>
      <c r="B90" s="225" t="n">
        <v>48.4</v>
      </c>
      <c r="C90" s="226" t="n">
        <v>545</v>
      </c>
      <c r="D90" s="227" t="n">
        <v>7</v>
      </c>
      <c r="J90" s="232">
        <f>T90</f>
        <v/>
      </c>
      <c r="K90" s="233" t="n">
        <v>0</v>
      </c>
      <c r="L90" s="239">
        <f>IFERROR(M90/25,"")</f>
        <v/>
      </c>
      <c r="M90" s="240">
        <f>IF(ISNUMBER(P90),Z90,0)</f>
        <v/>
      </c>
      <c r="N90" s="175" t="n">
        <v>0</v>
      </c>
      <c r="O90" s="241">
        <f>IF(ISNUMBER(P90),X90,0)</f>
        <v/>
      </c>
      <c r="P90" s="242">
        <f>_xludf.IFNA(Z90/_xlfn.XLOOKUP(T90,$A$2:$A$624,$B$2:$B$624,""),"")</f>
        <v/>
      </c>
      <c r="Q90" s="242">
        <f>IFERROR(M90/O90,"-")</f>
        <v/>
      </c>
      <c r="R90" s="243">
        <f>IF(ISNUMBER(P90),AE90,0)</f>
        <v/>
      </c>
      <c r="S90" s="244">
        <f>IFERROR((N90/Q90),"-")</f>
        <v/>
      </c>
      <c r="Z90" s="167" t="n"/>
      <c r="AA90" s="167" t="n"/>
      <c r="AE90" s="245" t="n"/>
    </row>
    <row r="91">
      <c r="A91" s="148" t="n">
        <v>7251</v>
      </c>
      <c r="B91" s="225" t="n">
        <v>55.32</v>
      </c>
      <c r="C91" s="226" t="n">
        <v>548</v>
      </c>
      <c r="D91" s="227" t="n">
        <v>10.8</v>
      </c>
      <c r="J91" s="232">
        <f>T91</f>
        <v/>
      </c>
      <c r="K91" s="233" t="n">
        <v>0</v>
      </c>
      <c r="L91" s="239">
        <f>IFERROR(M91/25,"")</f>
        <v/>
      </c>
      <c r="M91" s="240">
        <f>IF(ISNUMBER(P91),Z91,0)</f>
        <v/>
      </c>
      <c r="N91" s="175" t="n">
        <v>0</v>
      </c>
      <c r="O91" s="241">
        <f>IF(ISNUMBER(P91),X91,0)</f>
        <v/>
      </c>
      <c r="P91" s="242">
        <f>_xludf.IFNA(Z91/_xlfn.XLOOKUP(T91,$A$2:$A$624,$B$2:$B$624,""),"")</f>
        <v/>
      </c>
      <c r="Q91" s="242">
        <f>IFERROR(M91/O91,"-")</f>
        <v/>
      </c>
      <c r="R91" s="243">
        <f>IF(ISNUMBER(P91),AE91,0)</f>
        <v/>
      </c>
      <c r="S91" s="244">
        <f>IFERROR((N91/Q91),"-")</f>
        <v/>
      </c>
      <c r="Z91" s="167" t="n"/>
      <c r="AA91" s="167" t="n"/>
      <c r="AE91" s="245" t="n"/>
    </row>
    <row r="92">
      <c r="A92" s="148" t="n">
        <v>7260</v>
      </c>
      <c r="B92" s="225" t="n">
        <v>102.86</v>
      </c>
      <c r="C92" s="226" t="n">
        <v>549</v>
      </c>
      <c r="D92" s="227" t="n">
        <v>10.8</v>
      </c>
      <c r="J92" s="232">
        <f>T92</f>
        <v/>
      </c>
      <c r="K92" s="233" t="n">
        <v>0</v>
      </c>
      <c r="L92" s="239">
        <f>IFERROR(M92/25,"")</f>
        <v/>
      </c>
      <c r="M92" s="240">
        <f>IF(ISNUMBER(P92),Z92,0)</f>
        <v/>
      </c>
      <c r="N92" s="175" t="n">
        <v>0</v>
      </c>
      <c r="O92" s="241">
        <f>IF(ISNUMBER(P92),X92,0)</f>
        <v/>
      </c>
      <c r="P92" s="242">
        <f>_xludf.IFNA(Z92/_xlfn.XLOOKUP(T92,$A$2:$A$624,$B$2:$B$624,""),"")</f>
        <v/>
      </c>
      <c r="Q92" s="242">
        <f>IFERROR(M92/O92,"-")</f>
        <v/>
      </c>
      <c r="R92" s="243">
        <f>IF(ISNUMBER(P92),AE92,0)</f>
        <v/>
      </c>
      <c r="S92" s="244">
        <f>IFERROR((N92/Q92),"-")</f>
        <v/>
      </c>
      <c r="Z92" s="167" t="n"/>
      <c r="AA92" s="167" t="n"/>
      <c r="AE92" s="245" t="n"/>
    </row>
    <row r="93">
      <c r="A93" s="148" t="n">
        <v>7278</v>
      </c>
      <c r="B93" s="225" t="n">
        <v>20.8</v>
      </c>
      <c r="C93" s="226" t="n">
        <v>551</v>
      </c>
      <c r="D93" s="227" t="n">
        <v>9</v>
      </c>
      <c r="J93" s="232">
        <f>T93</f>
        <v/>
      </c>
      <c r="K93" s="233" t="n">
        <v>0</v>
      </c>
      <c r="L93" s="239">
        <f>IFERROR(M93/25,"")</f>
        <v/>
      </c>
      <c r="M93" s="240">
        <f>IF(ISNUMBER(P93),Z93,0)</f>
        <v/>
      </c>
      <c r="N93" s="175" t="n">
        <v>0</v>
      </c>
      <c r="O93" s="241">
        <f>IF(ISNUMBER(P93),X93,0)</f>
        <v/>
      </c>
      <c r="P93" s="242">
        <f>_xludf.IFNA(Z93/_xlfn.XLOOKUP(T93,$A$2:$A$624,$B$2:$B$624,""),"")</f>
        <v/>
      </c>
      <c r="Q93" s="242">
        <f>IFERROR(M93/O93,"-")</f>
        <v/>
      </c>
      <c r="R93" s="243">
        <f>IF(ISNUMBER(P93),AE93,0)</f>
        <v/>
      </c>
      <c r="S93" s="244">
        <f>IFERROR((N93/Q93),"-")</f>
        <v/>
      </c>
      <c r="AE93" s="245" t="n"/>
    </row>
    <row r="94">
      <c r="A94" s="148" t="n">
        <v>7287</v>
      </c>
      <c r="B94" s="225" t="n">
        <v>31.29</v>
      </c>
      <c r="C94" s="226" t="n">
        <v>552</v>
      </c>
      <c r="D94" s="227" t="n">
        <v>13</v>
      </c>
      <c r="J94" s="232">
        <f>T94</f>
        <v/>
      </c>
      <c r="K94" s="233" t="n">
        <v>0</v>
      </c>
      <c r="L94" s="239">
        <f>IFERROR(M94/25,"")</f>
        <v/>
      </c>
      <c r="M94" s="240">
        <f>IF(ISNUMBER(P94),Z94,0)</f>
        <v/>
      </c>
      <c r="N94" s="175" t="n">
        <v>0</v>
      </c>
      <c r="O94" s="241">
        <f>IF(ISNUMBER(P94),X94,0)</f>
        <v/>
      </c>
      <c r="P94" s="242">
        <f>_xludf.IFNA(Z94/_xlfn.XLOOKUP(T94,$A$2:$A$624,$B$2:$B$624,""),"")</f>
        <v/>
      </c>
      <c r="Q94" s="242">
        <f>IFERROR(M94/O94,"-")</f>
        <v/>
      </c>
      <c r="R94" s="243">
        <f>IF(ISNUMBER(P94),AE94,0)</f>
        <v/>
      </c>
      <c r="S94" s="244">
        <f>IFERROR((N94/Q94),"-")</f>
        <v/>
      </c>
      <c r="Z94" s="167" t="n"/>
      <c r="AA94" s="167" t="n"/>
      <c r="AE94" s="245" t="n"/>
    </row>
    <row r="95">
      <c r="A95" s="148" t="n">
        <v>7300</v>
      </c>
      <c r="B95" s="225" t="n">
        <v>18.96</v>
      </c>
      <c r="C95" s="226" t="n">
        <v>558</v>
      </c>
      <c r="D95" s="227" t="n">
        <v>9.24</v>
      </c>
      <c r="J95" s="232">
        <f>T95</f>
        <v/>
      </c>
      <c r="K95" s="233" t="n">
        <v>0</v>
      </c>
      <c r="L95" s="239">
        <f>IFERROR(M95/25,"")</f>
        <v/>
      </c>
      <c r="M95" s="240">
        <f>IF(ISNUMBER(P95),Z95,0)</f>
        <v/>
      </c>
      <c r="N95" s="175" t="n">
        <v>0</v>
      </c>
      <c r="O95" s="241">
        <f>IF(ISNUMBER(P95),X95,0)</f>
        <v/>
      </c>
      <c r="P95" s="242">
        <f>_xludf.IFNA(Z95/_xlfn.XLOOKUP(T95,$A$2:$A$624,$B$2:$B$624,""),"")</f>
        <v/>
      </c>
      <c r="Q95" s="242">
        <f>IFERROR(M95/O95,"-")</f>
        <v/>
      </c>
      <c r="R95" s="243">
        <f>IF(ISNUMBER(P95),AE95,0)</f>
        <v/>
      </c>
      <c r="S95" s="244">
        <f>IFERROR((N95/Q95),"-")</f>
        <v/>
      </c>
      <c r="Z95" s="167" t="n"/>
      <c r="AA95" s="167" t="n"/>
      <c r="AE95" s="245" t="n"/>
    </row>
    <row r="96">
      <c r="A96" s="148" t="n">
        <v>7303</v>
      </c>
      <c r="B96" s="225" t="n">
        <v>36.33</v>
      </c>
      <c r="C96" s="226" t="n">
        <v>559</v>
      </c>
      <c r="D96" s="227" t="n">
        <v>10.12</v>
      </c>
      <c r="J96" s="232">
        <f>T96</f>
        <v/>
      </c>
      <c r="K96" s="233" t="n">
        <v>0</v>
      </c>
      <c r="L96" s="239">
        <f>IFERROR(M96/25,"")</f>
        <v/>
      </c>
      <c r="M96" s="240">
        <f>IF(ISNUMBER(P96),Z96,0)</f>
        <v/>
      </c>
      <c r="N96" s="175" t="n">
        <v>0</v>
      </c>
      <c r="O96" s="241">
        <f>IF(ISNUMBER(P96),X96,0)</f>
        <v/>
      </c>
      <c r="P96" s="242">
        <f>_xludf.IFNA(Z96/_xlfn.XLOOKUP(T96,$A$2:$A$624,$B$2:$B$624,""),"")</f>
        <v/>
      </c>
      <c r="Q96" s="242">
        <f>IFERROR(M96/O96,"-")</f>
        <v/>
      </c>
      <c r="R96" s="243">
        <f>IF(ISNUMBER(P96),AE96,0)</f>
        <v/>
      </c>
      <c r="S96" s="244">
        <f>IFERROR((N96/Q96),"-")</f>
        <v/>
      </c>
      <c r="Z96" s="167" t="n"/>
      <c r="AA96" s="167" t="n"/>
      <c r="AE96" s="245" t="n"/>
    </row>
    <row r="97">
      <c r="A97" s="148" t="n">
        <v>7304</v>
      </c>
      <c r="B97" s="225" t="n">
        <v>40.25</v>
      </c>
      <c r="C97" s="226" t="n">
        <v>575</v>
      </c>
      <c r="D97" s="227" t="n">
        <v>12.5</v>
      </c>
      <c r="J97" s="232">
        <f>T97</f>
        <v/>
      </c>
      <c r="K97" s="233" t="n">
        <v>0</v>
      </c>
      <c r="L97" s="239">
        <f>IFERROR(M97/25,"")</f>
        <v/>
      </c>
      <c r="M97" s="240">
        <f>IF(ISNUMBER(P97),Z97,0)</f>
        <v/>
      </c>
      <c r="N97" s="175" t="n">
        <v>0</v>
      </c>
      <c r="O97" s="241">
        <f>IF(ISNUMBER(P97),X97,0)</f>
        <v/>
      </c>
      <c r="P97" s="242">
        <f>_xludf.IFNA(Z97/_xlfn.XLOOKUP(T97,$A$2:$A$624,$B$2:$B$624,""),"")</f>
        <v/>
      </c>
      <c r="Q97" s="242">
        <f>IFERROR(M97/O97,"-")</f>
        <v/>
      </c>
      <c r="R97" s="243">
        <f>IF(ISNUMBER(P97),AE97,0)</f>
        <v/>
      </c>
      <c r="S97" s="244">
        <f>IFERROR((N97/Q97),"-")</f>
        <v/>
      </c>
      <c r="Z97" s="167" t="n"/>
      <c r="AA97" s="167" t="n"/>
      <c r="AE97" s="245" t="n"/>
    </row>
    <row r="98">
      <c r="A98" s="148" t="n">
        <v>7340</v>
      </c>
      <c r="B98" s="225" t="n">
        <v>141.76</v>
      </c>
      <c r="C98" s="226" t="n">
        <v>593</v>
      </c>
      <c r="D98" s="227" t="n">
        <v>12.5</v>
      </c>
      <c r="J98" s="232">
        <f>T98</f>
        <v/>
      </c>
      <c r="K98" s="233" t="n">
        <v>0</v>
      </c>
      <c r="L98" s="239">
        <f>IFERROR(M98/25,"")</f>
        <v/>
      </c>
      <c r="M98" s="240">
        <f>IF(ISNUMBER(P98),Z98,0)</f>
        <v/>
      </c>
      <c r="N98" s="175" t="n">
        <v>0</v>
      </c>
      <c r="O98" s="241">
        <f>IF(ISNUMBER(P98),X98,0)</f>
        <v/>
      </c>
      <c r="P98" s="242">
        <f>_xludf.IFNA(Z98/_xlfn.XLOOKUP(T98,$A$2:$A$624,$B$2:$B$624,""),"")</f>
        <v/>
      </c>
      <c r="Q98" s="242">
        <f>IFERROR(M98/O98,"-")</f>
        <v/>
      </c>
      <c r="R98" s="243">
        <f>IF(ISNUMBER(P98),AE98,0)</f>
        <v/>
      </c>
      <c r="S98" s="244">
        <f>IFERROR((N98/Q98),"-")</f>
        <v/>
      </c>
      <c r="Z98" s="167" t="n"/>
      <c r="AA98" s="167" t="n"/>
      <c r="AE98" s="245" t="n"/>
    </row>
    <row r="99">
      <c r="A99" s="148" t="n">
        <v>7341</v>
      </c>
      <c r="B99" s="225" t="n">
        <v>141.76</v>
      </c>
      <c r="C99" s="226" t="n">
        <v>595</v>
      </c>
      <c r="D99" s="227" t="n">
        <v>10.5</v>
      </c>
      <c r="J99" s="232">
        <f>T99</f>
        <v/>
      </c>
      <c r="K99" s="233" t="n">
        <v>0</v>
      </c>
      <c r="L99" s="239">
        <f>IFERROR(M99/25,"")</f>
        <v/>
      </c>
      <c r="M99" s="240">
        <f>IF(ISNUMBER(P99),Z99,0)</f>
        <v/>
      </c>
      <c r="N99" s="175" t="n">
        <v>0</v>
      </c>
      <c r="O99" s="241">
        <f>IF(ISNUMBER(P99),X99,0)</f>
        <v/>
      </c>
      <c r="P99" s="242">
        <f>_xludf.IFNA(Z99/_xlfn.XLOOKUP(T99,$A$2:$A$624,$B$2:$B$624,""),"")</f>
        <v/>
      </c>
      <c r="Q99" s="242">
        <f>IFERROR(M99/O99,"-")</f>
        <v/>
      </c>
      <c r="R99" s="243">
        <f>IF(ISNUMBER(P99),AE99,0)</f>
        <v/>
      </c>
      <c r="S99" s="244">
        <f>IFERROR((N99/Q99),"-")</f>
        <v/>
      </c>
      <c r="Z99" s="167" t="n"/>
      <c r="AA99" s="167" t="n"/>
      <c r="AE99" s="245" t="n"/>
    </row>
    <row r="100">
      <c r="A100" s="148" t="n">
        <v>7342</v>
      </c>
      <c r="B100" s="225" t="n">
        <v>78.31999999999999</v>
      </c>
      <c r="C100" s="226" t="n">
        <v>719</v>
      </c>
      <c r="D100" s="227" t="n">
        <v>7.5</v>
      </c>
      <c r="J100" s="232">
        <f>T100</f>
        <v/>
      </c>
      <c r="K100" s="233" t="n">
        <v>0</v>
      </c>
      <c r="L100" s="239">
        <f>IFERROR(M100/25,"")</f>
        <v/>
      </c>
      <c r="M100" s="240">
        <f>IF(ISNUMBER(P100),Z100,0)</f>
        <v/>
      </c>
      <c r="N100" s="175" t="n">
        <v>0</v>
      </c>
      <c r="O100" s="241">
        <f>IF(ISNUMBER(P100),X100,0)</f>
        <v/>
      </c>
      <c r="P100" s="242">
        <f>_xludf.IFNA(Z100/_xlfn.XLOOKUP(T100,$A$2:$A$624,$B$2:$B$624,""),"")</f>
        <v/>
      </c>
      <c r="Q100" s="242">
        <f>IFERROR(M100/O100,"-")</f>
        <v/>
      </c>
      <c r="R100" s="243">
        <f>IF(ISNUMBER(P100),AE100,0)</f>
        <v/>
      </c>
      <c r="S100" s="244">
        <f>IFERROR((N100/Q100),"-")</f>
        <v/>
      </c>
      <c r="Z100" s="167" t="n"/>
      <c r="AA100" s="167" t="n"/>
      <c r="AE100" s="245" t="n"/>
    </row>
    <row r="101">
      <c r="A101" s="148" t="n">
        <v>7343</v>
      </c>
      <c r="B101" s="225" t="n">
        <v>102.9</v>
      </c>
      <c r="C101" s="226" t="n">
        <v>784</v>
      </c>
      <c r="D101" s="227" t="n">
        <v>7.2</v>
      </c>
      <c r="J101" s="232">
        <f>T101</f>
        <v/>
      </c>
      <c r="K101" s="233" t="n">
        <v>0</v>
      </c>
      <c r="L101" s="239">
        <f>IFERROR(M101/25,"")</f>
        <v/>
      </c>
      <c r="M101" s="240">
        <f>IF(ISNUMBER(P101),Z101,0)</f>
        <v/>
      </c>
      <c r="N101" s="175" t="n">
        <v>0</v>
      </c>
      <c r="O101" s="241">
        <f>IF(ISNUMBER(P101),X101,0)</f>
        <v/>
      </c>
      <c r="P101" s="242">
        <f>_xludf.IFNA(Z101/_xlfn.XLOOKUP(T101,$A$2:$A$624,$B$2:$B$624,""),"")</f>
        <v/>
      </c>
      <c r="Q101" s="242">
        <f>IFERROR(M101/O101,"-")</f>
        <v/>
      </c>
      <c r="R101" s="243">
        <f>IF(ISNUMBER(P101),AE101,0)</f>
        <v/>
      </c>
      <c r="S101" s="244">
        <f>IFERROR((N101/Q101),"-")</f>
        <v/>
      </c>
      <c r="Z101" s="167" t="n"/>
      <c r="AA101" s="167" t="n"/>
      <c r="AE101" s="245" t="n"/>
    </row>
    <row r="102">
      <c r="A102" s="148" t="n">
        <v>7378</v>
      </c>
      <c r="B102" s="225" t="n">
        <v>82.95999999999999</v>
      </c>
      <c r="C102" s="226" t="n">
        <v>906</v>
      </c>
      <c r="D102" s="227" t="n">
        <v>9.48</v>
      </c>
      <c r="H102" s="291" t="n"/>
      <c r="J102" s="232">
        <f>T102</f>
        <v/>
      </c>
      <c r="K102" s="233" t="n">
        <v>0</v>
      </c>
      <c r="L102" s="239">
        <f>IFERROR(M102/25,"")</f>
        <v/>
      </c>
      <c r="M102" s="240">
        <f>IF(ISNUMBER(P102),Z102,0)</f>
        <v/>
      </c>
      <c r="N102" s="175" t="n">
        <v>0</v>
      </c>
      <c r="O102" s="241">
        <f>IF(ISNUMBER(P102),X102,0)</f>
        <v/>
      </c>
      <c r="P102" s="242">
        <f>_xludf.IFNA(Z102/_xlfn.XLOOKUP(T102,$A$2:$A$624,$B$2:$B$624,""),"")</f>
        <v/>
      </c>
      <c r="Q102" s="242">
        <f>IFERROR(M102/O102,"-")</f>
        <v/>
      </c>
      <c r="R102" s="243">
        <f>IF(ISNUMBER(P102),AE102,0)</f>
        <v/>
      </c>
      <c r="S102" s="244">
        <f>IFERROR((N102/Q102),"-")</f>
        <v/>
      </c>
      <c r="Z102" s="167" t="n"/>
      <c r="AA102" s="167" t="n"/>
      <c r="AE102" s="245" t="n"/>
    </row>
    <row r="103">
      <c r="A103" s="148" t="n">
        <v>7396</v>
      </c>
      <c r="B103" s="292" t="n">
        <v>62.01</v>
      </c>
      <c r="C103" s="226" t="n">
        <v>910</v>
      </c>
      <c r="D103" s="227" t="n">
        <v>9</v>
      </c>
      <c r="J103" s="232">
        <f>T103</f>
        <v/>
      </c>
      <c r="K103" s="233" t="n">
        <v>0</v>
      </c>
      <c r="L103" s="239">
        <f>IFERROR(M103/25,"")</f>
        <v/>
      </c>
      <c r="M103" s="240">
        <f>IF(ISNUMBER(P103),Z103,0)</f>
        <v/>
      </c>
      <c r="N103" s="175" t="n">
        <v>0</v>
      </c>
      <c r="O103" s="241">
        <f>IF(ISNUMBER(P103),X103,0)</f>
        <v/>
      </c>
      <c r="P103" s="242">
        <f>_xludf.IFNA(Z103/_xlfn.XLOOKUP(T103,$A$2:$A$624,$B$2:$B$624,""),"")</f>
        <v/>
      </c>
      <c r="Q103" s="242">
        <f>IFERROR(M103/O103,"-")</f>
        <v/>
      </c>
      <c r="R103" s="243">
        <f>IF(ISNUMBER(P103),AE103,0)</f>
        <v/>
      </c>
      <c r="S103" s="244">
        <f>IFERROR((N103/Q103),"-")</f>
        <v/>
      </c>
      <c r="AE103" s="245" t="n"/>
    </row>
    <row r="104">
      <c r="A104" s="148" t="n">
        <v>7397</v>
      </c>
      <c r="B104" s="225" t="n">
        <v>29.61</v>
      </c>
      <c r="C104" s="226" t="n">
        <v>911</v>
      </c>
      <c r="D104" s="227" t="n">
        <v>9</v>
      </c>
      <c r="J104" s="232">
        <f>T104</f>
        <v/>
      </c>
      <c r="K104" s="233" t="n">
        <v>0</v>
      </c>
      <c r="L104" s="239">
        <f>IFERROR(M104/25,"")</f>
        <v/>
      </c>
      <c r="M104" s="240">
        <f>IF(ISNUMBER(P104),Z104,0)</f>
        <v/>
      </c>
      <c r="N104" s="175" t="n">
        <v>0</v>
      </c>
      <c r="O104" s="241">
        <f>IF(ISNUMBER(P104),X104,0)</f>
        <v/>
      </c>
      <c r="P104" s="242">
        <f>_xludf.IFNA(Z104/_xlfn.XLOOKUP(T104,$A$2:$A$624,$B$2:$B$624,""),"")</f>
        <v/>
      </c>
      <c r="Q104" s="242">
        <f>IFERROR(M104/O104,"-")</f>
        <v/>
      </c>
      <c r="R104" s="243">
        <f>IF(ISNUMBER(P104),AE104,0)</f>
        <v/>
      </c>
      <c r="S104" s="244">
        <f>IFERROR((N104/Q104),"-")</f>
        <v/>
      </c>
      <c r="AE104" s="245" t="n"/>
    </row>
    <row r="105">
      <c r="A105" s="148" t="n">
        <v>7416</v>
      </c>
      <c r="B105" s="225" t="n">
        <v>128.02</v>
      </c>
      <c r="C105" s="226" t="n">
        <v>912</v>
      </c>
      <c r="D105" s="227" t="n">
        <v>12</v>
      </c>
      <c r="H105" s="191" t="n"/>
      <c r="J105" s="232">
        <f>T105</f>
        <v/>
      </c>
      <c r="K105" s="233" t="n">
        <v>0</v>
      </c>
      <c r="L105" s="239">
        <f>IFERROR(M105/25,"")</f>
        <v/>
      </c>
      <c r="M105" s="240">
        <f>IF(ISNUMBER(P105),Z105,0)</f>
        <v/>
      </c>
      <c r="N105" s="175" t="n">
        <v>0</v>
      </c>
      <c r="O105" s="241">
        <f>IF(ISNUMBER(P105),X105,0)</f>
        <v/>
      </c>
      <c r="P105" s="242">
        <f>_xludf.IFNA(Z105/_xlfn.XLOOKUP(T105,$A$2:$A$624,$B$2:$B$624,""),"")</f>
        <v/>
      </c>
      <c r="Q105" s="242">
        <f>IFERROR(M105/O105,"-")</f>
        <v/>
      </c>
      <c r="R105" s="243">
        <f>IF(ISNUMBER(P105),AE105,0)</f>
        <v/>
      </c>
      <c r="S105" s="244">
        <f>IFERROR((N105/Q105),"-")</f>
        <v/>
      </c>
      <c r="AE105" s="245" t="n"/>
    </row>
    <row r="106">
      <c r="A106" s="148" t="n">
        <v>7522</v>
      </c>
      <c r="B106" s="225" t="n">
        <v>29.24</v>
      </c>
      <c r="C106" s="226" t="n">
        <v>913</v>
      </c>
      <c r="D106" s="227" t="n">
        <v>12</v>
      </c>
      <c r="J106" s="232">
        <f>T106</f>
        <v/>
      </c>
      <c r="K106" s="233" t="n">
        <v>0</v>
      </c>
      <c r="L106" s="239">
        <f>IFERROR(M106/25,"")</f>
        <v/>
      </c>
      <c r="M106" s="240">
        <f>IF(ISNUMBER(P106),Z106,0)</f>
        <v/>
      </c>
      <c r="N106" s="175" t="n">
        <v>0</v>
      </c>
      <c r="O106" s="241">
        <f>IF(ISNUMBER(P106),X106,0)</f>
        <v/>
      </c>
      <c r="P106" s="242">
        <f>_xludf.IFNA(Z106/_xlfn.XLOOKUP(T106,$A$2:$A$624,$B$2:$B$624,""),"")</f>
        <v/>
      </c>
      <c r="Q106" s="242">
        <f>IFERROR(M106/O106,"-")</f>
        <v/>
      </c>
      <c r="R106" s="243">
        <f>IF(ISNUMBER(P106),AE106,0)</f>
        <v/>
      </c>
      <c r="S106" s="244">
        <f>IFERROR((N106/Q106),"-")</f>
        <v/>
      </c>
      <c r="Z106" s="167" t="n"/>
      <c r="AA106" s="167" t="n"/>
    </row>
    <row r="107">
      <c r="A107" s="148" t="n">
        <v>7553</v>
      </c>
      <c r="B107" s="225" t="n">
        <v>87.63</v>
      </c>
      <c r="C107" s="226" t="n">
        <v>914</v>
      </c>
      <c r="D107" s="227" t="n">
        <v>11.9</v>
      </c>
      <c r="J107" s="232">
        <f>T107</f>
        <v/>
      </c>
      <c r="K107" s="233" t="n">
        <v>0</v>
      </c>
      <c r="L107" s="239">
        <f>IFERROR(M107/25,"")</f>
        <v/>
      </c>
      <c r="M107" s="240">
        <f>IF(ISNUMBER(P107),Z107,0)</f>
        <v/>
      </c>
      <c r="N107" s="175" t="n">
        <v>0</v>
      </c>
      <c r="O107" s="241">
        <f>IF(ISNUMBER(P107),X107,0)</f>
        <v/>
      </c>
      <c r="P107" s="242">
        <f>_xludf.IFNA(Z107/_xlfn.XLOOKUP(T107,$A$2:$A$624,$B$2:$B$624,""),"")</f>
        <v/>
      </c>
      <c r="Q107" s="242">
        <f>IFERROR(M107/O107,"-")</f>
        <v/>
      </c>
      <c r="R107" s="243">
        <f>IF(ISNUMBER(P107),AE107,0)</f>
        <v/>
      </c>
      <c r="S107" s="244">
        <f>IFERROR((N107/Q107),"-")</f>
        <v/>
      </c>
    </row>
    <row r="108">
      <c r="A108" s="148" t="n">
        <v>7554</v>
      </c>
      <c r="B108" s="225" t="n">
        <v>83.81999999999999</v>
      </c>
      <c r="C108" s="226" t="n">
        <v>915</v>
      </c>
      <c r="D108" s="227" t="n">
        <v>10.56</v>
      </c>
      <c r="J108" s="232">
        <f>T108</f>
        <v/>
      </c>
      <c r="K108" s="233" t="n">
        <v>0</v>
      </c>
      <c r="L108" s="239">
        <f>IFERROR(M108/25,"")</f>
        <v/>
      </c>
      <c r="M108" s="240">
        <f>IF(ISNUMBER(P108),Z108,0)</f>
        <v/>
      </c>
      <c r="N108" s="175" t="n">
        <v>0</v>
      </c>
      <c r="O108" s="241">
        <f>IF(ISNUMBER(P108),X108,0)</f>
        <v/>
      </c>
      <c r="P108" s="242">
        <f>_xludf.IFNA(Z108/_xlfn.XLOOKUP(T108,$A$2:$A$624,$B$2:$B$624,""),"")</f>
        <v/>
      </c>
      <c r="Q108" s="242">
        <f>IFERROR(M108/O108,"-")</f>
        <v/>
      </c>
      <c r="R108" s="243">
        <f>IF(ISNUMBER(P108),AE108,0)</f>
        <v/>
      </c>
      <c r="S108" s="244">
        <f>IFERROR((N108/Q108),"-")</f>
        <v/>
      </c>
    </row>
    <row r="109">
      <c r="A109" s="148" t="n">
        <v>7557</v>
      </c>
      <c r="B109" s="225" t="n">
        <v>90.87</v>
      </c>
      <c r="C109" s="226" t="n">
        <v>917</v>
      </c>
      <c r="D109" s="227" t="n">
        <v>9</v>
      </c>
      <c r="J109" s="232">
        <f>T109</f>
        <v/>
      </c>
      <c r="K109" s="233" t="n">
        <v>0</v>
      </c>
      <c r="L109" s="239">
        <f>IFERROR(M109/25,"")</f>
        <v/>
      </c>
      <c r="M109" s="240">
        <f>IF(ISNUMBER(P109),Z109,0)</f>
        <v/>
      </c>
      <c r="N109" s="175" t="n">
        <v>0</v>
      </c>
      <c r="O109" s="241">
        <f>IF(ISNUMBER(P109),X109,0)</f>
        <v/>
      </c>
      <c r="P109" s="242">
        <f>_xludf.IFNA(Z109/_xlfn.XLOOKUP(T109,$A$2:$A$624,$B$2:$B$624,""),"")</f>
        <v/>
      </c>
      <c r="Q109" s="242">
        <f>IFERROR(M109/O109,"-")</f>
        <v/>
      </c>
      <c r="R109" s="243">
        <f>IF(ISNUMBER(P109),AE109,0)</f>
        <v/>
      </c>
      <c r="S109" s="244">
        <f>IFERROR((N109/Q109),"-")</f>
        <v/>
      </c>
    </row>
    <row r="110">
      <c r="A110" s="148" t="n">
        <v>7816</v>
      </c>
      <c r="B110" s="225" t="n">
        <v>27.66</v>
      </c>
      <c r="C110" s="226" t="n">
        <v>918</v>
      </c>
      <c r="D110" s="227" t="n">
        <v>12</v>
      </c>
      <c r="J110" s="232">
        <f>T110</f>
        <v/>
      </c>
      <c r="K110" s="233" t="n">
        <v>0</v>
      </c>
      <c r="L110" s="239">
        <f>IFERROR(M110/25,"")</f>
        <v/>
      </c>
      <c r="M110" s="240">
        <f>IF(ISNUMBER(P110),Z110,0)</f>
        <v/>
      </c>
      <c r="N110" s="175" t="n">
        <v>0</v>
      </c>
      <c r="O110" s="241">
        <f>IF(ISNUMBER(P110),X110,0)</f>
        <v/>
      </c>
      <c r="P110" s="242">
        <f>_xludf.IFNA(Z110/_xlfn.XLOOKUP(T110,$A$2:$A$624,$B$2:$B$624,""),"")</f>
        <v/>
      </c>
      <c r="Q110" s="242">
        <f>IFERROR(M110/O110,"-")</f>
        <v/>
      </c>
      <c r="R110" s="243">
        <f>IF(ISNUMBER(P110),AE110,0)</f>
        <v/>
      </c>
      <c r="S110" s="244">
        <f>IFERROR((N110/Q110),"-")</f>
        <v/>
      </c>
    </row>
    <row r="111">
      <c r="A111" s="148" t="n">
        <v>7823</v>
      </c>
      <c r="B111" s="225" t="n">
        <v>36.84</v>
      </c>
      <c r="C111" s="226" t="n">
        <v>920</v>
      </c>
      <c r="D111" s="227" t="n">
        <v>9.24</v>
      </c>
      <c r="J111" s="232">
        <f>T111</f>
        <v/>
      </c>
      <c r="K111" s="233" t="n">
        <v>0</v>
      </c>
      <c r="L111" s="239">
        <f>IFERROR(M111/25,"")</f>
        <v/>
      </c>
      <c r="M111" s="240">
        <f>IF(ISNUMBER(P111),Z111,0)</f>
        <v/>
      </c>
      <c r="N111" s="175" t="n">
        <v>0</v>
      </c>
      <c r="O111" s="241">
        <f>IF(ISNUMBER(P111),X111,0)</f>
        <v/>
      </c>
      <c r="P111" s="242">
        <f>_xludf.IFNA(Z111/_xlfn.XLOOKUP(T111,$A$2:$A$624,$B$2:$B$624,""),"")</f>
        <v/>
      </c>
      <c r="Q111" s="242">
        <f>IFERROR(M111/O111,"-")</f>
        <v/>
      </c>
      <c r="R111" s="243">
        <f>IF(ISNUMBER(P111),AE111,0)</f>
        <v/>
      </c>
      <c r="S111" s="244">
        <f>IFERROR((N111/Q111),"-")</f>
        <v/>
      </c>
    </row>
    <row r="112">
      <c r="A112" s="148" t="n">
        <v>7824</v>
      </c>
      <c r="B112" s="225" t="n">
        <v>43.35</v>
      </c>
      <c r="C112" s="226" t="n">
        <v>922</v>
      </c>
      <c r="D112" s="227" t="n">
        <v>12</v>
      </c>
      <c r="J112" s="232">
        <f>T112</f>
        <v/>
      </c>
      <c r="K112" s="233" t="n">
        <v>0</v>
      </c>
      <c r="L112" s="239">
        <f>IFERROR(M112/25,"")</f>
        <v/>
      </c>
      <c r="M112" s="240">
        <f>IF(ISNUMBER(P112),Z112,0)</f>
        <v/>
      </c>
      <c r="N112" s="175" t="n">
        <v>0</v>
      </c>
      <c r="O112" s="241">
        <f>IF(ISNUMBER(P112),X112,0)</f>
        <v/>
      </c>
      <c r="P112" s="242">
        <f>_xludf.IFNA(Z112/_xlfn.XLOOKUP(T112,$A$2:$A$624,$B$2:$B$624,""),"")</f>
        <v/>
      </c>
      <c r="Q112" s="242">
        <f>IFERROR(M112/O112,"-")</f>
        <v/>
      </c>
      <c r="R112" s="243">
        <f>IF(ISNUMBER(P112),AE112,0)</f>
        <v/>
      </c>
      <c r="S112" s="244">
        <f>IFERROR((N112/Q112),"-")</f>
        <v/>
      </c>
    </row>
    <row r="113">
      <c r="A113" s="148" t="n">
        <v>7825</v>
      </c>
      <c r="B113" s="225" t="n">
        <v>24</v>
      </c>
      <c r="C113" s="226" t="n">
        <v>923</v>
      </c>
      <c r="D113" s="227" t="n">
        <v>12</v>
      </c>
      <c r="J113" s="232">
        <f>T113</f>
        <v/>
      </c>
      <c r="K113" s="233" t="n">
        <v>0</v>
      </c>
      <c r="L113" s="239">
        <f>IFERROR(M113/25,"")</f>
        <v/>
      </c>
      <c r="M113" s="240">
        <f>IF(ISNUMBER(P113),Z113,0)</f>
        <v/>
      </c>
      <c r="N113" s="175" t="n">
        <v>0</v>
      </c>
      <c r="O113" s="241">
        <f>IF(ISNUMBER(P113),X113,0)</f>
        <v/>
      </c>
      <c r="P113" s="242">
        <f>_xludf.IFNA(Z113/_xlfn.XLOOKUP(T113,$A$2:$A$624,$B$2:$B$624,""),"")</f>
        <v/>
      </c>
      <c r="Q113" s="242">
        <f>IFERROR(M113/O113,"-")</f>
        <v/>
      </c>
      <c r="R113" s="243">
        <f>IF(ISNUMBER(P113),AE113,0)</f>
        <v/>
      </c>
      <c r="S113" s="244">
        <f>IFERROR((N113/Q113),"-")</f>
        <v/>
      </c>
    </row>
    <row r="114">
      <c r="A114" s="148" t="n">
        <v>7826</v>
      </c>
      <c r="B114" s="225" t="n">
        <v>98.5</v>
      </c>
      <c r="C114" s="226" t="n">
        <v>923</v>
      </c>
      <c r="D114" s="227" t="n">
        <v>12</v>
      </c>
      <c r="J114" s="232">
        <f>T114</f>
        <v/>
      </c>
      <c r="K114" s="233" t="n">
        <v>0</v>
      </c>
      <c r="L114" s="239">
        <f>IFERROR(M114/25,"")</f>
        <v/>
      </c>
      <c r="M114" s="240">
        <f>IF(ISNUMBER(P114),Z114,0)</f>
        <v/>
      </c>
      <c r="N114" s="175" t="n">
        <v>0</v>
      </c>
      <c r="O114" s="241">
        <f>IF(ISNUMBER(P114),X114,0)</f>
        <v/>
      </c>
      <c r="P114" s="242">
        <f>_xludf.IFNA(Z114/_xlfn.XLOOKUP(T114,$A$2:$A$624,$B$2:$B$624,""),"")</f>
        <v/>
      </c>
      <c r="Q114" s="242">
        <f>IFERROR(M114/O114,"-")</f>
        <v/>
      </c>
      <c r="R114" s="243">
        <f>IF(ISNUMBER(P114),AE114,0)</f>
        <v/>
      </c>
      <c r="S114" s="244">
        <f>IFERROR((N114/Q114),"-")</f>
        <v/>
      </c>
    </row>
    <row r="115">
      <c r="A115" s="148" t="n">
        <v>7827</v>
      </c>
      <c r="B115" s="225" t="n">
        <v>140.76</v>
      </c>
      <c r="C115" s="226" t="n">
        <v>924</v>
      </c>
      <c r="D115" s="227" t="n">
        <v>10.56</v>
      </c>
      <c r="J115" s="232">
        <f>T115</f>
        <v/>
      </c>
      <c r="K115" s="233" t="n">
        <v>0</v>
      </c>
      <c r="L115" s="239">
        <f>IFERROR(M115/25,"")</f>
        <v/>
      </c>
      <c r="M115" s="240">
        <f>IF(ISNUMBER(P115),Z115,0)</f>
        <v/>
      </c>
      <c r="N115" s="175" t="n">
        <v>0</v>
      </c>
      <c r="O115" s="241">
        <f>IF(ISNUMBER(P115),X115,0)</f>
        <v/>
      </c>
      <c r="P115" s="242">
        <f>_xludf.IFNA(Z115/_xlfn.XLOOKUP(T115,$A$2:$A$624,$B$2:$B$624,""),"")</f>
        <v/>
      </c>
      <c r="Q115" s="242">
        <f>IFERROR(M115/O115,"-")</f>
        <v/>
      </c>
      <c r="R115" s="243">
        <f>IF(ISNUMBER(P115),AE115,0)</f>
        <v/>
      </c>
      <c r="S115" s="244">
        <f>IFERROR((N115/Q115),"-")</f>
        <v/>
      </c>
    </row>
    <row r="116">
      <c r="A116" s="148" t="n">
        <v>7828</v>
      </c>
      <c r="B116" s="225" t="n">
        <v>4.54</v>
      </c>
      <c r="C116" s="226" t="n">
        <v>925</v>
      </c>
      <c r="D116" s="227" t="n">
        <v>9.24</v>
      </c>
      <c r="J116" s="232">
        <f>T116</f>
        <v/>
      </c>
      <c r="K116" s="233" t="n">
        <v>0</v>
      </c>
      <c r="L116" s="239">
        <f>IFERROR(M116/25,"")</f>
        <v/>
      </c>
      <c r="M116" s="240">
        <f>IF(ISNUMBER(P116),Z116,0)</f>
        <v/>
      </c>
      <c r="N116" s="175" t="n">
        <v>0</v>
      </c>
      <c r="O116" s="241">
        <f>IF(ISNUMBER(P116),X116,0)</f>
        <v/>
      </c>
      <c r="P116" s="242">
        <f>_xludf.IFNA(Z116/_xlfn.XLOOKUP(T116,$A$2:$A$624,$B$2:$B$624,""),"")</f>
        <v/>
      </c>
      <c r="Q116" s="242">
        <f>IFERROR(M116/O116,"-")</f>
        <v/>
      </c>
      <c r="R116" s="243">
        <f>IF(ISNUMBER(P116),AE116,0)</f>
        <v/>
      </c>
      <c r="S116" s="244">
        <f>IFERROR((N116/Q116),"-")</f>
        <v/>
      </c>
    </row>
    <row r="117">
      <c r="A117" s="148" t="n">
        <v>7829</v>
      </c>
      <c r="B117" s="225" t="n">
        <v>14.61</v>
      </c>
      <c r="C117" s="226" t="n">
        <v>926</v>
      </c>
      <c r="D117" s="227" t="n">
        <v>10.56</v>
      </c>
      <c r="J117" s="232">
        <f>T117</f>
        <v/>
      </c>
      <c r="K117" s="233" t="n">
        <v>0</v>
      </c>
      <c r="L117" s="239">
        <f>IFERROR(M117/25,"")</f>
        <v/>
      </c>
      <c r="M117" s="240">
        <f>IF(ISNUMBER(P117),Z117,0)</f>
        <v/>
      </c>
      <c r="N117" s="175" t="n">
        <v>0</v>
      </c>
      <c r="O117" s="241">
        <f>IF(ISNUMBER(P117),X117,0)</f>
        <v/>
      </c>
      <c r="P117" s="242">
        <f>_xludf.IFNA(Z117/_xlfn.XLOOKUP(T117,$A$2:$A$624,$B$2:$B$624,""),"")</f>
        <v/>
      </c>
      <c r="Q117" s="242">
        <f>IFERROR(M117/O117,"-")</f>
        <v/>
      </c>
      <c r="R117" s="243">
        <f>IF(ISNUMBER(P117),AE117,0)</f>
        <v/>
      </c>
      <c r="S117" s="244">
        <f>IFERROR((N117/Q117),"-")</f>
        <v/>
      </c>
    </row>
    <row r="118">
      <c r="A118" s="148" t="n">
        <v>7830</v>
      </c>
      <c r="B118" s="225" t="n">
        <v>25.37</v>
      </c>
      <c r="C118" s="226" t="n">
        <v>930</v>
      </c>
      <c r="D118" s="227" t="n">
        <v>8.58</v>
      </c>
      <c r="J118" s="232">
        <f>T118</f>
        <v/>
      </c>
      <c r="K118" s="233" t="n">
        <v>0</v>
      </c>
      <c r="L118" s="239">
        <f>IFERROR(M118/25,"")</f>
        <v/>
      </c>
      <c r="M118" s="240">
        <f>IF(ISNUMBER(P118),Z118,0)</f>
        <v/>
      </c>
      <c r="N118" s="175" t="n">
        <v>0</v>
      </c>
      <c r="O118" s="241">
        <f>IF(ISNUMBER(P118),X118,0)</f>
        <v/>
      </c>
      <c r="P118" s="242">
        <f>_xludf.IFNA(Z118/_xlfn.XLOOKUP(T118,$A$2:$A$624,$B$2:$B$624,""),"")</f>
        <v/>
      </c>
      <c r="Q118" s="242">
        <f>IFERROR(M118/O118,"-")</f>
        <v/>
      </c>
      <c r="R118" s="243">
        <f>IF(ISNUMBER(P118),AE118,0)</f>
        <v/>
      </c>
      <c r="S118" s="244">
        <f>IFERROR((N118/Q118),"-")</f>
        <v/>
      </c>
    </row>
    <row r="119">
      <c r="A119" s="148" t="n">
        <v>7831</v>
      </c>
      <c r="B119" s="225" t="n">
        <v>109.26</v>
      </c>
      <c r="C119" s="226" t="n">
        <v>931</v>
      </c>
      <c r="D119" s="227" t="n">
        <v>9.199999999999999</v>
      </c>
      <c r="J119" s="232">
        <f>T119</f>
        <v/>
      </c>
      <c r="K119" s="233" t="n">
        <v>0</v>
      </c>
      <c r="L119" s="239">
        <f>IFERROR(M119/25,"")</f>
        <v/>
      </c>
      <c r="M119" s="240">
        <f>IF(ISNUMBER(P119),Z119,0)</f>
        <v/>
      </c>
      <c r="N119" s="175" t="n">
        <v>0</v>
      </c>
      <c r="O119" s="241">
        <f>IF(ISNUMBER(P119),X119,0)</f>
        <v/>
      </c>
      <c r="P119" s="242">
        <f>_xludf.IFNA(Z119/_xlfn.XLOOKUP(T119,$A$2:$A$624,$B$2:$B$624,""),"")</f>
        <v/>
      </c>
      <c r="Q119" s="242">
        <f>IFERROR(M119/O119,"-")</f>
        <v/>
      </c>
      <c r="R119" s="243">
        <f>IF(ISNUMBER(P119),AE119,0)</f>
        <v/>
      </c>
      <c r="S119" s="244">
        <f>IFERROR((N119/Q119),"-")</f>
        <v/>
      </c>
    </row>
    <row r="120">
      <c r="A120" s="148" t="n">
        <v>7833</v>
      </c>
      <c r="B120" s="225" t="n">
        <v>155.46</v>
      </c>
      <c r="C120" s="226" t="n">
        <v>932</v>
      </c>
      <c r="D120" s="227" t="n">
        <v>9.24</v>
      </c>
      <c r="J120" s="232">
        <f>T120</f>
        <v/>
      </c>
      <c r="K120" s="233" t="n">
        <v>0</v>
      </c>
      <c r="L120" s="239">
        <f>IFERROR(M120/25,"")</f>
        <v/>
      </c>
      <c r="M120" s="240">
        <f>IF(ISNUMBER(P120),Z120,0)</f>
        <v/>
      </c>
      <c r="N120" s="175" t="n">
        <v>0</v>
      </c>
      <c r="O120" s="241">
        <f>IF(ISNUMBER(P120),X120,0)</f>
        <v/>
      </c>
      <c r="P120" s="242">
        <f>_xludf.IFNA(Z120/_xlfn.XLOOKUP(T120,$A$2:$A$624,$B$2:$B$624,""),"")</f>
        <v/>
      </c>
      <c r="Q120" s="242">
        <f>IFERROR(M120/O120,"-")</f>
        <v/>
      </c>
      <c r="R120" s="243">
        <f>IF(ISNUMBER(P120),AE120,0)</f>
        <v/>
      </c>
      <c r="S120" s="244">
        <f>IFERROR((N120/Q120),"-")</f>
        <v/>
      </c>
    </row>
    <row r="121">
      <c r="A121" s="148" t="n">
        <v>7976</v>
      </c>
      <c r="B121" s="225" t="n">
        <v>92.02</v>
      </c>
      <c r="C121" s="226" t="n">
        <v>933</v>
      </c>
      <c r="D121" s="227" t="n">
        <v>13.8</v>
      </c>
      <c r="J121" s="232">
        <f>T121</f>
        <v/>
      </c>
      <c r="K121" s="233" t="n">
        <v>0</v>
      </c>
      <c r="L121" s="239">
        <f>IFERROR(M121/25,"")</f>
        <v/>
      </c>
      <c r="M121" s="240">
        <f>IF(ISNUMBER(P121),Z121,0)</f>
        <v/>
      </c>
      <c r="N121" s="175" t="n">
        <v>0</v>
      </c>
      <c r="O121" s="241">
        <f>IF(ISNUMBER(P121),X121,0)</f>
        <v/>
      </c>
      <c r="P121" s="242">
        <f>_xludf.IFNA(Z121/_xlfn.XLOOKUP(T121,$A$2:$A$624,$B$2:$B$624,""),"")</f>
        <v/>
      </c>
      <c r="Q121" s="242">
        <f>IFERROR(M121/O121,"-")</f>
        <v/>
      </c>
      <c r="R121" s="243">
        <f>IF(ISNUMBER(P121),AE121,0)</f>
        <v/>
      </c>
      <c r="S121" s="244">
        <f>IFERROR((N121/Q121),"-")</f>
        <v/>
      </c>
    </row>
    <row r="122">
      <c r="A122" s="148" t="n">
        <v>7978</v>
      </c>
      <c r="B122" s="225" t="n">
        <v>88.90000000000001</v>
      </c>
      <c r="C122" s="226" t="n">
        <v>936</v>
      </c>
      <c r="D122" s="227" t="n">
        <v>13.4</v>
      </c>
      <c r="J122" s="232">
        <f>T122</f>
        <v/>
      </c>
      <c r="K122" s="233" t="n">
        <v>0</v>
      </c>
      <c r="L122" s="239">
        <f>IFERROR(M122/25,"")</f>
        <v/>
      </c>
      <c r="M122" s="240">
        <f>IF(ISNUMBER(P122),Z122,0)</f>
        <v/>
      </c>
      <c r="N122" s="175" t="n">
        <v>0</v>
      </c>
      <c r="O122" s="241">
        <f>IF(ISNUMBER(P122),X122,0)</f>
        <v/>
      </c>
      <c r="P122" s="242">
        <f>_xludf.IFNA(Z122/_xlfn.XLOOKUP(T122,$A$2:$A$624,$B$2:$B$624,""),"")</f>
        <v/>
      </c>
      <c r="Q122" s="242">
        <f>IFERROR(M122/O122,"-")</f>
        <v/>
      </c>
      <c r="R122" s="243">
        <f>IF(ISNUMBER(P122),AE122,0)</f>
        <v/>
      </c>
      <c r="S122" s="244">
        <f>IFERROR((N122/Q122),"-")</f>
        <v/>
      </c>
    </row>
    <row r="123">
      <c r="A123" s="148" t="n">
        <v>7851</v>
      </c>
      <c r="B123" s="225" t="n">
        <v>46.88</v>
      </c>
      <c r="C123" s="226" t="n">
        <v>939</v>
      </c>
      <c r="D123" s="227" t="n">
        <v>7.8</v>
      </c>
      <c r="J123" s="232">
        <f>T123</f>
        <v/>
      </c>
      <c r="K123" s="233" t="n">
        <v>0</v>
      </c>
      <c r="L123" s="239">
        <f>IFERROR(M123/25,"")</f>
        <v/>
      </c>
      <c r="M123" s="240">
        <f>IF(ISNUMBER(P123),Z123,0)</f>
        <v/>
      </c>
      <c r="N123" s="175" t="n">
        <v>0</v>
      </c>
      <c r="O123" s="241">
        <f>IF(ISNUMBER(P123),X123,0)</f>
        <v/>
      </c>
      <c r="P123" s="242">
        <f>_xludf.IFNA(Z123/_xlfn.XLOOKUP(T123,$A$2:$A$624,$B$2:$B$624,""),"")</f>
        <v/>
      </c>
      <c r="Q123" s="242">
        <f>IFERROR(M123/O123,"-")</f>
        <v/>
      </c>
      <c r="R123" s="243">
        <f>IF(ISNUMBER(P123),AE123,0)</f>
        <v/>
      </c>
      <c r="S123" s="244">
        <f>IFERROR((N123/Q123),"-")</f>
        <v/>
      </c>
    </row>
    <row r="124">
      <c r="A124" s="148" t="n">
        <v>7852</v>
      </c>
      <c r="B124" s="225" t="n">
        <v>102.6</v>
      </c>
      <c r="C124" s="226" t="n">
        <v>944</v>
      </c>
      <c r="D124" s="227" t="n">
        <v>13.36</v>
      </c>
      <c r="J124" s="232">
        <f>T124</f>
        <v/>
      </c>
      <c r="K124" s="233" t="n">
        <v>0</v>
      </c>
      <c r="L124" s="239">
        <f>IFERROR(M124/25,"")</f>
        <v/>
      </c>
      <c r="M124" s="240">
        <f>IF(ISNUMBER(P124),Z124,0)</f>
        <v/>
      </c>
      <c r="N124" s="175" t="n">
        <v>0</v>
      </c>
      <c r="O124" s="241">
        <f>IF(ISNUMBER(P124),X124,0)</f>
        <v/>
      </c>
      <c r="P124" s="242">
        <f>_xludf.IFNA(Z124/_xlfn.XLOOKUP(T124,$A$2:$A$624,$B$2:$B$624,""),"")</f>
        <v/>
      </c>
      <c r="Q124" s="242">
        <f>IFERROR(M124/O124,"-")</f>
        <v/>
      </c>
      <c r="R124" s="243">
        <f>IF(ISNUMBER(P124),AE124,0)</f>
        <v/>
      </c>
      <c r="S124" s="244">
        <f>IFERROR((N124/Q124),"-")</f>
        <v/>
      </c>
    </row>
    <row r="125">
      <c r="A125" s="148" t="n">
        <v>7853</v>
      </c>
      <c r="B125" s="225" t="n">
        <v>36.84</v>
      </c>
      <c r="C125" s="226" t="n">
        <v>945</v>
      </c>
      <c r="D125" s="227" t="n">
        <v>9.6</v>
      </c>
      <c r="J125" s="232">
        <f>T125</f>
        <v/>
      </c>
      <c r="K125" s="233" t="n">
        <v>0</v>
      </c>
      <c r="L125" s="239">
        <f>IFERROR(M125/25,"")</f>
        <v/>
      </c>
      <c r="M125" s="240">
        <f>IF(ISNUMBER(P125),Z125,0)</f>
        <v/>
      </c>
      <c r="N125" s="175" t="n">
        <v>0</v>
      </c>
      <c r="O125" s="241">
        <f>IF(ISNUMBER(P125),X125,0)</f>
        <v/>
      </c>
      <c r="P125" s="242">
        <f>_xludf.IFNA(Z125/_xlfn.XLOOKUP(T125,$A$2:$A$624,$B$2:$B$624,""),"")</f>
        <v/>
      </c>
      <c r="Q125" s="242">
        <f>IFERROR(M125/O125,"-")</f>
        <v/>
      </c>
      <c r="R125" s="243">
        <f>IF(ISNUMBER(P125),AE125,0)</f>
        <v/>
      </c>
      <c r="S125" s="244">
        <f>IFERROR((N125/Q125),"-")</f>
        <v/>
      </c>
    </row>
    <row r="126">
      <c r="A126" s="148" t="n">
        <v>7854</v>
      </c>
      <c r="B126" s="225" t="n">
        <v>43.35</v>
      </c>
      <c r="C126" s="226" t="n">
        <v>946</v>
      </c>
      <c r="D126" s="227" t="n">
        <v>16</v>
      </c>
      <c r="J126" s="232">
        <f>T126</f>
        <v/>
      </c>
      <c r="K126" s="233" t="n">
        <v>0</v>
      </c>
      <c r="L126" s="239">
        <f>IFERROR(M126/25,"")</f>
        <v/>
      </c>
      <c r="M126" s="240">
        <f>IF(ISNUMBER(P126),Z126,0)</f>
        <v/>
      </c>
      <c r="N126" s="175" t="n">
        <v>0</v>
      </c>
      <c r="O126" s="241">
        <f>IF(ISNUMBER(P126),X126,0)</f>
        <v/>
      </c>
      <c r="P126" s="242">
        <f>_xludf.IFNA(Z126/_xlfn.XLOOKUP(T126,$A$2:$A$624,$B$2:$B$624,""),"")</f>
        <v/>
      </c>
      <c r="Q126" s="242">
        <f>IFERROR(M126/O126,"-")</f>
        <v/>
      </c>
      <c r="R126" s="243">
        <f>IF(ISNUMBER(P126),AE126,0)</f>
        <v/>
      </c>
      <c r="S126" s="244">
        <f>IFERROR((N126/Q126),"-")</f>
        <v/>
      </c>
    </row>
    <row r="127">
      <c r="A127" s="148" t="n">
        <v>7855</v>
      </c>
      <c r="B127" s="225" t="n">
        <v>24</v>
      </c>
      <c r="C127" s="226" t="n">
        <v>949</v>
      </c>
      <c r="D127" s="227" t="n">
        <v>12</v>
      </c>
      <c r="J127" s="232">
        <f>T127</f>
        <v/>
      </c>
      <c r="K127" s="233" t="n">
        <v>0</v>
      </c>
      <c r="L127" s="239">
        <f>IFERROR(M127/25,"")</f>
        <v/>
      </c>
      <c r="M127" s="240">
        <f>IF(ISNUMBER(P127),Z127,0)</f>
        <v/>
      </c>
      <c r="N127" s="175" t="n">
        <v>0</v>
      </c>
      <c r="O127" s="241">
        <f>IF(ISNUMBER(P127),X127,0)</f>
        <v/>
      </c>
      <c r="P127" s="242">
        <f>_xludf.IFNA(Z127/_xlfn.XLOOKUP(T127,$A$2:$A$624,$B$2:$B$624,""),"")</f>
        <v/>
      </c>
      <c r="Q127" s="242">
        <f>IFERROR(M127/O127,"-")</f>
        <v/>
      </c>
      <c r="R127" s="243">
        <f>IF(ISNUMBER(P127),AE127,0)</f>
        <v/>
      </c>
      <c r="S127" s="244">
        <f>IFERROR((N127/Q127),"-")</f>
        <v/>
      </c>
    </row>
    <row r="128">
      <c r="A128" s="148" t="n">
        <v>7858</v>
      </c>
      <c r="B128" s="225" t="n">
        <v>4.31</v>
      </c>
      <c r="C128" s="226" t="n">
        <v>954</v>
      </c>
      <c r="D128" s="227" t="n">
        <v>6.4</v>
      </c>
      <c r="J128" s="232">
        <f>T128</f>
        <v/>
      </c>
      <c r="K128" s="233" t="n">
        <v>0</v>
      </c>
      <c r="L128" s="239">
        <f>IFERROR(M128/25,"")</f>
        <v/>
      </c>
      <c r="M128" s="240">
        <f>IF(ISNUMBER(P128),Z128,0)</f>
        <v/>
      </c>
      <c r="N128" s="175" t="n">
        <v>0</v>
      </c>
      <c r="O128" s="241">
        <f>IF(ISNUMBER(P128),X128,0)</f>
        <v/>
      </c>
      <c r="P128" s="242">
        <f>_xludf.IFNA(Z128/_xlfn.XLOOKUP(T128,$A$2:$A$624,$B$2:$B$624,""),"")</f>
        <v/>
      </c>
      <c r="Q128" s="242">
        <f>IFERROR(M128/O128,"-")</f>
        <v/>
      </c>
      <c r="R128" s="243">
        <f>IF(ISNUMBER(P128),AE128,0)</f>
        <v/>
      </c>
      <c r="S128" s="244">
        <f>IFERROR((N128/Q128),"-")</f>
        <v/>
      </c>
    </row>
    <row r="129">
      <c r="A129" s="148" t="n">
        <v>7859</v>
      </c>
      <c r="B129" s="225" t="n">
        <v>14.61</v>
      </c>
      <c r="C129" s="226" t="n">
        <v>955</v>
      </c>
      <c r="D129" s="227" t="n">
        <v>6.4</v>
      </c>
      <c r="J129" s="232">
        <f>T129</f>
        <v/>
      </c>
      <c r="K129" s="233" t="n">
        <v>0</v>
      </c>
      <c r="L129" s="239">
        <f>IFERROR(M129/25,"")</f>
        <v/>
      </c>
      <c r="M129" s="240">
        <f>IF(ISNUMBER(P129),Z129,0)</f>
        <v/>
      </c>
      <c r="N129" s="175" t="n">
        <v>0</v>
      </c>
      <c r="O129" s="241">
        <f>IF(ISNUMBER(P129),X129,0)</f>
        <v/>
      </c>
      <c r="P129" s="242">
        <f>_xludf.IFNA(Z129/_xlfn.XLOOKUP(T129,$A$2:$A$624,$B$2:$B$624,""),"")</f>
        <v/>
      </c>
      <c r="Q129" s="242">
        <f>IFERROR(M129/O129,"-")</f>
        <v/>
      </c>
      <c r="R129" s="243">
        <f>IF(ISNUMBER(P129),AE129,0)</f>
        <v/>
      </c>
      <c r="S129" s="244">
        <f>IFERROR((N129/Q129),"-")</f>
        <v/>
      </c>
    </row>
    <row r="130">
      <c r="A130" s="148" t="n">
        <v>7860</v>
      </c>
      <c r="B130" s="225" t="n">
        <v>25.37</v>
      </c>
      <c r="C130" s="226" t="n">
        <v>956</v>
      </c>
      <c r="D130" s="227" t="n">
        <v>13.4</v>
      </c>
      <c r="J130" s="232">
        <f>T130</f>
        <v/>
      </c>
      <c r="K130" s="233" t="n">
        <v>0</v>
      </c>
      <c r="L130" s="239">
        <f>IFERROR(M130/25,"")</f>
        <v/>
      </c>
      <c r="M130" s="240">
        <f>IF(ISNUMBER(P130),Z130,0)</f>
        <v/>
      </c>
      <c r="N130" s="175" t="n">
        <v>0</v>
      </c>
      <c r="O130" s="241">
        <f>IF(ISNUMBER(P130),X130,0)</f>
        <v/>
      </c>
      <c r="P130" s="242">
        <f>_xludf.IFNA(Z130/_xlfn.XLOOKUP(T130,$A$2:$A$624,$B$2:$B$624,""),"")</f>
        <v/>
      </c>
      <c r="Q130" s="242">
        <f>IFERROR(M130/O130,"-")</f>
        <v/>
      </c>
      <c r="R130" s="243">
        <f>IF(ISNUMBER(P130),AE130,0)</f>
        <v/>
      </c>
      <c r="S130" s="244">
        <f>IFERROR((N130/Q130),"-")</f>
        <v/>
      </c>
    </row>
    <row r="131">
      <c r="A131" s="148" t="n">
        <v>7863</v>
      </c>
      <c r="B131" s="225" t="n"/>
      <c r="C131" s="226" t="n">
        <v>957</v>
      </c>
      <c r="D131" s="227" t="n">
        <v>13.8</v>
      </c>
      <c r="J131" s="232">
        <f>T131</f>
        <v/>
      </c>
      <c r="K131" s="233" t="n">
        <v>0</v>
      </c>
      <c r="L131" s="239">
        <f>IFERROR(M131/25,"")</f>
        <v/>
      </c>
      <c r="M131" s="240">
        <f>IF(ISNUMBER(P131),Z131,0)</f>
        <v/>
      </c>
      <c r="N131" s="175" t="n">
        <v>0</v>
      </c>
      <c r="O131" s="241">
        <f>IF(ISNUMBER(P131),X131,0)</f>
        <v/>
      </c>
      <c r="P131" s="242">
        <f>_xludf.IFNA(Z131/_xlfn.XLOOKUP(T131,$A$2:$A$624,$B$2:$B$624,""),"")</f>
        <v/>
      </c>
      <c r="Q131" s="242">
        <f>IFERROR(M131/O131,"-")</f>
        <v/>
      </c>
      <c r="R131" s="243">
        <f>IF(ISNUMBER(P131),AE131,0)</f>
        <v/>
      </c>
      <c r="S131" s="244">
        <f>IFERROR((N131/Q131),"-")</f>
        <v/>
      </c>
    </row>
    <row r="132">
      <c r="A132" s="148" t="n">
        <v>7865</v>
      </c>
      <c r="B132" s="225" t="n"/>
      <c r="C132" s="226" t="n">
        <v>958</v>
      </c>
      <c r="D132" s="227" t="n">
        <v>6.4</v>
      </c>
      <c r="J132" s="232">
        <f>T132</f>
        <v/>
      </c>
      <c r="K132" s="233" t="n">
        <v>0</v>
      </c>
      <c r="L132" s="239">
        <f>IFERROR(M132/25,"")</f>
        <v/>
      </c>
      <c r="M132" s="240">
        <f>IF(ISNUMBER(P132),Z132,0)</f>
        <v/>
      </c>
      <c r="N132" s="175" t="n">
        <v>0</v>
      </c>
      <c r="O132" s="241">
        <f>IF(ISNUMBER(P132),X132,0)</f>
        <v/>
      </c>
      <c r="P132" s="242">
        <f>_xludf.IFNA(Z132/_xlfn.XLOOKUP(T132,$A$2:$A$624,$B$2:$B$624,""),"")</f>
        <v/>
      </c>
      <c r="Q132" s="242">
        <f>IFERROR(M132/O132,"-")</f>
        <v/>
      </c>
      <c r="R132" s="243">
        <f>IF(ISNUMBER(P132),AE132,0)</f>
        <v/>
      </c>
      <c r="S132" s="244">
        <f>IFERROR((N132/Q132),"-")</f>
        <v/>
      </c>
    </row>
    <row r="133">
      <c r="A133" s="148" t="n">
        <v>7866</v>
      </c>
      <c r="B133" s="225" t="n"/>
      <c r="C133" s="226" t="n">
        <v>959</v>
      </c>
      <c r="D133" s="227" t="n">
        <v>8</v>
      </c>
      <c r="J133" s="232">
        <f>T133</f>
        <v/>
      </c>
      <c r="K133" s="233" t="n">
        <v>0</v>
      </c>
      <c r="L133" s="239">
        <f>IFERROR(M133/25,"")</f>
        <v/>
      </c>
      <c r="M133" s="240">
        <f>IF(ISNUMBER(P133),Z133,0)</f>
        <v/>
      </c>
      <c r="N133" s="175" t="n">
        <v>0</v>
      </c>
      <c r="O133" s="241">
        <f>IF(ISNUMBER(P133),X133,0)</f>
        <v/>
      </c>
      <c r="P133" s="242">
        <f>_xludf.IFNA(Z133/_xlfn.XLOOKUP(T133,$A$2:$A$624,$B$2:$B$624,""),"")</f>
        <v/>
      </c>
      <c r="Q133" s="242">
        <f>IFERROR(M133/O133,"-")</f>
        <v/>
      </c>
      <c r="R133" s="243">
        <f>IF(ISNUMBER(P133),AE133,0)</f>
        <v/>
      </c>
      <c r="S133" s="244">
        <f>IFERROR((N133/Q133),"-")</f>
        <v/>
      </c>
    </row>
    <row r="134">
      <c r="A134" s="148" t="n">
        <v>7867</v>
      </c>
      <c r="B134" s="225" t="n"/>
      <c r="C134" s="226" t="n">
        <v>975</v>
      </c>
      <c r="D134" s="227" t="n">
        <v>6</v>
      </c>
      <c r="J134" s="232">
        <f>T134</f>
        <v/>
      </c>
      <c r="K134" s="233" t="n">
        <v>0</v>
      </c>
      <c r="L134" s="239">
        <f>IFERROR(M134/25,"")</f>
        <v/>
      </c>
      <c r="M134" s="240">
        <f>IF(ISNUMBER(P134),Z134,0)</f>
        <v/>
      </c>
      <c r="N134" s="175" t="n">
        <v>0</v>
      </c>
      <c r="O134" s="241">
        <f>IF(ISNUMBER(P134),X134,0)</f>
        <v/>
      </c>
      <c r="P134" s="242">
        <f>_xludf.IFNA(Z134/_xlfn.XLOOKUP(T134,$A$2:$A$624,$B$2:$B$624,""),"")</f>
        <v/>
      </c>
      <c r="Q134" s="242">
        <f>IFERROR(M134/O134,"-")</f>
        <v/>
      </c>
      <c r="R134" s="243">
        <f>IF(ISNUMBER(P134),AE134,0)</f>
        <v/>
      </c>
      <c r="S134" s="244">
        <f>IFERROR((N134/Q134),"-")</f>
        <v/>
      </c>
    </row>
    <row r="135">
      <c r="A135" s="148" t="n">
        <v>2077</v>
      </c>
      <c r="B135" s="225" t="n">
        <v>92.02</v>
      </c>
      <c r="C135" s="226" t="n">
        <v>976</v>
      </c>
      <c r="D135" s="227" t="n">
        <v>6</v>
      </c>
      <c r="J135" s="232">
        <f>T135</f>
        <v/>
      </c>
      <c r="K135" s="233" t="n">
        <v>0</v>
      </c>
      <c r="L135" s="239">
        <f>IFERROR(M135/25,"")</f>
        <v/>
      </c>
      <c r="M135" s="240">
        <f>IF(ISNUMBER(P135),Z135,0)</f>
        <v/>
      </c>
      <c r="N135" s="175" t="n">
        <v>0</v>
      </c>
      <c r="O135" s="241">
        <f>IF(ISNUMBER(P135),X135,0)</f>
        <v/>
      </c>
      <c r="P135" s="242">
        <f>_xludf.IFNA(Z135/_xlfn.XLOOKUP(T135,$A$2:$A$624,$B$2:$B$624,""),"")</f>
        <v/>
      </c>
      <c r="Q135" s="242">
        <f>IFERROR(M135/O135,"-")</f>
        <v/>
      </c>
      <c r="R135" s="243">
        <f>IF(ISNUMBER(P135),AE135,0)</f>
        <v/>
      </c>
      <c r="S135" s="244">
        <f>IFERROR((N135/Q135),"-")</f>
        <v/>
      </c>
    </row>
    <row r="136">
      <c r="A136" s="148" t="n">
        <v>2084</v>
      </c>
      <c r="B136" s="225" t="n">
        <v>91.73999999999999</v>
      </c>
      <c r="C136" s="226" t="n">
        <v>977</v>
      </c>
      <c r="D136" s="227" t="n">
        <v>6.4</v>
      </c>
      <c r="J136" s="232">
        <f>T136</f>
        <v/>
      </c>
      <c r="K136" s="233" t="n">
        <v>0</v>
      </c>
      <c r="L136" s="239">
        <f>IFERROR(M136/25,"")</f>
        <v/>
      </c>
      <c r="M136" s="240">
        <f>IF(ISNUMBER(P136),Z136,0)</f>
        <v/>
      </c>
      <c r="N136" s="175" t="n">
        <v>0</v>
      </c>
      <c r="O136" s="241">
        <f>IF(ISNUMBER(P136),X136,0)</f>
        <v/>
      </c>
      <c r="P136" s="242">
        <f>_xludf.IFNA(Z136/_xlfn.XLOOKUP(T136,$A$2:$A$624,$B$2:$B$624,""),"")</f>
        <v/>
      </c>
      <c r="Q136" s="242">
        <f>IFERROR(M136/O136,"-")</f>
        <v/>
      </c>
      <c r="R136" s="243">
        <f>IF(ISNUMBER(P136),AE136,0)</f>
        <v/>
      </c>
      <c r="S136" s="244">
        <f>IFERROR((N136/Q136),"-")</f>
        <v/>
      </c>
    </row>
    <row r="137">
      <c r="A137" s="148" t="n">
        <v>2085</v>
      </c>
      <c r="B137" s="225" t="n">
        <v>25</v>
      </c>
      <c r="C137" s="226" t="n">
        <v>2500</v>
      </c>
      <c r="D137" s="227" t="n">
        <v>8.199999999999999</v>
      </c>
      <c r="J137" s="232">
        <f>T137</f>
        <v/>
      </c>
      <c r="K137" s="233" t="n">
        <v>0</v>
      </c>
      <c r="L137" s="239">
        <f>IFERROR(M137/25,"")</f>
        <v/>
      </c>
      <c r="M137" s="240">
        <f>IF(ISNUMBER(P137),Z137,0)</f>
        <v/>
      </c>
      <c r="N137" s="175" t="n">
        <v>0</v>
      </c>
      <c r="O137" s="241">
        <f>IF(ISNUMBER(P137),X137,0)</f>
        <v/>
      </c>
      <c r="P137" s="242">
        <f>_xludf.IFNA(Z137/_xlfn.XLOOKUP(T137,$A$2:$A$624,$B$2:$B$624,""),"")</f>
        <v/>
      </c>
      <c r="Q137" s="242">
        <f>IFERROR(M137/O137,"-")</f>
        <v/>
      </c>
      <c r="R137" s="243">
        <f>IF(ISNUMBER(P137),AE137,0)</f>
        <v/>
      </c>
      <c r="S137" s="244">
        <f>IFERROR((N137/Q137),"-")</f>
        <v/>
      </c>
    </row>
    <row r="138">
      <c r="A138" s="148" t="n">
        <v>2069</v>
      </c>
      <c r="B138" s="225" t="n">
        <v>116.71</v>
      </c>
      <c r="C138" s="226" t="n">
        <v>2501</v>
      </c>
      <c r="D138" s="227" t="n">
        <v>8.199999999999999</v>
      </c>
      <c r="J138" s="232">
        <f>T138</f>
        <v/>
      </c>
      <c r="K138" s="233" t="n">
        <v>0</v>
      </c>
      <c r="L138" s="239">
        <f>IFERROR(M138/25,"")</f>
        <v/>
      </c>
      <c r="M138" s="240">
        <f>IF(ISNUMBER(P138),Z138,0)</f>
        <v/>
      </c>
      <c r="N138" s="175" t="n">
        <v>0</v>
      </c>
      <c r="O138" s="241">
        <f>IF(ISNUMBER(P138),X138,0)</f>
        <v/>
      </c>
      <c r="P138" s="242">
        <f>_xludf.IFNA(Z138/_xlfn.XLOOKUP(T138,$A$2:$A$624,$B$2:$B$624,""),"")</f>
        <v/>
      </c>
      <c r="Q138" s="242">
        <f>IFERROR(M138/O138,"-")</f>
        <v/>
      </c>
      <c r="R138" s="243">
        <f>IF(ISNUMBER(P138),AE138,0)</f>
        <v/>
      </c>
      <c r="S138" s="244">
        <f>IFERROR((N138/Q138),"-")</f>
        <v/>
      </c>
    </row>
    <row r="139">
      <c r="A139" s="148" t="n">
        <v>2070</v>
      </c>
      <c r="B139" s="225" t="n">
        <v>116.71</v>
      </c>
      <c r="C139" s="226" t="n">
        <v>2502</v>
      </c>
      <c r="D139" s="227" t="n">
        <v>8.92</v>
      </c>
      <c r="J139" s="232">
        <f>T139</f>
        <v/>
      </c>
      <c r="K139" s="233" t="n">
        <v>0</v>
      </c>
      <c r="L139" s="239">
        <f>IFERROR(M139/25,"")</f>
        <v/>
      </c>
      <c r="M139" s="240">
        <f>IF(ISNUMBER(P139),Z139,0)</f>
        <v/>
      </c>
      <c r="N139" s="175" t="n">
        <v>0</v>
      </c>
      <c r="O139" s="241">
        <f>IF(ISNUMBER(P139),X139,0)</f>
        <v/>
      </c>
      <c r="P139" s="242">
        <f>_xludf.IFNA(Z139/_xlfn.XLOOKUP(T139,$A$2:$A$624,$B$2:$B$624,""),"")</f>
        <v/>
      </c>
      <c r="Q139" s="242">
        <f>IFERROR(M139/O139,"-")</f>
        <v/>
      </c>
      <c r="R139" s="243">
        <f>IF(ISNUMBER(P139),AE139,0)</f>
        <v/>
      </c>
      <c r="S139" s="244">
        <f>IFERROR((N139/Q139),"-")</f>
        <v/>
      </c>
    </row>
    <row r="140">
      <c r="A140" s="148" t="n">
        <v>2071</v>
      </c>
      <c r="B140" s="225" t="n">
        <v>105.01</v>
      </c>
      <c r="C140" s="226" t="n">
        <v>2503</v>
      </c>
      <c r="D140" s="227" t="n">
        <v>8.92</v>
      </c>
      <c r="J140" s="232">
        <f>T140</f>
        <v/>
      </c>
      <c r="K140" s="233" t="n">
        <v>0</v>
      </c>
      <c r="L140" s="239">
        <f>IFERROR(M140/25,"")</f>
        <v/>
      </c>
      <c r="M140" s="240">
        <f>IF(ISNUMBER(P140),Z140,0)</f>
        <v/>
      </c>
      <c r="N140" s="175" t="n">
        <v>0</v>
      </c>
      <c r="O140" s="241">
        <f>IF(ISNUMBER(P140),X140,0)</f>
        <v/>
      </c>
      <c r="P140" s="242">
        <f>_xludf.IFNA(Z140/_xlfn.XLOOKUP(T140,$A$2:$A$624,$B$2:$B$624,""),"")</f>
        <v/>
      </c>
      <c r="Q140" s="242">
        <f>IFERROR(M140/O140,"-")</f>
        <v/>
      </c>
      <c r="R140" s="243">
        <f>IF(ISNUMBER(P140),AE140,0)</f>
        <v/>
      </c>
      <c r="S140" s="244">
        <f>IFERROR((N140/Q140),"-")</f>
        <v/>
      </c>
    </row>
    <row r="141">
      <c r="A141" s="148" t="n">
        <v>2072</v>
      </c>
      <c r="B141" s="225" t="n">
        <v>63.93</v>
      </c>
      <c r="C141" s="226" t="n">
        <v>2504</v>
      </c>
      <c r="D141" s="227" t="n">
        <v>7.89</v>
      </c>
      <c r="J141" s="232">
        <f>T141</f>
        <v/>
      </c>
      <c r="K141" s="233" t="n">
        <v>0</v>
      </c>
      <c r="L141" s="239">
        <f>IFERROR(M141/25,"")</f>
        <v/>
      </c>
      <c r="M141" s="240">
        <f>IF(ISNUMBER(P141),Z141,0)</f>
        <v/>
      </c>
      <c r="N141" s="175" t="n">
        <v>0</v>
      </c>
      <c r="O141" s="241">
        <f>IF(ISNUMBER(P141),X141,0)</f>
        <v/>
      </c>
      <c r="P141" s="242">
        <f>_xludf.IFNA(Z141/_xlfn.XLOOKUP(T141,$A$2:$A$624,$B$2:$B$624,""),"")</f>
        <v/>
      </c>
      <c r="Q141" s="242">
        <f>IFERROR(M141/O141,"-")</f>
        <v/>
      </c>
      <c r="R141" s="243">
        <f>IF(ISNUMBER(P141),AE141,0)</f>
        <v/>
      </c>
      <c r="S141" s="244">
        <f>IFERROR((N141/Q141),"-")</f>
        <v/>
      </c>
    </row>
    <row r="142">
      <c r="A142" s="148" t="n">
        <v>2073</v>
      </c>
      <c r="B142" s="225" t="n">
        <v>26.79</v>
      </c>
      <c r="C142" s="226" t="n">
        <v>2505</v>
      </c>
      <c r="D142" s="227" t="n">
        <v>7.89</v>
      </c>
      <c r="J142" s="232">
        <f>T142</f>
        <v/>
      </c>
      <c r="K142" s="233" t="n">
        <v>0</v>
      </c>
      <c r="L142" s="239">
        <f>IFERROR(M142/25,"")</f>
        <v/>
      </c>
      <c r="M142" s="240">
        <f>IF(ISNUMBER(P142),Z142,0)</f>
        <v/>
      </c>
      <c r="N142" s="175" t="n">
        <v>0</v>
      </c>
      <c r="O142" s="241">
        <f>IF(ISNUMBER(P142),X142,0)</f>
        <v/>
      </c>
      <c r="P142" s="242">
        <f>_xludf.IFNA(Z142/_xlfn.XLOOKUP(T142,$A$2:$A$624,$B$2:$B$624,""),"")</f>
        <v/>
      </c>
      <c r="Q142" s="242">
        <f>IFERROR(M142/O142,"-")</f>
        <v/>
      </c>
      <c r="R142" s="243">
        <f>IF(ISNUMBER(P142),AE142,0)</f>
        <v/>
      </c>
      <c r="S142" s="244">
        <f>IFERROR((N142/Q142),"-")</f>
        <v/>
      </c>
    </row>
    <row r="143">
      <c r="A143" s="148" t="n">
        <v>2074</v>
      </c>
      <c r="B143" s="225" t="n">
        <v>33.61</v>
      </c>
      <c r="C143" s="226" t="n">
        <v>2506</v>
      </c>
      <c r="D143" s="227" t="n">
        <v>8.880000000000001</v>
      </c>
      <c r="J143" s="232">
        <f>T143</f>
        <v/>
      </c>
      <c r="K143" s="233" t="n">
        <v>0</v>
      </c>
      <c r="L143" s="239">
        <f>IFERROR(M143/25,"")</f>
        <v/>
      </c>
      <c r="M143" s="240">
        <f>IF(ISNUMBER(P143),Z143,0)</f>
        <v/>
      </c>
      <c r="N143" s="175" t="n">
        <v>0</v>
      </c>
      <c r="O143" s="241">
        <f>IF(ISNUMBER(P143),X143,0)</f>
        <v/>
      </c>
      <c r="P143" s="242">
        <f>_xludf.IFNA(Z143/_xlfn.XLOOKUP(T143,$A$2:$A$624,$B$2:$B$624,""),"")</f>
        <v/>
      </c>
      <c r="Q143" s="242">
        <f>IFERROR(M143/O143,"-")</f>
        <v/>
      </c>
      <c r="R143" s="243">
        <f>IF(ISNUMBER(P143),AE143,0)</f>
        <v/>
      </c>
      <c r="S143" s="244">
        <f>IFERROR((N143/Q143),"-")</f>
        <v/>
      </c>
    </row>
    <row r="144">
      <c r="A144" s="148" t="n">
        <v>2075</v>
      </c>
      <c r="B144" s="225" t="n">
        <v>113.84</v>
      </c>
      <c r="C144" s="226" t="n">
        <v>2508</v>
      </c>
      <c r="D144" s="227" t="n">
        <v>8.6</v>
      </c>
      <c r="J144" s="232">
        <f>T144</f>
        <v/>
      </c>
      <c r="K144" s="233" t="n">
        <v>0</v>
      </c>
      <c r="L144" s="239">
        <f>IFERROR(M144/25,"")</f>
        <v/>
      </c>
      <c r="M144" s="240">
        <f>IF(ISNUMBER(P144),Z144,0)</f>
        <v/>
      </c>
      <c r="N144" s="175" t="n">
        <v>0</v>
      </c>
      <c r="O144" s="241">
        <f>IF(ISNUMBER(P144),X144,0)</f>
        <v/>
      </c>
      <c r="P144" s="242">
        <f>_xludf.IFNA(Z144/_xlfn.XLOOKUP(T144,$A$2:$A$624,$B$2:$B$624,""),"")</f>
        <v/>
      </c>
      <c r="Q144" s="242">
        <f>IFERROR(M144/O144,"-")</f>
        <v/>
      </c>
      <c r="R144" s="243">
        <f>IF(ISNUMBER(P144),AE144,0)</f>
        <v/>
      </c>
      <c r="S144" s="244">
        <f>IFERROR((N144/Q144),"-")</f>
        <v/>
      </c>
    </row>
    <row r="145">
      <c r="A145" s="148" t="n">
        <v>2076</v>
      </c>
      <c r="B145" s="225" t="n">
        <v>25.87</v>
      </c>
      <c r="C145" s="226" t="n">
        <v>1012</v>
      </c>
      <c r="D145" s="227" t="n">
        <v>8</v>
      </c>
      <c r="J145" s="232">
        <f>T145</f>
        <v/>
      </c>
      <c r="K145" s="233" t="n">
        <v>0</v>
      </c>
      <c r="L145" s="239">
        <f>IFERROR(M145/25,"")</f>
        <v/>
      </c>
      <c r="M145" s="240">
        <f>IF(ISNUMBER(P145),Z145,0)</f>
        <v/>
      </c>
      <c r="N145" s="175" t="n">
        <v>0</v>
      </c>
      <c r="O145" s="241">
        <f>IF(ISNUMBER(P145),X145,0)</f>
        <v/>
      </c>
      <c r="P145" s="242">
        <f>_xludf.IFNA(Z145/_xlfn.XLOOKUP(T145,$A$2:$A$624,$B$2:$B$624,""),"")</f>
        <v/>
      </c>
      <c r="Q145" s="242">
        <f>IFERROR(M145/O145,"-")</f>
        <v/>
      </c>
      <c r="R145" s="243">
        <f>IF(ISNUMBER(P145),AE145,0)</f>
        <v/>
      </c>
      <c r="S145" s="244">
        <f>IFERROR((N145/Q145),"-")</f>
        <v/>
      </c>
    </row>
    <row r="146">
      <c r="A146" s="148" t="n">
        <v>2078</v>
      </c>
      <c r="B146" s="225" t="n">
        <v>160.45</v>
      </c>
      <c r="C146" s="226" t="n">
        <v>1013</v>
      </c>
      <c r="D146" s="227" t="n">
        <v>7.2</v>
      </c>
      <c r="J146" s="232">
        <f>T146</f>
        <v/>
      </c>
      <c r="K146" s="233" t="n">
        <v>0</v>
      </c>
      <c r="L146" s="239">
        <f>IFERROR(M146/25,"")</f>
        <v/>
      </c>
      <c r="M146" s="240">
        <f>IF(ISNUMBER(P146),Z146,0)</f>
        <v/>
      </c>
      <c r="N146" s="175" t="n">
        <v>0</v>
      </c>
      <c r="O146" s="241">
        <f>IF(ISNUMBER(P146),X146,0)</f>
        <v/>
      </c>
      <c r="P146" s="242">
        <f>_xludf.IFNA(Z146/_xlfn.XLOOKUP(T146,$A$2:$A$624,$B$2:$B$624,""),"")</f>
        <v/>
      </c>
      <c r="Q146" s="242">
        <f>IFERROR(M146/O146,"-")</f>
        <v/>
      </c>
      <c r="R146" s="243">
        <f>IF(ISNUMBER(P146),AE146,0)</f>
        <v/>
      </c>
      <c r="S146" s="244">
        <f>IFERROR((N146/Q146),"-")</f>
        <v/>
      </c>
    </row>
    <row r="147">
      <c r="A147" s="148" t="n">
        <v>2082</v>
      </c>
      <c r="B147" s="225" t="n">
        <v>107.06</v>
      </c>
      <c r="C147" s="226" t="n">
        <v>1014</v>
      </c>
      <c r="D147" s="227" t="n">
        <v>7</v>
      </c>
      <c r="J147" s="232">
        <f>T147</f>
        <v/>
      </c>
      <c r="K147" s="233" t="n">
        <v>0</v>
      </c>
      <c r="L147" s="239">
        <f>IFERROR(M147/25,"")</f>
        <v/>
      </c>
      <c r="M147" s="240">
        <f>IF(ISNUMBER(P147),Z147,0)</f>
        <v/>
      </c>
      <c r="N147" s="175" t="n">
        <v>0</v>
      </c>
      <c r="O147" s="241">
        <f>IF(ISNUMBER(P147),X147,0)</f>
        <v/>
      </c>
      <c r="P147" s="242">
        <f>_xludf.IFNA(Z147/_xlfn.XLOOKUP(T147,$A$2:$A$624,$B$2:$B$624,""),"")</f>
        <v/>
      </c>
      <c r="Q147" s="242">
        <f>IFERROR(M147/O147,"-")</f>
        <v/>
      </c>
      <c r="R147" s="243">
        <f>IF(ISNUMBER(P147),AE147,0)</f>
        <v/>
      </c>
      <c r="S147" s="244">
        <f>IFERROR((N147/Q147),"-")</f>
        <v/>
      </c>
    </row>
    <row r="148">
      <c r="A148" s="148" t="n">
        <v>2045</v>
      </c>
      <c r="B148" s="225" t="n">
        <v>53.8</v>
      </c>
      <c r="C148" s="226" t="n">
        <v>1017</v>
      </c>
      <c r="D148" s="227" t="n">
        <v>12.5</v>
      </c>
      <c r="J148" s="232">
        <f>T148</f>
        <v/>
      </c>
      <c r="K148" s="233" t="n">
        <v>0</v>
      </c>
      <c r="L148" s="239">
        <f>IFERROR(M148/25,"")</f>
        <v/>
      </c>
      <c r="M148" s="240">
        <f>IF(ISNUMBER(P148),Z148,0)</f>
        <v/>
      </c>
      <c r="N148" s="175" t="n">
        <v>0</v>
      </c>
      <c r="O148" s="241">
        <f>IF(ISNUMBER(P148),X148,0)</f>
        <v/>
      </c>
      <c r="P148" s="242">
        <f>_xludf.IFNA(Z148/_xlfn.XLOOKUP(T148,$A$2:$A$624,$B$2:$B$624,""),"")</f>
        <v/>
      </c>
      <c r="Q148" s="242">
        <f>IFERROR(M148/O148,"-")</f>
        <v/>
      </c>
      <c r="R148" s="243">
        <f>IF(ISNUMBER(P148),AE148,0)</f>
        <v/>
      </c>
      <c r="S148" s="244">
        <f>IFERROR((N148/Q148),"-")</f>
        <v/>
      </c>
    </row>
    <row r="149">
      <c r="A149" s="148" t="n">
        <v>2046</v>
      </c>
      <c r="B149" s="225" t="n">
        <v>37.92</v>
      </c>
      <c r="C149" s="226" t="n">
        <v>1018</v>
      </c>
      <c r="D149" s="227" t="n">
        <v>12.8</v>
      </c>
      <c r="J149" s="232">
        <f>T149</f>
        <v/>
      </c>
      <c r="K149" s="233" t="n">
        <v>0</v>
      </c>
      <c r="L149" s="239">
        <f>IFERROR(M149/25,"")</f>
        <v/>
      </c>
      <c r="M149" s="240">
        <f>IF(ISNUMBER(P149),Z149,0)</f>
        <v/>
      </c>
      <c r="N149" s="175" t="n">
        <v>0</v>
      </c>
      <c r="O149" s="241">
        <f>IF(ISNUMBER(P149),X149,0)</f>
        <v/>
      </c>
      <c r="P149" s="242">
        <f>_xludf.IFNA(Z149/_xlfn.XLOOKUP(T149,$A$2:$A$624,$B$2:$B$624,""),"")</f>
        <v/>
      </c>
      <c r="Q149" s="242">
        <f>IFERROR(M149/O149,"-")</f>
        <v/>
      </c>
      <c r="R149" s="243">
        <f>IF(ISNUMBER(P149),AE149,0)</f>
        <v/>
      </c>
      <c r="S149" s="244">
        <f>IFERROR((N149/Q149),"-")</f>
        <v/>
      </c>
    </row>
    <row r="150">
      <c r="A150" s="148" t="n">
        <v>200723</v>
      </c>
      <c r="B150" s="225" t="n">
        <v>40</v>
      </c>
      <c r="C150" s="226" t="n">
        <v>1019</v>
      </c>
      <c r="D150" s="227" t="n">
        <v>15</v>
      </c>
      <c r="J150" s="232">
        <f>T150</f>
        <v/>
      </c>
      <c r="K150" s="233" t="n">
        <v>0</v>
      </c>
      <c r="L150" s="239">
        <f>IFERROR(M150/25,"")</f>
        <v/>
      </c>
      <c r="M150" s="240">
        <f>IF(ISNUMBER(P150),Z150,0)</f>
        <v/>
      </c>
      <c r="N150" s="175" t="n">
        <v>0</v>
      </c>
      <c r="O150" s="241">
        <f>IF(ISNUMBER(P150),X150,0)</f>
        <v/>
      </c>
      <c r="P150" s="242">
        <f>_xludf.IFNA(Z150/_xlfn.XLOOKUP(T150,$A$2:$A$624,$B$2:$B$624,""),"")</f>
        <v/>
      </c>
      <c r="Q150" s="242">
        <f>IFERROR(M150/O150,"-")</f>
        <v/>
      </c>
      <c r="R150" s="243">
        <f>IF(ISNUMBER(P150),AE150,0)</f>
        <v/>
      </c>
      <c r="S150" s="244">
        <f>IFERROR((N150/Q150),"-")</f>
        <v/>
      </c>
    </row>
    <row r="151">
      <c r="A151" s="148" t="n">
        <v>2124</v>
      </c>
      <c r="B151" s="225" t="n">
        <v>72.73</v>
      </c>
      <c r="C151" s="226" t="n">
        <v>1020</v>
      </c>
      <c r="D151" s="227" t="n">
        <v>14</v>
      </c>
      <c r="H151" s="293" t="inlineStr">
        <is>
          <t>1st shift</t>
        </is>
      </c>
      <c r="I151" s="294">
        <f>H3</f>
        <v/>
      </c>
      <c r="J151" s="232">
        <f>T151</f>
        <v/>
      </c>
      <c r="K151" s="233" t="n">
        <v>0</v>
      </c>
      <c r="L151" s="239">
        <f>IFERROR(M151/25,"")</f>
        <v/>
      </c>
      <c r="M151" s="240">
        <f>IF(ISNUMBER(P151),Z151,0)</f>
        <v/>
      </c>
      <c r="N151" s="175" t="n">
        <v>0</v>
      </c>
      <c r="O151" s="241">
        <f>IF(ISNUMBER(P151),X151,0)</f>
        <v/>
      </c>
      <c r="P151" s="242">
        <f>_xludf.IFNA(Z151/_xlfn.XLOOKUP(T151,$A$2:$A$624,$B$2:$B$624,""),"")</f>
        <v/>
      </c>
      <c r="Q151" s="242">
        <f>IFERROR(M151/O151,"-")</f>
        <v/>
      </c>
      <c r="R151" s="243">
        <f>IF(ISNUMBER(P151),AE151,0)</f>
        <v/>
      </c>
      <c r="S151" s="244">
        <f>IFERROR((N151/Q151),"-")</f>
        <v/>
      </c>
    </row>
    <row r="152">
      <c r="A152" s="148" t="n"/>
      <c r="B152" s="225" t="n"/>
      <c r="C152" s="226" t="n">
        <v>1021</v>
      </c>
      <c r="D152" s="227" t="n">
        <v>7</v>
      </c>
      <c r="J152" s="232">
        <f>T152</f>
        <v/>
      </c>
      <c r="K152" s="233" t="n">
        <v>0</v>
      </c>
      <c r="L152" s="239">
        <f>IFERROR(M152/25,"")</f>
        <v/>
      </c>
      <c r="M152" s="240">
        <f>IF(ISNUMBER(P152),Z152,0)</f>
        <v/>
      </c>
      <c r="N152" s="175" t="n">
        <v>0</v>
      </c>
      <c r="O152" s="241">
        <f>IF(ISNUMBER(P152),X152,0)</f>
        <v/>
      </c>
      <c r="P152" s="242">
        <f>_xludf.IFNA(Z152/_xlfn.XLOOKUP(T152,$A$2:$A$624,$B$2:$B$624,""),"")</f>
        <v/>
      </c>
      <c r="Q152" s="242">
        <f>IFERROR(M152/O152,"-")</f>
        <v/>
      </c>
      <c r="R152" s="243">
        <f>IF(ISNUMBER(P152),AE152,0)</f>
        <v/>
      </c>
      <c r="S152" s="244">
        <f>IFERROR((N152/Q152),"-")</f>
        <v/>
      </c>
    </row>
    <row r="153">
      <c r="A153" s="295" t="n"/>
      <c r="B153" s="225" t="n"/>
      <c r="C153" s="226" t="n">
        <v>1023</v>
      </c>
      <c r="D153" s="227" t="n">
        <v>13</v>
      </c>
      <c r="J153" s="232">
        <f>T153</f>
        <v/>
      </c>
      <c r="K153" s="233" t="n">
        <v>0</v>
      </c>
      <c r="L153" s="239">
        <f>IFERROR(M153/25,"")</f>
        <v/>
      </c>
      <c r="M153" s="240">
        <f>IF(ISNUMBER(P153),Z153,0)</f>
        <v/>
      </c>
      <c r="N153" s="175" t="n">
        <v>0</v>
      </c>
      <c r="O153" s="241">
        <f>IF(ISNUMBER(P153),X153,0)</f>
        <v/>
      </c>
      <c r="P153" s="242">
        <f>_xludf.IFNA(Z153/_xlfn.XLOOKUP(T153,$A$2:$A$624,$B$2:$B$624,""),"")</f>
        <v/>
      </c>
      <c r="Q153" s="242">
        <f>IFERROR(M153/O153,"-")</f>
        <v/>
      </c>
      <c r="R153" s="243">
        <f>IF(ISNUMBER(P153),AE153,0)</f>
        <v/>
      </c>
      <c r="S153" s="244">
        <f>IFERROR((N153/Q153),"-")</f>
        <v/>
      </c>
    </row>
    <row r="154">
      <c r="A154" s="295" t="n"/>
      <c r="B154" s="296" t="n"/>
      <c r="C154" s="226" t="n">
        <v>1024</v>
      </c>
      <c r="D154" s="227" t="n">
        <v>9.5</v>
      </c>
      <c r="J154" s="232">
        <f>T154</f>
        <v/>
      </c>
      <c r="K154" s="233" t="n">
        <v>0</v>
      </c>
      <c r="L154" s="239">
        <f>IFERROR(M154/25,"")</f>
        <v/>
      </c>
      <c r="M154" s="240">
        <f>IF(ISNUMBER(P154),Z154,0)</f>
        <v/>
      </c>
      <c r="N154" s="175" t="n">
        <v>0</v>
      </c>
      <c r="O154" s="241">
        <f>IF(ISNUMBER(P154),X154,0)</f>
        <v/>
      </c>
      <c r="P154" s="242">
        <f>_xludf.IFNA(Z154/_xlfn.XLOOKUP(T154,$A$2:$A$624,$B$2:$B$624,""),"")</f>
        <v/>
      </c>
      <c r="Q154" s="242">
        <f>IFERROR(M154/O154,"-")</f>
        <v/>
      </c>
      <c r="R154" s="243">
        <f>IF(ISNUMBER(P154),AE154,0)</f>
        <v/>
      </c>
      <c r="S154" s="244">
        <f>IFERROR((N154/Q154),"-")</f>
        <v/>
      </c>
    </row>
    <row r="155">
      <c r="A155" s="148" t="n"/>
      <c r="B155" s="225" t="n"/>
      <c r="C155" s="226" t="n">
        <v>1025</v>
      </c>
      <c r="D155" s="227" t="n">
        <v>15.4</v>
      </c>
      <c r="J155" s="232">
        <f>T155</f>
        <v/>
      </c>
      <c r="K155" s="233" t="n">
        <v>0</v>
      </c>
      <c r="L155" s="239">
        <f>IFERROR(M155/25,"")</f>
        <v/>
      </c>
      <c r="M155" s="240">
        <f>IF(ISNUMBER(P155),Z155,0)</f>
        <v/>
      </c>
      <c r="N155" s="175" t="n">
        <v>0</v>
      </c>
      <c r="O155" s="241">
        <f>IF(ISNUMBER(P155),X155,0)</f>
        <v/>
      </c>
      <c r="P155" s="242">
        <f>_xludf.IFNA(Z155/_xlfn.XLOOKUP(T155,$A$2:$A$624,$B$2:$B$624,""),"")</f>
        <v/>
      </c>
      <c r="Q155" s="242">
        <f>IFERROR(M155/O155,"-")</f>
        <v/>
      </c>
      <c r="R155" s="243">
        <f>IF(ISNUMBER(P155),AE155,0)</f>
        <v/>
      </c>
      <c r="S155" s="244">
        <f>IFERROR((N155/Q155),"-")</f>
        <v/>
      </c>
    </row>
    <row r="156">
      <c r="A156" s="148" t="n"/>
      <c r="B156" s="225" t="n"/>
      <c r="C156" s="226" t="n">
        <v>1027</v>
      </c>
      <c r="D156" s="227" t="n">
        <v>5.12</v>
      </c>
      <c r="J156" s="232">
        <f>T156</f>
        <v/>
      </c>
      <c r="K156" s="233" t="n">
        <v>0</v>
      </c>
      <c r="L156" s="239">
        <f>IFERROR(M156/25,"")</f>
        <v/>
      </c>
      <c r="M156" s="240">
        <f>IF(ISNUMBER(P156),Z156,0)</f>
        <v/>
      </c>
      <c r="N156" s="175" t="n">
        <v>0</v>
      </c>
      <c r="O156" s="241">
        <f>IF(ISNUMBER(P156),X156,0)</f>
        <v/>
      </c>
      <c r="P156" s="242">
        <f>_xludf.IFNA(Z156/_xlfn.XLOOKUP(T156,$A$2:$A$624,$B$2:$B$624,""),"")</f>
        <v/>
      </c>
      <c r="Q156" s="242">
        <f>IFERROR(M156/O156,"-")</f>
        <v/>
      </c>
      <c r="R156" s="243">
        <f>IF(ISNUMBER(P156),AE156,0)</f>
        <v/>
      </c>
      <c r="S156" s="244">
        <f>IFERROR((N156/Q156),"-")</f>
        <v/>
      </c>
    </row>
    <row r="157">
      <c r="A157" s="148" t="n"/>
      <c r="B157" s="225" t="n"/>
      <c r="C157" s="226" t="n">
        <v>1028</v>
      </c>
      <c r="D157" s="227" t="n">
        <v>5.12</v>
      </c>
      <c r="J157" s="232">
        <f>T157</f>
        <v/>
      </c>
      <c r="K157" s="233" t="n">
        <v>0</v>
      </c>
      <c r="L157" s="239">
        <f>IFERROR(M157/25,"")</f>
        <v/>
      </c>
      <c r="M157" s="240">
        <f>IF(ISNUMBER(P157),Z157,0)</f>
        <v/>
      </c>
      <c r="N157" s="175" t="n">
        <v>0</v>
      </c>
      <c r="O157" s="241">
        <f>IF(ISNUMBER(P157),X157,0)</f>
        <v/>
      </c>
      <c r="P157" s="242">
        <f>_xludf.IFNA(Z157/_xlfn.XLOOKUP(T157,$A$2:$A$624,$B$2:$B$624,""),"")</f>
        <v/>
      </c>
      <c r="Q157" s="242">
        <f>IFERROR(M157/O157,"-")</f>
        <v/>
      </c>
      <c r="R157" s="243">
        <f>IF(ISNUMBER(P157),AE157,0)</f>
        <v/>
      </c>
      <c r="S157" s="244">
        <f>IFERROR((N157/Q157),"-")</f>
        <v/>
      </c>
    </row>
    <row r="158">
      <c r="A158" s="148" t="n"/>
      <c r="B158" s="225" t="n"/>
      <c r="C158" s="226" t="n">
        <v>1029</v>
      </c>
      <c r="D158" s="227" t="n">
        <v>4.6</v>
      </c>
      <c r="J158" s="232">
        <f>T158</f>
        <v/>
      </c>
      <c r="K158" s="233" t="n">
        <v>0</v>
      </c>
      <c r="L158" s="239">
        <f>IFERROR(M158/25,"")</f>
        <v/>
      </c>
      <c r="M158" s="240">
        <f>IF(ISNUMBER(P158),Z158,0)</f>
        <v/>
      </c>
      <c r="N158" s="175" t="n">
        <v>0</v>
      </c>
      <c r="O158" s="241">
        <f>IF(ISNUMBER(P158),X158,0)</f>
        <v/>
      </c>
      <c r="P158" s="242">
        <f>_xludf.IFNA(Z158/_xlfn.XLOOKUP(T158,$A$2:$A$624,$B$2:$B$624,""),"")</f>
        <v/>
      </c>
      <c r="Q158" s="242">
        <f>IFERROR(M158/O158,"-")</f>
        <v/>
      </c>
      <c r="R158" s="243">
        <f>IF(ISNUMBER(P158),AE158,0)</f>
        <v/>
      </c>
      <c r="S158" s="244">
        <f>IFERROR((N158/Q158),"-")</f>
        <v/>
      </c>
    </row>
    <row r="159">
      <c r="A159" s="148" t="n"/>
      <c r="B159" s="225" t="n"/>
      <c r="C159" s="226" t="n">
        <v>1030</v>
      </c>
      <c r="D159" s="227" t="n">
        <v>4.6</v>
      </c>
      <c r="J159" s="232">
        <f>T159</f>
        <v/>
      </c>
      <c r="K159" s="233" t="n">
        <v>0</v>
      </c>
      <c r="L159" s="239">
        <f>IFERROR(M159/25,"")</f>
        <v/>
      </c>
      <c r="M159" s="240">
        <f>IF(ISNUMBER(P159),Z159,0)</f>
        <v/>
      </c>
      <c r="N159" s="175" t="n">
        <v>0</v>
      </c>
      <c r="O159" s="241">
        <f>IF(ISNUMBER(P159),X159,0)</f>
        <v/>
      </c>
      <c r="P159" s="242">
        <f>_xludf.IFNA(Z159/_xlfn.XLOOKUP(T159,$A$2:$A$624,$B$2:$B$624,""),"")</f>
        <v/>
      </c>
      <c r="Q159" s="242">
        <f>IFERROR(M159/O159,"-")</f>
        <v/>
      </c>
      <c r="R159" s="243">
        <f>IF(ISNUMBER(P159),AE159,0)</f>
        <v/>
      </c>
      <c r="S159" s="244">
        <f>IFERROR((N159/Q159),"-")</f>
        <v/>
      </c>
    </row>
    <row r="160">
      <c r="A160" s="148" t="n"/>
      <c r="B160" s="225" t="n"/>
      <c r="C160" s="226" t="n">
        <v>7300</v>
      </c>
      <c r="D160" s="227" t="n">
        <v>6.24</v>
      </c>
      <c r="J160" s="232">
        <f>T160</f>
        <v/>
      </c>
      <c r="K160" s="233" t="n">
        <v>0</v>
      </c>
      <c r="L160" s="239">
        <f>IFERROR(M160/25,"")</f>
        <v/>
      </c>
      <c r="M160" s="240">
        <f>IF(ISNUMBER(P160),Z160,0)</f>
        <v/>
      </c>
      <c r="N160" s="175" t="n">
        <v>0</v>
      </c>
      <c r="O160" s="241">
        <f>IF(ISNUMBER(P160),X160,0)</f>
        <v/>
      </c>
      <c r="P160" s="242">
        <f>_xludf.IFNA(Z160/_xlfn.XLOOKUP(T160,$A$2:$A$624,$B$2:$B$624,""),"")</f>
        <v/>
      </c>
      <c r="Q160" s="242">
        <f>IFERROR(M160/O160,"-")</f>
        <v/>
      </c>
      <c r="R160" s="243">
        <f>IF(ISNUMBER(P160),AE160,0)</f>
        <v/>
      </c>
      <c r="S160" s="244">
        <f>IFERROR((N160/Q160),"-")</f>
        <v/>
      </c>
    </row>
    <row r="161">
      <c r="A161" s="148" t="n"/>
      <c r="B161" s="225" t="n"/>
      <c r="C161" s="226" t="n">
        <v>7304</v>
      </c>
      <c r="D161" s="227" t="n">
        <v>6.24</v>
      </c>
      <c r="J161" s="232">
        <f>T161</f>
        <v/>
      </c>
      <c r="K161" s="233" t="n">
        <v>0</v>
      </c>
      <c r="L161" s="239">
        <f>IFERROR(M161/25,"")</f>
        <v/>
      </c>
      <c r="M161" s="240">
        <f>IF(ISNUMBER(P161),Z161,0)</f>
        <v/>
      </c>
      <c r="N161" s="175" t="n">
        <v>0</v>
      </c>
      <c r="O161" s="241">
        <f>IF(ISNUMBER(P161),X161,0)</f>
        <v/>
      </c>
      <c r="P161" s="242">
        <f>_xludf.IFNA(Z161/_xlfn.XLOOKUP(T161,$A$2:$A$624,$B$2:$B$624,""),"")</f>
        <v/>
      </c>
      <c r="Q161" s="242">
        <f>IFERROR(M161/O161,"-")</f>
        <v/>
      </c>
      <c r="R161" s="243">
        <f>IF(ISNUMBER(P161),AE161,0)</f>
        <v/>
      </c>
      <c r="S161" s="244">
        <f>IFERROR((N161/Q161),"-")</f>
        <v/>
      </c>
    </row>
    <row r="162">
      <c r="A162" s="148" t="n"/>
      <c r="B162" s="225" t="n"/>
      <c r="C162" s="226" t="n">
        <v>7305</v>
      </c>
      <c r="D162" s="227" t="n">
        <v>6</v>
      </c>
      <c r="J162" s="232">
        <f>T162</f>
        <v/>
      </c>
      <c r="K162" s="233" t="n">
        <v>0</v>
      </c>
      <c r="L162" s="239">
        <f>IFERROR(M162/25,"")</f>
        <v/>
      </c>
      <c r="M162" s="240">
        <f>IF(ISNUMBER(P162),Z162,0)</f>
        <v/>
      </c>
      <c r="N162" s="175" t="n">
        <v>0</v>
      </c>
      <c r="O162" s="241">
        <f>IF(ISNUMBER(P162),X162,0)</f>
        <v/>
      </c>
      <c r="P162" s="242">
        <f>_xludf.IFNA(Z162/_xlfn.XLOOKUP(T162,$A$2:$A$624,$B$2:$B$624,""),"")</f>
        <v/>
      </c>
      <c r="Q162" s="242">
        <f>IFERROR(M162/O162,"-")</f>
        <v/>
      </c>
      <c r="R162" s="243">
        <f>IF(ISNUMBER(P162),AE162,0)</f>
        <v/>
      </c>
      <c r="S162" s="244">
        <f>IFERROR((N162/Q162),"-")</f>
        <v/>
      </c>
    </row>
    <row r="163">
      <c r="A163" s="148" t="n"/>
      <c r="B163" s="225" t="n"/>
      <c r="C163" s="226" t="n">
        <v>7311</v>
      </c>
      <c r="D163" s="227" t="n">
        <v>5.58</v>
      </c>
      <c r="J163" s="232">
        <f>T163</f>
        <v/>
      </c>
      <c r="K163" s="233" t="n">
        <v>0</v>
      </c>
      <c r="L163" s="239">
        <f>IFERROR(M163/25,"")</f>
        <v/>
      </c>
      <c r="M163" s="240">
        <f>IF(ISNUMBER(P163),Z163,0)</f>
        <v/>
      </c>
      <c r="N163" s="175" t="n">
        <v>0</v>
      </c>
      <c r="O163" s="241">
        <f>IF(ISNUMBER(P163),X163,0)</f>
        <v/>
      </c>
      <c r="P163" s="242">
        <f>_xludf.IFNA(Z163/_xlfn.XLOOKUP(T163,$A$2:$A$624,$B$2:$B$624,""),"")</f>
        <v/>
      </c>
      <c r="Q163" s="242">
        <f>IFERROR(M163/O163,"-")</f>
        <v/>
      </c>
      <c r="R163" s="243">
        <f>IF(ISNUMBER(P163),AE163,0)</f>
        <v/>
      </c>
      <c r="S163" s="244">
        <f>IFERROR((N163/Q163),"-")</f>
        <v/>
      </c>
    </row>
    <row r="164">
      <c r="A164" s="148" t="n"/>
      <c r="B164" s="225" t="n"/>
      <c r="C164" s="226" t="n">
        <v>7313</v>
      </c>
      <c r="D164" s="227" t="n">
        <v>5.7</v>
      </c>
      <c r="J164" s="232">
        <f>T164</f>
        <v/>
      </c>
      <c r="K164" s="233" t="n">
        <v>0</v>
      </c>
      <c r="L164" s="239">
        <f>IFERROR(M164/25,"")</f>
        <v/>
      </c>
      <c r="M164" s="240">
        <f>IF(ISNUMBER(P164),Z164,0)</f>
        <v/>
      </c>
      <c r="N164" s="175" t="n">
        <v>0</v>
      </c>
      <c r="O164" s="241">
        <f>IF(ISNUMBER(P164),X164,0)</f>
        <v/>
      </c>
      <c r="P164" s="242">
        <f>_xludf.IFNA(Z164/_xlfn.XLOOKUP(T164,$A$2:$A$624,$B$2:$B$624,""),"")</f>
        <v/>
      </c>
      <c r="Q164" s="242">
        <f>IFERROR(M164/O164,"-")</f>
        <v/>
      </c>
      <c r="R164" s="243">
        <f>IF(ISNUMBER(P164),AE164,0)</f>
        <v/>
      </c>
      <c r="S164" s="244">
        <f>IFERROR((N164/Q164),"-")</f>
        <v/>
      </c>
    </row>
    <row r="165">
      <c r="A165" s="148" t="n"/>
      <c r="B165" s="225" t="n"/>
      <c r="C165" s="226" t="n">
        <v>7316</v>
      </c>
      <c r="D165" s="227" t="n">
        <v>8.199999999999999</v>
      </c>
      <c r="J165" s="232">
        <f>T165</f>
        <v/>
      </c>
      <c r="K165" s="233" t="n">
        <v>0</v>
      </c>
      <c r="L165" s="239">
        <f>IFERROR(M165/25,"")</f>
        <v/>
      </c>
      <c r="M165" s="240">
        <f>IF(ISNUMBER(P165),Z165,0)</f>
        <v/>
      </c>
      <c r="N165" s="175" t="n">
        <v>0</v>
      </c>
      <c r="O165" s="241">
        <f>IF(ISNUMBER(P165),X165,0)</f>
        <v/>
      </c>
      <c r="P165" s="242">
        <f>_xludf.IFNA(Z165/_xlfn.XLOOKUP(T165,$A$2:$A$624,$B$2:$B$624,""),"")</f>
        <v/>
      </c>
      <c r="Q165" s="242">
        <f>IFERROR(M165/O165,"-")</f>
        <v/>
      </c>
      <c r="R165" s="243">
        <f>IF(ISNUMBER(P165),AE165,0)</f>
        <v/>
      </c>
      <c r="S165" s="244">
        <f>IFERROR((N165/Q165),"-")</f>
        <v/>
      </c>
    </row>
    <row r="166">
      <c r="A166" s="297" t="n"/>
      <c r="B166" s="225" t="n"/>
      <c r="C166" s="226" t="n">
        <v>7317</v>
      </c>
      <c r="D166" s="227" t="n">
        <v>8.92</v>
      </c>
      <c r="J166" s="232">
        <f>T166</f>
        <v/>
      </c>
      <c r="K166" s="233" t="n">
        <v>0</v>
      </c>
      <c r="L166" s="239">
        <f>IFERROR(M166/25,"")</f>
        <v/>
      </c>
      <c r="M166" s="240">
        <f>IF(ISNUMBER(P166),Z166,0)</f>
        <v/>
      </c>
      <c r="N166" s="175" t="n">
        <v>0</v>
      </c>
      <c r="O166" s="241">
        <f>IF(ISNUMBER(P166),X166,0)</f>
        <v/>
      </c>
      <c r="P166" s="242">
        <f>_xludf.IFNA(Z166/_xlfn.XLOOKUP(T166,$A$2:$A$624,$B$2:$B$624,""),"")</f>
        <v/>
      </c>
      <c r="Q166" s="242">
        <f>IFERROR(M166/O166,"-")</f>
        <v/>
      </c>
      <c r="R166" s="243">
        <f>IF(ISNUMBER(P166),AE166,0)</f>
        <v/>
      </c>
      <c r="S166" s="244">
        <f>IFERROR((N166/Q166),"-")</f>
        <v/>
      </c>
    </row>
    <row r="167">
      <c r="A167" s="297" t="n"/>
      <c r="B167" s="225" t="n"/>
      <c r="C167" s="226" t="n">
        <v>7318</v>
      </c>
      <c r="D167" s="227" t="n">
        <v>7.89</v>
      </c>
      <c r="J167" s="232">
        <f>T167</f>
        <v/>
      </c>
      <c r="K167" s="233" t="n">
        <v>0</v>
      </c>
      <c r="L167" s="239">
        <f>IFERROR(M167/25,"")</f>
        <v/>
      </c>
      <c r="M167" s="240">
        <f>IF(ISNUMBER(P167),Z167,0)</f>
        <v/>
      </c>
      <c r="N167" s="175" t="n">
        <v>0</v>
      </c>
      <c r="O167" s="241">
        <f>IF(ISNUMBER(P167),X167,0)</f>
        <v/>
      </c>
      <c r="P167" s="242">
        <f>_xludf.IFNA(Z167/_xlfn.XLOOKUP(T167,$A$2:$A$624,$B$2:$B$624,""),"")</f>
        <v/>
      </c>
      <c r="Q167" s="242">
        <f>IFERROR(M167/O167,"-")</f>
        <v/>
      </c>
      <c r="R167" s="243">
        <f>IF(ISNUMBER(P167),AE167,0)</f>
        <v/>
      </c>
      <c r="S167" s="244">
        <f>IFERROR((N167/Q167),"-")</f>
        <v/>
      </c>
    </row>
    <row r="168">
      <c r="A168" s="297" t="n"/>
      <c r="B168" s="225" t="n"/>
      <c r="C168" s="226" t="n">
        <v>7319</v>
      </c>
      <c r="D168" s="227" t="n">
        <v>8.880000000000001</v>
      </c>
      <c r="J168" s="232">
        <f>T168</f>
        <v/>
      </c>
      <c r="K168" s="233" t="n">
        <v>0</v>
      </c>
      <c r="L168" s="239">
        <f>IFERROR(M168/25,"")</f>
        <v/>
      </c>
      <c r="M168" s="240">
        <f>IF(ISNUMBER(P168),Z168,0)</f>
        <v/>
      </c>
      <c r="N168" s="175" t="n">
        <v>0</v>
      </c>
      <c r="O168" s="241">
        <f>IF(ISNUMBER(P168),X168,0)</f>
        <v/>
      </c>
      <c r="P168" s="242">
        <f>_xludf.IFNA(Z168/_xlfn.XLOOKUP(T168,$A$2:$A$624,$B$2:$B$624,""),"")</f>
        <v/>
      </c>
      <c r="Q168" s="242">
        <f>IFERROR(M168/O168,"-")</f>
        <v/>
      </c>
      <c r="R168" s="243">
        <f>IF(ISNUMBER(P168),AE168,0)</f>
        <v/>
      </c>
      <c r="S168" s="244">
        <f>IFERROR((N168/Q168),"-")</f>
        <v/>
      </c>
    </row>
    <row r="169">
      <c r="A169" s="297" t="n"/>
      <c r="B169" s="225" t="n"/>
      <c r="C169" s="226" t="n">
        <v>7397</v>
      </c>
      <c r="D169" s="227" t="n">
        <v>13</v>
      </c>
      <c r="J169" s="232">
        <f>T169</f>
        <v/>
      </c>
      <c r="K169" s="233" t="n">
        <v>0</v>
      </c>
      <c r="L169" s="239">
        <f>IFERROR(M169/25,"")</f>
        <v/>
      </c>
      <c r="M169" s="240">
        <f>IF(ISNUMBER(P169),Z169,0)</f>
        <v/>
      </c>
      <c r="N169" s="175" t="n">
        <v>0</v>
      </c>
      <c r="O169" s="241">
        <f>IF(ISNUMBER(P169),X169,0)</f>
        <v/>
      </c>
      <c r="P169" s="242">
        <f>_xludf.IFNA(Z169/_xlfn.XLOOKUP(T169,$A$2:$A$624,$B$2:$B$624,""),"")</f>
        <v/>
      </c>
      <c r="Q169" s="242">
        <f>IFERROR(M169/O169,"-")</f>
        <v/>
      </c>
      <c r="R169" s="243">
        <f>IF(ISNUMBER(P169),AE169,0)</f>
        <v/>
      </c>
      <c r="S169" s="244">
        <f>IFERROR((N169/Q169),"-")</f>
        <v/>
      </c>
    </row>
    <row r="170">
      <c r="A170" s="297" t="n"/>
      <c r="B170" s="225" t="n"/>
      <c r="C170" s="226" t="n">
        <v>7416</v>
      </c>
      <c r="D170" s="227" t="n">
        <v>9.1</v>
      </c>
      <c r="J170" s="232">
        <f>T170</f>
        <v/>
      </c>
      <c r="K170" s="233" t="n">
        <v>0</v>
      </c>
      <c r="L170" s="239">
        <f>IFERROR(M170/25,"")</f>
        <v/>
      </c>
      <c r="M170" s="240">
        <f>IF(ISNUMBER(P170),Z170,0)</f>
        <v/>
      </c>
      <c r="N170" s="175" t="n">
        <v>0</v>
      </c>
      <c r="O170" s="241">
        <f>IF(ISNUMBER(P170),X170,0)</f>
        <v/>
      </c>
      <c r="P170" s="242">
        <f>_xludf.IFNA(Z170/_xlfn.XLOOKUP(T170,$A$2:$A$624,$B$2:$B$624,""),"")</f>
        <v/>
      </c>
      <c r="Q170" s="242">
        <f>IFERROR(M170/O170,"-")</f>
        <v/>
      </c>
      <c r="R170" s="243">
        <f>IF(ISNUMBER(P170),AE170,0)</f>
        <v/>
      </c>
      <c r="S170" s="244">
        <f>IFERROR((N170/Q170),"-")</f>
        <v/>
      </c>
    </row>
    <row r="171">
      <c r="A171" s="297" t="n"/>
      <c r="B171" s="225" t="n"/>
      <c r="C171" s="226" t="n">
        <v>7939</v>
      </c>
      <c r="D171" s="227" t="n">
        <v>9.6</v>
      </c>
      <c r="J171" s="232">
        <f>T171</f>
        <v/>
      </c>
      <c r="K171" s="233" t="n">
        <v>0</v>
      </c>
      <c r="L171" s="239">
        <f>IFERROR(M171/25,"")</f>
        <v/>
      </c>
      <c r="M171" s="240">
        <f>IF(ISNUMBER(P171),Z171,0)</f>
        <v/>
      </c>
      <c r="N171" s="175" t="n">
        <v>0</v>
      </c>
      <c r="O171" s="241">
        <f>IF(ISNUMBER(P171),X171,0)</f>
        <v/>
      </c>
      <c r="P171" s="242">
        <f>_xludf.IFNA(Z171/_xlfn.XLOOKUP(T171,$A$2:$A$624,$B$2:$B$624,""),"")</f>
        <v/>
      </c>
      <c r="Q171" s="242">
        <f>IFERROR(M171/O171,"-")</f>
        <v/>
      </c>
      <c r="R171" s="243">
        <f>IF(ISNUMBER(P171),AE171,0)</f>
        <v/>
      </c>
      <c r="S171" s="244">
        <f>IFERROR((N171/Q171),"-")</f>
        <v/>
      </c>
    </row>
    <row r="172">
      <c r="A172" s="298" t="n"/>
      <c r="B172" s="225" t="n"/>
      <c r="C172" s="226" t="n">
        <v>7232</v>
      </c>
      <c r="D172" s="227" t="n">
        <v>4.59</v>
      </c>
      <c r="J172" s="232">
        <f>T172</f>
        <v/>
      </c>
      <c r="K172" s="233" t="n">
        <v>0</v>
      </c>
      <c r="L172" s="239">
        <f>IFERROR(M172/25,"")</f>
        <v/>
      </c>
      <c r="M172" s="240">
        <f>IF(ISNUMBER(P172),Z172,0)</f>
        <v/>
      </c>
      <c r="N172" s="175" t="n">
        <v>0</v>
      </c>
      <c r="O172" s="241">
        <f>IF(ISNUMBER(P172),X172,0)</f>
        <v/>
      </c>
      <c r="P172" s="242">
        <f>_xludf.IFNA(Z172/_xlfn.XLOOKUP(T172,$A$2:$A$624,$B$2:$B$624,""),"")</f>
        <v/>
      </c>
      <c r="Q172" s="242">
        <f>IFERROR(M172/O172,"-")</f>
        <v/>
      </c>
      <c r="R172" s="243">
        <f>IF(ISNUMBER(P172),AE172,0)</f>
        <v/>
      </c>
      <c r="S172" s="244">
        <f>IFERROR((N172/Q172),"-")</f>
        <v/>
      </c>
    </row>
    <row r="173">
      <c r="A173" s="297" t="n"/>
      <c r="B173" s="225" t="n"/>
      <c r="C173" s="226" t="n">
        <v>7312</v>
      </c>
      <c r="D173" s="227" t="n">
        <v>8.6</v>
      </c>
      <c r="J173" s="232">
        <f>T173</f>
        <v/>
      </c>
      <c r="K173" s="233" t="n">
        <v>0</v>
      </c>
      <c r="L173" s="239">
        <f>IFERROR(M173/25,"")</f>
        <v/>
      </c>
      <c r="M173" s="240">
        <f>IF(ISNUMBER(P173),Z173,0)</f>
        <v/>
      </c>
      <c r="N173" s="175" t="n">
        <v>0</v>
      </c>
      <c r="O173" s="241">
        <f>IF(ISNUMBER(P173),X173,0)</f>
        <v/>
      </c>
      <c r="P173" s="242">
        <f>_xludf.IFNA(Z173/_xlfn.XLOOKUP(T173,$A$2:$A$624,$B$2:$B$624,""),"")</f>
        <v/>
      </c>
      <c r="Q173" s="242">
        <f>IFERROR(M173/O173,"-")</f>
        <v/>
      </c>
      <c r="R173" s="243">
        <f>IF(ISNUMBER(P173),AE173,0)</f>
        <v/>
      </c>
      <c r="S173" s="244">
        <f>IFERROR((N173/Q173),"-")</f>
        <v/>
      </c>
    </row>
    <row r="174">
      <c r="A174" s="298" t="n"/>
      <c r="B174" s="225" t="n"/>
      <c r="C174" s="226" t="n">
        <v>7315</v>
      </c>
      <c r="D174" s="227" t="n">
        <v>6.24</v>
      </c>
      <c r="J174" s="232">
        <f>T174</f>
        <v/>
      </c>
      <c r="K174" s="233" t="n">
        <v>0</v>
      </c>
      <c r="L174" s="239">
        <f>IFERROR(M174/25,"")</f>
        <v/>
      </c>
      <c r="M174" s="240">
        <f>IF(ISNUMBER(P174),Z174,0)</f>
        <v/>
      </c>
      <c r="N174" s="175" t="n">
        <v>0</v>
      </c>
      <c r="O174" s="241">
        <f>IF(ISNUMBER(P174),X174,0)</f>
        <v/>
      </c>
      <c r="P174" s="242">
        <f>_xludf.IFNA(Z174/_xlfn.XLOOKUP(T174,$A$2:$A$624,$B$2:$B$624,""),"")</f>
        <v/>
      </c>
      <c r="Q174" s="242">
        <f>IFERROR(M174/O174,"-")</f>
        <v/>
      </c>
      <c r="R174" s="243">
        <f>IF(ISNUMBER(P174),AE174,0)</f>
        <v/>
      </c>
      <c r="S174" s="244">
        <f>IFERROR((N174/Q174),"-")</f>
        <v/>
      </c>
    </row>
    <row r="175">
      <c r="A175" s="298" t="n"/>
      <c r="B175" s="225" t="n"/>
      <c r="C175" s="226" t="n">
        <v>7181</v>
      </c>
      <c r="D175" s="227" t="n">
        <v>13.9</v>
      </c>
      <c r="J175" s="232">
        <f>T175</f>
        <v/>
      </c>
      <c r="K175" s="233" t="n">
        <v>0</v>
      </c>
      <c r="L175" s="239">
        <f>IFERROR(M175/25,"")</f>
        <v/>
      </c>
      <c r="M175" s="240">
        <f>IF(ISNUMBER(P175),Z175,0)</f>
        <v/>
      </c>
      <c r="N175" s="175" t="n">
        <v>0</v>
      </c>
      <c r="O175" s="241">
        <f>IF(ISNUMBER(P175),X175,0)</f>
        <v/>
      </c>
      <c r="P175" s="242">
        <f>_xludf.IFNA(Z175/_xlfn.XLOOKUP(T175,$A$2:$A$624,$B$2:$B$624,""),"")</f>
        <v/>
      </c>
      <c r="Q175" s="242">
        <f>IFERROR(M175/O175,"-")</f>
        <v/>
      </c>
      <c r="R175" s="243">
        <f>IF(ISNUMBER(P175),AE175,0)</f>
        <v/>
      </c>
      <c r="S175" s="244">
        <f>IFERROR((N175/Q175),"-")</f>
        <v/>
      </c>
    </row>
    <row r="176">
      <c r="A176" s="297" t="n"/>
      <c r="B176" s="225" t="n"/>
      <c r="C176" s="226" t="n">
        <v>7183</v>
      </c>
      <c r="D176" s="227" t="n">
        <v>8.800000000000001</v>
      </c>
      <c r="J176" s="232">
        <f>T176</f>
        <v/>
      </c>
      <c r="K176" s="233" t="n">
        <v>0</v>
      </c>
      <c r="L176" s="239">
        <f>IFERROR(M176/25,"")</f>
        <v/>
      </c>
      <c r="M176" s="240">
        <f>IF(ISNUMBER(P176),Z176,0)</f>
        <v/>
      </c>
      <c r="N176" s="175" t="n">
        <v>0</v>
      </c>
      <c r="O176" s="241">
        <f>IF(ISNUMBER(P176),X176,0)</f>
        <v/>
      </c>
      <c r="P176" s="242">
        <f>_xludf.IFNA(Z176/_xlfn.XLOOKUP(T176,$A$2:$A$624,$B$2:$B$624,""),"")</f>
        <v/>
      </c>
      <c r="Q176" s="242">
        <f>IFERROR(M176/O176,"-")</f>
        <v/>
      </c>
      <c r="R176" s="243">
        <f>IF(ISNUMBER(P176),AE176,0)</f>
        <v/>
      </c>
      <c r="S176" s="244">
        <f>IFERROR((N176/Q176),"-")</f>
        <v/>
      </c>
    </row>
    <row r="177">
      <c r="A177" s="298" t="n"/>
      <c r="B177" s="225" t="n"/>
      <c r="C177" s="226" t="n">
        <v>7186</v>
      </c>
      <c r="D177" s="227" t="n">
        <v>10</v>
      </c>
      <c r="J177" s="232">
        <f>T177</f>
        <v/>
      </c>
      <c r="K177" s="233" t="n">
        <v>0</v>
      </c>
      <c r="L177" s="239">
        <f>IFERROR(M177/25,"")</f>
        <v/>
      </c>
      <c r="M177" s="240">
        <f>IF(ISNUMBER(P177),Z177,0)</f>
        <v/>
      </c>
      <c r="N177" s="175" t="n">
        <v>0</v>
      </c>
      <c r="O177" s="241">
        <f>IF(ISNUMBER(P177),X177,0)</f>
        <v/>
      </c>
      <c r="P177" s="242">
        <f>_xludf.IFNA(Z177/_xlfn.XLOOKUP(T177,$A$2:$A$624,$B$2:$B$624,""),"")</f>
        <v/>
      </c>
      <c r="Q177" s="242">
        <f>IFERROR(M177/O177,"-")</f>
        <v/>
      </c>
      <c r="R177" s="243">
        <f>IF(ISNUMBER(P177),AE177,0)</f>
        <v/>
      </c>
      <c r="S177" s="244">
        <f>IFERROR((N177/Q177),"-")</f>
        <v/>
      </c>
    </row>
    <row r="178">
      <c r="A178" s="298" t="n"/>
      <c r="B178" s="225" t="n"/>
      <c r="C178" s="226" t="n">
        <v>7195</v>
      </c>
      <c r="D178" s="227" t="n">
        <v>8.800000000000001</v>
      </c>
      <c r="J178" s="232">
        <f>T178</f>
        <v/>
      </c>
      <c r="K178" s="233" t="n">
        <v>0</v>
      </c>
      <c r="L178" s="239">
        <f>IFERROR(M178/25,"")</f>
        <v/>
      </c>
      <c r="M178" s="240">
        <f>IF(ISNUMBER(P178),Z178,0)</f>
        <v/>
      </c>
      <c r="N178" s="175" t="n">
        <v>0</v>
      </c>
      <c r="O178" s="241">
        <f>IF(ISNUMBER(P178),X178,0)</f>
        <v/>
      </c>
      <c r="P178" s="242">
        <f>_xludf.IFNA(Z178/_xlfn.XLOOKUP(T178,$A$2:$A$624,$B$2:$B$624,""),"")</f>
        <v/>
      </c>
      <c r="Q178" s="242">
        <f>IFERROR(M178/O178,"-")</f>
        <v/>
      </c>
      <c r="R178" s="243">
        <f>IF(ISNUMBER(P178),AE178,0)</f>
        <v/>
      </c>
      <c r="S178" s="244">
        <f>IFERROR((N178/Q178),"-")</f>
        <v/>
      </c>
    </row>
    <row r="179">
      <c r="A179" s="297" t="n"/>
      <c r="B179" s="225" t="n"/>
      <c r="C179" s="226" t="n">
        <v>7196</v>
      </c>
      <c r="D179" s="227" t="n">
        <v>8.800000000000001</v>
      </c>
      <c r="J179" s="232">
        <f>T179</f>
        <v/>
      </c>
      <c r="K179" s="233" t="n">
        <v>0</v>
      </c>
      <c r="L179" s="239">
        <f>IFERROR(M179/25,"")</f>
        <v/>
      </c>
      <c r="M179" s="240">
        <f>IF(ISNUMBER(P179),Z179,0)</f>
        <v/>
      </c>
      <c r="N179" s="175" t="n">
        <v>0</v>
      </c>
      <c r="O179" s="241">
        <f>IF(ISNUMBER(P179),X179,0)</f>
        <v/>
      </c>
      <c r="P179" s="242">
        <f>_xludf.IFNA(Z179/_xlfn.XLOOKUP(T179,$A$2:$A$624,$B$2:$B$624,""),"")</f>
        <v/>
      </c>
      <c r="Q179" s="242">
        <f>IFERROR(M179/O179,"-")</f>
        <v/>
      </c>
      <c r="R179" s="243">
        <f>IF(ISNUMBER(P179),AE179,0)</f>
        <v/>
      </c>
      <c r="S179" s="244">
        <f>IFERROR((N179/Q179),"-")</f>
        <v/>
      </c>
    </row>
    <row r="180">
      <c r="A180" s="297" t="n"/>
      <c r="B180" s="225" t="n"/>
      <c r="C180" s="226" t="n">
        <v>7197</v>
      </c>
      <c r="D180" s="227" t="n">
        <v>8.800000000000001</v>
      </c>
      <c r="J180" s="232">
        <f>T180</f>
        <v/>
      </c>
      <c r="K180" s="233" t="n">
        <v>0</v>
      </c>
      <c r="L180" s="239">
        <f>IFERROR(M180/25,"")</f>
        <v/>
      </c>
      <c r="M180" s="240">
        <f>IF(ISNUMBER(P180),Z180,0)</f>
        <v/>
      </c>
      <c r="N180" s="175" t="n">
        <v>0</v>
      </c>
      <c r="O180" s="241">
        <f>IF(ISNUMBER(P180),X180,0)</f>
        <v/>
      </c>
      <c r="P180" s="242">
        <f>_xludf.IFNA(Z180/_xlfn.XLOOKUP(T180,$A$2:$A$624,$B$2:$B$624,""),"")</f>
        <v/>
      </c>
      <c r="Q180" s="242">
        <f>IFERROR(M180/O180,"-")</f>
        <v/>
      </c>
      <c r="R180" s="243">
        <f>IF(ISNUMBER(P180),AE180,0)</f>
        <v/>
      </c>
      <c r="S180" s="244">
        <f>IFERROR((N180/Q180),"-")</f>
        <v/>
      </c>
    </row>
    <row r="181">
      <c r="A181" s="297" t="n"/>
      <c r="B181" s="225" t="n"/>
      <c r="C181" s="226" t="n">
        <v>7198</v>
      </c>
      <c r="D181" s="227" t="n">
        <v>8.800000000000001</v>
      </c>
      <c r="J181" s="232">
        <f>T181</f>
        <v/>
      </c>
      <c r="K181" s="233" t="n">
        <v>0</v>
      </c>
      <c r="L181" s="239">
        <f>IFERROR(M181/25,"")</f>
        <v/>
      </c>
      <c r="M181" s="240">
        <f>IF(ISNUMBER(P181),Z181,0)</f>
        <v/>
      </c>
      <c r="N181" s="175" t="n">
        <v>0</v>
      </c>
      <c r="O181" s="241">
        <f>IF(ISNUMBER(P181),X181,0)</f>
        <v/>
      </c>
      <c r="P181" s="242">
        <f>_xludf.IFNA(Z181/_xlfn.XLOOKUP(T181,$A$2:$A$624,$B$2:$B$624,""),"")</f>
        <v/>
      </c>
      <c r="Q181" s="242">
        <f>IFERROR(M181/O181,"-")</f>
        <v/>
      </c>
      <c r="R181" s="243">
        <f>IF(ISNUMBER(P181),AE181,0)</f>
        <v/>
      </c>
      <c r="S181" s="244">
        <f>IFERROR((N181/Q181),"-")</f>
        <v/>
      </c>
    </row>
    <row r="182">
      <c r="A182" s="299" t="n"/>
      <c r="B182" s="225" t="n"/>
      <c r="C182" s="226" t="n">
        <v>7279</v>
      </c>
      <c r="D182" s="227" t="n">
        <v>7.8</v>
      </c>
      <c r="J182" s="232">
        <f>T182</f>
        <v/>
      </c>
      <c r="K182" s="233" t="n">
        <v>0</v>
      </c>
      <c r="L182" s="239">
        <f>IFERROR(M182/25,"")</f>
        <v/>
      </c>
      <c r="M182" s="240">
        <f>IF(ISNUMBER(P182),Z182,0)</f>
        <v/>
      </c>
      <c r="N182" s="175" t="n">
        <v>0</v>
      </c>
      <c r="O182" s="241">
        <f>IF(ISNUMBER(P182),X182,0)</f>
        <v/>
      </c>
      <c r="P182" s="242">
        <f>_xludf.IFNA(Z182/_xlfn.XLOOKUP(T182,$A$2:$A$624,$B$2:$B$624,""),"")</f>
        <v/>
      </c>
      <c r="Q182" s="242">
        <f>IFERROR(M182/O182,"-")</f>
        <v/>
      </c>
      <c r="R182" s="243">
        <f>IF(ISNUMBER(P182),AE182,0)</f>
        <v/>
      </c>
      <c r="S182" s="244">
        <f>IFERROR((N182/Q182),"-")</f>
        <v/>
      </c>
    </row>
    <row r="183">
      <c r="A183" s="299" t="n"/>
      <c r="B183" s="225" t="n"/>
      <c r="C183" s="226" t="n">
        <v>7280</v>
      </c>
      <c r="D183" s="227" t="n">
        <v>7.8</v>
      </c>
      <c r="J183" s="232">
        <f>T183</f>
        <v/>
      </c>
      <c r="K183" s="233" t="n">
        <v>0</v>
      </c>
      <c r="L183" s="239">
        <f>IFERROR(M183/25,"")</f>
        <v/>
      </c>
      <c r="M183" s="240">
        <f>IF(ISNUMBER(P183),Z183,0)</f>
        <v/>
      </c>
      <c r="N183" s="175" t="n">
        <v>0</v>
      </c>
      <c r="O183" s="241">
        <f>IF(ISNUMBER(P183),X183,0)</f>
        <v/>
      </c>
      <c r="P183" s="242">
        <f>_xludf.IFNA(Z183/_xlfn.XLOOKUP(T183,$A$2:$A$624,$B$2:$B$624,""),"")</f>
        <v/>
      </c>
      <c r="Q183" s="242">
        <f>IFERROR(M183/O183,"-")</f>
        <v/>
      </c>
      <c r="R183" s="243">
        <f>IF(ISNUMBER(P183),AE183,0)</f>
        <v/>
      </c>
      <c r="S183" s="244">
        <f>IFERROR((N183/Q183),"-")</f>
        <v/>
      </c>
    </row>
    <row r="184">
      <c r="A184" s="299" t="n"/>
      <c r="B184" s="225" t="n"/>
      <c r="C184" s="226" t="n">
        <v>7281</v>
      </c>
      <c r="D184" s="227" t="n">
        <v>7.8</v>
      </c>
      <c r="J184" s="232">
        <f>T184</f>
        <v/>
      </c>
      <c r="K184" s="233" t="n">
        <v>0</v>
      </c>
      <c r="L184" s="239">
        <f>IFERROR(M184/25,"")</f>
        <v/>
      </c>
      <c r="M184" s="240">
        <f>IF(ISNUMBER(P184),Z184,0)</f>
        <v/>
      </c>
      <c r="N184" s="175" t="n">
        <v>0</v>
      </c>
      <c r="O184" s="241">
        <f>IF(ISNUMBER(P184),X184,0)</f>
        <v/>
      </c>
      <c r="P184" s="242">
        <f>_xludf.IFNA(Z184/_xlfn.XLOOKUP(T184,$A$2:$A$624,$B$2:$B$624,""),"")</f>
        <v/>
      </c>
      <c r="Q184" s="242">
        <f>IFERROR(M184/O184,"-")</f>
        <v/>
      </c>
      <c r="R184" s="243">
        <f>IF(ISNUMBER(P184),AE184,0)</f>
        <v/>
      </c>
      <c r="S184" s="244">
        <f>IFERROR((N184/Q184),"-")</f>
        <v/>
      </c>
    </row>
    <row r="185">
      <c r="A185" s="299" t="n"/>
      <c r="B185" s="225" t="n"/>
      <c r="C185" s="226" t="n">
        <v>1545</v>
      </c>
      <c r="D185" s="227" t="n">
        <v>4.8</v>
      </c>
      <c r="J185" s="232">
        <f>T185</f>
        <v/>
      </c>
      <c r="K185" s="233" t="n">
        <v>0</v>
      </c>
      <c r="L185" s="239">
        <f>IFERROR(M185/25,"")</f>
        <v/>
      </c>
      <c r="M185" s="240">
        <f>IF(ISNUMBER(P185),Z185,0)</f>
        <v/>
      </c>
      <c r="N185" s="175" t="n">
        <v>0</v>
      </c>
      <c r="O185" s="241">
        <f>IF(ISNUMBER(P185),X185,0)</f>
        <v/>
      </c>
      <c r="P185" s="242">
        <f>_xludf.IFNA(Z185/_xlfn.XLOOKUP(T185,$A$2:$A$624,$B$2:$B$624,""),"")</f>
        <v/>
      </c>
      <c r="Q185" s="242">
        <f>IFERROR(M185/O185,"-")</f>
        <v/>
      </c>
      <c r="R185" s="243">
        <f>IF(ISNUMBER(P185),AE185,0)</f>
        <v/>
      </c>
      <c r="S185" s="244">
        <f>IFERROR((N185/Q185),"-")</f>
        <v/>
      </c>
    </row>
    <row r="186">
      <c r="A186" s="299" t="n"/>
      <c r="B186" s="225" t="n"/>
      <c r="C186" s="226" t="n">
        <v>1546</v>
      </c>
      <c r="D186" s="227" t="n">
        <v>7.2</v>
      </c>
      <c r="J186" s="232">
        <f>T186</f>
        <v/>
      </c>
      <c r="K186" s="233" t="n">
        <v>0</v>
      </c>
      <c r="L186" s="239">
        <f>IFERROR(M186/25,"")</f>
        <v/>
      </c>
      <c r="M186" s="240">
        <f>IF(ISNUMBER(P186),Z186,0)</f>
        <v/>
      </c>
      <c r="N186" s="175" t="n">
        <v>0</v>
      </c>
      <c r="O186" s="241">
        <f>IF(ISNUMBER(P186),X186,0)</f>
        <v/>
      </c>
      <c r="P186" s="242">
        <f>_xludf.IFNA(Z186/_xlfn.XLOOKUP(T186,$A$2:$A$624,$B$2:$B$624,""),"")</f>
        <v/>
      </c>
      <c r="Q186" s="242">
        <f>IFERROR(M186/O186,"-")</f>
        <v/>
      </c>
      <c r="R186" s="243">
        <f>IF(ISNUMBER(P186),AE186,0)</f>
        <v/>
      </c>
      <c r="S186" s="244">
        <f>IFERROR((N186/Q186),"-")</f>
        <v/>
      </c>
    </row>
    <row r="187">
      <c r="A187" s="299" t="n"/>
      <c r="B187" s="225" t="n"/>
      <c r="C187" s="226" t="n">
        <v>1547</v>
      </c>
      <c r="D187" s="227" t="n">
        <v>9</v>
      </c>
      <c r="J187" s="232">
        <f>T187</f>
        <v/>
      </c>
      <c r="K187" s="233" t="n">
        <v>0</v>
      </c>
      <c r="L187" s="239">
        <f>IFERROR(M187/25,"")</f>
        <v/>
      </c>
      <c r="M187" s="240">
        <f>IF(ISNUMBER(P187),Z187,0)</f>
        <v/>
      </c>
      <c r="N187" s="175" t="n">
        <v>0</v>
      </c>
      <c r="O187" s="241">
        <f>IF(ISNUMBER(P187),X187,0)</f>
        <v/>
      </c>
      <c r="P187" s="242">
        <f>_xludf.IFNA(Z187/_xlfn.XLOOKUP(T187,$A$2:$A$624,$B$2:$B$624,""),"")</f>
        <v/>
      </c>
      <c r="Q187" s="242">
        <f>IFERROR(M187/O187,"-")</f>
        <v/>
      </c>
      <c r="R187" s="243">
        <f>IF(ISNUMBER(P187),AE187,0)</f>
        <v/>
      </c>
      <c r="S187" s="244">
        <f>IFERROR((N187/Q187),"-")</f>
        <v/>
      </c>
    </row>
    <row r="188">
      <c r="A188" s="299" t="n"/>
      <c r="B188" s="225" t="n"/>
      <c r="C188" s="226" t="n">
        <v>1550</v>
      </c>
      <c r="D188" s="227" t="n">
        <v>9</v>
      </c>
      <c r="J188" s="232">
        <f>T188</f>
        <v/>
      </c>
      <c r="K188" s="233" t="n">
        <v>0</v>
      </c>
      <c r="L188" s="239">
        <f>IFERROR(M188/25,"")</f>
        <v/>
      </c>
      <c r="M188" s="240">
        <f>IF(ISNUMBER(P188),Z188,0)</f>
        <v/>
      </c>
      <c r="N188" s="175" t="n">
        <v>0</v>
      </c>
      <c r="O188" s="241">
        <f>IF(ISNUMBER(P188),X188,0)</f>
        <v/>
      </c>
      <c r="P188" s="242">
        <f>_xludf.IFNA(Z188/_xlfn.XLOOKUP(T188,$A$2:$A$624,$B$2:$B$624,""),"")</f>
        <v/>
      </c>
      <c r="Q188" s="242">
        <f>IFERROR(M188/O188,"-")</f>
        <v/>
      </c>
      <c r="R188" s="243">
        <f>IF(ISNUMBER(P188),AE188,0)</f>
        <v/>
      </c>
      <c r="S188" s="244">
        <f>IFERROR((N188/Q188),"-")</f>
        <v/>
      </c>
    </row>
    <row r="189">
      <c r="A189" s="299" t="n"/>
      <c r="B189" s="225" t="n"/>
      <c r="C189" s="226" t="n">
        <v>1551</v>
      </c>
      <c r="D189" s="227" t="n">
        <v>13</v>
      </c>
      <c r="J189" s="232">
        <f>T189</f>
        <v/>
      </c>
      <c r="K189" s="233" t="n">
        <v>0</v>
      </c>
      <c r="L189" s="239">
        <f>IFERROR(M189/25,"")</f>
        <v/>
      </c>
      <c r="M189" s="240">
        <f>IF(ISNUMBER(P189),Z189,0)</f>
        <v/>
      </c>
      <c r="N189" s="175" t="n">
        <v>0</v>
      </c>
      <c r="O189" s="241">
        <f>IF(ISNUMBER(P189),X189,0)</f>
        <v/>
      </c>
      <c r="P189" s="242">
        <f>_xludf.IFNA(Z189/_xlfn.XLOOKUP(T189,$A$2:$A$624,$B$2:$B$624,""),"")</f>
        <v/>
      </c>
      <c r="Q189" s="242">
        <f>IFERROR(M189/O189,"-")</f>
        <v/>
      </c>
      <c r="R189" s="243">
        <f>IF(ISNUMBER(P189),AE189,0)</f>
        <v/>
      </c>
      <c r="S189" s="244">
        <f>IFERROR((N189/Q189),"-")</f>
        <v/>
      </c>
    </row>
    <row r="190">
      <c r="A190" s="299" t="n"/>
      <c r="B190" s="225" t="n"/>
      <c r="C190" s="226" t="n">
        <v>1552</v>
      </c>
      <c r="D190" s="227" t="n">
        <v>12</v>
      </c>
      <c r="J190" s="232">
        <f>T190</f>
        <v/>
      </c>
      <c r="K190" s="233" t="n">
        <v>0</v>
      </c>
      <c r="L190" s="239">
        <f>IFERROR(M190/25,"")</f>
        <v/>
      </c>
      <c r="M190" s="240">
        <f>IF(ISNUMBER(P190),Z190,0)</f>
        <v/>
      </c>
      <c r="N190" s="175" t="n">
        <v>0</v>
      </c>
      <c r="O190" s="241">
        <f>IF(ISNUMBER(P190),X190,0)</f>
        <v/>
      </c>
      <c r="P190" s="242">
        <f>_xludf.IFNA(Z190/_xlfn.XLOOKUP(T190,$A$2:$A$624,$B$2:$B$624,""),"")</f>
        <v/>
      </c>
      <c r="Q190" s="242">
        <f>IFERROR(M190/O190,"-")</f>
        <v/>
      </c>
      <c r="R190" s="243">
        <f>IF(ISNUMBER(P190),AE190,0)</f>
        <v/>
      </c>
      <c r="S190" s="244">
        <f>IFERROR((N190/Q190),"-")</f>
        <v/>
      </c>
    </row>
    <row r="191">
      <c r="A191" s="299" t="n"/>
      <c r="B191" s="225" t="n"/>
      <c r="C191" s="226" t="n">
        <v>1553</v>
      </c>
      <c r="D191" s="227" t="n">
        <v>9.24</v>
      </c>
      <c r="J191" s="232">
        <f>T191</f>
        <v/>
      </c>
      <c r="K191" s="233" t="n">
        <v>0</v>
      </c>
      <c r="L191" s="239">
        <f>IFERROR(M191/25,"")</f>
        <v/>
      </c>
      <c r="M191" s="240">
        <f>IF(ISNUMBER(P191),Z191,0)</f>
        <v/>
      </c>
      <c r="N191" s="175" t="n">
        <v>0</v>
      </c>
      <c r="O191" s="241">
        <f>IF(ISNUMBER(P191),X191,0)</f>
        <v/>
      </c>
      <c r="P191" s="242">
        <f>_xludf.IFNA(Z191/_xlfn.XLOOKUP(T191,$A$2:$A$624,$B$2:$B$624,""),"")</f>
        <v/>
      </c>
      <c r="Q191" s="242">
        <f>IFERROR(M191/O191,"-")</f>
        <v/>
      </c>
      <c r="R191" s="243">
        <f>IF(ISNUMBER(P191),AE191,0)</f>
        <v/>
      </c>
      <c r="S191" s="244">
        <f>IFERROR((N191/Q191),"-")</f>
        <v/>
      </c>
    </row>
    <row r="192">
      <c r="A192" s="299" t="n"/>
      <c r="B192" s="225" t="n"/>
      <c r="C192" s="226" t="n">
        <v>1554</v>
      </c>
      <c r="D192" s="227" t="n">
        <v>9.24</v>
      </c>
      <c r="J192" s="232">
        <f>T192</f>
        <v/>
      </c>
      <c r="K192" s="233" t="n">
        <v>0</v>
      </c>
      <c r="L192" s="239">
        <f>IFERROR(M192/25,"")</f>
        <v/>
      </c>
      <c r="M192" s="240">
        <f>IF(ISNUMBER(P192),Z192,0)</f>
        <v/>
      </c>
      <c r="N192" s="175" t="n">
        <v>0</v>
      </c>
      <c r="O192" s="241">
        <f>IF(ISNUMBER(P192),X192,0)</f>
        <v/>
      </c>
      <c r="P192" s="242">
        <f>_xludf.IFNA(Z192/_xlfn.XLOOKUP(T192,$A$2:$A$624,$B$2:$B$624,""),"")</f>
        <v/>
      </c>
      <c r="Q192" s="242">
        <f>IFERROR(M192/O192,"-")</f>
        <v/>
      </c>
      <c r="R192" s="243">
        <f>IF(ISNUMBER(P192),AE192,0)</f>
        <v/>
      </c>
      <c r="S192" s="244">
        <f>IFERROR((N192/Q192),"-")</f>
        <v/>
      </c>
    </row>
    <row r="193">
      <c r="A193" s="299" t="n"/>
      <c r="B193" s="225" t="n"/>
      <c r="C193" s="226" t="n">
        <v>1555</v>
      </c>
      <c r="D193" s="227" t="n">
        <v>9.24</v>
      </c>
      <c r="J193" s="232">
        <f>T193</f>
        <v/>
      </c>
      <c r="K193" s="233" t="n">
        <v>0</v>
      </c>
      <c r="L193" s="239">
        <f>IFERROR(M193/25,"")</f>
        <v/>
      </c>
      <c r="M193" s="240">
        <f>IF(ISNUMBER(P193),Z193,0)</f>
        <v/>
      </c>
      <c r="N193" s="175" t="n">
        <v>0</v>
      </c>
      <c r="O193" s="241">
        <f>IF(ISNUMBER(P193),X193,0)</f>
        <v/>
      </c>
      <c r="P193" s="242">
        <f>_xludf.IFNA(Z193/_xlfn.XLOOKUP(T193,$A$2:$A$624,$B$2:$B$624,""),"")</f>
        <v/>
      </c>
      <c r="Q193" s="242">
        <f>IFERROR(M193/O193,"-")</f>
        <v/>
      </c>
      <c r="R193" s="243">
        <f>IF(ISNUMBER(P193),AE193,0)</f>
        <v/>
      </c>
      <c r="S193" s="244">
        <f>IFERROR((N193/Q193),"-")</f>
        <v/>
      </c>
    </row>
    <row r="194">
      <c r="A194" s="299" t="n"/>
      <c r="B194" s="225" t="n"/>
      <c r="C194" s="226" t="n">
        <v>1556</v>
      </c>
      <c r="D194" s="227" t="n">
        <v>10.56</v>
      </c>
      <c r="J194" s="232">
        <f>T194</f>
        <v/>
      </c>
      <c r="K194" s="233" t="n">
        <v>0</v>
      </c>
      <c r="L194" s="239">
        <f>IFERROR(M194/25,"")</f>
        <v/>
      </c>
      <c r="M194" s="240">
        <f>IF(ISNUMBER(P194),Z194,0)</f>
        <v/>
      </c>
      <c r="N194" s="175" t="n">
        <v>0</v>
      </c>
      <c r="O194" s="241">
        <f>IF(ISNUMBER(P194),X194,0)</f>
        <v/>
      </c>
      <c r="P194" s="242">
        <f>_xludf.IFNA(Z194/_xlfn.XLOOKUP(T194,$A$2:$A$624,$B$2:$B$624,""),"")</f>
        <v/>
      </c>
      <c r="Q194" s="242">
        <f>IFERROR(M194/O194,"-")</f>
        <v/>
      </c>
      <c r="R194" s="243">
        <f>IF(ISNUMBER(P194),AE194,0)</f>
        <v/>
      </c>
      <c r="S194" s="244">
        <f>IFERROR((N194/Q194),"-")</f>
        <v/>
      </c>
    </row>
    <row r="195">
      <c r="A195" s="299" t="n"/>
      <c r="B195" s="225" t="n"/>
      <c r="C195" s="226" t="n">
        <v>1557</v>
      </c>
      <c r="D195" s="227" t="n">
        <v>8.58</v>
      </c>
      <c r="J195" s="232">
        <f>T195</f>
        <v/>
      </c>
      <c r="K195" s="233" t="n">
        <v>0</v>
      </c>
      <c r="L195" s="239">
        <f>IFERROR(M195/25,"")</f>
        <v/>
      </c>
      <c r="M195" s="240">
        <f>IF(ISNUMBER(P195),Z195,0)</f>
        <v/>
      </c>
      <c r="N195" s="175" t="n">
        <v>0</v>
      </c>
      <c r="O195" s="241">
        <f>IF(ISNUMBER(P195),X195,0)</f>
        <v/>
      </c>
      <c r="P195" s="242">
        <f>_xludf.IFNA(Z195/_xlfn.XLOOKUP(T195,$A$2:$A$624,$B$2:$B$624,""),"")</f>
        <v/>
      </c>
      <c r="Q195" s="242">
        <f>IFERROR(M195/O195,"-")</f>
        <v/>
      </c>
      <c r="R195" s="243">
        <f>IF(ISNUMBER(P195),AE195,0)</f>
        <v/>
      </c>
      <c r="S195" s="244">
        <f>IFERROR((N195/Q195),"-")</f>
        <v/>
      </c>
    </row>
    <row r="196">
      <c r="A196" s="300" t="n"/>
      <c r="B196" s="225" t="n"/>
      <c r="C196" s="226" t="n">
        <v>1558</v>
      </c>
      <c r="D196" s="227" t="n">
        <v>13.64</v>
      </c>
      <c r="J196" s="232">
        <f>T196</f>
        <v/>
      </c>
      <c r="K196" s="233" t="n">
        <v>0</v>
      </c>
      <c r="L196" s="239">
        <f>IFERROR(M196/25,"")</f>
        <v/>
      </c>
      <c r="M196" s="240">
        <f>IF(ISNUMBER(P196),Z196,0)</f>
        <v/>
      </c>
      <c r="N196" s="175" t="n">
        <v>0</v>
      </c>
      <c r="O196" s="241">
        <f>IF(ISNUMBER(P196),X196,0)</f>
        <v/>
      </c>
      <c r="P196" s="242">
        <f>_xludf.IFNA(Z196/_xlfn.XLOOKUP(T196,$A$2:$A$624,$B$2:$B$624,""),"")</f>
        <v/>
      </c>
      <c r="Q196" s="242">
        <f>IFERROR(M196/O196,"-")</f>
        <v/>
      </c>
      <c r="R196" s="243">
        <f>IF(ISNUMBER(P196),AE196,0)</f>
        <v/>
      </c>
      <c r="S196" s="244">
        <f>IFERROR((N196/Q196),"-")</f>
        <v/>
      </c>
    </row>
    <row r="197">
      <c r="A197" s="300" t="n"/>
      <c r="B197" s="225" t="n"/>
      <c r="C197" s="226" t="n">
        <v>1559</v>
      </c>
      <c r="D197" s="227" t="n">
        <v>10.56</v>
      </c>
      <c r="J197" s="232">
        <f>T197</f>
        <v/>
      </c>
      <c r="K197" s="233" t="n">
        <v>0</v>
      </c>
      <c r="L197" s="239">
        <f>IFERROR(M197/25,"")</f>
        <v/>
      </c>
      <c r="M197" s="240">
        <f>IF(ISNUMBER(P197),Z197,0)</f>
        <v/>
      </c>
      <c r="N197" s="175" t="n">
        <v>0</v>
      </c>
      <c r="O197" s="241">
        <f>IF(ISNUMBER(P197),X197,0)</f>
        <v/>
      </c>
      <c r="P197" s="242">
        <f>_xludf.IFNA(Z197/_xlfn.XLOOKUP(T197,$A$2:$A$624,$B$2:$B$624,""),"")</f>
        <v/>
      </c>
      <c r="Q197" s="242">
        <f>IFERROR(M197/O197,"-")</f>
        <v/>
      </c>
      <c r="R197" s="243">
        <f>IF(ISNUMBER(P197),AE197,0)</f>
        <v/>
      </c>
      <c r="S197" s="244">
        <f>IFERROR((N197/Q197),"-")</f>
        <v/>
      </c>
    </row>
    <row r="198">
      <c r="A198" s="148" t="n"/>
      <c r="B198" s="225" t="n"/>
      <c r="C198" s="226" t="n">
        <v>1560</v>
      </c>
      <c r="D198" s="227" t="n">
        <v>15.84</v>
      </c>
      <c r="J198" s="232">
        <f>T198</f>
        <v/>
      </c>
      <c r="K198" s="233" t="n">
        <v>0</v>
      </c>
      <c r="L198" s="239">
        <f>IFERROR(M198/25,"")</f>
        <v/>
      </c>
      <c r="M198" s="240">
        <f>IF(ISNUMBER(P198),Z198,0)</f>
        <v/>
      </c>
      <c r="N198" s="175" t="n">
        <v>0</v>
      </c>
      <c r="O198" s="241">
        <f>IF(ISNUMBER(P198),X198,0)</f>
        <v/>
      </c>
      <c r="P198" s="242">
        <f>_xludf.IFNA(Z198/_xlfn.XLOOKUP(T198,$A$2:$A$624,$B$2:$B$624,""),"")</f>
        <v/>
      </c>
      <c r="Q198" s="242">
        <f>IFERROR(M198/O198,"-")</f>
        <v/>
      </c>
      <c r="R198" s="243">
        <f>IF(ISNUMBER(P198),AE198,0)</f>
        <v/>
      </c>
      <c r="S198" s="244">
        <f>IFERROR((N198/Q198),"-")</f>
        <v/>
      </c>
    </row>
    <row r="199">
      <c r="A199" s="148" t="n"/>
      <c r="B199" s="225" t="n"/>
      <c r="C199" s="226" t="n">
        <v>1561</v>
      </c>
      <c r="D199" s="227" t="n">
        <v>9.24</v>
      </c>
      <c r="J199" s="232">
        <f>T199</f>
        <v/>
      </c>
      <c r="K199" s="233" t="n">
        <v>0</v>
      </c>
      <c r="L199" s="239">
        <f>IFERROR(M199/25,"")</f>
        <v/>
      </c>
      <c r="M199" s="240">
        <f>IF(ISNUMBER(P199),Z199,0)</f>
        <v/>
      </c>
      <c r="N199" s="175" t="n">
        <v>0</v>
      </c>
      <c r="O199" s="241">
        <f>IF(ISNUMBER(P199),X199,0)</f>
        <v/>
      </c>
      <c r="P199" s="242">
        <f>_xludf.IFNA(Z199/_xlfn.XLOOKUP(T199,$A$2:$A$624,$B$2:$B$624,""),"")</f>
        <v/>
      </c>
      <c r="Q199" s="242">
        <f>IFERROR(M199/O199,"-")</f>
        <v/>
      </c>
      <c r="R199" s="243">
        <f>IF(ISNUMBER(P199),AE199,0)</f>
        <v/>
      </c>
      <c r="S199" s="244">
        <f>IFERROR((N199/Q199),"-")</f>
        <v/>
      </c>
    </row>
    <row r="200">
      <c r="A200" s="148" t="n"/>
      <c r="B200" s="225" t="n"/>
      <c r="C200" s="226" t="n">
        <v>1562</v>
      </c>
      <c r="D200" s="227" t="n">
        <v>15.84</v>
      </c>
      <c r="J200" s="232">
        <f>T200</f>
        <v/>
      </c>
      <c r="K200" s="233" t="n">
        <v>0</v>
      </c>
      <c r="L200" s="239">
        <f>IFERROR(M200/25,"")</f>
        <v/>
      </c>
      <c r="M200" s="240">
        <f>IF(ISNUMBER(P200),Z200,0)</f>
        <v/>
      </c>
      <c r="N200" s="175" t="n">
        <v>0</v>
      </c>
      <c r="O200" s="241">
        <f>IF(ISNUMBER(P200),X200,0)</f>
        <v/>
      </c>
      <c r="P200" s="242">
        <f>_xludf.IFNA(Z200/_xlfn.XLOOKUP(T200,$A$2:$A$624,$B$2:$B$624,""),"")</f>
        <v/>
      </c>
      <c r="Q200" s="242">
        <f>IFERROR(M200/O200,"-")</f>
        <v/>
      </c>
      <c r="R200" s="243">
        <f>IF(ISNUMBER(P200),AE200,0)</f>
        <v/>
      </c>
      <c r="S200" s="244">
        <f>IFERROR((N200/Q200),"-")</f>
        <v/>
      </c>
    </row>
    <row r="201">
      <c r="A201" s="148" t="n"/>
      <c r="B201" s="225" t="n"/>
      <c r="C201" s="226" t="n">
        <v>1563</v>
      </c>
      <c r="D201" s="227" t="n">
        <v>11.88</v>
      </c>
      <c r="J201" s="232">
        <f>T201</f>
        <v/>
      </c>
      <c r="K201" s="233" t="n">
        <v>0</v>
      </c>
      <c r="L201" s="239">
        <f>IFERROR(M201/25,"")</f>
        <v/>
      </c>
      <c r="M201" s="240">
        <f>IF(ISNUMBER(P201),Z201,0)</f>
        <v/>
      </c>
      <c r="N201" s="175" t="n">
        <v>0</v>
      </c>
      <c r="O201" s="241">
        <f>IF(ISNUMBER(P201),X201,0)</f>
        <v/>
      </c>
      <c r="P201" s="242">
        <f>_xludf.IFNA(Z201/_xlfn.XLOOKUP(T201,$A$2:$A$624,$B$2:$B$624,""),"")</f>
        <v/>
      </c>
      <c r="Q201" s="242">
        <f>IFERROR(M201/O201,"-")</f>
        <v/>
      </c>
      <c r="R201" s="243">
        <f>IF(ISNUMBER(P201),AE201,0)</f>
        <v/>
      </c>
      <c r="S201" s="244">
        <f>IFERROR((N201/Q201),"-")</f>
        <v/>
      </c>
    </row>
    <row r="202">
      <c r="A202" s="148" t="n"/>
      <c r="B202" s="225" t="n"/>
      <c r="C202" s="226" t="n">
        <v>1564</v>
      </c>
      <c r="D202" s="227" t="n">
        <v>10.56</v>
      </c>
      <c r="J202" s="232">
        <f>T202</f>
        <v/>
      </c>
      <c r="K202" s="233" t="n">
        <v>0</v>
      </c>
      <c r="L202" s="239">
        <f>IFERROR(M202/25,"")</f>
        <v/>
      </c>
      <c r="M202" s="240">
        <f>IF(ISNUMBER(P202),Z202,0)</f>
        <v/>
      </c>
      <c r="N202" s="175" t="n">
        <v>0</v>
      </c>
      <c r="O202" s="241">
        <f>IF(ISNUMBER(P202),X202,0)</f>
        <v/>
      </c>
      <c r="P202" s="242">
        <f>_xludf.IFNA(Z202/_xlfn.XLOOKUP(T202,$A$2:$A$624,$B$2:$B$624,""),"")</f>
        <v/>
      </c>
      <c r="Q202" s="242">
        <f>IFERROR(M202/O202,"-")</f>
        <v/>
      </c>
      <c r="R202" s="243">
        <f>IF(ISNUMBER(P202),AE202,0)</f>
        <v/>
      </c>
      <c r="S202" s="244">
        <f>IFERROR((N202/Q202),"-")</f>
        <v/>
      </c>
    </row>
    <row r="203">
      <c r="A203" s="148" t="n"/>
      <c r="B203" s="225" t="n"/>
      <c r="C203" s="226" t="n">
        <v>1565</v>
      </c>
      <c r="D203" s="227" t="n">
        <v>8.91</v>
      </c>
      <c r="J203" s="232">
        <f>T203</f>
        <v/>
      </c>
      <c r="K203" s="233" t="n">
        <v>0</v>
      </c>
      <c r="L203" s="239">
        <f>IFERROR(M203/25,"")</f>
        <v/>
      </c>
      <c r="M203" s="240">
        <f>IF(ISNUMBER(P203),Z203,0)</f>
        <v/>
      </c>
      <c r="N203" s="175" t="n">
        <v>0</v>
      </c>
      <c r="O203" s="241">
        <f>IF(ISNUMBER(P203),X203,0)</f>
        <v/>
      </c>
      <c r="P203" s="242">
        <f>_xludf.IFNA(Z203/_xlfn.XLOOKUP(T203,$A$2:$A$624,$B$2:$B$624,""),"")</f>
        <v/>
      </c>
      <c r="Q203" s="242">
        <f>IFERROR(M203/O203,"-")</f>
        <v/>
      </c>
      <c r="R203" s="243">
        <f>IF(ISNUMBER(P203),AE203,0)</f>
        <v/>
      </c>
      <c r="S203" s="244">
        <f>IFERROR((N203/Q203),"-")</f>
        <v/>
      </c>
    </row>
    <row r="204">
      <c r="A204" s="301" t="n"/>
      <c r="B204" s="225" t="n"/>
      <c r="C204" s="226" t="n">
        <v>1566</v>
      </c>
      <c r="D204" s="227" t="n">
        <v>9</v>
      </c>
      <c r="J204" s="232">
        <f>T204</f>
        <v/>
      </c>
      <c r="K204" s="233" t="n">
        <v>0</v>
      </c>
      <c r="L204" s="239">
        <f>IFERROR(M204/25,"")</f>
        <v/>
      </c>
      <c r="M204" s="240">
        <f>IF(ISNUMBER(P204),Z204,0)</f>
        <v/>
      </c>
      <c r="N204" s="175" t="n">
        <v>0</v>
      </c>
      <c r="O204" s="241">
        <f>IF(ISNUMBER(P204),X204,0)</f>
        <v/>
      </c>
      <c r="P204" s="242">
        <f>_xludf.IFNA(Z204/_xlfn.XLOOKUP(T204,$A$2:$A$624,$B$2:$B$624,""),"")</f>
        <v/>
      </c>
      <c r="Q204" s="242">
        <f>IFERROR(M204/O204,"-")</f>
        <v/>
      </c>
      <c r="R204" s="243">
        <f>IF(ISNUMBER(P204),AE204,0)</f>
        <v/>
      </c>
      <c r="S204" s="244">
        <f>IFERROR((N204/Q204),"-")</f>
        <v/>
      </c>
    </row>
    <row r="205">
      <c r="A205" s="301" t="n"/>
      <c r="B205" s="225" t="n"/>
      <c r="C205" s="226" t="n">
        <v>1568</v>
      </c>
      <c r="D205" s="227" t="n">
        <v>9.24</v>
      </c>
      <c r="J205" s="232">
        <f>T205</f>
        <v/>
      </c>
      <c r="K205" s="233" t="n">
        <v>0</v>
      </c>
      <c r="L205" s="239">
        <f>IFERROR(M205/25,"")</f>
        <v/>
      </c>
      <c r="M205" s="240">
        <f>IF(ISNUMBER(P205),Z205,0)</f>
        <v/>
      </c>
      <c r="N205" s="175" t="n">
        <v>0</v>
      </c>
      <c r="O205" s="241">
        <f>IF(ISNUMBER(P205),X205,0)</f>
        <v/>
      </c>
      <c r="P205" s="242">
        <f>_xludf.IFNA(Z205/_xlfn.XLOOKUP(T205,$A$2:$A$624,$B$2:$B$624,""),"")</f>
        <v/>
      </c>
      <c r="Q205" s="242">
        <f>IFERROR(M205/O205,"-")</f>
        <v/>
      </c>
      <c r="R205" s="243">
        <f>IF(ISNUMBER(P205),AE205,0)</f>
        <v/>
      </c>
      <c r="S205" s="244">
        <f>IFERROR((N205/Q205),"-")</f>
        <v/>
      </c>
    </row>
    <row r="206">
      <c r="A206" s="301" t="n"/>
      <c r="B206" s="225" t="n"/>
      <c r="C206" s="226" t="n">
        <v>1569</v>
      </c>
      <c r="D206" s="227" t="n">
        <v>10.56</v>
      </c>
      <c r="J206" s="232">
        <f>T206</f>
        <v/>
      </c>
      <c r="K206" s="233" t="n">
        <v>0</v>
      </c>
      <c r="L206" s="239">
        <f>IFERROR(M206/25,"")</f>
        <v/>
      </c>
      <c r="M206" s="240">
        <f>IF(ISNUMBER(P206),Z206,0)</f>
        <v/>
      </c>
      <c r="N206" s="175" t="n">
        <v>0</v>
      </c>
      <c r="O206" s="241">
        <f>IF(ISNUMBER(P206),X206,0)</f>
        <v/>
      </c>
      <c r="P206" s="242">
        <f>_xludf.IFNA(Z206/_xlfn.XLOOKUP(T206,$A$2:$A$624,$B$2:$B$624,""),"")</f>
        <v/>
      </c>
      <c r="Q206" s="242">
        <f>IFERROR(M206/O206,"-")</f>
        <v/>
      </c>
      <c r="R206" s="243">
        <f>IF(ISNUMBER(P206),AE206,0)</f>
        <v/>
      </c>
      <c r="S206" s="244">
        <f>IFERROR((N206/Q206),"-")</f>
        <v/>
      </c>
    </row>
    <row r="207">
      <c r="A207" s="301" t="n"/>
      <c r="B207" s="225" t="n"/>
      <c r="C207" s="226" t="n">
        <v>1571</v>
      </c>
      <c r="D207" s="227" t="n">
        <v>10.12</v>
      </c>
      <c r="J207" s="232">
        <f>T207</f>
        <v/>
      </c>
      <c r="K207" s="233" t="n">
        <v>0</v>
      </c>
      <c r="L207" s="239">
        <f>IFERROR(M207/25,"")</f>
        <v/>
      </c>
      <c r="M207" s="240">
        <f>IF(ISNUMBER(P207),Z207,0)</f>
        <v/>
      </c>
      <c r="N207" s="175" t="n">
        <v>0</v>
      </c>
      <c r="O207" s="241">
        <f>IF(ISNUMBER(P207),X207,0)</f>
        <v/>
      </c>
      <c r="P207" s="242">
        <f>_xludf.IFNA(Z207/_xlfn.XLOOKUP(T207,$A$2:$A$624,$B$2:$B$624,""),"")</f>
        <v/>
      </c>
      <c r="Q207" s="242">
        <f>IFERROR(M207/O207,"-")</f>
        <v/>
      </c>
      <c r="R207" s="243">
        <f>IF(ISNUMBER(P207),AE207,0)</f>
        <v/>
      </c>
      <c r="S207" s="244">
        <f>IFERROR((N207/Q207),"-")</f>
        <v/>
      </c>
    </row>
    <row r="208">
      <c r="A208" s="301" t="n"/>
      <c r="B208" s="225" t="n"/>
      <c r="C208" s="226" t="n">
        <v>1572</v>
      </c>
      <c r="D208" s="227" t="n">
        <v>7.8</v>
      </c>
      <c r="J208" s="232">
        <f>T208</f>
        <v/>
      </c>
      <c r="K208" s="233" t="n">
        <v>0</v>
      </c>
      <c r="L208" s="239">
        <f>IFERROR(M208/25,"")</f>
        <v/>
      </c>
      <c r="M208" s="240">
        <f>IF(ISNUMBER(P208),Z208,0)</f>
        <v/>
      </c>
      <c r="N208" s="175" t="n">
        <v>0</v>
      </c>
      <c r="O208" s="241">
        <f>IF(ISNUMBER(P208),X208,0)</f>
        <v/>
      </c>
      <c r="P208" s="242">
        <f>_xludf.IFNA(Z208/_xlfn.XLOOKUP(T208,$A$2:$A$624,$B$2:$B$624,""),"")</f>
        <v/>
      </c>
      <c r="Q208" s="242">
        <f>IFERROR(M208/O208,"-")</f>
        <v/>
      </c>
      <c r="R208" s="243">
        <f>IF(ISNUMBER(P208),AE208,0)</f>
        <v/>
      </c>
      <c r="S208" s="244">
        <f>IFERROR((N208/Q208),"-")</f>
        <v/>
      </c>
    </row>
    <row r="209">
      <c r="A209" s="148" t="n"/>
      <c r="B209" s="225" t="n"/>
      <c r="C209" s="226" t="n">
        <v>1572</v>
      </c>
      <c r="D209" s="227" t="n">
        <v>9</v>
      </c>
      <c r="J209" s="232">
        <f>T209</f>
        <v/>
      </c>
      <c r="K209" s="233" t="n">
        <v>0</v>
      </c>
      <c r="L209" s="239">
        <f>IFERROR(M209/25,"")</f>
        <v/>
      </c>
      <c r="M209" s="240">
        <f>IF(ISNUMBER(P209),Z209,0)</f>
        <v/>
      </c>
      <c r="N209" s="175" t="n">
        <v>0</v>
      </c>
      <c r="O209" s="241">
        <f>IF(ISNUMBER(P209),X209,0)</f>
        <v/>
      </c>
      <c r="P209" s="242">
        <f>_xludf.IFNA(Z209/_xlfn.XLOOKUP(T209,$A$2:$A$624,$B$2:$B$624,""),"")</f>
        <v/>
      </c>
      <c r="Q209" s="242">
        <f>IFERROR(M209/O209,"-")</f>
        <v/>
      </c>
      <c r="R209" s="243">
        <f>IF(ISNUMBER(P209),AE209,0)</f>
        <v/>
      </c>
      <c r="S209" s="244">
        <f>IFERROR((N209/Q209),"-")</f>
        <v/>
      </c>
    </row>
    <row r="210">
      <c r="A210" s="148" t="n"/>
      <c r="B210" s="225" t="n"/>
      <c r="C210" s="226" t="n">
        <v>1573</v>
      </c>
      <c r="D210" s="227" t="n">
        <v>6.4</v>
      </c>
      <c r="J210" s="232">
        <f>T210</f>
        <v/>
      </c>
      <c r="K210" s="233" t="n">
        <v>0</v>
      </c>
      <c r="L210" s="239">
        <f>IFERROR(M210/25,"")</f>
        <v/>
      </c>
      <c r="M210" s="240">
        <f>IF(ISNUMBER(P210),Z210,0)</f>
        <v/>
      </c>
      <c r="N210" s="175" t="n">
        <v>0</v>
      </c>
      <c r="O210" s="241">
        <f>IF(ISNUMBER(P210),X210,0)</f>
        <v/>
      </c>
      <c r="P210" s="242">
        <f>_xludf.IFNA(Z210/_xlfn.XLOOKUP(T210,$A$2:$A$624,$B$2:$B$624,""),"")</f>
        <v/>
      </c>
      <c r="Q210" s="242">
        <f>IFERROR(M210/O210,"-")</f>
        <v/>
      </c>
      <c r="R210" s="243">
        <f>IF(ISNUMBER(P210),AE210,0)</f>
        <v/>
      </c>
      <c r="S210" s="244">
        <f>IFERROR((N210/Q210),"-")</f>
        <v/>
      </c>
    </row>
    <row r="211">
      <c r="A211" s="148" t="n"/>
      <c r="B211" s="225" t="n"/>
      <c r="C211" s="226" t="n">
        <v>1575</v>
      </c>
      <c r="D211" s="227" t="n">
        <v>8.6</v>
      </c>
      <c r="J211" s="232">
        <f>T211</f>
        <v/>
      </c>
      <c r="K211" s="233" t="n">
        <v>0</v>
      </c>
      <c r="L211" s="239">
        <f>IFERROR(M211/25,"")</f>
        <v/>
      </c>
      <c r="M211" s="240">
        <f>IF(ISNUMBER(P211),Z211,0)</f>
        <v/>
      </c>
      <c r="N211" s="175" t="n">
        <v>0</v>
      </c>
      <c r="O211" s="241">
        <f>IF(ISNUMBER(P211),X211,0)</f>
        <v/>
      </c>
      <c r="P211" s="242">
        <f>_xludf.IFNA(Z211/_xlfn.XLOOKUP(T211,$A$2:$A$624,$B$2:$B$624,""),"")</f>
        <v/>
      </c>
      <c r="Q211" s="242">
        <f>IFERROR(M211/O211,"-")</f>
        <v/>
      </c>
      <c r="R211" s="243">
        <f>IF(ISNUMBER(P211),AE211,0)</f>
        <v/>
      </c>
      <c r="S211" s="244">
        <f>IFERROR((N211/Q211),"-")</f>
        <v/>
      </c>
    </row>
    <row r="212">
      <c r="A212" s="148" t="n"/>
      <c r="B212" s="225" t="n"/>
      <c r="C212" s="226" t="n">
        <v>1581</v>
      </c>
      <c r="D212" s="227" t="n">
        <v>9.199999999999999</v>
      </c>
      <c r="J212" s="232">
        <f>T212</f>
        <v/>
      </c>
      <c r="K212" s="233" t="n">
        <v>0</v>
      </c>
      <c r="L212" s="239">
        <f>IFERROR(M212/25,"")</f>
        <v/>
      </c>
      <c r="M212" s="240">
        <f>IF(ISNUMBER(P212),Z212,0)</f>
        <v/>
      </c>
      <c r="N212" s="175" t="n">
        <v>0</v>
      </c>
      <c r="O212" s="241">
        <f>IF(ISNUMBER(P212),X212,0)</f>
        <v/>
      </c>
      <c r="P212" s="242">
        <f>_xludf.IFNA(Z212/_xlfn.XLOOKUP(T212,$A$2:$A$624,$B$2:$B$624,""),"")</f>
        <v/>
      </c>
      <c r="Q212" s="242">
        <f>IFERROR(M212/O212,"-")</f>
        <v/>
      </c>
      <c r="R212" s="243">
        <f>IF(ISNUMBER(P212),AE212,0)</f>
        <v/>
      </c>
      <c r="S212" s="244">
        <f>IFERROR((N212/Q212),"-")</f>
        <v/>
      </c>
    </row>
    <row r="213">
      <c r="A213" s="148" t="n"/>
      <c r="B213" s="225" t="n"/>
      <c r="C213" s="226" t="n">
        <v>1582</v>
      </c>
      <c r="D213" s="227" t="n">
        <v>6</v>
      </c>
      <c r="J213" s="232">
        <f>T213</f>
        <v/>
      </c>
      <c r="K213" s="233" t="n">
        <v>0</v>
      </c>
      <c r="L213" s="239">
        <f>IFERROR(M213/25,"")</f>
        <v/>
      </c>
      <c r="M213" s="240">
        <f>IF(ISNUMBER(P213),Z213,0)</f>
        <v/>
      </c>
      <c r="N213" s="175" t="n">
        <v>0</v>
      </c>
      <c r="O213" s="241">
        <f>IF(ISNUMBER(P213),X213,0)</f>
        <v/>
      </c>
      <c r="P213" s="242">
        <f>_xludf.IFNA(Z213/_xlfn.XLOOKUP(T213,$A$2:$A$624,$B$2:$B$624,""),"")</f>
        <v/>
      </c>
      <c r="Q213" s="242">
        <f>IFERROR(M213/O213,"-")</f>
        <v/>
      </c>
      <c r="R213" s="243">
        <f>IF(ISNUMBER(P213),AE213,0)</f>
        <v/>
      </c>
      <c r="S213" s="244">
        <f>IFERROR((N213/Q213),"-")</f>
        <v/>
      </c>
    </row>
    <row r="214">
      <c r="A214" s="148" t="n"/>
      <c r="B214" s="225" t="n"/>
      <c r="C214" s="226" t="n">
        <v>1583</v>
      </c>
      <c r="D214" s="227" t="n">
        <v>9.6</v>
      </c>
      <c r="J214" s="232">
        <f>T214</f>
        <v/>
      </c>
      <c r="K214" s="233" t="n">
        <v>0</v>
      </c>
      <c r="L214" s="239">
        <f>IFERROR(M214/25,"")</f>
        <v/>
      </c>
      <c r="M214" s="240">
        <f>IF(ISNUMBER(P214),Z214,0)</f>
        <v/>
      </c>
      <c r="N214" s="175" t="n">
        <v>0</v>
      </c>
      <c r="O214" s="241">
        <f>IF(ISNUMBER(P214),X214,0)</f>
        <v/>
      </c>
      <c r="P214" s="242">
        <f>_xludf.IFNA(Z214/_xlfn.XLOOKUP(T214,$A$2:$A$624,$B$2:$B$624,""),"")</f>
        <v/>
      </c>
      <c r="Q214" s="242">
        <f>IFERROR(M214/O214,"-")</f>
        <v/>
      </c>
      <c r="R214" s="243">
        <f>IF(ISNUMBER(P214),AE214,0)</f>
        <v/>
      </c>
      <c r="S214" s="244">
        <f>IFERROR((N214/Q214),"-")</f>
        <v/>
      </c>
    </row>
    <row r="215">
      <c r="A215" s="148" t="n"/>
      <c r="B215" s="225" t="n"/>
      <c r="C215" s="226" t="n">
        <v>1584</v>
      </c>
      <c r="D215" s="227" t="n">
        <v>12.8</v>
      </c>
      <c r="J215" s="232">
        <f>T215</f>
        <v/>
      </c>
      <c r="K215" s="233" t="n">
        <v>0</v>
      </c>
      <c r="L215" s="239">
        <f>IFERROR(M215/25,"")</f>
        <v/>
      </c>
      <c r="M215" s="240">
        <f>IF(ISNUMBER(P215),Z215,0)</f>
        <v/>
      </c>
      <c r="N215" s="175" t="n">
        <v>0</v>
      </c>
      <c r="O215" s="241">
        <f>IF(ISNUMBER(P215),X215,0)</f>
        <v/>
      </c>
      <c r="P215" s="242">
        <f>_xludf.IFNA(Z215/_xlfn.XLOOKUP(T215,$A$2:$A$624,$B$2:$B$624,""),"")</f>
        <v/>
      </c>
      <c r="Q215" s="242">
        <f>IFERROR(M215/O215,"-")</f>
        <v/>
      </c>
      <c r="R215" s="243">
        <f>IF(ISNUMBER(P215),AE215,0)</f>
        <v/>
      </c>
      <c r="S215" s="244">
        <f>IFERROR((N215/Q215),"-")</f>
        <v/>
      </c>
    </row>
    <row r="216">
      <c r="A216" s="148" t="n"/>
      <c r="B216" s="225" t="n"/>
      <c r="C216" s="302" t="n">
        <v>1586</v>
      </c>
      <c r="D216" s="303" t="n">
        <v>8.800000000000001</v>
      </c>
      <c r="J216" s="232">
        <f>T216</f>
        <v/>
      </c>
      <c r="K216" s="233" t="n">
        <v>0</v>
      </c>
      <c r="L216" s="239">
        <f>IFERROR(M216/25,"")</f>
        <v/>
      </c>
      <c r="M216" s="240">
        <f>IF(ISNUMBER(P216),Z216,0)</f>
        <v/>
      </c>
      <c r="N216" s="175" t="n">
        <v>0</v>
      </c>
      <c r="O216" s="241">
        <f>IF(ISNUMBER(P216),X216,0)</f>
        <v/>
      </c>
      <c r="P216" s="242">
        <f>_xludf.IFNA(Z216/_xlfn.XLOOKUP(T216,$A$2:$A$624,$B$2:$B$624,""),"")</f>
        <v/>
      </c>
      <c r="Q216" s="242">
        <f>IFERROR(M216/O216,"-")</f>
        <v/>
      </c>
      <c r="R216" s="243">
        <f>IF(ISNUMBER(P216),AE216,0)</f>
        <v/>
      </c>
      <c r="S216" s="244">
        <f>IFERROR((N216/Q216),"-")</f>
        <v/>
      </c>
    </row>
    <row r="217">
      <c r="A217" s="148" t="n"/>
      <c r="B217" s="225" t="n"/>
      <c r="C217" s="302" t="n">
        <v>1588</v>
      </c>
      <c r="D217" s="303" t="n">
        <v>9.6</v>
      </c>
      <c r="J217" s="232">
        <f>T217</f>
        <v/>
      </c>
      <c r="K217" s="233" t="n">
        <v>0</v>
      </c>
      <c r="L217" s="239">
        <f>IFERROR(M217/25,"")</f>
        <v/>
      </c>
      <c r="M217" s="240">
        <f>IF(ISNUMBER(P217),Z217,0)</f>
        <v/>
      </c>
      <c r="N217" s="175" t="n">
        <v>0</v>
      </c>
      <c r="O217" s="241">
        <f>IF(ISNUMBER(P217),X217,0)</f>
        <v/>
      </c>
      <c r="P217" s="242">
        <f>_xludf.IFNA(Z217/_xlfn.XLOOKUP(T217,$A$2:$A$624,$B$2:$B$624,""),"")</f>
        <v/>
      </c>
      <c r="Q217" s="242">
        <f>IFERROR(M217/O217,"-")</f>
        <v/>
      </c>
      <c r="R217" s="243">
        <f>IF(ISNUMBER(P217),AE217,0)</f>
        <v/>
      </c>
      <c r="S217" s="244">
        <f>IFERROR((N217/Q217),"-")</f>
        <v/>
      </c>
    </row>
    <row r="218">
      <c r="A218" s="148" t="n"/>
      <c r="B218" s="225" t="n"/>
      <c r="C218" s="302" t="n">
        <v>1589</v>
      </c>
      <c r="D218" s="303" t="n">
        <v>8.800000000000001</v>
      </c>
      <c r="J218" s="232">
        <f>T218</f>
        <v/>
      </c>
      <c r="K218" s="233" t="n">
        <v>0</v>
      </c>
      <c r="L218" s="239">
        <f>IFERROR(M218/25,"")</f>
        <v/>
      </c>
      <c r="M218" s="240">
        <f>IF(ISNUMBER(P218),Z218,0)</f>
        <v/>
      </c>
      <c r="N218" s="175" t="n">
        <v>0</v>
      </c>
      <c r="O218" s="241">
        <f>IF(ISNUMBER(P218),X218,0)</f>
        <v/>
      </c>
      <c r="P218" s="242">
        <f>_xludf.IFNA(Z218/_xlfn.XLOOKUP(T218,$A$2:$A$624,$B$2:$B$624,""),"")</f>
        <v/>
      </c>
      <c r="Q218" s="242">
        <f>IFERROR(M218/O218,"-")</f>
        <v/>
      </c>
      <c r="R218" s="243">
        <f>IF(ISNUMBER(P218),AE218,0)</f>
        <v/>
      </c>
      <c r="S218" s="244">
        <f>IFERROR((N218/Q218),"-")</f>
        <v/>
      </c>
    </row>
    <row r="219">
      <c r="A219" s="148" t="n"/>
      <c r="B219" s="225" t="n"/>
      <c r="C219" s="302" t="n">
        <v>1592</v>
      </c>
      <c r="D219" s="303" t="n">
        <v>12.4</v>
      </c>
      <c r="J219" s="232">
        <f>T219</f>
        <v/>
      </c>
      <c r="K219" s="233" t="n">
        <v>0</v>
      </c>
      <c r="L219" s="239">
        <f>IFERROR(M219/25,"")</f>
        <v/>
      </c>
      <c r="M219" s="240">
        <f>IF(ISNUMBER(P219),Z219,0)</f>
        <v/>
      </c>
      <c r="N219" s="175" t="n">
        <v>0</v>
      </c>
      <c r="O219" s="241">
        <f>IF(ISNUMBER(P219),X219,0)</f>
        <v/>
      </c>
      <c r="P219" s="242">
        <f>_xludf.IFNA(Z219/_xlfn.XLOOKUP(T219,$A$2:$A$624,$B$2:$B$624,""),"")</f>
        <v/>
      </c>
      <c r="Q219" s="242">
        <f>IFERROR(M219/O219,"-")</f>
        <v/>
      </c>
      <c r="R219" s="243">
        <f>IF(ISNUMBER(P219),AE219,0)</f>
        <v/>
      </c>
      <c r="S219" s="244">
        <f>IFERROR((N219/Q219),"-")</f>
        <v/>
      </c>
    </row>
    <row r="220">
      <c r="A220" s="303" t="n"/>
      <c r="B220" s="304" t="n"/>
      <c r="C220" s="302" t="n">
        <v>1593</v>
      </c>
      <c r="D220" s="303" t="n">
        <v>9.24</v>
      </c>
      <c r="J220" s="232">
        <f>T220</f>
        <v/>
      </c>
      <c r="K220" s="233" t="n">
        <v>0</v>
      </c>
      <c r="L220" s="239">
        <f>IFERROR(M220/25,"")</f>
        <v/>
      </c>
      <c r="M220" s="240">
        <f>IF(ISNUMBER(P220),Z220,0)</f>
        <v/>
      </c>
      <c r="N220" s="175" t="n">
        <v>0</v>
      </c>
      <c r="O220" s="241">
        <f>IF(ISNUMBER(P220),X220,0)</f>
        <v/>
      </c>
      <c r="P220" s="242">
        <f>_xludf.IFNA(Z220/_xlfn.XLOOKUP(T220,$A$2:$A$624,$B$2:$B$624,""),"")</f>
        <v/>
      </c>
      <c r="Q220" s="242">
        <f>IFERROR(M220/O220,"-")</f>
        <v/>
      </c>
      <c r="R220" s="243">
        <f>IF(ISNUMBER(P220),AE220,0)</f>
        <v/>
      </c>
      <c r="S220" s="244">
        <f>IFERROR((N220/Q220),"-")</f>
        <v/>
      </c>
    </row>
    <row r="221">
      <c r="A221" s="303" t="n"/>
      <c r="B221" s="304" t="n"/>
      <c r="C221" s="302" t="n">
        <v>1594</v>
      </c>
      <c r="D221" s="303" t="n">
        <v>15.84</v>
      </c>
      <c r="J221" s="232">
        <f>T221</f>
        <v/>
      </c>
      <c r="K221" s="233" t="n">
        <v>0</v>
      </c>
      <c r="L221" s="239">
        <f>IFERROR(M221/25,"")</f>
        <v/>
      </c>
      <c r="M221" s="240">
        <f>IF(ISNUMBER(P221),Z221,0)</f>
        <v/>
      </c>
      <c r="N221" s="175" t="n">
        <v>0</v>
      </c>
      <c r="O221" s="241">
        <f>IF(ISNUMBER(P221),X221,0)</f>
        <v/>
      </c>
      <c r="P221" s="242">
        <f>_xludf.IFNA(Z221/_xlfn.XLOOKUP(T221,$A$2:$A$624,$B$2:$B$624,""),"")</f>
        <v/>
      </c>
      <c r="Q221" s="242">
        <f>IFERROR(M221/O221,"-")</f>
        <v/>
      </c>
      <c r="R221" s="243">
        <f>IF(ISNUMBER(P221),AE221,0)</f>
        <v/>
      </c>
      <c r="S221" s="244">
        <f>IFERROR((N221/Q221),"-")</f>
        <v/>
      </c>
    </row>
    <row r="222">
      <c r="A222" s="303" t="n"/>
      <c r="B222" s="304" t="n"/>
      <c r="C222" s="302" t="n">
        <v>1811</v>
      </c>
      <c r="D222" s="303" t="n">
        <v>10.6</v>
      </c>
      <c r="J222" s="232">
        <f>T222</f>
        <v/>
      </c>
      <c r="K222" s="233" t="n">
        <v>0</v>
      </c>
      <c r="L222" s="239">
        <f>IFERROR(M222/25,"")</f>
        <v/>
      </c>
      <c r="M222" s="240">
        <f>IF(ISNUMBER(P222),Z222,0)</f>
        <v/>
      </c>
      <c r="N222" s="175" t="n">
        <v>0</v>
      </c>
      <c r="O222" s="241">
        <f>IF(ISNUMBER(P222),X222,0)</f>
        <v/>
      </c>
      <c r="P222" s="242">
        <f>_xludf.IFNA(Z222/_xlfn.XLOOKUP(T222,$A$2:$A$624,$B$2:$B$624,""),"")</f>
        <v/>
      </c>
      <c r="Q222" s="242">
        <f>IFERROR(M222/O222,"-")</f>
        <v/>
      </c>
      <c r="R222" s="243">
        <f>IF(ISNUMBER(P222),AE222,0)</f>
        <v/>
      </c>
      <c r="S222" s="244">
        <f>IFERROR((N222/Q222),"-")</f>
        <v/>
      </c>
    </row>
    <row r="223">
      <c r="A223" s="303" t="n"/>
      <c r="B223" s="304" t="n"/>
      <c r="C223" s="302" t="n">
        <v>1812</v>
      </c>
      <c r="D223" s="303" t="n">
        <v>12</v>
      </c>
      <c r="J223" s="232">
        <f>T223</f>
        <v/>
      </c>
      <c r="K223" s="233" t="n">
        <v>0</v>
      </c>
      <c r="L223" s="239">
        <f>IFERROR(M223/25,"")</f>
        <v/>
      </c>
      <c r="M223" s="240">
        <f>IF(ISNUMBER(P223),Z223,0)</f>
        <v/>
      </c>
      <c r="N223" s="175" t="n">
        <v>0</v>
      </c>
      <c r="O223" s="241">
        <f>IF(ISNUMBER(P223),X223,0)</f>
        <v/>
      </c>
      <c r="P223" s="242">
        <f>_xludf.IFNA(Z223/_xlfn.XLOOKUP(T223,$A$2:$A$624,$B$2:$B$624,""),"")</f>
        <v/>
      </c>
      <c r="Q223" s="242">
        <f>IFERROR(M223/O223,"-")</f>
        <v/>
      </c>
      <c r="R223" s="243">
        <f>IF(ISNUMBER(P223),AE223,0)</f>
        <v/>
      </c>
      <c r="S223" s="244">
        <f>IFERROR((N223/Q223),"-")</f>
        <v/>
      </c>
    </row>
    <row r="224">
      <c r="A224" s="303" t="n"/>
      <c r="B224" s="304" t="n"/>
      <c r="C224" s="302" t="n">
        <v>1813</v>
      </c>
      <c r="D224" s="303" t="n">
        <v>15</v>
      </c>
      <c r="J224" s="232">
        <f>T224</f>
        <v/>
      </c>
      <c r="K224" s="233" t="n">
        <v>0</v>
      </c>
      <c r="L224" s="239">
        <f>IFERROR(M224/25,"")</f>
        <v/>
      </c>
      <c r="M224" s="240">
        <f>IF(ISNUMBER(P224),Z224,0)</f>
        <v/>
      </c>
      <c r="N224" s="175" t="n">
        <v>0</v>
      </c>
      <c r="O224" s="241">
        <f>IF(ISNUMBER(P224),X224,0)</f>
        <v/>
      </c>
      <c r="P224" s="242">
        <f>_xludf.IFNA(Z224/_xlfn.XLOOKUP(T224,$A$2:$A$624,$B$2:$B$624,""),"")</f>
        <v/>
      </c>
      <c r="Q224" s="242">
        <f>IFERROR(M224/O224,"-")</f>
        <v/>
      </c>
      <c r="R224" s="243">
        <f>IF(ISNUMBER(P224),AE224,0)</f>
        <v/>
      </c>
      <c r="S224" s="244">
        <f>IFERROR((N224/Q224),"-")</f>
        <v/>
      </c>
    </row>
    <row r="225">
      <c r="A225" s="303" t="n"/>
      <c r="B225" s="304" t="n"/>
      <c r="C225" s="302" t="n">
        <v>7142</v>
      </c>
      <c r="D225" s="303" t="n">
        <v>16.5</v>
      </c>
      <c r="J225" s="232">
        <f>T225</f>
        <v/>
      </c>
      <c r="K225" s="233" t="n">
        <v>0</v>
      </c>
      <c r="L225" s="239">
        <f>IFERROR(M225/25,"")</f>
        <v/>
      </c>
      <c r="M225" s="240">
        <f>IF(ISNUMBER(P225),Z225,0)</f>
        <v/>
      </c>
      <c r="N225" s="175" t="n">
        <v>0</v>
      </c>
      <c r="O225" s="241">
        <f>IF(ISNUMBER(P225),X225,0)</f>
        <v/>
      </c>
      <c r="P225" s="242">
        <f>_xludf.IFNA(Z225/_xlfn.XLOOKUP(T225,$A$2:$A$624,$B$2:$B$624,""),"")</f>
        <v/>
      </c>
      <c r="Q225" s="242">
        <f>IFERROR(M225/O225,"-")</f>
        <v/>
      </c>
      <c r="R225" s="243">
        <f>IF(ISNUMBER(P225),AE225,0)</f>
        <v/>
      </c>
      <c r="S225" s="244">
        <f>IFERROR((N225/Q225),"-")</f>
        <v/>
      </c>
    </row>
    <row r="226">
      <c r="A226" s="303" t="n"/>
      <c r="B226" s="304" t="n"/>
      <c r="C226" s="302" t="n">
        <v>1815</v>
      </c>
      <c r="D226" s="303" t="n">
        <v>13.2</v>
      </c>
      <c r="J226" s="232">
        <f>T226</f>
        <v/>
      </c>
      <c r="K226" s="233" t="n">
        <v>0</v>
      </c>
      <c r="L226" s="239">
        <f>IFERROR(M226/25,"")</f>
        <v/>
      </c>
      <c r="M226" s="240">
        <f>IF(ISNUMBER(P226),Z226,0)</f>
        <v/>
      </c>
      <c r="N226" s="175" t="n">
        <v>0</v>
      </c>
      <c r="O226" s="241">
        <f>IF(ISNUMBER(P226),X226,0)</f>
        <v/>
      </c>
      <c r="P226" s="242">
        <f>_xludf.IFNA(Z226/_xlfn.XLOOKUP(T226,$A$2:$A$624,$B$2:$B$624,""),"")</f>
        <v/>
      </c>
      <c r="Q226" s="242">
        <f>IFERROR(M226/O226,"-")</f>
        <v/>
      </c>
      <c r="R226" s="243">
        <f>IF(ISNUMBER(P226),AE226,0)</f>
        <v/>
      </c>
      <c r="S226" s="244">
        <f>IFERROR((N226/Q226),"-")</f>
        <v/>
      </c>
    </row>
    <row r="227">
      <c r="A227" s="303" t="n"/>
      <c r="B227" s="304" t="n"/>
      <c r="C227" s="302" t="n">
        <v>1816</v>
      </c>
      <c r="D227" s="303" t="n">
        <v>16.8</v>
      </c>
      <c r="J227" s="232">
        <f>T227</f>
        <v/>
      </c>
      <c r="K227" s="233" t="n">
        <v>0</v>
      </c>
      <c r="L227" s="239">
        <f>IFERROR(M227/25,"")</f>
        <v/>
      </c>
      <c r="M227" s="240">
        <f>IF(ISNUMBER(P227),Z227,0)</f>
        <v/>
      </c>
      <c r="N227" s="175" t="n">
        <v>0</v>
      </c>
      <c r="O227" s="241">
        <f>IF(ISNUMBER(P227),X227,0)</f>
        <v/>
      </c>
      <c r="P227" s="242">
        <f>_xludf.IFNA(Z227/_xlfn.XLOOKUP(T227,$A$2:$A$624,$B$2:$B$624,""),"")</f>
        <v/>
      </c>
      <c r="Q227" s="242">
        <f>IFERROR(M227/O227,"-")</f>
        <v/>
      </c>
      <c r="R227" s="243">
        <f>IF(ISNUMBER(P227),AE227,0)</f>
        <v/>
      </c>
      <c r="S227" s="244">
        <f>IFERROR((N227/Q227),"-")</f>
        <v/>
      </c>
    </row>
    <row r="228">
      <c r="A228" s="303" t="n"/>
      <c r="B228" s="304" t="n"/>
      <c r="C228" s="302" t="n">
        <v>1817</v>
      </c>
      <c r="D228" s="303" t="n">
        <v>13.2</v>
      </c>
      <c r="J228" s="232">
        <f>T228</f>
        <v/>
      </c>
      <c r="K228" s="233" t="n">
        <v>0</v>
      </c>
      <c r="L228" s="239">
        <f>IFERROR(M228/25,"")</f>
        <v/>
      </c>
      <c r="M228" s="240">
        <f>IF(ISNUMBER(P228),Z228,0)</f>
        <v/>
      </c>
      <c r="N228" s="175" t="n">
        <v>0</v>
      </c>
      <c r="O228" s="241">
        <f>IF(ISNUMBER(P228),X228,0)</f>
        <v/>
      </c>
      <c r="P228" s="242">
        <f>_xludf.IFNA(Z228/_xlfn.XLOOKUP(T228,$A$2:$A$624,$B$2:$B$624,""),"")</f>
        <v/>
      </c>
      <c r="Q228" s="242">
        <f>IFERROR(M228/O228,"-")</f>
        <v/>
      </c>
      <c r="R228" s="243">
        <f>IF(ISNUMBER(P228),AE228,0)</f>
        <v/>
      </c>
      <c r="S228" s="244">
        <f>IFERROR((N228/Q228),"-")</f>
        <v/>
      </c>
    </row>
    <row r="229">
      <c r="A229" s="303" t="n"/>
      <c r="B229" s="304" t="n"/>
      <c r="C229" s="302" t="n">
        <v>1818</v>
      </c>
      <c r="D229" s="303" t="n">
        <v>16.8</v>
      </c>
      <c r="J229" s="232">
        <f>T229</f>
        <v/>
      </c>
      <c r="K229" s="233" t="n">
        <v>0</v>
      </c>
      <c r="L229" s="239">
        <f>IFERROR(M229/25,"")</f>
        <v/>
      </c>
      <c r="M229" s="240">
        <f>IF(ISNUMBER(P229),Z229,0)</f>
        <v/>
      </c>
      <c r="N229" s="175" t="n">
        <v>0</v>
      </c>
      <c r="O229" s="241">
        <f>IF(ISNUMBER(P229),X229,0)</f>
        <v/>
      </c>
      <c r="P229" s="242">
        <f>_xludf.IFNA(Z229/_xlfn.XLOOKUP(T229,$A$2:$A$624,$B$2:$B$624,""),"")</f>
        <v/>
      </c>
      <c r="Q229" s="242">
        <f>IFERROR(M229/O229,"-")</f>
        <v/>
      </c>
      <c r="R229" s="243">
        <f>IF(ISNUMBER(P229),AE229,0)</f>
        <v/>
      </c>
      <c r="S229" s="244">
        <f>IFERROR((N229/Q229),"-")</f>
        <v/>
      </c>
    </row>
    <row r="230">
      <c r="A230" s="303" t="n"/>
      <c r="B230" s="304" t="n"/>
      <c r="C230" s="302" t="n">
        <v>1819</v>
      </c>
      <c r="D230" s="303" t="n">
        <v>14</v>
      </c>
      <c r="J230" s="232">
        <f>T230</f>
        <v/>
      </c>
      <c r="K230" s="233" t="n">
        <v>0</v>
      </c>
      <c r="L230" s="239">
        <f>IFERROR(M230/25,"")</f>
        <v/>
      </c>
      <c r="M230" s="240">
        <f>IF(ISNUMBER(P230),Z230,0)</f>
        <v/>
      </c>
      <c r="N230" s="175" t="n">
        <v>0</v>
      </c>
      <c r="O230" s="241">
        <f>IF(ISNUMBER(P230),X230,0)</f>
        <v/>
      </c>
      <c r="P230" s="242">
        <f>_xludf.IFNA(Z230/_xlfn.XLOOKUP(T230,$A$2:$A$624,$B$2:$B$624,""),"")</f>
        <v/>
      </c>
      <c r="Q230" s="242">
        <f>IFERROR(M230/O230,"-")</f>
        <v/>
      </c>
      <c r="R230" s="243">
        <f>IF(ISNUMBER(P230),AE230,0)</f>
        <v/>
      </c>
      <c r="S230" s="244">
        <f>IFERROR((N230/Q230),"-")</f>
        <v/>
      </c>
    </row>
    <row r="231">
      <c r="A231" s="303" t="n"/>
      <c r="B231" s="304" t="n"/>
      <c r="C231" s="302" t="n">
        <v>1820</v>
      </c>
      <c r="D231" s="303" t="n">
        <v>11.9</v>
      </c>
      <c r="J231" s="232">
        <f>T231</f>
        <v/>
      </c>
      <c r="K231" s="233" t="n">
        <v>0</v>
      </c>
      <c r="L231" s="239">
        <f>IFERROR(M231/25,"")</f>
        <v/>
      </c>
      <c r="M231" s="240">
        <f>IF(ISNUMBER(P231),Z231,0)</f>
        <v/>
      </c>
      <c r="N231" s="175" t="n">
        <v>0</v>
      </c>
      <c r="O231" s="241">
        <f>IF(ISNUMBER(P231),X231,0)</f>
        <v/>
      </c>
      <c r="P231" s="242">
        <f>_xludf.IFNA(Z231/_xlfn.XLOOKUP(T231,$A$2:$A$624,$B$2:$B$624,""),"")</f>
        <v/>
      </c>
      <c r="Q231" s="242">
        <f>IFERROR(M231/O231,"-")</f>
        <v/>
      </c>
      <c r="R231" s="243">
        <f>IF(ISNUMBER(P231),AE231,0)</f>
        <v/>
      </c>
      <c r="S231" s="244">
        <f>IFERROR((N231/Q231),"-")</f>
        <v/>
      </c>
    </row>
    <row r="232">
      <c r="A232" s="303" t="n"/>
      <c r="B232" s="304" t="n"/>
      <c r="C232" s="302" t="n">
        <v>1823</v>
      </c>
      <c r="D232" s="303" t="n">
        <v>12</v>
      </c>
      <c r="J232" s="232">
        <f>T232</f>
        <v/>
      </c>
      <c r="K232" s="233" t="n">
        <v>0</v>
      </c>
      <c r="L232" s="239">
        <f>IFERROR(M232/25,"")</f>
        <v/>
      </c>
      <c r="M232" s="240">
        <f>IF(ISNUMBER(P232),Z232,0)</f>
        <v/>
      </c>
      <c r="N232" s="175" t="n">
        <v>0</v>
      </c>
      <c r="O232" s="241">
        <f>IF(ISNUMBER(P232),X232,0)</f>
        <v/>
      </c>
      <c r="P232" s="242">
        <f>_xludf.IFNA(Z232/_xlfn.XLOOKUP(T232,$A$2:$A$624,$B$2:$B$624,""),"")</f>
        <v/>
      </c>
      <c r="Q232" s="242">
        <f>IFERROR(M232/O232,"-")</f>
        <v/>
      </c>
      <c r="R232" s="243">
        <f>IF(ISNUMBER(P232),AE232,0)</f>
        <v/>
      </c>
      <c r="S232" s="244">
        <f>IFERROR((N232/Q232),"-")</f>
        <v/>
      </c>
    </row>
    <row r="233">
      <c r="A233" s="303" t="n"/>
      <c r="B233" s="304" t="n"/>
      <c r="C233" s="302" t="n">
        <v>1824</v>
      </c>
      <c r="D233" s="303" t="n">
        <v>12.6</v>
      </c>
      <c r="J233" s="232">
        <f>T233</f>
        <v/>
      </c>
      <c r="K233" s="233" t="n">
        <v>0</v>
      </c>
      <c r="L233" s="239">
        <f>IFERROR(M233/25,"")</f>
        <v/>
      </c>
      <c r="M233" s="240">
        <f>IF(ISNUMBER(P233),Z233,0)</f>
        <v/>
      </c>
      <c r="N233" s="175" t="n">
        <v>0</v>
      </c>
      <c r="O233" s="241">
        <f>IF(ISNUMBER(P233),X233,0)</f>
        <v/>
      </c>
      <c r="P233" s="242">
        <f>_xludf.IFNA(Z233/_xlfn.XLOOKUP(T233,$A$2:$A$624,$B$2:$B$624,""),"")</f>
        <v/>
      </c>
      <c r="Q233" s="242">
        <f>IFERROR(M233/O233,"-")</f>
        <v/>
      </c>
      <c r="R233" s="243">
        <f>IF(ISNUMBER(P233),AE233,0)</f>
        <v/>
      </c>
      <c r="S233" s="244">
        <f>IFERROR((N233/Q233),"-")</f>
        <v/>
      </c>
    </row>
    <row r="234">
      <c r="A234" s="303" t="n"/>
      <c r="B234" s="304" t="n"/>
      <c r="C234" s="302" t="n">
        <v>1826</v>
      </c>
      <c r="D234" s="303" t="n">
        <v>4.5</v>
      </c>
      <c r="J234" s="232">
        <f>T234</f>
        <v/>
      </c>
      <c r="K234" s="233" t="n">
        <v>0</v>
      </c>
      <c r="L234" s="239">
        <f>IFERROR(M234/25,"")</f>
        <v/>
      </c>
      <c r="M234" s="240">
        <f>IF(ISNUMBER(P234),Z234,0)</f>
        <v/>
      </c>
      <c r="N234" s="175" t="n">
        <v>0</v>
      </c>
      <c r="O234" s="241">
        <f>IF(ISNUMBER(P234),X234,0)</f>
        <v/>
      </c>
      <c r="P234" s="242">
        <f>_xludf.IFNA(Z234/_xlfn.XLOOKUP(T234,$A$2:$A$624,$B$2:$B$624,""),"")</f>
        <v/>
      </c>
      <c r="Q234" s="242">
        <f>IFERROR(M234/O234,"-")</f>
        <v/>
      </c>
      <c r="R234" s="243">
        <f>IF(ISNUMBER(P234),AE234,0)</f>
        <v/>
      </c>
      <c r="S234" s="244">
        <f>IFERROR((N234/Q234),"-")</f>
        <v/>
      </c>
    </row>
    <row r="235">
      <c r="A235" s="303" t="n"/>
      <c r="B235" s="304" t="n"/>
      <c r="C235" s="302" t="n">
        <v>1827</v>
      </c>
      <c r="D235" s="303" t="n">
        <v>15.4</v>
      </c>
      <c r="J235" s="232">
        <f>T235</f>
        <v/>
      </c>
      <c r="K235" s="233" t="n">
        <v>0</v>
      </c>
      <c r="L235" s="239">
        <f>IFERROR(M235/25,"")</f>
        <v/>
      </c>
      <c r="M235" s="240">
        <f>IF(ISNUMBER(P235),Z235,0)</f>
        <v/>
      </c>
      <c r="N235" s="175" t="n">
        <v>0</v>
      </c>
      <c r="O235" s="241">
        <f>IF(ISNUMBER(P235),X235,0)</f>
        <v/>
      </c>
      <c r="P235" s="242">
        <f>_xludf.IFNA(Z235/_xlfn.XLOOKUP(T235,$A$2:$A$624,$B$2:$B$624,""),"")</f>
        <v/>
      </c>
      <c r="Q235" s="242">
        <f>IFERROR(M235/O235,"-")</f>
        <v/>
      </c>
      <c r="R235" s="243">
        <f>IF(ISNUMBER(P235),AE235,0)</f>
        <v/>
      </c>
      <c r="S235" s="244">
        <f>IFERROR((N235/Q235),"-")</f>
        <v/>
      </c>
    </row>
    <row r="236">
      <c r="A236" s="303" t="n"/>
      <c r="B236" s="304" t="n"/>
      <c r="C236" s="302" t="n">
        <v>1828</v>
      </c>
      <c r="D236" s="303" t="n">
        <v>15.4</v>
      </c>
      <c r="J236" s="232">
        <f>T236</f>
        <v/>
      </c>
      <c r="K236" s="233" t="n">
        <v>0</v>
      </c>
      <c r="L236" s="239">
        <f>IFERROR(M236/25,"")</f>
        <v/>
      </c>
      <c r="M236" s="240">
        <f>IF(ISNUMBER(P236),Z236,0)</f>
        <v/>
      </c>
      <c r="N236" s="175" t="n">
        <v>0</v>
      </c>
      <c r="O236" s="241">
        <f>IF(ISNUMBER(P236),X236,0)</f>
        <v/>
      </c>
      <c r="P236" s="242">
        <f>_xludf.IFNA(Z236/_xlfn.XLOOKUP(T236,$A$2:$A$624,$B$2:$B$624,""),"")</f>
        <v/>
      </c>
      <c r="Q236" s="242">
        <f>IFERROR(M236/O236,"-")</f>
        <v/>
      </c>
      <c r="R236" s="243">
        <f>IF(ISNUMBER(P236),AE236,0)</f>
        <v/>
      </c>
      <c r="S236" s="244">
        <f>IFERROR((N236/Q236),"-")</f>
        <v/>
      </c>
    </row>
    <row r="237">
      <c r="A237" s="303" t="n"/>
      <c r="B237" s="304" t="n"/>
      <c r="C237" s="302" t="n">
        <v>1829</v>
      </c>
      <c r="D237" s="303" t="n">
        <v>12</v>
      </c>
      <c r="J237" s="232">
        <f>T237</f>
        <v/>
      </c>
      <c r="K237" s="233" t="n">
        <v>0</v>
      </c>
      <c r="L237" s="239">
        <f>IFERROR(M237/25,"")</f>
        <v/>
      </c>
      <c r="M237" s="240">
        <f>IF(ISNUMBER(P237),Z237,0)</f>
        <v/>
      </c>
      <c r="N237" s="175" t="n">
        <v>0</v>
      </c>
      <c r="O237" s="241">
        <f>IF(ISNUMBER(P237),X237,0)</f>
        <v/>
      </c>
      <c r="P237" s="242">
        <f>_xludf.IFNA(Z237/_xlfn.XLOOKUP(T237,$A$2:$A$624,$B$2:$B$624,""),"")</f>
        <v/>
      </c>
      <c r="Q237" s="242">
        <f>IFERROR(M237/O237,"-")</f>
        <v/>
      </c>
      <c r="R237" s="243">
        <f>IF(ISNUMBER(P237),AE237,0)</f>
        <v/>
      </c>
      <c r="S237" s="244">
        <f>IFERROR((N237/Q237),"-")</f>
        <v/>
      </c>
    </row>
    <row r="238">
      <c r="A238" s="303" t="n"/>
      <c r="B238" s="304" t="n"/>
      <c r="C238" s="302" t="n">
        <v>1830</v>
      </c>
      <c r="D238" s="303" t="n">
        <v>4.28</v>
      </c>
      <c r="J238" s="232">
        <f>T238</f>
        <v/>
      </c>
      <c r="K238" s="233" t="n">
        <v>0</v>
      </c>
      <c r="L238" s="239">
        <f>IFERROR(M238/25,"")</f>
        <v/>
      </c>
      <c r="M238" s="240">
        <f>IF(ISNUMBER(P238),Z238,0)</f>
        <v/>
      </c>
      <c r="N238" s="175" t="n">
        <v>0</v>
      </c>
      <c r="O238" s="241">
        <f>IF(ISNUMBER(P238),X238,0)</f>
        <v/>
      </c>
      <c r="P238" s="242">
        <f>_xludf.IFNA(Z238/_xlfn.XLOOKUP(T238,$A$2:$A$624,$B$2:$B$624,""),"")</f>
        <v/>
      </c>
      <c r="Q238" s="242">
        <f>IFERROR(M238/O238,"-")</f>
        <v/>
      </c>
      <c r="R238" s="243">
        <f>IF(ISNUMBER(P238),AE238,0)</f>
        <v/>
      </c>
      <c r="S238" s="244">
        <f>IFERROR((N238/Q238),"-")</f>
        <v/>
      </c>
    </row>
    <row r="239">
      <c r="A239" s="303" t="n"/>
      <c r="B239" s="304" t="n"/>
      <c r="C239" s="302" t="n">
        <v>1831</v>
      </c>
      <c r="D239" s="303" t="n">
        <v>7.15</v>
      </c>
      <c r="J239" s="232">
        <f>T239</f>
        <v/>
      </c>
      <c r="K239" s="233" t="n">
        <v>0</v>
      </c>
      <c r="L239" s="239">
        <f>IFERROR(M239/25,"")</f>
        <v/>
      </c>
      <c r="M239" s="240">
        <f>IF(ISNUMBER(P239),Z239,0)</f>
        <v/>
      </c>
      <c r="N239" s="175" t="n">
        <v>0</v>
      </c>
      <c r="O239" s="241">
        <f>IF(ISNUMBER(P239),X239,0)</f>
        <v/>
      </c>
      <c r="P239" s="242">
        <f>_xludf.IFNA(Z239/_xlfn.XLOOKUP(T239,$A$2:$A$624,$B$2:$B$624,""),"")</f>
        <v/>
      </c>
      <c r="Q239" s="242">
        <f>IFERROR(M239/O239,"-")</f>
        <v/>
      </c>
      <c r="R239" s="243">
        <f>IF(ISNUMBER(P239),AE239,0)</f>
        <v/>
      </c>
      <c r="S239" s="244">
        <f>IFERROR((N239/Q239),"-")</f>
        <v/>
      </c>
    </row>
    <row r="240">
      <c r="A240" s="303" t="n"/>
      <c r="B240" s="304" t="n"/>
      <c r="C240" s="302" t="n">
        <v>1832</v>
      </c>
      <c r="D240" s="303" t="n">
        <v>6.23</v>
      </c>
      <c r="J240" s="232">
        <f>T240</f>
        <v/>
      </c>
      <c r="K240" s="233" t="n">
        <v>0</v>
      </c>
      <c r="L240" s="239">
        <f>IFERROR(M240/25,"")</f>
        <v/>
      </c>
      <c r="M240" s="240">
        <f>IF(ISNUMBER(P240),Z240,0)</f>
        <v/>
      </c>
      <c r="N240" s="175" t="n">
        <v>0</v>
      </c>
      <c r="O240" s="241">
        <f>IF(ISNUMBER(P240),X240,0)</f>
        <v/>
      </c>
      <c r="P240" s="242">
        <f>_xludf.IFNA(Z240/_xlfn.XLOOKUP(T240,$A$2:$A$624,$B$2:$B$624,""),"")</f>
        <v/>
      </c>
      <c r="Q240" s="242">
        <f>IFERROR(M240/O240,"-")</f>
        <v/>
      </c>
      <c r="R240" s="243">
        <f>IF(ISNUMBER(P240),AE240,0)</f>
        <v/>
      </c>
      <c r="S240" s="244">
        <f>IFERROR((N240/Q240),"-")</f>
        <v/>
      </c>
    </row>
    <row r="241">
      <c r="A241" s="303" t="n"/>
      <c r="B241" s="304" t="n"/>
      <c r="C241" s="302" t="n">
        <v>1833</v>
      </c>
      <c r="D241" s="303" t="n">
        <v>5.23</v>
      </c>
      <c r="J241" s="232">
        <f>T241</f>
        <v/>
      </c>
      <c r="K241" s="233" t="n">
        <v>0</v>
      </c>
      <c r="L241" s="239">
        <f>IFERROR(M241/25,"")</f>
        <v/>
      </c>
      <c r="M241" s="240">
        <f>IF(ISNUMBER(P241),Z241,0)</f>
        <v/>
      </c>
      <c r="N241" s="175" t="n">
        <v>0</v>
      </c>
      <c r="O241" s="241">
        <f>IF(ISNUMBER(P241),X241,0)</f>
        <v/>
      </c>
      <c r="P241" s="242">
        <f>_xludf.IFNA(Z241/_xlfn.XLOOKUP(T241,$A$2:$A$624,$B$2:$B$624,""),"")</f>
        <v/>
      </c>
      <c r="Q241" s="242">
        <f>IFERROR(M241/O241,"-")</f>
        <v/>
      </c>
      <c r="R241" s="243">
        <f>IF(ISNUMBER(P241),AE241,0)</f>
        <v/>
      </c>
      <c r="S241" s="244">
        <f>IFERROR((N241/Q241),"-")</f>
        <v/>
      </c>
    </row>
    <row r="242">
      <c r="A242" s="303" t="n"/>
      <c r="B242" s="304" t="n"/>
      <c r="C242" s="302" t="n">
        <v>1838</v>
      </c>
      <c r="D242" s="303" t="n">
        <v>4.28</v>
      </c>
      <c r="J242" s="232">
        <f>T242</f>
        <v/>
      </c>
      <c r="K242" s="233" t="n">
        <v>0</v>
      </c>
      <c r="L242" s="239">
        <f>IFERROR(M242/25,"")</f>
        <v/>
      </c>
      <c r="M242" s="240">
        <f>IF(ISNUMBER(P242),Z242,0)</f>
        <v/>
      </c>
      <c r="N242" s="175" t="n">
        <v>0</v>
      </c>
      <c r="O242" s="241">
        <f>IF(ISNUMBER(P242),X242,0)</f>
        <v/>
      </c>
      <c r="P242" s="242">
        <f>_xludf.IFNA(Z242/_xlfn.XLOOKUP(T242,$A$2:$A$624,$B$2:$B$624,""),"")</f>
        <v/>
      </c>
      <c r="Q242" s="242">
        <f>IFERROR(M242/O242,"-")</f>
        <v/>
      </c>
      <c r="R242" s="243">
        <f>IF(ISNUMBER(P242),AE242,0)</f>
        <v/>
      </c>
      <c r="S242" s="244">
        <f>IFERROR((N242/Q242),"-")</f>
        <v/>
      </c>
    </row>
    <row r="243">
      <c r="A243" s="303" t="n"/>
      <c r="B243" s="304" t="n"/>
      <c r="C243" s="302" t="n">
        <v>1839</v>
      </c>
      <c r="D243" s="303" t="n">
        <v>7.15</v>
      </c>
      <c r="J243" s="232">
        <f>T243</f>
        <v/>
      </c>
      <c r="K243" s="233" t="n">
        <v>0</v>
      </c>
      <c r="L243" s="239">
        <f>IFERROR(M243/25,"")</f>
        <v/>
      </c>
      <c r="M243" s="240">
        <f>IF(ISNUMBER(P243),Z243,0)</f>
        <v/>
      </c>
      <c r="N243" s="175" t="n">
        <v>0</v>
      </c>
      <c r="O243" s="241">
        <f>IF(ISNUMBER(P243),X243,0)</f>
        <v/>
      </c>
      <c r="P243" s="242">
        <f>_xludf.IFNA(Z243/_xlfn.XLOOKUP(T243,$A$2:$A$624,$B$2:$B$624,""),"")</f>
        <v/>
      </c>
      <c r="Q243" s="242">
        <f>IFERROR(M243/O243,"-")</f>
        <v/>
      </c>
      <c r="R243" s="243">
        <f>IF(ISNUMBER(P243),AE243,0)</f>
        <v/>
      </c>
      <c r="S243" s="244">
        <f>IFERROR((N243/Q243),"-")</f>
        <v/>
      </c>
    </row>
    <row r="244">
      <c r="A244" s="303" t="n"/>
      <c r="B244" s="304" t="n"/>
      <c r="C244" s="302" t="n">
        <v>1840</v>
      </c>
      <c r="D244" s="303" t="n">
        <v>6.23</v>
      </c>
      <c r="J244" s="232">
        <f>T244</f>
        <v/>
      </c>
      <c r="K244" s="233" t="n">
        <v>0</v>
      </c>
      <c r="L244" s="239">
        <f>IFERROR(M244/25,"")</f>
        <v/>
      </c>
      <c r="M244" s="240">
        <f>IF(ISNUMBER(P244),Z244,0)</f>
        <v/>
      </c>
      <c r="N244" s="175" t="n">
        <v>0</v>
      </c>
      <c r="O244" s="241">
        <f>IF(ISNUMBER(P244),X244,0)</f>
        <v/>
      </c>
      <c r="P244" s="242">
        <f>_xludf.IFNA(Z244/_xlfn.XLOOKUP(T244,$A$2:$A$624,$B$2:$B$624,""),"")</f>
        <v/>
      </c>
      <c r="Q244" s="242">
        <f>IFERROR(M244/O244,"-")</f>
        <v/>
      </c>
      <c r="R244" s="243">
        <f>IF(ISNUMBER(P244),AE244,0)</f>
        <v/>
      </c>
      <c r="S244" s="244">
        <f>IFERROR((N244/Q244),"-")</f>
        <v/>
      </c>
    </row>
    <row r="245">
      <c r="A245" s="303" t="n"/>
      <c r="B245" s="304" t="n"/>
      <c r="C245" s="302" t="n">
        <v>1841</v>
      </c>
      <c r="D245" s="303" t="n">
        <v>5.23</v>
      </c>
      <c r="J245" s="232">
        <f>T245</f>
        <v/>
      </c>
      <c r="K245" s="233" t="n">
        <v>0</v>
      </c>
      <c r="L245" s="239">
        <f>IFERROR(M245/25,"")</f>
        <v/>
      </c>
      <c r="M245" s="240">
        <f>IF(ISNUMBER(P245),Z245,0)</f>
        <v/>
      </c>
      <c r="N245" s="175" t="n">
        <v>0</v>
      </c>
      <c r="O245" s="241">
        <f>IF(ISNUMBER(P245),X245,0)</f>
        <v/>
      </c>
      <c r="P245" s="242">
        <f>_xludf.IFNA(Z245/_xlfn.XLOOKUP(T245,$A$2:$A$624,$B$2:$B$624,""),"")</f>
        <v/>
      </c>
      <c r="Q245" s="242">
        <f>IFERROR(M245/O245,"-")</f>
        <v/>
      </c>
      <c r="R245" s="243">
        <f>IF(ISNUMBER(P245),AE245,0)</f>
        <v/>
      </c>
      <c r="S245" s="244">
        <f>IFERROR((N245/Q245),"-")</f>
        <v/>
      </c>
    </row>
    <row r="246">
      <c r="A246" s="303" t="n"/>
      <c r="B246" s="304" t="n"/>
      <c r="C246" s="302" t="n">
        <v>1842</v>
      </c>
      <c r="D246" s="303" t="n">
        <v>5.16</v>
      </c>
      <c r="J246" s="232">
        <f>T246</f>
        <v/>
      </c>
      <c r="K246" s="233" t="n">
        <v>0</v>
      </c>
      <c r="L246" s="239">
        <f>IFERROR(M246/25,"")</f>
        <v/>
      </c>
      <c r="M246" s="240">
        <f>IF(ISNUMBER(P246),Z246,0)</f>
        <v/>
      </c>
      <c r="N246" s="175" t="n">
        <v>0</v>
      </c>
      <c r="O246" s="241">
        <f>IF(ISNUMBER(P246),X246,0)</f>
        <v/>
      </c>
      <c r="P246" s="242">
        <f>_xludf.IFNA(Z246/_xlfn.XLOOKUP(T246,$A$2:$A$624,$B$2:$B$624,""),"")</f>
        <v/>
      </c>
      <c r="Q246" s="242">
        <f>IFERROR(M246/O246,"-")</f>
        <v/>
      </c>
      <c r="R246" s="243">
        <f>IF(ISNUMBER(P246),AE246,0)</f>
        <v/>
      </c>
      <c r="S246" s="244">
        <f>IFERROR((N246/Q246),"-")</f>
        <v/>
      </c>
    </row>
    <row r="247">
      <c r="A247" s="303" t="n"/>
      <c r="B247" s="304" t="n"/>
      <c r="C247" s="302" t="n">
        <v>1843</v>
      </c>
      <c r="D247" s="303" t="n">
        <v>4.87</v>
      </c>
      <c r="J247" s="232">
        <f>T247</f>
        <v/>
      </c>
      <c r="K247" s="233" t="n">
        <v>0</v>
      </c>
      <c r="L247" s="239">
        <f>IFERROR(M247/25,"")</f>
        <v/>
      </c>
      <c r="M247" s="240">
        <f>IF(ISNUMBER(P247),Z247,0)</f>
        <v/>
      </c>
      <c r="N247" s="175" t="n">
        <v>0</v>
      </c>
      <c r="O247" s="241">
        <f>IF(ISNUMBER(P247),X247,0)</f>
        <v/>
      </c>
      <c r="P247" s="242">
        <f>_xludf.IFNA(Z247/_xlfn.XLOOKUP(T247,$A$2:$A$624,$B$2:$B$624,""),"")</f>
        <v/>
      </c>
      <c r="Q247" s="242">
        <f>IFERROR(M247/O247,"-")</f>
        <v/>
      </c>
      <c r="R247" s="243">
        <f>IF(ISNUMBER(P247),AE247,0)</f>
        <v/>
      </c>
      <c r="S247" s="244">
        <f>IFERROR((N247/Q247),"-")</f>
        <v/>
      </c>
    </row>
    <row r="248">
      <c r="A248" s="303" t="n"/>
      <c r="B248" s="304" t="n"/>
      <c r="C248" s="302" t="n">
        <v>1844</v>
      </c>
      <c r="D248" s="303" t="n">
        <v>5</v>
      </c>
      <c r="J248" s="232">
        <f>T248</f>
        <v/>
      </c>
      <c r="K248" s="233" t="n">
        <v>0</v>
      </c>
      <c r="L248" s="239">
        <f>IFERROR(M248/25,"")</f>
        <v/>
      </c>
      <c r="M248" s="240">
        <f>IF(ISNUMBER(P248),Z248,0)</f>
        <v/>
      </c>
      <c r="N248" s="175" t="n">
        <v>0</v>
      </c>
      <c r="O248" s="241">
        <f>IF(ISNUMBER(P248),X248,0)</f>
        <v/>
      </c>
      <c r="P248" s="242">
        <f>_xludf.IFNA(Z248/_xlfn.XLOOKUP(T248,$A$2:$A$624,$B$2:$B$624,""),"")</f>
        <v/>
      </c>
      <c r="Q248" s="242">
        <f>IFERROR(M248/O248,"-")</f>
        <v/>
      </c>
      <c r="R248" s="243">
        <f>IF(ISNUMBER(P248),AE248,0)</f>
        <v/>
      </c>
      <c r="S248" s="244">
        <f>IFERROR((N248/Q248),"-")</f>
        <v/>
      </c>
    </row>
    <row r="249">
      <c r="A249" s="303" t="n"/>
      <c r="B249" s="304" t="n"/>
      <c r="C249" s="302" t="n">
        <v>1845</v>
      </c>
      <c r="D249" s="303" t="n">
        <v>5</v>
      </c>
      <c r="J249" s="232">
        <f>T249</f>
        <v/>
      </c>
      <c r="K249" s="233" t="n">
        <v>0</v>
      </c>
      <c r="L249" s="239">
        <f>IFERROR(M249/25,"")</f>
        <v/>
      </c>
      <c r="M249" s="240">
        <f>IF(ISNUMBER(P249),Z249,0)</f>
        <v/>
      </c>
      <c r="N249" s="175" t="n">
        <v>0</v>
      </c>
      <c r="O249" s="241">
        <f>IF(ISNUMBER(P249),X249,0)</f>
        <v/>
      </c>
      <c r="P249" s="242">
        <f>_xludf.IFNA(Z249/_xlfn.XLOOKUP(T249,$A$2:$A$624,$B$2:$B$624,""),"")</f>
        <v/>
      </c>
      <c r="Q249" s="242">
        <f>IFERROR(M249/O249,"-")</f>
        <v/>
      </c>
      <c r="R249" s="243">
        <f>IF(ISNUMBER(P249),AE249,0)</f>
        <v/>
      </c>
      <c r="S249" s="244">
        <f>IFERROR((N249/Q249),"-")</f>
        <v/>
      </c>
    </row>
    <row r="250">
      <c r="A250" s="303" t="n"/>
      <c r="B250" s="304" t="n"/>
      <c r="C250" s="302" t="n">
        <v>1851</v>
      </c>
      <c r="D250" s="303" t="n">
        <v>21</v>
      </c>
      <c r="J250" s="232">
        <f>T250</f>
        <v/>
      </c>
      <c r="K250" s="233" t="n">
        <v>0</v>
      </c>
      <c r="L250" s="239">
        <f>IFERROR(M250/25,"")</f>
        <v/>
      </c>
      <c r="M250" s="240">
        <f>IF(ISNUMBER(P250),Z250,0)</f>
        <v/>
      </c>
      <c r="N250" s="175" t="n">
        <v>0</v>
      </c>
      <c r="O250" s="241">
        <f>IF(ISNUMBER(P250),X250,0)</f>
        <v/>
      </c>
      <c r="P250" s="242">
        <f>_xludf.IFNA(Z250/_xlfn.XLOOKUP(T250,$A$2:$A$624,$B$2:$B$624,""),"")</f>
        <v/>
      </c>
      <c r="Q250" s="242">
        <f>IFERROR(M250/O250,"-")</f>
        <v/>
      </c>
      <c r="R250" s="243">
        <f>IF(ISNUMBER(P250),AE250,0)</f>
        <v/>
      </c>
      <c r="S250" s="244">
        <f>IFERROR((N250/Q250),"-")</f>
        <v/>
      </c>
    </row>
    <row r="251">
      <c r="A251" s="303" t="n"/>
      <c r="B251" s="304" t="n"/>
      <c r="C251" s="302" t="n">
        <v>1852</v>
      </c>
      <c r="D251" s="303" t="n">
        <v>15.6</v>
      </c>
      <c r="J251" s="232">
        <f>T251</f>
        <v/>
      </c>
      <c r="K251" s="233" t="n">
        <v>0</v>
      </c>
      <c r="L251" s="239">
        <f>IFERROR(M251/25,"")</f>
        <v/>
      </c>
      <c r="M251" s="240">
        <f>IF(ISNUMBER(P251),Z251,0)</f>
        <v/>
      </c>
      <c r="N251" s="175" t="n">
        <v>0</v>
      </c>
      <c r="O251" s="241">
        <f>IF(ISNUMBER(P251),X251,0)</f>
        <v/>
      </c>
      <c r="P251" s="242">
        <f>_xludf.IFNA(Z251/_xlfn.XLOOKUP(T251,$A$2:$A$624,$B$2:$B$624,""),"")</f>
        <v/>
      </c>
      <c r="Q251" s="242">
        <f>IFERROR(M251/O251,"-")</f>
        <v/>
      </c>
      <c r="R251" s="243">
        <f>IF(ISNUMBER(P251),AE251,0)</f>
        <v/>
      </c>
      <c r="S251" s="244">
        <f>IFERROR((N251/Q251),"-")</f>
        <v/>
      </c>
    </row>
    <row r="252">
      <c r="A252" s="303" t="n"/>
      <c r="B252" s="304" t="n"/>
      <c r="C252" s="302" t="n">
        <v>1853</v>
      </c>
      <c r="D252" s="303" t="n">
        <v>14.4</v>
      </c>
      <c r="J252" s="232">
        <f>T252</f>
        <v/>
      </c>
      <c r="K252" s="233" t="n">
        <v>0</v>
      </c>
      <c r="L252" s="239">
        <f>IFERROR(M252/25,"")</f>
        <v/>
      </c>
      <c r="M252" s="240">
        <f>IF(ISNUMBER(P252),Z252,0)</f>
        <v/>
      </c>
      <c r="N252" s="175" t="n">
        <v>0</v>
      </c>
      <c r="O252" s="241">
        <f>IF(ISNUMBER(P252),X252,0)</f>
        <v/>
      </c>
      <c r="P252" s="242">
        <f>_xludf.IFNA(Z252/_xlfn.XLOOKUP(T252,$A$2:$A$624,$B$2:$B$624,""),"")</f>
        <v/>
      </c>
      <c r="Q252" s="242">
        <f>IFERROR(M252/O252,"-")</f>
        <v/>
      </c>
      <c r="R252" s="243">
        <f>IF(ISNUMBER(P252),AE252,0)</f>
        <v/>
      </c>
      <c r="S252" s="244">
        <f>IFERROR((N252/Q252),"-")</f>
        <v/>
      </c>
    </row>
    <row r="253">
      <c r="A253" s="303" t="n"/>
      <c r="B253" s="304" t="n"/>
      <c r="C253" s="302" t="n">
        <v>1854</v>
      </c>
      <c r="D253" s="303" t="n">
        <v>13.2</v>
      </c>
      <c r="J253" s="232">
        <f>T253</f>
        <v/>
      </c>
      <c r="K253" s="233" t="n">
        <v>0</v>
      </c>
      <c r="L253" s="239">
        <f>IFERROR(M253/25,"")</f>
        <v/>
      </c>
      <c r="M253" s="240">
        <f>IF(ISNUMBER(P253),Z253,0)</f>
        <v/>
      </c>
      <c r="N253" s="175" t="n">
        <v>0</v>
      </c>
      <c r="O253" s="241">
        <f>IF(ISNUMBER(P253),X253,0)</f>
        <v/>
      </c>
      <c r="P253" s="242">
        <f>_xludf.IFNA(Z253/_xlfn.XLOOKUP(T253,$A$2:$A$624,$B$2:$B$624,""),"")</f>
        <v/>
      </c>
      <c r="Q253" s="242">
        <f>IFERROR(M253/O253,"-")</f>
        <v/>
      </c>
      <c r="R253" s="243">
        <f>IF(ISNUMBER(P253),AE253,0)</f>
        <v/>
      </c>
      <c r="S253" s="244">
        <f>IFERROR((N253/Q253),"-")</f>
        <v/>
      </c>
    </row>
    <row r="254">
      <c r="A254" s="303" t="n"/>
      <c r="B254" s="304" t="n"/>
      <c r="C254" s="302" t="n">
        <v>1855</v>
      </c>
      <c r="D254" s="303" t="n">
        <v>19.8</v>
      </c>
      <c r="J254" s="232">
        <f>T254</f>
        <v/>
      </c>
      <c r="K254" s="233" t="n">
        <v>0</v>
      </c>
      <c r="L254" s="239">
        <f>IFERROR(M254/25,"")</f>
        <v/>
      </c>
      <c r="M254" s="240">
        <f>IF(ISNUMBER(P254),Z254,0)</f>
        <v/>
      </c>
      <c r="N254" s="175" t="n">
        <v>0</v>
      </c>
      <c r="O254" s="241">
        <f>IF(ISNUMBER(P254),X254,0)</f>
        <v/>
      </c>
      <c r="P254" s="242">
        <f>_xludf.IFNA(Z254/_xlfn.XLOOKUP(T254,$A$2:$A$624,$B$2:$B$624,""),"")</f>
        <v/>
      </c>
      <c r="Q254" s="242">
        <f>IFERROR(M254/O254,"-")</f>
        <v/>
      </c>
      <c r="R254" s="243">
        <f>IF(ISNUMBER(P254),AE254,0)</f>
        <v/>
      </c>
      <c r="S254" s="244">
        <f>IFERROR((N254/Q254),"-")</f>
        <v/>
      </c>
    </row>
    <row r="255">
      <c r="A255" s="303" t="n"/>
      <c r="B255" s="304" t="n"/>
      <c r="C255" s="302" t="n">
        <v>1865</v>
      </c>
      <c r="D255" s="303" t="n">
        <v>16</v>
      </c>
      <c r="J255" s="232">
        <f>T255</f>
        <v/>
      </c>
      <c r="K255" s="233" t="n">
        <v>0</v>
      </c>
      <c r="L255" s="239">
        <f>IFERROR(M255/25,"")</f>
        <v/>
      </c>
      <c r="M255" s="240">
        <f>IF(ISNUMBER(P255),Z255,0)</f>
        <v/>
      </c>
      <c r="N255" s="175" t="n">
        <v>0</v>
      </c>
      <c r="O255" s="241">
        <f>IF(ISNUMBER(P255),X255,0)</f>
        <v/>
      </c>
      <c r="P255" s="242">
        <f>_xludf.IFNA(Z255/_xlfn.XLOOKUP(T255,$A$2:$A$624,$B$2:$B$624,""),"")</f>
        <v/>
      </c>
      <c r="Q255" s="242">
        <f>IFERROR(M255/O255,"-")</f>
        <v/>
      </c>
      <c r="R255" s="243">
        <f>IF(ISNUMBER(P255),AE255,0)</f>
        <v/>
      </c>
      <c r="S255" s="244">
        <f>IFERROR((N255/Q255),"-")</f>
        <v/>
      </c>
    </row>
    <row r="256">
      <c r="A256" s="303" t="n"/>
      <c r="B256" s="304" t="n"/>
      <c r="C256" s="302" t="n">
        <v>1866</v>
      </c>
      <c r="D256" s="303" t="n">
        <v>9.6</v>
      </c>
      <c r="J256" s="232">
        <f>T256</f>
        <v/>
      </c>
      <c r="K256" s="233" t="n">
        <v>0</v>
      </c>
      <c r="L256" s="239">
        <f>IFERROR(M256/25,"")</f>
        <v/>
      </c>
      <c r="M256" s="240">
        <f>IF(ISNUMBER(P256),Z256,0)</f>
        <v/>
      </c>
      <c r="N256" s="175" t="n">
        <v>0</v>
      </c>
      <c r="O256" s="241">
        <f>IF(ISNUMBER(P256),X256,0)</f>
        <v/>
      </c>
      <c r="P256" s="242">
        <f>_xludf.IFNA(Z256/_xlfn.XLOOKUP(T256,$A$2:$A$624,$B$2:$B$624,""),"")</f>
        <v/>
      </c>
      <c r="Q256" s="242">
        <f>IFERROR(M256/O256,"-")</f>
        <v/>
      </c>
      <c r="R256" s="243">
        <f>IF(ISNUMBER(P256),AE256,0)</f>
        <v/>
      </c>
      <c r="S256" s="244">
        <f>IFERROR((N256/Q256),"-")</f>
        <v/>
      </c>
    </row>
    <row r="257">
      <c r="A257" s="303" t="n"/>
      <c r="B257" s="304" t="n"/>
      <c r="C257" s="302" t="n">
        <v>1867</v>
      </c>
      <c r="D257" s="303" t="n">
        <v>12.8</v>
      </c>
      <c r="J257" s="232">
        <f>T257</f>
        <v/>
      </c>
      <c r="K257" s="233" t="n">
        <v>0</v>
      </c>
      <c r="L257" s="239">
        <f>IFERROR(M257/25,"")</f>
        <v/>
      </c>
      <c r="M257" s="240">
        <f>IF(ISNUMBER(P257),Z257,0)</f>
        <v/>
      </c>
      <c r="N257" s="175" t="n">
        <v>0</v>
      </c>
      <c r="O257" s="241">
        <f>IF(ISNUMBER(P257),X257,0)</f>
        <v/>
      </c>
      <c r="P257" s="242">
        <f>_xludf.IFNA(Z257/_xlfn.XLOOKUP(T257,$A$2:$A$624,$B$2:$B$624,""),"")</f>
        <v/>
      </c>
      <c r="Q257" s="242">
        <f>IFERROR(M257/O257,"-")</f>
        <v/>
      </c>
      <c r="R257" s="243">
        <f>IF(ISNUMBER(P257),AE257,0)</f>
        <v/>
      </c>
      <c r="S257" s="244">
        <f>IFERROR((N257/Q257),"-")</f>
        <v/>
      </c>
    </row>
    <row r="258">
      <c r="A258" s="303" t="n"/>
      <c r="B258" s="304" t="n"/>
      <c r="C258" s="302" t="n">
        <v>1868</v>
      </c>
      <c r="D258" s="303" t="n">
        <v>10</v>
      </c>
      <c r="J258" s="232">
        <f>T258</f>
        <v/>
      </c>
      <c r="K258" s="233" t="n">
        <v>0</v>
      </c>
      <c r="L258" s="239">
        <f>IFERROR(M258/25,"")</f>
        <v/>
      </c>
      <c r="M258" s="240">
        <f>IF(ISNUMBER(P258),Z258,0)</f>
        <v/>
      </c>
      <c r="N258" s="175" t="n">
        <v>0</v>
      </c>
      <c r="O258" s="241">
        <f>IF(ISNUMBER(P258),X258,0)</f>
        <v/>
      </c>
      <c r="P258" s="242">
        <f>_xludf.IFNA(Z258/_xlfn.XLOOKUP(T258,$A$2:$A$624,$B$2:$B$624,""),"")</f>
        <v/>
      </c>
      <c r="Q258" s="242">
        <f>IFERROR(M258/O258,"-")</f>
        <v/>
      </c>
      <c r="R258" s="243">
        <f>IF(ISNUMBER(P258),AE258,0)</f>
        <v/>
      </c>
      <c r="S258" s="244">
        <f>IFERROR((N258/Q258),"-")</f>
        <v/>
      </c>
    </row>
    <row r="259">
      <c r="A259" s="303" t="n"/>
      <c r="B259" s="304" t="n"/>
      <c r="C259" s="302" t="n">
        <v>1869</v>
      </c>
      <c r="D259" s="303" t="n">
        <v>12</v>
      </c>
      <c r="J259" s="232">
        <f>T259</f>
        <v/>
      </c>
      <c r="K259" s="233" t="n">
        <v>0</v>
      </c>
      <c r="L259" s="239">
        <f>IFERROR(M259/25,"")</f>
        <v/>
      </c>
      <c r="M259" s="240">
        <f>IF(ISNUMBER(P259),Z259,0)</f>
        <v/>
      </c>
      <c r="N259" s="175" t="n">
        <v>0</v>
      </c>
      <c r="O259" s="241">
        <f>IF(ISNUMBER(P259),X259,0)</f>
        <v/>
      </c>
      <c r="P259" s="242">
        <f>_xludf.IFNA(Z259/_xlfn.XLOOKUP(T259,$A$2:$A$624,$B$2:$B$624,""),"")</f>
        <v/>
      </c>
      <c r="Q259" s="242">
        <f>IFERROR(M259/O259,"-")</f>
        <v/>
      </c>
      <c r="R259" s="243">
        <f>IF(ISNUMBER(P259),AE259,0)</f>
        <v/>
      </c>
      <c r="S259" s="244">
        <f>IFERROR((N259/Q259),"-")</f>
        <v/>
      </c>
    </row>
    <row r="260">
      <c r="A260" s="303" t="n"/>
      <c r="B260" s="304" t="n"/>
      <c r="C260" s="302" t="n">
        <v>1870</v>
      </c>
      <c r="D260" s="303" t="n">
        <v>12.5</v>
      </c>
      <c r="J260" s="232">
        <f>T260</f>
        <v/>
      </c>
      <c r="K260" s="233" t="n">
        <v>0</v>
      </c>
      <c r="L260" s="239">
        <f>IFERROR(M260/25,"")</f>
        <v/>
      </c>
      <c r="M260" s="240">
        <f>IF(ISNUMBER(P260),Z260,0)</f>
        <v/>
      </c>
      <c r="N260" s="175" t="n">
        <v>0</v>
      </c>
      <c r="O260" s="241">
        <f>IF(ISNUMBER(P260),X260,0)</f>
        <v/>
      </c>
      <c r="P260" s="242">
        <f>_xludf.IFNA(Z260/_xlfn.XLOOKUP(T260,$A$2:$A$624,$B$2:$B$624,""),"")</f>
        <v/>
      </c>
      <c r="Q260" s="242">
        <f>IFERROR(M260/O260,"-")</f>
        <v/>
      </c>
      <c r="R260" s="243">
        <f>IF(ISNUMBER(P260),AE260,0)</f>
        <v/>
      </c>
      <c r="S260" s="244">
        <f>IFERROR((N260/Q260),"-")</f>
        <v/>
      </c>
    </row>
    <row r="261">
      <c r="A261" s="303" t="n"/>
      <c r="B261" s="304" t="n"/>
      <c r="C261" s="302" t="n">
        <v>1871</v>
      </c>
      <c r="D261" s="303" t="n">
        <v>15</v>
      </c>
      <c r="J261" s="232">
        <f>T261</f>
        <v/>
      </c>
      <c r="K261" s="233" t="n">
        <v>0</v>
      </c>
      <c r="L261" s="239">
        <f>IFERROR(M261/25,"")</f>
        <v/>
      </c>
      <c r="M261" s="240">
        <f>IF(ISNUMBER(P261),Z261,0)</f>
        <v/>
      </c>
      <c r="N261" s="175" t="n">
        <v>0</v>
      </c>
      <c r="O261" s="241">
        <f>IF(ISNUMBER(P261),X261,0)</f>
        <v/>
      </c>
      <c r="P261" s="242">
        <f>_xludf.IFNA(Z261/_xlfn.XLOOKUP(T261,$A$2:$A$624,$B$2:$B$624,""),"")</f>
        <v/>
      </c>
      <c r="Q261" s="242">
        <f>IFERROR(M261/O261,"-")</f>
        <v/>
      </c>
      <c r="R261" s="243">
        <f>IF(ISNUMBER(P261),AE261,0)</f>
        <v/>
      </c>
      <c r="S261" s="244">
        <f>IFERROR((N261/Q261),"-")</f>
        <v/>
      </c>
    </row>
    <row r="262">
      <c r="A262" s="303" t="n"/>
      <c r="B262" s="304" t="n"/>
      <c r="C262" s="302" t="n">
        <v>1872</v>
      </c>
      <c r="D262" s="303" t="n">
        <v>12</v>
      </c>
      <c r="J262" s="232">
        <f>T262</f>
        <v/>
      </c>
      <c r="K262" s="233" t="n">
        <v>0</v>
      </c>
      <c r="L262" s="239">
        <f>IFERROR(M262/25,"")</f>
        <v/>
      </c>
      <c r="M262" s="240">
        <f>IF(ISNUMBER(P262),Z262,0)</f>
        <v/>
      </c>
      <c r="N262" s="175" t="n">
        <v>0</v>
      </c>
      <c r="O262" s="241">
        <f>IF(ISNUMBER(P262),X262,0)</f>
        <v/>
      </c>
      <c r="P262" s="242">
        <f>_xludf.IFNA(Z262/_xlfn.XLOOKUP(T262,$A$2:$A$624,$B$2:$B$624,""),"")</f>
        <v/>
      </c>
      <c r="Q262" s="242">
        <f>IFERROR(M262/O262,"-")</f>
        <v/>
      </c>
      <c r="R262" s="243">
        <f>IF(ISNUMBER(P262),AE262,0)</f>
        <v/>
      </c>
      <c r="S262" s="244">
        <f>IFERROR((N262/Q262),"-")</f>
        <v/>
      </c>
    </row>
    <row r="263">
      <c r="A263" s="303" t="n"/>
      <c r="B263" s="304" t="n"/>
      <c r="C263" s="302" t="n">
        <v>1873</v>
      </c>
      <c r="D263" s="303" t="n">
        <v>10</v>
      </c>
      <c r="J263" s="232">
        <f>T263</f>
        <v/>
      </c>
      <c r="K263" s="233" t="n">
        <v>0</v>
      </c>
      <c r="L263" s="239">
        <f>IFERROR(M263/25,"")</f>
        <v/>
      </c>
      <c r="M263" s="240">
        <f>IF(ISNUMBER(P263),Z263,0)</f>
        <v/>
      </c>
      <c r="N263" s="175" t="n">
        <v>0</v>
      </c>
      <c r="O263" s="241">
        <f>IF(ISNUMBER(P263),X263,0)</f>
        <v/>
      </c>
      <c r="P263" s="242">
        <f>_xludf.IFNA(Z263/_xlfn.XLOOKUP(T263,$A$2:$A$624,$B$2:$B$624,""),"")</f>
        <v/>
      </c>
      <c r="Q263" s="242">
        <f>IFERROR(M263/O263,"-")</f>
        <v/>
      </c>
      <c r="R263" s="243">
        <f>IF(ISNUMBER(P263),AE263,0)</f>
        <v/>
      </c>
      <c r="S263" s="244">
        <f>IFERROR((N263/Q263),"-")</f>
        <v/>
      </c>
    </row>
    <row r="264">
      <c r="A264" s="303" t="n"/>
      <c r="B264" s="304" t="n"/>
      <c r="C264" s="302" t="n">
        <v>1874</v>
      </c>
      <c r="D264" s="303" t="n">
        <v>5.2</v>
      </c>
      <c r="J264" s="232">
        <f>T264</f>
        <v/>
      </c>
      <c r="K264" s="233" t="n">
        <v>0</v>
      </c>
      <c r="L264" s="239">
        <f>IFERROR(M264/25,"")</f>
        <v/>
      </c>
      <c r="M264" s="240">
        <f>IF(ISNUMBER(P264),Z264,0)</f>
        <v/>
      </c>
      <c r="N264" s="175" t="n">
        <v>0</v>
      </c>
      <c r="O264" s="241">
        <f>IF(ISNUMBER(P264),X264,0)</f>
        <v/>
      </c>
      <c r="P264" s="242">
        <f>_xludf.IFNA(Z264/_xlfn.XLOOKUP(T264,$A$2:$A$624,$B$2:$B$624,""),"")</f>
        <v/>
      </c>
      <c r="Q264" s="242">
        <f>IFERROR(M264/O264,"-")</f>
        <v/>
      </c>
      <c r="R264" s="243">
        <f>IF(ISNUMBER(P264),AE264,0)</f>
        <v/>
      </c>
      <c r="S264" s="244">
        <f>IFERROR((N264/Q264),"-")</f>
        <v/>
      </c>
    </row>
    <row r="265">
      <c r="A265" s="303" t="n"/>
      <c r="B265" s="304" t="n"/>
      <c r="C265" s="302" t="n"/>
      <c r="D265" s="303" t="n"/>
      <c r="J265" s="232">
        <f>T265</f>
        <v/>
      </c>
      <c r="K265" s="233" t="n">
        <v>0</v>
      </c>
      <c r="L265" s="239">
        <f>IFERROR(M265/25,"")</f>
        <v/>
      </c>
      <c r="M265" s="240">
        <f>IF(ISNUMBER(P265),Z265,0)</f>
        <v/>
      </c>
      <c r="N265" s="175" t="n">
        <v>0</v>
      </c>
      <c r="O265" s="241">
        <f>IF(ISNUMBER(P265),X265,0)</f>
        <v/>
      </c>
      <c r="P265" s="242">
        <f>_xludf.IFNA(Z265/_xlfn.XLOOKUP(T265,$A$2:$A$624,$B$2:$B$624,""),"")</f>
        <v/>
      </c>
      <c r="Q265" s="242">
        <f>IFERROR(M265/O265,"-")</f>
        <v/>
      </c>
      <c r="R265" s="243">
        <f>IF(ISNUMBER(P265),AE265,0)</f>
        <v/>
      </c>
      <c r="S265" s="244">
        <f>IFERROR((N265/Q265),"-")</f>
        <v/>
      </c>
    </row>
    <row r="266">
      <c r="A266" s="303" t="n"/>
      <c r="B266" s="304" t="n"/>
      <c r="C266" s="302" t="n">
        <v>1856</v>
      </c>
      <c r="D266" s="303" t="n">
        <v>13.8</v>
      </c>
      <c r="J266" s="232">
        <f>T266</f>
        <v/>
      </c>
      <c r="K266" s="233" t="n">
        <v>0</v>
      </c>
      <c r="L266" s="239">
        <f>IFERROR(M266/25,"")</f>
        <v/>
      </c>
      <c r="M266" s="240">
        <f>IF(ISNUMBER(P266),Z266,0)</f>
        <v/>
      </c>
      <c r="N266" s="175" t="n">
        <v>0</v>
      </c>
      <c r="O266" s="241">
        <f>IF(ISNUMBER(P266),X266,0)</f>
        <v/>
      </c>
      <c r="P266" s="242">
        <f>_xludf.IFNA(Z266/_xlfn.XLOOKUP(T266,$A$2:$A$624,$B$2:$B$624,""),"")</f>
        <v/>
      </c>
      <c r="Q266" s="242">
        <f>IFERROR(M266/O266,"-")</f>
        <v/>
      </c>
      <c r="R266" s="243">
        <f>IF(ISNUMBER(P266),AE266,0)</f>
        <v/>
      </c>
      <c r="S266" s="244">
        <f>IFERROR((N266/Q266),"-")</f>
        <v/>
      </c>
    </row>
    <row r="267">
      <c r="A267" s="303" t="n"/>
      <c r="B267" s="304" t="n"/>
      <c r="C267" s="302" t="n">
        <v>1875</v>
      </c>
      <c r="D267" s="303" t="n">
        <v>7.8</v>
      </c>
      <c r="J267" s="232">
        <f>T267</f>
        <v/>
      </c>
      <c r="K267" s="233" t="n">
        <v>0</v>
      </c>
      <c r="L267" s="239">
        <f>IFERROR(M267/25,"")</f>
        <v/>
      </c>
      <c r="M267" s="240">
        <f>IF(ISNUMBER(P267),Z267,0)</f>
        <v/>
      </c>
      <c r="N267" s="175" t="n">
        <v>0</v>
      </c>
      <c r="O267" s="241">
        <f>IF(ISNUMBER(P267),X267,0)</f>
        <v/>
      </c>
      <c r="P267" s="242">
        <f>_xludf.IFNA(Z267/_xlfn.XLOOKUP(T267,$A$2:$A$624,$B$2:$B$624,""),"")</f>
        <v/>
      </c>
      <c r="Q267" s="242">
        <f>IFERROR(M267/O267,"-")</f>
        <v/>
      </c>
      <c r="R267" s="243">
        <f>IF(ISNUMBER(P267),AE267,0)</f>
        <v/>
      </c>
      <c r="S267" s="244">
        <f>IFERROR((N267/Q267),"-")</f>
        <v/>
      </c>
    </row>
    <row r="268">
      <c r="A268" s="303" t="n"/>
      <c r="B268" s="304" t="n"/>
      <c r="C268" s="302" t="n">
        <v>2101</v>
      </c>
      <c r="D268" s="303" t="n">
        <v>6.9</v>
      </c>
      <c r="J268" s="232">
        <f>T268</f>
        <v/>
      </c>
      <c r="K268" s="233" t="n">
        <v>0</v>
      </c>
      <c r="L268" s="239">
        <f>IFERROR(M268/25,"")</f>
        <v/>
      </c>
      <c r="M268" s="240">
        <f>IF(ISNUMBER(P268),Z268,0)</f>
        <v/>
      </c>
      <c r="N268" s="175" t="n">
        <v>0</v>
      </c>
      <c r="O268" s="241">
        <f>IF(ISNUMBER(P268),X268,0)</f>
        <v/>
      </c>
      <c r="P268" s="242">
        <f>_xludf.IFNA(Z268/_xlfn.XLOOKUP(T268,$A$2:$A$624,$B$2:$B$624,""),"")</f>
        <v/>
      </c>
      <c r="Q268" s="242">
        <f>IFERROR(M268/O268,"-")</f>
        <v/>
      </c>
      <c r="R268" s="243">
        <f>IF(ISNUMBER(P268),AE268,0)</f>
        <v/>
      </c>
      <c r="S268" s="244">
        <f>IFERROR((N268/Q268),"-")</f>
        <v/>
      </c>
    </row>
    <row r="269">
      <c r="A269" s="303" t="n"/>
      <c r="B269" s="304" t="n"/>
      <c r="C269" s="302" t="n">
        <v>2102</v>
      </c>
      <c r="D269" s="303" t="n">
        <v>6.9</v>
      </c>
      <c r="J269" s="232">
        <f>T269</f>
        <v/>
      </c>
      <c r="K269" s="233" t="n">
        <v>0</v>
      </c>
      <c r="L269" s="239">
        <f>IFERROR(M269/25,"")</f>
        <v/>
      </c>
      <c r="M269" s="240">
        <f>IF(ISNUMBER(P269),Z269,0)</f>
        <v/>
      </c>
      <c r="N269" s="175" t="n">
        <v>0</v>
      </c>
      <c r="O269" s="241">
        <f>IF(ISNUMBER(P269),X269,0)</f>
        <v/>
      </c>
      <c r="P269" s="242">
        <f>_xludf.IFNA(Z269/_xlfn.XLOOKUP(T269,$A$2:$A$624,$B$2:$B$624,""),"")</f>
        <v/>
      </c>
      <c r="Q269" s="242">
        <f>IFERROR(M269/O269,"-")</f>
        <v/>
      </c>
      <c r="R269" s="243">
        <f>IF(ISNUMBER(P269),AE269,0)</f>
        <v/>
      </c>
      <c r="S269" s="244">
        <f>IFERROR((N269/Q269),"-")</f>
        <v/>
      </c>
    </row>
    <row r="270">
      <c r="A270" s="303" t="n"/>
      <c r="B270" s="304" t="n"/>
      <c r="C270" s="302" t="n">
        <v>2103</v>
      </c>
      <c r="D270" s="303" t="n">
        <v>11.4</v>
      </c>
      <c r="J270" s="232">
        <f>T270</f>
        <v/>
      </c>
      <c r="K270" s="233" t="n">
        <v>0</v>
      </c>
      <c r="L270" s="239">
        <f>IFERROR(M270/25,"")</f>
        <v/>
      </c>
      <c r="M270" s="240">
        <f>IF(ISNUMBER(P270),Z270,0)</f>
        <v/>
      </c>
      <c r="N270" s="175" t="n">
        <v>0</v>
      </c>
      <c r="O270" s="241">
        <f>IF(ISNUMBER(P270),X270,0)</f>
        <v/>
      </c>
      <c r="P270" s="242">
        <f>_xludf.IFNA(Z270/_xlfn.XLOOKUP(T270,$A$2:$A$624,$B$2:$B$624,""),"")</f>
        <v/>
      </c>
      <c r="Q270" s="242">
        <f>IFERROR(M270/O270,"-")</f>
        <v/>
      </c>
      <c r="R270" s="243">
        <f>IF(ISNUMBER(P270),AE270,0)</f>
        <v/>
      </c>
      <c r="S270" s="244">
        <f>IFERROR((N270/Q270),"-")</f>
        <v/>
      </c>
    </row>
    <row r="271">
      <c r="A271" s="303" t="n"/>
      <c r="B271" s="304" t="n"/>
      <c r="C271" s="302" t="n">
        <v>2104</v>
      </c>
      <c r="D271" s="303" t="n">
        <v>9.6</v>
      </c>
      <c r="J271" s="232">
        <f>T271</f>
        <v/>
      </c>
      <c r="K271" s="233" t="n">
        <v>0</v>
      </c>
      <c r="L271" s="239">
        <f>IFERROR(M271/25,"")</f>
        <v/>
      </c>
      <c r="M271" s="240">
        <f>IF(ISNUMBER(P271),Z271,0)</f>
        <v/>
      </c>
      <c r="N271" s="175" t="n">
        <v>0</v>
      </c>
      <c r="O271" s="241">
        <f>IF(ISNUMBER(P271),X271,0)</f>
        <v/>
      </c>
      <c r="P271" s="242">
        <f>_xludf.IFNA(Z271/_xlfn.XLOOKUP(T271,$A$2:$A$624,$B$2:$B$624,""),"")</f>
        <v/>
      </c>
      <c r="Q271" s="242">
        <f>IFERROR(M271/O271,"-")</f>
        <v/>
      </c>
      <c r="R271" s="243">
        <f>IF(ISNUMBER(P271),AE271,0)</f>
        <v/>
      </c>
      <c r="S271" s="244">
        <f>IFERROR((N271/Q271),"-")</f>
        <v/>
      </c>
    </row>
    <row r="272">
      <c r="A272" s="303" t="n"/>
      <c r="B272" s="304" t="n"/>
      <c r="C272" s="302" t="n">
        <v>2105</v>
      </c>
      <c r="D272" s="303" t="n">
        <v>4.5</v>
      </c>
      <c r="J272" s="232">
        <f>T272</f>
        <v/>
      </c>
      <c r="K272" s="233" t="n">
        <v>0</v>
      </c>
      <c r="L272" s="239">
        <f>IFERROR(M272/25,"")</f>
        <v/>
      </c>
      <c r="M272" s="240">
        <f>IF(ISNUMBER(P272),Z272,0)</f>
        <v/>
      </c>
      <c r="N272" s="175" t="n">
        <v>0</v>
      </c>
      <c r="O272" s="241">
        <f>IF(ISNUMBER(P272),X272,0)</f>
        <v/>
      </c>
      <c r="P272" s="242">
        <f>_xludf.IFNA(Z272/_xlfn.XLOOKUP(T272,$A$2:$A$624,$B$2:$B$624,""),"")</f>
        <v/>
      </c>
      <c r="Q272" s="242">
        <f>IFERROR(M272/O272,"-")</f>
        <v/>
      </c>
      <c r="R272" s="243">
        <f>IF(ISNUMBER(P272),AE272,0)</f>
        <v/>
      </c>
      <c r="S272" s="244">
        <f>IFERROR((N272/Q272),"-")</f>
        <v/>
      </c>
    </row>
    <row r="273">
      <c r="A273" s="303" t="n"/>
      <c r="B273" s="304" t="n"/>
      <c r="C273" s="302" t="n">
        <v>2106</v>
      </c>
      <c r="D273" s="303" t="n">
        <v>7.9</v>
      </c>
      <c r="J273" s="232">
        <f>T273</f>
        <v/>
      </c>
      <c r="K273" s="233" t="n">
        <v>0</v>
      </c>
      <c r="L273" s="239">
        <f>IFERROR(M273/25,"")</f>
        <v/>
      </c>
      <c r="M273" s="240">
        <f>IF(ISNUMBER(P273),Z273,0)</f>
        <v/>
      </c>
      <c r="N273" s="175" t="n">
        <v>0</v>
      </c>
      <c r="O273" s="241">
        <f>IF(ISNUMBER(P273),X273,0)</f>
        <v/>
      </c>
      <c r="P273" s="242">
        <f>_xludf.IFNA(Z273/_xlfn.XLOOKUP(T273,$A$2:$A$624,$B$2:$B$624,""),"")</f>
        <v/>
      </c>
      <c r="Q273" s="242">
        <f>IFERROR(M273/O273,"-")</f>
        <v/>
      </c>
      <c r="R273" s="243">
        <f>IF(ISNUMBER(P273),AE273,0)</f>
        <v/>
      </c>
      <c r="S273" s="244">
        <f>IFERROR((N273/Q273),"-")</f>
        <v/>
      </c>
    </row>
    <row r="274">
      <c r="A274" s="303" t="n"/>
      <c r="B274" s="304" t="n"/>
      <c r="C274" s="302" t="n">
        <v>2107</v>
      </c>
      <c r="D274" s="303" t="n">
        <v>11.9</v>
      </c>
      <c r="J274" s="232">
        <f>T274</f>
        <v/>
      </c>
      <c r="K274" s="233" t="n">
        <v>0</v>
      </c>
      <c r="L274" s="239">
        <f>IFERROR(M274/25,"")</f>
        <v/>
      </c>
      <c r="M274" s="240">
        <f>IF(ISNUMBER(P274),Z274,0)</f>
        <v/>
      </c>
      <c r="N274" s="175" t="n">
        <v>0</v>
      </c>
      <c r="O274" s="241">
        <f>IF(ISNUMBER(P274),X274,0)</f>
        <v/>
      </c>
      <c r="P274" s="242">
        <f>_xludf.IFNA(Z274/_xlfn.XLOOKUP(T274,$A$2:$A$624,$B$2:$B$624,""),"")</f>
        <v/>
      </c>
      <c r="Q274" s="242">
        <f>IFERROR(M274/O274,"-")</f>
        <v/>
      </c>
      <c r="R274" s="243">
        <f>IF(ISNUMBER(P274),AE274,0)</f>
        <v/>
      </c>
      <c r="S274" s="244">
        <f>IFERROR((N274/Q274),"-")</f>
        <v/>
      </c>
    </row>
    <row r="275">
      <c r="A275" s="303" t="n"/>
      <c r="B275" s="304" t="n"/>
      <c r="C275" s="302" t="n">
        <v>2108</v>
      </c>
      <c r="D275" s="303" t="n">
        <v>12</v>
      </c>
      <c r="J275" s="232">
        <f>T275</f>
        <v/>
      </c>
      <c r="K275" s="233" t="n">
        <v>0</v>
      </c>
      <c r="L275" s="239">
        <f>IFERROR(M275/25,"")</f>
        <v/>
      </c>
      <c r="M275" s="240">
        <f>IF(ISNUMBER(P275),Z275,0)</f>
        <v/>
      </c>
      <c r="N275" s="175" t="n">
        <v>0</v>
      </c>
      <c r="O275" s="241">
        <f>IF(ISNUMBER(P275),X275,0)</f>
        <v/>
      </c>
      <c r="P275" s="242">
        <f>_xludf.IFNA(Z275/_xlfn.XLOOKUP(T275,$A$2:$A$624,$B$2:$B$624,""),"")</f>
        <v/>
      </c>
      <c r="Q275" s="242">
        <f>IFERROR(M275/O275,"-")</f>
        <v/>
      </c>
      <c r="R275" s="243">
        <f>IF(ISNUMBER(P275),AE275,0)</f>
        <v/>
      </c>
      <c r="S275" s="244">
        <f>IFERROR((N275/Q275),"-")</f>
        <v/>
      </c>
    </row>
    <row r="276">
      <c r="A276" s="303" t="n"/>
      <c r="B276" s="304" t="n"/>
      <c r="C276" s="302" t="n">
        <v>2109</v>
      </c>
      <c r="D276" s="303" t="n">
        <v>10.6</v>
      </c>
      <c r="J276" s="232">
        <f>T276</f>
        <v/>
      </c>
      <c r="K276" s="233" t="n">
        <v>0</v>
      </c>
      <c r="L276" s="239">
        <f>IFERROR(M276/25,"")</f>
        <v/>
      </c>
      <c r="M276" s="240">
        <f>IF(ISNUMBER(P276),Z276,0)</f>
        <v/>
      </c>
      <c r="N276" s="175" t="n">
        <v>0</v>
      </c>
      <c r="O276" s="241">
        <f>IF(ISNUMBER(P276),X276,0)</f>
        <v/>
      </c>
      <c r="P276" s="242">
        <f>_xludf.IFNA(Z276/_xlfn.XLOOKUP(T276,$A$2:$A$624,$B$2:$B$624,""),"")</f>
        <v/>
      </c>
      <c r="Q276" s="242">
        <f>IFERROR(M276/O276,"-")</f>
        <v/>
      </c>
      <c r="R276" s="243">
        <f>IF(ISNUMBER(P276),AE276,0)</f>
        <v/>
      </c>
      <c r="S276" s="244">
        <f>IFERROR((N276/Q276),"-")</f>
        <v/>
      </c>
    </row>
    <row r="277">
      <c r="A277" s="303" t="n"/>
      <c r="B277" s="304" t="n"/>
      <c r="C277" s="302" t="n">
        <v>2110</v>
      </c>
      <c r="D277" s="303" t="n">
        <v>6.4</v>
      </c>
      <c r="J277" s="232">
        <f>T277</f>
        <v/>
      </c>
      <c r="K277" s="233" t="n">
        <v>0</v>
      </c>
      <c r="L277" s="239">
        <f>IFERROR(M277/25,"")</f>
        <v/>
      </c>
      <c r="M277" s="240">
        <f>IF(ISNUMBER(P277),Z277,0)</f>
        <v/>
      </c>
      <c r="N277" s="175" t="n">
        <v>0</v>
      </c>
      <c r="O277" s="241">
        <f>IF(ISNUMBER(P277),X277,0)</f>
        <v/>
      </c>
      <c r="P277" s="242">
        <f>_xludf.IFNA(Z277/_xlfn.XLOOKUP(T277,$A$2:$A$624,$B$2:$B$624,""),"")</f>
        <v/>
      </c>
      <c r="Q277" s="242">
        <f>IFERROR(M277/O277,"-")</f>
        <v/>
      </c>
      <c r="R277" s="243">
        <f>IF(ISNUMBER(P277),AE277,0)</f>
        <v/>
      </c>
      <c r="S277" s="244">
        <f>IFERROR((N277/Q277),"-")</f>
        <v/>
      </c>
    </row>
    <row r="278">
      <c r="A278" s="303" t="n"/>
      <c r="B278" s="304" t="n"/>
      <c r="C278" s="302" t="n">
        <v>2111</v>
      </c>
      <c r="D278" s="303" t="n">
        <v>6.4</v>
      </c>
      <c r="J278" s="232">
        <f>T278</f>
        <v/>
      </c>
      <c r="K278" s="233" t="n">
        <v>0</v>
      </c>
      <c r="L278" s="239">
        <f>IFERROR(M278/25,"")</f>
        <v/>
      </c>
      <c r="M278" s="240">
        <f>IF(ISNUMBER(P278),Z278,0)</f>
        <v/>
      </c>
      <c r="N278" s="175" t="n">
        <v>0</v>
      </c>
      <c r="O278" s="241">
        <f>IF(ISNUMBER(P278),X278,0)</f>
        <v/>
      </c>
      <c r="P278" s="242">
        <f>_xludf.IFNA(Z278/_xlfn.XLOOKUP(T278,$A$2:$A$624,$B$2:$B$624,""),"")</f>
        <v/>
      </c>
      <c r="Q278" s="242">
        <f>IFERROR(M278/O278,"-")</f>
        <v/>
      </c>
      <c r="R278" s="243">
        <f>IF(ISNUMBER(P278),AE278,0)</f>
        <v/>
      </c>
      <c r="S278" s="244">
        <f>IFERROR((N278/Q278),"-")</f>
        <v/>
      </c>
    </row>
    <row r="279">
      <c r="A279" s="303" t="n"/>
      <c r="B279" s="304" t="n"/>
      <c r="C279" s="302" t="n">
        <v>2114</v>
      </c>
      <c r="D279" s="303" t="n">
        <v>11</v>
      </c>
      <c r="J279" s="232">
        <f>T279</f>
        <v/>
      </c>
      <c r="K279" s="233" t="n">
        <v>0</v>
      </c>
      <c r="L279" s="239">
        <f>IFERROR(M279/25,"")</f>
        <v/>
      </c>
      <c r="M279" s="240">
        <f>IF(ISNUMBER(P279),Z279,0)</f>
        <v/>
      </c>
      <c r="N279" s="175" t="n">
        <v>0</v>
      </c>
      <c r="O279" s="241">
        <f>IF(ISNUMBER(P279),X279,0)</f>
        <v/>
      </c>
      <c r="P279" s="242">
        <f>_xludf.IFNA(Z279/_xlfn.XLOOKUP(T279,$A$2:$A$624,$B$2:$B$624,""),"")</f>
        <v/>
      </c>
      <c r="Q279" s="242">
        <f>IFERROR(M279/O279,"-")</f>
        <v/>
      </c>
      <c r="R279" s="243">
        <f>IF(ISNUMBER(P279),AE279,0)</f>
        <v/>
      </c>
      <c r="S279" s="244">
        <f>IFERROR((N279/Q279),"-")</f>
        <v/>
      </c>
    </row>
    <row r="280">
      <c r="A280" s="303" t="n"/>
      <c r="B280" s="304" t="n"/>
      <c r="C280" s="302" t="n">
        <v>3090</v>
      </c>
      <c r="D280" s="303" t="n">
        <v>12</v>
      </c>
      <c r="J280" s="232">
        <f>T280</f>
        <v/>
      </c>
      <c r="K280" s="233" t="n">
        <v>0</v>
      </c>
      <c r="L280" s="239">
        <f>IFERROR(M280/25,"")</f>
        <v/>
      </c>
      <c r="M280" s="240">
        <f>IF(ISNUMBER(P280),Z280,0)</f>
        <v/>
      </c>
      <c r="N280" s="175" t="n">
        <v>0</v>
      </c>
      <c r="O280" s="241">
        <f>IF(ISNUMBER(P280),X280,0)</f>
        <v/>
      </c>
      <c r="P280" s="242">
        <f>_xludf.IFNA(Z280/_xlfn.XLOOKUP(T280,$A$2:$A$624,$B$2:$B$624,""),"")</f>
        <v/>
      </c>
      <c r="Q280" s="242">
        <f>IFERROR(M280/O280,"-")</f>
        <v/>
      </c>
      <c r="R280" s="243">
        <f>IF(ISNUMBER(P280),AE280,0)</f>
        <v/>
      </c>
      <c r="S280" s="244">
        <f>IFERROR((N280/Q280),"-")</f>
        <v/>
      </c>
    </row>
    <row r="281">
      <c r="A281" s="303" t="n"/>
      <c r="B281" s="304" t="n"/>
      <c r="C281" s="302" t="n">
        <v>3091</v>
      </c>
      <c r="D281" s="303" t="n">
        <v>12</v>
      </c>
      <c r="J281" s="232">
        <f>T281</f>
        <v/>
      </c>
      <c r="K281" s="233" t="n">
        <v>0</v>
      </c>
      <c r="L281" s="239">
        <f>IFERROR(M281/25,"")</f>
        <v/>
      </c>
      <c r="M281" s="240">
        <f>IF(ISNUMBER(P281),Z281,0)</f>
        <v/>
      </c>
      <c r="N281" s="175" t="n">
        <v>0</v>
      </c>
      <c r="O281" s="241">
        <f>IF(ISNUMBER(P281),X281,0)</f>
        <v/>
      </c>
      <c r="P281" s="242">
        <f>_xludf.IFNA(Z281/_xlfn.XLOOKUP(T281,$A$2:$A$624,$B$2:$B$624,""),"")</f>
        <v/>
      </c>
      <c r="Q281" s="242">
        <f>IFERROR(M281/O281,"-")</f>
        <v/>
      </c>
      <c r="R281" s="243">
        <f>IF(ISNUMBER(P281),AE281,0)</f>
        <v/>
      </c>
      <c r="S281" s="244">
        <f>IFERROR((N281/Q281),"-")</f>
        <v/>
      </c>
    </row>
    <row r="282">
      <c r="A282" s="303" t="n"/>
      <c r="B282" s="304" t="n"/>
      <c r="C282" s="302" t="n">
        <v>3120</v>
      </c>
      <c r="D282" s="303" t="n"/>
      <c r="J282" s="232">
        <f>T282</f>
        <v/>
      </c>
      <c r="K282" s="233" t="n">
        <v>0</v>
      </c>
      <c r="L282" s="239">
        <f>IFERROR(M282/25,"")</f>
        <v/>
      </c>
      <c r="M282" s="240">
        <f>IF(ISNUMBER(P282),Z282,0)</f>
        <v/>
      </c>
      <c r="N282" s="175" t="n">
        <v>0</v>
      </c>
      <c r="O282" s="241">
        <f>IF(ISNUMBER(P282),X282,0)</f>
        <v/>
      </c>
      <c r="P282" s="242">
        <f>_xludf.IFNA(Z282/_xlfn.XLOOKUP(T282,$A$2:$A$624,$B$2:$B$624,""),"")</f>
        <v/>
      </c>
      <c r="Q282" s="242">
        <f>IFERROR(M282/O282,"-")</f>
        <v/>
      </c>
      <c r="R282" s="243">
        <f>IF(ISNUMBER(P282),AE282,0)</f>
        <v/>
      </c>
      <c r="S282" s="244">
        <f>IFERROR((N282/Q282),"-")</f>
        <v/>
      </c>
    </row>
    <row r="283">
      <c r="A283" s="303" t="n"/>
      <c r="B283" s="304" t="n"/>
      <c r="C283" s="302" t="n">
        <v>3240</v>
      </c>
      <c r="D283" s="303" t="n">
        <v>12.8</v>
      </c>
      <c r="J283" s="232">
        <f>T283</f>
        <v/>
      </c>
      <c r="K283" s="233" t="n">
        <v>0</v>
      </c>
      <c r="L283" s="239">
        <f>IFERROR(M283/25,"")</f>
        <v/>
      </c>
      <c r="M283" s="240">
        <f>IF(ISNUMBER(P283),Z283,0)</f>
        <v/>
      </c>
      <c r="N283" s="175" t="n">
        <v>0</v>
      </c>
      <c r="O283" s="241">
        <f>IF(ISNUMBER(P283),X283,0)</f>
        <v/>
      </c>
      <c r="P283" s="242">
        <f>_xludf.IFNA(Z283/_xlfn.XLOOKUP(T283,$A$2:$A$624,$B$2:$B$624,""),"")</f>
        <v/>
      </c>
      <c r="Q283" s="242">
        <f>IFERROR(M283/O283,"-")</f>
        <v/>
      </c>
      <c r="R283" s="243">
        <f>IF(ISNUMBER(P283),AE283,0)</f>
        <v/>
      </c>
      <c r="S283" s="244">
        <f>IFERROR((N283/Q283),"-")</f>
        <v/>
      </c>
    </row>
    <row r="284">
      <c r="A284" s="303" t="n"/>
      <c r="B284" s="304" t="n"/>
      <c r="C284" s="302" t="n">
        <v>3250</v>
      </c>
      <c r="D284" s="303" t="n">
        <v>12</v>
      </c>
      <c r="J284" s="232">
        <f>T284</f>
        <v/>
      </c>
      <c r="K284" s="233" t="n">
        <v>0</v>
      </c>
      <c r="L284" s="239">
        <f>IFERROR(M284/25,"")</f>
        <v/>
      </c>
      <c r="M284" s="240">
        <f>IF(ISNUMBER(P284),Z284,0)</f>
        <v/>
      </c>
      <c r="N284" s="175" t="n">
        <v>0</v>
      </c>
      <c r="O284" s="241">
        <f>IF(ISNUMBER(P284),X284,0)</f>
        <v/>
      </c>
      <c r="P284" s="242">
        <f>_xludf.IFNA(Z284/_xlfn.XLOOKUP(T284,$A$2:$A$624,$B$2:$B$624,""),"")</f>
        <v/>
      </c>
      <c r="Q284" s="242">
        <f>IFERROR(M284/O284,"-")</f>
        <v/>
      </c>
      <c r="R284" s="243">
        <f>IF(ISNUMBER(P284),AE284,0)</f>
        <v/>
      </c>
      <c r="S284" s="244">
        <f>IFERROR((N284/Q284),"-")</f>
        <v/>
      </c>
    </row>
    <row r="285">
      <c r="A285" s="303" t="n"/>
      <c r="B285" s="304" t="n"/>
      <c r="C285" s="302" t="n">
        <v>3260</v>
      </c>
      <c r="D285" s="303" t="n">
        <v>15</v>
      </c>
      <c r="J285" s="232">
        <f>T285</f>
        <v/>
      </c>
      <c r="K285" s="233" t="n">
        <v>0</v>
      </c>
      <c r="L285" s="239">
        <f>IFERROR(M285/25,"")</f>
        <v/>
      </c>
      <c r="M285" s="240">
        <f>IF(ISNUMBER(P285),Z285,0)</f>
        <v/>
      </c>
      <c r="N285" s="175" t="n">
        <v>0</v>
      </c>
      <c r="O285" s="241">
        <f>IF(ISNUMBER(P285),X285,0)</f>
        <v/>
      </c>
      <c r="P285" s="242">
        <f>_xludf.IFNA(Z285/_xlfn.XLOOKUP(T285,$A$2:$A$624,$B$2:$B$624,""),"")</f>
        <v/>
      </c>
      <c r="Q285" s="242">
        <f>IFERROR(M285/O285,"-")</f>
        <v/>
      </c>
      <c r="R285" s="243">
        <f>IF(ISNUMBER(P285),AE285,0)</f>
        <v/>
      </c>
      <c r="S285" s="244">
        <f>IFERROR((N285/Q285),"-")</f>
        <v/>
      </c>
    </row>
    <row r="286">
      <c r="A286" s="303" t="n"/>
      <c r="B286" s="304" t="n"/>
      <c r="C286" s="302" t="n">
        <v>3270</v>
      </c>
      <c r="D286" s="303" t="n">
        <v>12.5</v>
      </c>
      <c r="J286" s="232">
        <f>T286</f>
        <v/>
      </c>
      <c r="K286" s="233" t="n">
        <v>0</v>
      </c>
      <c r="L286" s="239">
        <f>IFERROR(M286/25,"")</f>
        <v/>
      </c>
      <c r="M286" s="240">
        <f>IF(ISNUMBER(P286),Z286,0)</f>
        <v/>
      </c>
      <c r="N286" s="175" t="n">
        <v>0</v>
      </c>
      <c r="O286" s="241">
        <f>IF(ISNUMBER(P286),X286,0)</f>
        <v/>
      </c>
      <c r="P286" s="242">
        <f>_xludf.IFNA(Z286/_xlfn.XLOOKUP(T286,$A$2:$A$624,$B$2:$B$624,""),"")</f>
        <v/>
      </c>
      <c r="Q286" s="242">
        <f>IFERROR(M286/O286,"-")</f>
        <v/>
      </c>
      <c r="R286" s="243">
        <f>IF(ISNUMBER(P286),AE286,0)</f>
        <v/>
      </c>
      <c r="S286" s="244">
        <f>IFERROR((N286/Q286),"-")</f>
        <v/>
      </c>
    </row>
    <row r="287">
      <c r="A287" s="303" t="n"/>
      <c r="B287" s="304" t="n"/>
      <c r="C287" s="302" t="n">
        <v>3280</v>
      </c>
      <c r="D287" s="303" t="n">
        <v>12</v>
      </c>
      <c r="J287" s="232">
        <f>T287</f>
        <v/>
      </c>
      <c r="K287" s="233" t="n">
        <v>0</v>
      </c>
      <c r="L287" s="239">
        <f>IFERROR(M287/25,"")</f>
        <v/>
      </c>
      <c r="M287" s="240">
        <f>IF(ISNUMBER(P287),Z287,0)</f>
        <v/>
      </c>
      <c r="N287" s="175" t="n">
        <v>0</v>
      </c>
      <c r="O287" s="241">
        <f>IF(ISNUMBER(P287),X287,0)</f>
        <v/>
      </c>
      <c r="P287" s="242">
        <f>_xludf.IFNA(Z287/_xlfn.XLOOKUP(T287,$A$2:$A$624,$B$2:$B$624,""),"")</f>
        <v/>
      </c>
      <c r="Q287" s="242">
        <f>IFERROR(M287/O287,"-")</f>
        <v/>
      </c>
      <c r="R287" s="243">
        <f>IF(ISNUMBER(P287),AE287,0)</f>
        <v/>
      </c>
      <c r="S287" s="244">
        <f>IFERROR((N287/Q287),"-")</f>
        <v/>
      </c>
    </row>
    <row r="288">
      <c r="A288" s="303" t="n"/>
      <c r="B288" s="304" t="n"/>
      <c r="C288" s="302" t="n">
        <v>3281</v>
      </c>
      <c r="D288" s="303" t="n">
        <v>12</v>
      </c>
      <c r="J288" s="232">
        <f>T288</f>
        <v/>
      </c>
      <c r="K288" s="233" t="n">
        <v>0</v>
      </c>
      <c r="L288" s="239">
        <f>IFERROR(M288/25,"")</f>
        <v/>
      </c>
      <c r="M288" s="240">
        <f>IF(ISNUMBER(P288),Z288,0)</f>
        <v/>
      </c>
      <c r="N288" s="175" t="n">
        <v>0</v>
      </c>
      <c r="O288" s="241">
        <f>IF(ISNUMBER(P288),X288,0)</f>
        <v/>
      </c>
      <c r="P288" s="242">
        <f>_xludf.IFNA(Z288/_xlfn.XLOOKUP(T288,$A$2:$A$624,$B$2:$B$624,""),"")</f>
        <v/>
      </c>
      <c r="Q288" s="242">
        <f>IFERROR(M288/O288,"-")</f>
        <v/>
      </c>
      <c r="R288" s="243">
        <f>IF(ISNUMBER(P288),AE288,0)</f>
        <v/>
      </c>
      <c r="S288" s="244">
        <f>IFERROR((N288/Q288),"-")</f>
        <v/>
      </c>
    </row>
    <row r="289">
      <c r="A289" s="303" t="n"/>
      <c r="B289" s="304" t="n"/>
      <c r="C289" s="302" t="n">
        <v>3500</v>
      </c>
      <c r="D289" s="303" t="n"/>
      <c r="J289" s="232">
        <f>T289</f>
        <v/>
      </c>
      <c r="K289" s="233" t="n">
        <v>0</v>
      </c>
      <c r="L289" s="239">
        <f>IFERROR(M289/25,"")</f>
        <v/>
      </c>
      <c r="M289" s="240">
        <f>IF(ISNUMBER(P289),Z289,0)</f>
        <v/>
      </c>
      <c r="N289" s="175" t="n">
        <v>0</v>
      </c>
      <c r="O289" s="241">
        <f>IF(ISNUMBER(P289),X289,0)</f>
        <v/>
      </c>
      <c r="P289" s="242">
        <f>_xludf.IFNA(Z289/_xlfn.XLOOKUP(T289,$A$2:$A$624,$B$2:$B$624,""),"")</f>
        <v/>
      </c>
      <c r="Q289" s="242">
        <f>IFERROR(M289/O289,"-")</f>
        <v/>
      </c>
      <c r="R289" s="243">
        <f>IF(ISNUMBER(P289),AE289,0)</f>
        <v/>
      </c>
      <c r="S289" s="244">
        <f>IFERROR((N289/Q289),"-")</f>
        <v/>
      </c>
    </row>
    <row r="290">
      <c r="A290" s="303" t="n"/>
      <c r="B290" s="304" t="n"/>
      <c r="C290" s="302" t="n"/>
      <c r="D290" s="303" t="n"/>
      <c r="J290" s="232">
        <f>T290</f>
        <v/>
      </c>
      <c r="K290" s="233" t="n">
        <v>0</v>
      </c>
      <c r="L290" s="239">
        <f>IFERROR(M290/25,"")</f>
        <v/>
      </c>
      <c r="M290" s="240">
        <f>IF(ISNUMBER(P290),Z290,0)</f>
        <v/>
      </c>
      <c r="N290" s="175" t="n">
        <v>0</v>
      </c>
      <c r="O290" s="241">
        <f>IF(ISNUMBER(P290),X290,0)</f>
        <v/>
      </c>
      <c r="P290" s="242">
        <f>_xludf.IFNA(Z290/_xlfn.XLOOKUP(T290,$A$2:$A$624,$B$2:$B$624,""),"")</f>
        <v/>
      </c>
      <c r="Q290" s="242">
        <f>IFERROR(M290/O290,"-")</f>
        <v/>
      </c>
      <c r="R290" s="243">
        <f>IF(ISNUMBER(P290),AE290,0)</f>
        <v/>
      </c>
      <c r="S290" s="244">
        <f>IFERROR((N290/Q290),"-")</f>
        <v/>
      </c>
    </row>
    <row r="291">
      <c r="A291" s="303" t="n"/>
      <c r="B291" s="304" t="n"/>
      <c r="C291" s="302" t="n">
        <v>7102</v>
      </c>
      <c r="D291" s="303" t="n">
        <v>6.78</v>
      </c>
      <c r="J291" s="232">
        <f>T291</f>
        <v/>
      </c>
      <c r="K291" s="233" t="n">
        <v>0</v>
      </c>
      <c r="L291" s="239">
        <f>IFERROR(M291/25,"")</f>
        <v/>
      </c>
      <c r="M291" s="240">
        <f>IF(ISNUMBER(P291),Z291,0)</f>
        <v/>
      </c>
      <c r="N291" s="175" t="n">
        <v>0</v>
      </c>
      <c r="O291" s="241">
        <f>IF(ISNUMBER(P291),X291,0)</f>
        <v/>
      </c>
      <c r="P291" s="242">
        <f>_xludf.IFNA(Z291/_xlfn.XLOOKUP(T291,$A$2:$A$624,$B$2:$B$624,""),"")</f>
        <v/>
      </c>
      <c r="Q291" s="242">
        <f>IFERROR(M291/O291,"-")</f>
        <v/>
      </c>
      <c r="R291" s="243">
        <f>IF(ISNUMBER(P291),AE291,0)</f>
        <v/>
      </c>
      <c r="S291" s="244">
        <f>IFERROR((N291/Q291),"-")</f>
        <v/>
      </c>
    </row>
    <row r="292">
      <c r="A292" s="303" t="n"/>
      <c r="B292" s="304" t="n"/>
      <c r="C292" s="302" t="n">
        <v>7103</v>
      </c>
      <c r="D292" s="303" t="n">
        <v>6</v>
      </c>
      <c r="J292" s="232">
        <f>T292</f>
        <v/>
      </c>
      <c r="K292" s="233" t="n">
        <v>0</v>
      </c>
      <c r="L292" s="239">
        <f>IFERROR(M292/25,"")</f>
        <v/>
      </c>
      <c r="M292" s="240">
        <f>IF(ISNUMBER(P292),Z292,0)</f>
        <v/>
      </c>
      <c r="N292" s="175" t="n">
        <v>0</v>
      </c>
      <c r="O292" s="241">
        <f>IF(ISNUMBER(P292),X292,0)</f>
        <v/>
      </c>
      <c r="P292" s="242">
        <f>_xludf.IFNA(Z292/_xlfn.XLOOKUP(T292,$A$2:$A$624,$B$2:$B$624,""),"")</f>
        <v/>
      </c>
      <c r="Q292" s="242">
        <f>IFERROR(M292/O292,"-")</f>
        <v/>
      </c>
      <c r="R292" s="243">
        <f>IF(ISNUMBER(P292),AE292,0)</f>
        <v/>
      </c>
      <c r="S292" s="244">
        <f>IFERROR((N292/Q292),"-")</f>
        <v/>
      </c>
    </row>
    <row r="293">
      <c r="A293" s="303" t="n"/>
      <c r="B293" s="304" t="n"/>
      <c r="C293" s="302" t="n">
        <v>7104</v>
      </c>
      <c r="D293" s="303" t="n">
        <v>10</v>
      </c>
      <c r="J293" s="232">
        <f>T293</f>
        <v/>
      </c>
      <c r="K293" s="233" t="n">
        <v>0</v>
      </c>
      <c r="L293" s="239">
        <f>IFERROR(M293/25,"")</f>
        <v/>
      </c>
      <c r="M293" s="240">
        <f>IF(ISNUMBER(P293),Z293,0)</f>
        <v/>
      </c>
      <c r="N293" s="175" t="n">
        <v>0</v>
      </c>
      <c r="O293" s="241">
        <f>IF(ISNUMBER(P293),X293,0)</f>
        <v/>
      </c>
      <c r="P293" s="242">
        <f>_xludf.IFNA(Z293/_xlfn.XLOOKUP(T293,$A$2:$A$624,$B$2:$B$624,""),"")</f>
        <v/>
      </c>
      <c r="Q293" s="242">
        <f>IFERROR(M293/O293,"-")</f>
        <v/>
      </c>
      <c r="R293" s="243">
        <f>IF(ISNUMBER(P293),AE293,0)</f>
        <v/>
      </c>
      <c r="S293" s="244">
        <f>IFERROR((N293/Q293),"-")</f>
        <v/>
      </c>
    </row>
    <row r="294">
      <c r="A294" s="303" t="n"/>
      <c r="B294" s="304" t="n"/>
      <c r="C294" s="302" t="n">
        <v>7105</v>
      </c>
      <c r="D294" s="303" t="n">
        <v>8.5</v>
      </c>
      <c r="J294" s="232">
        <f>T294</f>
        <v/>
      </c>
      <c r="K294" s="233" t="n">
        <v>0</v>
      </c>
      <c r="L294" s="239">
        <f>IFERROR(M294/25,"")</f>
        <v/>
      </c>
      <c r="M294" s="240">
        <f>IF(ISNUMBER(P294),Z294,0)</f>
        <v/>
      </c>
      <c r="N294" s="175" t="n">
        <v>0</v>
      </c>
      <c r="O294" s="241">
        <f>IF(ISNUMBER(P294),X294,0)</f>
        <v/>
      </c>
      <c r="P294" s="242">
        <f>_xludf.IFNA(Z294/_xlfn.XLOOKUP(T294,$A$2:$A$624,$B$2:$B$624,""),"")</f>
        <v/>
      </c>
      <c r="Q294" s="242">
        <f>IFERROR(M294/O294,"-")</f>
        <v/>
      </c>
      <c r="R294" s="243">
        <f>IF(ISNUMBER(P294),AE294,0)</f>
        <v/>
      </c>
      <c r="S294" s="244">
        <f>IFERROR((N294/Q294),"-")</f>
        <v/>
      </c>
    </row>
    <row r="295">
      <c r="A295" s="303" t="n"/>
      <c r="B295" s="304" t="n"/>
      <c r="C295" s="302" t="n">
        <v>7107</v>
      </c>
      <c r="D295" s="303" t="n">
        <v>9.489453124999999</v>
      </c>
      <c r="J295" s="232">
        <f>T295</f>
        <v/>
      </c>
      <c r="K295" s="233" t="n">
        <v>0</v>
      </c>
      <c r="L295" s="239">
        <f>IFERROR(M295/25,"")</f>
        <v/>
      </c>
      <c r="M295" s="240">
        <f>IF(ISNUMBER(P295),Z295,0)</f>
        <v/>
      </c>
      <c r="N295" s="175" t="n">
        <v>0</v>
      </c>
      <c r="O295" s="241">
        <f>IF(ISNUMBER(P295),X295,0)</f>
        <v/>
      </c>
      <c r="P295" s="242">
        <f>_xludf.IFNA(Z295/_xlfn.XLOOKUP(T295,$A$2:$A$624,$B$2:$B$624,""),"")</f>
        <v/>
      </c>
      <c r="Q295" s="242">
        <f>IFERROR(M295/O295,"-")</f>
        <v/>
      </c>
      <c r="R295" s="243">
        <f>IF(ISNUMBER(P295),AE295,0)</f>
        <v/>
      </c>
      <c r="S295" s="244">
        <f>IFERROR((N295/Q295),"-")</f>
        <v/>
      </c>
    </row>
    <row r="296">
      <c r="A296" s="303" t="n"/>
      <c r="B296" s="304" t="n"/>
      <c r="C296" s="302" t="n">
        <v>7108</v>
      </c>
      <c r="D296" s="303" t="n">
        <v>9.9</v>
      </c>
      <c r="J296" s="232">
        <f>T296</f>
        <v/>
      </c>
      <c r="K296" s="233" t="n">
        <v>0</v>
      </c>
      <c r="L296" s="239">
        <f>IFERROR(M296/25,"")</f>
        <v/>
      </c>
      <c r="M296" s="240">
        <f>IF(ISNUMBER(P296),Z296,0)</f>
        <v/>
      </c>
      <c r="N296" s="175" t="n">
        <v>0</v>
      </c>
      <c r="O296" s="241">
        <f>IF(ISNUMBER(P296),X296,0)</f>
        <v/>
      </c>
      <c r="P296" s="242">
        <f>_xludf.IFNA(Z296/_xlfn.XLOOKUP(T296,$A$2:$A$624,$B$2:$B$624,""),"")</f>
        <v/>
      </c>
      <c r="Q296" s="242">
        <f>IFERROR(M296/O296,"-")</f>
        <v/>
      </c>
      <c r="R296" s="243">
        <f>IF(ISNUMBER(P296),AE296,0)</f>
        <v/>
      </c>
      <c r="S296" s="244">
        <f>IFERROR((N296/Q296),"-")</f>
        <v/>
      </c>
    </row>
    <row r="297">
      <c r="A297" s="303" t="n"/>
      <c r="B297" s="304" t="n"/>
      <c r="C297" s="302" t="n">
        <v>7109</v>
      </c>
      <c r="D297" s="303" t="n">
        <v>12</v>
      </c>
      <c r="J297" s="232">
        <f>T297</f>
        <v/>
      </c>
      <c r="K297" s="233" t="n">
        <v>0</v>
      </c>
      <c r="L297" s="239">
        <f>IFERROR(M297/25,"")</f>
        <v/>
      </c>
      <c r="M297" s="240">
        <f>IF(ISNUMBER(P297),Z297,0)</f>
        <v/>
      </c>
      <c r="N297" s="175" t="n">
        <v>0</v>
      </c>
      <c r="O297" s="241">
        <f>IF(ISNUMBER(P297),X297,0)</f>
        <v/>
      </c>
      <c r="P297" s="242">
        <f>_xludf.IFNA(Z297/_xlfn.XLOOKUP(T297,$A$2:$A$624,$B$2:$B$624,""),"")</f>
        <v/>
      </c>
      <c r="Q297" s="242">
        <f>IFERROR(M297/O297,"-")</f>
        <v/>
      </c>
      <c r="R297" s="243">
        <f>IF(ISNUMBER(P297),AE297,0)</f>
        <v/>
      </c>
      <c r="S297" s="244">
        <f>IFERROR((N297/Q297),"-")</f>
        <v/>
      </c>
    </row>
    <row r="298">
      <c r="A298" s="303" t="n"/>
      <c r="B298" s="304" t="n"/>
      <c r="C298" s="302" t="n">
        <v>7112</v>
      </c>
      <c r="D298" s="303" t="n"/>
      <c r="J298" s="232">
        <f>T298</f>
        <v/>
      </c>
      <c r="K298" s="233" t="n">
        <v>0</v>
      </c>
      <c r="L298" s="239">
        <f>IFERROR(M298/25,"")</f>
        <v/>
      </c>
      <c r="M298" s="240">
        <f>IF(ISNUMBER(P298),Z298,0)</f>
        <v/>
      </c>
      <c r="N298" s="175" t="n">
        <v>0</v>
      </c>
      <c r="O298" s="241">
        <f>IF(ISNUMBER(P298),X298,0)</f>
        <v/>
      </c>
      <c r="P298" s="242">
        <f>_xludf.IFNA(Z298/_xlfn.XLOOKUP(T298,$A$2:$A$624,$B$2:$B$624,""),"")</f>
        <v/>
      </c>
      <c r="Q298" s="242">
        <f>IFERROR(M298/O298,"-")</f>
        <v/>
      </c>
      <c r="R298" s="243">
        <f>IF(ISNUMBER(P298),AE298,0)</f>
        <v/>
      </c>
      <c r="S298" s="244">
        <f>IFERROR((N298/Q298),"-")</f>
        <v/>
      </c>
    </row>
    <row r="299">
      <c r="A299" s="303" t="n"/>
      <c r="B299" s="304" t="n"/>
      <c r="C299" s="302" t="n">
        <v>7114</v>
      </c>
      <c r="D299" s="303" t="n">
        <v>9</v>
      </c>
      <c r="J299" s="232">
        <f>T299</f>
        <v/>
      </c>
      <c r="K299" s="233" t="n">
        <v>0</v>
      </c>
      <c r="L299" s="239">
        <f>IFERROR(M299/25,"")</f>
        <v/>
      </c>
      <c r="M299" s="240">
        <f>IF(ISNUMBER(P299),Z299,0)</f>
        <v/>
      </c>
      <c r="N299" s="175" t="n">
        <v>0</v>
      </c>
      <c r="O299" s="241">
        <f>IF(ISNUMBER(P299),X299,0)</f>
        <v/>
      </c>
      <c r="P299" s="242">
        <f>_xludf.IFNA(Z299/_xlfn.XLOOKUP(T299,$A$2:$A$624,$B$2:$B$624,""),"")</f>
        <v/>
      </c>
      <c r="Q299" s="242">
        <f>IFERROR(M299/O299,"-")</f>
        <v/>
      </c>
      <c r="R299" s="243">
        <f>IF(ISNUMBER(P299),AE299,0)</f>
        <v/>
      </c>
      <c r="S299" s="244">
        <f>IFERROR((N299/Q299),"-")</f>
        <v/>
      </c>
    </row>
    <row r="300">
      <c r="A300" s="303" t="n"/>
      <c r="B300" s="304" t="n"/>
      <c r="C300" s="302" t="n">
        <v>7115</v>
      </c>
      <c r="D300" s="303" t="n">
        <v>9.9</v>
      </c>
      <c r="J300" s="232">
        <f>T300</f>
        <v/>
      </c>
      <c r="K300" s="233" t="n">
        <v>0</v>
      </c>
      <c r="L300" s="239">
        <f>IFERROR(M300/25,"")</f>
        <v/>
      </c>
      <c r="M300" s="240">
        <f>IF(ISNUMBER(P300),Z300,0)</f>
        <v/>
      </c>
      <c r="N300" s="175" t="n">
        <v>0</v>
      </c>
      <c r="O300" s="241">
        <f>IF(ISNUMBER(P300),X300,0)</f>
        <v/>
      </c>
      <c r="P300" s="242">
        <f>_xludf.IFNA(Z300/_xlfn.XLOOKUP(T300,$A$2:$A$624,$B$2:$B$624,""),"")</f>
        <v/>
      </c>
      <c r="Q300" s="242">
        <f>IFERROR(M300/O300,"-")</f>
        <v/>
      </c>
      <c r="R300" s="243">
        <f>IF(ISNUMBER(P300),AE300,0)</f>
        <v/>
      </c>
      <c r="S300" s="244">
        <f>IFERROR((N300/Q300),"-")</f>
        <v/>
      </c>
    </row>
    <row r="301">
      <c r="A301" s="303" t="n"/>
      <c r="B301" s="304" t="n"/>
      <c r="C301" s="302" t="n">
        <v>7116</v>
      </c>
      <c r="D301" s="303" t="n">
        <v>10</v>
      </c>
      <c r="L301" s="305" t="n"/>
      <c r="P301" s="282" t="n"/>
      <c r="Q301" s="282" t="n"/>
      <c r="R301" s="282" t="n"/>
      <c r="T301" t="n">
        <v>0</v>
      </c>
    </row>
    <row r="302">
      <c r="A302" s="303" t="n"/>
      <c r="B302" s="304" t="n"/>
      <c r="C302" s="302" t="n">
        <v>7117</v>
      </c>
      <c r="D302" s="303" t="n">
        <v>12</v>
      </c>
      <c r="L302" s="305" t="n"/>
      <c r="P302" s="282" t="n"/>
      <c r="Q302" s="282" t="n"/>
      <c r="R302" s="282" t="n"/>
      <c r="T302" t="n">
        <v>0</v>
      </c>
    </row>
    <row r="303">
      <c r="A303" s="303" t="n"/>
      <c r="B303" s="304" t="n"/>
      <c r="C303" s="302" t="n">
        <v>7118</v>
      </c>
      <c r="D303" s="303" t="n">
        <v>9.731513671037968</v>
      </c>
      <c r="L303" s="305" t="n"/>
      <c r="P303" s="282" t="n"/>
      <c r="Q303" s="282" t="n"/>
      <c r="R303" s="282" t="n"/>
      <c r="T303" t="n">
        <v>0</v>
      </c>
    </row>
    <row r="304">
      <c r="A304" s="303" t="n"/>
      <c r="B304" s="304" t="n"/>
      <c r="C304" s="302" t="n">
        <v>7119</v>
      </c>
      <c r="D304" s="303" t="n">
        <v>8.75</v>
      </c>
      <c r="L304" s="305" t="n"/>
      <c r="P304" s="282" t="n"/>
      <c r="Q304" s="282" t="n"/>
      <c r="R304" s="282" t="n"/>
      <c r="T304" t="n">
        <v>0</v>
      </c>
    </row>
    <row r="305">
      <c r="A305" s="303" t="n"/>
      <c r="B305" s="304" t="n"/>
      <c r="C305" s="302" t="n">
        <v>7120</v>
      </c>
      <c r="D305" s="303" t="n">
        <v>7.8</v>
      </c>
      <c r="L305" s="305" t="n"/>
      <c r="P305" s="282" t="n"/>
      <c r="Q305" s="282" t="n"/>
      <c r="R305" s="282" t="n"/>
      <c r="T305" t="n">
        <v>0</v>
      </c>
    </row>
    <row r="306">
      <c r="A306" s="303" t="n"/>
      <c r="B306" s="304" t="n"/>
      <c r="C306" s="302" t="n">
        <v>7122</v>
      </c>
      <c r="D306" s="303" t="n">
        <v>6</v>
      </c>
      <c r="L306" s="305" t="n"/>
      <c r="P306" s="282" t="n"/>
      <c r="Q306" s="282" t="n"/>
      <c r="R306" s="282" t="n"/>
      <c r="T306" t="n">
        <v>0</v>
      </c>
    </row>
    <row r="307">
      <c r="A307" s="303" t="n"/>
      <c r="B307" s="304" t="n"/>
      <c r="C307" s="302" t="n">
        <v>7123</v>
      </c>
      <c r="D307" s="303" t="n">
        <v>6</v>
      </c>
      <c r="L307" s="305" t="n"/>
      <c r="P307" s="282" t="n"/>
      <c r="Q307" s="282" t="n"/>
      <c r="R307" s="282" t="n"/>
      <c r="T307" t="n">
        <v>0</v>
      </c>
    </row>
    <row r="308">
      <c r="A308" s="303" t="n"/>
      <c r="B308" s="304" t="n"/>
      <c r="C308" s="302" t="n">
        <v>7124</v>
      </c>
      <c r="D308" s="303" t="n">
        <v>7.892590822179732</v>
      </c>
      <c r="L308" s="305" t="n"/>
      <c r="P308" s="282" t="n"/>
      <c r="Q308" s="282" t="n"/>
      <c r="R308" s="282" t="n"/>
      <c r="T308" t="n">
        <v>0</v>
      </c>
    </row>
    <row r="309">
      <c r="A309" s="303" t="n"/>
      <c r="B309" s="304" t="n"/>
      <c r="C309" s="302" t="n">
        <v>7125</v>
      </c>
      <c r="D309" s="303" t="n">
        <v>8.923096960926193</v>
      </c>
      <c r="L309" s="305" t="n"/>
      <c r="P309" s="282" t="n"/>
      <c r="Q309" s="282" t="n"/>
      <c r="R309" s="282" t="n"/>
      <c r="T309" t="n">
        <v>0</v>
      </c>
    </row>
    <row r="310">
      <c r="A310" s="303" t="n"/>
      <c r="B310" s="304" t="n"/>
      <c r="C310" s="302" t="n">
        <v>7126</v>
      </c>
      <c r="D310" s="303" t="n">
        <v>6.18</v>
      </c>
      <c r="L310" s="305" t="n"/>
      <c r="P310" s="282" t="n"/>
      <c r="Q310" s="282" t="n"/>
      <c r="R310" s="282" t="n"/>
      <c r="T310" t="n">
        <v>0</v>
      </c>
    </row>
    <row r="311">
      <c r="A311" s="303" t="n"/>
      <c r="B311" s="304" t="n"/>
      <c r="C311" s="302" t="n">
        <v>7127</v>
      </c>
      <c r="D311" s="303" t="n">
        <v>10.24</v>
      </c>
      <c r="L311" s="305" t="n"/>
      <c r="P311" s="282" t="n"/>
      <c r="Q311" s="282" t="n"/>
      <c r="R311" s="282" t="n"/>
      <c r="T311" t="n">
        <v>0</v>
      </c>
    </row>
    <row r="312">
      <c r="A312" s="303" t="n"/>
      <c r="B312" s="304" t="n"/>
      <c r="C312" s="302" t="n">
        <v>7128</v>
      </c>
      <c r="D312" s="303" t="n">
        <v>8.370000000000001</v>
      </c>
      <c r="L312" s="305" t="n"/>
      <c r="P312" s="282" t="n"/>
      <c r="Q312" s="282" t="n"/>
      <c r="R312" s="282" t="n"/>
      <c r="T312" t="n">
        <v>0</v>
      </c>
    </row>
    <row r="313">
      <c r="A313" s="303" t="n"/>
      <c r="B313" s="304" t="n"/>
      <c r="C313" s="302" t="n">
        <v>7129</v>
      </c>
      <c r="D313" s="303" t="n">
        <v>8.199148336153412</v>
      </c>
      <c r="L313" s="305" t="n"/>
      <c r="P313" s="282" t="n"/>
      <c r="Q313" s="282" t="n"/>
      <c r="R313" s="282" t="n"/>
      <c r="T313" t="n">
        <v>0</v>
      </c>
    </row>
    <row r="314">
      <c r="A314" s="303" t="n"/>
      <c r="B314" s="304" t="n"/>
      <c r="C314" s="302" t="n">
        <v>7130</v>
      </c>
      <c r="D314" s="303" t="n">
        <v>6.885</v>
      </c>
      <c r="L314" s="305" t="n"/>
      <c r="P314" s="282" t="n"/>
      <c r="Q314" s="282" t="n"/>
      <c r="R314" s="282" t="n"/>
      <c r="T314" t="n">
        <v>0</v>
      </c>
    </row>
    <row r="315">
      <c r="A315" s="303" t="n"/>
      <c r="B315" s="304" t="n"/>
      <c r="C315" s="302" t="n">
        <v>7131</v>
      </c>
      <c r="D315" s="303" t="n">
        <v>6</v>
      </c>
      <c r="L315" s="305" t="n"/>
      <c r="P315" s="282" t="n"/>
      <c r="Q315" s="282" t="n"/>
      <c r="R315" s="282" t="n"/>
      <c r="T315" t="n">
        <v>0</v>
      </c>
    </row>
    <row r="316">
      <c r="A316" s="303" t="n"/>
      <c r="B316" s="304" t="n"/>
      <c r="C316" s="302" t="n">
        <v>7132</v>
      </c>
      <c r="D316" s="303" t="n">
        <v>8.880000000000001</v>
      </c>
      <c r="L316" s="305" t="n"/>
      <c r="P316" s="282" t="n"/>
      <c r="Q316" s="282" t="n"/>
      <c r="R316" s="282" t="n"/>
      <c r="T316" t="n">
        <v>0</v>
      </c>
    </row>
    <row r="317">
      <c r="A317" s="303" t="n"/>
      <c r="B317" s="304" t="n"/>
      <c r="C317" s="302" t="n">
        <v>7133</v>
      </c>
      <c r="D317" s="303" t="n">
        <v>5.699654899894626</v>
      </c>
      <c r="L317" s="305" t="n"/>
      <c r="P317" s="282" t="n"/>
      <c r="Q317" s="282" t="n"/>
      <c r="R317" s="282" t="n"/>
      <c r="T317" t="n">
        <v>0</v>
      </c>
    </row>
    <row r="318">
      <c r="A318" s="303" t="n"/>
      <c r="B318" s="304" t="n"/>
      <c r="C318" s="302" t="n">
        <v>7134</v>
      </c>
      <c r="D318" s="303" t="n">
        <v>6</v>
      </c>
      <c r="L318" s="305" t="n"/>
      <c r="P318" s="282" t="n"/>
      <c r="Q318" s="282" t="n"/>
      <c r="R318" s="282" t="n"/>
      <c r="T318" t="n">
        <v>0</v>
      </c>
    </row>
    <row r="319">
      <c r="A319" s="303" t="n"/>
      <c r="B319" s="304" t="n"/>
      <c r="C319" s="302" t="n">
        <v>7135</v>
      </c>
      <c r="D319" s="303" t="n">
        <v>6</v>
      </c>
      <c r="L319" s="305" t="n"/>
      <c r="P319" s="282" t="n"/>
      <c r="Q319" s="282" t="n"/>
      <c r="R319" s="282" t="n"/>
      <c r="T319" t="n">
        <v>0</v>
      </c>
    </row>
    <row r="320">
      <c r="A320" s="303" t="n"/>
      <c r="B320" s="304" t="n"/>
      <c r="C320" s="302" t="n">
        <v>7136</v>
      </c>
      <c r="D320" s="303" t="n">
        <v>9.6</v>
      </c>
      <c r="L320" s="305" t="n"/>
      <c r="P320" s="282" t="n"/>
      <c r="Q320" s="282" t="n"/>
      <c r="R320" s="282" t="n"/>
      <c r="T320" t="n">
        <v>0</v>
      </c>
    </row>
    <row r="321">
      <c r="A321" s="303" t="n"/>
      <c r="B321" s="304" t="n"/>
      <c r="C321" s="302" t="n">
        <v>7137</v>
      </c>
      <c r="D321" s="303" t="n">
        <v>8.800000000000001</v>
      </c>
      <c r="L321" s="305" t="n"/>
      <c r="P321" s="282" t="n"/>
      <c r="Q321" s="282" t="n"/>
      <c r="R321" s="282" t="n"/>
      <c r="T321" t="n">
        <v>0</v>
      </c>
    </row>
    <row r="322">
      <c r="A322" s="303" t="n"/>
      <c r="B322" s="304" t="n"/>
      <c r="C322" s="302" t="n">
        <v>7139</v>
      </c>
      <c r="D322" s="303" t="n">
        <v>8.800000000000001</v>
      </c>
      <c r="L322" s="305" t="n"/>
      <c r="P322" s="282" t="n"/>
      <c r="Q322" s="282" t="n"/>
      <c r="R322" s="282" t="n"/>
      <c r="T322" t="n">
        <v>0</v>
      </c>
    </row>
    <row r="323">
      <c r="A323" s="303" t="n"/>
      <c r="B323" s="304" t="n"/>
      <c r="C323" s="302" t="n">
        <v>7140</v>
      </c>
      <c r="D323" s="303" t="n">
        <v>9.4</v>
      </c>
      <c r="L323" s="305" t="n"/>
      <c r="P323" s="282" t="n"/>
      <c r="Q323" s="282" t="n"/>
      <c r="R323" s="282" t="n"/>
      <c r="T323" t="n">
        <v>0</v>
      </c>
    </row>
    <row r="324">
      <c r="A324" s="303" t="n"/>
      <c r="B324" s="304" t="n"/>
      <c r="C324" s="302" t="n">
        <v>7141</v>
      </c>
      <c r="D324" s="303" t="n">
        <v>12.1</v>
      </c>
      <c r="L324" s="305" t="n"/>
      <c r="P324" s="282" t="n"/>
      <c r="Q324" s="282" t="n"/>
      <c r="R324" s="282" t="n"/>
      <c r="T324" t="n">
        <v>0</v>
      </c>
    </row>
    <row r="325">
      <c r="A325" s="303" t="n"/>
      <c r="B325" s="304" t="n"/>
      <c r="C325" s="302" t="n">
        <v>7143</v>
      </c>
      <c r="D325" s="303" t="n">
        <v>10</v>
      </c>
      <c r="L325" s="305" t="n"/>
      <c r="P325" s="282" t="n"/>
      <c r="Q325" s="282" t="n"/>
      <c r="R325" s="282" t="n"/>
      <c r="T325" t="n">
        <v>0</v>
      </c>
    </row>
    <row r="326">
      <c r="A326" s="303" t="n"/>
      <c r="B326" s="304" t="n"/>
      <c r="C326" s="302" t="n">
        <v>7144</v>
      </c>
      <c r="D326" s="303" t="n">
        <v>13.9</v>
      </c>
      <c r="L326" s="305" t="n"/>
      <c r="P326" s="282" t="n"/>
      <c r="Q326" s="282" t="n"/>
      <c r="R326" s="282" t="n"/>
      <c r="T326" t="n">
        <v>0</v>
      </c>
    </row>
    <row r="327">
      <c r="A327" s="303" t="n"/>
      <c r="B327" s="304" t="n"/>
      <c r="C327" s="302" t="n">
        <v>7145</v>
      </c>
      <c r="D327" s="303" t="n">
        <v>10.7</v>
      </c>
      <c r="L327" s="305" t="n"/>
      <c r="P327" s="282" t="n"/>
      <c r="Q327" s="282" t="n"/>
      <c r="R327" s="282" t="n"/>
      <c r="T327" t="n">
        <v>0</v>
      </c>
    </row>
    <row r="328">
      <c r="A328" s="303" t="n"/>
      <c r="B328" s="304" t="n"/>
      <c r="C328" s="302" t="n">
        <v>7146</v>
      </c>
      <c r="D328" s="303" t="n">
        <v>8.800000000000001</v>
      </c>
      <c r="L328" s="305" t="n"/>
      <c r="P328" s="282" t="n"/>
      <c r="Q328" s="282" t="n"/>
      <c r="R328" s="282" t="n"/>
      <c r="T328" t="n">
        <v>0</v>
      </c>
    </row>
    <row r="329">
      <c r="A329" s="303" t="n"/>
      <c r="B329" s="304" t="n"/>
      <c r="C329" s="302" t="n">
        <v>7147</v>
      </c>
      <c r="D329" s="303" t="n">
        <v>14</v>
      </c>
      <c r="L329" s="305" t="n"/>
      <c r="P329" s="282" t="n"/>
      <c r="Q329" s="282" t="n"/>
      <c r="R329" s="282" t="n"/>
      <c r="T329" t="n">
        <v>0</v>
      </c>
    </row>
    <row r="330">
      <c r="A330" s="303" t="n"/>
      <c r="B330" s="304" t="n"/>
      <c r="C330" s="302" t="n">
        <v>7148</v>
      </c>
      <c r="D330" s="303" t="n">
        <v>11.9</v>
      </c>
      <c r="L330" s="305" t="n"/>
      <c r="P330" s="282" t="n"/>
      <c r="Q330" s="282" t="n"/>
      <c r="R330" s="282" t="n"/>
      <c r="T330" t="n">
        <v>0</v>
      </c>
    </row>
    <row r="331">
      <c r="A331" s="303" t="n"/>
      <c r="B331" s="304" t="n"/>
      <c r="C331" s="302" t="n">
        <v>7149</v>
      </c>
      <c r="D331" s="303" t="n">
        <v>8.800000000000001</v>
      </c>
      <c r="L331" s="305" t="n"/>
      <c r="P331" s="282" t="n"/>
      <c r="Q331" s="282" t="n"/>
      <c r="R331" s="282" t="n"/>
      <c r="T331" t="n">
        <v>0</v>
      </c>
    </row>
    <row r="332">
      <c r="A332" s="303" t="n"/>
      <c r="B332" s="304" t="n"/>
      <c r="C332" s="302" t="n">
        <v>7150</v>
      </c>
      <c r="D332" s="303" t="n">
        <v>13</v>
      </c>
      <c r="L332" s="305" t="n"/>
      <c r="P332" s="282" t="n"/>
      <c r="Q332" s="282" t="n"/>
      <c r="R332" s="282" t="n"/>
      <c r="T332" t="n">
        <v>0</v>
      </c>
    </row>
    <row r="333">
      <c r="A333" s="303" t="n"/>
      <c r="B333" s="304" t="n"/>
      <c r="C333" s="302" t="n">
        <v>7151</v>
      </c>
      <c r="D333" s="303" t="n">
        <v>10</v>
      </c>
      <c r="L333" s="305" t="n"/>
      <c r="P333" s="282" t="n"/>
      <c r="Q333" s="282" t="n"/>
      <c r="R333" s="282" t="n"/>
      <c r="T333" t="n">
        <v>0</v>
      </c>
    </row>
    <row r="334">
      <c r="A334" s="303" t="n"/>
      <c r="B334" s="304" t="n"/>
      <c r="C334" s="302" t="n">
        <v>7152</v>
      </c>
      <c r="D334" s="303" t="n">
        <v>6.9</v>
      </c>
      <c r="L334" s="305" t="n"/>
      <c r="P334" s="282" t="n"/>
      <c r="Q334" s="282" t="n"/>
      <c r="R334" s="282" t="n"/>
      <c r="T334" t="n">
        <v>0</v>
      </c>
    </row>
    <row r="335">
      <c r="A335" s="303" t="n"/>
      <c r="B335" s="304" t="n"/>
      <c r="C335" s="302" t="n">
        <v>7153</v>
      </c>
      <c r="D335" s="303" t="n">
        <v>12.5</v>
      </c>
      <c r="L335" s="305" t="n"/>
      <c r="P335" s="282" t="n"/>
      <c r="Q335" s="282" t="n"/>
      <c r="R335" s="282" t="n"/>
      <c r="T335" t="n">
        <v>0</v>
      </c>
    </row>
    <row r="336">
      <c r="A336" s="303" t="n"/>
      <c r="B336" s="304" t="n"/>
      <c r="C336" s="302" t="n">
        <v>7154</v>
      </c>
      <c r="D336" s="303" t="n">
        <v>13.64</v>
      </c>
      <c r="L336" s="305" t="n"/>
      <c r="P336" s="282" t="n"/>
      <c r="Q336" s="282" t="n"/>
      <c r="R336" s="282" t="n"/>
      <c r="T336" t="n">
        <v>0</v>
      </c>
    </row>
    <row r="337">
      <c r="A337" s="303" t="n"/>
      <c r="B337" s="304" t="n"/>
      <c r="C337" s="302" t="n">
        <v>7155</v>
      </c>
      <c r="D337" s="303" t="n">
        <v>8.25</v>
      </c>
      <c r="L337" s="305" t="n"/>
      <c r="P337" s="282" t="n"/>
      <c r="Q337" s="282" t="n"/>
      <c r="R337" s="282" t="n"/>
      <c r="T337" t="n">
        <v>0</v>
      </c>
    </row>
    <row r="338">
      <c r="A338" s="303" t="n"/>
      <c r="B338" s="304" t="n"/>
      <c r="C338" s="302" t="n">
        <v>7156</v>
      </c>
      <c r="D338" s="303" t="n">
        <v>19.8</v>
      </c>
      <c r="L338" s="305" t="n"/>
      <c r="P338" s="282" t="n"/>
      <c r="Q338" s="282" t="n"/>
      <c r="R338" s="282" t="n"/>
      <c r="T338" t="n">
        <v>0</v>
      </c>
    </row>
    <row r="339">
      <c r="A339" s="303" t="n"/>
      <c r="B339" s="304" t="n"/>
      <c r="C339" s="302" t="n">
        <v>7157</v>
      </c>
      <c r="D339" s="303" t="n">
        <v>10.8</v>
      </c>
      <c r="L339" s="305" t="n"/>
      <c r="P339" s="282" t="n"/>
      <c r="Q339" s="282" t="n"/>
      <c r="R339" s="282" t="n"/>
      <c r="T339" t="n">
        <v>0</v>
      </c>
    </row>
    <row r="340">
      <c r="A340" s="303" t="n"/>
      <c r="B340" s="304" t="n"/>
      <c r="C340" s="302" t="n">
        <v>7158</v>
      </c>
      <c r="D340" s="303" t="n">
        <v>9</v>
      </c>
      <c r="L340" s="305" t="n"/>
      <c r="P340" s="282" t="n"/>
      <c r="Q340" s="282" t="n"/>
      <c r="R340" s="282" t="n"/>
      <c r="T340" t="n">
        <v>0</v>
      </c>
    </row>
    <row r="341">
      <c r="A341" s="303" t="n"/>
      <c r="B341" s="304" t="n"/>
      <c r="C341" s="302" t="n">
        <v>7159</v>
      </c>
      <c r="D341" s="303" t="n">
        <v>15</v>
      </c>
      <c r="L341" s="305" t="n"/>
      <c r="P341" s="282" t="n"/>
      <c r="Q341" s="282" t="n"/>
      <c r="R341" s="282" t="n"/>
      <c r="T341" t="n">
        <v>0</v>
      </c>
    </row>
    <row r="342">
      <c r="A342" s="303" t="n"/>
      <c r="B342" s="304" t="n"/>
      <c r="C342" s="302" t="n">
        <v>7160</v>
      </c>
      <c r="D342" s="303" t="n">
        <v>12.5</v>
      </c>
      <c r="L342" s="305" t="n"/>
      <c r="P342" s="282" t="n"/>
      <c r="Q342" s="282" t="n"/>
      <c r="R342" s="282" t="n"/>
      <c r="T342" t="n">
        <v>0</v>
      </c>
    </row>
    <row r="343">
      <c r="A343" s="303" t="n"/>
      <c r="B343" s="304" t="n"/>
      <c r="C343" s="302" t="n">
        <v>7161</v>
      </c>
      <c r="D343" s="303" t="n">
        <v>10</v>
      </c>
      <c r="L343" s="305" t="n"/>
      <c r="P343" s="282" t="n"/>
      <c r="Q343" s="282" t="n"/>
      <c r="R343" s="282" t="n"/>
      <c r="T343" t="n">
        <v>0</v>
      </c>
    </row>
    <row r="344">
      <c r="A344" s="303" t="n"/>
      <c r="B344" s="304" t="n"/>
      <c r="C344" s="302" t="n">
        <v>7162</v>
      </c>
      <c r="D344" s="303" t="n">
        <v>10</v>
      </c>
      <c r="L344" s="305" t="n"/>
      <c r="P344" s="282" t="n"/>
      <c r="Q344" s="282" t="n"/>
      <c r="R344" s="282" t="n"/>
      <c r="T344" t="n">
        <v>0</v>
      </c>
    </row>
    <row r="345">
      <c r="A345" s="303" t="n"/>
      <c r="B345" s="304" t="n"/>
      <c r="C345" s="302" t="n">
        <v>7163</v>
      </c>
      <c r="D345" s="303" t="n">
        <v>12</v>
      </c>
      <c r="L345" s="305" t="n"/>
      <c r="P345" s="282" t="n"/>
      <c r="Q345" s="282" t="n"/>
      <c r="R345" s="282" t="n"/>
      <c r="T345" t="n">
        <v>0</v>
      </c>
    </row>
    <row r="346">
      <c r="A346" s="303" t="n"/>
      <c r="B346" s="304" t="n"/>
      <c r="C346" s="302" t="n">
        <v>7164</v>
      </c>
      <c r="D346" s="303" t="n">
        <v>12.8</v>
      </c>
      <c r="L346" s="305" t="n"/>
      <c r="P346" s="282" t="n"/>
      <c r="Q346" s="282" t="n"/>
      <c r="R346" s="282" t="n"/>
      <c r="T346" t="n">
        <v>0</v>
      </c>
    </row>
    <row r="347">
      <c r="A347" s="303" t="n"/>
      <c r="B347" s="304" t="n"/>
      <c r="C347" s="302" t="n">
        <v>7165</v>
      </c>
      <c r="D347" s="303" t="n">
        <v>16</v>
      </c>
      <c r="L347" s="305" t="n"/>
      <c r="P347" s="282" t="n"/>
      <c r="Q347" s="282" t="n"/>
      <c r="R347" s="282" t="n"/>
      <c r="T347" t="n">
        <v>0</v>
      </c>
    </row>
    <row r="348">
      <c r="A348" s="303" t="n"/>
      <c r="B348" s="304" t="n"/>
      <c r="C348" s="302" t="n">
        <v>7166</v>
      </c>
      <c r="D348" s="303" t="n">
        <v>9.6</v>
      </c>
      <c r="L348" s="305" t="n"/>
      <c r="P348" s="282" t="n"/>
      <c r="Q348" s="282" t="n"/>
      <c r="R348" s="282" t="n"/>
      <c r="T348" t="n">
        <v>0</v>
      </c>
    </row>
    <row r="349">
      <c r="A349" s="303" t="n"/>
      <c r="B349" s="304" t="n"/>
      <c r="C349" s="302" t="n">
        <v>7167</v>
      </c>
      <c r="D349" s="303" t="n">
        <v>15</v>
      </c>
      <c r="L349" s="305" t="n"/>
      <c r="P349" s="282" t="n"/>
      <c r="Q349" s="282" t="n"/>
      <c r="R349" s="282" t="n"/>
      <c r="T349" t="n">
        <v>0</v>
      </c>
    </row>
    <row r="350">
      <c r="A350" s="303" t="n"/>
      <c r="B350" s="304" t="n"/>
      <c r="C350" s="302" t="n">
        <v>7262</v>
      </c>
      <c r="D350" s="303" t="n">
        <v>6.18</v>
      </c>
      <c r="L350" s="305" t="n"/>
      <c r="P350" s="282" t="n"/>
      <c r="Q350" s="282" t="n"/>
      <c r="R350" s="282" t="n"/>
      <c r="T350" t="n">
        <v>0</v>
      </c>
    </row>
    <row r="351">
      <c r="A351" s="303" t="n"/>
      <c r="B351" s="304" t="n"/>
      <c r="C351" s="302" t="n">
        <v>7263</v>
      </c>
      <c r="D351" s="303" t="n">
        <v>7.98</v>
      </c>
      <c r="L351" s="305" t="n"/>
      <c r="P351" s="282" t="n"/>
      <c r="Q351" s="282" t="n"/>
      <c r="R351" s="282" t="n"/>
      <c r="T351" t="n">
        <v>0</v>
      </c>
    </row>
    <row r="352">
      <c r="A352" s="303" t="n"/>
      <c r="B352" s="304" t="n"/>
      <c r="C352" s="302" t="n">
        <v>7264</v>
      </c>
      <c r="D352" s="303" t="n">
        <v>6.832064943253468</v>
      </c>
      <c r="L352" s="305" t="n"/>
      <c r="P352" s="282" t="n"/>
      <c r="Q352" s="282" t="n"/>
      <c r="R352" s="282" t="n"/>
      <c r="T352" t="n">
        <v>0</v>
      </c>
    </row>
    <row r="353">
      <c r="A353" s="303" t="n"/>
      <c r="B353" s="304" t="n"/>
      <c r="C353" s="302" t="n">
        <v>7265</v>
      </c>
      <c r="D353" s="303" t="n">
        <v>7.98</v>
      </c>
      <c r="L353" s="305" t="n"/>
      <c r="P353" s="282" t="n"/>
      <c r="Q353" s="282" t="n"/>
      <c r="R353" s="282" t="n"/>
      <c r="T353" t="n">
        <v>0</v>
      </c>
    </row>
    <row r="354">
      <c r="A354" s="303" t="n"/>
      <c r="B354" s="304" t="n"/>
      <c r="C354" s="302" t="n">
        <v>7266</v>
      </c>
      <c r="D354" s="303" t="n">
        <v>5.58</v>
      </c>
      <c r="L354" s="305" t="n"/>
      <c r="P354" s="282" t="n"/>
      <c r="Q354" s="282" t="n"/>
      <c r="R354" s="282" t="n"/>
      <c r="T354" t="n">
        <v>0</v>
      </c>
    </row>
    <row r="355">
      <c r="A355" s="303" t="n"/>
      <c r="B355" s="304" t="n"/>
      <c r="C355" s="302" t="n">
        <v>7267</v>
      </c>
      <c r="D355" s="303" t="n">
        <v>4.59</v>
      </c>
      <c r="L355" s="305" t="n"/>
      <c r="P355" s="282" t="n"/>
      <c r="Q355" s="282" t="n"/>
      <c r="R355" s="282" t="n"/>
      <c r="T355" t="n">
        <v>0</v>
      </c>
    </row>
    <row r="356">
      <c r="A356" s="303" t="n"/>
      <c r="B356" s="304" t="n"/>
      <c r="C356" s="302" t="n">
        <v>7268</v>
      </c>
      <c r="D356" s="303" t="n">
        <v>6</v>
      </c>
      <c r="L356" s="305" t="n"/>
      <c r="P356" s="282" t="n"/>
      <c r="Q356" s="282" t="n"/>
      <c r="R356" s="282" t="n"/>
      <c r="T356" t="n">
        <v>0</v>
      </c>
    </row>
    <row r="357">
      <c r="A357" s="303" t="n"/>
      <c r="B357" s="304" t="n"/>
      <c r="C357" s="302" t="n">
        <v>7269</v>
      </c>
      <c r="D357" s="303" t="n">
        <v>6.78</v>
      </c>
      <c r="L357" s="305" t="n"/>
      <c r="P357" s="282" t="n"/>
      <c r="Q357" s="282" t="n"/>
      <c r="R357" s="282" t="n"/>
      <c r="T357" t="n">
        <v>0</v>
      </c>
    </row>
    <row r="358">
      <c r="A358" s="303" t="n"/>
      <c r="B358" s="304" t="n"/>
      <c r="C358" s="302" t="n">
        <v>7276</v>
      </c>
      <c r="D358" s="303" t="n">
        <v>8</v>
      </c>
      <c r="L358" s="305" t="n"/>
      <c r="P358" s="282" t="n"/>
      <c r="Q358" s="282" t="n"/>
      <c r="R358" s="282" t="n"/>
      <c r="T358" t="n">
        <v>0</v>
      </c>
    </row>
    <row r="359">
      <c r="A359" s="303" t="n"/>
      <c r="B359" s="304" t="n"/>
      <c r="C359" s="302" t="n">
        <v>7278</v>
      </c>
      <c r="D359" s="303" t="n">
        <v>7.8</v>
      </c>
      <c r="L359" s="305" t="n"/>
      <c r="P359" s="282" t="n"/>
      <c r="Q359" s="282" t="n"/>
      <c r="R359" s="282" t="n"/>
      <c r="T359" t="n">
        <v>0</v>
      </c>
    </row>
    <row r="360">
      <c r="A360" s="303" t="n"/>
      <c r="B360" s="304" t="n"/>
      <c r="C360" s="302" t="n">
        <v>7287</v>
      </c>
      <c r="D360" s="303" t="n">
        <v>8.800000000000001</v>
      </c>
      <c r="L360" s="305" t="n"/>
      <c r="P360" s="282" t="n"/>
      <c r="Q360" s="282" t="n"/>
      <c r="R360" s="282" t="n"/>
      <c r="T360" t="n">
        <v>0</v>
      </c>
    </row>
    <row r="361">
      <c r="A361" s="303" t="n"/>
      <c r="B361" s="304" t="n"/>
      <c r="C361" s="302" t="n">
        <v>7288</v>
      </c>
      <c r="D361" s="303" t="n">
        <v>6.6</v>
      </c>
      <c r="L361" s="305" t="n"/>
      <c r="P361" s="282" t="n"/>
      <c r="Q361" s="282" t="n"/>
      <c r="R361" s="282" t="n"/>
      <c r="T361" t="n">
        <v>0</v>
      </c>
    </row>
    <row r="362">
      <c r="A362" s="303" t="n"/>
      <c r="B362" s="304" t="n"/>
      <c r="C362" s="302" t="n">
        <v>7289</v>
      </c>
      <c r="D362" s="303" t="n">
        <v>8.880000000000001</v>
      </c>
      <c r="L362" s="305" t="n"/>
      <c r="P362" s="282" t="n"/>
      <c r="Q362" s="282" t="n"/>
      <c r="R362" s="282" t="n"/>
      <c r="T362" t="n">
        <v>0</v>
      </c>
    </row>
    <row r="363">
      <c r="A363" s="303" t="n"/>
      <c r="B363" s="304" t="n"/>
      <c r="C363" s="302" t="n">
        <v>7378</v>
      </c>
      <c r="D363" s="303" t="n">
        <v>11.75</v>
      </c>
      <c r="L363" s="305" t="n"/>
      <c r="P363" s="282" t="n"/>
      <c r="Q363" s="282" t="n"/>
      <c r="R363" s="282" t="n"/>
      <c r="T363" t="n">
        <v>0</v>
      </c>
    </row>
    <row r="364">
      <c r="A364" s="303" t="n"/>
      <c r="B364" s="304" t="n"/>
      <c r="C364" s="302" t="n">
        <v>7180</v>
      </c>
      <c r="D364" s="303" t="n">
        <v>19.8</v>
      </c>
      <c r="L364" s="305" t="n"/>
      <c r="P364" s="282" t="n"/>
      <c r="Q364" s="282" t="n"/>
      <c r="R364" s="282" t="n"/>
      <c r="T364" t="n">
        <v>0</v>
      </c>
    </row>
    <row r="365">
      <c r="A365" s="303" t="n"/>
      <c r="B365" s="304" t="n"/>
      <c r="C365" s="302" t="n">
        <v>7182</v>
      </c>
      <c r="D365" s="303" t="n">
        <v>15</v>
      </c>
      <c r="L365" s="305" t="n"/>
      <c r="P365" s="282" t="n"/>
      <c r="Q365" s="282" t="n"/>
      <c r="R365" s="282" t="n"/>
      <c r="T365" t="n">
        <v>0</v>
      </c>
    </row>
    <row r="366">
      <c r="A366" s="303" t="n"/>
      <c r="B366" s="304" t="n"/>
      <c r="C366" s="302" t="n">
        <v>7184</v>
      </c>
      <c r="D366" s="303" t="n">
        <v>12</v>
      </c>
      <c r="L366" s="305" t="n"/>
      <c r="P366" s="282" t="n"/>
      <c r="Q366" s="282" t="n"/>
      <c r="R366" s="282" t="n"/>
      <c r="T366" t="n">
        <v>0</v>
      </c>
    </row>
    <row r="367">
      <c r="A367" s="303" t="n"/>
      <c r="B367" s="304" t="n"/>
      <c r="C367" s="302" t="n">
        <v>7185</v>
      </c>
      <c r="D367" s="303" t="n">
        <v>13.2</v>
      </c>
      <c r="L367" s="305" t="n"/>
      <c r="P367" s="282" t="n"/>
      <c r="Q367" s="282" t="n"/>
      <c r="R367" s="282" t="n"/>
      <c r="T367" t="n">
        <v>0</v>
      </c>
    </row>
    <row r="368">
      <c r="A368" s="303" t="n"/>
      <c r="B368" s="304" t="n"/>
      <c r="C368" s="302" t="n">
        <v>7190</v>
      </c>
      <c r="D368" s="303" t="n">
        <v>8.199999999999999</v>
      </c>
      <c r="L368" s="305" t="n"/>
      <c r="P368" s="282" t="n"/>
      <c r="Q368" s="282" t="n"/>
      <c r="R368" s="282" t="n"/>
      <c r="T368" t="n">
        <v>0</v>
      </c>
    </row>
    <row r="369">
      <c r="A369" s="303" t="n"/>
      <c r="B369" s="304" t="n"/>
      <c r="C369" s="302" t="n">
        <v>7192</v>
      </c>
      <c r="D369" s="303" t="n">
        <v>4.59</v>
      </c>
      <c r="L369" s="305" t="n"/>
      <c r="P369" s="282" t="n"/>
      <c r="Q369" s="282" t="n"/>
      <c r="R369" s="282" t="n"/>
      <c r="T369" t="n">
        <v>0</v>
      </c>
    </row>
    <row r="370">
      <c r="A370" s="303" t="n"/>
      <c r="B370" s="304" t="n"/>
      <c r="C370" s="302" t="n">
        <v>7197</v>
      </c>
      <c r="D370" s="303" t="n">
        <v>8.199999999999999</v>
      </c>
      <c r="L370" s="305" t="n"/>
      <c r="P370" s="282" t="n"/>
      <c r="Q370" s="282" t="n"/>
      <c r="R370" s="282" t="n"/>
      <c r="T370" t="n">
        <v>0</v>
      </c>
    </row>
    <row r="371">
      <c r="A371" s="303" t="n"/>
      <c r="B371" s="304" t="n"/>
      <c r="C371" s="302" t="n">
        <v>7229</v>
      </c>
      <c r="D371" s="303" t="n">
        <v>6.83</v>
      </c>
      <c r="L371" s="305" t="n"/>
      <c r="P371" s="282" t="n"/>
      <c r="Q371" s="282" t="n"/>
      <c r="R371" s="282" t="n"/>
      <c r="T371" t="n">
        <v>0</v>
      </c>
    </row>
    <row r="372">
      <c r="A372" s="303" t="n"/>
      <c r="B372" s="304" t="n"/>
      <c r="C372" s="302" t="n">
        <v>7230</v>
      </c>
      <c r="D372" s="303" t="n">
        <v>7.98</v>
      </c>
      <c r="L372" s="305" t="n"/>
      <c r="P372" s="282" t="n"/>
      <c r="Q372" s="282" t="n"/>
      <c r="R372" s="282" t="n"/>
      <c r="T372" t="n">
        <v>0</v>
      </c>
    </row>
    <row r="373">
      <c r="A373" s="303" t="n"/>
      <c r="B373" s="304" t="n"/>
      <c r="C373" s="302" t="n">
        <v>7231</v>
      </c>
      <c r="D373" s="303" t="n">
        <v>5.58</v>
      </c>
      <c r="L373" s="305" t="n"/>
      <c r="P373" s="282" t="n"/>
      <c r="Q373" s="282" t="n"/>
      <c r="R373" s="282" t="n"/>
      <c r="T373" t="n">
        <v>0</v>
      </c>
    </row>
    <row r="374">
      <c r="A374" s="303" t="n"/>
      <c r="B374" s="304" t="n"/>
      <c r="C374" s="302" t="n">
        <v>7233</v>
      </c>
      <c r="D374" s="303" t="n">
        <v>4.59</v>
      </c>
      <c r="L374" s="305" t="n"/>
      <c r="P374" s="282" t="n"/>
      <c r="Q374" s="282" t="n"/>
      <c r="R374" s="282" t="n"/>
      <c r="T374" t="n">
        <v>0</v>
      </c>
    </row>
    <row r="375">
      <c r="A375" s="303" t="n"/>
      <c r="B375" s="304" t="n"/>
      <c r="C375" s="302" t="n">
        <v>7234</v>
      </c>
      <c r="D375" s="303" t="n">
        <v>6.18</v>
      </c>
      <c r="L375" s="305" t="n"/>
      <c r="P375" s="282" t="n"/>
      <c r="Q375" s="282" t="n"/>
      <c r="R375" s="282" t="n"/>
      <c r="T375" t="n">
        <v>0</v>
      </c>
    </row>
    <row r="376">
      <c r="A376" s="303" t="n"/>
      <c r="B376" s="304" t="n"/>
      <c r="C376" s="302" t="n">
        <v>7235</v>
      </c>
      <c r="D376" s="303" t="n">
        <v>7.98</v>
      </c>
      <c r="L376" s="305" t="n"/>
      <c r="P376" s="282" t="n"/>
      <c r="Q376" s="282" t="n"/>
      <c r="R376" s="282" t="n"/>
      <c r="T376" t="n">
        <v>0</v>
      </c>
    </row>
    <row r="377">
      <c r="A377" s="303" t="n"/>
      <c r="B377" s="304" t="n"/>
      <c r="C377" s="302" t="n">
        <v>7236</v>
      </c>
      <c r="D377" s="303" t="n">
        <v>6.78</v>
      </c>
      <c r="L377" s="305" t="n"/>
      <c r="P377" s="282" t="n"/>
      <c r="Q377" s="282" t="n"/>
      <c r="R377" s="282" t="n"/>
      <c r="T377" t="n">
        <v>0</v>
      </c>
    </row>
    <row r="378">
      <c r="A378" s="303" t="n"/>
      <c r="B378" s="304" t="n"/>
      <c r="C378" s="302" t="n">
        <v>7238</v>
      </c>
      <c r="D378" s="303" t="n">
        <v>6.78</v>
      </c>
      <c r="L378" s="305" t="n"/>
      <c r="P378" s="282" t="n"/>
      <c r="Q378" s="282" t="n"/>
      <c r="R378" s="282" t="n"/>
      <c r="T378" t="n">
        <v>0</v>
      </c>
    </row>
    <row r="379">
      <c r="A379" s="303" t="n"/>
      <c r="B379" s="304" t="n"/>
      <c r="C379" s="302" t="n">
        <v>7239</v>
      </c>
      <c r="D379" s="303" t="n">
        <v>6</v>
      </c>
      <c r="L379" s="305" t="n"/>
      <c r="P379" s="282" t="n"/>
      <c r="Q379" s="282" t="n"/>
      <c r="R379" s="282" t="n"/>
      <c r="T379" t="n">
        <v>0</v>
      </c>
    </row>
    <row r="380">
      <c r="A380" s="303" t="n"/>
      <c r="B380" s="304" t="n"/>
      <c r="C380" s="302" t="n">
        <v>7240</v>
      </c>
      <c r="D380" s="303" t="n">
        <v>5.7</v>
      </c>
      <c r="L380" s="305" t="n"/>
      <c r="P380" s="282" t="n"/>
      <c r="Q380" s="282" t="n"/>
      <c r="R380" s="282" t="n"/>
      <c r="T380" t="n">
        <v>0</v>
      </c>
    </row>
    <row r="381">
      <c r="A381" s="303" t="n"/>
      <c r="B381" s="304" t="n"/>
      <c r="C381" s="302" t="n">
        <v>7241</v>
      </c>
      <c r="D381" s="303" t="n">
        <v>8.199999999999999</v>
      </c>
      <c r="L381" s="305" t="n"/>
      <c r="P381" s="282" t="n"/>
      <c r="Q381" s="282" t="n"/>
      <c r="R381" s="282" t="n"/>
      <c r="T381" t="n">
        <v>0</v>
      </c>
    </row>
    <row r="382">
      <c r="A382" s="303" t="n"/>
      <c r="B382" s="304" t="n"/>
      <c r="C382" s="302" t="n">
        <v>7242</v>
      </c>
      <c r="D382" s="303" t="n">
        <v>8.880000000000001</v>
      </c>
      <c r="L382" s="305" t="n"/>
      <c r="P382" s="282" t="n"/>
      <c r="Q382" s="282" t="n"/>
      <c r="R382" s="282" t="n"/>
      <c r="T382" t="n">
        <v>0</v>
      </c>
    </row>
    <row r="383">
      <c r="A383" s="303" t="n"/>
      <c r="B383" s="304" t="n"/>
      <c r="C383" s="302" t="n">
        <v>7210</v>
      </c>
      <c r="D383" s="303" t="n">
        <v>7.92</v>
      </c>
      <c r="L383" s="305" t="n"/>
      <c r="P383" s="282" t="n"/>
      <c r="Q383" s="282" t="n"/>
      <c r="R383" s="282" t="n"/>
      <c r="T383" t="n">
        <v>0</v>
      </c>
    </row>
    <row r="384">
      <c r="A384" s="303" t="n"/>
      <c r="B384" s="304" t="n"/>
      <c r="C384" s="302" t="n">
        <v>7211</v>
      </c>
      <c r="D384" s="303" t="n">
        <v>13.64</v>
      </c>
      <c r="L384" s="305" t="n"/>
      <c r="P384" s="282" t="n"/>
      <c r="Q384" s="282" t="n"/>
      <c r="R384" s="282" t="n"/>
      <c r="T384" t="n">
        <v>0</v>
      </c>
    </row>
    <row r="385">
      <c r="A385" s="303" t="n"/>
      <c r="B385" s="304" t="n"/>
      <c r="C385" s="302" t="n">
        <v>7212</v>
      </c>
      <c r="D385" s="303" t="n">
        <v>8.58</v>
      </c>
      <c r="L385" s="305" t="n"/>
      <c r="P385" s="282" t="n"/>
      <c r="Q385" s="282" t="n"/>
      <c r="R385" s="282" t="n"/>
      <c r="T385" t="n">
        <v>0</v>
      </c>
    </row>
    <row r="386">
      <c r="A386" s="303" t="n"/>
      <c r="B386" s="304" t="n"/>
      <c r="C386" s="302" t="n">
        <v>7213</v>
      </c>
      <c r="D386" s="303" t="n">
        <v>9.24</v>
      </c>
      <c r="L386" s="305" t="n"/>
      <c r="P386" s="282" t="n"/>
      <c r="Q386" s="282" t="n"/>
      <c r="R386" s="282" t="n"/>
      <c r="T386" t="n">
        <v>0</v>
      </c>
    </row>
    <row r="387">
      <c r="A387" s="303" t="n"/>
      <c r="B387" s="304" t="n"/>
      <c r="C387" s="302" t="n">
        <v>7214</v>
      </c>
      <c r="D387" s="303" t="n">
        <v>9.24</v>
      </c>
      <c r="L387" s="305" t="n"/>
      <c r="P387" s="282" t="n"/>
      <c r="Q387" s="282" t="n"/>
      <c r="R387" s="282" t="n"/>
      <c r="T387" t="n">
        <v>0</v>
      </c>
    </row>
    <row r="388">
      <c r="A388" s="303" t="n"/>
      <c r="B388" s="304" t="n"/>
      <c r="C388" s="302" t="n">
        <v>7215</v>
      </c>
      <c r="D388" s="303" t="n">
        <v>10.56</v>
      </c>
      <c r="L388" s="305" t="n"/>
      <c r="P388" s="282" t="n"/>
      <c r="Q388" s="282" t="n"/>
      <c r="R388" s="282" t="n"/>
      <c r="T388" t="n">
        <v>0</v>
      </c>
    </row>
    <row r="389">
      <c r="A389" s="303" t="n"/>
      <c r="B389" s="304" t="n"/>
      <c r="C389" s="302" t="n">
        <v>7216</v>
      </c>
      <c r="D389" s="303" t="n">
        <v>9.24</v>
      </c>
      <c r="L389" s="305" t="n"/>
      <c r="P389" s="282" t="n"/>
      <c r="Q389" s="282" t="n"/>
      <c r="R389" s="282" t="n"/>
      <c r="T389" t="n">
        <v>0</v>
      </c>
    </row>
    <row r="390">
      <c r="A390" s="303" t="n"/>
      <c r="B390" s="304" t="n"/>
      <c r="C390" s="302" t="n">
        <v>7217</v>
      </c>
      <c r="D390" s="303" t="n">
        <v>10.56</v>
      </c>
      <c r="L390" s="305" t="n"/>
      <c r="P390" s="282" t="n"/>
      <c r="Q390" s="282" t="n"/>
      <c r="R390" s="282" t="n"/>
      <c r="T390" t="n">
        <v>0</v>
      </c>
    </row>
    <row r="391">
      <c r="A391" s="303" t="n"/>
      <c r="B391" s="304" t="n"/>
      <c r="C391" s="302" t="n">
        <v>7218</v>
      </c>
      <c r="D391" s="303" t="n">
        <v>9.24</v>
      </c>
      <c r="L391" s="305" t="n"/>
      <c r="P391" s="282" t="n"/>
      <c r="Q391" s="282" t="n"/>
      <c r="R391" s="282" t="n"/>
      <c r="T391" t="n">
        <v>0</v>
      </c>
    </row>
    <row r="392">
      <c r="A392" s="303" t="n"/>
      <c r="B392" s="304" t="n"/>
      <c r="C392" s="302" t="n">
        <v>7219</v>
      </c>
      <c r="D392" s="303" t="n">
        <v>9.48</v>
      </c>
      <c r="L392" s="305" t="n"/>
      <c r="P392" s="282" t="n"/>
      <c r="Q392" s="282" t="n"/>
      <c r="R392" s="282" t="n"/>
      <c r="T392" t="n">
        <v>0</v>
      </c>
    </row>
    <row r="393">
      <c r="A393" s="303" t="n"/>
      <c r="B393" s="304" t="n"/>
      <c r="C393" s="302" t="n">
        <v>7220</v>
      </c>
      <c r="D393" s="303" t="n">
        <v>12.6</v>
      </c>
      <c r="L393" s="305" t="n"/>
      <c r="P393" s="282" t="n"/>
      <c r="Q393" s="282" t="n"/>
      <c r="R393" s="282" t="n"/>
      <c r="T393" t="n">
        <v>0</v>
      </c>
    </row>
    <row r="394">
      <c r="A394" s="303" t="n"/>
      <c r="B394" s="304" t="n"/>
      <c r="C394" s="302" t="n">
        <v>7221</v>
      </c>
      <c r="D394" s="303" t="n">
        <v>9.5</v>
      </c>
      <c r="L394" s="305" t="n"/>
      <c r="P394" s="282" t="n"/>
      <c r="Q394" s="282" t="n"/>
      <c r="R394" s="282" t="n"/>
      <c r="T394" t="n">
        <v>0</v>
      </c>
    </row>
    <row r="395">
      <c r="A395" s="303" t="n"/>
      <c r="B395" s="304" t="n"/>
      <c r="C395" s="302" t="n">
        <v>7222</v>
      </c>
      <c r="D395" s="303" t="n">
        <v>10</v>
      </c>
      <c r="L395" s="305" t="n"/>
      <c r="P395" s="282" t="n"/>
      <c r="Q395" s="282" t="n"/>
      <c r="R395" s="282" t="n"/>
      <c r="T395" t="n">
        <v>0</v>
      </c>
    </row>
    <row r="396">
      <c r="A396" s="303" t="n"/>
      <c r="B396" s="304" t="n"/>
      <c r="C396" s="302" t="n">
        <v>7223</v>
      </c>
      <c r="D396" s="303" t="n">
        <v>16</v>
      </c>
      <c r="L396" s="305" t="n"/>
      <c r="P396" s="282" t="n"/>
      <c r="Q396" s="282" t="n"/>
      <c r="R396" s="282" t="n"/>
      <c r="T396" t="n">
        <v>0</v>
      </c>
    </row>
    <row r="397">
      <c r="A397" s="303" t="n"/>
      <c r="B397" s="304" t="n"/>
      <c r="C397" s="302" t="n">
        <v>7225</v>
      </c>
      <c r="D397" s="303" t="n">
        <v>12</v>
      </c>
      <c r="L397" s="305" t="n"/>
      <c r="P397" s="282" t="n"/>
      <c r="Q397" s="282" t="n"/>
      <c r="R397" s="282" t="n"/>
      <c r="T397" t="n">
        <v>0</v>
      </c>
    </row>
    <row r="398">
      <c r="A398" s="303" t="n"/>
      <c r="B398" s="304" t="n"/>
      <c r="C398" s="302" t="n">
        <v>7226</v>
      </c>
      <c r="D398" s="303" t="n">
        <v>12.8</v>
      </c>
      <c r="L398" s="305" t="n"/>
      <c r="P398" s="282" t="n"/>
      <c r="Q398" s="282" t="n"/>
      <c r="R398" s="282" t="n"/>
      <c r="T398" t="n">
        <v>0</v>
      </c>
    </row>
    <row r="399">
      <c r="A399" s="303" t="n"/>
      <c r="B399" s="304" t="n"/>
      <c r="C399" s="302" t="n">
        <v>7310</v>
      </c>
      <c r="D399" s="303" t="n">
        <v>7.6</v>
      </c>
      <c r="L399" s="305" t="n"/>
      <c r="P399" s="282" t="n"/>
      <c r="Q399" s="282" t="n"/>
      <c r="R399" s="282" t="n"/>
      <c r="T399" t="n">
        <v>0</v>
      </c>
    </row>
    <row r="400">
      <c r="A400" s="303" t="n"/>
      <c r="B400" s="304" t="n"/>
      <c r="C400" s="302" t="n">
        <v>7413</v>
      </c>
      <c r="D400" s="303" t="n">
        <v>10.5</v>
      </c>
      <c r="L400" s="305" t="n"/>
      <c r="P400" s="282" t="n"/>
      <c r="Q400" s="282" t="n"/>
      <c r="R400" s="282" t="n"/>
      <c r="T400" t="n">
        <v>0</v>
      </c>
    </row>
    <row r="401">
      <c r="A401" s="303" t="n"/>
      <c r="B401" s="304" t="n"/>
      <c r="C401" s="302" t="n">
        <v>7414</v>
      </c>
      <c r="D401" s="303" t="n">
        <v>9.1</v>
      </c>
      <c r="L401" s="305" t="n"/>
      <c r="P401" s="282" t="n"/>
      <c r="Q401" s="282" t="n"/>
      <c r="R401" s="282" t="n"/>
      <c r="T401" t="n">
        <v>0</v>
      </c>
    </row>
    <row r="402">
      <c r="A402" s="303" t="n"/>
      <c r="B402" s="304" t="n"/>
      <c r="C402" s="302" t="n">
        <v>7417</v>
      </c>
      <c r="D402" s="303" t="n">
        <v>13</v>
      </c>
      <c r="L402" s="305" t="n"/>
      <c r="P402" s="282" t="n"/>
      <c r="Q402" s="282" t="n"/>
      <c r="R402" s="282" t="n"/>
      <c r="T402" t="n">
        <v>0</v>
      </c>
    </row>
    <row r="403">
      <c r="A403" s="303" t="n"/>
      <c r="B403" s="304" t="n"/>
      <c r="C403" s="302" t="n">
        <v>7468</v>
      </c>
      <c r="D403" s="303" t="n">
        <v>10</v>
      </c>
      <c r="L403" s="305" t="n"/>
      <c r="P403" s="282" t="n"/>
      <c r="Q403" s="282" t="n"/>
      <c r="R403" s="282" t="n"/>
      <c r="T403" t="n">
        <v>0</v>
      </c>
    </row>
    <row r="404">
      <c r="A404" s="303" t="n"/>
      <c r="B404" s="304" t="n"/>
      <c r="C404" s="302" t="n">
        <v>7469</v>
      </c>
      <c r="D404" s="303" t="n">
        <v>10</v>
      </c>
      <c r="L404" s="305" t="n"/>
      <c r="P404" s="282" t="n"/>
      <c r="Q404" s="282" t="n"/>
      <c r="R404" s="282" t="n"/>
      <c r="T404" t="n">
        <v>0</v>
      </c>
    </row>
    <row r="405">
      <c r="A405" s="303" t="n"/>
      <c r="B405" s="304" t="n"/>
      <c r="C405" s="302" t="n">
        <v>7519</v>
      </c>
      <c r="D405" s="303" t="n">
        <v>7.5</v>
      </c>
      <c r="L405" s="305" t="n"/>
      <c r="P405" s="282" t="n"/>
      <c r="Q405" s="282" t="n"/>
      <c r="R405" s="282" t="n"/>
      <c r="T405" t="n">
        <v>0</v>
      </c>
    </row>
    <row r="406">
      <c r="A406" s="303" t="n"/>
      <c r="B406" s="304" t="n"/>
      <c r="C406" s="302" t="n">
        <v>7522</v>
      </c>
      <c r="D406" s="303" t="n">
        <v>13</v>
      </c>
      <c r="L406" s="305" t="n"/>
      <c r="P406" s="282" t="n"/>
      <c r="Q406" s="282" t="n"/>
      <c r="R406" s="282" t="n"/>
      <c r="T406" t="n">
        <v>0</v>
      </c>
    </row>
    <row r="407">
      <c r="A407" s="303" t="n"/>
      <c r="B407" s="304" t="n"/>
      <c r="C407" s="302" t="n">
        <v>7537</v>
      </c>
      <c r="D407" s="303" t="n">
        <v>14</v>
      </c>
      <c r="L407" s="305" t="n"/>
      <c r="P407" s="282" t="n"/>
      <c r="Q407" s="282" t="n"/>
      <c r="R407" s="282" t="n"/>
      <c r="T407" t="n">
        <v>0</v>
      </c>
    </row>
    <row r="408">
      <c r="A408" s="303" t="n"/>
      <c r="B408" s="304" t="n"/>
      <c r="C408" s="302" t="n">
        <v>7538</v>
      </c>
      <c r="D408" s="303" t="n">
        <v>13</v>
      </c>
      <c r="L408" s="305" t="n"/>
      <c r="P408" s="282" t="n"/>
      <c r="Q408" s="282" t="n"/>
      <c r="R408" s="282" t="n"/>
      <c r="T408" t="n">
        <v>0</v>
      </c>
    </row>
    <row r="409">
      <c r="A409" s="303" t="n"/>
      <c r="B409" s="304" t="n"/>
      <c r="C409" s="302" t="n">
        <v>7540</v>
      </c>
      <c r="D409" s="303" t="n">
        <v>9</v>
      </c>
      <c r="L409" s="305" t="n"/>
      <c r="P409" s="282" t="n"/>
      <c r="Q409" s="282" t="n"/>
      <c r="R409" s="282" t="n"/>
      <c r="T409" t="n">
        <v>0</v>
      </c>
    </row>
    <row r="410">
      <c r="A410" s="303" t="n"/>
      <c r="B410" s="304" t="n"/>
      <c r="C410" s="302" t="n">
        <v>7553</v>
      </c>
      <c r="D410" s="303" t="n">
        <v>15</v>
      </c>
      <c r="L410" s="305" t="n"/>
      <c r="P410" s="282" t="n"/>
      <c r="Q410" s="282" t="n"/>
      <c r="R410" s="282" t="n"/>
      <c r="T410" t="n">
        <v>0</v>
      </c>
    </row>
    <row r="411">
      <c r="A411" s="303" t="n"/>
      <c r="B411" s="304" t="n"/>
      <c r="C411" s="302" t="n">
        <v>7554</v>
      </c>
      <c r="D411" s="303" t="n">
        <v>14</v>
      </c>
      <c r="L411" s="305" t="n"/>
      <c r="P411" s="282" t="n"/>
      <c r="Q411" s="282" t="n"/>
      <c r="R411" s="282" t="n"/>
      <c r="T411" t="n">
        <v>0</v>
      </c>
    </row>
    <row r="412">
      <c r="A412" s="303" t="n"/>
      <c r="B412" s="304" t="n"/>
      <c r="C412" s="302" t="n">
        <v>7557</v>
      </c>
      <c r="D412" s="303" t="n">
        <v>10.3</v>
      </c>
      <c r="L412" s="305" t="n"/>
      <c r="P412" s="282" t="n"/>
      <c r="Q412" s="282" t="n"/>
      <c r="R412" s="282" t="n"/>
      <c r="T412" t="n">
        <v>0</v>
      </c>
    </row>
    <row r="413">
      <c r="A413" s="303" t="n"/>
      <c r="B413" s="304" t="n"/>
      <c r="C413" s="302" t="n">
        <v>7561</v>
      </c>
      <c r="D413" s="303" t="n">
        <v>10</v>
      </c>
      <c r="L413" s="305" t="n"/>
      <c r="P413" s="282" t="n"/>
      <c r="Q413" s="282" t="n"/>
      <c r="R413" s="282" t="n"/>
      <c r="T413" t="n">
        <v>0</v>
      </c>
    </row>
    <row r="414">
      <c r="A414" s="303" t="n"/>
      <c r="B414" s="304" t="n"/>
      <c r="C414" s="302" t="n">
        <v>7569</v>
      </c>
      <c r="D414" s="303" t="n">
        <v>11</v>
      </c>
      <c r="L414" s="305" t="n"/>
      <c r="P414" s="282" t="n"/>
      <c r="Q414" s="282" t="n"/>
      <c r="R414" s="282" t="n"/>
      <c r="T414" t="n">
        <v>0</v>
      </c>
    </row>
    <row r="415">
      <c r="A415" s="303" t="n"/>
      <c r="B415" s="304" t="n"/>
      <c r="C415" s="302" t="n">
        <v>7584</v>
      </c>
      <c r="D415" s="303" t="n">
        <v>14</v>
      </c>
      <c r="L415" s="305" t="n"/>
      <c r="P415" s="282" t="n"/>
      <c r="Q415" s="282" t="n"/>
      <c r="R415" s="282" t="n"/>
      <c r="T415" t="n">
        <v>0</v>
      </c>
    </row>
    <row r="416">
      <c r="A416" s="303" t="n"/>
      <c r="B416" s="304" t="n"/>
      <c r="C416" s="302" t="n">
        <v>7591</v>
      </c>
      <c r="D416" s="303" t="n">
        <v>5.4</v>
      </c>
      <c r="L416" s="305" t="n"/>
      <c r="P416" s="282" t="n"/>
      <c r="Q416" s="282" t="n"/>
      <c r="R416" s="282" t="n"/>
      <c r="T416" t="n">
        <v>0</v>
      </c>
    </row>
    <row r="417">
      <c r="A417" s="303" t="n"/>
      <c r="B417" s="304" t="n"/>
      <c r="C417" s="302" t="n">
        <v>7595</v>
      </c>
      <c r="D417" s="303" t="n">
        <v>12</v>
      </c>
      <c r="F417" s="303" t="n">
        <v>7823</v>
      </c>
      <c r="G417" s="304" t="n">
        <v>0.1155772222222222</v>
      </c>
      <c r="L417" s="305" t="n"/>
      <c r="P417" s="282" t="n"/>
      <c r="Q417" s="282" t="n"/>
      <c r="R417" s="282" t="n"/>
      <c r="T417" t="n">
        <v>0</v>
      </c>
    </row>
    <row r="418">
      <c r="A418" s="303" t="n"/>
      <c r="B418" s="304" t="n"/>
      <c r="C418" s="302" t="n">
        <v>7596</v>
      </c>
      <c r="D418" s="303" t="n">
        <v>8</v>
      </c>
      <c r="F418" s="303" t="n">
        <v>7824</v>
      </c>
      <c r="G418" s="304" t="n">
        <v>0.1155772222222222</v>
      </c>
      <c r="L418" s="305" t="n"/>
      <c r="P418" s="282" t="n"/>
      <c r="Q418" s="282" t="n"/>
      <c r="R418" s="282" t="n"/>
      <c r="T418" t="n">
        <v>0</v>
      </c>
    </row>
    <row r="419">
      <c r="A419" s="303" t="n"/>
      <c r="B419" s="304" t="n"/>
      <c r="C419" s="302" t="n">
        <v>1876</v>
      </c>
      <c r="D419" s="303" t="n">
        <v>9.6</v>
      </c>
      <c r="F419" s="303" t="n">
        <v>7825</v>
      </c>
      <c r="G419" s="304" t="n">
        <v>0.106</v>
      </c>
      <c r="L419" s="305" t="n"/>
      <c r="P419" s="282" t="n"/>
      <c r="Q419" s="282" t="n"/>
      <c r="R419" s="282" t="n"/>
      <c r="T419" t="n">
        <v>0</v>
      </c>
    </row>
    <row r="420">
      <c r="A420" s="303" t="n"/>
      <c r="B420" s="304" t="n"/>
      <c r="C420" s="302" t="n">
        <v>1877</v>
      </c>
      <c r="D420" s="303" t="n">
        <v>9.6</v>
      </c>
      <c r="F420" s="303" t="n">
        <v>7826</v>
      </c>
      <c r="G420" s="304" t="n">
        <v>0.08500000000000001</v>
      </c>
      <c r="L420" s="305" t="n"/>
      <c r="P420" s="282" t="n"/>
      <c r="Q420" s="282" t="n"/>
      <c r="R420" s="282" t="n"/>
      <c r="T420" t="n">
        <v>0</v>
      </c>
    </row>
    <row r="421">
      <c r="A421" s="303" t="n"/>
      <c r="B421" s="304" t="n"/>
      <c r="C421" s="302" t="n">
        <v>7911</v>
      </c>
      <c r="D421" s="303" t="n">
        <v>6.36</v>
      </c>
      <c r="F421" s="303" t="n">
        <v>7827</v>
      </c>
      <c r="G421" s="303" t="n">
        <v>0.08500000000000001</v>
      </c>
      <c r="L421" s="305" t="n"/>
      <c r="P421" s="282" t="n"/>
      <c r="Q421" s="282" t="n"/>
      <c r="R421" s="282" t="n"/>
      <c r="T421" t="n">
        <v>0</v>
      </c>
    </row>
    <row r="422">
      <c r="A422" s="303" t="n"/>
      <c r="B422" s="304" t="n"/>
      <c r="C422" s="302" t="n">
        <v>7912</v>
      </c>
      <c r="D422" s="303" t="n">
        <v>8</v>
      </c>
      <c r="F422" s="303" t="n">
        <v>7828</v>
      </c>
      <c r="G422" s="303" t="n">
        <v>0.103</v>
      </c>
      <c r="L422" s="305" t="n"/>
      <c r="P422" s="282" t="n"/>
      <c r="Q422" s="282" t="n"/>
      <c r="R422" s="282" t="n"/>
      <c r="T422" t="n">
        <v>0</v>
      </c>
    </row>
    <row r="423">
      <c r="A423" s="303" t="n"/>
      <c r="B423" s="304" t="n"/>
      <c r="C423" s="302" t="n">
        <v>7930</v>
      </c>
      <c r="D423" s="303" t="n">
        <v>13.4</v>
      </c>
      <c r="F423" s="303" t="n">
        <v>7829</v>
      </c>
      <c r="G423" s="303" t="n">
        <v>0.149</v>
      </c>
      <c r="L423" s="305" t="n"/>
      <c r="P423" s="282" t="n"/>
      <c r="Q423" s="282" t="n"/>
      <c r="R423" s="282" t="n"/>
      <c r="T423" t="n">
        <v>0</v>
      </c>
    </row>
    <row r="424">
      <c r="A424" s="303" t="n"/>
      <c r="B424" s="304" t="n"/>
      <c r="C424" s="302" t="n">
        <v>7931</v>
      </c>
      <c r="D424" s="303" t="n">
        <v>8.4</v>
      </c>
      <c r="F424" s="303" t="n">
        <v>7830</v>
      </c>
      <c r="G424" s="303" t="n">
        <v>0.156</v>
      </c>
      <c r="L424" s="305" t="n"/>
      <c r="P424" s="282" t="n"/>
      <c r="Q424" s="282" t="n"/>
      <c r="R424" s="282" t="n"/>
      <c r="T424" t="n">
        <v>0</v>
      </c>
    </row>
    <row r="425">
      <c r="A425" s="303" t="n"/>
      <c r="B425" s="304" t="n"/>
      <c r="C425" s="302" t="n">
        <v>7932</v>
      </c>
      <c r="D425" s="303" t="n">
        <v>13.8</v>
      </c>
      <c r="F425" s="303" t="n">
        <v>7831</v>
      </c>
      <c r="G425" s="303" t="n">
        <v>0.204423305588585</v>
      </c>
      <c r="L425" s="305" t="n"/>
      <c r="P425" s="282" t="n"/>
      <c r="Q425" s="282" t="n"/>
      <c r="R425" s="282" t="n"/>
      <c r="T425" t="n">
        <v>0</v>
      </c>
    </row>
    <row r="426">
      <c r="A426" s="303" t="n"/>
      <c r="B426" s="304" t="n"/>
      <c r="C426" s="302" t="n">
        <v>7940</v>
      </c>
      <c r="D426" s="303" t="n">
        <v>13.4</v>
      </c>
      <c r="F426" s="303" t="n">
        <v>7833</v>
      </c>
      <c r="G426" s="303" t="n">
        <v>0.06037388888888887</v>
      </c>
      <c r="L426" s="305" t="n"/>
      <c r="P426" s="282" t="n"/>
      <c r="Q426" s="282" t="n"/>
      <c r="R426" s="282" t="n"/>
      <c r="T426" t="n">
        <v>0</v>
      </c>
    </row>
    <row r="427">
      <c r="A427" s="303" t="n"/>
      <c r="B427" s="304" t="n"/>
      <c r="C427" s="302" t="n">
        <v>7941</v>
      </c>
      <c r="D427" s="303" t="n">
        <v>13.8</v>
      </c>
      <c r="L427" s="305" t="n"/>
      <c r="P427" s="282" t="n"/>
      <c r="Q427" s="282" t="n"/>
      <c r="R427" s="282" t="n"/>
      <c r="T427" t="n">
        <v>0</v>
      </c>
    </row>
    <row r="428">
      <c r="A428" s="303" t="n"/>
      <c r="B428" s="304" t="n"/>
      <c r="C428" s="302" t="n">
        <v>7976</v>
      </c>
      <c r="D428" s="303" t="n">
        <v>12</v>
      </c>
      <c r="L428" s="305" t="n"/>
      <c r="P428" s="282" t="n"/>
      <c r="Q428" s="282" t="n"/>
      <c r="R428" s="282" t="n"/>
      <c r="T428" t="n">
        <v>0</v>
      </c>
    </row>
    <row r="429">
      <c r="A429" s="303" t="n"/>
      <c r="B429" s="304" t="n"/>
      <c r="C429" s="302" t="n">
        <v>7977</v>
      </c>
      <c r="D429" s="303" t="n">
        <v>8.800000000000001</v>
      </c>
      <c r="L429" s="305" t="n"/>
      <c r="P429" s="282" t="n"/>
      <c r="Q429" s="282" t="n"/>
      <c r="R429" s="282" t="n"/>
      <c r="T429" t="n">
        <v>0</v>
      </c>
    </row>
    <row r="430">
      <c r="A430" s="303" t="n"/>
      <c r="B430" s="304" t="n"/>
      <c r="C430" s="302" t="n">
        <v>200110</v>
      </c>
      <c r="D430" s="303" t="n">
        <v>14.4</v>
      </c>
      <c r="L430" s="305" t="n"/>
      <c r="P430" s="282" t="n"/>
      <c r="Q430" s="282" t="n"/>
      <c r="R430" s="282" t="n"/>
      <c r="T430" t="n">
        <v>0</v>
      </c>
    </row>
    <row r="431">
      <c r="A431" s="303" t="n"/>
      <c r="B431" s="304" t="n"/>
      <c r="C431" s="302" t="n">
        <v>200111</v>
      </c>
      <c r="D431" s="303" t="n">
        <v>13.2</v>
      </c>
      <c r="L431" s="305" t="n"/>
      <c r="P431" s="282" t="n"/>
      <c r="Q431" s="282" t="n"/>
      <c r="R431" s="282" t="n"/>
      <c r="T431" t="n">
        <v>0</v>
      </c>
    </row>
    <row r="432">
      <c r="A432" s="303" t="n"/>
      <c r="B432" s="304" t="n"/>
      <c r="C432" s="302" t="n">
        <v>200112</v>
      </c>
      <c r="D432" s="303" t="n">
        <v>19.8</v>
      </c>
      <c r="L432" s="305" t="n"/>
      <c r="P432" s="282" t="n"/>
      <c r="Q432" s="282" t="n"/>
      <c r="R432" s="282" t="n"/>
      <c r="T432" t="n">
        <v>0</v>
      </c>
    </row>
    <row r="433">
      <c r="A433" s="303" t="n"/>
      <c r="B433" s="304" t="n"/>
      <c r="C433" s="302" t="n">
        <v>200113</v>
      </c>
      <c r="D433" s="303" t="n">
        <v>21</v>
      </c>
      <c r="L433" s="305" t="n"/>
      <c r="P433" s="282" t="n"/>
      <c r="Q433" s="282" t="n"/>
      <c r="R433" s="282" t="n"/>
      <c r="T433" t="n">
        <v>0</v>
      </c>
    </row>
    <row r="434">
      <c r="A434" s="303" t="n"/>
      <c r="B434" s="304" t="n"/>
      <c r="C434" s="302" t="n"/>
      <c r="D434" s="303" t="n"/>
      <c r="L434" s="305" t="n"/>
      <c r="P434" s="282" t="n"/>
      <c r="Q434" s="282" t="n"/>
      <c r="R434" s="282" t="n"/>
      <c r="T434" t="n">
        <v>0</v>
      </c>
    </row>
    <row r="435">
      <c r="A435" s="303" t="n"/>
      <c r="B435" s="304" t="n"/>
      <c r="C435" s="302" t="n">
        <v>200703</v>
      </c>
      <c r="D435" s="303" t="n">
        <v>4.28</v>
      </c>
      <c r="L435" s="305" t="n"/>
      <c r="P435" s="282" t="n"/>
      <c r="Q435" s="282" t="n"/>
      <c r="R435" s="282" t="n"/>
      <c r="T435" t="n">
        <v>0</v>
      </c>
    </row>
    <row r="436">
      <c r="A436" s="303" t="n"/>
      <c r="B436" s="304" t="n"/>
      <c r="C436" s="302" t="n">
        <v>200704</v>
      </c>
      <c r="D436" s="303" t="n">
        <v>7.8</v>
      </c>
      <c r="L436" s="305" t="n"/>
      <c r="P436" s="282" t="n"/>
      <c r="Q436" s="282" t="n"/>
      <c r="R436" s="282" t="n"/>
      <c r="T436" t="n">
        <v>0</v>
      </c>
    </row>
    <row r="437">
      <c r="A437" s="303" t="n"/>
      <c r="B437" s="304" t="n"/>
      <c r="C437" s="302" t="n">
        <v>200705</v>
      </c>
      <c r="D437" s="303" t="n">
        <v>6.23</v>
      </c>
      <c r="L437" s="305" t="n"/>
      <c r="P437" s="282" t="n"/>
      <c r="Q437" s="282" t="n"/>
      <c r="R437" s="282" t="n"/>
      <c r="T437" t="n">
        <v>0</v>
      </c>
    </row>
    <row r="438">
      <c r="A438" s="303" t="n"/>
      <c r="B438" s="304" t="n"/>
      <c r="C438" s="302" t="n">
        <v>200706</v>
      </c>
      <c r="D438" s="303" t="n">
        <v>4.44</v>
      </c>
      <c r="L438" s="305" t="n"/>
      <c r="P438" s="282" t="n"/>
      <c r="Q438" s="282" t="n"/>
      <c r="R438" s="282" t="n"/>
      <c r="T438" t="n">
        <v>0</v>
      </c>
    </row>
    <row r="439">
      <c r="A439" s="303" t="n"/>
      <c r="B439" s="304" t="n"/>
      <c r="C439" s="302" t="n">
        <v>200707</v>
      </c>
      <c r="D439" s="303" t="n">
        <v>8.029999999999999</v>
      </c>
      <c r="L439" s="305" t="n"/>
      <c r="P439" s="282" t="n"/>
      <c r="Q439" s="282" t="n"/>
      <c r="R439" s="282" t="n"/>
      <c r="T439" t="n">
        <v>0</v>
      </c>
    </row>
    <row r="440">
      <c r="A440" s="303" t="n"/>
      <c r="B440" s="304" t="n"/>
      <c r="C440" s="302" t="n">
        <v>200708</v>
      </c>
      <c r="D440" s="303" t="n">
        <v>4.87</v>
      </c>
      <c r="L440" s="305" t="n"/>
      <c r="P440" s="282" t="n"/>
      <c r="Q440" s="282" t="n"/>
      <c r="R440" s="282" t="n"/>
      <c r="T440" t="n">
        <v>0</v>
      </c>
    </row>
    <row r="441">
      <c r="A441" s="303" t="n"/>
      <c r="B441" s="304" t="n"/>
      <c r="C441" s="302" t="n">
        <v>200709</v>
      </c>
      <c r="D441" s="303" t="n">
        <v>4.28</v>
      </c>
      <c r="L441" s="305" t="n"/>
      <c r="P441" s="282" t="n"/>
      <c r="Q441" s="282" t="n"/>
      <c r="R441" s="282" t="n"/>
      <c r="T441" t="n">
        <v>0</v>
      </c>
    </row>
    <row r="442">
      <c r="A442" s="303" t="n"/>
      <c r="B442" s="304" t="n"/>
      <c r="C442" s="302" t="n">
        <v>200710</v>
      </c>
      <c r="D442" s="303" t="n">
        <v>7.8</v>
      </c>
      <c r="L442" s="305" t="n"/>
      <c r="P442" s="282" t="n"/>
      <c r="Q442" s="282" t="n"/>
      <c r="R442" s="282" t="n"/>
      <c r="T442" t="n">
        <v>0</v>
      </c>
    </row>
    <row r="443">
      <c r="A443" s="303" t="n"/>
      <c r="B443" s="304" t="n"/>
      <c r="C443" s="302" t="n">
        <v>200711</v>
      </c>
      <c r="D443" s="303" t="n">
        <v>6.23</v>
      </c>
      <c r="L443" s="305" t="n"/>
      <c r="P443" s="282" t="n"/>
      <c r="Q443" s="282" t="n"/>
      <c r="R443" s="282" t="n"/>
      <c r="T443" t="n">
        <v>0</v>
      </c>
    </row>
    <row r="444">
      <c r="A444" s="303" t="n"/>
      <c r="B444" s="304" t="n"/>
      <c r="C444" s="302" t="n">
        <v>200712</v>
      </c>
      <c r="D444" s="303" t="n">
        <v>4.44</v>
      </c>
      <c r="L444" s="305" t="n"/>
      <c r="P444" s="282" t="n"/>
      <c r="Q444" s="282" t="n"/>
      <c r="R444" s="282" t="n"/>
      <c r="T444" t="n">
        <v>0</v>
      </c>
    </row>
    <row r="445">
      <c r="A445" s="303" t="n"/>
      <c r="B445" s="304" t="n"/>
      <c r="C445" s="302" t="n">
        <v>200713</v>
      </c>
      <c r="D445" s="303" t="n">
        <v>8.029999999999999</v>
      </c>
      <c r="L445" s="305" t="n"/>
      <c r="P445" s="282" t="n"/>
      <c r="Q445" s="282" t="n"/>
      <c r="R445" s="282" t="n"/>
      <c r="T445" t="n">
        <v>0</v>
      </c>
    </row>
    <row r="446">
      <c r="A446" s="303" t="n"/>
      <c r="B446" s="304" t="n"/>
      <c r="C446" s="302" t="n">
        <v>200714</v>
      </c>
      <c r="D446" s="303" t="n">
        <v>4.87</v>
      </c>
      <c r="L446" s="305" t="n"/>
      <c r="P446" s="282" t="n"/>
      <c r="Q446" s="282" t="n"/>
      <c r="R446" s="282" t="n"/>
      <c r="T446" t="n">
        <v>0</v>
      </c>
    </row>
    <row r="447">
      <c r="A447" s="303" t="n"/>
      <c r="B447" s="304" t="n"/>
      <c r="C447" s="302" t="n">
        <v>200715</v>
      </c>
      <c r="D447" s="303" t="n">
        <v>10.72</v>
      </c>
      <c r="L447" s="305" t="n"/>
      <c r="P447" s="282" t="n"/>
      <c r="Q447" s="282" t="n"/>
      <c r="R447" s="282" t="n"/>
      <c r="T447" t="n">
        <v>0</v>
      </c>
    </row>
    <row r="448">
      <c r="A448" s="303" t="n"/>
      <c r="B448" s="304" t="n"/>
      <c r="C448" s="302" t="n">
        <v>200716</v>
      </c>
      <c r="D448" s="303" t="n">
        <v>13.38</v>
      </c>
      <c r="L448" s="305" t="n"/>
      <c r="P448" s="282" t="n"/>
      <c r="Q448" s="282" t="n"/>
      <c r="R448" s="282" t="n"/>
      <c r="T448" t="n">
        <v>0</v>
      </c>
    </row>
    <row r="449">
      <c r="A449" s="303" t="n"/>
      <c r="B449" s="304" t="n"/>
      <c r="C449" s="302" t="n">
        <v>200717</v>
      </c>
      <c r="D449" s="303" t="n">
        <v>10.38</v>
      </c>
      <c r="L449" s="305" t="n"/>
      <c r="P449" s="282" t="n"/>
      <c r="Q449" s="282" t="n"/>
      <c r="R449" s="282" t="n"/>
      <c r="T449" t="n">
        <v>0</v>
      </c>
    </row>
    <row r="450">
      <c r="A450" s="303" t="n"/>
      <c r="B450" s="304" t="n"/>
      <c r="C450" s="302" t="n">
        <v>200718</v>
      </c>
      <c r="D450" s="303" t="n">
        <v>10.72</v>
      </c>
      <c r="L450" s="305" t="n"/>
      <c r="P450" s="282" t="n"/>
      <c r="Q450" s="282" t="n"/>
      <c r="R450" s="282" t="n"/>
      <c r="T450" t="n">
        <v>0</v>
      </c>
    </row>
    <row r="451">
      <c r="A451" s="303" t="n"/>
      <c r="B451" s="304" t="n"/>
      <c r="C451" s="302" t="n">
        <v>200721</v>
      </c>
      <c r="D451" s="303" t="n">
        <v>13.38</v>
      </c>
      <c r="L451" s="305" t="n"/>
      <c r="P451" s="282" t="n"/>
      <c r="Q451" s="282" t="n"/>
      <c r="R451" s="282" t="n"/>
      <c r="T451" t="n">
        <v>0</v>
      </c>
    </row>
    <row r="452">
      <c r="A452" s="303" t="n"/>
      <c r="B452" s="304" t="n"/>
      <c r="C452" s="302" t="n">
        <v>200722</v>
      </c>
      <c r="D452" s="303" t="n">
        <v>10.38</v>
      </c>
      <c r="L452" s="305" t="n"/>
      <c r="P452" s="282" t="n"/>
      <c r="Q452" s="282" t="n"/>
      <c r="R452" s="282" t="n"/>
      <c r="T452" t="n">
        <v>0</v>
      </c>
    </row>
    <row r="453">
      <c r="A453" s="303" t="n"/>
      <c r="B453" s="304" t="n"/>
      <c r="C453" s="302" t="n"/>
      <c r="D453" s="303" t="n"/>
      <c r="L453" s="305" t="n"/>
      <c r="P453" s="282" t="n"/>
      <c r="Q453" s="282" t="n"/>
      <c r="R453" s="282" t="n"/>
      <c r="T453" t="n">
        <v>0</v>
      </c>
    </row>
    <row r="454">
      <c r="A454" s="303" t="n"/>
      <c r="B454" s="304" t="n"/>
      <c r="C454" s="302" t="n">
        <v>200410</v>
      </c>
      <c r="D454" s="303" t="n">
        <v>10.5</v>
      </c>
      <c r="L454" s="305" t="n"/>
      <c r="P454" s="282" t="n"/>
      <c r="Q454" s="282" t="n"/>
      <c r="R454" s="282" t="n"/>
      <c r="T454" t="n">
        <v>0</v>
      </c>
    </row>
    <row r="455">
      <c r="A455" s="303" t="n"/>
      <c r="B455" s="304" t="n"/>
      <c r="C455" s="302" t="n">
        <v>200414</v>
      </c>
      <c r="D455" s="303" t="n">
        <v>16</v>
      </c>
      <c r="L455" s="305" t="n"/>
      <c r="P455" s="282" t="n"/>
      <c r="Q455" s="282" t="n"/>
      <c r="R455" s="282" t="n"/>
      <c r="T455" t="n">
        <v>0</v>
      </c>
    </row>
    <row r="456">
      <c r="A456" s="303" t="n"/>
      <c r="B456" s="304" t="n"/>
      <c r="C456" s="302" t="n">
        <v>200416</v>
      </c>
      <c r="D456" s="303" t="n">
        <v>15</v>
      </c>
      <c r="L456" s="305" t="n"/>
      <c r="P456" s="282" t="n"/>
      <c r="Q456" s="282" t="n"/>
      <c r="R456" s="282" t="n"/>
      <c r="T456" t="n">
        <v>0</v>
      </c>
    </row>
    <row r="457">
      <c r="A457" s="303" t="n"/>
      <c r="B457" s="304" t="n"/>
      <c r="C457" s="302" t="n">
        <v>200419</v>
      </c>
      <c r="D457" s="303" t="n">
        <v>5</v>
      </c>
      <c r="L457" s="305" t="n"/>
      <c r="P457" s="282" t="n"/>
      <c r="Q457" s="282" t="n"/>
      <c r="R457" s="282" t="n"/>
      <c r="T457" t="n">
        <v>0</v>
      </c>
    </row>
    <row r="458">
      <c r="A458" s="303" t="n"/>
      <c r="B458" s="304" t="n"/>
      <c r="C458" s="302" t="n">
        <v>200420</v>
      </c>
      <c r="D458" s="303" t="n">
        <v>15</v>
      </c>
      <c r="L458" s="305" t="n"/>
      <c r="P458" s="282" t="n"/>
      <c r="Q458" s="282" t="n"/>
      <c r="R458" s="282" t="n"/>
      <c r="T458" t="n">
        <v>0</v>
      </c>
    </row>
    <row r="459">
      <c r="A459" s="303" t="n"/>
      <c r="B459" s="304" t="n"/>
      <c r="C459" s="302" t="n">
        <v>200421</v>
      </c>
      <c r="D459" s="303" t="n">
        <v>7</v>
      </c>
      <c r="L459" s="305" t="n"/>
      <c r="P459" s="282" t="n"/>
      <c r="Q459" s="282" t="n"/>
      <c r="R459" s="282" t="n"/>
      <c r="T459" t="n">
        <v>0</v>
      </c>
    </row>
    <row r="460">
      <c r="A460" s="303" t="n"/>
      <c r="B460" s="304" t="n"/>
      <c r="C460" s="302" t="n">
        <v>200452</v>
      </c>
      <c r="D460" s="303" t="n">
        <v>6.2</v>
      </c>
      <c r="L460" s="305" t="n"/>
      <c r="P460" s="282" t="n"/>
      <c r="Q460" s="282" t="n"/>
      <c r="R460" s="282" t="n"/>
      <c r="T460" t="n">
        <v>0</v>
      </c>
    </row>
    <row r="461">
      <c r="A461" s="303" t="n"/>
      <c r="B461" s="304" t="n"/>
      <c r="C461" s="302" t="n">
        <v>200478</v>
      </c>
      <c r="D461" s="303" t="n">
        <v>16</v>
      </c>
      <c r="L461" s="305" t="n"/>
      <c r="P461" s="282" t="n"/>
      <c r="Q461" s="282" t="n"/>
      <c r="R461" s="282" t="n"/>
      <c r="T461" t="n">
        <v>0</v>
      </c>
    </row>
    <row r="462">
      <c r="A462" s="303" t="n"/>
      <c r="B462" s="304" t="n"/>
      <c r="C462" s="302" t="n">
        <v>200776</v>
      </c>
      <c r="D462" s="303" t="n">
        <v>16</v>
      </c>
      <c r="L462" s="305" t="n"/>
      <c r="P462" s="282" t="n"/>
      <c r="Q462" s="282" t="n"/>
      <c r="R462" s="282" t="n"/>
      <c r="T462" t="n">
        <v>0</v>
      </c>
    </row>
    <row r="463">
      <c r="A463" s="303" t="n"/>
      <c r="B463" s="304" t="n"/>
      <c r="C463" s="302" t="n">
        <v>200778</v>
      </c>
      <c r="D463" s="303" t="n">
        <v>8</v>
      </c>
      <c r="L463" s="305" t="n"/>
      <c r="P463" s="282" t="n"/>
      <c r="Q463" s="282" t="n"/>
      <c r="R463" s="282" t="n"/>
      <c r="T463" t="n">
        <v>0</v>
      </c>
    </row>
    <row r="464">
      <c r="A464" s="303" t="n"/>
      <c r="B464" s="304" t="n"/>
      <c r="C464" s="302" t="n">
        <v>200780</v>
      </c>
      <c r="D464" s="303" t="n">
        <v>6</v>
      </c>
      <c r="L464" s="305" t="n"/>
      <c r="P464" s="282" t="n"/>
      <c r="Q464" s="282" t="n"/>
      <c r="R464" s="282" t="n"/>
      <c r="T464" t="n">
        <v>0</v>
      </c>
    </row>
    <row r="465">
      <c r="A465" s="303" t="n"/>
      <c r="B465" s="304" t="n"/>
      <c r="C465" s="302" t="n">
        <v>200781</v>
      </c>
      <c r="D465" s="303" t="n">
        <v>8</v>
      </c>
      <c r="L465" s="305" t="n"/>
      <c r="P465" s="282" t="n"/>
      <c r="Q465" s="282" t="n"/>
      <c r="R465" s="282" t="n"/>
      <c r="T465" t="n">
        <v>0</v>
      </c>
    </row>
    <row r="466">
      <c r="A466" s="303" t="n"/>
      <c r="B466" s="304" t="n"/>
      <c r="C466" s="302" t="n">
        <v>200795</v>
      </c>
      <c r="D466" s="303" t="n">
        <v>6</v>
      </c>
      <c r="L466" s="305" t="n"/>
      <c r="P466" s="282" t="n"/>
      <c r="Q466" s="282" t="n"/>
      <c r="R466" s="282" t="n"/>
      <c r="T466" t="n">
        <v>0</v>
      </c>
    </row>
    <row r="467">
      <c r="A467" s="303" t="n"/>
      <c r="B467" s="304" t="n"/>
      <c r="C467" s="302" t="n">
        <v>200799</v>
      </c>
      <c r="D467" s="303" t="n">
        <v>8</v>
      </c>
      <c r="L467" s="305" t="n"/>
      <c r="P467" s="282" t="n"/>
      <c r="Q467" s="282" t="n"/>
      <c r="R467" s="282" t="n"/>
      <c r="T467" t="n">
        <v>0</v>
      </c>
    </row>
    <row r="468">
      <c r="A468" s="303" t="n"/>
      <c r="B468" s="304" t="n"/>
      <c r="C468" s="302" t="n">
        <v>207413</v>
      </c>
      <c r="D468" s="303" t="n">
        <v>10.5</v>
      </c>
      <c r="L468" s="305" t="n"/>
      <c r="P468" s="282" t="n"/>
      <c r="Q468" s="282" t="n"/>
      <c r="R468" s="282" t="n"/>
      <c r="T468" t="n">
        <v>0</v>
      </c>
    </row>
    <row r="469">
      <c r="A469" s="303" t="n"/>
      <c r="B469" s="304" t="n"/>
      <c r="C469" s="302" t="n">
        <v>207414</v>
      </c>
      <c r="D469" s="303" t="n">
        <v>10.5</v>
      </c>
      <c r="L469" s="305" t="n"/>
      <c r="P469" s="282" t="n"/>
      <c r="Q469" s="282" t="n"/>
      <c r="R469" s="282" t="n"/>
      <c r="T469" t="n">
        <v>0</v>
      </c>
    </row>
    <row r="470">
      <c r="A470" s="303" t="n"/>
      <c r="B470" s="304" t="n"/>
      <c r="C470" s="302" t="n">
        <v>207415</v>
      </c>
      <c r="D470" s="303" t="n">
        <v>12</v>
      </c>
      <c r="L470" s="305" t="n"/>
      <c r="P470" s="282" t="n"/>
      <c r="Q470" s="282" t="n"/>
      <c r="R470" s="282" t="n"/>
      <c r="T470" t="n">
        <v>0</v>
      </c>
    </row>
    <row r="471">
      <c r="A471" s="303" t="n"/>
      <c r="B471" s="304" t="n"/>
      <c r="C471" s="302" t="n">
        <v>207416</v>
      </c>
      <c r="D471" s="303" t="n">
        <v>12</v>
      </c>
      <c r="L471" s="305" t="n"/>
      <c r="P471" s="282" t="n"/>
      <c r="Q471" s="282" t="n"/>
      <c r="R471" s="282" t="n"/>
      <c r="T471" t="n">
        <v>0</v>
      </c>
    </row>
    <row r="472">
      <c r="A472" s="303" t="n"/>
      <c r="B472" s="304" t="n"/>
      <c r="C472" s="302" t="n">
        <v>207423</v>
      </c>
      <c r="D472" s="303" t="n">
        <v>10</v>
      </c>
      <c r="L472" s="305" t="n"/>
      <c r="P472" s="282" t="n"/>
      <c r="Q472" s="282" t="n"/>
      <c r="R472" s="282" t="n"/>
      <c r="T472" t="n">
        <v>0</v>
      </c>
    </row>
    <row r="473">
      <c r="A473" s="303" t="n"/>
      <c r="B473" s="304" t="n"/>
      <c r="C473" s="302" t="n">
        <v>207425</v>
      </c>
      <c r="D473" s="303" t="n">
        <v>16</v>
      </c>
      <c r="L473" s="305" t="n"/>
      <c r="P473" s="282" t="n"/>
      <c r="Q473" s="282" t="n"/>
      <c r="R473" s="282" t="n"/>
      <c r="T473" t="n">
        <v>0</v>
      </c>
    </row>
    <row r="474">
      <c r="A474" s="303" t="n"/>
      <c r="B474" s="304" t="n"/>
      <c r="C474" s="302" t="n">
        <v>207426</v>
      </c>
      <c r="D474" s="303" t="n">
        <v>12</v>
      </c>
      <c r="L474" s="305" t="n"/>
      <c r="P474" s="282" t="n"/>
      <c r="Q474" s="282" t="n"/>
      <c r="R474" s="282" t="n"/>
      <c r="T474" t="n">
        <v>0</v>
      </c>
    </row>
    <row r="475">
      <c r="A475" s="303" t="n"/>
      <c r="B475" s="304" t="n"/>
      <c r="C475" s="302" t="n">
        <v>207430</v>
      </c>
      <c r="D475" s="303" t="n">
        <v>10</v>
      </c>
      <c r="L475" s="305" t="n"/>
      <c r="P475" s="282" t="n"/>
      <c r="Q475" s="282" t="n"/>
      <c r="R475" s="282" t="n"/>
      <c r="T475" t="n">
        <v>0</v>
      </c>
    </row>
    <row r="476">
      <c r="A476" s="303" t="n"/>
      <c r="B476" s="304" t="n"/>
      <c r="C476" s="302" t="n">
        <v>207432</v>
      </c>
      <c r="D476" s="303" t="n">
        <v>16</v>
      </c>
      <c r="L476" s="305" t="n"/>
      <c r="P476" s="282" t="n"/>
      <c r="Q476" s="282" t="n"/>
      <c r="R476" s="282" t="n"/>
      <c r="T476" t="n">
        <v>0</v>
      </c>
    </row>
    <row r="477">
      <c r="A477" s="303" t="n"/>
      <c r="B477" s="304" t="n"/>
      <c r="C477" s="302" t="n">
        <v>207433</v>
      </c>
      <c r="D477" s="303" t="n">
        <v>12</v>
      </c>
      <c r="L477" s="305" t="n"/>
      <c r="P477" s="282" t="n"/>
      <c r="Q477" s="282" t="n"/>
      <c r="R477" s="282" t="n"/>
      <c r="T477" t="n">
        <v>0</v>
      </c>
    </row>
    <row r="478">
      <c r="A478" s="303" t="n"/>
      <c r="B478" s="304" t="n"/>
      <c r="C478" s="302" t="n">
        <v>207519</v>
      </c>
      <c r="D478" s="303" t="n">
        <v>8</v>
      </c>
      <c r="L478" s="305" t="n"/>
      <c r="P478" s="282" t="n"/>
      <c r="Q478" s="282" t="n"/>
      <c r="R478" s="282" t="n"/>
      <c r="T478" t="n">
        <v>0</v>
      </c>
    </row>
    <row r="479">
      <c r="A479" s="303" t="n"/>
      <c r="B479" s="304" t="n"/>
      <c r="C479" s="302" t="n">
        <v>207537</v>
      </c>
      <c r="D479" s="303" t="n">
        <v>10</v>
      </c>
      <c r="L479" s="305" t="n"/>
      <c r="P479" s="282" t="n"/>
      <c r="Q479" s="282" t="n"/>
      <c r="R479" s="282" t="n"/>
      <c r="T479" t="n">
        <v>0</v>
      </c>
    </row>
    <row r="480">
      <c r="A480" s="303" t="n"/>
      <c r="B480" s="304" t="n"/>
      <c r="C480" s="302" t="n">
        <v>207539</v>
      </c>
      <c r="D480" s="303" t="n">
        <v>16</v>
      </c>
      <c r="L480" s="305" t="n"/>
      <c r="P480" s="282" t="n"/>
      <c r="Q480" s="282" t="n"/>
      <c r="R480" s="282" t="n"/>
      <c r="T480" t="n">
        <v>0</v>
      </c>
    </row>
    <row r="481">
      <c r="A481" s="303" t="n"/>
      <c r="B481" s="304" t="n"/>
      <c r="C481" s="302" t="n">
        <v>207595</v>
      </c>
      <c r="D481" s="303" t="n">
        <v>12</v>
      </c>
      <c r="L481" s="305" t="n"/>
      <c r="P481" s="282" t="n"/>
      <c r="Q481" s="282" t="n"/>
      <c r="R481" s="282" t="n"/>
      <c r="T481" t="n">
        <v>0</v>
      </c>
    </row>
    <row r="482">
      <c r="A482" s="303" t="n"/>
      <c r="B482" s="304" t="n"/>
      <c r="C482" s="302" t="n">
        <v>207930</v>
      </c>
      <c r="D482" s="303" t="n">
        <v>12.9</v>
      </c>
      <c r="L482" s="305" t="n"/>
      <c r="P482" s="282" t="n"/>
      <c r="Q482" s="282" t="n"/>
      <c r="R482" s="282" t="n"/>
      <c r="T482" t="n">
        <v>0</v>
      </c>
    </row>
    <row r="483">
      <c r="A483" s="303" t="n"/>
      <c r="B483" s="304" t="n"/>
      <c r="C483" s="302" t="n">
        <v>207932</v>
      </c>
      <c r="D483" s="303" t="n">
        <v>12.1</v>
      </c>
      <c r="L483" s="305" t="n"/>
      <c r="P483" s="282" t="n"/>
      <c r="Q483" s="282" t="n"/>
      <c r="R483" s="282" t="n"/>
      <c r="T483" t="n">
        <v>0</v>
      </c>
    </row>
    <row r="484">
      <c r="A484" s="303" t="n"/>
      <c r="B484" s="304" t="n"/>
      <c r="C484" s="302" t="n">
        <v>207976</v>
      </c>
      <c r="D484" s="303" t="n">
        <v>12</v>
      </c>
      <c r="L484" s="305" t="n"/>
      <c r="P484" s="282" t="n"/>
      <c r="Q484" s="282" t="n"/>
      <c r="R484" s="282" t="n"/>
      <c r="T484" t="n">
        <v>0</v>
      </c>
    </row>
    <row r="485">
      <c r="A485" s="303" t="n"/>
      <c r="B485" s="304" t="n"/>
      <c r="C485" s="302" t="n">
        <v>207977</v>
      </c>
      <c r="D485" s="303" t="n">
        <v>8.800000000000001</v>
      </c>
      <c r="L485" s="305" t="n"/>
      <c r="P485" s="282" t="n"/>
      <c r="Q485" s="282" t="n"/>
      <c r="R485" s="282" t="n"/>
      <c r="T485" t="n">
        <v>0</v>
      </c>
    </row>
    <row r="486">
      <c r="A486" s="303" t="n"/>
      <c r="B486" s="304" t="n"/>
      <c r="C486" s="302" t="n">
        <v>1878</v>
      </c>
      <c r="D486" s="303" t="n">
        <v>16</v>
      </c>
      <c r="L486" s="305" t="n"/>
      <c r="P486" s="282" t="n"/>
      <c r="Q486" s="282" t="n"/>
      <c r="R486" s="282" t="n"/>
      <c r="T486" t="n">
        <v>0</v>
      </c>
    </row>
    <row r="487">
      <c r="A487" s="303" t="n"/>
      <c r="B487" s="304" t="n"/>
      <c r="C487" s="302" t="n">
        <v>201501</v>
      </c>
      <c r="D487" s="303" t="n">
        <v>11</v>
      </c>
      <c r="L487" s="305" t="n"/>
      <c r="P487" s="282" t="n"/>
      <c r="Q487" s="282" t="n"/>
      <c r="R487" s="282" t="n"/>
      <c r="T487" t="n">
        <v>0</v>
      </c>
    </row>
    <row r="488">
      <c r="A488" s="303" t="n"/>
      <c r="B488" s="304" t="n"/>
      <c r="C488" s="302" t="n">
        <v>201502</v>
      </c>
      <c r="D488" s="303" t="n">
        <v>11</v>
      </c>
      <c r="L488" s="305" t="n"/>
      <c r="P488" s="282" t="n"/>
      <c r="Q488" s="282" t="n"/>
      <c r="R488" s="282" t="n"/>
      <c r="T488" t="n">
        <v>0</v>
      </c>
    </row>
    <row r="489">
      <c r="A489" s="303" t="n"/>
      <c r="B489" s="304" t="n"/>
      <c r="C489" s="302" t="n">
        <v>1588</v>
      </c>
      <c r="D489" s="303" t="n">
        <v>9.6</v>
      </c>
      <c r="L489" s="305" t="n"/>
      <c r="P489" s="282" t="n"/>
      <c r="Q489" s="282" t="n"/>
      <c r="R489" s="282" t="n"/>
      <c r="T489" t="n">
        <v>0</v>
      </c>
    </row>
    <row r="490">
      <c r="A490" s="303" t="n"/>
      <c r="B490" s="304" t="n"/>
      <c r="C490" s="302" t="n">
        <v>1589</v>
      </c>
      <c r="D490" s="303" t="n">
        <v>8.800000000000001</v>
      </c>
      <c r="L490" s="305" t="n"/>
      <c r="P490" s="282" t="n"/>
      <c r="Q490" s="282" t="n"/>
      <c r="R490" s="282" t="n"/>
      <c r="T490" t="n">
        <v>0</v>
      </c>
    </row>
    <row r="491">
      <c r="A491" s="303" t="n"/>
      <c r="B491" s="304" t="n"/>
      <c r="C491" s="302" t="n">
        <v>7978</v>
      </c>
      <c r="D491" s="303" t="n">
        <v>14</v>
      </c>
      <c r="L491" s="305" t="n"/>
      <c r="P491" s="282" t="n"/>
      <c r="Q491" s="282" t="n"/>
      <c r="R491" s="282" t="n"/>
      <c r="T491" t="n">
        <v>0</v>
      </c>
    </row>
    <row r="492">
      <c r="A492" s="303" t="n"/>
      <c r="B492" s="304" t="n"/>
      <c r="C492" s="302" t="n">
        <v>7979</v>
      </c>
      <c r="D492" s="303" t="n">
        <v>8.1</v>
      </c>
      <c r="L492" s="305" t="n"/>
      <c r="P492" s="282" t="n"/>
      <c r="Q492" s="282" t="n"/>
      <c r="R492" s="282" t="n"/>
      <c r="T492" t="n">
        <v>0</v>
      </c>
    </row>
    <row r="493">
      <c r="A493" s="303" t="n"/>
      <c r="B493" s="304" t="n"/>
      <c r="C493" s="302" t="n">
        <v>1881</v>
      </c>
      <c r="D493" s="303" t="n">
        <v>13</v>
      </c>
      <c r="L493" s="305" t="n"/>
      <c r="P493" s="282" t="n"/>
      <c r="Q493" s="282" t="n"/>
      <c r="R493" s="282" t="n"/>
      <c r="T493" t="n">
        <v>0</v>
      </c>
    </row>
    <row r="494">
      <c r="A494" s="303" t="n"/>
      <c r="B494" s="304" t="n"/>
      <c r="C494" s="302" t="n">
        <v>1846</v>
      </c>
      <c r="D494" s="303" t="n">
        <v>9.960000000000001</v>
      </c>
      <c r="L494" s="305" t="n"/>
      <c r="P494" s="282" t="n"/>
      <c r="Q494" s="282" t="n"/>
      <c r="R494" s="282" t="n"/>
      <c r="T494" t="n">
        <v>0</v>
      </c>
    </row>
    <row r="495">
      <c r="A495" s="303" t="n"/>
      <c r="B495" s="304" t="n"/>
      <c r="C495" s="302" t="n">
        <v>1847</v>
      </c>
      <c r="D495" s="303" t="n">
        <v>10.06</v>
      </c>
      <c r="L495" s="305" t="n"/>
      <c r="P495" s="282" t="n"/>
      <c r="Q495" s="282" t="n"/>
      <c r="R495" s="282" t="n"/>
      <c r="T495" t="n">
        <v>0</v>
      </c>
    </row>
    <row r="496">
      <c r="A496" s="303" t="n"/>
      <c r="B496" s="304" t="n"/>
      <c r="C496" s="302" t="n">
        <v>1882</v>
      </c>
      <c r="D496" s="303" t="n">
        <v>13</v>
      </c>
      <c r="L496" s="305" t="n"/>
      <c r="P496" s="282" t="n"/>
      <c r="Q496" s="282" t="n"/>
      <c r="R496" s="282" t="n"/>
      <c r="T496" t="n">
        <v>0</v>
      </c>
    </row>
    <row r="497">
      <c r="A497" s="303" t="n"/>
      <c r="B497" s="304" t="n"/>
      <c r="C497" s="302" t="n">
        <v>1883</v>
      </c>
      <c r="D497" s="303" t="n">
        <v>13</v>
      </c>
      <c r="L497" s="305" t="n"/>
      <c r="P497" s="282" t="n"/>
      <c r="Q497" s="282" t="n"/>
      <c r="R497" s="282" t="n"/>
      <c r="T497" t="n">
        <v>0</v>
      </c>
    </row>
    <row r="498">
      <c r="A498" s="303" t="n"/>
      <c r="B498" s="304" t="n"/>
      <c r="C498" s="302" t="n">
        <v>1884</v>
      </c>
      <c r="D498" s="303" t="n">
        <v>7.68</v>
      </c>
      <c r="L498" s="305" t="n"/>
      <c r="P498" s="282" t="n"/>
      <c r="Q498" s="282" t="n"/>
      <c r="R498" s="282" t="n"/>
      <c r="T498" t="n">
        <v>0</v>
      </c>
    </row>
    <row r="499">
      <c r="A499" s="303" t="n"/>
      <c r="B499" s="304" t="n"/>
      <c r="C499" s="302" t="n">
        <v>1885</v>
      </c>
      <c r="D499" s="303" t="n">
        <v>15</v>
      </c>
      <c r="L499" s="305" t="n"/>
      <c r="P499" s="282" t="n"/>
      <c r="Q499" s="282" t="n"/>
      <c r="R499" s="282" t="n"/>
      <c r="T499" t="n">
        <v>0</v>
      </c>
    </row>
    <row r="500">
      <c r="A500" s="303" t="n"/>
      <c r="B500" s="304" t="n"/>
      <c r="C500" s="302" t="n">
        <v>1886</v>
      </c>
      <c r="D500" s="303" t="n">
        <v>10</v>
      </c>
      <c r="L500" s="305" t="n"/>
      <c r="P500" s="282" t="n"/>
      <c r="Q500" s="282" t="n"/>
      <c r="R500" s="282" t="n"/>
      <c r="T500" t="n">
        <v>0</v>
      </c>
    </row>
    <row r="501">
      <c r="A501" s="303" t="n"/>
      <c r="B501" s="304" t="n"/>
      <c r="C501" s="302" t="n">
        <v>1890</v>
      </c>
      <c r="D501" s="303" t="n">
        <v>9.5</v>
      </c>
      <c r="L501" s="305" t="n"/>
      <c r="P501" s="282" t="n"/>
      <c r="Q501" s="282" t="n"/>
      <c r="R501" s="282" t="n"/>
      <c r="T501" t="n">
        <v>0</v>
      </c>
    </row>
    <row r="502">
      <c r="A502" s="303" t="n"/>
      <c r="B502" s="304" t="n"/>
      <c r="C502" s="302" t="n">
        <v>1891</v>
      </c>
      <c r="D502" s="303" t="n">
        <v>6.9</v>
      </c>
      <c r="L502" s="305" t="n"/>
      <c r="P502" s="282" t="n"/>
      <c r="Q502" s="282" t="n"/>
      <c r="R502" s="282" t="n"/>
      <c r="T502" t="n">
        <v>0</v>
      </c>
    </row>
    <row r="503">
      <c r="A503" s="303" t="n"/>
      <c r="B503" s="304" t="n"/>
      <c r="C503" s="302" t="n">
        <v>1892</v>
      </c>
      <c r="D503" s="303" t="n">
        <v>12.5</v>
      </c>
      <c r="L503" s="305" t="n"/>
      <c r="P503" s="282" t="n"/>
      <c r="Q503" s="282" t="n"/>
      <c r="R503" s="282" t="n"/>
      <c r="T503" t="n">
        <v>0</v>
      </c>
    </row>
    <row r="504">
      <c r="A504" s="303" t="n"/>
      <c r="B504" s="304" t="n"/>
      <c r="C504" s="302" t="n">
        <v>1893</v>
      </c>
      <c r="D504" s="303" t="n">
        <v>12.4</v>
      </c>
      <c r="L504" s="305" t="n"/>
      <c r="P504" s="282" t="n"/>
      <c r="Q504" s="282" t="n"/>
      <c r="R504" s="282" t="n"/>
      <c r="T504" t="n">
        <v>0</v>
      </c>
    </row>
    <row r="505">
      <c r="A505" s="303" t="n"/>
      <c r="B505" s="304" t="n"/>
      <c r="C505" s="302" t="n">
        <v>1895</v>
      </c>
      <c r="D505" s="303" t="n">
        <v>10</v>
      </c>
      <c r="L505" s="305" t="n"/>
      <c r="P505" s="282" t="n"/>
      <c r="Q505" s="282" t="n"/>
      <c r="R505" s="282" t="n"/>
      <c r="T505" t="n">
        <v>0</v>
      </c>
    </row>
    <row r="506">
      <c r="A506" s="303" t="n"/>
      <c r="B506" s="304" t="n"/>
      <c r="C506" s="302" t="n">
        <v>1860</v>
      </c>
      <c r="D506" s="303" t="n">
        <v>8.800000000000001</v>
      </c>
      <c r="L506" s="305" t="n"/>
      <c r="P506" s="282" t="n"/>
      <c r="Q506" s="282" t="n"/>
      <c r="R506" s="282" t="n"/>
      <c r="T506" t="n">
        <v>0</v>
      </c>
    </row>
    <row r="507">
      <c r="A507" s="303" t="n"/>
      <c r="B507" s="304" t="n"/>
      <c r="C507" s="302" t="n">
        <v>1861</v>
      </c>
      <c r="D507" s="303" t="n">
        <v>14</v>
      </c>
      <c r="L507" s="305" t="n"/>
      <c r="P507" s="282" t="n"/>
      <c r="Q507" s="282" t="n"/>
      <c r="R507" s="282" t="n"/>
      <c r="T507" t="n">
        <v>0</v>
      </c>
    </row>
    <row r="508">
      <c r="A508" s="303" t="n"/>
      <c r="B508" s="304" t="n"/>
      <c r="C508" s="302" t="n">
        <v>1862</v>
      </c>
      <c r="D508" s="303" t="n">
        <v>10.2</v>
      </c>
      <c r="L508" s="305" t="n"/>
      <c r="P508" s="282" t="n"/>
      <c r="Q508" s="282" t="n"/>
      <c r="R508" s="282" t="n"/>
      <c r="T508" t="n">
        <v>0</v>
      </c>
    </row>
    <row r="509">
      <c r="A509" s="303" t="n"/>
      <c r="B509" s="304" t="n"/>
      <c r="C509" s="302" t="n">
        <v>1863</v>
      </c>
      <c r="D509" s="303" t="n">
        <v>8.800000000000001</v>
      </c>
      <c r="L509" s="305" t="n"/>
      <c r="P509" s="282" t="n"/>
      <c r="Q509" s="282" t="n"/>
      <c r="R509" s="282" t="n"/>
      <c r="T509" t="n">
        <v>0</v>
      </c>
    </row>
    <row r="510">
      <c r="A510" s="303" t="n"/>
      <c r="B510" s="304" t="n"/>
      <c r="C510" s="302" t="n">
        <v>1864</v>
      </c>
      <c r="D510" s="303" t="n">
        <v>12</v>
      </c>
      <c r="L510" s="305" t="n"/>
      <c r="P510" s="282" t="n"/>
      <c r="Q510" s="282" t="n"/>
      <c r="R510" s="282" t="n"/>
      <c r="T510" t="n">
        <v>0</v>
      </c>
    </row>
    <row r="511">
      <c r="A511" s="303" t="n"/>
      <c r="B511" s="304" t="n"/>
      <c r="C511" s="302" t="n">
        <v>1896</v>
      </c>
      <c r="D511" s="303" t="n">
        <v>19.8</v>
      </c>
      <c r="L511" s="305" t="n"/>
      <c r="P511" s="282" t="n"/>
      <c r="Q511" s="282" t="n"/>
      <c r="R511" s="282" t="n"/>
      <c r="T511" t="n">
        <v>0</v>
      </c>
    </row>
    <row r="512">
      <c r="A512" s="303" t="n"/>
      <c r="B512" s="304" t="n"/>
      <c r="C512" s="302" t="n">
        <v>1897</v>
      </c>
      <c r="D512" s="303" t="n">
        <v>18</v>
      </c>
      <c r="L512" s="305" t="n"/>
      <c r="P512" s="282" t="n"/>
      <c r="Q512" s="282" t="n"/>
      <c r="R512" s="282" t="n"/>
      <c r="T512" t="n">
        <v>0</v>
      </c>
    </row>
    <row r="513">
      <c r="A513" s="303" t="n"/>
      <c r="B513" s="304" t="n"/>
      <c r="C513" s="302" t="n">
        <v>1898</v>
      </c>
      <c r="D513" s="303" t="n">
        <v>6</v>
      </c>
      <c r="L513" s="305" t="n"/>
      <c r="P513" s="282" t="n"/>
      <c r="Q513" s="282" t="n"/>
      <c r="R513" s="282" t="n"/>
      <c r="T513" t="n">
        <v>0</v>
      </c>
    </row>
    <row r="514">
      <c r="A514" s="303" t="n"/>
      <c r="B514" s="304" t="n"/>
      <c r="C514" s="302" t="n">
        <v>7224</v>
      </c>
      <c r="D514" s="303" t="n">
        <v>12</v>
      </c>
      <c r="L514" s="305" t="n"/>
      <c r="P514" s="282" t="n"/>
      <c r="Q514" s="282" t="n"/>
      <c r="R514" s="282" t="n"/>
      <c r="T514" t="n">
        <v>0</v>
      </c>
    </row>
    <row r="515">
      <c r="A515" s="303" t="n"/>
      <c r="B515" s="304" t="n"/>
      <c r="C515" s="302" t="n">
        <v>1523</v>
      </c>
      <c r="D515" s="303" t="n">
        <v>15</v>
      </c>
      <c r="L515" s="305" t="n"/>
      <c r="P515" s="282" t="n"/>
      <c r="Q515" s="282" t="n"/>
      <c r="R515" s="282" t="n"/>
      <c r="T515" t="n">
        <v>0</v>
      </c>
    </row>
    <row r="516">
      <c r="A516" s="303" t="n"/>
      <c r="B516" s="304" t="n"/>
      <c r="C516" s="302" t="n">
        <v>7251</v>
      </c>
      <c r="D516" s="303" t="n">
        <v>9.24</v>
      </c>
      <c r="L516" s="305" t="n"/>
      <c r="P516" s="282" t="n"/>
      <c r="Q516" s="282" t="n"/>
      <c r="R516" s="282" t="n"/>
      <c r="T516" t="n">
        <v>0</v>
      </c>
    </row>
    <row r="517">
      <c r="A517" s="303" t="n"/>
      <c r="B517" s="304" t="n"/>
      <c r="C517" s="302" t="n">
        <v>7252</v>
      </c>
      <c r="D517" s="303" t="n">
        <v>10.56</v>
      </c>
      <c r="L517" s="305" t="n"/>
      <c r="P517" s="282" t="n"/>
      <c r="Q517" s="282" t="n"/>
      <c r="R517" s="282" t="n"/>
      <c r="T517" t="n">
        <v>0</v>
      </c>
    </row>
    <row r="518">
      <c r="A518" s="303" t="n"/>
      <c r="B518" s="304" t="n"/>
      <c r="C518" s="302" t="n">
        <v>7091</v>
      </c>
      <c r="D518" s="303" t="n">
        <v>11.75</v>
      </c>
      <c r="L518" s="305" t="n"/>
      <c r="P518" s="282" t="n"/>
      <c r="Q518" s="282" t="n"/>
      <c r="R518" s="282" t="n"/>
      <c r="T518" t="n">
        <v>0</v>
      </c>
    </row>
    <row r="519">
      <c r="A519" s="303" t="n"/>
      <c r="B519" s="304" t="n"/>
      <c r="C519" s="302" t="n">
        <v>7823</v>
      </c>
      <c r="D519" s="303" t="n">
        <v>7.073</v>
      </c>
      <c r="L519" s="305" t="n"/>
      <c r="P519" s="282" t="n"/>
      <c r="Q519" s="282" t="n"/>
      <c r="R519" s="282" t="n"/>
      <c r="T519" t="n">
        <v>0</v>
      </c>
    </row>
    <row r="520">
      <c r="A520" s="303" t="n"/>
      <c r="B520" s="304" t="n"/>
      <c r="C520" s="302" t="n">
        <v>7824</v>
      </c>
      <c r="D520" s="303" t="n">
        <v>6.776000000000001</v>
      </c>
      <c r="L520" s="305" t="n"/>
      <c r="P520" s="282" t="n"/>
      <c r="Q520" s="282" t="n"/>
      <c r="R520" s="282" t="n"/>
      <c r="T520" t="n">
        <v>0</v>
      </c>
    </row>
    <row r="521">
      <c r="A521" s="303" t="n"/>
      <c r="B521" s="304" t="n"/>
      <c r="C521" s="302" t="n">
        <v>7825</v>
      </c>
      <c r="D521" s="303" t="n">
        <v>7.040000000000001</v>
      </c>
      <c r="T521" t="n">
        <v>0</v>
      </c>
    </row>
    <row r="522">
      <c r="A522" s="303" t="n"/>
      <c r="B522" s="304" t="n"/>
      <c r="C522" s="302" t="n">
        <v>7826</v>
      </c>
      <c r="D522" s="303" t="n">
        <v>9.053000000000001</v>
      </c>
      <c r="T522" t="n">
        <v>0</v>
      </c>
    </row>
    <row r="523">
      <c r="A523" s="303" t="n"/>
      <c r="B523" s="304" t="n"/>
      <c r="C523" s="302" t="n">
        <v>7827</v>
      </c>
      <c r="D523" s="303" t="n">
        <v>14.069</v>
      </c>
      <c r="T523" t="n">
        <v>0</v>
      </c>
    </row>
    <row r="524">
      <c r="A524" s="303" t="n"/>
      <c r="B524" s="304" t="n"/>
      <c r="C524" s="302" t="n">
        <v>7828</v>
      </c>
      <c r="D524" s="303" t="n">
        <v>4.994000000000001</v>
      </c>
      <c r="T524" t="n">
        <v>0</v>
      </c>
    </row>
    <row r="525">
      <c r="A525" s="303" t="n"/>
      <c r="B525" s="304" t="n"/>
      <c r="C525" s="302" t="n">
        <v>7829</v>
      </c>
      <c r="D525" s="303" t="n">
        <v>4.95</v>
      </c>
      <c r="T525" t="n">
        <v>0</v>
      </c>
    </row>
    <row r="526">
      <c r="A526" s="303" t="n"/>
      <c r="B526" s="304" t="n"/>
      <c r="C526" s="302" t="n">
        <v>7830</v>
      </c>
      <c r="D526" s="303" t="n">
        <v>6.325</v>
      </c>
    </row>
    <row r="527">
      <c r="A527" s="303" t="n"/>
      <c r="B527" s="304" t="n"/>
      <c r="C527" s="302" t="n">
        <v>7831</v>
      </c>
      <c r="D527" s="303" t="n">
        <v>9.9</v>
      </c>
    </row>
    <row r="528">
      <c r="A528" s="303" t="n"/>
      <c r="B528" s="304" t="n"/>
      <c r="C528" s="302" t="n">
        <v>7833</v>
      </c>
      <c r="D528" s="303" t="n">
        <v>6.600000000000001</v>
      </c>
    </row>
    <row r="529">
      <c r="A529" s="303" t="n"/>
      <c r="B529" s="304" t="n"/>
      <c r="C529" s="302" t="n">
        <v>200724</v>
      </c>
      <c r="D529" s="303" t="n">
        <v>0.081</v>
      </c>
    </row>
    <row r="530">
      <c r="A530" s="303" t="n"/>
      <c r="B530" s="304" t="n"/>
      <c r="C530" s="302" t="n">
        <v>2067</v>
      </c>
      <c r="D530" s="303" t="n">
        <v>0.156</v>
      </c>
    </row>
    <row r="531">
      <c r="A531" s="303" t="n"/>
      <c r="B531" s="304" t="n"/>
      <c r="C531" s="302" t="n">
        <v>2068</v>
      </c>
      <c r="D531" s="303" t="n">
        <v>0.05</v>
      </c>
    </row>
    <row r="532">
      <c r="A532" s="303" t="n"/>
      <c r="B532" s="304" t="n"/>
      <c r="C532" s="221" t="n">
        <v>2512</v>
      </c>
    </row>
    <row r="533">
      <c r="A533" s="303" t="n"/>
      <c r="B533" s="304" t="n"/>
    </row>
    <row r="534">
      <c r="A534" s="303" t="n"/>
      <c r="B534" s="304" t="n"/>
    </row>
    <row r="535">
      <c r="A535" s="303" t="n"/>
      <c r="B535" s="304" t="n"/>
    </row>
    <row r="536">
      <c r="A536" s="303" t="n"/>
      <c r="B536" s="304" t="n"/>
    </row>
    <row r="537">
      <c r="A537" s="303" t="n"/>
      <c r="B537" s="304" t="n"/>
    </row>
    <row r="538">
      <c r="A538" s="303" t="n"/>
      <c r="B538" s="304" t="n"/>
    </row>
    <row r="539">
      <c r="A539" s="303" t="n"/>
      <c r="B539" s="304" t="n"/>
    </row>
    <row r="540">
      <c r="A540" s="303" t="n"/>
      <c r="B540" s="304" t="n"/>
    </row>
    <row r="541">
      <c r="A541" s="303" t="n"/>
      <c r="B541" s="304" t="n"/>
    </row>
    <row r="542">
      <c r="A542" s="303" t="n"/>
      <c r="B542" s="304" t="n"/>
    </row>
    <row r="543">
      <c r="A543" s="303" t="n"/>
      <c r="B543" s="304" t="n"/>
    </row>
    <row r="544">
      <c r="A544" s="303" t="n"/>
      <c r="B544" s="304" t="n"/>
    </row>
    <row r="545">
      <c r="A545" s="303" t="n"/>
      <c r="B545" s="304" t="n"/>
    </row>
    <row r="546">
      <c r="A546" s="303" t="n"/>
      <c r="B546" s="304" t="n"/>
    </row>
    <row r="547">
      <c r="A547" s="303" t="n"/>
      <c r="B547" s="304" t="n"/>
    </row>
    <row r="548">
      <c r="A548" s="303" t="n"/>
      <c r="B548" s="304" t="n"/>
    </row>
    <row r="549">
      <c r="A549" s="303" t="n"/>
      <c r="B549" s="304" t="n"/>
    </row>
    <row r="550">
      <c r="A550" s="303" t="n"/>
      <c r="B550" s="304" t="n"/>
    </row>
    <row r="551">
      <c r="A551" s="303" t="n"/>
      <c r="B551" s="304" t="n"/>
    </row>
    <row r="552">
      <c r="A552" s="303" t="n"/>
      <c r="B552" s="304" t="n"/>
    </row>
    <row r="553">
      <c r="A553" s="303" t="n"/>
      <c r="B553" s="304" t="n"/>
    </row>
    <row r="554">
      <c r="A554" s="303" t="n"/>
      <c r="B554" s="304" t="n"/>
    </row>
    <row r="555">
      <c r="A555" s="303" t="n"/>
      <c r="B555" s="304" t="n"/>
    </row>
    <row r="556">
      <c r="A556" s="303" t="n"/>
      <c r="B556" s="304" t="n"/>
    </row>
    <row r="557">
      <c r="A557" s="303" t="n"/>
      <c r="B557" s="304" t="n"/>
    </row>
    <row r="558">
      <c r="A558" s="303" t="n"/>
      <c r="B558" s="304" t="n"/>
    </row>
    <row r="559">
      <c r="A559" s="303" t="n"/>
      <c r="B559" s="304" t="n"/>
    </row>
    <row r="560">
      <c r="A560" s="303" t="n"/>
      <c r="B560" s="304" t="n"/>
    </row>
    <row r="561">
      <c r="A561" s="303" t="n"/>
      <c r="B561" s="304" t="n"/>
    </row>
    <row r="562">
      <c r="A562" s="303" t="n"/>
      <c r="B562" s="304" t="n"/>
    </row>
    <row r="563">
      <c r="A563" s="303" t="n"/>
      <c r="B563" s="304" t="n"/>
    </row>
    <row r="564">
      <c r="A564" s="303" t="n"/>
      <c r="B564" s="304" t="n"/>
    </row>
    <row r="565">
      <c r="A565" s="303" t="n"/>
      <c r="B565" s="304" t="n"/>
    </row>
    <row r="566">
      <c r="A566" s="303" t="n"/>
      <c r="B566" s="304" t="n"/>
    </row>
    <row r="567">
      <c r="A567" s="303" t="n"/>
      <c r="B567" s="304" t="n"/>
    </row>
    <row r="568">
      <c r="A568" s="303" t="n"/>
      <c r="B568" s="304" t="n"/>
    </row>
    <row r="569">
      <c r="A569" s="303" t="n"/>
      <c r="B569" s="304" t="n"/>
    </row>
    <row r="570">
      <c r="A570" s="303" t="n"/>
      <c r="B570" s="304" t="n"/>
    </row>
    <row r="571">
      <c r="A571" s="303" t="n"/>
      <c r="B571" s="304" t="n"/>
    </row>
    <row r="572">
      <c r="A572" s="303" t="n"/>
      <c r="B572" s="304" t="n"/>
    </row>
    <row r="573">
      <c r="A573" s="303" t="n"/>
      <c r="B573" s="304" t="n"/>
    </row>
    <row r="574">
      <c r="A574" s="303" t="n"/>
      <c r="B574" s="304" t="n"/>
    </row>
    <row r="575">
      <c r="A575" s="303" t="n"/>
      <c r="B575" s="304" t="n"/>
    </row>
    <row r="576">
      <c r="A576" s="303" t="n"/>
      <c r="B576" s="304" t="n"/>
    </row>
    <row r="577">
      <c r="A577" s="303" t="n"/>
      <c r="B577" s="304" t="n"/>
    </row>
    <row r="578">
      <c r="A578" s="303" t="n"/>
      <c r="B578" s="304" t="n"/>
    </row>
    <row r="579">
      <c r="A579" s="303" t="n"/>
      <c r="B579" s="304" t="n"/>
    </row>
    <row r="580">
      <c r="A580" s="303" t="n"/>
      <c r="B580" s="30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V97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12.54296875" customWidth="1" min="2" max="2"/>
    <col width="7.54296875" customWidth="1" min="3" max="6"/>
    <col width="8" customWidth="1" min="7" max="7"/>
    <col width="14.08984375" customWidth="1" min="8" max="8"/>
    <col width="9.08984375" customWidth="1" min="9" max="9"/>
    <col width="7.54296875" customWidth="1" min="10" max="10"/>
    <col width="8" customWidth="1" min="11" max="11"/>
    <col width="16.453125" customWidth="1" min="12" max="12"/>
    <col width="21.453125" customWidth="1" min="13" max="13"/>
    <col width="7.54296875" customWidth="1" min="14" max="14"/>
    <col width="9.7265625" customWidth="1" min="17" max="17"/>
    <col width="7.54296875" customWidth="1" min="18" max="19"/>
  </cols>
  <sheetData>
    <row r="1">
      <c r="B1" s="197" t="n"/>
    </row>
    <row r="2">
      <c r="N2" s="15" t="inlineStr">
        <is>
          <t>wingget</t>
        </is>
      </c>
      <c r="O2" s="306">
        <f>3.6%*G30</f>
        <v/>
      </c>
    </row>
    <row r="3">
      <c r="H3" s="307" t="n">
        <v>0.035</v>
      </c>
      <c r="L3" s="308" t="inlineStr">
        <is>
          <t>SPLIT WING</t>
        </is>
      </c>
      <c r="M3" s="309">
        <f>6%*G30*(1-H3)</f>
        <v/>
      </c>
      <c r="N3" s="15" t="inlineStr">
        <is>
          <t>wingdrum</t>
        </is>
      </c>
      <c r="O3" s="306">
        <f>4.3%*G30</f>
        <v/>
      </c>
      <c r="Q3" s="14" t="n">
        <v>61087</v>
      </c>
      <c r="R3" s="310">
        <f>M24</f>
        <v/>
      </c>
      <c r="S3" s="14" t="n">
        <v>25</v>
      </c>
    </row>
    <row r="4">
      <c r="H4" s="308" t="inlineStr">
        <is>
          <t>WING</t>
        </is>
      </c>
      <c r="I4" s="311">
        <f>9%*G30</f>
        <v/>
      </c>
      <c r="J4" s="312" t="n"/>
      <c r="K4" s="313" t="n"/>
      <c r="M4" s="314" t="n"/>
      <c r="Q4" s="14" t="n">
        <v>61074</v>
      </c>
      <c r="R4" s="310">
        <f>I18</f>
        <v/>
      </c>
      <c r="S4" s="14" t="n">
        <v>25</v>
      </c>
    </row>
    <row r="5">
      <c r="I5" s="315" t="n"/>
      <c r="J5" s="316" t="n"/>
      <c r="L5" s="308" t="inlineStr">
        <is>
          <t>TIPS</t>
        </is>
      </c>
      <c r="M5" s="317">
        <f>1.2%*G30</f>
        <v/>
      </c>
      <c r="Q5" s="14" t="n">
        <v>61076</v>
      </c>
      <c r="R5" s="310">
        <f>M19</f>
        <v/>
      </c>
      <c r="S5" s="14" t="n">
        <v>25</v>
      </c>
      <c r="U5" s="58" t="n">
        <v>1</v>
      </c>
      <c r="V5" s="58">
        <f>U5*O2</f>
        <v/>
      </c>
    </row>
    <row r="6">
      <c r="I6" s="50" t="n"/>
      <c r="J6" s="316" t="n"/>
      <c r="M6" s="314" t="n"/>
      <c r="Q6" s="14" t="n">
        <v>61051</v>
      </c>
      <c r="R6" s="310">
        <f>M9</f>
        <v/>
      </c>
      <c r="S6" s="14" t="n">
        <v>25</v>
      </c>
    </row>
    <row r="7">
      <c r="E7" s="308" t="inlineStr">
        <is>
          <t>FRONT</t>
        </is>
      </c>
      <c r="F7" s="312">
        <f>52.8%*G30</f>
        <v/>
      </c>
      <c r="G7" s="313" t="n"/>
      <c r="I7" s="50" t="n"/>
      <c r="J7" s="316" t="n"/>
      <c r="M7" s="314" t="n"/>
      <c r="Q7" s="14" t="n">
        <v>61042</v>
      </c>
      <c r="R7" s="310">
        <f>M13</f>
        <v/>
      </c>
      <c r="S7" s="14" t="n">
        <v>25</v>
      </c>
    </row>
    <row r="8">
      <c r="I8" s="50" t="n"/>
      <c r="J8" s="316" t="n"/>
      <c r="L8" s="308" t="inlineStr">
        <is>
          <t>BACK</t>
        </is>
      </c>
      <c r="M8" s="318">
        <f>2.4%*G30</f>
        <v/>
      </c>
      <c r="O8" s="58" t="n">
        <v>1.6</v>
      </c>
      <c r="Q8" s="14" t="n">
        <v>61049</v>
      </c>
      <c r="R8" s="310">
        <f>M14</f>
        <v/>
      </c>
      <c r="S8" s="14" t="n">
        <v>25</v>
      </c>
    </row>
    <row r="9">
      <c r="I9" s="50" t="n"/>
      <c r="J9" s="316" t="n"/>
      <c r="L9" s="308" t="inlineStr">
        <is>
          <t>BREAST MEAT</t>
        </is>
      </c>
      <c r="M9" s="319">
        <f>30.5%*G30</f>
        <v/>
      </c>
      <c r="N9" s="67">
        <f>M9/2</f>
        <v/>
      </c>
      <c r="O9" s="58">
        <f>O8*M9</f>
        <v/>
      </c>
      <c r="Q9" s="14" t="n">
        <v>61016</v>
      </c>
      <c r="R9" s="310">
        <f>M3</f>
        <v/>
      </c>
      <c r="S9" s="14" t="n">
        <v>25</v>
      </c>
    </row>
    <row r="10">
      <c r="H10" s="308" t="inlineStr">
        <is>
          <t>Front Half</t>
        </is>
      </c>
      <c r="I10" s="311">
        <f>41%*G30</f>
        <v/>
      </c>
      <c r="J10" s="312" t="n"/>
      <c r="L10" s="308" t="inlineStr">
        <is>
          <t>TENDER</t>
        </is>
      </c>
      <c r="M10" s="320">
        <f>4.75%*G30</f>
        <v/>
      </c>
      <c r="N10" s="67" t="n"/>
      <c r="Q10" s="14" t="n">
        <v>61069</v>
      </c>
      <c r="R10" s="310">
        <f>M9</f>
        <v/>
      </c>
      <c r="S10" s="14" t="n">
        <v>25</v>
      </c>
    </row>
    <row r="11">
      <c r="I11" s="50" t="n"/>
      <c r="J11" s="316" t="n"/>
      <c r="L11" s="308" t="inlineStr">
        <is>
          <t>SKIN</t>
        </is>
      </c>
      <c r="M11" s="321" t="n">
        <v>0.04</v>
      </c>
      <c r="N11" s="67" t="n"/>
      <c r="Q11" s="14" t="n">
        <v>61070</v>
      </c>
      <c r="R11" s="310">
        <f>M9</f>
        <v/>
      </c>
      <c r="S11" s="14" t="n">
        <v>25</v>
      </c>
    </row>
    <row r="12">
      <c r="B12" s="308" t="inlineStr">
        <is>
          <t>WHOEL BIRD</t>
        </is>
      </c>
      <c r="C12" s="322" t="n">
        <v>1</v>
      </c>
      <c r="D12" s="323" t="n"/>
      <c r="I12" s="50" t="n"/>
      <c r="J12" s="316" t="n"/>
      <c r="L12" s="308" t="inlineStr">
        <is>
          <t>BREAST BONE</t>
        </is>
      </c>
      <c r="M12" s="320" t="n"/>
      <c r="N12" s="67" t="n"/>
      <c r="Q12" s="14" t="n">
        <v>61079</v>
      </c>
      <c r="R12" s="310">
        <f>I23</f>
        <v/>
      </c>
      <c r="S12" s="14" t="n">
        <v>25</v>
      </c>
    </row>
    <row r="13">
      <c r="I13" s="50" t="n"/>
      <c r="J13" s="316" t="n"/>
      <c r="L13" s="324" t="inlineStr">
        <is>
          <t>SKIN ON BR</t>
        </is>
      </c>
      <c r="M13" s="320">
        <f>38%*G30</f>
        <v/>
      </c>
      <c r="N13" s="67">
        <f>M13/2</f>
        <v/>
      </c>
      <c r="Q13" s="14" t="n">
        <v>200903</v>
      </c>
      <c r="R13" s="310">
        <f>N41</f>
        <v/>
      </c>
      <c r="S13" s="14" t="n">
        <v>25</v>
      </c>
    </row>
    <row r="14">
      <c r="I14" s="50" t="n"/>
      <c r="J14" s="316" t="n"/>
      <c r="L14" s="324" t="inlineStr">
        <is>
          <t>SKINELESS BR</t>
        </is>
      </c>
      <c r="M14" s="320">
        <f>36%*G30</f>
        <v/>
      </c>
      <c r="N14" s="67">
        <f>M14/2</f>
        <v/>
      </c>
      <c r="Q14" s="14" t="n">
        <v>203175</v>
      </c>
      <c r="R14" s="310">
        <f>I23</f>
        <v/>
      </c>
      <c r="S14" s="14" t="n">
        <v>25</v>
      </c>
    </row>
    <row r="15">
      <c r="I15" s="50" t="n"/>
      <c r="J15" s="316" t="n"/>
      <c r="L15" s="324" t="inlineStr">
        <is>
          <t>BNLS  TEN IN</t>
        </is>
      </c>
      <c r="M15" s="320" t="n"/>
      <c r="N15" s="67" t="n"/>
      <c r="Q15" s="14" t="n">
        <v>61086</v>
      </c>
      <c r="R15" s="310">
        <f>M24</f>
        <v/>
      </c>
      <c r="S15" s="14" t="n">
        <v>25</v>
      </c>
    </row>
    <row r="16">
      <c r="I16" s="50" t="n"/>
      <c r="J16" s="316" t="n"/>
      <c r="M16" s="314" t="n"/>
      <c r="N16" s="67" t="n"/>
      <c r="Q16" s="14" t="n">
        <v>159</v>
      </c>
      <c r="R16" s="310">
        <f>N41</f>
        <v/>
      </c>
      <c r="S16" s="14" t="n">
        <v>18</v>
      </c>
    </row>
    <row r="17">
      <c r="I17" s="50" t="n"/>
      <c r="J17" s="316" t="n"/>
      <c r="L17" s="308" t="inlineStr">
        <is>
          <t>SKIN</t>
        </is>
      </c>
      <c r="M17" s="317" t="n"/>
      <c r="N17" s="67" t="n"/>
      <c r="Q17" s="14" t="n">
        <v>61072</v>
      </c>
      <c r="R17" s="310">
        <f>I18</f>
        <v/>
      </c>
      <c r="S17" s="14" t="n">
        <v>25</v>
      </c>
    </row>
    <row r="18">
      <c r="H18" s="308" t="inlineStr">
        <is>
          <t>DRUM</t>
        </is>
      </c>
      <c r="I18" s="325" t="n">
        <v>0.14</v>
      </c>
      <c r="J18" s="312">
        <f>I18/2</f>
        <v/>
      </c>
      <c r="K18" s="313" t="n"/>
      <c r="M18" s="314" t="n"/>
      <c r="N18" s="67" t="n"/>
      <c r="Q18" s="14" t="n">
        <v>61050</v>
      </c>
      <c r="R18" s="310">
        <f>M9</f>
        <v/>
      </c>
      <c r="S18" s="14" t="n">
        <v>25</v>
      </c>
    </row>
    <row r="19">
      <c r="H19" s="48" t="n"/>
      <c r="I19" s="315" t="n"/>
      <c r="J19" s="316" t="n"/>
      <c r="L19" s="308" t="inlineStr">
        <is>
          <t>SKINLESS DRUM</t>
        </is>
      </c>
      <c r="M19" s="317">
        <f>12%*G30</f>
        <v/>
      </c>
      <c r="N19" s="67" t="n"/>
      <c r="Q19" s="14" t="n">
        <v>61014</v>
      </c>
      <c r="R19" s="310">
        <f>M3</f>
        <v/>
      </c>
      <c r="S19" s="14" t="n">
        <v>25</v>
      </c>
    </row>
    <row r="20">
      <c r="I20" s="50" t="n"/>
      <c r="J20" s="316" t="n"/>
      <c r="M20" s="314" t="n"/>
      <c r="N20" s="67" t="n"/>
      <c r="Q20" s="14" t="n">
        <v>61078</v>
      </c>
      <c r="R20" s="310">
        <f>I23</f>
        <v/>
      </c>
      <c r="S20" s="14" t="n">
        <v>25</v>
      </c>
    </row>
    <row r="21">
      <c r="E21" s="308" t="inlineStr">
        <is>
          <t>SADDLE</t>
        </is>
      </c>
      <c r="F21" s="312">
        <f>46%*G30</f>
        <v/>
      </c>
      <c r="G21" s="313" t="n"/>
      <c r="H21" s="324" t="inlineStr">
        <is>
          <t>BACK BONE</t>
        </is>
      </c>
      <c r="I21" s="311">
        <f>13%*G30</f>
        <v/>
      </c>
      <c r="J21" s="326" t="n"/>
      <c r="M21" s="314" t="n"/>
      <c r="N21" s="67" t="n"/>
      <c r="Q21" s="14" t="inlineStr">
        <is>
          <t>61077F</t>
        </is>
      </c>
      <c r="R21" s="310">
        <f>I23</f>
        <v/>
      </c>
      <c r="S21" s="14" t="n">
        <v>25</v>
      </c>
    </row>
    <row r="22">
      <c r="I22" s="50" t="n"/>
      <c r="J22" s="316" t="n"/>
      <c r="L22" s="308" t="inlineStr">
        <is>
          <t>SKIN</t>
        </is>
      </c>
      <c r="M22" s="327">
        <f>0.058*G30</f>
        <v/>
      </c>
      <c r="N22" s="67" t="n"/>
      <c r="Q22" s="14" t="inlineStr">
        <is>
          <t>61072F</t>
        </is>
      </c>
      <c r="R22" s="310">
        <f>I18</f>
        <v/>
      </c>
      <c r="S22" s="14" t="n">
        <v>25</v>
      </c>
    </row>
    <row r="23">
      <c r="H23" s="308" t="inlineStr">
        <is>
          <t>THIGH</t>
        </is>
      </c>
      <c r="I23" s="311">
        <f>18.6%*G30</f>
        <v/>
      </c>
      <c r="J23" s="312">
        <f>I23/2</f>
        <v/>
      </c>
      <c r="K23" s="313" t="n"/>
      <c r="L23" s="308" t="inlineStr">
        <is>
          <t>BONE</t>
        </is>
      </c>
      <c r="M23" s="328" t="n"/>
      <c r="N23" s="67" t="n"/>
      <c r="Q23" s="14" t="inlineStr">
        <is>
          <t>61086F</t>
        </is>
      </c>
      <c r="R23" s="310">
        <f>M24</f>
        <v/>
      </c>
      <c r="S23" s="14" t="n">
        <v>25</v>
      </c>
    </row>
    <row r="24">
      <c r="L24" s="308" t="inlineStr">
        <is>
          <t>THIGH MEAT</t>
        </is>
      </c>
      <c r="M24" s="319">
        <f>10.5%*G30</f>
        <v/>
      </c>
      <c r="N24" s="67">
        <f>M24/2</f>
        <v/>
      </c>
      <c r="Q24" s="14" t="inlineStr">
        <is>
          <t>61050F</t>
        </is>
      </c>
      <c r="R24" s="310">
        <f>M9</f>
        <v/>
      </c>
      <c r="S24" s="14" t="n">
        <v>25</v>
      </c>
    </row>
    <row r="25">
      <c r="N25" s="67" t="n"/>
      <c r="Q25" s="14" t="n">
        <v>203169</v>
      </c>
      <c r="R25" s="310">
        <f>N32</f>
        <v/>
      </c>
      <c r="S25" s="14" t="n">
        <v>25</v>
      </c>
    </row>
    <row r="26">
      <c r="L26" s="324" t="inlineStr">
        <is>
          <t>Whole Legs</t>
        </is>
      </c>
      <c r="M26" s="319">
        <f>32%*G30</f>
        <v/>
      </c>
      <c r="N26" s="67" t="n"/>
      <c r="Q26" s="14" t="n">
        <v>61077</v>
      </c>
      <c r="R26" s="310">
        <f>I23</f>
        <v/>
      </c>
      <c r="S26" s="14" t="n">
        <v>25</v>
      </c>
    </row>
    <row r="27">
      <c r="B27" s="197" t="n"/>
      <c r="H27" s="329" t="n"/>
      <c r="I27" s="329" t="n"/>
      <c r="Q27" s="14" t="n">
        <v>61064</v>
      </c>
      <c r="R27" s="310">
        <f>M9</f>
        <v/>
      </c>
      <c r="S27" s="14" t="n">
        <v>25</v>
      </c>
    </row>
    <row r="28">
      <c r="Q28" s="14" t="n">
        <v>868</v>
      </c>
      <c r="R28" s="310">
        <f>N42</f>
        <v/>
      </c>
      <c r="S28" s="14" t="n">
        <v>18</v>
      </c>
    </row>
    <row r="29">
      <c r="Q29" s="14" t="n">
        <v>1894</v>
      </c>
      <c r="R29" s="310">
        <f>N32</f>
        <v/>
      </c>
      <c r="S29" s="14" t="n">
        <v>18</v>
      </c>
    </row>
    <row r="30">
      <c r="E30" s="48" t="inlineStr">
        <is>
          <t>All part will reduce % for reject</t>
        </is>
      </c>
      <c r="G30" s="330" t="n">
        <v>1</v>
      </c>
      <c r="K30" s="67" t="n">
        <v>0.41</v>
      </c>
      <c r="L30" s="23" t="inlineStr">
        <is>
          <t>Wetchill</t>
        </is>
      </c>
      <c r="M30" s="331" t="inlineStr">
        <is>
          <t>Splitbreast Skinon</t>
        </is>
      </c>
      <c r="N30" s="306">
        <f>K30*$G$30</f>
        <v/>
      </c>
      <c r="Q30" s="14" t="inlineStr">
        <is>
          <t>61040#2</t>
        </is>
      </c>
      <c r="R30" s="310">
        <f>N30</f>
        <v/>
      </c>
      <c r="S30" s="14" t="n">
        <v>25</v>
      </c>
    </row>
    <row r="31">
      <c r="K31" s="67" t="n">
        <v>0.38</v>
      </c>
      <c r="L31" s="23" t="inlineStr">
        <is>
          <t>Wetchill</t>
        </is>
      </c>
      <c r="M31" s="331" t="inlineStr">
        <is>
          <t>Splitbreast Skinless</t>
        </is>
      </c>
      <c r="N31" s="306">
        <f>K31*$G$30</f>
        <v/>
      </c>
      <c r="Q31" s="14" t="n">
        <v>61048</v>
      </c>
      <c r="R31" s="310">
        <f>N31</f>
        <v/>
      </c>
      <c r="S31" s="14" t="n">
        <v>25</v>
      </c>
    </row>
    <row r="32">
      <c r="K32" s="67" t="n">
        <v>0.3</v>
      </c>
      <c r="L32" s="23" t="inlineStr">
        <is>
          <t>Wetchill</t>
        </is>
      </c>
      <c r="M32" s="331" t="inlineStr">
        <is>
          <t>Boneless Breast</t>
        </is>
      </c>
      <c r="N32" s="306">
        <f>K32*$G$30</f>
        <v/>
      </c>
      <c r="Q32" s="14" t="inlineStr">
        <is>
          <t>61050#2</t>
        </is>
      </c>
      <c r="R32" s="310">
        <f>N32</f>
        <v/>
      </c>
      <c r="S32" s="14" t="n">
        <v>25</v>
      </c>
    </row>
    <row r="33">
      <c r="G33" s="67" t="n"/>
      <c r="I33" s="332" t="n"/>
      <c r="K33" s="67" t="n">
        <v>0.18</v>
      </c>
      <c r="L33" s="23" t="inlineStr">
        <is>
          <t>Wetchill</t>
        </is>
      </c>
      <c r="M33" s="331" t="inlineStr">
        <is>
          <t>Boneless Breast WOF</t>
        </is>
      </c>
      <c r="N33" s="306">
        <f>K33*$G$30</f>
        <v/>
      </c>
      <c r="Q33" s="14" t="n">
        <v>61061</v>
      </c>
      <c r="R33" s="310">
        <f>N41</f>
        <v/>
      </c>
      <c r="S33" s="14" t="n">
        <v>25</v>
      </c>
    </row>
    <row r="34">
      <c r="G34" s="67" t="n"/>
      <c r="I34" s="332" t="n"/>
      <c r="K34" s="67" t="n">
        <v>0.03</v>
      </c>
      <c r="L34" s="23" t="inlineStr">
        <is>
          <t>Wetchill</t>
        </is>
      </c>
      <c r="M34" s="331" t="inlineStr">
        <is>
          <t>Fillet</t>
        </is>
      </c>
      <c r="N34" s="306">
        <f>K34*$G$30</f>
        <v/>
      </c>
      <c r="Q34" s="14" t="n">
        <v>61082</v>
      </c>
      <c r="R34" s="310">
        <f>N38</f>
        <v/>
      </c>
      <c r="S34" s="14" t="n">
        <v>25</v>
      </c>
    </row>
    <row r="35">
      <c r="D35" s="50" t="inlineStr">
        <is>
          <t>Drum</t>
        </is>
      </c>
      <c r="E35" s="315" t="n">
        <v>0.1240303988459535</v>
      </c>
      <c r="F35" s="315" t="inlineStr">
        <is>
          <t>x</t>
        </is>
      </c>
      <c r="G35" s="67" t="n"/>
      <c r="I35" s="332" t="n"/>
      <c r="K35" s="67" t="n">
        <v>0.14</v>
      </c>
      <c r="L35" s="23" t="inlineStr">
        <is>
          <t>Wetchill</t>
        </is>
      </c>
      <c r="M35" s="331" t="inlineStr">
        <is>
          <t>Drum Bonein</t>
        </is>
      </c>
      <c r="N35" s="306">
        <f>K35</f>
        <v/>
      </c>
      <c r="Q35" s="14" t="inlineStr">
        <is>
          <t>61086#2</t>
        </is>
      </c>
      <c r="R35" s="310">
        <f>N40</f>
        <v/>
      </c>
      <c r="S35" s="14" t="n">
        <v>25</v>
      </c>
    </row>
    <row r="36">
      <c r="D36" s="50" t="inlineStr">
        <is>
          <t>Thigh</t>
        </is>
      </c>
      <c r="E36" s="315" t="n">
        <v>0.1864378245076263</v>
      </c>
      <c r="F36" s="315" t="inlineStr">
        <is>
          <t>x</t>
        </is>
      </c>
      <c r="G36" s="67" t="n"/>
      <c r="I36" s="332" t="n"/>
      <c r="K36" s="67" t="n">
        <v>0.115</v>
      </c>
      <c r="L36" s="23" t="inlineStr">
        <is>
          <t>Wetchill</t>
        </is>
      </c>
      <c r="M36" s="331" t="inlineStr">
        <is>
          <t>Drum Skinless</t>
        </is>
      </c>
      <c r="N36" s="306">
        <f>K36*$G$30</f>
        <v/>
      </c>
      <c r="Q36" s="14" t="inlineStr">
        <is>
          <t>61072#2</t>
        </is>
      </c>
      <c r="R36" s="310">
        <f>N35</f>
        <v/>
      </c>
      <c r="S36" s="14" t="n">
        <v>25</v>
      </c>
    </row>
    <row r="37">
      <c r="D37" s="333" t="inlineStr">
        <is>
          <t>Thigh meat</t>
        </is>
      </c>
      <c r="E37" s="315" t="n">
        <v>0.1065415817167139</v>
      </c>
      <c r="F37" s="315" t="inlineStr">
        <is>
          <t>x</t>
        </is>
      </c>
      <c r="G37" s="67" t="n"/>
      <c r="I37" s="332" t="n"/>
      <c r="K37" s="67" t="n">
        <v>0.08755595503200002</v>
      </c>
      <c r="L37" s="23" t="inlineStr">
        <is>
          <t>Wetchill</t>
        </is>
      </c>
      <c r="M37" s="331" t="inlineStr">
        <is>
          <t>Drum Boneless Skinless</t>
        </is>
      </c>
      <c r="N37" s="306">
        <f>K37*$G$30</f>
        <v/>
      </c>
      <c r="Q37" s="14" t="n">
        <v>61010</v>
      </c>
      <c r="R37" s="310">
        <f>N46</f>
        <v/>
      </c>
      <c r="S37" s="14" t="n">
        <v>25</v>
      </c>
    </row>
    <row r="38">
      <c r="D38" s="334" t="n"/>
      <c r="E38" s="315" t="n"/>
      <c r="F38" s="315" t="n"/>
      <c r="G38" s="67" t="n"/>
      <c r="I38" s="332" t="n"/>
      <c r="K38" s="67" t="n">
        <v>0.19</v>
      </c>
      <c r="L38" s="23" t="inlineStr">
        <is>
          <t>Wetchill</t>
        </is>
      </c>
      <c r="M38" s="331" t="inlineStr">
        <is>
          <t>Thigh Bonein</t>
        </is>
      </c>
      <c r="N38" s="306">
        <f>K38*$G$30</f>
        <v/>
      </c>
      <c r="Q38" s="14" t="n">
        <v>904</v>
      </c>
      <c r="R38" s="310">
        <f>N46</f>
        <v/>
      </c>
      <c r="S38" s="14" t="n">
        <v>18</v>
      </c>
    </row>
    <row r="39">
      <c r="D39" s="334" t="n"/>
      <c r="E39" s="315" t="n"/>
      <c r="F39" s="315" t="n"/>
      <c r="K39" s="67" t="n">
        <v>0.1483392456</v>
      </c>
      <c r="L39" s="23" t="inlineStr">
        <is>
          <t>Wetchill</t>
        </is>
      </c>
      <c r="M39" s="331" t="inlineStr">
        <is>
          <t>Thigh Skinless</t>
        </is>
      </c>
      <c r="N39" s="306">
        <f>K39*$G$30</f>
        <v/>
      </c>
      <c r="Q39" s="14" t="n">
        <v>61121</v>
      </c>
      <c r="R39" s="310">
        <f>N48</f>
        <v/>
      </c>
      <c r="S39" s="14" t="n">
        <v>25</v>
      </c>
    </row>
    <row r="40">
      <c r="D40" s="334" t="inlineStr">
        <is>
          <t>Wing</t>
        </is>
      </c>
      <c r="E40" s="315" t="n">
        <v>0.1022960738076996</v>
      </c>
      <c r="F40" s="315" t="n"/>
      <c r="K40" s="67" t="n">
        <v>0.11</v>
      </c>
      <c r="L40" s="23" t="inlineStr">
        <is>
          <t>Wetchill</t>
        </is>
      </c>
      <c r="M40" s="331" t="inlineStr">
        <is>
          <t>Thigh Boneless Skinless</t>
        </is>
      </c>
      <c r="N40" s="306">
        <f>K40*$G$30</f>
        <v/>
      </c>
      <c r="Q40" s="14" t="inlineStr">
        <is>
          <t>61014#2</t>
        </is>
      </c>
      <c r="R40" s="310">
        <f>N42</f>
        <v/>
      </c>
      <c r="S40" s="14" t="n">
        <v>25</v>
      </c>
    </row>
    <row r="41">
      <c r="D41" s="334" t="inlineStr">
        <is>
          <t>Split Wing</t>
        </is>
      </c>
      <c r="E41" s="315" t="n">
        <v>0.09112446903497755</v>
      </c>
      <c r="F41" s="315" t="inlineStr">
        <is>
          <t>x</t>
        </is>
      </c>
      <c r="K41" s="67" t="n">
        <v>0.46</v>
      </c>
      <c r="L41" s="23" t="inlineStr">
        <is>
          <t>Wetchill</t>
        </is>
      </c>
      <c r="M41" s="331" t="inlineStr">
        <is>
          <t>Leg Quarter</t>
        </is>
      </c>
      <c r="N41" s="306">
        <f>K41*$G$30</f>
        <v/>
      </c>
      <c r="Q41" s="14" t="n">
        <v>200902</v>
      </c>
      <c r="R41" s="310">
        <f>N38</f>
        <v/>
      </c>
      <c r="S41" s="14" t="n">
        <v>18</v>
      </c>
    </row>
    <row r="42">
      <c r="D42" s="50" t="n"/>
      <c r="E42" s="315" t="n"/>
      <c r="F42" s="315" t="n"/>
      <c r="K42" s="67" t="n">
        <v>0.095</v>
      </c>
      <c r="L42" s="23" t="inlineStr">
        <is>
          <t>Wetchill</t>
        </is>
      </c>
      <c r="M42" s="331" t="inlineStr">
        <is>
          <t>Split Wing</t>
        </is>
      </c>
      <c r="N42" s="306">
        <f>K42*$G$30</f>
        <v/>
      </c>
      <c r="Q42" s="14" t="n">
        <v>61041</v>
      </c>
      <c r="R42" s="310">
        <f>M14</f>
        <v/>
      </c>
      <c r="S42" s="14" t="n">
        <v>25</v>
      </c>
    </row>
    <row r="43">
      <c r="D43" s="334" t="inlineStr">
        <is>
          <t>Breast</t>
        </is>
      </c>
      <c r="E43" s="315" t="n">
        <v>0.4098095758497288</v>
      </c>
      <c r="F43" s="315" t="inlineStr">
        <is>
          <t>x</t>
        </is>
      </c>
      <c r="K43" s="67" t="n">
        <v>0.036353616</v>
      </c>
      <c r="L43" s="23" t="inlineStr">
        <is>
          <t>Wetchill</t>
        </is>
      </c>
      <c r="M43" s="331" t="inlineStr">
        <is>
          <t>Winglette</t>
        </is>
      </c>
      <c r="N43" s="306">
        <f>K43*$G$30*(1-H3)</f>
        <v/>
      </c>
      <c r="Q43" s="14" t="n">
        <v>165</v>
      </c>
      <c r="R43" s="310">
        <f>N32</f>
        <v/>
      </c>
      <c r="S43" s="14" t="n">
        <v>10</v>
      </c>
    </row>
    <row r="44">
      <c r="D44" s="335" t="inlineStr">
        <is>
          <t>Bnls</t>
        </is>
      </c>
      <c r="E44" s="315" t="n">
        <v>0.2937628985951201</v>
      </c>
      <c r="F44" s="315" t="inlineStr">
        <is>
          <t>x</t>
        </is>
      </c>
      <c r="K44" s="67" t="n">
        <v>0.043128864</v>
      </c>
      <c r="L44" s="23" t="inlineStr">
        <is>
          <t>Wetchill</t>
        </is>
      </c>
      <c r="M44" s="331" t="inlineStr">
        <is>
          <t>Drumlette</t>
        </is>
      </c>
      <c r="N44" s="306">
        <f>K44*$G$30*(1-H3)</f>
        <v/>
      </c>
      <c r="Q44" s="14" t="n">
        <v>203033</v>
      </c>
      <c r="R44" s="310">
        <f>N41</f>
        <v/>
      </c>
      <c r="S44" s="14" t="n">
        <v>23</v>
      </c>
    </row>
    <row r="45">
      <c r="K45" s="67" t="n">
        <v>0.012677784</v>
      </c>
      <c r="L45" s="23" t="inlineStr">
        <is>
          <t>Wetchill</t>
        </is>
      </c>
      <c r="M45" s="331" t="inlineStr">
        <is>
          <t>Wing Tip</t>
        </is>
      </c>
      <c r="N45" s="306">
        <f>K45*$G$30</f>
        <v/>
      </c>
      <c r="Q45" s="14" t="n">
        <v>64</v>
      </c>
      <c r="R45" s="310">
        <f>N40</f>
        <v/>
      </c>
      <c r="S45" s="14" t="n">
        <v>5</v>
      </c>
    </row>
    <row r="46">
      <c r="K46" s="67" t="n">
        <v>0.105</v>
      </c>
      <c r="L46" s="23" t="inlineStr">
        <is>
          <t>Wetchill</t>
        </is>
      </c>
      <c r="M46" s="331" t="inlineStr">
        <is>
          <t>Whole Wing</t>
        </is>
      </c>
      <c r="N46" s="306">
        <f>K46*$G$30</f>
        <v/>
      </c>
      <c r="Q46" s="14" t="n">
        <v>200064</v>
      </c>
      <c r="R46" s="310">
        <f>N40</f>
        <v/>
      </c>
      <c r="S46" s="14" t="n">
        <v>5</v>
      </c>
    </row>
    <row r="47">
      <c r="K47" s="67" t="n">
        <v>1</v>
      </c>
      <c r="L47" s="23" t="inlineStr">
        <is>
          <t>Wetchill</t>
        </is>
      </c>
      <c r="M47" s="331" t="inlineStr">
        <is>
          <t>Whole Bird</t>
        </is>
      </c>
      <c r="N47" s="306">
        <f>K47*$G$30</f>
        <v/>
      </c>
      <c r="Q47" s="14" t="n">
        <v>1081</v>
      </c>
      <c r="R47" s="310">
        <f>M9</f>
        <v/>
      </c>
      <c r="S47" s="14" t="n">
        <v>20</v>
      </c>
    </row>
    <row r="48">
      <c r="K48" s="67" t="n">
        <v>0.1300104</v>
      </c>
      <c r="L48" s="23" t="inlineStr">
        <is>
          <t>Wetchill</t>
        </is>
      </c>
      <c r="M48" s="331" t="inlineStr">
        <is>
          <t>Back</t>
        </is>
      </c>
      <c r="N48" s="306">
        <f>K48*$G$30</f>
        <v/>
      </c>
      <c r="Q48" s="14" t="n">
        <v>160</v>
      </c>
      <c r="R48" s="310">
        <f>N35</f>
        <v/>
      </c>
      <c r="S48" s="14" t="n">
        <v>18</v>
      </c>
    </row>
    <row r="49">
      <c r="Q49" s="14" t="n">
        <v>203174</v>
      </c>
      <c r="R49" s="310">
        <f>N40</f>
        <v/>
      </c>
      <c r="S49" s="14" t="n">
        <v>25</v>
      </c>
    </row>
    <row r="50">
      <c r="Q50" s="14" t="n">
        <v>203171</v>
      </c>
      <c r="R50" s="310">
        <f>N35</f>
        <v/>
      </c>
      <c r="S50" s="14" t="n">
        <v>25</v>
      </c>
    </row>
    <row r="51">
      <c r="Q51" s="14" t="n">
        <v>61061</v>
      </c>
      <c r="R51" s="310">
        <f>F21</f>
        <v/>
      </c>
      <c r="S51" s="14" t="n">
        <v>25</v>
      </c>
    </row>
    <row r="52">
      <c r="Q52" s="14" t="n">
        <v>61052</v>
      </c>
      <c r="R52" s="311">
        <f>F21</f>
        <v/>
      </c>
      <c r="S52" s="14" t="n">
        <v>800</v>
      </c>
    </row>
    <row r="53">
      <c r="Q53" s="22" t="n">
        <v>61018</v>
      </c>
      <c r="R53" s="325">
        <f>N46+0.005</f>
        <v/>
      </c>
      <c r="S53" s="22" t="n">
        <v>550</v>
      </c>
    </row>
    <row r="54">
      <c r="Q54" s="22" t="inlineStr">
        <is>
          <t>61014B</t>
        </is>
      </c>
      <c r="R54" s="325">
        <f>N42</f>
        <v/>
      </c>
      <c r="S54" s="22" t="n">
        <v>25</v>
      </c>
    </row>
    <row r="55">
      <c r="Q55" s="336" t="n">
        <v>200083</v>
      </c>
      <c r="R55" s="337">
        <f>N30</f>
        <v/>
      </c>
      <c r="S55" s="14" t="n">
        <v>600</v>
      </c>
    </row>
    <row r="56">
      <c r="Q56" s="338" t="n">
        <v>200089</v>
      </c>
      <c r="R56" s="337">
        <f>I10</f>
        <v/>
      </c>
      <c r="S56" s="14" t="n">
        <v>600</v>
      </c>
    </row>
    <row r="57">
      <c r="Q57" s="14" t="n">
        <v>1081</v>
      </c>
      <c r="R57" s="311">
        <f>M9</f>
        <v/>
      </c>
      <c r="S57" s="14" t="n">
        <v>20</v>
      </c>
    </row>
    <row r="58">
      <c r="Q58" s="14" t="n">
        <v>201894</v>
      </c>
      <c r="R58" s="311">
        <f>N32</f>
        <v/>
      </c>
      <c r="S58" s="14" t="n">
        <v>18</v>
      </c>
    </row>
    <row r="59">
      <c r="Q59" s="14" t="n">
        <v>201895</v>
      </c>
      <c r="R59" s="311">
        <f>N32</f>
        <v/>
      </c>
      <c r="S59" s="14" t="n">
        <v>18</v>
      </c>
    </row>
    <row r="60">
      <c r="Q60" s="14" t="n">
        <v>1888</v>
      </c>
      <c r="R60" s="158">
        <f>M13</f>
        <v/>
      </c>
      <c r="S60" s="14" t="n">
        <v>18</v>
      </c>
    </row>
    <row r="61">
      <c r="Q61" s="14" t="n">
        <v>2233</v>
      </c>
      <c r="R61" s="310">
        <f>M3</f>
        <v/>
      </c>
      <c r="S61" s="14" t="n">
        <v>18</v>
      </c>
    </row>
    <row r="62">
      <c r="Q62" s="14" t="n">
        <v>61073</v>
      </c>
      <c r="R62" s="311">
        <f>N35</f>
        <v/>
      </c>
      <c r="S62" s="14" t="n">
        <v>800</v>
      </c>
    </row>
    <row r="63">
      <c r="Q63" s="14" t="n">
        <v>895</v>
      </c>
      <c r="R63" s="311">
        <f>I18</f>
        <v/>
      </c>
      <c r="S63" s="14" t="n">
        <v>18</v>
      </c>
    </row>
    <row r="64">
      <c r="Q64" s="22" t="n">
        <v>200095</v>
      </c>
      <c r="R64" s="325">
        <f>N35+0.005</f>
        <v/>
      </c>
      <c r="S64" s="22" t="n">
        <v>18</v>
      </c>
    </row>
    <row r="65">
      <c r="Q65" s="14" t="n">
        <v>2235</v>
      </c>
      <c r="R65" s="311">
        <f>I18</f>
        <v/>
      </c>
      <c r="S65" s="14" t="n">
        <v>20</v>
      </c>
    </row>
    <row r="66">
      <c r="Q66" s="14" t="n">
        <v>1083</v>
      </c>
      <c r="R66" s="311">
        <f>I18</f>
        <v/>
      </c>
      <c r="S66" s="14" t="n">
        <v>20</v>
      </c>
    </row>
    <row r="67">
      <c r="Q67" s="14" t="n">
        <v>1887</v>
      </c>
      <c r="R67" s="311">
        <f>N41</f>
        <v/>
      </c>
      <c r="S67" s="14" t="n">
        <v>18</v>
      </c>
    </row>
    <row r="68">
      <c r="Q68" s="14" t="inlineStr">
        <is>
          <t>61061F</t>
        </is>
      </c>
      <c r="R68" s="311">
        <f>N41</f>
        <v/>
      </c>
      <c r="S68" s="14" t="n">
        <v>25</v>
      </c>
    </row>
    <row r="69">
      <c r="Q69" s="14" t="n">
        <v>203172</v>
      </c>
      <c r="R69" s="311">
        <f>N46</f>
        <v/>
      </c>
      <c r="S69" s="14" t="n">
        <v>25</v>
      </c>
    </row>
    <row r="70">
      <c r="Q70" s="14" t="n">
        <v>203173</v>
      </c>
      <c r="R70" s="311">
        <f>N42</f>
        <v/>
      </c>
      <c r="S70" s="14" t="n">
        <v>25</v>
      </c>
    </row>
    <row r="71">
      <c r="Q71" s="14" t="n">
        <v>203846</v>
      </c>
      <c r="R71" s="311">
        <f>N31</f>
        <v/>
      </c>
      <c r="S71" s="14" t="n">
        <v>25</v>
      </c>
    </row>
    <row r="72">
      <c r="Q72" s="14" t="n">
        <v>65</v>
      </c>
      <c r="R72" s="311">
        <f>N32</f>
        <v/>
      </c>
      <c r="S72" s="14" t="n">
        <v>5</v>
      </c>
    </row>
    <row r="73">
      <c r="Q73" s="14" t="n">
        <v>902</v>
      </c>
      <c r="R73" s="326">
        <f>N38</f>
        <v/>
      </c>
      <c r="S73" s="23" t="n">
        <v>20</v>
      </c>
    </row>
    <row r="74">
      <c r="Q74" s="14" t="n">
        <v>834</v>
      </c>
      <c r="R74" s="326">
        <f>N38</f>
        <v/>
      </c>
      <c r="S74" s="23" t="n">
        <v>18</v>
      </c>
    </row>
    <row r="75">
      <c r="Q75" s="14" t="n">
        <v>200159</v>
      </c>
      <c r="R75" s="326">
        <f>N41</f>
        <v/>
      </c>
      <c r="S75" s="23" t="n">
        <v>18</v>
      </c>
    </row>
    <row r="76">
      <c r="Q76" s="14" t="inlineStr">
        <is>
          <t>ZH61050F</t>
        </is>
      </c>
      <c r="R76" s="339">
        <f>M9</f>
        <v/>
      </c>
      <c r="S76" s="23" t="n">
        <v>25</v>
      </c>
    </row>
    <row r="77">
      <c r="Q77" s="14" t="inlineStr">
        <is>
          <t>ZH61072</t>
        </is>
      </c>
      <c r="R77" s="326">
        <f>I18</f>
        <v/>
      </c>
      <c r="S77" s="23" t="n">
        <v>25</v>
      </c>
    </row>
    <row r="78">
      <c r="Q78" s="14" t="inlineStr">
        <is>
          <t>ZH61086F</t>
        </is>
      </c>
      <c r="R78" s="339">
        <f>M24</f>
        <v/>
      </c>
      <c r="S78" s="23" t="n">
        <v>25</v>
      </c>
    </row>
    <row r="79">
      <c r="Q79" s="14" t="inlineStr">
        <is>
          <t>ZH61077</t>
        </is>
      </c>
      <c r="R79" s="326">
        <f>I23</f>
        <v/>
      </c>
      <c r="S79" s="23" t="n">
        <v>25</v>
      </c>
    </row>
    <row r="80">
      <c r="Q80" s="14" t="inlineStr">
        <is>
          <t>61014F</t>
        </is>
      </c>
      <c r="R80" s="339">
        <f>M3</f>
        <v/>
      </c>
      <c r="S80" s="23" t="n">
        <v>25</v>
      </c>
    </row>
    <row r="81">
      <c r="Q81" s="14" t="inlineStr">
        <is>
          <t>ZH61061</t>
        </is>
      </c>
      <c r="R81" s="326">
        <f>F21</f>
        <v/>
      </c>
      <c r="S81" s="23" t="n">
        <v>25</v>
      </c>
    </row>
    <row r="82">
      <c r="Q82" s="14" t="n">
        <v>2236</v>
      </c>
      <c r="R82" s="339">
        <f>M9</f>
        <v/>
      </c>
      <c r="S82" s="23" t="n">
        <v>20</v>
      </c>
    </row>
    <row r="83">
      <c r="Q83" s="14" t="n">
        <v>61075</v>
      </c>
      <c r="R83" s="326">
        <f>N35</f>
        <v/>
      </c>
      <c r="S83" s="23" t="n">
        <v>800</v>
      </c>
    </row>
    <row r="84">
      <c r="Q84" s="14" t="n">
        <v>203035</v>
      </c>
      <c r="R84" s="339">
        <f>M3</f>
        <v/>
      </c>
      <c r="S84" s="23" t="n">
        <v>23</v>
      </c>
    </row>
    <row r="85">
      <c r="Q85" s="14" t="n">
        <v>161</v>
      </c>
      <c r="R85" s="326">
        <f>N38</f>
        <v/>
      </c>
      <c r="S85" s="23" t="n">
        <v>20</v>
      </c>
    </row>
    <row r="86">
      <c r="Q86" s="14" t="inlineStr">
        <is>
          <t>61050C</t>
        </is>
      </c>
      <c r="R86" s="339">
        <f>M9</f>
        <v/>
      </c>
      <c r="S86" s="23" t="n">
        <v>25</v>
      </c>
    </row>
    <row r="87">
      <c r="Q87" s="14" t="inlineStr">
        <is>
          <t>61072C</t>
        </is>
      </c>
      <c r="R87" s="326">
        <f>I18</f>
        <v/>
      </c>
      <c r="S87" s="23" t="n">
        <v>25</v>
      </c>
    </row>
    <row r="88">
      <c r="Q88" s="14" t="inlineStr">
        <is>
          <t>61086C</t>
        </is>
      </c>
      <c r="R88" s="339">
        <f>M24</f>
        <v/>
      </c>
      <c r="S88" s="23" t="n">
        <v>25</v>
      </c>
    </row>
    <row r="89">
      <c r="Q89" s="14" t="inlineStr">
        <is>
          <t>61014C</t>
        </is>
      </c>
      <c r="R89" s="339">
        <f>M3</f>
        <v/>
      </c>
      <c r="S89" s="23" t="n">
        <v>25</v>
      </c>
    </row>
    <row r="90">
      <c r="Q90" s="14" t="n">
        <v>203194</v>
      </c>
      <c r="R90" s="339">
        <f>M3</f>
        <v/>
      </c>
      <c r="S90" s="23" t="n">
        <v>25</v>
      </c>
    </row>
    <row r="91">
      <c r="Q91" s="14" t="n">
        <v>1412</v>
      </c>
      <c r="R91" s="339">
        <f>N40</f>
        <v/>
      </c>
      <c r="S91" s="23" t="n">
        <v>18</v>
      </c>
    </row>
    <row r="92">
      <c r="Q92" s="14" t="n">
        <v>203087</v>
      </c>
      <c r="R92" s="339">
        <f>M9</f>
        <v/>
      </c>
      <c r="S92" s="23" t="n">
        <v>25</v>
      </c>
    </row>
    <row r="93">
      <c r="Q93" s="14" t="n">
        <v>420172</v>
      </c>
      <c r="R93" s="339">
        <f>N32-M10</f>
        <v/>
      </c>
      <c r="S93" s="23" t="n">
        <v>5</v>
      </c>
    </row>
    <row r="94">
      <c r="Q94" s="14" t="n">
        <v>1446</v>
      </c>
      <c r="R94" s="326">
        <f>N32</f>
        <v/>
      </c>
      <c r="S94" s="23" t="n">
        <v>10</v>
      </c>
    </row>
    <row r="95">
      <c r="Q95" s="14" t="n">
        <v>200904</v>
      </c>
      <c r="R95" s="326">
        <f>N35</f>
        <v/>
      </c>
      <c r="S95" s="23" t="n">
        <v>18</v>
      </c>
    </row>
    <row r="96">
      <c r="Q96" s="14" t="n">
        <v>203148</v>
      </c>
      <c r="R96" s="311">
        <f>N40</f>
        <v/>
      </c>
      <c r="S96" s="14" t="n">
        <v>25</v>
      </c>
    </row>
    <row r="97">
      <c r="Q97" s="50" t="n">
        <v>61062</v>
      </c>
      <c r="R97" s="67">
        <f>F21</f>
        <v/>
      </c>
      <c r="S97" s="58" t="n">
        <v>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4.5"/>
  <cols>
    <col width="16.81640625" customWidth="1" min="1" max="1"/>
    <col width="11.26953125" customWidth="1" min="2" max="2"/>
    <col width="10.36328125" customWidth="1" min="3" max="3"/>
    <col width="6.26953125" customWidth="1" min="4" max="4"/>
    <col width="9.7265625" customWidth="1" min="11" max="11"/>
    <col width="19.26953125" customWidth="1" min="17" max="17"/>
  </cols>
  <sheetData>
    <row r="1">
      <c r="B1" s="50" t="inlineStr">
        <is>
          <t xml:space="preserve">Pallet space </t>
        </is>
      </c>
      <c r="C1" s="50" t="inlineStr">
        <is>
          <t>Each Pallet</t>
        </is>
      </c>
      <c r="D1" s="50" t="inlineStr">
        <is>
          <t>Total</t>
        </is>
      </c>
    </row>
    <row r="2">
      <c r="A2" t="inlineStr">
        <is>
          <t>18kg Boxes</t>
        </is>
      </c>
      <c r="B2" t="n">
        <v>8</v>
      </c>
      <c r="C2" t="n">
        <v>48</v>
      </c>
      <c r="D2" t="n">
        <v>384</v>
      </c>
    </row>
    <row r="3">
      <c r="A3" t="inlineStr">
        <is>
          <t>18kg Lids</t>
        </is>
      </c>
      <c r="B3" t="n">
        <v>2</v>
      </c>
      <c r="C3" t="n">
        <v>288</v>
      </c>
      <c r="D3" t="n">
        <v>576</v>
      </c>
    </row>
    <row r="4">
      <c r="A4" t="inlineStr">
        <is>
          <t>5kg boxes</t>
        </is>
      </c>
      <c r="B4" t="n">
        <v>1</v>
      </c>
      <c r="C4" t="n">
        <v>144</v>
      </c>
      <c r="D4" t="n">
        <v>144</v>
      </c>
    </row>
    <row r="5">
      <c r="A5" t="inlineStr">
        <is>
          <t>10kg Boxes</t>
        </is>
      </c>
      <c r="B5" t="n">
        <v>1</v>
      </c>
      <c r="C5" t="n">
        <v>105</v>
      </c>
      <c r="D5" t="n">
        <v>105</v>
      </c>
    </row>
    <row r="6">
      <c r="A6" t="inlineStr">
        <is>
          <t>TP/Baggging Boxes</t>
        </is>
      </c>
      <c r="B6" t="n">
        <v>6</v>
      </c>
      <c r="C6" t="n">
        <v>100</v>
      </c>
      <c r="D6" t="n">
        <v>800</v>
      </c>
    </row>
    <row r="7">
      <c r="A7" t="inlineStr">
        <is>
          <t>IFCO baskets</t>
        </is>
      </c>
      <c r="B7" t="n">
        <v>2</v>
      </c>
    </row>
    <row r="8">
      <c r="A8" t="inlineStr">
        <is>
          <t>Costco</t>
        </is>
      </c>
      <c r="B8" t="n">
        <v>20</v>
      </c>
      <c r="C8" t="n">
        <v>50</v>
      </c>
      <c r="D8" t="n">
        <v>1200</v>
      </c>
      <c r="F8" t="inlineStr">
        <is>
          <t>Center rack and top of north rack.</t>
        </is>
      </c>
    </row>
    <row r="10">
      <c r="A10" t="inlineStr">
        <is>
          <t>Total:</t>
        </is>
      </c>
      <c r="B10">
        <f>SUM(B2:B8)</f>
        <v/>
      </c>
    </row>
    <row r="12">
      <c r="B12" t="inlineStr">
        <is>
          <t>30 at the north wall rack and 10 at the east of the center rack</t>
        </is>
      </c>
    </row>
    <row r="16">
      <c r="Q16" t="inlineStr">
        <is>
          <t>Dumper</t>
        </is>
      </c>
      <c r="R16" t="n">
        <v>1</v>
      </c>
    </row>
    <row r="17">
      <c r="Q17" t="inlineStr">
        <is>
          <t>Packer</t>
        </is>
      </c>
      <c r="R17" t="n">
        <v>7</v>
      </c>
    </row>
    <row r="18">
      <c r="Q18" t="inlineStr">
        <is>
          <t>Machine Operator</t>
        </is>
      </c>
      <c r="R18" t="n">
        <v>1</v>
      </c>
    </row>
    <row r="19" ht="43.5" customHeight="1">
      <c r="B19" s="14" t="n"/>
      <c r="C19" s="340" t="inlineStr">
        <is>
          <t>M.O</t>
        </is>
      </c>
      <c r="D19" s="340" t="inlineStr">
        <is>
          <t>pack off</t>
        </is>
      </c>
      <c r="E19" s="340" t="inlineStr">
        <is>
          <t>Dumper</t>
        </is>
      </c>
      <c r="F19" s="340" t="inlineStr">
        <is>
          <t>Box and Basket Maker</t>
        </is>
      </c>
      <c r="G19" s="340" t="inlineStr">
        <is>
          <t>Scaler</t>
        </is>
      </c>
      <c r="H19" s="340" t="inlineStr">
        <is>
          <t>Picker</t>
        </is>
      </c>
      <c r="I19" s="340" t="inlineStr">
        <is>
          <t>P Mover</t>
        </is>
      </c>
      <c r="J19" s="340" t="inlineStr">
        <is>
          <t>forklift</t>
        </is>
      </c>
      <c r="K19" s="340" t="inlineStr">
        <is>
          <t>Pelletizing</t>
        </is>
      </c>
      <c r="L19" s="341" t="inlineStr">
        <is>
          <t>Packer</t>
        </is>
      </c>
      <c r="M19" s="342" t="inlineStr">
        <is>
          <t>LH&amp;other</t>
        </is>
      </c>
      <c r="N19" s="343" t="inlineStr">
        <is>
          <t>Total</t>
        </is>
      </c>
      <c r="Q19" t="inlineStr">
        <is>
          <t>Pack off</t>
        </is>
      </c>
      <c r="R19" t="n">
        <v>1</v>
      </c>
    </row>
    <row r="20">
      <c r="B20" s="14" t="inlineStr">
        <is>
          <t>Line 1</t>
        </is>
      </c>
      <c r="C20" s="14" t="n">
        <v>1</v>
      </c>
      <c r="D20" s="14" t="n">
        <v>1</v>
      </c>
      <c r="E20" s="14" t="n">
        <v>1</v>
      </c>
      <c r="F20" s="14" t="n">
        <v>1</v>
      </c>
      <c r="G20" s="14" t="n">
        <v>2</v>
      </c>
      <c r="H20" s="14" t="n">
        <v>3</v>
      </c>
      <c r="I20" s="14" t="n"/>
      <c r="J20" s="14" t="n">
        <v>1</v>
      </c>
      <c r="K20" s="14" t="n">
        <v>2</v>
      </c>
      <c r="L20" s="344" t="n">
        <v>10</v>
      </c>
      <c r="M20" s="14" t="n"/>
      <c r="N20" s="345">
        <f>SUM(C20:M20)</f>
        <v/>
      </c>
      <c r="Q20" t="inlineStr">
        <is>
          <t>Scaler</t>
        </is>
      </c>
      <c r="R20" t="n">
        <v>1</v>
      </c>
    </row>
    <row r="21">
      <c r="B21" s="14" t="inlineStr">
        <is>
          <t>Line 2</t>
        </is>
      </c>
      <c r="C21" s="14" t="n">
        <v>1</v>
      </c>
      <c r="D21" s="14" t="n">
        <v>1</v>
      </c>
      <c r="E21" s="14" t="n">
        <v>1</v>
      </c>
      <c r="F21" s="14" t="n">
        <v>1</v>
      </c>
      <c r="G21" s="14" t="n"/>
      <c r="H21" s="14" t="n"/>
      <c r="I21" s="14" t="n">
        <v>2</v>
      </c>
      <c r="J21" s="346" t="n">
        <v>1</v>
      </c>
      <c r="K21" s="14" t="n"/>
      <c r="L21" s="344" t="n">
        <v>10</v>
      </c>
      <c r="M21" s="14" t="n"/>
      <c r="N21" s="345">
        <f>SUM(C21:M21)</f>
        <v/>
      </c>
    </row>
    <row r="22">
      <c r="B22" s="14" t="inlineStr">
        <is>
          <t>Line 3</t>
        </is>
      </c>
      <c r="C22" s="14" t="n">
        <v>2</v>
      </c>
      <c r="D22" s="14" t="n">
        <v>1</v>
      </c>
      <c r="E22" s="14" t="n">
        <v>1</v>
      </c>
      <c r="F22" s="14" t="n"/>
      <c r="G22" s="14" t="n">
        <v>1</v>
      </c>
      <c r="H22" s="14" t="n"/>
      <c r="I22" s="14" t="n"/>
      <c r="J22" s="14" t="n"/>
      <c r="K22" s="14" t="n"/>
      <c r="L22" s="344" t="n">
        <v>7</v>
      </c>
      <c r="M22" s="14" t="n">
        <v>1</v>
      </c>
      <c r="N22" s="345">
        <f>SUM(C22:M22)</f>
        <v/>
      </c>
    </row>
    <row r="23">
      <c r="B23" s="14" t="inlineStr">
        <is>
          <t>Line 4</t>
        </is>
      </c>
      <c r="C23" s="14" t="n">
        <v>1</v>
      </c>
      <c r="D23" s="14" t="n">
        <v>1</v>
      </c>
      <c r="E23" s="14" t="n">
        <v>1</v>
      </c>
      <c r="F23" s="14" t="n"/>
      <c r="G23" s="14" t="n">
        <v>1</v>
      </c>
      <c r="H23" s="14" t="n"/>
      <c r="I23" s="14" t="n"/>
      <c r="J23" s="14" t="n"/>
      <c r="K23" s="14" t="n"/>
      <c r="L23" s="344" t="n">
        <v>4</v>
      </c>
      <c r="M23" s="14" t="n">
        <v>1</v>
      </c>
      <c r="N23" s="345">
        <f>SUM(C23:M23)</f>
        <v/>
      </c>
    </row>
    <row r="24">
      <c r="B24" s="14" t="inlineStr">
        <is>
          <t>Line 5</t>
        </is>
      </c>
      <c r="C24" s="14" t="n">
        <v>1</v>
      </c>
      <c r="D24" s="14" t="n">
        <v>1</v>
      </c>
      <c r="E24" s="14" t="n">
        <v>1</v>
      </c>
      <c r="F24" s="14" t="n">
        <v>1</v>
      </c>
      <c r="G24" s="14" t="n"/>
      <c r="H24" s="14" t="n"/>
      <c r="I24" s="14" t="n"/>
      <c r="J24" s="14" t="n"/>
      <c r="K24" s="14" t="n"/>
      <c r="L24" s="344" t="n">
        <v>6</v>
      </c>
      <c r="M24" s="14" t="n"/>
      <c r="N24" s="345">
        <f>SUM(C24:M24)</f>
        <v/>
      </c>
    </row>
    <row r="25">
      <c r="B25" s="14" t="inlineStr">
        <is>
          <t>Line 6</t>
        </is>
      </c>
      <c r="C25" s="14" t="n">
        <v>1</v>
      </c>
      <c r="D25" s="14" t="n">
        <v>1</v>
      </c>
      <c r="E25" s="14" t="n">
        <v>1</v>
      </c>
      <c r="F25" s="14" t="n"/>
      <c r="G25" s="14" t="n"/>
      <c r="H25" s="14" t="n"/>
      <c r="I25" s="14" t="n"/>
      <c r="J25" s="14" t="n"/>
      <c r="K25" s="14" t="n"/>
      <c r="L25" s="344" t="n">
        <v>7</v>
      </c>
      <c r="M25" s="14" t="n">
        <v>3</v>
      </c>
      <c r="N25" s="345">
        <f>SUM(C25:M25)</f>
        <v/>
      </c>
    </row>
    <row r="26">
      <c r="B26" s="14" t="inlineStr">
        <is>
          <t>Line 9</t>
        </is>
      </c>
      <c r="C26" s="14" t="n">
        <v>1</v>
      </c>
      <c r="D26" s="14" t="n">
        <v>1</v>
      </c>
      <c r="E26" s="14" t="n">
        <v>1</v>
      </c>
      <c r="F26" s="14" t="n"/>
      <c r="G26" s="14" t="n">
        <v>1</v>
      </c>
      <c r="H26" s="14" t="n"/>
      <c r="I26" s="14" t="n"/>
      <c r="J26" s="14" t="n"/>
      <c r="K26" s="14" t="n"/>
      <c r="L26" s="344" t="n">
        <v>12</v>
      </c>
      <c r="M26" s="14" t="n">
        <v>2</v>
      </c>
      <c r="N26" s="345">
        <f>SUM(C26:M26)</f>
        <v/>
      </c>
    </row>
    <row r="27">
      <c r="B27" s="14" t="inlineStr">
        <is>
          <t>Line 8</t>
        </is>
      </c>
      <c r="C27" s="14" t="n">
        <v>2</v>
      </c>
      <c r="D27" s="14" t="n">
        <v>1</v>
      </c>
      <c r="E27" s="14" t="n"/>
      <c r="F27" s="14" t="n"/>
      <c r="G27" s="14" t="n">
        <v>1</v>
      </c>
      <c r="H27" s="14" t="n"/>
      <c r="I27" s="14" t="n">
        <v>1</v>
      </c>
      <c r="J27" s="14" t="n"/>
      <c r="K27" s="14" t="n"/>
      <c r="L27" s="344" t="n">
        <v>1</v>
      </c>
      <c r="M27" s="14" t="n"/>
      <c r="N27" s="345">
        <f>SUM(C27:M27)</f>
        <v/>
      </c>
    </row>
    <row r="28">
      <c r="N28" s="58" t="n"/>
    </row>
    <row r="29" ht="17.5" customHeight="1">
      <c r="I29" s="14" t="inlineStr">
        <is>
          <t>5000cases</t>
        </is>
      </c>
      <c r="J29" s="40" t="n"/>
      <c r="K29" t="inlineStr">
        <is>
          <t>Packer %</t>
        </is>
      </c>
      <c r="L29" s="347">
        <f>SUM(L20:L26)/N29</f>
        <v/>
      </c>
      <c r="M29" s="14" t="inlineStr">
        <is>
          <t>Total:</t>
        </is>
      </c>
      <c r="N29" s="348">
        <f>SUM(N20:N27)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4.5"/>
  <cols>
    <col width="10.08984375" customWidth="1" min="1" max="1"/>
    <col width="41.54296875" customWidth="1" min="2" max="2"/>
    <col width="12.08984375" customWidth="1" min="3" max="3"/>
    <col width="12.08984375" customWidth="1" min="5" max="5"/>
    <col width="12.08984375" customWidth="1" min="7" max="7"/>
  </cols>
  <sheetData>
    <row r="1" ht="37.5" customHeight="1">
      <c r="A1" s="349" t="inlineStr">
        <is>
          <t>Code</t>
        </is>
      </c>
      <c r="B1" s="349" t="inlineStr">
        <is>
          <t>Code</t>
        </is>
      </c>
      <c r="C1" s="350" t="inlineStr">
        <is>
          <t>Form TP Order</t>
        </is>
      </c>
      <c r="D1" s="350" t="inlineStr">
        <is>
          <t>Form Cone line order</t>
        </is>
      </c>
      <c r="E1" s="351" t="inlineStr">
        <is>
          <t>ORDER</t>
        </is>
      </c>
      <c r="F1" s="352" t="inlineStr">
        <is>
          <t>Order check</t>
        </is>
      </c>
      <c r="G1" s="353" t="inlineStr">
        <is>
          <t>ShelfLife</t>
        </is>
      </c>
    </row>
    <row r="2" ht="15" customHeight="1">
      <c r="A2" s="354" t="n">
        <v>64</v>
      </c>
      <c r="B2" s="355" t="inlineStr">
        <is>
          <t>MB BSTHIGH AC BG 5KG</t>
        </is>
      </c>
      <c r="C2" s="356">
        <f>_xlfn.XLOOKUP(A3,'06_Resource_Plan'!$C$3:$C$136,'06_Resource_Plan'!$F$3:$F$136,"No info")</f>
        <v/>
      </c>
      <c r="D2" s="357">
        <f>_xlfn.XLOOKUP(A3,'03_BulkPack_Order'!$A$2:$A$67,'03_BulkPack_Order'!$H$2:$H$67,"No info")</f>
        <v/>
      </c>
      <c r="E2" s="358">
        <f>MAX(C3:D3)</f>
        <v/>
      </c>
      <c r="F2" s="359">
        <f>IFERROR(VLOOKUP(A3,'01_Cages_Plan'!$C$26:$E$151,3,0),"Missing info")</f>
        <v/>
      </c>
      <c r="G2" s="360" t="n">
        <v>10</v>
      </c>
    </row>
    <row r="3" ht="15" customHeight="1">
      <c r="A3" s="354" t="n">
        <v>65</v>
      </c>
      <c r="B3" s="361" t="inlineStr">
        <is>
          <t>65</t>
        </is>
      </c>
      <c r="C3" s="356">
        <f>_xlfn.XLOOKUP(A4,'06_Resource_Plan'!$C$3:$C$136,'06_Resource_Plan'!$F$3:$F$136,"No info")</f>
        <v/>
      </c>
      <c r="D3" s="357">
        <f>_xlfn.XLOOKUP(A4,'03_BulkPack_Order'!$A$2:$A$67,'03_BulkPack_Order'!$H$2:$H$67,"No info")</f>
        <v/>
      </c>
      <c r="E3" s="358">
        <f>MAX(C4:D4)</f>
        <v/>
      </c>
      <c r="F3" s="359">
        <f>IFERROR(VLOOKUP(A4,'01_Cages_Plan'!$C$26:$E$151,3,0),"Missing info")</f>
        <v/>
      </c>
      <c r="G3" s="360" t="n">
        <v>10</v>
      </c>
    </row>
    <row r="4" ht="15" customHeight="1">
      <c r="A4" s="354" t="n">
        <v>71</v>
      </c>
      <c r="B4" s="361" t="inlineStr">
        <is>
          <t xml:space="preserve">FILLET  25KG </t>
        </is>
      </c>
      <c r="C4" s="356">
        <f>_xlfn.XLOOKUP(A5,'06_Resource_Plan'!$C$3:$C$136,'06_Resource_Plan'!$F$3:$F$136,"No info")</f>
        <v/>
      </c>
      <c r="D4" s="357">
        <f>_xlfn.XLOOKUP(A5,'03_BulkPack_Order'!$A$2:$A$67,'03_BulkPack_Order'!$H$2:$H$67,"No info")</f>
        <v/>
      </c>
      <c r="E4" s="358">
        <f>MAX(C5:D5)</f>
        <v/>
      </c>
      <c r="F4" s="359">
        <f>IFERROR(VLOOKUP(A5,'01_Cages_Plan'!$C$26:$E$151,3,0),"Missing info")</f>
        <v/>
      </c>
      <c r="G4" s="360" t="n">
        <v>7</v>
      </c>
    </row>
    <row r="5" ht="15" customHeight="1">
      <c r="A5" s="354" t="n">
        <v>100</v>
      </c>
      <c r="B5" s="362" t="inlineStr">
        <is>
          <t xml:space="preserve">WING  18KG </t>
        </is>
      </c>
      <c r="C5" s="356">
        <f>_xlfn.XLOOKUP(A6,'06_Resource_Plan'!$C$3:$C$136,'06_Resource_Plan'!$F$3:$F$136,"No info")</f>
        <v/>
      </c>
      <c r="D5" s="357">
        <f>_xlfn.XLOOKUP(A6,'03_BulkPack_Order'!$A$2:$A$67,'03_BulkPack_Order'!$H$2:$H$67,"No info")</f>
        <v/>
      </c>
      <c r="E5" s="358">
        <f>MAX(C6:D6)</f>
        <v/>
      </c>
      <c r="F5" s="359">
        <f>IFERROR(VLOOKUP(A6,'01_Cages_Plan'!$C$26:$E$151,3,0),"Missing info")</f>
        <v/>
      </c>
      <c r="G5" s="360" t="n">
        <v>8</v>
      </c>
    </row>
    <row r="6" ht="15" customHeight="1">
      <c r="A6" s="354" t="n">
        <v>159</v>
      </c>
      <c r="B6" s="363" t="inlineStr">
        <is>
          <t>159 MS LEG BA 18KG</t>
        </is>
      </c>
      <c r="C6" s="356">
        <f>_xlfn.XLOOKUP(A7,'06_Resource_Plan'!$C$3:$C$136,'06_Resource_Plan'!$F$3:$F$136,"No info")</f>
        <v/>
      </c>
      <c r="D6" s="357">
        <f>_xlfn.XLOOKUP(A7,'03_BulkPack_Order'!$A$2:$A$67,'03_BulkPack_Order'!$H$2:$H$67,"No info")</f>
        <v/>
      </c>
      <c r="E6" s="358">
        <f>MAX(C7:D7)</f>
        <v/>
      </c>
      <c r="F6" s="359">
        <f>IFERROR(VLOOKUP(A7,'01_Cages_Plan'!$C$26:$E$151,3,0),"Missing info")</f>
        <v/>
      </c>
      <c r="G6" s="360" t="n">
        <v>8</v>
      </c>
    </row>
    <row r="7" ht="15" customHeight="1">
      <c r="A7" s="354" t="n">
        <v>160</v>
      </c>
      <c r="B7" s="364" t="inlineStr">
        <is>
          <t>MS DRUM 18KG</t>
        </is>
      </c>
      <c r="C7" s="356">
        <f>_xlfn.XLOOKUP(A8,'06_Resource_Plan'!$C$3:$C$136,'06_Resource_Plan'!$F$3:$F$136,"No info")</f>
        <v/>
      </c>
      <c r="D7" s="357">
        <f>_xlfn.XLOOKUP(A8,'03_BulkPack_Order'!$A$2:$A$67,'03_BulkPack_Order'!$H$2:$H$67,"No info")</f>
        <v/>
      </c>
      <c r="E7" s="358">
        <f>MAX(C8:D8)</f>
        <v/>
      </c>
      <c r="F7" s="359">
        <f>IFERROR(VLOOKUP(A8,'01_Cages_Plan'!$C$26:$E$151,3,0),"Missing info")</f>
        <v/>
      </c>
      <c r="G7" s="360" t="n">
        <v>8</v>
      </c>
    </row>
    <row r="8" ht="15" customHeight="1">
      <c r="A8" s="346" t="n">
        <v>161</v>
      </c>
      <c r="B8" s="361" t="inlineStr">
        <is>
          <t>CHICKEN THIGHS 20KG</t>
        </is>
      </c>
      <c r="C8" s="356">
        <f>_xlfn.XLOOKUP(A9,'06_Resource_Plan'!$C$3:$C$136,'06_Resource_Plan'!$F$3:$F$136,"No info")</f>
        <v/>
      </c>
      <c r="D8" s="357">
        <f>_xlfn.XLOOKUP(A9,'03_BulkPack_Order'!$A$2:$A$67,'03_BulkPack_Order'!$H$2:$H$67,"No info")</f>
        <v/>
      </c>
      <c r="E8" s="358">
        <f>MAX(C9:D9)</f>
        <v/>
      </c>
      <c r="F8" s="359">
        <f>IFERROR(VLOOKUP(A9,'01_Cages_Plan'!$C$26:$E$151,3,0),"Missing info")</f>
        <v/>
      </c>
      <c r="G8" s="360" t="n">
        <v>8</v>
      </c>
    </row>
    <row r="9" ht="15" customHeight="1">
      <c r="A9" s="354" t="n">
        <v>165</v>
      </c>
      <c r="B9" s="365" t="inlineStr">
        <is>
          <t>MB BSHB RND AC 10KG</t>
        </is>
      </c>
      <c r="C9" s="356">
        <f>_xlfn.XLOOKUP(A10,'06_Resource_Plan'!$C$3:$C$136,'06_Resource_Plan'!$F$3:$F$136,"No info")</f>
        <v/>
      </c>
      <c r="D9" s="357">
        <f>_xlfn.XLOOKUP(A10,'03_BulkPack_Order'!$A$2:$A$67,'03_BulkPack_Order'!$H$2:$H$67,"No info")</f>
        <v/>
      </c>
      <c r="E9" s="358">
        <f>MAX(C10:D10)</f>
        <v/>
      </c>
      <c r="F9" s="359">
        <f>IFERROR(VLOOKUP(A10,'01_Cages_Plan'!$C$26:$E$151,3,0),"Missing info")</f>
        <v/>
      </c>
      <c r="G9" s="360" t="n"/>
    </row>
    <row r="10" ht="15" customHeight="1">
      <c r="A10" s="346" t="n">
        <v>834</v>
      </c>
      <c r="B10" s="361" t="inlineStr">
        <is>
          <t>BONE IN THIGH</t>
        </is>
      </c>
      <c r="C10" s="356">
        <f>_xlfn.XLOOKUP(A11,'06_Resource_Plan'!$C$3:$C$136,'06_Resource_Plan'!$F$3:$F$136,"No info")</f>
        <v/>
      </c>
      <c r="D10" s="357">
        <f>_xlfn.XLOOKUP(A11,'03_BulkPack_Order'!$A$2:$A$67,'03_BulkPack_Order'!$H$2:$H$67,"No info")</f>
        <v/>
      </c>
      <c r="E10" s="358">
        <f>MAX(C11:D11)</f>
        <v/>
      </c>
      <c r="F10" s="359">
        <f>IFERROR(VLOOKUP(A11,'01_Cages_Plan'!$C$26:$E$151,3,0),"Missing info")</f>
        <v/>
      </c>
      <c r="G10" s="360" t="n">
        <v>10</v>
      </c>
      <c r="H10" s="50" t="n"/>
    </row>
    <row r="11" ht="15" customHeight="1">
      <c r="A11" s="354" t="n">
        <v>868</v>
      </c>
      <c r="B11" s="361" t="inlineStr">
        <is>
          <t>868</t>
        </is>
      </c>
      <c r="C11" s="356">
        <f>_xlfn.XLOOKUP(A12,'06_Resource_Plan'!$C$3:$C$136,'06_Resource_Plan'!$F$3:$F$136,"No info")</f>
        <v/>
      </c>
      <c r="D11" s="357">
        <f>_xlfn.XLOOKUP(A12,'03_BulkPack_Order'!$A$2:$A$67,'03_BulkPack_Order'!$H$2:$H$67,"No info")</f>
        <v/>
      </c>
      <c r="E11" s="358">
        <f>MAX(C12:D12)</f>
        <v/>
      </c>
      <c r="F11" s="359">
        <f>IFERROR(VLOOKUP(A12,'01_Cages_Plan'!$C$26:$E$151,3,0),"Missing info")</f>
        <v/>
      </c>
      <c r="G11" s="360" t="n">
        <v>9</v>
      </c>
    </row>
    <row r="12" ht="15" customHeight="1">
      <c r="A12" s="354" t="n">
        <v>895</v>
      </c>
      <c r="B12" s="363" t="inlineStr">
        <is>
          <t>895 DRUM X 18 KG</t>
        </is>
      </c>
      <c r="C12" s="356">
        <f>_xlfn.XLOOKUP(A13,'06_Resource_Plan'!$C$3:$C$136,'06_Resource_Plan'!$F$3:$F$136,"No info")</f>
        <v/>
      </c>
      <c r="D12" s="357">
        <f>_xlfn.XLOOKUP(A13,'03_BulkPack_Order'!$A$2:$A$67,'03_BulkPack_Order'!$H$2:$H$67,"No info")</f>
        <v/>
      </c>
      <c r="E12" s="358">
        <f>MAX(C13:D13)</f>
        <v/>
      </c>
      <c r="F12" s="359">
        <f>IFERROR(VLOOKUP(A13,'01_Cages_Plan'!$C$26:$E$151,3,0),"Missing info")</f>
        <v/>
      </c>
      <c r="G12" s="360" t="n">
        <v>9</v>
      </c>
    </row>
    <row r="13" ht="15" customHeight="1">
      <c r="A13" s="346" t="n">
        <v>900</v>
      </c>
      <c r="B13" s="361" t="inlineStr">
        <is>
          <t xml:space="preserve">SPLIT WING  18 KG </t>
        </is>
      </c>
      <c r="C13" s="356">
        <f>_xlfn.XLOOKUP(A14,'06_Resource_Plan'!$C$3:$C$136,'06_Resource_Plan'!$F$3:$F$136,"No info")</f>
        <v/>
      </c>
      <c r="D13" s="357">
        <f>_xlfn.XLOOKUP(A14,'03_BulkPack_Order'!$A$2:$A$67,'03_BulkPack_Order'!$H$2:$H$67,"No info")</f>
        <v/>
      </c>
      <c r="E13" s="358">
        <f>MAX(C14:D14)</f>
        <v/>
      </c>
      <c r="F13" s="359">
        <f>IFERROR(VLOOKUP(A14,'01_Cages_Plan'!$C$26:$E$151,3,0),"Missing info")</f>
        <v/>
      </c>
      <c r="G13" s="360" t="n">
        <v>10</v>
      </c>
    </row>
    <row r="14" ht="15" customHeight="1">
      <c r="A14" s="346" t="n">
        <v>902</v>
      </c>
      <c r="B14" s="361" t="inlineStr">
        <is>
          <t>BONE IN THIGH</t>
        </is>
      </c>
      <c r="C14" s="356">
        <f>_xlfn.XLOOKUP(A15,'06_Resource_Plan'!$C$3:$C$136,'06_Resource_Plan'!$F$3:$F$136,"No info")</f>
        <v/>
      </c>
      <c r="D14" s="357">
        <f>_xlfn.XLOOKUP(A15,'03_BulkPack_Order'!$A$2:$A$67,'03_BulkPack_Order'!$H$2:$H$67,"No info")</f>
        <v/>
      </c>
      <c r="E14" s="358">
        <f>MAX(C15:D15)</f>
        <v/>
      </c>
      <c r="F14" s="359">
        <f>IFERROR(VLOOKUP(A15,'01_Cages_Plan'!$C$26:$E$151,3,0),"Missing info")</f>
        <v/>
      </c>
      <c r="G14" s="360" t="n">
        <v>10</v>
      </c>
    </row>
    <row r="15" ht="15" customHeight="1">
      <c r="A15" s="346" t="n">
        <v>903</v>
      </c>
      <c r="B15" s="361" t="inlineStr">
        <is>
          <t xml:space="preserve">B/A LEG 18KG  </t>
        </is>
      </c>
      <c r="C15" s="356">
        <f>_xlfn.XLOOKUP(A16,'06_Resource_Plan'!$C$3:$C$136,'06_Resource_Plan'!$F$3:$F$136,"No info")</f>
        <v/>
      </c>
      <c r="D15" s="357">
        <f>_xlfn.XLOOKUP(A16,'03_BulkPack_Order'!$A$2:$A$67,'03_BulkPack_Order'!$H$2:$H$67,"No info")</f>
        <v/>
      </c>
      <c r="E15" s="358">
        <f>MAX(C16:D16)</f>
        <v/>
      </c>
      <c r="F15" s="359">
        <f>IFERROR(VLOOKUP(A16,'01_Cages_Plan'!$C$26:$E$151,3,0),"Missing info")</f>
        <v/>
      </c>
      <c r="G15" s="360" t="n">
        <v>10</v>
      </c>
    </row>
    <row r="16" ht="15" customHeight="1">
      <c r="A16" s="354" t="n">
        <v>904</v>
      </c>
      <c r="B16" s="364" t="n"/>
      <c r="C16" s="356">
        <f>_xlfn.XLOOKUP(A17,'06_Resource_Plan'!$C$3:$C$136,'06_Resource_Plan'!$F$3:$F$136,"No info")</f>
        <v/>
      </c>
      <c r="D16" s="357">
        <f>_xlfn.XLOOKUP(A17,'03_BulkPack_Order'!$A$2:$A$67,'03_BulkPack_Order'!$H$2:$H$67,"No info")</f>
        <v/>
      </c>
      <c r="E16" s="358">
        <f>MAX(C17:D17)</f>
        <v/>
      </c>
      <c r="F16" s="359">
        <f>IFERROR(VLOOKUP(A17,'01_Cages_Plan'!$C$26:$E$151,3,0),"Missing info")</f>
        <v/>
      </c>
      <c r="G16" s="360" t="n">
        <v>10</v>
      </c>
    </row>
    <row r="17" ht="15" customHeight="1">
      <c r="A17" s="354" t="n">
        <v>61018</v>
      </c>
      <c r="B17" s="363" t="inlineStr">
        <is>
          <t>1026 WHOLE WING CAGE</t>
        </is>
      </c>
      <c r="C17" s="356">
        <f>_xlfn.XLOOKUP(A18,'06_Resource_Plan'!$C$3:$C$136,'06_Resource_Plan'!$F$3:$F$136,"No info")</f>
        <v/>
      </c>
      <c r="D17" s="357">
        <f>_xlfn.XLOOKUP(A18,'03_BulkPack_Order'!$A$2:$A$67,'03_BulkPack_Order'!$H$2:$H$67,"No info")</f>
        <v/>
      </c>
      <c r="E17" s="358">
        <f>MAX(C18:D18)</f>
        <v/>
      </c>
      <c r="F17" s="359">
        <f>IFERROR(VLOOKUP(A18,'01_Cages_Plan'!$C$26:$E$151,3,0),"Missing info")</f>
        <v/>
      </c>
      <c r="G17" s="360" t="n">
        <v>8</v>
      </c>
    </row>
    <row r="18" ht="15" customHeight="1">
      <c r="A18" s="354" t="inlineStr">
        <is>
          <t>61014B</t>
        </is>
      </c>
      <c r="B18" s="363" t="inlineStr">
        <is>
          <t>Split wing for Bagging</t>
        </is>
      </c>
      <c r="C18" s="356">
        <f>_xlfn.XLOOKUP(A19,'06_Resource_Plan'!$C$3:$C$136,'06_Resource_Plan'!$F$3:$F$136,"No info")</f>
        <v/>
      </c>
      <c r="D18" s="357">
        <f>_xlfn.XLOOKUP(A19,'03_BulkPack_Order'!$A$2:$A$67,'03_BulkPack_Order'!$H$2:$H$67,"No info")</f>
        <v/>
      </c>
      <c r="E18" s="358">
        <f>MAX(C19:D19)</f>
        <v/>
      </c>
      <c r="F18" s="359">
        <f>IFERROR(VLOOKUP(A19,'01_Cages_Plan'!$C$26:$E$151,3,0),"Missing info")</f>
        <v/>
      </c>
      <c r="G18" s="360" t="n"/>
    </row>
    <row r="19" ht="15" customHeight="1">
      <c r="A19" s="354" t="n">
        <v>1081</v>
      </c>
      <c r="B19" s="363" t="inlineStr">
        <is>
          <t>1081 RWA BONELESS X20 KG</t>
        </is>
      </c>
      <c r="C19" s="356">
        <f>_xlfn.XLOOKUP(A20,'06_Resource_Plan'!$C$3:$C$136,'06_Resource_Plan'!$F$3:$F$136,"No info")</f>
        <v/>
      </c>
      <c r="D19" s="357">
        <f>_xlfn.XLOOKUP(A20,'03_BulkPack_Order'!$A$2:$A$67,'03_BulkPack_Order'!$H$2:$H$67,"No info")</f>
        <v/>
      </c>
      <c r="E19" s="358">
        <f>MAX(C20:D20)</f>
        <v/>
      </c>
      <c r="F19" s="359">
        <f>IFERROR(VLOOKUP(A20,'01_Cages_Plan'!$C$26:$E$151,3,0),"Missing info")</f>
        <v/>
      </c>
      <c r="G19" s="360" t="n"/>
    </row>
    <row r="20" ht="15" customHeight="1">
      <c r="A20" s="354" t="n">
        <v>1083</v>
      </c>
      <c r="B20" s="363" t="inlineStr">
        <is>
          <t>1083 RWA DRUM X20 KG</t>
        </is>
      </c>
      <c r="C20" s="356">
        <f>_xlfn.XLOOKUP(A21,'06_Resource_Plan'!$C$3:$C$136,'06_Resource_Plan'!$F$3:$F$136,"No info")</f>
        <v/>
      </c>
      <c r="D20" s="357">
        <f>_xlfn.XLOOKUP(A21,'03_BulkPack_Order'!$A$2:$A$67,'03_BulkPack_Order'!$H$2:$H$67,"No info")</f>
        <v/>
      </c>
      <c r="E20" s="358">
        <f>MAX(C21:D21)</f>
        <v/>
      </c>
      <c r="F20" s="359">
        <f>IFERROR(VLOOKUP(A21,'01_Cages_Plan'!$C$26:$E$151,3,0),"Missing info")</f>
        <v/>
      </c>
      <c r="G20" s="360" t="n"/>
    </row>
    <row r="21" ht="15" customHeight="1">
      <c r="A21" s="346" t="n"/>
      <c r="B21" s="361" t="inlineStr">
        <is>
          <t xml:space="preserve">BONELESS SKINLESS THIGH 18KG  </t>
        </is>
      </c>
      <c r="C21" s="356">
        <f>_xlfn.XLOOKUP(A22,'06_Resource_Plan'!$C$3:$C$136,'06_Resource_Plan'!$F$3:$F$136,"No info")</f>
        <v/>
      </c>
      <c r="D21" s="357">
        <f>_xlfn.XLOOKUP(A22,'03_BulkPack_Order'!$A$2:$A$67,'03_BulkPack_Order'!$H$2:$H$67,"No info")</f>
        <v/>
      </c>
      <c r="E21" s="358">
        <f>MAX(C22:D22)</f>
        <v/>
      </c>
      <c r="F21" s="359">
        <f>IFERROR(VLOOKUP(A22,'01_Cages_Plan'!$C$26:$E$151,3,0),"Missing info")</f>
        <v/>
      </c>
      <c r="G21" s="360" t="n">
        <v>8</v>
      </c>
    </row>
    <row r="22" ht="15" customHeight="1">
      <c r="A22" s="346" t="n">
        <v>1446</v>
      </c>
      <c r="B22" s="361" t="inlineStr">
        <is>
          <t>MS BSHB RND 10KG PAGE: 1 OF 2</t>
        </is>
      </c>
      <c r="C22" s="356">
        <f>_xlfn.XLOOKUP(A23,'06_Resource_Plan'!$C$3:$C$136,'06_Resource_Plan'!$F$3:$F$136,"No info")</f>
        <v/>
      </c>
      <c r="D22" s="357">
        <f>_xlfn.XLOOKUP(A23,'03_BulkPack_Order'!$A$2:$A$67,'03_BulkPack_Order'!$H$2:$H$67,"No info")</f>
        <v/>
      </c>
      <c r="E22" s="358">
        <f>MAX(C23:D23)</f>
        <v/>
      </c>
      <c r="F22" s="359">
        <f>IFERROR(VLOOKUP(A23,'01_Cages_Plan'!$C$26:$E$151,3,0),"Missing info")</f>
        <v/>
      </c>
      <c r="G22" s="360" t="n"/>
    </row>
    <row r="23" ht="15" customHeight="1">
      <c r="A23" s="354" t="n">
        <v>1887</v>
      </c>
      <c r="B23" s="363" t="inlineStr">
        <is>
          <t>1887 B/A LEG X20 KG</t>
        </is>
      </c>
      <c r="C23" s="356">
        <f>_xlfn.XLOOKUP(A24,'06_Resource_Plan'!$C$3:$C$136,'06_Resource_Plan'!$F$3:$F$136,"No info")</f>
        <v/>
      </c>
      <c r="D23" s="357">
        <f>_xlfn.XLOOKUP(A24,'03_BulkPack_Order'!$A$2:$A$67,'03_BulkPack_Order'!$H$2:$H$67,"No info")</f>
        <v/>
      </c>
      <c r="E23" s="358">
        <f>MAX(C24:D24)</f>
        <v/>
      </c>
      <c r="F23" s="359">
        <f>IFERROR(VLOOKUP(A24,'01_Cages_Plan'!$C$26:$E$151,3,0),"Missing info")</f>
        <v/>
      </c>
      <c r="G23" s="360" t="n">
        <v>12</v>
      </c>
    </row>
    <row r="24" ht="15" customHeight="1">
      <c r="A24" s="354" t="n">
        <v>40021</v>
      </c>
      <c r="B24" s="363" t="n"/>
      <c r="C24" s="356">
        <f>_xlfn.XLOOKUP(A25,'06_Resource_Plan'!$C$3:$C$136,'06_Resource_Plan'!$F$3:$F$136,"No info")</f>
        <v/>
      </c>
      <c r="D24" s="357">
        <f>_xlfn.XLOOKUP(A25,'03_BulkPack_Order'!$A$2:$A$67,'03_BulkPack_Order'!$H$2:$H$67,"No info")</f>
        <v/>
      </c>
      <c r="E24" s="358">
        <f>MAX(C25:D25)</f>
        <v/>
      </c>
      <c r="F24" s="359">
        <f>IFERROR(VLOOKUP(A25,'01_Cages_Plan'!$C$26:$E$151,3,0),"Missing info")</f>
        <v/>
      </c>
      <c r="G24" s="360" t="n">
        <v>12</v>
      </c>
    </row>
    <row r="25" ht="15" customHeight="1">
      <c r="A25" s="354" t="n">
        <v>2233</v>
      </c>
      <c r="B25" s="363" t="inlineStr">
        <is>
          <t>1889 SPLIT WING X20KG</t>
        </is>
      </c>
      <c r="C25" s="356">
        <f>_xlfn.XLOOKUP(A26,'06_Resource_Plan'!$C$3:$C$136,'06_Resource_Plan'!$F$3:$F$136,"No info")</f>
        <v/>
      </c>
      <c r="D25" s="357">
        <f>_xlfn.XLOOKUP(A26,'03_BulkPack_Order'!$A$2:$A$67,'03_BulkPack_Order'!$H$2:$H$67,"No info")</f>
        <v/>
      </c>
      <c r="E25" s="358">
        <f>MAX(C26:D26)</f>
        <v/>
      </c>
      <c r="F25" s="359">
        <f>IFERROR(VLOOKUP(A26,'01_Cages_Plan'!$C$26:$E$151,3,0),"Missing info")</f>
        <v/>
      </c>
      <c r="G25" s="360" t="n">
        <v>12</v>
      </c>
    </row>
    <row r="26" ht="15" customHeight="1">
      <c r="A26" s="354" t="n">
        <v>1894</v>
      </c>
      <c r="B26" s="363" t="inlineStr">
        <is>
          <t>1894</t>
        </is>
      </c>
      <c r="C26" s="356">
        <f>_xlfn.XLOOKUP(A27,'06_Resource_Plan'!$C$3:$C$136,'06_Resource_Plan'!$F$3:$F$136,"No info")</f>
        <v/>
      </c>
      <c r="D26" s="357">
        <f>_xlfn.XLOOKUP(A27,'03_BulkPack_Order'!$A$2:$A$67,'03_BulkPack_Order'!$H$2:$H$67,"No info")</f>
        <v/>
      </c>
      <c r="E26" s="358">
        <f>MAX(C27:D27)</f>
        <v/>
      </c>
      <c r="F26" s="359">
        <f>IFERROR(VLOOKUP(A27,'01_Cages_Plan'!$C$26:$E$151,3,0),"Missing info")</f>
        <v/>
      </c>
      <c r="G26" s="360" t="n">
        <v>9</v>
      </c>
    </row>
    <row r="27" ht="15" customHeight="1">
      <c r="A27" s="354" t="n">
        <v>2235</v>
      </c>
      <c r="B27" s="363" t="inlineStr">
        <is>
          <t>2231 DRUMS STICK</t>
        </is>
      </c>
      <c r="C27" s="356">
        <f>_xlfn.XLOOKUP(A28,'06_Resource_Plan'!$C$3:$C$136,'06_Resource_Plan'!$F$3:$F$136,"No info")</f>
        <v/>
      </c>
      <c r="D27" s="357">
        <f>_xlfn.XLOOKUP(A28,'03_BulkPack_Order'!$A$2:$A$67,'03_BulkPack_Order'!$H$2:$H$67,"No info")</f>
        <v/>
      </c>
      <c r="E27" s="358">
        <f>MAX(C28:D28)</f>
        <v/>
      </c>
      <c r="F27" s="359">
        <f>IFERROR(VLOOKUP(A28,'01_Cages_Plan'!$C$26:$E$151,3,0),"Missing info")</f>
        <v/>
      </c>
      <c r="G27" s="360" t="n">
        <v>12</v>
      </c>
    </row>
    <row r="28" ht="15" customHeight="1">
      <c r="A28" s="354" t="n">
        <v>2236</v>
      </c>
      <c r="B28" s="363" t="inlineStr">
        <is>
          <t>COSTCO BONELESS</t>
        </is>
      </c>
      <c r="C28" s="356">
        <f>_xlfn.XLOOKUP(A29,'06_Resource_Plan'!$C$3:$C$136,'06_Resource_Plan'!$F$3:$F$136,"No info")</f>
        <v/>
      </c>
      <c r="D28" s="357">
        <f>_xlfn.XLOOKUP(A29,'03_BulkPack_Order'!$A$2:$A$67,'03_BulkPack_Order'!$H$2:$H$67,"No info")</f>
        <v/>
      </c>
      <c r="E28" s="358">
        <f>MAX(C29:D29)</f>
        <v/>
      </c>
      <c r="F28" s="359">
        <f>IFERROR(VLOOKUP(A29,'01_Cages_Plan'!$C$26:$E$151,3,0),"Missing info")</f>
        <v/>
      </c>
      <c r="G28" s="360" t="n">
        <v>12</v>
      </c>
    </row>
    <row r="29" ht="15" customHeight="1">
      <c r="A29" s="366" t="n">
        <v>7232</v>
      </c>
      <c r="B29" s="367" t="inlineStr">
        <is>
          <t>61069 CUTLET RWA 7232 (PIECES) *5</t>
        </is>
      </c>
      <c r="C29" s="368">
        <f>IFERROR(VLOOKUP(A30,'05_Daily_Orders'!$B$3:$G$295,6,0)*VLOOKUP(A30,Tray_Pack,7,0)*5,"")</f>
        <v/>
      </c>
      <c r="D29" s="357">
        <f>_xlfn.XLOOKUP(A30,'03_BulkPack_Order'!$A$2:$A$67,'03_BulkPack_Order'!$H$2:$H$67,"No info")</f>
        <v/>
      </c>
      <c r="E29" s="369">
        <f>MAX(C30:D30)</f>
        <v/>
      </c>
      <c r="F29" s="359">
        <f>IFERROR(VLOOKUP(A30,'01_Cages_Plan'!$C$26:$E$151,3,0),"Missing info")</f>
        <v/>
      </c>
      <c r="G29" s="360" t="n"/>
    </row>
    <row r="30" ht="15" customHeight="1">
      <c r="A30" s="366" t="n">
        <v>7233</v>
      </c>
      <c r="B30" s="367" t="inlineStr">
        <is>
          <t>61070 STRIP RWA 7233 (TRAY)*4</t>
        </is>
      </c>
      <c r="C30" s="368">
        <f>IFERROR(VLOOKUP(A31,'05_Daily_Orders'!$B$3:$G$295,6,0)*VLOOKUP(A31,Tray_Pack,7,0)*4,"")</f>
        <v/>
      </c>
      <c r="D30" s="357">
        <f>_xlfn.XLOOKUP(A31,'03_BulkPack_Order'!$A$2:$A$67,'03_BulkPack_Order'!$H$2:$H$67,"No info")</f>
        <v/>
      </c>
      <c r="E30" s="369">
        <f>MAX(C31:D31)</f>
        <v/>
      </c>
      <c r="F30" s="359">
        <f>IFERROR(VLOOKUP(A31,'01_Cages_Plan'!$C$26:$E$151,3,0),"Missing info")</f>
        <v/>
      </c>
      <c r="G30" s="360" t="n"/>
      <c r="H30" s="112" t="n"/>
    </row>
    <row r="31" ht="15" customHeight="1">
      <c r="A31" s="366" t="n">
        <v>7243</v>
      </c>
      <c r="B31" s="367" t="inlineStr">
        <is>
          <t>61069 CUTLET RWA 7243  *10</t>
        </is>
      </c>
      <c r="C31" s="368">
        <f>IFERROR(VLOOKUP(A32,'05_Daily_Orders'!$B$3:$G$295,6,0)*VLOOKUP(A32,Tray_Pack,7,0)*10,"")</f>
        <v/>
      </c>
      <c r="D31" s="357">
        <f>_xlfn.XLOOKUP(A32,'03_BulkPack_Order'!$A$2:$A$67,'03_BulkPack_Order'!$H$2:$H$67,"No info")</f>
        <v/>
      </c>
      <c r="E31" s="370">
        <f>MAX(C32:D32)</f>
        <v/>
      </c>
      <c r="F31" s="359">
        <f>IFERROR(VLOOKUP(A32,'01_Cages_Plan'!$C$26:$E$151,3,0),"Missing info")</f>
        <v/>
      </c>
      <c r="G31" s="360" t="n"/>
    </row>
    <row r="32" ht="15" customHeight="1">
      <c r="A32" s="371" t="n">
        <v>7314</v>
      </c>
      <c r="B32" s="372" t="inlineStr">
        <is>
          <t>MS FFTF BSHB WOF CUTLET AC PP 7314</t>
        </is>
      </c>
      <c r="C32" s="373">
        <f>IFERROR(VLOOKUP(A33,'05_Daily_Orders'!$B$3:$G$295,6,0)*VLOOKUP(A33,Tray_Pack,7,0),"")</f>
        <v/>
      </c>
      <c r="D32" s="357">
        <f>_xlfn.XLOOKUP(A33,'03_BulkPack_Order'!$A$2:$A$67,'03_BulkPack_Order'!$H$2:$H$67,"No info")</f>
        <v/>
      </c>
      <c r="E32" s="358">
        <f>MAX(C33:D33)</f>
        <v/>
      </c>
      <c r="F32" s="359">
        <f>IFERROR(VLOOKUP(A33,'01_Cages_Plan'!$C$26:$E$151,3,0),"Missing info")</f>
        <v/>
      </c>
      <c r="G32" s="360" t="n"/>
    </row>
    <row r="33" ht="15" customHeight="1">
      <c r="A33" s="346" t="n">
        <v>7811</v>
      </c>
      <c r="B33" s="361" t="n"/>
      <c r="C33" s="356">
        <f>_xlfn.XLOOKUP(A34,'06_Resource_Plan'!$C$3:$C$136,'06_Resource_Plan'!$F$3:$F$136,"No info")</f>
        <v/>
      </c>
      <c r="D33" s="357">
        <f>_xlfn.XLOOKUP(A34,'03_BulkPack_Order'!$A$2:$A$67,'03_BulkPack_Order'!$H$2:$H$67,"No info")</f>
        <v/>
      </c>
      <c r="E33" s="358">
        <f>MAX(C34:D34)</f>
        <v/>
      </c>
      <c r="F33" s="359">
        <f>IFERROR(VLOOKUP(A34,'01_Cages_Plan'!$C$26:$E$151,3,0),"Missing info")</f>
        <v/>
      </c>
      <c r="G33" s="360" t="n"/>
    </row>
    <row r="34" ht="15" customHeight="1">
      <c r="A34" s="346" t="n">
        <v>7812</v>
      </c>
      <c r="B34" s="361" t="n"/>
      <c r="C34" s="356">
        <f>_xlfn.XLOOKUP(A35,'06_Resource_Plan'!$C$3:$C$136,'06_Resource_Plan'!$F$3:$F$136,"No info")</f>
        <v/>
      </c>
      <c r="D34" s="357">
        <f>_xlfn.XLOOKUP(A35,'03_BulkPack_Order'!$A$2:$A$67,'03_BulkPack_Order'!$H$2:$H$67,"No info")</f>
        <v/>
      </c>
      <c r="E34" s="358">
        <f>MAX(C35:D35)</f>
        <v/>
      </c>
      <c r="F34" s="359">
        <f>IFERROR(VLOOKUP(A35,'01_Cages_Plan'!$C$26:$E$151,3,0),"Missing info")</f>
        <v/>
      </c>
      <c r="G34" s="360" t="n"/>
    </row>
    <row r="35" ht="15" customHeight="1">
      <c r="A35" s="346" t="n">
        <v>7813</v>
      </c>
      <c r="B35" s="361" t="n"/>
      <c r="C35" s="356">
        <f>_xlfn.XLOOKUP(A36,'06_Resource_Plan'!$C$3:$C$136,'06_Resource_Plan'!$F$3:$F$136,"No info")</f>
        <v/>
      </c>
      <c r="D35" s="357">
        <f>_xlfn.XLOOKUP(A36,'03_BulkPack_Order'!$A$2:$A$67,'03_BulkPack_Order'!$H$2:$H$67,"No info")</f>
        <v/>
      </c>
      <c r="E35" s="358">
        <f>MAX(C36:D36)</f>
        <v/>
      </c>
      <c r="F35" s="359">
        <f>IFERROR(VLOOKUP(A36,'01_Cages_Plan'!$C$26:$E$151,3,0),"Missing info")</f>
        <v/>
      </c>
      <c r="G35" s="360" t="n"/>
    </row>
    <row r="36" ht="15" customHeight="1">
      <c r="A36" s="366" t="n">
        <v>7814</v>
      </c>
      <c r="B36" s="367" t="inlineStr">
        <is>
          <t>61064 BUTTERFLY 7814 (TRAY) *2</t>
        </is>
      </c>
      <c r="C36" s="368">
        <f>IFERROR(VLOOKUP(A37,'05_Daily_Orders'!$B$3:$G$295,6,0)*VLOOKUP(A37,Tray_Pack,7,0)*4,"")</f>
        <v/>
      </c>
      <c r="D36" s="357">
        <f>_xlfn.XLOOKUP(A37,'03_BulkPack_Order'!$A$2:$A$67,'03_BulkPack_Order'!$H$2:$H$67,"No info")</f>
        <v/>
      </c>
      <c r="E36" s="369">
        <f>MAX(C37:D37)</f>
        <v/>
      </c>
      <c r="F36" s="359">
        <f>IFERROR(VLOOKUP(A37,'01_Cages_Plan'!$C$26:$E$151,3,0),"Missing info")</f>
        <v/>
      </c>
      <c r="G36" s="360" t="n"/>
    </row>
    <row r="37" ht="15" customHeight="1">
      <c r="A37" s="346" t="n">
        <v>40838</v>
      </c>
      <c r="B37" s="361" t="inlineStr">
        <is>
          <t xml:space="preserve">FROZEN WINGS 18KG </t>
        </is>
      </c>
      <c r="C37" s="356">
        <f>_xlfn.XLOOKUP(A38,'06_Resource_Plan'!$C$3:$C$136,'06_Resource_Plan'!$F$3:$F$136,"No info")</f>
        <v/>
      </c>
      <c r="D37" s="357">
        <f>_xlfn.XLOOKUP(A38,'03_BulkPack_Order'!$A$2:$A$67,'03_BulkPack_Order'!$H$2:$H$67,"No info")</f>
        <v/>
      </c>
      <c r="E37" s="358">
        <f>MAX(C38:D38)</f>
        <v/>
      </c>
      <c r="F37" s="359">
        <f>IFERROR(VLOOKUP(A38,'01_Cages_Plan'!$C$26:$E$151,3,0),"Missing info")</f>
        <v/>
      </c>
      <c r="G37" s="360" t="n">
        <v>365</v>
      </c>
    </row>
    <row r="38" ht="15" customHeight="1">
      <c r="A38" s="374" t="n">
        <v>61010</v>
      </c>
      <c r="B38" s="375" t="inlineStr">
        <is>
          <t>61010 WHOLE WING X25KG</t>
        </is>
      </c>
      <c r="C38" s="376">
        <f>_xlfn.XLOOKUP(A39,'06_Resource_Plan'!$C$3:$C$136,'06_Resource_Plan'!$F$3:$F$136,"No info")</f>
        <v/>
      </c>
      <c r="D38" s="357">
        <f>_xlfn.XLOOKUP(A39,'03_BulkPack_Order'!$A$2:$A$67,'03_BulkPack_Order'!$H$2:$H$67,"No info")</f>
        <v/>
      </c>
      <c r="E38" s="377">
        <f>MAX(C39:D39)</f>
        <v/>
      </c>
      <c r="F38" s="378">
        <f>IFERROR(VLOOKUP(A39,'01_Cages_Plan'!$C$26:$E$151,3,0),"Missing info")</f>
        <v/>
      </c>
      <c r="G38" s="360" t="n"/>
    </row>
    <row r="39" ht="15" customHeight="1">
      <c r="A39" s="354" t="n">
        <v>61014</v>
      </c>
      <c r="B39" s="363" t="inlineStr">
        <is>
          <t>61014/20 SPLIT WING X25KG</t>
        </is>
      </c>
      <c r="C39" s="356">
        <f>_xlfn.XLOOKUP(A40,'06_Resource_Plan'!$C$3:$C$136,'06_Resource_Plan'!$F$3:$F$136,"No info")</f>
        <v/>
      </c>
      <c r="D39" s="357">
        <f>_xlfn.XLOOKUP(A40,'03_BulkPack_Order'!$A$2:$A$67,'03_BulkPack_Order'!$H$2:$H$67,"No info")</f>
        <v/>
      </c>
      <c r="E39" s="358">
        <f>MAX(C40:D40)</f>
        <v/>
      </c>
      <c r="F39" s="359">
        <f>IFERROR(VLOOKUP(A40,'01_Cages_Plan'!$C$26:$E$151,3,0),"Missing info")</f>
        <v/>
      </c>
      <c r="G39" s="360" t="n"/>
    </row>
    <row r="40" ht="15" customHeight="1">
      <c r="A40" s="354" t="n">
        <v>61016</v>
      </c>
      <c r="B40" s="363" t="inlineStr">
        <is>
          <t>61016 RWA SPLIT WING</t>
        </is>
      </c>
      <c r="C40" s="356">
        <f>_xlfn.XLOOKUP(A41,'06_Resource_Plan'!$C$3:$C$136,'06_Resource_Plan'!$F$3:$F$136,"No info")</f>
        <v/>
      </c>
      <c r="D40" s="357">
        <f>_xlfn.XLOOKUP(A41,'03_BulkPack_Order'!$A$2:$A$67,'03_BulkPack_Order'!$H$2:$H$67,"No info")</f>
        <v/>
      </c>
      <c r="E40" s="358">
        <f>MAX(C41:D41)</f>
        <v/>
      </c>
      <c r="F40" s="359">
        <f>IFERROR(VLOOKUP(A41,'01_Cages_Plan'!$C$26:$E$151,3,0),"Missing info")</f>
        <v/>
      </c>
      <c r="G40" s="360" t="n"/>
    </row>
    <row r="41" ht="15" customHeight="1">
      <c r="A41" s="374" t="inlineStr">
        <is>
          <t>61040#2</t>
        </is>
      </c>
      <c r="B41" s="375" t="inlineStr">
        <is>
          <t>61040 REJECT SPLIT BREAST X25KG</t>
        </is>
      </c>
      <c r="C41" s="376">
        <f>_xlfn.XLOOKUP(A42,'06_Resource_Plan'!$C$3:$C$136,'06_Resource_Plan'!$F$3:$F$136,"No info")</f>
        <v/>
      </c>
      <c r="D41" s="357">
        <f>_xlfn.XLOOKUP(A42,'03_BulkPack_Order'!$A$2:$A$67,'03_BulkPack_Order'!$H$2:$H$67,"No info")</f>
        <v/>
      </c>
      <c r="E41" s="377">
        <f>MAX(C42:D42)</f>
        <v/>
      </c>
      <c r="F41" s="378">
        <f>IFERROR(VLOOKUP(A42,'01_Cages_Plan'!$C$26:$E$151,3,0),"Missing info")</f>
        <v/>
      </c>
      <c r="G41" s="360" t="n"/>
    </row>
    <row r="42" ht="15" customHeight="1">
      <c r="A42" s="354" t="n">
        <v>61042</v>
      </c>
      <c r="B42" s="363" t="inlineStr">
        <is>
          <t>61042 RWA SKLN ON SPLIT BREAST X25KG</t>
        </is>
      </c>
      <c r="C42" s="356">
        <f>_xlfn.XLOOKUP(A43,'06_Resource_Plan'!$C$3:$C$136,'06_Resource_Plan'!$F$3:$F$136,"No info")</f>
        <v/>
      </c>
      <c r="D42" s="357">
        <f>_xlfn.XLOOKUP(A43,'03_BulkPack_Order'!$A$2:$A$67,'03_BulkPack_Order'!$H$2:$H$67,"No info")</f>
        <v/>
      </c>
      <c r="E42" s="358">
        <f>MAX(C43:D43)</f>
        <v/>
      </c>
      <c r="F42" s="359">
        <f>IFERROR(VLOOKUP(A43,'01_Cages_Plan'!$C$26:$E$151,3,0),"Missing info")</f>
        <v/>
      </c>
      <c r="G42" s="360" t="n"/>
    </row>
    <row r="43" ht="15" customHeight="1">
      <c r="A43" s="374" t="n">
        <v>61048</v>
      </c>
      <c r="B43" s="375" t="inlineStr">
        <is>
          <t>61048 REJECT SKNLS SPLIT BREAST X25KG</t>
        </is>
      </c>
      <c r="C43" s="376">
        <f>_xlfn.XLOOKUP(A44,'06_Resource_Plan'!$C$3:$C$136,'06_Resource_Plan'!$F$3:$F$136,"No info")</f>
        <v/>
      </c>
      <c r="D43" s="357">
        <f>_xlfn.XLOOKUP(A44,'03_BulkPack_Order'!$A$2:$A$67,'03_BulkPack_Order'!$H$2:$H$67,"No info")</f>
        <v/>
      </c>
      <c r="E43" s="377">
        <f>MAX(C44:D44)</f>
        <v/>
      </c>
      <c r="F43" s="378">
        <f>IFERROR(VLOOKUP(A44,'01_Cages_Plan'!$C$26:$E$151,3,0),"Missing info")</f>
        <v/>
      </c>
      <c r="G43" s="360" t="n"/>
    </row>
    <row r="44" ht="15" customHeight="1">
      <c r="A44" s="374" t="inlineStr">
        <is>
          <t>61048#2</t>
        </is>
      </c>
      <c r="B44" s="375" t="inlineStr">
        <is>
          <t>61048 REJECT SKNLS SPLIT BREAST X25KG</t>
        </is>
      </c>
      <c r="C44" s="376">
        <f>_xlfn.XLOOKUP(A45,'06_Resource_Plan'!$C$3:$C$136,'06_Resource_Plan'!$F$3:$F$136,"No info")</f>
        <v/>
      </c>
      <c r="D44" s="357">
        <f>_xlfn.XLOOKUP(A45,'03_BulkPack_Order'!$A$2:$A$67,'03_BulkPack_Order'!$H$2:$H$67,"No info")</f>
        <v/>
      </c>
      <c r="E44" s="377">
        <f>MAX(C45:D45)</f>
        <v/>
      </c>
      <c r="F44" s="378">
        <f>IFERROR(VLOOKUP(A45,'01_Cages_Plan'!$C$26:$E$151,3,0),"Missing info")</f>
        <v/>
      </c>
      <c r="G44" s="360" t="n"/>
    </row>
    <row r="45" ht="15" customHeight="1">
      <c r="A45" s="354" t="n">
        <v>61049</v>
      </c>
      <c r="B45" s="363" t="inlineStr">
        <is>
          <t>61049 RWA SKNLS SPLIT BREAST X25KG</t>
        </is>
      </c>
      <c r="C45" s="376">
        <f>_xlfn.XLOOKUP(A46,'06_Resource_Plan'!$C$3:$C$136,'06_Resource_Plan'!$F$3:$F$136,"No info")</f>
        <v/>
      </c>
      <c r="D45" s="357">
        <f>_xlfn.XLOOKUP(A46,'03_BulkPack_Order'!$A$2:$A$67,'03_BulkPack_Order'!$H$2:$H$67,"No info")</f>
        <v/>
      </c>
      <c r="E45" s="358">
        <f>MAX(C46:D46)</f>
        <v/>
      </c>
      <c r="F45" s="359">
        <f>IFERROR(VLOOKUP(A46,'01_Cages_Plan'!$C$26:$E$151,3,0),"Missing info")</f>
        <v/>
      </c>
      <c r="G45" s="360" t="n"/>
    </row>
    <row r="46" ht="15" customHeight="1">
      <c r="A46" s="354" t="n">
        <v>61050</v>
      </c>
      <c r="B46" s="363" t="inlineStr">
        <is>
          <t>61050 PC BONELESS</t>
        </is>
      </c>
      <c r="C46" s="356">
        <f>_xlfn.XLOOKUP(A47,'06_Resource_Plan'!$C$3:$C$136,'06_Resource_Plan'!$F$3:$F$136,"No info")</f>
        <v/>
      </c>
      <c r="D46" s="357">
        <f>_xlfn.XLOOKUP(A47,'03_BulkPack_Order'!$A$2:$A$67,'03_BulkPack_Order'!$H$2:$H$67,"No info")</f>
        <v/>
      </c>
      <c r="E46" s="358">
        <f>MAX(C47:D47)</f>
        <v/>
      </c>
      <c r="F46" s="359">
        <f>IFERROR(VLOOKUP(A47,'01_Cages_Plan'!$C$26:$E$151,3,0),"Missing info")</f>
        <v/>
      </c>
      <c r="G46" s="360" t="n"/>
    </row>
    <row r="47" ht="25" customHeight="1">
      <c r="A47" s="354" t="n">
        <v>61051</v>
      </c>
      <c r="B47" s="363" t="inlineStr">
        <is>
          <t>61051 RWA BONELESS</t>
        </is>
      </c>
      <c r="C47" s="356">
        <f>_xlfn.XLOOKUP(A48,'06_Resource_Plan'!$C$3:$C$136,'06_Resource_Plan'!$F$3:$F$136,"No info")</f>
        <v/>
      </c>
      <c r="D47" s="357">
        <f>_xlfn.XLOOKUP(A48,'03_BulkPack_Order'!$A$2:$A$67,'03_BulkPack_Order'!$H$2:$H$67,"No info")</f>
        <v/>
      </c>
      <c r="E47" s="358">
        <f>MAX(C48:D48)</f>
        <v/>
      </c>
      <c r="F47" s="359">
        <f>IFERROR(VLOOKUP(A48,'01_Cages_Plan'!$C$26:$E$151,3,0),"Missing info")</f>
        <v/>
      </c>
      <c r="G47" s="360" t="n"/>
    </row>
    <row r="48" ht="15" customHeight="1">
      <c r="A48" s="354" t="n">
        <v>61054</v>
      </c>
      <c r="B48" s="363" t="n"/>
      <c r="C48" s="356">
        <f>_xlfn.XLOOKUP(A49,'06_Resource_Plan'!$C$3:$C$136,'06_Resource_Plan'!$F$3:$F$136,"No info")</f>
        <v/>
      </c>
      <c r="D48" s="357">
        <f>_xlfn.XLOOKUP(A49,'03_BulkPack_Order'!$A$2:$A$67,'03_BulkPack_Order'!$H$2:$H$67,"No info")</f>
        <v/>
      </c>
      <c r="E48" s="358">
        <f>MAX(C49:D49)</f>
        <v/>
      </c>
      <c r="F48" s="359">
        <f>IFERROR(VLOOKUP(A49,'01_Cages_Plan'!$C$26:$E$151,3,0),"Missing info")</f>
        <v/>
      </c>
      <c r="G48" s="360" t="n"/>
    </row>
    <row r="49" ht="15" customHeight="1">
      <c r="A49" s="374" t="n">
        <v>61061</v>
      </c>
      <c r="B49" s="375" t="inlineStr">
        <is>
          <t xml:space="preserve">61061 B/A LEG BASKET </t>
        </is>
      </c>
      <c r="C49" s="376">
        <f>_xlfn.XLOOKUP(A50,'06_Resource_Plan'!$C$3:$C$136,'06_Resource_Plan'!$F$3:$F$136,"No info")</f>
        <v/>
      </c>
      <c r="D49" s="357">
        <f>_xlfn.XLOOKUP(A50,'03_BulkPack_Order'!$A$2:$A$67,'03_BulkPack_Order'!$H$2:$H$67,"No info")</f>
        <v/>
      </c>
      <c r="E49" s="377">
        <f>MAX(C50:D50)</f>
        <v/>
      </c>
      <c r="F49" s="378">
        <f>IFERROR(VLOOKUP(A50,'01_Cages_Plan'!$C$26:$E$151,3,0),"Missing info")</f>
        <v/>
      </c>
      <c r="G49" s="360" t="n"/>
    </row>
    <row r="50" ht="15" customHeight="1">
      <c r="A50" s="354" t="n">
        <v>61062</v>
      </c>
      <c r="B50" s="363" t="inlineStr">
        <is>
          <t>B/A IN CAGES X800KG</t>
        </is>
      </c>
      <c r="C50" s="356">
        <f>_xlfn.XLOOKUP(A51,'06_Resource_Plan'!$C$3:$C$136,'06_Resource_Plan'!$F$3:$F$136,"No info")</f>
        <v/>
      </c>
      <c r="D50" s="357">
        <f>_xlfn.XLOOKUP(A51,'03_BulkPack_Order'!$A$2:$A$67,'03_BulkPack_Order'!$H$2:$H$67,"No info")</f>
        <v/>
      </c>
      <c r="E50" s="358">
        <f>MAX(C51:D51)</f>
        <v/>
      </c>
      <c r="F50" s="359">
        <f>IFERROR(VLOOKUP(A51,'01_Cages_Plan'!$C$26:$E$151,3,0),"Missing info")</f>
        <v/>
      </c>
      <c r="G50" s="360" t="n"/>
    </row>
    <row r="51" ht="15" customHeight="1">
      <c r="A51" s="354" t="n">
        <v>61052</v>
      </c>
      <c r="B51" s="363" t="n">
        <v>61052</v>
      </c>
      <c r="C51" s="356">
        <f>_xlfn.XLOOKUP(A52,'06_Resource_Plan'!$C$3:$C$136,'06_Resource_Plan'!$F$3:$F$136,"No info")</f>
        <v/>
      </c>
      <c r="D51" s="357">
        <f>_xlfn.XLOOKUP(A52,'03_BulkPack_Order'!$A$2:$A$67,'03_BulkPack_Order'!$H$2:$H$67,"No info")</f>
        <v/>
      </c>
      <c r="E51" s="358">
        <f>MAX(C52:D52)</f>
        <v/>
      </c>
      <c r="F51" s="359">
        <f>IFERROR(VLOOKUP(A52,'01_Cages_Plan'!$C$26:$E$151,3,0),"Missing info")</f>
        <v/>
      </c>
      <c r="G51" s="360" t="n"/>
    </row>
    <row r="52" ht="15" customHeight="1">
      <c r="A52" s="354" t="n">
        <v>61069</v>
      </c>
      <c r="B52" s="363" t="inlineStr">
        <is>
          <t>61069</t>
        </is>
      </c>
      <c r="C52" s="356">
        <f>_xlfn.XLOOKUP(A53,'06_Resource_Plan'!$C$3:$C$136,'06_Resource_Plan'!$F$3:$F$136,"No info")</f>
        <v/>
      </c>
      <c r="D52" s="357">
        <f>_xlfn.XLOOKUP(A53,'03_BulkPack_Order'!$A$2:$A$67,'03_BulkPack_Order'!$H$2:$H$67,"No info")</f>
        <v/>
      </c>
      <c r="E52" s="358">
        <f>MAX(C53:D53)</f>
        <v/>
      </c>
      <c r="F52" s="359">
        <f>IFERROR(VLOOKUP(A53,'01_Cages_Plan'!$C$26:$E$151,3,0),"Missing info")</f>
        <v/>
      </c>
      <c r="G52" s="360" t="n"/>
    </row>
    <row r="53" ht="15" customHeight="1">
      <c r="A53" s="354" t="n">
        <v>61070</v>
      </c>
      <c r="B53" s="363" t="inlineStr">
        <is>
          <t>61070</t>
        </is>
      </c>
      <c r="C53" s="356">
        <f>_xlfn.XLOOKUP(A54,'06_Resource_Plan'!$C$3:$C$136,'06_Resource_Plan'!$F$3:$F$136,"No info")</f>
        <v/>
      </c>
      <c r="D53" s="357">
        <f>_xlfn.XLOOKUP(A54,'03_BulkPack_Order'!$A$2:$A$67,'03_BulkPack_Order'!$H$2:$H$67,"No info")</f>
        <v/>
      </c>
      <c r="E53" s="358">
        <f>MAX(C54:D54)</f>
        <v/>
      </c>
      <c r="F53" s="359">
        <f>IFERROR(VLOOKUP(A54,'01_Cages_Plan'!$C$26:$E$151,3,0),"Missing info")</f>
        <v/>
      </c>
      <c r="G53" s="360" t="n"/>
    </row>
    <row r="54" ht="15" customHeight="1">
      <c r="A54" s="354" t="n">
        <v>61072</v>
      </c>
      <c r="B54" s="379" t="inlineStr">
        <is>
          <t>61072 LCL DRUM STICK X25KG</t>
        </is>
      </c>
      <c r="C54" s="356">
        <f>_xlfn.XLOOKUP(A55,'06_Resource_Plan'!$C$3:$C$136,'06_Resource_Plan'!$F$3:$F$136,"No info")</f>
        <v/>
      </c>
      <c r="D54" s="357">
        <f>_xlfn.XLOOKUP(A55,'03_BulkPack_Order'!$A$2:$A$67,'03_BulkPack_Order'!$H$2:$H$67,"No info")</f>
        <v/>
      </c>
      <c r="E54" s="358">
        <f>MAX(C55:D55)</f>
        <v/>
      </c>
      <c r="F54" s="359">
        <f>IFERROR(VLOOKUP(A55,'01_Cages_Plan'!$C$26:$E$151,3,0),"Missing info")</f>
        <v/>
      </c>
      <c r="G54" s="360" t="n"/>
    </row>
    <row r="55" ht="15" customHeight="1">
      <c r="A55" s="354" t="n">
        <v>61073</v>
      </c>
      <c r="B55" s="363" t="inlineStr">
        <is>
          <t>DRUMSTICKS IN CAGE 61073/75</t>
        </is>
      </c>
      <c r="C55" s="356">
        <f>_xlfn.XLOOKUP(A56,'06_Resource_Plan'!$C$3:$C$136,'06_Resource_Plan'!$F$3:$F$136,"No info")</f>
        <v/>
      </c>
      <c r="D55" s="357">
        <f>_xlfn.XLOOKUP(A56,'03_BulkPack_Order'!$A$2:$A$67,'03_BulkPack_Order'!$H$2:$H$67,"No info")</f>
        <v/>
      </c>
      <c r="E55" s="358">
        <f>MAX(C56:D56)</f>
        <v/>
      </c>
      <c r="F55" s="359">
        <f>IFERROR(VLOOKUP(A56,'01_Cages_Plan'!$C$26:$E$151,3,0),"Missing info")</f>
        <v/>
      </c>
      <c r="G55" s="360" t="n"/>
    </row>
    <row r="56" ht="15" customHeight="1">
      <c r="A56" s="354" t="n">
        <v>61074</v>
      </c>
      <c r="B56" s="379" t="inlineStr">
        <is>
          <t>61074 RWA DRUM X25KG</t>
        </is>
      </c>
      <c r="C56" s="356">
        <f>_xlfn.XLOOKUP(A57,'06_Resource_Plan'!$C$3:$C$136,'06_Resource_Plan'!$F$3:$F$136,"No info")</f>
        <v/>
      </c>
      <c r="D56" s="357">
        <f>_xlfn.XLOOKUP(A57,'03_BulkPack_Order'!$A$2:$A$67,'03_BulkPack_Order'!$H$2:$H$67,"No info")</f>
        <v/>
      </c>
      <c r="E56" s="358">
        <f>MAX(C57:D57)</f>
        <v/>
      </c>
      <c r="F56" s="359">
        <f>IFERROR(VLOOKUP(A57,'01_Cages_Plan'!$C$26:$E$151,3,0),"Missing info")</f>
        <v/>
      </c>
      <c r="G56" s="360" t="n"/>
    </row>
    <row r="57" ht="15" customHeight="1">
      <c r="A57" s="354" t="n">
        <v>61076</v>
      </c>
      <c r="B57" s="379" t="inlineStr">
        <is>
          <t xml:space="preserve">MS WIP AC RWA SKNLS DRUM TRIMMED </t>
        </is>
      </c>
      <c r="C57" s="356">
        <f>_xlfn.XLOOKUP(A58,'06_Resource_Plan'!$C$3:$C$136,'06_Resource_Plan'!$F$3:$F$136,"No info")</f>
        <v/>
      </c>
      <c r="D57" s="357">
        <f>_xlfn.XLOOKUP(A58,'03_BulkPack_Order'!$A$2:$A$67,'03_BulkPack_Order'!$H$2:$H$67,"No info")</f>
        <v/>
      </c>
      <c r="E57" s="358">
        <f>MAX(C58:D58)</f>
        <v/>
      </c>
      <c r="F57" s="359">
        <f>IFERROR(VLOOKUP(A58,'01_Cages_Plan'!$C$26:$E$151,3,0),"Missing info")</f>
        <v/>
      </c>
      <c r="G57" s="360" t="n"/>
    </row>
    <row r="58" ht="15" customHeight="1">
      <c r="A58" s="354" t="n">
        <v>61077</v>
      </c>
      <c r="B58" s="379" t="inlineStr">
        <is>
          <t>61077 LCL BONE IN THIGH X25KG</t>
        </is>
      </c>
      <c r="C58" s="356">
        <f>_xlfn.XLOOKUP(A59,'06_Resource_Plan'!$C$3:$C$136,'06_Resource_Plan'!$F$3:$F$136,"No info")</f>
        <v/>
      </c>
      <c r="D58" s="357">
        <f>_xlfn.XLOOKUP(A59,'03_BulkPack_Order'!$A$2:$A$67,'03_BulkPack_Order'!$H$2:$H$67,"No info")</f>
        <v/>
      </c>
      <c r="E58" s="358">
        <f>MAX(C59:D59)</f>
        <v/>
      </c>
      <c r="F58" s="359">
        <f>IFERROR(VLOOKUP(A59,'01_Cages_Plan'!$C$26:$E$151,3,0),"Missing info")</f>
        <v/>
      </c>
      <c r="G58" s="360" t="n"/>
    </row>
    <row r="59" ht="15" customHeight="1">
      <c r="A59" s="354" t="n">
        <v>61078</v>
      </c>
      <c r="B59" s="363" t="inlineStr">
        <is>
          <t>61078 COSTCO BONE IN THIGH X25KG</t>
        </is>
      </c>
      <c r="C59" s="356">
        <f>_xlfn.XLOOKUP(A60,'06_Resource_Plan'!$C$3:$C$136,'06_Resource_Plan'!$F$3:$F$136,"No info")</f>
        <v/>
      </c>
      <c r="D59" s="357">
        <f>_xlfn.XLOOKUP(A60,'03_BulkPack_Order'!$A$2:$A$67,'03_BulkPack_Order'!$H$2:$H$67,"No info")</f>
        <v/>
      </c>
      <c r="E59" s="358">
        <f>MAX(C60:D60)</f>
        <v/>
      </c>
      <c r="F59" s="359">
        <f>IFERROR(VLOOKUP(A60,'01_Cages_Plan'!$C$26:$E$151,3,0),"Missing info")</f>
        <v/>
      </c>
      <c r="G59" s="360" t="n"/>
    </row>
    <row r="60" ht="15" customHeight="1">
      <c r="A60" s="354" t="n">
        <v>61079</v>
      </c>
      <c r="B60" s="379" t="inlineStr">
        <is>
          <t>61079 RWA BONE IN THIGH</t>
        </is>
      </c>
      <c r="C60" s="356">
        <f>_xlfn.XLOOKUP(A61,'06_Resource_Plan'!$C$3:$C$136,'06_Resource_Plan'!$F$3:$F$136,"No info")</f>
        <v/>
      </c>
      <c r="D60" s="357">
        <f>_xlfn.XLOOKUP(A61,'03_BulkPack_Order'!$A$2:$A$67,'03_BulkPack_Order'!$H$2:$H$67,"No info")</f>
        <v/>
      </c>
      <c r="E60" s="358">
        <f>MAX(C61:D61)</f>
        <v/>
      </c>
      <c r="F60" s="359">
        <f>IFERROR(VLOOKUP(A61,'01_Cages_Plan'!$C$26:$E$151,3,0),"Missing info")</f>
        <v/>
      </c>
      <c r="G60" s="360" t="n"/>
    </row>
    <row r="61" ht="15" customHeight="1">
      <c r="A61" s="374" t="n">
        <v>61082</v>
      </c>
      <c r="B61" s="380" t="inlineStr">
        <is>
          <t>DOWNGRADE 61082 #2 BONE IN THIGH</t>
        </is>
      </c>
      <c r="C61" s="376">
        <f>_xlfn.XLOOKUP(A62,'06_Resource_Plan'!$C$3:$C$136,'06_Resource_Plan'!$F$3:$F$136,"No info")</f>
        <v/>
      </c>
      <c r="D61" s="357">
        <f>_xlfn.XLOOKUP(A62,'03_BulkPack_Order'!$A$2:$A$67,'03_BulkPack_Order'!$H$2:$H$67,"No info")</f>
        <v/>
      </c>
      <c r="E61" s="377">
        <f>MAX(C62:D62)</f>
        <v/>
      </c>
      <c r="F61" s="378">
        <f>IFERROR(VLOOKUP(A62,'01_Cages_Plan'!$C$26:$E$151,3,0),"Missing info")</f>
        <v/>
      </c>
      <c r="G61" s="360" t="n"/>
    </row>
    <row r="62" ht="15" customHeight="1">
      <c r="A62" s="354" t="n">
        <v>61086</v>
      </c>
      <c r="B62" s="379" t="inlineStr">
        <is>
          <t>61086 LCL THIGH MEAT X25KG</t>
        </is>
      </c>
      <c r="C62" s="356">
        <f>_xlfn.XLOOKUP(A63,'06_Resource_Plan'!$C$3:$C$136,'06_Resource_Plan'!$F$3:$F$136,"No info")</f>
        <v/>
      </c>
      <c r="D62" s="357">
        <f>_xlfn.XLOOKUP(A63,'03_BulkPack_Order'!$A$2:$A$67,'03_BulkPack_Order'!$H$2:$H$67,"No info")</f>
        <v/>
      </c>
      <c r="E62" s="358">
        <f>MAX(C63:D63)</f>
        <v/>
      </c>
      <c r="F62" s="359">
        <f>IFERROR(VLOOKUP(A63,'01_Cages_Plan'!$C$26:$E$151,3,0),"Missing info")</f>
        <v/>
      </c>
      <c r="G62" s="360" t="n"/>
    </row>
    <row r="63" ht="25" customHeight="1">
      <c r="A63" s="354" t="n">
        <v>61087</v>
      </c>
      <c r="B63" s="379" t="inlineStr">
        <is>
          <t>61087RWA THIGH MEAT X25KG</t>
        </is>
      </c>
      <c r="C63" s="356">
        <f>_xlfn.XLOOKUP(A64,'06_Resource_Plan'!$C$3:$C$136,'06_Resource_Plan'!$F$3:$F$136,"No info")</f>
        <v/>
      </c>
      <c r="D63" s="357">
        <f>_xlfn.XLOOKUP(A64,'03_BulkPack_Order'!$A$2:$A$67,'03_BulkPack_Order'!$H$2:$H$67,"No info")</f>
        <v/>
      </c>
      <c r="E63" s="358">
        <f>MAX(C64:D64)</f>
        <v/>
      </c>
      <c r="F63" s="359">
        <f>IFERROR(VLOOKUP(A64,'01_Cages_Plan'!$C$26:$E$151,3,0),"Missing info")</f>
        <v/>
      </c>
      <c r="G63" s="360" t="n"/>
    </row>
    <row r="64" ht="25" customHeight="1">
      <c r="A64" s="354" t="n">
        <v>61104</v>
      </c>
      <c r="B64" s="363" t="inlineStr">
        <is>
          <t>61104 CHUNK X25 KG</t>
        </is>
      </c>
      <c r="C64" s="356">
        <f>_xlfn.XLOOKUP(A65,'06_Resource_Plan'!$C$3:$C$136,'06_Resource_Plan'!$F$3:$F$136,"No info")</f>
        <v/>
      </c>
      <c r="D64" s="357">
        <f>_xlfn.XLOOKUP(A65,'03_BulkPack_Order'!$A$2:$A$67,'03_BulkPack_Order'!$H$2:$H$67,"No info")</f>
        <v/>
      </c>
      <c r="E64" s="358">
        <f>MAX(C65:D65)</f>
        <v/>
      </c>
      <c r="F64" s="359">
        <f>IFERROR(VLOOKUP(A65,'01_Cages_Plan'!$C$26:$E$151,3,0),"Missing info")</f>
        <v/>
      </c>
      <c r="G64" s="360" t="n"/>
    </row>
    <row r="65" ht="15" customHeight="1">
      <c r="A65" s="354" t="n">
        <v>61121</v>
      </c>
      <c r="B65" s="363" t="inlineStr">
        <is>
          <t>61121 BACK BONE X25KG</t>
        </is>
      </c>
      <c r="C65" s="356">
        <f>_xlfn.XLOOKUP(A66,'06_Resource_Plan'!$C$3:$C$136,'06_Resource_Plan'!$F$3:$F$136,"No info")</f>
        <v/>
      </c>
      <c r="D65" s="357">
        <f>_xlfn.XLOOKUP(A66,'03_BulkPack_Order'!$A$2:$A$67,'03_BulkPack_Order'!$H$2:$H$67,"No info")</f>
        <v/>
      </c>
      <c r="E65" s="358">
        <f>MAX(C66:D66)</f>
        <v/>
      </c>
      <c r="F65" s="359">
        <f>IFERROR(VLOOKUP(A66,'01_Cages_Plan'!$C$26:$E$151,3,0),"Missing info")</f>
        <v/>
      </c>
      <c r="G65" s="360" t="n"/>
    </row>
    <row r="66" ht="25" customHeight="1">
      <c r="A66" s="354" t="n">
        <v>200064</v>
      </c>
      <c r="B66" s="363" t="inlineStr">
        <is>
          <t>MB HA BSTHIGH AC BG 5KG</t>
        </is>
      </c>
      <c r="C66" s="356">
        <f>_xlfn.XLOOKUP(A67,'06_Resource_Plan'!$C$3:$C$136,'06_Resource_Plan'!$F$3:$F$136,"No info")</f>
        <v/>
      </c>
      <c r="D66" s="357">
        <f>_xlfn.XLOOKUP(A67,'03_BulkPack_Order'!$A$2:$A$67,'03_BulkPack_Order'!$H$2:$H$67,"No info")</f>
        <v/>
      </c>
      <c r="E66" s="358">
        <f>MAX(C67:D67)</f>
        <v/>
      </c>
      <c r="F66" s="359">
        <f>IFERROR(VLOOKUP(A67,'01_Cages_Plan'!$C$26:$E$151,3,0),"Missing info")</f>
        <v/>
      </c>
      <c r="G66" s="360" t="n">
        <v>10</v>
      </c>
    </row>
    <row r="67" ht="25" customHeight="1">
      <c r="A67" s="346" t="n">
        <v>200068</v>
      </c>
      <c r="B67" s="361" t="inlineStr">
        <is>
          <t xml:space="preserve">A/C HALAL BNLS SKINLESS BREAST </t>
        </is>
      </c>
      <c r="C67" s="356">
        <f>_xlfn.XLOOKUP(A68,'06_Resource_Plan'!$C$3:$C$136,'06_Resource_Plan'!$F$3:$F$136,"No info")</f>
        <v/>
      </c>
      <c r="D67" s="357">
        <f>_xlfn.XLOOKUP(A68,'03_BulkPack_Order'!$A$2:$A$67,'03_BulkPack_Order'!$H$2:$H$67,"No info")</f>
        <v/>
      </c>
      <c r="E67" s="358">
        <f>MAX(C68:D68)</f>
        <v/>
      </c>
      <c r="F67" s="359">
        <f>IFERROR(VLOOKUP(A68,'01_Cages_Plan'!$C$26:$E$151,3,0),"Missing info")</f>
        <v/>
      </c>
      <c r="G67" s="360" t="n">
        <v>9</v>
      </c>
    </row>
    <row r="68" ht="25" customHeight="1">
      <c r="A68" s="346" t="n">
        <v>200073</v>
      </c>
      <c r="B68" s="361" t="inlineStr">
        <is>
          <t xml:space="preserve">FILLET  25KG </t>
        </is>
      </c>
      <c r="C68" s="356">
        <f>_xlfn.XLOOKUP(A69,'06_Resource_Plan'!$C$3:$C$136,'06_Resource_Plan'!$F$3:$F$136,"No info")</f>
        <v/>
      </c>
      <c r="D68" s="357">
        <f>_xlfn.XLOOKUP(A69,'03_BulkPack_Order'!$A$2:$A$67,'03_BulkPack_Order'!$H$2:$H$67,"No info")</f>
        <v/>
      </c>
      <c r="E68" s="358">
        <f>MAX(C69:D69)</f>
        <v/>
      </c>
      <c r="F68" s="359">
        <f>IFERROR(VLOOKUP(A69,'01_Cages_Plan'!$C$26:$E$151,3,0),"Missing info")</f>
        <v/>
      </c>
      <c r="G68" s="360" t="n">
        <v>7</v>
      </c>
    </row>
    <row r="69" ht="15" customHeight="1">
      <c r="A69" s="346" t="n">
        <v>200074</v>
      </c>
      <c r="B69" s="361" t="inlineStr">
        <is>
          <t xml:space="preserve">FILLET  25KG </t>
        </is>
      </c>
      <c r="C69" s="356">
        <f>_xlfn.XLOOKUP(A70,'06_Resource_Plan'!$C$3:$C$136,'06_Resource_Plan'!$F$3:$F$136,"No info")</f>
        <v/>
      </c>
      <c r="D69" s="357">
        <f>_xlfn.XLOOKUP(A70,'03_BulkPack_Order'!$A$2:$A$67,'03_BulkPack_Order'!$H$2:$H$67,"No info")</f>
        <v/>
      </c>
      <c r="E69" s="358">
        <f>MAX(C70:D70)</f>
        <v/>
      </c>
      <c r="F69" s="359">
        <f>IFERROR(VLOOKUP(A70,'01_Cages_Plan'!$C$26:$E$151,3,0),"Missing info")</f>
        <v/>
      </c>
      <c r="G69" s="360" t="n">
        <v>7</v>
      </c>
    </row>
    <row r="70" ht="25" customHeight="1">
      <c r="A70" s="354" t="n">
        <v>200083</v>
      </c>
      <c r="B70" s="363" t="inlineStr">
        <is>
          <t>200083</t>
        </is>
      </c>
      <c r="C70" s="356">
        <f>_xlfn.XLOOKUP(A71,'06_Resource_Plan'!$C$3:$C$136,'06_Resource_Plan'!$F$3:$F$136,"No info")</f>
        <v/>
      </c>
      <c r="D70" s="357">
        <f>_xlfn.XLOOKUP(A71,'03_BulkPack_Order'!$A$2:$A$67,'03_BulkPack_Order'!$H$2:$H$67,"No info")</f>
        <v/>
      </c>
      <c r="E70" s="358">
        <f>MAX(C71:D71)</f>
        <v/>
      </c>
      <c r="F70" s="359">
        <f>IFERROR(VLOOKUP(A71,'01_Cages_Plan'!$C$26:$E$151,3,0),"Missing info")</f>
        <v/>
      </c>
      <c r="G70" s="360" t="n">
        <v>9</v>
      </c>
    </row>
    <row r="71" ht="15" customHeight="1">
      <c r="A71" s="346" t="n">
        <v>200084</v>
      </c>
      <c r="B71" s="361" t="inlineStr">
        <is>
          <t xml:space="preserve">FRONT HALF CAGE </t>
        </is>
      </c>
      <c r="C71" s="356">
        <f>_xlfn.XLOOKUP(A72,'06_Resource_Plan'!$C$3:$C$136,'06_Resource_Plan'!$F$3:$F$136,"No info")</f>
        <v/>
      </c>
      <c r="D71" s="357">
        <f>_xlfn.XLOOKUP(A72,'03_BulkPack_Order'!$A$2:$A$67,'03_BulkPack_Order'!$H$2:$H$67,"No info")</f>
        <v/>
      </c>
      <c r="E71" s="358">
        <f>MAX(C72:D72)</f>
        <v/>
      </c>
      <c r="F71" s="359">
        <f>IFERROR(VLOOKUP(A72,'01_Cages_Plan'!$C$26:$E$151,3,0),"Missing info")</f>
        <v/>
      </c>
      <c r="G71" s="360" t="n">
        <v>9</v>
      </c>
    </row>
    <row r="72" ht="15" customHeight="1">
      <c r="A72" s="354" t="n">
        <v>200089</v>
      </c>
      <c r="B72" s="363" t="inlineStr">
        <is>
          <t>200089</t>
        </is>
      </c>
      <c r="C72" s="356">
        <f>_xlfn.XLOOKUP(A73,'06_Resource_Plan'!$C$3:$C$136,'06_Resource_Plan'!$F$3:$F$136,"No info")</f>
        <v/>
      </c>
      <c r="D72" s="357">
        <f>_xlfn.XLOOKUP(A73,'03_BulkPack_Order'!$A$2:$A$67,'03_BulkPack_Order'!$H$2:$H$67,"No info")</f>
        <v/>
      </c>
      <c r="E72" s="358">
        <f>MAX(C73:D73)</f>
        <v/>
      </c>
      <c r="F72" s="359">
        <f>IFERROR(VLOOKUP(A73,'01_Cages_Plan'!$C$26:$E$151,3,0),"Missing info")</f>
        <v/>
      </c>
      <c r="G72" s="360" t="n">
        <v>10</v>
      </c>
    </row>
    <row r="73" ht="15" customHeight="1">
      <c r="A73" s="354" t="n">
        <v>200095</v>
      </c>
      <c r="B73" s="363" t="inlineStr">
        <is>
          <t>200095 DRUM X18 KG</t>
        </is>
      </c>
      <c r="C73" s="356">
        <f>_xlfn.XLOOKUP(A74,'06_Resource_Plan'!$C$3:$C$136,'06_Resource_Plan'!$F$3:$F$136,"No info")</f>
        <v/>
      </c>
      <c r="D73" s="357">
        <f>_xlfn.XLOOKUP(A74,'03_BulkPack_Order'!$A$2:$A$67,'03_BulkPack_Order'!$H$2:$H$67,"No info")</f>
        <v/>
      </c>
      <c r="E73" s="358">
        <f>MAX(C74:D74)</f>
        <v/>
      </c>
      <c r="F73" s="359">
        <f>IFERROR(VLOOKUP(A74,'01_Cages_Plan'!$C$26:$E$151,3,0),"Missing info")</f>
        <v/>
      </c>
      <c r="G73" s="360" t="n">
        <v>9</v>
      </c>
    </row>
    <row r="74" ht="25" customHeight="1">
      <c r="A74" s="346" t="n">
        <v>200159</v>
      </c>
      <c r="B74" s="361" t="inlineStr">
        <is>
          <t>LEGS WITH BACK ATTACHED</t>
        </is>
      </c>
      <c r="C74" s="356">
        <f>_xlfn.XLOOKUP(A75,'06_Resource_Plan'!$C$3:$C$136,'06_Resource_Plan'!$F$3:$F$136,"No info")</f>
        <v/>
      </c>
      <c r="D74" s="357">
        <f>_xlfn.XLOOKUP(A75,'03_BulkPack_Order'!$A$2:$A$67,'03_BulkPack_Order'!$H$2:$H$67,"No info")</f>
        <v/>
      </c>
      <c r="E74" s="358">
        <f>MAX(C75:D75)</f>
        <v/>
      </c>
      <c r="F74" s="359">
        <f>IFERROR(VLOOKUP(A75,'01_Cages_Plan'!$C$26:$E$151,3,0),"Missing info")</f>
        <v/>
      </c>
      <c r="G74" s="360" t="n">
        <v>8</v>
      </c>
    </row>
    <row r="75" ht="25" customHeight="1">
      <c r="A75" s="346" t="n">
        <v>200185</v>
      </c>
      <c r="B75" s="361" t="inlineStr">
        <is>
          <t xml:space="preserve">CHICKEN WITH ONE LEG </t>
        </is>
      </c>
      <c r="C75" s="356">
        <f>_xlfn.XLOOKUP(A76,'06_Resource_Plan'!$C$3:$C$136,'06_Resource_Plan'!$F$3:$F$136,"No info")</f>
        <v/>
      </c>
      <c r="D75" s="357">
        <f>_xlfn.XLOOKUP(A76,'03_BulkPack_Order'!$A$2:$A$67,'03_BulkPack_Order'!$H$2:$H$67,"No info")</f>
        <v/>
      </c>
      <c r="E75" s="358">
        <f>MAX(C76:D76)</f>
        <v/>
      </c>
      <c r="F75" s="359">
        <f>IFERROR(VLOOKUP(A76,'01_Cages_Plan'!$C$26:$E$151,3,0),"Missing info")</f>
        <v/>
      </c>
      <c r="G75" s="360" t="n">
        <v>10</v>
      </c>
    </row>
    <row r="76" ht="15" customHeight="1">
      <c r="A76" s="346" t="n">
        <v>200901</v>
      </c>
      <c r="B76" s="361" t="inlineStr">
        <is>
          <t xml:space="preserve">HALAL DRUM  18KG </t>
        </is>
      </c>
      <c r="C76" s="356">
        <f>_xlfn.XLOOKUP(A77,'06_Resource_Plan'!$C$3:$C$136,'06_Resource_Plan'!$F$3:$F$136,"No info")</f>
        <v/>
      </c>
      <c r="D76" s="357">
        <f>_xlfn.XLOOKUP(A77,'03_BulkPack_Order'!$A$2:$A$67,'03_BulkPack_Order'!$H$2:$H$67,"No info")</f>
        <v/>
      </c>
      <c r="E76" s="358">
        <f>MAX(C77:D77)</f>
        <v/>
      </c>
      <c r="F76" s="359">
        <f>IFERROR(VLOOKUP(A77,'01_Cages_Plan'!$C$26:$E$151,3,0),"Missing info")</f>
        <v/>
      </c>
      <c r="G76" s="360" t="n">
        <v>10</v>
      </c>
    </row>
    <row r="77" ht="15" customHeight="1">
      <c r="A77" s="354" t="n">
        <v>200902</v>
      </c>
      <c r="B77" s="363" t="inlineStr">
        <is>
          <t>200902 HA THIGH AC 18KG</t>
        </is>
      </c>
      <c r="C77" s="356">
        <f>_xlfn.XLOOKUP(A78,'06_Resource_Plan'!$C$3:$C$136,'06_Resource_Plan'!$F$3:$F$136,"No info")</f>
        <v/>
      </c>
      <c r="D77" s="357">
        <f>_xlfn.XLOOKUP(A78,'03_BulkPack_Order'!$A$2:$A$67,'03_BulkPack_Order'!$H$2:$H$67,"No info")</f>
        <v/>
      </c>
      <c r="E77" s="358">
        <f>MAX(C78:D78)</f>
        <v/>
      </c>
      <c r="F77" s="359">
        <f>IFERROR(VLOOKUP(A78,'01_Cages_Plan'!$C$26:$E$151,3,0),"Missing info")</f>
        <v/>
      </c>
      <c r="G77" s="360" t="n">
        <v>10</v>
      </c>
    </row>
    <row r="78" ht="25" customHeight="1">
      <c r="A78" s="354" t="n">
        <v>200903</v>
      </c>
      <c r="B78" s="363" t="inlineStr">
        <is>
          <t>200903 FFF B/A LEG</t>
        </is>
      </c>
      <c r="C78" s="356">
        <f>_xlfn.XLOOKUP(A79,'06_Resource_Plan'!$C$3:$C$136,'06_Resource_Plan'!$F$3:$F$136,"No info")</f>
        <v/>
      </c>
      <c r="D78" s="357">
        <f>_xlfn.XLOOKUP(A79,'03_BulkPack_Order'!$A$2:$A$67,'03_BulkPack_Order'!$H$2:$H$67,"No info")</f>
        <v/>
      </c>
      <c r="E78" s="358">
        <f>MAX(C79:D79)</f>
        <v/>
      </c>
      <c r="F78" s="359">
        <f>IFERROR(VLOOKUP(A79,'01_Cages_Plan'!$C$26:$E$151,3,0),"Missing info")</f>
        <v/>
      </c>
      <c r="G78" s="360" t="n">
        <v>10</v>
      </c>
    </row>
    <row r="79" ht="15" customHeight="1">
      <c r="A79" s="346" t="n">
        <v>200904</v>
      </c>
      <c r="B79" s="361" t="inlineStr">
        <is>
          <t>MB HA WING AC 18KG</t>
        </is>
      </c>
      <c r="C79" s="356">
        <f>_xlfn.XLOOKUP(A80,'06_Resource_Plan'!$C$3:$C$136,'06_Resource_Plan'!$F$3:$F$136,"No info")</f>
        <v/>
      </c>
      <c r="D79" s="357">
        <f>_xlfn.XLOOKUP(A80,'03_BulkPack_Order'!$A$2:$A$67,'03_BulkPack_Order'!$H$2:$H$67,"No info")</f>
        <v/>
      </c>
      <c r="E79" s="358">
        <f>MAX(C80:D80)</f>
        <v/>
      </c>
      <c r="F79" s="359">
        <f>IFERROR(VLOOKUP(A80,'01_Cages_Plan'!$C$26:$E$151,3,0),"Missing info")</f>
        <v/>
      </c>
      <c r="G79" s="360" t="n">
        <v>10</v>
      </c>
    </row>
    <row r="80" ht="25" customHeight="1">
      <c r="A80" s="346" t="n">
        <v>201894</v>
      </c>
      <c r="B80" s="361" t="n"/>
      <c r="C80" s="356">
        <f>_xlfn.XLOOKUP(A81,'06_Resource_Plan'!$C$3:$C$136,'06_Resource_Plan'!$F$3:$F$136,"No info")</f>
        <v/>
      </c>
      <c r="D80" s="357">
        <f>_xlfn.XLOOKUP(A81,'03_BulkPack_Order'!$A$2:$A$67,'03_BulkPack_Order'!$H$2:$H$67,"No info")</f>
        <v/>
      </c>
      <c r="E80" s="358">
        <f>MAX(C81:D81)</f>
        <v/>
      </c>
      <c r="F80" s="359">
        <f>IFERROR(VLOOKUP(A81,'01_Cages_Plan'!$C$26:$E$151,3,0),"Missing info")</f>
        <v/>
      </c>
      <c r="G80" s="360" t="n">
        <v>9</v>
      </c>
    </row>
    <row r="81" ht="25" customHeight="1">
      <c r="A81" s="346" t="n">
        <v>201899</v>
      </c>
      <c r="B81" s="361" t="inlineStr">
        <is>
          <t xml:space="preserve">BLNS BREAST 10KG  </t>
        </is>
      </c>
      <c r="C81" s="356">
        <f>_xlfn.XLOOKUP(A82,'06_Resource_Plan'!$C$3:$C$136,'06_Resource_Plan'!$F$3:$F$136,"No info")</f>
        <v/>
      </c>
      <c r="D81" s="357">
        <f>_xlfn.XLOOKUP(A82,'03_BulkPack_Order'!$A$2:$A$67,'03_BulkPack_Order'!$H$2:$H$67,"No info")</f>
        <v/>
      </c>
      <c r="E81" s="358">
        <f>MAX(C82:D82)</f>
        <v/>
      </c>
      <c r="F81" s="359">
        <f>IFERROR(VLOOKUP(A82,'01_Cages_Plan'!$C$26:$E$151,3,0),"Missing info")</f>
        <v/>
      </c>
      <c r="G81" s="360" t="n">
        <v>9</v>
      </c>
    </row>
    <row r="82" ht="15" customHeight="1">
      <c r="A82" s="354" t="n">
        <v>203010</v>
      </c>
      <c r="B82" s="363" t="inlineStr">
        <is>
          <t>SKIN  203010 FRESH</t>
        </is>
      </c>
      <c r="C82" s="356">
        <f>_xlfn.XLOOKUP(A83,'06_Resource_Plan'!$C$3:$C$136,'06_Resource_Plan'!$F$3:$F$136,"No info")</f>
        <v/>
      </c>
      <c r="D82" s="357">
        <f>_xlfn.XLOOKUP(A83,'03_BulkPack_Order'!$A$2:$A$67,'03_BulkPack_Order'!$H$2:$H$67,"No info")</f>
        <v/>
      </c>
      <c r="E82" s="358">
        <f>MAX(C83:D83)</f>
        <v/>
      </c>
      <c r="F82" s="359">
        <f>IFERROR(VLOOKUP(A83,'01_Cages_Plan'!$C$26:$E$151,3,0),"Missing info")</f>
        <v/>
      </c>
      <c r="G82" s="360" t="n">
        <v>8</v>
      </c>
    </row>
    <row r="83" ht="15" customHeight="1">
      <c r="A83" s="354" t="n">
        <v>203033</v>
      </c>
      <c r="B83" s="355" t="inlineStr">
        <is>
          <t>HA LEG BA AC RET 23KG</t>
        </is>
      </c>
      <c r="C83" s="356">
        <f>_xlfn.XLOOKUP(A84,'06_Resource_Plan'!$C$3:$C$136,'06_Resource_Plan'!$F$3:$F$136,"No info")</f>
        <v/>
      </c>
      <c r="D83" s="357">
        <f>_xlfn.XLOOKUP(A84,'03_BulkPack_Order'!$A$2:$A$67,'03_BulkPack_Order'!$H$2:$H$67,"No info")</f>
        <v/>
      </c>
      <c r="E83" s="358">
        <f>MAX(C84:D84)</f>
        <v/>
      </c>
      <c r="F83" s="359">
        <f>IFERROR(VLOOKUP(A84,'01_Cages_Plan'!$C$26:$E$151,3,0),"Missing info")</f>
        <v/>
      </c>
      <c r="G83" s="360" t="n">
        <v>10</v>
      </c>
    </row>
    <row r="84" ht="25" customHeight="1">
      <c r="A84" s="346" t="n">
        <v>203035</v>
      </c>
      <c r="B84" s="361" t="n"/>
      <c r="C84" s="356">
        <f>_xlfn.XLOOKUP(A85,'06_Resource_Plan'!$C$3:$C$136,'06_Resource_Plan'!$F$3:$F$136,"No info")</f>
        <v/>
      </c>
      <c r="D84" s="357">
        <f>_xlfn.XLOOKUP(A85,'03_BulkPack_Order'!$A$2:$A$67,'03_BulkPack_Order'!$H$2:$H$67,"No info")</f>
        <v/>
      </c>
      <c r="E84" s="358">
        <f>MAX(C85:D85)</f>
        <v/>
      </c>
      <c r="F84" s="359">
        <f>IFERROR(VLOOKUP(A85,'01_Cages_Plan'!$C$26:$E$151,3,0),"Missing info")</f>
        <v/>
      </c>
      <c r="G84" s="360" t="n">
        <v>10</v>
      </c>
    </row>
    <row r="85" ht="25" customHeight="1">
      <c r="A85" s="346" t="n">
        <v>203036</v>
      </c>
      <c r="B85" s="361" t="inlineStr">
        <is>
          <t>A/C HALAL CHICKEN WINGS</t>
        </is>
      </c>
      <c r="C85" s="356">
        <f>_xlfn.XLOOKUP(A86,'06_Resource_Plan'!$C$3:$C$136,'06_Resource_Plan'!$F$3:$F$136,"No info")</f>
        <v/>
      </c>
      <c r="D85" s="357">
        <f>_xlfn.XLOOKUP(A86,'03_BulkPack_Order'!$A$2:$A$67,'03_BulkPack_Order'!$H$2:$H$67,"No info")</f>
        <v/>
      </c>
      <c r="E85" s="358">
        <f>MAX(C86:D86)</f>
        <v/>
      </c>
      <c r="F85" s="359">
        <f>IFERROR(VLOOKUP(A86,'01_Cages_Plan'!$C$26:$E$151,3,0),"Missing info")</f>
        <v/>
      </c>
      <c r="G85" s="360" t="n">
        <v>10</v>
      </c>
    </row>
    <row r="86" ht="25" customHeight="1">
      <c r="A86" s="346" t="n">
        <v>203050</v>
      </c>
      <c r="B86" s="361" t="inlineStr">
        <is>
          <t>BONE IN THIGH FOR AIR CHILL</t>
        </is>
      </c>
      <c r="C86" s="356">
        <f>_xlfn.XLOOKUP(A87,'06_Resource_Plan'!$C$3:$C$136,'06_Resource_Plan'!$F$3:$F$136,"No info")</f>
        <v/>
      </c>
      <c r="D86" s="357">
        <f>_xlfn.XLOOKUP(A87,'03_BulkPack_Order'!$A$2:$A$67,'03_BulkPack_Order'!$H$2:$H$67,"No info")</f>
        <v/>
      </c>
      <c r="E86" s="358">
        <f>MAX(C87:D87)</f>
        <v/>
      </c>
      <c r="F86" s="359">
        <f>IFERROR(VLOOKUP(A87,'01_Cages_Plan'!$C$26:$E$151,3,0),"Missing info")</f>
        <v/>
      </c>
      <c r="G86" s="360" t="n">
        <v>10</v>
      </c>
    </row>
    <row r="87" ht="25" customHeight="1">
      <c r="A87" s="346" t="n">
        <v>203051</v>
      </c>
      <c r="B87" s="361" t="inlineStr">
        <is>
          <t>DRUMSTICK FOR AIR CHILL</t>
        </is>
      </c>
      <c r="C87" s="356">
        <f>_xlfn.XLOOKUP(A88,'06_Resource_Plan'!$C$3:$C$136,'06_Resource_Plan'!$F$3:$F$136,"No info")</f>
        <v/>
      </c>
      <c r="D87" s="357">
        <f>_xlfn.XLOOKUP(A88,'03_BulkPack_Order'!$A$2:$A$67,'03_BulkPack_Order'!$H$2:$H$67,"No info")</f>
        <v/>
      </c>
      <c r="E87" s="358">
        <f>MAX(C88:D88)</f>
        <v/>
      </c>
      <c r="F87" s="359">
        <f>IFERROR(VLOOKUP(A88,'01_Cages_Plan'!$C$26:$E$151,3,0),"Missing info")</f>
        <v/>
      </c>
      <c r="G87" s="360" t="n">
        <v>10</v>
      </c>
    </row>
    <row r="88" ht="15" customHeight="1">
      <c r="A88" s="346" t="n">
        <v>203087</v>
      </c>
      <c r="B88" s="361" t="inlineStr">
        <is>
          <t>MB HA BSHB AC 25KG RET</t>
        </is>
      </c>
      <c r="C88" s="356">
        <f>_xlfn.XLOOKUP(A89,'06_Resource_Plan'!$C$3:$C$136,'06_Resource_Plan'!$F$3:$F$136,"No info")</f>
        <v/>
      </c>
      <c r="D88" s="357">
        <f>_xlfn.XLOOKUP(A89,'03_BulkPack_Order'!$A$2:$A$67,'03_BulkPack_Order'!$H$2:$H$67,"No info")</f>
        <v/>
      </c>
      <c r="E88" s="358">
        <f>MAX(C89:D89)</f>
        <v/>
      </c>
      <c r="F88" s="359">
        <f>IFERROR(VLOOKUP(A89,'01_Cages_Plan'!$C$26:$E$151,3,0),"Missing info")</f>
        <v/>
      </c>
      <c r="G88" s="360" t="n">
        <v>10</v>
      </c>
    </row>
    <row r="89" ht="15" customHeight="1">
      <c r="A89" s="346" t="n">
        <v>203148</v>
      </c>
      <c r="B89" s="381" t="inlineStr">
        <is>
          <t>HA BSTHIGH AC 25KG RET</t>
        </is>
      </c>
      <c r="C89" s="356">
        <f>_xlfn.XLOOKUP(A90,'06_Resource_Plan'!$C$3:$C$136,'06_Resource_Plan'!$F$3:$F$136,"No info")</f>
        <v/>
      </c>
      <c r="D89" s="357">
        <f>_xlfn.XLOOKUP(A90,'03_BulkPack_Order'!$A$2:$A$67,'03_BulkPack_Order'!$H$2:$H$67,"No info")</f>
        <v/>
      </c>
      <c r="E89" s="358">
        <f>MAX(C90:D90)</f>
        <v/>
      </c>
      <c r="F89" s="359">
        <f>IFERROR(VLOOKUP(A90,'01_Cages_Plan'!$C$26:$E$151,3,0),"Missing info")</f>
        <v/>
      </c>
      <c r="G89" s="360" t="n"/>
    </row>
    <row r="90" ht="15" customHeight="1">
      <c r="A90" s="354" t="n">
        <v>203169</v>
      </c>
      <c r="B90" s="363" t="inlineStr">
        <is>
          <t>203169  BNLS 25KG</t>
        </is>
      </c>
      <c r="C90" s="356">
        <f>_xlfn.XLOOKUP(A91,'06_Resource_Plan'!$C$3:$C$136,'06_Resource_Plan'!$F$3:$F$136,"No info")</f>
        <v/>
      </c>
      <c r="D90" s="357">
        <f>_xlfn.XLOOKUP(A91,'03_BulkPack_Order'!$A$2:$A$67,'03_BulkPack_Order'!$H$2:$H$67,"No info")</f>
        <v/>
      </c>
      <c r="E90" s="358">
        <f>MAX(C91:D91)</f>
        <v/>
      </c>
      <c r="F90" s="359">
        <f>IFERROR(VLOOKUP(A91,'01_Cages_Plan'!$C$26:$E$151,3,0),"Missing info")</f>
        <v/>
      </c>
      <c r="G90" s="360" t="n">
        <v>10</v>
      </c>
    </row>
    <row r="91" ht="15" customHeight="1">
      <c r="A91" s="354" t="n">
        <v>203171</v>
      </c>
      <c r="B91" s="382" t="inlineStr">
        <is>
          <t>203171 HALAL CHICKEN DRUMSTICK</t>
        </is>
      </c>
      <c r="C91" s="356">
        <f>_xlfn.XLOOKUP(A92,'06_Resource_Plan'!$C$3:$C$136,'06_Resource_Plan'!$F$3:$F$136,"No info")</f>
        <v/>
      </c>
      <c r="D91" s="357">
        <f>_xlfn.XLOOKUP(A92,'03_BulkPack_Order'!$A$2:$A$67,'03_BulkPack_Order'!$H$2:$H$67,"No info")</f>
        <v/>
      </c>
      <c r="E91" s="358">
        <f>MAX(C92:D92)</f>
        <v/>
      </c>
      <c r="F91" s="359">
        <f>IFERROR(VLOOKUP(A92,'01_Cages_Plan'!$C$26:$E$151,3,0),"Missing info")</f>
        <v/>
      </c>
      <c r="G91" s="360" t="n">
        <v>10</v>
      </c>
    </row>
    <row r="92" ht="15" customHeight="1">
      <c r="A92" s="383" t="n">
        <v>203172</v>
      </c>
      <c r="B92" s="365" t="inlineStr">
        <is>
          <t>203172</t>
        </is>
      </c>
      <c r="C92" s="356">
        <f>_xlfn.XLOOKUP(A93,'06_Resource_Plan'!$C$3:$C$136,'06_Resource_Plan'!$F$3:$F$136,"No info")</f>
        <v/>
      </c>
      <c r="D92" s="357">
        <f>_xlfn.XLOOKUP(A93,'03_BulkPack_Order'!$A$2:$A$67,'03_BulkPack_Order'!$H$2:$H$67,"No info")</f>
        <v/>
      </c>
      <c r="E92" s="358">
        <f>MAX(C93:D93)</f>
        <v/>
      </c>
      <c r="F92" s="359">
        <f>IFERROR(VLOOKUP(A93,'01_Cages_Plan'!$C$26:$E$151,3,0),"Missing info")</f>
        <v/>
      </c>
      <c r="G92" s="360" t="n">
        <v>10</v>
      </c>
    </row>
    <row r="93" ht="15" customHeight="1">
      <c r="A93" s="383" t="n">
        <v>203173</v>
      </c>
      <c r="B93" s="365" t="inlineStr">
        <is>
          <t>203173</t>
        </is>
      </c>
      <c r="C93" s="356">
        <f>_xlfn.XLOOKUP(A94,'06_Resource_Plan'!$C$3:$C$136,'06_Resource_Plan'!$F$3:$F$136,"No info")</f>
        <v/>
      </c>
      <c r="D93" s="357">
        <f>_xlfn.XLOOKUP(A94,'03_BulkPack_Order'!$A$2:$A$67,'03_BulkPack_Order'!$H$2:$H$67,"No info")</f>
        <v/>
      </c>
      <c r="E93" s="358">
        <f>MAX(C94:D94)</f>
        <v/>
      </c>
      <c r="F93" s="359">
        <f>IFERROR(VLOOKUP(A94,'01_Cages_Plan'!$C$26:$E$151,3,0),"Missing info")</f>
        <v/>
      </c>
      <c r="G93" s="360" t="n">
        <v>10</v>
      </c>
    </row>
    <row r="94" ht="15" customHeight="1">
      <c r="A94" s="354" t="n">
        <v>203174</v>
      </c>
      <c r="B94" s="363" t="inlineStr">
        <is>
          <t>203174</t>
        </is>
      </c>
      <c r="C94" s="356">
        <f>_xlfn.XLOOKUP(A95,'06_Resource_Plan'!$C$3:$C$136,'06_Resource_Plan'!$F$3:$F$136,"No info")</f>
        <v/>
      </c>
      <c r="D94" s="357">
        <f>_xlfn.XLOOKUP(A95,'03_BulkPack_Order'!$A$2:$A$67,'03_BulkPack_Order'!$H$2:$H$67,"No info")</f>
        <v/>
      </c>
      <c r="E94" s="358">
        <f>MAX(C95:D95)</f>
        <v/>
      </c>
      <c r="F94" s="359">
        <f>IFERROR(VLOOKUP(A95,'01_Cages_Plan'!$C$26:$E$151,3,0),"Missing info")</f>
        <v/>
      </c>
      <c r="G94" s="360" t="n">
        <v>10</v>
      </c>
    </row>
    <row r="95" ht="25" customHeight="1">
      <c r="A95" s="354" t="n">
        <v>203175</v>
      </c>
      <c r="B95" s="363" t="inlineStr">
        <is>
          <t>203175</t>
        </is>
      </c>
      <c r="C95" s="356">
        <f>_xlfn.XLOOKUP(A96,'06_Resource_Plan'!$C$3:$C$136,'06_Resource_Plan'!$F$3:$F$136,"No info")</f>
        <v/>
      </c>
      <c r="D95" s="357">
        <f>_xlfn.XLOOKUP(A96,'03_BulkPack_Order'!$A$2:$A$67,'03_BulkPack_Order'!$H$2:$H$67,"No info")</f>
        <v/>
      </c>
      <c r="E95" s="358">
        <f>MAX(C96:D96)</f>
        <v/>
      </c>
      <c r="F95" s="359">
        <f>IFERROR(VLOOKUP(A96,'01_Cages_Plan'!$C$26:$E$151,3,0),"Missing info")</f>
        <v/>
      </c>
      <c r="G95" s="360" t="n">
        <v>10</v>
      </c>
    </row>
    <row r="96" ht="25" customHeight="1">
      <c r="A96" s="346" t="n">
        <v>203178</v>
      </c>
      <c r="B96" s="361" t="inlineStr">
        <is>
          <t>BNLS THIGH FOR AIR CHILL</t>
        </is>
      </c>
      <c r="C96" s="356">
        <f>_xlfn.XLOOKUP(A97,'06_Resource_Plan'!$C$3:$C$136,'06_Resource_Plan'!$F$3:$F$136,"No info")</f>
        <v/>
      </c>
      <c r="D96" s="357">
        <f>_xlfn.XLOOKUP(A97,'03_BulkPack_Order'!$A$2:$A$67,'03_BulkPack_Order'!$H$2:$H$67,"No info")</f>
        <v/>
      </c>
      <c r="E96" s="358">
        <f>MAX(C97:D97)</f>
        <v/>
      </c>
      <c r="F96" s="359">
        <f>IFERROR(VLOOKUP(A97,'01_Cages_Plan'!$C$26:$E$151,3,0),"Missing info")</f>
        <v/>
      </c>
      <c r="G96" s="360" t="n">
        <v>9</v>
      </c>
    </row>
    <row r="97" ht="15" customHeight="1">
      <c r="A97" s="346" t="n">
        <v>203193</v>
      </c>
      <c r="B97" s="361" t="inlineStr">
        <is>
          <t>A/C HALAL WINGLET</t>
        </is>
      </c>
      <c r="C97" s="356">
        <f>_xlfn.XLOOKUP(A98,'06_Resource_Plan'!$C$3:$C$136,'06_Resource_Plan'!$F$3:$F$136,"No info")</f>
        <v/>
      </c>
      <c r="D97" s="357">
        <f>_xlfn.XLOOKUP(A98,'03_BulkPack_Order'!$A$2:$A$67,'03_BulkPack_Order'!$H$2:$H$67,"No info")</f>
        <v/>
      </c>
      <c r="E97" s="358">
        <f>MAX(C98:D98)</f>
        <v/>
      </c>
      <c r="F97" s="359">
        <f>IFERROR(VLOOKUP(A98,'01_Cages_Plan'!$C$26:$E$151,3,0),"Missing info")</f>
        <v/>
      </c>
      <c r="G97" s="360" t="n">
        <v>10</v>
      </c>
    </row>
    <row r="98" ht="25" customHeight="1">
      <c r="A98" s="354" t="n">
        <v>203194</v>
      </c>
      <c r="B98" s="363" t="n"/>
      <c r="C98" s="356">
        <f>_xlfn.XLOOKUP(A99,'06_Resource_Plan'!$C$3:$C$136,'06_Resource_Plan'!$F$3:$F$136,"No info")</f>
        <v/>
      </c>
      <c r="D98" s="357">
        <f>_xlfn.XLOOKUP(A99,'03_BulkPack_Order'!$A$2:$A$67,'03_BulkPack_Order'!$H$2:$H$67,"No info")</f>
        <v/>
      </c>
      <c r="E98" s="358">
        <f>MAX(C99:D99)</f>
        <v/>
      </c>
      <c r="F98" s="359">
        <f>IFERROR(VLOOKUP(A99,'01_Cages_Plan'!$C$26:$E$151,3,0),"Missing info")</f>
        <v/>
      </c>
      <c r="G98" s="360" t="n">
        <v>10</v>
      </c>
    </row>
    <row r="99" ht="25" customHeight="1">
      <c r="A99" s="346" t="n">
        <v>203197</v>
      </c>
      <c r="B99" s="361" t="inlineStr">
        <is>
          <t xml:space="preserve">CHICKEN DRUMETTE </t>
        </is>
      </c>
      <c r="C99" s="356">
        <f>_xlfn.XLOOKUP(A100,'06_Resource_Plan'!$C$3:$C$136,'06_Resource_Plan'!$F$3:$F$136,"No info")</f>
        <v/>
      </c>
      <c r="D99" s="357">
        <f>_xlfn.XLOOKUP(A100,'03_BulkPack_Order'!$A$2:$A$67,'03_BulkPack_Order'!$H$2:$H$67,"No info")</f>
        <v/>
      </c>
      <c r="E99" s="358">
        <f>MAX(C100:D100)</f>
        <v/>
      </c>
      <c r="F99" s="359">
        <f>IFERROR(VLOOKUP(A100,'01_Cages_Plan'!$C$26:$E$151,3,0),"Missing info")</f>
        <v/>
      </c>
      <c r="G99" s="360" t="n">
        <v>9</v>
      </c>
    </row>
    <row r="100" ht="25" customHeight="1">
      <c r="A100" s="354" t="n">
        <v>203624</v>
      </c>
      <c r="B100" s="363" t="inlineStr">
        <is>
          <t>FAT FRESH 203624 HALAL</t>
        </is>
      </c>
      <c r="C100" s="356">
        <f>_xlfn.XLOOKUP(A101,'06_Resource_Plan'!$C$3:$C$136,'06_Resource_Plan'!$F$3:$F$136,"No info")</f>
        <v/>
      </c>
      <c r="D100" s="357">
        <f>_xlfn.XLOOKUP(A101,'03_BulkPack_Order'!$A$2:$A$67,'03_BulkPack_Order'!$H$2:$H$67,"No info")</f>
        <v/>
      </c>
      <c r="E100" s="358">
        <f>MAX(C101:D101)</f>
        <v/>
      </c>
      <c r="F100" s="359">
        <f>IFERROR(VLOOKUP(A101,'01_Cages_Plan'!$C$26:$E$151,3,0),"Missing info")</f>
        <v/>
      </c>
      <c r="G100" s="360" t="n">
        <v>10</v>
      </c>
    </row>
    <row r="101" ht="25" customHeight="1">
      <c r="A101" s="354" t="n">
        <v>203841</v>
      </c>
      <c r="B101" s="361" t="n"/>
      <c r="C101" s="356">
        <f>_xlfn.XLOOKUP(A102,'06_Resource_Plan'!$C$3:$C$136,'06_Resource_Plan'!$F$3:$F$136,"No info")</f>
        <v/>
      </c>
      <c r="D101" s="357">
        <f>_xlfn.XLOOKUP(A102,'03_BulkPack_Order'!$A$2:$A$67,'03_BulkPack_Order'!$H$2:$H$67,"No info")</f>
        <v/>
      </c>
      <c r="E101" s="358">
        <f>MAX(C102:D102)</f>
        <v/>
      </c>
      <c r="F101" s="359">
        <f>IFERROR(VLOOKUP(A102,'01_Cages_Plan'!$C$26:$E$151,3,0),"Missing info")</f>
        <v/>
      </c>
      <c r="G101" s="360" t="n"/>
    </row>
    <row r="102" ht="25" customHeight="1">
      <c r="A102" s="354" t="n">
        <v>203846</v>
      </c>
      <c r="B102" s="361" t="inlineStr">
        <is>
          <t>203846</t>
        </is>
      </c>
      <c r="C102" s="356">
        <f>_xlfn.XLOOKUP(A103,'06_Resource_Plan'!$C$3:$C$136,'06_Resource_Plan'!$F$3:$F$136,"No info")</f>
        <v/>
      </c>
      <c r="D102" s="357">
        <f>_xlfn.XLOOKUP(A103,'03_BulkPack_Order'!$A$2:$A$67,'03_BulkPack_Order'!$H$2:$H$67,"No info")</f>
        <v/>
      </c>
      <c r="E102" s="358">
        <f>MAX(C103:D103)</f>
        <v/>
      </c>
      <c r="F102" s="359">
        <f>IFERROR(VLOOKUP(A103,'01_Cages_Plan'!$C$26:$E$151,3,0),"Missing info")</f>
        <v/>
      </c>
      <c r="G102" s="360" t="n"/>
    </row>
    <row r="103" ht="25" customHeight="1">
      <c r="A103" s="346" t="n">
        <v>206473</v>
      </c>
      <c r="B103" s="361" t="inlineStr">
        <is>
          <t xml:space="preserve">FILLET  5KG </t>
        </is>
      </c>
      <c r="C103" s="356">
        <f>_xlfn.XLOOKUP(A104,'06_Resource_Plan'!$C$3:$C$136,'06_Resource_Plan'!$F$3:$F$136,"No info")</f>
        <v/>
      </c>
      <c r="D103" s="357">
        <f>_xlfn.XLOOKUP(A104,'03_BulkPack_Order'!$A$2:$A$67,'03_BulkPack_Order'!$H$2:$H$67,"No info")</f>
        <v/>
      </c>
      <c r="E103" s="358">
        <f>MAX(C104:D104)</f>
        <v/>
      </c>
      <c r="F103" s="359">
        <f>IFERROR(VLOOKUP(A104,'01_Cages_Plan'!$C$26:$E$151,3,0),"Missing info")</f>
        <v/>
      </c>
      <c r="G103" s="360" t="n">
        <v>8</v>
      </c>
    </row>
    <row r="104" ht="25" customHeight="1">
      <c r="A104" s="346" t="n">
        <v>420172</v>
      </c>
      <c r="B104" s="361" t="n"/>
      <c r="C104" s="356">
        <f>_xlfn.XLOOKUP(A105,'06_Resource_Plan'!$C$3:$C$136,'06_Resource_Plan'!$F$3:$F$136,"No info")</f>
        <v/>
      </c>
      <c r="D104" s="357">
        <f>_xlfn.XLOOKUP(A105,'03_BulkPack_Order'!$A$2:$A$67,'03_BulkPack_Order'!$H$2:$H$67,"No info")</f>
        <v/>
      </c>
      <c r="E104" s="358">
        <f>MAX(C105:D105)</f>
        <v/>
      </c>
      <c r="F104" s="359">
        <f>IFERROR(VLOOKUP(A105,'01_Cages_Plan'!$C$26:$E$151,3,0),"Missing info")</f>
        <v/>
      </c>
      <c r="G104" s="360" t="n"/>
    </row>
    <row r="105" ht="25" customHeight="1">
      <c r="A105" s="346" t="n">
        <v>423002</v>
      </c>
      <c r="B105" s="361" t="inlineStr">
        <is>
          <t>FROZEN SKIN</t>
        </is>
      </c>
      <c r="C105" s="356">
        <f>_xlfn.XLOOKUP(A106,'06_Resource_Plan'!$C$3:$C$136,'06_Resource_Plan'!$F$3:$F$136,"No info")</f>
        <v/>
      </c>
      <c r="D105" s="357">
        <f>_xlfn.XLOOKUP(A106,'03_BulkPack_Order'!$A$2:$A$67,'03_BulkPack_Order'!$H$2:$H$67,"No info")</f>
        <v/>
      </c>
      <c r="E105" s="358">
        <f>MAX(C106:D106)</f>
        <v/>
      </c>
      <c r="F105" s="359">
        <f>IFERROR(VLOOKUP(A106,'01_Cages_Plan'!$C$26:$E$151,3,0),"Missing info")</f>
        <v/>
      </c>
      <c r="G105" s="360" t="n">
        <v>365</v>
      </c>
    </row>
    <row r="106" ht="15" customHeight="1">
      <c r="A106" s="354" t="n">
        <v>423624</v>
      </c>
      <c r="B106" s="363" t="inlineStr">
        <is>
          <t>FAT FROZEN 423624 HALAL</t>
        </is>
      </c>
      <c r="C106" s="356">
        <f>_xlfn.XLOOKUP(A107,'06_Resource_Plan'!$C$3:$C$136,'06_Resource_Plan'!$F$3:$F$136,"No info")</f>
        <v/>
      </c>
      <c r="D106" s="357">
        <f>_xlfn.XLOOKUP(A107,'03_BulkPack_Order'!$A$2:$A$67,'03_BulkPack_Order'!$H$2:$H$67,"No info")</f>
        <v/>
      </c>
      <c r="E106" s="358">
        <f>MAX(C107:D107)</f>
        <v/>
      </c>
      <c r="F106" s="359">
        <f>IFERROR(VLOOKUP(A107,'01_Cages_Plan'!$C$26:$E$151,3,0),"Missing info")</f>
        <v/>
      </c>
      <c r="G106" s="360" t="n">
        <v>365</v>
      </c>
    </row>
    <row r="107" ht="15" customHeight="1">
      <c r="A107" s="374" t="inlineStr">
        <is>
          <t>61014#2</t>
        </is>
      </c>
      <c r="B107" s="384" t="inlineStr">
        <is>
          <t>WETCHILL SPLIT WING</t>
        </is>
      </c>
      <c r="C107" s="376">
        <f>_xlfn.XLOOKUP(A108,'06_Resource_Plan'!$C$3:$C$136,'06_Resource_Plan'!$F$3:$F$136,"No info")</f>
        <v/>
      </c>
      <c r="D107" s="357">
        <f>_xlfn.XLOOKUP(A108,'03_BulkPack_Order'!$A$2:$A$67,'03_BulkPack_Order'!$H$2:$H$67,"No info")</f>
        <v/>
      </c>
      <c r="E107" s="377">
        <f>MAX(C108:D108)</f>
        <v/>
      </c>
      <c r="F107" s="378">
        <f>IFERROR(VLOOKUP(A108,'01_Cages_Plan'!$C$26:$E$151,3,0),"Missing info")</f>
        <v/>
      </c>
      <c r="G107" s="360" t="n"/>
    </row>
    <row r="108" ht="15" customHeight="1">
      <c r="A108" s="346" t="inlineStr">
        <is>
          <t>61014C</t>
        </is>
      </c>
      <c r="B108" s="361" t="n"/>
      <c r="C108" s="356">
        <f>_xlfn.XLOOKUP(A109,'06_Resource_Plan'!$C$3:$C$136,'06_Resource_Plan'!$F$3:$F$136,"No info")</f>
        <v/>
      </c>
      <c r="D108" s="357">
        <f>_xlfn.XLOOKUP(A109,'03_BulkPack_Order'!$A$2:$A$67,'03_BulkPack_Order'!$H$2:$H$67,"No info")</f>
        <v/>
      </c>
      <c r="E108" s="358">
        <f>MAX(C109:D109)</f>
        <v/>
      </c>
      <c r="F108" s="359">
        <f>IFERROR(VLOOKUP(A109,'01_Cages_Plan'!$C$26:$E$151,3,0),"Missing info")</f>
        <v/>
      </c>
      <c r="G108" s="360" t="n"/>
    </row>
    <row r="109" ht="15" customHeight="1">
      <c r="A109" s="346" t="inlineStr">
        <is>
          <t>61014F</t>
        </is>
      </c>
      <c r="B109" s="361" t="n"/>
      <c r="C109" s="356">
        <f>_xlfn.XLOOKUP(A110,'06_Resource_Plan'!$C$3:$C$136,'06_Resource_Plan'!$F$3:$F$136,"No info")</f>
        <v/>
      </c>
      <c r="D109" s="357">
        <f>_xlfn.XLOOKUP(A110,'03_BulkPack_Order'!$A$2:$A$67,'03_BulkPack_Order'!$H$2:$H$67,"No info")</f>
        <v/>
      </c>
      <c r="E109" s="358">
        <f>MAX(C110:D110)</f>
        <v/>
      </c>
      <c r="F109" s="359">
        <f>IFERROR(VLOOKUP(A110,'01_Cages_Plan'!$C$26:$E$151,3,0),"Missing info")</f>
        <v/>
      </c>
      <c r="G109" s="360" t="n"/>
    </row>
    <row r="110" ht="15" customHeight="1">
      <c r="A110" s="374" t="inlineStr">
        <is>
          <t>61050#2</t>
        </is>
      </c>
      <c r="B110" s="375" t="inlineStr">
        <is>
          <t>DOWNGRADE 61050 #2 BNLS</t>
        </is>
      </c>
      <c r="C110" s="376">
        <f>_xlfn.XLOOKUP(A111,'06_Resource_Plan'!$C$3:$C$136,'06_Resource_Plan'!$F$3:$F$136,"No info")</f>
        <v/>
      </c>
      <c r="D110" s="357">
        <f>_xlfn.XLOOKUP(A111,'03_BulkPack_Order'!$A$2:$A$67,'03_BulkPack_Order'!$H$2:$H$67,"No info")</f>
        <v/>
      </c>
      <c r="E110" s="377">
        <f>MAX(C111:D111)</f>
        <v/>
      </c>
      <c r="F110" s="378">
        <f>IFERROR(VLOOKUP(A111,'01_Cages_Plan'!$C$26:$E$151,3,0),"Missing info")</f>
        <v/>
      </c>
      <c r="G110" s="360" t="n"/>
    </row>
    <row r="111" ht="15" customHeight="1">
      <c r="A111" s="346" t="inlineStr">
        <is>
          <t>61050C</t>
        </is>
      </c>
      <c r="B111" s="361" t="n"/>
      <c r="C111" s="356">
        <f>_xlfn.XLOOKUP(A112,'06_Resource_Plan'!$C$3:$C$136,'06_Resource_Plan'!$F$3:$F$136,"No info")</f>
        <v/>
      </c>
      <c r="D111" s="357">
        <f>_xlfn.XLOOKUP(A112,'03_BulkPack_Order'!$A$2:$A$67,'03_BulkPack_Order'!$H$2:$H$67,"No info")</f>
        <v/>
      </c>
      <c r="E111" s="358">
        <f>MAX(C112:D112)</f>
        <v/>
      </c>
      <c r="F111" s="359">
        <f>IFERROR(VLOOKUP(A112,'01_Cages_Plan'!$C$26:$E$151,3,0),"Missing info")</f>
        <v/>
      </c>
      <c r="G111" s="360" t="n"/>
    </row>
    <row r="112" ht="25" customHeight="1">
      <c r="A112" s="354" t="inlineStr">
        <is>
          <t>61050F</t>
        </is>
      </c>
      <c r="B112" s="363" t="inlineStr">
        <is>
          <t xml:space="preserve">61050 PC BONELESS FFF </t>
        </is>
      </c>
      <c r="C112" s="356">
        <f>_xlfn.XLOOKUP(A113,'06_Resource_Plan'!$C$3:$C$136,'06_Resource_Plan'!$F$3:$F$136,"No info")</f>
        <v/>
      </c>
      <c r="D112" s="357">
        <f>_xlfn.XLOOKUP(A113,'03_BulkPack_Order'!$A$2:$A$67,'03_BulkPack_Order'!$H$2:$H$67,"No info")</f>
        <v/>
      </c>
      <c r="E112" s="358">
        <f>MAX(C113:D113)</f>
        <v/>
      </c>
      <c r="F112" s="359">
        <f>IFERROR(VLOOKUP(A113,'01_Cages_Plan'!$C$26:$E$151,3,0),"Missing info")</f>
        <v/>
      </c>
      <c r="G112" s="360" t="n"/>
    </row>
    <row r="113" ht="15" customHeight="1">
      <c r="A113" s="346" t="inlineStr">
        <is>
          <t>61050F#2</t>
        </is>
      </c>
      <c r="B113" s="361" t="n"/>
      <c r="C113" s="356">
        <f>_xlfn.XLOOKUP(A114,'06_Resource_Plan'!$C$3:$C$136,'06_Resource_Plan'!$F$3:$F$136,"No info")</f>
        <v/>
      </c>
      <c r="D113" s="357">
        <f>_xlfn.XLOOKUP(A114,'03_BulkPack_Order'!$A$2:$A$67,'03_BulkPack_Order'!$H$2:$H$67,"No info")</f>
        <v/>
      </c>
      <c r="E113" s="358">
        <f>MAX(C114:D114)</f>
        <v/>
      </c>
      <c r="F113" s="359">
        <f>IFERROR(VLOOKUP(A114,'01_Cages_Plan'!$C$26:$E$151,3,0),"Missing info")</f>
        <v/>
      </c>
      <c r="G113" s="360" t="n"/>
    </row>
    <row r="114" ht="15" customHeight="1">
      <c r="A114" s="354" t="inlineStr">
        <is>
          <t>61061F</t>
        </is>
      </c>
      <c r="B114" s="363" t="inlineStr">
        <is>
          <t>61061 FFF B/A LEG</t>
        </is>
      </c>
      <c r="C114" s="356">
        <f>_xlfn.XLOOKUP(A115,'06_Resource_Plan'!$C$3:$C$136,'06_Resource_Plan'!$F$3:$F$136,"No info")</f>
        <v/>
      </c>
      <c r="D114" s="357">
        <f>_xlfn.XLOOKUP(A115,'03_BulkPack_Order'!$A$2:$A$67,'03_BulkPack_Order'!$H$2:$H$67,"No info")</f>
        <v/>
      </c>
      <c r="E114" s="358">
        <f>MAX(C115:D115)</f>
        <v/>
      </c>
      <c r="F114" s="359">
        <f>IFERROR(VLOOKUP(A115,'01_Cages_Plan'!$C$26:$E$151,3,0),"Missing info")</f>
        <v/>
      </c>
      <c r="G114" s="360" t="n"/>
    </row>
    <row r="115" ht="15" customHeight="1">
      <c r="A115" s="374" t="inlineStr">
        <is>
          <t>61072#2</t>
        </is>
      </c>
      <c r="B115" s="380" t="inlineStr">
        <is>
          <t>61072 #2 DRUM STICK X25KG</t>
        </is>
      </c>
      <c r="C115" s="376">
        <f>_xlfn.XLOOKUP(A116,'06_Resource_Plan'!$C$3:$C$136,'06_Resource_Plan'!$F$3:$F$136,"No info")</f>
        <v/>
      </c>
      <c r="D115" s="357">
        <f>_xlfn.XLOOKUP(A116,'03_BulkPack_Order'!$A$2:$A$67,'03_BulkPack_Order'!$H$2:$H$67,"No info")</f>
        <v/>
      </c>
      <c r="E115" s="377">
        <f>MAX(C116:D116)</f>
        <v/>
      </c>
      <c r="F115" s="378">
        <f>IFERROR(VLOOKUP(A116,'01_Cages_Plan'!$C$26:$E$151,3,0),"Missing info")</f>
        <v/>
      </c>
      <c r="G115" s="360" t="n"/>
    </row>
    <row r="116" ht="15" customHeight="1">
      <c r="A116" s="346" t="inlineStr">
        <is>
          <t>61072C</t>
        </is>
      </c>
      <c r="B116" s="361" t="n"/>
      <c r="C116" s="356">
        <f>_xlfn.XLOOKUP(A117,'06_Resource_Plan'!$C$3:$C$136,'06_Resource_Plan'!$F$3:$F$136,"No info")</f>
        <v/>
      </c>
      <c r="D116" s="357">
        <f>_xlfn.XLOOKUP(A117,'03_BulkPack_Order'!$A$2:$A$67,'03_BulkPack_Order'!$H$2:$H$67,"No info")</f>
        <v/>
      </c>
      <c r="E116" s="358">
        <f>MAX(C117:D117)</f>
        <v/>
      </c>
      <c r="F116" s="359">
        <f>IFERROR(VLOOKUP(A117,'01_Cages_Plan'!$C$26:$E$151,3,0),"Missing info")</f>
        <v/>
      </c>
      <c r="G116" s="360" t="n"/>
    </row>
    <row r="117" ht="15" customHeight="1">
      <c r="A117" s="354" t="inlineStr">
        <is>
          <t>61072F</t>
        </is>
      </c>
      <c r="B117" s="379" t="inlineStr">
        <is>
          <t>61072 FFF DRUM STICK X25KG</t>
        </is>
      </c>
      <c r="C117" s="356">
        <f>_xlfn.XLOOKUP(A118,'06_Resource_Plan'!$C$3:$C$136,'06_Resource_Plan'!$F$3:$F$136,"No info")</f>
        <v/>
      </c>
      <c r="D117" s="357">
        <f>_xlfn.XLOOKUP(A118,'03_BulkPack_Order'!$A$2:$A$67,'03_BulkPack_Order'!$H$2:$H$67,"No info")</f>
        <v/>
      </c>
      <c r="E117" s="358">
        <f>MAX(C118:D118)</f>
        <v/>
      </c>
      <c r="F117" s="359">
        <f>IFERROR(VLOOKUP(A118,'01_Cages_Plan'!$C$26:$E$151,3,0),"Missing info")</f>
        <v/>
      </c>
      <c r="G117" s="360" t="n"/>
    </row>
    <row r="118" ht="15" customHeight="1">
      <c r="A118" s="354" t="inlineStr">
        <is>
          <t>61077F</t>
        </is>
      </c>
      <c r="B118" s="379" t="inlineStr">
        <is>
          <t>61077 FFF BONE IN THIGH X25KG</t>
        </is>
      </c>
      <c r="C118" s="356">
        <f>_xlfn.XLOOKUP(A119,'06_Resource_Plan'!$C$3:$C$136,'06_Resource_Plan'!$F$3:$F$136,"No info")</f>
        <v/>
      </c>
      <c r="D118" s="357">
        <f>_xlfn.XLOOKUP(A119,'03_BulkPack_Order'!$A$2:$A$67,'03_BulkPack_Order'!$H$2:$H$67,"No info")</f>
        <v/>
      </c>
      <c r="E118" s="358">
        <f>MAX(C119:D119)</f>
        <v/>
      </c>
      <c r="F118" s="359">
        <f>IFERROR(VLOOKUP(A119,'01_Cages_Plan'!$C$26:$E$151,3,0),"Missing info")</f>
        <v/>
      </c>
      <c r="G118" s="360" t="n"/>
    </row>
    <row r="119" ht="15" customHeight="1">
      <c r="A119" s="385" t="inlineStr">
        <is>
          <t>61086#2</t>
        </is>
      </c>
      <c r="B119" s="380" t="inlineStr">
        <is>
          <t>DOWNGRADE 61086 #2 T/MEAT X25KG</t>
        </is>
      </c>
      <c r="C119" s="376">
        <f>_xlfn.XLOOKUP(A120,'06_Resource_Plan'!$C$3:$C$136,'06_Resource_Plan'!$F$3:$F$136,"No info")</f>
        <v/>
      </c>
      <c r="D119" s="357">
        <f>_xlfn.XLOOKUP(A120,'03_BulkPack_Order'!$A$2:$A$67,'03_BulkPack_Order'!$H$2:$H$67,"No info")</f>
        <v/>
      </c>
      <c r="E119" s="377">
        <f>MAX(C120:D120)</f>
        <v/>
      </c>
      <c r="F119" s="378">
        <f>IFERROR(VLOOKUP(A120,'01_Cages_Plan'!$C$26:$E$151,3,0),"Missing info")</f>
        <v/>
      </c>
      <c r="G119" s="360" t="n"/>
    </row>
    <row r="120" ht="15" customHeight="1">
      <c r="A120" s="346" t="inlineStr">
        <is>
          <t>61086C</t>
        </is>
      </c>
      <c r="B120" s="361" t="n"/>
      <c r="C120" s="356">
        <f>_xlfn.XLOOKUP(A121,'06_Resource_Plan'!$C$3:$C$136,'06_Resource_Plan'!$F$3:$F$136,"No info")</f>
        <v/>
      </c>
      <c r="D120" s="357">
        <f>_xlfn.XLOOKUP(A121,'03_BulkPack_Order'!$A$2:$A$67,'03_BulkPack_Order'!$H$2:$H$67,"No info")</f>
        <v/>
      </c>
      <c r="E120" s="358">
        <f>MAX(C121:D121)</f>
        <v/>
      </c>
      <c r="F120" s="359">
        <f>IFERROR(VLOOKUP(A121,'01_Cages_Plan'!$C$26:$E$151,3,0),"Missing info")</f>
        <v/>
      </c>
      <c r="G120" s="360" t="n"/>
    </row>
    <row r="121" ht="25" customHeight="1">
      <c r="A121" s="354" t="inlineStr">
        <is>
          <t>61086F</t>
        </is>
      </c>
      <c r="B121" s="379" t="inlineStr">
        <is>
          <t>61086 FFF THIGH MEAT X25KG</t>
        </is>
      </c>
      <c r="C121" s="356">
        <f>_xlfn.XLOOKUP(A122,'06_Resource_Plan'!$C$3:$C$136,'06_Resource_Plan'!$F$3:$F$136,"No info")</f>
        <v/>
      </c>
      <c r="D121" s="357">
        <f>_xlfn.XLOOKUP(A122,'03_BulkPack_Order'!$A$2:$A$67,'03_BulkPack_Order'!$H$2:$H$67,"No info")</f>
        <v/>
      </c>
      <c r="E121" s="358">
        <f>MAX(C122:D122)</f>
        <v/>
      </c>
      <c r="F121" s="359">
        <f>IFERROR(VLOOKUP(A122,'01_Cages_Plan'!$C$26:$E$151,3,0),"Missing info")</f>
        <v/>
      </c>
      <c r="G121" s="360" t="n"/>
    </row>
    <row r="122" ht="25" customHeight="1">
      <c r="A122" s="346" t="inlineStr">
        <is>
          <t>ZH61014</t>
        </is>
      </c>
      <c r="B122" s="361" t="n"/>
      <c r="C122" s="356">
        <f>_xlfn.XLOOKUP(A123,'06_Resource_Plan'!$C$3:$C$136,'06_Resource_Plan'!$F$3:$F$136,"No info")</f>
        <v/>
      </c>
      <c r="D122" s="357">
        <f>_xlfn.XLOOKUP(A123,'03_BulkPack_Order'!$A$2:$A$67,'03_BulkPack_Order'!$H$2:$H$67,"No info")</f>
        <v/>
      </c>
      <c r="E122" s="358">
        <f>MAX(C123:D123)</f>
        <v/>
      </c>
      <c r="F122" s="359">
        <f>IFERROR(VLOOKUP(A123,'01_Cages_Plan'!$C$26:$E$151,3,0),"Missing info")</f>
        <v/>
      </c>
      <c r="G122" s="360" t="n"/>
    </row>
    <row r="123" ht="15" customHeight="1">
      <c r="A123" s="354" t="inlineStr">
        <is>
          <t>ZH61050F</t>
        </is>
      </c>
      <c r="B123" s="363" t="inlineStr">
        <is>
          <t>FRESH</t>
        </is>
      </c>
      <c r="C123" s="356">
        <f>_xlfn.XLOOKUP(A124,'06_Resource_Plan'!$C$3:$C$136,'06_Resource_Plan'!$F$3:$F$136,"No info")</f>
        <v/>
      </c>
      <c r="D123" s="357">
        <f>_xlfn.XLOOKUP(A124,'03_BulkPack_Order'!$A$2:$A$67,'03_BulkPack_Order'!$H$2:$H$67,"No info")</f>
        <v/>
      </c>
      <c r="E123" s="358">
        <f>MAX(C124:D124)</f>
        <v/>
      </c>
      <c r="F123" s="359">
        <f>IFERROR(VLOOKUP(A124,'01_Cages_Plan'!$C$26:$E$151,3,0),"Missing info")</f>
        <v/>
      </c>
      <c r="G123" s="360" t="n"/>
    </row>
    <row r="124" ht="15" customHeight="1">
      <c r="A124" s="346" t="inlineStr">
        <is>
          <t>ZH61061</t>
        </is>
      </c>
      <c r="B124" s="361" t="n"/>
      <c r="C124" s="356">
        <f>_xlfn.XLOOKUP(A125,'06_Resource_Plan'!$C$3:$C$136,'06_Resource_Plan'!$F$3:$F$136,"No info")</f>
        <v/>
      </c>
      <c r="D124" s="357">
        <f>_xlfn.XLOOKUP(A125,'03_BulkPack_Order'!$A$2:$A$67,'03_BulkPack_Order'!$H$2:$H$67,"No info")</f>
        <v/>
      </c>
      <c r="E124" s="358">
        <f>MAX(C125:D125)</f>
        <v/>
      </c>
      <c r="F124" s="359">
        <f>IFERROR(VLOOKUP(A125,'01_Cages_Plan'!$C$26:$E$151,3,0),"Missing info")</f>
        <v/>
      </c>
      <c r="G124" s="360" t="n"/>
    </row>
    <row r="125" ht="15" customHeight="1">
      <c r="A125" s="354" t="inlineStr">
        <is>
          <t>ZH61072</t>
        </is>
      </c>
      <c r="B125" s="379" t="inlineStr">
        <is>
          <t>FRESH</t>
        </is>
      </c>
      <c r="C125" s="356">
        <f>_xlfn.XLOOKUP(A126,'06_Resource_Plan'!$C$3:$C$136,'06_Resource_Plan'!$F$3:$F$136,"No info")</f>
        <v/>
      </c>
      <c r="D125" s="357">
        <f>_xlfn.XLOOKUP(A126,'03_BulkPack_Order'!$A$2:$A$67,'03_BulkPack_Order'!$H$2:$H$67,"No info")</f>
        <v/>
      </c>
      <c r="E125" s="358">
        <f>MAX(C126:D126)</f>
        <v/>
      </c>
      <c r="F125" s="359">
        <f>IFERROR(VLOOKUP(A126,'01_Cages_Plan'!$C$26:$E$151,3,0),"Missing info")</f>
        <v/>
      </c>
      <c r="G125" s="360" t="n"/>
    </row>
    <row r="126" ht="15" customHeight="1">
      <c r="A126" s="354" t="n">
        <v>1412</v>
      </c>
      <c r="B126" s="379" t="inlineStr">
        <is>
          <t>MS BSTHIGH 18KG/BOX</t>
        </is>
      </c>
      <c r="C126" s="356">
        <f>_xlfn.XLOOKUP(A127,'06_Resource_Plan'!$C$3:$C$136,'06_Resource_Plan'!$F$3:$F$136,"No info")</f>
        <v/>
      </c>
      <c r="D126" s="357">
        <f>_xlfn.XLOOKUP(A127,'03_BulkPack_Order'!$A$2:$A$67,'03_BulkPack_Order'!$H$2:$H$67,"No info")</f>
        <v/>
      </c>
      <c r="E126" s="358">
        <f>MAX(C127:D127)</f>
        <v/>
      </c>
      <c r="F126" s="359">
        <f>IFERROR(VLOOKUP(A127,'01_Cages_Plan'!$C$26:$E$151,3,0),"Missing info")</f>
        <v/>
      </c>
      <c r="G126" s="360" t="n"/>
    </row>
    <row r="127" ht="15" customHeight="1">
      <c r="A127" s="354" t="n">
        <v>201895</v>
      </c>
      <c r="B127" s="379" t="n"/>
      <c r="C127" s="356">
        <f>_xlfn.XLOOKUP(A128,'06_Resource_Plan'!$C$3:$C$136,'06_Resource_Plan'!$F$3:$F$136,"No info")</f>
        <v/>
      </c>
      <c r="D127" s="357">
        <f>_xlfn.XLOOKUP(A128,'03_BulkPack_Order'!$A$2:$A$67,'03_BulkPack_Order'!$H$2:$H$67,"No info")</f>
        <v/>
      </c>
      <c r="E127" s="358">
        <f>MAX(C128:D128)</f>
        <v/>
      </c>
      <c r="F127" s="359">
        <f>IFERROR(VLOOKUP(A128,'01_Cages_Plan'!$C$26:$E$151,3,0),"Missing info")</f>
        <v/>
      </c>
      <c r="G127" s="360" t="n"/>
    </row>
    <row r="128" ht="25" customHeight="1">
      <c r="A128" s="354" t="inlineStr">
        <is>
          <t>ZH61086F</t>
        </is>
      </c>
      <c r="B128" s="379" t="inlineStr">
        <is>
          <t>FRESH</t>
        </is>
      </c>
      <c r="C128" s="356">
        <f>_xlfn.XLOOKUP(A129,'06_Resource_Plan'!$C$3:$C$136,'06_Resource_Plan'!$F$3:$F$136,"No info")</f>
        <v/>
      </c>
      <c r="D128" s="357">
        <f>_xlfn.XLOOKUP(A129,'03_BulkPack_Order'!$A$2:$A$67,'03_BulkPack_Order'!$H$2:$H$67,"No info")</f>
        <v/>
      </c>
      <c r="E128" s="358">
        <f>MAX(C129:D129)</f>
        <v/>
      </c>
      <c r="F128" s="359">
        <f>IFERROR(VLOOKUP(A129,'01_Cages_Plan'!$C$26:$E$151,3,0),"Missing info")</f>
        <v/>
      </c>
      <c r="G128" s="360" t="n"/>
    </row>
    <row r="129" ht="15" customHeight="1">
      <c r="A129" s="386" t="n"/>
      <c r="B129" s="387" t="n"/>
      <c r="C129" s="388" t="n"/>
      <c r="D129" s="389" t="n"/>
      <c r="E129" s="390" t="n"/>
      <c r="F129" s="391" t="n"/>
      <c r="G129" s="39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4.5"/>
  <cols>
    <col width="21.453125" customWidth="1" min="1" max="1"/>
    <col width="11.26953125" customWidth="1" min="2" max="2"/>
    <col width="5.7265625" customWidth="1" min="4" max="4"/>
    <col width="10.26953125" customWidth="1" min="5" max="5"/>
  </cols>
  <sheetData>
    <row r="1" ht="58" customHeight="1">
      <c r="A1" s="393" t="inlineStr">
        <is>
          <t>Part</t>
        </is>
      </c>
      <c r="B1" s="393" t="inlineStr">
        <is>
          <t>Short Name</t>
        </is>
      </c>
      <c r="C1" s="393" t="inlineStr">
        <is>
          <t>Group</t>
        </is>
      </c>
      <c r="D1" s="393" t="inlineStr">
        <is>
          <t>Level</t>
        </is>
      </c>
      <c r="E1" s="393" t="inlineStr">
        <is>
          <t>Adjusted Yield (% normalized to 100%)</t>
        </is>
      </c>
    </row>
    <row r="2">
      <c r="A2" s="15" t="inlineStr">
        <is>
          <t>Breast (bone-in)</t>
        </is>
      </c>
      <c r="B2" s="15" t="inlineStr">
        <is>
          <t>SplitBreast</t>
        </is>
      </c>
      <c r="C2" s="15" t="inlineStr">
        <is>
          <t>Breast</t>
        </is>
      </c>
      <c r="D2" s="15" t="n">
        <v>1</v>
      </c>
      <c r="E2" s="15" t="n">
        <v>43</v>
      </c>
      <c r="G2" t="n">
        <v>40</v>
      </c>
      <c r="J2" s="112" t="inlineStr">
        <is>
          <t>yellow test with hand cut</t>
        </is>
      </c>
      <c r="Q2" t="n">
        <v>100</v>
      </c>
      <c r="S2" t="n">
        <v>100</v>
      </c>
    </row>
    <row r="3">
      <c r="A3" s="15" t="inlineStr">
        <is>
          <t>Boneless Skinless Breast</t>
        </is>
      </c>
      <c r="B3" s="15" t="inlineStr">
        <is>
          <t>BSB</t>
        </is>
      </c>
      <c r="C3" s="15" t="inlineStr">
        <is>
          <t>Breast</t>
        </is>
      </c>
      <c r="D3" s="15" t="n">
        <v>2</v>
      </c>
      <c r="E3" s="15" t="n">
        <v>31</v>
      </c>
      <c r="G3" t="n">
        <v>31</v>
      </c>
    </row>
    <row r="4">
      <c r="A4" s="15" t="inlineStr">
        <is>
          <t>Boneless Skinless Breast</t>
        </is>
      </c>
      <c r="B4" s="15" t="inlineStr">
        <is>
          <t>WOF</t>
        </is>
      </c>
      <c r="C4" s="15" t="inlineStr">
        <is>
          <t>Breast</t>
        </is>
      </c>
      <c r="D4" s="15" t="n">
        <v>2</v>
      </c>
      <c r="E4" s="15">
        <f>E3-E5</f>
        <v/>
      </c>
    </row>
    <row r="5">
      <c r="A5" s="15" t="inlineStr">
        <is>
          <t>Tenderloin</t>
        </is>
      </c>
      <c r="B5" s="15" t="inlineStr">
        <is>
          <t>Fillet</t>
        </is>
      </c>
      <c r="C5" s="15" t="inlineStr">
        <is>
          <t>Breast</t>
        </is>
      </c>
      <c r="D5" s="15" t="n">
        <v>2</v>
      </c>
      <c r="E5" s="15" t="n">
        <v>4.12</v>
      </c>
      <c r="G5" t="n">
        <v>4.12</v>
      </c>
    </row>
    <row r="6">
      <c r="A6" s="15" t="inlineStr">
        <is>
          <t>BA Leg</t>
        </is>
      </c>
      <c r="B6" s="15" t="inlineStr">
        <is>
          <t>BA</t>
        </is>
      </c>
      <c r="C6" s="15" t="inlineStr">
        <is>
          <t>LegBA</t>
        </is>
      </c>
      <c r="D6" s="15" t="n">
        <v>1</v>
      </c>
      <c r="E6" s="394" t="n">
        <v>42</v>
      </c>
      <c r="G6" t="n">
        <v>48.23</v>
      </c>
    </row>
    <row r="7">
      <c r="A7" s="15" t="inlineStr">
        <is>
          <t>Leg Quarter</t>
        </is>
      </c>
      <c r="B7" s="15" t="inlineStr">
        <is>
          <t>Wleg</t>
        </is>
      </c>
      <c r="C7" s="15" t="inlineStr">
        <is>
          <t>Leg</t>
        </is>
      </c>
      <c r="D7" s="15" t="n">
        <v>2</v>
      </c>
      <c r="E7" s="15" t="n">
        <v>38.82</v>
      </c>
      <c r="G7" t="n">
        <v>38.82</v>
      </c>
    </row>
    <row r="8">
      <c r="A8" s="15" t="inlineStr">
        <is>
          <t>Thigh (bone-in)</t>
        </is>
      </c>
      <c r="B8" s="15" t="inlineStr">
        <is>
          <t>Thigh</t>
        </is>
      </c>
      <c r="C8" s="15" t="inlineStr">
        <is>
          <t>Leg</t>
        </is>
      </c>
      <c r="D8" s="15" t="n">
        <v>2</v>
      </c>
      <c r="E8" s="394" t="n">
        <v>19.1</v>
      </c>
      <c r="G8" t="n">
        <v>20</v>
      </c>
    </row>
    <row r="9">
      <c r="A9" s="15" t="inlineStr">
        <is>
          <t>Boneless Thigh</t>
        </is>
      </c>
      <c r="B9" s="15" t="inlineStr">
        <is>
          <t>ThighMeat</t>
        </is>
      </c>
      <c r="C9" s="15" t="inlineStr">
        <is>
          <t>Leg</t>
        </is>
      </c>
      <c r="D9" s="15" t="n">
        <v>3</v>
      </c>
      <c r="E9" s="15" t="n">
        <v>10.5</v>
      </c>
      <c r="G9" t="n">
        <v>10.5</v>
      </c>
      <c r="P9" t="n">
        <v>0.8169999999999999</v>
      </c>
      <c r="Q9" s="67">
        <f>P9*T19</f>
        <v/>
      </c>
    </row>
    <row r="10">
      <c r="A10" s="15" t="inlineStr">
        <is>
          <t>Drumstick</t>
        </is>
      </c>
      <c r="B10" s="15" t="inlineStr">
        <is>
          <t>Drum</t>
        </is>
      </c>
      <c r="C10" s="15" t="inlineStr">
        <is>
          <t>Leg</t>
        </is>
      </c>
      <c r="D10" s="15" t="n">
        <v>2</v>
      </c>
      <c r="E10" s="394" t="n">
        <v>12.8</v>
      </c>
      <c r="G10" t="n">
        <v>17.65</v>
      </c>
      <c r="Q10" s="67" t="n"/>
    </row>
    <row r="11">
      <c r="A11" s="15" t="inlineStr">
        <is>
          <t>Whole Wing</t>
        </is>
      </c>
      <c r="B11" s="15" t="inlineStr">
        <is>
          <t>Wing</t>
        </is>
      </c>
      <c r="C11" s="15" t="inlineStr">
        <is>
          <t>Wing</t>
        </is>
      </c>
      <c r="D11" s="15" t="n">
        <v>1</v>
      </c>
      <c r="E11" s="394" t="n">
        <v>11</v>
      </c>
      <c r="G11" t="n">
        <v>11.76</v>
      </c>
      <c r="Q11" s="67" t="n"/>
    </row>
    <row r="12">
      <c r="A12" s="15" t="inlineStr">
        <is>
          <t>Wing - Drumette</t>
        </is>
      </c>
      <c r="B12" s="15" t="inlineStr">
        <is>
          <t>SplitWing</t>
        </is>
      </c>
      <c r="C12" s="15" t="inlineStr">
        <is>
          <t>Wing</t>
        </is>
      </c>
      <c r="D12" s="15" t="n">
        <v>2</v>
      </c>
      <c r="E12" s="394" t="n">
        <v>9.6</v>
      </c>
      <c r="F12" t="n">
        <v>4.71</v>
      </c>
      <c r="G12" t="n">
        <v>9.42</v>
      </c>
      <c r="Q12" s="67" t="n"/>
    </row>
    <row r="13">
      <c r="A13" s="15" t="inlineStr">
        <is>
          <t>Wing - Mid-joint</t>
        </is>
      </c>
      <c r="B13" s="15" t="inlineStr">
        <is>
          <t>SplitWing</t>
        </is>
      </c>
      <c r="C13" s="15" t="inlineStr">
        <is>
          <t>Wing</t>
        </is>
      </c>
      <c r="D13" s="15" t="n">
        <v>2</v>
      </c>
      <c r="E13" s="394" t="n">
        <v>9.6</v>
      </c>
      <c r="F13" t="n">
        <v>4.71</v>
      </c>
      <c r="G13" t="n">
        <v>9.42</v>
      </c>
      <c r="Q13" s="67" t="n"/>
    </row>
    <row r="14">
      <c r="A14" s="15" t="inlineStr">
        <is>
          <t>Wing - Tip</t>
        </is>
      </c>
      <c r="B14" s="15" t="n"/>
      <c r="C14" s="15" t="inlineStr">
        <is>
          <t>Wing</t>
        </is>
      </c>
      <c r="D14" s="15" t="n">
        <v>2</v>
      </c>
      <c r="E14" s="15" t="n">
        <v>2.35</v>
      </c>
      <c r="G14" t="n">
        <v>2.35</v>
      </c>
      <c r="P14" t="n">
        <v>0.8169999999999999</v>
      </c>
      <c r="Q14" s="67">
        <f>P14*T24</f>
        <v/>
      </c>
      <c r="R14" t="n">
        <v>0.80663157562959</v>
      </c>
      <c r="S14" s="67">
        <f>R14*U19</f>
        <v/>
      </c>
    </row>
    <row r="15">
      <c r="A15" s="15" t="inlineStr">
        <is>
          <t>Back</t>
        </is>
      </c>
      <c r="B15" s="15" t="inlineStr">
        <is>
          <t>Back</t>
        </is>
      </c>
      <c r="C15" s="15" t="inlineStr">
        <is>
          <t>BackBone</t>
        </is>
      </c>
      <c r="D15" s="15" t="n">
        <v>2</v>
      </c>
      <c r="E15" s="15" t="n">
        <v>9.41</v>
      </c>
      <c r="G15" t="n">
        <v>9.41</v>
      </c>
      <c r="P15" t="n">
        <v>0.183</v>
      </c>
      <c r="Q15" s="67">
        <f>P15*T19</f>
        <v/>
      </c>
      <c r="R15" t="n">
        <v>0.1933684243704101</v>
      </c>
      <c r="S15" s="67">
        <f>R15*U19</f>
        <v/>
      </c>
      <c r="T15" s="67" t="n"/>
    </row>
    <row r="16">
      <c r="A16" s="15" t="inlineStr">
        <is>
          <t>Skin</t>
        </is>
      </c>
      <c r="B16" s="15" t="n"/>
      <c r="C16" s="15" t="inlineStr">
        <is>
          <t>Skin</t>
        </is>
      </c>
      <c r="D16" s="15" t="n">
        <v>1</v>
      </c>
      <c r="E16" s="15" t="n">
        <v>0</v>
      </c>
      <c r="G16" t="n">
        <v>0</v>
      </c>
      <c r="S16" s="67" t="n"/>
      <c r="T16" s="67" t="n"/>
    </row>
    <row r="17">
      <c r="A17" s="15" t="inlineStr">
        <is>
          <t>Trim / Fat / Misc</t>
        </is>
      </c>
      <c r="B17" s="15" t="n"/>
      <c r="C17" s="15" t="inlineStr">
        <is>
          <t>Other</t>
        </is>
      </c>
      <c r="D17" s="15" t="n">
        <v>1</v>
      </c>
      <c r="E17" s="15" t="n">
        <v>0</v>
      </c>
      <c r="G17" t="n">
        <v>0</v>
      </c>
      <c r="S17" s="67" t="n"/>
      <c r="T17" s="67" t="n"/>
    </row>
    <row r="18">
      <c r="S18" s="67" t="n"/>
      <c r="T18" s="67" t="n">
        <v>0.466</v>
      </c>
      <c r="U18" s="313" t="n">
        <v>0.4628793607439929</v>
      </c>
    </row>
    <row r="19">
      <c r="S19" s="67" t="n"/>
      <c r="T19" s="67" t="n">
        <v>0.534</v>
      </c>
      <c r="U19" s="67" t="n">
        <v>0.5371206392560072</v>
      </c>
    </row>
    <row r="20">
      <c r="S20" s="67" t="n"/>
      <c r="T20" s="67" t="n"/>
    </row>
    <row r="21">
      <c r="O21" t="inlineStr">
        <is>
          <t>drum</t>
        </is>
      </c>
      <c r="P21" t="n">
        <v>0.305</v>
      </c>
      <c r="Q21" s="67">
        <f>P21*T18</f>
        <v/>
      </c>
      <c r="R21" s="67" t="n">
        <v>0.2649639332594205</v>
      </c>
      <c r="S21" s="67">
        <f>R21*U18</f>
        <v/>
      </c>
      <c r="T21" s="67" t="n"/>
    </row>
    <row r="22">
      <c r="O22" t="inlineStr">
        <is>
          <t>thigh</t>
        </is>
      </c>
      <c r="P22" t="n">
        <v>0.42</v>
      </c>
      <c r="Q22" s="67">
        <f>P22*T18</f>
        <v/>
      </c>
      <c r="R22" s="67" t="n">
        <v>0.4092445831451293</v>
      </c>
      <c r="S22" s="67">
        <f>R22*U18</f>
        <v/>
      </c>
      <c r="T22" s="67" t="n"/>
    </row>
    <row r="23">
      <c r="O23" t="inlineStr">
        <is>
          <t>back</t>
        </is>
      </c>
      <c r="P23" t="n">
        <v>0.275</v>
      </c>
      <c r="Q23" s="67">
        <f>P23*T18</f>
        <v/>
      </c>
      <c r="R23" s="67" t="n">
        <v>0.3257914835954502</v>
      </c>
      <c r="S23" s="67">
        <f>R23*U18</f>
        <v/>
      </c>
    </row>
    <row r="24">
      <c r="S24" s="67" t="n"/>
    </row>
    <row r="25">
      <c r="S25" s="67" t="n"/>
    </row>
    <row r="32">
      <c r="W32" t="n">
        <v>0.9017813821307271</v>
      </c>
    </row>
    <row r="33">
      <c r="W33" t="n">
        <v>0.0982186178692729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X568"/>
  <sheetViews>
    <sheetView tabSelected="1" workbookViewId="0">
      <selection activeCell="A1" sqref="A1"/>
    </sheetView>
  </sheetViews>
  <sheetFormatPr baseColWidth="8" defaultRowHeight="14.5"/>
  <cols>
    <col width="1.08984375" customWidth="1" min="1" max="1"/>
    <col width="17" customWidth="1" min="2" max="2"/>
    <col width="25" customWidth="1" min="3" max="3"/>
    <col width="12" customWidth="1" min="4" max="4"/>
    <col width="13" customWidth="1" min="5" max="5"/>
    <col width="25" customWidth="1" min="6" max="6"/>
    <col width="12" customWidth="1" min="7" max="7"/>
    <col width="13" customWidth="1" min="8" max="8"/>
    <col width="25" customWidth="1" min="9" max="9"/>
    <col width="12" customWidth="1" min="10" max="10"/>
    <col width="25" customWidth="1" min="11" max="11"/>
    <col width="15" customWidth="1" min="12" max="12"/>
    <col width="12" customWidth="1" min="13" max="13"/>
    <col width="9.7265625" customWidth="1" min="14" max="14"/>
  </cols>
  <sheetData>
    <row r="2" ht="35" customHeight="1">
      <c r="B2" s="669" t="inlineStr">
        <is>
          <t>Cut up</t>
        </is>
      </c>
      <c r="E2" s="669" t="inlineStr">
        <is>
          <t>Tray pack</t>
        </is>
      </c>
      <c r="H2" s="669" t="inlineStr">
        <is>
          <t>Bagging</t>
        </is>
      </c>
      <c r="K2" s="402" t="n"/>
      <c r="L2" s="670" t="inlineStr">
        <is>
          <t>Total Request</t>
        </is>
      </c>
      <c r="M2" s="670" t="inlineStr">
        <is>
          <t>IN</t>
        </is>
      </c>
      <c r="N2" s="403" t="n"/>
    </row>
    <row r="3" ht="25" customHeight="1">
      <c r="B3" s="671" t="inlineStr">
        <is>
          <t>Relese</t>
        </is>
      </c>
      <c r="C3" s="672" t="n">
        <v>0.2652777777777778</v>
      </c>
      <c r="D3" s="671" t="n"/>
      <c r="E3" s="671" t="inlineStr">
        <is>
          <t>Relese</t>
        </is>
      </c>
      <c r="F3" s="672" t="n">
        <v>0.2611111111111111</v>
      </c>
      <c r="G3" s="671" t="n"/>
      <c r="H3" s="671" t="n"/>
      <c r="I3" s="671" t="n"/>
      <c r="J3" s="671" t="n"/>
      <c r="K3" s="671" t="inlineStr">
        <is>
          <t>(001730) Cut Crew Am</t>
        </is>
      </c>
      <c r="L3" s="671" t="n">
        <v>52</v>
      </c>
      <c r="M3" s="671" t="n">
        <v>46</v>
      </c>
      <c r="N3" s="15" t="n"/>
    </row>
    <row r="4">
      <c r="B4" s="673" t="inlineStr">
        <is>
          <t>Strat</t>
        </is>
      </c>
      <c r="C4" s="674" t="n">
        <v>0.2715277777777778</v>
      </c>
      <c r="D4" s="673" t="n"/>
      <c r="E4" s="675" t="inlineStr">
        <is>
          <t>Strat</t>
        </is>
      </c>
      <c r="F4" s="676" t="n">
        <v>0.2708333333333333</v>
      </c>
      <c r="G4" s="675" t="n"/>
      <c r="H4" s="673" t="n"/>
      <c r="I4" s="673" t="n"/>
      <c r="J4" s="673" t="n"/>
      <c r="K4" s="677" t="inlineStr">
        <is>
          <t>(001733) Cone Line Am</t>
        </is>
      </c>
      <c r="L4" s="678" t="n">
        <v>70</v>
      </c>
      <c r="M4" s="678" t="n">
        <v>60</v>
      </c>
      <c r="N4" s="15" t="n"/>
    </row>
    <row r="5">
      <c r="B5" s="673" t="inlineStr">
        <is>
          <t>Employees</t>
        </is>
      </c>
      <c r="C5" s="673">
        <f>SUM(M3,M4,M7)</f>
        <v/>
      </c>
      <c r="D5" s="673" t="n"/>
      <c r="E5" s="675" t="inlineStr">
        <is>
          <t>Employees</t>
        </is>
      </c>
      <c r="F5" s="675">
        <f>SUM(M5,M8)</f>
        <v/>
      </c>
      <c r="G5" s="675" t="n"/>
      <c r="H5" s="673" t="inlineStr">
        <is>
          <t>Employees</t>
        </is>
      </c>
      <c r="I5" s="673">
        <f>M6</f>
        <v/>
      </c>
      <c r="J5" s="673" t="n"/>
      <c r="K5" s="677" t="inlineStr">
        <is>
          <t>(001740) Tray Pack Am</t>
        </is>
      </c>
      <c r="L5" s="678" t="n">
        <v>122</v>
      </c>
      <c r="M5" s="678" t="n">
        <v>91</v>
      </c>
      <c r="N5" s="15" t="n"/>
    </row>
    <row r="6">
      <c r="B6" s="673" t="n"/>
      <c r="C6" s="679" t="n"/>
      <c r="D6" s="673" t="n"/>
      <c r="E6" s="675" t="n"/>
      <c r="F6" s="675" t="n"/>
      <c r="G6" s="675" t="n"/>
      <c r="H6" s="673" t="n"/>
      <c r="I6" s="673" t="n"/>
      <c r="J6" s="673" t="n"/>
      <c r="K6" s="677" t="inlineStr">
        <is>
          <t>(001743) Bagging</t>
        </is>
      </c>
      <c r="L6" s="678" t="n">
        <v>5</v>
      </c>
      <c r="M6" s="678" t="n">
        <v>4</v>
      </c>
      <c r="N6" s="15" t="n"/>
    </row>
    <row r="7">
      <c r="B7" s="673" t="inlineStr">
        <is>
          <t>Cages</t>
        </is>
      </c>
      <c r="C7" s="679">
        <f>'01_Cages_Plan'!F7</f>
        <v/>
      </c>
      <c r="D7" s="673" t="n"/>
      <c r="E7" s="675" t="inlineStr">
        <is>
          <t>Total Cases</t>
        </is>
      </c>
      <c r="F7" s="680">
        <f>'02_TrayPack_Order'!C2</f>
        <v/>
      </c>
      <c r="G7" s="675" t="n"/>
      <c r="H7" s="673" t="inlineStr">
        <is>
          <t>Total Cases</t>
        </is>
      </c>
      <c r="I7" s="679">
        <f>'04_Bagging_Order'!I3</f>
        <v/>
      </c>
      <c r="J7" s="673" t="n"/>
      <c r="K7" s="677" t="inlineStr">
        <is>
          <t>(001745) Thigh Deboning Crew</t>
        </is>
      </c>
      <c r="L7" s="678" t="n">
        <v>57</v>
      </c>
      <c r="M7" s="678" t="n">
        <v>49</v>
      </c>
      <c r="N7" s="15" t="n"/>
    </row>
    <row r="8">
      <c r="B8" s="673" t="inlineStr">
        <is>
          <t>Total Bulk Pack</t>
        </is>
      </c>
      <c r="C8" s="679">
        <f>SUM('03_BulkPack_Order'!C25:C70)</f>
        <v/>
      </c>
      <c r="D8" s="673" t="n"/>
      <c r="E8" s="675" t="inlineStr">
        <is>
          <t>Produced</t>
        </is>
      </c>
      <c r="F8" s="680">
        <f>'05_Daily_Orders'!E1</f>
        <v/>
      </c>
      <c r="G8" s="675" t="n"/>
      <c r="H8" s="673" t="inlineStr">
        <is>
          <t>Produced</t>
        </is>
      </c>
      <c r="I8" s="679">
        <f>'04_Bagging_Order'!J3</f>
        <v/>
      </c>
      <c r="J8" s="673" t="n"/>
      <c r="K8" s="677" t="inlineStr">
        <is>
          <t>(001775) Order Picking</t>
        </is>
      </c>
      <c r="L8" s="678" t="n">
        <v>5</v>
      </c>
      <c r="M8" s="677" t="n"/>
      <c r="N8" s="15" t="n"/>
    </row>
    <row r="9">
      <c r="B9" s="673" t="inlineStr">
        <is>
          <t>Produced</t>
        </is>
      </c>
      <c r="C9" s="673">
        <f>SUM('03_BulkPack_Order'!G26:G64)</f>
        <v/>
      </c>
      <c r="D9" s="673" t="n"/>
      <c r="E9" s="675" t="inlineStr">
        <is>
          <t>FB</t>
        </is>
      </c>
      <c r="F9" s="675">
        <f>SUMIF('05_Daily_Orders'!$L$3:$L$300,E9,'05_Daily_Orders'!$G$3:$G$300)</f>
        <v/>
      </c>
      <c r="G9" s="675" t="n"/>
      <c r="H9" s="673" t="inlineStr">
        <is>
          <t>Remaining</t>
        </is>
      </c>
      <c r="I9" s="679">
        <f>'04_Bagging_Order'!K3</f>
        <v/>
      </c>
      <c r="J9" s="673" t="n"/>
      <c r="K9" s="677" t="inlineStr">
        <is>
          <t>Haveaniceday456!</t>
        </is>
      </c>
      <c r="L9" s="677" t="n"/>
      <c r="M9" s="677" t="n"/>
    </row>
    <row r="10">
      <c r="B10" s="673" t="inlineStr">
        <is>
          <t>Remaining</t>
        </is>
      </c>
      <c r="C10" s="673">
        <f>SUMIF('03_BulkPack_Order'!H25:H70,"&gt;0")</f>
        <v/>
      </c>
      <c r="D10" s="673" t="n"/>
      <c r="E10" s="675" t="inlineStr">
        <is>
          <t>LCL</t>
        </is>
      </c>
      <c r="F10" s="675">
        <f>SUMIF('05_Daily_Orders'!$L$3:$L$300,E10,'05_Daily_Orders'!$G$3:$G$300)</f>
        <v/>
      </c>
      <c r="G10" s="675" t="n"/>
      <c r="H10" s="673" t="n"/>
      <c r="I10" s="673" t="n"/>
      <c r="J10" s="673" t="n"/>
      <c r="K10" s="677" t="n"/>
      <c r="L10" s="677" t="n"/>
      <c r="M10" s="677" t="n"/>
    </row>
    <row r="11">
      <c r="B11" s="673" t="inlineStr">
        <is>
          <t>Bird Cut</t>
        </is>
      </c>
      <c r="C11" s="673" t="n"/>
      <c r="D11" s="673" t="n"/>
      <c r="E11" s="675" t="inlineStr">
        <is>
          <t>METRO</t>
        </is>
      </c>
      <c r="F11" s="675">
        <f>SUMIF('05_Daily_Orders'!$L$3:$L$300,E11,'05_Daily_Orders'!$G$3:$G$300)</f>
        <v/>
      </c>
      <c r="G11" s="675" t="n"/>
      <c r="H11" s="673" t="n"/>
      <c r="I11" s="673" t="n"/>
      <c r="J11" s="673" t="n"/>
      <c r="K11" s="677" t="n"/>
      <c r="L11" s="677" t="n"/>
      <c r="M11" s="677" t="n"/>
    </row>
    <row r="12">
      <c r="B12" s="673" t="n"/>
      <c r="C12" s="673" t="n"/>
      <c r="D12" s="673" t="n"/>
      <c r="E12" s="675" t="inlineStr">
        <is>
          <t>COSTCO</t>
        </is>
      </c>
      <c r="F12" s="675">
        <f>SUMIF('05_Daily_Orders'!$L$3:$L$300,E12,'05_Daily_Orders'!$G$3:$G$300)</f>
        <v/>
      </c>
      <c r="G12" s="675" t="n"/>
      <c r="H12" s="673" t="n"/>
      <c r="I12" s="673" t="n"/>
      <c r="J12" s="673" t="n"/>
      <c r="K12" s="677" t="n"/>
      <c r="L12" s="677" t="n"/>
      <c r="M12" s="677" t="n"/>
    </row>
    <row r="13">
      <c r="B13" s="673" t="n"/>
      <c r="C13" s="673" t="n"/>
      <c r="D13" s="673" t="n"/>
      <c r="E13" s="675" t="inlineStr">
        <is>
          <t>SHP</t>
        </is>
      </c>
      <c r="F13" s="675">
        <f>SUMIF('05_Daily_Orders'!$L$3:$L$300,E13,'05_Daily_Orders'!$G$3:$G$300)</f>
        <v/>
      </c>
      <c r="G13" s="675" t="n"/>
      <c r="H13" s="673" t="n"/>
      <c r="I13" s="673" t="n"/>
      <c r="J13" s="673" t="n"/>
      <c r="K13" s="677" t="n"/>
      <c r="L13" s="677" t="n"/>
      <c r="M13" s="677" t="n"/>
    </row>
    <row r="14">
      <c r="B14" s="673" t="n"/>
      <c r="C14" s="673" t="n"/>
      <c r="D14" s="673" t="n"/>
      <c r="E14" s="675" t="n"/>
      <c r="F14" s="680" t="n"/>
      <c r="G14" s="675" t="n"/>
      <c r="H14" s="673" t="n"/>
      <c r="I14" s="679" t="n"/>
      <c r="J14" s="673" t="n"/>
      <c r="K14" s="677" t="n"/>
      <c r="L14" s="677" t="n"/>
      <c r="M14" s="677" t="n"/>
    </row>
    <row r="15">
      <c r="B15" s="673" t="n"/>
      <c r="C15" s="673" t="n"/>
      <c r="D15" s="673" t="n"/>
      <c r="E15" s="675" t="n"/>
      <c r="F15" s="675" t="n"/>
      <c r="G15" s="675" t="n"/>
      <c r="H15" s="673" t="n"/>
      <c r="I15" s="673" t="n"/>
      <c r="J15" s="673" t="n"/>
      <c r="K15" s="677" t="n"/>
      <c r="L15" s="677" t="n"/>
      <c r="M15" s="677" t="n"/>
    </row>
    <row r="16">
      <c r="B16" s="673" t="inlineStr">
        <is>
          <t>BPM</t>
        </is>
      </c>
      <c r="C16" s="679">
        <f>C11/((VALUE(NOW()-TODAY())-0.270833333333333)*24*60)</f>
        <v/>
      </c>
      <c r="D16" s="673" t="n"/>
      <c r="E16" s="675" t="inlineStr">
        <is>
          <t>Cases/H</t>
        </is>
      </c>
      <c r="F16" s="680">
        <f>F8/((VALUE(NOW()-TODAY())-0.270833333333333)*24)</f>
        <v/>
      </c>
      <c r="G16" s="675" t="n"/>
      <c r="H16" s="673" t="inlineStr">
        <is>
          <t>Cases/H</t>
        </is>
      </c>
      <c r="I16" s="679">
        <f>I8/((VALUE(NOW()-TODAY())-0.291666666666667)*24)</f>
        <v/>
      </c>
      <c r="J16" s="673" t="n"/>
      <c r="K16" s="677" t="n"/>
      <c r="L16" s="677" t="n"/>
      <c r="M16" s="677" t="n"/>
    </row>
    <row r="17">
      <c r="B17" s="673" t="n"/>
      <c r="C17" s="673" t="n"/>
      <c r="D17" s="673" t="n"/>
      <c r="E17" s="675" t="n"/>
      <c r="F17" s="675" t="n"/>
      <c r="G17" s="675" t="n"/>
      <c r="H17" s="673" t="n"/>
      <c r="I17" s="673" t="n"/>
      <c r="J17" s="673" t="n"/>
      <c r="K17" s="677" t="n"/>
      <c r="L17" s="677" t="n"/>
      <c r="M17" s="677" t="n"/>
    </row>
    <row r="18">
      <c r="B18" s="673" t="n"/>
      <c r="C18" s="673" t="n"/>
      <c r="D18" s="673" t="n"/>
      <c r="E18" s="675" t="n"/>
      <c r="F18" s="675" t="n"/>
      <c r="G18" s="675" t="n"/>
      <c r="H18" s="673" t="n"/>
      <c r="I18" s="673" t="n"/>
      <c r="J18" s="673" t="n"/>
      <c r="K18" s="677" t="n"/>
      <c r="L18" s="677" t="n"/>
      <c r="M18" s="677" t="n"/>
    </row>
    <row r="19">
      <c r="B19" s="673" t="n"/>
      <c r="C19" s="673" t="n"/>
      <c r="D19" s="673" t="n"/>
      <c r="E19" s="675" t="n"/>
      <c r="F19" s="675" t="n"/>
      <c r="G19" s="675" t="n"/>
      <c r="H19" s="673" t="n"/>
      <c r="I19" s="673" t="n"/>
      <c r="J19" s="673" t="n"/>
      <c r="K19" s="677" t="n"/>
      <c r="L19" s="677" t="n"/>
      <c r="M19" s="677" t="n"/>
    </row>
    <row r="20">
      <c r="B20" s="673" t="n"/>
      <c r="C20" s="673" t="n"/>
      <c r="D20" s="673" t="n"/>
      <c r="E20" s="675" t="n"/>
      <c r="F20" s="675" t="n"/>
      <c r="G20" s="675" t="n"/>
      <c r="H20" s="673" t="n"/>
      <c r="I20" s="673" t="n"/>
      <c r="J20" s="673" t="n"/>
      <c r="K20" s="677" t="n"/>
      <c r="L20" s="677" t="n"/>
      <c r="M20" s="677" t="n"/>
    </row>
    <row r="21">
      <c r="B21" s="673" t="n"/>
      <c r="C21" s="673" t="n"/>
      <c r="D21" s="673" t="n"/>
      <c r="E21" s="675" t="n"/>
      <c r="F21" s="675" t="n"/>
      <c r="G21" s="675" t="n"/>
      <c r="H21" s="673" t="n"/>
      <c r="I21" s="673" t="n"/>
      <c r="J21" s="673" t="n"/>
      <c r="K21" s="677" t="n"/>
      <c r="L21" s="677" t="n"/>
      <c r="M21" s="677" t="n"/>
    </row>
    <row r="22">
      <c r="B22" s="673" t="n"/>
      <c r="C22" s="673" t="n"/>
      <c r="D22" s="673" t="n"/>
      <c r="E22" s="675" t="n"/>
      <c r="F22" s="675" t="n"/>
      <c r="G22" s="675" t="n"/>
      <c r="H22" s="673" t="n"/>
      <c r="I22" s="673" t="n"/>
      <c r="J22" s="673" t="n"/>
      <c r="K22" s="677" t="n"/>
      <c r="L22" s="677" t="n"/>
      <c r="M22" s="677" t="n"/>
    </row>
    <row r="23">
      <c r="B23" s="673" t="n"/>
      <c r="C23" s="673" t="n"/>
      <c r="D23" s="673" t="n"/>
      <c r="E23" s="675" t="n"/>
      <c r="F23" s="675" t="n"/>
      <c r="G23" s="675" t="n"/>
      <c r="H23" s="673" t="n"/>
      <c r="I23" s="673" t="n"/>
      <c r="J23" s="673" t="n"/>
      <c r="K23" s="677" t="n"/>
      <c r="L23" s="677" t="n"/>
      <c r="M23" s="677" t="n"/>
    </row>
    <row r="24">
      <c r="B24" s="673" t="n"/>
      <c r="C24" s="673" t="n"/>
      <c r="D24" s="673" t="n"/>
      <c r="E24" s="675" t="n"/>
      <c r="F24" s="675" t="n"/>
      <c r="G24" s="675" t="n"/>
      <c r="H24" s="673" t="n"/>
      <c r="I24" s="673" t="n"/>
      <c r="J24" s="673" t="n"/>
      <c r="K24" s="677" t="n"/>
      <c r="L24" s="677" t="n"/>
      <c r="M24" s="677" t="n"/>
    </row>
    <row r="25">
      <c r="B25" s="673" t="n"/>
      <c r="C25" s="673" t="n"/>
      <c r="D25" s="673" t="n"/>
      <c r="E25" s="675" t="n"/>
      <c r="F25" s="675" t="n"/>
      <c r="G25" s="675" t="n"/>
      <c r="H25" s="673" t="n"/>
      <c r="I25" s="673" t="n"/>
      <c r="J25" s="673" t="n"/>
      <c r="K25" s="677" t="n"/>
      <c r="L25" s="677" t="n"/>
      <c r="M25" s="677" t="n"/>
    </row>
    <row r="26">
      <c r="B26" s="673" t="n"/>
      <c r="C26" s="673" t="n"/>
      <c r="D26" s="673" t="n"/>
      <c r="E26" s="675" t="n"/>
      <c r="F26" s="675" t="n"/>
      <c r="G26" s="675" t="n"/>
      <c r="H26" s="673" t="n"/>
      <c r="I26" s="673" t="n"/>
      <c r="J26" s="673" t="n"/>
      <c r="K26" s="677" t="n"/>
      <c r="L26" s="677" t="n"/>
      <c r="M26" s="677" t="n"/>
    </row>
    <row r="27">
      <c r="B27" s="673" t="n"/>
      <c r="C27" s="673" t="n"/>
      <c r="D27" s="673" t="n"/>
      <c r="E27" s="675" t="n"/>
      <c r="F27" s="675" t="n"/>
      <c r="G27" s="675" t="n"/>
      <c r="H27" s="673" t="n"/>
      <c r="I27" s="673" t="n"/>
      <c r="J27" s="673" t="n"/>
      <c r="K27" s="677" t="n"/>
      <c r="L27" s="677" t="n"/>
      <c r="M27" s="677" t="n"/>
    </row>
    <row r="28">
      <c r="B28" s="673" t="n"/>
      <c r="C28" s="673" t="n"/>
      <c r="D28" s="673" t="n"/>
      <c r="E28" s="675" t="n"/>
      <c r="F28" s="675" t="n"/>
      <c r="G28" s="675" t="n"/>
      <c r="H28" s="673" t="n"/>
      <c r="I28" s="673" t="n"/>
      <c r="J28" s="673" t="n"/>
      <c r="K28" s="677" t="n"/>
      <c r="L28" s="677" t="n"/>
      <c r="M28" s="677" t="n"/>
    </row>
    <row r="29">
      <c r="B29" s="673" t="n"/>
      <c r="C29" s="673" t="n"/>
      <c r="D29" s="673" t="n"/>
      <c r="E29" s="675" t="n"/>
      <c r="F29" s="675" t="n"/>
      <c r="G29" s="675" t="n"/>
      <c r="H29" s="673" t="n"/>
      <c r="I29" s="673" t="n"/>
      <c r="J29" s="673" t="n"/>
      <c r="K29" s="677" t="n"/>
      <c r="L29" s="677" t="n"/>
      <c r="M29" s="677" t="n"/>
    </row>
    <row r="30">
      <c r="B30" s="673" t="n"/>
      <c r="C30" s="673" t="n"/>
      <c r="D30" s="673" t="n"/>
      <c r="E30" s="675" t="n"/>
      <c r="F30" s="675" t="n"/>
      <c r="G30" s="675" t="n"/>
      <c r="H30" s="673" t="n"/>
      <c r="I30" s="673" t="n"/>
      <c r="J30" s="673" t="n"/>
      <c r="K30" s="677" t="n"/>
      <c r="L30" s="677" t="n"/>
      <c r="M30" s="677" t="n"/>
    </row>
    <row r="31">
      <c r="B31" s="673" t="n"/>
      <c r="C31" s="673" t="n"/>
      <c r="D31" s="673" t="n"/>
      <c r="E31" s="675" t="n"/>
      <c r="F31" s="675" t="n"/>
      <c r="G31" s="675" t="n"/>
      <c r="H31" s="673" t="n"/>
      <c r="I31" s="673" t="n"/>
      <c r="J31" s="673" t="n"/>
      <c r="K31" s="677" t="n"/>
      <c r="L31" s="677" t="n"/>
      <c r="M31" s="677" t="n"/>
    </row>
    <row r="32">
      <c r="B32" s="673" t="n"/>
      <c r="C32" s="673" t="n"/>
      <c r="D32" s="673" t="n"/>
      <c r="E32" s="675" t="n"/>
      <c r="F32" s="675" t="n"/>
      <c r="G32" s="675" t="n"/>
      <c r="H32" s="673" t="n"/>
      <c r="I32" s="673" t="n"/>
      <c r="J32" s="673" t="n"/>
      <c r="K32" s="677" t="n"/>
      <c r="L32" s="677" t="n"/>
      <c r="M32" s="677" t="n"/>
    </row>
    <row r="33">
      <c r="B33" s="673" t="n"/>
      <c r="C33" s="673" t="n"/>
      <c r="D33" s="673" t="n"/>
      <c r="E33" s="675" t="n"/>
      <c r="F33" s="675" t="n"/>
      <c r="G33" s="675" t="n"/>
      <c r="H33" s="673" t="n"/>
      <c r="I33" s="673" t="n"/>
      <c r="J33" s="673" t="n"/>
      <c r="K33" s="677" t="n"/>
      <c r="L33" s="677" t="n"/>
      <c r="M33" s="677" t="n"/>
    </row>
    <row r="34">
      <c r="B34" s="673" t="n"/>
      <c r="C34" s="673" t="n"/>
      <c r="D34" s="673" t="n"/>
      <c r="E34" s="675" t="n"/>
      <c r="F34" s="675" t="n"/>
      <c r="G34" s="675" t="n"/>
      <c r="H34" s="673" t="n"/>
      <c r="I34" s="673" t="n"/>
      <c r="J34" s="673" t="n"/>
      <c r="K34" s="677" t="n"/>
      <c r="L34" s="677" t="n"/>
      <c r="M34" s="677" t="n"/>
    </row>
    <row r="35">
      <c r="B35" s="673" t="n"/>
      <c r="C35" s="673" t="n"/>
      <c r="D35" s="673" t="n"/>
      <c r="E35" s="675" t="n"/>
      <c r="F35" s="675" t="n"/>
      <c r="G35" s="675" t="n"/>
      <c r="H35" s="673" t="n"/>
      <c r="I35" s="673" t="n"/>
      <c r="J35" s="673" t="n"/>
      <c r="K35" s="677" t="n"/>
      <c r="L35" s="677" t="n"/>
      <c r="M35" s="677" t="n"/>
    </row>
    <row r="36">
      <c r="B36" s="673" t="n"/>
      <c r="C36" s="673" t="n"/>
      <c r="D36" s="673" t="n"/>
      <c r="E36" s="675" t="n"/>
      <c r="F36" s="675" t="n"/>
      <c r="G36" s="675" t="n"/>
      <c r="H36" s="673" t="n"/>
      <c r="I36" s="673" t="n"/>
      <c r="J36" s="673" t="n"/>
      <c r="K36" s="677" t="n"/>
      <c r="L36" s="677" t="n"/>
      <c r="M36" s="677" t="n"/>
    </row>
    <row r="37">
      <c r="B37" s="673" t="n"/>
      <c r="C37" s="673" t="n"/>
      <c r="D37" s="673" t="n"/>
      <c r="E37" s="675" t="n"/>
      <c r="F37" s="675" t="n"/>
      <c r="G37" s="675" t="n"/>
      <c r="H37" s="673" t="n"/>
      <c r="I37" s="673" t="n"/>
      <c r="J37" s="673" t="n"/>
      <c r="K37" s="677" t="n"/>
      <c r="L37" s="677" t="n"/>
      <c r="M37" s="677" t="n"/>
    </row>
    <row r="38">
      <c r="B38" s="673" t="n"/>
      <c r="C38" s="673" t="n"/>
      <c r="D38" s="673" t="n"/>
      <c r="E38" s="675" t="n"/>
      <c r="F38" s="675" t="n"/>
      <c r="G38" s="675" t="n"/>
      <c r="H38" s="673" t="n"/>
      <c r="I38" s="673" t="n"/>
      <c r="J38" s="673" t="n"/>
      <c r="K38" s="677" t="n"/>
      <c r="L38" s="677" t="n"/>
      <c r="M38" s="677" t="n"/>
    </row>
    <row r="39">
      <c r="B39" s="673" t="n"/>
      <c r="C39" s="673" t="n"/>
      <c r="D39" s="673" t="n"/>
      <c r="E39" s="675" t="n"/>
      <c r="F39" s="675" t="n"/>
      <c r="G39" s="675" t="n"/>
      <c r="H39" s="673" t="n"/>
      <c r="I39" s="673" t="n"/>
      <c r="J39" s="673" t="n"/>
      <c r="K39" s="677" t="n"/>
      <c r="L39" s="677" t="n"/>
      <c r="M39" s="677" t="n"/>
    </row>
    <row r="40">
      <c r="B40" s="673" t="n"/>
      <c r="C40" s="673" t="n"/>
      <c r="D40" s="673" t="n"/>
      <c r="E40" s="675" t="n"/>
      <c r="F40" s="675" t="n"/>
      <c r="G40" s="675" t="n"/>
      <c r="H40" s="673" t="n"/>
      <c r="I40" s="673" t="n"/>
      <c r="J40" s="673" t="n"/>
      <c r="K40" s="677" t="n"/>
      <c r="L40" s="677" t="n"/>
      <c r="M40" s="677" t="n"/>
    </row>
    <row r="41">
      <c r="B41" s="673" t="n"/>
      <c r="C41" s="673" t="n"/>
      <c r="D41" s="673" t="n"/>
      <c r="E41" s="675" t="n"/>
      <c r="F41" s="675" t="n"/>
      <c r="G41" s="675" t="n"/>
      <c r="H41" s="673" t="n"/>
      <c r="I41" s="673" t="n"/>
      <c r="J41" s="673" t="n"/>
      <c r="K41" s="677" t="n"/>
      <c r="L41" s="677" t="n"/>
      <c r="M41" s="677" t="n"/>
    </row>
    <row r="42">
      <c r="B42" s="673" t="n"/>
      <c r="C42" s="673" t="n"/>
      <c r="D42" s="673" t="n"/>
      <c r="E42" s="675" t="n"/>
      <c r="F42" s="675" t="n"/>
      <c r="G42" s="675" t="n"/>
      <c r="H42" s="673" t="n"/>
      <c r="I42" s="673" t="n"/>
      <c r="J42" s="673" t="n"/>
      <c r="K42" s="677" t="n"/>
      <c r="L42" s="677" t="n"/>
      <c r="M42" s="677" t="n"/>
    </row>
    <row r="43">
      <c r="B43" s="673" t="n"/>
      <c r="C43" s="673" t="n"/>
      <c r="D43" s="673" t="n"/>
      <c r="E43" s="675" t="n"/>
      <c r="F43" s="675" t="n"/>
      <c r="G43" s="675" t="n"/>
      <c r="H43" s="673" t="n"/>
      <c r="I43" s="673" t="n"/>
      <c r="J43" s="673" t="n"/>
      <c r="K43" s="677" t="n"/>
      <c r="L43" s="677" t="n"/>
      <c r="M43" s="677" t="n"/>
    </row>
    <row r="44">
      <c r="B44" s="673" t="n"/>
      <c r="C44" s="673" t="n"/>
      <c r="D44" s="673" t="n"/>
      <c r="E44" s="675" t="n"/>
      <c r="F44" s="675" t="n"/>
      <c r="G44" s="675" t="n"/>
      <c r="H44" s="673" t="n"/>
      <c r="I44" s="673" t="n"/>
      <c r="J44" s="673" t="n"/>
      <c r="K44" s="677" t="n"/>
      <c r="L44" s="677" t="n"/>
      <c r="M44" s="677" t="n"/>
    </row>
    <row r="45">
      <c r="B45" s="673" t="n"/>
      <c r="C45" s="673" t="n"/>
      <c r="D45" s="673" t="n"/>
      <c r="E45" s="675" t="n"/>
      <c r="F45" s="675" t="n"/>
      <c r="G45" s="675" t="n"/>
      <c r="H45" s="673" t="n"/>
      <c r="I45" s="673" t="n"/>
      <c r="J45" s="673" t="n"/>
      <c r="K45" s="677" t="n"/>
      <c r="L45" s="677" t="n"/>
      <c r="M45" s="677" t="n"/>
    </row>
    <row r="46">
      <c r="B46" s="673" t="n"/>
      <c r="C46" s="673" t="n"/>
      <c r="D46" s="673" t="n"/>
      <c r="E46" s="675" t="n"/>
      <c r="F46" s="675" t="n"/>
      <c r="G46" s="675" t="n"/>
      <c r="H46" s="673" t="n"/>
      <c r="I46" s="673" t="n"/>
      <c r="J46" s="673" t="n"/>
      <c r="K46" s="677" t="n"/>
      <c r="L46" s="677" t="n"/>
      <c r="M46" s="677" t="n"/>
    </row>
    <row r="47">
      <c r="B47" s="673" t="n"/>
      <c r="C47" s="673" t="n"/>
      <c r="D47" s="673" t="n"/>
      <c r="E47" s="675" t="n"/>
      <c r="F47" s="675" t="n"/>
      <c r="G47" s="675" t="n"/>
      <c r="H47" s="673" t="n"/>
      <c r="I47" s="673" t="n"/>
      <c r="J47" s="673" t="n"/>
      <c r="K47" s="677" t="n"/>
      <c r="L47" s="677" t="n"/>
      <c r="M47" s="677" t="n"/>
    </row>
    <row r="48">
      <c r="B48" s="673" t="n"/>
      <c r="C48" s="673" t="n"/>
      <c r="D48" s="673" t="n"/>
      <c r="E48" s="675" t="n"/>
      <c r="F48" s="675" t="n"/>
      <c r="G48" s="675" t="n"/>
      <c r="H48" s="673" t="n"/>
      <c r="I48" s="673" t="n"/>
      <c r="J48" s="673" t="n"/>
      <c r="K48" s="677" t="n"/>
      <c r="L48" s="677" t="n"/>
      <c r="M48" s="677" t="n"/>
    </row>
    <row r="49">
      <c r="B49" s="673" t="n"/>
      <c r="C49" s="673" t="n"/>
      <c r="D49" s="673" t="n"/>
      <c r="E49" s="675" t="n"/>
      <c r="F49" s="675" t="n"/>
      <c r="G49" s="675" t="n"/>
      <c r="H49" s="673" t="n"/>
      <c r="I49" s="673" t="n"/>
      <c r="J49" s="673" t="n"/>
      <c r="K49" s="677" t="n"/>
      <c r="L49" s="677" t="n"/>
      <c r="M49" s="677" t="n"/>
    </row>
    <row r="50">
      <c r="B50" s="673" t="n"/>
      <c r="C50" s="673" t="n"/>
      <c r="D50" s="673" t="n"/>
      <c r="E50" s="675" t="n"/>
      <c r="F50" s="675" t="n"/>
      <c r="G50" s="675" t="n"/>
      <c r="H50" s="673" t="n"/>
      <c r="I50" s="673" t="n"/>
      <c r="J50" s="673" t="n"/>
      <c r="K50" s="677" t="n"/>
      <c r="L50" s="677" t="n"/>
      <c r="M50" s="677" t="n"/>
    </row>
    <row r="51">
      <c r="B51" s="673" t="n"/>
      <c r="C51" s="673" t="n"/>
      <c r="D51" s="673" t="n"/>
      <c r="E51" s="675" t="n"/>
      <c r="F51" s="675" t="n"/>
      <c r="G51" s="675" t="n"/>
      <c r="H51" s="673" t="n"/>
      <c r="I51" s="673" t="n"/>
      <c r="J51" s="673" t="n"/>
      <c r="K51" s="677" t="n"/>
      <c r="L51" s="677" t="n"/>
      <c r="M51" s="677" t="n"/>
    </row>
    <row r="52">
      <c r="B52" s="673" t="n"/>
      <c r="C52" s="673" t="n"/>
      <c r="D52" s="673" t="n"/>
      <c r="E52" s="675" t="n"/>
      <c r="F52" s="675" t="n"/>
      <c r="G52" s="675" t="n"/>
      <c r="H52" s="673" t="n"/>
      <c r="I52" s="673" t="n"/>
      <c r="J52" s="673" t="n"/>
      <c r="K52" s="677" t="n"/>
      <c r="L52" s="677" t="n"/>
      <c r="M52" s="677" t="n"/>
    </row>
    <row r="53">
      <c r="B53" s="673" t="n"/>
      <c r="C53" s="673" t="n"/>
      <c r="D53" s="673" t="n"/>
      <c r="E53" s="675" t="n"/>
      <c r="F53" s="675" t="n"/>
      <c r="G53" s="675" t="n"/>
      <c r="H53" s="673" t="n"/>
      <c r="I53" s="673" t="n"/>
      <c r="J53" s="673" t="n"/>
      <c r="K53" s="677" t="n"/>
      <c r="L53" s="677" t="n"/>
      <c r="M53" s="677" t="n"/>
    </row>
    <row r="54">
      <c r="B54" s="673" t="n"/>
      <c r="C54" s="673" t="n"/>
      <c r="D54" s="673" t="n"/>
      <c r="E54" s="675" t="n"/>
      <c r="F54" s="675" t="n"/>
      <c r="G54" s="675" t="n"/>
      <c r="H54" s="673" t="n"/>
      <c r="I54" s="673" t="n"/>
      <c r="J54" s="673" t="n"/>
      <c r="K54" s="677" t="n"/>
      <c r="L54" s="677" t="n"/>
      <c r="M54" s="677" t="n"/>
    </row>
    <row r="55">
      <c r="B55" s="673" t="n"/>
      <c r="C55" s="673" t="n"/>
      <c r="D55" s="673" t="n"/>
      <c r="E55" s="675" t="n"/>
      <c r="F55" s="675" t="n"/>
      <c r="G55" s="675" t="n"/>
      <c r="H55" s="673" t="n"/>
      <c r="I55" s="673" t="n"/>
      <c r="J55" s="673" t="n"/>
      <c r="K55" s="677" t="n"/>
      <c r="L55" s="677" t="n"/>
      <c r="M55" s="677" t="n"/>
    </row>
    <row r="56">
      <c r="B56" s="673" t="n"/>
      <c r="C56" s="673" t="n"/>
      <c r="D56" s="673" t="n"/>
      <c r="E56" s="675" t="n"/>
      <c r="F56" s="675" t="n"/>
      <c r="G56" s="675" t="n"/>
      <c r="H56" s="673" t="n"/>
      <c r="I56" s="673" t="n"/>
      <c r="J56" s="673" t="n"/>
      <c r="K56" s="677" t="n"/>
      <c r="L56" s="677" t="n"/>
      <c r="M56" s="677" t="n"/>
    </row>
    <row r="57">
      <c r="B57" s="673" t="n"/>
      <c r="C57" s="673" t="n"/>
      <c r="D57" s="673" t="n"/>
      <c r="E57" s="675" t="n"/>
      <c r="F57" s="675" t="n"/>
      <c r="G57" s="675" t="n"/>
      <c r="H57" s="673" t="n"/>
      <c r="I57" s="673" t="n"/>
      <c r="J57" s="673" t="n"/>
      <c r="K57" s="677" t="n"/>
      <c r="L57" s="677" t="n"/>
      <c r="M57" s="677" t="n"/>
    </row>
    <row r="58">
      <c r="B58" s="673" t="n"/>
      <c r="C58" s="673" t="n"/>
      <c r="D58" s="673" t="n"/>
      <c r="E58" s="675" t="n"/>
      <c r="F58" s="675" t="n"/>
      <c r="G58" s="675" t="n"/>
      <c r="H58" s="673" t="n"/>
      <c r="I58" s="673" t="n"/>
      <c r="J58" s="673" t="n"/>
      <c r="K58" s="677" t="n"/>
      <c r="L58" s="677" t="n"/>
      <c r="M58" s="677" t="n"/>
    </row>
    <row r="59">
      <c r="B59" s="673" t="n"/>
      <c r="C59" s="673" t="n"/>
      <c r="D59" s="673" t="n"/>
      <c r="E59" s="675" t="n"/>
      <c r="F59" s="675" t="n"/>
      <c r="G59" s="675" t="n"/>
      <c r="H59" s="673" t="n"/>
      <c r="I59" s="673" t="n"/>
      <c r="J59" s="673" t="n"/>
      <c r="K59" s="677" t="n"/>
      <c r="L59" s="677" t="n"/>
      <c r="M59" s="677" t="n"/>
    </row>
    <row r="60">
      <c r="B60" s="673" t="n"/>
      <c r="C60" s="673" t="n"/>
      <c r="D60" s="673" t="n"/>
      <c r="E60" s="675" t="n"/>
      <c r="F60" s="675" t="n"/>
      <c r="G60" s="675" t="n"/>
      <c r="H60" s="673" t="n"/>
      <c r="I60" s="673" t="n"/>
      <c r="J60" s="673" t="n"/>
      <c r="K60" s="677" t="n"/>
      <c r="L60" s="677" t="n"/>
      <c r="M60" s="677" t="n"/>
    </row>
    <row r="61">
      <c r="B61" s="673" t="n"/>
      <c r="C61" s="673" t="n"/>
      <c r="D61" s="673" t="n"/>
      <c r="E61" s="675" t="n"/>
      <c r="F61" s="675" t="n"/>
      <c r="G61" s="675" t="n"/>
      <c r="H61" s="673" t="n"/>
      <c r="I61" s="673" t="n"/>
      <c r="J61" s="673" t="n"/>
      <c r="K61" s="677" t="n"/>
      <c r="L61" s="677" t="n"/>
      <c r="M61" s="677" t="n"/>
    </row>
    <row r="62">
      <c r="B62" s="673" t="n"/>
      <c r="C62" s="673" t="n"/>
      <c r="D62" s="673" t="n"/>
      <c r="E62" s="675" t="n"/>
      <c r="F62" s="675" t="n"/>
      <c r="G62" s="675" t="n"/>
      <c r="H62" s="673" t="n"/>
      <c r="I62" s="673" t="n"/>
      <c r="J62" s="673" t="n"/>
      <c r="K62" s="677" t="n"/>
      <c r="L62" s="677" t="n"/>
      <c r="M62" s="677" t="n"/>
    </row>
    <row r="63">
      <c r="B63" s="673" t="n"/>
      <c r="C63" s="673" t="n"/>
      <c r="D63" s="673" t="n"/>
      <c r="E63" s="675" t="n"/>
      <c r="F63" s="675" t="n"/>
      <c r="G63" s="675" t="n"/>
      <c r="H63" s="673" t="n"/>
      <c r="I63" s="673" t="n"/>
      <c r="J63" s="673" t="n"/>
      <c r="K63" s="677" t="n"/>
      <c r="L63" s="677" t="n"/>
      <c r="M63" s="677" t="n"/>
    </row>
    <row r="64">
      <c r="B64" s="673" t="n"/>
      <c r="C64" s="673" t="n"/>
      <c r="D64" s="673" t="n"/>
      <c r="E64" s="675" t="n"/>
      <c r="F64" s="675" t="n"/>
      <c r="G64" s="675" t="n"/>
      <c r="H64" s="673" t="n"/>
      <c r="I64" s="673" t="n"/>
      <c r="J64" s="673" t="n"/>
      <c r="K64" s="677" t="n"/>
      <c r="L64" s="677" t="n"/>
      <c r="M64" s="677" t="n"/>
    </row>
    <row r="65">
      <c r="B65" s="673" t="n"/>
      <c r="C65" s="673" t="n"/>
      <c r="D65" s="673" t="n"/>
      <c r="E65" s="675" t="n"/>
      <c r="F65" s="675" t="n"/>
      <c r="G65" s="675" t="n"/>
      <c r="H65" s="673" t="n"/>
      <c r="I65" s="673" t="n"/>
      <c r="J65" s="673" t="n"/>
      <c r="K65" s="677" t="n"/>
      <c r="L65" s="677" t="n"/>
      <c r="M65" s="677" t="n"/>
    </row>
    <row r="66">
      <c r="B66" s="673" t="n"/>
      <c r="C66" s="673" t="n"/>
      <c r="D66" s="673" t="n"/>
      <c r="E66" s="675" t="n"/>
      <c r="F66" s="675" t="n"/>
      <c r="G66" s="675" t="n"/>
      <c r="H66" s="673" t="n"/>
      <c r="I66" s="673" t="n"/>
      <c r="J66" s="673" t="n"/>
      <c r="K66" s="677" t="n"/>
      <c r="L66" s="677" t="n"/>
      <c r="M66" s="677" t="n"/>
    </row>
    <row r="67">
      <c r="B67" s="673" t="n"/>
      <c r="C67" s="673" t="n"/>
      <c r="D67" s="673" t="n"/>
      <c r="E67" s="675" t="n"/>
      <c r="F67" s="675" t="n"/>
      <c r="G67" s="675" t="n"/>
      <c r="H67" s="673" t="n"/>
      <c r="I67" s="673" t="n"/>
      <c r="J67" s="673" t="n"/>
      <c r="K67" s="677" t="n"/>
      <c r="L67" s="677" t="n"/>
      <c r="M67" s="677" t="n"/>
    </row>
    <row r="68">
      <c r="B68" s="673" t="n"/>
      <c r="C68" s="673" t="n"/>
      <c r="D68" s="673" t="n"/>
      <c r="E68" s="675" t="n"/>
      <c r="F68" s="675" t="n"/>
      <c r="G68" s="675" t="n"/>
      <c r="H68" s="673" t="n"/>
      <c r="I68" s="673" t="n"/>
      <c r="J68" s="673" t="n"/>
      <c r="K68" s="677" t="n"/>
      <c r="L68" s="677" t="n"/>
      <c r="M68" s="677" t="n"/>
    </row>
    <row r="69">
      <c r="B69" s="673" t="n"/>
      <c r="C69" s="673" t="n"/>
      <c r="D69" s="673" t="n"/>
      <c r="E69" s="675" t="n"/>
      <c r="F69" s="675" t="n"/>
      <c r="G69" s="675" t="n"/>
      <c r="H69" s="673" t="n"/>
      <c r="I69" s="673" t="n"/>
      <c r="J69" s="673" t="n"/>
      <c r="K69" s="677" t="n"/>
      <c r="L69" s="677" t="n"/>
      <c r="M69" s="677" t="n"/>
    </row>
    <row r="70">
      <c r="B70" s="673" t="n"/>
      <c r="C70" s="673" t="n"/>
      <c r="D70" s="673" t="n"/>
      <c r="E70" s="675" t="n"/>
      <c r="F70" s="675" t="n"/>
      <c r="G70" s="675" t="n"/>
      <c r="H70" s="673" t="n"/>
      <c r="I70" s="673" t="n"/>
      <c r="J70" s="673" t="n"/>
      <c r="K70" s="677" t="n"/>
      <c r="L70" s="677" t="n"/>
      <c r="M70" s="677" t="n"/>
    </row>
    <row r="71">
      <c r="B71" s="673" t="n"/>
      <c r="C71" s="673" t="n"/>
      <c r="D71" s="673" t="n"/>
      <c r="E71" s="675" t="n"/>
      <c r="F71" s="675" t="n"/>
      <c r="G71" s="675" t="n"/>
      <c r="H71" s="673" t="n"/>
      <c r="I71" s="673" t="n"/>
      <c r="J71" s="673" t="n"/>
      <c r="K71" s="677" t="n"/>
      <c r="L71" s="677" t="n"/>
      <c r="M71" s="677" t="n"/>
    </row>
    <row r="72">
      <c r="B72" s="673" t="n"/>
      <c r="C72" s="673" t="n"/>
      <c r="D72" s="673" t="n"/>
      <c r="E72" s="675" t="n"/>
      <c r="F72" s="675" t="n"/>
      <c r="G72" s="675" t="n"/>
      <c r="H72" s="673" t="n"/>
      <c r="I72" s="673" t="n"/>
      <c r="J72" s="673" t="n"/>
      <c r="K72" s="677" t="n"/>
      <c r="L72" s="677" t="n"/>
      <c r="M72" s="677" t="n"/>
    </row>
    <row r="73">
      <c r="B73" s="673" t="n"/>
      <c r="C73" s="673" t="n"/>
      <c r="D73" s="673" t="n"/>
      <c r="E73" s="675" t="n"/>
      <c r="F73" s="675" t="n"/>
      <c r="G73" s="675" t="n"/>
      <c r="H73" s="673" t="n"/>
      <c r="I73" s="673" t="n"/>
      <c r="J73" s="673" t="n"/>
      <c r="K73" s="677" t="n"/>
      <c r="L73" s="677" t="n"/>
      <c r="M73" s="677" t="n"/>
    </row>
    <row r="74">
      <c r="B74" s="673" t="n"/>
      <c r="C74" s="673" t="n"/>
      <c r="D74" s="673" t="n"/>
      <c r="E74" s="675" t="n"/>
      <c r="F74" s="675" t="n"/>
      <c r="G74" s="675" t="n"/>
      <c r="H74" s="673" t="n"/>
      <c r="I74" s="673" t="n"/>
      <c r="J74" s="673" t="n"/>
      <c r="K74" s="677" t="n"/>
      <c r="L74" s="677" t="n"/>
      <c r="M74" s="677" t="n"/>
    </row>
    <row r="75">
      <c r="B75" s="673" t="n"/>
      <c r="C75" s="673" t="n"/>
      <c r="D75" s="673" t="n"/>
      <c r="E75" s="675" t="n"/>
      <c r="F75" s="675" t="n"/>
      <c r="G75" s="675" t="n"/>
      <c r="H75" s="673" t="n"/>
      <c r="I75" s="673" t="n"/>
      <c r="J75" s="673" t="n"/>
      <c r="K75" s="677" t="n"/>
      <c r="L75" s="677" t="n"/>
      <c r="M75" s="677" t="n"/>
    </row>
    <row r="76">
      <c r="B76" s="673" t="n"/>
      <c r="C76" s="673" t="n"/>
      <c r="D76" s="673" t="n"/>
      <c r="E76" s="675" t="n"/>
      <c r="F76" s="675" t="n"/>
      <c r="G76" s="675" t="n"/>
      <c r="H76" s="673" t="n"/>
      <c r="I76" s="673" t="n"/>
      <c r="J76" s="673" t="n"/>
      <c r="K76" s="677" t="n"/>
      <c r="L76" s="677" t="n"/>
      <c r="M76" s="677" t="n"/>
    </row>
    <row r="77">
      <c r="B77" s="673" t="n"/>
      <c r="C77" s="673" t="n"/>
      <c r="D77" s="673" t="n"/>
      <c r="E77" s="675" t="n"/>
      <c r="F77" s="675" t="n"/>
      <c r="G77" s="675" t="n"/>
      <c r="H77" s="673" t="n"/>
      <c r="I77" s="673" t="n"/>
      <c r="J77" s="673" t="n"/>
      <c r="K77" s="677" t="n"/>
      <c r="L77" s="677" t="n"/>
      <c r="M77" s="677" t="n"/>
    </row>
    <row r="78">
      <c r="B78" s="673" t="n"/>
      <c r="C78" s="673" t="n"/>
      <c r="D78" s="673" t="n"/>
      <c r="E78" s="675" t="n"/>
      <c r="F78" s="675" t="n"/>
      <c r="G78" s="675" t="n"/>
      <c r="H78" s="673" t="n"/>
      <c r="I78" s="673" t="n"/>
      <c r="J78" s="673" t="n"/>
      <c r="K78" s="677" t="n"/>
      <c r="L78" s="677" t="n"/>
      <c r="M78" s="677" t="n"/>
    </row>
    <row r="79">
      <c r="B79" s="673" t="n"/>
      <c r="C79" s="673" t="n"/>
      <c r="D79" s="673" t="n"/>
      <c r="E79" s="675" t="n"/>
      <c r="F79" s="675" t="n"/>
      <c r="G79" s="675" t="n"/>
      <c r="H79" s="673" t="n"/>
      <c r="I79" s="673" t="n"/>
      <c r="J79" s="673" t="n"/>
      <c r="K79" s="677" t="n"/>
      <c r="L79" s="677" t="n"/>
      <c r="M79" s="677" t="n"/>
    </row>
    <row r="80">
      <c r="B80" s="673" t="n"/>
      <c r="C80" s="673" t="n"/>
      <c r="D80" s="673" t="n"/>
      <c r="E80" s="675" t="n"/>
      <c r="F80" s="675" t="n"/>
      <c r="G80" s="675" t="n"/>
      <c r="H80" s="673" t="n"/>
      <c r="I80" s="673" t="n"/>
      <c r="J80" s="673" t="n"/>
      <c r="K80" s="677" t="n"/>
      <c r="L80" s="677" t="n"/>
      <c r="M80" s="677" t="n"/>
    </row>
    <row r="81">
      <c r="B81" s="673" t="n"/>
      <c r="C81" s="673" t="n"/>
      <c r="D81" s="673" t="n"/>
      <c r="E81" s="675" t="n"/>
      <c r="F81" s="675" t="n"/>
      <c r="G81" s="675" t="n"/>
      <c r="H81" s="673" t="n"/>
      <c r="I81" s="673" t="n"/>
      <c r="J81" s="673" t="n"/>
      <c r="K81" s="677" t="n"/>
      <c r="L81" s="677" t="n"/>
      <c r="M81" s="677" t="n"/>
    </row>
    <row r="82">
      <c r="B82" s="673" t="n"/>
      <c r="C82" s="673" t="n"/>
      <c r="D82" s="673" t="n"/>
      <c r="E82" s="675" t="n"/>
      <c r="F82" s="675" t="n"/>
      <c r="G82" s="675" t="n"/>
      <c r="H82" s="673" t="n"/>
      <c r="I82" s="673" t="n"/>
      <c r="J82" s="673" t="n"/>
      <c r="K82" s="677" t="n"/>
      <c r="L82" s="677" t="n"/>
      <c r="M82" s="677" t="n"/>
    </row>
    <row r="83">
      <c r="B83" s="673" t="n"/>
      <c r="C83" s="673" t="n"/>
      <c r="D83" s="673" t="n"/>
      <c r="E83" s="675" t="n"/>
      <c r="F83" s="675" t="n"/>
      <c r="G83" s="675" t="n"/>
      <c r="H83" s="673" t="n"/>
      <c r="I83" s="673" t="n"/>
      <c r="J83" s="673" t="n"/>
      <c r="K83" s="677" t="n"/>
      <c r="L83" s="677" t="n"/>
      <c r="M83" s="677" t="n"/>
    </row>
    <row r="84">
      <c r="B84" s="673" t="n"/>
      <c r="C84" s="673" t="n"/>
      <c r="D84" s="673" t="n"/>
      <c r="E84" s="675" t="n"/>
      <c r="F84" s="675" t="n"/>
      <c r="G84" s="675" t="n"/>
      <c r="H84" s="673" t="n"/>
      <c r="I84" s="673" t="n"/>
      <c r="J84" s="673" t="n"/>
      <c r="K84" s="677" t="n"/>
      <c r="L84" s="677" t="n"/>
      <c r="M84" s="677" t="n"/>
    </row>
    <row r="85">
      <c r="B85" s="673" t="n"/>
      <c r="C85" s="673" t="n"/>
      <c r="D85" s="673" t="n"/>
      <c r="E85" s="675" t="n"/>
      <c r="F85" s="675" t="n"/>
      <c r="G85" s="675" t="n"/>
      <c r="H85" s="673" t="n"/>
      <c r="I85" s="673" t="n"/>
      <c r="J85" s="673" t="n"/>
      <c r="K85" s="677" t="n"/>
      <c r="L85" s="677" t="n"/>
      <c r="M85" s="677" t="n"/>
    </row>
    <row r="86">
      <c r="B86" s="673" t="n"/>
      <c r="C86" s="673" t="n"/>
      <c r="D86" s="673" t="n"/>
      <c r="E86" s="675" t="n"/>
      <c r="F86" s="675" t="n"/>
      <c r="G86" s="675" t="n"/>
      <c r="H86" s="673" t="n"/>
      <c r="I86" s="673" t="n"/>
      <c r="J86" s="673" t="n"/>
      <c r="K86" s="677" t="n"/>
      <c r="L86" s="677" t="n"/>
      <c r="M86" s="677" t="n"/>
    </row>
    <row r="87">
      <c r="B87" s="673" t="n"/>
      <c r="C87" s="673" t="n"/>
      <c r="D87" s="673" t="n"/>
      <c r="E87" s="675" t="n"/>
      <c r="F87" s="675" t="n"/>
      <c r="G87" s="675" t="n"/>
      <c r="H87" s="673" t="n"/>
      <c r="I87" s="673" t="n"/>
      <c r="J87" s="673" t="n"/>
      <c r="K87" s="677" t="n"/>
      <c r="L87" s="677" t="n"/>
      <c r="M87" s="677" t="n"/>
    </row>
    <row r="88">
      <c r="B88" s="673" t="n"/>
      <c r="C88" s="673" t="n"/>
      <c r="D88" s="673" t="n"/>
      <c r="E88" s="675" t="n"/>
      <c r="F88" s="675" t="n"/>
      <c r="G88" s="675" t="n"/>
      <c r="H88" s="673" t="n"/>
      <c r="I88" s="673" t="n"/>
      <c r="J88" s="673" t="n"/>
      <c r="K88" s="677" t="n"/>
      <c r="L88" s="677" t="n"/>
      <c r="M88" s="677" t="n"/>
    </row>
    <row r="89">
      <c r="B89" s="673" t="n"/>
      <c r="C89" s="673" t="n"/>
      <c r="D89" s="673" t="n"/>
      <c r="E89" s="675" t="n"/>
      <c r="F89" s="675" t="n"/>
      <c r="G89" s="675" t="n"/>
      <c r="H89" s="673" t="n"/>
      <c r="I89" s="673" t="n"/>
      <c r="J89" s="673" t="n"/>
      <c r="K89" s="677" t="n"/>
      <c r="L89" s="677" t="n"/>
      <c r="M89" s="677" t="n"/>
    </row>
    <row r="90">
      <c r="B90" s="673" t="n"/>
      <c r="C90" s="673" t="n"/>
      <c r="D90" s="673" t="n"/>
      <c r="E90" s="675" t="n"/>
      <c r="F90" s="675" t="n"/>
      <c r="G90" s="675" t="n"/>
      <c r="H90" s="673" t="n"/>
      <c r="I90" s="673" t="n"/>
      <c r="J90" s="673" t="n"/>
      <c r="K90" s="677" t="n"/>
      <c r="L90" s="677" t="n"/>
      <c r="M90" s="677" t="n"/>
    </row>
    <row r="91">
      <c r="B91" s="673" t="n"/>
      <c r="C91" s="673" t="n"/>
      <c r="D91" s="673" t="n"/>
      <c r="E91" s="675" t="n"/>
      <c r="F91" s="675" t="n"/>
      <c r="G91" s="675" t="n"/>
      <c r="H91" s="673" t="n"/>
      <c r="I91" s="673" t="n"/>
      <c r="J91" s="673" t="n"/>
      <c r="K91" s="677" t="n"/>
      <c r="L91" s="677" t="n"/>
      <c r="M91" s="677" t="n"/>
    </row>
    <row r="92">
      <c r="B92" s="673" t="n"/>
      <c r="C92" s="673" t="n"/>
      <c r="D92" s="673" t="n"/>
      <c r="E92" s="675" t="n"/>
      <c r="F92" s="675" t="n"/>
      <c r="G92" s="675" t="n"/>
      <c r="H92" s="673" t="n"/>
      <c r="I92" s="673" t="n"/>
      <c r="J92" s="673" t="n"/>
      <c r="K92" s="677" t="n"/>
      <c r="L92" s="677" t="n"/>
      <c r="M92" s="677" t="n"/>
    </row>
    <row r="93">
      <c r="B93" s="673" t="n"/>
      <c r="C93" s="673" t="n"/>
      <c r="D93" s="673" t="n"/>
      <c r="E93" s="675" t="n"/>
      <c r="F93" s="675" t="n"/>
      <c r="G93" s="675" t="n"/>
      <c r="H93" s="673" t="n"/>
      <c r="I93" s="673" t="n"/>
      <c r="J93" s="673" t="n"/>
      <c r="K93" s="677" t="n"/>
      <c r="L93" s="677" t="n"/>
      <c r="M93" s="677" t="n"/>
    </row>
    <row r="94">
      <c r="B94" s="673" t="n"/>
      <c r="C94" s="673" t="n"/>
      <c r="D94" s="673" t="n"/>
      <c r="E94" s="675" t="n"/>
      <c r="F94" s="675" t="n"/>
      <c r="G94" s="675" t="n"/>
      <c r="H94" s="673" t="n"/>
      <c r="I94" s="673" t="n"/>
      <c r="J94" s="673" t="n"/>
      <c r="K94" s="677" t="n"/>
      <c r="L94" s="677" t="n"/>
      <c r="M94" s="677" t="n"/>
    </row>
    <row r="95">
      <c r="B95" s="673" t="n"/>
      <c r="C95" s="673" t="n"/>
      <c r="D95" s="673" t="n"/>
      <c r="E95" s="675" t="n"/>
      <c r="F95" s="675" t="n"/>
      <c r="G95" s="675" t="n"/>
      <c r="H95" s="673" t="n"/>
      <c r="I95" s="673" t="n"/>
      <c r="J95" s="673" t="n"/>
      <c r="K95" s="677" t="n"/>
      <c r="L95" s="677" t="n"/>
      <c r="M95" s="677" t="n"/>
    </row>
    <row r="96">
      <c r="B96" s="673" t="n"/>
      <c r="C96" s="673" t="n"/>
      <c r="D96" s="673" t="n"/>
      <c r="E96" s="675" t="n"/>
      <c r="F96" s="675" t="n"/>
      <c r="G96" s="675" t="n"/>
      <c r="H96" s="673" t="n"/>
      <c r="I96" s="673" t="n"/>
      <c r="J96" s="673" t="n"/>
      <c r="K96" s="677" t="n"/>
      <c r="L96" s="677" t="n"/>
      <c r="M96" s="677" t="n"/>
    </row>
    <row r="97">
      <c r="B97" s="673" t="n"/>
      <c r="C97" s="673" t="n"/>
      <c r="D97" s="673" t="n"/>
      <c r="E97" s="675" t="n"/>
      <c r="F97" s="675" t="n"/>
      <c r="G97" s="675" t="n"/>
      <c r="H97" s="673" t="n"/>
      <c r="I97" s="673" t="n"/>
      <c r="J97" s="673" t="n"/>
      <c r="K97" s="677" t="n"/>
      <c r="L97" s="677" t="n"/>
      <c r="M97" s="677" t="n"/>
    </row>
    <row r="98">
      <c r="B98" s="673" t="n"/>
      <c r="C98" s="673" t="n"/>
      <c r="D98" s="673" t="n"/>
      <c r="E98" s="675" t="n"/>
      <c r="F98" s="675" t="n"/>
      <c r="G98" s="675" t="n"/>
      <c r="H98" s="673" t="n"/>
      <c r="I98" s="673" t="n"/>
      <c r="J98" s="673" t="n"/>
      <c r="K98" s="677" t="n"/>
      <c r="L98" s="677" t="n"/>
      <c r="M98" s="677" t="n"/>
    </row>
    <row r="99">
      <c r="B99" s="673" t="n"/>
      <c r="C99" s="673" t="n"/>
      <c r="D99" s="673" t="n"/>
      <c r="E99" s="675" t="n"/>
      <c r="F99" s="675" t="n"/>
      <c r="G99" s="675" t="n"/>
      <c r="H99" s="673" t="n"/>
      <c r="I99" s="673" t="n"/>
      <c r="J99" s="673" t="n"/>
      <c r="K99" s="677" t="n"/>
      <c r="L99" s="677" t="n"/>
      <c r="M99" s="677" t="n"/>
    </row>
    <row r="100">
      <c r="B100" s="673" t="n"/>
      <c r="C100" s="673" t="n"/>
      <c r="D100" s="673" t="n"/>
      <c r="E100" s="675" t="n"/>
      <c r="F100" s="675" t="n"/>
      <c r="G100" s="675" t="n"/>
      <c r="H100" s="673" t="n"/>
      <c r="I100" s="673" t="n"/>
      <c r="J100" s="673" t="n"/>
      <c r="K100" s="677" t="n"/>
      <c r="L100" s="677" t="n"/>
      <c r="M100" s="677" t="n"/>
    </row>
    <row r="101">
      <c r="B101" s="673" t="n"/>
      <c r="C101" s="673" t="n"/>
      <c r="D101" s="673" t="n"/>
      <c r="E101" s="675" t="n"/>
      <c r="F101" s="675" t="n"/>
      <c r="G101" s="675" t="n"/>
      <c r="H101" s="673" t="n"/>
      <c r="I101" s="673" t="n"/>
      <c r="J101" s="673" t="n"/>
      <c r="K101" s="677" t="n"/>
      <c r="L101" s="677" t="n"/>
      <c r="M101" s="677" t="n"/>
    </row>
    <row r="102">
      <c r="B102" s="673" t="n"/>
      <c r="C102" s="673" t="n"/>
      <c r="D102" s="673" t="n"/>
      <c r="E102" s="675" t="n"/>
      <c r="F102" s="675" t="n"/>
      <c r="G102" s="675" t="n"/>
      <c r="H102" s="673" t="n"/>
      <c r="I102" s="673" t="n"/>
      <c r="J102" s="673" t="n"/>
      <c r="K102" s="677" t="n"/>
      <c r="L102" s="677" t="n"/>
      <c r="M102" s="677" t="n"/>
    </row>
    <row r="103">
      <c r="B103" s="673" t="n"/>
      <c r="C103" s="673" t="n"/>
      <c r="D103" s="673" t="n"/>
      <c r="E103" s="675" t="n"/>
      <c r="F103" s="675" t="n"/>
      <c r="G103" s="675" t="n"/>
      <c r="H103" s="673" t="n"/>
      <c r="I103" s="673" t="n"/>
      <c r="J103" s="673" t="n"/>
      <c r="K103" s="677" t="n"/>
      <c r="L103" s="677" t="n"/>
      <c r="M103" s="677" t="n"/>
    </row>
    <row r="104">
      <c r="B104" s="673" t="n"/>
      <c r="C104" s="673" t="n"/>
      <c r="D104" s="673" t="n"/>
      <c r="E104" s="675" t="n"/>
      <c r="F104" s="675" t="n"/>
      <c r="G104" s="675" t="n"/>
      <c r="H104" s="673" t="n"/>
      <c r="I104" s="673" t="n"/>
      <c r="J104" s="673" t="n"/>
      <c r="K104" s="677" t="n"/>
      <c r="L104" s="677" t="n"/>
      <c r="M104" s="677" t="n"/>
    </row>
    <row r="105">
      <c r="B105" s="673" t="n"/>
      <c r="C105" s="673" t="n"/>
      <c r="D105" s="673" t="n"/>
      <c r="E105" s="675" t="n"/>
      <c r="F105" s="675" t="n"/>
      <c r="G105" s="675" t="n"/>
      <c r="H105" s="673" t="n"/>
      <c r="I105" s="673" t="n"/>
      <c r="J105" s="673" t="n"/>
      <c r="K105" s="677" t="n"/>
      <c r="L105" s="677" t="n"/>
      <c r="M105" s="677" t="n"/>
    </row>
    <row r="106">
      <c r="B106" s="673" t="n"/>
      <c r="C106" s="673" t="n"/>
      <c r="D106" s="673" t="n"/>
      <c r="E106" s="675" t="n"/>
      <c r="F106" s="675" t="n"/>
      <c r="G106" s="675" t="n"/>
      <c r="H106" s="673" t="n"/>
      <c r="I106" s="673" t="n"/>
      <c r="J106" s="673" t="n"/>
      <c r="K106" s="677" t="n"/>
      <c r="L106" s="677" t="n"/>
      <c r="M106" s="677" t="n"/>
    </row>
    <row r="107">
      <c r="B107" s="673" t="n"/>
      <c r="C107" s="673" t="n"/>
      <c r="D107" s="673" t="n"/>
      <c r="E107" s="675" t="n"/>
      <c r="F107" s="675" t="n"/>
      <c r="G107" s="675" t="n"/>
      <c r="H107" s="673" t="n"/>
      <c r="I107" s="673" t="n"/>
      <c r="J107" s="673" t="n"/>
      <c r="K107" s="677" t="n"/>
      <c r="L107" s="677" t="n"/>
      <c r="M107" s="677" t="n"/>
    </row>
    <row r="108">
      <c r="B108" s="673" t="n"/>
      <c r="C108" s="673" t="n"/>
      <c r="D108" s="673" t="n"/>
      <c r="E108" s="675" t="n"/>
      <c r="F108" s="675" t="n"/>
      <c r="G108" s="675" t="n"/>
      <c r="H108" s="673" t="n"/>
      <c r="I108" s="673" t="n"/>
      <c r="J108" s="673" t="n"/>
      <c r="K108" s="677" t="n"/>
      <c r="L108" s="677" t="n"/>
      <c r="M108" s="677" t="n"/>
    </row>
    <row r="109">
      <c r="B109" s="673" t="n"/>
      <c r="C109" s="673" t="n"/>
      <c r="D109" s="673" t="n"/>
      <c r="E109" s="675" t="n"/>
      <c r="F109" s="675" t="n"/>
      <c r="G109" s="675" t="n"/>
      <c r="H109" s="673" t="n"/>
      <c r="I109" s="673" t="n"/>
      <c r="J109" s="673" t="n"/>
      <c r="K109" s="677" t="n"/>
      <c r="L109" s="677" t="n"/>
      <c r="M109" s="677" t="n"/>
    </row>
    <row r="110">
      <c r="B110" s="673" t="n"/>
      <c r="C110" s="673" t="n"/>
      <c r="D110" s="673" t="n"/>
      <c r="E110" s="675" t="n"/>
      <c r="F110" s="675" t="n"/>
      <c r="G110" s="675" t="n"/>
      <c r="H110" s="673" t="n"/>
      <c r="I110" s="673" t="n"/>
      <c r="J110" s="673" t="n"/>
      <c r="K110" s="677" t="n"/>
      <c r="L110" s="677" t="n"/>
      <c r="M110" s="677" t="n"/>
    </row>
    <row r="111">
      <c r="B111" s="673" t="n"/>
      <c r="C111" s="673" t="n"/>
      <c r="D111" s="673" t="n"/>
      <c r="E111" s="675" t="n"/>
      <c r="F111" s="675" t="n"/>
      <c r="G111" s="675" t="n"/>
      <c r="H111" s="673" t="n"/>
      <c r="I111" s="673" t="n"/>
      <c r="J111" s="673" t="n"/>
      <c r="K111" s="677" t="n"/>
      <c r="L111" s="677" t="n"/>
      <c r="M111" s="677" t="n"/>
    </row>
    <row r="112">
      <c r="B112" s="673" t="n"/>
      <c r="C112" s="673" t="n"/>
      <c r="D112" s="673" t="n"/>
      <c r="E112" s="675" t="n"/>
      <c r="F112" s="675" t="n"/>
      <c r="G112" s="675" t="n"/>
      <c r="H112" s="673" t="n"/>
      <c r="I112" s="673" t="n"/>
      <c r="J112" s="673" t="n"/>
      <c r="K112" s="677" t="n"/>
      <c r="L112" s="677" t="n"/>
      <c r="M112" s="677" t="n"/>
    </row>
    <row r="113">
      <c r="B113" s="673" t="n"/>
      <c r="C113" s="673" t="n"/>
      <c r="D113" s="673" t="n"/>
      <c r="E113" s="675" t="n"/>
      <c r="F113" s="675" t="n"/>
      <c r="G113" s="675" t="n"/>
      <c r="H113" s="673" t="n"/>
      <c r="I113" s="673" t="n"/>
      <c r="J113" s="673" t="n"/>
      <c r="K113" s="677" t="n"/>
      <c r="L113" s="677" t="n"/>
      <c r="M113" s="677" t="n"/>
    </row>
    <row r="114">
      <c r="B114" s="673" t="n"/>
      <c r="C114" s="673" t="n"/>
      <c r="D114" s="673" t="n"/>
      <c r="E114" s="675" t="n"/>
      <c r="F114" s="675" t="n"/>
      <c r="G114" s="675" t="n"/>
      <c r="H114" s="673" t="n"/>
      <c r="I114" s="673" t="n"/>
      <c r="J114" s="673" t="n"/>
      <c r="K114" s="677" t="n"/>
      <c r="L114" s="677" t="n"/>
      <c r="M114" s="677" t="n"/>
    </row>
    <row r="115">
      <c r="B115" s="673" t="n"/>
      <c r="C115" s="673" t="n"/>
      <c r="D115" s="673" t="n"/>
      <c r="E115" s="675" t="n"/>
      <c r="F115" s="675" t="n"/>
      <c r="G115" s="675" t="n"/>
      <c r="H115" s="673" t="n"/>
      <c r="I115" s="673" t="n"/>
      <c r="J115" s="673" t="n"/>
      <c r="K115" s="677" t="n"/>
      <c r="L115" s="677" t="n"/>
      <c r="M115" s="677" t="n"/>
    </row>
    <row r="116">
      <c r="B116" s="673" t="n"/>
      <c r="C116" s="673" t="n"/>
      <c r="D116" s="673" t="n"/>
      <c r="E116" s="675" t="n"/>
      <c r="F116" s="675" t="n"/>
      <c r="G116" s="675" t="n"/>
      <c r="H116" s="673" t="n"/>
      <c r="I116" s="673" t="n"/>
      <c r="J116" s="673" t="n"/>
      <c r="K116" s="677" t="n"/>
      <c r="L116" s="677" t="n"/>
      <c r="M116" s="677" t="n"/>
    </row>
    <row r="117">
      <c r="B117" s="673" t="n"/>
      <c r="C117" s="673" t="n"/>
      <c r="D117" s="673" t="n"/>
      <c r="E117" s="675" t="n"/>
      <c r="F117" s="675" t="n"/>
      <c r="G117" s="675" t="n"/>
      <c r="H117" s="673" t="n"/>
      <c r="I117" s="673" t="n"/>
      <c r="J117" s="673" t="n"/>
      <c r="K117" s="677" t="n"/>
      <c r="L117" s="677" t="n"/>
      <c r="M117" s="677" t="n"/>
    </row>
    <row r="118">
      <c r="B118" s="673" t="n"/>
      <c r="C118" s="673" t="n"/>
      <c r="D118" s="673" t="n"/>
      <c r="E118" s="675" t="n"/>
      <c r="F118" s="675" t="n"/>
      <c r="G118" s="675" t="n"/>
      <c r="H118" s="673" t="n"/>
      <c r="I118" s="673" t="n"/>
      <c r="J118" s="673" t="n"/>
      <c r="K118" s="677" t="n"/>
      <c r="L118" s="677" t="n"/>
      <c r="M118" s="677" t="n"/>
    </row>
    <row r="119">
      <c r="B119" s="673" t="n"/>
      <c r="C119" s="673" t="n"/>
      <c r="D119" s="673" t="n"/>
      <c r="E119" s="675" t="n"/>
      <c r="F119" s="675" t="n"/>
      <c r="G119" s="675" t="n"/>
      <c r="H119" s="673" t="n"/>
      <c r="I119" s="673" t="n"/>
      <c r="J119" s="673" t="n"/>
      <c r="K119" s="677" t="n"/>
      <c r="L119" s="677" t="n"/>
      <c r="M119" s="677" t="n"/>
    </row>
    <row r="120">
      <c r="B120" s="673" t="n"/>
      <c r="C120" s="673" t="n"/>
      <c r="D120" s="673" t="n"/>
      <c r="E120" s="675" t="n"/>
      <c r="F120" s="675" t="n"/>
      <c r="G120" s="675" t="n"/>
      <c r="H120" s="673" t="n"/>
      <c r="I120" s="673" t="n"/>
      <c r="J120" s="673" t="n"/>
      <c r="K120" s="677" t="n"/>
      <c r="L120" s="677" t="n"/>
      <c r="M120" s="677" t="n"/>
    </row>
    <row r="121">
      <c r="B121" s="673" t="n"/>
      <c r="C121" s="673" t="n"/>
      <c r="D121" s="673" t="n"/>
      <c r="E121" s="675" t="n"/>
      <c r="F121" s="675" t="n"/>
      <c r="G121" s="675" t="n"/>
      <c r="H121" s="673" t="n"/>
      <c r="I121" s="673" t="n"/>
      <c r="J121" s="673" t="n"/>
      <c r="K121" s="677" t="n"/>
      <c r="L121" s="677" t="n"/>
      <c r="M121" s="677" t="n"/>
    </row>
    <row r="122">
      <c r="B122" s="673" t="n"/>
      <c r="C122" s="673" t="n"/>
      <c r="D122" s="673" t="n"/>
      <c r="E122" s="675" t="n"/>
      <c r="F122" s="675" t="n"/>
      <c r="G122" s="675" t="n"/>
      <c r="H122" s="673" t="n"/>
      <c r="I122" s="673" t="n"/>
      <c r="J122" s="673" t="n"/>
      <c r="K122" s="677" t="n"/>
      <c r="L122" s="677" t="n"/>
      <c r="M122" s="677" t="n"/>
    </row>
    <row r="123">
      <c r="B123" s="673" t="n"/>
      <c r="C123" s="673" t="n"/>
      <c r="D123" s="673" t="n"/>
      <c r="E123" s="675" t="n"/>
      <c r="F123" s="675" t="n"/>
      <c r="G123" s="675" t="n"/>
      <c r="H123" s="673" t="n"/>
      <c r="I123" s="673" t="n"/>
      <c r="J123" s="673" t="n"/>
      <c r="K123" s="677" t="n"/>
      <c r="L123" s="677" t="n"/>
      <c r="M123" s="677" t="n"/>
    </row>
    <row r="124">
      <c r="B124" s="673" t="n"/>
      <c r="C124" s="673" t="n"/>
      <c r="D124" s="673" t="n"/>
      <c r="E124" s="675" t="n"/>
      <c r="F124" s="675" t="n"/>
      <c r="G124" s="675" t="n"/>
      <c r="H124" s="673" t="n"/>
      <c r="I124" s="673" t="n"/>
      <c r="J124" s="673" t="n"/>
      <c r="K124" s="677" t="n"/>
      <c r="L124" s="677" t="n"/>
      <c r="M124" s="677" t="n"/>
    </row>
    <row r="125">
      <c r="B125" s="673" t="n"/>
      <c r="C125" s="673" t="n"/>
      <c r="D125" s="673" t="n"/>
      <c r="E125" s="675" t="n"/>
      <c r="F125" s="675" t="n"/>
      <c r="G125" s="675" t="n"/>
      <c r="H125" s="673" t="n"/>
      <c r="I125" s="673" t="n"/>
      <c r="J125" s="673" t="n"/>
      <c r="K125" s="677" t="n"/>
      <c r="L125" s="677" t="n"/>
      <c r="M125" s="677" t="n"/>
    </row>
    <row r="126">
      <c r="B126" s="673" t="n"/>
      <c r="C126" s="673" t="n"/>
      <c r="D126" s="673" t="n"/>
      <c r="E126" s="675" t="n"/>
      <c r="F126" s="675" t="n"/>
      <c r="G126" s="675" t="n"/>
      <c r="H126" s="673" t="n"/>
      <c r="I126" s="673" t="n"/>
      <c r="J126" s="673" t="n"/>
      <c r="K126" s="677" t="n"/>
      <c r="L126" s="677" t="n"/>
      <c r="M126" s="677" t="n"/>
    </row>
    <row r="127">
      <c r="B127" s="673" t="n"/>
      <c r="C127" s="673" t="n"/>
      <c r="D127" s="673" t="n"/>
      <c r="E127" s="675" t="n"/>
      <c r="F127" s="675" t="n"/>
      <c r="G127" s="675" t="n"/>
      <c r="H127" s="673" t="n"/>
      <c r="I127" s="673" t="n"/>
      <c r="J127" s="673" t="n"/>
      <c r="K127" s="677" t="n"/>
      <c r="L127" s="677" t="n"/>
      <c r="M127" s="677" t="n"/>
    </row>
    <row r="128">
      <c r="B128" s="673" t="n"/>
      <c r="C128" s="673" t="n"/>
      <c r="D128" s="673" t="n"/>
      <c r="E128" s="675" t="n"/>
      <c r="F128" s="675" t="n"/>
      <c r="G128" s="675" t="n"/>
      <c r="H128" s="673" t="n"/>
      <c r="I128" s="673" t="n"/>
      <c r="J128" s="673" t="n"/>
      <c r="K128" s="677" t="n"/>
      <c r="L128" s="677" t="n"/>
      <c r="M128" s="677" t="n"/>
    </row>
    <row r="129">
      <c r="B129" s="673" t="n"/>
      <c r="C129" s="673" t="n"/>
      <c r="D129" s="673" t="n"/>
      <c r="E129" s="675" t="n"/>
      <c r="F129" s="675" t="n"/>
      <c r="G129" s="675" t="n"/>
      <c r="H129" s="673" t="n"/>
      <c r="I129" s="673" t="n"/>
      <c r="J129" s="673" t="n"/>
      <c r="K129" s="677" t="n"/>
      <c r="L129" s="677" t="n"/>
      <c r="M129" s="677" t="n"/>
    </row>
    <row r="130">
      <c r="B130" s="673" t="n"/>
      <c r="C130" s="673" t="n"/>
      <c r="D130" s="673" t="n"/>
      <c r="E130" s="675" t="n"/>
      <c r="F130" s="675" t="n"/>
      <c r="G130" s="675" t="n"/>
      <c r="H130" s="673" t="n"/>
      <c r="I130" s="673" t="n"/>
      <c r="J130" s="673" t="n"/>
      <c r="K130" s="677" t="n"/>
      <c r="L130" s="677" t="n"/>
      <c r="M130" s="677" t="n"/>
    </row>
    <row r="131">
      <c r="B131" s="673" t="n"/>
      <c r="C131" s="673" t="n"/>
      <c r="D131" s="673" t="n"/>
      <c r="E131" s="675" t="n"/>
      <c r="F131" s="675" t="n"/>
      <c r="G131" s="675" t="n"/>
      <c r="H131" s="673" t="n"/>
      <c r="I131" s="673" t="n"/>
      <c r="J131" s="673" t="n"/>
      <c r="K131" s="677" t="n"/>
      <c r="L131" s="677" t="n"/>
      <c r="M131" s="677" t="n"/>
    </row>
    <row r="132">
      <c r="B132" s="673" t="n"/>
      <c r="C132" s="673" t="n"/>
      <c r="D132" s="673" t="n"/>
      <c r="E132" s="675" t="n"/>
      <c r="F132" s="675" t="n"/>
      <c r="G132" s="675" t="n"/>
      <c r="H132" s="673" t="n"/>
      <c r="I132" s="673" t="n"/>
      <c r="J132" s="673" t="n"/>
      <c r="K132" s="677" t="n"/>
      <c r="L132" s="677" t="n"/>
      <c r="M132" s="677" t="n"/>
    </row>
    <row r="133">
      <c r="B133" s="673" t="n"/>
      <c r="C133" s="673" t="n"/>
      <c r="D133" s="673" t="n"/>
      <c r="E133" s="675" t="n"/>
      <c r="F133" s="675" t="n"/>
      <c r="G133" s="675" t="n"/>
      <c r="H133" s="673" t="n"/>
      <c r="I133" s="673" t="n"/>
      <c r="J133" s="673" t="n"/>
      <c r="K133" s="677" t="n"/>
      <c r="L133" s="677" t="n"/>
      <c r="M133" s="677" t="n"/>
    </row>
    <row r="134">
      <c r="B134" s="673" t="n"/>
      <c r="C134" s="673" t="n"/>
      <c r="D134" s="673" t="n"/>
      <c r="E134" s="675" t="n"/>
      <c r="F134" s="675" t="n"/>
      <c r="G134" s="675" t="n"/>
      <c r="H134" s="673" t="n"/>
      <c r="I134" s="673" t="n"/>
      <c r="J134" s="673" t="n"/>
      <c r="K134" s="677" t="n"/>
      <c r="L134" s="677" t="n"/>
      <c r="M134" s="677" t="n"/>
    </row>
    <row r="135">
      <c r="B135" s="673" t="n"/>
      <c r="C135" s="673" t="n"/>
      <c r="D135" s="673" t="n"/>
      <c r="E135" s="675" t="n"/>
      <c r="F135" s="675" t="n"/>
      <c r="G135" s="675" t="n"/>
      <c r="H135" s="673" t="n"/>
      <c r="I135" s="673" t="n"/>
      <c r="J135" s="673" t="n"/>
      <c r="K135" s="677" t="n"/>
      <c r="L135" s="677" t="n"/>
      <c r="M135" s="677" t="n"/>
    </row>
    <row r="136">
      <c r="B136" s="673" t="n"/>
      <c r="C136" s="673" t="n"/>
      <c r="D136" s="673" t="n"/>
      <c r="E136" s="675" t="n"/>
      <c r="F136" s="675" t="n"/>
      <c r="G136" s="675" t="n"/>
      <c r="H136" s="673" t="n"/>
      <c r="I136" s="673" t="n"/>
      <c r="J136" s="673" t="n"/>
      <c r="K136" s="677" t="n"/>
      <c r="L136" s="677" t="n"/>
      <c r="M136" s="677" t="n"/>
    </row>
    <row r="137">
      <c r="B137" s="673" t="n"/>
      <c r="C137" s="673" t="n"/>
      <c r="D137" s="673" t="n"/>
      <c r="E137" s="675" t="n"/>
      <c r="F137" s="675" t="n"/>
      <c r="G137" s="675" t="n"/>
      <c r="H137" s="673" t="n"/>
      <c r="I137" s="673" t="n"/>
      <c r="J137" s="673" t="n"/>
      <c r="K137" s="677" t="n"/>
      <c r="L137" s="677" t="n"/>
      <c r="M137" s="677" t="n"/>
    </row>
    <row r="138">
      <c r="B138" s="673" t="n"/>
      <c r="C138" s="673" t="n"/>
      <c r="D138" s="673" t="n"/>
      <c r="E138" s="675" t="n"/>
      <c r="F138" s="675" t="n"/>
      <c r="G138" s="675" t="n"/>
      <c r="H138" s="673" t="n"/>
      <c r="I138" s="673" t="n"/>
      <c r="J138" s="673" t="n"/>
      <c r="K138" s="677" t="n"/>
      <c r="L138" s="677" t="n"/>
      <c r="M138" s="677" t="n"/>
    </row>
    <row r="139">
      <c r="B139" s="673" t="n"/>
      <c r="C139" s="673" t="n"/>
      <c r="D139" s="673" t="n"/>
      <c r="E139" s="675" t="n"/>
      <c r="F139" s="675" t="n"/>
      <c r="G139" s="675" t="n"/>
      <c r="H139" s="673" t="n"/>
      <c r="I139" s="673" t="n"/>
      <c r="J139" s="673" t="n"/>
      <c r="K139" s="677" t="n"/>
      <c r="L139" s="677" t="n"/>
      <c r="M139" s="677" t="n"/>
    </row>
    <row r="140">
      <c r="B140" s="673" t="n"/>
      <c r="C140" s="673" t="n"/>
      <c r="D140" s="673" t="n"/>
      <c r="E140" s="675" t="n"/>
      <c r="F140" s="675" t="n"/>
      <c r="G140" s="675" t="n"/>
      <c r="H140" s="673" t="n"/>
      <c r="I140" s="673" t="n"/>
      <c r="J140" s="673" t="n"/>
      <c r="K140" s="677" t="n"/>
      <c r="L140" s="677" t="n"/>
      <c r="M140" s="677" t="n"/>
    </row>
    <row r="141">
      <c r="B141" s="673" t="n"/>
      <c r="C141" s="673" t="n"/>
      <c r="D141" s="673" t="n"/>
      <c r="E141" s="675" t="n"/>
      <c r="F141" s="675" t="n"/>
      <c r="G141" s="675" t="n"/>
      <c r="H141" s="673" t="n"/>
      <c r="I141" s="673" t="n"/>
      <c r="J141" s="673" t="n"/>
      <c r="K141" s="677" t="n"/>
      <c r="L141" s="677" t="n"/>
      <c r="M141" s="677" t="n"/>
    </row>
    <row r="142">
      <c r="B142" s="673" t="n"/>
      <c r="C142" s="673" t="n"/>
      <c r="D142" s="673" t="n"/>
      <c r="E142" s="675" t="n"/>
      <c r="F142" s="675" t="n"/>
      <c r="G142" s="675" t="n"/>
      <c r="H142" s="673" t="n"/>
      <c r="I142" s="673" t="n"/>
      <c r="J142" s="673" t="n"/>
      <c r="K142" s="677" t="n"/>
      <c r="L142" s="677" t="n"/>
      <c r="M142" s="677" t="n"/>
    </row>
    <row r="143">
      <c r="B143" s="673" t="n"/>
      <c r="C143" s="673" t="n"/>
      <c r="D143" s="673" t="n"/>
      <c r="E143" s="675" t="n"/>
      <c r="F143" s="675" t="n"/>
      <c r="G143" s="675" t="n"/>
      <c r="H143" s="673" t="n"/>
      <c r="I143" s="673" t="n"/>
      <c r="J143" s="673" t="n"/>
      <c r="K143" s="677" t="n"/>
      <c r="L143" s="677" t="n"/>
      <c r="M143" s="677" t="n"/>
    </row>
    <row r="144">
      <c r="B144" s="673" t="n"/>
      <c r="C144" s="673" t="n"/>
      <c r="D144" s="673" t="n"/>
      <c r="E144" s="675" t="n"/>
      <c r="F144" s="675" t="n"/>
      <c r="G144" s="675" t="n"/>
      <c r="H144" s="673" t="n"/>
      <c r="I144" s="673" t="n"/>
      <c r="J144" s="673" t="n"/>
      <c r="K144" s="677" t="n"/>
      <c r="L144" s="677" t="n"/>
      <c r="M144" s="677" t="n"/>
    </row>
    <row r="145">
      <c r="B145" s="673" t="n"/>
      <c r="C145" s="673" t="n"/>
      <c r="D145" s="673" t="n"/>
      <c r="E145" s="675" t="n"/>
      <c r="F145" s="675" t="n"/>
      <c r="G145" s="675" t="n"/>
      <c r="H145" s="673" t="n"/>
      <c r="I145" s="673" t="n"/>
      <c r="J145" s="673" t="n"/>
      <c r="K145" s="677" t="n"/>
      <c r="L145" s="677" t="n"/>
      <c r="M145" s="677" t="n"/>
    </row>
    <row r="146">
      <c r="B146" s="673" t="n"/>
      <c r="C146" s="673" t="n"/>
      <c r="D146" s="673" t="n"/>
      <c r="E146" s="675" t="n"/>
      <c r="F146" s="675" t="n"/>
      <c r="G146" s="675" t="n"/>
      <c r="H146" s="673" t="n"/>
      <c r="I146" s="673" t="n"/>
      <c r="J146" s="673" t="n"/>
      <c r="K146" s="677" t="n"/>
      <c r="L146" s="677" t="n"/>
      <c r="M146" s="677" t="n"/>
    </row>
    <row r="147">
      <c r="B147" s="673" t="n"/>
      <c r="C147" s="673" t="n"/>
      <c r="D147" s="673" t="n"/>
      <c r="E147" s="675" t="n"/>
      <c r="F147" s="675" t="n"/>
      <c r="G147" s="675" t="n"/>
      <c r="H147" s="673" t="n"/>
      <c r="I147" s="673" t="n"/>
      <c r="J147" s="673" t="n"/>
      <c r="K147" s="677" t="n"/>
      <c r="L147" s="677" t="n"/>
      <c r="M147" s="677" t="n"/>
    </row>
    <row r="148">
      <c r="B148" s="673" t="n"/>
      <c r="C148" s="673" t="n"/>
      <c r="D148" s="673" t="n"/>
      <c r="E148" s="675" t="n"/>
      <c r="F148" s="675" t="n"/>
      <c r="G148" s="675" t="n"/>
      <c r="H148" s="673" t="n"/>
      <c r="I148" s="673" t="n"/>
      <c r="J148" s="673" t="n"/>
      <c r="K148" s="677" t="n"/>
      <c r="L148" s="677" t="n"/>
      <c r="M148" s="677" t="n"/>
    </row>
    <row r="149">
      <c r="B149" s="673" t="n"/>
      <c r="C149" s="673" t="n"/>
      <c r="D149" s="673" t="n"/>
      <c r="E149" s="675" t="n"/>
      <c r="F149" s="675" t="n"/>
      <c r="G149" s="675" t="n"/>
      <c r="H149" s="673" t="n"/>
      <c r="I149" s="673" t="n"/>
      <c r="J149" s="673" t="n"/>
      <c r="K149" s="677" t="n"/>
      <c r="L149" s="677" t="n"/>
      <c r="M149" s="677" t="n"/>
    </row>
    <row r="150">
      <c r="B150" s="673" t="n"/>
      <c r="C150" s="673" t="n"/>
      <c r="D150" s="673" t="n"/>
      <c r="E150" s="675" t="n"/>
      <c r="F150" s="675" t="n"/>
      <c r="G150" s="675" t="n"/>
      <c r="H150" s="673" t="n"/>
      <c r="I150" s="673" t="n"/>
      <c r="J150" s="673" t="n"/>
      <c r="K150" s="677" t="n"/>
      <c r="L150" s="677" t="n"/>
      <c r="M150" s="677" t="n"/>
    </row>
    <row r="151">
      <c r="B151" s="673" t="n"/>
      <c r="C151" s="673" t="n"/>
      <c r="D151" s="673" t="n"/>
      <c r="E151" s="675" t="n"/>
      <c r="F151" s="675" t="n"/>
      <c r="G151" s="675" t="n"/>
      <c r="H151" s="673" t="n"/>
      <c r="I151" s="673" t="n"/>
      <c r="J151" s="673" t="n"/>
      <c r="K151" s="677" t="n"/>
      <c r="L151" s="677" t="n"/>
      <c r="M151" s="677" t="n"/>
    </row>
    <row r="152">
      <c r="B152" s="673" t="n"/>
      <c r="C152" s="673" t="n"/>
      <c r="D152" s="673" t="n"/>
      <c r="E152" s="675" t="n"/>
      <c r="F152" s="675" t="n"/>
      <c r="G152" s="675" t="n"/>
      <c r="H152" s="673" t="n"/>
      <c r="I152" s="673" t="n"/>
      <c r="J152" s="673" t="n"/>
      <c r="K152" s="677" t="n"/>
      <c r="L152" s="677" t="n"/>
      <c r="M152" s="677" t="n"/>
    </row>
    <row r="153">
      <c r="B153" s="673" t="n"/>
      <c r="C153" s="673" t="n"/>
      <c r="D153" s="673" t="n"/>
      <c r="E153" s="675" t="n"/>
      <c r="F153" s="675" t="n"/>
      <c r="G153" s="675" t="n"/>
      <c r="H153" s="673" t="n"/>
      <c r="I153" s="673" t="n"/>
      <c r="J153" s="673" t="n"/>
      <c r="K153" s="677" t="n"/>
      <c r="L153" s="677" t="n"/>
      <c r="M153" s="677" t="n"/>
    </row>
    <row r="154">
      <c r="B154" s="673" t="n"/>
      <c r="C154" s="673" t="n"/>
      <c r="D154" s="673" t="n"/>
      <c r="E154" s="675" t="n"/>
      <c r="F154" s="675" t="n"/>
      <c r="G154" s="675" t="n"/>
      <c r="H154" s="673" t="n"/>
      <c r="I154" s="673" t="n"/>
      <c r="J154" s="673" t="n"/>
      <c r="K154" s="677" t="n"/>
      <c r="L154" s="677" t="n"/>
      <c r="M154" s="677" t="n"/>
    </row>
    <row r="155">
      <c r="B155" s="673" t="n"/>
      <c r="C155" s="673" t="n"/>
      <c r="D155" s="673" t="n"/>
      <c r="E155" s="675" t="n"/>
      <c r="F155" s="675" t="n"/>
      <c r="G155" s="675" t="n"/>
      <c r="H155" s="673" t="n"/>
      <c r="I155" s="673" t="n"/>
      <c r="J155" s="673" t="n"/>
      <c r="K155" s="677" t="n"/>
      <c r="L155" s="677" t="n"/>
      <c r="M155" s="677" t="n"/>
    </row>
    <row r="156">
      <c r="B156" s="673" t="n"/>
      <c r="C156" s="673" t="n"/>
      <c r="D156" s="673" t="n"/>
      <c r="E156" s="675" t="n"/>
      <c r="F156" s="675" t="n"/>
      <c r="G156" s="675" t="n"/>
      <c r="H156" s="673" t="n"/>
      <c r="I156" s="673" t="n"/>
      <c r="J156" s="673" t="n"/>
      <c r="K156" s="677" t="n"/>
      <c r="L156" s="677" t="n"/>
      <c r="M156" s="677" t="n"/>
    </row>
    <row r="157">
      <c r="B157" s="673" t="n"/>
      <c r="C157" s="673" t="n"/>
      <c r="D157" s="673" t="n"/>
      <c r="E157" s="675" t="n"/>
      <c r="F157" s="675" t="n"/>
      <c r="G157" s="675" t="n"/>
      <c r="H157" s="673" t="n"/>
      <c r="I157" s="673" t="n"/>
      <c r="J157" s="673" t="n"/>
      <c r="K157" s="677" t="n"/>
      <c r="L157" s="677" t="n"/>
      <c r="M157" s="677" t="n"/>
    </row>
    <row r="158">
      <c r="B158" s="673" t="n"/>
      <c r="C158" s="673" t="n"/>
      <c r="D158" s="673" t="n"/>
      <c r="E158" s="675" t="n"/>
      <c r="F158" s="675" t="n"/>
      <c r="G158" s="675" t="n"/>
      <c r="H158" s="673" t="n"/>
      <c r="I158" s="673" t="n"/>
      <c r="J158" s="673" t="n"/>
      <c r="K158" s="677" t="n"/>
      <c r="L158" s="677" t="n"/>
      <c r="M158" s="677" t="n"/>
    </row>
    <row r="159">
      <c r="B159" s="673" t="n"/>
      <c r="C159" s="673" t="n"/>
      <c r="D159" s="673" t="n"/>
      <c r="E159" s="675" t="n"/>
      <c r="F159" s="675" t="n"/>
      <c r="G159" s="675" t="n"/>
      <c r="H159" s="673" t="n"/>
      <c r="I159" s="673" t="n"/>
      <c r="J159" s="673" t="n"/>
      <c r="K159" s="677" t="n"/>
      <c r="L159" s="677" t="n"/>
      <c r="M159" s="677" t="n"/>
    </row>
    <row r="160">
      <c r="B160" s="673" t="n"/>
      <c r="C160" s="673" t="n"/>
      <c r="D160" s="673" t="n"/>
      <c r="E160" s="675" t="n"/>
      <c r="F160" s="675" t="n"/>
      <c r="G160" s="675" t="n"/>
      <c r="H160" s="673" t="n"/>
      <c r="I160" s="673" t="n"/>
      <c r="J160" s="673" t="n"/>
      <c r="K160" s="677" t="n"/>
      <c r="L160" s="677" t="n"/>
      <c r="M160" s="677" t="n"/>
    </row>
    <row r="161">
      <c r="B161" s="673" t="n"/>
      <c r="C161" s="673" t="n"/>
      <c r="D161" s="673" t="n"/>
      <c r="E161" s="675" t="n"/>
      <c r="F161" s="675" t="n"/>
      <c r="G161" s="675" t="n"/>
      <c r="H161" s="673" t="n"/>
      <c r="I161" s="673" t="n"/>
      <c r="J161" s="673" t="n"/>
      <c r="K161" s="677" t="n"/>
      <c r="L161" s="677" t="n"/>
      <c r="M161" s="677" t="n"/>
    </row>
    <row r="162">
      <c r="B162" s="673" t="n"/>
      <c r="C162" s="673" t="n"/>
      <c r="D162" s="673" t="n"/>
      <c r="E162" s="675" t="n"/>
      <c r="F162" s="675" t="n"/>
      <c r="G162" s="675" t="n"/>
      <c r="H162" s="673" t="n"/>
      <c r="I162" s="673" t="n"/>
      <c r="J162" s="673" t="n"/>
      <c r="K162" s="677" t="n"/>
      <c r="L162" s="677" t="n"/>
      <c r="M162" s="677" t="n"/>
    </row>
    <row r="163">
      <c r="B163" s="673" t="n"/>
      <c r="C163" s="673" t="n"/>
      <c r="D163" s="673" t="n"/>
      <c r="E163" s="675" t="n"/>
      <c r="F163" s="675" t="n"/>
      <c r="G163" s="675" t="n"/>
      <c r="H163" s="673" t="n"/>
      <c r="I163" s="673" t="n"/>
      <c r="J163" s="673" t="n"/>
      <c r="K163" s="677" t="n"/>
      <c r="L163" s="677" t="n"/>
      <c r="M163" s="677" t="n"/>
    </row>
    <row r="164">
      <c r="B164" s="673" t="n"/>
      <c r="C164" s="673" t="n"/>
      <c r="D164" s="673" t="n"/>
      <c r="E164" s="675" t="n"/>
      <c r="F164" s="675" t="n"/>
      <c r="G164" s="675" t="n"/>
      <c r="H164" s="673" t="n"/>
      <c r="I164" s="673" t="n"/>
      <c r="J164" s="673" t="n"/>
      <c r="K164" s="677" t="n"/>
      <c r="L164" s="677" t="n"/>
      <c r="M164" s="677" t="n"/>
    </row>
    <row r="165">
      <c r="B165" s="673" t="n"/>
      <c r="C165" s="673" t="n"/>
      <c r="D165" s="673" t="n"/>
      <c r="E165" s="675" t="n"/>
      <c r="F165" s="675" t="n"/>
      <c r="G165" s="675" t="n"/>
      <c r="H165" s="673" t="n"/>
      <c r="I165" s="673" t="n"/>
      <c r="J165" s="673" t="n"/>
      <c r="K165" s="677" t="n"/>
      <c r="L165" s="677" t="n"/>
      <c r="M165" s="677" t="n"/>
    </row>
    <row r="166">
      <c r="B166" s="673" t="n"/>
      <c r="C166" s="673" t="n"/>
      <c r="D166" s="673" t="n"/>
      <c r="E166" s="675" t="n"/>
      <c r="F166" s="675" t="n"/>
      <c r="G166" s="675" t="n"/>
      <c r="H166" s="673" t="n"/>
      <c r="I166" s="673" t="n"/>
      <c r="J166" s="673" t="n"/>
      <c r="K166" s="677" t="n"/>
      <c r="L166" s="677" t="n"/>
      <c r="M166" s="677" t="n"/>
    </row>
    <row r="167">
      <c r="B167" s="673" t="n"/>
      <c r="C167" s="673" t="n"/>
      <c r="D167" s="673" t="n"/>
      <c r="E167" s="675" t="n"/>
      <c r="F167" s="675" t="n"/>
      <c r="G167" s="675" t="n"/>
      <c r="H167" s="673" t="n"/>
      <c r="I167" s="673" t="n"/>
      <c r="J167" s="673" t="n"/>
      <c r="K167" s="677" t="n"/>
      <c r="L167" s="677" t="n"/>
      <c r="M167" s="677" t="n"/>
    </row>
    <row r="168">
      <c r="B168" s="673" t="n"/>
      <c r="C168" s="673" t="n"/>
      <c r="D168" s="673" t="n"/>
      <c r="E168" s="675" t="n"/>
      <c r="F168" s="675" t="n"/>
      <c r="G168" s="675" t="n"/>
      <c r="H168" s="673" t="n"/>
      <c r="I168" s="673" t="n"/>
      <c r="J168" s="673" t="n"/>
      <c r="K168" s="677" t="n"/>
      <c r="L168" s="677" t="n"/>
      <c r="M168" s="677" t="n"/>
    </row>
    <row r="169">
      <c r="B169" s="673" t="n"/>
      <c r="C169" s="673" t="n"/>
      <c r="D169" s="673" t="n"/>
      <c r="E169" s="675" t="n"/>
      <c r="F169" s="675" t="n"/>
      <c r="G169" s="675" t="n"/>
      <c r="H169" s="673" t="n"/>
      <c r="I169" s="673" t="n"/>
      <c r="J169" s="673" t="n"/>
      <c r="K169" s="677" t="n"/>
      <c r="L169" s="677" t="n"/>
      <c r="M169" s="677" t="n"/>
    </row>
    <row r="170">
      <c r="B170" s="673" t="n"/>
      <c r="C170" s="673" t="n"/>
      <c r="D170" s="673" t="n"/>
      <c r="E170" s="675" t="n"/>
      <c r="F170" s="675" t="n"/>
      <c r="G170" s="675" t="n"/>
      <c r="H170" s="673" t="n"/>
      <c r="I170" s="673" t="n"/>
      <c r="J170" s="673" t="n"/>
      <c r="K170" s="677" t="n"/>
      <c r="L170" s="677" t="n"/>
      <c r="M170" s="677" t="n"/>
    </row>
    <row r="171">
      <c r="B171" s="673" t="n"/>
      <c r="C171" s="673" t="n"/>
      <c r="D171" s="673" t="n"/>
      <c r="E171" s="675" t="n"/>
      <c r="F171" s="675" t="n"/>
      <c r="G171" s="675" t="n"/>
      <c r="H171" s="673" t="n"/>
      <c r="I171" s="673" t="n"/>
      <c r="J171" s="673" t="n"/>
      <c r="K171" s="677" t="n"/>
      <c r="L171" s="677" t="n"/>
      <c r="M171" s="677" t="n"/>
    </row>
    <row r="172">
      <c r="B172" s="673" t="n"/>
      <c r="C172" s="673" t="n"/>
      <c r="D172" s="673" t="n"/>
      <c r="E172" s="675" t="n"/>
      <c r="F172" s="675" t="n"/>
      <c r="G172" s="675" t="n"/>
      <c r="H172" s="673" t="n"/>
      <c r="I172" s="673" t="n"/>
      <c r="J172" s="673" t="n"/>
      <c r="K172" s="677" t="n"/>
      <c r="L172" s="677" t="n"/>
      <c r="M172" s="677" t="n"/>
    </row>
    <row r="173">
      <c r="B173" s="673" t="n"/>
      <c r="C173" s="673" t="n"/>
      <c r="D173" s="673" t="n"/>
      <c r="E173" s="675" t="n"/>
      <c r="F173" s="675" t="n"/>
      <c r="G173" s="675" t="n"/>
      <c r="H173" s="673" t="n"/>
      <c r="I173" s="673" t="n"/>
      <c r="J173" s="673" t="n"/>
      <c r="K173" s="677" t="n"/>
      <c r="L173" s="677" t="n"/>
      <c r="M173" s="677" t="n"/>
    </row>
    <row r="174">
      <c r="B174" s="673" t="n"/>
      <c r="C174" s="673" t="n"/>
      <c r="D174" s="673" t="n"/>
      <c r="E174" s="675" t="n"/>
      <c r="F174" s="675" t="n"/>
      <c r="G174" s="675" t="n"/>
      <c r="H174" s="673" t="n"/>
      <c r="I174" s="673" t="n"/>
      <c r="J174" s="673" t="n"/>
      <c r="K174" s="677" t="n"/>
      <c r="L174" s="677" t="n"/>
      <c r="M174" s="677" t="n"/>
    </row>
    <row r="175">
      <c r="B175" s="673" t="n"/>
      <c r="C175" s="673" t="n"/>
      <c r="D175" s="673" t="n"/>
      <c r="E175" s="675" t="n"/>
      <c r="F175" s="675" t="n"/>
      <c r="G175" s="675" t="n"/>
      <c r="H175" s="673" t="n"/>
      <c r="I175" s="673" t="n"/>
      <c r="J175" s="673" t="n"/>
      <c r="K175" s="677" t="n"/>
      <c r="L175" s="677" t="n"/>
      <c r="M175" s="677" t="n"/>
    </row>
    <row r="176">
      <c r="B176" s="673" t="n"/>
      <c r="C176" s="673" t="n"/>
      <c r="D176" s="673" t="n"/>
      <c r="E176" s="675" t="n"/>
      <c r="F176" s="675" t="n"/>
      <c r="G176" s="675" t="n"/>
      <c r="H176" s="673" t="n"/>
      <c r="I176" s="673" t="n"/>
      <c r="J176" s="673" t="n"/>
      <c r="K176" s="677" t="n"/>
      <c r="L176" s="677" t="n"/>
      <c r="M176" s="677" t="n"/>
    </row>
    <row r="177">
      <c r="B177" s="673" t="n"/>
      <c r="C177" s="673" t="n"/>
      <c r="D177" s="673" t="n"/>
      <c r="E177" s="675" t="n"/>
      <c r="F177" s="675" t="n"/>
      <c r="G177" s="675" t="n"/>
      <c r="H177" s="673" t="n"/>
      <c r="I177" s="673" t="n"/>
      <c r="J177" s="673" t="n"/>
      <c r="K177" s="677" t="n"/>
      <c r="L177" s="677" t="n"/>
      <c r="M177" s="677" t="n"/>
    </row>
    <row r="178">
      <c r="B178" s="673" t="n"/>
      <c r="C178" s="673" t="n"/>
      <c r="D178" s="673" t="n"/>
      <c r="E178" s="675" t="n"/>
      <c r="F178" s="675" t="n"/>
      <c r="G178" s="675" t="n"/>
      <c r="H178" s="673" t="n"/>
      <c r="I178" s="673" t="n"/>
      <c r="J178" s="673" t="n"/>
      <c r="K178" s="677" t="n"/>
      <c r="L178" s="677" t="n"/>
      <c r="M178" s="677" t="n"/>
    </row>
    <row r="179">
      <c r="B179" s="673" t="n"/>
      <c r="C179" s="673" t="n"/>
      <c r="D179" s="673" t="n"/>
      <c r="E179" s="675" t="n"/>
      <c r="F179" s="675" t="n"/>
      <c r="G179" s="675" t="n"/>
      <c r="H179" s="673" t="n"/>
      <c r="I179" s="673" t="n"/>
      <c r="J179" s="673" t="n"/>
      <c r="K179" s="677" t="n"/>
      <c r="L179" s="677" t="n"/>
      <c r="M179" s="677" t="n"/>
    </row>
    <row r="180">
      <c r="B180" s="673" t="n"/>
      <c r="C180" s="673" t="n"/>
      <c r="D180" s="673" t="n"/>
      <c r="E180" s="675" t="n"/>
      <c r="F180" s="675" t="n"/>
      <c r="G180" s="675" t="n"/>
      <c r="H180" s="673" t="n"/>
      <c r="I180" s="673" t="n"/>
      <c r="J180" s="673" t="n"/>
      <c r="K180" s="677" t="n"/>
      <c r="L180" s="677" t="n"/>
      <c r="M180" s="677" t="n"/>
    </row>
    <row r="181">
      <c r="B181" s="673" t="n"/>
      <c r="C181" s="673" t="n"/>
      <c r="D181" s="673" t="n"/>
      <c r="E181" s="675" t="n"/>
      <c r="F181" s="675" t="n"/>
      <c r="G181" s="675" t="n"/>
      <c r="H181" s="673" t="n"/>
      <c r="I181" s="673" t="n"/>
      <c r="J181" s="673" t="n"/>
      <c r="K181" s="677" t="n"/>
      <c r="L181" s="677" t="n"/>
      <c r="M181" s="677" t="n"/>
    </row>
    <row r="182">
      <c r="B182" s="673" t="n"/>
      <c r="C182" s="673" t="n"/>
      <c r="D182" s="673" t="n"/>
      <c r="E182" s="675" t="n"/>
      <c r="F182" s="675" t="n"/>
      <c r="G182" s="675" t="n"/>
      <c r="H182" s="673" t="n"/>
      <c r="I182" s="673" t="n"/>
      <c r="J182" s="673" t="n"/>
      <c r="K182" s="677" t="n"/>
      <c r="L182" s="677" t="n"/>
      <c r="M182" s="677" t="n"/>
    </row>
    <row r="183">
      <c r="B183" s="673" t="n"/>
      <c r="C183" s="673" t="n"/>
      <c r="D183" s="673" t="n"/>
      <c r="E183" s="675" t="n"/>
      <c r="F183" s="675" t="n"/>
      <c r="G183" s="675" t="n"/>
      <c r="H183" s="673" t="n"/>
      <c r="I183" s="673" t="n"/>
      <c r="J183" s="673" t="n"/>
      <c r="K183" s="677" t="n"/>
      <c r="L183" s="677" t="n"/>
      <c r="M183" s="677" t="n"/>
    </row>
    <row r="184">
      <c r="B184" s="673" t="n"/>
      <c r="C184" s="673" t="n"/>
      <c r="D184" s="673" t="n"/>
      <c r="E184" s="675" t="n"/>
      <c r="F184" s="675" t="n"/>
      <c r="G184" s="675" t="n"/>
      <c r="H184" s="673" t="n"/>
      <c r="I184" s="673" t="n"/>
      <c r="J184" s="673" t="n"/>
      <c r="K184" s="677" t="n"/>
      <c r="L184" s="677" t="n"/>
      <c r="M184" s="677" t="n"/>
    </row>
    <row r="185">
      <c r="B185" s="673" t="n"/>
      <c r="C185" s="673" t="n"/>
      <c r="D185" s="673" t="n"/>
      <c r="E185" s="675" t="n"/>
      <c r="F185" s="675" t="n"/>
      <c r="G185" s="675" t="n"/>
      <c r="H185" s="673" t="n"/>
      <c r="I185" s="673" t="n"/>
      <c r="J185" s="673" t="n"/>
      <c r="K185" s="677" t="n"/>
      <c r="L185" s="677" t="n"/>
      <c r="M185" s="677" t="n"/>
    </row>
    <row r="186">
      <c r="B186" s="673" t="n"/>
      <c r="C186" s="673" t="n"/>
      <c r="D186" s="673" t="n"/>
      <c r="E186" s="675" t="n"/>
      <c r="F186" s="675" t="n"/>
      <c r="G186" s="675" t="n"/>
      <c r="H186" s="673" t="n"/>
      <c r="I186" s="673" t="n"/>
      <c r="J186" s="673" t="n"/>
      <c r="K186" s="677" t="n"/>
      <c r="L186" s="677" t="n"/>
      <c r="M186" s="677" t="n"/>
    </row>
    <row r="187">
      <c r="B187" s="673" t="n"/>
      <c r="C187" s="673" t="n"/>
      <c r="D187" s="673" t="n"/>
      <c r="E187" s="675" t="n"/>
      <c r="F187" s="675" t="n"/>
      <c r="G187" s="675" t="n"/>
      <c r="H187" s="673" t="n"/>
      <c r="I187" s="673" t="n"/>
      <c r="J187" s="673" t="n"/>
      <c r="K187" s="677" t="n"/>
      <c r="L187" s="677" t="n"/>
      <c r="M187" s="677" t="n"/>
    </row>
    <row r="188">
      <c r="B188" s="673" t="n"/>
      <c r="C188" s="673" t="n"/>
      <c r="D188" s="673" t="n"/>
      <c r="E188" s="675" t="n"/>
      <c r="F188" s="675" t="n"/>
      <c r="G188" s="675" t="n"/>
      <c r="H188" s="673" t="n"/>
      <c r="I188" s="673" t="n"/>
      <c r="J188" s="673" t="n"/>
      <c r="K188" s="677" t="n"/>
      <c r="L188" s="677" t="n"/>
      <c r="M188" s="677" t="n"/>
    </row>
    <row r="189">
      <c r="B189" s="673" t="n"/>
      <c r="C189" s="673" t="n"/>
      <c r="D189" s="673" t="n"/>
      <c r="E189" s="675" t="n"/>
      <c r="F189" s="675" t="n"/>
      <c r="G189" s="675" t="n"/>
      <c r="H189" s="673" t="n"/>
      <c r="I189" s="673" t="n"/>
      <c r="J189" s="673" t="n"/>
      <c r="K189" s="677" t="n"/>
      <c r="L189" s="677" t="n"/>
      <c r="M189" s="677" t="n"/>
    </row>
    <row r="190">
      <c r="B190" s="673" t="n"/>
      <c r="C190" s="673" t="n"/>
      <c r="D190" s="673" t="n"/>
      <c r="E190" s="675" t="n"/>
      <c r="F190" s="675" t="n"/>
      <c r="G190" s="675" t="n"/>
      <c r="H190" s="673" t="n"/>
      <c r="I190" s="673" t="n"/>
      <c r="J190" s="673" t="n"/>
      <c r="K190" s="677" t="n"/>
      <c r="L190" s="677" t="n"/>
      <c r="M190" s="677" t="n"/>
    </row>
    <row r="191">
      <c r="B191" s="673" t="n"/>
      <c r="C191" s="673" t="n"/>
      <c r="D191" s="673" t="n"/>
      <c r="E191" s="675" t="n"/>
      <c r="F191" s="675" t="n"/>
      <c r="G191" s="675" t="n"/>
      <c r="H191" s="673" t="n"/>
      <c r="I191" s="673" t="n"/>
      <c r="J191" s="673" t="n"/>
      <c r="K191" s="677" t="n"/>
      <c r="L191" s="677" t="n"/>
      <c r="M191" s="677" t="n"/>
    </row>
    <row r="192">
      <c r="B192" s="673" t="n"/>
      <c r="C192" s="673" t="n"/>
      <c r="D192" s="673" t="n"/>
      <c r="E192" s="675" t="n"/>
      <c r="F192" s="675" t="n"/>
      <c r="G192" s="675" t="n"/>
      <c r="H192" s="673" t="n"/>
      <c r="I192" s="673" t="n"/>
      <c r="J192" s="673" t="n"/>
      <c r="K192" s="677" t="n"/>
      <c r="L192" s="677" t="n"/>
      <c r="M192" s="677" t="n"/>
    </row>
    <row r="193">
      <c r="B193" s="673" t="n"/>
      <c r="C193" s="673" t="n"/>
      <c r="D193" s="673" t="n"/>
      <c r="E193" s="675" t="n"/>
      <c r="F193" s="675" t="n"/>
      <c r="G193" s="675" t="n"/>
      <c r="H193" s="673" t="n"/>
      <c r="I193" s="673" t="n"/>
      <c r="J193" s="673" t="n"/>
      <c r="K193" s="677" t="n"/>
      <c r="L193" s="677" t="n"/>
      <c r="M193" s="677" t="n"/>
    </row>
    <row r="194">
      <c r="B194" s="673" t="n"/>
      <c r="C194" s="673" t="n"/>
      <c r="D194" s="673" t="n"/>
      <c r="E194" s="675" t="n"/>
      <c r="F194" s="675" t="n"/>
      <c r="G194" s="675" t="n"/>
      <c r="H194" s="673" t="n"/>
      <c r="I194" s="673" t="n"/>
      <c r="J194" s="673" t="n"/>
      <c r="K194" s="677" t="n"/>
      <c r="L194" s="677" t="n"/>
      <c r="M194" s="677" t="n"/>
    </row>
    <row r="195">
      <c r="B195" s="673" t="n"/>
      <c r="C195" s="673" t="n"/>
      <c r="D195" s="673" t="n"/>
      <c r="E195" s="675" t="n"/>
      <c r="F195" s="675" t="n"/>
      <c r="G195" s="675" t="n"/>
      <c r="H195" s="673" t="n"/>
      <c r="I195" s="673" t="n"/>
      <c r="J195" s="673" t="n"/>
      <c r="K195" s="677" t="n"/>
      <c r="L195" s="677" t="n"/>
      <c r="M195" s="677" t="n"/>
    </row>
    <row r="196">
      <c r="B196" s="673" t="n"/>
      <c r="C196" s="673" t="n"/>
      <c r="D196" s="673" t="n"/>
      <c r="E196" s="675" t="n"/>
      <c r="F196" s="675" t="n"/>
      <c r="G196" s="675" t="n"/>
      <c r="H196" s="673" t="n"/>
      <c r="I196" s="673" t="n"/>
      <c r="J196" s="673" t="n"/>
      <c r="K196" s="677" t="n"/>
      <c r="L196" s="677" t="n"/>
      <c r="M196" s="677" t="n"/>
    </row>
    <row r="197">
      <c r="B197" s="673" t="n"/>
      <c r="C197" s="673" t="n"/>
      <c r="D197" s="673" t="n"/>
      <c r="E197" s="675" t="n"/>
      <c r="F197" s="675" t="n"/>
      <c r="G197" s="675" t="n"/>
      <c r="H197" s="673" t="n"/>
      <c r="I197" s="673" t="n"/>
      <c r="J197" s="673" t="n"/>
      <c r="K197" s="677" t="n"/>
      <c r="L197" s="677" t="n"/>
      <c r="M197" s="677" t="n"/>
    </row>
    <row r="198">
      <c r="B198" s="673" t="n"/>
      <c r="C198" s="673" t="n"/>
      <c r="D198" s="673" t="n"/>
      <c r="E198" s="675" t="n"/>
      <c r="F198" s="675" t="n"/>
      <c r="G198" s="675" t="n"/>
      <c r="H198" s="673" t="n"/>
      <c r="I198" s="673" t="n"/>
      <c r="J198" s="673" t="n"/>
      <c r="K198" s="677" t="n"/>
      <c r="L198" s="677" t="n"/>
      <c r="M198" s="677" t="n"/>
    </row>
    <row r="199">
      <c r="B199" s="673" t="n"/>
      <c r="C199" s="673" t="n"/>
      <c r="D199" s="673" t="n"/>
      <c r="E199" s="675" t="n"/>
      <c r="F199" s="675" t="n"/>
      <c r="G199" s="675" t="n"/>
      <c r="H199" s="673" t="n"/>
      <c r="I199" s="673" t="n"/>
      <c r="J199" s="673" t="n"/>
      <c r="K199" s="677" t="n"/>
      <c r="L199" s="677" t="n"/>
      <c r="M199" s="677" t="n"/>
    </row>
    <row r="200">
      <c r="B200" s="673" t="n"/>
      <c r="C200" s="673" t="n"/>
      <c r="D200" s="673" t="n"/>
      <c r="E200" s="675" t="n"/>
      <c r="F200" s="675" t="n"/>
      <c r="G200" s="675" t="n"/>
      <c r="H200" s="673" t="n"/>
      <c r="I200" s="673" t="n"/>
      <c r="J200" s="673" t="n"/>
      <c r="K200" s="677" t="n"/>
      <c r="L200" s="677" t="n"/>
      <c r="M200" s="677" t="n"/>
    </row>
    <row r="201">
      <c r="B201" s="673" t="n"/>
      <c r="C201" s="673" t="n"/>
      <c r="D201" s="673" t="n"/>
      <c r="E201" s="675" t="n"/>
      <c r="F201" s="675" t="n"/>
      <c r="G201" s="675" t="n"/>
      <c r="H201" s="673" t="n"/>
      <c r="I201" s="673" t="n"/>
      <c r="J201" s="673" t="n"/>
      <c r="K201" s="677" t="n"/>
      <c r="L201" s="677" t="n"/>
      <c r="M201" s="677" t="n"/>
    </row>
    <row r="202">
      <c r="B202" s="673" t="n"/>
      <c r="C202" s="673" t="n"/>
      <c r="D202" s="673" t="n"/>
      <c r="E202" s="675" t="n"/>
      <c r="F202" s="675" t="n"/>
      <c r="G202" s="675" t="n"/>
      <c r="H202" s="673" t="n"/>
      <c r="I202" s="673" t="n"/>
      <c r="J202" s="673" t="n"/>
      <c r="K202" s="677" t="n"/>
      <c r="L202" s="677" t="n"/>
      <c r="M202" s="677" t="n"/>
    </row>
    <row r="203">
      <c r="B203" s="673" t="n"/>
      <c r="C203" s="673" t="n"/>
      <c r="D203" s="673" t="n"/>
      <c r="E203" s="675" t="n"/>
      <c r="F203" s="675" t="n"/>
      <c r="G203" s="675" t="n"/>
      <c r="H203" s="673" t="n"/>
      <c r="I203" s="673" t="n"/>
      <c r="J203" s="673" t="n"/>
      <c r="K203" s="677" t="n"/>
      <c r="L203" s="677" t="n"/>
      <c r="M203" s="677" t="n"/>
    </row>
    <row r="204">
      <c r="B204" s="673" t="n"/>
      <c r="C204" s="673" t="n"/>
      <c r="D204" s="673" t="n"/>
      <c r="E204" s="675" t="n"/>
      <c r="F204" s="675" t="n"/>
      <c r="G204" s="675" t="n"/>
      <c r="H204" s="673" t="n"/>
      <c r="I204" s="673" t="n"/>
      <c r="J204" s="673" t="n"/>
      <c r="K204" s="677" t="n"/>
      <c r="L204" s="677" t="n"/>
      <c r="M204" s="677" t="n"/>
    </row>
    <row r="205">
      <c r="B205" s="673" t="n"/>
      <c r="C205" s="673" t="n"/>
      <c r="D205" s="673" t="n"/>
      <c r="E205" s="675" t="n"/>
      <c r="F205" s="675" t="n"/>
      <c r="G205" s="675" t="n"/>
      <c r="H205" s="673" t="n"/>
      <c r="I205" s="673" t="n"/>
      <c r="J205" s="673" t="n"/>
      <c r="K205" s="677" t="n"/>
      <c r="L205" s="677" t="n"/>
      <c r="M205" s="677" t="n"/>
    </row>
    <row r="206">
      <c r="B206" s="673" t="n"/>
      <c r="C206" s="673" t="n"/>
      <c r="D206" s="673" t="n"/>
      <c r="E206" s="675" t="n"/>
      <c r="F206" s="675" t="n"/>
      <c r="G206" s="675" t="n"/>
      <c r="H206" s="673" t="n"/>
      <c r="I206" s="673" t="n"/>
      <c r="J206" s="673" t="n"/>
      <c r="K206" s="677" t="n"/>
      <c r="L206" s="677" t="n"/>
      <c r="M206" s="677" t="n"/>
    </row>
    <row r="207">
      <c r="B207" s="673" t="n"/>
      <c r="C207" s="673" t="n"/>
      <c r="D207" s="673" t="n"/>
      <c r="E207" s="675" t="n"/>
      <c r="F207" s="675" t="n"/>
      <c r="G207" s="675" t="n"/>
      <c r="H207" s="673" t="n"/>
      <c r="I207" s="673" t="n"/>
      <c r="J207" s="673" t="n"/>
      <c r="K207" s="677" t="n"/>
      <c r="L207" s="677" t="n"/>
      <c r="M207" s="677" t="n"/>
    </row>
    <row r="208">
      <c r="B208" s="673" t="n"/>
      <c r="C208" s="673" t="n"/>
      <c r="D208" s="673" t="n"/>
      <c r="E208" s="675" t="n"/>
      <c r="F208" s="675" t="n"/>
      <c r="G208" s="675" t="n"/>
      <c r="H208" s="673" t="n"/>
      <c r="I208" s="673" t="n"/>
      <c r="J208" s="673" t="n"/>
      <c r="K208" s="677" t="n"/>
      <c r="L208" s="677" t="n"/>
      <c r="M208" s="677" t="n"/>
    </row>
    <row r="209">
      <c r="B209" s="673" t="n"/>
      <c r="C209" s="673" t="n"/>
      <c r="D209" s="673" t="n"/>
      <c r="E209" s="675" t="n"/>
      <c r="F209" s="675" t="n"/>
      <c r="G209" s="675" t="n"/>
      <c r="H209" s="673" t="n"/>
      <c r="I209" s="673" t="n"/>
      <c r="J209" s="673" t="n"/>
      <c r="K209" s="677" t="n"/>
      <c r="L209" s="677" t="n"/>
      <c r="M209" s="677" t="n"/>
    </row>
    <row r="210">
      <c r="B210" s="673" t="n"/>
      <c r="C210" s="673" t="n"/>
      <c r="D210" s="673" t="n"/>
      <c r="E210" s="675" t="n"/>
      <c r="F210" s="675" t="n"/>
      <c r="G210" s="675" t="n"/>
      <c r="H210" s="673" t="n"/>
      <c r="I210" s="673" t="n"/>
      <c r="J210" s="673" t="n"/>
      <c r="K210" s="677" t="n"/>
      <c r="L210" s="677" t="n"/>
      <c r="M210" s="677" t="n"/>
    </row>
    <row r="211">
      <c r="B211" s="673" t="n"/>
      <c r="C211" s="673" t="n"/>
      <c r="D211" s="673" t="n"/>
      <c r="E211" s="675" t="n"/>
      <c r="F211" s="675" t="n"/>
      <c r="G211" s="675" t="n"/>
      <c r="H211" s="673" t="n"/>
      <c r="I211" s="673" t="n"/>
      <c r="J211" s="673" t="n"/>
      <c r="K211" s="677" t="n"/>
      <c r="L211" s="677" t="n"/>
      <c r="M211" s="677" t="n"/>
    </row>
    <row r="212">
      <c r="B212" s="673" t="n"/>
      <c r="C212" s="673" t="n"/>
      <c r="D212" s="673" t="n"/>
      <c r="E212" s="675" t="n"/>
      <c r="F212" s="675" t="n"/>
      <c r="G212" s="675" t="n"/>
      <c r="H212" s="673" t="n"/>
      <c r="I212" s="673" t="n"/>
      <c r="J212" s="673" t="n"/>
      <c r="K212" s="677" t="n"/>
      <c r="L212" s="677" t="n"/>
      <c r="M212" s="677" t="n"/>
    </row>
    <row r="213">
      <c r="B213" s="673" t="n"/>
      <c r="C213" s="673" t="n"/>
      <c r="D213" s="673" t="n"/>
      <c r="E213" s="675" t="n"/>
      <c r="F213" s="675" t="n"/>
      <c r="G213" s="675" t="n"/>
      <c r="H213" s="673" t="n"/>
      <c r="I213" s="673" t="n"/>
      <c r="J213" s="673" t="n"/>
      <c r="K213" s="677" t="n"/>
      <c r="L213" s="677" t="n"/>
      <c r="M213" s="677" t="n"/>
    </row>
    <row r="214">
      <c r="B214" s="673" t="n"/>
      <c r="C214" s="673" t="n"/>
      <c r="D214" s="673" t="n"/>
      <c r="E214" s="675" t="n"/>
      <c r="F214" s="675" t="n"/>
      <c r="G214" s="675" t="n"/>
      <c r="H214" s="673" t="n"/>
      <c r="I214" s="673" t="n"/>
      <c r="J214" s="673" t="n"/>
      <c r="K214" s="677" t="n"/>
      <c r="L214" s="677" t="n"/>
      <c r="M214" s="677" t="n"/>
    </row>
    <row r="215">
      <c r="B215" s="673" t="n"/>
      <c r="C215" s="673" t="n"/>
      <c r="D215" s="673" t="n"/>
      <c r="E215" s="675" t="n"/>
      <c r="F215" s="675" t="n"/>
      <c r="G215" s="675" t="n"/>
      <c r="H215" s="673" t="n"/>
      <c r="I215" s="673" t="n"/>
      <c r="J215" s="673" t="n"/>
      <c r="K215" s="677" t="n"/>
      <c r="L215" s="677" t="n"/>
      <c r="M215" s="677" t="n"/>
    </row>
    <row r="216">
      <c r="B216" s="673" t="n"/>
      <c r="C216" s="673" t="n"/>
      <c r="D216" s="673" t="n"/>
      <c r="E216" s="675" t="n"/>
      <c r="F216" s="675" t="n"/>
      <c r="G216" s="675" t="n"/>
      <c r="H216" s="673" t="n"/>
      <c r="I216" s="673" t="n"/>
      <c r="J216" s="673" t="n"/>
      <c r="K216" s="677" t="n"/>
      <c r="L216" s="677" t="n"/>
      <c r="M216" s="677" t="n"/>
    </row>
    <row r="217">
      <c r="B217" s="673" t="n"/>
      <c r="C217" s="673" t="n"/>
      <c r="D217" s="673" t="n"/>
      <c r="E217" s="675" t="n"/>
      <c r="F217" s="675" t="n"/>
      <c r="G217" s="675" t="n"/>
      <c r="H217" s="673" t="n"/>
      <c r="I217" s="673" t="n"/>
      <c r="J217" s="673" t="n"/>
      <c r="K217" s="677" t="n"/>
      <c r="L217" s="677" t="n"/>
      <c r="M217" s="677" t="n"/>
    </row>
    <row r="218">
      <c r="B218" s="673" t="n"/>
      <c r="C218" s="673" t="n"/>
      <c r="D218" s="673" t="n"/>
      <c r="E218" s="675" t="n"/>
      <c r="F218" s="675" t="n"/>
      <c r="G218" s="675" t="n"/>
      <c r="H218" s="673" t="n"/>
      <c r="I218" s="673" t="n"/>
      <c r="J218" s="673" t="n"/>
      <c r="K218" s="677" t="n"/>
      <c r="L218" s="677" t="n"/>
      <c r="M218" s="677" t="n"/>
    </row>
    <row r="219">
      <c r="B219" s="673" t="n"/>
      <c r="C219" s="673" t="n"/>
      <c r="D219" s="673" t="n"/>
      <c r="E219" s="675" t="n"/>
      <c r="F219" s="675" t="n"/>
      <c r="G219" s="675" t="n"/>
      <c r="H219" s="673" t="n"/>
      <c r="I219" s="673" t="n"/>
      <c r="J219" s="673" t="n"/>
      <c r="K219" s="677" t="n"/>
      <c r="L219" s="677" t="n"/>
      <c r="M219" s="677" t="n"/>
    </row>
    <row r="220">
      <c r="B220" s="673" t="n"/>
      <c r="C220" s="673" t="n"/>
      <c r="D220" s="673" t="n"/>
      <c r="E220" s="675" t="n"/>
      <c r="F220" s="675" t="n"/>
      <c r="G220" s="675" t="n"/>
      <c r="H220" s="673" t="n"/>
      <c r="I220" s="673" t="n"/>
      <c r="J220" s="673" t="n"/>
      <c r="K220" s="677" t="n"/>
      <c r="L220" s="677" t="n"/>
      <c r="M220" s="677" t="n"/>
    </row>
    <row r="221">
      <c r="B221" s="673" t="n"/>
      <c r="C221" s="673" t="n"/>
      <c r="D221" s="673" t="n"/>
      <c r="E221" s="675" t="n"/>
      <c r="F221" s="675" t="n"/>
      <c r="G221" s="675" t="n"/>
      <c r="H221" s="673" t="n"/>
      <c r="I221" s="673" t="n"/>
      <c r="J221" s="673" t="n"/>
      <c r="K221" s="677" t="n"/>
      <c r="L221" s="677" t="n"/>
      <c r="M221" s="677" t="n"/>
    </row>
    <row r="222">
      <c r="B222" s="673" t="n"/>
      <c r="C222" s="673" t="n"/>
      <c r="D222" s="673" t="n"/>
      <c r="E222" s="675" t="n"/>
      <c r="F222" s="675" t="n"/>
      <c r="G222" s="675" t="n"/>
      <c r="H222" s="673" t="n"/>
      <c r="I222" s="673" t="n"/>
      <c r="J222" s="673" t="n"/>
      <c r="K222" s="677" t="n"/>
      <c r="L222" s="677" t="n"/>
      <c r="M222" s="677" t="n"/>
    </row>
    <row r="223">
      <c r="B223" s="673" t="n"/>
      <c r="C223" s="673" t="n"/>
      <c r="D223" s="673" t="n"/>
      <c r="E223" s="675" t="n"/>
      <c r="F223" s="675" t="n"/>
      <c r="G223" s="675" t="n"/>
      <c r="H223" s="673" t="n"/>
      <c r="I223" s="673" t="n"/>
      <c r="J223" s="673" t="n"/>
      <c r="K223" s="677" t="n"/>
      <c r="L223" s="677" t="n"/>
      <c r="M223" s="677" t="n"/>
    </row>
    <row r="224">
      <c r="B224" s="673" t="n"/>
      <c r="C224" s="673" t="n"/>
      <c r="D224" s="673" t="n"/>
      <c r="E224" s="675" t="n"/>
      <c r="F224" s="675" t="n"/>
      <c r="G224" s="675" t="n"/>
      <c r="H224" s="673" t="n"/>
      <c r="I224" s="673" t="n"/>
      <c r="J224" s="673" t="n"/>
      <c r="K224" s="677" t="n"/>
      <c r="L224" s="677" t="n"/>
      <c r="M224" s="677" t="n"/>
    </row>
    <row r="225">
      <c r="B225" s="673" t="n"/>
      <c r="C225" s="673" t="n"/>
      <c r="D225" s="673" t="n"/>
      <c r="E225" s="675" t="n"/>
      <c r="F225" s="675" t="n"/>
      <c r="G225" s="675" t="n"/>
      <c r="H225" s="673" t="n"/>
      <c r="I225" s="673" t="n"/>
      <c r="J225" s="673" t="n"/>
      <c r="K225" s="677" t="n"/>
      <c r="L225" s="677" t="n"/>
      <c r="M225" s="677" t="n"/>
    </row>
    <row r="226">
      <c r="B226" s="673" t="n"/>
      <c r="C226" s="673" t="n"/>
      <c r="D226" s="673" t="n"/>
      <c r="E226" s="675" t="n"/>
      <c r="F226" s="675" t="n"/>
      <c r="G226" s="675" t="n"/>
      <c r="H226" s="673" t="n"/>
      <c r="I226" s="673" t="n"/>
      <c r="J226" s="673" t="n"/>
      <c r="K226" s="677" t="n"/>
      <c r="L226" s="677" t="n"/>
      <c r="M226" s="677" t="n"/>
    </row>
    <row r="227">
      <c r="B227" s="673" t="n"/>
      <c r="C227" s="673" t="n"/>
      <c r="D227" s="673" t="n"/>
      <c r="E227" s="675" t="n"/>
      <c r="F227" s="675" t="n"/>
      <c r="G227" s="675" t="n"/>
      <c r="H227" s="673" t="n"/>
      <c r="I227" s="673" t="n"/>
      <c r="J227" s="673" t="n"/>
      <c r="K227" s="677" t="n"/>
      <c r="L227" s="677" t="n"/>
      <c r="M227" s="677" t="n"/>
    </row>
    <row r="228">
      <c r="B228" s="673" t="n"/>
      <c r="C228" s="673" t="n"/>
      <c r="D228" s="673" t="n"/>
      <c r="E228" s="675" t="n"/>
      <c r="F228" s="675" t="n"/>
      <c r="G228" s="675" t="n"/>
      <c r="H228" s="673" t="n"/>
      <c r="I228" s="673" t="n"/>
      <c r="J228" s="673" t="n"/>
      <c r="K228" s="677" t="n"/>
      <c r="L228" s="677" t="n"/>
      <c r="M228" s="677" t="n"/>
    </row>
    <row r="229">
      <c r="B229" s="673" t="n"/>
      <c r="C229" s="673" t="n"/>
      <c r="D229" s="673" t="n"/>
      <c r="E229" s="675" t="n"/>
      <c r="F229" s="675" t="n"/>
      <c r="G229" s="675" t="n"/>
      <c r="H229" s="673" t="n"/>
      <c r="I229" s="673" t="n"/>
      <c r="J229" s="673" t="n"/>
      <c r="K229" s="677" t="n"/>
      <c r="L229" s="677" t="n"/>
      <c r="M229" s="677" t="n"/>
    </row>
    <row r="230">
      <c r="B230" s="673" t="n"/>
      <c r="C230" s="673" t="n"/>
      <c r="D230" s="673" t="n"/>
      <c r="E230" s="675" t="n"/>
      <c r="F230" s="675" t="n"/>
      <c r="G230" s="675" t="n"/>
      <c r="H230" s="673" t="n"/>
      <c r="I230" s="673" t="n"/>
      <c r="J230" s="673" t="n"/>
      <c r="K230" s="677" t="n"/>
      <c r="L230" s="677" t="n"/>
      <c r="M230" s="677" t="n"/>
    </row>
    <row r="231">
      <c r="B231" s="673" t="n"/>
      <c r="C231" s="673" t="n"/>
      <c r="D231" s="673" t="n"/>
      <c r="E231" s="675" t="n"/>
      <c r="F231" s="675" t="n"/>
      <c r="G231" s="675" t="n"/>
      <c r="H231" s="673" t="n"/>
      <c r="I231" s="673" t="n"/>
      <c r="J231" s="673" t="n"/>
      <c r="K231" s="677" t="n"/>
      <c r="L231" s="677" t="n"/>
      <c r="M231" s="677" t="n"/>
    </row>
    <row r="232">
      <c r="B232" s="673" t="n"/>
      <c r="C232" s="673" t="n"/>
      <c r="D232" s="673" t="n"/>
      <c r="E232" s="675" t="n"/>
      <c r="F232" s="675" t="n"/>
      <c r="G232" s="675" t="n"/>
      <c r="H232" s="673" t="n"/>
      <c r="I232" s="673" t="n"/>
      <c r="J232" s="673" t="n"/>
      <c r="K232" s="677" t="n"/>
      <c r="L232" s="677" t="n"/>
      <c r="M232" s="677" t="n"/>
    </row>
    <row r="233">
      <c r="B233" s="673" t="n"/>
      <c r="C233" s="673" t="n"/>
      <c r="D233" s="673" t="n"/>
      <c r="E233" s="675" t="n"/>
      <c r="F233" s="675" t="n"/>
      <c r="G233" s="675" t="n"/>
      <c r="H233" s="673" t="n"/>
      <c r="I233" s="673" t="n"/>
      <c r="J233" s="673" t="n"/>
      <c r="K233" s="677" t="n"/>
      <c r="L233" s="677" t="n"/>
      <c r="M233" s="677" t="n"/>
    </row>
    <row r="234">
      <c r="B234" s="673" t="n"/>
      <c r="C234" s="673" t="n"/>
      <c r="D234" s="673" t="n"/>
      <c r="E234" s="675" t="n"/>
      <c r="F234" s="675" t="n"/>
      <c r="G234" s="675" t="n"/>
      <c r="H234" s="673" t="n"/>
      <c r="I234" s="673" t="n"/>
      <c r="J234" s="673" t="n"/>
      <c r="K234" s="677" t="n"/>
      <c r="L234" s="677" t="n"/>
      <c r="M234" s="677" t="n"/>
    </row>
    <row r="235">
      <c r="B235" s="673" t="n"/>
      <c r="C235" s="673" t="n"/>
      <c r="D235" s="673" t="n"/>
      <c r="E235" s="675" t="n"/>
      <c r="F235" s="675" t="n"/>
      <c r="G235" s="675" t="n"/>
      <c r="H235" s="673" t="n"/>
      <c r="I235" s="673" t="n"/>
      <c r="J235" s="673" t="n"/>
      <c r="K235" s="677" t="n"/>
      <c r="L235" s="677" t="n"/>
      <c r="M235" s="677" t="n"/>
    </row>
    <row r="236">
      <c r="B236" s="673" t="n"/>
      <c r="C236" s="673" t="n"/>
      <c r="D236" s="673" t="n"/>
      <c r="E236" s="675" t="n"/>
      <c r="F236" s="675" t="n"/>
      <c r="G236" s="675" t="n"/>
      <c r="H236" s="673" t="n"/>
      <c r="I236" s="673" t="n"/>
      <c r="J236" s="673" t="n"/>
      <c r="K236" s="677" t="n"/>
      <c r="L236" s="677" t="n"/>
      <c r="M236" s="677" t="n"/>
    </row>
    <row r="237">
      <c r="B237" s="673" t="n"/>
      <c r="C237" s="673" t="n"/>
      <c r="D237" s="673" t="n"/>
      <c r="E237" s="675" t="n"/>
      <c r="F237" s="675" t="n"/>
      <c r="G237" s="675" t="n"/>
      <c r="H237" s="673" t="n"/>
      <c r="I237" s="673" t="n"/>
      <c r="J237" s="673" t="n"/>
      <c r="K237" s="677" t="n"/>
      <c r="L237" s="677" t="n"/>
      <c r="M237" s="677" t="n"/>
    </row>
    <row r="238">
      <c r="B238" s="673" t="n"/>
      <c r="C238" s="673" t="n"/>
      <c r="D238" s="673" t="n"/>
      <c r="E238" s="675" t="n"/>
      <c r="F238" s="675" t="n"/>
      <c r="G238" s="675" t="n"/>
      <c r="H238" s="673" t="n"/>
      <c r="I238" s="673" t="n"/>
      <c r="J238" s="673" t="n"/>
      <c r="K238" s="677" t="n"/>
      <c r="L238" s="677" t="n"/>
      <c r="M238" s="677" t="n"/>
    </row>
    <row r="239">
      <c r="B239" s="673" t="n"/>
      <c r="C239" s="673" t="n"/>
      <c r="D239" s="673" t="n"/>
      <c r="E239" s="675" t="n"/>
      <c r="F239" s="675" t="n"/>
      <c r="G239" s="675" t="n"/>
      <c r="H239" s="673" t="n"/>
      <c r="I239" s="673" t="n"/>
      <c r="J239" s="673" t="n"/>
      <c r="K239" s="677" t="n"/>
      <c r="L239" s="677" t="n"/>
      <c r="M239" s="677" t="n"/>
    </row>
    <row r="240">
      <c r="B240" s="673" t="n"/>
      <c r="C240" s="673" t="n"/>
      <c r="D240" s="673" t="n"/>
      <c r="E240" s="675" t="n"/>
      <c r="F240" s="675" t="n"/>
      <c r="G240" s="675" t="n"/>
      <c r="H240" s="673" t="n"/>
      <c r="I240" s="673" t="n"/>
      <c r="J240" s="673" t="n"/>
      <c r="K240" s="677" t="n"/>
      <c r="L240" s="677" t="n"/>
      <c r="M240" s="677" t="n"/>
    </row>
    <row r="241">
      <c r="B241" s="673" t="n"/>
      <c r="C241" s="673" t="n"/>
      <c r="D241" s="673" t="n"/>
      <c r="E241" s="675" t="n"/>
      <c r="F241" s="675" t="n"/>
      <c r="G241" s="675" t="n"/>
      <c r="H241" s="673" t="n"/>
      <c r="I241" s="673" t="n"/>
      <c r="J241" s="673" t="n"/>
      <c r="K241" s="677" t="n"/>
      <c r="L241" s="677" t="n"/>
      <c r="M241" s="677" t="n"/>
    </row>
    <row r="242">
      <c r="B242" s="673" t="n"/>
      <c r="C242" s="673" t="n"/>
      <c r="D242" s="673" t="n"/>
      <c r="E242" s="675" t="n"/>
      <c r="F242" s="675" t="n"/>
      <c r="G242" s="675" t="n"/>
      <c r="H242" s="673" t="n"/>
      <c r="I242" s="673" t="n"/>
      <c r="J242" s="673" t="n"/>
      <c r="K242" s="677" t="n"/>
      <c r="L242" s="677" t="n"/>
      <c r="M242" s="677" t="n"/>
    </row>
    <row r="243">
      <c r="B243" s="673" t="n"/>
      <c r="C243" s="673" t="n"/>
      <c r="D243" s="673" t="n"/>
      <c r="E243" s="675" t="n"/>
      <c r="F243" s="675" t="n"/>
      <c r="G243" s="675" t="n"/>
      <c r="H243" s="673" t="n"/>
      <c r="I243" s="673" t="n"/>
      <c r="J243" s="673" t="n"/>
      <c r="K243" s="677" t="n"/>
      <c r="L243" s="677" t="n"/>
      <c r="M243" s="677" t="n"/>
    </row>
    <row r="244">
      <c r="B244" s="673" t="n"/>
      <c r="C244" s="673" t="n"/>
      <c r="D244" s="673" t="n"/>
      <c r="E244" s="675" t="n"/>
      <c r="F244" s="675" t="n"/>
      <c r="G244" s="675" t="n"/>
      <c r="H244" s="673" t="n"/>
      <c r="I244" s="673" t="n"/>
      <c r="J244" s="673" t="n"/>
      <c r="K244" s="677" t="n"/>
      <c r="L244" s="677" t="n"/>
      <c r="M244" s="677" t="n"/>
    </row>
    <row r="245">
      <c r="B245" s="673" t="n"/>
      <c r="C245" s="673" t="n"/>
      <c r="D245" s="673" t="n"/>
      <c r="E245" s="675" t="n"/>
      <c r="F245" s="675" t="n"/>
      <c r="G245" s="675" t="n"/>
      <c r="H245" s="673" t="n"/>
      <c r="I245" s="673" t="n"/>
      <c r="J245" s="673" t="n"/>
      <c r="K245" s="677" t="n"/>
      <c r="L245" s="677" t="n"/>
      <c r="M245" s="677" t="n"/>
    </row>
    <row r="246">
      <c r="B246" s="673" t="n"/>
      <c r="C246" s="673" t="n"/>
      <c r="D246" s="673" t="n"/>
      <c r="E246" s="675" t="n"/>
      <c r="F246" s="675" t="n"/>
      <c r="G246" s="675" t="n"/>
      <c r="H246" s="673" t="n"/>
      <c r="I246" s="673" t="n"/>
      <c r="J246" s="673" t="n"/>
      <c r="K246" s="677" t="n"/>
      <c r="L246" s="677" t="n"/>
      <c r="M246" s="677" t="n"/>
    </row>
    <row r="247">
      <c r="B247" s="673" t="n"/>
      <c r="C247" s="673" t="n"/>
      <c r="D247" s="673" t="n"/>
      <c r="E247" s="675" t="n"/>
      <c r="F247" s="675" t="n"/>
      <c r="G247" s="675" t="n"/>
      <c r="H247" s="673" t="n"/>
      <c r="I247" s="673" t="n"/>
      <c r="J247" s="673" t="n"/>
      <c r="K247" s="677" t="n"/>
      <c r="L247" s="677" t="n"/>
      <c r="M247" s="677" t="n"/>
    </row>
    <row r="248">
      <c r="B248" s="673" t="n"/>
      <c r="C248" s="673" t="n"/>
      <c r="D248" s="673" t="n"/>
      <c r="E248" s="675" t="n"/>
      <c r="F248" s="675" t="n"/>
      <c r="G248" s="675" t="n"/>
      <c r="H248" s="673" t="n"/>
      <c r="I248" s="673" t="n"/>
      <c r="J248" s="673" t="n"/>
      <c r="K248" s="677" t="n"/>
      <c r="L248" s="677" t="n"/>
      <c r="M248" s="677" t="n"/>
    </row>
    <row r="249">
      <c r="B249" s="673" t="n"/>
      <c r="C249" s="673" t="n"/>
      <c r="D249" s="673" t="n"/>
      <c r="E249" s="675" t="n"/>
      <c r="F249" s="675" t="n"/>
      <c r="G249" s="675" t="n"/>
      <c r="H249" s="673" t="n"/>
      <c r="I249" s="673" t="n"/>
      <c r="J249" s="673" t="n"/>
      <c r="K249" s="677" t="n"/>
      <c r="L249" s="677" t="n"/>
      <c r="M249" s="677" t="n"/>
    </row>
    <row r="250">
      <c r="B250" s="673" t="n"/>
      <c r="C250" s="673" t="n"/>
      <c r="D250" s="673" t="n"/>
      <c r="E250" s="675" t="n"/>
      <c r="F250" s="675" t="n"/>
      <c r="G250" s="675" t="n"/>
      <c r="H250" s="673" t="n"/>
      <c r="I250" s="673" t="n"/>
      <c r="J250" s="673" t="n"/>
      <c r="K250" s="677" t="n"/>
      <c r="L250" s="677" t="n"/>
      <c r="M250" s="677" t="n"/>
    </row>
    <row r="251">
      <c r="B251" s="673" t="n"/>
      <c r="C251" s="673" t="n"/>
      <c r="D251" s="673" t="n"/>
      <c r="E251" s="675" t="n"/>
      <c r="F251" s="675" t="n"/>
      <c r="G251" s="675" t="n"/>
      <c r="H251" s="673" t="n"/>
      <c r="I251" s="673" t="n"/>
      <c r="J251" s="673" t="n"/>
      <c r="K251" s="677" t="n"/>
      <c r="L251" s="677" t="n"/>
      <c r="M251" s="677" t="n"/>
    </row>
    <row r="252">
      <c r="B252" s="673" t="n"/>
      <c r="C252" s="673" t="n"/>
      <c r="D252" s="673" t="n"/>
      <c r="E252" s="675" t="n"/>
      <c r="F252" s="675" t="n"/>
      <c r="G252" s="675" t="n"/>
      <c r="H252" s="673" t="n"/>
      <c r="I252" s="673" t="n"/>
      <c r="J252" s="673" t="n"/>
      <c r="K252" s="677" t="n"/>
      <c r="L252" s="677" t="n"/>
      <c r="M252" s="677" t="n"/>
    </row>
    <row r="253">
      <c r="B253" s="673" t="n"/>
      <c r="C253" s="673" t="n"/>
      <c r="D253" s="673" t="n"/>
      <c r="E253" s="675" t="n"/>
      <c r="F253" s="675" t="n"/>
      <c r="G253" s="675" t="n"/>
      <c r="H253" s="673" t="n"/>
      <c r="I253" s="673" t="n"/>
      <c r="J253" s="673" t="n"/>
      <c r="K253" s="677" t="n"/>
      <c r="L253" s="677" t="n"/>
      <c r="M253" s="677" t="n"/>
    </row>
    <row r="254">
      <c r="B254" s="673" t="n"/>
      <c r="C254" s="673" t="n"/>
      <c r="D254" s="673" t="n"/>
      <c r="E254" s="675" t="n"/>
      <c r="F254" s="675" t="n"/>
      <c r="G254" s="675" t="n"/>
      <c r="H254" s="673" t="n"/>
      <c r="I254" s="673" t="n"/>
      <c r="J254" s="673" t="n"/>
      <c r="K254" s="677" t="n"/>
      <c r="L254" s="677" t="n"/>
      <c r="M254" s="677" t="n"/>
    </row>
    <row r="255">
      <c r="B255" s="673" t="n"/>
      <c r="C255" s="673" t="n"/>
      <c r="D255" s="673" t="n"/>
      <c r="E255" s="675" t="n"/>
      <c r="F255" s="675" t="n"/>
      <c r="G255" s="675" t="n"/>
      <c r="H255" s="673" t="n"/>
      <c r="I255" s="673" t="n"/>
      <c r="J255" s="673" t="n"/>
      <c r="K255" s="677" t="n"/>
      <c r="L255" s="677" t="n"/>
      <c r="M255" s="677" t="n"/>
    </row>
    <row r="256">
      <c r="B256" s="673" t="n"/>
      <c r="C256" s="673" t="n"/>
      <c r="D256" s="673" t="n"/>
      <c r="E256" s="675" t="n"/>
      <c r="F256" s="675" t="n"/>
      <c r="G256" s="675" t="n"/>
      <c r="H256" s="673" t="n"/>
      <c r="I256" s="673" t="n"/>
      <c r="J256" s="673" t="n"/>
      <c r="K256" s="677" t="n"/>
      <c r="L256" s="677" t="n"/>
      <c r="M256" s="677" t="n"/>
    </row>
    <row r="257">
      <c r="B257" s="673" t="n"/>
      <c r="C257" s="673" t="n"/>
      <c r="D257" s="673" t="n"/>
      <c r="E257" s="675" t="n"/>
      <c r="F257" s="675" t="n"/>
      <c r="G257" s="675" t="n"/>
      <c r="H257" s="673" t="n"/>
      <c r="I257" s="673" t="n"/>
      <c r="J257" s="673" t="n"/>
      <c r="K257" s="677" t="n"/>
      <c r="L257" s="677" t="n"/>
      <c r="M257" s="677" t="n"/>
    </row>
    <row r="258">
      <c r="B258" s="673" t="n"/>
      <c r="C258" s="673" t="n"/>
      <c r="D258" s="673" t="n"/>
      <c r="E258" s="675" t="n"/>
      <c r="F258" s="675" t="n"/>
      <c r="G258" s="675" t="n"/>
      <c r="H258" s="673" t="n"/>
      <c r="I258" s="673" t="n"/>
      <c r="J258" s="673" t="n"/>
      <c r="K258" s="677" t="n"/>
      <c r="L258" s="677" t="n"/>
      <c r="M258" s="677" t="n"/>
    </row>
    <row r="259">
      <c r="B259" s="673" t="n"/>
      <c r="C259" s="673" t="n"/>
      <c r="D259" s="673" t="n"/>
      <c r="E259" s="675" t="n"/>
      <c r="F259" s="675" t="n"/>
      <c r="G259" s="675" t="n"/>
      <c r="H259" s="673" t="n"/>
      <c r="I259" s="673" t="n"/>
      <c r="J259" s="673" t="n"/>
      <c r="K259" s="677" t="n"/>
      <c r="L259" s="677" t="n"/>
      <c r="M259" s="677" t="n"/>
    </row>
    <row r="260">
      <c r="B260" s="673" t="n"/>
      <c r="C260" s="673" t="n"/>
      <c r="D260" s="673" t="n"/>
      <c r="E260" s="675" t="n"/>
      <c r="F260" s="675" t="n"/>
      <c r="G260" s="675" t="n"/>
      <c r="H260" s="673" t="n"/>
      <c r="I260" s="673" t="n"/>
      <c r="J260" s="673" t="n"/>
      <c r="K260" s="677" t="n"/>
      <c r="L260" s="677" t="n"/>
      <c r="M260" s="677" t="n"/>
    </row>
    <row r="261">
      <c r="B261" s="673" t="n"/>
      <c r="C261" s="673" t="n"/>
      <c r="D261" s="673" t="n"/>
      <c r="E261" s="675" t="n"/>
      <c r="F261" s="675" t="n"/>
      <c r="G261" s="675" t="n"/>
      <c r="H261" s="673" t="n"/>
      <c r="I261" s="673" t="n"/>
      <c r="J261" s="673" t="n"/>
      <c r="K261" s="677" t="n"/>
      <c r="L261" s="677" t="n"/>
      <c r="M261" s="677" t="n"/>
    </row>
    <row r="262">
      <c r="B262" s="673" t="n"/>
      <c r="C262" s="673" t="n"/>
      <c r="D262" s="673" t="n"/>
      <c r="E262" s="675" t="n"/>
      <c r="F262" s="675" t="n"/>
      <c r="G262" s="675" t="n"/>
      <c r="H262" s="673" t="n"/>
      <c r="I262" s="673" t="n"/>
      <c r="J262" s="673" t="n"/>
      <c r="K262" s="677" t="n"/>
      <c r="L262" s="677" t="n"/>
      <c r="M262" s="677" t="n"/>
    </row>
    <row r="263">
      <c r="B263" s="673" t="n"/>
      <c r="C263" s="673" t="n"/>
      <c r="D263" s="673" t="n"/>
      <c r="E263" s="675" t="n"/>
      <c r="F263" s="675" t="n"/>
      <c r="G263" s="675" t="n"/>
      <c r="H263" s="673" t="n"/>
      <c r="I263" s="673" t="n"/>
      <c r="J263" s="673" t="n"/>
      <c r="K263" s="677" t="n"/>
      <c r="L263" s="677" t="n"/>
      <c r="M263" s="677" t="n"/>
    </row>
    <row r="264">
      <c r="B264" s="673" t="n"/>
      <c r="C264" s="673" t="n"/>
      <c r="D264" s="673" t="n"/>
      <c r="E264" s="675" t="n"/>
      <c r="F264" s="675" t="n"/>
      <c r="G264" s="675" t="n"/>
      <c r="H264" s="673" t="n"/>
      <c r="I264" s="673" t="n"/>
      <c r="J264" s="673" t="n"/>
      <c r="K264" s="677" t="n"/>
      <c r="L264" s="677" t="n"/>
      <c r="M264" s="677" t="n"/>
    </row>
    <row r="265">
      <c r="B265" s="673" t="n"/>
      <c r="C265" s="673" t="n"/>
      <c r="D265" s="673" t="n"/>
      <c r="E265" s="675" t="n"/>
      <c r="F265" s="675" t="n"/>
      <c r="G265" s="675" t="n"/>
      <c r="H265" s="673" t="n"/>
      <c r="I265" s="673" t="n"/>
      <c r="J265" s="673" t="n"/>
      <c r="K265" s="677" t="n"/>
      <c r="L265" s="677" t="n"/>
      <c r="M265" s="677" t="n"/>
    </row>
    <row r="266">
      <c r="B266" s="673" t="n"/>
      <c r="C266" s="673" t="n"/>
      <c r="D266" s="673" t="n"/>
      <c r="E266" s="675" t="n"/>
      <c r="F266" s="675" t="n"/>
      <c r="G266" s="675" t="n"/>
      <c r="H266" s="673" t="n"/>
      <c r="I266" s="673" t="n"/>
      <c r="J266" s="673" t="n"/>
      <c r="K266" s="677" t="n"/>
      <c r="L266" s="677" t="n"/>
      <c r="M266" s="677" t="n"/>
    </row>
    <row r="267">
      <c r="B267" s="673" t="n"/>
      <c r="C267" s="673" t="n"/>
      <c r="D267" s="673" t="n"/>
      <c r="E267" s="675" t="n"/>
      <c r="F267" s="675" t="n"/>
      <c r="G267" s="675" t="n"/>
      <c r="H267" s="673" t="n"/>
      <c r="I267" s="673" t="n"/>
      <c r="J267" s="673" t="n"/>
      <c r="K267" s="677" t="n"/>
      <c r="L267" s="677" t="n"/>
      <c r="M267" s="677" t="n"/>
    </row>
    <row r="268">
      <c r="B268" s="673" t="n"/>
      <c r="C268" s="673" t="n"/>
      <c r="D268" s="673" t="n"/>
      <c r="E268" s="675" t="n"/>
      <c r="F268" s="675" t="n"/>
      <c r="G268" s="675" t="n"/>
      <c r="H268" s="673" t="n"/>
      <c r="I268" s="673" t="n"/>
      <c r="J268" s="673" t="n"/>
      <c r="K268" s="677" t="n"/>
      <c r="L268" s="677" t="n"/>
      <c r="M268" s="677" t="n"/>
    </row>
    <row r="269">
      <c r="B269" s="673" t="n"/>
      <c r="C269" s="673" t="n"/>
      <c r="D269" s="673" t="n"/>
      <c r="E269" s="675" t="n"/>
      <c r="F269" s="675" t="n"/>
      <c r="G269" s="675" t="n"/>
      <c r="H269" s="673" t="n"/>
      <c r="I269" s="673" t="n"/>
      <c r="J269" s="673" t="n"/>
      <c r="K269" s="677" t="n"/>
      <c r="L269" s="677" t="n"/>
      <c r="M269" s="677" t="n"/>
    </row>
    <row r="270">
      <c r="B270" s="673" t="n"/>
      <c r="C270" s="673" t="n"/>
      <c r="D270" s="673" t="n"/>
      <c r="E270" s="675" t="n"/>
      <c r="F270" s="675" t="n"/>
      <c r="G270" s="675" t="n"/>
      <c r="H270" s="673" t="n"/>
      <c r="I270" s="673" t="n"/>
      <c r="J270" s="673" t="n"/>
      <c r="K270" s="677" t="n"/>
      <c r="L270" s="677" t="n"/>
      <c r="M270" s="677" t="n"/>
    </row>
    <row r="271">
      <c r="B271" s="673" t="n"/>
      <c r="C271" s="673" t="n"/>
      <c r="D271" s="673" t="n"/>
      <c r="E271" s="675" t="n"/>
      <c r="F271" s="675" t="n"/>
      <c r="G271" s="675" t="n"/>
      <c r="H271" s="673" t="n"/>
      <c r="I271" s="673" t="n"/>
      <c r="J271" s="673" t="n"/>
      <c r="K271" s="677" t="n"/>
      <c r="L271" s="677" t="n"/>
      <c r="M271" s="677" t="n"/>
    </row>
    <row r="272">
      <c r="B272" s="673" t="n"/>
      <c r="C272" s="673" t="n"/>
      <c r="D272" s="673" t="n"/>
      <c r="E272" s="675" t="n"/>
      <c r="F272" s="675" t="n"/>
      <c r="G272" s="675" t="n"/>
      <c r="H272" s="673" t="n"/>
      <c r="I272" s="673" t="n"/>
      <c r="J272" s="673" t="n"/>
      <c r="K272" s="677" t="n"/>
      <c r="L272" s="677" t="n"/>
      <c r="M272" s="677" t="n"/>
    </row>
    <row r="273">
      <c r="B273" s="673" t="n"/>
      <c r="C273" s="673" t="n"/>
      <c r="D273" s="673" t="n"/>
      <c r="E273" s="675" t="n"/>
      <c r="F273" s="675" t="n"/>
      <c r="G273" s="675" t="n"/>
      <c r="H273" s="673" t="n"/>
      <c r="I273" s="673" t="n"/>
      <c r="J273" s="673" t="n"/>
      <c r="K273" s="677" t="n"/>
      <c r="L273" s="677" t="n"/>
      <c r="M273" s="677" t="n"/>
    </row>
    <row r="274">
      <c r="B274" s="673" t="n"/>
      <c r="C274" s="673" t="n"/>
      <c r="D274" s="673" t="n"/>
      <c r="E274" s="675" t="n"/>
      <c r="F274" s="675" t="n"/>
      <c r="G274" s="675" t="n"/>
      <c r="H274" s="673" t="n"/>
      <c r="I274" s="673" t="n"/>
      <c r="J274" s="673" t="n"/>
      <c r="K274" s="677" t="n"/>
      <c r="L274" s="677" t="n"/>
      <c r="M274" s="677" t="n"/>
    </row>
    <row r="275">
      <c r="B275" s="673" t="n"/>
      <c r="C275" s="673" t="n"/>
      <c r="D275" s="673" t="n"/>
      <c r="E275" s="675" t="n"/>
      <c r="F275" s="675" t="n"/>
      <c r="G275" s="675" t="n"/>
      <c r="H275" s="673" t="n"/>
      <c r="I275" s="673" t="n"/>
      <c r="J275" s="673" t="n"/>
      <c r="K275" s="677" t="n"/>
      <c r="L275" s="677" t="n"/>
      <c r="M275" s="677" t="n"/>
    </row>
    <row r="276">
      <c r="B276" s="673" t="n"/>
      <c r="C276" s="673" t="n"/>
      <c r="D276" s="673" t="n"/>
      <c r="E276" s="675" t="n"/>
      <c r="F276" s="675" t="n"/>
      <c r="G276" s="675" t="n"/>
      <c r="H276" s="673" t="n"/>
      <c r="I276" s="673" t="n"/>
      <c r="J276" s="673" t="n"/>
      <c r="K276" s="677" t="n"/>
      <c r="L276" s="677" t="n"/>
      <c r="M276" s="677" t="n"/>
    </row>
    <row r="277">
      <c r="B277" s="673" t="n"/>
      <c r="C277" s="673" t="n"/>
      <c r="D277" s="673" t="n"/>
      <c r="E277" s="675" t="n"/>
      <c r="F277" s="675" t="n"/>
      <c r="G277" s="675" t="n"/>
      <c r="H277" s="673" t="n"/>
      <c r="I277" s="673" t="n"/>
      <c r="J277" s="673" t="n"/>
      <c r="K277" s="677" t="n"/>
      <c r="L277" s="677" t="n"/>
      <c r="M277" s="677" t="n"/>
    </row>
    <row r="278">
      <c r="B278" s="673" t="n"/>
      <c r="C278" s="673" t="n"/>
      <c r="D278" s="673" t="n"/>
      <c r="E278" s="675" t="n"/>
      <c r="F278" s="675" t="n"/>
      <c r="G278" s="675" t="n"/>
      <c r="H278" s="673" t="n"/>
      <c r="I278" s="673" t="n"/>
      <c r="J278" s="673" t="n"/>
      <c r="K278" s="677" t="n"/>
      <c r="L278" s="677" t="n"/>
      <c r="M278" s="677" t="n"/>
    </row>
    <row r="279">
      <c r="B279" s="673" t="n"/>
      <c r="C279" s="673" t="n"/>
      <c r="D279" s="673" t="n"/>
      <c r="E279" s="675" t="n"/>
      <c r="F279" s="675" t="n"/>
      <c r="G279" s="675" t="n"/>
      <c r="H279" s="673" t="n"/>
      <c r="I279" s="673" t="n"/>
      <c r="J279" s="673" t="n"/>
      <c r="K279" s="677" t="n"/>
      <c r="L279" s="677" t="n"/>
      <c r="M279" s="677" t="n"/>
    </row>
    <row r="280">
      <c r="B280" s="673" t="n"/>
      <c r="C280" s="673" t="n"/>
      <c r="D280" s="673" t="n"/>
      <c r="E280" s="675" t="n"/>
      <c r="F280" s="675" t="n"/>
      <c r="G280" s="675" t="n"/>
      <c r="H280" s="673" t="n"/>
      <c r="I280" s="673" t="n"/>
      <c r="J280" s="673" t="n"/>
      <c r="K280" s="677" t="n"/>
      <c r="L280" s="677" t="n"/>
      <c r="M280" s="677" t="n"/>
    </row>
    <row r="281">
      <c r="B281" s="673" t="n"/>
      <c r="C281" s="673" t="n"/>
      <c r="D281" s="673" t="n"/>
      <c r="E281" s="675" t="n"/>
      <c r="F281" s="675" t="n"/>
      <c r="G281" s="675" t="n"/>
      <c r="H281" s="673" t="n"/>
      <c r="I281" s="673" t="n"/>
      <c r="J281" s="673" t="n"/>
      <c r="K281" s="677" t="n"/>
      <c r="L281" s="677" t="n"/>
      <c r="M281" s="677" t="n"/>
    </row>
    <row r="282">
      <c r="B282" s="673" t="n"/>
      <c r="C282" s="673" t="n"/>
      <c r="D282" s="673" t="n"/>
      <c r="E282" s="675" t="n"/>
      <c r="F282" s="675" t="n"/>
      <c r="G282" s="675" t="n"/>
      <c r="H282" s="673" t="n"/>
      <c r="I282" s="673" t="n"/>
      <c r="J282" s="673" t="n"/>
      <c r="K282" s="677" t="n"/>
      <c r="L282" s="677" t="n"/>
      <c r="M282" s="677" t="n"/>
    </row>
    <row r="283">
      <c r="B283" s="673" t="n"/>
      <c r="C283" s="673" t="n"/>
      <c r="D283" s="673" t="n"/>
      <c r="E283" s="675" t="n"/>
      <c r="F283" s="675" t="n"/>
      <c r="G283" s="675" t="n"/>
      <c r="H283" s="673" t="n"/>
      <c r="I283" s="673" t="n"/>
      <c r="J283" s="673" t="n"/>
      <c r="K283" s="677" t="n"/>
      <c r="L283" s="677" t="n"/>
      <c r="M283" s="677" t="n"/>
    </row>
    <row r="284">
      <c r="B284" s="673" t="n"/>
      <c r="C284" s="673" t="n"/>
      <c r="D284" s="673" t="n"/>
      <c r="E284" s="675" t="n"/>
      <c r="F284" s="675" t="n"/>
      <c r="G284" s="675" t="n"/>
      <c r="H284" s="673" t="n"/>
      <c r="I284" s="673" t="n"/>
      <c r="J284" s="673" t="n"/>
      <c r="K284" s="677" t="n"/>
      <c r="L284" s="677" t="n"/>
      <c r="M284" s="677" t="n"/>
    </row>
    <row r="285">
      <c r="B285" s="673" t="n"/>
      <c r="C285" s="673" t="n"/>
      <c r="D285" s="673" t="n"/>
      <c r="E285" s="675" t="n"/>
      <c r="F285" s="675" t="n"/>
      <c r="G285" s="675" t="n"/>
      <c r="H285" s="673" t="n"/>
      <c r="I285" s="673" t="n"/>
      <c r="J285" s="673" t="n"/>
      <c r="K285" s="677" t="n"/>
      <c r="L285" s="677" t="n"/>
      <c r="M285" s="677" t="n"/>
    </row>
    <row r="286">
      <c r="B286" s="673" t="n"/>
      <c r="C286" s="673" t="n"/>
      <c r="D286" s="673" t="n"/>
      <c r="E286" s="675" t="n"/>
      <c r="F286" s="675" t="n"/>
      <c r="G286" s="675" t="n"/>
      <c r="H286" s="673" t="n"/>
      <c r="I286" s="673" t="n"/>
      <c r="J286" s="673" t="n"/>
      <c r="K286" s="677" t="n"/>
      <c r="L286" s="677" t="n"/>
      <c r="M286" s="677" t="n"/>
    </row>
    <row r="287">
      <c r="B287" s="673" t="n"/>
      <c r="C287" s="673" t="n"/>
      <c r="D287" s="673" t="n"/>
      <c r="E287" s="675" t="n"/>
      <c r="F287" s="675" t="n"/>
      <c r="G287" s="675" t="n"/>
      <c r="H287" s="673" t="n"/>
      <c r="I287" s="673" t="n"/>
      <c r="J287" s="673" t="n"/>
      <c r="K287" s="677" t="n"/>
      <c r="L287" s="677" t="n"/>
      <c r="M287" s="677" t="n"/>
    </row>
    <row r="288">
      <c r="B288" s="673" t="n"/>
      <c r="C288" s="673" t="n"/>
      <c r="D288" s="673" t="n"/>
      <c r="E288" s="675" t="n"/>
      <c r="F288" s="675" t="n"/>
      <c r="G288" s="675" t="n"/>
      <c r="H288" s="673" t="n"/>
      <c r="I288" s="673" t="n"/>
      <c r="J288" s="673" t="n"/>
      <c r="K288" s="677" t="n"/>
      <c r="L288" s="677" t="n"/>
      <c r="M288" s="677" t="n"/>
    </row>
    <row r="289">
      <c r="B289" s="673" t="n"/>
      <c r="C289" s="673" t="n"/>
      <c r="D289" s="673" t="n"/>
      <c r="E289" s="675" t="n"/>
      <c r="F289" s="675" t="n"/>
      <c r="G289" s="675" t="n"/>
      <c r="H289" s="673" t="n"/>
      <c r="I289" s="673" t="n"/>
      <c r="J289" s="673" t="n"/>
      <c r="K289" s="677" t="n"/>
      <c r="L289" s="677" t="n"/>
      <c r="M289" s="677" t="n"/>
    </row>
    <row r="290">
      <c r="B290" s="673" t="n"/>
      <c r="C290" s="673" t="n"/>
      <c r="D290" s="673" t="n"/>
      <c r="E290" s="675" t="n"/>
      <c r="F290" s="675" t="n"/>
      <c r="G290" s="675" t="n"/>
      <c r="H290" s="673" t="n"/>
      <c r="I290" s="673" t="n"/>
      <c r="J290" s="673" t="n"/>
      <c r="K290" s="677" t="n"/>
      <c r="L290" s="677" t="n"/>
      <c r="M290" s="677" t="n"/>
    </row>
    <row r="291">
      <c r="B291" s="673" t="n"/>
      <c r="C291" s="673" t="n"/>
      <c r="D291" s="673" t="n"/>
      <c r="E291" s="675" t="n"/>
      <c r="F291" s="675" t="n"/>
      <c r="G291" s="675" t="n"/>
      <c r="H291" s="673" t="n"/>
      <c r="I291" s="673" t="n"/>
      <c r="J291" s="673" t="n"/>
      <c r="K291" s="677" t="n"/>
      <c r="L291" s="677" t="n"/>
      <c r="M291" s="677" t="n"/>
    </row>
    <row r="292">
      <c r="B292" s="673" t="n"/>
      <c r="C292" s="673" t="n"/>
      <c r="D292" s="673" t="n"/>
      <c r="E292" s="675" t="n"/>
      <c r="F292" s="675" t="n"/>
      <c r="G292" s="675" t="n"/>
      <c r="H292" s="673" t="n"/>
      <c r="I292" s="673" t="n"/>
      <c r="J292" s="673" t="n"/>
      <c r="K292" s="677" t="n"/>
      <c r="L292" s="677" t="n"/>
      <c r="M292" s="677" t="n"/>
    </row>
    <row r="293">
      <c r="B293" s="673" t="n"/>
      <c r="C293" s="673" t="n"/>
      <c r="D293" s="673" t="n"/>
      <c r="E293" s="675" t="n"/>
      <c r="F293" s="675" t="n"/>
      <c r="G293" s="675" t="n"/>
      <c r="H293" s="673" t="n"/>
      <c r="I293" s="673" t="n"/>
      <c r="J293" s="673" t="n"/>
      <c r="K293" s="677" t="n"/>
      <c r="L293" s="677" t="n"/>
      <c r="M293" s="677" t="n"/>
    </row>
    <row r="294">
      <c r="B294" s="673" t="n"/>
      <c r="C294" s="673" t="n"/>
      <c r="D294" s="673" t="n"/>
      <c r="E294" s="675" t="n"/>
      <c r="F294" s="675" t="n"/>
      <c r="G294" s="675" t="n"/>
      <c r="H294" s="673" t="n"/>
      <c r="I294" s="673" t="n"/>
      <c r="J294" s="673" t="n"/>
      <c r="K294" s="677" t="n"/>
      <c r="L294" s="677" t="n"/>
      <c r="M294" s="677" t="n"/>
    </row>
    <row r="295">
      <c r="B295" s="673" t="n"/>
      <c r="C295" s="673" t="n"/>
      <c r="D295" s="673" t="n"/>
      <c r="E295" s="675" t="n"/>
      <c r="F295" s="675" t="n"/>
      <c r="G295" s="675" t="n"/>
      <c r="H295" s="673" t="n"/>
      <c r="I295" s="673" t="n"/>
      <c r="J295" s="673" t="n"/>
      <c r="K295" s="677" t="n"/>
      <c r="L295" s="677" t="n"/>
      <c r="M295" s="677" t="n"/>
    </row>
    <row r="296">
      <c r="B296" s="673" t="n"/>
      <c r="C296" s="673" t="n"/>
      <c r="D296" s="673" t="n"/>
      <c r="E296" s="675" t="n"/>
      <c r="F296" s="675" t="n"/>
      <c r="G296" s="675" t="n"/>
      <c r="H296" s="673" t="n"/>
      <c r="I296" s="673" t="n"/>
      <c r="J296" s="673" t="n"/>
      <c r="K296" s="677" t="n"/>
      <c r="L296" s="677" t="n"/>
      <c r="M296" s="677" t="n"/>
    </row>
    <row r="297">
      <c r="B297" s="673" t="n"/>
      <c r="C297" s="673" t="n"/>
      <c r="D297" s="673" t="n"/>
      <c r="E297" s="675" t="n"/>
      <c r="F297" s="675" t="n"/>
      <c r="G297" s="675" t="n"/>
      <c r="H297" s="673" t="n"/>
      <c r="I297" s="673" t="n"/>
      <c r="J297" s="673" t="n"/>
      <c r="K297" s="677" t="n"/>
      <c r="L297" s="677" t="n"/>
      <c r="M297" s="677" t="n"/>
    </row>
    <row r="298">
      <c r="B298" s="673" t="n"/>
      <c r="C298" s="673" t="n"/>
      <c r="D298" s="673" t="n"/>
      <c r="E298" s="675" t="n"/>
      <c r="F298" s="675" t="n"/>
      <c r="G298" s="675" t="n"/>
      <c r="H298" s="673" t="n"/>
      <c r="I298" s="673" t="n"/>
      <c r="J298" s="673" t="n"/>
      <c r="K298" s="677" t="n"/>
      <c r="L298" s="677" t="n"/>
      <c r="M298" s="677" t="n"/>
    </row>
    <row r="299">
      <c r="B299" s="673" t="n"/>
      <c r="C299" s="673" t="n"/>
      <c r="D299" s="673" t="n"/>
      <c r="E299" s="675" t="n"/>
      <c r="F299" s="675" t="n"/>
      <c r="G299" s="675" t="n"/>
      <c r="H299" s="673" t="n"/>
      <c r="I299" s="673" t="n"/>
      <c r="J299" s="673" t="n"/>
      <c r="K299" s="677" t="n"/>
      <c r="L299" s="677" t="n"/>
      <c r="M299" s="677" t="n"/>
    </row>
    <row r="300">
      <c r="B300" s="673" t="n"/>
      <c r="C300" s="673" t="n"/>
      <c r="D300" s="673" t="n"/>
      <c r="E300" s="675" t="n"/>
      <c r="F300" s="675" t="n"/>
      <c r="G300" s="675" t="n"/>
      <c r="H300" s="673" t="n"/>
      <c r="I300" s="673" t="n"/>
      <c r="J300" s="673" t="n"/>
      <c r="K300" s="677" t="n"/>
      <c r="L300" s="677" t="n"/>
      <c r="M300" s="677" t="n"/>
    </row>
    <row r="301">
      <c r="B301" s="673" t="n"/>
      <c r="C301" s="673" t="n"/>
      <c r="D301" s="673" t="n"/>
      <c r="E301" s="675" t="n"/>
      <c r="F301" s="675" t="n"/>
      <c r="G301" s="675" t="n"/>
      <c r="H301" s="673" t="n"/>
      <c r="I301" s="673" t="n"/>
      <c r="J301" s="673" t="n"/>
      <c r="K301" s="677" t="n"/>
      <c r="L301" s="677" t="n"/>
      <c r="M301" s="677" t="n"/>
    </row>
    <row r="302">
      <c r="B302" s="673" t="n"/>
      <c r="C302" s="673" t="n"/>
      <c r="D302" s="673" t="n"/>
      <c r="E302" s="675" t="n"/>
      <c r="F302" s="675" t="n"/>
      <c r="G302" s="675" t="n"/>
      <c r="H302" s="673" t="n"/>
      <c r="I302" s="673" t="n"/>
      <c r="J302" s="673" t="n"/>
      <c r="K302" s="677" t="n"/>
      <c r="L302" s="677" t="n"/>
      <c r="M302" s="677" t="n"/>
      <c r="N302" s="396" t="n"/>
      <c r="O302" s="396" t="n"/>
      <c r="P302" s="396" t="n"/>
      <c r="Q302" s="396" t="n"/>
      <c r="R302" s="396" t="n"/>
      <c r="S302" s="396" t="n"/>
      <c r="T302" s="396" t="n"/>
      <c r="U302" s="396" t="n"/>
      <c r="V302" s="396" t="n"/>
      <c r="W302" s="396" t="n"/>
      <c r="X302" s="396" t="n"/>
    </row>
    <row r="303">
      <c r="B303" s="673" t="n"/>
      <c r="C303" s="673" t="n"/>
      <c r="D303" s="673" t="n"/>
      <c r="E303" s="675" t="n"/>
      <c r="F303" s="675" t="n"/>
      <c r="G303" s="675" t="n"/>
      <c r="H303" s="673" t="n"/>
      <c r="I303" s="673" t="n"/>
      <c r="J303" s="673" t="n"/>
      <c r="K303" s="677" t="n"/>
      <c r="L303" s="677" t="n"/>
      <c r="M303" s="677" t="n"/>
      <c r="N303" s="396" t="n"/>
      <c r="O303" s="396" t="n"/>
      <c r="P303" s="396" t="n"/>
      <c r="Q303" s="396" t="n"/>
      <c r="R303" s="396" t="n"/>
      <c r="S303" s="396" t="n"/>
      <c r="T303" s="396" t="n"/>
      <c r="U303" s="396" t="n"/>
      <c r="V303" s="396" t="n"/>
      <c r="W303" s="396" t="n"/>
      <c r="X303" s="396" t="n"/>
    </row>
    <row r="304">
      <c r="B304" s="673" t="n"/>
      <c r="C304" s="673" t="n"/>
      <c r="D304" s="673" t="n"/>
      <c r="E304" s="675" t="n"/>
      <c r="F304" s="675" t="n"/>
      <c r="G304" s="675" t="n"/>
      <c r="H304" s="673" t="n"/>
      <c r="I304" s="673" t="n"/>
      <c r="J304" s="673" t="n"/>
      <c r="K304" s="677" t="n"/>
      <c r="L304" s="677" t="n"/>
      <c r="M304" s="677" t="n"/>
      <c r="N304" s="396" t="n"/>
      <c r="O304" s="396" t="n"/>
      <c r="P304" s="396" t="n"/>
      <c r="Q304" s="396" t="n"/>
      <c r="R304" s="396" t="n"/>
      <c r="S304" s="396" t="n"/>
      <c r="T304" s="396" t="n"/>
      <c r="U304" s="396" t="n"/>
      <c r="V304" s="396" t="n"/>
      <c r="W304" s="396" t="n"/>
      <c r="X304" s="396" t="n"/>
    </row>
    <row r="305">
      <c r="B305" s="673" t="n"/>
      <c r="C305" s="673" t="n"/>
      <c r="D305" s="673" t="n"/>
      <c r="E305" s="675" t="n"/>
      <c r="F305" s="675" t="n"/>
      <c r="G305" s="675" t="n"/>
      <c r="H305" s="673" t="n"/>
      <c r="I305" s="673" t="n"/>
      <c r="J305" s="673" t="n"/>
      <c r="K305" s="677" t="n"/>
      <c r="L305" s="677" t="n"/>
      <c r="M305" s="677" t="n"/>
      <c r="N305" s="396" t="n"/>
      <c r="O305" s="396" t="n"/>
      <c r="P305" s="396" t="n"/>
      <c r="Q305" s="396" t="n"/>
      <c r="R305" s="396" t="n"/>
      <c r="S305" s="396" t="n"/>
      <c r="T305" s="396" t="n"/>
      <c r="U305" s="396" t="n"/>
      <c r="V305" s="396" t="n"/>
      <c r="W305" s="396" t="n"/>
      <c r="X305" s="396" t="n"/>
    </row>
    <row r="306">
      <c r="B306" s="673" t="n"/>
      <c r="C306" s="673" t="n"/>
      <c r="D306" s="673" t="n"/>
      <c r="E306" s="675" t="n"/>
      <c r="F306" s="675" t="n"/>
      <c r="G306" s="675" t="n"/>
      <c r="H306" s="673" t="n"/>
      <c r="I306" s="673" t="n"/>
      <c r="J306" s="673" t="n"/>
      <c r="K306" s="677" t="n"/>
      <c r="L306" s="677" t="n"/>
      <c r="M306" s="677" t="n"/>
      <c r="N306" s="396" t="n"/>
      <c r="O306" s="396" t="n"/>
      <c r="P306" s="396" t="n"/>
      <c r="Q306" s="396" t="n"/>
      <c r="R306" s="396" t="n"/>
      <c r="S306" s="396" t="n"/>
      <c r="T306" s="396" t="n"/>
      <c r="U306" s="396" t="n"/>
      <c r="V306" s="396" t="n"/>
      <c r="W306" s="396" t="n"/>
      <c r="X306" s="396" t="n"/>
    </row>
    <row r="307">
      <c r="B307" s="673" t="n"/>
      <c r="C307" s="673" t="n"/>
      <c r="D307" s="673" t="n"/>
      <c r="E307" s="675" t="n"/>
      <c r="F307" s="675" t="n"/>
      <c r="G307" s="675" t="n"/>
      <c r="H307" s="673" t="n"/>
      <c r="I307" s="673" t="n"/>
      <c r="J307" s="673" t="n"/>
      <c r="K307" s="677" t="n"/>
      <c r="L307" s="677" t="n"/>
      <c r="M307" s="677" t="n"/>
      <c r="N307" s="396" t="n"/>
      <c r="O307" s="396" t="n"/>
      <c r="P307" s="396" t="n"/>
      <c r="Q307" s="396" t="n"/>
      <c r="R307" s="396" t="n"/>
      <c r="S307" s="396" t="n"/>
      <c r="T307" s="396" t="n"/>
      <c r="U307" s="396" t="n"/>
      <c r="V307" s="396" t="n"/>
      <c r="W307" s="396" t="n"/>
      <c r="X307" s="396" t="n"/>
    </row>
    <row r="308">
      <c r="B308" s="673" t="n"/>
      <c r="C308" s="673" t="n"/>
      <c r="D308" s="673" t="n"/>
      <c r="E308" s="675" t="n"/>
      <c r="F308" s="675" t="n"/>
      <c r="G308" s="675" t="n"/>
      <c r="H308" s="673" t="n"/>
      <c r="I308" s="673" t="n"/>
      <c r="J308" s="673" t="n"/>
      <c r="K308" s="677" t="n"/>
      <c r="L308" s="677" t="n"/>
      <c r="M308" s="677" t="n"/>
      <c r="N308" s="396" t="n"/>
      <c r="O308" s="396" t="n"/>
      <c r="P308" s="396" t="n"/>
      <c r="Q308" s="396" t="n"/>
      <c r="R308" s="396" t="n"/>
      <c r="S308" s="396" t="n"/>
      <c r="T308" s="396" t="n"/>
      <c r="U308" s="396" t="n"/>
      <c r="V308" s="396" t="n"/>
      <c r="W308" s="396" t="n"/>
      <c r="X308" s="396" t="n"/>
    </row>
    <row r="309">
      <c r="B309" s="673" t="n"/>
      <c r="C309" s="673" t="n"/>
      <c r="D309" s="673" t="n"/>
      <c r="E309" s="675" t="n"/>
      <c r="F309" s="675" t="n"/>
      <c r="G309" s="675" t="n"/>
      <c r="H309" s="673" t="n"/>
      <c r="I309" s="673" t="n"/>
      <c r="J309" s="673" t="n"/>
      <c r="K309" s="677" t="n"/>
      <c r="L309" s="677" t="n"/>
      <c r="M309" s="677" t="n"/>
      <c r="N309" s="396" t="n"/>
      <c r="O309" s="396" t="n"/>
      <c r="P309" s="396" t="n"/>
      <c r="Q309" s="396" t="n"/>
      <c r="R309" s="396" t="n"/>
      <c r="S309" s="396" t="n"/>
      <c r="T309" s="396" t="n"/>
      <c r="U309" s="396" t="n"/>
      <c r="V309" s="396" t="n"/>
      <c r="W309" s="396" t="n"/>
      <c r="X309" s="396" t="n"/>
    </row>
    <row r="310">
      <c r="B310" s="673" t="n"/>
      <c r="C310" s="673" t="n"/>
      <c r="D310" s="673" t="n"/>
      <c r="E310" s="675" t="n"/>
      <c r="F310" s="675" t="n"/>
      <c r="G310" s="675" t="n"/>
      <c r="H310" s="673" t="n"/>
      <c r="I310" s="673" t="n"/>
      <c r="J310" s="673" t="n"/>
      <c r="K310" s="677" t="n"/>
      <c r="L310" s="677" t="n"/>
      <c r="M310" s="677" t="n"/>
      <c r="N310" s="396" t="n"/>
      <c r="O310" s="396" t="n"/>
      <c r="P310" s="396" t="n"/>
      <c r="Q310" s="396" t="n"/>
      <c r="R310" s="396" t="n"/>
      <c r="S310" s="396" t="n"/>
      <c r="T310" s="396" t="n"/>
      <c r="U310" s="396" t="n"/>
      <c r="V310" s="396" t="n"/>
      <c r="W310" s="396" t="n"/>
      <c r="X310" s="396" t="n"/>
    </row>
    <row r="311">
      <c r="B311" s="673" t="n"/>
      <c r="C311" s="673" t="n"/>
      <c r="D311" s="673" t="n"/>
      <c r="E311" s="675" t="n"/>
      <c r="F311" s="675" t="n"/>
      <c r="G311" s="675" t="n"/>
      <c r="H311" s="673" t="n"/>
      <c r="I311" s="673" t="n"/>
      <c r="J311" s="673" t="n"/>
      <c r="K311" s="677" t="n"/>
      <c r="L311" s="677" t="n"/>
      <c r="M311" s="677" t="n"/>
      <c r="N311" s="396" t="n"/>
      <c r="O311" s="396" t="n"/>
      <c r="P311" s="396" t="n"/>
      <c r="Q311" s="396" t="n"/>
      <c r="R311" s="396" t="n"/>
      <c r="S311" s="396" t="n"/>
      <c r="T311" s="396" t="n"/>
      <c r="U311" s="396" t="n"/>
      <c r="V311" s="396" t="n"/>
      <c r="W311" s="396" t="n"/>
      <c r="X311" s="396" t="n"/>
    </row>
    <row r="312">
      <c r="B312" s="673" t="n"/>
      <c r="C312" s="673" t="n"/>
      <c r="D312" s="673" t="n"/>
      <c r="E312" s="675" t="n"/>
      <c r="F312" s="675" t="n"/>
      <c r="G312" s="675" t="n"/>
      <c r="H312" s="673" t="n"/>
      <c r="I312" s="673" t="n"/>
      <c r="J312" s="673" t="n"/>
      <c r="K312" s="677" t="n"/>
      <c r="L312" s="677" t="n"/>
      <c r="M312" s="677" t="n"/>
      <c r="N312" s="396" t="n"/>
      <c r="O312" s="396" t="n"/>
      <c r="P312" s="396" t="n"/>
      <c r="Q312" s="396" t="n"/>
      <c r="R312" s="396" t="n"/>
      <c r="S312" s="396" t="n"/>
      <c r="T312" s="396" t="n"/>
      <c r="U312" s="396" t="n"/>
      <c r="V312" s="396" t="n"/>
      <c r="W312" s="396" t="n"/>
      <c r="X312" s="396" t="n"/>
    </row>
    <row r="313">
      <c r="B313" s="673" t="n"/>
      <c r="C313" s="673" t="n"/>
      <c r="D313" s="673" t="n"/>
      <c r="E313" s="675" t="n"/>
      <c r="F313" s="675" t="n"/>
      <c r="G313" s="675" t="n"/>
      <c r="H313" s="673" t="n"/>
      <c r="I313" s="673" t="n"/>
      <c r="J313" s="673" t="n"/>
      <c r="K313" s="677" t="n"/>
      <c r="L313" s="677" t="n"/>
      <c r="M313" s="677" t="n"/>
      <c r="N313" s="396" t="n"/>
      <c r="O313" s="396" t="n"/>
      <c r="P313" s="396" t="n"/>
      <c r="Q313" s="396" t="n"/>
      <c r="R313" s="396" t="n"/>
      <c r="S313" s="396" t="n"/>
      <c r="T313" s="396" t="n"/>
      <c r="U313" s="396" t="n"/>
      <c r="V313" s="396" t="n"/>
      <c r="W313" s="396" t="n"/>
      <c r="X313" s="396" t="n"/>
    </row>
    <row r="314">
      <c r="B314" s="673" t="n"/>
      <c r="C314" s="673" t="n"/>
      <c r="D314" s="673" t="n"/>
      <c r="E314" s="675" t="n"/>
      <c r="F314" s="675" t="n"/>
      <c r="G314" s="675" t="n"/>
      <c r="H314" s="673" t="n"/>
      <c r="I314" s="673" t="n"/>
      <c r="J314" s="673" t="n"/>
      <c r="K314" s="677" t="n"/>
      <c r="L314" s="677" t="n"/>
      <c r="M314" s="677" t="n"/>
      <c r="N314" s="396" t="n"/>
      <c r="O314" s="396" t="n"/>
      <c r="P314" s="396" t="n"/>
      <c r="Q314" s="396" t="n"/>
      <c r="R314" s="396" t="n"/>
      <c r="S314" s="396" t="n"/>
      <c r="T314" s="396" t="n"/>
      <c r="U314" s="396" t="n"/>
      <c r="V314" s="396" t="n"/>
      <c r="W314" s="396" t="n"/>
      <c r="X314" s="396" t="n"/>
    </row>
    <row r="315">
      <c r="B315" s="673" t="n"/>
      <c r="C315" s="673" t="n"/>
      <c r="D315" s="673" t="n"/>
      <c r="E315" s="675" t="n"/>
      <c r="F315" s="675" t="n"/>
      <c r="G315" s="675" t="n"/>
      <c r="H315" s="673" t="n"/>
      <c r="I315" s="673" t="n"/>
      <c r="J315" s="673" t="n"/>
      <c r="K315" s="677" t="n"/>
      <c r="L315" s="677" t="n"/>
      <c r="M315" s="677" t="n"/>
      <c r="N315" s="396" t="n"/>
      <c r="O315" s="396" t="n"/>
      <c r="P315" s="396" t="n"/>
      <c r="Q315" s="396" t="n"/>
      <c r="R315" s="396" t="n"/>
      <c r="S315" s="396" t="n"/>
      <c r="T315" s="396" t="n"/>
      <c r="U315" s="396" t="n"/>
      <c r="V315" s="396" t="n"/>
      <c r="W315" s="396" t="n"/>
      <c r="X315" s="396" t="n"/>
    </row>
    <row r="316">
      <c r="B316" s="673" t="n"/>
      <c r="C316" s="673" t="n"/>
      <c r="D316" s="673" t="n"/>
      <c r="E316" s="675" t="n"/>
      <c r="F316" s="675" t="n"/>
      <c r="G316" s="675" t="n"/>
      <c r="H316" s="673" t="n"/>
      <c r="I316" s="673" t="n"/>
      <c r="J316" s="673" t="n"/>
      <c r="K316" s="677" t="n"/>
      <c r="L316" s="677" t="n"/>
      <c r="M316" s="677" t="n"/>
      <c r="N316" s="396" t="n"/>
      <c r="O316" s="396" t="n"/>
      <c r="P316" s="396" t="n"/>
      <c r="Q316" s="396" t="n"/>
      <c r="R316" s="396" t="n"/>
      <c r="S316" s="396" t="n"/>
      <c r="T316" s="396" t="n"/>
      <c r="U316" s="396" t="n"/>
      <c r="V316" s="396" t="n"/>
      <c r="W316" s="396" t="n"/>
      <c r="X316" s="396" t="n"/>
    </row>
    <row r="317">
      <c r="B317" s="673" t="n"/>
      <c r="C317" s="673" t="n"/>
      <c r="D317" s="673" t="n"/>
      <c r="E317" s="675" t="n"/>
      <c r="F317" s="675" t="n"/>
      <c r="G317" s="675" t="n"/>
      <c r="H317" s="673" t="n"/>
      <c r="I317" s="673" t="n"/>
      <c r="J317" s="673" t="n"/>
      <c r="K317" s="677" t="n"/>
      <c r="L317" s="677" t="n"/>
      <c r="M317" s="677" t="n"/>
      <c r="N317" s="396" t="n"/>
      <c r="O317" s="396" t="n"/>
      <c r="P317" s="396" t="n"/>
      <c r="Q317" s="396" t="n"/>
      <c r="R317" s="396" t="n"/>
      <c r="S317" s="396" t="n"/>
      <c r="T317" s="396" t="n"/>
      <c r="U317" s="396" t="n"/>
      <c r="V317" s="396" t="n"/>
      <c r="W317" s="396" t="n"/>
      <c r="X317" s="396" t="n"/>
    </row>
    <row r="318">
      <c r="B318" s="673" t="n"/>
      <c r="C318" s="673" t="n"/>
      <c r="D318" s="673" t="n"/>
      <c r="E318" s="675" t="n"/>
      <c r="F318" s="675" t="n"/>
      <c r="G318" s="675" t="n"/>
      <c r="H318" s="673" t="n"/>
      <c r="I318" s="673" t="n"/>
      <c r="J318" s="673" t="n"/>
      <c r="K318" s="677" t="n"/>
      <c r="L318" s="677" t="n"/>
      <c r="M318" s="677" t="n"/>
      <c r="N318" s="396" t="n"/>
      <c r="O318" s="396" t="n"/>
      <c r="P318" s="396" t="n"/>
      <c r="Q318" s="396" t="n"/>
      <c r="R318" s="396" t="n"/>
      <c r="S318" s="396" t="n"/>
      <c r="T318" s="396" t="n"/>
      <c r="U318" s="396" t="n"/>
      <c r="V318" s="396" t="n"/>
      <c r="W318" s="396" t="n"/>
      <c r="X318" s="396" t="n"/>
    </row>
    <row r="319">
      <c r="B319" s="673" t="n"/>
      <c r="C319" s="673" t="n"/>
      <c r="D319" s="673" t="n"/>
      <c r="E319" s="675" t="n"/>
      <c r="F319" s="675" t="n"/>
      <c r="G319" s="675" t="n"/>
      <c r="H319" s="673" t="n"/>
      <c r="I319" s="673" t="n"/>
      <c r="J319" s="673" t="n"/>
      <c r="K319" s="677" t="n"/>
      <c r="L319" s="677" t="n"/>
      <c r="M319" s="677" t="n"/>
      <c r="N319" s="396" t="n"/>
      <c r="O319" s="396" t="n"/>
      <c r="P319" s="396" t="n"/>
      <c r="Q319" s="396" t="n"/>
      <c r="R319" s="396" t="n"/>
      <c r="S319" s="396" t="n"/>
      <c r="T319" s="396" t="n"/>
      <c r="U319" s="396" t="n"/>
      <c r="V319" s="396" t="n"/>
      <c r="W319" s="396" t="n"/>
      <c r="X319" s="396" t="n"/>
    </row>
    <row r="320">
      <c r="B320" s="673" t="n"/>
      <c r="C320" s="673" t="n"/>
      <c r="D320" s="673" t="n"/>
      <c r="E320" s="675" t="n"/>
      <c r="F320" s="675" t="n"/>
      <c r="G320" s="675" t="n"/>
      <c r="H320" s="673" t="n"/>
      <c r="I320" s="673" t="n"/>
      <c r="J320" s="673" t="n"/>
      <c r="K320" s="677" t="n"/>
      <c r="L320" s="677" t="n"/>
      <c r="M320" s="677" t="n"/>
      <c r="N320" s="396" t="n"/>
      <c r="O320" s="396" t="n"/>
      <c r="P320" s="396" t="n"/>
      <c r="Q320" s="396" t="n"/>
      <c r="R320" s="396" t="n"/>
      <c r="S320" s="396" t="n"/>
      <c r="T320" s="396" t="n"/>
      <c r="U320" s="396" t="n"/>
      <c r="V320" s="396" t="n"/>
      <c r="W320" s="396" t="n"/>
      <c r="X320" s="396" t="n"/>
    </row>
    <row r="321">
      <c r="B321" s="673" t="n"/>
      <c r="C321" s="673" t="n"/>
      <c r="D321" s="673" t="n"/>
      <c r="E321" s="675" t="n"/>
      <c r="F321" s="675" t="n"/>
      <c r="G321" s="675" t="n"/>
      <c r="H321" s="673" t="n"/>
      <c r="I321" s="673" t="n"/>
      <c r="J321" s="673" t="n"/>
      <c r="K321" s="677" t="n"/>
      <c r="L321" s="677" t="n"/>
      <c r="M321" s="677" t="n"/>
      <c r="N321" s="396" t="n"/>
      <c r="O321" s="396" t="n"/>
      <c r="P321" s="396" t="n"/>
      <c r="Q321" s="396" t="n"/>
      <c r="R321" s="396" t="n"/>
      <c r="S321" s="396" t="n"/>
      <c r="T321" s="396" t="n"/>
      <c r="U321" s="396" t="n"/>
      <c r="V321" s="396" t="n"/>
      <c r="W321" s="396" t="n"/>
      <c r="X321" s="396" t="n"/>
    </row>
    <row r="322">
      <c r="B322" s="673" t="n"/>
      <c r="C322" s="673" t="n"/>
      <c r="D322" s="673" t="n"/>
      <c r="E322" s="675" t="n"/>
      <c r="F322" s="675" t="n"/>
      <c r="G322" s="675" t="n"/>
      <c r="H322" s="673" t="n"/>
      <c r="I322" s="673" t="n"/>
      <c r="J322" s="673" t="n"/>
      <c r="K322" s="677" t="n"/>
      <c r="L322" s="677" t="n"/>
      <c r="M322" s="677" t="n"/>
      <c r="N322" s="396" t="n"/>
      <c r="O322" s="396" t="n"/>
      <c r="P322" s="396" t="n"/>
      <c r="Q322" s="396" t="n"/>
      <c r="R322" s="396" t="n"/>
      <c r="S322" s="396" t="n"/>
      <c r="T322" s="396" t="n"/>
      <c r="U322" s="396" t="n"/>
      <c r="V322" s="396" t="n"/>
      <c r="W322" s="396" t="n"/>
      <c r="X322" s="396" t="n"/>
    </row>
    <row r="323">
      <c r="B323" s="673" t="n"/>
      <c r="C323" s="673" t="n"/>
      <c r="D323" s="673" t="n"/>
      <c r="E323" s="675" t="n"/>
      <c r="F323" s="675" t="n"/>
      <c r="G323" s="675" t="n"/>
      <c r="H323" s="673" t="n"/>
      <c r="I323" s="673" t="n"/>
      <c r="J323" s="673" t="n"/>
      <c r="K323" s="677" t="n"/>
      <c r="L323" s="677" t="n"/>
      <c r="M323" s="677" t="n"/>
      <c r="N323" s="396" t="n"/>
      <c r="O323" s="396" t="n"/>
      <c r="P323" s="396" t="n"/>
      <c r="Q323" s="396" t="n"/>
      <c r="R323" s="396" t="n"/>
      <c r="S323" s="396" t="n"/>
      <c r="T323" s="396" t="n"/>
      <c r="U323" s="396" t="n"/>
      <c r="V323" s="396" t="n"/>
      <c r="W323" s="396" t="n"/>
      <c r="X323" s="396" t="n"/>
    </row>
    <row r="324">
      <c r="B324" s="673" t="n"/>
      <c r="C324" s="673" t="n"/>
      <c r="D324" s="673" t="n"/>
      <c r="E324" s="675" t="n"/>
      <c r="F324" s="675" t="n"/>
      <c r="G324" s="675" t="n"/>
      <c r="H324" s="673" t="n"/>
      <c r="I324" s="673" t="n"/>
      <c r="J324" s="673" t="n"/>
      <c r="K324" s="677" t="n"/>
      <c r="L324" s="677" t="n"/>
      <c r="M324" s="677" t="n"/>
      <c r="N324" s="396" t="n"/>
      <c r="O324" s="396" t="n"/>
      <c r="P324" s="396" t="n"/>
      <c r="Q324" s="396" t="n"/>
      <c r="R324" s="396" t="n"/>
      <c r="S324" s="396" t="n"/>
      <c r="T324" s="396" t="n"/>
      <c r="U324" s="396" t="n"/>
      <c r="V324" s="396" t="n"/>
      <c r="W324" s="396" t="n"/>
      <c r="X324" s="396" t="n"/>
    </row>
    <row r="325">
      <c r="B325" s="673" t="n"/>
      <c r="C325" s="673" t="n"/>
      <c r="D325" s="673" t="n"/>
      <c r="E325" s="675" t="n"/>
      <c r="F325" s="675" t="n"/>
      <c r="G325" s="675" t="n"/>
      <c r="H325" s="673" t="n"/>
      <c r="I325" s="673" t="n"/>
      <c r="J325" s="673" t="n"/>
      <c r="K325" s="677" t="n"/>
      <c r="L325" s="677" t="n"/>
      <c r="M325" s="677" t="n"/>
      <c r="N325" s="396" t="n"/>
      <c r="O325" s="396" t="n"/>
      <c r="P325" s="396" t="n"/>
      <c r="Q325" s="396" t="n"/>
      <c r="R325" s="396" t="n"/>
      <c r="S325" s="396" t="n"/>
      <c r="T325" s="396" t="n"/>
      <c r="U325" s="396" t="n"/>
      <c r="V325" s="396" t="n"/>
      <c r="W325" s="396" t="n"/>
      <c r="X325" s="396" t="n"/>
    </row>
    <row r="326">
      <c r="B326" s="673" t="n"/>
      <c r="C326" s="673" t="n"/>
      <c r="D326" s="673" t="n"/>
      <c r="E326" s="675" t="n"/>
      <c r="F326" s="675" t="n"/>
      <c r="G326" s="675" t="n"/>
      <c r="H326" s="673" t="n"/>
      <c r="I326" s="673" t="n"/>
      <c r="J326" s="673" t="n"/>
      <c r="K326" s="677" t="n"/>
      <c r="L326" s="677" t="n"/>
      <c r="M326" s="677" t="n"/>
      <c r="N326" s="396" t="n"/>
      <c r="O326" s="396" t="n"/>
      <c r="P326" s="396" t="n"/>
      <c r="Q326" s="396" t="n"/>
      <c r="R326" s="396" t="n"/>
      <c r="S326" s="396" t="n"/>
      <c r="T326" s="396" t="n"/>
      <c r="U326" s="396" t="n"/>
      <c r="V326" s="396" t="n"/>
      <c r="W326" s="396" t="n"/>
      <c r="X326" s="396" t="n"/>
    </row>
    <row r="327">
      <c r="B327" s="673" t="n"/>
      <c r="C327" s="673" t="n"/>
      <c r="D327" s="673" t="n"/>
      <c r="E327" s="675" t="n"/>
      <c r="F327" s="675" t="n"/>
      <c r="G327" s="675" t="n"/>
      <c r="H327" s="673" t="n"/>
      <c r="I327" s="673" t="n"/>
      <c r="J327" s="673" t="n"/>
      <c r="K327" s="677" t="n"/>
      <c r="L327" s="677" t="n"/>
      <c r="M327" s="677" t="n"/>
      <c r="N327" s="396" t="n"/>
      <c r="O327" s="396" t="n"/>
      <c r="P327" s="396" t="n"/>
      <c r="Q327" s="396" t="n"/>
      <c r="R327" s="396" t="n"/>
      <c r="S327" s="396" t="n"/>
      <c r="T327" s="396" t="n"/>
      <c r="U327" s="396" t="n"/>
      <c r="V327" s="396" t="n"/>
      <c r="W327" s="396" t="n"/>
      <c r="X327" s="396" t="n"/>
    </row>
    <row r="328">
      <c r="B328" s="673" t="n"/>
      <c r="C328" s="673" t="n"/>
      <c r="D328" s="673" t="n"/>
      <c r="E328" s="675" t="n"/>
      <c r="F328" s="675" t="n"/>
      <c r="G328" s="675" t="n"/>
      <c r="H328" s="673" t="n"/>
      <c r="I328" s="673" t="n"/>
      <c r="J328" s="673" t="n"/>
      <c r="K328" s="677" t="n"/>
      <c r="L328" s="677" t="n"/>
      <c r="M328" s="677" t="n"/>
      <c r="N328" s="396" t="n"/>
      <c r="O328" s="396" t="n"/>
      <c r="P328" s="396" t="n"/>
      <c r="Q328" s="396" t="n"/>
      <c r="R328" s="396" t="n"/>
      <c r="S328" s="396" t="n"/>
      <c r="T328" s="396" t="n"/>
      <c r="U328" s="396" t="n"/>
      <c r="V328" s="396" t="n"/>
      <c r="W328" s="396" t="n"/>
      <c r="X328" s="396" t="n"/>
    </row>
    <row r="329">
      <c r="B329" s="673" t="n"/>
      <c r="C329" s="673" t="n"/>
      <c r="D329" s="673" t="n"/>
      <c r="E329" s="675" t="n"/>
      <c r="F329" s="675" t="n"/>
      <c r="G329" s="675" t="n"/>
      <c r="H329" s="673" t="n"/>
      <c r="I329" s="673" t="n"/>
      <c r="J329" s="673" t="n"/>
      <c r="K329" s="677" t="n"/>
      <c r="L329" s="677" t="n"/>
      <c r="M329" s="677" t="n"/>
      <c r="N329" s="396" t="n"/>
      <c r="O329" s="396" t="n"/>
      <c r="P329" s="396" t="n"/>
      <c r="Q329" s="396" t="n"/>
      <c r="R329" s="396" t="n"/>
      <c r="S329" s="396" t="n"/>
      <c r="T329" s="396" t="n"/>
      <c r="U329" s="396" t="n"/>
      <c r="V329" s="396" t="n"/>
      <c r="W329" s="396" t="n"/>
      <c r="X329" s="396" t="n"/>
    </row>
    <row r="330">
      <c r="B330" s="673" t="n"/>
      <c r="C330" s="673" t="n"/>
      <c r="D330" s="673" t="n"/>
      <c r="E330" s="675" t="n"/>
      <c r="F330" s="675" t="n"/>
      <c r="G330" s="675" t="n"/>
      <c r="H330" s="673" t="n"/>
      <c r="I330" s="673" t="n"/>
      <c r="J330" s="673" t="n"/>
      <c r="K330" s="677" t="n"/>
      <c r="L330" s="677" t="n"/>
      <c r="M330" s="677" t="n"/>
      <c r="N330" s="396" t="n"/>
      <c r="O330" s="396" t="n"/>
      <c r="P330" s="396" t="n"/>
      <c r="Q330" s="396" t="n"/>
      <c r="R330" s="396" t="n"/>
      <c r="S330" s="396" t="n"/>
      <c r="T330" s="396" t="n"/>
      <c r="U330" s="396" t="n"/>
      <c r="V330" s="396" t="n"/>
      <c r="W330" s="396" t="n"/>
      <c r="X330" s="396" t="n"/>
    </row>
    <row r="331">
      <c r="B331" s="673" t="n"/>
      <c r="C331" s="673" t="n"/>
      <c r="D331" s="673" t="n"/>
      <c r="E331" s="675" t="n"/>
      <c r="F331" s="675" t="n"/>
      <c r="G331" s="675" t="n"/>
      <c r="H331" s="673" t="n"/>
      <c r="I331" s="673" t="n"/>
      <c r="J331" s="673" t="n"/>
      <c r="K331" s="677" t="n"/>
      <c r="L331" s="677" t="n"/>
      <c r="M331" s="677" t="n"/>
      <c r="N331" s="396" t="n"/>
      <c r="O331" s="396" t="n"/>
      <c r="P331" s="396" t="n"/>
      <c r="Q331" s="396" t="n"/>
      <c r="R331" s="396" t="n"/>
      <c r="S331" s="396" t="n"/>
      <c r="T331" s="396" t="n"/>
      <c r="U331" s="396" t="n"/>
      <c r="V331" s="396" t="n"/>
      <c r="W331" s="396" t="n"/>
      <c r="X331" s="396" t="n"/>
    </row>
    <row r="332">
      <c r="B332" s="673" t="n"/>
      <c r="C332" s="673" t="n"/>
      <c r="D332" s="673" t="n"/>
      <c r="E332" s="675" t="n"/>
      <c r="F332" s="675" t="n"/>
      <c r="G332" s="675" t="n"/>
      <c r="H332" s="673" t="n"/>
      <c r="I332" s="673" t="n"/>
      <c r="J332" s="673" t="n"/>
      <c r="K332" s="677" t="n"/>
      <c r="L332" s="677" t="n"/>
      <c r="M332" s="677" t="n"/>
      <c r="N332" s="396" t="n"/>
      <c r="O332" s="396" t="n"/>
      <c r="P332" s="396" t="n"/>
      <c r="Q332" s="396" t="n"/>
      <c r="R332" s="396" t="n"/>
      <c r="S332" s="396" t="n"/>
      <c r="T332" s="396" t="n"/>
      <c r="U332" s="396" t="n"/>
      <c r="V332" s="396" t="n"/>
      <c r="W332" s="396" t="n"/>
      <c r="X332" s="396" t="n"/>
    </row>
    <row r="333">
      <c r="B333" s="673" t="n"/>
      <c r="C333" s="673" t="n"/>
      <c r="D333" s="673" t="n"/>
      <c r="E333" s="675" t="n"/>
      <c r="F333" s="675" t="n"/>
      <c r="G333" s="675" t="n"/>
      <c r="H333" s="673" t="n"/>
      <c r="I333" s="673" t="n"/>
      <c r="J333" s="673" t="n"/>
      <c r="K333" s="677" t="n"/>
      <c r="L333" s="677" t="n"/>
      <c r="M333" s="677" t="n"/>
      <c r="N333" s="396" t="n"/>
      <c r="O333" s="396" t="n"/>
      <c r="P333" s="396" t="n"/>
      <c r="Q333" s="396" t="n"/>
      <c r="R333" s="396" t="n"/>
      <c r="S333" s="396" t="n"/>
      <c r="T333" s="396" t="n"/>
      <c r="U333" s="396" t="n"/>
      <c r="V333" s="396" t="n"/>
      <c r="W333" s="396" t="n"/>
      <c r="X333" s="396" t="n"/>
    </row>
    <row r="334">
      <c r="B334" s="673" t="n"/>
      <c r="C334" s="673" t="n"/>
      <c r="D334" s="673" t="n"/>
      <c r="E334" s="675" t="n"/>
      <c r="F334" s="675" t="n"/>
      <c r="G334" s="675" t="n"/>
      <c r="H334" s="673" t="n"/>
      <c r="I334" s="673" t="n"/>
      <c r="J334" s="673" t="n"/>
      <c r="K334" s="677" t="n"/>
      <c r="L334" s="677" t="n"/>
      <c r="M334" s="677" t="n"/>
      <c r="N334" s="396" t="n"/>
      <c r="O334" s="396" t="n"/>
      <c r="P334" s="396" t="n"/>
      <c r="Q334" s="396" t="n"/>
      <c r="R334" s="396" t="n"/>
      <c r="S334" s="396" t="n"/>
      <c r="T334" s="396" t="n"/>
      <c r="U334" s="396" t="n"/>
      <c r="V334" s="396" t="n"/>
      <c r="W334" s="396" t="n"/>
      <c r="X334" s="396" t="n"/>
    </row>
    <row r="335">
      <c r="B335" s="673" t="n"/>
      <c r="C335" s="673" t="n"/>
      <c r="D335" s="673" t="n"/>
      <c r="E335" s="675" t="n"/>
      <c r="F335" s="675" t="n"/>
      <c r="G335" s="675" t="n"/>
      <c r="H335" s="673" t="n"/>
      <c r="I335" s="673" t="n"/>
      <c r="J335" s="673" t="n"/>
      <c r="K335" s="677" t="n"/>
      <c r="L335" s="677" t="n"/>
      <c r="M335" s="677" t="n"/>
      <c r="N335" s="396" t="n"/>
      <c r="O335" s="396" t="n"/>
      <c r="P335" s="396" t="n"/>
      <c r="Q335" s="396" t="n"/>
      <c r="R335" s="396" t="n"/>
      <c r="S335" s="396" t="n"/>
      <c r="T335" s="396" t="n"/>
      <c r="U335" s="396" t="n"/>
      <c r="V335" s="396" t="n"/>
      <c r="W335" s="396" t="n"/>
      <c r="X335" s="396" t="n"/>
    </row>
    <row r="336">
      <c r="B336" s="673" t="n"/>
      <c r="C336" s="673" t="n"/>
      <c r="D336" s="673" t="n"/>
      <c r="E336" s="675" t="n"/>
      <c r="F336" s="675" t="n"/>
      <c r="G336" s="675" t="n"/>
      <c r="H336" s="673" t="n"/>
      <c r="I336" s="673" t="n"/>
      <c r="J336" s="673" t="n"/>
      <c r="K336" s="677" t="n"/>
      <c r="L336" s="677" t="n"/>
      <c r="M336" s="677" t="n"/>
      <c r="N336" s="396" t="n"/>
      <c r="O336" s="396" t="n"/>
      <c r="P336" s="396" t="n"/>
      <c r="Q336" s="396" t="n"/>
      <c r="R336" s="396" t="n"/>
      <c r="S336" s="396" t="n"/>
      <c r="T336" s="396" t="n"/>
      <c r="U336" s="396" t="n"/>
      <c r="V336" s="396" t="n"/>
      <c r="W336" s="396" t="n"/>
      <c r="X336" s="396" t="n"/>
    </row>
    <row r="337">
      <c r="B337" s="673" t="n"/>
      <c r="C337" s="673" t="n"/>
      <c r="D337" s="673" t="n"/>
      <c r="E337" s="675" t="n"/>
      <c r="F337" s="675" t="n"/>
      <c r="G337" s="675" t="n"/>
      <c r="H337" s="673" t="n"/>
      <c r="I337" s="673" t="n"/>
      <c r="J337" s="673" t="n"/>
      <c r="K337" s="677" t="n"/>
      <c r="L337" s="677" t="n"/>
      <c r="M337" s="677" t="n"/>
      <c r="N337" s="396" t="n"/>
      <c r="O337" s="396" t="n"/>
      <c r="P337" s="396" t="n"/>
      <c r="Q337" s="396" t="n"/>
      <c r="R337" s="396" t="n"/>
      <c r="S337" s="396" t="n"/>
      <c r="T337" s="396" t="n"/>
      <c r="U337" s="396" t="n"/>
      <c r="V337" s="396" t="n"/>
      <c r="W337" s="396" t="n"/>
      <c r="X337" s="396" t="n"/>
    </row>
    <row r="338">
      <c r="B338" s="673" t="n"/>
      <c r="C338" s="673" t="n"/>
      <c r="D338" s="673" t="n"/>
      <c r="E338" s="675" t="n"/>
      <c r="F338" s="675" t="n"/>
      <c r="G338" s="675" t="n"/>
      <c r="H338" s="673" t="n"/>
      <c r="I338" s="673" t="n"/>
      <c r="J338" s="673" t="n"/>
      <c r="K338" s="677" t="n"/>
      <c r="L338" s="677" t="n"/>
      <c r="M338" s="677" t="n"/>
      <c r="N338" s="396" t="n"/>
      <c r="O338" s="396" t="n"/>
      <c r="P338" s="396" t="n"/>
      <c r="Q338" s="396" t="n"/>
      <c r="R338" s="396" t="n"/>
      <c r="S338" s="396" t="n"/>
      <c r="T338" s="396" t="n"/>
      <c r="U338" s="396" t="n"/>
      <c r="V338" s="396" t="n"/>
      <c r="W338" s="396" t="n"/>
      <c r="X338" s="396" t="n"/>
    </row>
    <row r="339">
      <c r="B339" s="673" t="n"/>
      <c r="C339" s="673" t="n"/>
      <c r="D339" s="673" t="n"/>
      <c r="E339" s="675" t="n"/>
      <c r="F339" s="675" t="n"/>
      <c r="G339" s="675" t="n"/>
      <c r="H339" s="673" t="n"/>
      <c r="I339" s="673" t="n"/>
      <c r="J339" s="673" t="n"/>
      <c r="K339" s="677" t="n"/>
      <c r="L339" s="677" t="n"/>
      <c r="M339" s="677" t="n"/>
      <c r="N339" s="396" t="n"/>
      <c r="O339" s="396" t="n"/>
      <c r="P339" s="396" t="n"/>
      <c r="Q339" s="396" t="n"/>
      <c r="R339" s="396" t="n"/>
      <c r="S339" s="396" t="n"/>
      <c r="T339" s="396" t="n"/>
      <c r="U339" s="396" t="n"/>
      <c r="V339" s="396" t="n"/>
      <c r="W339" s="396" t="n"/>
      <c r="X339" s="396" t="n"/>
    </row>
    <row r="340">
      <c r="B340" s="673" t="n"/>
      <c r="C340" s="673" t="n"/>
      <c r="D340" s="673" t="n"/>
      <c r="E340" s="675" t="n"/>
      <c r="F340" s="675" t="n"/>
      <c r="G340" s="675" t="n"/>
      <c r="H340" s="673" t="n"/>
      <c r="I340" s="673" t="n"/>
      <c r="J340" s="673" t="n"/>
      <c r="K340" s="677" t="n"/>
      <c r="L340" s="677" t="n"/>
      <c r="M340" s="677" t="n"/>
      <c r="N340" s="396" t="n"/>
      <c r="O340" s="396" t="n"/>
      <c r="P340" s="396" t="n"/>
      <c r="Q340" s="396" t="n"/>
      <c r="R340" s="396" t="n"/>
      <c r="S340" s="396" t="n"/>
      <c r="T340" s="396" t="n"/>
      <c r="U340" s="396" t="n"/>
      <c r="V340" s="396" t="n"/>
      <c r="W340" s="396" t="n"/>
      <c r="X340" s="396" t="n"/>
    </row>
    <row r="341">
      <c r="B341" s="673" t="n"/>
      <c r="C341" s="673" t="n"/>
      <c r="D341" s="673" t="n"/>
      <c r="E341" s="675" t="n"/>
      <c r="F341" s="675" t="n"/>
      <c r="G341" s="675" t="n"/>
      <c r="H341" s="673" t="n"/>
      <c r="I341" s="673" t="n"/>
      <c r="J341" s="673" t="n"/>
      <c r="K341" s="677" t="n"/>
      <c r="L341" s="677" t="n"/>
      <c r="M341" s="677" t="n"/>
      <c r="N341" s="396" t="n"/>
      <c r="O341" s="396" t="n"/>
      <c r="P341" s="396" t="n"/>
      <c r="Q341" s="396" t="n"/>
      <c r="R341" s="396" t="n"/>
      <c r="S341" s="396" t="n"/>
      <c r="T341" s="396" t="n"/>
      <c r="U341" s="396" t="n"/>
      <c r="V341" s="396" t="n"/>
      <c r="W341" s="396" t="n"/>
      <c r="X341" s="396" t="n"/>
    </row>
    <row r="342">
      <c r="B342" s="673" t="n"/>
      <c r="C342" s="673" t="n"/>
      <c r="D342" s="673" t="n"/>
      <c r="E342" s="675" t="n"/>
      <c r="F342" s="675" t="n"/>
      <c r="G342" s="675" t="n"/>
      <c r="H342" s="673" t="n"/>
      <c r="I342" s="673" t="n"/>
      <c r="J342" s="673" t="n"/>
      <c r="K342" s="677" t="n"/>
      <c r="L342" s="677" t="n"/>
      <c r="M342" s="677" t="n"/>
      <c r="N342" s="396" t="n"/>
      <c r="O342" s="396" t="n"/>
      <c r="P342" s="396" t="n"/>
      <c r="Q342" s="396" t="n"/>
      <c r="R342" s="396" t="n"/>
      <c r="S342" s="396" t="n"/>
      <c r="T342" s="396" t="n"/>
      <c r="U342" s="396" t="n"/>
      <c r="V342" s="396" t="n"/>
      <c r="W342" s="396" t="n"/>
      <c r="X342" s="396" t="n"/>
    </row>
    <row r="343">
      <c r="B343" s="673" t="n"/>
      <c r="C343" s="673" t="n"/>
      <c r="D343" s="673" t="n"/>
      <c r="E343" s="675" t="n"/>
      <c r="F343" s="675" t="n"/>
      <c r="G343" s="675" t="n"/>
      <c r="H343" s="673" t="n"/>
      <c r="I343" s="673" t="n"/>
      <c r="J343" s="673" t="n"/>
      <c r="K343" s="677" t="n"/>
      <c r="L343" s="677" t="n"/>
      <c r="M343" s="677" t="n"/>
      <c r="N343" s="396" t="n"/>
      <c r="O343" s="396" t="n"/>
      <c r="P343" s="396" t="n"/>
      <c r="Q343" s="396" t="n"/>
      <c r="R343" s="396" t="n"/>
      <c r="S343" s="396" t="n"/>
      <c r="T343" s="396" t="n"/>
      <c r="U343" s="396" t="n"/>
      <c r="V343" s="396" t="n"/>
      <c r="W343" s="396" t="n"/>
      <c r="X343" s="396" t="n"/>
    </row>
    <row r="344">
      <c r="B344" s="673" t="n"/>
      <c r="C344" s="673" t="n"/>
      <c r="D344" s="673" t="n"/>
      <c r="E344" s="675" t="n"/>
      <c r="F344" s="675" t="n"/>
      <c r="G344" s="675" t="n"/>
      <c r="H344" s="673" t="n"/>
      <c r="I344" s="673" t="n"/>
      <c r="J344" s="673" t="n"/>
      <c r="K344" s="677" t="n"/>
      <c r="L344" s="677" t="n"/>
      <c r="M344" s="677" t="n"/>
      <c r="N344" s="396" t="n"/>
      <c r="O344" s="396" t="n"/>
      <c r="P344" s="396" t="n"/>
      <c r="Q344" s="396" t="n"/>
      <c r="R344" s="396" t="n"/>
      <c r="S344" s="396" t="n"/>
      <c r="T344" s="396" t="n"/>
      <c r="U344" s="396" t="n"/>
      <c r="V344" s="396" t="n"/>
      <c r="W344" s="396" t="n"/>
      <c r="X344" s="396" t="n"/>
    </row>
    <row r="345">
      <c r="B345" s="673" t="n"/>
      <c r="C345" s="673" t="n"/>
      <c r="D345" s="673" t="n"/>
      <c r="E345" s="675" t="n"/>
      <c r="F345" s="675" t="n"/>
      <c r="G345" s="675" t="n"/>
      <c r="H345" s="673" t="n"/>
      <c r="I345" s="673" t="n"/>
      <c r="J345" s="673" t="n"/>
      <c r="K345" s="677" t="n"/>
      <c r="L345" s="677" t="n"/>
      <c r="M345" s="677" t="n"/>
      <c r="N345" s="396" t="n"/>
      <c r="O345" s="396" t="n"/>
      <c r="P345" s="396" t="n"/>
      <c r="Q345" s="396" t="n"/>
      <c r="R345" s="396" t="n"/>
      <c r="S345" s="396" t="n"/>
      <c r="T345" s="396" t="n"/>
      <c r="U345" s="396" t="n"/>
      <c r="V345" s="396" t="n"/>
      <c r="W345" s="396" t="n"/>
      <c r="X345" s="396" t="n"/>
    </row>
    <row r="346">
      <c r="B346" s="673" t="n"/>
      <c r="C346" s="673" t="n"/>
      <c r="D346" s="673" t="n"/>
      <c r="E346" s="675" t="n"/>
      <c r="F346" s="675" t="n"/>
      <c r="G346" s="675" t="n"/>
      <c r="H346" s="673" t="n"/>
      <c r="I346" s="673" t="n"/>
      <c r="J346" s="673" t="n"/>
      <c r="K346" s="677" t="n"/>
      <c r="L346" s="677" t="n"/>
      <c r="M346" s="677" t="n"/>
      <c r="N346" s="396" t="n"/>
      <c r="O346" s="396" t="n"/>
      <c r="P346" s="396" t="n"/>
      <c r="Q346" s="396" t="n"/>
      <c r="R346" s="396" t="n"/>
      <c r="S346" s="396" t="n"/>
      <c r="T346" s="396" t="n"/>
      <c r="U346" s="396" t="n"/>
      <c r="V346" s="396" t="n"/>
      <c r="W346" s="396" t="n"/>
      <c r="X346" s="396" t="n"/>
    </row>
    <row r="347">
      <c r="B347" s="673" t="n"/>
      <c r="C347" s="673" t="n"/>
      <c r="D347" s="673" t="n"/>
      <c r="E347" s="675" t="n"/>
      <c r="F347" s="675" t="n"/>
      <c r="G347" s="675" t="n"/>
      <c r="H347" s="673" t="n"/>
      <c r="I347" s="673" t="n"/>
      <c r="J347" s="673" t="n"/>
      <c r="K347" s="677" t="n"/>
      <c r="L347" s="677" t="n"/>
      <c r="M347" s="677" t="n"/>
      <c r="N347" s="396" t="n"/>
      <c r="O347" s="396" t="n"/>
      <c r="P347" s="396" t="n"/>
      <c r="Q347" s="396" t="n"/>
      <c r="R347" s="396" t="n"/>
      <c r="S347" s="396" t="n"/>
      <c r="T347" s="396" t="n"/>
      <c r="U347" s="396" t="n"/>
      <c r="V347" s="396" t="n"/>
      <c r="W347" s="396" t="n"/>
      <c r="X347" s="396" t="n"/>
    </row>
    <row r="348">
      <c r="B348" s="673" t="n"/>
      <c r="C348" s="673" t="n"/>
      <c r="D348" s="673" t="n"/>
      <c r="E348" s="675" t="n"/>
      <c r="F348" s="675" t="n"/>
      <c r="G348" s="675" t="n"/>
      <c r="H348" s="673" t="n"/>
      <c r="I348" s="673" t="n"/>
      <c r="J348" s="673" t="n"/>
      <c r="K348" s="677" t="n"/>
      <c r="L348" s="677" t="n"/>
      <c r="M348" s="677" t="n"/>
      <c r="N348" s="396" t="n"/>
      <c r="O348" s="396" t="n"/>
      <c r="P348" s="396" t="n"/>
      <c r="Q348" s="396" t="n"/>
      <c r="R348" s="396" t="n"/>
      <c r="S348" s="396" t="n"/>
      <c r="T348" s="396" t="n"/>
      <c r="U348" s="396" t="n"/>
      <c r="V348" s="396" t="n"/>
      <c r="W348" s="396" t="n"/>
      <c r="X348" s="396" t="n"/>
    </row>
    <row r="349">
      <c r="B349" s="673" t="n"/>
      <c r="C349" s="673" t="n"/>
      <c r="D349" s="673" t="n"/>
      <c r="E349" s="675" t="n"/>
      <c r="F349" s="675" t="n"/>
      <c r="G349" s="675" t="n"/>
      <c r="H349" s="673" t="n"/>
      <c r="I349" s="673" t="n"/>
      <c r="J349" s="673" t="n"/>
      <c r="K349" s="677" t="n"/>
      <c r="L349" s="677" t="n"/>
      <c r="M349" s="677" t="n"/>
      <c r="N349" s="396" t="n"/>
      <c r="O349" s="396" t="n"/>
      <c r="P349" s="396" t="n"/>
      <c r="Q349" s="396" t="n"/>
      <c r="R349" s="396" t="n"/>
      <c r="S349" s="396" t="n"/>
      <c r="T349" s="396" t="n"/>
      <c r="U349" s="396" t="n"/>
      <c r="V349" s="396" t="n"/>
      <c r="W349" s="396" t="n"/>
      <c r="X349" s="396" t="n"/>
    </row>
    <row r="350">
      <c r="B350" s="673" t="n"/>
      <c r="C350" s="673" t="n"/>
      <c r="D350" s="673" t="n"/>
      <c r="E350" s="675" t="n"/>
      <c r="F350" s="675" t="n"/>
      <c r="G350" s="675" t="n"/>
      <c r="H350" s="673" t="n"/>
      <c r="I350" s="673" t="n"/>
      <c r="J350" s="673" t="n"/>
      <c r="K350" s="677" t="n"/>
      <c r="L350" s="677" t="n"/>
      <c r="M350" s="677" t="n"/>
      <c r="N350" s="396" t="n"/>
      <c r="O350" s="396" t="n"/>
      <c r="P350" s="396" t="n"/>
      <c r="Q350" s="396" t="n"/>
      <c r="R350" s="396" t="n"/>
      <c r="S350" s="396" t="n"/>
      <c r="T350" s="396" t="n"/>
      <c r="U350" s="396" t="n"/>
      <c r="V350" s="396" t="n"/>
      <c r="W350" s="396" t="n"/>
      <c r="X350" s="396" t="n"/>
    </row>
    <row r="351">
      <c r="B351" s="673" t="n"/>
      <c r="C351" s="673" t="n"/>
      <c r="D351" s="673" t="n"/>
      <c r="E351" s="675" t="n"/>
      <c r="F351" s="675" t="n"/>
      <c r="G351" s="675" t="n"/>
      <c r="H351" s="673" t="n"/>
      <c r="I351" s="673" t="n"/>
      <c r="J351" s="673" t="n"/>
      <c r="K351" s="677" t="n"/>
      <c r="L351" s="677" t="n"/>
      <c r="M351" s="677" t="n"/>
      <c r="N351" s="396" t="n"/>
      <c r="O351" s="396" t="n"/>
      <c r="P351" s="396" t="n"/>
      <c r="Q351" s="396" t="n"/>
      <c r="R351" s="396" t="n"/>
      <c r="S351" s="396" t="n"/>
      <c r="T351" s="396" t="n"/>
      <c r="U351" s="396" t="n"/>
      <c r="V351" s="396" t="n"/>
      <c r="W351" s="396" t="n"/>
      <c r="X351" s="396" t="n"/>
    </row>
    <row r="352">
      <c r="B352" s="673" t="n"/>
      <c r="C352" s="673" t="n"/>
      <c r="D352" s="673" t="n"/>
      <c r="E352" s="675" t="n"/>
      <c r="F352" s="675" t="n"/>
      <c r="G352" s="675" t="n"/>
      <c r="H352" s="673" t="n"/>
      <c r="I352" s="673" t="n"/>
      <c r="J352" s="673" t="n"/>
      <c r="K352" s="677" t="n"/>
      <c r="L352" s="677" t="n"/>
      <c r="M352" s="677" t="n"/>
      <c r="N352" s="396" t="n"/>
      <c r="O352" s="396" t="n"/>
      <c r="P352" s="396" t="n"/>
      <c r="Q352" s="396" t="n"/>
      <c r="R352" s="396" t="n"/>
      <c r="S352" s="396" t="n"/>
      <c r="T352" s="396" t="n"/>
      <c r="U352" s="396" t="n"/>
      <c r="V352" s="396" t="n"/>
      <c r="W352" s="396" t="n"/>
      <c r="X352" s="396" t="n"/>
    </row>
    <row r="353">
      <c r="B353" s="673" t="n"/>
      <c r="C353" s="673" t="n"/>
      <c r="D353" s="673" t="n"/>
      <c r="E353" s="675" t="n"/>
      <c r="F353" s="675" t="n"/>
      <c r="G353" s="675" t="n"/>
      <c r="H353" s="673" t="n"/>
      <c r="I353" s="673" t="n"/>
      <c r="J353" s="673" t="n"/>
      <c r="K353" s="677" t="n"/>
      <c r="L353" s="677" t="n"/>
      <c r="M353" s="677" t="n"/>
      <c r="N353" s="396" t="n"/>
      <c r="O353" s="396" t="n"/>
      <c r="P353" s="396" t="n"/>
      <c r="Q353" s="396" t="n"/>
      <c r="R353" s="396" t="n"/>
      <c r="S353" s="396" t="n"/>
      <c r="T353" s="396" t="n"/>
      <c r="U353" s="396" t="n"/>
      <c r="V353" s="396" t="n"/>
      <c r="W353" s="396" t="n"/>
      <c r="X353" s="396" t="n"/>
    </row>
    <row r="354">
      <c r="B354" s="673" t="n"/>
      <c r="C354" s="673" t="n"/>
      <c r="D354" s="673" t="n"/>
      <c r="E354" s="675" t="n"/>
      <c r="F354" s="675" t="n"/>
      <c r="G354" s="675" t="n"/>
      <c r="H354" s="673" t="n"/>
      <c r="I354" s="673" t="n"/>
      <c r="J354" s="673" t="n"/>
      <c r="K354" s="677" t="n"/>
      <c r="L354" s="677" t="n"/>
      <c r="M354" s="677" t="n"/>
      <c r="N354" s="396" t="n"/>
      <c r="O354" s="396" t="n"/>
      <c r="P354" s="396" t="n"/>
      <c r="Q354" s="396" t="n"/>
      <c r="R354" s="396" t="n"/>
      <c r="S354" s="396" t="n"/>
      <c r="T354" s="396" t="n"/>
      <c r="U354" s="396" t="n"/>
      <c r="V354" s="396" t="n"/>
      <c r="W354" s="396" t="n"/>
      <c r="X354" s="396" t="n"/>
    </row>
    <row r="355">
      <c r="B355" s="673" t="n"/>
      <c r="C355" s="673" t="n"/>
      <c r="D355" s="673" t="n"/>
      <c r="E355" s="675" t="n"/>
      <c r="F355" s="675" t="n"/>
      <c r="G355" s="675" t="n"/>
      <c r="H355" s="673" t="n"/>
      <c r="I355" s="673" t="n"/>
      <c r="J355" s="673" t="n"/>
      <c r="K355" s="677" t="n"/>
      <c r="L355" s="677" t="n"/>
      <c r="M355" s="677" t="n"/>
      <c r="N355" s="396" t="n"/>
      <c r="O355" s="396" t="n"/>
      <c r="P355" s="396" t="n"/>
      <c r="Q355" s="396" t="n"/>
      <c r="R355" s="396" t="n"/>
      <c r="S355" s="396" t="n"/>
      <c r="T355" s="396" t="n"/>
      <c r="U355" s="396" t="n"/>
      <c r="V355" s="396" t="n"/>
      <c r="W355" s="396" t="n"/>
      <c r="X355" s="396" t="n"/>
    </row>
    <row r="356">
      <c r="B356" s="673" t="n"/>
      <c r="C356" s="673" t="n"/>
      <c r="D356" s="673" t="n"/>
      <c r="E356" s="675" t="n"/>
      <c r="F356" s="675" t="n"/>
      <c r="G356" s="675" t="n"/>
      <c r="H356" s="673" t="n"/>
      <c r="I356" s="673" t="n"/>
      <c r="J356" s="673" t="n"/>
      <c r="K356" s="677" t="n"/>
      <c r="L356" s="677" t="n"/>
      <c r="M356" s="677" t="n"/>
      <c r="N356" s="396" t="n"/>
      <c r="O356" s="396" t="n"/>
      <c r="P356" s="396" t="n"/>
      <c r="Q356" s="396" t="n"/>
      <c r="R356" s="396" t="n"/>
      <c r="S356" s="396" t="n"/>
      <c r="T356" s="396" t="n"/>
      <c r="U356" s="396" t="n"/>
      <c r="V356" s="396" t="n"/>
      <c r="W356" s="396" t="n"/>
      <c r="X356" s="396" t="n"/>
    </row>
    <row r="357">
      <c r="B357" s="673" t="n"/>
      <c r="C357" s="673" t="n"/>
      <c r="D357" s="673" t="n"/>
      <c r="E357" s="675" t="n"/>
      <c r="F357" s="675" t="n"/>
      <c r="G357" s="675" t="n"/>
      <c r="H357" s="673" t="n"/>
      <c r="I357" s="673" t="n"/>
      <c r="J357" s="673" t="n"/>
      <c r="K357" s="677" t="n"/>
      <c r="L357" s="677" t="n"/>
      <c r="M357" s="677" t="n"/>
      <c r="N357" s="396" t="n"/>
      <c r="O357" s="396" t="n"/>
      <c r="P357" s="396" t="n"/>
      <c r="Q357" s="396" t="n"/>
      <c r="R357" s="396" t="n"/>
      <c r="S357" s="396" t="n"/>
      <c r="T357" s="396" t="n"/>
      <c r="U357" s="396" t="n"/>
      <c r="V357" s="396" t="n"/>
      <c r="W357" s="396" t="n"/>
      <c r="X357" s="396" t="n"/>
    </row>
    <row r="358">
      <c r="B358" s="673" t="n"/>
      <c r="C358" s="673" t="n"/>
      <c r="D358" s="673" t="n"/>
      <c r="E358" s="675" t="n"/>
      <c r="F358" s="675" t="n"/>
      <c r="G358" s="675" t="n"/>
      <c r="H358" s="673" t="n"/>
      <c r="I358" s="673" t="n"/>
      <c r="J358" s="673" t="n"/>
      <c r="K358" s="677" t="n"/>
      <c r="L358" s="677" t="n"/>
      <c r="M358" s="677" t="n"/>
      <c r="N358" s="396" t="n"/>
      <c r="O358" s="396" t="n"/>
      <c r="P358" s="396" t="n"/>
      <c r="Q358" s="396" t="n"/>
      <c r="R358" s="396" t="n"/>
      <c r="S358" s="396" t="n"/>
      <c r="T358" s="396" t="n"/>
      <c r="U358" s="396" t="n"/>
      <c r="V358" s="396" t="n"/>
      <c r="W358" s="396" t="n"/>
      <c r="X358" s="396" t="n"/>
    </row>
    <row r="359">
      <c r="B359" s="673" t="n"/>
      <c r="C359" s="673" t="n"/>
      <c r="D359" s="673" t="n"/>
      <c r="E359" s="675" t="n"/>
      <c r="F359" s="675" t="n"/>
      <c r="G359" s="675" t="n"/>
      <c r="H359" s="673" t="n"/>
      <c r="I359" s="673" t="n"/>
      <c r="J359" s="673" t="n"/>
      <c r="K359" s="677" t="n"/>
      <c r="L359" s="677" t="n"/>
      <c r="M359" s="677" t="n"/>
      <c r="N359" s="396" t="n"/>
      <c r="O359" s="396" t="n"/>
      <c r="P359" s="396" t="n"/>
      <c r="Q359" s="396" t="n"/>
      <c r="R359" s="396" t="n"/>
      <c r="S359" s="396" t="n"/>
      <c r="T359" s="396" t="n"/>
      <c r="U359" s="396" t="n"/>
      <c r="V359" s="396" t="n"/>
      <c r="W359" s="396" t="n"/>
      <c r="X359" s="396" t="n"/>
    </row>
    <row r="360">
      <c r="B360" s="673" t="n"/>
      <c r="C360" s="673" t="n"/>
      <c r="D360" s="673" t="n"/>
      <c r="E360" s="675" t="n"/>
      <c r="F360" s="675" t="n"/>
      <c r="G360" s="675" t="n"/>
      <c r="H360" s="673" t="n"/>
      <c r="I360" s="673" t="n"/>
      <c r="J360" s="673" t="n"/>
      <c r="K360" s="677" t="n"/>
      <c r="L360" s="677" t="n"/>
      <c r="M360" s="677" t="n"/>
      <c r="N360" s="396" t="n"/>
      <c r="O360" s="396" t="n"/>
      <c r="P360" s="396" t="n"/>
      <c r="Q360" s="396" t="n"/>
      <c r="R360" s="396" t="n"/>
      <c r="S360" s="396" t="n"/>
      <c r="T360" s="396" t="n"/>
      <c r="U360" s="396" t="n"/>
      <c r="V360" s="396" t="n"/>
      <c r="W360" s="396" t="n"/>
      <c r="X360" s="396" t="n"/>
    </row>
    <row r="361">
      <c r="B361" s="673" t="n"/>
      <c r="C361" s="673" t="n"/>
      <c r="D361" s="673" t="n"/>
      <c r="E361" s="675" t="n"/>
      <c r="F361" s="675" t="n"/>
      <c r="G361" s="675" t="n"/>
      <c r="H361" s="673" t="n"/>
      <c r="I361" s="673" t="n"/>
      <c r="J361" s="673" t="n"/>
      <c r="K361" s="677" t="n"/>
      <c r="L361" s="677" t="n"/>
      <c r="M361" s="677" t="n"/>
      <c r="N361" s="396" t="n"/>
      <c r="O361" s="396" t="n"/>
      <c r="P361" s="396" t="n"/>
      <c r="Q361" s="396" t="n"/>
      <c r="R361" s="396" t="n"/>
      <c r="S361" s="396" t="n"/>
      <c r="T361" s="396" t="n"/>
      <c r="U361" s="396" t="n"/>
      <c r="V361" s="396" t="n"/>
      <c r="W361" s="396" t="n"/>
      <c r="X361" s="396" t="n"/>
    </row>
    <row r="362">
      <c r="B362" s="673" t="n"/>
      <c r="C362" s="673" t="n"/>
      <c r="D362" s="673" t="n"/>
      <c r="E362" s="675" t="n"/>
      <c r="F362" s="675" t="n"/>
      <c r="G362" s="675" t="n"/>
      <c r="H362" s="673" t="n"/>
      <c r="I362" s="673" t="n"/>
      <c r="J362" s="673" t="n"/>
      <c r="K362" s="677" t="n"/>
      <c r="L362" s="677" t="n"/>
      <c r="M362" s="677" t="n"/>
      <c r="N362" s="396" t="n"/>
      <c r="O362" s="396" t="n"/>
      <c r="P362" s="396" t="n"/>
      <c r="Q362" s="396" t="n"/>
      <c r="R362" s="396" t="n"/>
      <c r="S362" s="396" t="n"/>
      <c r="T362" s="396" t="n"/>
      <c r="U362" s="396" t="n"/>
      <c r="V362" s="396" t="n"/>
      <c r="W362" s="396" t="n"/>
      <c r="X362" s="396" t="n"/>
    </row>
    <row r="363">
      <c r="B363" s="673" t="n"/>
      <c r="C363" s="673" t="n"/>
      <c r="D363" s="673" t="n"/>
      <c r="E363" s="675" t="n"/>
      <c r="F363" s="675" t="n"/>
      <c r="G363" s="675" t="n"/>
      <c r="H363" s="673" t="n"/>
      <c r="I363" s="673" t="n"/>
      <c r="J363" s="673" t="n"/>
      <c r="K363" s="677" t="n"/>
      <c r="L363" s="677" t="n"/>
      <c r="M363" s="677" t="n"/>
      <c r="N363" s="396" t="n"/>
      <c r="O363" s="396" t="n"/>
      <c r="P363" s="396" t="n"/>
      <c r="Q363" s="396" t="n"/>
      <c r="R363" s="396" t="n"/>
      <c r="S363" s="396" t="n"/>
      <c r="T363" s="396" t="n"/>
      <c r="U363" s="396" t="n"/>
      <c r="V363" s="396" t="n"/>
      <c r="W363" s="396" t="n"/>
      <c r="X363" s="396" t="n"/>
    </row>
    <row r="364">
      <c r="B364" s="673" t="n"/>
      <c r="C364" s="673" t="n"/>
      <c r="D364" s="673" t="n"/>
      <c r="E364" s="675" t="n"/>
      <c r="F364" s="675" t="n"/>
      <c r="G364" s="675" t="n"/>
      <c r="H364" s="673" t="n"/>
      <c r="I364" s="673" t="n"/>
      <c r="J364" s="673" t="n"/>
      <c r="K364" s="677" t="n"/>
      <c r="L364" s="677" t="n"/>
      <c r="M364" s="677" t="n"/>
      <c r="N364" s="396" t="n"/>
      <c r="O364" s="396" t="n"/>
      <c r="P364" s="396" t="n"/>
      <c r="Q364" s="396" t="n"/>
      <c r="R364" s="396" t="n"/>
      <c r="S364" s="396" t="n"/>
      <c r="T364" s="396" t="n"/>
      <c r="U364" s="396" t="n"/>
      <c r="V364" s="396" t="n"/>
      <c r="W364" s="396" t="n"/>
      <c r="X364" s="396" t="n"/>
    </row>
    <row r="365">
      <c r="B365" s="673" t="n"/>
      <c r="C365" s="673" t="n"/>
      <c r="D365" s="673" t="n"/>
      <c r="E365" s="675" t="n"/>
      <c r="F365" s="675" t="n"/>
      <c r="G365" s="675" t="n"/>
      <c r="H365" s="673" t="n"/>
      <c r="I365" s="673" t="n"/>
      <c r="J365" s="673" t="n"/>
      <c r="K365" s="677" t="n"/>
      <c r="L365" s="677" t="n"/>
      <c r="M365" s="677" t="n"/>
      <c r="N365" s="396" t="n"/>
      <c r="O365" s="396" t="n"/>
      <c r="P365" s="396" t="n"/>
      <c r="Q365" s="396" t="n"/>
      <c r="R365" s="396" t="n"/>
      <c r="S365" s="396" t="n"/>
      <c r="T365" s="396" t="n"/>
      <c r="U365" s="396" t="n"/>
      <c r="V365" s="396" t="n"/>
      <c r="W365" s="396" t="n"/>
      <c r="X365" s="396" t="n"/>
    </row>
    <row r="366">
      <c r="B366" s="673" t="n"/>
      <c r="C366" s="673" t="n"/>
      <c r="D366" s="673" t="n"/>
      <c r="E366" s="675" t="n"/>
      <c r="F366" s="675" t="n"/>
      <c r="G366" s="675" t="n"/>
      <c r="H366" s="673" t="n"/>
      <c r="I366" s="673" t="n"/>
      <c r="J366" s="673" t="n"/>
      <c r="K366" s="677" t="n"/>
      <c r="L366" s="677" t="n"/>
      <c r="M366" s="677" t="n"/>
      <c r="N366" s="396" t="n"/>
      <c r="O366" s="396" t="n"/>
      <c r="P366" s="396" t="n"/>
      <c r="Q366" s="396" t="n"/>
      <c r="R366" s="396" t="n"/>
      <c r="S366" s="396" t="n"/>
      <c r="T366" s="396" t="n"/>
      <c r="U366" s="396" t="n"/>
      <c r="V366" s="396" t="n"/>
      <c r="W366" s="396" t="n"/>
      <c r="X366" s="396" t="n"/>
    </row>
    <row r="367">
      <c r="B367" s="673" t="n"/>
      <c r="C367" s="673" t="n"/>
      <c r="D367" s="673" t="n"/>
      <c r="E367" s="675" t="n"/>
      <c r="F367" s="675" t="n"/>
      <c r="G367" s="675" t="n"/>
      <c r="H367" s="673" t="n"/>
      <c r="I367" s="673" t="n"/>
      <c r="J367" s="673" t="n"/>
      <c r="K367" s="677" t="n"/>
      <c r="L367" s="677" t="n"/>
      <c r="M367" s="677" t="n"/>
      <c r="N367" s="396" t="n"/>
      <c r="O367" s="396" t="n"/>
      <c r="P367" s="396" t="n"/>
      <c r="Q367" s="396" t="n"/>
      <c r="R367" s="396" t="n"/>
      <c r="S367" s="396" t="n"/>
      <c r="T367" s="396" t="n"/>
      <c r="U367" s="396" t="n"/>
      <c r="V367" s="396" t="n"/>
      <c r="W367" s="396" t="n"/>
      <c r="X367" s="396" t="n"/>
    </row>
    <row r="368">
      <c r="B368" s="673" t="n"/>
      <c r="C368" s="673" t="n"/>
      <c r="D368" s="673" t="n"/>
      <c r="E368" s="675" t="n"/>
      <c r="F368" s="675" t="n"/>
      <c r="G368" s="675" t="n"/>
      <c r="H368" s="673" t="n"/>
      <c r="I368" s="673" t="n"/>
      <c r="J368" s="673" t="n"/>
      <c r="K368" s="677" t="n"/>
      <c r="L368" s="677" t="n"/>
      <c r="M368" s="677" t="n"/>
      <c r="N368" s="396" t="n"/>
      <c r="O368" s="396" t="n"/>
      <c r="P368" s="396" t="n"/>
      <c r="Q368" s="396" t="n"/>
      <c r="R368" s="396" t="n"/>
      <c r="S368" s="396" t="n"/>
      <c r="T368" s="396" t="n"/>
      <c r="U368" s="396" t="n"/>
      <c r="V368" s="396" t="n"/>
      <c r="W368" s="396" t="n"/>
      <c r="X368" s="396" t="n"/>
    </row>
    <row r="369">
      <c r="B369" s="673" t="n"/>
      <c r="C369" s="673" t="n"/>
      <c r="D369" s="673" t="n"/>
      <c r="E369" s="675" t="n"/>
      <c r="F369" s="675" t="n"/>
      <c r="G369" s="675" t="n"/>
      <c r="H369" s="673" t="n"/>
      <c r="I369" s="673" t="n"/>
      <c r="J369" s="673" t="n"/>
      <c r="K369" s="677" t="n"/>
      <c r="L369" s="677" t="n"/>
      <c r="M369" s="677" t="n"/>
      <c r="N369" s="396" t="n"/>
      <c r="O369" s="396" t="n"/>
      <c r="P369" s="396" t="n"/>
      <c r="Q369" s="396" t="n"/>
      <c r="R369" s="396" t="n"/>
      <c r="S369" s="396" t="n"/>
      <c r="T369" s="396" t="n"/>
      <c r="U369" s="396" t="n"/>
      <c r="V369" s="396" t="n"/>
      <c r="W369" s="396" t="n"/>
      <c r="X369" s="396" t="n"/>
    </row>
    <row r="370">
      <c r="B370" s="673" t="n"/>
      <c r="C370" s="673" t="n"/>
      <c r="D370" s="673" t="n"/>
      <c r="E370" s="675" t="n"/>
      <c r="F370" s="675" t="n"/>
      <c r="G370" s="675" t="n"/>
      <c r="H370" s="673" t="n"/>
      <c r="I370" s="673" t="n"/>
      <c r="J370" s="673" t="n"/>
      <c r="K370" s="677" t="n"/>
      <c r="L370" s="677" t="n"/>
      <c r="M370" s="677" t="n"/>
      <c r="N370" s="396" t="n"/>
      <c r="O370" s="396" t="n"/>
      <c r="P370" s="396" t="n"/>
      <c r="Q370" s="396" t="n"/>
      <c r="R370" s="396" t="n"/>
      <c r="S370" s="396" t="n"/>
      <c r="T370" s="396" t="n"/>
      <c r="U370" s="396" t="n"/>
      <c r="V370" s="396" t="n"/>
      <c r="W370" s="396" t="n"/>
      <c r="X370" s="396" t="n"/>
    </row>
    <row r="371">
      <c r="B371" s="673" t="n"/>
      <c r="C371" s="673" t="n"/>
      <c r="D371" s="673" t="n"/>
      <c r="E371" s="675" t="n"/>
      <c r="F371" s="675" t="n"/>
      <c r="G371" s="675" t="n"/>
      <c r="H371" s="673" t="n"/>
      <c r="I371" s="673" t="n"/>
      <c r="J371" s="673" t="n"/>
      <c r="K371" s="677" t="n"/>
      <c r="L371" s="677" t="n"/>
      <c r="M371" s="677" t="n"/>
      <c r="N371" s="396" t="n"/>
      <c r="O371" s="396" t="n"/>
      <c r="P371" s="396" t="n"/>
      <c r="Q371" s="396" t="n"/>
      <c r="R371" s="396" t="n"/>
      <c r="S371" s="396" t="n"/>
      <c r="T371" s="396" t="n"/>
      <c r="U371" s="396" t="n"/>
      <c r="V371" s="396" t="n"/>
      <c r="W371" s="396" t="n"/>
      <c r="X371" s="396" t="n"/>
    </row>
    <row r="372">
      <c r="B372" s="673" t="n"/>
      <c r="C372" s="673" t="n"/>
      <c r="D372" s="673" t="n"/>
      <c r="E372" s="675" t="n"/>
      <c r="F372" s="675" t="n"/>
      <c r="G372" s="675" t="n"/>
      <c r="H372" s="673" t="n"/>
      <c r="I372" s="673" t="n"/>
      <c r="J372" s="673" t="n"/>
      <c r="K372" s="677" t="n"/>
      <c r="L372" s="677" t="n"/>
      <c r="M372" s="677" t="n"/>
      <c r="N372" s="396" t="n"/>
      <c r="O372" s="396" t="n"/>
      <c r="P372" s="396" t="n"/>
      <c r="Q372" s="396" t="n"/>
      <c r="R372" s="396" t="n"/>
      <c r="S372" s="396" t="n"/>
      <c r="T372" s="396" t="n"/>
      <c r="U372" s="396" t="n"/>
      <c r="V372" s="396" t="n"/>
      <c r="W372" s="396" t="n"/>
      <c r="X372" s="396" t="n"/>
    </row>
    <row r="373">
      <c r="B373" s="673" t="n"/>
      <c r="C373" s="673" t="n"/>
      <c r="D373" s="673" t="n"/>
      <c r="E373" s="675" t="n"/>
      <c r="F373" s="675" t="n"/>
      <c r="G373" s="675" t="n"/>
      <c r="H373" s="673" t="n"/>
      <c r="I373" s="673" t="n"/>
      <c r="J373" s="673" t="n"/>
      <c r="K373" s="677" t="n"/>
      <c r="L373" s="677" t="n"/>
      <c r="M373" s="677" t="n"/>
      <c r="N373" s="396" t="n"/>
      <c r="O373" s="396" t="n"/>
      <c r="P373" s="396" t="n"/>
      <c r="Q373" s="396" t="n"/>
      <c r="R373" s="396" t="n"/>
      <c r="S373" s="396" t="n"/>
      <c r="T373" s="396" t="n"/>
      <c r="U373" s="396" t="n"/>
      <c r="V373" s="396" t="n"/>
      <c r="W373" s="396" t="n"/>
      <c r="X373" s="396" t="n"/>
    </row>
    <row r="374">
      <c r="B374" s="673" t="n"/>
      <c r="C374" s="673" t="n"/>
      <c r="D374" s="673" t="n"/>
      <c r="E374" s="675" t="n"/>
      <c r="F374" s="675" t="n"/>
      <c r="G374" s="675" t="n"/>
      <c r="H374" s="673" t="n"/>
      <c r="I374" s="673" t="n"/>
      <c r="J374" s="673" t="n"/>
      <c r="K374" s="677" t="n"/>
      <c r="L374" s="677" t="n"/>
      <c r="M374" s="677" t="n"/>
      <c r="N374" s="396" t="n"/>
      <c r="O374" s="396" t="n"/>
      <c r="P374" s="396" t="n"/>
      <c r="Q374" s="396" t="n"/>
      <c r="R374" s="396" t="n"/>
      <c r="S374" s="396" t="n"/>
      <c r="T374" s="396" t="n"/>
      <c r="U374" s="396" t="n"/>
      <c r="V374" s="396" t="n"/>
      <c r="W374" s="396" t="n"/>
      <c r="X374" s="396" t="n"/>
    </row>
    <row r="375">
      <c r="B375" s="673" t="n"/>
      <c r="C375" s="673" t="n"/>
      <c r="D375" s="673" t="n"/>
      <c r="E375" s="675" t="n"/>
      <c r="F375" s="675" t="n"/>
      <c r="G375" s="675" t="n"/>
      <c r="H375" s="673" t="n"/>
      <c r="I375" s="673" t="n"/>
      <c r="J375" s="673" t="n"/>
      <c r="K375" s="677" t="n"/>
      <c r="L375" s="677" t="n"/>
      <c r="M375" s="677" t="n"/>
      <c r="N375" s="396" t="n"/>
      <c r="O375" s="396" t="n"/>
      <c r="P375" s="396" t="n"/>
      <c r="Q375" s="396" t="n"/>
      <c r="R375" s="396" t="n"/>
      <c r="S375" s="396" t="n"/>
      <c r="T375" s="396" t="n"/>
      <c r="U375" s="396" t="n"/>
      <c r="V375" s="396" t="n"/>
      <c r="W375" s="396" t="n"/>
      <c r="X375" s="396" t="n"/>
    </row>
    <row r="376">
      <c r="B376" s="673" t="n"/>
      <c r="C376" s="673" t="n"/>
      <c r="D376" s="673" t="n"/>
      <c r="E376" s="675" t="n"/>
      <c r="F376" s="675" t="n"/>
      <c r="G376" s="675" t="n"/>
      <c r="H376" s="673" t="n"/>
      <c r="I376" s="673" t="n"/>
      <c r="J376" s="673" t="n"/>
      <c r="K376" s="677" t="n"/>
      <c r="L376" s="677" t="n"/>
      <c r="M376" s="677" t="n"/>
      <c r="N376" s="396" t="n"/>
      <c r="O376" s="396" t="n"/>
      <c r="P376" s="396" t="n"/>
      <c r="Q376" s="396" t="n"/>
      <c r="R376" s="396" t="n"/>
      <c r="S376" s="396" t="n"/>
      <c r="T376" s="396" t="n"/>
      <c r="U376" s="396" t="n"/>
      <c r="V376" s="396" t="n"/>
      <c r="W376" s="396" t="n"/>
      <c r="X376" s="396" t="n"/>
    </row>
    <row r="377">
      <c r="B377" s="673" t="n"/>
      <c r="C377" s="673" t="n"/>
      <c r="D377" s="673" t="n"/>
      <c r="E377" s="675" t="n"/>
      <c r="F377" s="675" t="n"/>
      <c r="G377" s="675" t="n"/>
      <c r="H377" s="673" t="n"/>
      <c r="I377" s="673" t="n"/>
      <c r="J377" s="673" t="n"/>
      <c r="K377" s="677" t="n"/>
      <c r="L377" s="677" t="n"/>
      <c r="M377" s="677" t="n"/>
      <c r="N377" s="396" t="n"/>
      <c r="O377" s="396" t="n"/>
      <c r="P377" s="396" t="n"/>
      <c r="Q377" s="396" t="n"/>
      <c r="R377" s="396" t="n"/>
      <c r="S377" s="396" t="n"/>
      <c r="T377" s="396" t="n"/>
      <c r="U377" s="396" t="n"/>
      <c r="V377" s="396" t="n"/>
      <c r="W377" s="396" t="n"/>
      <c r="X377" s="396" t="n"/>
    </row>
    <row r="378">
      <c r="B378" s="673" t="n"/>
      <c r="C378" s="673" t="n"/>
      <c r="D378" s="673" t="n"/>
      <c r="E378" s="675" t="n"/>
      <c r="F378" s="675" t="n"/>
      <c r="G378" s="675" t="n"/>
      <c r="H378" s="673" t="n"/>
      <c r="I378" s="673" t="n"/>
      <c r="J378" s="673" t="n"/>
      <c r="K378" s="677" t="n"/>
      <c r="L378" s="677" t="n"/>
      <c r="M378" s="677" t="n"/>
      <c r="N378" s="396" t="n"/>
      <c r="O378" s="396" t="n"/>
      <c r="P378" s="396" t="n"/>
      <c r="Q378" s="396" t="n"/>
      <c r="R378" s="396" t="n"/>
      <c r="S378" s="396" t="n"/>
      <c r="T378" s="396" t="n"/>
      <c r="U378" s="396" t="n"/>
      <c r="V378" s="396" t="n"/>
      <c r="W378" s="396" t="n"/>
      <c r="X378" s="396" t="n"/>
    </row>
    <row r="379">
      <c r="B379" s="673" t="n"/>
      <c r="C379" s="673" t="n"/>
      <c r="D379" s="673" t="n"/>
      <c r="E379" s="675" t="n"/>
      <c r="F379" s="675" t="n"/>
      <c r="G379" s="675" t="n"/>
      <c r="H379" s="673" t="n"/>
      <c r="I379" s="673" t="n"/>
      <c r="J379" s="673" t="n"/>
      <c r="K379" s="677" t="n"/>
      <c r="L379" s="677" t="n"/>
      <c r="M379" s="677" t="n"/>
      <c r="N379" s="396" t="n"/>
      <c r="O379" s="396" t="n"/>
      <c r="P379" s="396" t="n"/>
      <c r="Q379" s="396" t="n"/>
      <c r="R379" s="396" t="n"/>
      <c r="S379" s="396" t="n"/>
      <c r="T379" s="396" t="n"/>
      <c r="U379" s="396" t="n"/>
      <c r="V379" s="396" t="n"/>
      <c r="W379" s="396" t="n"/>
      <c r="X379" s="396" t="n"/>
    </row>
    <row r="380">
      <c r="B380" s="673" t="n"/>
      <c r="C380" s="673" t="n"/>
      <c r="D380" s="673" t="n"/>
      <c r="E380" s="675" t="n"/>
      <c r="F380" s="675" t="n"/>
      <c r="G380" s="675" t="n"/>
      <c r="H380" s="673" t="n"/>
      <c r="I380" s="673" t="n"/>
      <c r="J380" s="673" t="n"/>
      <c r="K380" s="677" t="n"/>
      <c r="L380" s="677" t="n"/>
      <c r="M380" s="677" t="n"/>
      <c r="N380" s="396" t="n"/>
      <c r="O380" s="396" t="n"/>
      <c r="P380" s="396" t="n"/>
      <c r="Q380" s="396" t="n"/>
      <c r="R380" s="396" t="n"/>
      <c r="S380" s="396" t="n"/>
      <c r="T380" s="396" t="n"/>
      <c r="U380" s="396" t="n"/>
      <c r="V380" s="396" t="n"/>
      <c r="W380" s="396" t="n"/>
      <c r="X380" s="396" t="n"/>
    </row>
    <row r="381">
      <c r="B381" s="673" t="n"/>
      <c r="C381" s="673" t="n"/>
      <c r="D381" s="673" t="n"/>
      <c r="E381" s="675" t="n"/>
      <c r="F381" s="675" t="n"/>
      <c r="G381" s="675" t="n"/>
      <c r="H381" s="673" t="n"/>
      <c r="I381" s="673" t="n"/>
      <c r="J381" s="673" t="n"/>
      <c r="K381" s="677" t="n"/>
      <c r="L381" s="677" t="n"/>
      <c r="M381" s="677" t="n"/>
      <c r="N381" s="396" t="n"/>
      <c r="O381" s="396" t="n"/>
      <c r="P381" s="396" t="n"/>
      <c r="Q381" s="396" t="n"/>
      <c r="R381" s="396" t="n"/>
      <c r="S381" s="396" t="n"/>
      <c r="T381" s="396" t="n"/>
      <c r="U381" s="396" t="n"/>
      <c r="V381" s="396" t="n"/>
      <c r="W381" s="396" t="n"/>
      <c r="X381" s="396" t="n"/>
    </row>
    <row r="382">
      <c r="B382" s="673" t="n"/>
      <c r="C382" s="673" t="n"/>
      <c r="D382" s="673" t="n"/>
      <c r="E382" s="675" t="n"/>
      <c r="F382" s="675" t="n"/>
      <c r="G382" s="675" t="n"/>
      <c r="H382" s="673" t="n"/>
      <c r="I382" s="673" t="n"/>
      <c r="J382" s="673" t="n"/>
      <c r="K382" s="677" t="n"/>
      <c r="L382" s="677" t="n"/>
      <c r="M382" s="677" t="n"/>
      <c r="N382" s="396" t="n"/>
      <c r="O382" s="396" t="n"/>
      <c r="P382" s="396" t="n"/>
      <c r="Q382" s="396" t="n"/>
      <c r="R382" s="396" t="n"/>
      <c r="S382" s="396" t="n"/>
      <c r="T382" s="396" t="n"/>
      <c r="U382" s="396" t="n"/>
      <c r="V382" s="396" t="n"/>
      <c r="W382" s="396" t="n"/>
      <c r="X382" s="396" t="n"/>
    </row>
    <row r="383">
      <c r="B383" s="673" t="n"/>
      <c r="C383" s="673" t="n"/>
      <c r="D383" s="673" t="n"/>
      <c r="E383" s="675" t="n"/>
      <c r="F383" s="675" t="n"/>
      <c r="G383" s="675" t="n"/>
      <c r="H383" s="673" t="n"/>
      <c r="I383" s="673" t="n"/>
      <c r="J383" s="673" t="n"/>
      <c r="K383" s="677" t="n"/>
      <c r="L383" s="677" t="n"/>
      <c r="M383" s="677" t="n"/>
      <c r="N383" s="396" t="n"/>
      <c r="O383" s="396" t="n"/>
      <c r="P383" s="396" t="n"/>
      <c r="Q383" s="396" t="n"/>
      <c r="R383" s="396" t="n"/>
      <c r="S383" s="396" t="n"/>
      <c r="T383" s="396" t="n"/>
      <c r="U383" s="396" t="n"/>
      <c r="V383" s="396" t="n"/>
      <c r="W383" s="396" t="n"/>
      <c r="X383" s="396" t="n"/>
    </row>
    <row r="384">
      <c r="B384" s="673" t="n"/>
      <c r="C384" s="673" t="n"/>
      <c r="D384" s="673" t="n"/>
      <c r="E384" s="675" t="n"/>
      <c r="F384" s="675" t="n"/>
      <c r="G384" s="675" t="n"/>
      <c r="H384" s="673" t="n"/>
      <c r="I384" s="673" t="n"/>
      <c r="J384" s="673" t="n"/>
      <c r="K384" s="677" t="n"/>
      <c r="L384" s="677" t="n"/>
      <c r="M384" s="677" t="n"/>
      <c r="N384" s="396" t="n"/>
      <c r="O384" s="396" t="n"/>
      <c r="P384" s="396" t="n"/>
      <c r="Q384" s="396" t="n"/>
      <c r="R384" s="396" t="n"/>
      <c r="S384" s="396" t="n"/>
      <c r="T384" s="396" t="n"/>
      <c r="U384" s="396" t="n"/>
      <c r="V384" s="396" t="n"/>
      <c r="W384" s="396" t="n"/>
      <c r="X384" s="396" t="n"/>
    </row>
    <row r="385">
      <c r="B385" s="673" t="n"/>
      <c r="C385" s="673" t="n"/>
      <c r="D385" s="673" t="n"/>
      <c r="E385" s="675" t="n"/>
      <c r="F385" s="675" t="n"/>
      <c r="G385" s="675" t="n"/>
      <c r="H385" s="673" t="n"/>
      <c r="I385" s="673" t="n"/>
      <c r="J385" s="673" t="n"/>
      <c r="K385" s="677" t="n"/>
      <c r="L385" s="677" t="n"/>
      <c r="M385" s="677" t="n"/>
      <c r="N385" s="396" t="n"/>
      <c r="O385" s="396" t="n"/>
      <c r="P385" s="396" t="n"/>
      <c r="Q385" s="396" t="n"/>
      <c r="R385" s="396" t="n"/>
      <c r="S385" s="396" t="n"/>
      <c r="T385" s="396" t="n"/>
      <c r="U385" s="396" t="n"/>
      <c r="V385" s="396" t="n"/>
      <c r="W385" s="396" t="n"/>
      <c r="X385" s="396" t="n"/>
    </row>
    <row r="386">
      <c r="B386" s="673" t="n"/>
      <c r="C386" s="673" t="n"/>
      <c r="D386" s="673" t="n"/>
      <c r="E386" s="675" t="n"/>
      <c r="F386" s="675" t="n"/>
      <c r="G386" s="675" t="n"/>
      <c r="H386" s="673" t="n"/>
      <c r="I386" s="673" t="n"/>
      <c r="J386" s="673" t="n"/>
      <c r="K386" s="677" t="n"/>
      <c r="L386" s="677" t="n"/>
      <c r="M386" s="677" t="n"/>
      <c r="N386" s="396" t="n"/>
      <c r="O386" s="396" t="n"/>
      <c r="P386" s="396" t="n"/>
      <c r="Q386" s="396" t="n"/>
      <c r="R386" s="396" t="n"/>
      <c r="S386" s="396" t="n"/>
      <c r="T386" s="396" t="n"/>
      <c r="U386" s="396" t="n"/>
      <c r="V386" s="396" t="n"/>
      <c r="W386" s="396" t="n"/>
      <c r="X386" s="396" t="n"/>
    </row>
    <row r="387">
      <c r="B387" s="673" t="n"/>
      <c r="C387" s="673" t="n"/>
      <c r="D387" s="673" t="n"/>
      <c r="E387" s="675" t="n"/>
      <c r="F387" s="675" t="n"/>
      <c r="G387" s="675" t="n"/>
      <c r="H387" s="673" t="n"/>
      <c r="I387" s="673" t="n"/>
      <c r="J387" s="673" t="n"/>
      <c r="K387" s="677" t="n"/>
      <c r="L387" s="677" t="n"/>
      <c r="M387" s="677" t="n"/>
      <c r="N387" s="396" t="n"/>
      <c r="O387" s="396" t="n"/>
      <c r="P387" s="396" t="n"/>
      <c r="Q387" s="396" t="n"/>
      <c r="R387" s="396" t="n"/>
      <c r="S387" s="396" t="n"/>
      <c r="T387" s="396" t="n"/>
      <c r="U387" s="396" t="n"/>
      <c r="V387" s="396" t="n"/>
      <c r="W387" s="396" t="n"/>
      <c r="X387" s="396" t="n"/>
    </row>
    <row r="388">
      <c r="B388" s="673" t="n"/>
      <c r="C388" s="673" t="n"/>
      <c r="D388" s="673" t="n"/>
      <c r="E388" s="675" t="n"/>
      <c r="F388" s="675" t="n"/>
      <c r="G388" s="675" t="n"/>
      <c r="H388" s="673" t="n"/>
      <c r="I388" s="673" t="n"/>
      <c r="J388" s="673" t="n"/>
      <c r="K388" s="677" t="n"/>
      <c r="L388" s="677" t="n"/>
      <c r="M388" s="677" t="n"/>
      <c r="N388" s="396" t="n"/>
      <c r="O388" s="396" t="n"/>
      <c r="P388" s="396" t="n"/>
      <c r="Q388" s="396" t="n"/>
      <c r="R388" s="396" t="n"/>
      <c r="S388" s="396" t="n"/>
      <c r="T388" s="396" t="n"/>
      <c r="U388" s="396" t="n"/>
      <c r="V388" s="396" t="n"/>
      <c r="W388" s="396" t="n"/>
      <c r="X388" s="396" t="n"/>
    </row>
    <row r="389">
      <c r="B389" s="673" t="n"/>
      <c r="C389" s="673" t="n"/>
      <c r="D389" s="673" t="n"/>
      <c r="E389" s="675" t="n"/>
      <c r="F389" s="675" t="n"/>
      <c r="G389" s="675" t="n"/>
      <c r="H389" s="673" t="n"/>
      <c r="I389" s="673" t="n"/>
      <c r="J389" s="673" t="n"/>
      <c r="K389" s="677" t="n"/>
      <c r="L389" s="677" t="n"/>
      <c r="M389" s="677" t="n"/>
      <c r="N389" s="396" t="n"/>
      <c r="O389" s="396" t="n"/>
      <c r="P389" s="396" t="n"/>
      <c r="Q389" s="396" t="n"/>
      <c r="R389" s="396" t="n"/>
      <c r="S389" s="396" t="n"/>
      <c r="T389" s="396" t="n"/>
      <c r="U389" s="396" t="n"/>
      <c r="V389" s="396" t="n"/>
      <c r="W389" s="396" t="n"/>
      <c r="X389" s="396" t="n"/>
    </row>
    <row r="390">
      <c r="B390" s="673" t="n"/>
      <c r="C390" s="673" t="n"/>
      <c r="D390" s="673" t="n"/>
      <c r="E390" s="675" t="n"/>
      <c r="F390" s="675" t="n"/>
      <c r="G390" s="675" t="n"/>
      <c r="H390" s="673" t="n"/>
      <c r="I390" s="673" t="n"/>
      <c r="J390" s="673" t="n"/>
      <c r="K390" s="677" t="n"/>
      <c r="L390" s="677" t="n"/>
      <c r="M390" s="677" t="n"/>
      <c r="N390" s="396" t="n"/>
      <c r="O390" s="396" t="n"/>
      <c r="P390" s="396" t="n"/>
      <c r="Q390" s="396" t="n"/>
      <c r="R390" s="396" t="n"/>
      <c r="S390" s="396" t="n"/>
      <c r="T390" s="396" t="n"/>
      <c r="U390" s="396" t="n"/>
      <c r="V390" s="396" t="n"/>
      <c r="W390" s="396" t="n"/>
      <c r="X390" s="396" t="n"/>
    </row>
    <row r="391">
      <c r="B391" s="673" t="n"/>
      <c r="C391" s="673" t="n"/>
      <c r="D391" s="673" t="n"/>
      <c r="E391" s="675" t="n"/>
      <c r="F391" s="675" t="n"/>
      <c r="G391" s="675" t="n"/>
      <c r="H391" s="673" t="n"/>
      <c r="I391" s="673" t="n"/>
      <c r="J391" s="673" t="n"/>
      <c r="K391" s="677" t="n"/>
      <c r="L391" s="677" t="n"/>
      <c r="M391" s="677" t="n"/>
      <c r="N391" s="396" t="n"/>
      <c r="O391" s="396" t="n"/>
      <c r="P391" s="396" t="n"/>
      <c r="Q391" s="396" t="n"/>
      <c r="R391" s="396" t="n"/>
      <c r="S391" s="396" t="n"/>
      <c r="T391" s="396" t="n"/>
      <c r="U391" s="396" t="n"/>
      <c r="V391" s="396" t="n"/>
      <c r="W391" s="396" t="n"/>
      <c r="X391" s="396" t="n"/>
    </row>
    <row r="392">
      <c r="B392" s="673" t="n"/>
      <c r="C392" s="673" t="n"/>
      <c r="D392" s="673" t="n"/>
      <c r="E392" s="675" t="n"/>
      <c r="F392" s="675" t="n"/>
      <c r="G392" s="675" t="n"/>
      <c r="H392" s="673" t="n"/>
      <c r="I392" s="673" t="n"/>
      <c r="J392" s="673" t="n"/>
      <c r="K392" s="677" t="n"/>
      <c r="L392" s="677" t="n"/>
      <c r="M392" s="677" t="n"/>
      <c r="N392" s="396" t="n"/>
      <c r="O392" s="396" t="n"/>
      <c r="P392" s="396" t="n"/>
      <c r="Q392" s="396" t="n"/>
      <c r="R392" s="396" t="n"/>
      <c r="S392" s="396" t="n"/>
      <c r="T392" s="396" t="n"/>
      <c r="U392" s="396" t="n"/>
      <c r="V392" s="396" t="n"/>
      <c r="W392" s="396" t="n"/>
      <c r="X392" s="396" t="n"/>
    </row>
    <row r="393">
      <c r="B393" s="673" t="n"/>
      <c r="C393" s="673" t="n"/>
      <c r="D393" s="673" t="n"/>
      <c r="E393" s="675" t="n"/>
      <c r="F393" s="675" t="n"/>
      <c r="G393" s="675" t="n"/>
      <c r="H393" s="673" t="n"/>
      <c r="I393" s="673" t="n"/>
      <c r="J393" s="673" t="n"/>
      <c r="K393" s="677" t="n"/>
      <c r="L393" s="677" t="n"/>
      <c r="M393" s="677" t="n"/>
      <c r="N393" s="396" t="n"/>
      <c r="O393" s="396" t="n"/>
      <c r="P393" s="396" t="n"/>
      <c r="Q393" s="396" t="n"/>
      <c r="R393" s="396" t="n"/>
      <c r="S393" s="396" t="n"/>
      <c r="T393" s="396" t="n"/>
      <c r="U393" s="396" t="n"/>
      <c r="V393" s="396" t="n"/>
      <c r="W393" s="396" t="n"/>
      <c r="X393" s="396" t="n"/>
    </row>
    <row r="394">
      <c r="B394" s="673" t="n"/>
      <c r="C394" s="673" t="n"/>
      <c r="D394" s="673" t="n"/>
      <c r="E394" s="675" t="n"/>
      <c r="F394" s="675" t="n"/>
      <c r="G394" s="675" t="n"/>
      <c r="H394" s="673" t="n"/>
      <c r="I394" s="673" t="n"/>
      <c r="J394" s="673" t="n"/>
      <c r="K394" s="677" t="n"/>
      <c r="L394" s="677" t="n"/>
      <c r="M394" s="677" t="n"/>
      <c r="N394" s="396" t="n"/>
      <c r="O394" s="396" t="n"/>
      <c r="P394" s="396" t="n"/>
      <c r="Q394" s="396" t="n"/>
      <c r="R394" s="396" t="n"/>
      <c r="S394" s="396" t="n"/>
      <c r="T394" s="396" t="n"/>
      <c r="U394" s="396" t="n"/>
      <c r="V394" s="396" t="n"/>
      <c r="W394" s="396" t="n"/>
      <c r="X394" s="396" t="n"/>
    </row>
    <row r="395">
      <c r="B395" s="673" t="n"/>
      <c r="C395" s="673" t="n"/>
      <c r="D395" s="673" t="n"/>
      <c r="E395" s="675" t="n"/>
      <c r="F395" s="675" t="n"/>
      <c r="G395" s="675" t="n"/>
      <c r="H395" s="673" t="n"/>
      <c r="I395" s="673" t="n"/>
      <c r="J395" s="673" t="n"/>
      <c r="K395" s="677" t="n"/>
      <c r="L395" s="677" t="n"/>
      <c r="M395" s="677" t="n"/>
      <c r="N395" s="396" t="n"/>
      <c r="O395" s="396" t="n"/>
      <c r="P395" s="396" t="n"/>
      <c r="Q395" s="396" t="n"/>
      <c r="R395" s="396" t="n"/>
      <c r="S395" s="396" t="n"/>
      <c r="T395" s="396" t="n"/>
      <c r="U395" s="396" t="n"/>
      <c r="V395" s="396" t="n"/>
      <c r="W395" s="396" t="n"/>
      <c r="X395" s="396" t="n"/>
    </row>
    <row r="396">
      <c r="B396" s="673" t="n"/>
      <c r="C396" s="673" t="n"/>
      <c r="D396" s="673" t="n"/>
      <c r="E396" s="675" t="n"/>
      <c r="F396" s="675" t="n"/>
      <c r="G396" s="675" t="n"/>
      <c r="H396" s="673" t="n"/>
      <c r="I396" s="673" t="n"/>
      <c r="J396" s="673" t="n"/>
      <c r="K396" s="677" t="n"/>
      <c r="L396" s="677" t="n"/>
      <c r="M396" s="677" t="n"/>
      <c r="N396" s="396" t="n"/>
      <c r="O396" s="396" t="n"/>
      <c r="P396" s="396" t="n"/>
      <c r="Q396" s="396" t="n"/>
      <c r="R396" s="396" t="n"/>
      <c r="S396" s="396" t="n"/>
      <c r="T396" s="396" t="n"/>
      <c r="U396" s="396" t="n"/>
      <c r="V396" s="396" t="n"/>
      <c r="W396" s="396" t="n"/>
      <c r="X396" s="396" t="n"/>
    </row>
    <row r="397">
      <c r="B397" s="673" t="n"/>
      <c r="C397" s="673" t="n"/>
      <c r="D397" s="673" t="n"/>
      <c r="E397" s="675" t="n"/>
      <c r="F397" s="675" t="n"/>
      <c r="G397" s="675" t="n"/>
      <c r="H397" s="673" t="n"/>
      <c r="I397" s="673" t="n"/>
      <c r="J397" s="673" t="n"/>
      <c r="K397" s="677" t="n"/>
      <c r="L397" s="677" t="n"/>
      <c r="M397" s="677" t="n"/>
      <c r="N397" s="396" t="n"/>
      <c r="O397" s="396" t="n"/>
      <c r="P397" s="396" t="n"/>
      <c r="Q397" s="396" t="n"/>
      <c r="R397" s="396" t="n"/>
      <c r="S397" s="396" t="n"/>
      <c r="T397" s="396" t="n"/>
      <c r="U397" s="396" t="n"/>
      <c r="V397" s="396" t="n"/>
      <c r="W397" s="396" t="n"/>
      <c r="X397" s="396" t="n"/>
    </row>
    <row r="398">
      <c r="B398" s="673" t="n"/>
      <c r="C398" s="673" t="n"/>
      <c r="D398" s="673" t="n"/>
      <c r="E398" s="675" t="n"/>
      <c r="F398" s="675" t="n"/>
      <c r="G398" s="675" t="n"/>
      <c r="H398" s="673" t="n"/>
      <c r="I398" s="673" t="n"/>
      <c r="J398" s="673" t="n"/>
      <c r="K398" s="677" t="n"/>
      <c r="L398" s="677" t="n"/>
      <c r="M398" s="677" t="n"/>
      <c r="N398" s="396" t="n"/>
      <c r="O398" s="396" t="n"/>
      <c r="P398" s="396" t="n"/>
      <c r="Q398" s="396" t="n"/>
      <c r="R398" s="396" t="n"/>
      <c r="S398" s="396" t="n"/>
      <c r="T398" s="396" t="n"/>
      <c r="U398" s="396" t="n"/>
      <c r="V398" s="396" t="n"/>
      <c r="W398" s="396" t="n"/>
      <c r="X398" s="396" t="n"/>
    </row>
    <row r="399">
      <c r="B399" s="673" t="n"/>
      <c r="C399" s="673" t="n"/>
      <c r="D399" s="673" t="n"/>
      <c r="E399" s="675" t="n"/>
      <c r="F399" s="675" t="n"/>
      <c r="G399" s="675" t="n"/>
      <c r="H399" s="673" t="n"/>
      <c r="I399" s="673" t="n"/>
      <c r="J399" s="673" t="n"/>
      <c r="K399" s="677" t="n"/>
      <c r="L399" s="677" t="n"/>
      <c r="M399" s="677" t="n"/>
      <c r="N399" s="396" t="n"/>
      <c r="O399" s="396" t="n"/>
      <c r="P399" s="396" t="n"/>
      <c r="Q399" s="396" t="n"/>
      <c r="R399" s="396" t="n"/>
      <c r="S399" s="396" t="n"/>
      <c r="T399" s="396" t="n"/>
      <c r="U399" s="396" t="n"/>
      <c r="V399" s="396" t="n"/>
      <c r="W399" s="396" t="n"/>
      <c r="X399" s="396" t="n"/>
    </row>
    <row r="400">
      <c r="B400" s="673" t="n"/>
      <c r="C400" s="673" t="n"/>
      <c r="D400" s="673" t="n"/>
      <c r="E400" s="675" t="n"/>
      <c r="F400" s="675" t="n"/>
      <c r="G400" s="675" t="n"/>
      <c r="H400" s="673" t="n"/>
      <c r="I400" s="673" t="n"/>
      <c r="J400" s="673" t="n"/>
      <c r="K400" s="677" t="n"/>
      <c r="L400" s="677" t="n"/>
      <c r="M400" s="677" t="n"/>
      <c r="N400" s="396" t="n"/>
      <c r="O400" s="396" t="n"/>
      <c r="P400" s="396" t="n"/>
      <c r="Q400" s="396" t="n"/>
      <c r="R400" s="396" t="n"/>
      <c r="S400" s="396" t="n"/>
      <c r="T400" s="396" t="n"/>
      <c r="U400" s="396" t="n"/>
      <c r="V400" s="396" t="n"/>
      <c r="W400" s="396" t="n"/>
      <c r="X400" s="396" t="n"/>
    </row>
    <row r="401">
      <c r="B401" s="673" t="n"/>
      <c r="C401" s="673" t="n"/>
      <c r="D401" s="673" t="n"/>
      <c r="E401" s="675" t="n"/>
      <c r="F401" s="675" t="n"/>
      <c r="G401" s="675" t="n"/>
      <c r="H401" s="673" t="n"/>
      <c r="I401" s="673" t="n"/>
      <c r="J401" s="673" t="n"/>
      <c r="K401" s="677" t="n"/>
      <c r="L401" s="677" t="n"/>
      <c r="M401" s="677" t="n"/>
      <c r="N401" s="396" t="n"/>
      <c r="O401" s="396" t="n"/>
      <c r="P401" s="396" t="n"/>
      <c r="Q401" s="396" t="n"/>
      <c r="R401" s="396" t="n"/>
      <c r="S401" s="396" t="n"/>
      <c r="T401" s="396" t="n"/>
      <c r="U401" s="396" t="n"/>
      <c r="V401" s="396" t="n"/>
      <c r="W401" s="396" t="n"/>
      <c r="X401" s="396" t="n"/>
    </row>
    <row r="402">
      <c r="B402" s="673" t="n"/>
      <c r="C402" s="673" t="n"/>
      <c r="D402" s="673" t="n"/>
      <c r="E402" s="675" t="n"/>
      <c r="F402" s="675" t="n"/>
      <c r="G402" s="675" t="n"/>
      <c r="H402" s="673" t="n"/>
      <c r="I402" s="673" t="n"/>
      <c r="J402" s="673" t="n"/>
      <c r="K402" s="677" t="n"/>
      <c r="L402" s="677" t="n"/>
      <c r="M402" s="677" t="n"/>
      <c r="N402" s="396" t="n"/>
      <c r="O402" s="396" t="n"/>
      <c r="P402" s="396" t="n"/>
      <c r="Q402" s="396" t="n"/>
      <c r="R402" s="396" t="n"/>
      <c r="S402" s="396" t="n"/>
      <c r="T402" s="396" t="n"/>
      <c r="U402" s="396" t="n"/>
      <c r="V402" s="396" t="n"/>
      <c r="W402" s="396" t="n"/>
      <c r="X402" s="396" t="n"/>
    </row>
    <row r="403">
      <c r="B403" s="673" t="n"/>
      <c r="C403" s="673" t="n"/>
      <c r="D403" s="673" t="n"/>
      <c r="E403" s="675" t="n"/>
      <c r="F403" s="675" t="n"/>
      <c r="G403" s="675" t="n"/>
      <c r="H403" s="673" t="n"/>
      <c r="I403" s="673" t="n"/>
      <c r="J403" s="673" t="n"/>
      <c r="K403" s="677" t="n"/>
      <c r="L403" s="677" t="n"/>
      <c r="M403" s="677" t="n"/>
      <c r="N403" s="396" t="n"/>
      <c r="O403" s="396" t="n"/>
      <c r="P403" s="396" t="n"/>
      <c r="Q403" s="396" t="n"/>
      <c r="R403" s="396" t="n"/>
      <c r="S403" s="396" t="n"/>
      <c r="T403" s="396" t="n"/>
      <c r="U403" s="396" t="n"/>
      <c r="V403" s="396" t="n"/>
      <c r="W403" s="396" t="n"/>
      <c r="X403" s="396" t="n"/>
    </row>
    <row r="404">
      <c r="B404" s="673" t="n"/>
      <c r="C404" s="673" t="n"/>
      <c r="D404" s="673" t="n"/>
      <c r="E404" s="675" t="n"/>
      <c r="F404" s="675" t="n"/>
      <c r="G404" s="675" t="n"/>
      <c r="H404" s="673" t="n"/>
      <c r="I404" s="673" t="n"/>
      <c r="J404" s="673" t="n"/>
      <c r="K404" s="677" t="n"/>
      <c r="L404" s="677" t="n"/>
      <c r="M404" s="677" t="n"/>
      <c r="N404" s="396" t="n"/>
      <c r="O404" s="396" t="n"/>
      <c r="P404" s="396" t="n"/>
      <c r="Q404" s="396" t="n"/>
      <c r="R404" s="396" t="n"/>
      <c r="S404" s="396" t="n"/>
      <c r="T404" s="396" t="n"/>
      <c r="U404" s="396" t="n"/>
      <c r="V404" s="396" t="n"/>
      <c r="W404" s="396" t="n"/>
      <c r="X404" s="396" t="n"/>
    </row>
    <row r="405">
      <c r="B405" s="673" t="n"/>
      <c r="C405" s="673" t="n"/>
      <c r="D405" s="673" t="n"/>
      <c r="E405" s="675" t="n"/>
      <c r="F405" s="675" t="n"/>
      <c r="G405" s="675" t="n"/>
      <c r="H405" s="673" t="n"/>
      <c r="I405" s="673" t="n"/>
      <c r="J405" s="673" t="n"/>
      <c r="K405" s="677" t="n"/>
      <c r="L405" s="677" t="n"/>
      <c r="M405" s="677" t="n"/>
      <c r="N405" s="396" t="n"/>
      <c r="O405" s="396" t="n"/>
      <c r="P405" s="396" t="n"/>
      <c r="Q405" s="396" t="n"/>
      <c r="R405" s="396" t="n"/>
      <c r="S405" s="396" t="n"/>
      <c r="T405" s="396" t="n"/>
      <c r="U405" s="396" t="n"/>
      <c r="V405" s="396" t="n"/>
      <c r="W405" s="396" t="n"/>
      <c r="X405" s="396" t="n"/>
    </row>
    <row r="406">
      <c r="B406" s="673" t="n"/>
      <c r="C406" s="673" t="n"/>
      <c r="D406" s="673" t="n"/>
      <c r="E406" s="675" t="n"/>
      <c r="F406" s="675" t="n"/>
      <c r="G406" s="675" t="n"/>
      <c r="H406" s="673" t="n"/>
      <c r="I406" s="673" t="n"/>
      <c r="J406" s="673" t="n"/>
      <c r="K406" s="677" t="n"/>
      <c r="L406" s="677" t="n"/>
      <c r="M406" s="677" t="n"/>
      <c r="N406" s="396" t="n"/>
      <c r="O406" s="396" t="n"/>
      <c r="P406" s="396" t="n"/>
      <c r="Q406" s="396" t="n"/>
      <c r="R406" s="396" t="n"/>
      <c r="S406" s="396" t="n"/>
      <c r="T406" s="396" t="n"/>
      <c r="U406" s="396" t="n"/>
      <c r="V406" s="396" t="n"/>
      <c r="W406" s="396" t="n"/>
      <c r="X406" s="396" t="n"/>
    </row>
    <row r="407">
      <c r="B407" s="673" t="n"/>
      <c r="C407" s="673" t="n"/>
      <c r="D407" s="673" t="n"/>
      <c r="E407" s="675" t="n"/>
      <c r="F407" s="675" t="n"/>
      <c r="G407" s="675" t="n"/>
      <c r="H407" s="673" t="n"/>
      <c r="I407" s="673" t="n"/>
      <c r="J407" s="673" t="n"/>
      <c r="K407" s="677" t="n"/>
      <c r="L407" s="677" t="n"/>
      <c r="M407" s="677" t="n"/>
      <c r="N407" s="396" t="n"/>
      <c r="O407" s="396" t="n"/>
      <c r="P407" s="396" t="n"/>
      <c r="Q407" s="396" t="n"/>
      <c r="R407" s="396" t="n"/>
      <c r="S407" s="396" t="n"/>
      <c r="T407" s="396" t="n"/>
      <c r="U407" s="396" t="n"/>
      <c r="V407" s="396" t="n"/>
      <c r="W407" s="396" t="n"/>
      <c r="X407" s="396" t="n"/>
    </row>
    <row r="408">
      <c r="B408" s="673" t="n"/>
      <c r="C408" s="673" t="n"/>
      <c r="D408" s="673" t="n"/>
      <c r="E408" s="675" t="n"/>
      <c r="F408" s="675" t="n"/>
      <c r="G408" s="675" t="n"/>
      <c r="H408" s="673" t="n"/>
      <c r="I408" s="673" t="n"/>
      <c r="J408" s="673" t="n"/>
      <c r="K408" s="677" t="n"/>
      <c r="L408" s="677" t="n"/>
      <c r="M408" s="677" t="n"/>
      <c r="N408" s="396" t="n"/>
      <c r="O408" s="396" t="n"/>
      <c r="P408" s="396" t="n"/>
      <c r="Q408" s="396" t="n"/>
      <c r="R408" s="396" t="n"/>
      <c r="S408" s="396" t="n"/>
      <c r="T408" s="396" t="n"/>
      <c r="U408" s="396" t="n"/>
      <c r="V408" s="396" t="n"/>
      <c r="W408" s="396" t="n"/>
      <c r="X408" s="396" t="n"/>
    </row>
    <row r="409">
      <c r="B409" s="673" t="n"/>
      <c r="C409" s="673" t="n"/>
      <c r="D409" s="673" t="n"/>
      <c r="E409" s="675" t="n"/>
      <c r="F409" s="675" t="n"/>
      <c r="G409" s="675" t="n"/>
      <c r="H409" s="673" t="n"/>
      <c r="I409" s="673" t="n"/>
      <c r="J409" s="673" t="n"/>
      <c r="K409" s="677" t="n"/>
      <c r="L409" s="677" t="n"/>
      <c r="M409" s="677" t="n"/>
      <c r="N409" s="396" t="n"/>
      <c r="O409" s="396" t="n"/>
      <c r="P409" s="396" t="n"/>
      <c r="Q409" s="396" t="n"/>
      <c r="R409" s="396" t="n"/>
      <c r="S409" s="396" t="n"/>
      <c r="T409" s="396" t="n"/>
      <c r="U409" s="396" t="n"/>
      <c r="V409" s="396" t="n"/>
      <c r="W409" s="396" t="n"/>
      <c r="X409" s="396" t="n"/>
    </row>
    <row r="410">
      <c r="B410" s="673" t="n"/>
      <c r="C410" s="673" t="n"/>
      <c r="D410" s="673" t="n"/>
      <c r="E410" s="675" t="n"/>
      <c r="F410" s="675" t="n"/>
      <c r="G410" s="675" t="n"/>
      <c r="H410" s="673" t="n"/>
      <c r="I410" s="673" t="n"/>
      <c r="J410" s="673" t="n"/>
      <c r="K410" s="677" t="n"/>
      <c r="L410" s="677" t="n"/>
      <c r="M410" s="677" t="n"/>
      <c r="N410" s="396" t="n"/>
      <c r="O410" s="396" t="n"/>
      <c r="P410" s="396" t="n"/>
      <c r="Q410" s="396" t="n"/>
      <c r="R410" s="396" t="n"/>
      <c r="S410" s="396" t="n"/>
      <c r="T410" s="396" t="n"/>
      <c r="U410" s="396" t="n"/>
      <c r="V410" s="396" t="n"/>
      <c r="W410" s="396" t="n"/>
      <c r="X410" s="396" t="n"/>
    </row>
    <row r="411">
      <c r="B411" s="673" t="n"/>
      <c r="C411" s="673" t="n"/>
      <c r="D411" s="673" t="n"/>
      <c r="E411" s="675" t="n"/>
      <c r="F411" s="675" t="n"/>
      <c r="G411" s="675" t="n"/>
      <c r="H411" s="673" t="n"/>
      <c r="I411" s="673" t="n"/>
      <c r="J411" s="673" t="n"/>
      <c r="K411" s="677" t="n"/>
      <c r="L411" s="677" t="n"/>
      <c r="M411" s="677" t="n"/>
      <c r="N411" s="396" t="n"/>
      <c r="O411" s="396" t="n"/>
      <c r="P411" s="396" t="n"/>
      <c r="Q411" s="396" t="n"/>
      <c r="R411" s="396" t="n"/>
      <c r="S411" s="396" t="n"/>
      <c r="T411" s="396" t="n"/>
      <c r="U411" s="396" t="n"/>
      <c r="V411" s="396" t="n"/>
      <c r="W411" s="396" t="n"/>
      <c r="X411" s="396" t="n"/>
    </row>
    <row r="412">
      <c r="B412" s="673" t="n"/>
      <c r="C412" s="673" t="n"/>
      <c r="D412" s="673" t="n"/>
      <c r="E412" s="675" t="n"/>
      <c r="F412" s="675" t="n"/>
      <c r="G412" s="675" t="n"/>
      <c r="H412" s="673" t="n"/>
      <c r="I412" s="673" t="n"/>
      <c r="J412" s="673" t="n"/>
      <c r="K412" s="677" t="n"/>
      <c r="L412" s="677" t="n"/>
      <c r="M412" s="677" t="n"/>
      <c r="N412" s="396" t="n"/>
      <c r="O412" s="396" t="n"/>
      <c r="P412" s="396" t="n"/>
      <c r="Q412" s="396" t="n"/>
      <c r="R412" s="396" t="n"/>
      <c r="S412" s="396" t="n"/>
      <c r="T412" s="396" t="n"/>
      <c r="U412" s="396" t="n"/>
      <c r="V412" s="396" t="n"/>
      <c r="W412" s="396" t="n"/>
      <c r="X412" s="396" t="n"/>
    </row>
    <row r="413">
      <c r="B413" s="673" t="n"/>
      <c r="C413" s="673" t="n"/>
      <c r="D413" s="673" t="n"/>
      <c r="E413" s="675" t="n"/>
      <c r="F413" s="675" t="n"/>
      <c r="G413" s="675" t="n"/>
      <c r="H413" s="673" t="n"/>
      <c r="I413" s="673" t="n"/>
      <c r="J413" s="673" t="n"/>
      <c r="K413" s="677" t="n"/>
      <c r="L413" s="677" t="n"/>
      <c r="M413" s="677" t="n"/>
      <c r="N413" s="396" t="n"/>
      <c r="O413" s="396" t="n"/>
      <c r="P413" s="396" t="n"/>
      <c r="Q413" s="396" t="n"/>
      <c r="R413" s="396" t="n"/>
      <c r="S413" s="396" t="n"/>
      <c r="T413" s="396" t="n"/>
      <c r="U413" s="396" t="n"/>
      <c r="V413" s="396" t="n"/>
      <c r="W413" s="396" t="n"/>
      <c r="X413" s="396" t="n"/>
    </row>
    <row r="414">
      <c r="B414" s="673" t="n"/>
      <c r="C414" s="673" t="n"/>
      <c r="D414" s="673" t="n"/>
      <c r="E414" s="675" t="n"/>
      <c r="F414" s="675" t="n"/>
      <c r="G414" s="675" t="n"/>
      <c r="H414" s="673" t="n"/>
      <c r="I414" s="673" t="n"/>
      <c r="J414" s="673" t="n"/>
      <c r="K414" s="677" t="n"/>
      <c r="L414" s="677" t="n"/>
      <c r="M414" s="677" t="n"/>
      <c r="N414" s="396" t="n"/>
      <c r="O414" s="396" t="n"/>
      <c r="P414" s="396" t="n"/>
      <c r="Q414" s="396" t="n"/>
      <c r="R414" s="396" t="n"/>
      <c r="S414" s="396" t="n"/>
      <c r="T414" s="396" t="n"/>
      <c r="U414" s="396" t="n"/>
      <c r="V414" s="396" t="n"/>
      <c r="W414" s="396" t="n"/>
      <c r="X414" s="396" t="n"/>
    </row>
    <row r="415">
      <c r="B415" s="673" t="n"/>
      <c r="C415" s="673" t="n"/>
      <c r="D415" s="673" t="n"/>
      <c r="E415" s="675" t="n"/>
      <c r="F415" s="675" t="n"/>
      <c r="G415" s="675" t="n"/>
      <c r="H415" s="673" t="n"/>
      <c r="I415" s="673" t="n"/>
      <c r="J415" s="673" t="n"/>
      <c r="K415" s="677" t="n"/>
      <c r="L415" s="677" t="n"/>
      <c r="M415" s="677" t="n"/>
      <c r="N415" s="396" t="n"/>
      <c r="O415" s="396" t="n"/>
      <c r="P415" s="396" t="n"/>
      <c r="Q415" s="396" t="n"/>
      <c r="R415" s="396" t="n"/>
      <c r="S415" s="396" t="n"/>
      <c r="T415" s="396" t="n"/>
      <c r="U415" s="396" t="n"/>
      <c r="V415" s="396" t="n"/>
      <c r="W415" s="396" t="n"/>
      <c r="X415" s="396" t="n"/>
    </row>
    <row r="416">
      <c r="B416" s="673" t="n"/>
      <c r="C416" s="673" t="n"/>
      <c r="D416" s="673" t="n"/>
      <c r="E416" s="675" t="n"/>
      <c r="F416" s="675" t="n"/>
      <c r="G416" s="675" t="n"/>
      <c r="H416" s="673" t="n"/>
      <c r="I416" s="673" t="n"/>
      <c r="J416" s="673" t="n"/>
      <c r="K416" s="677" t="n"/>
      <c r="L416" s="677" t="n"/>
      <c r="M416" s="677" t="n"/>
      <c r="N416" s="396" t="n"/>
      <c r="O416" s="396" t="n"/>
      <c r="P416" s="396" t="n"/>
      <c r="Q416" s="396" t="n"/>
      <c r="R416" s="396" t="n"/>
      <c r="S416" s="396" t="n"/>
      <c r="T416" s="396" t="n"/>
      <c r="U416" s="396" t="n"/>
      <c r="V416" s="396" t="n"/>
      <c r="W416" s="396" t="n"/>
      <c r="X416" s="396" t="n"/>
    </row>
    <row r="417">
      <c r="B417" s="673" t="n"/>
      <c r="C417" s="673" t="n"/>
      <c r="D417" s="673" t="n"/>
      <c r="E417" s="675" t="n"/>
      <c r="F417" s="675" t="n"/>
      <c r="G417" s="675" t="n"/>
      <c r="H417" s="673" t="n"/>
      <c r="I417" s="673" t="n"/>
      <c r="J417" s="673" t="n"/>
      <c r="K417" s="677" t="n"/>
      <c r="L417" s="677" t="n"/>
      <c r="M417" s="677" t="n"/>
      <c r="N417" s="396" t="n"/>
      <c r="O417" s="396" t="n"/>
      <c r="P417" s="396" t="n"/>
      <c r="Q417" s="396" t="n"/>
      <c r="R417" s="396" t="n"/>
      <c r="S417" s="396" t="n"/>
      <c r="T417" s="396" t="n"/>
      <c r="U417" s="396" t="n"/>
      <c r="V417" s="396" t="n"/>
      <c r="W417" s="396" t="n"/>
      <c r="X417" s="396" t="n"/>
    </row>
    <row r="418">
      <c r="B418" s="673" t="n"/>
      <c r="C418" s="673" t="n"/>
      <c r="D418" s="673" t="n"/>
      <c r="E418" s="675" t="n"/>
      <c r="F418" s="675" t="n"/>
      <c r="G418" s="675" t="n"/>
      <c r="H418" s="673" t="n"/>
      <c r="I418" s="673" t="n"/>
      <c r="J418" s="673" t="n"/>
      <c r="K418" s="677" t="n"/>
      <c r="L418" s="677" t="n"/>
      <c r="M418" s="677" t="n"/>
      <c r="N418" s="396" t="n"/>
      <c r="O418" s="396" t="n"/>
      <c r="P418" s="396" t="n"/>
      <c r="Q418" s="396" t="n"/>
      <c r="R418" s="396" t="n"/>
      <c r="S418" s="396" t="n"/>
      <c r="T418" s="396" t="n"/>
      <c r="U418" s="396" t="n"/>
      <c r="V418" s="396" t="n"/>
      <c r="W418" s="396" t="n"/>
      <c r="X418" s="396" t="n"/>
    </row>
    <row r="419">
      <c r="B419" s="673" t="n"/>
      <c r="C419" s="673" t="n"/>
      <c r="D419" s="673" t="n"/>
      <c r="E419" s="675" t="n"/>
      <c r="F419" s="675" t="n"/>
      <c r="G419" s="675" t="n"/>
      <c r="H419" s="673" t="n"/>
      <c r="I419" s="673" t="n"/>
      <c r="J419" s="673" t="n"/>
      <c r="K419" s="677" t="n"/>
      <c r="L419" s="677" t="n"/>
      <c r="M419" s="677" t="n"/>
      <c r="N419" s="396" t="n"/>
      <c r="O419" s="396" t="n"/>
      <c r="P419" s="396" t="n"/>
      <c r="Q419" s="396" t="n"/>
      <c r="R419" s="396" t="n"/>
      <c r="S419" s="396" t="n"/>
      <c r="T419" s="396" t="n"/>
      <c r="U419" s="396" t="n"/>
      <c r="V419" s="396" t="n"/>
      <c r="W419" s="396" t="n"/>
      <c r="X419" s="396" t="n"/>
    </row>
    <row r="420">
      <c r="B420" s="673" t="n"/>
      <c r="C420" s="673" t="n"/>
      <c r="D420" s="673" t="n"/>
      <c r="E420" s="675" t="n"/>
      <c r="F420" s="675" t="n"/>
      <c r="G420" s="675" t="n"/>
      <c r="H420" s="673" t="n"/>
      <c r="I420" s="673" t="n"/>
      <c r="J420" s="673" t="n"/>
      <c r="K420" s="677" t="n"/>
      <c r="L420" s="677" t="n"/>
      <c r="M420" s="677" t="n"/>
      <c r="N420" s="396" t="n"/>
      <c r="O420" s="396" t="n"/>
      <c r="P420" s="396" t="n"/>
      <c r="Q420" s="396" t="n"/>
      <c r="R420" s="396" t="n"/>
      <c r="S420" s="396" t="n"/>
      <c r="T420" s="396" t="n"/>
      <c r="U420" s="396" t="n"/>
      <c r="V420" s="396" t="n"/>
      <c r="W420" s="396" t="n"/>
      <c r="X420" s="396" t="n"/>
    </row>
    <row r="421">
      <c r="B421" s="673" t="n"/>
      <c r="C421" s="673" t="n"/>
      <c r="D421" s="673" t="n"/>
      <c r="E421" s="675" t="n"/>
      <c r="F421" s="675" t="n"/>
      <c r="G421" s="675" t="n"/>
      <c r="H421" s="673" t="n"/>
      <c r="I421" s="673" t="n"/>
      <c r="J421" s="673" t="n"/>
      <c r="K421" s="677" t="n"/>
      <c r="L421" s="677" t="n"/>
      <c r="M421" s="677" t="n"/>
      <c r="N421" s="396" t="n"/>
      <c r="O421" s="396" t="n"/>
      <c r="P421" s="396" t="n"/>
      <c r="Q421" s="396" t="n"/>
      <c r="R421" s="396" t="n"/>
      <c r="S421" s="396" t="n"/>
      <c r="T421" s="396" t="n"/>
      <c r="U421" s="396" t="n"/>
      <c r="V421" s="396" t="n"/>
      <c r="W421" s="396" t="n"/>
      <c r="X421" s="396" t="n"/>
    </row>
    <row r="422">
      <c r="B422" s="673" t="n"/>
      <c r="C422" s="673" t="n"/>
      <c r="D422" s="673" t="n"/>
      <c r="E422" s="675" t="n"/>
      <c r="F422" s="675" t="n"/>
      <c r="G422" s="675" t="n"/>
      <c r="H422" s="673" t="n"/>
      <c r="I422" s="673" t="n"/>
      <c r="J422" s="673" t="n"/>
      <c r="K422" s="677" t="n"/>
      <c r="L422" s="677" t="n"/>
      <c r="M422" s="677" t="n"/>
      <c r="N422" s="396" t="n"/>
      <c r="O422" s="396" t="n"/>
      <c r="P422" s="396" t="n"/>
      <c r="Q422" s="396" t="n"/>
      <c r="R422" s="396" t="n"/>
      <c r="S422" s="396" t="n"/>
      <c r="T422" s="396" t="n"/>
      <c r="U422" s="396" t="n"/>
      <c r="V422" s="396" t="n"/>
      <c r="W422" s="396" t="n"/>
      <c r="X422" s="396" t="n"/>
    </row>
    <row r="423">
      <c r="B423" s="673" t="n"/>
      <c r="C423" s="673" t="n"/>
      <c r="D423" s="673" t="n"/>
      <c r="E423" s="675" t="n"/>
      <c r="F423" s="675" t="n"/>
      <c r="G423" s="675" t="n"/>
      <c r="H423" s="673" t="n"/>
      <c r="I423" s="673" t="n"/>
      <c r="J423" s="673" t="n"/>
      <c r="K423" s="677" t="n"/>
      <c r="L423" s="677" t="n"/>
      <c r="M423" s="677" t="n"/>
      <c r="N423" s="396" t="n"/>
      <c r="O423" s="396" t="n"/>
      <c r="P423" s="396" t="n"/>
      <c r="Q423" s="396" t="n"/>
      <c r="R423" s="396" t="n"/>
      <c r="S423" s="396" t="n"/>
      <c r="T423" s="396" t="n"/>
      <c r="U423" s="396" t="n"/>
      <c r="V423" s="396" t="n"/>
      <c r="W423" s="396" t="n"/>
      <c r="X423" s="396" t="n"/>
    </row>
    <row r="424">
      <c r="B424" s="673" t="n"/>
      <c r="C424" s="673" t="n"/>
      <c r="D424" s="673" t="n"/>
      <c r="E424" s="675" t="n"/>
      <c r="F424" s="675" t="n"/>
      <c r="G424" s="675" t="n"/>
      <c r="H424" s="673" t="n"/>
      <c r="I424" s="673" t="n"/>
      <c r="J424" s="673" t="n"/>
      <c r="K424" s="677" t="n"/>
      <c r="L424" s="677" t="n"/>
      <c r="M424" s="677" t="n"/>
      <c r="N424" s="396" t="n"/>
      <c r="O424" s="396" t="n"/>
      <c r="P424" s="396" t="n"/>
      <c r="Q424" s="396" t="n"/>
      <c r="R424" s="396" t="n"/>
      <c r="S424" s="396" t="n"/>
      <c r="T424" s="396" t="n"/>
      <c r="U424" s="396" t="n"/>
      <c r="V424" s="396" t="n"/>
      <c r="W424" s="396" t="n"/>
      <c r="X424" s="396" t="n"/>
    </row>
    <row r="425">
      <c r="B425" s="673" t="n"/>
      <c r="C425" s="673" t="n"/>
      <c r="D425" s="673" t="n"/>
      <c r="E425" s="675" t="n"/>
      <c r="F425" s="675" t="n"/>
      <c r="G425" s="675" t="n"/>
      <c r="H425" s="673" t="n"/>
      <c r="I425" s="673" t="n"/>
      <c r="J425" s="673" t="n"/>
      <c r="K425" s="677" t="n"/>
      <c r="L425" s="677" t="n"/>
      <c r="M425" s="677" t="n"/>
      <c r="N425" s="396" t="n"/>
      <c r="O425" s="396" t="n"/>
      <c r="P425" s="396" t="n"/>
      <c r="Q425" s="396" t="n"/>
      <c r="R425" s="396" t="n"/>
      <c r="S425" s="396" t="n"/>
      <c r="T425" s="396" t="n"/>
      <c r="U425" s="396" t="n"/>
      <c r="V425" s="396" t="n"/>
      <c r="W425" s="396" t="n"/>
      <c r="X425" s="396" t="n"/>
    </row>
    <row r="426">
      <c r="B426" s="673" t="n"/>
      <c r="C426" s="673" t="n"/>
      <c r="D426" s="673" t="n"/>
      <c r="E426" s="675" t="n"/>
      <c r="F426" s="675" t="n"/>
      <c r="G426" s="675" t="n"/>
      <c r="H426" s="673" t="n"/>
      <c r="I426" s="673" t="n"/>
      <c r="J426" s="673" t="n"/>
      <c r="K426" s="677" t="n"/>
      <c r="L426" s="677" t="n"/>
      <c r="M426" s="677" t="n"/>
      <c r="N426" s="396" t="n"/>
      <c r="O426" s="396" t="n"/>
      <c r="P426" s="396" t="n"/>
      <c r="Q426" s="396" t="n"/>
      <c r="R426" s="396" t="n"/>
      <c r="S426" s="396" t="n"/>
      <c r="T426" s="396" t="n"/>
      <c r="U426" s="396" t="n"/>
      <c r="V426" s="396" t="n"/>
      <c r="W426" s="396" t="n"/>
      <c r="X426" s="396" t="n"/>
    </row>
    <row r="427">
      <c r="B427" s="673" t="n"/>
      <c r="C427" s="673" t="n"/>
      <c r="D427" s="673" t="n"/>
      <c r="E427" s="675" t="n"/>
      <c r="F427" s="675" t="n"/>
      <c r="G427" s="675" t="n"/>
      <c r="H427" s="673" t="n"/>
      <c r="I427" s="673" t="n"/>
      <c r="J427" s="673" t="n"/>
      <c r="K427" s="677" t="n"/>
      <c r="L427" s="677" t="n"/>
      <c r="M427" s="677" t="n"/>
      <c r="N427" s="396" t="n"/>
      <c r="O427" s="396" t="n"/>
      <c r="P427" s="396" t="n"/>
      <c r="Q427" s="396" t="n"/>
      <c r="R427" s="396" t="n"/>
      <c r="S427" s="396" t="n"/>
      <c r="T427" s="396" t="n"/>
      <c r="U427" s="396" t="n"/>
      <c r="V427" s="396" t="n"/>
      <c r="W427" s="396" t="n"/>
      <c r="X427" s="396" t="n"/>
    </row>
    <row r="428">
      <c r="B428" s="673" t="n"/>
      <c r="C428" s="673" t="n"/>
      <c r="D428" s="673" t="n"/>
      <c r="E428" s="675" t="n"/>
      <c r="F428" s="675" t="n"/>
      <c r="G428" s="675" t="n"/>
      <c r="H428" s="673" t="n"/>
      <c r="I428" s="673" t="n"/>
      <c r="J428" s="673" t="n"/>
      <c r="K428" s="677" t="n"/>
      <c r="L428" s="677" t="n"/>
      <c r="M428" s="677" t="n"/>
      <c r="N428" s="396" t="n"/>
      <c r="O428" s="396" t="n"/>
      <c r="P428" s="396" t="n"/>
      <c r="Q428" s="396" t="n"/>
      <c r="R428" s="396" t="n"/>
      <c r="S428" s="396" t="n"/>
      <c r="T428" s="396" t="n"/>
      <c r="U428" s="396" t="n"/>
      <c r="V428" s="396" t="n"/>
      <c r="W428" s="396" t="n"/>
      <c r="X428" s="396" t="n"/>
    </row>
    <row r="429">
      <c r="B429" s="673" t="n"/>
      <c r="C429" s="673" t="n"/>
      <c r="D429" s="673" t="n"/>
      <c r="E429" s="675" t="n"/>
      <c r="F429" s="675" t="n"/>
      <c r="G429" s="675" t="n"/>
      <c r="H429" s="673" t="n"/>
      <c r="I429" s="673" t="n"/>
      <c r="J429" s="673" t="n"/>
      <c r="K429" s="677" t="n"/>
      <c r="L429" s="677" t="n"/>
      <c r="M429" s="677" t="n"/>
      <c r="N429" s="396" t="n"/>
      <c r="O429" s="396" t="n"/>
      <c r="P429" s="396" t="n"/>
      <c r="Q429" s="396" t="n"/>
      <c r="R429" s="396" t="n"/>
      <c r="S429" s="396" t="n"/>
      <c r="T429" s="396" t="n"/>
      <c r="U429" s="396" t="n"/>
      <c r="V429" s="396" t="n"/>
      <c r="W429" s="396" t="n"/>
      <c r="X429" s="396" t="n"/>
    </row>
    <row r="430">
      <c r="B430" s="673" t="n"/>
      <c r="C430" s="673" t="n"/>
      <c r="D430" s="673" t="n"/>
      <c r="E430" s="675" t="n"/>
      <c r="F430" s="675" t="n"/>
      <c r="G430" s="675" t="n"/>
      <c r="H430" s="673" t="n"/>
      <c r="I430" s="673" t="n"/>
      <c r="J430" s="673" t="n"/>
      <c r="K430" s="677" t="n"/>
      <c r="L430" s="677" t="n"/>
      <c r="M430" s="677" t="n"/>
      <c r="N430" s="396" t="n"/>
      <c r="O430" s="396" t="n"/>
      <c r="P430" s="396" t="n"/>
      <c r="Q430" s="396" t="n"/>
      <c r="R430" s="396" t="n"/>
      <c r="S430" s="396" t="n"/>
      <c r="T430" s="396" t="n"/>
      <c r="U430" s="396" t="n"/>
      <c r="V430" s="396" t="n"/>
      <c r="W430" s="396" t="n"/>
      <c r="X430" s="396" t="n"/>
    </row>
    <row r="431">
      <c r="B431" s="673" t="n"/>
      <c r="C431" s="673" t="n"/>
      <c r="D431" s="673" t="n"/>
      <c r="E431" s="675" t="n"/>
      <c r="F431" s="675" t="n"/>
      <c r="G431" s="675" t="n"/>
      <c r="H431" s="673" t="n"/>
      <c r="I431" s="673" t="n"/>
      <c r="J431" s="673" t="n"/>
      <c r="K431" s="677" t="n"/>
      <c r="L431" s="677" t="n"/>
      <c r="M431" s="677" t="n"/>
      <c r="N431" s="396" t="n"/>
      <c r="O431" s="396" t="n"/>
      <c r="P431" s="396" t="n"/>
      <c r="Q431" s="396" t="n"/>
      <c r="R431" s="396" t="n"/>
      <c r="S431" s="396" t="n"/>
      <c r="T431" s="396" t="n"/>
      <c r="U431" s="396" t="n"/>
      <c r="V431" s="396" t="n"/>
      <c r="W431" s="396" t="n"/>
      <c r="X431" s="396" t="n"/>
    </row>
    <row r="432">
      <c r="B432" s="673" t="n"/>
      <c r="C432" s="673" t="n"/>
      <c r="D432" s="673" t="n"/>
      <c r="E432" s="675" t="n"/>
      <c r="F432" s="675" t="n"/>
      <c r="G432" s="675" t="n"/>
      <c r="H432" s="673" t="n"/>
      <c r="I432" s="673" t="n"/>
      <c r="J432" s="673" t="n"/>
      <c r="K432" s="677" t="n"/>
      <c r="L432" s="677" t="n"/>
      <c r="M432" s="677" t="n"/>
      <c r="N432" s="396" t="n"/>
      <c r="O432" s="396" t="n"/>
      <c r="P432" s="396" t="n"/>
      <c r="Q432" s="396" t="n"/>
      <c r="R432" s="396" t="n"/>
      <c r="S432" s="396" t="n"/>
      <c r="T432" s="396" t="n"/>
      <c r="U432" s="396" t="n"/>
      <c r="V432" s="396" t="n"/>
      <c r="W432" s="396" t="n"/>
      <c r="X432" s="396" t="n"/>
    </row>
    <row r="433">
      <c r="B433" s="673" t="n"/>
      <c r="C433" s="673" t="n"/>
      <c r="D433" s="673" t="n"/>
      <c r="E433" s="675" t="n"/>
      <c r="F433" s="675" t="n"/>
      <c r="G433" s="675" t="n"/>
      <c r="H433" s="673" t="n"/>
      <c r="I433" s="673" t="n"/>
      <c r="J433" s="673" t="n"/>
      <c r="K433" s="677" t="n"/>
      <c r="L433" s="677" t="n"/>
      <c r="M433" s="677" t="n"/>
      <c r="N433" s="396" t="n"/>
      <c r="O433" s="396" t="n"/>
      <c r="P433" s="396" t="n"/>
      <c r="Q433" s="396" t="n"/>
      <c r="R433" s="396" t="n"/>
      <c r="S433" s="396" t="n"/>
      <c r="T433" s="396" t="n"/>
      <c r="U433" s="396" t="n"/>
      <c r="V433" s="396" t="n"/>
      <c r="W433" s="396" t="n"/>
      <c r="X433" s="396" t="n"/>
    </row>
    <row r="434">
      <c r="B434" s="673" t="n"/>
      <c r="C434" s="673" t="n"/>
      <c r="D434" s="673" t="n"/>
      <c r="E434" s="675" t="n"/>
      <c r="F434" s="675" t="n"/>
      <c r="G434" s="675" t="n"/>
      <c r="H434" s="673" t="n"/>
      <c r="I434" s="673" t="n"/>
      <c r="J434" s="673" t="n"/>
      <c r="K434" s="677" t="n"/>
      <c r="L434" s="677" t="n"/>
      <c r="M434" s="677" t="n"/>
      <c r="N434" s="396" t="n"/>
      <c r="O434" s="396" t="n"/>
      <c r="P434" s="396" t="n"/>
      <c r="Q434" s="396" t="n"/>
      <c r="R434" s="396" t="n"/>
      <c r="S434" s="396" t="n"/>
      <c r="T434" s="396" t="n"/>
      <c r="U434" s="396" t="n"/>
      <c r="V434" s="396" t="n"/>
      <c r="W434" s="396" t="n"/>
      <c r="X434" s="396" t="n"/>
    </row>
    <row r="435">
      <c r="B435" s="673" t="n"/>
      <c r="C435" s="673" t="n"/>
      <c r="D435" s="673" t="n"/>
      <c r="E435" s="675" t="n"/>
      <c r="F435" s="675" t="n"/>
      <c r="G435" s="675" t="n"/>
      <c r="H435" s="673" t="n"/>
      <c r="I435" s="673" t="n"/>
      <c r="J435" s="673" t="n"/>
      <c r="K435" s="677" t="n"/>
      <c r="L435" s="677" t="n"/>
      <c r="M435" s="677" t="n"/>
      <c r="N435" s="396" t="n"/>
      <c r="O435" s="396" t="n"/>
      <c r="P435" s="396" t="n"/>
      <c r="Q435" s="396" t="n"/>
      <c r="R435" s="396" t="n"/>
      <c r="S435" s="396" t="n"/>
      <c r="T435" s="396" t="n"/>
      <c r="U435" s="396" t="n"/>
      <c r="V435" s="396" t="n"/>
      <c r="W435" s="396" t="n"/>
      <c r="X435" s="396" t="n"/>
    </row>
    <row r="436">
      <c r="B436" s="673" t="n"/>
      <c r="C436" s="673" t="n"/>
      <c r="D436" s="673" t="n"/>
      <c r="E436" s="675" t="n"/>
      <c r="F436" s="675" t="n"/>
      <c r="G436" s="675" t="n"/>
      <c r="H436" s="673" t="n"/>
      <c r="I436" s="673" t="n"/>
      <c r="J436" s="673" t="n"/>
      <c r="K436" s="677" t="n"/>
      <c r="L436" s="677" t="n"/>
      <c r="M436" s="677" t="n"/>
      <c r="N436" s="396" t="n"/>
      <c r="O436" s="396" t="n"/>
      <c r="P436" s="396" t="n"/>
      <c r="Q436" s="396" t="n"/>
      <c r="R436" s="396" t="n"/>
      <c r="S436" s="396" t="n"/>
      <c r="T436" s="396" t="n"/>
      <c r="U436" s="396" t="n"/>
      <c r="V436" s="396" t="n"/>
      <c r="W436" s="396" t="n"/>
      <c r="X436" s="396" t="n"/>
    </row>
    <row r="437">
      <c r="B437" s="673" t="n"/>
      <c r="C437" s="673" t="n"/>
      <c r="D437" s="673" t="n"/>
      <c r="E437" s="675" t="n"/>
      <c r="F437" s="675" t="n"/>
      <c r="G437" s="675" t="n"/>
      <c r="H437" s="673" t="n"/>
      <c r="I437" s="673" t="n"/>
      <c r="J437" s="673" t="n"/>
      <c r="K437" s="677" t="n"/>
      <c r="L437" s="677" t="n"/>
      <c r="M437" s="677" t="n"/>
      <c r="N437" s="396" t="n"/>
      <c r="O437" s="396" t="n"/>
      <c r="P437" s="396" t="n"/>
      <c r="Q437" s="396" t="n"/>
      <c r="R437" s="396" t="n"/>
      <c r="S437" s="396" t="n"/>
      <c r="T437" s="396" t="n"/>
      <c r="U437" s="396" t="n"/>
      <c r="V437" s="396" t="n"/>
      <c r="W437" s="396" t="n"/>
      <c r="X437" s="396" t="n"/>
    </row>
    <row r="438">
      <c r="B438" s="673" t="n"/>
      <c r="C438" s="673" t="n"/>
      <c r="D438" s="673" t="n"/>
      <c r="E438" s="675" t="n"/>
      <c r="F438" s="675" t="n"/>
      <c r="G438" s="675" t="n"/>
      <c r="H438" s="673" t="n"/>
      <c r="I438" s="673" t="n"/>
      <c r="J438" s="673" t="n"/>
      <c r="K438" s="677" t="n"/>
      <c r="L438" s="677" t="n"/>
      <c r="M438" s="677" t="n"/>
      <c r="N438" s="396" t="n"/>
      <c r="O438" s="396" t="n"/>
      <c r="P438" s="396" t="n"/>
      <c r="Q438" s="396" t="n"/>
      <c r="R438" s="396" t="n"/>
      <c r="S438" s="396" t="n"/>
      <c r="T438" s="396" t="n"/>
      <c r="U438" s="396" t="n"/>
      <c r="V438" s="396" t="n"/>
      <c r="W438" s="396" t="n"/>
      <c r="X438" s="396" t="n"/>
    </row>
    <row r="439">
      <c r="B439" s="673" t="n"/>
      <c r="C439" s="673" t="n"/>
      <c r="D439" s="673" t="n"/>
      <c r="E439" s="675" t="n"/>
      <c r="F439" s="675" t="n"/>
      <c r="G439" s="675" t="n"/>
      <c r="H439" s="673" t="n"/>
      <c r="I439" s="673" t="n"/>
      <c r="J439" s="673" t="n"/>
      <c r="K439" s="677" t="n"/>
      <c r="L439" s="677" t="n"/>
      <c r="M439" s="677" t="n"/>
      <c r="N439" s="396" t="n"/>
      <c r="O439" s="396" t="n"/>
      <c r="P439" s="396" t="n"/>
      <c r="Q439" s="396" t="n"/>
      <c r="R439" s="396" t="n"/>
      <c r="S439" s="396" t="n"/>
      <c r="T439" s="396" t="n"/>
      <c r="U439" s="396" t="n"/>
      <c r="V439" s="396" t="n"/>
      <c r="W439" s="396" t="n"/>
      <c r="X439" s="396" t="n"/>
    </row>
    <row r="440">
      <c r="B440" s="673" t="n"/>
      <c r="C440" s="673" t="n"/>
      <c r="D440" s="673" t="n"/>
      <c r="E440" s="675" t="n"/>
      <c r="F440" s="675" t="n"/>
      <c r="G440" s="675" t="n"/>
      <c r="H440" s="673" t="n"/>
      <c r="I440" s="673" t="n"/>
      <c r="J440" s="673" t="n"/>
      <c r="K440" s="677" t="n"/>
      <c r="L440" s="677" t="n"/>
      <c r="M440" s="677" t="n"/>
      <c r="N440" s="396" t="n"/>
      <c r="O440" s="396" t="n"/>
      <c r="P440" s="396" t="n"/>
      <c r="Q440" s="396" t="n"/>
      <c r="R440" s="396" t="n"/>
      <c r="S440" s="396" t="n"/>
      <c r="T440" s="396" t="n"/>
      <c r="U440" s="396" t="n"/>
      <c r="V440" s="396" t="n"/>
      <c r="W440" s="396" t="n"/>
      <c r="X440" s="396" t="n"/>
    </row>
    <row r="441">
      <c r="B441" s="673" t="n"/>
      <c r="C441" s="673" t="n"/>
      <c r="D441" s="673" t="n"/>
      <c r="E441" s="675" t="n"/>
      <c r="F441" s="675" t="n"/>
      <c r="G441" s="675" t="n"/>
      <c r="H441" s="673" t="n"/>
      <c r="I441" s="673" t="n"/>
      <c r="J441" s="673" t="n"/>
      <c r="K441" s="677" t="n"/>
      <c r="L441" s="677" t="n"/>
      <c r="M441" s="677" t="n"/>
      <c r="N441" s="396" t="n"/>
      <c r="O441" s="396" t="n"/>
      <c r="P441" s="396" t="n"/>
      <c r="Q441" s="396" t="n"/>
      <c r="R441" s="396" t="n"/>
      <c r="S441" s="396" t="n"/>
      <c r="T441" s="396" t="n"/>
      <c r="U441" s="396" t="n"/>
      <c r="V441" s="396" t="n"/>
      <c r="W441" s="396" t="n"/>
      <c r="X441" s="396" t="n"/>
    </row>
    <row r="442">
      <c r="B442" s="673" t="n"/>
      <c r="C442" s="673" t="n"/>
      <c r="D442" s="673" t="n"/>
      <c r="E442" s="675" t="n"/>
      <c r="F442" s="675" t="n"/>
      <c r="G442" s="675" t="n"/>
      <c r="H442" s="673" t="n"/>
      <c r="I442" s="673" t="n"/>
      <c r="J442" s="673" t="n"/>
      <c r="K442" s="677" t="n"/>
      <c r="L442" s="677" t="n"/>
      <c r="M442" s="677" t="n"/>
      <c r="N442" s="396" t="n"/>
      <c r="O442" s="396" t="n"/>
      <c r="P442" s="396" t="n"/>
      <c r="Q442" s="396" t="n"/>
      <c r="R442" s="396" t="n"/>
      <c r="S442" s="396" t="n"/>
      <c r="T442" s="396" t="n"/>
      <c r="U442" s="396" t="n"/>
      <c r="V442" s="396" t="n"/>
      <c r="W442" s="396" t="n"/>
      <c r="X442" s="396" t="n"/>
    </row>
    <row r="443">
      <c r="B443" s="673" t="n"/>
      <c r="C443" s="673" t="n"/>
      <c r="D443" s="673" t="n"/>
      <c r="E443" s="675" t="n"/>
      <c r="F443" s="675" t="n"/>
      <c r="G443" s="675" t="n"/>
      <c r="H443" s="673" t="n"/>
      <c r="I443" s="673" t="n"/>
      <c r="J443" s="673" t="n"/>
      <c r="K443" s="677" t="n"/>
      <c r="L443" s="677" t="n"/>
      <c r="M443" s="677" t="n"/>
      <c r="N443" s="396" t="n"/>
      <c r="O443" s="396" t="n"/>
      <c r="P443" s="396" t="n"/>
      <c r="Q443" s="396" t="n"/>
      <c r="R443" s="396" t="n"/>
      <c r="S443" s="396" t="n"/>
      <c r="T443" s="396" t="n"/>
      <c r="U443" s="396" t="n"/>
      <c r="V443" s="396" t="n"/>
      <c r="W443" s="396" t="n"/>
      <c r="X443" s="396" t="n"/>
    </row>
    <row r="444">
      <c r="B444" s="673" t="n"/>
      <c r="C444" s="673" t="n"/>
      <c r="D444" s="673" t="n"/>
      <c r="E444" s="675" t="n"/>
      <c r="F444" s="675" t="n"/>
      <c r="G444" s="675" t="n"/>
      <c r="H444" s="673" t="n"/>
      <c r="I444" s="673" t="n"/>
      <c r="J444" s="673" t="n"/>
      <c r="K444" s="677" t="n"/>
      <c r="L444" s="677" t="n"/>
      <c r="M444" s="677" t="n"/>
      <c r="N444" s="396" t="n"/>
      <c r="O444" s="396" t="n"/>
      <c r="P444" s="396" t="n"/>
      <c r="Q444" s="396" t="n"/>
      <c r="R444" s="396" t="n"/>
      <c r="S444" s="396" t="n"/>
      <c r="T444" s="396" t="n"/>
      <c r="U444" s="396" t="n"/>
      <c r="V444" s="396" t="n"/>
      <c r="W444" s="396" t="n"/>
      <c r="X444" s="396" t="n"/>
    </row>
    <row r="445">
      <c r="B445" s="673" t="n"/>
      <c r="C445" s="673" t="n"/>
      <c r="D445" s="673" t="n"/>
      <c r="E445" s="675" t="n"/>
      <c r="F445" s="675" t="n"/>
      <c r="G445" s="675" t="n"/>
      <c r="H445" s="673" t="n"/>
      <c r="I445" s="673" t="n"/>
      <c r="J445" s="673" t="n"/>
      <c r="K445" s="677" t="n"/>
      <c r="L445" s="677" t="n"/>
      <c r="M445" s="677" t="n"/>
      <c r="N445" s="396" t="n"/>
      <c r="O445" s="396" t="n"/>
      <c r="P445" s="396" t="n"/>
      <c r="Q445" s="396" t="n"/>
      <c r="R445" s="396" t="n"/>
      <c r="S445" s="396" t="n"/>
      <c r="T445" s="396" t="n"/>
      <c r="U445" s="396" t="n"/>
      <c r="V445" s="396" t="n"/>
      <c r="W445" s="396" t="n"/>
      <c r="X445" s="396" t="n"/>
    </row>
    <row r="446">
      <c r="B446" s="673" t="n"/>
      <c r="C446" s="673" t="n"/>
      <c r="D446" s="673" t="n"/>
      <c r="E446" s="675" t="n"/>
      <c r="F446" s="675" t="n"/>
      <c r="G446" s="675" t="n"/>
      <c r="H446" s="673" t="n"/>
      <c r="I446" s="673" t="n"/>
      <c r="J446" s="673" t="n"/>
      <c r="K446" s="677" t="n"/>
      <c r="L446" s="677" t="n"/>
      <c r="M446" s="677" t="n"/>
      <c r="N446" s="396" t="n"/>
      <c r="O446" s="396" t="n"/>
      <c r="P446" s="396" t="n"/>
      <c r="Q446" s="396" t="n"/>
      <c r="R446" s="396" t="n"/>
      <c r="S446" s="396" t="n"/>
      <c r="T446" s="396" t="n"/>
      <c r="U446" s="396" t="n"/>
      <c r="V446" s="396" t="n"/>
      <c r="W446" s="396" t="n"/>
      <c r="X446" s="396" t="n"/>
    </row>
    <row r="447">
      <c r="B447" s="673" t="n"/>
      <c r="C447" s="673" t="n"/>
      <c r="D447" s="673" t="n"/>
      <c r="E447" s="675" t="n"/>
      <c r="F447" s="675" t="n"/>
      <c r="G447" s="675" t="n"/>
      <c r="H447" s="673" t="n"/>
      <c r="I447" s="673" t="n"/>
      <c r="J447" s="673" t="n"/>
      <c r="K447" s="677" t="n"/>
      <c r="L447" s="677" t="n"/>
      <c r="M447" s="677" t="n"/>
      <c r="N447" s="396" t="n"/>
      <c r="O447" s="396" t="n"/>
      <c r="P447" s="396" t="n"/>
      <c r="Q447" s="396" t="n"/>
      <c r="R447" s="396" t="n"/>
      <c r="S447" s="396" t="n"/>
      <c r="T447" s="396" t="n"/>
      <c r="U447" s="396" t="n"/>
      <c r="V447" s="396" t="n"/>
      <c r="W447" s="396" t="n"/>
      <c r="X447" s="396" t="n"/>
    </row>
    <row r="448">
      <c r="B448" s="673" t="n"/>
      <c r="C448" s="673" t="n"/>
      <c r="D448" s="673" t="n"/>
      <c r="E448" s="675" t="n"/>
      <c r="F448" s="675" t="n"/>
      <c r="G448" s="675" t="n"/>
      <c r="H448" s="673" t="n"/>
      <c r="I448" s="673" t="n"/>
      <c r="J448" s="673" t="n"/>
      <c r="K448" s="677" t="n"/>
      <c r="L448" s="677" t="n"/>
      <c r="M448" s="677" t="n"/>
      <c r="N448" s="396" t="n"/>
      <c r="O448" s="396" t="n"/>
      <c r="P448" s="396" t="n"/>
      <c r="Q448" s="396" t="n"/>
      <c r="R448" s="396" t="n"/>
      <c r="S448" s="396" t="n"/>
      <c r="T448" s="396" t="n"/>
      <c r="U448" s="396" t="n"/>
      <c r="V448" s="396" t="n"/>
      <c r="W448" s="396" t="n"/>
      <c r="X448" s="396" t="n"/>
    </row>
    <row r="449">
      <c r="B449" s="673" t="n"/>
      <c r="C449" s="673" t="n"/>
      <c r="D449" s="673" t="n"/>
      <c r="E449" s="675" t="n"/>
      <c r="F449" s="675" t="n"/>
      <c r="G449" s="675" t="n"/>
      <c r="H449" s="673" t="n"/>
      <c r="I449" s="673" t="n"/>
      <c r="J449" s="673" t="n"/>
      <c r="K449" s="677" t="n"/>
      <c r="L449" s="677" t="n"/>
      <c r="M449" s="677" t="n"/>
      <c r="N449" s="396" t="n"/>
      <c r="O449" s="396" t="n"/>
      <c r="P449" s="396" t="n"/>
      <c r="Q449" s="396" t="n"/>
      <c r="R449" s="396" t="n"/>
      <c r="S449" s="396" t="n"/>
      <c r="T449" s="396" t="n"/>
      <c r="U449" s="396" t="n"/>
      <c r="V449" s="396" t="n"/>
      <c r="W449" s="396" t="n"/>
      <c r="X449" s="396" t="n"/>
    </row>
    <row r="450">
      <c r="B450" s="673" t="n"/>
      <c r="C450" s="673" t="n"/>
      <c r="D450" s="673" t="n"/>
      <c r="E450" s="675" t="n"/>
      <c r="F450" s="675" t="n"/>
      <c r="G450" s="675" t="n"/>
      <c r="H450" s="673" t="n"/>
      <c r="I450" s="673" t="n"/>
      <c r="J450" s="673" t="n"/>
      <c r="K450" s="677" t="n"/>
      <c r="L450" s="677" t="n"/>
      <c r="M450" s="677" t="n"/>
      <c r="N450" s="396" t="n"/>
      <c r="O450" s="396" t="n"/>
      <c r="P450" s="396" t="n"/>
      <c r="Q450" s="396" t="n"/>
      <c r="R450" s="396" t="n"/>
      <c r="S450" s="396" t="n"/>
      <c r="T450" s="396" t="n"/>
      <c r="U450" s="396" t="n"/>
      <c r="V450" s="396" t="n"/>
      <c r="W450" s="396" t="n"/>
      <c r="X450" s="396" t="n"/>
    </row>
    <row r="451">
      <c r="B451" s="673" t="n"/>
      <c r="C451" s="673" t="n"/>
      <c r="D451" s="673" t="n"/>
      <c r="E451" s="675" t="n"/>
      <c r="F451" s="675" t="n"/>
      <c r="G451" s="675" t="n"/>
      <c r="H451" s="673" t="n"/>
      <c r="I451" s="673" t="n"/>
      <c r="J451" s="673" t="n"/>
      <c r="K451" s="677" t="n"/>
      <c r="L451" s="677" t="n"/>
      <c r="M451" s="677" t="n"/>
      <c r="N451" s="396" t="n"/>
      <c r="O451" s="396" t="n"/>
      <c r="P451" s="396" t="n"/>
      <c r="Q451" s="396" t="n"/>
      <c r="R451" s="396" t="n"/>
      <c r="S451" s="396" t="n"/>
      <c r="T451" s="396" t="n"/>
      <c r="U451" s="396" t="n"/>
      <c r="V451" s="396" t="n"/>
      <c r="W451" s="396" t="n"/>
      <c r="X451" s="396" t="n"/>
    </row>
    <row r="452">
      <c r="B452" s="673" t="n"/>
      <c r="C452" s="673" t="n"/>
      <c r="D452" s="673" t="n"/>
      <c r="E452" s="675" t="n"/>
      <c r="F452" s="675" t="n"/>
      <c r="G452" s="675" t="n"/>
      <c r="H452" s="673" t="n"/>
      <c r="I452" s="673" t="n"/>
      <c r="J452" s="673" t="n"/>
      <c r="K452" s="677" t="n"/>
      <c r="L452" s="677" t="n"/>
      <c r="M452" s="677" t="n"/>
      <c r="N452" s="396" t="n"/>
      <c r="O452" s="396" t="n"/>
      <c r="P452" s="396" t="n"/>
      <c r="Q452" s="396" t="n"/>
      <c r="R452" s="396" t="n"/>
      <c r="S452" s="396" t="n"/>
      <c r="T452" s="396" t="n"/>
      <c r="U452" s="396" t="n"/>
      <c r="V452" s="396" t="n"/>
      <c r="W452" s="396" t="n"/>
      <c r="X452" s="396" t="n"/>
    </row>
    <row r="453">
      <c r="B453" s="673" t="n"/>
      <c r="C453" s="673" t="n"/>
      <c r="D453" s="673" t="n"/>
      <c r="E453" s="675" t="n"/>
      <c r="F453" s="675" t="n"/>
      <c r="G453" s="675" t="n"/>
      <c r="H453" s="673" t="n"/>
      <c r="I453" s="673" t="n"/>
      <c r="J453" s="673" t="n"/>
      <c r="K453" s="677" t="n"/>
      <c r="L453" s="677" t="n"/>
      <c r="M453" s="677" t="n"/>
      <c r="N453" s="396" t="n"/>
      <c r="O453" s="396" t="n"/>
      <c r="P453" s="396" t="n"/>
      <c r="Q453" s="396" t="n"/>
      <c r="R453" s="396" t="n"/>
      <c r="S453" s="396" t="n"/>
      <c r="T453" s="396" t="n"/>
      <c r="U453" s="396" t="n"/>
      <c r="V453" s="396" t="n"/>
      <c r="W453" s="396" t="n"/>
      <c r="X453" s="396" t="n"/>
    </row>
    <row r="454">
      <c r="B454" s="673" t="n"/>
      <c r="C454" s="673" t="n"/>
      <c r="D454" s="673" t="n"/>
      <c r="E454" s="675" t="n"/>
      <c r="F454" s="675" t="n"/>
      <c r="G454" s="675" t="n"/>
      <c r="H454" s="673" t="n"/>
      <c r="I454" s="673" t="n"/>
      <c r="J454" s="673" t="n"/>
      <c r="K454" s="677" t="n"/>
      <c r="L454" s="677" t="n"/>
      <c r="M454" s="677" t="n"/>
      <c r="N454" s="396" t="n"/>
      <c r="O454" s="396" t="n"/>
      <c r="P454" s="396" t="n"/>
      <c r="Q454" s="396" t="n"/>
      <c r="R454" s="396" t="n"/>
      <c r="S454" s="396" t="n"/>
      <c r="T454" s="396" t="n"/>
      <c r="U454" s="396" t="n"/>
      <c r="V454" s="396" t="n"/>
      <c r="W454" s="396" t="n"/>
      <c r="X454" s="396" t="n"/>
    </row>
    <row r="455">
      <c r="B455" s="673" t="n"/>
      <c r="C455" s="673" t="n"/>
      <c r="D455" s="673" t="n"/>
      <c r="E455" s="675" t="n"/>
      <c r="F455" s="675" t="n"/>
      <c r="G455" s="675" t="n"/>
      <c r="H455" s="673" t="n"/>
      <c r="I455" s="673" t="n"/>
      <c r="J455" s="673" t="n"/>
      <c r="K455" s="677" t="n"/>
      <c r="L455" s="677" t="n"/>
      <c r="M455" s="677" t="n"/>
      <c r="N455" s="396" t="n"/>
      <c r="O455" s="396" t="n"/>
      <c r="P455" s="396" t="n"/>
      <c r="Q455" s="396" t="n"/>
      <c r="R455" s="396" t="n"/>
      <c r="S455" s="396" t="n"/>
      <c r="T455" s="396" t="n"/>
      <c r="U455" s="396" t="n"/>
      <c r="V455" s="396" t="n"/>
      <c r="W455" s="396" t="n"/>
      <c r="X455" s="396" t="n"/>
    </row>
    <row r="456">
      <c r="B456" s="673" t="n"/>
      <c r="C456" s="673" t="n"/>
      <c r="D456" s="673" t="n"/>
      <c r="E456" s="675" t="n"/>
      <c r="F456" s="675" t="n"/>
      <c r="G456" s="675" t="n"/>
      <c r="H456" s="673" t="n"/>
      <c r="I456" s="673" t="n"/>
      <c r="J456" s="673" t="n"/>
      <c r="K456" s="677" t="n"/>
      <c r="L456" s="677" t="n"/>
      <c r="M456" s="677" t="n"/>
      <c r="N456" s="396" t="n"/>
      <c r="O456" s="396" t="n"/>
      <c r="P456" s="396" t="n"/>
      <c r="Q456" s="396" t="n"/>
      <c r="R456" s="396" t="n"/>
      <c r="S456" s="396" t="n"/>
      <c r="T456" s="396" t="n"/>
      <c r="U456" s="396" t="n"/>
      <c r="V456" s="396" t="n"/>
      <c r="W456" s="396" t="n"/>
      <c r="X456" s="396" t="n"/>
    </row>
    <row r="457">
      <c r="B457" s="673" t="n"/>
      <c r="C457" s="673" t="n"/>
      <c r="D457" s="673" t="n"/>
      <c r="E457" s="675" t="n"/>
      <c r="F457" s="675" t="n"/>
      <c r="G457" s="675" t="n"/>
      <c r="H457" s="673" t="n"/>
      <c r="I457" s="673" t="n"/>
      <c r="J457" s="673" t="n"/>
      <c r="K457" s="677" t="n"/>
      <c r="L457" s="677" t="n"/>
      <c r="M457" s="677" t="n"/>
      <c r="N457" s="396" t="n"/>
      <c r="O457" s="396" t="n"/>
      <c r="P457" s="396" t="n"/>
      <c r="Q457" s="396" t="n"/>
      <c r="R457" s="396" t="n"/>
      <c r="S457" s="396" t="n"/>
      <c r="T457" s="396" t="n"/>
      <c r="U457" s="396" t="n"/>
      <c r="V457" s="396" t="n"/>
      <c r="W457" s="396" t="n"/>
      <c r="X457" s="396" t="n"/>
    </row>
    <row r="458">
      <c r="B458" s="673" t="n"/>
      <c r="C458" s="673" t="n"/>
      <c r="D458" s="673" t="n"/>
      <c r="E458" s="675" t="n"/>
      <c r="F458" s="675" t="n"/>
      <c r="G458" s="675" t="n"/>
      <c r="H458" s="673" t="n"/>
      <c r="I458" s="673" t="n"/>
      <c r="J458" s="673" t="n"/>
      <c r="K458" s="677" t="n"/>
      <c r="L458" s="677" t="n"/>
      <c r="M458" s="677" t="n"/>
      <c r="N458" s="396" t="n"/>
      <c r="O458" s="396" t="n"/>
      <c r="P458" s="396" t="n"/>
      <c r="Q458" s="396" t="n"/>
      <c r="R458" s="396" t="n"/>
      <c r="S458" s="396" t="n"/>
      <c r="T458" s="396" t="n"/>
      <c r="U458" s="396" t="n"/>
      <c r="V458" s="396" t="n"/>
      <c r="W458" s="396" t="n"/>
      <c r="X458" s="396" t="n"/>
    </row>
    <row r="459">
      <c r="B459" s="673" t="n"/>
      <c r="C459" s="673" t="n"/>
      <c r="D459" s="673" t="n"/>
      <c r="E459" s="675" t="n"/>
      <c r="F459" s="675" t="n"/>
      <c r="G459" s="675" t="n"/>
      <c r="H459" s="673" t="n"/>
      <c r="I459" s="673" t="n"/>
      <c r="J459" s="673" t="n"/>
      <c r="K459" s="677" t="n"/>
      <c r="L459" s="677" t="n"/>
      <c r="M459" s="677" t="n"/>
      <c r="N459" s="396" t="n"/>
      <c r="O459" s="396" t="n"/>
      <c r="P459" s="396" t="n"/>
      <c r="Q459" s="396" t="n"/>
      <c r="R459" s="396" t="n"/>
      <c r="S459" s="396" t="n"/>
      <c r="T459" s="396" t="n"/>
      <c r="U459" s="396" t="n"/>
      <c r="V459" s="396" t="n"/>
      <c r="W459" s="396" t="n"/>
      <c r="X459" s="396" t="n"/>
    </row>
    <row r="460">
      <c r="B460" s="673" t="n"/>
      <c r="C460" s="673" t="n"/>
      <c r="D460" s="673" t="n"/>
      <c r="E460" s="675" t="n"/>
      <c r="F460" s="675" t="n"/>
      <c r="G460" s="675" t="n"/>
      <c r="H460" s="673" t="n"/>
      <c r="I460" s="673" t="n"/>
      <c r="J460" s="673" t="n"/>
      <c r="K460" s="677" t="n"/>
      <c r="L460" s="677" t="n"/>
      <c r="M460" s="677" t="n"/>
      <c r="N460" s="396" t="n"/>
      <c r="O460" s="396" t="n"/>
      <c r="P460" s="396" t="n"/>
      <c r="Q460" s="396" t="n"/>
      <c r="R460" s="396" t="n"/>
      <c r="S460" s="396" t="n"/>
      <c r="T460" s="396" t="n"/>
      <c r="U460" s="396" t="n"/>
      <c r="V460" s="396" t="n"/>
      <c r="W460" s="396" t="n"/>
      <c r="X460" s="396" t="n"/>
    </row>
    <row r="461">
      <c r="B461" s="673" t="n"/>
      <c r="C461" s="673" t="n"/>
      <c r="D461" s="673" t="n"/>
      <c r="E461" s="675" t="n"/>
      <c r="F461" s="675" t="n"/>
      <c r="G461" s="675" t="n"/>
      <c r="H461" s="673" t="n"/>
      <c r="I461" s="673" t="n"/>
      <c r="J461" s="673" t="n"/>
      <c r="K461" s="677" t="n"/>
      <c r="L461" s="677" t="n"/>
      <c r="M461" s="677" t="n"/>
      <c r="N461" s="396" t="n"/>
      <c r="O461" s="396" t="n"/>
      <c r="P461" s="396" t="n"/>
      <c r="Q461" s="396" t="n"/>
      <c r="R461" s="396" t="n"/>
      <c r="S461" s="396" t="n"/>
      <c r="T461" s="396" t="n"/>
      <c r="U461" s="396" t="n"/>
      <c r="V461" s="396" t="n"/>
      <c r="W461" s="396" t="n"/>
      <c r="X461" s="396" t="n"/>
    </row>
    <row r="462">
      <c r="B462" s="673" t="n"/>
      <c r="C462" s="673" t="n"/>
      <c r="D462" s="673" t="n"/>
      <c r="E462" s="675" t="n"/>
      <c r="F462" s="675" t="n"/>
      <c r="G462" s="675" t="n"/>
      <c r="H462" s="673" t="n"/>
      <c r="I462" s="673" t="n"/>
      <c r="J462" s="673" t="n"/>
      <c r="K462" s="677" t="n"/>
      <c r="L462" s="677" t="n"/>
      <c r="M462" s="677" t="n"/>
      <c r="N462" s="396" t="n"/>
      <c r="O462" s="396" t="n"/>
      <c r="P462" s="396" t="n"/>
      <c r="Q462" s="396" t="n"/>
      <c r="R462" s="396" t="n"/>
      <c r="S462" s="396" t="n"/>
      <c r="T462" s="396" t="n"/>
      <c r="U462" s="396" t="n"/>
      <c r="V462" s="396" t="n"/>
      <c r="W462" s="396" t="n"/>
      <c r="X462" s="396" t="n"/>
    </row>
    <row r="463">
      <c r="B463" s="673" t="n"/>
      <c r="C463" s="673" t="n"/>
      <c r="D463" s="673" t="n"/>
      <c r="E463" s="675" t="n"/>
      <c r="F463" s="675" t="n"/>
      <c r="G463" s="675" t="n"/>
      <c r="H463" s="673" t="n"/>
      <c r="I463" s="673" t="n"/>
      <c r="J463" s="673" t="n"/>
      <c r="K463" s="677" t="n"/>
      <c r="L463" s="677" t="n"/>
      <c r="M463" s="677" t="n"/>
      <c r="N463" s="396" t="n"/>
      <c r="O463" s="396" t="n"/>
      <c r="P463" s="396" t="n"/>
      <c r="Q463" s="396" t="n"/>
      <c r="R463" s="396" t="n"/>
      <c r="S463" s="396" t="n"/>
      <c r="T463" s="396" t="n"/>
      <c r="U463" s="396" t="n"/>
      <c r="V463" s="396" t="n"/>
      <c r="W463" s="396" t="n"/>
      <c r="X463" s="396" t="n"/>
    </row>
    <row r="464">
      <c r="B464" s="673" t="n"/>
      <c r="C464" s="673" t="n"/>
      <c r="D464" s="673" t="n"/>
      <c r="E464" s="675" t="n"/>
      <c r="F464" s="675" t="n"/>
      <c r="G464" s="675" t="n"/>
      <c r="H464" s="673" t="n"/>
      <c r="I464" s="673" t="n"/>
      <c r="J464" s="673" t="n"/>
      <c r="K464" s="677" t="n"/>
      <c r="L464" s="677" t="n"/>
      <c r="M464" s="677" t="n"/>
      <c r="N464" s="396" t="n"/>
      <c r="O464" s="396" t="n"/>
      <c r="P464" s="396" t="n"/>
      <c r="Q464" s="396" t="n"/>
      <c r="R464" s="396" t="n"/>
      <c r="S464" s="396" t="n"/>
      <c r="T464" s="396" t="n"/>
      <c r="U464" s="396" t="n"/>
      <c r="V464" s="396" t="n"/>
      <c r="W464" s="396" t="n"/>
      <c r="X464" s="396" t="n"/>
    </row>
    <row r="465">
      <c r="B465" s="673" t="n"/>
      <c r="C465" s="673" t="n"/>
      <c r="D465" s="673" t="n"/>
      <c r="E465" s="675" t="n"/>
      <c r="F465" s="675" t="n"/>
      <c r="G465" s="675" t="n"/>
      <c r="H465" s="673" t="n"/>
      <c r="I465" s="673" t="n"/>
      <c r="J465" s="673" t="n"/>
      <c r="K465" s="677" t="n"/>
      <c r="L465" s="677" t="n"/>
      <c r="M465" s="677" t="n"/>
      <c r="N465" s="396" t="n"/>
      <c r="O465" s="396" t="n"/>
      <c r="P465" s="396" t="n"/>
      <c r="Q465" s="396" t="n"/>
      <c r="R465" s="396" t="n"/>
      <c r="S465" s="396" t="n"/>
      <c r="T465" s="396" t="n"/>
      <c r="U465" s="396" t="n"/>
      <c r="V465" s="396" t="n"/>
      <c r="W465" s="396" t="n"/>
      <c r="X465" s="396" t="n"/>
    </row>
    <row r="466">
      <c r="B466" s="673" t="n"/>
      <c r="C466" s="673" t="n"/>
      <c r="D466" s="673" t="n"/>
      <c r="E466" s="675" t="n"/>
      <c r="F466" s="675" t="n"/>
      <c r="G466" s="675" t="n"/>
      <c r="H466" s="673" t="n"/>
      <c r="I466" s="673" t="n"/>
      <c r="J466" s="673" t="n"/>
      <c r="K466" s="677" t="n"/>
      <c r="L466" s="677" t="n"/>
      <c r="M466" s="677" t="n"/>
      <c r="N466" s="396" t="n"/>
      <c r="O466" s="396" t="n"/>
      <c r="P466" s="396" t="n"/>
      <c r="Q466" s="396" t="n"/>
      <c r="R466" s="396" t="n"/>
      <c r="S466" s="396" t="n"/>
      <c r="T466" s="396" t="n"/>
      <c r="U466" s="396" t="n"/>
      <c r="V466" s="396" t="n"/>
      <c r="W466" s="396" t="n"/>
      <c r="X466" s="396" t="n"/>
    </row>
    <row r="467">
      <c r="B467" s="673" t="n"/>
      <c r="C467" s="673" t="n"/>
      <c r="D467" s="673" t="n"/>
      <c r="E467" s="675" t="n"/>
      <c r="F467" s="675" t="n"/>
      <c r="G467" s="675" t="n"/>
      <c r="H467" s="673" t="n"/>
      <c r="I467" s="673" t="n"/>
      <c r="J467" s="673" t="n"/>
      <c r="K467" s="677" t="n"/>
      <c r="L467" s="677" t="n"/>
      <c r="M467" s="677" t="n"/>
      <c r="N467" s="396" t="n"/>
      <c r="O467" s="396" t="n"/>
      <c r="P467" s="396" t="n"/>
      <c r="Q467" s="396" t="n"/>
      <c r="R467" s="396" t="n"/>
      <c r="S467" s="396" t="n"/>
      <c r="T467" s="396" t="n"/>
      <c r="U467" s="396" t="n"/>
      <c r="V467" s="396" t="n"/>
      <c r="W467" s="396" t="n"/>
      <c r="X467" s="396" t="n"/>
    </row>
    <row r="468">
      <c r="B468" s="673" t="n"/>
      <c r="C468" s="673" t="n"/>
      <c r="D468" s="673" t="n"/>
      <c r="E468" s="675" t="n"/>
      <c r="F468" s="675" t="n"/>
      <c r="G468" s="675" t="n"/>
      <c r="H468" s="673" t="n"/>
      <c r="I468" s="673" t="n"/>
      <c r="J468" s="673" t="n"/>
      <c r="K468" s="677" t="n"/>
      <c r="L468" s="677" t="n"/>
      <c r="M468" s="677" t="n"/>
      <c r="N468" s="396" t="n"/>
      <c r="O468" s="396" t="n"/>
      <c r="P468" s="396" t="n"/>
      <c r="Q468" s="396" t="n"/>
      <c r="R468" s="396" t="n"/>
      <c r="S468" s="396" t="n"/>
      <c r="T468" s="396" t="n"/>
      <c r="U468" s="396" t="n"/>
      <c r="V468" s="396" t="n"/>
      <c r="W468" s="396" t="n"/>
      <c r="X468" s="396" t="n"/>
    </row>
    <row r="469">
      <c r="B469" s="673" t="n"/>
      <c r="C469" s="673" t="n"/>
      <c r="D469" s="673" t="n"/>
      <c r="E469" s="675" t="n"/>
      <c r="F469" s="675" t="n"/>
      <c r="G469" s="675" t="n"/>
      <c r="H469" s="673" t="n"/>
      <c r="I469" s="673" t="n"/>
      <c r="J469" s="673" t="n"/>
      <c r="K469" s="677" t="n"/>
      <c r="L469" s="677" t="n"/>
      <c r="M469" s="677" t="n"/>
      <c r="N469" s="396" t="n"/>
      <c r="O469" s="396" t="n"/>
      <c r="P469" s="396" t="n"/>
      <c r="Q469" s="396" t="n"/>
      <c r="R469" s="396" t="n"/>
      <c r="S469" s="396" t="n"/>
      <c r="T469" s="396" t="n"/>
      <c r="U469" s="396" t="n"/>
      <c r="V469" s="396" t="n"/>
      <c r="W469" s="396" t="n"/>
      <c r="X469" s="396" t="n"/>
    </row>
    <row r="470">
      <c r="B470" s="673" t="n"/>
      <c r="C470" s="673" t="n"/>
      <c r="D470" s="673" t="n"/>
      <c r="E470" s="675" t="n"/>
      <c r="F470" s="675" t="n"/>
      <c r="G470" s="675" t="n"/>
      <c r="H470" s="673" t="n"/>
      <c r="I470" s="673" t="n"/>
      <c r="J470" s="673" t="n"/>
      <c r="K470" s="677" t="n"/>
      <c r="L470" s="677" t="n"/>
      <c r="M470" s="677" t="n"/>
      <c r="N470" s="396" t="n"/>
      <c r="O470" s="396" t="n"/>
      <c r="P470" s="396" t="n"/>
      <c r="Q470" s="396" t="n"/>
      <c r="R470" s="396" t="n"/>
      <c r="S470" s="396" t="n"/>
      <c r="T470" s="396" t="n"/>
      <c r="U470" s="396" t="n"/>
      <c r="V470" s="396" t="n"/>
      <c r="W470" s="396" t="n"/>
      <c r="X470" s="396" t="n"/>
    </row>
    <row r="471">
      <c r="B471" s="673" t="n"/>
      <c r="C471" s="673" t="n"/>
      <c r="D471" s="673" t="n"/>
      <c r="E471" s="675" t="n"/>
      <c r="F471" s="675" t="n"/>
      <c r="G471" s="675" t="n"/>
      <c r="H471" s="673" t="n"/>
      <c r="I471" s="673" t="n"/>
      <c r="J471" s="673" t="n"/>
      <c r="K471" s="677" t="n"/>
      <c r="L471" s="677" t="n"/>
      <c r="M471" s="677" t="n"/>
      <c r="N471" s="396" t="n"/>
      <c r="O471" s="396" t="n"/>
      <c r="P471" s="396" t="n"/>
      <c r="Q471" s="396" t="n"/>
      <c r="R471" s="396" t="n"/>
      <c r="S471" s="396" t="n"/>
      <c r="T471" s="396" t="n"/>
      <c r="U471" s="396" t="n"/>
      <c r="V471" s="396" t="n"/>
      <c r="W471" s="396" t="n"/>
      <c r="X471" s="396" t="n"/>
    </row>
    <row r="472">
      <c r="B472" s="673" t="n"/>
      <c r="C472" s="673" t="n"/>
      <c r="D472" s="673" t="n"/>
      <c r="E472" s="675" t="n"/>
      <c r="F472" s="675" t="n"/>
      <c r="G472" s="675" t="n"/>
      <c r="H472" s="673" t="n"/>
      <c r="I472" s="673" t="n"/>
      <c r="J472" s="673" t="n"/>
      <c r="K472" s="677" t="n"/>
      <c r="L472" s="677" t="n"/>
      <c r="M472" s="677" t="n"/>
      <c r="N472" s="396" t="n"/>
      <c r="O472" s="396" t="n"/>
      <c r="P472" s="396" t="n"/>
      <c r="Q472" s="396" t="n"/>
      <c r="R472" s="396" t="n"/>
      <c r="S472" s="396" t="n"/>
      <c r="T472" s="396" t="n"/>
      <c r="U472" s="396" t="n"/>
      <c r="V472" s="396" t="n"/>
      <c r="W472" s="396" t="n"/>
      <c r="X472" s="396" t="n"/>
    </row>
    <row r="473">
      <c r="B473" s="673" t="n"/>
      <c r="C473" s="673" t="n"/>
      <c r="D473" s="673" t="n"/>
      <c r="E473" s="675" t="n"/>
      <c r="F473" s="675" t="n"/>
      <c r="G473" s="675" t="n"/>
      <c r="H473" s="673" t="n"/>
      <c r="I473" s="673" t="n"/>
      <c r="J473" s="673" t="n"/>
      <c r="K473" s="677" t="n"/>
      <c r="L473" s="677" t="n"/>
      <c r="M473" s="677" t="n"/>
      <c r="N473" s="396" t="n"/>
      <c r="O473" s="396" t="n"/>
      <c r="P473" s="396" t="n"/>
      <c r="Q473" s="396" t="n"/>
      <c r="R473" s="396" t="n"/>
      <c r="S473" s="396" t="n"/>
      <c r="T473" s="396" t="n"/>
      <c r="U473" s="396" t="n"/>
      <c r="V473" s="396" t="n"/>
      <c r="W473" s="396" t="n"/>
      <c r="X473" s="396" t="n"/>
    </row>
    <row r="474">
      <c r="B474" s="673" t="n"/>
      <c r="C474" s="673" t="n"/>
      <c r="D474" s="673" t="n"/>
      <c r="E474" s="675" t="n"/>
      <c r="F474" s="675" t="n"/>
      <c r="G474" s="675" t="n"/>
      <c r="H474" s="673" t="n"/>
      <c r="I474" s="673" t="n"/>
      <c r="J474" s="673" t="n"/>
      <c r="K474" s="677" t="n"/>
      <c r="L474" s="677" t="n"/>
      <c r="M474" s="677" t="n"/>
      <c r="N474" s="396" t="n"/>
      <c r="O474" s="396" t="n"/>
      <c r="P474" s="396" t="n"/>
      <c r="Q474" s="396" t="n"/>
      <c r="R474" s="396" t="n"/>
      <c r="S474" s="396" t="n"/>
      <c r="T474" s="396" t="n"/>
      <c r="U474" s="396" t="n"/>
      <c r="V474" s="396" t="n"/>
      <c r="W474" s="396" t="n"/>
      <c r="X474" s="396" t="n"/>
    </row>
    <row r="475">
      <c r="B475" s="673" t="n"/>
      <c r="C475" s="673" t="n"/>
      <c r="D475" s="673" t="n"/>
      <c r="E475" s="675" t="n"/>
      <c r="F475" s="675" t="n"/>
      <c r="G475" s="675" t="n"/>
      <c r="H475" s="673" t="n"/>
      <c r="I475" s="673" t="n"/>
      <c r="J475" s="673" t="n"/>
      <c r="K475" s="677" t="n"/>
      <c r="L475" s="677" t="n"/>
      <c r="M475" s="677" t="n"/>
      <c r="N475" s="396" t="n"/>
      <c r="O475" s="396" t="n"/>
      <c r="P475" s="396" t="n"/>
      <c r="Q475" s="396" t="n"/>
      <c r="R475" s="396" t="n"/>
      <c r="S475" s="396" t="n"/>
      <c r="T475" s="396" t="n"/>
      <c r="U475" s="396" t="n"/>
      <c r="V475" s="396" t="n"/>
      <c r="W475" s="396" t="n"/>
      <c r="X475" s="396" t="n"/>
    </row>
    <row r="476">
      <c r="B476" s="673" t="n"/>
      <c r="C476" s="673" t="n"/>
      <c r="D476" s="673" t="n"/>
      <c r="E476" s="675" t="n"/>
      <c r="F476" s="675" t="n"/>
      <c r="G476" s="675" t="n"/>
      <c r="H476" s="673" t="n"/>
      <c r="I476" s="673" t="n"/>
      <c r="J476" s="673" t="n"/>
      <c r="K476" s="677" t="n"/>
      <c r="L476" s="677" t="n"/>
      <c r="M476" s="677" t="n"/>
      <c r="N476" s="396" t="n"/>
      <c r="O476" s="396" t="n"/>
      <c r="P476" s="396" t="n"/>
      <c r="Q476" s="396" t="n"/>
      <c r="R476" s="396" t="n"/>
      <c r="S476" s="396" t="n"/>
      <c r="T476" s="396" t="n"/>
      <c r="U476" s="396" t="n"/>
      <c r="V476" s="396" t="n"/>
      <c r="W476" s="396" t="n"/>
      <c r="X476" s="396" t="n"/>
    </row>
    <row r="477">
      <c r="B477" s="673" t="n"/>
      <c r="C477" s="673" t="n"/>
      <c r="D477" s="673" t="n"/>
      <c r="E477" s="675" t="n"/>
      <c r="F477" s="675" t="n"/>
      <c r="G477" s="675" t="n"/>
      <c r="H477" s="673" t="n"/>
      <c r="I477" s="673" t="n"/>
      <c r="J477" s="673" t="n"/>
      <c r="K477" s="677" t="n"/>
      <c r="L477" s="677" t="n"/>
      <c r="M477" s="677" t="n"/>
      <c r="N477" s="396" t="n"/>
      <c r="O477" s="396" t="n"/>
      <c r="P477" s="396" t="n"/>
      <c r="Q477" s="396" t="n"/>
      <c r="R477" s="396" t="n"/>
      <c r="S477" s="396" t="n"/>
      <c r="T477" s="396" t="n"/>
      <c r="U477" s="396" t="n"/>
      <c r="V477" s="396" t="n"/>
      <c r="W477" s="396" t="n"/>
      <c r="X477" s="396" t="n"/>
    </row>
    <row r="478">
      <c r="B478" s="673" t="n"/>
      <c r="C478" s="673" t="n"/>
      <c r="D478" s="673" t="n"/>
      <c r="E478" s="675" t="n"/>
      <c r="F478" s="675" t="n"/>
      <c r="G478" s="675" t="n"/>
      <c r="H478" s="673" t="n"/>
      <c r="I478" s="673" t="n"/>
      <c r="J478" s="673" t="n"/>
      <c r="K478" s="677" t="n"/>
      <c r="L478" s="677" t="n"/>
      <c r="M478" s="677" t="n"/>
      <c r="N478" s="396" t="n"/>
      <c r="O478" s="396" t="n"/>
      <c r="P478" s="396" t="n"/>
      <c r="Q478" s="396" t="n"/>
      <c r="R478" s="396" t="n"/>
      <c r="S478" s="396" t="n"/>
      <c r="T478" s="396" t="n"/>
      <c r="U478" s="396" t="n"/>
      <c r="V478" s="396" t="n"/>
      <c r="W478" s="396" t="n"/>
      <c r="X478" s="396" t="n"/>
    </row>
    <row r="479">
      <c r="B479" s="673" t="n"/>
      <c r="C479" s="673" t="n"/>
      <c r="D479" s="673" t="n"/>
      <c r="E479" s="675" t="n"/>
      <c r="F479" s="675" t="n"/>
      <c r="G479" s="675" t="n"/>
      <c r="H479" s="673" t="n"/>
      <c r="I479" s="673" t="n"/>
      <c r="J479" s="673" t="n"/>
      <c r="K479" s="677" t="n"/>
      <c r="L479" s="677" t="n"/>
      <c r="M479" s="677" t="n"/>
      <c r="N479" s="396" t="n"/>
      <c r="O479" s="396" t="n"/>
      <c r="P479" s="396" t="n"/>
      <c r="Q479" s="396" t="n"/>
      <c r="R479" s="396" t="n"/>
      <c r="S479" s="396" t="n"/>
      <c r="T479" s="396" t="n"/>
      <c r="U479" s="396" t="n"/>
      <c r="V479" s="396" t="n"/>
      <c r="W479" s="396" t="n"/>
      <c r="X479" s="396" t="n"/>
    </row>
    <row r="480">
      <c r="B480" s="673" t="n"/>
      <c r="C480" s="673" t="n"/>
      <c r="D480" s="673" t="n"/>
      <c r="E480" s="675" t="n"/>
      <c r="F480" s="675" t="n"/>
      <c r="G480" s="675" t="n"/>
      <c r="H480" s="673" t="n"/>
      <c r="I480" s="673" t="n"/>
      <c r="J480" s="673" t="n"/>
      <c r="K480" s="677" t="n"/>
      <c r="L480" s="677" t="n"/>
      <c r="M480" s="677" t="n"/>
      <c r="N480" s="396" t="n"/>
      <c r="O480" s="396" t="n"/>
      <c r="P480" s="396" t="n"/>
      <c r="Q480" s="396" t="n"/>
      <c r="R480" s="396" t="n"/>
      <c r="S480" s="396" t="n"/>
      <c r="T480" s="396" t="n"/>
      <c r="U480" s="396" t="n"/>
      <c r="V480" s="396" t="n"/>
      <c r="W480" s="396" t="n"/>
      <c r="X480" s="396" t="n"/>
    </row>
    <row r="481">
      <c r="B481" s="673" t="n"/>
      <c r="C481" s="673" t="n"/>
      <c r="D481" s="673" t="n"/>
      <c r="E481" s="675" t="n"/>
      <c r="F481" s="675" t="n"/>
      <c r="G481" s="675" t="n"/>
      <c r="H481" s="673" t="n"/>
      <c r="I481" s="673" t="n"/>
      <c r="J481" s="673" t="n"/>
      <c r="K481" s="677" t="n"/>
      <c r="L481" s="677" t="n"/>
      <c r="M481" s="677" t="n"/>
      <c r="N481" s="396" t="n"/>
      <c r="O481" s="396" t="n"/>
      <c r="P481" s="396" t="n"/>
      <c r="Q481" s="396" t="n"/>
      <c r="R481" s="396" t="n"/>
      <c r="S481" s="396" t="n"/>
      <c r="T481" s="396" t="n"/>
      <c r="U481" s="396" t="n"/>
      <c r="V481" s="396" t="n"/>
      <c r="W481" s="396" t="n"/>
      <c r="X481" s="396" t="n"/>
    </row>
    <row r="482">
      <c r="B482" s="673" t="n"/>
      <c r="C482" s="673" t="n"/>
      <c r="D482" s="673" t="n"/>
      <c r="E482" s="675" t="n"/>
      <c r="F482" s="675" t="n"/>
      <c r="G482" s="675" t="n"/>
      <c r="H482" s="673" t="n"/>
      <c r="I482" s="673" t="n"/>
      <c r="J482" s="673" t="n"/>
      <c r="K482" s="677" t="n"/>
      <c r="L482" s="677" t="n"/>
      <c r="M482" s="677" t="n"/>
      <c r="N482" s="396" t="n"/>
      <c r="O482" s="396" t="n"/>
      <c r="P482" s="396" t="n"/>
      <c r="Q482" s="396" t="n"/>
      <c r="R482" s="396" t="n"/>
      <c r="S482" s="396" t="n"/>
      <c r="T482" s="396" t="n"/>
      <c r="U482" s="396" t="n"/>
      <c r="V482" s="396" t="n"/>
      <c r="W482" s="396" t="n"/>
      <c r="X482" s="396" t="n"/>
    </row>
    <row r="483">
      <c r="B483" s="673" t="n"/>
      <c r="C483" s="673" t="n"/>
      <c r="D483" s="673" t="n"/>
      <c r="E483" s="675" t="n"/>
      <c r="F483" s="675" t="n"/>
      <c r="G483" s="675" t="n"/>
      <c r="H483" s="673" t="n"/>
      <c r="I483" s="673" t="n"/>
      <c r="J483" s="673" t="n"/>
      <c r="K483" s="677" t="n"/>
      <c r="L483" s="677" t="n"/>
      <c r="M483" s="677" t="n"/>
      <c r="N483" s="396" t="n"/>
      <c r="O483" s="396" t="n"/>
      <c r="P483" s="396" t="n"/>
      <c r="Q483" s="396" t="n"/>
      <c r="R483" s="396" t="n"/>
      <c r="S483" s="396" t="n"/>
      <c r="T483" s="396" t="n"/>
      <c r="U483" s="396" t="n"/>
      <c r="V483" s="396" t="n"/>
      <c r="W483" s="396" t="n"/>
      <c r="X483" s="396" t="n"/>
    </row>
    <row r="484">
      <c r="B484" s="673" t="n"/>
      <c r="C484" s="673" t="n"/>
      <c r="D484" s="673" t="n"/>
      <c r="E484" s="675" t="n"/>
      <c r="F484" s="675" t="n"/>
      <c r="G484" s="675" t="n"/>
      <c r="H484" s="673" t="n"/>
      <c r="I484" s="673" t="n"/>
      <c r="J484" s="673" t="n"/>
      <c r="K484" s="677" t="n"/>
      <c r="L484" s="677" t="n"/>
      <c r="M484" s="677" t="n"/>
      <c r="N484" s="396" t="n"/>
      <c r="O484" s="396" t="n"/>
      <c r="P484" s="396" t="n"/>
      <c r="Q484" s="396" t="n"/>
      <c r="R484" s="396" t="n"/>
      <c r="S484" s="396" t="n"/>
      <c r="T484" s="396" t="n"/>
      <c r="U484" s="396" t="n"/>
      <c r="V484" s="396" t="n"/>
      <c r="W484" s="396" t="n"/>
      <c r="X484" s="396" t="n"/>
    </row>
    <row r="485">
      <c r="B485" s="673" t="n"/>
      <c r="C485" s="673" t="n"/>
      <c r="D485" s="673" t="n"/>
      <c r="E485" s="675" t="n"/>
      <c r="F485" s="675" t="n"/>
      <c r="G485" s="675" t="n"/>
      <c r="H485" s="673" t="n"/>
      <c r="I485" s="673" t="n"/>
      <c r="J485" s="673" t="n"/>
      <c r="K485" s="677" t="n"/>
      <c r="L485" s="677" t="n"/>
      <c r="M485" s="677" t="n"/>
      <c r="N485" s="396" t="n"/>
      <c r="O485" s="396" t="n"/>
      <c r="P485" s="396" t="n"/>
      <c r="Q485" s="396" t="n"/>
      <c r="R485" s="396" t="n"/>
      <c r="S485" s="396" t="n"/>
      <c r="T485" s="396" t="n"/>
      <c r="U485" s="396" t="n"/>
      <c r="V485" s="396" t="n"/>
      <c r="W485" s="396" t="n"/>
      <c r="X485" s="396" t="n"/>
    </row>
    <row r="486">
      <c r="B486" s="673" t="n"/>
      <c r="C486" s="673" t="n"/>
      <c r="D486" s="673" t="n"/>
      <c r="E486" s="675" t="n"/>
      <c r="F486" s="675" t="n"/>
      <c r="G486" s="675" t="n"/>
      <c r="H486" s="673" t="n"/>
      <c r="I486" s="673" t="n"/>
      <c r="J486" s="673" t="n"/>
      <c r="K486" s="677" t="n"/>
      <c r="L486" s="677" t="n"/>
      <c r="M486" s="677" t="n"/>
      <c r="N486" s="396" t="n"/>
      <c r="O486" s="396" t="n"/>
      <c r="P486" s="396" t="n"/>
      <c r="Q486" s="396" t="n"/>
      <c r="R486" s="396" t="n"/>
      <c r="S486" s="396" t="n"/>
      <c r="T486" s="396" t="n"/>
      <c r="U486" s="396" t="n"/>
      <c r="V486" s="396" t="n"/>
      <c r="W486" s="396" t="n"/>
      <c r="X486" s="396" t="n"/>
    </row>
    <row r="487">
      <c r="B487" s="673" t="n"/>
      <c r="C487" s="673" t="n"/>
      <c r="D487" s="673" t="n"/>
      <c r="E487" s="675" t="n"/>
      <c r="F487" s="675" t="n"/>
      <c r="G487" s="675" t="n"/>
      <c r="H487" s="673" t="n"/>
      <c r="I487" s="673" t="n"/>
      <c r="J487" s="673" t="n"/>
      <c r="K487" s="677" t="n"/>
      <c r="L487" s="677" t="n"/>
      <c r="M487" s="677" t="n"/>
      <c r="N487" s="396" t="n"/>
      <c r="O487" s="396" t="n"/>
      <c r="P487" s="396" t="n"/>
      <c r="Q487" s="396" t="n"/>
      <c r="R487" s="396" t="n"/>
      <c r="S487" s="396" t="n"/>
      <c r="T487" s="396" t="n"/>
      <c r="U487" s="396" t="n"/>
      <c r="V487" s="396" t="n"/>
      <c r="W487" s="396" t="n"/>
      <c r="X487" s="396" t="n"/>
    </row>
    <row r="488">
      <c r="B488" s="673" t="n"/>
      <c r="C488" s="673" t="n"/>
      <c r="D488" s="673" t="n"/>
      <c r="E488" s="675" t="n"/>
      <c r="F488" s="675" t="n"/>
      <c r="G488" s="675" t="n"/>
      <c r="H488" s="673" t="n"/>
      <c r="I488" s="673" t="n"/>
      <c r="J488" s="673" t="n"/>
      <c r="K488" s="677" t="n"/>
      <c r="L488" s="677" t="n"/>
      <c r="M488" s="677" t="n"/>
      <c r="N488" s="396" t="n"/>
      <c r="O488" s="396" t="n"/>
      <c r="P488" s="396" t="n"/>
      <c r="Q488" s="396" t="n"/>
      <c r="R488" s="396" t="n"/>
      <c r="S488" s="396" t="n"/>
      <c r="T488" s="396" t="n"/>
      <c r="U488" s="396" t="n"/>
      <c r="V488" s="396" t="n"/>
      <c r="W488" s="396" t="n"/>
      <c r="X488" s="396" t="n"/>
    </row>
    <row r="489">
      <c r="B489" s="673" t="n"/>
      <c r="C489" s="673" t="n"/>
      <c r="D489" s="673" t="n"/>
      <c r="E489" s="675" t="n"/>
      <c r="F489" s="675" t="n"/>
      <c r="G489" s="675" t="n"/>
      <c r="H489" s="673" t="n"/>
      <c r="I489" s="673" t="n"/>
      <c r="J489" s="673" t="n"/>
      <c r="K489" s="677" t="n"/>
      <c r="L489" s="677" t="n"/>
      <c r="M489" s="677" t="n"/>
      <c r="N489" s="396" t="n"/>
      <c r="O489" s="396" t="n"/>
      <c r="P489" s="396" t="n"/>
      <c r="Q489" s="396" t="n"/>
      <c r="R489" s="396" t="n"/>
      <c r="S489" s="396" t="n"/>
      <c r="T489" s="396" t="n"/>
      <c r="U489" s="396" t="n"/>
      <c r="V489" s="396" t="n"/>
      <c r="W489" s="396" t="n"/>
      <c r="X489" s="396" t="n"/>
    </row>
    <row r="490">
      <c r="B490" s="673" t="n"/>
      <c r="C490" s="673" t="n"/>
      <c r="D490" s="673" t="n"/>
      <c r="E490" s="675" t="n"/>
      <c r="F490" s="675" t="n"/>
      <c r="G490" s="675" t="n"/>
      <c r="H490" s="673" t="n"/>
      <c r="I490" s="673" t="n"/>
      <c r="J490" s="673" t="n"/>
      <c r="K490" s="677" t="n"/>
      <c r="L490" s="677" t="n"/>
      <c r="M490" s="677" t="n"/>
      <c r="N490" s="396" t="n"/>
      <c r="O490" s="396" t="n"/>
      <c r="P490" s="396" t="n"/>
      <c r="Q490" s="396" t="n"/>
      <c r="R490" s="396" t="n"/>
      <c r="S490" s="396" t="n"/>
      <c r="T490" s="396" t="n"/>
      <c r="U490" s="396" t="n"/>
      <c r="V490" s="396" t="n"/>
      <c r="W490" s="396" t="n"/>
      <c r="X490" s="396" t="n"/>
    </row>
    <row r="491">
      <c r="B491" s="673" t="n"/>
      <c r="C491" s="673" t="n"/>
      <c r="D491" s="673" t="n"/>
      <c r="E491" s="675" t="n"/>
      <c r="F491" s="675" t="n"/>
      <c r="G491" s="675" t="n"/>
      <c r="H491" s="673" t="n"/>
      <c r="I491" s="673" t="n"/>
      <c r="J491" s="673" t="n"/>
      <c r="K491" s="677" t="n"/>
      <c r="L491" s="677" t="n"/>
      <c r="M491" s="677" t="n"/>
      <c r="N491" s="396" t="n"/>
      <c r="O491" s="396" t="n"/>
      <c r="P491" s="396" t="n"/>
      <c r="Q491" s="396" t="n"/>
      <c r="R491" s="396" t="n"/>
      <c r="S491" s="396" t="n"/>
      <c r="T491" s="396" t="n"/>
      <c r="U491" s="396" t="n"/>
      <c r="V491" s="396" t="n"/>
      <c r="W491" s="396" t="n"/>
      <c r="X491" s="396" t="n"/>
    </row>
    <row r="492">
      <c r="B492" s="673" t="n"/>
      <c r="C492" s="673" t="n"/>
      <c r="D492" s="673" t="n"/>
      <c r="E492" s="675" t="n"/>
      <c r="F492" s="675" t="n"/>
      <c r="G492" s="675" t="n"/>
      <c r="H492" s="673" t="n"/>
      <c r="I492" s="673" t="n"/>
      <c r="J492" s="673" t="n"/>
      <c r="K492" s="677" t="n"/>
      <c r="L492" s="677" t="n"/>
      <c r="M492" s="677" t="n"/>
      <c r="N492" s="396" t="n"/>
      <c r="O492" s="396" t="n"/>
      <c r="P492" s="396" t="n"/>
      <c r="Q492" s="396" t="n"/>
      <c r="R492" s="396" t="n"/>
      <c r="S492" s="396" t="n"/>
      <c r="T492" s="396" t="n"/>
      <c r="U492" s="396" t="n"/>
      <c r="V492" s="396" t="n"/>
      <c r="W492" s="396" t="n"/>
      <c r="X492" s="396" t="n"/>
    </row>
    <row r="493">
      <c r="B493" s="673" t="n"/>
      <c r="C493" s="673" t="n"/>
      <c r="D493" s="673" t="n"/>
      <c r="E493" s="675" t="n"/>
      <c r="F493" s="675" t="n"/>
      <c r="G493" s="675" t="n"/>
      <c r="H493" s="673" t="n"/>
      <c r="I493" s="673" t="n"/>
      <c r="J493" s="673" t="n"/>
      <c r="K493" s="677" t="n"/>
      <c r="L493" s="677" t="n"/>
      <c r="M493" s="677" t="n"/>
      <c r="N493" s="396" t="n"/>
      <c r="O493" s="396" t="n"/>
      <c r="P493" s="396" t="n"/>
      <c r="Q493" s="396" t="n"/>
      <c r="R493" s="396" t="n"/>
      <c r="S493" s="396" t="n"/>
      <c r="T493" s="396" t="n"/>
      <c r="U493" s="396" t="n"/>
      <c r="V493" s="396" t="n"/>
      <c r="W493" s="396" t="n"/>
      <c r="X493" s="396" t="n"/>
    </row>
    <row r="494">
      <c r="B494" s="673" t="n"/>
      <c r="C494" s="673" t="n"/>
      <c r="D494" s="673" t="n"/>
      <c r="E494" s="675" t="n"/>
      <c r="F494" s="675" t="n"/>
      <c r="G494" s="675" t="n"/>
      <c r="H494" s="673" t="n"/>
      <c r="I494" s="673" t="n"/>
      <c r="J494" s="673" t="n"/>
      <c r="K494" s="677" t="n"/>
      <c r="L494" s="677" t="n"/>
      <c r="M494" s="677" t="n"/>
      <c r="N494" s="396" t="n"/>
      <c r="O494" s="396" t="n"/>
      <c r="P494" s="396" t="n"/>
      <c r="Q494" s="396" t="n"/>
      <c r="R494" s="396" t="n"/>
      <c r="S494" s="396" t="n"/>
      <c r="T494" s="396" t="n"/>
      <c r="U494" s="396" t="n"/>
      <c r="V494" s="396" t="n"/>
      <c r="W494" s="396" t="n"/>
      <c r="X494" s="396" t="n"/>
    </row>
    <row r="495">
      <c r="B495" s="673" t="n"/>
      <c r="C495" s="673" t="n"/>
      <c r="D495" s="673" t="n"/>
      <c r="E495" s="675" t="n"/>
      <c r="F495" s="675" t="n"/>
      <c r="G495" s="675" t="n"/>
      <c r="H495" s="673" t="n"/>
      <c r="I495" s="673" t="n"/>
      <c r="J495" s="673" t="n"/>
      <c r="K495" s="677" t="n"/>
      <c r="L495" s="677" t="n"/>
      <c r="M495" s="677" t="n"/>
      <c r="N495" s="396" t="n"/>
      <c r="O495" s="396" t="n"/>
      <c r="P495" s="396" t="n"/>
      <c r="Q495" s="396" t="n"/>
      <c r="R495" s="396" t="n"/>
      <c r="S495" s="396" t="n"/>
      <c r="T495" s="396" t="n"/>
      <c r="U495" s="396" t="n"/>
      <c r="V495" s="396" t="n"/>
      <c r="W495" s="396" t="n"/>
      <c r="X495" s="396" t="n"/>
    </row>
    <row r="496">
      <c r="B496" s="673" t="n"/>
      <c r="C496" s="673" t="n"/>
      <c r="D496" s="673" t="n"/>
      <c r="E496" s="675" t="n"/>
      <c r="F496" s="675" t="n"/>
      <c r="G496" s="675" t="n"/>
      <c r="H496" s="673" t="n"/>
      <c r="I496" s="673" t="n"/>
      <c r="J496" s="673" t="n"/>
      <c r="K496" s="677" t="n"/>
      <c r="L496" s="677" t="n"/>
      <c r="M496" s="677" t="n"/>
      <c r="N496" s="396" t="n"/>
      <c r="O496" s="396" t="n"/>
      <c r="P496" s="396" t="n"/>
      <c r="Q496" s="396" t="n"/>
      <c r="R496" s="396" t="n"/>
      <c r="S496" s="396" t="n"/>
      <c r="T496" s="396" t="n"/>
      <c r="U496" s="396" t="n"/>
      <c r="V496" s="396" t="n"/>
      <c r="W496" s="396" t="n"/>
      <c r="X496" s="396" t="n"/>
    </row>
    <row r="497">
      <c r="B497" s="673" t="n"/>
      <c r="C497" s="673" t="n"/>
      <c r="D497" s="673" t="n"/>
      <c r="E497" s="675" t="n"/>
      <c r="F497" s="675" t="n"/>
      <c r="G497" s="675" t="n"/>
      <c r="H497" s="673" t="n"/>
      <c r="I497" s="673" t="n"/>
      <c r="J497" s="673" t="n"/>
      <c r="K497" s="677" t="n"/>
      <c r="L497" s="677" t="n"/>
      <c r="M497" s="677" t="n"/>
      <c r="N497" s="396" t="n"/>
      <c r="O497" s="396" t="n"/>
      <c r="P497" s="396" t="n"/>
      <c r="Q497" s="396" t="n"/>
      <c r="R497" s="396" t="n"/>
      <c r="S497" s="396" t="n"/>
      <c r="T497" s="396" t="n"/>
      <c r="U497" s="396" t="n"/>
      <c r="V497" s="396" t="n"/>
      <c r="W497" s="396" t="n"/>
      <c r="X497" s="396" t="n"/>
    </row>
    <row r="498">
      <c r="B498" s="673" t="n"/>
      <c r="C498" s="673" t="n"/>
      <c r="D498" s="673" t="n"/>
      <c r="E498" s="675" t="n"/>
      <c r="F498" s="675" t="n"/>
      <c r="G498" s="675" t="n"/>
      <c r="H498" s="673" t="n"/>
      <c r="I498" s="673" t="n"/>
      <c r="J498" s="673" t="n"/>
      <c r="K498" s="677" t="n"/>
      <c r="L498" s="677" t="n"/>
      <c r="M498" s="677" t="n"/>
      <c r="N498" s="396" t="n"/>
      <c r="O498" s="396" t="n"/>
      <c r="P498" s="396" t="n"/>
      <c r="Q498" s="396" t="n"/>
      <c r="R498" s="396" t="n"/>
      <c r="S498" s="396" t="n"/>
      <c r="T498" s="396" t="n"/>
      <c r="U498" s="396" t="n"/>
      <c r="V498" s="396" t="n"/>
      <c r="W498" s="396" t="n"/>
      <c r="X498" s="396" t="n"/>
    </row>
    <row r="499">
      <c r="B499" s="673" t="n"/>
      <c r="C499" s="673" t="n"/>
      <c r="D499" s="673" t="n"/>
      <c r="E499" s="675" t="n"/>
      <c r="F499" s="675" t="n"/>
      <c r="G499" s="675" t="n"/>
      <c r="H499" s="673" t="n"/>
      <c r="I499" s="673" t="n"/>
      <c r="J499" s="673" t="n"/>
      <c r="K499" s="677" t="n"/>
      <c r="L499" s="677" t="n"/>
      <c r="M499" s="677" t="n"/>
      <c r="N499" s="396" t="n"/>
      <c r="O499" s="396" t="n"/>
      <c r="P499" s="396" t="n"/>
      <c r="Q499" s="396" t="n"/>
      <c r="R499" s="396" t="n"/>
      <c r="S499" s="396" t="n"/>
      <c r="T499" s="396" t="n"/>
      <c r="U499" s="396" t="n"/>
      <c r="V499" s="396" t="n"/>
      <c r="W499" s="396" t="n"/>
      <c r="X499" s="396" t="n"/>
    </row>
    <row r="500">
      <c r="B500" s="673" t="n"/>
      <c r="C500" s="673" t="n"/>
      <c r="D500" s="673" t="n"/>
      <c r="E500" s="675" t="n"/>
      <c r="F500" s="675" t="n"/>
      <c r="G500" s="675" t="n"/>
      <c r="H500" s="673" t="n"/>
      <c r="I500" s="673" t="n"/>
      <c r="J500" s="673" t="n"/>
      <c r="K500" s="677" t="n"/>
      <c r="L500" s="677" t="n"/>
      <c r="M500" s="677" t="n"/>
      <c r="N500" s="396" t="n"/>
      <c r="O500" s="396" t="n"/>
      <c r="P500" s="396" t="n"/>
      <c r="Q500" s="396" t="n"/>
      <c r="R500" s="396" t="n"/>
      <c r="S500" s="396" t="n"/>
      <c r="T500" s="396" t="n"/>
      <c r="U500" s="396" t="n"/>
      <c r="V500" s="396" t="n"/>
      <c r="W500" s="396" t="n"/>
      <c r="X500" s="396" t="n"/>
    </row>
    <row r="501">
      <c r="B501" s="673" t="n"/>
      <c r="C501" s="673" t="n"/>
      <c r="D501" s="673" t="n"/>
      <c r="E501" s="675" t="n"/>
      <c r="F501" s="675" t="n"/>
      <c r="G501" s="675" t="n"/>
      <c r="H501" s="673" t="n"/>
      <c r="I501" s="673" t="n"/>
      <c r="J501" s="673" t="n"/>
      <c r="K501" s="677" t="n"/>
      <c r="L501" s="677" t="n"/>
      <c r="M501" s="677" t="n"/>
      <c r="N501" s="396" t="n"/>
      <c r="O501" s="396" t="n"/>
      <c r="P501" s="396" t="n"/>
      <c r="Q501" s="396" t="n"/>
      <c r="R501" s="396" t="n"/>
      <c r="S501" s="396" t="n"/>
      <c r="T501" s="396" t="n"/>
      <c r="U501" s="396" t="n"/>
      <c r="V501" s="396" t="n"/>
      <c r="W501" s="396" t="n"/>
      <c r="X501" s="396" t="n"/>
    </row>
    <row r="502">
      <c r="B502" s="673" t="n"/>
      <c r="C502" s="673" t="n"/>
      <c r="D502" s="673" t="n"/>
      <c r="E502" s="675" t="n"/>
      <c r="F502" s="675" t="n"/>
      <c r="G502" s="675" t="n"/>
      <c r="H502" s="673" t="n"/>
      <c r="I502" s="673" t="n"/>
      <c r="J502" s="673" t="n"/>
      <c r="K502" s="677" t="n"/>
      <c r="L502" s="677" t="n"/>
      <c r="M502" s="677" t="n"/>
      <c r="N502" s="396" t="n"/>
      <c r="O502" s="396" t="n"/>
      <c r="P502" s="396" t="n"/>
      <c r="Q502" s="396" t="n"/>
      <c r="R502" s="396" t="n"/>
      <c r="S502" s="396" t="n"/>
      <c r="T502" s="396" t="n"/>
      <c r="U502" s="396" t="n"/>
      <c r="V502" s="396" t="n"/>
      <c r="W502" s="396" t="n"/>
      <c r="X502" s="396" t="n"/>
    </row>
    <row r="503">
      <c r="B503" s="673" t="n"/>
      <c r="C503" s="673" t="n"/>
      <c r="D503" s="673" t="n"/>
      <c r="E503" s="675" t="n"/>
      <c r="F503" s="675" t="n"/>
      <c r="G503" s="675" t="n"/>
      <c r="H503" s="673" t="n"/>
      <c r="I503" s="673" t="n"/>
      <c r="J503" s="673" t="n"/>
      <c r="K503" s="677" t="n"/>
      <c r="L503" s="677" t="n"/>
      <c r="M503" s="677" t="n"/>
      <c r="N503" s="396" t="n"/>
      <c r="O503" s="396" t="n"/>
      <c r="P503" s="396" t="n"/>
      <c r="Q503" s="396" t="n"/>
      <c r="R503" s="396" t="n"/>
      <c r="S503" s="396" t="n"/>
      <c r="T503" s="396" t="n"/>
      <c r="U503" s="396" t="n"/>
      <c r="V503" s="396" t="n"/>
      <c r="W503" s="396" t="n"/>
      <c r="X503" s="396" t="n"/>
    </row>
    <row r="504">
      <c r="B504" s="673" t="n"/>
      <c r="C504" s="673" t="n"/>
      <c r="D504" s="673" t="n"/>
      <c r="E504" s="675" t="n"/>
      <c r="F504" s="675" t="n"/>
      <c r="G504" s="675" t="n"/>
      <c r="H504" s="673" t="n"/>
      <c r="I504" s="673" t="n"/>
      <c r="J504" s="673" t="n"/>
      <c r="K504" s="677" t="n"/>
      <c r="L504" s="677" t="n"/>
      <c r="M504" s="677" t="n"/>
      <c r="N504" s="396" t="n"/>
      <c r="O504" s="396" t="n"/>
      <c r="P504" s="396" t="n"/>
      <c r="Q504" s="396" t="n"/>
      <c r="R504" s="396" t="n"/>
      <c r="S504" s="396" t="n"/>
      <c r="T504" s="396" t="n"/>
      <c r="U504" s="396" t="n"/>
      <c r="V504" s="396" t="n"/>
      <c r="W504" s="396" t="n"/>
      <c r="X504" s="396" t="n"/>
    </row>
    <row r="505">
      <c r="B505" s="673" t="n"/>
      <c r="C505" s="673" t="n"/>
      <c r="D505" s="673" t="n"/>
      <c r="E505" s="675" t="n"/>
      <c r="F505" s="675" t="n"/>
      <c r="G505" s="675" t="n"/>
      <c r="H505" s="673" t="n"/>
      <c r="I505" s="673" t="n"/>
      <c r="J505" s="673" t="n"/>
      <c r="K505" s="677" t="n"/>
      <c r="L505" s="677" t="n"/>
      <c r="M505" s="677" t="n"/>
      <c r="N505" s="396" t="n"/>
      <c r="O505" s="396" t="n"/>
      <c r="P505" s="396" t="n"/>
      <c r="Q505" s="396" t="n"/>
      <c r="R505" s="396" t="n"/>
      <c r="S505" s="396" t="n"/>
      <c r="T505" s="396" t="n"/>
      <c r="U505" s="396" t="n"/>
      <c r="V505" s="396" t="n"/>
      <c r="W505" s="396" t="n"/>
      <c r="X505" s="396" t="n"/>
    </row>
    <row r="506">
      <c r="B506" s="673" t="n"/>
      <c r="C506" s="673" t="n"/>
      <c r="D506" s="673" t="n"/>
      <c r="E506" s="675" t="n"/>
      <c r="F506" s="675" t="n"/>
      <c r="G506" s="675" t="n"/>
      <c r="H506" s="673" t="n"/>
      <c r="I506" s="673" t="n"/>
      <c r="J506" s="673" t="n"/>
      <c r="K506" s="677" t="n"/>
      <c r="L506" s="677" t="n"/>
      <c r="M506" s="677" t="n"/>
      <c r="N506" s="396" t="n"/>
      <c r="O506" s="396" t="n"/>
      <c r="P506" s="396" t="n"/>
      <c r="Q506" s="396" t="n"/>
      <c r="R506" s="396" t="n"/>
      <c r="S506" s="396" t="n"/>
      <c r="T506" s="396" t="n"/>
      <c r="U506" s="396" t="n"/>
      <c r="V506" s="396" t="n"/>
      <c r="W506" s="396" t="n"/>
      <c r="X506" s="396" t="n"/>
    </row>
    <row r="507">
      <c r="B507" s="673" t="n"/>
      <c r="C507" s="673" t="n"/>
      <c r="D507" s="673" t="n"/>
      <c r="E507" s="675" t="n"/>
      <c r="F507" s="675" t="n"/>
      <c r="G507" s="675" t="n"/>
      <c r="H507" s="673" t="n"/>
      <c r="I507" s="673" t="n"/>
      <c r="J507" s="673" t="n"/>
      <c r="K507" s="677" t="n"/>
      <c r="L507" s="677" t="n"/>
      <c r="M507" s="677" t="n"/>
      <c r="N507" s="396" t="n"/>
      <c r="O507" s="396" t="n"/>
      <c r="P507" s="396" t="n"/>
      <c r="Q507" s="396" t="n"/>
      <c r="R507" s="396" t="n"/>
      <c r="S507" s="396" t="n"/>
      <c r="T507" s="396" t="n"/>
      <c r="U507" s="396" t="n"/>
      <c r="V507" s="396" t="n"/>
      <c r="W507" s="396" t="n"/>
      <c r="X507" s="396" t="n"/>
    </row>
    <row r="508">
      <c r="B508" s="673" t="n"/>
      <c r="C508" s="673" t="n"/>
      <c r="D508" s="673" t="n"/>
      <c r="E508" s="675" t="n"/>
      <c r="F508" s="675" t="n"/>
      <c r="G508" s="675" t="n"/>
      <c r="H508" s="673" t="n"/>
      <c r="I508" s="673" t="n"/>
      <c r="J508" s="673" t="n"/>
      <c r="K508" s="677" t="n"/>
      <c r="L508" s="677" t="n"/>
      <c r="M508" s="677" t="n"/>
      <c r="N508" s="396" t="n"/>
      <c r="O508" s="396" t="n"/>
      <c r="P508" s="396" t="n"/>
      <c r="Q508" s="396" t="n"/>
      <c r="R508" s="396" t="n"/>
      <c r="S508" s="396" t="n"/>
      <c r="T508" s="396" t="n"/>
      <c r="U508" s="396" t="n"/>
      <c r="V508" s="396" t="n"/>
      <c r="W508" s="396" t="n"/>
      <c r="X508" s="396" t="n"/>
    </row>
    <row r="509">
      <c r="B509" s="673" t="n"/>
      <c r="C509" s="673" t="n"/>
      <c r="D509" s="673" t="n"/>
      <c r="E509" s="675" t="n"/>
      <c r="F509" s="675" t="n"/>
      <c r="G509" s="675" t="n"/>
      <c r="H509" s="673" t="n"/>
      <c r="I509" s="673" t="n"/>
      <c r="J509" s="673" t="n"/>
      <c r="K509" s="677" t="n"/>
      <c r="L509" s="677" t="n"/>
      <c r="M509" s="677" t="n"/>
      <c r="N509" s="396" t="n"/>
      <c r="O509" s="396" t="n"/>
      <c r="P509" s="396" t="n"/>
      <c r="Q509" s="396" t="n"/>
      <c r="R509" s="396" t="n"/>
      <c r="S509" s="396" t="n"/>
      <c r="T509" s="396" t="n"/>
      <c r="U509" s="396" t="n"/>
      <c r="V509" s="396" t="n"/>
      <c r="W509" s="396" t="n"/>
      <c r="X509" s="396" t="n"/>
    </row>
    <row r="510">
      <c r="B510" s="673" t="n"/>
      <c r="C510" s="673" t="n"/>
      <c r="D510" s="673" t="n"/>
      <c r="E510" s="675" t="n"/>
      <c r="F510" s="675" t="n"/>
      <c r="G510" s="675" t="n"/>
      <c r="H510" s="673" t="n"/>
      <c r="I510" s="673" t="n"/>
      <c r="J510" s="673" t="n"/>
      <c r="K510" s="677" t="n"/>
      <c r="L510" s="677" t="n"/>
      <c r="M510" s="677" t="n"/>
      <c r="N510" s="396" t="n"/>
      <c r="O510" s="396" t="n"/>
      <c r="P510" s="396" t="n"/>
      <c r="Q510" s="396" t="n"/>
      <c r="R510" s="396" t="n"/>
      <c r="S510" s="396" t="n"/>
      <c r="T510" s="396" t="n"/>
      <c r="U510" s="396" t="n"/>
      <c r="V510" s="396" t="n"/>
      <c r="W510" s="396" t="n"/>
      <c r="X510" s="396" t="n"/>
    </row>
    <row r="511">
      <c r="B511" s="673" t="n"/>
      <c r="C511" s="673" t="n"/>
      <c r="D511" s="673" t="n"/>
      <c r="E511" s="675" t="n"/>
      <c r="F511" s="675" t="n"/>
      <c r="G511" s="675" t="n"/>
      <c r="H511" s="673" t="n"/>
      <c r="I511" s="673" t="n"/>
      <c r="J511" s="673" t="n"/>
      <c r="K511" s="677" t="n"/>
      <c r="L511" s="677" t="n"/>
      <c r="M511" s="677" t="n"/>
      <c r="N511" s="396" t="n"/>
      <c r="O511" s="396" t="n"/>
      <c r="P511" s="396" t="n"/>
      <c r="Q511" s="396" t="n"/>
      <c r="R511" s="396" t="n"/>
      <c r="S511" s="396" t="n"/>
      <c r="T511" s="396" t="n"/>
      <c r="U511" s="396" t="n"/>
      <c r="V511" s="396" t="n"/>
      <c r="W511" s="396" t="n"/>
      <c r="X511" s="396" t="n"/>
    </row>
    <row r="512">
      <c r="B512" s="673" t="n"/>
      <c r="C512" s="673" t="n"/>
      <c r="D512" s="673" t="n"/>
      <c r="E512" s="675" t="n"/>
      <c r="F512" s="675" t="n"/>
      <c r="G512" s="675" t="n"/>
      <c r="H512" s="673" t="n"/>
      <c r="I512" s="673" t="n"/>
      <c r="J512" s="673" t="n"/>
      <c r="K512" s="677" t="n"/>
      <c r="L512" s="677" t="n"/>
      <c r="M512" s="677" t="n"/>
      <c r="N512" s="396" t="n"/>
      <c r="O512" s="396" t="n"/>
      <c r="P512" s="396" t="n"/>
      <c r="Q512" s="396" t="n"/>
      <c r="R512" s="396" t="n"/>
      <c r="S512" s="396" t="n"/>
      <c r="T512" s="396" t="n"/>
      <c r="U512" s="396" t="n"/>
      <c r="V512" s="396" t="n"/>
      <c r="W512" s="396" t="n"/>
      <c r="X512" s="396" t="n"/>
    </row>
    <row r="513">
      <c r="B513" s="673" t="n"/>
      <c r="C513" s="673" t="n"/>
      <c r="D513" s="673" t="n"/>
      <c r="E513" s="675" t="n"/>
      <c r="F513" s="675" t="n"/>
      <c r="G513" s="675" t="n"/>
      <c r="H513" s="673" t="n"/>
      <c r="I513" s="673" t="n"/>
      <c r="J513" s="673" t="n"/>
      <c r="K513" s="677" t="n"/>
      <c r="L513" s="677" t="n"/>
      <c r="M513" s="677" t="n"/>
      <c r="N513" s="396" t="n"/>
      <c r="O513" s="396" t="n"/>
      <c r="P513" s="396" t="n"/>
      <c r="Q513" s="396" t="n"/>
      <c r="R513" s="396" t="n"/>
      <c r="S513" s="396" t="n"/>
      <c r="T513" s="396" t="n"/>
      <c r="U513" s="396" t="n"/>
      <c r="V513" s="396" t="n"/>
      <c r="W513" s="396" t="n"/>
      <c r="X513" s="396" t="n"/>
    </row>
    <row r="514">
      <c r="B514" s="673" t="n"/>
      <c r="C514" s="673" t="n"/>
      <c r="D514" s="673" t="n"/>
      <c r="E514" s="675" t="n"/>
      <c r="F514" s="675" t="n"/>
      <c r="G514" s="675" t="n"/>
      <c r="H514" s="673" t="n"/>
      <c r="I514" s="673" t="n"/>
      <c r="J514" s="673" t="n"/>
      <c r="K514" s="677" t="n"/>
      <c r="L514" s="677" t="n"/>
      <c r="M514" s="677" t="n"/>
      <c r="N514" s="396" t="n"/>
      <c r="O514" s="396" t="n"/>
      <c r="P514" s="396" t="n"/>
      <c r="Q514" s="396" t="n"/>
      <c r="R514" s="396" t="n"/>
      <c r="S514" s="396" t="n"/>
      <c r="T514" s="396" t="n"/>
      <c r="U514" s="396" t="n"/>
      <c r="V514" s="396" t="n"/>
      <c r="W514" s="396" t="n"/>
      <c r="X514" s="396" t="n"/>
    </row>
    <row r="515">
      <c r="B515" s="673" t="n"/>
      <c r="C515" s="673" t="n"/>
      <c r="D515" s="673" t="n"/>
      <c r="E515" s="675" t="n"/>
      <c r="F515" s="675" t="n"/>
      <c r="G515" s="675" t="n"/>
      <c r="H515" s="673" t="n"/>
      <c r="I515" s="673" t="n"/>
      <c r="J515" s="673" t="n"/>
      <c r="K515" s="677" t="n"/>
      <c r="L515" s="677" t="n"/>
      <c r="M515" s="677" t="n"/>
      <c r="N515" s="396" t="n"/>
      <c r="O515" s="396" t="n"/>
      <c r="P515" s="396" t="n"/>
      <c r="Q515" s="396" t="n"/>
      <c r="R515" s="396" t="n"/>
      <c r="S515" s="396" t="n"/>
      <c r="T515" s="396" t="n"/>
      <c r="U515" s="396" t="n"/>
      <c r="V515" s="396" t="n"/>
      <c r="W515" s="396" t="n"/>
      <c r="X515" s="396" t="n"/>
    </row>
    <row r="516">
      <c r="B516" s="673" t="n"/>
      <c r="C516" s="673" t="n"/>
      <c r="D516" s="673" t="n"/>
      <c r="E516" s="675" t="n"/>
      <c r="F516" s="675" t="n"/>
      <c r="G516" s="675" t="n"/>
      <c r="H516" s="673" t="n"/>
      <c r="I516" s="673" t="n"/>
      <c r="J516" s="673" t="n"/>
      <c r="K516" s="677" t="n"/>
      <c r="L516" s="677" t="n"/>
      <c r="M516" s="677" t="n"/>
      <c r="N516" s="396" t="n"/>
      <c r="O516" s="396" t="n"/>
      <c r="P516" s="396" t="n"/>
      <c r="Q516" s="396" t="n"/>
      <c r="R516" s="396" t="n"/>
      <c r="S516" s="396" t="n"/>
      <c r="T516" s="396" t="n"/>
      <c r="U516" s="396" t="n"/>
      <c r="V516" s="396" t="n"/>
      <c r="W516" s="396" t="n"/>
      <c r="X516" s="396" t="n"/>
    </row>
    <row r="517">
      <c r="B517" s="673" t="n"/>
      <c r="C517" s="673" t="n"/>
      <c r="D517" s="673" t="n"/>
      <c r="E517" s="675" t="n"/>
      <c r="F517" s="675" t="n"/>
      <c r="G517" s="675" t="n"/>
      <c r="H517" s="673" t="n"/>
      <c r="I517" s="673" t="n"/>
      <c r="J517" s="673" t="n"/>
      <c r="K517" s="677" t="n"/>
      <c r="L517" s="677" t="n"/>
      <c r="M517" s="677" t="n"/>
      <c r="N517" s="396" t="n"/>
      <c r="O517" s="396" t="n"/>
      <c r="P517" s="396" t="n"/>
      <c r="Q517" s="396" t="n"/>
      <c r="R517" s="396" t="n"/>
      <c r="S517" s="396" t="n"/>
      <c r="T517" s="396" t="n"/>
      <c r="U517" s="396" t="n"/>
      <c r="V517" s="396" t="n"/>
      <c r="W517" s="396" t="n"/>
      <c r="X517" s="396" t="n"/>
    </row>
    <row r="518">
      <c r="B518" s="673" t="n"/>
      <c r="C518" s="673" t="n"/>
      <c r="D518" s="673" t="n"/>
      <c r="E518" s="675" t="n"/>
      <c r="F518" s="675" t="n"/>
      <c r="G518" s="675" t="n"/>
      <c r="H518" s="673" t="n"/>
      <c r="I518" s="673" t="n"/>
      <c r="J518" s="673" t="n"/>
      <c r="K518" s="677" t="n"/>
      <c r="L518" s="677" t="n"/>
      <c r="M518" s="677" t="n"/>
      <c r="N518" s="396" t="n"/>
      <c r="O518" s="396" t="n"/>
      <c r="P518" s="396" t="n"/>
      <c r="Q518" s="396" t="n"/>
      <c r="R518" s="396" t="n"/>
      <c r="S518" s="396" t="n"/>
      <c r="T518" s="396" t="n"/>
      <c r="U518" s="396" t="n"/>
      <c r="V518" s="396" t="n"/>
      <c r="W518" s="396" t="n"/>
      <c r="X518" s="396" t="n"/>
    </row>
    <row r="519">
      <c r="B519" s="673" t="n"/>
      <c r="C519" s="673" t="n"/>
      <c r="D519" s="673" t="n"/>
      <c r="E519" s="675" t="n"/>
      <c r="F519" s="675" t="n"/>
      <c r="G519" s="675" t="n"/>
      <c r="H519" s="673" t="n"/>
      <c r="I519" s="673" t="n"/>
      <c r="J519" s="673" t="n"/>
      <c r="K519" s="677" t="n"/>
      <c r="L519" s="677" t="n"/>
      <c r="M519" s="677" t="n"/>
      <c r="N519" s="396" t="n"/>
      <c r="O519" s="396" t="n"/>
      <c r="P519" s="396" t="n"/>
      <c r="Q519" s="396" t="n"/>
      <c r="R519" s="396" t="n"/>
      <c r="S519" s="396" t="n"/>
      <c r="T519" s="396" t="n"/>
      <c r="U519" s="396" t="n"/>
      <c r="V519" s="396" t="n"/>
      <c r="W519" s="396" t="n"/>
      <c r="X519" s="396" t="n"/>
    </row>
    <row r="520">
      <c r="B520" s="673" t="n"/>
      <c r="C520" s="673" t="n"/>
      <c r="D520" s="673" t="n"/>
      <c r="E520" s="675" t="n"/>
      <c r="F520" s="675" t="n"/>
      <c r="G520" s="675" t="n"/>
      <c r="H520" s="673" t="n"/>
      <c r="I520" s="673" t="n"/>
      <c r="J520" s="673" t="n"/>
      <c r="K520" s="677" t="n"/>
      <c r="L520" s="677" t="n"/>
      <c r="M520" s="677" t="n"/>
      <c r="N520" s="396" t="n"/>
      <c r="O520" s="396" t="n"/>
      <c r="P520" s="396" t="n"/>
      <c r="Q520" s="396" t="n"/>
      <c r="R520" s="396" t="n"/>
      <c r="S520" s="396" t="n"/>
      <c r="T520" s="396" t="n"/>
      <c r="U520" s="396" t="n"/>
      <c r="V520" s="396" t="n"/>
      <c r="W520" s="396" t="n"/>
      <c r="X520" s="396" t="n"/>
    </row>
    <row r="521">
      <c r="B521" s="673" t="n"/>
      <c r="C521" s="673" t="n"/>
      <c r="D521" s="673" t="n"/>
      <c r="E521" s="675" t="n"/>
      <c r="F521" s="675" t="n"/>
      <c r="G521" s="675" t="n"/>
      <c r="H521" s="673" t="n"/>
      <c r="I521" s="673" t="n"/>
      <c r="J521" s="673" t="n"/>
      <c r="K521" s="677" t="n"/>
      <c r="L521" s="677" t="n"/>
      <c r="M521" s="677" t="n"/>
      <c r="N521" s="396" t="n"/>
      <c r="O521" s="396" t="n"/>
      <c r="P521" s="396" t="n"/>
      <c r="Q521" s="396" t="n"/>
      <c r="R521" s="396" t="n"/>
      <c r="S521" s="396" t="n"/>
      <c r="T521" s="396" t="n"/>
      <c r="U521" s="396" t="n"/>
      <c r="V521" s="396" t="n"/>
      <c r="W521" s="396" t="n"/>
      <c r="X521" s="396" t="n"/>
    </row>
    <row r="522">
      <c r="B522" s="673" t="n"/>
      <c r="C522" s="673" t="n"/>
      <c r="D522" s="673" t="n"/>
      <c r="E522" s="675" t="n"/>
      <c r="F522" s="675" t="n"/>
      <c r="G522" s="675" t="n"/>
      <c r="H522" s="673" t="n"/>
      <c r="I522" s="673" t="n"/>
      <c r="J522" s="673" t="n"/>
      <c r="K522" s="677" t="n"/>
      <c r="L522" s="677" t="n"/>
      <c r="M522" s="677" t="n"/>
      <c r="N522" s="396" t="n"/>
      <c r="O522" s="396" t="n"/>
      <c r="P522" s="396" t="n"/>
      <c r="Q522" s="396" t="n"/>
      <c r="R522" s="396" t="n"/>
      <c r="S522" s="396" t="n"/>
      <c r="T522" s="396" t="n"/>
      <c r="U522" s="396" t="n"/>
      <c r="V522" s="396" t="n"/>
      <c r="W522" s="396" t="n"/>
      <c r="X522" s="396" t="n"/>
    </row>
    <row r="523">
      <c r="B523" s="673" t="n"/>
      <c r="C523" s="673" t="n"/>
      <c r="D523" s="673" t="n"/>
      <c r="E523" s="675" t="n"/>
      <c r="F523" s="675" t="n"/>
      <c r="G523" s="675" t="n"/>
      <c r="H523" s="673" t="n"/>
      <c r="I523" s="673" t="n"/>
      <c r="J523" s="673" t="n"/>
      <c r="K523" s="677" t="n"/>
      <c r="L523" s="677" t="n"/>
      <c r="M523" s="677" t="n"/>
      <c r="N523" s="396" t="n"/>
      <c r="O523" s="396" t="n"/>
      <c r="P523" s="396" t="n"/>
      <c r="Q523" s="396" t="n"/>
      <c r="R523" s="396" t="n"/>
      <c r="S523" s="396" t="n"/>
      <c r="T523" s="396" t="n"/>
      <c r="U523" s="396" t="n"/>
      <c r="V523" s="396" t="n"/>
      <c r="W523" s="396" t="n"/>
      <c r="X523" s="396" t="n"/>
    </row>
    <row r="524">
      <c r="B524" s="673" t="n"/>
      <c r="C524" s="673" t="n"/>
      <c r="D524" s="673" t="n"/>
      <c r="E524" s="675" t="n"/>
      <c r="F524" s="675" t="n"/>
      <c r="G524" s="675" t="n"/>
      <c r="H524" s="673" t="n"/>
      <c r="I524" s="673" t="n"/>
      <c r="J524" s="673" t="n"/>
      <c r="K524" s="677" t="n"/>
      <c r="L524" s="677" t="n"/>
      <c r="M524" s="677" t="n"/>
      <c r="N524" s="396" t="n"/>
      <c r="O524" s="396" t="n"/>
      <c r="P524" s="396" t="n"/>
      <c r="Q524" s="396" t="n"/>
      <c r="R524" s="396" t="n"/>
      <c r="S524" s="396" t="n"/>
      <c r="T524" s="396" t="n"/>
      <c r="U524" s="396" t="n"/>
      <c r="V524" s="396" t="n"/>
      <c r="W524" s="396" t="n"/>
      <c r="X524" s="396" t="n"/>
    </row>
    <row r="525">
      <c r="B525" s="673" t="n"/>
      <c r="C525" s="673" t="n"/>
      <c r="D525" s="673" t="n"/>
      <c r="E525" s="675" t="n"/>
      <c r="F525" s="675" t="n"/>
      <c r="G525" s="675" t="n"/>
      <c r="H525" s="673" t="n"/>
      <c r="I525" s="673" t="n"/>
      <c r="J525" s="673" t="n"/>
      <c r="K525" s="677" t="n"/>
      <c r="L525" s="677" t="n"/>
      <c r="M525" s="677" t="n"/>
      <c r="N525" s="396" t="n"/>
      <c r="O525" s="396" t="n"/>
      <c r="P525" s="396" t="n"/>
      <c r="Q525" s="396" t="n"/>
      <c r="R525" s="396" t="n"/>
      <c r="S525" s="396" t="n"/>
      <c r="T525" s="396" t="n"/>
      <c r="U525" s="396" t="n"/>
      <c r="V525" s="396" t="n"/>
      <c r="W525" s="396" t="n"/>
      <c r="X525" s="396" t="n"/>
    </row>
    <row r="526">
      <c r="B526" s="673" t="n"/>
      <c r="C526" s="673" t="n"/>
      <c r="D526" s="673" t="n"/>
      <c r="E526" s="675" t="n"/>
      <c r="F526" s="675" t="n"/>
      <c r="G526" s="675" t="n"/>
      <c r="H526" s="673" t="n"/>
      <c r="I526" s="673" t="n"/>
      <c r="J526" s="673" t="n"/>
      <c r="K526" s="677" t="n"/>
      <c r="L526" s="677" t="n"/>
      <c r="M526" s="677" t="n"/>
      <c r="N526" s="396" t="n"/>
      <c r="O526" s="396" t="n"/>
      <c r="P526" s="396" t="n"/>
      <c r="Q526" s="396" t="n"/>
      <c r="R526" s="396" t="n"/>
      <c r="S526" s="396" t="n"/>
      <c r="T526" s="396" t="n"/>
      <c r="U526" s="396" t="n"/>
      <c r="V526" s="396" t="n"/>
      <c r="W526" s="396" t="n"/>
      <c r="X526" s="396" t="n"/>
    </row>
    <row r="527">
      <c r="B527" s="673" t="n"/>
      <c r="C527" s="673" t="n"/>
      <c r="D527" s="673" t="n"/>
      <c r="E527" s="675" t="n"/>
      <c r="F527" s="675" t="n"/>
      <c r="G527" s="675" t="n"/>
      <c r="H527" s="673" t="n"/>
      <c r="I527" s="673" t="n"/>
      <c r="J527" s="673" t="n"/>
      <c r="K527" s="677" t="n"/>
      <c r="L527" s="677" t="n"/>
      <c r="M527" s="677" t="n"/>
      <c r="N527" s="396" t="n"/>
      <c r="O527" s="396" t="n"/>
      <c r="P527" s="396" t="n"/>
      <c r="Q527" s="396" t="n"/>
      <c r="R527" s="396" t="n"/>
      <c r="S527" s="396" t="n"/>
      <c r="T527" s="396" t="n"/>
      <c r="U527" s="396" t="n"/>
      <c r="V527" s="396" t="n"/>
      <c r="W527" s="396" t="n"/>
      <c r="X527" s="396" t="n"/>
    </row>
    <row r="528">
      <c r="B528" s="673" t="n"/>
      <c r="C528" s="673" t="n"/>
      <c r="D528" s="673" t="n"/>
      <c r="E528" s="675" t="n"/>
      <c r="F528" s="675" t="n"/>
      <c r="G528" s="675" t="n"/>
      <c r="H528" s="673" t="n"/>
      <c r="I528" s="673" t="n"/>
      <c r="J528" s="673" t="n"/>
      <c r="K528" s="677" t="n"/>
      <c r="L528" s="677" t="n"/>
      <c r="M528" s="677" t="n"/>
      <c r="N528" s="396" t="n"/>
      <c r="O528" s="396" t="n"/>
      <c r="P528" s="396" t="n"/>
      <c r="Q528" s="396" t="n"/>
      <c r="R528" s="396" t="n"/>
      <c r="S528" s="396" t="n"/>
      <c r="T528" s="396" t="n"/>
      <c r="U528" s="396" t="n"/>
      <c r="V528" s="396" t="n"/>
      <c r="W528" s="396" t="n"/>
      <c r="X528" s="396" t="n"/>
    </row>
    <row r="529">
      <c r="B529" s="673" t="n"/>
      <c r="C529" s="673" t="n"/>
      <c r="D529" s="673" t="n"/>
      <c r="E529" s="675" t="n"/>
      <c r="F529" s="675" t="n"/>
      <c r="G529" s="675" t="n"/>
      <c r="H529" s="673" t="n"/>
      <c r="I529" s="673" t="n"/>
      <c r="J529" s="673" t="n"/>
      <c r="K529" s="677" t="n"/>
      <c r="L529" s="677" t="n"/>
      <c r="M529" s="677" t="n"/>
      <c r="N529" s="396" t="n"/>
      <c r="O529" s="396" t="n"/>
      <c r="P529" s="396" t="n"/>
      <c r="Q529" s="396" t="n"/>
      <c r="R529" s="396" t="n"/>
      <c r="S529" s="396" t="n"/>
      <c r="T529" s="396" t="n"/>
      <c r="U529" s="396" t="n"/>
      <c r="V529" s="396" t="n"/>
      <c r="W529" s="396" t="n"/>
      <c r="X529" s="396" t="n"/>
    </row>
    <row r="530">
      <c r="B530" s="673" t="n"/>
      <c r="C530" s="673" t="n"/>
      <c r="D530" s="673" t="n"/>
      <c r="E530" s="675" t="n"/>
      <c r="F530" s="675" t="n"/>
      <c r="G530" s="675" t="n"/>
      <c r="H530" s="673" t="n"/>
      <c r="I530" s="673" t="n"/>
      <c r="J530" s="673" t="n"/>
      <c r="K530" s="677" t="n"/>
      <c r="L530" s="677" t="n"/>
      <c r="M530" s="677" t="n"/>
      <c r="N530" s="396" t="n"/>
      <c r="O530" s="396" t="n"/>
      <c r="P530" s="396" t="n"/>
      <c r="Q530" s="396" t="n"/>
      <c r="R530" s="396" t="n"/>
      <c r="S530" s="396" t="n"/>
      <c r="T530" s="396" t="n"/>
      <c r="U530" s="396" t="n"/>
      <c r="V530" s="396" t="n"/>
      <c r="W530" s="396" t="n"/>
      <c r="X530" s="396" t="n"/>
    </row>
    <row r="531">
      <c r="B531" s="673" t="n"/>
      <c r="C531" s="673" t="n"/>
      <c r="D531" s="673" t="n"/>
      <c r="E531" s="675" t="n"/>
      <c r="F531" s="675" t="n"/>
      <c r="G531" s="675" t="n"/>
      <c r="H531" s="673" t="n"/>
      <c r="I531" s="673" t="n"/>
      <c r="J531" s="673" t="n"/>
      <c r="K531" s="677" t="n"/>
      <c r="L531" s="677" t="n"/>
      <c r="M531" s="677" t="n"/>
      <c r="N531" s="396" t="n"/>
      <c r="O531" s="396" t="n"/>
      <c r="P531" s="396" t="n"/>
      <c r="Q531" s="396" t="n"/>
      <c r="R531" s="396" t="n"/>
      <c r="S531" s="396" t="n"/>
      <c r="T531" s="396" t="n"/>
      <c r="U531" s="396" t="n"/>
      <c r="V531" s="396" t="n"/>
      <c r="W531" s="396" t="n"/>
      <c r="X531" s="396" t="n"/>
    </row>
    <row r="532">
      <c r="B532" s="673" t="n"/>
      <c r="C532" s="673" t="n"/>
      <c r="D532" s="673" t="n"/>
      <c r="E532" s="675" t="n"/>
      <c r="F532" s="675" t="n"/>
      <c r="G532" s="675" t="n"/>
      <c r="H532" s="673" t="n"/>
      <c r="I532" s="673" t="n"/>
      <c r="J532" s="673" t="n"/>
      <c r="K532" s="677" t="n"/>
      <c r="L532" s="677" t="n"/>
      <c r="M532" s="677" t="n"/>
      <c r="N532" s="396" t="n"/>
      <c r="O532" s="396" t="n"/>
      <c r="P532" s="396" t="n"/>
      <c r="Q532" s="396" t="n"/>
      <c r="R532" s="396" t="n"/>
      <c r="S532" s="396" t="n"/>
      <c r="T532" s="396" t="n"/>
      <c r="U532" s="396" t="n"/>
      <c r="V532" s="396" t="n"/>
      <c r="W532" s="396" t="n"/>
      <c r="X532" s="396" t="n"/>
    </row>
    <row r="533">
      <c r="B533" s="673" t="n"/>
      <c r="C533" s="673" t="n"/>
      <c r="D533" s="673" t="n"/>
      <c r="E533" s="675" t="n"/>
      <c r="F533" s="675" t="n"/>
      <c r="G533" s="675" t="n"/>
      <c r="H533" s="673" t="n"/>
      <c r="I533" s="673" t="n"/>
      <c r="J533" s="673" t="n"/>
      <c r="K533" s="677" t="n"/>
      <c r="L533" s="677" t="n"/>
      <c r="M533" s="677" t="n"/>
      <c r="N533" s="396" t="n"/>
      <c r="O533" s="396" t="n"/>
      <c r="P533" s="396" t="n"/>
      <c r="Q533" s="396" t="n"/>
      <c r="R533" s="396" t="n"/>
      <c r="S533" s="396" t="n"/>
      <c r="T533" s="396" t="n"/>
      <c r="U533" s="396" t="n"/>
      <c r="V533" s="396" t="n"/>
      <c r="W533" s="396" t="n"/>
      <c r="X533" s="396" t="n"/>
    </row>
    <row r="534">
      <c r="B534" s="673" t="n"/>
      <c r="C534" s="673" t="n"/>
      <c r="D534" s="673" t="n"/>
      <c r="E534" s="675" t="n"/>
      <c r="F534" s="675" t="n"/>
      <c r="G534" s="675" t="n"/>
      <c r="H534" s="673" t="n"/>
      <c r="I534" s="673" t="n"/>
      <c r="J534" s="673" t="n"/>
      <c r="K534" s="677" t="n"/>
      <c r="L534" s="677" t="n"/>
      <c r="M534" s="677" t="n"/>
      <c r="N534" s="396" t="n"/>
      <c r="O534" s="396" t="n"/>
      <c r="P534" s="396" t="n"/>
      <c r="Q534" s="396" t="n"/>
      <c r="R534" s="396" t="n"/>
      <c r="S534" s="396" t="n"/>
      <c r="T534" s="396" t="n"/>
      <c r="U534" s="396" t="n"/>
      <c r="V534" s="396" t="n"/>
      <c r="W534" s="396" t="n"/>
      <c r="X534" s="396" t="n"/>
    </row>
    <row r="535">
      <c r="B535" s="673" t="n"/>
      <c r="C535" s="673" t="n"/>
      <c r="D535" s="673" t="n"/>
      <c r="E535" s="675" t="n"/>
      <c r="F535" s="675" t="n"/>
      <c r="G535" s="675" t="n"/>
      <c r="H535" s="673" t="n"/>
      <c r="I535" s="673" t="n"/>
      <c r="J535" s="673" t="n"/>
      <c r="K535" s="677" t="n"/>
      <c r="L535" s="677" t="n"/>
      <c r="M535" s="677" t="n"/>
      <c r="N535" s="396" t="n"/>
      <c r="O535" s="396" t="n"/>
      <c r="P535" s="396" t="n"/>
      <c r="Q535" s="396" t="n"/>
      <c r="R535" s="396" t="n"/>
      <c r="S535" s="396" t="n"/>
      <c r="T535" s="396" t="n"/>
      <c r="U535" s="396" t="n"/>
      <c r="V535" s="396" t="n"/>
      <c r="W535" s="396" t="n"/>
      <c r="X535" s="396" t="n"/>
    </row>
    <row r="536">
      <c r="B536" s="673" t="n"/>
      <c r="C536" s="673" t="n"/>
      <c r="D536" s="673" t="n"/>
      <c r="E536" s="675" t="n"/>
      <c r="F536" s="675" t="n"/>
      <c r="G536" s="675" t="n"/>
      <c r="H536" s="673" t="n"/>
      <c r="I536" s="673" t="n"/>
      <c r="J536" s="673" t="n"/>
      <c r="K536" s="677" t="n"/>
      <c r="L536" s="677" t="n"/>
      <c r="M536" s="677" t="n"/>
      <c r="N536" s="396" t="n"/>
      <c r="O536" s="396" t="n"/>
      <c r="P536" s="396" t="n"/>
      <c r="Q536" s="396" t="n"/>
      <c r="R536" s="396" t="n"/>
      <c r="S536" s="396" t="n"/>
      <c r="T536" s="396" t="n"/>
      <c r="U536" s="396" t="n"/>
      <c r="V536" s="396" t="n"/>
      <c r="W536" s="396" t="n"/>
      <c r="X536" s="396" t="n"/>
    </row>
    <row r="537">
      <c r="B537" s="673" t="n"/>
      <c r="C537" s="673" t="n"/>
      <c r="D537" s="673" t="n"/>
      <c r="E537" s="675" t="n"/>
      <c r="F537" s="675" t="n"/>
      <c r="G537" s="675" t="n"/>
      <c r="H537" s="673" t="n"/>
      <c r="I537" s="673" t="n"/>
      <c r="J537" s="673" t="n"/>
      <c r="K537" s="677" t="n"/>
      <c r="L537" s="677" t="n"/>
      <c r="M537" s="677" t="n"/>
      <c r="N537" s="396" t="n"/>
      <c r="O537" s="396" t="n"/>
      <c r="P537" s="396" t="n"/>
      <c r="Q537" s="396" t="n"/>
      <c r="R537" s="396" t="n"/>
      <c r="S537" s="396" t="n"/>
      <c r="T537" s="396" t="n"/>
      <c r="U537" s="396" t="n"/>
      <c r="V537" s="396" t="n"/>
      <c r="W537" s="396" t="n"/>
      <c r="X537" s="396" t="n"/>
    </row>
    <row r="538">
      <c r="B538" s="673" t="n"/>
      <c r="C538" s="673" t="n"/>
      <c r="D538" s="673" t="n"/>
      <c r="E538" s="675" t="n"/>
      <c r="F538" s="675" t="n"/>
      <c r="G538" s="675" t="n"/>
      <c r="H538" s="673" t="n"/>
      <c r="I538" s="673" t="n"/>
      <c r="J538" s="673" t="n"/>
      <c r="K538" s="677" t="n"/>
      <c r="L538" s="677" t="n"/>
      <c r="M538" s="677" t="n"/>
      <c r="N538" s="396" t="n"/>
      <c r="O538" s="396" t="n"/>
      <c r="P538" s="396" t="n"/>
      <c r="Q538" s="396" t="n"/>
      <c r="R538" s="396" t="n"/>
      <c r="S538" s="396" t="n"/>
      <c r="T538" s="396" t="n"/>
      <c r="U538" s="396" t="n"/>
      <c r="V538" s="396" t="n"/>
      <c r="W538" s="396" t="n"/>
      <c r="X538" s="396" t="n"/>
    </row>
    <row r="539">
      <c r="B539" s="673" t="n"/>
      <c r="C539" s="673" t="n"/>
      <c r="D539" s="673" t="n"/>
      <c r="E539" s="675" t="n"/>
      <c r="F539" s="675" t="n"/>
      <c r="G539" s="675" t="n"/>
      <c r="H539" s="673" t="n"/>
      <c r="I539" s="673" t="n"/>
      <c r="J539" s="673" t="n"/>
      <c r="K539" s="677" t="n"/>
      <c r="L539" s="677" t="n"/>
      <c r="M539" s="677" t="n"/>
      <c r="N539" s="396" t="n"/>
      <c r="O539" s="396" t="n"/>
      <c r="P539" s="396" t="n"/>
      <c r="Q539" s="396" t="n"/>
      <c r="R539" s="396" t="n"/>
      <c r="S539" s="396" t="n"/>
      <c r="T539" s="396" t="n"/>
      <c r="U539" s="396" t="n"/>
      <c r="V539" s="396" t="n"/>
      <c r="W539" s="396" t="n"/>
      <c r="X539" s="396" t="n"/>
    </row>
    <row r="540">
      <c r="B540" s="673" t="n"/>
      <c r="C540" s="673" t="n"/>
      <c r="D540" s="673" t="n"/>
      <c r="E540" s="675" t="n"/>
      <c r="F540" s="675" t="n"/>
      <c r="G540" s="675" t="n"/>
      <c r="H540" s="673" t="n"/>
      <c r="I540" s="673" t="n"/>
      <c r="J540" s="673" t="n"/>
      <c r="K540" s="677" t="n"/>
      <c r="L540" s="677" t="n"/>
      <c r="M540" s="677" t="n"/>
      <c r="N540" s="396" t="n"/>
      <c r="O540" s="396" t="n"/>
      <c r="P540" s="396" t="n"/>
      <c r="Q540" s="396" t="n"/>
      <c r="R540" s="396" t="n"/>
      <c r="S540" s="396" t="n"/>
      <c r="T540" s="396" t="n"/>
      <c r="U540" s="396" t="n"/>
      <c r="V540" s="396" t="n"/>
      <c r="W540" s="396" t="n"/>
      <c r="X540" s="396" t="n"/>
    </row>
    <row r="541">
      <c r="B541" s="673" t="n"/>
      <c r="C541" s="673" t="n"/>
      <c r="D541" s="673" t="n"/>
      <c r="E541" s="675" t="n"/>
      <c r="F541" s="675" t="n"/>
      <c r="G541" s="675" t="n"/>
      <c r="H541" s="673" t="n"/>
      <c r="I541" s="673" t="n"/>
      <c r="J541" s="673" t="n"/>
      <c r="K541" s="677" t="n"/>
      <c r="L541" s="677" t="n"/>
      <c r="M541" s="677" t="n"/>
      <c r="N541" s="396" t="n"/>
      <c r="O541" s="396" t="n"/>
      <c r="P541" s="396" t="n"/>
      <c r="Q541" s="396" t="n"/>
      <c r="R541" s="396" t="n"/>
      <c r="S541" s="396" t="n"/>
      <c r="T541" s="396" t="n"/>
      <c r="U541" s="396" t="n"/>
      <c r="V541" s="396" t="n"/>
      <c r="W541" s="396" t="n"/>
      <c r="X541" s="396" t="n"/>
    </row>
    <row r="542">
      <c r="B542" s="673" t="n"/>
      <c r="C542" s="673" t="n"/>
      <c r="D542" s="673" t="n"/>
      <c r="E542" s="675" t="n"/>
      <c r="F542" s="675" t="n"/>
      <c r="G542" s="675" t="n"/>
      <c r="H542" s="673" t="n"/>
      <c r="I542" s="673" t="n"/>
      <c r="J542" s="673" t="n"/>
      <c r="K542" s="677" t="n"/>
      <c r="L542" s="677" t="n"/>
      <c r="M542" s="677" t="n"/>
      <c r="N542" s="396" t="n"/>
      <c r="O542" s="396" t="n"/>
      <c r="P542" s="396" t="n"/>
      <c r="Q542" s="396" t="n"/>
      <c r="R542" s="396" t="n"/>
      <c r="S542" s="396" t="n"/>
      <c r="T542" s="396" t="n"/>
      <c r="U542" s="396" t="n"/>
      <c r="V542" s="396" t="n"/>
      <c r="W542" s="396" t="n"/>
      <c r="X542" s="396" t="n"/>
    </row>
    <row r="543">
      <c r="B543" s="673" t="n"/>
      <c r="C543" s="673" t="n"/>
      <c r="D543" s="673" t="n"/>
      <c r="E543" s="675" t="n"/>
      <c r="F543" s="675" t="n"/>
      <c r="G543" s="675" t="n"/>
      <c r="H543" s="673" t="n"/>
      <c r="I543" s="673" t="n"/>
      <c r="J543" s="673" t="n"/>
      <c r="K543" s="677" t="n"/>
      <c r="L543" s="677" t="n"/>
      <c r="M543" s="677" t="n"/>
      <c r="N543" s="396" t="n"/>
      <c r="O543" s="396" t="n"/>
      <c r="P543" s="396" t="n"/>
      <c r="Q543" s="396" t="n"/>
      <c r="R543" s="396" t="n"/>
      <c r="S543" s="396" t="n"/>
      <c r="T543" s="396" t="n"/>
      <c r="U543" s="396" t="n"/>
      <c r="V543" s="396" t="n"/>
      <c r="W543" s="396" t="n"/>
      <c r="X543" s="396" t="n"/>
    </row>
    <row r="544">
      <c r="B544" s="673" t="n"/>
      <c r="C544" s="673" t="n"/>
      <c r="D544" s="673" t="n"/>
      <c r="E544" s="675" t="n"/>
      <c r="F544" s="675" t="n"/>
      <c r="G544" s="675" t="n"/>
      <c r="H544" s="673" t="n"/>
      <c r="I544" s="673" t="n"/>
      <c r="J544" s="673" t="n"/>
      <c r="K544" s="677" t="n"/>
      <c r="L544" s="677" t="n"/>
      <c r="M544" s="677" t="n"/>
      <c r="N544" s="396" t="n"/>
      <c r="O544" s="396" t="n"/>
      <c r="P544" s="396" t="n"/>
      <c r="Q544" s="396" t="n"/>
      <c r="R544" s="396" t="n"/>
      <c r="S544" s="396" t="n"/>
      <c r="T544" s="396" t="n"/>
      <c r="U544" s="396" t="n"/>
      <c r="V544" s="396" t="n"/>
      <c r="W544" s="396" t="n"/>
      <c r="X544" s="396" t="n"/>
    </row>
    <row r="545">
      <c r="B545" s="673" t="n"/>
      <c r="C545" s="673" t="n"/>
      <c r="D545" s="673" t="n"/>
      <c r="E545" s="675" t="n"/>
      <c r="F545" s="675" t="n"/>
      <c r="G545" s="675" t="n"/>
      <c r="H545" s="673" t="n"/>
      <c r="I545" s="673" t="n"/>
      <c r="J545" s="673" t="n"/>
      <c r="K545" s="677" t="n"/>
      <c r="L545" s="677" t="n"/>
      <c r="M545" s="677" t="n"/>
      <c r="N545" s="396" t="n"/>
      <c r="O545" s="396" t="n"/>
      <c r="P545" s="396" t="n"/>
      <c r="Q545" s="396" t="n"/>
      <c r="R545" s="396" t="n"/>
      <c r="S545" s="396" t="n"/>
      <c r="T545" s="396" t="n"/>
      <c r="U545" s="396" t="n"/>
      <c r="V545" s="396" t="n"/>
      <c r="W545" s="396" t="n"/>
      <c r="X545" s="396" t="n"/>
    </row>
    <row r="546">
      <c r="B546" s="673" t="n"/>
      <c r="C546" s="673" t="n"/>
      <c r="D546" s="673" t="n"/>
      <c r="E546" s="675" t="n"/>
      <c r="F546" s="675" t="n"/>
      <c r="G546" s="675" t="n"/>
      <c r="H546" s="673" t="n"/>
      <c r="I546" s="673" t="n"/>
      <c r="J546" s="673" t="n"/>
      <c r="K546" s="677" t="n"/>
      <c r="L546" s="677" t="n"/>
      <c r="M546" s="677" t="n"/>
      <c r="N546" s="396" t="n"/>
      <c r="O546" s="396" t="n"/>
      <c r="P546" s="396" t="n"/>
      <c r="Q546" s="396" t="n"/>
      <c r="R546" s="396" t="n"/>
      <c r="S546" s="396" t="n"/>
      <c r="T546" s="396" t="n"/>
      <c r="U546" s="396" t="n"/>
      <c r="V546" s="396" t="n"/>
      <c r="W546" s="396" t="n"/>
      <c r="X546" s="396" t="n"/>
    </row>
    <row r="547">
      <c r="B547" s="673" t="n"/>
      <c r="C547" s="673" t="n"/>
      <c r="D547" s="673" t="n"/>
      <c r="E547" s="675" t="n"/>
      <c r="F547" s="675" t="n"/>
      <c r="G547" s="675" t="n"/>
      <c r="H547" s="673" t="n"/>
      <c r="I547" s="673" t="n"/>
      <c r="J547" s="673" t="n"/>
      <c r="K547" s="677" t="n"/>
      <c r="L547" s="677" t="n"/>
      <c r="M547" s="677" t="n"/>
      <c r="N547" s="396" t="n"/>
      <c r="O547" s="396" t="n"/>
      <c r="P547" s="396" t="n"/>
      <c r="Q547" s="396" t="n"/>
      <c r="R547" s="396" t="n"/>
      <c r="S547" s="396" t="n"/>
      <c r="T547" s="396" t="n"/>
      <c r="U547" s="396" t="n"/>
      <c r="V547" s="396" t="n"/>
      <c r="W547" s="396" t="n"/>
      <c r="X547" s="396" t="n"/>
    </row>
    <row r="548">
      <c r="B548" s="673" t="n"/>
      <c r="C548" s="673" t="n"/>
      <c r="D548" s="673" t="n"/>
      <c r="E548" s="675" t="n"/>
      <c r="F548" s="675" t="n"/>
      <c r="G548" s="675" t="n"/>
      <c r="H548" s="673" t="n"/>
      <c r="I548" s="673" t="n"/>
      <c r="J548" s="673" t="n"/>
      <c r="K548" s="677" t="n"/>
      <c r="L548" s="677" t="n"/>
      <c r="M548" s="677" t="n"/>
      <c r="N548" s="396" t="n"/>
      <c r="O548" s="396" t="n"/>
      <c r="P548" s="396" t="n"/>
      <c r="Q548" s="396" t="n"/>
      <c r="R548" s="396" t="n"/>
      <c r="S548" s="396" t="n"/>
      <c r="T548" s="396" t="n"/>
      <c r="U548" s="396" t="n"/>
      <c r="V548" s="396" t="n"/>
      <c r="W548" s="396" t="n"/>
      <c r="X548" s="396" t="n"/>
    </row>
    <row r="549">
      <c r="B549" s="673" t="n"/>
      <c r="C549" s="673" t="n"/>
      <c r="D549" s="673" t="n"/>
      <c r="E549" s="675" t="n"/>
      <c r="F549" s="675" t="n"/>
      <c r="G549" s="675" t="n"/>
      <c r="H549" s="673" t="n"/>
      <c r="I549" s="673" t="n"/>
      <c r="J549" s="673" t="n"/>
      <c r="K549" s="677" t="n"/>
      <c r="L549" s="677" t="n"/>
      <c r="M549" s="677" t="n"/>
      <c r="N549" s="396" t="n"/>
      <c r="O549" s="396" t="n"/>
      <c r="P549" s="396" t="n"/>
      <c r="Q549" s="396" t="n"/>
      <c r="R549" s="396" t="n"/>
      <c r="S549" s="396" t="n"/>
      <c r="T549" s="396" t="n"/>
      <c r="U549" s="396" t="n"/>
      <c r="V549" s="396" t="n"/>
      <c r="W549" s="396" t="n"/>
      <c r="X549" s="396" t="n"/>
    </row>
    <row r="550">
      <c r="B550" s="673" t="n"/>
      <c r="C550" s="673" t="n"/>
      <c r="D550" s="673" t="n"/>
      <c r="E550" s="675" t="n"/>
      <c r="F550" s="675" t="n"/>
      <c r="G550" s="675" t="n"/>
      <c r="H550" s="673" t="n"/>
      <c r="I550" s="673" t="n"/>
      <c r="J550" s="673" t="n"/>
      <c r="K550" s="677" t="n"/>
      <c r="L550" s="677" t="n"/>
      <c r="M550" s="677" t="n"/>
      <c r="N550" s="396" t="n"/>
      <c r="O550" s="396" t="n"/>
      <c r="P550" s="396" t="n"/>
      <c r="Q550" s="396" t="n"/>
      <c r="R550" s="396" t="n"/>
      <c r="S550" s="396" t="n"/>
      <c r="T550" s="396" t="n"/>
      <c r="U550" s="396" t="n"/>
      <c r="V550" s="396" t="n"/>
      <c r="W550" s="396" t="n"/>
      <c r="X550" s="396" t="n"/>
    </row>
    <row r="551">
      <c r="B551" s="673" t="n"/>
      <c r="C551" s="673" t="n"/>
      <c r="D551" s="673" t="n"/>
      <c r="E551" s="675" t="n"/>
      <c r="F551" s="675" t="n"/>
      <c r="G551" s="675" t="n"/>
      <c r="H551" s="673" t="n"/>
      <c r="I551" s="673" t="n"/>
      <c r="J551" s="673" t="n"/>
      <c r="K551" s="677" t="n"/>
      <c r="L551" s="677" t="n"/>
      <c r="M551" s="677" t="n"/>
      <c r="N551" s="396" t="n"/>
      <c r="O551" s="396" t="n"/>
      <c r="P551" s="396" t="n"/>
      <c r="Q551" s="396" t="n"/>
      <c r="R551" s="396" t="n"/>
      <c r="S551" s="396" t="n"/>
      <c r="T551" s="396" t="n"/>
      <c r="U551" s="396" t="n"/>
      <c r="V551" s="396" t="n"/>
      <c r="W551" s="396" t="n"/>
      <c r="X551" s="396" t="n"/>
    </row>
    <row r="552">
      <c r="B552" s="673" t="n"/>
      <c r="C552" s="673" t="n"/>
      <c r="D552" s="673" t="n"/>
      <c r="E552" s="675" t="n"/>
      <c r="F552" s="675" t="n"/>
      <c r="G552" s="675" t="n"/>
      <c r="H552" s="673" t="n"/>
      <c r="I552" s="673" t="n"/>
      <c r="J552" s="673" t="n"/>
      <c r="K552" s="677" t="n"/>
      <c r="L552" s="677" t="n"/>
      <c r="M552" s="677" t="n"/>
      <c r="N552" s="396" t="n"/>
      <c r="O552" s="396" t="n"/>
      <c r="P552" s="396" t="n"/>
      <c r="Q552" s="396" t="n"/>
      <c r="R552" s="396" t="n"/>
      <c r="S552" s="396" t="n"/>
      <c r="T552" s="396" t="n"/>
      <c r="U552" s="396" t="n"/>
      <c r="V552" s="396" t="n"/>
      <c r="W552" s="396" t="n"/>
      <c r="X552" s="396" t="n"/>
    </row>
    <row r="553">
      <c r="B553" s="673" t="n"/>
      <c r="C553" s="673" t="n"/>
      <c r="D553" s="673" t="n"/>
      <c r="E553" s="675" t="n"/>
      <c r="F553" s="675" t="n"/>
      <c r="G553" s="675" t="n"/>
      <c r="H553" s="673" t="n"/>
      <c r="I553" s="673" t="n"/>
      <c r="J553" s="673" t="n"/>
      <c r="K553" s="677" t="n"/>
      <c r="L553" s="677" t="n"/>
      <c r="M553" s="677" t="n"/>
      <c r="N553" s="396" t="n"/>
      <c r="O553" s="396" t="n"/>
      <c r="P553" s="396" t="n"/>
      <c r="Q553" s="396" t="n"/>
      <c r="R553" s="396" t="n"/>
      <c r="S553" s="396" t="n"/>
      <c r="T553" s="396" t="n"/>
      <c r="U553" s="396" t="n"/>
      <c r="V553" s="396" t="n"/>
      <c r="W553" s="396" t="n"/>
      <c r="X553" s="396" t="n"/>
    </row>
    <row r="554">
      <c r="B554" s="673" t="n"/>
      <c r="C554" s="673" t="n"/>
      <c r="D554" s="673" t="n"/>
      <c r="E554" s="675" t="n"/>
      <c r="F554" s="675" t="n"/>
      <c r="G554" s="675" t="n"/>
      <c r="H554" s="673" t="n"/>
      <c r="I554" s="673" t="n"/>
      <c r="J554" s="673" t="n"/>
      <c r="K554" s="677" t="n"/>
      <c r="L554" s="677" t="n"/>
      <c r="M554" s="677" t="n"/>
      <c r="N554" s="396" t="n"/>
      <c r="O554" s="396" t="n"/>
      <c r="P554" s="396" t="n"/>
      <c r="Q554" s="396" t="n"/>
      <c r="R554" s="396" t="n"/>
      <c r="S554" s="396" t="n"/>
      <c r="T554" s="396" t="n"/>
      <c r="U554" s="396" t="n"/>
      <c r="V554" s="396" t="n"/>
      <c r="W554" s="396" t="n"/>
      <c r="X554" s="396" t="n"/>
    </row>
    <row r="555">
      <c r="B555" s="673" t="n"/>
      <c r="C555" s="673" t="n"/>
      <c r="D555" s="673" t="n"/>
      <c r="E555" s="675" t="n"/>
      <c r="F555" s="675" t="n"/>
      <c r="G555" s="675" t="n"/>
      <c r="H555" s="673" t="n"/>
      <c r="I555" s="673" t="n"/>
      <c r="J555" s="673" t="n"/>
      <c r="K555" s="677" t="n"/>
      <c r="L555" s="677" t="n"/>
      <c r="M555" s="677" t="n"/>
      <c r="N555" s="396" t="n"/>
      <c r="O555" s="396" t="n"/>
      <c r="P555" s="396" t="n"/>
      <c r="Q555" s="396" t="n"/>
      <c r="R555" s="396" t="n"/>
      <c r="S555" s="396" t="n"/>
      <c r="T555" s="396" t="n"/>
      <c r="U555" s="396" t="n"/>
      <c r="V555" s="396" t="n"/>
      <c r="W555" s="396" t="n"/>
      <c r="X555" s="396" t="n"/>
    </row>
    <row r="556">
      <c r="B556" s="673" t="n"/>
      <c r="C556" s="673" t="n"/>
      <c r="D556" s="673" t="n"/>
      <c r="E556" s="675" t="n"/>
      <c r="F556" s="675" t="n"/>
      <c r="G556" s="675" t="n"/>
      <c r="H556" s="673" t="n"/>
      <c r="I556" s="673" t="n"/>
      <c r="J556" s="673" t="n"/>
      <c r="K556" s="677" t="n"/>
      <c r="L556" s="677" t="n"/>
      <c r="M556" s="677" t="n"/>
      <c r="N556" s="396" t="n"/>
      <c r="O556" s="396" t="n"/>
      <c r="P556" s="396" t="n"/>
      <c r="Q556" s="396" t="n"/>
      <c r="R556" s="396" t="n"/>
      <c r="S556" s="396" t="n"/>
      <c r="T556" s="396" t="n"/>
      <c r="U556" s="396" t="n"/>
      <c r="V556" s="396" t="n"/>
      <c r="W556" s="396" t="n"/>
      <c r="X556" s="396" t="n"/>
    </row>
    <row r="557">
      <c r="B557" s="673" t="n"/>
      <c r="C557" s="673" t="n"/>
      <c r="D557" s="673" t="n"/>
      <c r="E557" s="675" t="n"/>
      <c r="F557" s="675" t="n"/>
      <c r="G557" s="675" t="n"/>
      <c r="H557" s="673" t="n"/>
      <c r="I557" s="673" t="n"/>
      <c r="J557" s="673" t="n"/>
      <c r="K557" s="677" t="n"/>
      <c r="L557" s="677" t="n"/>
      <c r="M557" s="677" t="n"/>
      <c r="N557" s="396" t="n"/>
      <c r="O557" s="396" t="n"/>
      <c r="P557" s="396" t="n"/>
      <c r="Q557" s="396" t="n"/>
      <c r="R557" s="396" t="n"/>
      <c r="S557" s="396" t="n"/>
      <c r="T557" s="396" t="n"/>
      <c r="U557" s="396" t="n"/>
      <c r="V557" s="396" t="n"/>
      <c r="W557" s="396" t="n"/>
      <c r="X557" s="396" t="n"/>
    </row>
    <row r="558">
      <c r="B558" s="673" t="n"/>
      <c r="C558" s="673" t="n"/>
      <c r="D558" s="673" t="n"/>
      <c r="E558" s="675" t="n"/>
      <c r="F558" s="675" t="n"/>
      <c r="G558" s="675" t="n"/>
      <c r="H558" s="673" t="n"/>
      <c r="I558" s="673" t="n"/>
      <c r="J558" s="673" t="n"/>
      <c r="K558" s="677" t="n"/>
      <c r="L558" s="677" t="n"/>
      <c r="M558" s="677" t="n"/>
      <c r="N558" s="396" t="n"/>
      <c r="O558" s="396" t="n"/>
      <c r="P558" s="396" t="n"/>
      <c r="Q558" s="396" t="n"/>
      <c r="R558" s="396" t="n"/>
      <c r="S558" s="396" t="n"/>
      <c r="T558" s="396" t="n"/>
      <c r="U558" s="396" t="n"/>
      <c r="V558" s="396" t="n"/>
      <c r="W558" s="396" t="n"/>
      <c r="X558" s="396" t="n"/>
    </row>
    <row r="559">
      <c r="B559" s="673" t="n"/>
      <c r="C559" s="673" t="n"/>
      <c r="D559" s="673" t="n"/>
      <c r="E559" s="675" t="n"/>
      <c r="F559" s="675" t="n"/>
      <c r="G559" s="675" t="n"/>
      <c r="H559" s="673" t="n"/>
      <c r="I559" s="673" t="n"/>
      <c r="J559" s="673" t="n"/>
      <c r="K559" s="677" t="n"/>
      <c r="L559" s="677" t="n"/>
      <c r="M559" s="677" t="n"/>
      <c r="N559" s="396" t="n"/>
      <c r="O559" s="396" t="n"/>
      <c r="P559" s="396" t="n"/>
      <c r="Q559" s="396" t="n"/>
      <c r="R559" s="396" t="n"/>
      <c r="S559" s="396" t="n"/>
      <c r="T559" s="396" t="n"/>
      <c r="U559" s="396" t="n"/>
      <c r="V559" s="396" t="n"/>
      <c r="W559" s="396" t="n"/>
      <c r="X559" s="396" t="n"/>
    </row>
    <row r="560">
      <c r="B560" s="673" t="n"/>
      <c r="C560" s="673" t="n"/>
      <c r="D560" s="673" t="n"/>
      <c r="E560" s="675" t="n"/>
      <c r="F560" s="675" t="n"/>
      <c r="G560" s="675" t="n"/>
      <c r="H560" s="673" t="n"/>
      <c r="I560" s="673" t="n"/>
      <c r="J560" s="673" t="n"/>
      <c r="K560" s="677" t="n"/>
      <c r="L560" s="677" t="n"/>
      <c r="M560" s="677" t="n"/>
      <c r="N560" s="396" t="n"/>
      <c r="O560" s="396" t="n"/>
      <c r="P560" s="396" t="n"/>
      <c r="Q560" s="396" t="n"/>
      <c r="R560" s="396" t="n"/>
      <c r="S560" s="396" t="n"/>
      <c r="T560" s="396" t="n"/>
      <c r="U560" s="396" t="n"/>
      <c r="V560" s="396" t="n"/>
      <c r="W560" s="396" t="n"/>
      <c r="X560" s="396" t="n"/>
    </row>
    <row r="561">
      <c r="B561" s="673" t="n"/>
      <c r="C561" s="673" t="n"/>
      <c r="D561" s="673" t="n"/>
      <c r="E561" s="675" t="n"/>
      <c r="F561" s="675" t="n"/>
      <c r="G561" s="675" t="n"/>
      <c r="H561" s="673" t="n"/>
      <c r="I561" s="673" t="n"/>
      <c r="J561" s="673" t="n"/>
      <c r="K561" s="677" t="n"/>
      <c r="L561" s="677" t="n"/>
      <c r="M561" s="677" t="n"/>
      <c r="N561" s="396" t="n"/>
      <c r="O561" s="396" t="n"/>
      <c r="P561" s="396" t="n"/>
      <c r="Q561" s="396" t="n"/>
      <c r="R561" s="396" t="n"/>
      <c r="S561" s="396" t="n"/>
      <c r="T561" s="396" t="n"/>
      <c r="U561" s="396" t="n"/>
      <c r="V561" s="396" t="n"/>
      <c r="W561" s="396" t="n"/>
      <c r="X561" s="396" t="n"/>
    </row>
    <row r="562">
      <c r="B562" s="673" t="n"/>
      <c r="C562" s="673" t="n"/>
      <c r="D562" s="673" t="n"/>
      <c r="E562" s="675" t="n"/>
      <c r="F562" s="675" t="n"/>
      <c r="G562" s="675" t="n"/>
      <c r="H562" s="673" t="n"/>
      <c r="I562" s="673" t="n"/>
      <c r="J562" s="673" t="n"/>
      <c r="K562" s="677" t="n"/>
      <c r="L562" s="677" t="n"/>
      <c r="M562" s="677" t="n"/>
      <c r="N562" s="396" t="n"/>
      <c r="O562" s="396" t="n"/>
      <c r="P562" s="396" t="n"/>
      <c r="Q562" s="396" t="n"/>
      <c r="R562" s="396" t="n"/>
      <c r="S562" s="396" t="n"/>
      <c r="T562" s="396" t="n"/>
      <c r="U562" s="396" t="n"/>
      <c r="V562" s="396" t="n"/>
      <c r="W562" s="396" t="n"/>
      <c r="X562" s="396" t="n"/>
    </row>
    <row r="563">
      <c r="B563" s="673" t="n"/>
      <c r="C563" s="673" t="n"/>
      <c r="D563" s="673" t="n"/>
      <c r="E563" s="675" t="n"/>
      <c r="F563" s="675" t="n"/>
      <c r="G563" s="675" t="n"/>
      <c r="H563" s="673" t="n"/>
      <c r="I563" s="673" t="n"/>
      <c r="J563" s="673" t="n"/>
      <c r="K563" s="677" t="n"/>
      <c r="L563" s="677" t="n"/>
      <c r="M563" s="677" t="n"/>
      <c r="N563" s="396" t="n"/>
      <c r="O563" s="396" t="n"/>
      <c r="P563" s="396" t="n"/>
      <c r="Q563" s="396" t="n"/>
      <c r="R563" s="396" t="n"/>
      <c r="S563" s="396" t="n"/>
      <c r="T563" s="396" t="n"/>
      <c r="U563" s="396" t="n"/>
      <c r="V563" s="396" t="n"/>
      <c r="W563" s="396" t="n"/>
      <c r="X563" s="396" t="n"/>
    </row>
    <row r="564">
      <c r="B564" s="673" t="n"/>
      <c r="C564" s="673" t="n"/>
      <c r="D564" s="673" t="n"/>
      <c r="E564" s="675" t="n"/>
      <c r="F564" s="675" t="n"/>
      <c r="G564" s="675" t="n"/>
      <c r="H564" s="673" t="n"/>
      <c r="I564" s="673" t="n"/>
      <c r="J564" s="673" t="n"/>
      <c r="K564" s="677" t="n"/>
      <c r="L564" s="677" t="n"/>
      <c r="M564" s="677" t="n"/>
      <c r="N564" s="396" t="n"/>
      <c r="O564" s="396" t="n"/>
      <c r="P564" s="396" t="n"/>
      <c r="Q564" s="396" t="n"/>
      <c r="R564" s="396" t="n"/>
      <c r="S564" s="396" t="n"/>
      <c r="T564" s="396" t="n"/>
      <c r="U564" s="396" t="n"/>
      <c r="V564" s="396" t="n"/>
      <c r="W564" s="396" t="n"/>
      <c r="X564" s="396" t="n"/>
    </row>
    <row r="565">
      <c r="B565" s="673" t="n"/>
      <c r="C565" s="673" t="n"/>
      <c r="D565" s="673" t="n"/>
      <c r="E565" s="675" t="n"/>
      <c r="F565" s="675" t="n"/>
      <c r="G565" s="675" t="n"/>
      <c r="H565" s="673" t="n"/>
      <c r="I565" s="673" t="n"/>
      <c r="J565" s="673" t="n"/>
      <c r="K565" s="677" t="n"/>
      <c r="L565" s="677" t="n"/>
      <c r="M565" s="677" t="n"/>
      <c r="N565" s="396" t="n"/>
      <c r="O565" s="396" t="n"/>
      <c r="P565" s="396" t="n"/>
      <c r="Q565" s="396" t="n"/>
      <c r="R565" s="396" t="n"/>
      <c r="S565" s="396" t="n"/>
      <c r="T565" s="396" t="n"/>
      <c r="U565" s="396" t="n"/>
      <c r="V565" s="396" t="n"/>
      <c r="W565" s="396" t="n"/>
      <c r="X565" s="396" t="n"/>
    </row>
    <row r="566">
      <c r="B566" s="673" t="n"/>
      <c r="C566" s="673" t="n"/>
      <c r="D566" s="673" t="n"/>
      <c r="E566" s="675" t="n"/>
      <c r="F566" s="675" t="n"/>
      <c r="G566" s="675" t="n"/>
      <c r="H566" s="673" t="n"/>
      <c r="I566" s="673" t="n"/>
      <c r="J566" s="673" t="n"/>
      <c r="K566" s="677" t="n"/>
      <c r="L566" s="677" t="n"/>
      <c r="M566" s="677" t="n"/>
      <c r="N566" s="396" t="n"/>
      <c r="O566" s="396" t="n"/>
      <c r="P566" s="396" t="n"/>
      <c r="Q566" s="396" t="n"/>
      <c r="R566" s="396" t="n"/>
      <c r="S566" s="396" t="n"/>
      <c r="T566" s="396" t="n"/>
      <c r="U566" s="396" t="n"/>
      <c r="V566" s="396" t="n"/>
      <c r="W566" s="396" t="n"/>
      <c r="X566" s="396" t="n"/>
    </row>
    <row r="567">
      <c r="B567" s="673" t="n"/>
      <c r="C567" s="673" t="n"/>
      <c r="D567" s="673" t="n"/>
      <c r="E567" s="675" t="n"/>
      <c r="F567" s="675" t="n"/>
      <c r="G567" s="675" t="n"/>
      <c r="H567" s="673" t="n"/>
      <c r="I567" s="673" t="n"/>
      <c r="J567" s="673" t="n"/>
      <c r="K567" s="677" t="n"/>
      <c r="L567" s="677" t="n"/>
      <c r="M567" s="677" t="n"/>
      <c r="N567" s="396" t="n"/>
      <c r="O567" s="396" t="n"/>
      <c r="P567" s="396" t="n"/>
      <c r="Q567" s="396" t="n"/>
      <c r="R567" s="396" t="n"/>
      <c r="S567" s="396" t="n"/>
      <c r="T567" s="396" t="n"/>
      <c r="U567" s="396" t="n"/>
      <c r="V567" s="396" t="n"/>
      <c r="W567" s="396" t="n"/>
      <c r="X567" s="396" t="n"/>
    </row>
    <row r="568">
      <c r="B568" s="673" t="n"/>
      <c r="C568" s="673" t="n"/>
      <c r="D568" s="673" t="n"/>
      <c r="E568" s="675" t="n"/>
      <c r="F568" s="675" t="n"/>
      <c r="G568" s="675" t="n"/>
      <c r="H568" s="673" t="n"/>
      <c r="I568" s="673" t="n"/>
      <c r="J568" s="673" t="n"/>
      <c r="K568" s="677" t="n"/>
      <c r="L568" s="677" t="n"/>
      <c r="M568" s="677" t="n"/>
      <c r="N568" s="396" t="n"/>
      <c r="O568" s="396" t="n"/>
      <c r="P568" s="396" t="n"/>
      <c r="Q568" s="396" t="n"/>
      <c r="R568" s="396" t="n"/>
      <c r="S568" s="396" t="n"/>
      <c r="T568" s="396" t="n"/>
      <c r="U568" s="396" t="n"/>
      <c r="V568" s="396" t="n"/>
      <c r="W568" s="396" t="n"/>
      <c r="X568" s="396" t="n"/>
    </row>
  </sheetData>
  <mergeCells count="3">
    <mergeCell ref="E2:G2"/>
    <mergeCell ref="B2:D2"/>
    <mergeCell ref="H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4.5"/>
  <cols>
    <col width="7.54296875" customWidth="1" min="1" max="1"/>
    <col width="41" customWidth="1" min="2" max="2"/>
    <col width="10.08984375" customWidth="1" min="3" max="3"/>
    <col width="10" customWidth="1" min="4" max="4"/>
    <col width="11.453125" customWidth="1" min="5" max="5"/>
    <col width="6" customWidth="1" min="6" max="6"/>
    <col width="9.81640625" customWidth="1" min="7" max="7"/>
    <col width="11.54296875" customWidth="1" min="8" max="8"/>
    <col width="9.08984375" customWidth="1" min="9" max="9"/>
    <col width="8.36328125" customWidth="1" min="10" max="10"/>
    <col width="7.36328125" customWidth="1" min="11" max="11"/>
    <col width="11.08984375" customWidth="1" min="12" max="13"/>
    <col width="7.54296875" customWidth="1" min="25" max="25"/>
    <col width="41" customWidth="1" min="26" max="26"/>
    <col width="10.08984375" customWidth="1" min="27" max="27"/>
    <col width="10" customWidth="1" min="28" max="28"/>
    <col width="11.453125" customWidth="1" min="29" max="29"/>
    <col width="6" customWidth="1" min="30" max="30"/>
    <col width="9.81640625" customWidth="1" min="31" max="31"/>
    <col width="11.54296875" customWidth="1" min="32" max="32"/>
    <col width="9.08984375" customWidth="1" min="33" max="33"/>
    <col width="8.36328125" customWidth="1" min="34" max="34"/>
    <col width="7.36328125" customWidth="1" min="35" max="35"/>
    <col width="11.08984375" customWidth="1" min="36" max="36"/>
  </cols>
  <sheetData>
    <row r="1">
      <c r="A1" s="420" t="inlineStr">
        <is>
          <t>Code</t>
        </is>
      </c>
      <c r="B1" s="420" t="inlineStr">
        <is>
          <t>Description</t>
        </is>
      </c>
      <c r="C1" s="420" t="inlineStr">
        <is>
          <t>Planned</t>
        </is>
      </c>
      <c r="D1" s="420" t="inlineStr">
        <is>
          <t>Require</t>
        </is>
      </c>
      <c r="E1" s="420" t="inlineStr">
        <is>
          <t>Produced</t>
        </is>
      </c>
      <c r="F1" s="420" t="inlineStr">
        <is>
          <t>Diff</t>
        </is>
      </c>
      <c r="G1" s="420" t="inlineStr">
        <is>
          <t>Net WT</t>
        </is>
      </c>
      <c r="H1" s="420" t="inlineStr">
        <is>
          <t>Gross WT</t>
        </is>
      </c>
      <c r="I1" s="420" t="inlineStr">
        <is>
          <t>% Tare</t>
        </is>
      </c>
      <c r="J1" s="420" t="inlineStr">
        <is>
          <t>Under</t>
        </is>
      </c>
      <c r="K1" s="420" t="inlineStr">
        <is>
          <t>Over</t>
        </is>
      </c>
      <c r="L1" s="420" t="inlineStr">
        <is>
          <t>At Time</t>
        </is>
      </c>
    </row>
    <row r="2">
      <c r="G2" s="167" t="n"/>
      <c r="H2" s="167" t="n"/>
      <c r="L2" s="421" t="n"/>
    </row>
    <row r="3">
      <c r="G3" s="167" t="n"/>
      <c r="H3" s="167" t="n"/>
      <c r="L3" s="421" t="n"/>
    </row>
    <row r="4">
      <c r="G4" s="167" t="n"/>
      <c r="H4" s="167" t="n"/>
      <c r="L4" s="421" t="n"/>
    </row>
    <row r="5">
      <c r="G5" s="167" t="n"/>
      <c r="H5" s="167" t="n"/>
      <c r="L5" s="421" t="n"/>
    </row>
    <row r="6">
      <c r="G6" s="167" t="n"/>
      <c r="H6" s="167" t="n"/>
      <c r="L6" s="421" t="n"/>
    </row>
    <row r="7">
      <c r="G7" s="167" t="n"/>
      <c r="H7" s="167" t="n"/>
      <c r="L7" s="421" t="n"/>
    </row>
    <row r="8">
      <c r="G8" s="167" t="n"/>
      <c r="H8" s="167" t="n"/>
      <c r="L8" s="421" t="n"/>
    </row>
    <row r="9">
      <c r="G9" s="167" t="n"/>
      <c r="H9" s="167" t="n"/>
      <c r="L9" s="421" t="n"/>
      <c r="N9" s="167" t="n"/>
    </row>
    <row r="10">
      <c r="G10" s="167" t="n"/>
      <c r="H10" s="167" t="n"/>
      <c r="L10" s="421" t="n"/>
    </row>
    <row r="11">
      <c r="G11" s="167" t="n"/>
      <c r="H11" s="167" t="n"/>
      <c r="L11" s="421" t="n"/>
    </row>
    <row r="12">
      <c r="G12" s="167" t="n"/>
      <c r="H12" s="167" t="n"/>
      <c r="L12" s="421" t="n"/>
    </row>
    <row r="13">
      <c r="G13" s="167" t="n"/>
      <c r="H13" s="167" t="n"/>
      <c r="L13" s="421" t="n"/>
    </row>
    <row r="14">
      <c r="G14" s="167" t="n"/>
      <c r="H14" s="167" t="n"/>
      <c r="L14" s="421" t="n"/>
    </row>
    <row r="15">
      <c r="G15" s="167" t="n"/>
      <c r="H15" s="167" t="n"/>
      <c r="L15" s="421" t="n"/>
    </row>
    <row r="16">
      <c r="G16" s="167" t="n"/>
      <c r="H16" s="167" t="n"/>
      <c r="L16" s="421" t="n"/>
    </row>
    <row r="17">
      <c r="G17" s="167" t="n"/>
      <c r="H17" s="167" t="n"/>
      <c r="L17" s="421" t="n"/>
    </row>
    <row r="18">
      <c r="G18" s="167" t="n"/>
      <c r="H18" s="167" t="n"/>
      <c r="L18" s="421" t="n"/>
    </row>
    <row r="19">
      <c r="G19" s="167" t="n"/>
      <c r="H19" s="167" t="n"/>
      <c r="L19" s="421" t="n"/>
    </row>
    <row r="20">
      <c r="G20" s="167" t="n"/>
      <c r="H20" s="167" t="n"/>
      <c r="L20" s="421" t="n"/>
    </row>
    <row r="21">
      <c r="G21" s="167" t="n"/>
      <c r="H21" s="167" t="n"/>
      <c r="L21" s="421" t="n"/>
    </row>
    <row r="22">
      <c r="G22" s="167" t="n"/>
      <c r="H22" s="167" t="n"/>
      <c r="L22" s="421" t="n"/>
    </row>
    <row r="23">
      <c r="G23" s="167" t="n"/>
      <c r="H23" s="167" t="n"/>
      <c r="L23" s="421" t="n"/>
    </row>
    <row r="24">
      <c r="G24" s="167" t="n"/>
      <c r="H24" s="167" t="n"/>
      <c r="L24" s="421" t="n"/>
    </row>
    <row r="25">
      <c r="G25" s="167" t="n"/>
      <c r="H25" s="167" t="n"/>
      <c r="L25" s="421" t="n"/>
    </row>
    <row r="26">
      <c r="G26" s="167" t="n"/>
      <c r="H26" s="167" t="n"/>
      <c r="L26" s="421" t="n"/>
    </row>
    <row r="27">
      <c r="G27" s="167" t="n"/>
      <c r="H27" s="167" t="n"/>
      <c r="L27" s="421" t="n"/>
    </row>
    <row r="28">
      <c r="G28" s="167" t="n"/>
      <c r="H28" s="167" t="n"/>
      <c r="L28" s="421" t="n"/>
    </row>
    <row r="29">
      <c r="G29" s="167" t="n"/>
      <c r="H29" s="167" t="n"/>
      <c r="L29" s="421" t="n"/>
    </row>
    <row r="30">
      <c r="G30" s="167" t="n"/>
      <c r="H30" s="167" t="n"/>
      <c r="L30" s="421" t="n"/>
    </row>
    <row r="31">
      <c r="G31" s="167" t="n"/>
      <c r="H31" s="167" t="n"/>
      <c r="L31" s="421" t="n"/>
    </row>
    <row r="32">
      <c r="G32" s="167" t="n"/>
      <c r="H32" s="167" t="n"/>
      <c r="L32" s="421" t="n"/>
    </row>
    <row r="33">
      <c r="G33" s="167" t="n"/>
      <c r="H33" s="167" t="n"/>
      <c r="L33" s="421" t="n"/>
    </row>
    <row r="34">
      <c r="G34" s="167" t="n"/>
      <c r="H34" s="167" t="n"/>
      <c r="L34" s="421" t="n"/>
    </row>
    <row r="35">
      <c r="G35" s="167" t="n"/>
      <c r="H35" s="167" t="n"/>
      <c r="L35" s="421" t="n"/>
    </row>
    <row r="36">
      <c r="G36" s="167" t="n"/>
      <c r="H36" s="167" t="n"/>
      <c r="L36" s="421" t="n"/>
    </row>
    <row r="37">
      <c r="G37" s="167" t="n"/>
      <c r="H37" s="167" t="n"/>
      <c r="L37" s="421" t="n"/>
    </row>
    <row r="38">
      <c r="G38" s="167" t="n"/>
      <c r="H38" s="167" t="n"/>
      <c r="L38" s="421" t="n"/>
    </row>
    <row r="39">
      <c r="G39" s="167" t="n"/>
      <c r="H39" s="167" t="n"/>
      <c r="L39" s="421" t="n"/>
    </row>
    <row r="40">
      <c r="G40" s="167" t="n"/>
      <c r="H40" s="167" t="n"/>
      <c r="L40" s="421" t="n"/>
    </row>
    <row r="41">
      <c r="G41" s="167" t="n"/>
      <c r="H41" s="167" t="n"/>
      <c r="L41" s="421" t="n"/>
    </row>
    <row r="42">
      <c r="G42" s="167" t="n"/>
      <c r="H42" s="167" t="n"/>
      <c r="L42" s="421" t="n"/>
    </row>
    <row r="43">
      <c r="G43" s="167" t="n"/>
      <c r="H43" s="167" t="n"/>
      <c r="L43" s="421" t="n"/>
    </row>
    <row r="44">
      <c r="G44" s="167" t="n"/>
      <c r="H44" s="167" t="n"/>
      <c r="L44" s="421" t="n"/>
    </row>
    <row r="45">
      <c r="G45" s="167" t="n"/>
      <c r="H45" s="167" t="n"/>
      <c r="L45" s="421" t="n"/>
    </row>
    <row r="46">
      <c r="G46" s="167" t="n"/>
      <c r="H46" s="167" t="n"/>
      <c r="L46" s="421" t="n"/>
    </row>
    <row r="47">
      <c r="G47" s="167" t="n"/>
      <c r="H47" s="167" t="n"/>
      <c r="L47" s="421" t="n"/>
    </row>
    <row r="48">
      <c r="G48" s="167" t="n"/>
      <c r="H48" s="167" t="n"/>
      <c r="L48" s="421" t="n"/>
    </row>
    <row r="49">
      <c r="G49" s="167" t="n"/>
      <c r="H49" s="167" t="n"/>
      <c r="L49" s="421" t="n"/>
    </row>
    <row r="50">
      <c r="G50" s="167" t="n"/>
      <c r="H50" s="167" t="n"/>
      <c r="L50" s="421" t="n"/>
    </row>
    <row r="51">
      <c r="G51" s="167" t="n"/>
      <c r="H51" s="167" t="n"/>
      <c r="L51" s="421" t="n"/>
    </row>
    <row r="52">
      <c r="G52" s="167" t="n"/>
      <c r="H52" s="167" t="n"/>
      <c r="L52" s="421" t="n"/>
    </row>
    <row r="53">
      <c r="G53" s="167" t="n"/>
      <c r="H53" s="167" t="n"/>
      <c r="L53" s="421" t="n"/>
    </row>
    <row r="54">
      <c r="G54" s="167" t="n"/>
      <c r="H54" s="167" t="n"/>
      <c r="L54" s="421" t="n"/>
    </row>
    <row r="55">
      <c r="G55" s="167" t="n"/>
      <c r="H55" s="167" t="n"/>
      <c r="L55" s="421" t="n"/>
    </row>
    <row r="56">
      <c r="G56" s="167" t="n"/>
      <c r="H56" s="167" t="n"/>
      <c r="L56" s="421" t="n"/>
    </row>
    <row r="57">
      <c r="G57" s="167" t="n"/>
      <c r="H57" s="167" t="n"/>
      <c r="L57" s="421" t="n"/>
    </row>
    <row r="58">
      <c r="G58" s="167" t="n"/>
      <c r="H58" s="167" t="n"/>
      <c r="L58" s="421" t="n"/>
    </row>
    <row r="59">
      <c r="G59" s="167" t="n"/>
      <c r="H59" s="167" t="n"/>
      <c r="L59" s="421" t="n"/>
    </row>
    <row r="60">
      <c r="G60" s="167" t="n"/>
      <c r="H60" s="167" t="n"/>
      <c r="L60" s="421" t="n"/>
    </row>
    <row r="61">
      <c r="G61" s="167" t="n"/>
      <c r="H61" s="167" t="n"/>
      <c r="L61" s="421" t="n"/>
    </row>
    <row r="62">
      <c r="G62" s="167" t="n"/>
      <c r="H62" s="167" t="n"/>
      <c r="L62" s="421" t="n"/>
    </row>
    <row r="63">
      <c r="G63" s="167" t="n"/>
      <c r="H63" s="167" t="n"/>
      <c r="L63" s="421" t="n"/>
    </row>
    <row r="64">
      <c r="G64" s="167" t="n"/>
      <c r="H64" s="167" t="n"/>
      <c r="L64" s="421" t="n"/>
    </row>
    <row r="65">
      <c r="G65" s="167" t="n"/>
      <c r="H65" s="167" t="n"/>
      <c r="L65" s="421" t="n"/>
    </row>
    <row r="66">
      <c r="G66" s="167" t="n"/>
      <c r="H66" s="167" t="n"/>
      <c r="L66" s="421" t="n"/>
    </row>
    <row r="67">
      <c r="G67" s="167" t="n"/>
      <c r="H67" s="167" t="n"/>
      <c r="L67" s="421" t="n"/>
    </row>
    <row r="68">
      <c r="G68" s="167" t="n"/>
      <c r="H68" s="167" t="n"/>
      <c r="L68" s="421" t="n"/>
    </row>
    <row r="69">
      <c r="G69" s="167" t="n"/>
      <c r="H69" s="167" t="n"/>
      <c r="L69" s="421" t="n"/>
    </row>
    <row r="70">
      <c r="G70" s="167" t="n"/>
      <c r="H70" s="167" t="n"/>
      <c r="L70" s="421" t="n"/>
    </row>
    <row r="71">
      <c r="G71" s="167" t="n"/>
      <c r="H71" s="167" t="n"/>
      <c r="L71" s="421" t="n"/>
    </row>
    <row r="72">
      <c r="G72" s="167" t="n"/>
      <c r="H72" s="167" t="n"/>
      <c r="L72" s="421" t="n"/>
    </row>
    <row r="73">
      <c r="G73" s="167" t="n"/>
      <c r="H73" s="167" t="n"/>
      <c r="L73" s="421" t="n"/>
    </row>
    <row r="74">
      <c r="G74" s="167" t="n"/>
      <c r="H74" s="167" t="n"/>
      <c r="L74" s="421" t="n"/>
    </row>
    <row r="75">
      <c r="G75" s="167" t="n"/>
      <c r="H75" s="167" t="n"/>
      <c r="L75" s="421" t="n"/>
    </row>
    <row r="76">
      <c r="G76" s="167" t="n"/>
      <c r="H76" s="167" t="n"/>
      <c r="L76" s="421" t="n"/>
    </row>
    <row r="77">
      <c r="G77" s="167" t="n"/>
      <c r="H77" s="167" t="n"/>
      <c r="L77" s="421" t="n"/>
    </row>
    <row r="78">
      <c r="G78" s="167" t="n"/>
      <c r="H78" s="167" t="n"/>
      <c r="L78" s="421" t="n"/>
    </row>
    <row r="79">
      <c r="G79" s="167" t="n"/>
      <c r="H79" s="167" t="n"/>
      <c r="L79" s="421" t="n"/>
    </row>
    <row r="80">
      <c r="G80" s="167" t="n"/>
      <c r="H80" s="167" t="n"/>
      <c r="L80" s="421" t="n"/>
    </row>
    <row r="81">
      <c r="G81" s="167" t="n"/>
      <c r="H81" s="167" t="n"/>
      <c r="L81" s="421" t="n"/>
    </row>
    <row r="82">
      <c r="G82" s="167" t="n"/>
      <c r="H82" s="167" t="n"/>
      <c r="L82" s="421" t="n"/>
    </row>
    <row r="83">
      <c r="G83" s="167" t="n"/>
      <c r="H83" s="167" t="n"/>
      <c r="L83" s="421" t="n"/>
    </row>
    <row r="84">
      <c r="G84" s="167" t="n"/>
      <c r="H84" s="167" t="n"/>
      <c r="L84" s="421" t="n"/>
    </row>
    <row r="85">
      <c r="G85" s="167" t="n"/>
      <c r="H85" s="167" t="n"/>
      <c r="L85" s="421" t="n"/>
    </row>
    <row r="86">
      <c r="G86" s="167" t="n"/>
      <c r="H86" s="167" t="n"/>
      <c r="L86" s="421" t="n"/>
    </row>
    <row r="87">
      <c r="G87" s="167" t="n"/>
      <c r="H87" s="167" t="n"/>
      <c r="L87" s="421" t="n"/>
    </row>
    <row r="88">
      <c r="G88" s="167" t="n"/>
      <c r="H88" s="167" t="n"/>
      <c r="L88" s="421" t="n"/>
    </row>
    <row r="89">
      <c r="G89" s="167" t="n"/>
      <c r="H89" s="167" t="n"/>
      <c r="L89" s="421" t="n"/>
    </row>
    <row r="90">
      <c r="G90" s="167" t="n"/>
      <c r="H90" s="167" t="n"/>
      <c r="L90" s="421" t="n"/>
    </row>
    <row r="91">
      <c r="G91" s="167" t="n"/>
      <c r="H91" s="167" t="n"/>
      <c r="L91" s="421" t="n"/>
    </row>
    <row r="92">
      <c r="G92" s="167" t="n"/>
      <c r="H92" s="167" t="n"/>
      <c r="L92" s="421" t="n"/>
    </row>
    <row r="93">
      <c r="G93" s="167" t="n"/>
      <c r="H93" s="167" t="n"/>
      <c r="L93" s="421" t="n"/>
    </row>
    <row r="94">
      <c r="G94" s="167" t="n"/>
      <c r="H94" s="167" t="n"/>
      <c r="L94" s="421" t="n"/>
    </row>
    <row r="95">
      <c r="G95" s="167" t="n"/>
      <c r="H95" s="167" t="n"/>
      <c r="L95" s="421" t="n"/>
    </row>
    <row r="96">
      <c r="G96" s="167" t="n"/>
      <c r="H96" s="167" t="n"/>
      <c r="L96" s="421" t="n"/>
    </row>
    <row r="97">
      <c r="G97" s="167" t="n"/>
      <c r="H97" s="167" t="n"/>
      <c r="L97" s="421" t="n"/>
    </row>
    <row r="98">
      <c r="G98" s="167" t="n"/>
      <c r="H98" s="167" t="n"/>
      <c r="L98" s="421" t="n"/>
    </row>
    <row r="99">
      <c r="G99" s="167" t="n"/>
      <c r="H99" s="167" t="n"/>
      <c r="L99" s="421" t="n"/>
    </row>
    <row r="100">
      <c r="G100" s="167" t="n"/>
      <c r="H100" s="167" t="n"/>
      <c r="L100" s="421" t="n"/>
    </row>
    <row r="101">
      <c r="G101" s="167" t="n"/>
      <c r="H101" s="167" t="n"/>
      <c r="L101" s="421" t="n"/>
    </row>
    <row r="102">
      <c r="G102" s="167" t="n"/>
      <c r="H102" s="167" t="n"/>
      <c r="L102" s="421" t="n"/>
    </row>
    <row r="103">
      <c r="G103" s="167" t="n"/>
      <c r="H103" s="167" t="n"/>
      <c r="L103" s="421" t="n"/>
    </row>
    <row r="104">
      <c r="G104" s="167" t="n"/>
      <c r="H104" s="167" t="n"/>
      <c r="L104" s="421" t="n"/>
    </row>
    <row r="105">
      <c r="G105" s="167" t="n"/>
      <c r="H105" s="167" t="n"/>
      <c r="L105" s="421" t="n"/>
    </row>
    <row r="106">
      <c r="G106" s="167" t="n"/>
      <c r="H106" s="167" t="n"/>
      <c r="L106" s="421" t="n"/>
    </row>
    <row r="107">
      <c r="G107" s="167" t="n"/>
      <c r="H107" s="167" t="n"/>
      <c r="L107" s="421" t="n"/>
    </row>
    <row r="108">
      <c r="G108" s="167" t="n"/>
      <c r="H108" s="167" t="n"/>
      <c r="L108" s="42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D56"/>
  <sheetViews>
    <sheetView workbookViewId="0">
      <selection activeCell="A1" sqref="A1"/>
    </sheetView>
  </sheetViews>
  <sheetFormatPr baseColWidth="8" defaultRowHeight="14.5"/>
  <cols>
    <col width="2.26953125" customWidth="1" min="1" max="1"/>
    <col width="21" customWidth="1" min="2" max="2"/>
    <col width="8.54296875" customWidth="1" min="3" max="3"/>
    <col width="0.7265625" customWidth="1" min="4" max="4"/>
    <col width="9.7265625" customWidth="1" min="5" max="5"/>
    <col width="15.54296875" customWidth="1" min="6" max="6"/>
    <col width="12.08984375" customWidth="1" min="7" max="7"/>
    <col width="1" customWidth="1" min="14" max="14"/>
    <col width="11" customWidth="1" min="16" max="16"/>
    <col width="1.54296875" customWidth="1" min="17" max="17"/>
    <col width="11.54296875" customWidth="1" min="18" max="18"/>
    <col width="8.54296875" customWidth="1" min="19" max="19"/>
    <col width="14.54296875" customWidth="1" min="20" max="20"/>
    <col width="12.26953125" customWidth="1" min="21" max="21"/>
    <col width="10.08984375" customWidth="1" min="22" max="22"/>
    <col width="7.08984375" customWidth="1" min="23" max="23"/>
    <col width="4.08984375" customWidth="1" min="24" max="24"/>
    <col width="10.7265625" customWidth="1" min="25" max="25"/>
    <col width="8.7265625" customWidth="1" min="26" max="26"/>
    <col width="9.08984375" customWidth="1" min="27" max="27"/>
    <col width="12.453125" customWidth="1" min="28" max="28"/>
    <col width="10.08984375" customWidth="1" min="29" max="29"/>
    <col width="7.08984375" customWidth="1" min="30" max="30"/>
  </cols>
  <sheetData>
    <row r="1" ht="46" customHeight="1">
      <c r="E1" s="422" t="inlineStr">
        <is>
          <t>Tray Pack and Bagging Production Weekly Focus</t>
        </is>
      </c>
      <c r="F1" s="423" t="n"/>
      <c r="G1" s="423" t="n"/>
      <c r="H1" s="423" t="n"/>
      <c r="I1" s="423" t="n"/>
      <c r="J1" s="423" t="n"/>
      <c r="K1" s="423" t="n"/>
      <c r="L1" s="423" t="n"/>
      <c r="M1" s="423" t="n"/>
      <c r="N1" s="423" t="n"/>
      <c r="O1" s="423" t="n"/>
      <c r="P1" s="423" t="n"/>
    </row>
    <row r="3" ht="31" customHeight="1">
      <c r="C3" s="50" t="n"/>
      <c r="D3" s="50" t="n"/>
      <c r="E3" s="424">
        <f>"Week "&amp;WEEKNUM(F3)</f>
        <v/>
      </c>
      <c r="F3" s="425">
        <f>TODAY()</f>
        <v/>
      </c>
      <c r="G3" s="426" t="inlineStr">
        <is>
          <t>Monday</t>
        </is>
      </c>
      <c r="H3" s="426" t="inlineStr">
        <is>
          <t>Tuesday</t>
        </is>
      </c>
      <c r="I3" s="426" t="inlineStr">
        <is>
          <t>Wednesday</t>
        </is>
      </c>
      <c r="J3" s="426" t="inlineStr">
        <is>
          <t>Thursday</t>
        </is>
      </c>
      <c r="K3" s="426" t="inlineStr">
        <is>
          <t>Friday</t>
        </is>
      </c>
      <c r="L3" s="426" t="inlineStr">
        <is>
          <t>Saturday</t>
        </is>
      </c>
      <c r="M3" s="427" t="inlineStr">
        <is>
          <t>Sunday</t>
        </is>
      </c>
      <c r="N3" s="428" t="n"/>
      <c r="O3" s="429" t="inlineStr">
        <is>
          <t>AVG</t>
        </is>
      </c>
      <c r="P3" s="430" t="inlineStr">
        <is>
          <t>Total</t>
        </is>
      </c>
      <c r="R3" s="431" t="inlineStr">
        <is>
          <t>Ahead next week</t>
        </is>
      </c>
    </row>
    <row r="4" ht="15.5" customHeight="1">
      <c r="C4" s="50" t="n"/>
      <c r="D4" s="50" t="n"/>
      <c r="E4" s="432" t="inlineStr">
        <is>
          <t>Cases Reqeust</t>
        </is>
      </c>
      <c r="F4" s="395" t="n"/>
      <c r="G4" s="433">
        <f>'15_5Day_Forecast'!Y2</f>
        <v/>
      </c>
      <c r="H4" s="433">
        <f>'15_5Day_Forecast'!Z2</f>
        <v/>
      </c>
      <c r="I4" s="433">
        <f>'15_5Day_Forecast'!AA2</f>
        <v/>
      </c>
      <c r="J4" s="433">
        <f>'15_5Day_Forecast'!AB2</f>
        <v/>
      </c>
      <c r="K4" s="433">
        <f>'15_5Day_Forecast'!AC2</f>
        <v/>
      </c>
      <c r="L4" s="433">
        <f>'15_5Day_Forecast'!AD2</f>
        <v/>
      </c>
      <c r="M4" s="434">
        <f>'15_5Day_Forecast'!AE2</f>
        <v/>
      </c>
      <c r="O4" s="435">
        <f>SUM(G4:M4)/$C$5</f>
        <v/>
      </c>
      <c r="P4" s="436">
        <f>SUM(G4:M4)</f>
        <v/>
      </c>
      <c r="R4" s="437" t="n"/>
      <c r="T4" s="15" t="inlineStr">
        <is>
          <t>BOX</t>
        </is>
      </c>
      <c r="U4" s="15">
        <f>ROUND(SUMIF('05_Daily_Orders'!$K$3:$K$349,T4,'05_Daily_Orders'!$G$3:$G$349)+50,-2)</f>
        <v/>
      </c>
    </row>
    <row r="5">
      <c r="B5" s="438" t="inlineStr">
        <is>
          <t>Day left for the week</t>
        </is>
      </c>
      <c r="C5" s="439" t="n">
        <v>2</v>
      </c>
      <c r="D5" s="50" t="n"/>
      <c r="E5" s="440" t="inlineStr">
        <is>
          <t>Fast Product Hrs Request</t>
        </is>
      </c>
      <c r="F5" s="395" t="n"/>
      <c r="G5" s="441">
        <f>SUMIF('15_5Day_Forecast'!$L$4:$L$274,"fast",'15_5Day_Forecast'!$N$4:$N$274)</f>
        <v/>
      </c>
      <c r="H5" s="441">
        <f>SUMIF('15_5Day_Forecast'!$L$4:$L$274,"fast",'15_5Day_Forecast'!$O$4:$O$274)</f>
        <v/>
      </c>
      <c r="I5" s="441">
        <f>SUMIF('15_5Day_Forecast'!$L$4:$L$274,"fast",'15_5Day_Forecast'!$P$4:$P$274)</f>
        <v/>
      </c>
      <c r="J5" s="441">
        <f>SUMIF('15_5Day_Forecast'!$L$4:$L$274,"fast",'15_5Day_Forecast'!$Q$4:$Q$274)</f>
        <v/>
      </c>
      <c r="K5" s="441">
        <f>SUMIF('15_5Day_Forecast'!$L$4:$L$274,"fast",'15_5Day_Forecast'!$R$4:$R$274)</f>
        <v/>
      </c>
      <c r="L5" s="441">
        <f>SUMIF('15_5Day_Forecast'!$L$4:$L$274,"fast",'15_5Day_Forecast'!$S$4:$S$274)</f>
        <v/>
      </c>
      <c r="M5" s="442">
        <f>SUMIF('15_5Day_Forecast'!$L$4:$L$274,"fast",'15_5Day_Forecast'!$T$4:$T$274)</f>
        <v/>
      </c>
      <c r="O5" s="443">
        <f>SUM(G5:M5)/$C$5</f>
        <v/>
      </c>
      <c r="P5" s="444">
        <f>SUM(G5:M5)</f>
        <v/>
      </c>
      <c r="R5" s="445">
        <f>SUM(P4,R4)/C5</f>
        <v/>
      </c>
      <c r="T5" s="15" t="inlineStr">
        <is>
          <t>6.5 BOX</t>
        </is>
      </c>
      <c r="U5" s="15">
        <f>ROUND(SUMIF('05_Daily_Orders'!$K$3:$K$349,T5,'05_Daily_Orders'!$G$3:$G$349)+50,-2)</f>
        <v/>
      </c>
    </row>
    <row r="6">
      <c r="B6" s="446" t="inlineStr">
        <is>
          <t>Work Hours</t>
        </is>
      </c>
      <c r="C6" s="447" t="n">
        <v>8</v>
      </c>
      <c r="D6" s="50" t="n"/>
      <c r="E6" s="448" t="inlineStr">
        <is>
          <t>Line Request</t>
        </is>
      </c>
      <c r="F6" s="395" t="n"/>
      <c r="G6" s="449">
        <f>G5/C22/C6</f>
        <v/>
      </c>
      <c r="H6" s="449">
        <f>H5/C22/C6</f>
        <v/>
      </c>
      <c r="I6" s="449">
        <f>I5/C22/C6</f>
        <v/>
      </c>
      <c r="J6" s="449">
        <f>J5/C22/C6</f>
        <v/>
      </c>
      <c r="K6" s="449">
        <f>K5/C22/C6</f>
        <v/>
      </c>
      <c r="L6" s="449">
        <f>L5/C22/C6</f>
        <v/>
      </c>
      <c r="M6" s="450">
        <f>M5/C22/C6</f>
        <v/>
      </c>
      <c r="O6" s="451">
        <f>SUM(G6:M6)/$C$5</f>
        <v/>
      </c>
      <c r="P6" s="436">
        <f>SUM(G6:M6)</f>
        <v/>
      </c>
      <c r="T6" s="15" t="inlineStr">
        <is>
          <t>IFCO</t>
        </is>
      </c>
      <c r="U6" s="15">
        <f>ROUND(SUMIF('05_Daily_Orders'!$K$3:$K$349,T6,'05_Daily_Orders'!$G$3:$G$349)+50,-2)</f>
        <v/>
      </c>
    </row>
    <row r="7">
      <c r="B7" s="446" t="n"/>
      <c r="C7" s="452" t="n"/>
      <c r="D7" s="44" t="n"/>
      <c r="E7" s="453" t="inlineStr">
        <is>
          <t>% of the Fast Hours</t>
        </is>
      </c>
      <c r="F7" s="395" t="n"/>
      <c r="G7" s="454">
        <f>IFERROR(G5/'15_5Day_Forecast'!N2,"")</f>
        <v/>
      </c>
      <c r="H7" s="454">
        <f>IFERROR(H5/'15_5Day_Forecast'!O2,"")</f>
        <v/>
      </c>
      <c r="I7" s="454">
        <f>IFERROR(I5/'15_5Day_Forecast'!P2,"")</f>
        <v/>
      </c>
      <c r="J7" s="454">
        <f>IFERROR(J5/'15_5Day_Forecast'!Q2,"")</f>
        <v/>
      </c>
      <c r="K7" s="454">
        <f>IFERROR(K5/'15_5Day_Forecast'!R2,"")</f>
        <v/>
      </c>
      <c r="L7" s="454">
        <f>IFERROR(L5/'15_5Day_Forecast'!S2,"")</f>
        <v/>
      </c>
      <c r="M7" s="454">
        <f>IFERROR(M5/'15_5Day_Forecast'!T2,"")</f>
        <v/>
      </c>
      <c r="O7" s="451" t="n"/>
      <c r="P7" s="455">
        <f>IFERROR(P5/'15_5Day_Forecast'!U2,"")</f>
        <v/>
      </c>
      <c r="T7" s="15" t="inlineStr">
        <is>
          <t>Industry</t>
        </is>
      </c>
      <c r="U7" s="15">
        <f>ROUND(SUMIF('05_Daily_Orders'!$K$3:$K$349,T7,'05_Daily_Orders'!$G$3:$G$349)+50,-2)</f>
        <v/>
      </c>
    </row>
    <row r="8">
      <c r="B8" s="446" t="inlineStr">
        <is>
          <t>Total Man hours request</t>
        </is>
      </c>
      <c r="C8" s="456">
        <f>SUM('15_5Day_Forecast'!N2:T2)</f>
        <v/>
      </c>
      <c r="D8" s="50" t="n"/>
      <c r="E8" s="457" t="inlineStr">
        <is>
          <t>Normal Product Hrs Request</t>
        </is>
      </c>
      <c r="F8" s="395" t="n"/>
      <c r="G8" s="458">
        <f>SUMIF('15_5Day_Forecast'!$L$4:$L$274,"Normal",'15_5Day_Forecast'!$N$4:$N$274)</f>
        <v/>
      </c>
      <c r="H8" s="458">
        <f>SUMIF('15_5Day_Forecast'!$L$4:$L$274,"Normal",'15_5Day_Forecast'!$O$4:$O$274)</f>
        <v/>
      </c>
      <c r="I8" s="458">
        <f>SUMIF('15_5Day_Forecast'!$L$4:$L$274,"Normal",'15_5Day_Forecast'!$P$4:$P$274)</f>
        <v/>
      </c>
      <c r="J8" s="458">
        <f>SUMIF('15_5Day_Forecast'!$L$4:$L$274,"Normal",'15_5Day_Forecast'!$Q$4:$Q$274)</f>
        <v/>
      </c>
      <c r="K8" s="458">
        <f>SUMIF('15_5Day_Forecast'!$L$4:$L$274,"Normal",'15_5Day_Forecast'!$R$4:$R$274)</f>
        <v/>
      </c>
      <c r="L8" s="458">
        <f>SUMIF('15_5Day_Forecast'!$L$4:$L$274,"Normal",'15_5Day_Forecast'!$S$4:$S$274)</f>
        <v/>
      </c>
      <c r="M8" s="459">
        <f>SUMIF('15_5Day_Forecast'!$L$4:$L$274,"Normal",'15_5Day_Forecast'!$T$4:$T$274)</f>
        <v/>
      </c>
      <c r="O8" s="443">
        <f>SUM(G8:M8)/C5</f>
        <v/>
      </c>
      <c r="P8" s="444">
        <f>SUM(G8:M8)</f>
        <v/>
      </c>
      <c r="T8" s="15" t="inlineStr">
        <is>
          <t>Costco</t>
        </is>
      </c>
      <c r="U8" s="15">
        <f>ROUND(SUMIF('05_Daily_Orders'!$K$3:$K$349,T8,'05_Daily_Orders'!$G$3:$G$349)+50,-2)</f>
        <v/>
      </c>
    </row>
    <row r="9">
      <c r="B9" s="460" t="inlineStr">
        <is>
          <t>LABOUR EFFICIENCY</t>
        </is>
      </c>
      <c r="C9" s="461" t="n">
        <v>1</v>
      </c>
      <c r="D9" s="44" t="n"/>
      <c r="E9" s="462" t="inlineStr">
        <is>
          <t>Line Request</t>
        </is>
      </c>
      <c r="F9" s="395" t="n"/>
      <c r="G9" s="463">
        <f>G8/C6/C23</f>
        <v/>
      </c>
      <c r="H9" s="463">
        <f>H8/C6/C23</f>
        <v/>
      </c>
      <c r="I9" s="463">
        <f>I8/C6/C23</f>
        <v/>
      </c>
      <c r="J9" s="463">
        <f>J8/C6/C23</f>
        <v/>
      </c>
      <c r="K9" s="463">
        <f>K8/C6/C23</f>
        <v/>
      </c>
      <c r="L9" s="463">
        <f>L8/C6/C23</f>
        <v/>
      </c>
      <c r="M9" s="464">
        <f>M8/C6/C23</f>
        <v/>
      </c>
      <c r="O9" s="451">
        <f>SUM(G9:M9)/C5</f>
        <v/>
      </c>
      <c r="P9" s="436">
        <f>SUM(G9:M9)</f>
        <v/>
      </c>
      <c r="T9" s="15" t="inlineStr">
        <is>
          <t>Bagging Industry</t>
        </is>
      </c>
      <c r="U9" s="15" t="n">
        <v>1000</v>
      </c>
    </row>
    <row r="10">
      <c r="B10" s="446" t="n"/>
      <c r="C10" s="447" t="n"/>
      <c r="D10" s="50" t="n"/>
      <c r="E10" s="465" t="inlineStr">
        <is>
          <t>% of the Normal Hours</t>
        </is>
      </c>
      <c r="F10" s="395" t="n"/>
      <c r="G10" s="466">
        <f>IFERROR(G8/'15_5Day_Forecast'!N2,"")</f>
        <v/>
      </c>
      <c r="H10" s="466">
        <f>IFERROR(H8/'15_5Day_Forecast'!O2,"")</f>
        <v/>
      </c>
      <c r="I10" s="466">
        <f>IFERROR(I8/'15_5Day_Forecast'!P2,"")</f>
        <v/>
      </c>
      <c r="J10" s="466">
        <f>IFERROR(J8/'15_5Day_Forecast'!Q2,"")</f>
        <v/>
      </c>
      <c r="K10" s="466">
        <f>IFERROR(K8/'15_5Day_Forecast'!R2,"")</f>
        <v/>
      </c>
      <c r="L10" s="466">
        <f>IFERROR(L8/'15_5Day_Forecast'!S2,"")</f>
        <v/>
      </c>
      <c r="M10" s="466">
        <f>IFERROR(M8/'15_5Day_Forecast'!T2,"")</f>
        <v/>
      </c>
      <c r="O10" s="451" t="n"/>
      <c r="P10" s="455">
        <f>IFERROR(P8/'15_5Day_Forecast'!U2,"")</f>
        <v/>
      </c>
    </row>
    <row r="11">
      <c r="B11" s="446" t="n"/>
      <c r="C11" s="452" t="n"/>
      <c r="D11" s="44" t="n"/>
      <c r="E11" s="467" t="inlineStr">
        <is>
          <t>Slow Product Hrs Request</t>
        </is>
      </c>
      <c r="F11" s="395" t="n"/>
      <c r="G11" s="468">
        <f>SUMIF('15_5Day_Forecast'!$L$4:$L$274,"slow",'15_5Day_Forecast'!$N$4:$N$274)</f>
        <v/>
      </c>
      <c r="H11" s="468">
        <f>SUMIF('15_5Day_Forecast'!$L$4:$L$274,"slow",'15_5Day_Forecast'!$O$4:$O$274)</f>
        <v/>
      </c>
      <c r="I11" s="468">
        <f>SUMIF('15_5Day_Forecast'!$L$4:$L$274,"slow",'15_5Day_Forecast'!$P$4:$P$274)</f>
        <v/>
      </c>
      <c r="J11" s="468">
        <f>SUMIF('15_5Day_Forecast'!$L$4:$L$274,"slow",'15_5Day_Forecast'!$Q$4:$Q$274)</f>
        <v/>
      </c>
      <c r="K11" s="468">
        <f>SUMIF('15_5Day_Forecast'!$L$4:$L$274,"slow",'15_5Day_Forecast'!$R$4:$R$274)</f>
        <v/>
      </c>
      <c r="L11" s="468">
        <f>SUMIF('15_5Day_Forecast'!$L$4:$L$274,"slow",'15_5Day_Forecast'!$S$4:$S$274)</f>
        <v/>
      </c>
      <c r="M11" s="469">
        <f>SUMIF('15_5Day_Forecast'!$L$4:$L$274,"slow",'15_5Day_Forecast'!$T$4:$T$274)</f>
        <v/>
      </c>
      <c r="O11" s="443">
        <f>SUM(G11:M11)/C5</f>
        <v/>
      </c>
      <c r="P11" s="444">
        <f>SUM(G11:M11)</f>
        <v/>
      </c>
    </row>
    <row r="12">
      <c r="B12" s="446" t="n"/>
      <c r="C12" s="447" t="n"/>
      <c r="D12" s="50" t="n"/>
      <c r="E12" s="465" t="inlineStr">
        <is>
          <t>Line Request</t>
        </is>
      </c>
      <c r="F12" s="395" t="n"/>
      <c r="G12" s="470">
        <f>G11/C6/C24</f>
        <v/>
      </c>
      <c r="H12" s="470">
        <f>H11/C6/C24</f>
        <v/>
      </c>
      <c r="I12" s="470">
        <f>I11/C6/C24</f>
        <v/>
      </c>
      <c r="J12" s="470">
        <f>J11/C6/C24</f>
        <v/>
      </c>
      <c r="K12" s="470">
        <f>K11/C6/C24</f>
        <v/>
      </c>
      <c r="L12" s="470">
        <f>L11/C6/C24</f>
        <v/>
      </c>
      <c r="M12" s="471">
        <f>M11/C6/C24</f>
        <v/>
      </c>
      <c r="O12" s="451">
        <f>SUM(G12:M12)/C5</f>
        <v/>
      </c>
      <c r="P12" s="436">
        <f>SUM(G12:M12)</f>
        <v/>
      </c>
    </row>
    <row r="13">
      <c r="B13" s="446" t="n"/>
      <c r="C13" s="447" t="n"/>
      <c r="D13" s="50" t="n"/>
      <c r="E13" s="465" t="inlineStr">
        <is>
          <t>% of the Slow Hours</t>
        </is>
      </c>
      <c r="F13" s="395" t="n"/>
      <c r="G13" s="472">
        <f>IFERROR(G11/'15_5Day_Forecast'!N2,"")</f>
        <v/>
      </c>
      <c r="H13" s="472">
        <f>IFERROR(H11/'15_5Day_Forecast'!O2,"")</f>
        <v/>
      </c>
      <c r="I13" s="472">
        <f>IFERROR(I11/'15_5Day_Forecast'!P2,"")</f>
        <v/>
      </c>
      <c r="J13" s="472">
        <f>IFERROR(J11/'15_5Day_Forecast'!Q2,"")</f>
        <v/>
      </c>
      <c r="K13" s="472">
        <f>IFERROR(K11/'15_5Day_Forecast'!R2,"")</f>
        <v/>
      </c>
      <c r="L13" s="472">
        <f>IFERROR(L11/'15_5Day_Forecast'!S2,"")</f>
        <v/>
      </c>
      <c r="M13" s="472">
        <f>IFERROR(M11/'15_5Day_Forecast'!T2,"")</f>
        <v/>
      </c>
      <c r="O13" s="451" t="n"/>
      <c r="P13" s="455">
        <f>IFERROR(P11/'15_5Day_Forecast'!U2,"")</f>
        <v/>
      </c>
      <c r="S13">
        <f>O4/2</f>
        <v/>
      </c>
    </row>
    <row r="14">
      <c r="B14" s="446" t="n"/>
      <c r="C14" s="447" t="n"/>
      <c r="D14" s="50" t="n"/>
      <c r="E14" s="473" t="inlineStr">
        <is>
          <t>Ees Req</t>
        </is>
      </c>
      <c r="F14" s="474" t="n"/>
      <c r="G14" s="475">
        <f>SUM(G5,G8,G11)/C6</f>
        <v/>
      </c>
      <c r="H14" s="475">
        <f>SUM(H5,H8,H11)/C6</f>
        <v/>
      </c>
      <c r="I14" s="475">
        <f>SUM(I5,I8,I11)/C6</f>
        <v/>
      </c>
      <c r="J14" s="475">
        <f>SUM(J5,J8,J11)/C6</f>
        <v/>
      </c>
      <c r="K14" s="475">
        <f>SUM(K5,K8,K11)/C6</f>
        <v/>
      </c>
      <c r="L14" s="475">
        <f>SUM(L5,L8,L11)/C6</f>
        <v/>
      </c>
      <c r="M14" s="476">
        <f>SUM(M5,M8,M11)/C6</f>
        <v/>
      </c>
      <c r="O14" s="477" t="inlineStr">
        <is>
          <t>Hours</t>
        </is>
      </c>
      <c r="P14" s="478">
        <f>SUM(P5,P8,P11)</f>
        <v/>
      </c>
    </row>
    <row r="15" ht="15.5" customHeight="1">
      <c r="B15" s="446" t="n"/>
      <c r="C15" s="447" t="n"/>
      <c r="D15" s="50" t="n"/>
      <c r="G15" s="33" t="n"/>
      <c r="H15" s="479" t="n"/>
      <c r="I15" s="480" t="n"/>
      <c r="J15" s="480" t="n"/>
      <c r="K15" s="50" t="n"/>
      <c r="O15" s="33" t="n"/>
      <c r="P15" s="33" t="n"/>
    </row>
    <row r="16" ht="15.5" customHeight="1">
      <c r="B16" s="446" t="n"/>
      <c r="C16" s="447" t="n"/>
      <c r="D16" s="50" t="n"/>
      <c r="E16" s="481" t="inlineStr">
        <is>
          <t>PLAN</t>
        </is>
      </c>
      <c r="F16" s="482" t="inlineStr">
        <is>
          <t>Case Req /day</t>
        </is>
      </c>
      <c r="G16" s="483" t="n"/>
      <c r="H16" s="483" t="n"/>
      <c r="I16" s="483" t="n"/>
      <c r="J16" s="483" t="n"/>
      <c r="K16" s="483" t="n"/>
      <c r="L16" s="484" t="n"/>
      <c r="M16" s="485" t="n"/>
      <c r="O16" s="486">
        <f>IFERROR(AVERAGE(G16:K16),"")</f>
        <v/>
      </c>
      <c r="P16" s="439">
        <f>SUM(G16:K16)</f>
        <v/>
      </c>
      <c r="R16" s="15" t="inlineStr">
        <is>
          <t>Plan A</t>
        </is>
      </c>
      <c r="S16" s="487" t="inlineStr">
        <is>
          <t>Monday</t>
        </is>
      </c>
      <c r="T16" s="487" t="inlineStr">
        <is>
          <t>Tuesday</t>
        </is>
      </c>
      <c r="U16" s="487" t="inlineStr">
        <is>
          <t>Wednesday</t>
        </is>
      </c>
      <c r="V16" s="487" t="inlineStr">
        <is>
          <t>Thursday</t>
        </is>
      </c>
      <c r="W16" s="487" t="inlineStr">
        <is>
          <t>Friday</t>
        </is>
      </c>
      <c r="X16" s="488" t="n"/>
      <c r="Y16" s="15" t="inlineStr">
        <is>
          <t>Plan A</t>
        </is>
      </c>
      <c r="Z16" s="487" t="inlineStr">
        <is>
          <t>Monday</t>
        </is>
      </c>
      <c r="AA16" s="487" t="inlineStr">
        <is>
          <t>Tuesday</t>
        </is>
      </c>
      <c r="AB16" s="487" t="inlineStr">
        <is>
          <t>Wednesday</t>
        </is>
      </c>
      <c r="AC16" s="487" t="inlineStr">
        <is>
          <t>Thursday</t>
        </is>
      </c>
      <c r="AD16" s="487" t="inlineStr">
        <is>
          <t>Friday</t>
        </is>
      </c>
    </row>
    <row r="17">
      <c r="B17" s="446" t="n"/>
      <c r="C17" s="447" t="n"/>
      <c r="D17" s="50" t="n"/>
      <c r="E17" s="489" t="inlineStr">
        <is>
          <t>KG</t>
        </is>
      </c>
      <c r="F17" s="22" t="inlineStr">
        <is>
          <t>Total KG</t>
        </is>
      </c>
      <c r="G17" s="40">
        <f>'15_5Day_Forecast'!D2</f>
        <v/>
      </c>
      <c r="H17" s="40">
        <f>'15_5Day_Forecast'!E2</f>
        <v/>
      </c>
      <c r="I17" s="40">
        <f>'15_5Day_Forecast'!F2</f>
        <v/>
      </c>
      <c r="J17" s="40">
        <f>'15_5Day_Forecast'!G2</f>
        <v/>
      </c>
      <c r="K17" s="40">
        <f>SUM('15_5Day_Forecast'!H2:J2)</f>
        <v/>
      </c>
      <c r="L17" s="490" t="n"/>
      <c r="M17" s="491" t="n"/>
      <c r="O17" s="492" t="n"/>
      <c r="P17" s="493" t="n"/>
      <c r="R17" s="15" t="n"/>
      <c r="S17" s="15" t="n">
        <v>5000</v>
      </c>
      <c r="T17" s="15" t="n">
        <v>5000</v>
      </c>
      <c r="U17" s="394" t="n">
        <v>0</v>
      </c>
      <c r="V17" s="15" t="n">
        <v>5000</v>
      </c>
      <c r="W17" s="15" t="n">
        <v>5000</v>
      </c>
      <c r="Y17" s="15" t="inlineStr">
        <is>
          <t>Total Cages</t>
        </is>
      </c>
      <c r="Z17" s="15" t="n">
        <v>250</v>
      </c>
      <c r="AA17" s="15" t="n">
        <v>250</v>
      </c>
      <c r="AB17" s="15" t="n">
        <v>250</v>
      </c>
      <c r="AC17" s="15" t="n">
        <v>250</v>
      </c>
      <c r="AD17" s="15" t="n">
        <v>250</v>
      </c>
    </row>
    <row r="18">
      <c r="B18" s="446" t="n"/>
      <c r="C18" s="447" t="n"/>
      <c r="D18" s="50" t="n"/>
      <c r="E18" s="494" t="n"/>
      <c r="F18" s="495" t="inlineStr">
        <is>
          <t>KGs per man Hour</t>
        </is>
      </c>
      <c r="G18" s="496">
        <f>IFERROR(G17/SUM(G5,G8,G11),"")</f>
        <v/>
      </c>
      <c r="H18" s="496">
        <f>IFERROR(H17/SUM(H5,H8,H11),"")</f>
        <v/>
      </c>
      <c r="I18" s="496">
        <f>IFERROR(I17/SUM(I5,I8,I11),"")</f>
        <v/>
      </c>
      <c r="J18" s="496">
        <f>IFERROR(J17/SUM(J5,J8,J11),"")</f>
        <v/>
      </c>
      <c r="K18" s="497">
        <f>IFERROR(K17/SUM(K5:M5,,K11:M11,K8:M8),"")</f>
        <v/>
      </c>
      <c r="L18" s="498" t="n"/>
      <c r="M18" s="499" t="n"/>
      <c r="O18" s="477">
        <f>IFERROR(AVERAGE(G18:K18),"")</f>
        <v/>
      </c>
      <c r="P18" s="478" t="n"/>
      <c r="R18" s="15" t="n"/>
      <c r="S18" s="15" t="n">
        <v>5000</v>
      </c>
      <c r="T18" s="15" t="n">
        <v>5000</v>
      </c>
      <c r="U18" s="15" t="n">
        <v>5000</v>
      </c>
      <c r="V18" s="15" t="n">
        <v>5000</v>
      </c>
      <c r="W18" s="15" t="n">
        <v>5000</v>
      </c>
      <c r="Y18" s="15" t="inlineStr">
        <is>
          <t>AM</t>
        </is>
      </c>
      <c r="Z18" s="15" t="n">
        <v>145</v>
      </c>
      <c r="AA18" s="15" t="n">
        <v>145</v>
      </c>
      <c r="AB18" s="15" t="n">
        <v>145</v>
      </c>
      <c r="AC18" s="15" t="n">
        <v>145</v>
      </c>
      <c r="AD18" s="15" t="n">
        <v>145</v>
      </c>
    </row>
    <row r="19">
      <c r="B19" s="446" t="n"/>
      <c r="C19" s="447" t="n"/>
      <c r="D19" s="50" t="n"/>
      <c r="F19" s="500" t="n"/>
      <c r="O19" s="33" t="n"/>
      <c r="P19" s="33" t="n"/>
      <c r="R19" s="15" t="n"/>
      <c r="S19" s="15" t="n"/>
      <c r="T19" s="15" t="n"/>
      <c r="U19" s="15" t="n"/>
      <c r="V19" s="15" t="n"/>
      <c r="W19" s="15" t="n"/>
      <c r="Y19" s="15" t="n"/>
      <c r="Z19" s="15" t="n"/>
      <c r="AA19" s="15" t="n"/>
      <c r="AB19" s="15" t="n"/>
      <c r="AC19" s="15" t="n"/>
      <c r="AD19" s="15" t="n"/>
    </row>
    <row r="20">
      <c r="B20" s="501" t="n"/>
      <c r="C20" s="502" t="n"/>
      <c r="D20" s="44" t="n"/>
      <c r="E20" s="503" t="inlineStr">
        <is>
          <t>LIVE</t>
        </is>
      </c>
      <c r="F20" s="504" t="inlineStr">
        <is>
          <t>EEs Req /shift</t>
        </is>
      </c>
      <c r="G20" s="505">
        <f>SUM(G5,G8,G11)/C6/2</f>
        <v/>
      </c>
      <c r="H20" s="506">
        <f>(SUM(H5,H8,H11))/C6/2</f>
        <v/>
      </c>
      <c r="I20" s="506">
        <f>(SUM(I5,I8,I11))/C6/2</f>
        <v/>
      </c>
      <c r="J20" s="506">
        <f>(SUM(J5,J8,J11))/C6/2</f>
        <v/>
      </c>
      <c r="K20" s="506">
        <f>(SUM(K5:M5,K8:M8,K11:M11))/C6/2</f>
        <v/>
      </c>
      <c r="L20" s="507" t="n"/>
      <c r="M20" s="508" t="n"/>
      <c r="O20" s="509">
        <f>SUM(G20:K20)/C5</f>
        <v/>
      </c>
      <c r="P20" s="510">
        <f>SUM(G20:K20)*2</f>
        <v/>
      </c>
      <c r="R20" s="15" t="n"/>
      <c r="S20" s="15" t="n"/>
      <c r="T20" s="15" t="n"/>
      <c r="U20" s="15" t="n"/>
      <c r="V20" s="15" t="n"/>
      <c r="W20" s="15" t="n"/>
      <c r="Y20" s="15" t="inlineStr">
        <is>
          <t>PM</t>
        </is>
      </c>
      <c r="Z20" s="15">
        <f>Z17-Z18</f>
        <v/>
      </c>
      <c r="AA20" s="15">
        <f>AA17-AA18</f>
        <v/>
      </c>
      <c r="AB20" s="15">
        <f>AB17-AB18</f>
        <v/>
      </c>
      <c r="AC20" s="15">
        <f>AC17-AC18</f>
        <v/>
      </c>
      <c r="AD20" s="15">
        <f>AD17-AD18</f>
        <v/>
      </c>
    </row>
    <row r="21">
      <c r="B21" s="51" t="n"/>
      <c r="C21" s="50" t="n"/>
      <c r="D21" s="50" t="n"/>
      <c r="E21" s="511" t="n"/>
      <c r="F21" s="512" t="inlineStr">
        <is>
          <t>Line Req/shift</t>
        </is>
      </c>
      <c r="G21" s="513">
        <f>SUM(G6,G9,G12)/2</f>
        <v/>
      </c>
      <c r="H21" s="497">
        <f>SUM(H6,H9,H12)/2</f>
        <v/>
      </c>
      <c r="I21" s="497">
        <f>SUM(I6,I9,I12)/2</f>
        <v/>
      </c>
      <c r="J21" s="497">
        <f>SUM(J6,J9,J12)/2</f>
        <v/>
      </c>
      <c r="K21" s="497">
        <f>SUM(K6:M6,K9:M9,K12:M12)/2</f>
        <v/>
      </c>
      <c r="L21" s="514" t="n"/>
      <c r="M21" s="515" t="n"/>
      <c r="O21" s="516">
        <f>P21/C5</f>
        <v/>
      </c>
      <c r="P21" s="478">
        <f>SUM(G21:K21)</f>
        <v/>
      </c>
      <c r="R21" s="15" t="n"/>
      <c r="S21" s="15" t="n"/>
      <c r="T21" s="15" t="n"/>
      <c r="U21" s="15" t="n"/>
      <c r="V21" s="394" t="inlineStr">
        <is>
          <t xml:space="preserve">Total </t>
        </is>
      </c>
      <c r="W21" s="15">
        <f>SUM(S17:W18)</f>
        <v/>
      </c>
    </row>
    <row r="22">
      <c r="B22" s="438" t="inlineStr">
        <is>
          <t>Fast Line Worker</t>
        </is>
      </c>
      <c r="C22" s="517" t="n">
        <v>11</v>
      </c>
      <c r="D22" s="50" t="n"/>
      <c r="R22" s="15" t="n"/>
      <c r="S22" s="15" t="n"/>
      <c r="T22" s="15" t="n"/>
      <c r="U22" s="15" t="n"/>
      <c r="V22" s="394" t="inlineStr">
        <is>
          <t>work ahead</t>
        </is>
      </c>
      <c r="W22" s="419">
        <f>W21-P4</f>
        <v/>
      </c>
    </row>
    <row r="23">
      <c r="B23" s="446" t="inlineStr">
        <is>
          <t>Normal Line Worker</t>
        </is>
      </c>
      <c r="C23" s="518" t="n">
        <v>13</v>
      </c>
      <c r="D23" s="44" t="n"/>
      <c r="E23" s="519" t="inlineStr">
        <is>
          <t>Change Over at Order</t>
        </is>
      </c>
      <c r="F23" s="520" t="n"/>
      <c r="G23" s="521">
        <f>COUNTIF('15_5Day_Forecast'!Y4:Y244,"&gt;0")</f>
        <v/>
      </c>
      <c r="H23" s="521">
        <f>COUNTIF('15_5Day_Forecast'!Z4:Z244,"&gt;0")</f>
        <v/>
      </c>
      <c r="I23" s="521">
        <f>COUNTIF('15_5Day_Forecast'!AA4:AA244,"&gt;0")</f>
        <v/>
      </c>
      <c r="J23" s="521">
        <f>COUNTIF('15_5Day_Forecast'!AB4:AB244,"&gt;0")</f>
        <v/>
      </c>
      <c r="K23" s="521">
        <f>COUNTIF('15_5Day_Forecast'!AC4:AC244,"&gt;0")</f>
        <v/>
      </c>
      <c r="L23" s="521">
        <f>COUNTIF('15_5Day_Forecast'!AD4:AD244,"&gt;0")</f>
        <v/>
      </c>
      <c r="M23" s="522">
        <f>COUNTIF('15_5Day_Forecast'!AE4:AE244,"&gt;0")</f>
        <v/>
      </c>
      <c r="O23" s="523" t="n"/>
      <c r="P23" s="420" t="n"/>
      <c r="W23" s="524" t="n"/>
    </row>
    <row r="24">
      <c r="B24" s="501" t="inlineStr">
        <is>
          <t>Slow Line worker</t>
        </is>
      </c>
      <c r="C24" s="525" t="n">
        <v>19</v>
      </c>
      <c r="D24" s="44" t="n"/>
      <c r="E24" s="526" t="inlineStr">
        <is>
          <t>Change Over AM Shift</t>
        </is>
      </c>
      <c r="F24" s="527" t="n"/>
      <c r="G24" s="528" t="n"/>
      <c r="H24" s="346" t="n"/>
      <c r="I24" s="346" t="n"/>
      <c r="J24" s="346" t="n"/>
      <c r="K24" s="346" t="n"/>
      <c r="L24" s="217" t="n"/>
      <c r="M24" s="529" t="n"/>
      <c r="O24" s="523" t="n"/>
      <c r="P24" s="420" t="n"/>
    </row>
    <row r="25">
      <c r="B25" s="50" t="n"/>
      <c r="C25" s="44" t="n"/>
      <c r="D25" s="44" t="n"/>
      <c r="E25" s="530" t="inlineStr">
        <is>
          <t>Change Over PM Shift</t>
        </is>
      </c>
      <c r="F25" s="531" t="n"/>
      <c r="G25" s="532" t="n"/>
      <c r="H25" s="533" t="n"/>
      <c r="I25" s="533" t="n"/>
      <c r="J25" s="534" t="n"/>
      <c r="K25" s="534" t="n"/>
      <c r="L25" s="535" t="n"/>
      <c r="M25" s="536" t="n"/>
      <c r="O25" s="523" t="n"/>
      <c r="P25" s="420" t="n"/>
    </row>
    <row r="26">
      <c r="B26" s="50" t="n"/>
      <c r="C26" s="44" t="n"/>
      <c r="D26" s="44" t="n"/>
      <c r="E26" s="537" t="n"/>
      <c r="F26" s="538" t="n"/>
      <c r="G26" s="538" t="n"/>
      <c r="H26" s="538" t="n"/>
      <c r="I26" s="538" t="n"/>
      <c r="J26" s="539" t="n"/>
      <c r="K26" s="539" t="n"/>
      <c r="L26" s="540" t="n"/>
      <c r="M26" s="540" t="n"/>
      <c r="O26" s="523" t="n"/>
      <c r="P26" s="420" t="n"/>
    </row>
    <row r="27" ht="15.5" customHeight="1">
      <c r="B27" s="50" t="n"/>
      <c r="C27" s="44" t="n"/>
      <c r="D27" s="44" t="n"/>
      <c r="E27" s="541" t="inlineStr">
        <is>
          <t>FB</t>
        </is>
      </c>
      <c r="F27" s="542" t="inlineStr">
        <is>
          <t xml:space="preserve"> Cases Request</t>
        </is>
      </c>
      <c r="G27" s="543">
        <f>SUMIF('15_5Day_Forecast'!$W$4:$W$270,[1]Plan!E27,'15_5Day_Forecast'!$Y$4:$Y$270)</f>
        <v/>
      </c>
      <c r="H27" s="543">
        <f>SUMIF('15_5Day_Forecast'!$W$4:$W$270,[1]Plan!E27,'15_5Day_Forecast'!$Z$4:$Z$270)</f>
        <v/>
      </c>
      <c r="I27" s="544">
        <f>SUMIF('15_5Day_Forecast'!$W$4:$W$270,[1]Plan!E27,'15_5Day_Forecast'!$AA$4:$AA$270)</f>
        <v/>
      </c>
      <c r="J27" s="545">
        <f>SUMIF('15_5Day_Forecast'!$W$4:$W$270,[1]Plan!E27,'15_5Day_Forecast'!$AB$4:$AB$270)</f>
        <v/>
      </c>
      <c r="K27" s="545">
        <f>SUMIF('15_5Day_Forecast'!$W$4:$W$270,[1]Plan!E27,'15_5Day_Forecast'!$AC$4:$AC$270)</f>
        <v/>
      </c>
      <c r="L27" s="545">
        <f>SUMIF('15_5Day_Forecast'!$W$4:$W$270,[1]Plan!E27,'15_5Day_Forecast'!$AD$4:$AD$270)</f>
        <v/>
      </c>
      <c r="M27" s="546">
        <f>SUMIF('15_5Day_Forecast'!$W$4:$W$270,[1]Plan!E27,'15_5Day_Forecast'!$AE$4:$AE$270)</f>
        <v/>
      </c>
      <c r="O27" s="547" t="inlineStr">
        <is>
          <t>Total:</t>
        </is>
      </c>
      <c r="P27" s="439">
        <f>SUM(G27:M27)</f>
        <v/>
      </c>
      <c r="R27" s="15" t="inlineStr">
        <is>
          <t>Plan B</t>
        </is>
      </c>
      <c r="S27" s="487" t="inlineStr">
        <is>
          <t>Monday</t>
        </is>
      </c>
      <c r="T27" s="487" t="inlineStr">
        <is>
          <t>Tuesday</t>
        </is>
      </c>
      <c r="U27" s="487" t="inlineStr">
        <is>
          <t>Wednesday</t>
        </is>
      </c>
      <c r="V27" s="487" t="inlineStr">
        <is>
          <t>Thursday</t>
        </is>
      </c>
      <c r="W27" s="487" t="inlineStr">
        <is>
          <t>Friday</t>
        </is>
      </c>
    </row>
    <row r="28">
      <c r="B28" s="50" t="n"/>
      <c r="C28" s="44" t="n"/>
      <c r="D28" s="44" t="n"/>
      <c r="E28" s="548" t="inlineStr">
        <is>
          <t>LCL</t>
        </is>
      </c>
      <c r="F28" s="549" t="inlineStr">
        <is>
          <t xml:space="preserve"> Cases Request</t>
        </is>
      </c>
      <c r="G28" s="346">
        <f>SUMIF('15_5Day_Forecast'!$W$4:$W$270,[1]Plan!E28,'15_5Day_Forecast'!$Y$4:$Y$270)</f>
        <v/>
      </c>
      <c r="H28" s="346">
        <f>SUMIF('15_5Day_Forecast'!$W$4:$W$270,[1]Plan!E28,'15_5Day_Forecast'!$Z$4:$Z$270)</f>
        <v/>
      </c>
      <c r="I28" s="550">
        <f>SUMIF('15_5Day_Forecast'!$W$4:$W$270,[1]Plan!E28,'15_5Day_Forecast'!$AA$4:$AA$270)</f>
        <v/>
      </c>
      <c r="J28" s="550">
        <f>SUMIF('15_5Day_Forecast'!$W$4:$W$270,[1]Plan!E28,'15_5Day_Forecast'!$AB$4:$AB$270)</f>
        <v/>
      </c>
      <c r="K28" s="550">
        <f>SUMIF('15_5Day_Forecast'!$W$4:$W$270,[1]Plan!E28,'15_5Day_Forecast'!$AC$4:$AC$270)</f>
        <v/>
      </c>
      <c r="L28" s="550">
        <f>SUMIF('15_5Day_Forecast'!$W$4:$W$270,[1]Plan!E28,'15_5Day_Forecast'!$AD$4:$AD$270)</f>
        <v/>
      </c>
      <c r="M28" s="551">
        <f>SUMIF('15_5Day_Forecast'!$W$4:$W$270,[1]Plan!E28,'15_5Day_Forecast'!$AE$4:$AE$270)</f>
        <v/>
      </c>
      <c r="O28" s="552" t="n"/>
      <c r="P28" s="447">
        <f>SUM(G28:M28)</f>
        <v/>
      </c>
      <c r="R28" s="15" t="n"/>
      <c r="S28" s="15" t="n">
        <v>5000</v>
      </c>
      <c r="T28" s="15" t="n">
        <v>5000</v>
      </c>
      <c r="U28" s="15" t="n">
        <v>5000</v>
      </c>
      <c r="V28" s="15" t="n">
        <v>2000</v>
      </c>
      <c r="W28" s="15" t="n">
        <v>5000</v>
      </c>
    </row>
    <row r="29">
      <c r="B29" s="50" t="n"/>
      <c r="C29" s="44" t="n"/>
      <c r="D29" s="44" t="n"/>
      <c r="E29" s="548" t="inlineStr">
        <is>
          <t>SHP</t>
        </is>
      </c>
      <c r="F29" s="549" t="inlineStr">
        <is>
          <t xml:space="preserve"> Cases Request</t>
        </is>
      </c>
      <c r="G29" s="346">
        <f>SUMIF('15_5Day_Forecast'!$W$4:$W$270,[1]Plan!E29,'15_5Day_Forecast'!$Y$4:$Y$270)</f>
        <v/>
      </c>
      <c r="H29" s="346">
        <f>SUMIF('15_5Day_Forecast'!$W$4:$W$270,[1]Plan!E29,'15_5Day_Forecast'!$Z$4:$Z$270)</f>
        <v/>
      </c>
      <c r="I29" s="550">
        <f>SUMIF('15_5Day_Forecast'!$W$4:$W$270,[1]Plan!E29,'15_5Day_Forecast'!$AA$4:$AA$270)</f>
        <v/>
      </c>
      <c r="J29" s="550">
        <f>SUMIF('15_5Day_Forecast'!$W$4:$W$270,[1]Plan!E29,'15_5Day_Forecast'!$AB$4:$AB$270)</f>
        <v/>
      </c>
      <c r="K29" s="550">
        <f>SUMIF('15_5Day_Forecast'!$W$4:$W$270,[1]Plan!E29,'15_5Day_Forecast'!$AC$4:$AC$270)</f>
        <v/>
      </c>
      <c r="L29" s="550">
        <f>SUMIF('15_5Day_Forecast'!$W$4:$W$270,[1]Plan!E29,'15_5Day_Forecast'!$AD$4:$AD$270)</f>
        <v/>
      </c>
      <c r="M29" s="551">
        <f>SUMIF('15_5Day_Forecast'!$W$4:$W$270,[1]Plan!E29,'15_5Day_Forecast'!$AE$4:$AE$270)</f>
        <v/>
      </c>
      <c r="O29" s="552" t="n"/>
      <c r="P29" s="447">
        <f>SUM(G29:M29)</f>
        <v/>
      </c>
      <c r="R29" s="15" t="n"/>
      <c r="S29" s="15" t="n">
        <v>5000</v>
      </c>
      <c r="T29" s="15" t="n">
        <v>2000</v>
      </c>
      <c r="U29" s="15" t="n">
        <v>5000</v>
      </c>
      <c r="V29" s="15" t="n">
        <v>5000</v>
      </c>
      <c r="W29" s="15" t="n">
        <v>5000</v>
      </c>
    </row>
    <row r="30">
      <c r="B30" s="50" t="n"/>
      <c r="C30" s="44" t="n"/>
      <c r="D30" s="44" t="n"/>
      <c r="E30" s="553" t="inlineStr">
        <is>
          <t>Costco</t>
        </is>
      </c>
      <c r="F30" s="554" t="inlineStr">
        <is>
          <t xml:space="preserve"> Cases Request</t>
        </is>
      </c>
      <c r="G30" s="533">
        <f>SUMIF('15_5Day_Forecast'!$W$4:$W$270,[1]Plan!E30,'15_5Day_Forecast'!$Y$4:$Y$270)</f>
        <v/>
      </c>
      <c r="H30" s="533">
        <f>SUMIF('15_5Day_Forecast'!$W$4:$W$270,[1]Plan!E30,'15_5Day_Forecast'!$Z$4:$Z$270)</f>
        <v/>
      </c>
      <c r="I30" s="534">
        <f>SUMIF('15_5Day_Forecast'!$W$4:$W$270,[1]Plan!E30,'15_5Day_Forecast'!$AA$4:$AA$270)</f>
        <v/>
      </c>
      <c r="J30" s="534">
        <f>SUMIF('15_5Day_Forecast'!$W$4:$W$270,[1]Plan!E30,'15_5Day_Forecast'!$AB$4:$AB$270)</f>
        <v/>
      </c>
      <c r="K30" s="534">
        <f>SUMIF('15_5Day_Forecast'!$W$4:$W$270,[1]Plan!E30,'15_5Day_Forecast'!$AC$4:$AC$270)</f>
        <v/>
      </c>
      <c r="L30" s="534">
        <f>SUMIF('15_5Day_Forecast'!$W$4:$W$270,[1]Plan!E30,'15_5Day_Forecast'!$AD$4:$AD$270)</f>
        <v/>
      </c>
      <c r="M30" s="555">
        <f>SUMIF('15_5Day_Forecast'!$W$4:$W$270,[1]Plan!E30,'15_5Day_Forecast'!$AE$4:$AE$270)</f>
        <v/>
      </c>
      <c r="O30" s="556" t="n"/>
      <c r="P30" s="557">
        <f>SUM(G30:M30)</f>
        <v/>
      </c>
      <c r="R30" s="15" t="n"/>
      <c r="S30" s="15" t="n"/>
      <c r="T30" s="15" t="n"/>
      <c r="U30" s="15" t="n"/>
      <c r="V30" s="15" t="n"/>
      <c r="W30" s="15" t="n"/>
    </row>
    <row r="31">
      <c r="B31" s="134" t="n"/>
      <c r="C31" s="137" t="n"/>
      <c r="D31" s="137" t="n"/>
      <c r="E31" s="558" t="n"/>
      <c r="F31" s="558" t="n"/>
      <c r="G31" s="559" t="n"/>
      <c r="H31" s="559" t="n"/>
      <c r="I31" s="560" t="n"/>
      <c r="J31" s="560" t="n"/>
      <c r="K31" s="560" t="n"/>
      <c r="L31" s="560" t="n"/>
      <c r="M31" s="560" t="n"/>
      <c r="R31" s="15" t="n"/>
      <c r="S31" s="15" t="n"/>
      <c r="T31" s="15" t="n"/>
      <c r="U31" s="15" t="n"/>
      <c r="V31" s="15" t="n"/>
      <c r="W31" s="15" t="n"/>
    </row>
    <row r="32" ht="58" customHeight="1">
      <c r="B32" s="145" t="n"/>
      <c r="C32" s="140" t="n"/>
      <c r="D32" s="140" t="n"/>
      <c r="E32" s="561" t="n"/>
      <c r="F32" s="562" t="n"/>
      <c r="G32" s="507" t="n"/>
      <c r="H32" s="563" t="inlineStr">
        <is>
          <t>AM Worker Full hours</t>
        </is>
      </c>
      <c r="I32" s="563" t="inlineStr">
        <is>
          <t>AM OT</t>
        </is>
      </c>
      <c r="J32" s="563" t="inlineStr">
        <is>
          <t>AM hours</t>
        </is>
      </c>
      <c r="K32" s="564" t="inlineStr">
        <is>
          <t>PM Worker Full hours</t>
        </is>
      </c>
      <c r="L32" s="564" t="inlineStr">
        <is>
          <t>PM OT</t>
        </is>
      </c>
      <c r="M32" s="565" t="inlineStr">
        <is>
          <t>PM hours</t>
        </is>
      </c>
      <c r="R32" s="15" t="n"/>
      <c r="S32" s="15" t="n"/>
      <c r="T32" s="15" t="n"/>
      <c r="U32" s="15" t="n"/>
      <c r="V32" s="394" t="inlineStr">
        <is>
          <t xml:space="preserve">Total </t>
        </is>
      </c>
      <c r="W32" s="15">
        <f>SUM(S28:W29)</f>
        <v/>
      </c>
    </row>
    <row r="33">
      <c r="E33" s="566" t="inlineStr">
        <is>
          <t>Work Hrs</t>
        </is>
      </c>
      <c r="F33" s="23">
        <f>C6</f>
        <v/>
      </c>
      <c r="G33" s="14" t="inlineStr">
        <is>
          <t>Monday</t>
        </is>
      </c>
      <c r="H33" s="14" t="n"/>
      <c r="I33" s="14" t="n"/>
      <c r="J33" s="40">
        <f>H33*$F$33+I33*$F$34</f>
        <v/>
      </c>
      <c r="K33" s="14" t="n"/>
      <c r="L33" s="14" t="n"/>
      <c r="M33" s="452">
        <f>K33*$F$33+L33*$F$34</f>
        <v/>
      </c>
      <c r="R33" s="15" t="n"/>
      <c r="S33" s="15" t="n"/>
      <c r="T33" s="15" t="n"/>
      <c r="U33" s="15" t="n"/>
      <c r="V33" s="394" t="inlineStr">
        <is>
          <t>work ahead</t>
        </is>
      </c>
      <c r="W33" s="419">
        <f>W32-P4</f>
        <v/>
      </c>
    </row>
    <row r="34">
      <c r="E34" s="567" t="inlineStr">
        <is>
          <t>OT or Early out</t>
        </is>
      </c>
      <c r="F34" s="23" t="n">
        <v>3</v>
      </c>
      <c r="G34" s="14" t="inlineStr">
        <is>
          <t>Tuesday</t>
        </is>
      </c>
      <c r="H34" s="14" t="n"/>
      <c r="I34" s="14" t="n"/>
      <c r="J34" s="40">
        <f>H34*$F$33+I34*$F$34</f>
        <v/>
      </c>
      <c r="K34" s="14" t="n"/>
      <c r="L34" s="14" t="n"/>
      <c r="M34" s="452">
        <f>K34*$F$33+L34*$F$34</f>
        <v/>
      </c>
    </row>
    <row r="35">
      <c r="E35" s="566" t="n"/>
      <c r="F35" s="23" t="n"/>
      <c r="G35" s="14" t="inlineStr">
        <is>
          <t>Wednesday</t>
        </is>
      </c>
      <c r="H35" s="14" t="n"/>
      <c r="I35" s="14" t="n"/>
      <c r="J35" s="40">
        <f>H35*$F$33+I35*$F$34</f>
        <v/>
      </c>
      <c r="K35" s="14" t="n"/>
      <c r="L35" s="14" t="n"/>
      <c r="M35" s="452">
        <f>K35*$F$33+L35*$F$34</f>
        <v/>
      </c>
    </row>
    <row r="36" ht="15.5" customHeight="1">
      <c r="E36" s="566" t="inlineStr">
        <is>
          <t>Hrs Req</t>
        </is>
      </c>
      <c r="F36" s="568">
        <f>P14</f>
        <v/>
      </c>
      <c r="G36" s="14" t="inlineStr">
        <is>
          <t>Thursday</t>
        </is>
      </c>
      <c r="H36" s="14" t="n"/>
      <c r="I36" s="14" t="n"/>
      <c r="J36" s="40">
        <f>H36*$F$33+I36*$F$34</f>
        <v/>
      </c>
      <c r="K36" s="14" t="n"/>
      <c r="L36" s="14" t="n"/>
      <c r="M36" s="452">
        <f>K36*$F$33+L36*$F$34</f>
        <v/>
      </c>
      <c r="R36" s="15" t="inlineStr">
        <is>
          <t>Plan C</t>
        </is>
      </c>
      <c r="S36" s="487" t="inlineStr">
        <is>
          <t>Monday</t>
        </is>
      </c>
      <c r="T36" s="487" t="inlineStr">
        <is>
          <t>Tuesday</t>
        </is>
      </c>
      <c r="U36" s="487" t="inlineStr">
        <is>
          <t>Wednesday</t>
        </is>
      </c>
      <c r="V36" s="487" t="inlineStr">
        <is>
          <t>Thursday</t>
        </is>
      </c>
      <c r="W36" s="487" t="inlineStr">
        <is>
          <t>Friday</t>
        </is>
      </c>
    </row>
    <row r="37">
      <c r="E37" s="569" t="inlineStr">
        <is>
          <t>Total Hrs</t>
        </is>
      </c>
      <c r="F37" s="570">
        <f>SUM(J33:J37,M33:M37)</f>
        <v/>
      </c>
      <c r="G37" s="571" t="inlineStr">
        <is>
          <t>Friday</t>
        </is>
      </c>
      <c r="H37" s="571" t="n"/>
      <c r="I37" s="571" t="n"/>
      <c r="J37" s="572">
        <f>H37*$F$33+I37*$F$34</f>
        <v/>
      </c>
      <c r="K37" s="571" t="n"/>
      <c r="L37" s="571" t="n"/>
      <c r="M37" s="502">
        <f>K37*$F$33+L37*$F$34</f>
        <v/>
      </c>
      <c r="R37" s="15" t="n"/>
      <c r="S37" s="15" t="n"/>
      <c r="T37" s="15" t="n"/>
      <c r="U37" s="15" t="n">
        <v>4000</v>
      </c>
      <c r="V37" s="15" t="n">
        <v>4500</v>
      </c>
      <c r="W37" s="15" t="n">
        <v>4500</v>
      </c>
    </row>
    <row r="38">
      <c r="L38" s="573" t="n"/>
      <c r="R38" s="15" t="n"/>
      <c r="S38" s="15" t="n"/>
      <c r="T38" s="15" t="n"/>
      <c r="U38" s="15" t="n">
        <v>4500</v>
      </c>
      <c r="V38" s="15" t="n">
        <v>4500</v>
      </c>
      <c r="W38" s="15" t="n">
        <v>4500</v>
      </c>
    </row>
    <row r="39" ht="15.5" customHeight="1">
      <c r="E39" s="574" t="inlineStr">
        <is>
          <t>Bagging</t>
        </is>
      </c>
      <c r="F39" s="397" t="n"/>
      <c r="G39" s="426" t="inlineStr">
        <is>
          <t>Monday</t>
        </is>
      </c>
      <c r="H39" s="426" t="inlineStr">
        <is>
          <t>Tuesday</t>
        </is>
      </c>
      <c r="I39" s="426" t="inlineStr">
        <is>
          <t>Wednesday</t>
        </is>
      </c>
      <c r="J39" s="426" t="inlineStr">
        <is>
          <t>Thursday</t>
        </is>
      </c>
      <c r="K39" s="426" t="inlineStr">
        <is>
          <t>Friday</t>
        </is>
      </c>
      <c r="L39" s="426" t="inlineStr">
        <is>
          <t>Saturday</t>
        </is>
      </c>
      <c r="M39" s="430" t="inlineStr">
        <is>
          <t>Sunday</t>
        </is>
      </c>
      <c r="O39" s="429" t="inlineStr">
        <is>
          <t>AVG</t>
        </is>
      </c>
      <c r="P39" s="430" t="inlineStr">
        <is>
          <t>Total</t>
        </is>
      </c>
      <c r="R39" s="15" t="n"/>
      <c r="S39" s="15" t="n"/>
      <c r="T39" s="15" t="n"/>
      <c r="U39" s="15" t="n"/>
      <c r="V39" s="15" t="n"/>
      <c r="W39" s="15" t="n"/>
    </row>
    <row r="40" ht="15.5" customHeight="1">
      <c r="E40" s="575" t="n"/>
      <c r="F40" s="576" t="n"/>
      <c r="G40" s="577">
        <f>'15_5Day_Forecast'!AI2</f>
        <v/>
      </c>
      <c r="H40" s="577">
        <f>'15_5Day_Forecast'!AJ2</f>
        <v/>
      </c>
      <c r="I40" s="577">
        <f>'15_5Day_Forecast'!AK2</f>
        <v/>
      </c>
      <c r="J40" s="577">
        <f>'15_5Day_Forecast'!AL2</f>
        <v/>
      </c>
      <c r="K40" s="577">
        <f>'15_5Day_Forecast'!AM2</f>
        <v/>
      </c>
      <c r="L40" s="577">
        <f>'15_5Day_Forecast'!AN2</f>
        <v/>
      </c>
      <c r="M40" s="577">
        <f>'15_5Day_Forecast'!AO2</f>
        <v/>
      </c>
      <c r="O40" s="477">
        <f>SUM(G40:M40)/C5</f>
        <v/>
      </c>
      <c r="P40" s="502">
        <f>SUM(G40:M40)</f>
        <v/>
      </c>
      <c r="R40" s="15" t="n"/>
      <c r="S40" s="15" t="n"/>
      <c r="T40" s="15" t="n"/>
      <c r="U40" s="15" t="n"/>
      <c r="V40" s="15" t="n"/>
      <c r="W40" s="15" t="n"/>
    </row>
    <row r="41">
      <c r="R41" s="15" t="n"/>
      <c r="S41" s="15" t="n"/>
      <c r="T41" s="15" t="n"/>
      <c r="U41" s="15" t="n"/>
      <c r="V41" s="394" t="inlineStr">
        <is>
          <t xml:space="preserve">Total </t>
        </is>
      </c>
      <c r="W41" s="15">
        <f>SUM(S37:W38)</f>
        <v/>
      </c>
    </row>
    <row r="42">
      <c r="R42" s="15" t="n"/>
      <c r="S42" s="15" t="n"/>
      <c r="T42" s="15" t="n"/>
      <c r="U42" s="15" t="n"/>
      <c r="V42" s="394" t="inlineStr">
        <is>
          <t>work ahead</t>
        </is>
      </c>
      <c r="W42" s="419">
        <f>W41-P4</f>
        <v/>
      </c>
    </row>
    <row r="44">
      <c r="R44" s="14" t="inlineStr">
        <is>
          <t xml:space="preserve">Tray </t>
        </is>
      </c>
      <c r="S44" s="15" t="n"/>
    </row>
    <row r="45">
      <c r="R45" s="14" t="n">
        <v>0</v>
      </c>
      <c r="S45" s="15">
        <f>ROUND(0,-2)</f>
        <v/>
      </c>
    </row>
    <row r="46">
      <c r="R46" s="14" t="n">
        <v>0</v>
      </c>
      <c r="S46" s="15">
        <f>ROUND(0,-2)</f>
        <v/>
      </c>
    </row>
    <row r="47">
      <c r="R47" s="14" t="n">
        <v>0</v>
      </c>
      <c r="S47" s="15">
        <f>ROUND(0,-2)</f>
        <v/>
      </c>
    </row>
    <row r="48">
      <c r="R48" s="14" t="n">
        <v>0</v>
      </c>
      <c r="S48" s="15">
        <f>ROUND(0,-2)</f>
        <v/>
      </c>
    </row>
    <row r="49">
      <c r="R49" s="14" t="n">
        <v>0</v>
      </c>
      <c r="S49" s="15">
        <f>ROUND(0,-2)</f>
        <v/>
      </c>
    </row>
    <row r="50">
      <c r="R50" s="14" t="n">
        <v>0</v>
      </c>
      <c r="S50" s="15">
        <f>ROUND(0,-2)</f>
        <v/>
      </c>
    </row>
    <row r="51">
      <c r="R51" s="14" t="n">
        <v>0</v>
      </c>
      <c r="S51" s="15">
        <f>ROUND(0,-2)</f>
        <v/>
      </c>
    </row>
    <row r="52">
      <c r="R52" s="14" t="n">
        <v>0</v>
      </c>
      <c r="S52" s="15">
        <f>ROUND(0,-2)</f>
        <v/>
      </c>
    </row>
    <row r="53">
      <c r="R53" s="14" t="n">
        <v>0</v>
      </c>
      <c r="S53" s="15">
        <f>ROUND(0,-2)</f>
        <v/>
      </c>
    </row>
    <row r="54">
      <c r="R54" s="14" t="n">
        <v>0</v>
      </c>
      <c r="S54" s="15">
        <f>ROUND(0,-2)</f>
        <v/>
      </c>
    </row>
    <row r="55">
      <c r="R55" s="14" t="n">
        <v>0</v>
      </c>
      <c r="S55" s="15">
        <f>ROUND(0,-2)</f>
        <v/>
      </c>
    </row>
    <row r="56">
      <c r="R56" s="14" t="n">
        <v>0</v>
      </c>
      <c r="S56" s="15">
        <f>ROUND(0,-2)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272"/>
  <sheetViews>
    <sheetView workbookViewId="0">
      <selection activeCell="A1" sqref="A1"/>
    </sheetView>
  </sheetViews>
  <sheetFormatPr baseColWidth="8" defaultRowHeight="14.5"/>
  <cols>
    <col width="10.453125" customWidth="1" min="1" max="1"/>
    <col width="37.54296875" customWidth="1" min="2" max="2"/>
    <col width="10.08984375" customWidth="1" min="3" max="3"/>
    <col width="9.08984375" customWidth="1" min="4" max="4"/>
    <col width="7.54296875" customWidth="1" min="5" max="5"/>
    <col width="9.453125" customWidth="1" min="12" max="12"/>
    <col width="9.08984375" customWidth="1" min="13" max="13"/>
    <col width="8.08984375" customWidth="1" min="14" max="14"/>
    <col width="1.54296875" customWidth="1" min="22" max="22"/>
    <col width="10.26953125" customWidth="1" min="23" max="23"/>
    <col width="10.08984375" customWidth="1" min="24" max="24"/>
    <col width="8.54296875" customWidth="1" min="25" max="25"/>
    <col width="8.54296875" customWidth="1" min="32" max="32"/>
    <col width="1.54296875" customWidth="1" min="33" max="33"/>
    <col width="8.7265625" customWidth="1" min="34" max="34"/>
    <col width="1.54296875" customWidth="1" min="42" max="42"/>
    <col width="8.54296875" customWidth="1" min="43" max="43"/>
  </cols>
  <sheetData>
    <row r="1">
      <c r="A1" s="14" t="inlineStr">
        <is>
          <t>WIP code</t>
        </is>
      </c>
      <c r="B1" s="14" t="inlineStr">
        <is>
          <t>Description</t>
        </is>
      </c>
      <c r="C1" s="578" t="inlineStr">
        <is>
          <t>SKU</t>
        </is>
      </c>
      <c r="D1" s="579" t="inlineStr">
        <is>
          <t>Monday</t>
        </is>
      </c>
      <c r="E1" s="579" t="inlineStr">
        <is>
          <t>Tuesday</t>
        </is>
      </c>
      <c r="F1" s="579" t="inlineStr">
        <is>
          <t>Wednesday</t>
        </is>
      </c>
      <c r="G1" s="579" t="inlineStr">
        <is>
          <t>Thursday</t>
        </is>
      </c>
      <c r="H1" s="579" t="inlineStr">
        <is>
          <t>Friday</t>
        </is>
      </c>
      <c r="I1" s="579" t="inlineStr">
        <is>
          <t>Saturday</t>
        </is>
      </c>
      <c r="J1" s="579" t="inlineStr">
        <is>
          <t>Sunday</t>
        </is>
      </c>
      <c r="K1" s="578" t="inlineStr">
        <is>
          <t>Total</t>
        </is>
      </c>
      <c r="L1" s="580" t="inlineStr">
        <is>
          <t>Speed</t>
        </is>
      </c>
      <c r="M1" s="581" t="inlineStr">
        <is>
          <t>SKU</t>
        </is>
      </c>
      <c r="N1" s="582" t="inlineStr">
        <is>
          <t>Monday</t>
        </is>
      </c>
      <c r="O1" s="582" t="inlineStr">
        <is>
          <t>Tuesday</t>
        </is>
      </c>
      <c r="P1" s="582" t="inlineStr">
        <is>
          <t>Wednesday</t>
        </is>
      </c>
      <c r="Q1" s="582" t="inlineStr">
        <is>
          <t>Thursday</t>
        </is>
      </c>
      <c r="R1" s="582" t="inlineStr">
        <is>
          <t>Friday</t>
        </is>
      </c>
      <c r="S1" s="582" t="inlineStr">
        <is>
          <t>Saturday</t>
        </is>
      </c>
      <c r="T1" s="582" t="inlineStr">
        <is>
          <t>Sunday</t>
        </is>
      </c>
      <c r="U1" s="581" t="inlineStr">
        <is>
          <t>Total</t>
        </is>
      </c>
      <c r="V1" s="50" t="n"/>
      <c r="W1" s="50" t="n"/>
      <c r="X1" s="139" t="inlineStr">
        <is>
          <t>SKU</t>
        </is>
      </c>
      <c r="Y1" s="148" t="inlineStr">
        <is>
          <t>Monday</t>
        </is>
      </c>
      <c r="Z1" s="148" t="inlineStr">
        <is>
          <t>Tuesday</t>
        </is>
      </c>
      <c r="AA1" s="148" t="inlineStr">
        <is>
          <t>Wednesday</t>
        </is>
      </c>
      <c r="AB1" s="148" t="inlineStr">
        <is>
          <t>Thursday</t>
        </is>
      </c>
      <c r="AC1" s="148" t="inlineStr">
        <is>
          <t>Friday</t>
        </is>
      </c>
      <c r="AD1" s="148" t="inlineStr">
        <is>
          <t>Saturday</t>
        </is>
      </c>
      <c r="AE1" s="148" t="inlineStr">
        <is>
          <t>Sunday</t>
        </is>
      </c>
      <c r="AF1" s="14">
        <f>SUM(AF4:AF274)</f>
        <v/>
      </c>
      <c r="AH1" s="583" t="inlineStr">
        <is>
          <t>DAY</t>
        </is>
      </c>
      <c r="AI1" s="584" t="inlineStr">
        <is>
          <t>Monday</t>
        </is>
      </c>
      <c r="AJ1" s="584" t="inlineStr">
        <is>
          <t>Tuesday</t>
        </is>
      </c>
      <c r="AK1" s="584" t="inlineStr">
        <is>
          <t>Wednesday</t>
        </is>
      </c>
      <c r="AL1" s="584" t="inlineStr">
        <is>
          <t>Thursday</t>
        </is>
      </c>
      <c r="AM1" s="584" t="inlineStr">
        <is>
          <t>Friday</t>
        </is>
      </c>
      <c r="AN1" s="584" t="inlineStr">
        <is>
          <t>Saturday</t>
        </is>
      </c>
      <c r="AO1" s="584" t="inlineStr">
        <is>
          <t>Sunday</t>
        </is>
      </c>
      <c r="AQ1" s="148" t="inlineStr">
        <is>
          <t xml:space="preserve">Order </t>
        </is>
      </c>
      <c r="AR1" s="148" t="inlineStr">
        <is>
          <t>Extra</t>
        </is>
      </c>
      <c r="AS1" s="585" t="n"/>
    </row>
    <row r="2">
      <c r="A2" s="148">
        <f>_xlfn.XLOOKUP(C4,'00_SKU_Master'!$B$2:$B$378,'00_SKU_Master'!$C$2:$C$378)</f>
        <v/>
      </c>
      <c r="B2" s="148" t="n"/>
      <c r="C2" s="148">
        <f>X4</f>
        <v/>
      </c>
      <c r="D2" s="586">
        <f>_xludf.IFNA(_xlfn.XLOOKUP(C4,'00_SKU_Master'!$B$2:$B$378,'00_SKU_Master'!$F$2:$F$378,0)*Y4,"")</f>
        <v/>
      </c>
      <c r="E2" s="586">
        <f>_xludf.IFNA(_xlfn.XLOOKUP(C4,'00_SKU_Master'!$B$2:$B$378,'00_SKU_Master'!$F$2:$F$378,0)*Z4,"")</f>
        <v/>
      </c>
      <c r="F2" s="586">
        <f>_xludf.IFNA(_xlfn.XLOOKUP(C4,'00_SKU_Master'!$B$2:$B$378,'00_SKU_Master'!$F$2:$F$378,0)*AA4,"")</f>
        <v/>
      </c>
      <c r="G2" s="586">
        <f>_xludf.IFNA(_xlfn.XLOOKUP(C4,'00_SKU_Master'!$B$2:$B$378,'00_SKU_Master'!$F$2:$F$378,0)*AB4,"")</f>
        <v/>
      </c>
      <c r="H2" s="586">
        <f>_xludf.IFNA(_xlfn.XLOOKUP(C4,'00_SKU_Master'!$B$2:$B$378,'00_SKU_Master'!$F$2:$F$378,0)*AC4,"")</f>
        <v/>
      </c>
      <c r="I2" s="586">
        <f>_xludf.IFNA(_xlfn.XLOOKUP(C4,'00_SKU_Master'!$B$2:$B$378,'00_SKU_Master'!$F$2:$F$378,0)*AD4,"")</f>
        <v/>
      </c>
      <c r="J2" s="586">
        <f>_xludf.IFNA(_xlfn.XLOOKUP(C4,'00_SKU_Master'!$B$2:$B$378,'00_SKU_Master'!$F$2:$F$378,0)*AE4,"")</f>
        <v/>
      </c>
      <c r="K2" s="587">
        <f>SUM(D4:J4)</f>
        <v/>
      </c>
      <c r="L2" s="197">
        <f>_xlfn.XLOOKUP(C4,'00_SKU_Master'!$B$2:$B$378,'00_SKU_Master'!K:K)</f>
        <v/>
      </c>
      <c r="M2" s="14">
        <f>X4</f>
        <v/>
      </c>
      <c r="N2" s="157">
        <f>_xludf.IFNA(D4/_xlfn.XLOOKUP($M4,'00_SKU_Master'!$B$2:$B$378,'00_SKU_Master'!$M$2:$M$378,0)/$M$2,"0")</f>
        <v/>
      </c>
      <c r="O2" s="157">
        <f>_xludf.IFNA(E4/_xlfn.XLOOKUP($M4,'00_SKU_Master'!$B$2:$B$378,'00_SKU_Master'!$M$2:$M$378,0)/$M$2,"0")</f>
        <v/>
      </c>
      <c r="P2" s="157">
        <f>_xludf.IFNA(F4/_xlfn.XLOOKUP($M4,'00_SKU_Master'!$B$2:$B$378,'00_SKU_Master'!$M$2:$M$378,0)/$M$2,"0")</f>
        <v/>
      </c>
      <c r="Q2" s="157">
        <f>_xludf.IFNA(G4/_xlfn.XLOOKUP($M4,'00_SKU_Master'!$B$2:$B$378,'00_SKU_Master'!$M$2:$M$378,0)/$M$2,"0")</f>
        <v/>
      </c>
      <c r="R2" s="157">
        <f>_xludf.IFNA(H4/_xlfn.XLOOKUP($M4,'00_SKU_Master'!$B$2:$B$378,'00_SKU_Master'!$M$2:$M$378,0)/$M$2,"0")</f>
        <v/>
      </c>
      <c r="S2" s="157">
        <f>_xludf.IFNA(I4/_xlfn.XLOOKUP($M4,'00_SKU_Master'!$B$2:$B$378,'00_SKU_Master'!$M$2:$M$378,0)/$M$2,"0")</f>
        <v/>
      </c>
      <c r="T2" s="157">
        <f>_xludf.IFNA(J4/_xlfn.XLOOKUP($M4,'00_SKU_Master'!$B$2:$B$378,'00_SKU_Master'!$M$2:$M$378,0)/$M$2,"0")</f>
        <v/>
      </c>
      <c r="U2" s="157">
        <f>SUM(N4:T4)</f>
        <v/>
      </c>
      <c r="V2" s="4" t="n"/>
      <c r="W2" s="4">
        <f>_xlfn.XLOOKUP(M4,'00_SKU_Master'!$B$2:$B$378,'00_SKU_Master'!D:D)</f>
        <v/>
      </c>
      <c r="X2" s="14">
        <f>'05_Daily_Orders'!B3</f>
        <v/>
      </c>
      <c r="Y2" s="588" t="n"/>
      <c r="Z2" s="589" t="n"/>
      <c r="AA2" s="589" t="n"/>
      <c r="AB2" s="589" t="n"/>
      <c r="AC2" s="589" t="n">
        <v>0</v>
      </c>
      <c r="AD2" s="589" t="n">
        <v>0</v>
      </c>
      <c r="AE2" s="589" t="n">
        <v>0</v>
      </c>
      <c r="AF2" s="587">
        <f>SUM(Y4:AE4)</f>
        <v/>
      </c>
      <c r="AH2" s="14" t="n">
        <v>2050</v>
      </c>
      <c r="AI2" s="14" t="n">
        <v>85</v>
      </c>
      <c r="AJ2" s="14" t="n">
        <v>120</v>
      </c>
      <c r="AK2" s="14" t="n">
        <v>88</v>
      </c>
      <c r="AL2" s="14" t="n">
        <v>120</v>
      </c>
      <c r="AM2" s="14" t="n">
        <v>125</v>
      </c>
      <c r="AN2" s="14" t="n">
        <v>0</v>
      </c>
      <c r="AO2" s="14" t="n">
        <v>44</v>
      </c>
      <c r="AQ2" s="23" t="n">
        <v>0</v>
      </c>
      <c r="AR2" s="23" t="n">
        <v>0</v>
      </c>
      <c r="AS2" s="23">
        <f>AR4-AQ4</f>
        <v/>
      </c>
    </row>
    <row r="3">
      <c r="A3" s="148">
        <f>_xlfn.XLOOKUP(C5,'00_SKU_Master'!$B$2:$B$378,'00_SKU_Master'!$C$2:$C$378)</f>
        <v/>
      </c>
      <c r="B3" s="148" t="n"/>
      <c r="C3" s="148">
        <f>X5</f>
        <v/>
      </c>
      <c r="D3" s="586">
        <f>_xludf.IFNA(_xlfn.XLOOKUP(C5,'00_SKU_Master'!$B$2:$B$378,'00_SKU_Master'!$F$2:$F$378,0)*Y5,"")</f>
        <v/>
      </c>
      <c r="E3" s="586">
        <f>_xludf.IFNA(_xlfn.XLOOKUP(C5,'00_SKU_Master'!$B$2:$B$378,'00_SKU_Master'!$F$2:$F$378,0)*Z5,"")</f>
        <v/>
      </c>
      <c r="F3" s="586">
        <f>_xludf.IFNA(_xlfn.XLOOKUP(C5,'00_SKU_Master'!$B$2:$B$378,'00_SKU_Master'!$F$2:$F$378,0)*AA5,"")</f>
        <v/>
      </c>
      <c r="G3" s="586">
        <f>_xludf.IFNA(_xlfn.XLOOKUP(C5,'00_SKU_Master'!$B$2:$B$378,'00_SKU_Master'!$F$2:$F$378,0)*AB5,"")</f>
        <v/>
      </c>
      <c r="H3" s="586">
        <f>_xludf.IFNA(_xlfn.XLOOKUP(C5,'00_SKU_Master'!$B$2:$B$378,'00_SKU_Master'!$F$2:$F$378,0)*AC5,"")</f>
        <v/>
      </c>
      <c r="I3" s="586">
        <f>_xludf.IFNA(_xlfn.XLOOKUP(C5,'00_SKU_Master'!$B$2:$B$378,'00_SKU_Master'!$F$2:$F$378,0)*AD5,"")</f>
        <v/>
      </c>
      <c r="J3" s="586">
        <f>_xludf.IFNA(_xlfn.XLOOKUP(C5,'00_SKU_Master'!$B$2:$B$378,'00_SKU_Master'!$F$2:$F$378,0)*AE5,"")</f>
        <v/>
      </c>
      <c r="K3" s="587">
        <f>SUM(D5:J5)</f>
        <v/>
      </c>
      <c r="L3" s="197">
        <f>_xlfn.XLOOKUP(C5,'00_SKU_Master'!$B$2:$B$378,'00_SKU_Master'!K:K)</f>
        <v/>
      </c>
      <c r="M3" s="14">
        <f>X5</f>
        <v/>
      </c>
      <c r="N3" s="157">
        <f>_xludf.IFNA(D5/_xlfn.XLOOKUP($M5,'00_SKU_Master'!$B$2:$B$378,'00_SKU_Master'!$M$2:$M$378,0)/$M$2,"0")</f>
        <v/>
      </c>
      <c r="O3" s="157">
        <f>_xludf.IFNA(E5/_xlfn.XLOOKUP($M5,'00_SKU_Master'!$B$2:$B$378,'00_SKU_Master'!$M$2:$M$378,0)/$M$2,"0")</f>
        <v/>
      </c>
      <c r="P3" s="157">
        <f>_xludf.IFNA(F5/_xlfn.XLOOKUP($M5,'00_SKU_Master'!$B$2:$B$378,'00_SKU_Master'!$M$2:$M$378,0)/$M$2,"0")</f>
        <v/>
      </c>
      <c r="Q3" s="157">
        <f>_xludf.IFNA(G5/_xlfn.XLOOKUP($M5,'00_SKU_Master'!$B$2:$B$378,'00_SKU_Master'!$M$2:$M$378,0)/$M$2,"0")</f>
        <v/>
      </c>
      <c r="R3" s="157">
        <f>_xludf.IFNA(H5/_xlfn.XLOOKUP($M5,'00_SKU_Master'!$B$2:$B$378,'00_SKU_Master'!$M$2:$M$378,0)/$M$2,"0")</f>
        <v/>
      </c>
      <c r="S3" s="157">
        <f>_xludf.IFNA(I5/_xlfn.XLOOKUP($M5,'00_SKU_Master'!$B$2:$B$378,'00_SKU_Master'!$M$2:$M$378,0)/$M$2,"0")</f>
        <v/>
      </c>
      <c r="T3" s="157">
        <f>_xludf.IFNA(J5/_xlfn.XLOOKUP($M5,'00_SKU_Master'!$B$2:$B$378,'00_SKU_Master'!$M$2:$M$378,0)/$M$2,"0")</f>
        <v/>
      </c>
      <c r="U3" s="157">
        <f>SUM(N5:T5)</f>
        <v/>
      </c>
      <c r="V3" s="4" t="n"/>
      <c r="W3" s="4">
        <f>_xlfn.XLOOKUP(M5,'00_SKU_Master'!$B$2:$B$378,'00_SKU_Master'!D:D)</f>
        <v/>
      </c>
      <c r="X3" s="14">
        <f>'05_Daily_Orders'!B4</f>
        <v/>
      </c>
      <c r="Y3" s="588" t="n"/>
      <c r="Z3" s="589" t="n"/>
      <c r="AA3" s="589" t="n"/>
      <c r="AB3" s="589" t="n"/>
      <c r="AC3" s="589" t="n">
        <v>5</v>
      </c>
      <c r="AD3" s="589" t="n">
        <v>0</v>
      </c>
      <c r="AE3" s="589" t="n">
        <v>12</v>
      </c>
      <c r="AF3" s="587">
        <f>SUM(Y5:AE5)</f>
        <v/>
      </c>
      <c r="AH3" s="14" t="n">
        <v>2051</v>
      </c>
      <c r="AI3" s="14" t="n">
        <v>175</v>
      </c>
      <c r="AJ3" s="14" t="n">
        <v>235</v>
      </c>
      <c r="AK3" s="14" t="n">
        <v>175</v>
      </c>
      <c r="AL3" s="14" t="n">
        <v>269</v>
      </c>
      <c r="AM3" s="14" t="n">
        <v>245</v>
      </c>
      <c r="AN3" s="14" t="n">
        <v>0</v>
      </c>
      <c r="AO3" s="14" t="n">
        <v>280</v>
      </c>
      <c r="AQ3" s="23" t="n">
        <v>8</v>
      </c>
      <c r="AR3" s="23" t="n">
        <v>0</v>
      </c>
      <c r="AS3" s="23">
        <f>AR5-AQ5</f>
        <v/>
      </c>
    </row>
    <row r="4">
      <c r="A4" s="148">
        <f>_xlfn.XLOOKUP(C6,'00_SKU_Master'!$B$2:$B$378,'00_SKU_Master'!$C$2:$C$378)</f>
        <v/>
      </c>
      <c r="B4" s="148" t="n"/>
      <c r="C4" s="148">
        <f>X6</f>
        <v/>
      </c>
      <c r="D4" s="586">
        <f>_xludf.IFNA(_xlfn.XLOOKUP(C6,'00_SKU_Master'!$B$2:$B$378,'00_SKU_Master'!$F$2:$F$378,0)*Y6,"")</f>
        <v/>
      </c>
      <c r="E4" s="586">
        <f>_xludf.IFNA(_xlfn.XLOOKUP(C6,'00_SKU_Master'!$B$2:$B$378,'00_SKU_Master'!$F$2:$F$378,0)*Z6,"")</f>
        <v/>
      </c>
      <c r="F4" s="586">
        <f>_xludf.IFNA(_xlfn.XLOOKUP(C6,'00_SKU_Master'!$B$2:$B$378,'00_SKU_Master'!$F$2:$F$378,0)*AA6,"")</f>
        <v/>
      </c>
      <c r="G4" s="586">
        <f>_xludf.IFNA(_xlfn.XLOOKUP(C6,'00_SKU_Master'!$B$2:$B$378,'00_SKU_Master'!$F$2:$F$378,0)*AB6,"")</f>
        <v/>
      </c>
      <c r="H4" s="586">
        <f>_xludf.IFNA(_xlfn.XLOOKUP(C6,'00_SKU_Master'!$B$2:$B$378,'00_SKU_Master'!$F$2:$F$378,0)*AC6,"")</f>
        <v/>
      </c>
      <c r="I4" s="586">
        <f>_xludf.IFNA(_xlfn.XLOOKUP(C6,'00_SKU_Master'!$B$2:$B$378,'00_SKU_Master'!$F$2:$F$378,0)*AD6,"")</f>
        <v/>
      </c>
      <c r="J4" s="586">
        <f>_xludf.IFNA(_xlfn.XLOOKUP(C6,'00_SKU_Master'!$B$2:$B$378,'00_SKU_Master'!$F$2:$F$378,0)*AE6,"")</f>
        <v/>
      </c>
      <c r="K4" s="587">
        <f>SUM(D6:J6)</f>
        <v/>
      </c>
      <c r="L4" s="197">
        <f>_xlfn.XLOOKUP(C6,'00_SKU_Master'!$B$2:$B$378,'00_SKU_Master'!K:K)</f>
        <v/>
      </c>
      <c r="M4" s="14">
        <f>X6</f>
        <v/>
      </c>
      <c r="N4" s="157">
        <f>_xludf.IFNA(D6/_xlfn.XLOOKUP($M6,'00_SKU_Master'!$B$2:$B$378,'00_SKU_Master'!$M$2:$M$378,0)/$M$2,"0")</f>
        <v/>
      </c>
      <c r="O4" s="157">
        <f>_xludf.IFNA(E6/_xlfn.XLOOKUP($M6,'00_SKU_Master'!$B$2:$B$378,'00_SKU_Master'!$M$2:$M$378,0)/$M$2,"0")</f>
        <v/>
      </c>
      <c r="P4" s="157">
        <f>_xludf.IFNA(F6/_xlfn.XLOOKUP($M6,'00_SKU_Master'!$B$2:$B$378,'00_SKU_Master'!$M$2:$M$378,0)/$M$2,"0")</f>
        <v/>
      </c>
      <c r="Q4" s="157">
        <f>_xludf.IFNA(G6/_xlfn.XLOOKUP($M6,'00_SKU_Master'!$B$2:$B$378,'00_SKU_Master'!$M$2:$M$378,0)/$M$2,"0")</f>
        <v/>
      </c>
      <c r="R4" s="157">
        <f>_xludf.IFNA(H6/_xlfn.XLOOKUP($M6,'00_SKU_Master'!$B$2:$B$378,'00_SKU_Master'!$M$2:$M$378,0)/$M$2,"0")</f>
        <v/>
      </c>
      <c r="S4" s="157">
        <f>_xludf.IFNA(I6/_xlfn.XLOOKUP($M6,'00_SKU_Master'!$B$2:$B$378,'00_SKU_Master'!$M$2:$M$378,0)/$M$2,"0")</f>
        <v/>
      </c>
      <c r="T4" s="157">
        <f>_xludf.IFNA(J6/_xlfn.XLOOKUP($M6,'00_SKU_Master'!$B$2:$B$378,'00_SKU_Master'!$M$2:$M$378,0)/$M$2,"0")</f>
        <v/>
      </c>
      <c r="U4" s="157">
        <f>SUM(N6:T6)</f>
        <v/>
      </c>
      <c r="V4" s="4" t="n"/>
      <c r="W4" s="4">
        <f>_xlfn.XLOOKUP(M6,'00_SKU_Master'!$B$2:$B$378,'00_SKU_Master'!D:D)</f>
        <v/>
      </c>
      <c r="X4" s="14">
        <f>'05_Daily_Orders'!B5</f>
        <v/>
      </c>
      <c r="Y4" s="588" t="n"/>
      <c r="Z4" s="589" t="n"/>
      <c r="AA4" s="589" t="n"/>
      <c r="AB4" s="589" t="n"/>
      <c r="AC4" s="589" t="n">
        <v>0</v>
      </c>
      <c r="AD4" s="589" t="n">
        <v>0</v>
      </c>
      <c r="AE4" s="589" t="n">
        <v>0</v>
      </c>
      <c r="AF4" s="587">
        <f>SUM(Y6:AE6)</f>
        <v/>
      </c>
      <c r="AH4" s="14" t="n">
        <v>2081</v>
      </c>
      <c r="AI4" s="14" t="n">
        <v>92</v>
      </c>
      <c r="AJ4" s="14" t="n">
        <v>105</v>
      </c>
      <c r="AK4" s="14" t="n">
        <v>95</v>
      </c>
      <c r="AL4" s="14" t="n">
        <v>122</v>
      </c>
      <c r="AM4" s="14" t="n">
        <v>130</v>
      </c>
      <c r="AN4" s="14" t="n">
        <v>0</v>
      </c>
      <c r="AO4" s="14" t="n">
        <v>145</v>
      </c>
      <c r="AQ4" s="23" t="n">
        <v>0</v>
      </c>
      <c r="AR4" s="23" t="n">
        <v>0</v>
      </c>
      <c r="AS4" s="23">
        <f>AR6-AQ6</f>
        <v/>
      </c>
    </row>
    <row r="5">
      <c r="A5" s="148">
        <f>_xlfn.XLOOKUP(C7,'00_SKU_Master'!$B$2:$B$378,'00_SKU_Master'!$C$2:$C$378)</f>
        <v/>
      </c>
      <c r="B5" s="148" t="n"/>
      <c r="C5" s="148">
        <f>X7</f>
        <v/>
      </c>
      <c r="D5" s="586">
        <f>_xludf.IFNA(_xlfn.XLOOKUP(C7,'00_SKU_Master'!$B$2:$B$378,'00_SKU_Master'!$F$2:$F$378,0)*Y7,"")</f>
        <v/>
      </c>
      <c r="E5" s="586">
        <f>_xludf.IFNA(_xlfn.XLOOKUP(C7,'00_SKU_Master'!$B$2:$B$378,'00_SKU_Master'!$F$2:$F$378,0)*Z7,"")</f>
        <v/>
      </c>
      <c r="F5" s="586">
        <f>_xludf.IFNA(_xlfn.XLOOKUP(C7,'00_SKU_Master'!$B$2:$B$378,'00_SKU_Master'!$F$2:$F$378,0)*AA7,"")</f>
        <v/>
      </c>
      <c r="G5" s="586">
        <f>_xludf.IFNA(_xlfn.XLOOKUP(C7,'00_SKU_Master'!$B$2:$B$378,'00_SKU_Master'!$F$2:$F$378,0)*AB7,"")</f>
        <v/>
      </c>
      <c r="H5" s="586">
        <f>_xludf.IFNA(_xlfn.XLOOKUP(C7,'00_SKU_Master'!$B$2:$B$378,'00_SKU_Master'!$F$2:$F$378,0)*AC7,"")</f>
        <v/>
      </c>
      <c r="I5" s="586">
        <f>_xludf.IFNA(_xlfn.XLOOKUP(C7,'00_SKU_Master'!$B$2:$B$378,'00_SKU_Master'!$F$2:$F$378,0)*AD7,"")</f>
        <v/>
      </c>
      <c r="J5" s="586">
        <f>_xludf.IFNA(_xlfn.XLOOKUP(C7,'00_SKU_Master'!$B$2:$B$378,'00_SKU_Master'!$F$2:$F$378,0)*AE7,"")</f>
        <v/>
      </c>
      <c r="K5" s="587">
        <f>SUM(D7:J7)</f>
        <v/>
      </c>
      <c r="L5" s="197">
        <f>_xlfn.XLOOKUP(C7,'00_SKU_Master'!$B$2:$B$378,'00_SKU_Master'!K:K)</f>
        <v/>
      </c>
      <c r="M5" s="14">
        <f>X7</f>
        <v/>
      </c>
      <c r="N5" s="157">
        <f>_xludf.IFNA(D7/_xlfn.XLOOKUP($M7,'00_SKU_Master'!$B$2:$B$378,'00_SKU_Master'!$M$2:$M$378,0)/$M$2,"0")</f>
        <v/>
      </c>
      <c r="O5" s="157">
        <f>_xludf.IFNA(E7/_xlfn.XLOOKUP($M7,'00_SKU_Master'!$B$2:$B$378,'00_SKU_Master'!$M$2:$M$378,0)/$M$2,"0")</f>
        <v/>
      </c>
      <c r="P5" s="157">
        <f>_xludf.IFNA(F7/_xlfn.XLOOKUP($M7,'00_SKU_Master'!$B$2:$B$378,'00_SKU_Master'!$M$2:$M$378,0)/$M$2,"0")</f>
        <v/>
      </c>
      <c r="Q5" s="157">
        <f>_xludf.IFNA(G7/_xlfn.XLOOKUP($M7,'00_SKU_Master'!$B$2:$B$378,'00_SKU_Master'!$M$2:$M$378,0)/$M$2,"0")</f>
        <v/>
      </c>
      <c r="R5" s="157">
        <f>_xludf.IFNA(H7/_xlfn.XLOOKUP($M7,'00_SKU_Master'!$B$2:$B$378,'00_SKU_Master'!$M$2:$M$378,0)/$M$2,"0")</f>
        <v/>
      </c>
      <c r="S5" s="157">
        <f>_xludf.IFNA(I7/_xlfn.XLOOKUP($M7,'00_SKU_Master'!$B$2:$B$378,'00_SKU_Master'!$M$2:$M$378,0)/$M$2,"0")</f>
        <v/>
      </c>
      <c r="T5" s="157">
        <f>_xludf.IFNA(J7/_xlfn.XLOOKUP($M7,'00_SKU_Master'!$B$2:$B$378,'00_SKU_Master'!$M$2:$M$378,0)/$M$2,"0")</f>
        <v/>
      </c>
      <c r="U5" s="157">
        <f>SUM(N7:T7)</f>
        <v/>
      </c>
      <c r="V5" s="4" t="n"/>
      <c r="W5" s="4">
        <f>_xlfn.XLOOKUP(M7,'00_SKU_Master'!$B$2:$B$378,'00_SKU_Master'!D:D)</f>
        <v/>
      </c>
      <c r="X5" s="14">
        <f>'05_Daily_Orders'!B6</f>
        <v/>
      </c>
      <c r="Y5" s="588" t="n"/>
      <c r="Z5" s="589" t="n"/>
      <c r="AA5" s="589" t="n"/>
      <c r="AB5" s="589" t="n"/>
      <c r="AC5" s="589" t="n">
        <v>53</v>
      </c>
      <c r="AD5" s="589" t="n">
        <v>0</v>
      </c>
      <c r="AE5" s="589" t="n">
        <v>44</v>
      </c>
      <c r="AF5" s="587">
        <f>SUM(Y7:AE7)</f>
        <v/>
      </c>
      <c r="AH5" s="14" t="n">
        <v>7113</v>
      </c>
      <c r="AI5" s="14" t="n">
        <v>0</v>
      </c>
      <c r="AJ5" s="14" t="n">
        <v>0</v>
      </c>
      <c r="AK5" s="14" t="n">
        <v>0</v>
      </c>
      <c r="AL5" s="14" t="n">
        <v>0</v>
      </c>
      <c r="AM5" s="14" t="n">
        <v>0</v>
      </c>
      <c r="AN5" s="14" t="n">
        <v>0</v>
      </c>
      <c r="AO5" s="14" t="n">
        <v>0</v>
      </c>
      <c r="AQ5" s="23" t="n">
        <v>0</v>
      </c>
      <c r="AR5" s="23" t="n">
        <v>10</v>
      </c>
      <c r="AS5" s="23">
        <f>AR7-AQ7</f>
        <v/>
      </c>
    </row>
    <row r="6">
      <c r="A6" s="148">
        <f>_xlfn.XLOOKUP(C8,'00_SKU_Master'!$B$2:$B$378,'00_SKU_Master'!$C$2:$C$378)</f>
        <v/>
      </c>
      <c r="B6" s="148" t="n"/>
      <c r="C6" s="148">
        <f>X8</f>
        <v/>
      </c>
      <c r="D6" s="586">
        <f>_xludf.IFNA(_xlfn.XLOOKUP(C8,'00_SKU_Master'!$B$2:$B$378,'00_SKU_Master'!$F$2:$F$378,0)*Y8,"")</f>
        <v/>
      </c>
      <c r="E6" s="586">
        <f>_xludf.IFNA(_xlfn.XLOOKUP(C8,'00_SKU_Master'!$B$2:$B$378,'00_SKU_Master'!$F$2:$F$378,0)*Z8,"")</f>
        <v/>
      </c>
      <c r="F6" s="586">
        <f>_xludf.IFNA(_xlfn.XLOOKUP(C8,'00_SKU_Master'!$B$2:$B$378,'00_SKU_Master'!$F$2:$F$378,0)*AA8,"")</f>
        <v/>
      </c>
      <c r="G6" s="586">
        <f>_xludf.IFNA(_xlfn.XLOOKUP(C8,'00_SKU_Master'!$B$2:$B$378,'00_SKU_Master'!$F$2:$F$378,0)*AB8,"")</f>
        <v/>
      </c>
      <c r="H6" s="586">
        <f>_xludf.IFNA(_xlfn.XLOOKUP(C8,'00_SKU_Master'!$B$2:$B$378,'00_SKU_Master'!$F$2:$F$378,0)*AC8,"")</f>
        <v/>
      </c>
      <c r="I6" s="586">
        <f>_xludf.IFNA(_xlfn.XLOOKUP(C8,'00_SKU_Master'!$B$2:$B$378,'00_SKU_Master'!$F$2:$F$378,0)*AD8,"")</f>
        <v/>
      </c>
      <c r="J6" s="586">
        <f>_xludf.IFNA(_xlfn.XLOOKUP(C8,'00_SKU_Master'!$B$2:$B$378,'00_SKU_Master'!$F$2:$F$378,0)*AE8,"")</f>
        <v/>
      </c>
      <c r="K6" s="587">
        <f>SUM(D8:J8)</f>
        <v/>
      </c>
      <c r="L6" s="197">
        <f>_xlfn.XLOOKUP(C8,'00_SKU_Master'!$B$2:$B$378,'00_SKU_Master'!K:K)</f>
        <v/>
      </c>
      <c r="M6" s="14">
        <f>X8</f>
        <v/>
      </c>
      <c r="N6" s="157">
        <f>_xludf.IFNA(D8/_xlfn.XLOOKUP($M8,'00_SKU_Master'!$B$2:$B$378,'00_SKU_Master'!$M$2:$M$378,0)/$M$2,"0")</f>
        <v/>
      </c>
      <c r="O6" s="157">
        <f>_xludf.IFNA(E8/_xlfn.XLOOKUP($M8,'00_SKU_Master'!$B$2:$B$378,'00_SKU_Master'!$M$2:$M$378,0)/$M$2,"0")</f>
        <v/>
      </c>
      <c r="P6" s="157">
        <f>_xludf.IFNA(F8/_xlfn.XLOOKUP($M8,'00_SKU_Master'!$B$2:$B$378,'00_SKU_Master'!$M$2:$M$378,0)/$M$2,"0")</f>
        <v/>
      </c>
      <c r="Q6" s="157">
        <f>_xludf.IFNA(G8/_xlfn.XLOOKUP($M8,'00_SKU_Master'!$B$2:$B$378,'00_SKU_Master'!$M$2:$M$378,0)/$M$2,"0")</f>
        <v/>
      </c>
      <c r="R6" s="157">
        <f>_xludf.IFNA(H8/_xlfn.XLOOKUP($M8,'00_SKU_Master'!$B$2:$B$378,'00_SKU_Master'!$M$2:$M$378,0)/$M$2,"0")</f>
        <v/>
      </c>
      <c r="S6" s="157">
        <f>_xludf.IFNA(I8/_xlfn.XLOOKUP($M8,'00_SKU_Master'!$B$2:$B$378,'00_SKU_Master'!$M$2:$M$378,0)/$M$2,"0")</f>
        <v/>
      </c>
      <c r="T6" s="157">
        <f>_xludf.IFNA(J8/_xlfn.XLOOKUP($M8,'00_SKU_Master'!$B$2:$B$378,'00_SKU_Master'!$M$2:$M$378,0)/$M$2,"0")</f>
        <v/>
      </c>
      <c r="U6" s="157">
        <f>SUM(N8:T8)</f>
        <v/>
      </c>
      <c r="V6" s="4" t="n"/>
      <c r="W6" s="4">
        <f>_xlfn.XLOOKUP(M8,'00_SKU_Master'!$B$2:$B$378,'00_SKU_Master'!D:D)</f>
        <v/>
      </c>
      <c r="X6" s="14">
        <f>'05_Daily_Orders'!B7</f>
        <v/>
      </c>
      <c r="Y6" s="588" t="n"/>
      <c r="Z6" s="589" t="n"/>
      <c r="AA6" s="589" t="n"/>
      <c r="AB6" s="589" t="n"/>
      <c r="AC6" s="589" t="n">
        <v>149</v>
      </c>
      <c r="AD6" s="589" t="n">
        <v>0</v>
      </c>
      <c r="AE6" s="589" t="n">
        <v>136</v>
      </c>
      <c r="AF6" s="587">
        <f>SUM(Y8:AE8)</f>
        <v/>
      </c>
      <c r="AH6" s="14" t="n">
        <v>200179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Q6" s="23" t="n">
        <v>0</v>
      </c>
      <c r="AR6" s="23" t="n">
        <v>39</v>
      </c>
      <c r="AS6" s="23">
        <f>AR8-AQ8</f>
        <v/>
      </c>
    </row>
    <row r="7">
      <c r="A7" s="148">
        <f>_xlfn.XLOOKUP(C9,'00_SKU_Master'!$B$2:$B$378,'00_SKU_Master'!$C$2:$C$378)</f>
        <v/>
      </c>
      <c r="B7" s="148" t="n"/>
      <c r="C7" s="148">
        <f>X9</f>
        <v/>
      </c>
      <c r="D7" s="586">
        <f>_xludf.IFNA(_xlfn.XLOOKUP(C9,'00_SKU_Master'!$B$2:$B$378,'00_SKU_Master'!$F$2:$F$378,0)*Y9,"")</f>
        <v/>
      </c>
      <c r="E7" s="586">
        <f>_xludf.IFNA(_xlfn.XLOOKUP(C9,'00_SKU_Master'!$B$2:$B$378,'00_SKU_Master'!$F$2:$F$378,0)*Z9,"")</f>
        <v/>
      </c>
      <c r="F7" s="586">
        <f>_xludf.IFNA(_xlfn.XLOOKUP(C9,'00_SKU_Master'!$B$2:$B$378,'00_SKU_Master'!$F$2:$F$378,0)*AA9,"")</f>
        <v/>
      </c>
      <c r="G7" s="586">
        <f>_xludf.IFNA(_xlfn.XLOOKUP(C9,'00_SKU_Master'!$B$2:$B$378,'00_SKU_Master'!$F$2:$F$378,0)*AB9,"")</f>
        <v/>
      </c>
      <c r="H7" s="586">
        <f>_xludf.IFNA(_xlfn.XLOOKUP(C9,'00_SKU_Master'!$B$2:$B$378,'00_SKU_Master'!$F$2:$F$378,0)*AC9,"")</f>
        <v/>
      </c>
      <c r="I7" s="586">
        <f>_xludf.IFNA(_xlfn.XLOOKUP(C9,'00_SKU_Master'!$B$2:$B$378,'00_SKU_Master'!$F$2:$F$378,0)*AD9,"")</f>
        <v/>
      </c>
      <c r="J7" s="586">
        <f>_xludf.IFNA(_xlfn.XLOOKUP(C9,'00_SKU_Master'!$B$2:$B$378,'00_SKU_Master'!$F$2:$F$378,0)*AE9,"")</f>
        <v/>
      </c>
      <c r="K7" s="587">
        <f>SUM(D9:J9)</f>
        <v/>
      </c>
      <c r="L7" s="197">
        <f>_xlfn.XLOOKUP(C9,'00_SKU_Master'!$B$2:$B$378,'00_SKU_Master'!K:K)</f>
        <v/>
      </c>
      <c r="M7" s="14">
        <f>X9</f>
        <v/>
      </c>
      <c r="N7" s="157">
        <f>_xludf.IFNA(D9/_xlfn.XLOOKUP($M9,'00_SKU_Master'!$B$2:$B$378,'00_SKU_Master'!$M$2:$M$378,0)/$M$2,"0")</f>
        <v/>
      </c>
      <c r="O7" s="157">
        <f>_xludf.IFNA(E9/_xlfn.XLOOKUP($M9,'00_SKU_Master'!$B$2:$B$378,'00_SKU_Master'!$M$2:$M$378,0)/$M$2,"0")</f>
        <v/>
      </c>
      <c r="P7" s="157">
        <f>_xludf.IFNA(F9/_xlfn.XLOOKUP($M9,'00_SKU_Master'!$B$2:$B$378,'00_SKU_Master'!$M$2:$M$378,0)/$M$2,"0")</f>
        <v/>
      </c>
      <c r="Q7" s="157">
        <f>_xludf.IFNA(G9/_xlfn.XLOOKUP($M9,'00_SKU_Master'!$B$2:$B$378,'00_SKU_Master'!$M$2:$M$378,0)/$M$2,"0")</f>
        <v/>
      </c>
      <c r="R7" s="157">
        <f>_xludf.IFNA(H9/_xlfn.XLOOKUP($M9,'00_SKU_Master'!$B$2:$B$378,'00_SKU_Master'!$M$2:$M$378,0)/$M$2,"0")</f>
        <v/>
      </c>
      <c r="S7" s="157">
        <f>_xludf.IFNA(I9/_xlfn.XLOOKUP($M9,'00_SKU_Master'!$B$2:$B$378,'00_SKU_Master'!$M$2:$M$378,0)/$M$2,"0")</f>
        <v/>
      </c>
      <c r="T7" s="157">
        <f>_xludf.IFNA(J9/_xlfn.XLOOKUP($M9,'00_SKU_Master'!$B$2:$B$378,'00_SKU_Master'!$M$2:$M$378,0)/$M$2,"0")</f>
        <v/>
      </c>
      <c r="U7" s="157">
        <f>SUM(N9:T9)</f>
        <v/>
      </c>
      <c r="V7" s="4" t="n"/>
      <c r="W7" s="4">
        <f>_xlfn.XLOOKUP(M9,'00_SKU_Master'!$B$2:$B$378,'00_SKU_Master'!D:D)</f>
        <v/>
      </c>
      <c r="X7" s="14">
        <f>'05_Daily_Orders'!B8</f>
        <v/>
      </c>
      <c r="Y7" s="588" t="n"/>
      <c r="Z7" s="589" t="n"/>
      <c r="AA7" s="589" t="n"/>
      <c r="AB7" s="589" t="n"/>
      <c r="AC7" s="589" t="n">
        <v>0</v>
      </c>
      <c r="AD7" s="589" t="n">
        <v>0</v>
      </c>
      <c r="AE7" s="589" t="n">
        <v>0</v>
      </c>
      <c r="AF7" s="587">
        <f>SUM(Y9:AE9)</f>
        <v/>
      </c>
      <c r="AH7" s="14" t="n">
        <v>200182</v>
      </c>
      <c r="AI7" s="14" t="n">
        <v>20</v>
      </c>
      <c r="AJ7" s="14" t="n">
        <v>40</v>
      </c>
      <c r="AK7" s="14" t="n">
        <v>40</v>
      </c>
      <c r="AL7" s="14" t="n">
        <v>40</v>
      </c>
      <c r="AM7" s="14" t="n">
        <v>40</v>
      </c>
      <c r="AN7" s="14" t="n">
        <v>0</v>
      </c>
      <c r="AO7" s="14" t="n">
        <v>80</v>
      </c>
      <c r="AQ7" s="23" t="n">
        <v>0</v>
      </c>
      <c r="AR7" s="23" t="n">
        <v>0</v>
      </c>
      <c r="AS7" s="23">
        <f>AR9-AQ9</f>
        <v/>
      </c>
    </row>
    <row r="8">
      <c r="A8" s="148">
        <f>_xlfn.XLOOKUP(C10,'00_SKU_Master'!$B$2:$B$378,'00_SKU_Master'!$C$2:$C$378)</f>
        <v/>
      </c>
      <c r="B8" s="148" t="n"/>
      <c r="C8" s="148">
        <f>X10</f>
        <v/>
      </c>
      <c r="D8" s="586">
        <f>_xludf.IFNA(_xlfn.XLOOKUP(C10,'00_SKU_Master'!$B$2:$B$378,'00_SKU_Master'!$F$2:$F$378,0)*Y10,"")</f>
        <v/>
      </c>
      <c r="E8" s="586">
        <f>_xludf.IFNA(_xlfn.XLOOKUP(C10,'00_SKU_Master'!$B$2:$B$378,'00_SKU_Master'!$F$2:$F$378,0)*Z10,"")</f>
        <v/>
      </c>
      <c r="F8" s="586">
        <f>_xludf.IFNA(_xlfn.XLOOKUP(C10,'00_SKU_Master'!$B$2:$B$378,'00_SKU_Master'!$F$2:$F$378,0)*AA10,"")</f>
        <v/>
      </c>
      <c r="G8" s="586">
        <f>_xludf.IFNA(_xlfn.XLOOKUP(C10,'00_SKU_Master'!$B$2:$B$378,'00_SKU_Master'!$F$2:$F$378,0)*AB10,"")</f>
        <v/>
      </c>
      <c r="H8" s="586">
        <f>_xludf.IFNA(_xlfn.XLOOKUP(C10,'00_SKU_Master'!$B$2:$B$378,'00_SKU_Master'!$F$2:$F$378,0)*AC10,"")</f>
        <v/>
      </c>
      <c r="I8" s="586">
        <f>_xludf.IFNA(_xlfn.XLOOKUP(C10,'00_SKU_Master'!$B$2:$B$378,'00_SKU_Master'!$F$2:$F$378,0)*AD10,"")</f>
        <v/>
      </c>
      <c r="J8" s="586">
        <f>_xludf.IFNA(_xlfn.XLOOKUP(C10,'00_SKU_Master'!$B$2:$B$378,'00_SKU_Master'!$F$2:$F$378,0)*AE10,"")</f>
        <v/>
      </c>
      <c r="K8" s="587">
        <f>SUM(D10:J10)</f>
        <v/>
      </c>
      <c r="L8" s="197">
        <f>_xlfn.XLOOKUP(C10,'00_SKU_Master'!$B$2:$B$378,'00_SKU_Master'!K:K)</f>
        <v/>
      </c>
      <c r="M8" s="14">
        <f>X10</f>
        <v/>
      </c>
      <c r="N8" s="157">
        <f>_xludf.IFNA(D10/_xlfn.XLOOKUP($M10,'00_SKU_Master'!$B$2:$B$378,'00_SKU_Master'!$M$2:$M$378,0)/$M$2,"0")</f>
        <v/>
      </c>
      <c r="O8" s="157">
        <f>_xludf.IFNA(E10/_xlfn.XLOOKUP($M10,'00_SKU_Master'!$B$2:$B$378,'00_SKU_Master'!$M$2:$M$378,0)/$M$2,"0")</f>
        <v/>
      </c>
      <c r="P8" s="157">
        <f>_xludf.IFNA(F10/_xlfn.XLOOKUP($M10,'00_SKU_Master'!$B$2:$B$378,'00_SKU_Master'!$M$2:$M$378,0)/$M$2,"0")</f>
        <v/>
      </c>
      <c r="Q8" s="157">
        <f>_xludf.IFNA(G10/_xlfn.XLOOKUP($M10,'00_SKU_Master'!$B$2:$B$378,'00_SKU_Master'!$M$2:$M$378,0)/$M$2,"0")</f>
        <v/>
      </c>
      <c r="R8" s="157">
        <f>_xludf.IFNA(H10/_xlfn.XLOOKUP($M10,'00_SKU_Master'!$B$2:$B$378,'00_SKU_Master'!$M$2:$M$378,0)/$M$2,"0")</f>
        <v/>
      </c>
      <c r="S8" s="157">
        <f>_xludf.IFNA(I10/_xlfn.XLOOKUP($M10,'00_SKU_Master'!$B$2:$B$378,'00_SKU_Master'!$M$2:$M$378,0)/$M$2,"0")</f>
        <v/>
      </c>
      <c r="T8" s="157">
        <f>_xludf.IFNA(J10/_xlfn.XLOOKUP($M10,'00_SKU_Master'!$B$2:$B$378,'00_SKU_Master'!$M$2:$M$378,0)/$M$2,"0")</f>
        <v/>
      </c>
      <c r="U8" s="157">
        <f>SUM(N10:T10)</f>
        <v/>
      </c>
      <c r="V8" s="4" t="n"/>
      <c r="W8" s="4">
        <f>_xlfn.XLOOKUP(M10,'00_SKU_Master'!$B$2:$B$378,'00_SKU_Master'!D:D)</f>
        <v/>
      </c>
      <c r="X8" s="14">
        <f>'05_Daily_Orders'!B9</f>
        <v/>
      </c>
      <c r="Y8" s="588" t="n"/>
      <c r="Z8" s="589" t="n"/>
      <c r="AA8" s="589" t="n"/>
      <c r="AB8" s="589" t="n"/>
      <c r="AC8" s="589" t="n">
        <v>0</v>
      </c>
      <c r="AD8" s="589" t="n">
        <v>0</v>
      </c>
      <c r="AE8" s="589" t="n">
        <v>0</v>
      </c>
      <c r="AF8" s="587">
        <f>SUM(Y10:AE10)</f>
        <v/>
      </c>
      <c r="AH8" s="14" t="n">
        <v>200183</v>
      </c>
      <c r="AI8" s="14" t="n">
        <v>22</v>
      </c>
      <c r="AJ8" s="14" t="n">
        <v>44</v>
      </c>
      <c r="AK8" s="14" t="n">
        <v>24</v>
      </c>
      <c r="AL8" s="14" t="n">
        <v>42</v>
      </c>
      <c r="AM8" s="14" t="n">
        <v>55</v>
      </c>
      <c r="AN8" s="14" t="n">
        <v>0</v>
      </c>
      <c r="AO8" s="14" t="n">
        <v>28</v>
      </c>
      <c r="AQ8" s="23" t="n">
        <v>0</v>
      </c>
      <c r="AR8" s="23" t="n">
        <v>0</v>
      </c>
      <c r="AS8" s="23">
        <f>AR10-AQ10</f>
        <v/>
      </c>
    </row>
    <row r="9">
      <c r="A9" s="148">
        <f>_xlfn.XLOOKUP(C11,'00_SKU_Master'!$B$2:$B$378,'00_SKU_Master'!$C$2:$C$378)</f>
        <v/>
      </c>
      <c r="B9" s="148" t="n"/>
      <c r="C9" s="148">
        <f>X11</f>
        <v/>
      </c>
      <c r="D9" s="586">
        <f>_xludf.IFNA(_xlfn.XLOOKUP(C11,'00_SKU_Master'!$B$2:$B$378,'00_SKU_Master'!$F$2:$F$378,0)*Y11,"")</f>
        <v/>
      </c>
      <c r="E9" s="586">
        <f>_xludf.IFNA(_xlfn.XLOOKUP(C11,'00_SKU_Master'!$B$2:$B$378,'00_SKU_Master'!$F$2:$F$378,0)*Z11,"")</f>
        <v/>
      </c>
      <c r="F9" s="586">
        <f>_xludf.IFNA(_xlfn.XLOOKUP(C11,'00_SKU_Master'!$B$2:$B$378,'00_SKU_Master'!$F$2:$F$378,0)*AA11,"")</f>
        <v/>
      </c>
      <c r="G9" s="586">
        <f>_xludf.IFNA(_xlfn.XLOOKUP(C11,'00_SKU_Master'!$B$2:$B$378,'00_SKU_Master'!$F$2:$F$378,0)*AB11,"")</f>
        <v/>
      </c>
      <c r="H9" s="586">
        <f>_xludf.IFNA(_xlfn.XLOOKUP(C11,'00_SKU_Master'!$B$2:$B$378,'00_SKU_Master'!$F$2:$F$378,0)*AC11,"")</f>
        <v/>
      </c>
      <c r="I9" s="586">
        <f>_xludf.IFNA(_xlfn.XLOOKUP(C11,'00_SKU_Master'!$B$2:$B$378,'00_SKU_Master'!$F$2:$F$378,0)*AD11,"")</f>
        <v/>
      </c>
      <c r="J9" s="586">
        <f>_xludf.IFNA(_xlfn.XLOOKUP(C11,'00_SKU_Master'!$B$2:$B$378,'00_SKU_Master'!$F$2:$F$378,0)*AE11,"")</f>
        <v/>
      </c>
      <c r="K9" s="587">
        <f>SUM(D11:J11)</f>
        <v/>
      </c>
      <c r="L9" s="197">
        <f>_xlfn.XLOOKUP(C11,'00_SKU_Master'!$B$2:$B$378,'00_SKU_Master'!K:K)</f>
        <v/>
      </c>
      <c r="M9" s="14">
        <f>X11</f>
        <v/>
      </c>
      <c r="N9" s="157">
        <f>_xludf.IFNA(D11/_xlfn.XLOOKUP($M11,'00_SKU_Master'!$B$2:$B$378,'00_SKU_Master'!$M$2:$M$378,0)/$M$2,"0")</f>
        <v/>
      </c>
      <c r="O9" s="157">
        <f>_xludf.IFNA(E11/_xlfn.XLOOKUP($M11,'00_SKU_Master'!$B$2:$B$378,'00_SKU_Master'!$M$2:$M$378,0)/$M$2,"0")</f>
        <v/>
      </c>
      <c r="P9" s="157">
        <f>_xludf.IFNA(F11/_xlfn.XLOOKUP($M11,'00_SKU_Master'!$B$2:$B$378,'00_SKU_Master'!$M$2:$M$378,0)/$M$2,"0")</f>
        <v/>
      </c>
      <c r="Q9" s="157">
        <f>_xludf.IFNA(G11/_xlfn.XLOOKUP($M11,'00_SKU_Master'!$B$2:$B$378,'00_SKU_Master'!$M$2:$M$378,0)/$M$2,"0")</f>
        <v/>
      </c>
      <c r="R9" s="157">
        <f>_xludf.IFNA(H11/_xlfn.XLOOKUP($M11,'00_SKU_Master'!$B$2:$B$378,'00_SKU_Master'!$M$2:$M$378,0)/$M$2,"0")</f>
        <v/>
      </c>
      <c r="S9" s="157">
        <f>_xludf.IFNA(I11/_xlfn.XLOOKUP($M11,'00_SKU_Master'!$B$2:$B$378,'00_SKU_Master'!$M$2:$M$378,0)/$M$2,"0")</f>
        <v/>
      </c>
      <c r="T9" s="157">
        <f>_xludf.IFNA(J11/_xlfn.XLOOKUP($M11,'00_SKU_Master'!$B$2:$B$378,'00_SKU_Master'!$M$2:$M$378,0)/$M$2,"0")</f>
        <v/>
      </c>
      <c r="U9" s="157">
        <f>SUM(N11:T11)</f>
        <v/>
      </c>
      <c r="V9" s="4" t="n"/>
      <c r="W9" s="4">
        <f>_xlfn.XLOOKUP(M11,'00_SKU_Master'!$B$2:$B$378,'00_SKU_Master'!D:D)</f>
        <v/>
      </c>
      <c r="X9" s="14">
        <f>'05_Daily_Orders'!B10</f>
        <v/>
      </c>
      <c r="Y9" s="588" t="n"/>
      <c r="Z9" s="589" t="n"/>
      <c r="AA9" s="589" t="n"/>
      <c r="AB9" s="589" t="n"/>
      <c r="AC9" s="589" t="n">
        <v>0</v>
      </c>
      <c r="AD9" s="589" t="n">
        <v>0</v>
      </c>
      <c r="AE9" s="589" t="n">
        <v>0</v>
      </c>
      <c r="AF9" s="587">
        <f>SUM(Y11:AE11)</f>
        <v/>
      </c>
      <c r="AH9" s="14" t="n">
        <v>200184</v>
      </c>
      <c r="AI9" s="14" t="n">
        <v>0</v>
      </c>
      <c r="AJ9" s="14" t="n">
        <v>40</v>
      </c>
      <c r="AK9" s="14" t="n">
        <v>0</v>
      </c>
      <c r="AL9" s="14" t="n">
        <v>40</v>
      </c>
      <c r="AM9" s="14" t="n">
        <v>40</v>
      </c>
      <c r="AN9" s="14" t="n">
        <v>0</v>
      </c>
      <c r="AO9" s="14" t="n">
        <v>60</v>
      </c>
      <c r="AQ9" s="23" t="n">
        <v>0</v>
      </c>
      <c r="AR9" s="23" t="n">
        <v>0</v>
      </c>
      <c r="AS9" s="23">
        <f>AR11-AQ11</f>
        <v/>
      </c>
    </row>
    <row r="10">
      <c r="A10" s="148">
        <f>_xlfn.XLOOKUP(C12,'00_SKU_Master'!$B$2:$B$378,'00_SKU_Master'!$C$2:$C$378)</f>
        <v/>
      </c>
      <c r="B10" s="148" t="n"/>
      <c r="C10" s="148">
        <f>X12</f>
        <v/>
      </c>
      <c r="D10" s="586">
        <f>_xludf.IFNA(_xlfn.XLOOKUP(C12,'00_SKU_Master'!$B$2:$B$378,'00_SKU_Master'!$F$2:$F$378,0)*Y12,"")</f>
        <v/>
      </c>
      <c r="E10" s="586">
        <f>_xludf.IFNA(_xlfn.XLOOKUP(C12,'00_SKU_Master'!$B$2:$B$378,'00_SKU_Master'!$F$2:$F$378,0)*Z12,"")</f>
        <v/>
      </c>
      <c r="F10" s="586">
        <f>_xludf.IFNA(_xlfn.XLOOKUP(C12,'00_SKU_Master'!$B$2:$B$378,'00_SKU_Master'!$F$2:$F$378,0)*AA12,"")</f>
        <v/>
      </c>
      <c r="G10" s="586">
        <f>_xludf.IFNA(_xlfn.XLOOKUP(C12,'00_SKU_Master'!$B$2:$B$378,'00_SKU_Master'!$F$2:$F$378,0)*AB12,"")</f>
        <v/>
      </c>
      <c r="H10" s="586">
        <f>_xludf.IFNA(_xlfn.XLOOKUP(C12,'00_SKU_Master'!$B$2:$B$378,'00_SKU_Master'!$F$2:$F$378,0)*AC12,"")</f>
        <v/>
      </c>
      <c r="I10" s="586">
        <f>_xludf.IFNA(_xlfn.XLOOKUP(C12,'00_SKU_Master'!$B$2:$B$378,'00_SKU_Master'!$F$2:$F$378,0)*AD12,"")</f>
        <v/>
      </c>
      <c r="J10" s="586">
        <f>_xludf.IFNA(_xlfn.XLOOKUP(C12,'00_SKU_Master'!$B$2:$B$378,'00_SKU_Master'!$F$2:$F$378,0)*AE12,"")</f>
        <v/>
      </c>
      <c r="K10" s="587">
        <f>SUM(D12:J12)</f>
        <v/>
      </c>
      <c r="L10" s="197">
        <f>_xlfn.XLOOKUP(C12,'00_SKU_Master'!$B$2:$B$378,'00_SKU_Master'!K:K)</f>
        <v/>
      </c>
      <c r="M10" s="14">
        <f>X12</f>
        <v/>
      </c>
      <c r="N10" s="157">
        <f>_xludf.IFNA(D12/_xlfn.XLOOKUP($M12,'00_SKU_Master'!$B$2:$B$378,'00_SKU_Master'!$M$2:$M$378,0)/$M$2,"0")</f>
        <v/>
      </c>
      <c r="O10" s="157">
        <f>_xludf.IFNA(E12/_xlfn.XLOOKUP($M12,'00_SKU_Master'!$B$2:$B$378,'00_SKU_Master'!$M$2:$M$378,0)/$M$2,"0")</f>
        <v/>
      </c>
      <c r="P10" s="157">
        <f>_xludf.IFNA(F12/_xlfn.XLOOKUP($M12,'00_SKU_Master'!$B$2:$B$378,'00_SKU_Master'!$M$2:$M$378,0)/$M$2,"0")</f>
        <v/>
      </c>
      <c r="Q10" s="157">
        <f>_xludf.IFNA(G12/_xlfn.XLOOKUP($M12,'00_SKU_Master'!$B$2:$B$378,'00_SKU_Master'!$M$2:$M$378,0)/$M$2,"0")</f>
        <v/>
      </c>
      <c r="R10" s="157">
        <f>_xludf.IFNA(H12/_xlfn.XLOOKUP($M12,'00_SKU_Master'!$B$2:$B$378,'00_SKU_Master'!$M$2:$M$378,0)/$M$2,"0")</f>
        <v/>
      </c>
      <c r="S10" s="157">
        <f>_xludf.IFNA(I12/_xlfn.XLOOKUP($M12,'00_SKU_Master'!$B$2:$B$378,'00_SKU_Master'!$M$2:$M$378,0)/$M$2,"0")</f>
        <v/>
      </c>
      <c r="T10" s="157">
        <f>_xludf.IFNA(J12/_xlfn.XLOOKUP($M12,'00_SKU_Master'!$B$2:$B$378,'00_SKU_Master'!$M$2:$M$378,0)/$M$2,"0")</f>
        <v/>
      </c>
      <c r="U10" s="157">
        <f>SUM(N12:T12)</f>
        <v/>
      </c>
      <c r="V10" s="4" t="n"/>
      <c r="W10" s="4">
        <f>_xlfn.XLOOKUP(M12,'00_SKU_Master'!$B$2:$B$378,'00_SKU_Master'!D:D)</f>
        <v/>
      </c>
      <c r="X10" s="14">
        <f>'05_Daily_Orders'!B11</f>
        <v/>
      </c>
      <c r="Y10" s="588" t="n"/>
      <c r="Z10" s="589" t="n"/>
      <c r="AA10" s="589" t="n"/>
      <c r="AB10" s="589" t="n"/>
      <c r="AC10" s="589" t="n">
        <v>12</v>
      </c>
      <c r="AD10" s="589" t="n">
        <v>0</v>
      </c>
      <c r="AE10" s="589" t="n">
        <v>25</v>
      </c>
      <c r="AF10" s="587">
        <f>SUM(Y12:AE12)</f>
        <v/>
      </c>
      <c r="AH10" s="14" t="n">
        <v>2511</v>
      </c>
      <c r="AI10" s="14" t="n">
        <v>0</v>
      </c>
      <c r="AJ10" s="14" t="n">
        <v>10</v>
      </c>
      <c r="AK10" s="14" t="n">
        <v>7</v>
      </c>
      <c r="AL10" s="14" t="n">
        <v>7</v>
      </c>
      <c r="AM10" s="14" t="n">
        <v>10</v>
      </c>
      <c r="AN10" s="14" t="n">
        <v>0</v>
      </c>
      <c r="AO10" s="14" t="n">
        <v>0</v>
      </c>
      <c r="AQ10" s="23" t="n">
        <v>0</v>
      </c>
      <c r="AR10" s="23" t="n">
        <v>20</v>
      </c>
      <c r="AS10" s="23">
        <f>AR12-AQ12</f>
        <v/>
      </c>
    </row>
    <row r="11">
      <c r="A11" s="148">
        <f>_xlfn.XLOOKUP(C13,'00_SKU_Master'!$B$2:$B$378,'00_SKU_Master'!$C$2:$C$378)</f>
        <v/>
      </c>
      <c r="B11" s="148" t="n"/>
      <c r="C11" s="148">
        <f>X13</f>
        <v/>
      </c>
      <c r="D11" s="586">
        <f>_xludf.IFNA(_xlfn.XLOOKUP(C13,'00_SKU_Master'!$B$2:$B$378,'00_SKU_Master'!$F$2:$F$378,0)*Y13,"")</f>
        <v/>
      </c>
      <c r="E11" s="586">
        <f>_xludf.IFNA(_xlfn.XLOOKUP(C13,'00_SKU_Master'!$B$2:$B$378,'00_SKU_Master'!$F$2:$F$378,0)*Z13,"")</f>
        <v/>
      </c>
      <c r="F11" s="586">
        <f>_xludf.IFNA(_xlfn.XLOOKUP(C13,'00_SKU_Master'!$B$2:$B$378,'00_SKU_Master'!$F$2:$F$378,0)*AA13,"")</f>
        <v/>
      </c>
      <c r="G11" s="586">
        <f>_xludf.IFNA(_xlfn.XLOOKUP(C13,'00_SKU_Master'!$B$2:$B$378,'00_SKU_Master'!$F$2:$F$378,0)*AB13,"")</f>
        <v/>
      </c>
      <c r="H11" s="586">
        <f>_xludf.IFNA(_xlfn.XLOOKUP(C13,'00_SKU_Master'!$B$2:$B$378,'00_SKU_Master'!$F$2:$F$378,0)*AC13,"")</f>
        <v/>
      </c>
      <c r="I11" s="586">
        <f>_xludf.IFNA(_xlfn.XLOOKUP(C13,'00_SKU_Master'!$B$2:$B$378,'00_SKU_Master'!$F$2:$F$378,0)*AD13,"")</f>
        <v/>
      </c>
      <c r="J11" s="586">
        <f>_xludf.IFNA(_xlfn.XLOOKUP(C13,'00_SKU_Master'!$B$2:$B$378,'00_SKU_Master'!$F$2:$F$378,0)*AE13,"")</f>
        <v/>
      </c>
      <c r="K11" s="587">
        <f>SUM(D13:J13)</f>
        <v/>
      </c>
      <c r="L11" s="197">
        <f>_xlfn.XLOOKUP(C13,'00_SKU_Master'!$B$2:$B$378,'00_SKU_Master'!K:K)</f>
        <v/>
      </c>
      <c r="M11" s="14">
        <f>X13</f>
        <v/>
      </c>
      <c r="N11" s="157">
        <f>_xludf.IFNA(D13/_xlfn.XLOOKUP($M13,'00_SKU_Master'!$B$2:$B$378,'00_SKU_Master'!$M$2:$M$378,0)/$M$2,"0")</f>
        <v/>
      </c>
      <c r="O11" s="157">
        <f>_xludf.IFNA(E13/_xlfn.XLOOKUP($M13,'00_SKU_Master'!$B$2:$B$378,'00_SKU_Master'!$M$2:$M$378,0)/$M$2,"0")</f>
        <v/>
      </c>
      <c r="P11" s="157">
        <f>_xludf.IFNA(F13/_xlfn.XLOOKUP($M13,'00_SKU_Master'!$B$2:$B$378,'00_SKU_Master'!$M$2:$M$378,0)/$M$2,"0")</f>
        <v/>
      </c>
      <c r="Q11" s="157">
        <f>_xludf.IFNA(G13/_xlfn.XLOOKUP($M13,'00_SKU_Master'!$B$2:$B$378,'00_SKU_Master'!$M$2:$M$378,0)/$M$2,"0")</f>
        <v/>
      </c>
      <c r="R11" s="157">
        <f>_xludf.IFNA(H13/_xlfn.XLOOKUP($M13,'00_SKU_Master'!$B$2:$B$378,'00_SKU_Master'!$M$2:$M$378,0)/$M$2,"0")</f>
        <v/>
      </c>
      <c r="S11" s="157">
        <f>_xludf.IFNA(I13/_xlfn.XLOOKUP($M13,'00_SKU_Master'!$B$2:$B$378,'00_SKU_Master'!$M$2:$M$378,0)/$M$2,"0")</f>
        <v/>
      </c>
      <c r="T11" s="157">
        <f>_xludf.IFNA(J13/_xlfn.XLOOKUP($M13,'00_SKU_Master'!$B$2:$B$378,'00_SKU_Master'!$M$2:$M$378,0)/$M$2,"0")</f>
        <v/>
      </c>
      <c r="U11" s="157">
        <f>SUM(N13:T13)</f>
        <v/>
      </c>
      <c r="V11" s="4" t="n"/>
      <c r="W11" s="4">
        <f>_xlfn.XLOOKUP(M13,'00_SKU_Master'!$B$2:$B$378,'00_SKU_Master'!D:D)</f>
        <v/>
      </c>
      <c r="X11" s="14">
        <f>'05_Daily_Orders'!B12</f>
        <v/>
      </c>
      <c r="Y11" s="588" t="n"/>
      <c r="Z11" s="589" t="n"/>
      <c r="AA11" s="589" t="n"/>
      <c r="AB11" s="589" t="n"/>
      <c r="AC11" s="589" t="n">
        <v>29</v>
      </c>
      <c r="AD11" s="589" t="n">
        <v>0</v>
      </c>
      <c r="AE11" s="589" t="n">
        <v>82</v>
      </c>
      <c r="AF11" s="587">
        <f>SUM(Y13:AE13)</f>
        <v/>
      </c>
      <c r="AH11" s="14" t="n">
        <v>1077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Q11" s="23" t="n">
        <v>61</v>
      </c>
      <c r="AR11" s="23" t="n">
        <v>0</v>
      </c>
      <c r="AS11" s="23">
        <f>AR13-AQ13</f>
        <v/>
      </c>
    </row>
    <row r="12">
      <c r="A12" s="148">
        <f>_xlfn.XLOOKUP(C14,'00_SKU_Master'!$B$2:$B$378,'00_SKU_Master'!$C$2:$C$378)</f>
        <v/>
      </c>
      <c r="B12" s="148" t="n"/>
      <c r="C12" s="148">
        <f>X14</f>
        <v/>
      </c>
      <c r="D12" s="586">
        <f>_xludf.IFNA(_xlfn.XLOOKUP(C14,'00_SKU_Master'!$B$2:$B$378,'00_SKU_Master'!$F$2:$F$378,0)*Y14,"")</f>
        <v/>
      </c>
      <c r="E12" s="586">
        <f>_xludf.IFNA(_xlfn.XLOOKUP(C14,'00_SKU_Master'!$B$2:$B$378,'00_SKU_Master'!$F$2:$F$378,0)*Z14,"")</f>
        <v/>
      </c>
      <c r="F12" s="586">
        <f>_xludf.IFNA(_xlfn.XLOOKUP(C14,'00_SKU_Master'!$B$2:$B$378,'00_SKU_Master'!$F$2:$F$378,0)*AA14,"")</f>
        <v/>
      </c>
      <c r="G12" s="586">
        <f>_xludf.IFNA(_xlfn.XLOOKUP(C14,'00_SKU_Master'!$B$2:$B$378,'00_SKU_Master'!$F$2:$F$378,0)*AB14,"")</f>
        <v/>
      </c>
      <c r="H12" s="586">
        <f>_xludf.IFNA(_xlfn.XLOOKUP(C14,'00_SKU_Master'!$B$2:$B$378,'00_SKU_Master'!$F$2:$F$378,0)*AC14,"")</f>
        <v/>
      </c>
      <c r="I12" s="586">
        <f>_xludf.IFNA(_xlfn.XLOOKUP(C14,'00_SKU_Master'!$B$2:$B$378,'00_SKU_Master'!$F$2:$F$378,0)*AD14,"")</f>
        <v/>
      </c>
      <c r="J12" s="586">
        <f>_xludf.IFNA(_xlfn.XLOOKUP(C14,'00_SKU_Master'!$B$2:$B$378,'00_SKU_Master'!$F$2:$F$378,0)*AE14,"")</f>
        <v/>
      </c>
      <c r="K12" s="587">
        <f>SUM(D14:J14)</f>
        <v/>
      </c>
      <c r="L12" s="197">
        <f>_xlfn.XLOOKUP(C14,'00_SKU_Master'!$B$2:$B$378,'00_SKU_Master'!K:K)</f>
        <v/>
      </c>
      <c r="M12" s="14">
        <f>X14</f>
        <v/>
      </c>
      <c r="N12" s="157">
        <f>_xludf.IFNA(D14/_xlfn.XLOOKUP($M14,'00_SKU_Master'!$B$2:$B$378,'00_SKU_Master'!$M$2:$M$378,0)/$M$2,"0")</f>
        <v/>
      </c>
      <c r="O12" s="157">
        <f>_xludf.IFNA(E14/_xlfn.XLOOKUP($M14,'00_SKU_Master'!$B$2:$B$378,'00_SKU_Master'!$M$2:$M$378,0)/$M$2,"0")</f>
        <v/>
      </c>
      <c r="P12" s="157">
        <f>_xludf.IFNA(F14/_xlfn.XLOOKUP($M14,'00_SKU_Master'!$B$2:$B$378,'00_SKU_Master'!$M$2:$M$378,0)/$M$2,"0")</f>
        <v/>
      </c>
      <c r="Q12" s="157">
        <f>_xludf.IFNA(G14/_xlfn.XLOOKUP($M14,'00_SKU_Master'!$B$2:$B$378,'00_SKU_Master'!$M$2:$M$378,0)/$M$2,"0")</f>
        <v/>
      </c>
      <c r="R12" s="157">
        <f>_xludf.IFNA(H14/_xlfn.XLOOKUP($M14,'00_SKU_Master'!$B$2:$B$378,'00_SKU_Master'!$M$2:$M$378,0)/$M$2,"0")</f>
        <v/>
      </c>
      <c r="S12" s="157">
        <f>_xludf.IFNA(I14/_xlfn.XLOOKUP($M14,'00_SKU_Master'!$B$2:$B$378,'00_SKU_Master'!$M$2:$M$378,0)/$M$2,"0")</f>
        <v/>
      </c>
      <c r="T12" s="157">
        <f>_xludf.IFNA(J14/_xlfn.XLOOKUP($M14,'00_SKU_Master'!$B$2:$B$378,'00_SKU_Master'!$M$2:$M$378,0)/$M$2,"0")</f>
        <v/>
      </c>
      <c r="U12" s="157">
        <f>SUM(N14:T14)</f>
        <v/>
      </c>
      <c r="V12" s="4" t="n"/>
      <c r="W12" s="4">
        <f>_xlfn.XLOOKUP(M14,'00_SKU_Master'!$B$2:$B$378,'00_SKU_Master'!D:D)</f>
        <v/>
      </c>
      <c r="X12" s="14">
        <f>'05_Daily_Orders'!B13</f>
        <v/>
      </c>
      <c r="Y12" s="588" t="n"/>
      <c r="Z12" s="589" t="n"/>
      <c r="AA12" s="589" t="n"/>
      <c r="AB12" s="589" t="n"/>
      <c r="AC12" s="589" t="n">
        <v>213</v>
      </c>
      <c r="AD12" s="589" t="n">
        <v>0</v>
      </c>
      <c r="AE12" s="589" t="n">
        <v>117</v>
      </c>
      <c r="AF12" s="587">
        <f>SUM(Y14:AE14)</f>
        <v/>
      </c>
      <c r="AH12" s="14" t="n">
        <v>1078</v>
      </c>
      <c r="AI12" s="14" t="n">
        <v>0</v>
      </c>
      <c r="AJ12" s="14" t="n">
        <v>0</v>
      </c>
      <c r="AK12" s="14" t="n">
        <v>0</v>
      </c>
      <c r="AL12" s="14" t="n">
        <v>0</v>
      </c>
      <c r="AM12" s="14" t="n">
        <v>0</v>
      </c>
      <c r="AN12" s="14" t="n">
        <v>0</v>
      </c>
      <c r="AO12" s="14" t="n">
        <v>0</v>
      </c>
      <c r="AQ12" s="23" t="n">
        <v>0</v>
      </c>
      <c r="AR12" s="23" t="n">
        <v>62</v>
      </c>
      <c r="AS12" s="23">
        <f>AR14-AQ14</f>
        <v/>
      </c>
    </row>
    <row r="13">
      <c r="A13" s="148">
        <f>_xlfn.XLOOKUP(C15,'00_SKU_Master'!$B$2:$B$378,'00_SKU_Master'!$C$2:$C$378)</f>
        <v/>
      </c>
      <c r="B13" s="148" t="n"/>
      <c r="C13" s="148">
        <f>X15</f>
        <v/>
      </c>
      <c r="D13" s="586">
        <f>_xludf.IFNA(_xlfn.XLOOKUP(C15,'00_SKU_Master'!$B$2:$B$378,'00_SKU_Master'!$F$2:$F$378,0)*Y15,"")</f>
        <v/>
      </c>
      <c r="E13" s="586">
        <f>_xludf.IFNA(_xlfn.XLOOKUP(C15,'00_SKU_Master'!$B$2:$B$378,'00_SKU_Master'!$F$2:$F$378,0)*Z15,"")</f>
        <v/>
      </c>
      <c r="F13" s="586">
        <f>_xludf.IFNA(_xlfn.XLOOKUP(C15,'00_SKU_Master'!$B$2:$B$378,'00_SKU_Master'!$F$2:$F$378,0)*AA15,"")</f>
        <v/>
      </c>
      <c r="G13" s="586">
        <f>_xludf.IFNA(_xlfn.XLOOKUP(C15,'00_SKU_Master'!$B$2:$B$378,'00_SKU_Master'!$F$2:$F$378,0)*AB15,"")</f>
        <v/>
      </c>
      <c r="H13" s="586">
        <f>_xludf.IFNA(_xlfn.XLOOKUP(C15,'00_SKU_Master'!$B$2:$B$378,'00_SKU_Master'!$F$2:$F$378,0)*AC15,"")</f>
        <v/>
      </c>
      <c r="I13" s="586">
        <f>_xludf.IFNA(_xlfn.XLOOKUP(C15,'00_SKU_Master'!$B$2:$B$378,'00_SKU_Master'!$F$2:$F$378,0)*AD15,"")</f>
        <v/>
      </c>
      <c r="J13" s="586">
        <f>_xludf.IFNA(_xlfn.XLOOKUP(C15,'00_SKU_Master'!$B$2:$B$378,'00_SKU_Master'!$F$2:$F$378,0)*AE15,"")</f>
        <v/>
      </c>
      <c r="K13" s="587">
        <f>SUM(D15:J15)</f>
        <v/>
      </c>
      <c r="L13" s="197">
        <f>_xlfn.XLOOKUP(C15,'00_SKU_Master'!$B$2:$B$378,'00_SKU_Master'!K:K)</f>
        <v/>
      </c>
      <c r="M13" s="14">
        <f>X15</f>
        <v/>
      </c>
      <c r="N13" s="157">
        <f>_xludf.IFNA(D15/_xlfn.XLOOKUP($M15,'00_SKU_Master'!$B$2:$B$378,'00_SKU_Master'!$M$2:$M$378,0)/$M$2,"0")</f>
        <v/>
      </c>
      <c r="O13" s="157">
        <f>_xludf.IFNA(E15/_xlfn.XLOOKUP($M15,'00_SKU_Master'!$B$2:$B$378,'00_SKU_Master'!$M$2:$M$378,0)/$M$2,"0")</f>
        <v/>
      </c>
      <c r="P13" s="157">
        <f>_xludf.IFNA(F15/_xlfn.XLOOKUP($M15,'00_SKU_Master'!$B$2:$B$378,'00_SKU_Master'!$M$2:$M$378,0)/$M$2,"0")</f>
        <v/>
      </c>
      <c r="Q13" s="157">
        <f>_xludf.IFNA(G15/_xlfn.XLOOKUP($M15,'00_SKU_Master'!$B$2:$B$378,'00_SKU_Master'!$M$2:$M$378,0)/$M$2,"0")</f>
        <v/>
      </c>
      <c r="R13" s="157">
        <f>_xludf.IFNA(H15/_xlfn.XLOOKUP($M15,'00_SKU_Master'!$B$2:$B$378,'00_SKU_Master'!$M$2:$M$378,0)/$M$2,"0")</f>
        <v/>
      </c>
      <c r="S13" s="157">
        <f>_xludf.IFNA(I15/_xlfn.XLOOKUP($M15,'00_SKU_Master'!$B$2:$B$378,'00_SKU_Master'!$M$2:$M$378,0)/$M$2,"0")</f>
        <v/>
      </c>
      <c r="T13" s="157">
        <f>_xludf.IFNA(J15/_xlfn.XLOOKUP($M15,'00_SKU_Master'!$B$2:$B$378,'00_SKU_Master'!$M$2:$M$378,0)/$M$2,"0")</f>
        <v/>
      </c>
      <c r="U13" s="157">
        <f>SUM(N15:T15)</f>
        <v/>
      </c>
      <c r="V13" s="4" t="n"/>
      <c r="W13" s="4">
        <f>_xlfn.XLOOKUP(M15,'00_SKU_Master'!$B$2:$B$378,'00_SKU_Master'!D:D)</f>
        <v/>
      </c>
      <c r="X13" s="14">
        <f>'05_Daily_Orders'!B14</f>
        <v/>
      </c>
      <c r="Y13" s="588" t="n"/>
      <c r="Z13" s="589" t="n"/>
      <c r="AA13" s="589" t="n"/>
      <c r="AB13" s="589" t="n"/>
      <c r="AC13" s="589" t="n">
        <v>0</v>
      </c>
      <c r="AD13" s="589" t="n">
        <v>0</v>
      </c>
      <c r="AE13" s="589" t="n">
        <v>0</v>
      </c>
      <c r="AF13" s="587">
        <f>SUM(Y15:AE15)</f>
        <v/>
      </c>
      <c r="AH13" s="14" t="n">
        <v>1080</v>
      </c>
      <c r="AI13" s="14" t="n">
        <v>0</v>
      </c>
      <c r="AJ13" s="14" t="n">
        <v>0</v>
      </c>
      <c r="AK13" s="14" t="n">
        <v>0</v>
      </c>
      <c r="AL13" s="14" t="n">
        <v>0</v>
      </c>
      <c r="AM13" s="14" t="n">
        <v>0</v>
      </c>
      <c r="AN13" s="14" t="n">
        <v>0</v>
      </c>
      <c r="AO13" s="14" t="n">
        <v>0</v>
      </c>
      <c r="AQ13" s="23" t="n">
        <v>0</v>
      </c>
      <c r="AR13" s="23" t="n">
        <v>0</v>
      </c>
      <c r="AS13" s="23">
        <f>AR15-AQ15</f>
        <v/>
      </c>
    </row>
    <row r="14">
      <c r="A14" s="148">
        <f>_xlfn.XLOOKUP(C16,'00_SKU_Master'!$B$2:$B$378,'00_SKU_Master'!$C$2:$C$378)</f>
        <v/>
      </c>
      <c r="B14" s="148" t="n"/>
      <c r="C14" s="148">
        <f>X16</f>
        <v/>
      </c>
      <c r="D14" s="586">
        <f>_xludf.IFNA(_xlfn.XLOOKUP(C16,'00_SKU_Master'!$B$2:$B$378,'00_SKU_Master'!$F$2:$F$378,0)*Y16,"")</f>
        <v/>
      </c>
      <c r="E14" s="586">
        <f>_xludf.IFNA(_xlfn.XLOOKUP(C16,'00_SKU_Master'!$B$2:$B$378,'00_SKU_Master'!$F$2:$F$378,0)*Z16,"")</f>
        <v/>
      </c>
      <c r="F14" s="586">
        <f>_xludf.IFNA(_xlfn.XLOOKUP(C16,'00_SKU_Master'!$B$2:$B$378,'00_SKU_Master'!$F$2:$F$378,0)*AA16,"")</f>
        <v/>
      </c>
      <c r="G14" s="586">
        <f>_xludf.IFNA(_xlfn.XLOOKUP(C16,'00_SKU_Master'!$B$2:$B$378,'00_SKU_Master'!$F$2:$F$378,0)*AB16,"")</f>
        <v/>
      </c>
      <c r="H14" s="586">
        <f>_xludf.IFNA(_xlfn.XLOOKUP(C16,'00_SKU_Master'!$B$2:$B$378,'00_SKU_Master'!$F$2:$F$378,0)*AC16,"")</f>
        <v/>
      </c>
      <c r="I14" s="586">
        <f>_xludf.IFNA(_xlfn.XLOOKUP(C16,'00_SKU_Master'!$B$2:$B$378,'00_SKU_Master'!$F$2:$F$378,0)*AD16,"")</f>
        <v/>
      </c>
      <c r="J14" s="586">
        <f>_xludf.IFNA(_xlfn.XLOOKUP(C16,'00_SKU_Master'!$B$2:$B$378,'00_SKU_Master'!$F$2:$F$378,0)*AE16,"")</f>
        <v/>
      </c>
      <c r="K14" s="587">
        <f>SUM(D16:J16)</f>
        <v/>
      </c>
      <c r="L14" s="197">
        <f>_xlfn.XLOOKUP(C16,'00_SKU_Master'!$B$2:$B$378,'00_SKU_Master'!K:K)</f>
        <v/>
      </c>
      <c r="M14" s="14">
        <f>X16</f>
        <v/>
      </c>
      <c r="N14" s="157">
        <f>_xludf.IFNA(D16/_xlfn.XLOOKUP($M16,'00_SKU_Master'!$B$2:$B$378,'00_SKU_Master'!$M$2:$M$378,0)/$M$2,"0")</f>
        <v/>
      </c>
      <c r="O14" s="157">
        <f>_xludf.IFNA(E16/_xlfn.XLOOKUP($M16,'00_SKU_Master'!$B$2:$B$378,'00_SKU_Master'!$M$2:$M$378,0)/$M$2,"0")</f>
        <v/>
      </c>
      <c r="P14" s="157">
        <f>_xludf.IFNA(F16/_xlfn.XLOOKUP($M16,'00_SKU_Master'!$B$2:$B$378,'00_SKU_Master'!$M$2:$M$378,0)/$M$2,"0")</f>
        <v/>
      </c>
      <c r="Q14" s="157">
        <f>_xludf.IFNA(G16/_xlfn.XLOOKUP($M16,'00_SKU_Master'!$B$2:$B$378,'00_SKU_Master'!$M$2:$M$378,0)/$M$2,"0")</f>
        <v/>
      </c>
      <c r="R14" s="157">
        <f>_xludf.IFNA(H16/_xlfn.XLOOKUP($M16,'00_SKU_Master'!$B$2:$B$378,'00_SKU_Master'!$M$2:$M$378,0)/$M$2,"0")</f>
        <v/>
      </c>
      <c r="S14" s="157">
        <f>_xludf.IFNA(I16/_xlfn.XLOOKUP($M16,'00_SKU_Master'!$B$2:$B$378,'00_SKU_Master'!$M$2:$M$378,0)/$M$2,"0")</f>
        <v/>
      </c>
      <c r="T14" s="157">
        <f>_xludf.IFNA(J16/_xlfn.XLOOKUP($M16,'00_SKU_Master'!$B$2:$B$378,'00_SKU_Master'!$M$2:$M$378,0)/$M$2,"0")</f>
        <v/>
      </c>
      <c r="U14" s="157">
        <f>SUM(N16:T16)</f>
        <v/>
      </c>
      <c r="V14" s="4" t="n"/>
      <c r="W14" s="4">
        <f>_xlfn.XLOOKUP(M16,'00_SKU_Master'!$B$2:$B$378,'00_SKU_Master'!D:D)</f>
        <v/>
      </c>
      <c r="X14" s="14">
        <f>'05_Daily_Orders'!B15</f>
        <v/>
      </c>
      <c r="Y14" s="588" t="n"/>
      <c r="Z14" s="589" t="n"/>
      <c r="AA14" s="589" t="n"/>
      <c r="AB14" s="589" t="n"/>
      <c r="AC14" s="589" t="n">
        <v>0</v>
      </c>
      <c r="AD14" s="589" t="n">
        <v>0</v>
      </c>
      <c r="AE14" s="589" t="n">
        <v>0</v>
      </c>
      <c r="AF14" s="587">
        <f>SUM(Y16:AE16)</f>
        <v/>
      </c>
      <c r="AH14" s="14" t="n">
        <v>1574</v>
      </c>
      <c r="AI14" s="14" t="n">
        <v>0</v>
      </c>
      <c r="AJ14" s="14" t="n">
        <v>0</v>
      </c>
      <c r="AK14" s="14" t="n">
        <v>0</v>
      </c>
      <c r="AL14" s="14" t="n">
        <v>0</v>
      </c>
      <c r="AM14" s="14" t="n">
        <v>0</v>
      </c>
      <c r="AN14" s="14" t="n">
        <v>0</v>
      </c>
      <c r="AO14" s="14" t="n">
        <v>0</v>
      </c>
      <c r="AQ14" s="23" t="n">
        <v>0</v>
      </c>
      <c r="AR14" s="23" t="n">
        <v>0</v>
      </c>
      <c r="AS14" s="23">
        <f>AR16-AQ16</f>
        <v/>
      </c>
    </row>
    <row r="15">
      <c r="A15" s="148">
        <f>_xlfn.XLOOKUP(C17,'00_SKU_Master'!$B$2:$B$378,'00_SKU_Master'!$C$2:$C$378)</f>
        <v/>
      </c>
      <c r="B15" s="148" t="n"/>
      <c r="C15" s="148">
        <f>X17</f>
        <v/>
      </c>
      <c r="D15" s="586">
        <f>_xludf.IFNA(_xlfn.XLOOKUP(C17,'00_SKU_Master'!$B$2:$B$378,'00_SKU_Master'!$F$2:$F$378,0)*Y17,"")</f>
        <v/>
      </c>
      <c r="E15" s="586">
        <f>_xludf.IFNA(_xlfn.XLOOKUP(C17,'00_SKU_Master'!$B$2:$B$378,'00_SKU_Master'!$F$2:$F$378,0)*Z17,"")</f>
        <v/>
      </c>
      <c r="F15" s="586">
        <f>_xludf.IFNA(_xlfn.XLOOKUP(C17,'00_SKU_Master'!$B$2:$B$378,'00_SKU_Master'!$F$2:$F$378,0)*AA17,"")</f>
        <v/>
      </c>
      <c r="G15" s="586">
        <f>_xludf.IFNA(_xlfn.XLOOKUP(C17,'00_SKU_Master'!$B$2:$B$378,'00_SKU_Master'!$F$2:$F$378,0)*AB17,"")</f>
        <v/>
      </c>
      <c r="H15" s="586">
        <f>_xludf.IFNA(_xlfn.XLOOKUP(C17,'00_SKU_Master'!$B$2:$B$378,'00_SKU_Master'!$F$2:$F$378,0)*AC17,"")</f>
        <v/>
      </c>
      <c r="I15" s="586">
        <f>_xludf.IFNA(_xlfn.XLOOKUP(C17,'00_SKU_Master'!$B$2:$B$378,'00_SKU_Master'!$F$2:$F$378,0)*AD17,"")</f>
        <v/>
      </c>
      <c r="J15" s="586">
        <f>_xludf.IFNA(_xlfn.XLOOKUP(C17,'00_SKU_Master'!$B$2:$B$378,'00_SKU_Master'!$F$2:$F$378,0)*AE17,"")</f>
        <v/>
      </c>
      <c r="K15" s="587">
        <f>SUM(D17:J17)</f>
        <v/>
      </c>
      <c r="L15" s="197">
        <f>_xlfn.XLOOKUP(C17,'00_SKU_Master'!$B$2:$B$378,'00_SKU_Master'!K:K)</f>
        <v/>
      </c>
      <c r="M15" s="14">
        <f>X17</f>
        <v/>
      </c>
      <c r="N15" s="157">
        <f>_xludf.IFNA(D17/_xlfn.XLOOKUP($M17,'00_SKU_Master'!$B$2:$B$378,'00_SKU_Master'!$M$2:$M$378,0)/$M$2,"0")</f>
        <v/>
      </c>
      <c r="O15" s="157">
        <f>_xludf.IFNA(E17/_xlfn.XLOOKUP($M17,'00_SKU_Master'!$B$2:$B$378,'00_SKU_Master'!$M$2:$M$378,0)/$M$2,"0")</f>
        <v/>
      </c>
      <c r="P15" s="157">
        <f>_xludf.IFNA(F17/_xlfn.XLOOKUP($M17,'00_SKU_Master'!$B$2:$B$378,'00_SKU_Master'!$M$2:$M$378,0)/$M$2,"0")</f>
        <v/>
      </c>
      <c r="Q15" s="157">
        <f>_xludf.IFNA(G17/_xlfn.XLOOKUP($M17,'00_SKU_Master'!$B$2:$B$378,'00_SKU_Master'!$M$2:$M$378,0)/$M$2,"0")</f>
        <v/>
      </c>
      <c r="R15" s="157">
        <f>_xludf.IFNA(H17/_xlfn.XLOOKUP($M17,'00_SKU_Master'!$B$2:$B$378,'00_SKU_Master'!$M$2:$M$378,0)/$M$2,"0")</f>
        <v/>
      </c>
      <c r="S15" s="157">
        <f>_xludf.IFNA(I17/_xlfn.XLOOKUP($M17,'00_SKU_Master'!$B$2:$B$378,'00_SKU_Master'!$M$2:$M$378,0)/$M$2,"0")</f>
        <v/>
      </c>
      <c r="T15" s="157">
        <f>_xludf.IFNA(J17/_xlfn.XLOOKUP($M17,'00_SKU_Master'!$B$2:$B$378,'00_SKU_Master'!$M$2:$M$378,0)/$M$2,"0")</f>
        <v/>
      </c>
      <c r="U15" s="157">
        <f>SUM(N17:T17)</f>
        <v/>
      </c>
      <c r="V15" s="4" t="n"/>
      <c r="W15" s="4">
        <f>_xlfn.XLOOKUP(M17,'00_SKU_Master'!$B$2:$B$378,'00_SKU_Master'!D:D)</f>
        <v/>
      </c>
      <c r="X15" s="14">
        <f>'05_Daily_Orders'!B16</f>
        <v/>
      </c>
      <c r="Y15" s="588" t="n"/>
      <c r="Z15" s="589" t="n"/>
      <c r="AA15" s="589" t="n"/>
      <c r="AB15" s="589" t="n"/>
      <c r="AC15" s="589" t="n">
        <v>0</v>
      </c>
      <c r="AD15" s="589" t="n">
        <v>0</v>
      </c>
      <c r="AE15" s="589" t="n">
        <v>0</v>
      </c>
      <c r="AF15" s="587">
        <f>SUM(Y17:AE17)</f>
        <v/>
      </c>
      <c r="AH15" s="14" t="n">
        <v>2112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Q15" s="23" t="n">
        <v>0</v>
      </c>
      <c r="AR15" s="23" t="n">
        <v>0</v>
      </c>
      <c r="AS15" s="23">
        <f>AR17-AQ17</f>
        <v/>
      </c>
    </row>
    <row r="16">
      <c r="A16" s="148">
        <f>_xlfn.XLOOKUP(C18,'00_SKU_Master'!$B$2:$B$378,'00_SKU_Master'!$C$2:$C$378)</f>
        <v/>
      </c>
      <c r="B16" s="148" t="n"/>
      <c r="C16" s="148">
        <f>X18</f>
        <v/>
      </c>
      <c r="D16" s="586">
        <f>_xludf.IFNA(_xlfn.XLOOKUP(C18,'00_SKU_Master'!$B$2:$B$378,'00_SKU_Master'!$F$2:$F$378,0)*Y18,"")</f>
        <v/>
      </c>
      <c r="E16" s="586">
        <f>_xludf.IFNA(_xlfn.XLOOKUP(C18,'00_SKU_Master'!$B$2:$B$378,'00_SKU_Master'!$F$2:$F$378,0)*Z18,"")</f>
        <v/>
      </c>
      <c r="F16" s="586">
        <f>_xludf.IFNA(_xlfn.XLOOKUP(C18,'00_SKU_Master'!$B$2:$B$378,'00_SKU_Master'!$F$2:$F$378,0)*AA18,"")</f>
        <v/>
      </c>
      <c r="G16" s="586">
        <f>_xludf.IFNA(_xlfn.XLOOKUP(C18,'00_SKU_Master'!$B$2:$B$378,'00_SKU_Master'!$F$2:$F$378,0)*AB18,"")</f>
        <v/>
      </c>
      <c r="H16" s="586">
        <f>_xludf.IFNA(_xlfn.XLOOKUP(C18,'00_SKU_Master'!$B$2:$B$378,'00_SKU_Master'!$F$2:$F$378,0)*AC18,"")</f>
        <v/>
      </c>
      <c r="I16" s="586">
        <f>_xludf.IFNA(_xlfn.XLOOKUP(C18,'00_SKU_Master'!$B$2:$B$378,'00_SKU_Master'!$F$2:$F$378,0)*AD18,"")</f>
        <v/>
      </c>
      <c r="J16" s="586">
        <f>_xludf.IFNA(_xlfn.XLOOKUP(C18,'00_SKU_Master'!$B$2:$B$378,'00_SKU_Master'!$F$2:$F$378,0)*AE18,"")</f>
        <v/>
      </c>
      <c r="K16" s="587">
        <f>SUM(D18:J18)</f>
        <v/>
      </c>
      <c r="L16" s="197">
        <f>_xlfn.XLOOKUP(C18,'00_SKU_Master'!$B$2:$B$378,'00_SKU_Master'!K:K)</f>
        <v/>
      </c>
      <c r="M16" s="14">
        <f>X18</f>
        <v/>
      </c>
      <c r="N16" s="157">
        <f>_xludf.IFNA(D18/_xlfn.XLOOKUP($M18,'00_SKU_Master'!$B$2:$B$378,'00_SKU_Master'!$M$2:$M$378,0)/$M$2,"0")</f>
        <v/>
      </c>
      <c r="O16" s="157">
        <f>_xludf.IFNA(E18/_xlfn.XLOOKUP($M18,'00_SKU_Master'!$B$2:$B$378,'00_SKU_Master'!$M$2:$M$378,0)/$M$2,"0")</f>
        <v/>
      </c>
      <c r="P16" s="157">
        <f>_xludf.IFNA(F18/_xlfn.XLOOKUP($M18,'00_SKU_Master'!$B$2:$B$378,'00_SKU_Master'!$M$2:$M$378,0)/$M$2,"0")</f>
        <v/>
      </c>
      <c r="Q16" s="157">
        <f>_xludf.IFNA(G18/_xlfn.XLOOKUP($M18,'00_SKU_Master'!$B$2:$B$378,'00_SKU_Master'!$M$2:$M$378,0)/$M$2,"0")</f>
        <v/>
      </c>
      <c r="R16" s="157">
        <f>_xludf.IFNA(H18/_xlfn.XLOOKUP($M18,'00_SKU_Master'!$B$2:$B$378,'00_SKU_Master'!$M$2:$M$378,0)/$M$2,"0")</f>
        <v/>
      </c>
      <c r="S16" s="157">
        <f>_xludf.IFNA(I18/_xlfn.XLOOKUP($M18,'00_SKU_Master'!$B$2:$B$378,'00_SKU_Master'!$M$2:$M$378,0)/$M$2,"0")</f>
        <v/>
      </c>
      <c r="T16" s="157">
        <f>_xludf.IFNA(J18/_xlfn.XLOOKUP($M18,'00_SKU_Master'!$B$2:$B$378,'00_SKU_Master'!$M$2:$M$378,0)/$M$2,"0")</f>
        <v/>
      </c>
      <c r="U16" s="157">
        <f>SUM(N18:T18)</f>
        <v/>
      </c>
      <c r="V16" s="4" t="n"/>
      <c r="W16" s="4">
        <f>_xlfn.XLOOKUP(M18,'00_SKU_Master'!$B$2:$B$378,'00_SKU_Master'!D:D)</f>
        <v/>
      </c>
      <c r="X16" s="14">
        <f>'05_Daily_Orders'!B17</f>
        <v/>
      </c>
      <c r="Y16" s="588" t="n"/>
      <c r="Z16" s="589" t="n"/>
      <c r="AA16" s="589" t="n"/>
      <c r="AB16" s="589" t="n"/>
      <c r="AC16" s="589" t="n">
        <v>0</v>
      </c>
      <c r="AD16" s="589" t="n">
        <v>0</v>
      </c>
      <c r="AE16" s="589" t="n">
        <v>0</v>
      </c>
      <c r="AF16" s="587">
        <f>SUM(Y18:AE18)</f>
        <v/>
      </c>
      <c r="AH16" s="14" t="n">
        <v>2513</v>
      </c>
      <c r="AI16" s="14" t="n">
        <v>0</v>
      </c>
      <c r="AJ16" s="14" t="n">
        <v>100</v>
      </c>
      <c r="AK16" s="14" t="n">
        <v>0</v>
      </c>
      <c r="AL16" s="14" t="n">
        <v>0</v>
      </c>
      <c r="AM16" s="14" t="n">
        <v>80</v>
      </c>
      <c r="AN16" s="14" t="n">
        <v>0</v>
      </c>
      <c r="AO16" s="14" t="n">
        <v>0</v>
      </c>
      <c r="AQ16" s="23" t="n">
        <v>0</v>
      </c>
      <c r="AR16" s="23" t="n">
        <v>0</v>
      </c>
      <c r="AS16" s="23">
        <f>AR18-AQ18</f>
        <v/>
      </c>
    </row>
    <row r="17">
      <c r="A17" s="148">
        <f>_xlfn.XLOOKUP(C19,'00_SKU_Master'!$B$2:$B$378,'00_SKU_Master'!$C$2:$C$378)</f>
        <v/>
      </c>
      <c r="B17" s="148" t="n"/>
      <c r="C17" s="148">
        <f>X19</f>
        <v/>
      </c>
      <c r="D17" s="586">
        <f>_xludf.IFNA(_xlfn.XLOOKUP(C19,'00_SKU_Master'!$B$2:$B$378,'00_SKU_Master'!$F$2:$F$378,0)*Y19,"")</f>
        <v/>
      </c>
      <c r="E17" s="586">
        <f>_xludf.IFNA(_xlfn.XLOOKUP(C19,'00_SKU_Master'!$B$2:$B$378,'00_SKU_Master'!$F$2:$F$378,0)*Z19,"")</f>
        <v/>
      </c>
      <c r="F17" s="586">
        <f>_xludf.IFNA(_xlfn.XLOOKUP(C19,'00_SKU_Master'!$B$2:$B$378,'00_SKU_Master'!$F$2:$F$378,0)*AA19,"")</f>
        <v/>
      </c>
      <c r="G17" s="586">
        <f>_xludf.IFNA(_xlfn.XLOOKUP(C19,'00_SKU_Master'!$B$2:$B$378,'00_SKU_Master'!$F$2:$F$378,0)*AB19,"")</f>
        <v/>
      </c>
      <c r="H17" s="586">
        <f>_xludf.IFNA(_xlfn.XLOOKUP(C19,'00_SKU_Master'!$B$2:$B$378,'00_SKU_Master'!$F$2:$F$378,0)*AC19,"")</f>
        <v/>
      </c>
      <c r="I17" s="586">
        <f>_xludf.IFNA(_xlfn.XLOOKUP(C19,'00_SKU_Master'!$B$2:$B$378,'00_SKU_Master'!$F$2:$F$378,0)*AD19,"")</f>
        <v/>
      </c>
      <c r="J17" s="586">
        <f>_xludf.IFNA(_xlfn.XLOOKUP(C19,'00_SKU_Master'!$B$2:$B$378,'00_SKU_Master'!$F$2:$F$378,0)*AE19,"")</f>
        <v/>
      </c>
      <c r="K17" s="587">
        <f>SUM(D19:J19)</f>
        <v/>
      </c>
      <c r="L17" s="197">
        <f>_xlfn.XLOOKUP(C19,'00_SKU_Master'!$B$2:$B$378,'00_SKU_Master'!K:K)</f>
        <v/>
      </c>
      <c r="M17" s="14">
        <f>X19</f>
        <v/>
      </c>
      <c r="N17" s="157">
        <f>_xludf.IFNA(D19/_xlfn.XLOOKUP($M19,'00_SKU_Master'!$B$2:$B$378,'00_SKU_Master'!$M$2:$M$378,0)/$M$2,"0")</f>
        <v/>
      </c>
      <c r="O17" s="157">
        <f>_xludf.IFNA(E19/_xlfn.XLOOKUP($M19,'00_SKU_Master'!$B$2:$B$378,'00_SKU_Master'!$M$2:$M$378,0)/$M$2,"0")</f>
        <v/>
      </c>
      <c r="P17" s="157">
        <f>_xludf.IFNA(F19/_xlfn.XLOOKUP($M19,'00_SKU_Master'!$B$2:$B$378,'00_SKU_Master'!$M$2:$M$378,0)/$M$2,"0")</f>
        <v/>
      </c>
      <c r="Q17" s="157">
        <f>_xludf.IFNA(G19/_xlfn.XLOOKUP($M19,'00_SKU_Master'!$B$2:$B$378,'00_SKU_Master'!$M$2:$M$378,0)/$M$2,"0")</f>
        <v/>
      </c>
      <c r="R17" s="157">
        <f>_xludf.IFNA(H19/_xlfn.XLOOKUP($M19,'00_SKU_Master'!$B$2:$B$378,'00_SKU_Master'!$M$2:$M$378,0)/$M$2,"0")</f>
        <v/>
      </c>
      <c r="S17" s="157">
        <f>_xludf.IFNA(I19/_xlfn.XLOOKUP($M19,'00_SKU_Master'!$B$2:$B$378,'00_SKU_Master'!$M$2:$M$378,0)/$M$2,"0")</f>
        <v/>
      </c>
      <c r="T17" s="157">
        <f>_xludf.IFNA(J19/_xlfn.XLOOKUP($M19,'00_SKU_Master'!$B$2:$B$378,'00_SKU_Master'!$M$2:$M$378,0)/$M$2,"0")</f>
        <v/>
      </c>
      <c r="U17" s="157">
        <f>SUM(N19:T19)</f>
        <v/>
      </c>
      <c r="V17" s="4" t="n"/>
      <c r="W17" s="4">
        <f>_xlfn.XLOOKUP(M19,'00_SKU_Master'!$B$2:$B$378,'00_SKU_Master'!D:D)</f>
        <v/>
      </c>
      <c r="X17" s="14">
        <f>'05_Daily_Orders'!B18</f>
        <v/>
      </c>
      <c r="Y17" s="588" t="n"/>
      <c r="Z17" s="589" t="n"/>
      <c r="AA17" s="589" t="n"/>
      <c r="AB17" s="589" t="n"/>
      <c r="AC17" s="589" t="n">
        <v>0</v>
      </c>
      <c r="AD17" s="589" t="n">
        <v>0</v>
      </c>
      <c r="AE17" s="589" t="n">
        <v>0</v>
      </c>
      <c r="AF17" s="587">
        <f>SUM(Y19:AE19)</f>
        <v/>
      </c>
      <c r="AH17" s="14" t="n">
        <v>7011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Q17" s="23" t="n">
        <v>0</v>
      </c>
      <c r="AR17" s="23" t="n">
        <v>0</v>
      </c>
      <c r="AS17" s="23">
        <f>AR19-AQ19</f>
        <v/>
      </c>
    </row>
    <row r="18">
      <c r="A18" s="148">
        <f>_xlfn.XLOOKUP(C20,'00_SKU_Master'!$B$2:$B$378,'00_SKU_Master'!$C$2:$C$378)</f>
        <v/>
      </c>
      <c r="B18" s="148" t="n"/>
      <c r="C18" s="148">
        <f>X20</f>
        <v/>
      </c>
      <c r="D18" s="586">
        <f>_xludf.IFNA(_xlfn.XLOOKUP(C20,'00_SKU_Master'!$B$2:$B$378,'00_SKU_Master'!$F$2:$F$378,0)*Y20,"")</f>
        <v/>
      </c>
      <c r="E18" s="586">
        <f>_xludf.IFNA(_xlfn.XLOOKUP(C20,'00_SKU_Master'!$B$2:$B$378,'00_SKU_Master'!$F$2:$F$378,0)*Z20,"")</f>
        <v/>
      </c>
      <c r="F18" s="586">
        <f>_xludf.IFNA(_xlfn.XLOOKUP(C20,'00_SKU_Master'!$B$2:$B$378,'00_SKU_Master'!$F$2:$F$378,0)*AA20,"")</f>
        <v/>
      </c>
      <c r="G18" s="586">
        <f>_xludf.IFNA(_xlfn.XLOOKUP(C20,'00_SKU_Master'!$B$2:$B$378,'00_SKU_Master'!$F$2:$F$378,0)*AB20,"")</f>
        <v/>
      </c>
      <c r="H18" s="586">
        <f>_xludf.IFNA(_xlfn.XLOOKUP(C20,'00_SKU_Master'!$B$2:$B$378,'00_SKU_Master'!$F$2:$F$378,0)*AC20,"")</f>
        <v/>
      </c>
      <c r="I18" s="586">
        <f>_xludf.IFNA(_xlfn.XLOOKUP(C20,'00_SKU_Master'!$B$2:$B$378,'00_SKU_Master'!$F$2:$F$378,0)*AD20,"")</f>
        <v/>
      </c>
      <c r="J18" s="586">
        <f>_xludf.IFNA(_xlfn.XLOOKUP(C20,'00_SKU_Master'!$B$2:$B$378,'00_SKU_Master'!$F$2:$F$378,0)*AE20,"")</f>
        <v/>
      </c>
      <c r="K18" s="587">
        <f>SUM(D20:J20)</f>
        <v/>
      </c>
      <c r="L18" s="197">
        <f>_xlfn.XLOOKUP(C20,'00_SKU_Master'!$B$2:$B$378,'00_SKU_Master'!K:K)</f>
        <v/>
      </c>
      <c r="M18" s="14">
        <f>X20</f>
        <v/>
      </c>
      <c r="N18" s="157">
        <f>_xludf.IFNA(D20/_xlfn.XLOOKUP($M20,'00_SKU_Master'!$B$2:$B$378,'00_SKU_Master'!$M$2:$M$378,0)/$M$2,"0")</f>
        <v/>
      </c>
      <c r="O18" s="157">
        <f>_xludf.IFNA(E20/_xlfn.XLOOKUP($M20,'00_SKU_Master'!$B$2:$B$378,'00_SKU_Master'!$M$2:$M$378,0)/$M$2,"0")</f>
        <v/>
      </c>
      <c r="P18" s="157">
        <f>_xludf.IFNA(F20/_xlfn.XLOOKUP($M20,'00_SKU_Master'!$B$2:$B$378,'00_SKU_Master'!$M$2:$M$378,0)/$M$2,"0")</f>
        <v/>
      </c>
      <c r="Q18" s="157">
        <f>_xludf.IFNA(G20/_xlfn.XLOOKUP($M20,'00_SKU_Master'!$B$2:$B$378,'00_SKU_Master'!$M$2:$M$378,0)/$M$2,"0")</f>
        <v/>
      </c>
      <c r="R18" s="157">
        <f>_xludf.IFNA(H20/_xlfn.XLOOKUP($M20,'00_SKU_Master'!$B$2:$B$378,'00_SKU_Master'!$M$2:$M$378,0)/$M$2,"0")</f>
        <v/>
      </c>
      <c r="S18" s="157">
        <f>_xludf.IFNA(I20/_xlfn.XLOOKUP($M20,'00_SKU_Master'!$B$2:$B$378,'00_SKU_Master'!$M$2:$M$378,0)/$M$2,"0")</f>
        <v/>
      </c>
      <c r="T18" s="157">
        <f>_xludf.IFNA(J20/_xlfn.XLOOKUP($M20,'00_SKU_Master'!$B$2:$B$378,'00_SKU_Master'!$M$2:$M$378,0)/$M$2,"0")</f>
        <v/>
      </c>
      <c r="U18" s="157">
        <f>SUM(N20:T20)</f>
        <v/>
      </c>
      <c r="V18" s="4" t="n"/>
      <c r="W18" s="4">
        <f>_xlfn.XLOOKUP(M20,'00_SKU_Master'!$B$2:$B$378,'00_SKU_Master'!D:D)</f>
        <v/>
      </c>
      <c r="X18" s="14">
        <f>'05_Daily_Orders'!B19</f>
        <v/>
      </c>
      <c r="Y18" s="588" t="n"/>
      <c r="Z18" s="589" t="n"/>
      <c r="AA18" s="589" t="n"/>
      <c r="AB18" s="589" t="n"/>
      <c r="AC18" s="589" t="n">
        <v>0</v>
      </c>
      <c r="AD18" s="589" t="n">
        <v>0</v>
      </c>
      <c r="AE18" s="589" t="n">
        <v>0</v>
      </c>
      <c r="AF18" s="587">
        <f>SUM(Y20:AE20)</f>
        <v/>
      </c>
      <c r="AH18" s="14" t="n">
        <v>7170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Q18" s="23" t="n">
        <v>0</v>
      </c>
      <c r="AR18" s="23" t="n">
        <v>0</v>
      </c>
      <c r="AS18" s="23">
        <f>AR20-AQ20</f>
        <v/>
      </c>
    </row>
    <row r="19">
      <c r="A19" s="148">
        <f>_xlfn.XLOOKUP(C21,'00_SKU_Master'!$B$2:$B$378,'00_SKU_Master'!$C$2:$C$378)</f>
        <v/>
      </c>
      <c r="B19" s="148" t="n"/>
      <c r="C19" s="148">
        <f>X21</f>
        <v/>
      </c>
      <c r="D19" s="586">
        <f>_xludf.IFNA(_xlfn.XLOOKUP(C21,'00_SKU_Master'!$B$2:$B$378,'00_SKU_Master'!$F$2:$F$378,0)*Y21,"")</f>
        <v/>
      </c>
      <c r="E19" s="586">
        <f>_xludf.IFNA(_xlfn.XLOOKUP(C21,'00_SKU_Master'!$B$2:$B$378,'00_SKU_Master'!$F$2:$F$378,0)*Z21,"")</f>
        <v/>
      </c>
      <c r="F19" s="586">
        <f>_xludf.IFNA(_xlfn.XLOOKUP(C21,'00_SKU_Master'!$B$2:$B$378,'00_SKU_Master'!$F$2:$F$378,0)*AA21,"")</f>
        <v/>
      </c>
      <c r="G19" s="586">
        <f>_xludf.IFNA(_xlfn.XLOOKUP(C21,'00_SKU_Master'!$B$2:$B$378,'00_SKU_Master'!$F$2:$F$378,0)*AB21,"")</f>
        <v/>
      </c>
      <c r="H19" s="586">
        <f>_xludf.IFNA(_xlfn.XLOOKUP(C21,'00_SKU_Master'!$B$2:$B$378,'00_SKU_Master'!$F$2:$F$378,0)*AC21,"")</f>
        <v/>
      </c>
      <c r="I19" s="586">
        <f>_xludf.IFNA(_xlfn.XLOOKUP(C21,'00_SKU_Master'!$B$2:$B$378,'00_SKU_Master'!$F$2:$F$378,0)*AD21,"")</f>
        <v/>
      </c>
      <c r="J19" s="586">
        <f>_xludf.IFNA(_xlfn.XLOOKUP(C21,'00_SKU_Master'!$B$2:$B$378,'00_SKU_Master'!$F$2:$F$378,0)*AE21,"")</f>
        <v/>
      </c>
      <c r="K19" s="587">
        <f>SUM(D21:J21)</f>
        <v/>
      </c>
      <c r="L19" s="197">
        <f>_xlfn.XLOOKUP(C21,'00_SKU_Master'!$B$2:$B$378,'00_SKU_Master'!K:K)</f>
        <v/>
      </c>
      <c r="M19" s="14">
        <f>X21</f>
        <v/>
      </c>
      <c r="N19" s="157">
        <f>_xludf.IFNA(D21/_xlfn.XLOOKUP($M21,'00_SKU_Master'!$B$2:$B$378,'00_SKU_Master'!$M$2:$M$378,0)/$M$2,"0")</f>
        <v/>
      </c>
      <c r="O19" s="157">
        <f>_xludf.IFNA(E21/_xlfn.XLOOKUP($M21,'00_SKU_Master'!$B$2:$B$378,'00_SKU_Master'!$M$2:$M$378,0)/$M$2,"0")</f>
        <v/>
      </c>
      <c r="P19" s="157">
        <f>_xludf.IFNA(F21/_xlfn.XLOOKUP($M21,'00_SKU_Master'!$B$2:$B$378,'00_SKU_Master'!$M$2:$M$378,0)/$M$2,"0")</f>
        <v/>
      </c>
      <c r="Q19" s="157">
        <f>_xludf.IFNA(G21/_xlfn.XLOOKUP($M21,'00_SKU_Master'!$B$2:$B$378,'00_SKU_Master'!$M$2:$M$378,0)/$M$2,"0")</f>
        <v/>
      </c>
      <c r="R19" s="157">
        <f>_xludf.IFNA(H21/_xlfn.XLOOKUP($M21,'00_SKU_Master'!$B$2:$B$378,'00_SKU_Master'!$M$2:$M$378,0)/$M$2,"0")</f>
        <v/>
      </c>
      <c r="S19" s="157">
        <f>_xludf.IFNA(I21/_xlfn.XLOOKUP($M21,'00_SKU_Master'!$B$2:$B$378,'00_SKU_Master'!$M$2:$M$378,0)/$M$2,"0")</f>
        <v/>
      </c>
      <c r="T19" s="157">
        <f>_xludf.IFNA(J21/_xlfn.XLOOKUP($M21,'00_SKU_Master'!$B$2:$B$378,'00_SKU_Master'!$M$2:$M$378,0)/$M$2,"0")</f>
        <v/>
      </c>
      <c r="U19" s="157">
        <f>SUM(N21:T21)</f>
        <v/>
      </c>
      <c r="V19" s="4" t="n"/>
      <c r="W19" s="4">
        <f>_xlfn.XLOOKUP(M21,'00_SKU_Master'!$B$2:$B$378,'00_SKU_Master'!D:D)</f>
        <v/>
      </c>
      <c r="X19" s="14">
        <f>'05_Daily_Orders'!B20</f>
        <v/>
      </c>
      <c r="Y19" s="588" t="n"/>
      <c r="Z19" s="589" t="n"/>
      <c r="AA19" s="589" t="n"/>
      <c r="AB19" s="589" t="n"/>
      <c r="AC19" s="589" t="n">
        <v>106</v>
      </c>
      <c r="AD19" s="589" t="n">
        <v>0</v>
      </c>
      <c r="AE19" s="589" t="n">
        <v>115</v>
      </c>
      <c r="AF19" s="587">
        <f>SUM(Y21:AE21)</f>
        <v/>
      </c>
      <c r="AH19" s="14" t="n">
        <v>7176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Q19" s="23" t="n">
        <v>26</v>
      </c>
      <c r="AR19" s="23" t="n">
        <v>0</v>
      </c>
      <c r="AS19" s="23">
        <f>AR21-AQ21</f>
        <v/>
      </c>
    </row>
    <row r="20">
      <c r="A20" s="148">
        <f>_xlfn.XLOOKUP(C22,'00_SKU_Master'!$B$2:$B$378,'00_SKU_Master'!$C$2:$C$378)</f>
        <v/>
      </c>
      <c r="B20" s="148" t="n"/>
      <c r="C20" s="148">
        <f>X22</f>
        <v/>
      </c>
      <c r="D20" s="586">
        <f>_xludf.IFNA(_xlfn.XLOOKUP(C22,'00_SKU_Master'!$B$2:$B$378,'00_SKU_Master'!$F$2:$F$378,0)*Y22,"")</f>
        <v/>
      </c>
      <c r="E20" s="586">
        <f>_xludf.IFNA(_xlfn.XLOOKUP(C22,'00_SKU_Master'!$B$2:$B$378,'00_SKU_Master'!$F$2:$F$378,0)*Z22,"")</f>
        <v/>
      </c>
      <c r="F20" s="586">
        <f>_xludf.IFNA(_xlfn.XLOOKUP(C22,'00_SKU_Master'!$B$2:$B$378,'00_SKU_Master'!$F$2:$F$378,0)*AA22,"")</f>
        <v/>
      </c>
      <c r="G20" s="586">
        <f>_xludf.IFNA(_xlfn.XLOOKUP(C22,'00_SKU_Master'!$B$2:$B$378,'00_SKU_Master'!$F$2:$F$378,0)*AB22,"")</f>
        <v/>
      </c>
      <c r="H20" s="586">
        <f>_xludf.IFNA(_xlfn.XLOOKUP(C22,'00_SKU_Master'!$B$2:$B$378,'00_SKU_Master'!$F$2:$F$378,0)*AC22,"")</f>
        <v/>
      </c>
      <c r="I20" s="586">
        <f>_xludf.IFNA(_xlfn.XLOOKUP(C22,'00_SKU_Master'!$B$2:$B$378,'00_SKU_Master'!$F$2:$F$378,0)*AD22,"")</f>
        <v/>
      </c>
      <c r="J20" s="586">
        <f>_xludf.IFNA(_xlfn.XLOOKUP(C22,'00_SKU_Master'!$B$2:$B$378,'00_SKU_Master'!$F$2:$F$378,0)*AE22,"")</f>
        <v/>
      </c>
      <c r="K20" s="587">
        <f>SUM(D22:J22)</f>
        <v/>
      </c>
      <c r="L20" s="197">
        <f>_xlfn.XLOOKUP(C22,'00_SKU_Master'!$B$2:$B$378,'00_SKU_Master'!K:K)</f>
        <v/>
      </c>
      <c r="M20" s="14">
        <f>X22</f>
        <v/>
      </c>
      <c r="N20" s="157">
        <f>_xludf.IFNA(D22/_xlfn.XLOOKUP($M22,'00_SKU_Master'!$B$2:$B$378,'00_SKU_Master'!$M$2:$M$378,0)/$M$2,"0")</f>
        <v/>
      </c>
      <c r="O20" s="157">
        <f>_xludf.IFNA(E22/_xlfn.XLOOKUP($M22,'00_SKU_Master'!$B$2:$B$378,'00_SKU_Master'!$M$2:$M$378,0)/$M$2,"0")</f>
        <v/>
      </c>
      <c r="P20" s="157">
        <f>_xludf.IFNA(F22/_xlfn.XLOOKUP($M22,'00_SKU_Master'!$B$2:$B$378,'00_SKU_Master'!$M$2:$M$378,0)/$M$2,"0")</f>
        <v/>
      </c>
      <c r="Q20" s="157">
        <f>_xludf.IFNA(G22/_xlfn.XLOOKUP($M22,'00_SKU_Master'!$B$2:$B$378,'00_SKU_Master'!$M$2:$M$378,0)/$M$2,"0")</f>
        <v/>
      </c>
      <c r="R20" s="157">
        <f>_xludf.IFNA(H22/_xlfn.XLOOKUP($M22,'00_SKU_Master'!$B$2:$B$378,'00_SKU_Master'!$M$2:$M$378,0)/$M$2,"0")</f>
        <v/>
      </c>
      <c r="S20" s="157">
        <f>_xludf.IFNA(I22/_xlfn.XLOOKUP($M22,'00_SKU_Master'!$B$2:$B$378,'00_SKU_Master'!$M$2:$M$378,0)/$M$2,"0")</f>
        <v/>
      </c>
      <c r="T20" s="157">
        <f>_xludf.IFNA(J22/_xlfn.XLOOKUP($M22,'00_SKU_Master'!$B$2:$B$378,'00_SKU_Master'!$M$2:$M$378,0)/$M$2,"0")</f>
        <v/>
      </c>
      <c r="U20" s="157">
        <f>SUM(N22:T22)</f>
        <v/>
      </c>
      <c r="V20" s="4" t="n"/>
      <c r="W20" s="4">
        <f>_xlfn.XLOOKUP(M22,'00_SKU_Master'!$B$2:$B$378,'00_SKU_Master'!D:D)</f>
        <v/>
      </c>
      <c r="X20" s="14">
        <f>'05_Daily_Orders'!B21</f>
        <v/>
      </c>
      <c r="Y20" s="588" t="n"/>
      <c r="Z20" s="589" t="n"/>
      <c r="AA20" s="589" t="n"/>
      <c r="AB20" s="589" t="n"/>
      <c r="AC20" s="589" t="n">
        <v>151</v>
      </c>
      <c r="AD20" s="589" t="n">
        <v>0</v>
      </c>
      <c r="AE20" s="589" t="n">
        <v>128</v>
      </c>
      <c r="AF20" s="587">
        <f>SUM(Y22:AE22)</f>
        <v/>
      </c>
      <c r="AH20" s="14" t="n"/>
      <c r="AI20" s="14" t="n"/>
      <c r="AJ20" s="14" t="n"/>
      <c r="AK20" s="14" t="n"/>
      <c r="AL20" s="14" t="n"/>
      <c r="AM20" s="14" t="n"/>
      <c r="AN20" s="14" t="n"/>
      <c r="AO20" s="14" t="n"/>
      <c r="AQ20" s="23" t="n">
        <v>0</v>
      </c>
      <c r="AR20" s="23" t="n">
        <v>28</v>
      </c>
      <c r="AS20" s="23">
        <f>AR22-AQ22</f>
        <v/>
      </c>
    </row>
    <row r="21">
      <c r="A21" s="148">
        <f>_xlfn.XLOOKUP(C23,'00_SKU_Master'!$B$2:$B$378,'00_SKU_Master'!$C$2:$C$378)</f>
        <v/>
      </c>
      <c r="B21" s="148" t="n"/>
      <c r="C21" s="148">
        <f>X23</f>
        <v/>
      </c>
      <c r="D21" s="586">
        <f>_xludf.IFNA(_xlfn.XLOOKUP(C23,'00_SKU_Master'!$B$2:$B$378,'00_SKU_Master'!$F$2:$F$378,0)*Y23,"")</f>
        <v/>
      </c>
      <c r="E21" s="586">
        <f>_xludf.IFNA(_xlfn.XLOOKUP(C23,'00_SKU_Master'!$B$2:$B$378,'00_SKU_Master'!$F$2:$F$378,0)*Z23,"")</f>
        <v/>
      </c>
      <c r="F21" s="586">
        <f>_xludf.IFNA(_xlfn.XLOOKUP(C23,'00_SKU_Master'!$B$2:$B$378,'00_SKU_Master'!$F$2:$F$378,0)*AA23,"")</f>
        <v/>
      </c>
      <c r="G21" s="586">
        <f>_xludf.IFNA(_xlfn.XLOOKUP(C23,'00_SKU_Master'!$B$2:$B$378,'00_SKU_Master'!$F$2:$F$378,0)*AB23,"")</f>
        <v/>
      </c>
      <c r="H21" s="586">
        <f>_xludf.IFNA(_xlfn.XLOOKUP(C23,'00_SKU_Master'!$B$2:$B$378,'00_SKU_Master'!$F$2:$F$378,0)*AC23,"")</f>
        <v/>
      </c>
      <c r="I21" s="586">
        <f>_xludf.IFNA(_xlfn.XLOOKUP(C23,'00_SKU_Master'!$B$2:$B$378,'00_SKU_Master'!$F$2:$F$378,0)*AD23,"")</f>
        <v/>
      </c>
      <c r="J21" s="586">
        <f>_xludf.IFNA(_xlfn.XLOOKUP(C23,'00_SKU_Master'!$B$2:$B$378,'00_SKU_Master'!$F$2:$F$378,0)*AE23,"")</f>
        <v/>
      </c>
      <c r="K21" s="587">
        <f>SUM(D23:J23)</f>
        <v/>
      </c>
      <c r="L21" s="197">
        <f>_xlfn.XLOOKUP(C23,'00_SKU_Master'!$B$2:$B$378,'00_SKU_Master'!K:K)</f>
        <v/>
      </c>
      <c r="M21" s="14">
        <f>X23</f>
        <v/>
      </c>
      <c r="N21" s="157">
        <f>_xludf.IFNA(D23/_xlfn.XLOOKUP($M23,'00_SKU_Master'!$B$2:$B$378,'00_SKU_Master'!$M$2:$M$378,0)/$M$2,"0")</f>
        <v/>
      </c>
      <c r="O21" s="157">
        <f>_xludf.IFNA(E23/_xlfn.XLOOKUP($M23,'00_SKU_Master'!$B$2:$B$378,'00_SKU_Master'!$M$2:$M$378,0)/$M$2,"0")</f>
        <v/>
      </c>
      <c r="P21" s="157">
        <f>_xludf.IFNA(F23/_xlfn.XLOOKUP($M23,'00_SKU_Master'!$B$2:$B$378,'00_SKU_Master'!$M$2:$M$378,0)/$M$2,"0")</f>
        <v/>
      </c>
      <c r="Q21" s="157">
        <f>_xludf.IFNA(G23/_xlfn.XLOOKUP($M23,'00_SKU_Master'!$B$2:$B$378,'00_SKU_Master'!$M$2:$M$378,0)/$M$2,"0")</f>
        <v/>
      </c>
      <c r="R21" s="157">
        <f>_xludf.IFNA(H23/_xlfn.XLOOKUP($M23,'00_SKU_Master'!$B$2:$B$378,'00_SKU_Master'!$M$2:$M$378,0)/$M$2,"0")</f>
        <v/>
      </c>
      <c r="S21" s="157">
        <f>_xludf.IFNA(I23/_xlfn.XLOOKUP($M23,'00_SKU_Master'!$B$2:$B$378,'00_SKU_Master'!$M$2:$M$378,0)/$M$2,"0")</f>
        <v/>
      </c>
      <c r="T21" s="157">
        <f>_xludf.IFNA(J23/_xlfn.XLOOKUP($M23,'00_SKU_Master'!$B$2:$B$378,'00_SKU_Master'!$M$2:$M$378,0)/$M$2,"0")</f>
        <v/>
      </c>
      <c r="U21" s="157">
        <f>SUM(N23:T23)</f>
        <v/>
      </c>
      <c r="V21" s="4" t="n"/>
      <c r="W21" s="4">
        <f>_xlfn.XLOOKUP(M23,'00_SKU_Master'!$B$2:$B$378,'00_SKU_Master'!D:D)</f>
        <v/>
      </c>
      <c r="X21" s="14">
        <f>'05_Daily_Orders'!B22</f>
        <v/>
      </c>
      <c r="Y21" s="588" t="n"/>
      <c r="Z21" s="589" t="n"/>
      <c r="AA21" s="589" t="n"/>
      <c r="AB21" s="589" t="n"/>
      <c r="AC21" s="589" t="n">
        <v>0</v>
      </c>
      <c r="AD21" s="589" t="n">
        <v>0</v>
      </c>
      <c r="AE21" s="589" t="n">
        <v>78</v>
      </c>
      <c r="AF21" s="587">
        <f>SUM(Y23:AE23)</f>
        <v/>
      </c>
      <c r="AH21" s="23" t="n"/>
      <c r="AI21" s="23" t="n"/>
      <c r="AJ21" s="23" t="n"/>
      <c r="AK21" s="23" t="n"/>
      <c r="AL21" s="23" t="n"/>
      <c r="AM21" s="23" t="n"/>
      <c r="AN21" s="23" t="n"/>
      <c r="AO21" s="23" t="n"/>
      <c r="AQ21" s="23" t="n">
        <v>0</v>
      </c>
      <c r="AR21" s="23" t="n">
        <v>0</v>
      </c>
      <c r="AS21" s="23">
        <f>AR23-AQ23</f>
        <v/>
      </c>
    </row>
    <row r="22">
      <c r="A22" s="148">
        <f>_xlfn.XLOOKUP(C24,'00_SKU_Master'!$B$2:$B$378,'00_SKU_Master'!$C$2:$C$378)</f>
        <v/>
      </c>
      <c r="B22" s="148" t="n"/>
      <c r="C22" s="148">
        <f>X24</f>
        <v/>
      </c>
      <c r="D22" s="586">
        <f>_xludf.IFNA(_xlfn.XLOOKUP(C24,'00_SKU_Master'!$B$2:$B$378,'00_SKU_Master'!$F$2:$F$378,0)*Y24,"")</f>
        <v/>
      </c>
      <c r="E22" s="586">
        <f>_xludf.IFNA(_xlfn.XLOOKUP(C24,'00_SKU_Master'!$B$2:$B$378,'00_SKU_Master'!$F$2:$F$378,0)*Z24,"")</f>
        <v/>
      </c>
      <c r="F22" s="586">
        <f>_xludf.IFNA(_xlfn.XLOOKUP(C24,'00_SKU_Master'!$B$2:$B$378,'00_SKU_Master'!$F$2:$F$378,0)*AA24,"")</f>
        <v/>
      </c>
      <c r="G22" s="586">
        <f>_xludf.IFNA(_xlfn.XLOOKUP(C24,'00_SKU_Master'!$B$2:$B$378,'00_SKU_Master'!$F$2:$F$378,0)*AB24,"")</f>
        <v/>
      </c>
      <c r="H22" s="586">
        <f>_xludf.IFNA(_xlfn.XLOOKUP(C24,'00_SKU_Master'!$B$2:$B$378,'00_SKU_Master'!$F$2:$F$378,0)*AC24,"")</f>
        <v/>
      </c>
      <c r="I22" s="586">
        <f>_xludf.IFNA(_xlfn.XLOOKUP(C24,'00_SKU_Master'!$B$2:$B$378,'00_SKU_Master'!$F$2:$F$378,0)*AD24,"")</f>
        <v/>
      </c>
      <c r="J22" s="586">
        <f>_xludf.IFNA(_xlfn.XLOOKUP(C24,'00_SKU_Master'!$B$2:$B$378,'00_SKU_Master'!$F$2:$F$378,0)*AE24,"")</f>
        <v/>
      </c>
      <c r="K22" s="587">
        <f>SUM(D24:J24)</f>
        <v/>
      </c>
      <c r="L22" s="197">
        <f>_xlfn.XLOOKUP(C24,'00_SKU_Master'!$B$2:$B$378,'00_SKU_Master'!K:K)</f>
        <v/>
      </c>
      <c r="M22" s="14">
        <f>X24</f>
        <v/>
      </c>
      <c r="N22" s="157">
        <f>_xludf.IFNA(D24/_xlfn.XLOOKUP($M24,'00_SKU_Master'!$B$2:$B$378,'00_SKU_Master'!$M$2:$M$378,0)/$M$2,"0")</f>
        <v/>
      </c>
      <c r="O22" s="157">
        <f>_xludf.IFNA(E24/_xlfn.XLOOKUP($M24,'00_SKU_Master'!$B$2:$B$378,'00_SKU_Master'!$M$2:$M$378,0)/$M$2,"0")</f>
        <v/>
      </c>
      <c r="P22" s="157">
        <f>_xludf.IFNA(F24/_xlfn.XLOOKUP($M24,'00_SKU_Master'!$B$2:$B$378,'00_SKU_Master'!$M$2:$M$378,0)/$M$2,"0")</f>
        <v/>
      </c>
      <c r="Q22" s="157">
        <f>_xludf.IFNA(G24/_xlfn.XLOOKUP($M24,'00_SKU_Master'!$B$2:$B$378,'00_SKU_Master'!$M$2:$M$378,0)/$M$2,"0")</f>
        <v/>
      </c>
      <c r="R22" s="157">
        <f>_xludf.IFNA(H24/_xlfn.XLOOKUP($M24,'00_SKU_Master'!$B$2:$B$378,'00_SKU_Master'!$M$2:$M$378,0)/$M$2,"0")</f>
        <v/>
      </c>
      <c r="S22" s="157">
        <f>_xludf.IFNA(I24/_xlfn.XLOOKUP($M24,'00_SKU_Master'!$B$2:$B$378,'00_SKU_Master'!$M$2:$M$378,0)/$M$2,"0")</f>
        <v/>
      </c>
      <c r="T22" s="157">
        <f>_xludf.IFNA(J24/_xlfn.XLOOKUP($M24,'00_SKU_Master'!$B$2:$B$378,'00_SKU_Master'!$M$2:$M$378,0)/$M$2,"0")</f>
        <v/>
      </c>
      <c r="U22" s="157">
        <f>SUM(N24:T24)</f>
        <v/>
      </c>
      <c r="V22" s="4" t="n"/>
      <c r="W22" s="4">
        <f>_xlfn.XLOOKUP(M24,'00_SKU_Master'!$B$2:$B$378,'00_SKU_Master'!D:D)</f>
        <v/>
      </c>
      <c r="X22" s="14">
        <f>'05_Daily_Orders'!B23</f>
        <v/>
      </c>
      <c r="Y22" s="588" t="n"/>
      <c r="Z22" s="589" t="n"/>
      <c r="AA22" s="589" t="n"/>
      <c r="AB22" s="589" t="n"/>
      <c r="AC22" s="589" t="n">
        <v>0</v>
      </c>
      <c r="AD22" s="589" t="n">
        <v>0</v>
      </c>
      <c r="AE22" s="589" t="n">
        <v>0</v>
      </c>
      <c r="AF22" s="587">
        <f>SUM(Y24:AE24)</f>
        <v/>
      </c>
      <c r="AH22" s="23" t="n"/>
      <c r="AI22" s="23" t="n"/>
      <c r="AJ22" s="23" t="n"/>
      <c r="AK22" s="23" t="n"/>
      <c r="AL22" s="23" t="n"/>
      <c r="AM22" s="23" t="n"/>
      <c r="AN22" s="23" t="n"/>
      <c r="AO22" s="23" t="n"/>
      <c r="AQ22" s="23" t="n">
        <v>0</v>
      </c>
      <c r="AR22" s="23" t="n">
        <v>0</v>
      </c>
      <c r="AS22" s="23">
        <f>AR24-AQ24</f>
        <v/>
      </c>
    </row>
    <row r="23">
      <c r="A23" s="148">
        <f>_xlfn.XLOOKUP(C25,'00_SKU_Master'!$B$2:$B$378,'00_SKU_Master'!$C$2:$C$378)</f>
        <v/>
      </c>
      <c r="B23" s="148" t="n"/>
      <c r="C23" s="148">
        <f>X25</f>
        <v/>
      </c>
      <c r="D23" s="586">
        <f>_xludf.IFNA(_xlfn.XLOOKUP(C25,'00_SKU_Master'!$B$2:$B$378,'00_SKU_Master'!$F$2:$F$378,0)*Y25,"")</f>
        <v/>
      </c>
      <c r="E23" s="586">
        <f>_xludf.IFNA(_xlfn.XLOOKUP(C25,'00_SKU_Master'!$B$2:$B$378,'00_SKU_Master'!$F$2:$F$378,0)*Z25,"")</f>
        <v/>
      </c>
      <c r="F23" s="586">
        <f>_xludf.IFNA(_xlfn.XLOOKUP(C25,'00_SKU_Master'!$B$2:$B$378,'00_SKU_Master'!$F$2:$F$378,0)*AA25,"")</f>
        <v/>
      </c>
      <c r="G23" s="586">
        <f>_xludf.IFNA(_xlfn.XLOOKUP(C25,'00_SKU_Master'!$B$2:$B$378,'00_SKU_Master'!$F$2:$F$378,0)*AB25,"")</f>
        <v/>
      </c>
      <c r="H23" s="586">
        <f>_xludf.IFNA(_xlfn.XLOOKUP(C25,'00_SKU_Master'!$B$2:$B$378,'00_SKU_Master'!$F$2:$F$378,0)*AC25,"")</f>
        <v/>
      </c>
      <c r="I23" s="586">
        <f>_xludf.IFNA(_xlfn.XLOOKUP(C25,'00_SKU_Master'!$B$2:$B$378,'00_SKU_Master'!$F$2:$F$378,0)*AD25,"")</f>
        <v/>
      </c>
      <c r="J23" s="586">
        <f>_xludf.IFNA(_xlfn.XLOOKUP(C25,'00_SKU_Master'!$B$2:$B$378,'00_SKU_Master'!$F$2:$F$378,0)*AE25,"")</f>
        <v/>
      </c>
      <c r="K23" s="587">
        <f>SUM(D25:J25)</f>
        <v/>
      </c>
      <c r="L23" s="197">
        <f>_xlfn.XLOOKUP(C25,'00_SKU_Master'!$B$2:$B$378,'00_SKU_Master'!K:K)</f>
        <v/>
      </c>
      <c r="M23" s="14">
        <f>X25</f>
        <v/>
      </c>
      <c r="N23" s="157">
        <f>_xludf.IFNA(D25/_xlfn.XLOOKUP($M25,'00_SKU_Master'!$B$2:$B$378,'00_SKU_Master'!$M$2:$M$378,0)/$M$2,"0")</f>
        <v/>
      </c>
      <c r="O23" s="157">
        <f>_xludf.IFNA(E25/_xlfn.XLOOKUP($M25,'00_SKU_Master'!$B$2:$B$378,'00_SKU_Master'!$M$2:$M$378,0)/$M$2,"0")</f>
        <v/>
      </c>
      <c r="P23" s="157">
        <f>_xludf.IFNA(F25/_xlfn.XLOOKUP($M25,'00_SKU_Master'!$B$2:$B$378,'00_SKU_Master'!$M$2:$M$378,0)/$M$2,"0")</f>
        <v/>
      </c>
      <c r="Q23" s="157">
        <f>_xludf.IFNA(G25/_xlfn.XLOOKUP($M25,'00_SKU_Master'!$B$2:$B$378,'00_SKU_Master'!$M$2:$M$378,0)/$M$2,"0")</f>
        <v/>
      </c>
      <c r="R23" s="157">
        <f>_xludf.IFNA(H25/_xlfn.XLOOKUP($M25,'00_SKU_Master'!$B$2:$B$378,'00_SKU_Master'!$M$2:$M$378,0)/$M$2,"0")</f>
        <v/>
      </c>
      <c r="S23" s="157">
        <f>_xludf.IFNA(I25/_xlfn.XLOOKUP($M25,'00_SKU_Master'!$B$2:$B$378,'00_SKU_Master'!$M$2:$M$378,0)/$M$2,"0")</f>
        <v/>
      </c>
      <c r="T23" s="157">
        <f>_xludf.IFNA(J25/_xlfn.XLOOKUP($M25,'00_SKU_Master'!$B$2:$B$378,'00_SKU_Master'!$M$2:$M$378,0)/$M$2,"0")</f>
        <v/>
      </c>
      <c r="U23" s="157">
        <f>SUM(N25:T25)</f>
        <v/>
      </c>
      <c r="V23" s="4" t="n"/>
      <c r="W23" s="4">
        <f>_xlfn.XLOOKUP(M25,'00_SKU_Master'!$B$2:$B$378,'00_SKU_Master'!D:D)</f>
        <v/>
      </c>
      <c r="X23" s="14">
        <f>'05_Daily_Orders'!B24</f>
        <v/>
      </c>
      <c r="Y23" s="588" t="n"/>
      <c r="Z23" s="589" t="n"/>
      <c r="AA23" s="589" t="n"/>
      <c r="AB23" s="589" t="n"/>
      <c r="AC23" s="589" t="n">
        <v>0</v>
      </c>
      <c r="AD23" s="589" t="n">
        <v>0</v>
      </c>
      <c r="AE23" s="589" t="n">
        <v>0</v>
      </c>
      <c r="AF23" s="587">
        <f>SUM(Y25:AE25)</f>
        <v/>
      </c>
      <c r="AQ23" s="23" t="n">
        <v>0</v>
      </c>
      <c r="AR23" s="23" t="n">
        <v>0</v>
      </c>
      <c r="AS23" s="23">
        <f>AR25-AQ25</f>
        <v/>
      </c>
    </row>
    <row r="24">
      <c r="A24" s="148">
        <f>_xlfn.XLOOKUP(C26,'00_SKU_Master'!$B$2:$B$378,'00_SKU_Master'!$C$2:$C$378)</f>
        <v/>
      </c>
      <c r="B24" s="148" t="n"/>
      <c r="C24" s="148">
        <f>X26</f>
        <v/>
      </c>
      <c r="D24" s="586">
        <f>_xludf.IFNA(_xlfn.XLOOKUP(C26,'00_SKU_Master'!$B$2:$B$378,'00_SKU_Master'!$F$2:$F$378,0)*Y26,"")</f>
        <v/>
      </c>
      <c r="E24" s="586">
        <f>_xludf.IFNA(_xlfn.XLOOKUP(C26,'00_SKU_Master'!$B$2:$B$378,'00_SKU_Master'!$F$2:$F$378,0)*Z26,"")</f>
        <v/>
      </c>
      <c r="F24" s="586">
        <f>_xludf.IFNA(_xlfn.XLOOKUP(C26,'00_SKU_Master'!$B$2:$B$378,'00_SKU_Master'!$F$2:$F$378,0)*AA26,"")</f>
        <v/>
      </c>
      <c r="G24" s="586">
        <f>_xludf.IFNA(_xlfn.XLOOKUP(C26,'00_SKU_Master'!$B$2:$B$378,'00_SKU_Master'!$F$2:$F$378,0)*AB26,"")</f>
        <v/>
      </c>
      <c r="H24" s="586">
        <f>_xludf.IFNA(_xlfn.XLOOKUP(C26,'00_SKU_Master'!$B$2:$B$378,'00_SKU_Master'!$F$2:$F$378,0)*AC26,"")</f>
        <v/>
      </c>
      <c r="I24" s="586">
        <f>_xludf.IFNA(_xlfn.XLOOKUP(C26,'00_SKU_Master'!$B$2:$B$378,'00_SKU_Master'!$F$2:$F$378,0)*AD26,"")</f>
        <v/>
      </c>
      <c r="J24" s="586">
        <f>_xludf.IFNA(_xlfn.XLOOKUP(C26,'00_SKU_Master'!$B$2:$B$378,'00_SKU_Master'!$F$2:$F$378,0)*AE26,"")</f>
        <v/>
      </c>
      <c r="K24" s="587">
        <f>SUM(D26:J26)</f>
        <v/>
      </c>
      <c r="L24" s="197">
        <f>_xlfn.XLOOKUP(C26,'00_SKU_Master'!$B$2:$B$378,'00_SKU_Master'!K:K)</f>
        <v/>
      </c>
      <c r="M24" s="14">
        <f>X26</f>
        <v/>
      </c>
      <c r="N24" s="157">
        <f>_xludf.IFNA(D26/_xlfn.XLOOKUP($M26,'00_SKU_Master'!$B$2:$B$378,'00_SKU_Master'!$M$2:$M$378,0)/$M$2,"0")</f>
        <v/>
      </c>
      <c r="O24" s="157">
        <f>_xludf.IFNA(E26/_xlfn.XLOOKUP($M26,'00_SKU_Master'!$B$2:$B$378,'00_SKU_Master'!$M$2:$M$378,0)/$M$2,"0")</f>
        <v/>
      </c>
      <c r="P24" s="157">
        <f>_xludf.IFNA(F26/_xlfn.XLOOKUP($M26,'00_SKU_Master'!$B$2:$B$378,'00_SKU_Master'!$M$2:$M$378,0)/$M$2,"0")</f>
        <v/>
      </c>
      <c r="Q24" s="157">
        <f>_xludf.IFNA(G26/_xlfn.XLOOKUP($M26,'00_SKU_Master'!$B$2:$B$378,'00_SKU_Master'!$M$2:$M$378,0)/$M$2,"0")</f>
        <v/>
      </c>
      <c r="R24" s="157">
        <f>_xludf.IFNA(H26/_xlfn.XLOOKUP($M26,'00_SKU_Master'!$B$2:$B$378,'00_SKU_Master'!$M$2:$M$378,0)/$M$2,"0")</f>
        <v/>
      </c>
      <c r="S24" s="157">
        <f>_xludf.IFNA(I26/_xlfn.XLOOKUP($M26,'00_SKU_Master'!$B$2:$B$378,'00_SKU_Master'!$M$2:$M$378,0)/$M$2,"0")</f>
        <v/>
      </c>
      <c r="T24" s="157">
        <f>_xludf.IFNA(J26/_xlfn.XLOOKUP($M26,'00_SKU_Master'!$B$2:$B$378,'00_SKU_Master'!$M$2:$M$378,0)/$M$2,"0")</f>
        <v/>
      </c>
      <c r="U24" s="157">
        <f>SUM(N26:T26)</f>
        <v/>
      </c>
      <c r="V24" s="4" t="n"/>
      <c r="W24" s="4">
        <f>_xlfn.XLOOKUP(M26,'00_SKU_Master'!$B$2:$B$378,'00_SKU_Master'!D:D)</f>
        <v/>
      </c>
      <c r="X24" s="14">
        <f>'05_Daily_Orders'!B25</f>
        <v/>
      </c>
      <c r="Y24" s="588" t="n"/>
      <c r="Z24" s="589" t="n"/>
      <c r="AA24" s="589" t="n"/>
      <c r="AB24" s="589" t="n"/>
      <c r="AC24" s="589" t="n">
        <v>0</v>
      </c>
      <c r="AD24" s="589" t="n">
        <v>0</v>
      </c>
      <c r="AE24" s="589" t="n">
        <v>0</v>
      </c>
      <c r="AF24" s="587">
        <f>SUM(Y26:AE26)</f>
        <v/>
      </c>
      <c r="AQ24" s="23" t="n">
        <v>0</v>
      </c>
      <c r="AR24" s="23" t="n">
        <v>0</v>
      </c>
      <c r="AS24" s="23">
        <f>AR26-AQ26</f>
        <v/>
      </c>
    </row>
    <row r="25">
      <c r="A25" s="148">
        <f>_xlfn.XLOOKUP(C27,'00_SKU_Master'!$B$2:$B$378,'00_SKU_Master'!$C$2:$C$378)</f>
        <v/>
      </c>
      <c r="B25" s="148" t="n"/>
      <c r="C25" s="148">
        <f>X27</f>
        <v/>
      </c>
      <c r="D25" s="586">
        <f>_xludf.IFNA(_xlfn.XLOOKUP(C27,'00_SKU_Master'!$B$2:$B$378,'00_SKU_Master'!$F$2:$F$378,0)*Y27,"")</f>
        <v/>
      </c>
      <c r="E25" s="586">
        <f>_xludf.IFNA(_xlfn.XLOOKUP(C27,'00_SKU_Master'!$B$2:$B$378,'00_SKU_Master'!$F$2:$F$378,0)*Z27,"")</f>
        <v/>
      </c>
      <c r="F25" s="586">
        <f>_xludf.IFNA(_xlfn.XLOOKUP(C27,'00_SKU_Master'!$B$2:$B$378,'00_SKU_Master'!$F$2:$F$378,0)*AA27,"")</f>
        <v/>
      </c>
      <c r="G25" s="586">
        <f>_xludf.IFNA(_xlfn.XLOOKUP(C27,'00_SKU_Master'!$B$2:$B$378,'00_SKU_Master'!$F$2:$F$378,0)*AB27,"")</f>
        <v/>
      </c>
      <c r="H25" s="586">
        <f>_xludf.IFNA(_xlfn.XLOOKUP(C27,'00_SKU_Master'!$B$2:$B$378,'00_SKU_Master'!$F$2:$F$378,0)*AC27,"")</f>
        <v/>
      </c>
      <c r="I25" s="586">
        <f>_xludf.IFNA(_xlfn.XLOOKUP(C27,'00_SKU_Master'!$B$2:$B$378,'00_SKU_Master'!$F$2:$F$378,0)*AD27,"")</f>
        <v/>
      </c>
      <c r="J25" s="586">
        <f>_xludf.IFNA(_xlfn.XLOOKUP(C27,'00_SKU_Master'!$B$2:$B$378,'00_SKU_Master'!$F$2:$F$378,0)*AE27,"")</f>
        <v/>
      </c>
      <c r="K25" s="587">
        <f>SUM(D27:J27)</f>
        <v/>
      </c>
      <c r="L25" s="197">
        <f>_xlfn.XLOOKUP(C27,'00_SKU_Master'!$B$2:$B$378,'00_SKU_Master'!K:K)</f>
        <v/>
      </c>
      <c r="M25" s="14">
        <f>X27</f>
        <v/>
      </c>
      <c r="N25" s="157">
        <f>_xludf.IFNA(D27/_xlfn.XLOOKUP($M27,'00_SKU_Master'!$B$2:$B$378,'00_SKU_Master'!$M$2:$M$378,0)/$M$2,"0")</f>
        <v/>
      </c>
      <c r="O25" s="157">
        <f>_xludf.IFNA(E27/_xlfn.XLOOKUP($M27,'00_SKU_Master'!$B$2:$B$378,'00_SKU_Master'!$M$2:$M$378,0)/$M$2,"0")</f>
        <v/>
      </c>
      <c r="P25" s="157">
        <f>_xludf.IFNA(F27/_xlfn.XLOOKUP($M27,'00_SKU_Master'!$B$2:$B$378,'00_SKU_Master'!$M$2:$M$378,0)/$M$2,"0")</f>
        <v/>
      </c>
      <c r="Q25" s="157">
        <f>_xludf.IFNA(G27/_xlfn.XLOOKUP($M27,'00_SKU_Master'!$B$2:$B$378,'00_SKU_Master'!$M$2:$M$378,0)/$M$2,"0")</f>
        <v/>
      </c>
      <c r="R25" s="157">
        <f>_xludf.IFNA(H27/_xlfn.XLOOKUP($M27,'00_SKU_Master'!$B$2:$B$378,'00_SKU_Master'!$M$2:$M$378,0)/$M$2,"0")</f>
        <v/>
      </c>
      <c r="S25" s="157">
        <f>_xludf.IFNA(I27/_xlfn.XLOOKUP($M27,'00_SKU_Master'!$B$2:$B$378,'00_SKU_Master'!$M$2:$M$378,0)/$M$2,"0")</f>
        <v/>
      </c>
      <c r="T25" s="157">
        <f>_xludf.IFNA(J27/_xlfn.XLOOKUP($M27,'00_SKU_Master'!$B$2:$B$378,'00_SKU_Master'!$M$2:$M$378,0)/$M$2,"0")</f>
        <v/>
      </c>
      <c r="U25" s="157">
        <f>SUM(N27:T27)</f>
        <v/>
      </c>
      <c r="V25" s="4" t="n"/>
      <c r="W25" s="4">
        <f>_xlfn.XLOOKUP(M27,'00_SKU_Master'!$B$2:$B$378,'00_SKU_Master'!D:D)</f>
        <v/>
      </c>
      <c r="X25" s="14">
        <f>'05_Daily_Orders'!B26</f>
        <v/>
      </c>
      <c r="Y25" s="588" t="n"/>
      <c r="Z25" s="589" t="n"/>
      <c r="AA25" s="589" t="n"/>
      <c r="AB25" s="589" t="n"/>
      <c r="AC25" s="589" t="n">
        <v>0</v>
      </c>
      <c r="AD25" s="589" t="n">
        <v>0</v>
      </c>
      <c r="AE25" s="589" t="n">
        <v>0</v>
      </c>
      <c r="AF25" s="587">
        <f>SUM(Y27:AE27)</f>
        <v/>
      </c>
      <c r="AH25" s="40" t="n">
        <v>61086</v>
      </c>
      <c r="AI25" s="219">
        <f>SUMIF($A$4:$A$234,AH27,$K$4:$K$274)</f>
        <v/>
      </c>
      <c r="AQ25" s="23" t="n">
        <v>0</v>
      </c>
      <c r="AR25" s="23" t="n">
        <v>0</v>
      </c>
      <c r="AS25" s="23">
        <f>AR27-AQ27</f>
        <v/>
      </c>
    </row>
    <row r="26">
      <c r="A26" s="148">
        <f>_xlfn.XLOOKUP(C28,'00_SKU_Master'!$B$2:$B$378,'00_SKU_Master'!$C$2:$C$378)</f>
        <v/>
      </c>
      <c r="B26" s="148" t="n"/>
      <c r="C26" s="148">
        <f>X28</f>
        <v/>
      </c>
      <c r="D26" s="586">
        <f>_xludf.IFNA(_xlfn.XLOOKUP(C28,'00_SKU_Master'!$B$2:$B$378,'00_SKU_Master'!$F$2:$F$378,0)*Y28,"")</f>
        <v/>
      </c>
      <c r="E26" s="586">
        <f>_xludf.IFNA(_xlfn.XLOOKUP(C28,'00_SKU_Master'!$B$2:$B$378,'00_SKU_Master'!$F$2:$F$378,0)*Z28,"")</f>
        <v/>
      </c>
      <c r="F26" s="586">
        <f>_xludf.IFNA(_xlfn.XLOOKUP(C28,'00_SKU_Master'!$B$2:$B$378,'00_SKU_Master'!$F$2:$F$378,0)*AA28,"")</f>
        <v/>
      </c>
      <c r="G26" s="586">
        <f>_xludf.IFNA(_xlfn.XLOOKUP(C28,'00_SKU_Master'!$B$2:$B$378,'00_SKU_Master'!$F$2:$F$378,0)*AB28,"")</f>
        <v/>
      </c>
      <c r="H26" s="586">
        <f>_xludf.IFNA(_xlfn.XLOOKUP(C28,'00_SKU_Master'!$B$2:$B$378,'00_SKU_Master'!$F$2:$F$378,0)*AC28,"")</f>
        <v/>
      </c>
      <c r="I26" s="586">
        <f>_xludf.IFNA(_xlfn.XLOOKUP(C28,'00_SKU_Master'!$B$2:$B$378,'00_SKU_Master'!$F$2:$F$378,0)*AD28,"")</f>
        <v/>
      </c>
      <c r="J26" s="586">
        <f>_xludf.IFNA(_xlfn.XLOOKUP(C28,'00_SKU_Master'!$B$2:$B$378,'00_SKU_Master'!$F$2:$F$378,0)*AE28,"")</f>
        <v/>
      </c>
      <c r="K26" s="587">
        <f>SUM(D28:J28)</f>
        <v/>
      </c>
      <c r="L26" s="197">
        <f>_xlfn.XLOOKUP(C28,'00_SKU_Master'!$B$2:$B$378,'00_SKU_Master'!K:K)</f>
        <v/>
      </c>
      <c r="M26" s="14">
        <f>X28</f>
        <v/>
      </c>
      <c r="N26" s="157">
        <f>_xludf.IFNA(D28/_xlfn.XLOOKUP($M28,'00_SKU_Master'!$B$2:$B$378,'00_SKU_Master'!$M$2:$M$378,0)/$M$2,"0")</f>
        <v/>
      </c>
      <c r="O26" s="157">
        <f>_xludf.IFNA(E28/_xlfn.XLOOKUP($M28,'00_SKU_Master'!$B$2:$B$378,'00_SKU_Master'!$M$2:$M$378,0)/$M$2,"0")</f>
        <v/>
      </c>
      <c r="P26" s="157">
        <f>_xludf.IFNA(F28/_xlfn.XLOOKUP($M28,'00_SKU_Master'!$B$2:$B$378,'00_SKU_Master'!$M$2:$M$378,0)/$M$2,"0")</f>
        <v/>
      </c>
      <c r="Q26" s="157">
        <f>_xludf.IFNA(G28/_xlfn.XLOOKUP($M28,'00_SKU_Master'!$B$2:$B$378,'00_SKU_Master'!$M$2:$M$378,0)/$M$2,"0")</f>
        <v/>
      </c>
      <c r="R26" s="157">
        <f>_xludf.IFNA(H28/_xlfn.XLOOKUP($M28,'00_SKU_Master'!$B$2:$B$378,'00_SKU_Master'!$M$2:$M$378,0)/$M$2,"0")</f>
        <v/>
      </c>
      <c r="S26" s="157">
        <f>_xludf.IFNA(I28/_xlfn.XLOOKUP($M28,'00_SKU_Master'!$B$2:$B$378,'00_SKU_Master'!$M$2:$M$378,0)/$M$2,"0")</f>
        <v/>
      </c>
      <c r="T26" s="157">
        <f>_xludf.IFNA(J28/_xlfn.XLOOKUP($M28,'00_SKU_Master'!$B$2:$B$378,'00_SKU_Master'!$M$2:$M$378,0)/$M$2,"0")</f>
        <v/>
      </c>
      <c r="U26" s="157">
        <f>SUM(N28:T28)</f>
        <v/>
      </c>
      <c r="V26" s="4" t="n"/>
      <c r="W26" s="4">
        <f>_xlfn.XLOOKUP(M28,'00_SKU_Master'!$B$2:$B$378,'00_SKU_Master'!D:D)</f>
        <v/>
      </c>
      <c r="X26" s="14">
        <f>'05_Daily_Orders'!B27</f>
        <v/>
      </c>
      <c r="Y26" s="588" t="n"/>
      <c r="Z26" s="589" t="n"/>
      <c r="AA26" s="589" t="n"/>
      <c r="AB26" s="589" t="n"/>
      <c r="AC26" s="589" t="n">
        <v>315</v>
      </c>
      <c r="AD26" s="589" t="n">
        <v>0</v>
      </c>
      <c r="AE26" s="589" t="n">
        <v>320</v>
      </c>
      <c r="AF26" s="587">
        <f>SUM(Y28:AE28)</f>
        <v/>
      </c>
      <c r="AH26" s="23" t="inlineStr">
        <is>
          <t>61086F</t>
        </is>
      </c>
      <c r="AI26" s="219">
        <f>SUMIF($A$4:$A$234,AH28,$K$4:$K$274)</f>
        <v/>
      </c>
      <c r="AQ26" s="23" t="n">
        <v>273</v>
      </c>
      <c r="AR26" s="23" t="n">
        <v>0</v>
      </c>
      <c r="AS26" s="23">
        <f>AR28-AQ28</f>
        <v/>
      </c>
    </row>
    <row r="27">
      <c r="A27" s="148">
        <f>_xlfn.XLOOKUP(C29,'00_SKU_Master'!$B$2:$B$378,'00_SKU_Master'!$C$2:$C$378)</f>
        <v/>
      </c>
      <c r="B27" s="148" t="n"/>
      <c r="C27" s="148">
        <f>X29</f>
        <v/>
      </c>
      <c r="D27" s="586">
        <f>_xludf.IFNA(_xlfn.XLOOKUP(C29,'00_SKU_Master'!$B$2:$B$378,'00_SKU_Master'!$F$2:$F$378,0)*Y29,"")</f>
        <v/>
      </c>
      <c r="E27" s="586">
        <f>_xludf.IFNA(_xlfn.XLOOKUP(C29,'00_SKU_Master'!$B$2:$B$378,'00_SKU_Master'!$F$2:$F$378,0)*Z29,"")</f>
        <v/>
      </c>
      <c r="F27" s="586">
        <f>_xludf.IFNA(_xlfn.XLOOKUP(C29,'00_SKU_Master'!$B$2:$B$378,'00_SKU_Master'!$F$2:$F$378,0)*AA29,"")</f>
        <v/>
      </c>
      <c r="G27" s="586">
        <f>_xludf.IFNA(_xlfn.XLOOKUP(C29,'00_SKU_Master'!$B$2:$B$378,'00_SKU_Master'!$F$2:$F$378,0)*AB29,"")</f>
        <v/>
      </c>
      <c r="H27" s="586">
        <f>_xludf.IFNA(_xlfn.XLOOKUP(C29,'00_SKU_Master'!$B$2:$B$378,'00_SKU_Master'!$F$2:$F$378,0)*AC29,"")</f>
        <v/>
      </c>
      <c r="I27" s="586">
        <f>_xludf.IFNA(_xlfn.XLOOKUP(C29,'00_SKU_Master'!$B$2:$B$378,'00_SKU_Master'!$F$2:$F$378,0)*AD29,"")</f>
        <v/>
      </c>
      <c r="J27" s="586">
        <f>_xludf.IFNA(_xlfn.XLOOKUP(C29,'00_SKU_Master'!$B$2:$B$378,'00_SKU_Master'!$F$2:$F$378,0)*AE29,"")</f>
        <v/>
      </c>
      <c r="K27" s="587">
        <f>SUM(D29:J29)</f>
        <v/>
      </c>
      <c r="L27" s="197">
        <f>_xlfn.XLOOKUP(C29,'00_SKU_Master'!$B$2:$B$378,'00_SKU_Master'!K:K)</f>
        <v/>
      </c>
      <c r="M27" s="14">
        <f>X29</f>
        <v/>
      </c>
      <c r="N27" s="157">
        <f>_xludf.IFNA(D29/_xlfn.XLOOKUP($M29,'00_SKU_Master'!$B$2:$B$378,'00_SKU_Master'!$M$2:$M$378,0)/$M$2,"0")</f>
        <v/>
      </c>
      <c r="O27" s="157">
        <f>_xludf.IFNA(E29/_xlfn.XLOOKUP($M29,'00_SKU_Master'!$B$2:$B$378,'00_SKU_Master'!$M$2:$M$378,0)/$M$2,"0")</f>
        <v/>
      </c>
      <c r="P27" s="157">
        <f>_xludf.IFNA(F29/_xlfn.XLOOKUP($M29,'00_SKU_Master'!$B$2:$B$378,'00_SKU_Master'!$M$2:$M$378,0)/$M$2,"0")</f>
        <v/>
      </c>
      <c r="Q27" s="157">
        <f>_xludf.IFNA(G29/_xlfn.XLOOKUP($M29,'00_SKU_Master'!$B$2:$B$378,'00_SKU_Master'!$M$2:$M$378,0)/$M$2,"0")</f>
        <v/>
      </c>
      <c r="R27" s="157">
        <f>_xludf.IFNA(H29/_xlfn.XLOOKUP($M29,'00_SKU_Master'!$B$2:$B$378,'00_SKU_Master'!$M$2:$M$378,0)/$M$2,"0")</f>
        <v/>
      </c>
      <c r="S27" s="157">
        <f>_xludf.IFNA(I29/_xlfn.XLOOKUP($M29,'00_SKU_Master'!$B$2:$B$378,'00_SKU_Master'!$M$2:$M$378,0)/$M$2,"0")</f>
        <v/>
      </c>
      <c r="T27" s="157">
        <f>_xludf.IFNA(J29/_xlfn.XLOOKUP($M29,'00_SKU_Master'!$B$2:$B$378,'00_SKU_Master'!$M$2:$M$378,0)/$M$2,"0")</f>
        <v/>
      </c>
      <c r="U27" s="157">
        <f>SUM(N29:T29)</f>
        <v/>
      </c>
      <c r="V27" s="4" t="n"/>
      <c r="W27" s="4">
        <f>_xlfn.XLOOKUP(M29,'00_SKU_Master'!$B$2:$B$378,'00_SKU_Master'!D:D)</f>
        <v/>
      </c>
      <c r="X27" s="14">
        <f>'05_Daily_Orders'!B28</f>
        <v/>
      </c>
      <c r="Y27" s="588" t="n"/>
      <c r="Z27" s="589" t="n"/>
      <c r="AA27" s="589" t="n"/>
      <c r="AB27" s="589" t="n"/>
      <c r="AC27" s="589" t="n">
        <v>79</v>
      </c>
      <c r="AD27" s="589" t="n">
        <v>0</v>
      </c>
      <c r="AE27" s="589" t="n">
        <v>115</v>
      </c>
      <c r="AF27" s="587">
        <f>SUM(Y29:AE29)</f>
        <v/>
      </c>
      <c r="AH27" s="23" t="inlineStr">
        <is>
          <t>61086C</t>
        </is>
      </c>
      <c r="AI27" s="219">
        <f>SUMIF($A$4:$A$234,AH29,$K$4:$K$274)</f>
        <v/>
      </c>
      <c r="AQ27" s="23" t="n">
        <v>0</v>
      </c>
      <c r="AR27" s="23" t="n">
        <v>6</v>
      </c>
      <c r="AS27" s="23">
        <f>AR29-AQ29</f>
        <v/>
      </c>
    </row>
    <row r="28">
      <c r="A28" s="148">
        <f>_xlfn.XLOOKUP(C30,'00_SKU_Master'!$B$2:$B$378,'00_SKU_Master'!$C$2:$C$378)</f>
        <v/>
      </c>
      <c r="B28" s="148" t="n"/>
      <c r="C28" s="148">
        <f>X30</f>
        <v/>
      </c>
      <c r="D28" s="586">
        <f>_xludf.IFNA(_xlfn.XLOOKUP(C30,'00_SKU_Master'!$B$2:$B$378,'00_SKU_Master'!$F$2:$F$378,0)*Y30,"")</f>
        <v/>
      </c>
      <c r="E28" s="586">
        <f>_xludf.IFNA(_xlfn.XLOOKUP(C30,'00_SKU_Master'!$B$2:$B$378,'00_SKU_Master'!$F$2:$F$378,0)*Z30,"")</f>
        <v/>
      </c>
      <c r="F28" s="586">
        <f>_xludf.IFNA(_xlfn.XLOOKUP(C30,'00_SKU_Master'!$B$2:$B$378,'00_SKU_Master'!$F$2:$F$378,0)*AA30,"")</f>
        <v/>
      </c>
      <c r="G28" s="586">
        <f>_xludf.IFNA(_xlfn.XLOOKUP(C30,'00_SKU_Master'!$B$2:$B$378,'00_SKU_Master'!$F$2:$F$378,0)*AB30,"")</f>
        <v/>
      </c>
      <c r="H28" s="586">
        <f>_xludf.IFNA(_xlfn.XLOOKUP(C30,'00_SKU_Master'!$B$2:$B$378,'00_SKU_Master'!$F$2:$F$378,0)*AC30,"")</f>
        <v/>
      </c>
      <c r="I28" s="586">
        <f>_xludf.IFNA(_xlfn.XLOOKUP(C30,'00_SKU_Master'!$B$2:$B$378,'00_SKU_Master'!$F$2:$F$378,0)*AD30,"")</f>
        <v/>
      </c>
      <c r="J28" s="586">
        <f>_xludf.IFNA(_xlfn.XLOOKUP(C30,'00_SKU_Master'!$B$2:$B$378,'00_SKU_Master'!$F$2:$F$378,0)*AE30,"")</f>
        <v/>
      </c>
      <c r="K28" s="587">
        <f>SUM(D30:J30)</f>
        <v/>
      </c>
      <c r="L28" s="197">
        <f>_xlfn.XLOOKUP(C30,'00_SKU_Master'!$B$2:$B$378,'00_SKU_Master'!K:K)</f>
        <v/>
      </c>
      <c r="M28" s="14">
        <f>X30</f>
        <v/>
      </c>
      <c r="N28" s="157">
        <f>_xludf.IFNA(D30/_xlfn.XLOOKUP($M30,'00_SKU_Master'!$B$2:$B$378,'00_SKU_Master'!$M$2:$M$378,0)/$M$2,"0")</f>
        <v/>
      </c>
      <c r="O28" s="157">
        <f>_xludf.IFNA(E30/_xlfn.XLOOKUP($M30,'00_SKU_Master'!$B$2:$B$378,'00_SKU_Master'!$M$2:$M$378,0)/$M$2,"0")</f>
        <v/>
      </c>
      <c r="P28" s="157">
        <f>_xludf.IFNA(F30/_xlfn.XLOOKUP($M30,'00_SKU_Master'!$B$2:$B$378,'00_SKU_Master'!$M$2:$M$378,0)/$M$2,"0")</f>
        <v/>
      </c>
      <c r="Q28" s="157">
        <f>_xludf.IFNA(G30/_xlfn.XLOOKUP($M30,'00_SKU_Master'!$B$2:$B$378,'00_SKU_Master'!$M$2:$M$378,0)/$M$2,"0")</f>
        <v/>
      </c>
      <c r="R28" s="157">
        <f>_xludf.IFNA(H30/_xlfn.XLOOKUP($M30,'00_SKU_Master'!$B$2:$B$378,'00_SKU_Master'!$M$2:$M$378,0)/$M$2,"0")</f>
        <v/>
      </c>
      <c r="S28" s="157">
        <f>_xludf.IFNA(I30/_xlfn.XLOOKUP($M30,'00_SKU_Master'!$B$2:$B$378,'00_SKU_Master'!$M$2:$M$378,0)/$M$2,"0")</f>
        <v/>
      </c>
      <c r="T28" s="157">
        <f>_xludf.IFNA(J30/_xlfn.XLOOKUP($M30,'00_SKU_Master'!$B$2:$B$378,'00_SKU_Master'!$M$2:$M$378,0)/$M$2,"0")</f>
        <v/>
      </c>
      <c r="U28" s="157">
        <f>SUM(N30:T30)</f>
        <v/>
      </c>
      <c r="V28" s="4" t="n"/>
      <c r="W28" s="4">
        <f>_xlfn.XLOOKUP(M30,'00_SKU_Master'!$B$2:$B$378,'00_SKU_Master'!D:D)</f>
        <v/>
      </c>
      <c r="X28" s="14">
        <f>'05_Daily_Orders'!B29</f>
        <v/>
      </c>
      <c r="Y28" s="588" t="n"/>
      <c r="Z28" s="589" t="n"/>
      <c r="AA28" s="589" t="n"/>
      <c r="AB28" s="589" t="n"/>
      <c r="AC28" s="589" t="n">
        <v>22</v>
      </c>
      <c r="AD28" s="589" t="n">
        <v>0</v>
      </c>
      <c r="AE28" s="589" t="n">
        <v>98</v>
      </c>
      <c r="AF28" s="587">
        <f>SUM(Y30:AE30)</f>
        <v/>
      </c>
      <c r="AH28" s="23" t="inlineStr">
        <is>
          <t>61086#2</t>
        </is>
      </c>
      <c r="AI28" s="219">
        <f>SUMIF($A$4:$A$234,AH30,$K$4:$K$274)</f>
        <v/>
      </c>
      <c r="AQ28" s="23" t="n">
        <v>88</v>
      </c>
      <c r="AR28" s="23" t="n">
        <v>0</v>
      </c>
      <c r="AS28" s="23">
        <f>AR30-AQ30</f>
        <v/>
      </c>
    </row>
    <row r="29">
      <c r="A29" s="148">
        <f>_xlfn.XLOOKUP(C31,'00_SKU_Master'!$B$2:$B$378,'00_SKU_Master'!$C$2:$C$378)</f>
        <v/>
      </c>
      <c r="B29" s="148" t="n"/>
      <c r="C29" s="148">
        <f>X31</f>
        <v/>
      </c>
      <c r="D29" s="586">
        <f>_xludf.IFNA(_xlfn.XLOOKUP(C31,'00_SKU_Master'!$B$2:$B$378,'00_SKU_Master'!$F$2:$F$378,0)*Y31,"")</f>
        <v/>
      </c>
      <c r="E29" s="586">
        <f>_xludf.IFNA(_xlfn.XLOOKUP(C31,'00_SKU_Master'!$B$2:$B$378,'00_SKU_Master'!$F$2:$F$378,0)*Z31,"")</f>
        <v/>
      </c>
      <c r="F29" s="586">
        <f>_xludf.IFNA(_xlfn.XLOOKUP(C31,'00_SKU_Master'!$B$2:$B$378,'00_SKU_Master'!$F$2:$F$378,0)*AA31,"")</f>
        <v/>
      </c>
      <c r="G29" s="586">
        <f>_xludf.IFNA(_xlfn.XLOOKUP(C31,'00_SKU_Master'!$B$2:$B$378,'00_SKU_Master'!$F$2:$F$378,0)*AB31,"")</f>
        <v/>
      </c>
      <c r="H29" s="586">
        <f>_xludf.IFNA(_xlfn.XLOOKUP(C31,'00_SKU_Master'!$B$2:$B$378,'00_SKU_Master'!$F$2:$F$378,0)*AC31,"")</f>
        <v/>
      </c>
      <c r="I29" s="586">
        <f>_xludf.IFNA(_xlfn.XLOOKUP(C31,'00_SKU_Master'!$B$2:$B$378,'00_SKU_Master'!$F$2:$F$378,0)*AD31,"")</f>
        <v/>
      </c>
      <c r="J29" s="586">
        <f>_xludf.IFNA(_xlfn.XLOOKUP(C31,'00_SKU_Master'!$B$2:$B$378,'00_SKU_Master'!$F$2:$F$378,0)*AE31,"")</f>
        <v/>
      </c>
      <c r="K29" s="587">
        <f>SUM(D31:J31)</f>
        <v/>
      </c>
      <c r="L29" s="197">
        <f>_xlfn.XLOOKUP(C31,'00_SKU_Master'!$B$2:$B$378,'00_SKU_Master'!K:K)</f>
        <v/>
      </c>
      <c r="M29" s="14">
        <f>X31</f>
        <v/>
      </c>
      <c r="N29" s="157">
        <f>_xludf.IFNA(D31/_xlfn.XLOOKUP($M31,'00_SKU_Master'!$B$2:$B$378,'00_SKU_Master'!$M$2:$M$378,0)/$M$2,"0")</f>
        <v/>
      </c>
      <c r="O29" s="157">
        <f>_xludf.IFNA(E31/_xlfn.XLOOKUP($M31,'00_SKU_Master'!$B$2:$B$378,'00_SKU_Master'!$M$2:$M$378,0)/$M$2,"0")</f>
        <v/>
      </c>
      <c r="P29" s="157">
        <f>_xludf.IFNA(F31/_xlfn.XLOOKUP($M31,'00_SKU_Master'!$B$2:$B$378,'00_SKU_Master'!$M$2:$M$378,0)/$M$2,"0")</f>
        <v/>
      </c>
      <c r="Q29" s="157">
        <f>_xludf.IFNA(G31/_xlfn.XLOOKUP($M31,'00_SKU_Master'!$B$2:$B$378,'00_SKU_Master'!$M$2:$M$378,0)/$M$2,"0")</f>
        <v/>
      </c>
      <c r="R29" s="157">
        <f>_xludf.IFNA(H31/_xlfn.XLOOKUP($M31,'00_SKU_Master'!$B$2:$B$378,'00_SKU_Master'!$M$2:$M$378,0)/$M$2,"0")</f>
        <v/>
      </c>
      <c r="S29" s="157">
        <f>_xludf.IFNA(I31/_xlfn.XLOOKUP($M31,'00_SKU_Master'!$B$2:$B$378,'00_SKU_Master'!$M$2:$M$378,0)/$M$2,"0")</f>
        <v/>
      </c>
      <c r="T29" s="157">
        <f>_xludf.IFNA(J31/_xlfn.XLOOKUP($M31,'00_SKU_Master'!$B$2:$B$378,'00_SKU_Master'!$M$2:$M$378,0)/$M$2,"0")</f>
        <v/>
      </c>
      <c r="U29" s="157">
        <f>SUM(N31:T31)</f>
        <v/>
      </c>
      <c r="V29" s="4" t="n"/>
      <c r="W29" s="4">
        <f>_xlfn.XLOOKUP(M31,'00_SKU_Master'!$B$2:$B$378,'00_SKU_Master'!D:D)</f>
        <v/>
      </c>
      <c r="X29" s="14">
        <f>'05_Daily_Orders'!B30</f>
        <v/>
      </c>
      <c r="Y29" s="588" t="n"/>
      <c r="Z29" s="589" t="n"/>
      <c r="AA29" s="589" t="n"/>
      <c r="AB29" s="589" t="n"/>
      <c r="AC29" s="589" t="n">
        <v>49</v>
      </c>
      <c r="AD29" s="589" t="n">
        <v>0</v>
      </c>
      <c r="AE29" s="589" t="n">
        <v>148</v>
      </c>
      <c r="AF29" s="587">
        <f>SUM(Y31:AE31)</f>
        <v/>
      </c>
      <c r="AH29" s="40" t="n">
        <v>61087</v>
      </c>
      <c r="AI29" s="219">
        <f>SUMIF($A$4:$A$234,AH31,$K$4:$K$274)</f>
        <v/>
      </c>
      <c r="AQ29" s="23" t="n">
        <v>0</v>
      </c>
      <c r="AR29" s="23" t="n">
        <v>97</v>
      </c>
      <c r="AS29" s="23">
        <f>AR31-AQ31</f>
        <v/>
      </c>
    </row>
    <row r="30">
      <c r="A30" s="148">
        <f>_xlfn.XLOOKUP(C32,'00_SKU_Master'!$B$2:$B$378,'00_SKU_Master'!$C$2:$C$378)</f>
        <v/>
      </c>
      <c r="B30" s="148" t="n"/>
      <c r="C30" s="148">
        <f>X32</f>
        <v/>
      </c>
      <c r="D30" s="586">
        <f>_xludf.IFNA(_xlfn.XLOOKUP(C32,'00_SKU_Master'!$B$2:$B$378,'00_SKU_Master'!$F$2:$F$378,0)*Y32,"")</f>
        <v/>
      </c>
      <c r="E30" s="586">
        <f>_xludf.IFNA(_xlfn.XLOOKUP(C32,'00_SKU_Master'!$B$2:$B$378,'00_SKU_Master'!$F$2:$F$378,0)*Z32,"")</f>
        <v/>
      </c>
      <c r="F30" s="586">
        <f>_xludf.IFNA(_xlfn.XLOOKUP(C32,'00_SKU_Master'!$B$2:$B$378,'00_SKU_Master'!$F$2:$F$378,0)*AA32,"")</f>
        <v/>
      </c>
      <c r="G30" s="586">
        <f>_xludf.IFNA(_xlfn.XLOOKUP(C32,'00_SKU_Master'!$B$2:$B$378,'00_SKU_Master'!$F$2:$F$378,0)*AB32,"")</f>
        <v/>
      </c>
      <c r="H30" s="586">
        <f>_xludf.IFNA(_xlfn.XLOOKUP(C32,'00_SKU_Master'!$B$2:$B$378,'00_SKU_Master'!$F$2:$F$378,0)*AC32,"")</f>
        <v/>
      </c>
      <c r="I30" s="586">
        <f>_xludf.IFNA(_xlfn.XLOOKUP(C32,'00_SKU_Master'!$B$2:$B$378,'00_SKU_Master'!$F$2:$F$378,0)*AD32,"")</f>
        <v/>
      </c>
      <c r="J30" s="586">
        <f>_xludf.IFNA(_xlfn.XLOOKUP(C32,'00_SKU_Master'!$B$2:$B$378,'00_SKU_Master'!$F$2:$F$378,0)*AE32,"")</f>
        <v/>
      </c>
      <c r="K30" s="587">
        <f>SUM(D32:J32)</f>
        <v/>
      </c>
      <c r="L30" s="197">
        <f>_xlfn.XLOOKUP(C32,'00_SKU_Master'!$B$2:$B$378,'00_SKU_Master'!K:K)</f>
        <v/>
      </c>
      <c r="M30" s="14">
        <f>X32</f>
        <v/>
      </c>
      <c r="N30" s="157">
        <f>_xludf.IFNA(D32/_xlfn.XLOOKUP($M32,'00_SKU_Master'!$B$2:$B$378,'00_SKU_Master'!$M$2:$M$378,0)/$M$2,"0")</f>
        <v/>
      </c>
      <c r="O30" s="157">
        <f>_xludf.IFNA(E32/_xlfn.XLOOKUP($M32,'00_SKU_Master'!$B$2:$B$378,'00_SKU_Master'!$M$2:$M$378,0)/$M$2,"0")</f>
        <v/>
      </c>
      <c r="P30" s="157">
        <f>_xludf.IFNA(F32/_xlfn.XLOOKUP($M32,'00_SKU_Master'!$B$2:$B$378,'00_SKU_Master'!$M$2:$M$378,0)/$M$2,"0")</f>
        <v/>
      </c>
      <c r="Q30" s="157">
        <f>_xludf.IFNA(G32/_xlfn.XLOOKUP($M32,'00_SKU_Master'!$B$2:$B$378,'00_SKU_Master'!$M$2:$M$378,0)/$M$2,"0")</f>
        <v/>
      </c>
      <c r="R30" s="157">
        <f>_xludf.IFNA(H32/_xlfn.XLOOKUP($M32,'00_SKU_Master'!$B$2:$B$378,'00_SKU_Master'!$M$2:$M$378,0)/$M$2,"0")</f>
        <v/>
      </c>
      <c r="S30" s="157">
        <f>_xludf.IFNA(I32/_xlfn.XLOOKUP($M32,'00_SKU_Master'!$B$2:$B$378,'00_SKU_Master'!$M$2:$M$378,0)/$M$2,"0")</f>
        <v/>
      </c>
      <c r="T30" s="157">
        <f>_xludf.IFNA(J32/_xlfn.XLOOKUP($M32,'00_SKU_Master'!$B$2:$B$378,'00_SKU_Master'!$M$2:$M$378,0)/$M$2,"0")</f>
        <v/>
      </c>
      <c r="U30" s="157">
        <f>SUM(N32:T32)</f>
        <v/>
      </c>
      <c r="V30" s="4" t="n"/>
      <c r="W30" s="4">
        <f>_xlfn.XLOOKUP(M32,'00_SKU_Master'!$B$2:$B$378,'00_SKU_Master'!D:D)</f>
        <v/>
      </c>
      <c r="X30" s="14">
        <f>'05_Daily_Orders'!B31</f>
        <v/>
      </c>
      <c r="Y30" s="588" t="n"/>
      <c r="Z30" s="589" t="n"/>
      <c r="AA30" s="589" t="n"/>
      <c r="AB30" s="589" t="n"/>
      <c r="AC30" s="589" t="n">
        <v>55</v>
      </c>
      <c r="AD30" s="589" t="n">
        <v>0</v>
      </c>
      <c r="AE30" s="589" t="n">
        <v>31</v>
      </c>
      <c r="AF30" s="587">
        <f>SUM(Y32:AE32)</f>
        <v/>
      </c>
      <c r="AQ30" s="23" t="n">
        <v>14</v>
      </c>
      <c r="AR30" s="23" t="n">
        <v>0</v>
      </c>
      <c r="AS30" s="23">
        <f>AR32-AQ32</f>
        <v/>
      </c>
    </row>
    <row r="31">
      <c r="A31" s="148">
        <f>_xlfn.XLOOKUP(C33,'00_SKU_Master'!$B$2:$B$378,'00_SKU_Master'!$C$2:$C$378)</f>
        <v/>
      </c>
      <c r="B31" s="148" t="n"/>
      <c r="C31" s="148">
        <f>X33</f>
        <v/>
      </c>
      <c r="D31" s="586">
        <f>_xludf.IFNA(_xlfn.XLOOKUP(C33,'00_SKU_Master'!$B$2:$B$378,'00_SKU_Master'!$F$2:$F$378,0)*Y33,"")</f>
        <v/>
      </c>
      <c r="E31" s="586">
        <f>_xludf.IFNA(_xlfn.XLOOKUP(C33,'00_SKU_Master'!$B$2:$B$378,'00_SKU_Master'!$F$2:$F$378,0)*Z33,"")</f>
        <v/>
      </c>
      <c r="F31" s="586">
        <f>_xludf.IFNA(_xlfn.XLOOKUP(C33,'00_SKU_Master'!$B$2:$B$378,'00_SKU_Master'!$F$2:$F$378,0)*AA33,"")</f>
        <v/>
      </c>
      <c r="G31" s="586">
        <f>_xludf.IFNA(_xlfn.XLOOKUP(C33,'00_SKU_Master'!$B$2:$B$378,'00_SKU_Master'!$F$2:$F$378,0)*AB33,"")</f>
        <v/>
      </c>
      <c r="H31" s="586">
        <f>_xludf.IFNA(_xlfn.XLOOKUP(C33,'00_SKU_Master'!$B$2:$B$378,'00_SKU_Master'!$F$2:$F$378,0)*AC33,"")</f>
        <v/>
      </c>
      <c r="I31" s="586">
        <f>_xludf.IFNA(_xlfn.XLOOKUP(C33,'00_SKU_Master'!$B$2:$B$378,'00_SKU_Master'!$F$2:$F$378,0)*AD33,"")</f>
        <v/>
      </c>
      <c r="J31" s="586">
        <f>_xludf.IFNA(_xlfn.XLOOKUP(C33,'00_SKU_Master'!$B$2:$B$378,'00_SKU_Master'!$F$2:$F$378,0)*AE33,"")</f>
        <v/>
      </c>
      <c r="K31" s="587">
        <f>SUM(D33:J33)</f>
        <v/>
      </c>
      <c r="L31" s="197">
        <f>_xlfn.XLOOKUP(C33,'00_SKU_Master'!$B$2:$B$378,'00_SKU_Master'!K:K)</f>
        <v/>
      </c>
      <c r="M31" s="14">
        <f>X33</f>
        <v/>
      </c>
      <c r="N31" s="157">
        <f>_xludf.IFNA(D33/_xlfn.XLOOKUP($M33,'00_SKU_Master'!$B$2:$B$378,'00_SKU_Master'!$M$2:$M$378,0)/$M$2,"0")</f>
        <v/>
      </c>
      <c r="O31" s="157">
        <f>_xludf.IFNA(E33/_xlfn.XLOOKUP($M33,'00_SKU_Master'!$B$2:$B$378,'00_SKU_Master'!$M$2:$M$378,0)/$M$2,"0")</f>
        <v/>
      </c>
      <c r="P31" s="157">
        <f>_xludf.IFNA(F33/_xlfn.XLOOKUP($M33,'00_SKU_Master'!$B$2:$B$378,'00_SKU_Master'!$M$2:$M$378,0)/$M$2,"0")</f>
        <v/>
      </c>
      <c r="Q31" s="157">
        <f>_xludf.IFNA(G33/_xlfn.XLOOKUP($M33,'00_SKU_Master'!$B$2:$B$378,'00_SKU_Master'!$M$2:$M$378,0)/$M$2,"0")</f>
        <v/>
      </c>
      <c r="R31" s="157">
        <f>_xludf.IFNA(H33/_xlfn.XLOOKUP($M33,'00_SKU_Master'!$B$2:$B$378,'00_SKU_Master'!$M$2:$M$378,0)/$M$2,"0")</f>
        <v/>
      </c>
      <c r="S31" s="157">
        <f>_xludf.IFNA(I33/_xlfn.XLOOKUP($M33,'00_SKU_Master'!$B$2:$B$378,'00_SKU_Master'!$M$2:$M$378,0)/$M$2,"0")</f>
        <v/>
      </c>
      <c r="T31" s="157">
        <f>_xludf.IFNA(J33/_xlfn.XLOOKUP($M33,'00_SKU_Master'!$B$2:$B$378,'00_SKU_Master'!$M$2:$M$378,0)/$M$2,"0")</f>
        <v/>
      </c>
      <c r="U31" s="157">
        <f>SUM(N33:T33)</f>
        <v/>
      </c>
      <c r="V31" s="4" t="n"/>
      <c r="W31" s="4">
        <f>_xlfn.XLOOKUP(M33,'00_SKU_Master'!$B$2:$B$378,'00_SKU_Master'!D:D)</f>
        <v/>
      </c>
      <c r="X31" s="14">
        <f>'05_Daily_Orders'!B32</f>
        <v/>
      </c>
      <c r="Y31" s="588" t="n"/>
      <c r="Z31" s="589" t="n"/>
      <c r="AA31" s="589" t="n"/>
      <c r="AB31" s="589" t="n"/>
      <c r="AC31" s="589" t="n">
        <v>130</v>
      </c>
      <c r="AD31" s="589" t="n">
        <v>0</v>
      </c>
      <c r="AE31" s="589" t="n">
        <v>0</v>
      </c>
      <c r="AF31" s="587">
        <f>SUM(Y33:AE33)</f>
        <v/>
      </c>
      <c r="AH31" s="23" t="inlineStr">
        <is>
          <t>AVG/DAY</t>
        </is>
      </c>
      <c r="AI31" s="219">
        <f>SUM(AI27:AI31)*25/[1]Plan!C5</f>
        <v/>
      </c>
      <c r="AQ31" s="23" t="n">
        <v>1</v>
      </c>
      <c r="AR31" s="23" t="n">
        <v>0</v>
      </c>
      <c r="AS31" s="23">
        <f>AR33-AQ33</f>
        <v/>
      </c>
    </row>
    <row r="32">
      <c r="A32" s="148">
        <f>_xlfn.XLOOKUP(C34,'00_SKU_Master'!$B$2:$B$378,'00_SKU_Master'!$C$2:$C$378)</f>
        <v/>
      </c>
      <c r="B32" s="148" t="n"/>
      <c r="C32" s="148">
        <f>X34</f>
        <v/>
      </c>
      <c r="D32" s="586">
        <f>_xludf.IFNA(_xlfn.XLOOKUP(C34,'00_SKU_Master'!$B$2:$B$378,'00_SKU_Master'!$F$2:$F$378,0)*Y34,"")</f>
        <v/>
      </c>
      <c r="E32" s="586">
        <f>_xludf.IFNA(_xlfn.XLOOKUP(C34,'00_SKU_Master'!$B$2:$B$378,'00_SKU_Master'!$F$2:$F$378,0)*Z34,"")</f>
        <v/>
      </c>
      <c r="F32" s="586">
        <f>_xludf.IFNA(_xlfn.XLOOKUP(C34,'00_SKU_Master'!$B$2:$B$378,'00_SKU_Master'!$F$2:$F$378,0)*AA34,"")</f>
        <v/>
      </c>
      <c r="G32" s="586">
        <f>_xludf.IFNA(_xlfn.XLOOKUP(C34,'00_SKU_Master'!$B$2:$B$378,'00_SKU_Master'!$F$2:$F$378,0)*AB34,"")</f>
        <v/>
      </c>
      <c r="H32" s="586">
        <f>_xludf.IFNA(_xlfn.XLOOKUP(C34,'00_SKU_Master'!$B$2:$B$378,'00_SKU_Master'!$F$2:$F$378,0)*AC34,"")</f>
        <v/>
      </c>
      <c r="I32" s="586">
        <f>_xludf.IFNA(_xlfn.XLOOKUP(C34,'00_SKU_Master'!$B$2:$B$378,'00_SKU_Master'!$F$2:$F$378,0)*AD34,"")</f>
        <v/>
      </c>
      <c r="J32" s="586">
        <f>_xludf.IFNA(_xlfn.XLOOKUP(C34,'00_SKU_Master'!$B$2:$B$378,'00_SKU_Master'!$F$2:$F$378,0)*AE34,"")</f>
        <v/>
      </c>
      <c r="K32" s="587">
        <f>SUM(D34:J34)</f>
        <v/>
      </c>
      <c r="L32" s="197">
        <f>_xlfn.XLOOKUP(C34,'00_SKU_Master'!$B$2:$B$378,'00_SKU_Master'!K:K)</f>
        <v/>
      </c>
      <c r="M32" s="14">
        <f>X34</f>
        <v/>
      </c>
      <c r="N32" s="157">
        <f>_xludf.IFNA(D34/_xlfn.XLOOKUP($M34,'00_SKU_Master'!$B$2:$B$378,'00_SKU_Master'!$M$2:$M$378,0)/$M$2,"0")</f>
        <v/>
      </c>
      <c r="O32" s="157">
        <f>_xludf.IFNA(E34/_xlfn.XLOOKUP($M34,'00_SKU_Master'!$B$2:$B$378,'00_SKU_Master'!$M$2:$M$378,0)/$M$2,"0")</f>
        <v/>
      </c>
      <c r="P32" s="157">
        <f>_xludf.IFNA(F34/_xlfn.XLOOKUP($M34,'00_SKU_Master'!$B$2:$B$378,'00_SKU_Master'!$M$2:$M$378,0)/$M$2,"0")</f>
        <v/>
      </c>
      <c r="Q32" s="157">
        <f>_xludf.IFNA(G34/_xlfn.XLOOKUP($M34,'00_SKU_Master'!$B$2:$B$378,'00_SKU_Master'!$M$2:$M$378,0)/$M$2,"0")</f>
        <v/>
      </c>
      <c r="R32" s="157">
        <f>_xludf.IFNA(H34/_xlfn.XLOOKUP($M34,'00_SKU_Master'!$B$2:$B$378,'00_SKU_Master'!$M$2:$M$378,0)/$M$2,"0")</f>
        <v/>
      </c>
      <c r="S32" s="157">
        <f>_xludf.IFNA(I34/_xlfn.XLOOKUP($M34,'00_SKU_Master'!$B$2:$B$378,'00_SKU_Master'!$M$2:$M$378,0)/$M$2,"0")</f>
        <v/>
      </c>
      <c r="T32" s="157">
        <f>_xludf.IFNA(J34/_xlfn.XLOOKUP($M34,'00_SKU_Master'!$B$2:$B$378,'00_SKU_Master'!$M$2:$M$378,0)/$M$2,"0")</f>
        <v/>
      </c>
      <c r="U32" s="157">
        <f>SUM(N34:T34)</f>
        <v/>
      </c>
      <c r="V32" s="4" t="n"/>
      <c r="W32" s="4">
        <f>_xlfn.XLOOKUP(M34,'00_SKU_Master'!$B$2:$B$378,'00_SKU_Master'!D:D)</f>
        <v/>
      </c>
      <c r="X32" s="14">
        <f>'05_Daily_Orders'!B33</f>
        <v/>
      </c>
      <c r="Y32" s="588" t="n"/>
      <c r="Z32" s="589" t="n"/>
      <c r="AA32" s="589" t="n"/>
      <c r="AB32" s="589" t="n"/>
      <c r="AC32" s="589" t="n">
        <v>160</v>
      </c>
      <c r="AD32" s="589" t="n">
        <v>0</v>
      </c>
      <c r="AE32" s="589" t="n">
        <v>0</v>
      </c>
      <c r="AF32" s="587">
        <f>SUM(Y34:AE34)</f>
        <v/>
      </c>
      <c r="AQ32" s="23" t="n">
        <v>0</v>
      </c>
      <c r="AR32" s="23" t="n">
        <v>1</v>
      </c>
      <c r="AS32" s="23">
        <f>AR34-AQ34</f>
        <v/>
      </c>
    </row>
    <row r="33">
      <c r="A33" s="148">
        <f>_xlfn.XLOOKUP(C35,'00_SKU_Master'!$B$2:$B$378,'00_SKU_Master'!$C$2:$C$378)</f>
        <v/>
      </c>
      <c r="B33" s="148" t="n"/>
      <c r="C33" s="148">
        <f>X35</f>
        <v/>
      </c>
      <c r="D33" s="586">
        <f>_xludf.IFNA(_xlfn.XLOOKUP(C35,'00_SKU_Master'!$B$2:$B$378,'00_SKU_Master'!$F$2:$F$378,0)*Y35,"")</f>
        <v/>
      </c>
      <c r="E33" s="586">
        <f>_xludf.IFNA(_xlfn.XLOOKUP(C35,'00_SKU_Master'!$B$2:$B$378,'00_SKU_Master'!$F$2:$F$378,0)*Z35,"")</f>
        <v/>
      </c>
      <c r="F33" s="586">
        <f>_xludf.IFNA(_xlfn.XLOOKUP(C35,'00_SKU_Master'!$B$2:$B$378,'00_SKU_Master'!$F$2:$F$378,0)*AA35,"")</f>
        <v/>
      </c>
      <c r="G33" s="586">
        <f>_xludf.IFNA(_xlfn.XLOOKUP(C35,'00_SKU_Master'!$B$2:$B$378,'00_SKU_Master'!$F$2:$F$378,0)*AB35,"")</f>
        <v/>
      </c>
      <c r="H33" s="586">
        <f>_xludf.IFNA(_xlfn.XLOOKUP(C35,'00_SKU_Master'!$B$2:$B$378,'00_SKU_Master'!$F$2:$F$378,0)*AC35,"")</f>
        <v/>
      </c>
      <c r="I33" s="586">
        <f>_xludf.IFNA(_xlfn.XLOOKUP(C35,'00_SKU_Master'!$B$2:$B$378,'00_SKU_Master'!$F$2:$F$378,0)*AD35,"")</f>
        <v/>
      </c>
      <c r="J33" s="586">
        <f>_xludf.IFNA(_xlfn.XLOOKUP(C35,'00_SKU_Master'!$B$2:$B$378,'00_SKU_Master'!$F$2:$F$378,0)*AE35,"")</f>
        <v/>
      </c>
      <c r="K33" s="587">
        <f>SUM(D35:J35)</f>
        <v/>
      </c>
      <c r="L33" s="197">
        <f>_xlfn.XLOOKUP(C35,'00_SKU_Master'!$B$2:$B$378,'00_SKU_Master'!K:K)</f>
        <v/>
      </c>
      <c r="M33" s="14">
        <f>X35</f>
        <v/>
      </c>
      <c r="N33" s="157">
        <f>_xludf.IFNA(D35/_xlfn.XLOOKUP($M35,'00_SKU_Master'!$B$2:$B$378,'00_SKU_Master'!$M$2:$M$378,0)/$M$2,"0")</f>
        <v/>
      </c>
      <c r="O33" s="157">
        <f>_xludf.IFNA(E35/_xlfn.XLOOKUP($M35,'00_SKU_Master'!$B$2:$B$378,'00_SKU_Master'!$M$2:$M$378,0)/$M$2,"0")</f>
        <v/>
      </c>
      <c r="P33" s="157">
        <f>_xludf.IFNA(F35/_xlfn.XLOOKUP($M35,'00_SKU_Master'!$B$2:$B$378,'00_SKU_Master'!$M$2:$M$378,0)/$M$2,"0")</f>
        <v/>
      </c>
      <c r="Q33" s="157">
        <f>_xludf.IFNA(G35/_xlfn.XLOOKUP($M35,'00_SKU_Master'!$B$2:$B$378,'00_SKU_Master'!$M$2:$M$378,0)/$M$2,"0")</f>
        <v/>
      </c>
      <c r="R33" s="157">
        <f>_xludf.IFNA(H35/_xlfn.XLOOKUP($M35,'00_SKU_Master'!$B$2:$B$378,'00_SKU_Master'!$M$2:$M$378,0)/$M$2,"0")</f>
        <v/>
      </c>
      <c r="S33" s="157">
        <f>_xludf.IFNA(I35/_xlfn.XLOOKUP($M35,'00_SKU_Master'!$B$2:$B$378,'00_SKU_Master'!$M$2:$M$378,0)/$M$2,"0")</f>
        <v/>
      </c>
      <c r="T33" s="157">
        <f>_xludf.IFNA(J35/_xlfn.XLOOKUP($M35,'00_SKU_Master'!$B$2:$B$378,'00_SKU_Master'!$M$2:$M$378,0)/$M$2,"0")</f>
        <v/>
      </c>
      <c r="U33" s="157">
        <f>SUM(N35:T35)</f>
        <v/>
      </c>
      <c r="V33" s="4" t="n"/>
      <c r="W33" s="4">
        <f>_xlfn.XLOOKUP(M35,'00_SKU_Master'!$B$2:$B$378,'00_SKU_Master'!D:D)</f>
        <v/>
      </c>
      <c r="X33" s="14">
        <f>'05_Daily_Orders'!B34</f>
        <v/>
      </c>
      <c r="Y33" s="588" t="n"/>
      <c r="Z33" s="589" t="n"/>
      <c r="AA33" s="589" t="n"/>
      <c r="AB33" s="589" t="n"/>
      <c r="AC33" s="589" t="n">
        <v>0</v>
      </c>
      <c r="AD33" s="589" t="n">
        <v>0</v>
      </c>
      <c r="AE33" s="589" t="n">
        <v>0</v>
      </c>
      <c r="AF33" s="587">
        <f>SUM(Y35:AE35)</f>
        <v/>
      </c>
      <c r="AQ33" s="23" t="n">
        <v>0</v>
      </c>
      <c r="AR33" s="23" t="n">
        <v>0</v>
      </c>
      <c r="AS33" s="23">
        <f>AR35-AQ35</f>
        <v/>
      </c>
    </row>
    <row r="34">
      <c r="A34" s="148">
        <f>_xlfn.XLOOKUP(C36,'00_SKU_Master'!$B$2:$B$378,'00_SKU_Master'!$C$2:$C$378)</f>
        <v/>
      </c>
      <c r="B34" s="148" t="n"/>
      <c r="C34" s="148">
        <f>X36</f>
        <v/>
      </c>
      <c r="D34" s="586">
        <f>_xludf.IFNA(_xlfn.XLOOKUP(C36,'00_SKU_Master'!$B$2:$B$378,'00_SKU_Master'!$F$2:$F$378,0)*Y36,"")</f>
        <v/>
      </c>
      <c r="E34" s="586">
        <f>_xludf.IFNA(_xlfn.XLOOKUP(C36,'00_SKU_Master'!$B$2:$B$378,'00_SKU_Master'!$F$2:$F$378,0)*Z36,"")</f>
        <v/>
      </c>
      <c r="F34" s="586">
        <f>_xludf.IFNA(_xlfn.XLOOKUP(C36,'00_SKU_Master'!$B$2:$B$378,'00_SKU_Master'!$F$2:$F$378,0)*AA36,"")</f>
        <v/>
      </c>
      <c r="G34" s="586">
        <f>_xludf.IFNA(_xlfn.XLOOKUP(C36,'00_SKU_Master'!$B$2:$B$378,'00_SKU_Master'!$F$2:$F$378,0)*AB36,"")</f>
        <v/>
      </c>
      <c r="H34" s="586">
        <f>_xludf.IFNA(_xlfn.XLOOKUP(C36,'00_SKU_Master'!$B$2:$B$378,'00_SKU_Master'!$F$2:$F$378,0)*AC36,"")</f>
        <v/>
      </c>
      <c r="I34" s="586">
        <f>_xludf.IFNA(_xlfn.XLOOKUP(C36,'00_SKU_Master'!$B$2:$B$378,'00_SKU_Master'!$F$2:$F$378,0)*AD36,"")</f>
        <v/>
      </c>
      <c r="J34" s="586">
        <f>_xludf.IFNA(_xlfn.XLOOKUP(C36,'00_SKU_Master'!$B$2:$B$378,'00_SKU_Master'!$F$2:$F$378,0)*AE36,"")</f>
        <v/>
      </c>
      <c r="K34" s="587">
        <f>SUM(D36:J36)</f>
        <v/>
      </c>
      <c r="L34" s="197">
        <f>_xlfn.XLOOKUP(C36,'00_SKU_Master'!$B$2:$B$378,'00_SKU_Master'!K:K)</f>
        <v/>
      </c>
      <c r="M34" s="14">
        <f>X36</f>
        <v/>
      </c>
      <c r="N34" s="157">
        <f>_xludf.IFNA(D36/_xlfn.XLOOKUP($M36,'00_SKU_Master'!$B$2:$B$378,'00_SKU_Master'!$M$2:$M$378,0)/$M$2,"0")</f>
        <v/>
      </c>
      <c r="O34" s="157">
        <f>_xludf.IFNA(E36/_xlfn.XLOOKUP($M36,'00_SKU_Master'!$B$2:$B$378,'00_SKU_Master'!$M$2:$M$378,0)/$M$2,"0")</f>
        <v/>
      </c>
      <c r="P34" s="157">
        <f>_xludf.IFNA(F36/_xlfn.XLOOKUP($M36,'00_SKU_Master'!$B$2:$B$378,'00_SKU_Master'!$M$2:$M$378,0)/$M$2,"0")</f>
        <v/>
      </c>
      <c r="Q34" s="157">
        <f>_xludf.IFNA(G36/_xlfn.XLOOKUP($M36,'00_SKU_Master'!$B$2:$B$378,'00_SKU_Master'!$M$2:$M$378,0)/$M$2,"0")</f>
        <v/>
      </c>
      <c r="R34" s="157">
        <f>_xludf.IFNA(H36/_xlfn.XLOOKUP($M36,'00_SKU_Master'!$B$2:$B$378,'00_SKU_Master'!$M$2:$M$378,0)/$M$2,"0")</f>
        <v/>
      </c>
      <c r="S34" s="157">
        <f>_xludf.IFNA(I36/_xlfn.XLOOKUP($M36,'00_SKU_Master'!$B$2:$B$378,'00_SKU_Master'!$M$2:$M$378,0)/$M$2,"0")</f>
        <v/>
      </c>
      <c r="T34" s="157">
        <f>_xludf.IFNA(J36/_xlfn.XLOOKUP($M36,'00_SKU_Master'!$B$2:$B$378,'00_SKU_Master'!$M$2:$M$378,0)/$M$2,"0")</f>
        <v/>
      </c>
      <c r="U34" s="157">
        <f>SUM(N36:T36)</f>
        <v/>
      </c>
      <c r="V34" s="4" t="n"/>
      <c r="W34" s="4">
        <f>_xlfn.XLOOKUP(M36,'00_SKU_Master'!$B$2:$B$378,'00_SKU_Master'!D:D)</f>
        <v/>
      </c>
      <c r="X34" s="14">
        <f>'05_Daily_Orders'!B35</f>
        <v/>
      </c>
      <c r="Y34" s="588" t="n"/>
      <c r="Z34" s="589" t="n"/>
      <c r="AA34" s="589" t="n"/>
      <c r="AB34" s="589" t="n"/>
      <c r="AC34" s="589" t="n">
        <v>300</v>
      </c>
      <c r="AD34" s="589" t="n">
        <v>0</v>
      </c>
      <c r="AE34" s="589" t="n">
        <v>0</v>
      </c>
      <c r="AF34" s="587">
        <f>SUM(Y36:AE36)</f>
        <v/>
      </c>
      <c r="AQ34" s="23" t="n">
        <v>0</v>
      </c>
      <c r="AR34" s="23" t="n">
        <v>60</v>
      </c>
      <c r="AS34" s="23">
        <f>AR36-AQ36</f>
        <v/>
      </c>
    </row>
    <row r="35">
      <c r="A35" s="148">
        <f>_xlfn.XLOOKUP(C37,'00_SKU_Master'!$B$2:$B$378,'00_SKU_Master'!$C$2:$C$378)</f>
        <v/>
      </c>
      <c r="B35" s="148" t="n"/>
      <c r="C35" s="148">
        <f>X37</f>
        <v/>
      </c>
      <c r="D35" s="586">
        <f>_xludf.IFNA(_xlfn.XLOOKUP(C37,'00_SKU_Master'!$B$2:$B$378,'00_SKU_Master'!$F$2:$F$378,0)*Y37,"")</f>
        <v/>
      </c>
      <c r="E35" s="586">
        <f>_xludf.IFNA(_xlfn.XLOOKUP(C37,'00_SKU_Master'!$B$2:$B$378,'00_SKU_Master'!$F$2:$F$378,0)*Z37,"")</f>
        <v/>
      </c>
      <c r="F35" s="586">
        <f>_xludf.IFNA(_xlfn.XLOOKUP(C37,'00_SKU_Master'!$B$2:$B$378,'00_SKU_Master'!$F$2:$F$378,0)*AA37,"")</f>
        <v/>
      </c>
      <c r="G35" s="586">
        <f>_xludf.IFNA(_xlfn.XLOOKUP(C37,'00_SKU_Master'!$B$2:$B$378,'00_SKU_Master'!$F$2:$F$378,0)*AB37,"")</f>
        <v/>
      </c>
      <c r="H35" s="586">
        <f>_xludf.IFNA(_xlfn.XLOOKUP(C37,'00_SKU_Master'!$B$2:$B$378,'00_SKU_Master'!$F$2:$F$378,0)*AC37,"")</f>
        <v/>
      </c>
      <c r="I35" s="586">
        <f>_xludf.IFNA(_xlfn.XLOOKUP(C37,'00_SKU_Master'!$B$2:$B$378,'00_SKU_Master'!$F$2:$F$378,0)*AD37,"")</f>
        <v/>
      </c>
      <c r="J35" s="586">
        <f>_xludf.IFNA(_xlfn.XLOOKUP(C37,'00_SKU_Master'!$B$2:$B$378,'00_SKU_Master'!$F$2:$F$378,0)*AE37,"")</f>
        <v/>
      </c>
      <c r="K35" s="587">
        <f>SUM(D37:J37)</f>
        <v/>
      </c>
      <c r="L35" s="197">
        <f>_xlfn.XLOOKUP(C37,'00_SKU_Master'!$B$2:$B$378,'00_SKU_Master'!K:K)</f>
        <v/>
      </c>
      <c r="M35" s="14">
        <f>X37</f>
        <v/>
      </c>
      <c r="N35" s="157">
        <f>_xludf.IFNA(D37/_xlfn.XLOOKUP($M37,'00_SKU_Master'!$B$2:$B$378,'00_SKU_Master'!$M$2:$M$378,0)/$M$2,"0")</f>
        <v/>
      </c>
      <c r="O35" s="157">
        <f>_xludf.IFNA(E37/_xlfn.XLOOKUP($M37,'00_SKU_Master'!$B$2:$B$378,'00_SKU_Master'!$M$2:$M$378,0)/$M$2,"0")</f>
        <v/>
      </c>
      <c r="P35" s="157">
        <f>_xludf.IFNA(F37/_xlfn.XLOOKUP($M37,'00_SKU_Master'!$B$2:$B$378,'00_SKU_Master'!$M$2:$M$378,0)/$M$2,"0")</f>
        <v/>
      </c>
      <c r="Q35" s="157">
        <f>_xludf.IFNA(G37/_xlfn.XLOOKUP($M37,'00_SKU_Master'!$B$2:$B$378,'00_SKU_Master'!$M$2:$M$378,0)/$M$2,"0")</f>
        <v/>
      </c>
      <c r="R35" s="157">
        <f>_xludf.IFNA(H37/_xlfn.XLOOKUP($M37,'00_SKU_Master'!$B$2:$B$378,'00_SKU_Master'!$M$2:$M$378,0)/$M$2,"0")</f>
        <v/>
      </c>
      <c r="S35" s="157">
        <f>_xludf.IFNA(I37/_xlfn.XLOOKUP($M37,'00_SKU_Master'!$B$2:$B$378,'00_SKU_Master'!$M$2:$M$378,0)/$M$2,"0")</f>
        <v/>
      </c>
      <c r="T35" s="157">
        <f>_xludf.IFNA(J37/_xlfn.XLOOKUP($M37,'00_SKU_Master'!$B$2:$B$378,'00_SKU_Master'!$M$2:$M$378,0)/$M$2,"0")</f>
        <v/>
      </c>
      <c r="U35" s="157">
        <f>SUM(N37:T37)</f>
        <v/>
      </c>
      <c r="V35" s="4" t="n"/>
      <c r="W35" s="4">
        <f>_xlfn.XLOOKUP(M37,'00_SKU_Master'!$B$2:$B$378,'00_SKU_Master'!D:D)</f>
        <v/>
      </c>
      <c r="X35" s="14">
        <f>'05_Daily_Orders'!B36</f>
        <v/>
      </c>
      <c r="Y35" s="588" t="n"/>
      <c r="Z35" s="589" t="n"/>
      <c r="AA35" s="589" t="n"/>
      <c r="AB35" s="589" t="n"/>
      <c r="AC35" s="589" t="n">
        <v>150</v>
      </c>
      <c r="AD35" s="589" t="n">
        <v>0</v>
      </c>
      <c r="AE35" s="589" t="n">
        <v>0</v>
      </c>
      <c r="AF35" s="587">
        <f>SUM(Y37:AE37)</f>
        <v/>
      </c>
      <c r="AQ35" s="23" t="n">
        <v>0</v>
      </c>
      <c r="AR35" s="23" t="n">
        <v>0</v>
      </c>
      <c r="AS35" s="23">
        <f>AR37-AQ37</f>
        <v/>
      </c>
    </row>
    <row r="36">
      <c r="A36" s="148">
        <f>_xlfn.XLOOKUP(C38,'00_SKU_Master'!$B$2:$B$378,'00_SKU_Master'!$C$2:$C$378)</f>
        <v/>
      </c>
      <c r="B36" s="148" t="n"/>
      <c r="C36" s="148">
        <f>X38</f>
        <v/>
      </c>
      <c r="D36" s="586">
        <f>_xludf.IFNA(_xlfn.XLOOKUP(C38,'00_SKU_Master'!$B$2:$B$378,'00_SKU_Master'!$F$2:$F$378,0)*Y38,"")</f>
        <v/>
      </c>
      <c r="E36" s="586">
        <f>_xludf.IFNA(_xlfn.XLOOKUP(C38,'00_SKU_Master'!$B$2:$B$378,'00_SKU_Master'!$F$2:$F$378,0)*Z38,"")</f>
        <v/>
      </c>
      <c r="F36" s="586">
        <f>_xludf.IFNA(_xlfn.XLOOKUP(C38,'00_SKU_Master'!$B$2:$B$378,'00_SKU_Master'!$F$2:$F$378,0)*AA38,"")</f>
        <v/>
      </c>
      <c r="G36" s="586">
        <f>_xludf.IFNA(_xlfn.XLOOKUP(C38,'00_SKU_Master'!$B$2:$B$378,'00_SKU_Master'!$F$2:$F$378,0)*AB38,"")</f>
        <v/>
      </c>
      <c r="H36" s="586">
        <f>_xludf.IFNA(_xlfn.XLOOKUP(C38,'00_SKU_Master'!$B$2:$B$378,'00_SKU_Master'!$F$2:$F$378,0)*AC38,"")</f>
        <v/>
      </c>
      <c r="I36" s="586">
        <f>_xludf.IFNA(_xlfn.XLOOKUP(C38,'00_SKU_Master'!$B$2:$B$378,'00_SKU_Master'!$F$2:$F$378,0)*AD38,"")</f>
        <v/>
      </c>
      <c r="J36" s="586">
        <f>_xludf.IFNA(_xlfn.XLOOKUP(C38,'00_SKU_Master'!$B$2:$B$378,'00_SKU_Master'!$F$2:$F$378,0)*AE38,"")</f>
        <v/>
      </c>
      <c r="K36" s="587">
        <f>SUM(D38:J38)</f>
        <v/>
      </c>
      <c r="L36" s="197">
        <f>_xlfn.XLOOKUP(C38,'00_SKU_Master'!$B$2:$B$378,'00_SKU_Master'!K:K)</f>
        <v/>
      </c>
      <c r="M36" s="14">
        <f>X38</f>
        <v/>
      </c>
      <c r="N36" s="157">
        <f>_xludf.IFNA(D38/_xlfn.XLOOKUP($M38,'00_SKU_Master'!$B$2:$B$378,'00_SKU_Master'!$M$2:$M$378,0)/$M$2,"0")</f>
        <v/>
      </c>
      <c r="O36" s="157">
        <f>_xludf.IFNA(E38/_xlfn.XLOOKUP($M38,'00_SKU_Master'!$B$2:$B$378,'00_SKU_Master'!$M$2:$M$378,0)/$M$2,"0")</f>
        <v/>
      </c>
      <c r="P36" s="157">
        <f>_xludf.IFNA(F38/_xlfn.XLOOKUP($M38,'00_SKU_Master'!$B$2:$B$378,'00_SKU_Master'!$M$2:$M$378,0)/$M$2,"0")</f>
        <v/>
      </c>
      <c r="Q36" s="157">
        <f>_xludf.IFNA(G38/_xlfn.XLOOKUP($M38,'00_SKU_Master'!$B$2:$B$378,'00_SKU_Master'!$M$2:$M$378,0)/$M$2,"0")</f>
        <v/>
      </c>
      <c r="R36" s="157">
        <f>_xludf.IFNA(H38/_xlfn.XLOOKUP($M38,'00_SKU_Master'!$B$2:$B$378,'00_SKU_Master'!$M$2:$M$378,0)/$M$2,"0")</f>
        <v/>
      </c>
      <c r="S36" s="157">
        <f>_xludf.IFNA(I38/_xlfn.XLOOKUP($M38,'00_SKU_Master'!$B$2:$B$378,'00_SKU_Master'!$M$2:$M$378,0)/$M$2,"0")</f>
        <v/>
      </c>
      <c r="T36" s="157">
        <f>_xludf.IFNA(J38/_xlfn.XLOOKUP($M38,'00_SKU_Master'!$B$2:$B$378,'00_SKU_Master'!$M$2:$M$378,0)/$M$2,"0")</f>
        <v/>
      </c>
      <c r="U36" s="157">
        <f>SUM(N38:T38)</f>
        <v/>
      </c>
      <c r="V36" s="4" t="n"/>
      <c r="W36" s="4">
        <f>_xlfn.XLOOKUP(M38,'00_SKU_Master'!$B$2:$B$378,'00_SKU_Master'!D:D)</f>
        <v/>
      </c>
      <c r="X36" s="14">
        <f>'05_Daily_Orders'!B37</f>
        <v/>
      </c>
      <c r="Y36" s="588" t="n"/>
      <c r="Z36" s="589" t="n"/>
      <c r="AA36" s="589" t="n"/>
      <c r="AB36" s="589" t="n"/>
      <c r="AC36" s="589" t="n">
        <v>0</v>
      </c>
      <c r="AD36" s="589" t="n">
        <v>0</v>
      </c>
      <c r="AE36" s="589" t="n">
        <v>0</v>
      </c>
      <c r="AF36" s="587">
        <f>SUM(Y38:AE38)</f>
        <v/>
      </c>
      <c r="AQ36" s="23" t="n">
        <v>0</v>
      </c>
      <c r="AR36" s="23" t="n">
        <v>0</v>
      </c>
      <c r="AS36" s="23">
        <f>AR38-AQ38</f>
        <v/>
      </c>
    </row>
    <row r="37">
      <c r="A37" s="148">
        <f>_xlfn.XLOOKUP(C39,'00_SKU_Master'!$B$2:$B$378,'00_SKU_Master'!$C$2:$C$378)</f>
        <v/>
      </c>
      <c r="B37" s="148" t="n"/>
      <c r="C37" s="148">
        <f>X39</f>
        <v/>
      </c>
      <c r="D37" s="586">
        <f>_xludf.IFNA(_xlfn.XLOOKUP(C39,'00_SKU_Master'!$B$2:$B$378,'00_SKU_Master'!$F$2:$F$378,0)*Y39,"")</f>
        <v/>
      </c>
      <c r="E37" s="586">
        <f>_xludf.IFNA(_xlfn.XLOOKUP(C39,'00_SKU_Master'!$B$2:$B$378,'00_SKU_Master'!$F$2:$F$378,0)*Z39,"")</f>
        <v/>
      </c>
      <c r="F37" s="586">
        <f>_xludf.IFNA(_xlfn.XLOOKUP(C39,'00_SKU_Master'!$B$2:$B$378,'00_SKU_Master'!$F$2:$F$378,0)*AA39,"")</f>
        <v/>
      </c>
      <c r="G37" s="586">
        <f>_xludf.IFNA(_xlfn.XLOOKUP(C39,'00_SKU_Master'!$B$2:$B$378,'00_SKU_Master'!$F$2:$F$378,0)*AB39,"")</f>
        <v/>
      </c>
      <c r="H37" s="586">
        <f>_xludf.IFNA(_xlfn.XLOOKUP(C39,'00_SKU_Master'!$B$2:$B$378,'00_SKU_Master'!$F$2:$F$378,0)*AC39,"")</f>
        <v/>
      </c>
      <c r="I37" s="586">
        <f>_xludf.IFNA(_xlfn.XLOOKUP(C39,'00_SKU_Master'!$B$2:$B$378,'00_SKU_Master'!$F$2:$F$378,0)*AD39,"")</f>
        <v/>
      </c>
      <c r="J37" s="586">
        <f>_xludf.IFNA(_xlfn.XLOOKUP(C39,'00_SKU_Master'!$B$2:$B$378,'00_SKU_Master'!$F$2:$F$378,0)*AE39,"")</f>
        <v/>
      </c>
      <c r="K37" s="587">
        <f>SUM(D39:J39)</f>
        <v/>
      </c>
      <c r="L37" s="197">
        <f>_xlfn.XLOOKUP(C39,'00_SKU_Master'!$B$2:$B$378,'00_SKU_Master'!K:K)</f>
        <v/>
      </c>
      <c r="M37" s="14">
        <f>X39</f>
        <v/>
      </c>
      <c r="N37" s="157">
        <f>_xludf.IFNA(D39/_xlfn.XLOOKUP($M39,'00_SKU_Master'!$B$2:$B$378,'00_SKU_Master'!$M$2:$M$378,0)/$M$2,"0")</f>
        <v/>
      </c>
      <c r="O37" s="157">
        <f>_xludf.IFNA(E39/_xlfn.XLOOKUP($M39,'00_SKU_Master'!$B$2:$B$378,'00_SKU_Master'!$M$2:$M$378,0)/$M$2,"0")</f>
        <v/>
      </c>
      <c r="P37" s="157">
        <f>_xludf.IFNA(F39/_xlfn.XLOOKUP($M39,'00_SKU_Master'!$B$2:$B$378,'00_SKU_Master'!$M$2:$M$378,0)/$M$2,"0")</f>
        <v/>
      </c>
      <c r="Q37" s="157">
        <f>_xludf.IFNA(G39/_xlfn.XLOOKUP($M39,'00_SKU_Master'!$B$2:$B$378,'00_SKU_Master'!$M$2:$M$378,0)/$M$2,"0")</f>
        <v/>
      </c>
      <c r="R37" s="157">
        <f>_xludf.IFNA(H39/_xlfn.XLOOKUP($M39,'00_SKU_Master'!$B$2:$B$378,'00_SKU_Master'!$M$2:$M$378,0)/$M$2,"0")</f>
        <v/>
      </c>
      <c r="S37" s="157">
        <f>_xludf.IFNA(I39/_xlfn.XLOOKUP($M39,'00_SKU_Master'!$B$2:$B$378,'00_SKU_Master'!$M$2:$M$378,0)/$M$2,"0")</f>
        <v/>
      </c>
      <c r="T37" s="157">
        <f>_xludf.IFNA(J39/_xlfn.XLOOKUP($M39,'00_SKU_Master'!$B$2:$B$378,'00_SKU_Master'!$M$2:$M$378,0)/$M$2,"0")</f>
        <v/>
      </c>
      <c r="U37" s="157">
        <f>SUM(N39:T39)</f>
        <v/>
      </c>
      <c r="V37" s="4" t="n"/>
      <c r="W37" s="4">
        <f>_xlfn.XLOOKUP(M39,'00_SKU_Master'!$B$2:$B$378,'00_SKU_Master'!D:D)</f>
        <v/>
      </c>
      <c r="X37" s="14">
        <f>'05_Daily_Orders'!B38</f>
        <v/>
      </c>
      <c r="Y37" s="588" t="n"/>
      <c r="Z37" s="589" t="n"/>
      <c r="AA37" s="589" t="n"/>
      <c r="AB37" s="589" t="n"/>
      <c r="AC37" s="589" t="n">
        <v>180</v>
      </c>
      <c r="AD37" s="589" t="n">
        <v>0</v>
      </c>
      <c r="AE37" s="589" t="n">
        <v>0</v>
      </c>
      <c r="AF37" s="587">
        <f>SUM(Y39:AE39)</f>
        <v/>
      </c>
      <c r="AQ37" s="23" t="n">
        <v>4</v>
      </c>
      <c r="AR37" s="23" t="n">
        <v>0</v>
      </c>
      <c r="AS37" s="23">
        <f>AR39-AQ39</f>
        <v/>
      </c>
    </row>
    <row r="38">
      <c r="A38" s="148">
        <f>_xlfn.XLOOKUP(C40,'00_SKU_Master'!$B$2:$B$378,'00_SKU_Master'!$C$2:$C$378)</f>
        <v/>
      </c>
      <c r="B38" s="148" t="n"/>
      <c r="C38" s="148">
        <f>X40</f>
        <v/>
      </c>
      <c r="D38" s="586">
        <f>_xludf.IFNA(_xlfn.XLOOKUP(C40,'00_SKU_Master'!$B$2:$B$378,'00_SKU_Master'!$F$2:$F$378,0)*Y40,"")</f>
        <v/>
      </c>
      <c r="E38" s="586">
        <f>_xludf.IFNA(_xlfn.XLOOKUP(C40,'00_SKU_Master'!$B$2:$B$378,'00_SKU_Master'!$F$2:$F$378,0)*Z40,"")</f>
        <v/>
      </c>
      <c r="F38" s="586">
        <f>_xludf.IFNA(_xlfn.XLOOKUP(C40,'00_SKU_Master'!$B$2:$B$378,'00_SKU_Master'!$F$2:$F$378,0)*AA40,"")</f>
        <v/>
      </c>
      <c r="G38" s="586">
        <f>_xludf.IFNA(_xlfn.XLOOKUP(C40,'00_SKU_Master'!$B$2:$B$378,'00_SKU_Master'!$F$2:$F$378,0)*AB40,"")</f>
        <v/>
      </c>
      <c r="H38" s="586">
        <f>_xludf.IFNA(_xlfn.XLOOKUP(C40,'00_SKU_Master'!$B$2:$B$378,'00_SKU_Master'!$F$2:$F$378,0)*AC40,"")</f>
        <v/>
      </c>
      <c r="I38" s="586">
        <f>_xludf.IFNA(_xlfn.XLOOKUP(C40,'00_SKU_Master'!$B$2:$B$378,'00_SKU_Master'!$F$2:$F$378,0)*AD40,"")</f>
        <v/>
      </c>
      <c r="J38" s="586">
        <f>_xludf.IFNA(_xlfn.XLOOKUP(C40,'00_SKU_Master'!$B$2:$B$378,'00_SKU_Master'!$F$2:$F$378,0)*AE40,"")</f>
        <v/>
      </c>
      <c r="K38" s="587">
        <f>SUM(D40:J40)</f>
        <v/>
      </c>
      <c r="L38" s="197">
        <f>_xlfn.XLOOKUP(C40,'00_SKU_Master'!$B$2:$B$378,'00_SKU_Master'!K:K)</f>
        <v/>
      </c>
      <c r="M38" s="14">
        <f>X40</f>
        <v/>
      </c>
      <c r="N38" s="157">
        <f>_xludf.IFNA(D40/_xlfn.XLOOKUP($M40,'00_SKU_Master'!$B$2:$B$378,'00_SKU_Master'!$M$2:$M$378,0)/$M$2,"0")</f>
        <v/>
      </c>
      <c r="O38" s="157">
        <f>_xludf.IFNA(E40/_xlfn.XLOOKUP($M40,'00_SKU_Master'!$B$2:$B$378,'00_SKU_Master'!$M$2:$M$378,0)/$M$2,"0")</f>
        <v/>
      </c>
      <c r="P38" s="157">
        <f>_xludf.IFNA(F40/_xlfn.XLOOKUP($M40,'00_SKU_Master'!$B$2:$B$378,'00_SKU_Master'!$M$2:$M$378,0)/$M$2,"0")</f>
        <v/>
      </c>
      <c r="Q38" s="157">
        <f>_xludf.IFNA(G40/_xlfn.XLOOKUP($M40,'00_SKU_Master'!$B$2:$B$378,'00_SKU_Master'!$M$2:$M$378,0)/$M$2,"0")</f>
        <v/>
      </c>
      <c r="R38" s="157">
        <f>_xludf.IFNA(H40/_xlfn.XLOOKUP($M40,'00_SKU_Master'!$B$2:$B$378,'00_SKU_Master'!$M$2:$M$378,0)/$M$2,"0")</f>
        <v/>
      </c>
      <c r="S38" s="157">
        <f>_xludf.IFNA(I40/_xlfn.XLOOKUP($M40,'00_SKU_Master'!$B$2:$B$378,'00_SKU_Master'!$M$2:$M$378,0)/$M$2,"0")</f>
        <v/>
      </c>
      <c r="T38" s="157">
        <f>_xludf.IFNA(J40/_xlfn.XLOOKUP($M40,'00_SKU_Master'!$B$2:$B$378,'00_SKU_Master'!$M$2:$M$378,0)/$M$2,"0")</f>
        <v/>
      </c>
      <c r="U38" s="157">
        <f>SUM(N40:T40)</f>
        <v/>
      </c>
      <c r="V38" s="4" t="n"/>
      <c r="W38" s="4">
        <f>_xlfn.XLOOKUP(M40,'00_SKU_Master'!$B$2:$B$378,'00_SKU_Master'!D:D)</f>
        <v/>
      </c>
      <c r="X38" s="14">
        <f>'05_Daily_Orders'!B39</f>
        <v/>
      </c>
      <c r="Y38" s="588" t="n"/>
      <c r="Z38" s="589" t="n"/>
      <c r="AA38" s="589" t="n"/>
      <c r="AB38" s="589" t="n"/>
      <c r="AC38" s="589" t="n">
        <v>0</v>
      </c>
      <c r="AD38" s="589" t="n">
        <v>0</v>
      </c>
      <c r="AE38" s="589" t="n">
        <v>0</v>
      </c>
      <c r="AF38" s="587">
        <f>SUM(Y40:AE40)</f>
        <v/>
      </c>
      <c r="AQ38" s="23" t="n">
        <v>0</v>
      </c>
      <c r="AR38" s="23" t="n">
        <v>0</v>
      </c>
      <c r="AS38" s="23">
        <f>AR40-AQ40</f>
        <v/>
      </c>
    </row>
    <row r="39">
      <c r="A39" s="148">
        <f>_xlfn.XLOOKUP(C41,'00_SKU_Master'!$B$2:$B$378,'00_SKU_Master'!$C$2:$C$378)</f>
        <v/>
      </c>
      <c r="B39" s="148" t="n"/>
      <c r="C39" s="148">
        <f>X41</f>
        <v/>
      </c>
      <c r="D39" s="586">
        <f>_xludf.IFNA(_xlfn.XLOOKUP(C41,'00_SKU_Master'!$B$2:$B$378,'00_SKU_Master'!$F$2:$F$378,0)*Y41,"")</f>
        <v/>
      </c>
      <c r="E39" s="586">
        <f>_xludf.IFNA(_xlfn.XLOOKUP(C41,'00_SKU_Master'!$B$2:$B$378,'00_SKU_Master'!$F$2:$F$378,0)*Z41,"")</f>
        <v/>
      </c>
      <c r="F39" s="586">
        <f>_xludf.IFNA(_xlfn.XLOOKUP(C41,'00_SKU_Master'!$B$2:$B$378,'00_SKU_Master'!$F$2:$F$378,0)*AA41,"")</f>
        <v/>
      </c>
      <c r="G39" s="586">
        <f>_xludf.IFNA(_xlfn.XLOOKUP(C41,'00_SKU_Master'!$B$2:$B$378,'00_SKU_Master'!$F$2:$F$378,0)*AB41,"")</f>
        <v/>
      </c>
      <c r="H39" s="586">
        <f>_xludf.IFNA(_xlfn.XLOOKUP(C41,'00_SKU_Master'!$B$2:$B$378,'00_SKU_Master'!$F$2:$F$378,0)*AC41,"")</f>
        <v/>
      </c>
      <c r="I39" s="586">
        <f>_xludf.IFNA(_xlfn.XLOOKUP(C41,'00_SKU_Master'!$B$2:$B$378,'00_SKU_Master'!$F$2:$F$378,0)*AD41,"")</f>
        <v/>
      </c>
      <c r="J39" s="586">
        <f>_xludf.IFNA(_xlfn.XLOOKUP(C41,'00_SKU_Master'!$B$2:$B$378,'00_SKU_Master'!$F$2:$F$378,0)*AE41,"")</f>
        <v/>
      </c>
      <c r="K39" s="587">
        <f>SUM(D41:J41)</f>
        <v/>
      </c>
      <c r="L39" s="197">
        <f>_xlfn.XLOOKUP(C41,'00_SKU_Master'!$B$2:$B$378,'00_SKU_Master'!K:K)</f>
        <v/>
      </c>
      <c r="M39" s="14">
        <f>X41</f>
        <v/>
      </c>
      <c r="N39" s="157">
        <f>_xludf.IFNA(D41/_xlfn.XLOOKUP($M41,'00_SKU_Master'!$B$2:$B$378,'00_SKU_Master'!$M$2:$M$378,0)/$M$2,"0")</f>
        <v/>
      </c>
      <c r="O39" s="157">
        <f>_xludf.IFNA(E41/_xlfn.XLOOKUP($M41,'00_SKU_Master'!$B$2:$B$378,'00_SKU_Master'!$M$2:$M$378,0)/$M$2,"0")</f>
        <v/>
      </c>
      <c r="P39" s="157">
        <f>_xludf.IFNA(F41/_xlfn.XLOOKUP($M41,'00_SKU_Master'!$B$2:$B$378,'00_SKU_Master'!$M$2:$M$378,0)/$M$2,"0")</f>
        <v/>
      </c>
      <c r="Q39" s="157">
        <f>_xludf.IFNA(G41/_xlfn.XLOOKUP($M41,'00_SKU_Master'!$B$2:$B$378,'00_SKU_Master'!$M$2:$M$378,0)/$M$2,"0")</f>
        <v/>
      </c>
      <c r="R39" s="157">
        <f>_xludf.IFNA(H41/_xlfn.XLOOKUP($M41,'00_SKU_Master'!$B$2:$B$378,'00_SKU_Master'!$M$2:$M$378,0)/$M$2,"0")</f>
        <v/>
      </c>
      <c r="S39" s="157">
        <f>_xludf.IFNA(I41/_xlfn.XLOOKUP($M41,'00_SKU_Master'!$B$2:$B$378,'00_SKU_Master'!$M$2:$M$378,0)/$M$2,"0")</f>
        <v/>
      </c>
      <c r="T39" s="157">
        <f>_xludf.IFNA(J41/_xlfn.XLOOKUP($M41,'00_SKU_Master'!$B$2:$B$378,'00_SKU_Master'!$M$2:$M$378,0)/$M$2,"0")</f>
        <v/>
      </c>
      <c r="U39" s="157">
        <f>SUM(N41:T41)</f>
        <v/>
      </c>
      <c r="V39" s="4" t="n"/>
      <c r="W39" s="4">
        <f>_xlfn.XLOOKUP(M41,'00_SKU_Master'!$B$2:$B$378,'00_SKU_Master'!D:D)</f>
        <v/>
      </c>
      <c r="X39" s="14">
        <f>'05_Daily_Orders'!B40</f>
        <v/>
      </c>
      <c r="Y39" s="588" t="n"/>
      <c r="Z39" s="589" t="n"/>
      <c r="AA39" s="589" t="n"/>
      <c r="AB39" s="589" t="n"/>
      <c r="AC39" s="589" t="n">
        <v>0</v>
      </c>
      <c r="AD39" s="589" t="n">
        <v>0</v>
      </c>
      <c r="AE39" s="589" t="n">
        <v>0</v>
      </c>
      <c r="AF39" s="587">
        <f>SUM(Y41:AE41)</f>
        <v/>
      </c>
      <c r="AQ39" s="23" t="n">
        <v>0</v>
      </c>
      <c r="AR39" s="23" t="n">
        <v>0</v>
      </c>
      <c r="AS39" s="23">
        <f>AR41-AQ41</f>
        <v/>
      </c>
    </row>
    <row r="40">
      <c r="A40" s="148">
        <f>_xlfn.XLOOKUP(C42,'00_SKU_Master'!$B$2:$B$378,'00_SKU_Master'!$C$2:$C$378)</f>
        <v/>
      </c>
      <c r="B40" s="148" t="n"/>
      <c r="C40" s="148">
        <f>X42</f>
        <v/>
      </c>
      <c r="D40" s="586">
        <f>_xludf.IFNA(_xlfn.XLOOKUP(C42,'00_SKU_Master'!$B$2:$B$378,'00_SKU_Master'!$F$2:$F$378,0)*Y42,"")</f>
        <v/>
      </c>
      <c r="E40" s="586">
        <f>_xludf.IFNA(_xlfn.XLOOKUP(C42,'00_SKU_Master'!$B$2:$B$378,'00_SKU_Master'!$F$2:$F$378,0)*Z42,"")</f>
        <v/>
      </c>
      <c r="F40" s="586">
        <f>_xludf.IFNA(_xlfn.XLOOKUP(C42,'00_SKU_Master'!$B$2:$B$378,'00_SKU_Master'!$F$2:$F$378,0)*AA42,"")</f>
        <v/>
      </c>
      <c r="G40" s="586">
        <f>_xludf.IFNA(_xlfn.XLOOKUP(C42,'00_SKU_Master'!$B$2:$B$378,'00_SKU_Master'!$F$2:$F$378,0)*AB42,"")</f>
        <v/>
      </c>
      <c r="H40" s="586">
        <f>_xludf.IFNA(_xlfn.XLOOKUP(C42,'00_SKU_Master'!$B$2:$B$378,'00_SKU_Master'!$F$2:$F$378,0)*AC42,"")</f>
        <v/>
      </c>
      <c r="I40" s="586">
        <f>_xludf.IFNA(_xlfn.XLOOKUP(C42,'00_SKU_Master'!$B$2:$B$378,'00_SKU_Master'!$F$2:$F$378,0)*AD42,"")</f>
        <v/>
      </c>
      <c r="J40" s="586">
        <f>_xludf.IFNA(_xlfn.XLOOKUP(C42,'00_SKU_Master'!$B$2:$B$378,'00_SKU_Master'!$F$2:$F$378,0)*AE42,"")</f>
        <v/>
      </c>
      <c r="K40" s="587">
        <f>SUM(D42:J42)</f>
        <v/>
      </c>
      <c r="L40" s="197">
        <f>_xlfn.XLOOKUP(C42,'00_SKU_Master'!$B$2:$B$378,'00_SKU_Master'!K:K)</f>
        <v/>
      </c>
      <c r="M40" s="14">
        <f>X42</f>
        <v/>
      </c>
      <c r="N40" s="157">
        <f>_xludf.IFNA(D42/_xlfn.XLOOKUP($M42,'00_SKU_Master'!$B$2:$B$378,'00_SKU_Master'!$M$2:$M$378,0)/$M$2,"0")</f>
        <v/>
      </c>
      <c r="O40" s="157">
        <f>_xludf.IFNA(E42/_xlfn.XLOOKUP($M42,'00_SKU_Master'!$B$2:$B$378,'00_SKU_Master'!$M$2:$M$378,0)/$M$2,"0")</f>
        <v/>
      </c>
      <c r="P40" s="157">
        <f>_xludf.IFNA(F42/_xlfn.XLOOKUP($M42,'00_SKU_Master'!$B$2:$B$378,'00_SKU_Master'!$M$2:$M$378,0)/$M$2,"0")</f>
        <v/>
      </c>
      <c r="Q40" s="157">
        <f>_xludf.IFNA(G42/_xlfn.XLOOKUP($M42,'00_SKU_Master'!$B$2:$B$378,'00_SKU_Master'!$M$2:$M$378,0)/$M$2,"0")</f>
        <v/>
      </c>
      <c r="R40" s="157">
        <f>_xludf.IFNA(H42/_xlfn.XLOOKUP($M42,'00_SKU_Master'!$B$2:$B$378,'00_SKU_Master'!$M$2:$M$378,0)/$M$2,"0")</f>
        <v/>
      </c>
      <c r="S40" s="157">
        <f>_xludf.IFNA(I42/_xlfn.XLOOKUP($M42,'00_SKU_Master'!$B$2:$B$378,'00_SKU_Master'!$M$2:$M$378,0)/$M$2,"0")</f>
        <v/>
      </c>
      <c r="T40" s="157">
        <f>_xludf.IFNA(J42/_xlfn.XLOOKUP($M42,'00_SKU_Master'!$B$2:$B$378,'00_SKU_Master'!$M$2:$M$378,0)/$M$2,"0")</f>
        <v/>
      </c>
      <c r="U40" s="157">
        <f>SUM(N42:T42)</f>
        <v/>
      </c>
      <c r="V40" s="4" t="n"/>
      <c r="W40" s="4">
        <f>_xlfn.XLOOKUP(M42,'00_SKU_Master'!$B$2:$B$378,'00_SKU_Master'!D:D)</f>
        <v/>
      </c>
      <c r="X40" s="14">
        <f>'05_Daily_Orders'!B41</f>
        <v/>
      </c>
      <c r="Y40" s="588" t="n"/>
      <c r="Z40" s="588" t="n"/>
      <c r="AA40" s="588" t="n"/>
      <c r="AB40" s="588" t="n"/>
      <c r="AC40" s="588" t="n">
        <v>50</v>
      </c>
      <c r="AD40" s="588" t="n">
        <v>0</v>
      </c>
      <c r="AE40" s="588" t="n">
        <v>45</v>
      </c>
      <c r="AF40" s="587">
        <f>SUM(Y42:AE42)</f>
        <v/>
      </c>
      <c r="AQ40" s="23" t="n">
        <v>0</v>
      </c>
      <c r="AR40" s="23" t="n">
        <v>0</v>
      </c>
      <c r="AS40" s="23">
        <f>AR42-AQ42</f>
        <v/>
      </c>
    </row>
    <row r="41">
      <c r="A41" s="148">
        <f>_xlfn.XLOOKUP(C43,'00_SKU_Master'!$B$2:$B$378,'00_SKU_Master'!$C$2:$C$378)</f>
        <v/>
      </c>
      <c r="B41" s="148" t="n"/>
      <c r="C41" s="148">
        <f>X43</f>
        <v/>
      </c>
      <c r="D41" s="586">
        <f>_xludf.IFNA(_xlfn.XLOOKUP(C43,'00_SKU_Master'!$B$2:$B$378,'00_SKU_Master'!$F$2:$F$378,0)*Y43,"")</f>
        <v/>
      </c>
      <c r="E41" s="586">
        <f>_xludf.IFNA(_xlfn.XLOOKUP(C43,'00_SKU_Master'!$B$2:$B$378,'00_SKU_Master'!$F$2:$F$378,0)*Z43,"")</f>
        <v/>
      </c>
      <c r="F41" s="586">
        <f>_xludf.IFNA(_xlfn.XLOOKUP(C43,'00_SKU_Master'!$B$2:$B$378,'00_SKU_Master'!$F$2:$F$378,0)*AA43,"")</f>
        <v/>
      </c>
      <c r="G41" s="586">
        <f>_xludf.IFNA(_xlfn.XLOOKUP(C43,'00_SKU_Master'!$B$2:$B$378,'00_SKU_Master'!$F$2:$F$378,0)*AB43,"")</f>
        <v/>
      </c>
      <c r="H41" s="586">
        <f>_xludf.IFNA(_xlfn.XLOOKUP(C43,'00_SKU_Master'!$B$2:$B$378,'00_SKU_Master'!$F$2:$F$378,0)*AC43,"")</f>
        <v/>
      </c>
      <c r="I41" s="586">
        <f>_xludf.IFNA(_xlfn.XLOOKUP(C43,'00_SKU_Master'!$B$2:$B$378,'00_SKU_Master'!$F$2:$F$378,0)*AD43,"")</f>
        <v/>
      </c>
      <c r="J41" s="586">
        <f>_xludf.IFNA(_xlfn.XLOOKUP(C43,'00_SKU_Master'!$B$2:$B$378,'00_SKU_Master'!$F$2:$F$378,0)*AE43,"")</f>
        <v/>
      </c>
      <c r="K41" s="587">
        <f>SUM(D43:J43)</f>
        <v/>
      </c>
      <c r="L41" s="197">
        <f>_xlfn.XLOOKUP(C43,'00_SKU_Master'!$B$2:$B$378,'00_SKU_Master'!K:K)</f>
        <v/>
      </c>
      <c r="M41" s="14">
        <f>X43</f>
        <v/>
      </c>
      <c r="N41" s="157">
        <f>_xludf.IFNA(D43/_xlfn.XLOOKUP($M43,'00_SKU_Master'!$B$2:$B$378,'00_SKU_Master'!$M$2:$M$378,0)/$M$2,"0")</f>
        <v/>
      </c>
      <c r="O41" s="157">
        <f>_xludf.IFNA(E43/_xlfn.XLOOKUP($M43,'00_SKU_Master'!$B$2:$B$378,'00_SKU_Master'!$M$2:$M$378,0)/$M$2,"0")</f>
        <v/>
      </c>
      <c r="P41" s="157">
        <f>_xludf.IFNA(F43/_xlfn.XLOOKUP($M43,'00_SKU_Master'!$B$2:$B$378,'00_SKU_Master'!$M$2:$M$378,0)/$M$2,"0")</f>
        <v/>
      </c>
      <c r="Q41" s="157">
        <f>_xludf.IFNA(G43/_xlfn.XLOOKUP($M43,'00_SKU_Master'!$B$2:$B$378,'00_SKU_Master'!$M$2:$M$378,0)/$M$2,"0")</f>
        <v/>
      </c>
      <c r="R41" s="157">
        <f>_xludf.IFNA(H43/_xlfn.XLOOKUP($M43,'00_SKU_Master'!$B$2:$B$378,'00_SKU_Master'!$M$2:$M$378,0)/$M$2,"0")</f>
        <v/>
      </c>
      <c r="S41" s="157">
        <f>_xludf.IFNA(I43/_xlfn.XLOOKUP($M43,'00_SKU_Master'!$B$2:$B$378,'00_SKU_Master'!$M$2:$M$378,0)/$M$2,"0")</f>
        <v/>
      </c>
      <c r="T41" s="157">
        <f>_xludf.IFNA(J43/_xlfn.XLOOKUP($M43,'00_SKU_Master'!$B$2:$B$378,'00_SKU_Master'!$M$2:$M$378,0)/$M$2,"0")</f>
        <v/>
      </c>
      <c r="U41" s="157">
        <f>SUM(N43:T43)</f>
        <v/>
      </c>
      <c r="V41" s="4" t="n"/>
      <c r="W41" s="4">
        <f>_xlfn.XLOOKUP(M43,'00_SKU_Master'!$B$2:$B$378,'00_SKU_Master'!D:D)</f>
        <v/>
      </c>
      <c r="X41" s="14">
        <f>'05_Daily_Orders'!B42</f>
        <v/>
      </c>
      <c r="Y41" s="588" t="n"/>
      <c r="Z41" s="589" t="n"/>
      <c r="AA41" s="589" t="n"/>
      <c r="AB41" s="589" t="n"/>
      <c r="AC41" s="589" t="n">
        <v>45</v>
      </c>
      <c r="AD41" s="589" t="n">
        <v>0</v>
      </c>
      <c r="AE41" s="589" t="n">
        <v>40</v>
      </c>
      <c r="AF41" s="587">
        <f>SUM(Y43:AE43)</f>
        <v/>
      </c>
      <c r="AQ41" s="23" t="n">
        <v>0</v>
      </c>
      <c r="AR41" s="23" t="n">
        <v>0</v>
      </c>
      <c r="AS41" s="23">
        <f>AR43-AQ43</f>
        <v/>
      </c>
    </row>
    <row r="42">
      <c r="A42" s="148">
        <f>_xlfn.XLOOKUP(C44,'00_SKU_Master'!$B$2:$B$378,'00_SKU_Master'!$C$2:$C$378)</f>
        <v/>
      </c>
      <c r="B42" s="148" t="n"/>
      <c r="C42" s="148">
        <f>X44</f>
        <v/>
      </c>
      <c r="D42" s="586">
        <f>_xludf.IFNA(_xlfn.XLOOKUP(C44,'00_SKU_Master'!$B$2:$B$378,'00_SKU_Master'!$F$2:$F$378,0)*Y44,"")</f>
        <v/>
      </c>
      <c r="E42" s="586">
        <f>_xludf.IFNA(_xlfn.XLOOKUP(C44,'00_SKU_Master'!$B$2:$B$378,'00_SKU_Master'!$F$2:$F$378,0)*Z44,"")</f>
        <v/>
      </c>
      <c r="F42" s="586">
        <f>_xludf.IFNA(_xlfn.XLOOKUP(C44,'00_SKU_Master'!$B$2:$B$378,'00_SKU_Master'!$F$2:$F$378,0)*AA44,"")</f>
        <v/>
      </c>
      <c r="G42" s="586">
        <f>_xludf.IFNA(_xlfn.XLOOKUP(C44,'00_SKU_Master'!$B$2:$B$378,'00_SKU_Master'!$F$2:$F$378,0)*AB44,"")</f>
        <v/>
      </c>
      <c r="H42" s="586">
        <f>_xludf.IFNA(_xlfn.XLOOKUP(C44,'00_SKU_Master'!$B$2:$B$378,'00_SKU_Master'!$F$2:$F$378,0)*AC44,"")</f>
        <v/>
      </c>
      <c r="I42" s="586">
        <f>_xludf.IFNA(_xlfn.XLOOKUP(C44,'00_SKU_Master'!$B$2:$B$378,'00_SKU_Master'!$F$2:$F$378,0)*AD44,"")</f>
        <v/>
      </c>
      <c r="J42" s="586">
        <f>_xludf.IFNA(_xlfn.XLOOKUP(C44,'00_SKU_Master'!$B$2:$B$378,'00_SKU_Master'!$F$2:$F$378,0)*AE44,"")</f>
        <v/>
      </c>
      <c r="K42" s="587">
        <f>SUM(D44:J44)</f>
        <v/>
      </c>
      <c r="L42" s="197">
        <f>_xlfn.XLOOKUP(C44,'00_SKU_Master'!$B$2:$B$378,'00_SKU_Master'!K:K)</f>
        <v/>
      </c>
      <c r="M42" s="14">
        <f>X44</f>
        <v/>
      </c>
      <c r="N42" s="157">
        <f>_xludf.IFNA(D44/_xlfn.XLOOKUP($M44,'00_SKU_Master'!$B$2:$B$378,'00_SKU_Master'!$M$2:$M$378,0)/$M$2,"0")</f>
        <v/>
      </c>
      <c r="O42" s="157">
        <f>_xludf.IFNA(E44/_xlfn.XLOOKUP($M44,'00_SKU_Master'!$B$2:$B$378,'00_SKU_Master'!$M$2:$M$378,0)/$M$2,"0")</f>
        <v/>
      </c>
      <c r="P42" s="157">
        <f>_xludf.IFNA(F44/_xlfn.XLOOKUP($M44,'00_SKU_Master'!$B$2:$B$378,'00_SKU_Master'!$M$2:$M$378,0)/$M$2,"0")</f>
        <v/>
      </c>
      <c r="Q42" s="157">
        <f>_xludf.IFNA(G44/_xlfn.XLOOKUP($M44,'00_SKU_Master'!$B$2:$B$378,'00_SKU_Master'!$M$2:$M$378,0)/$M$2,"0")</f>
        <v/>
      </c>
      <c r="R42" s="157">
        <f>_xludf.IFNA(H44/_xlfn.XLOOKUP($M44,'00_SKU_Master'!$B$2:$B$378,'00_SKU_Master'!$M$2:$M$378,0)/$M$2,"0")</f>
        <v/>
      </c>
      <c r="S42" s="157">
        <f>_xludf.IFNA(I44/_xlfn.XLOOKUP($M44,'00_SKU_Master'!$B$2:$B$378,'00_SKU_Master'!$M$2:$M$378,0)/$M$2,"0")</f>
        <v/>
      </c>
      <c r="T42" s="157">
        <f>_xludf.IFNA(J44/_xlfn.XLOOKUP($M44,'00_SKU_Master'!$B$2:$B$378,'00_SKU_Master'!$M$2:$M$378,0)/$M$2,"0")</f>
        <v/>
      </c>
      <c r="U42" s="157">
        <f>SUM(N44:T44)</f>
        <v/>
      </c>
      <c r="V42" s="4" t="n"/>
      <c r="W42" s="4">
        <f>_xlfn.XLOOKUP(M44,'00_SKU_Master'!$B$2:$B$378,'00_SKU_Master'!D:D)</f>
        <v/>
      </c>
      <c r="X42" s="14">
        <f>'05_Daily_Orders'!B43</f>
        <v/>
      </c>
      <c r="Y42" s="588" t="n"/>
      <c r="Z42" s="589" t="n"/>
      <c r="AA42" s="589" t="n"/>
      <c r="AB42" s="589" t="n"/>
      <c r="AC42" s="589" t="n">
        <v>94</v>
      </c>
      <c r="AD42" s="589" t="n">
        <v>0</v>
      </c>
      <c r="AE42" s="589" t="n">
        <v>67</v>
      </c>
      <c r="AF42" s="587">
        <f>SUM(Y44:AE44)</f>
        <v/>
      </c>
      <c r="AQ42" s="23" t="n">
        <v>0</v>
      </c>
      <c r="AR42" s="23" t="n">
        <v>97</v>
      </c>
      <c r="AS42" s="23">
        <f>AR44-AQ44</f>
        <v/>
      </c>
    </row>
    <row r="43">
      <c r="A43" s="148">
        <f>_xlfn.XLOOKUP(C45,'00_SKU_Master'!$B$2:$B$378,'00_SKU_Master'!$C$2:$C$378)</f>
        <v/>
      </c>
      <c r="B43" s="148" t="n"/>
      <c r="C43" s="148">
        <f>X45</f>
        <v/>
      </c>
      <c r="D43" s="586">
        <f>_xludf.IFNA(_xlfn.XLOOKUP(C45,'00_SKU_Master'!$B$2:$B$378,'00_SKU_Master'!$F$2:$F$378,0)*Y45,"")</f>
        <v/>
      </c>
      <c r="E43" s="586">
        <f>_xludf.IFNA(_xlfn.XLOOKUP(C45,'00_SKU_Master'!$B$2:$B$378,'00_SKU_Master'!$F$2:$F$378,0)*Z45,"")</f>
        <v/>
      </c>
      <c r="F43" s="586">
        <f>_xludf.IFNA(_xlfn.XLOOKUP(C45,'00_SKU_Master'!$B$2:$B$378,'00_SKU_Master'!$F$2:$F$378,0)*AA45,"")</f>
        <v/>
      </c>
      <c r="G43" s="586">
        <f>_xludf.IFNA(_xlfn.XLOOKUP(C45,'00_SKU_Master'!$B$2:$B$378,'00_SKU_Master'!$F$2:$F$378,0)*AB45,"")</f>
        <v/>
      </c>
      <c r="H43" s="586">
        <f>_xludf.IFNA(_xlfn.XLOOKUP(C45,'00_SKU_Master'!$B$2:$B$378,'00_SKU_Master'!$F$2:$F$378,0)*AC45,"")</f>
        <v/>
      </c>
      <c r="I43" s="586">
        <f>_xludf.IFNA(_xlfn.XLOOKUP(C45,'00_SKU_Master'!$B$2:$B$378,'00_SKU_Master'!$F$2:$F$378,0)*AD45,"")</f>
        <v/>
      </c>
      <c r="J43" s="586">
        <f>_xludf.IFNA(_xlfn.XLOOKUP(C45,'00_SKU_Master'!$B$2:$B$378,'00_SKU_Master'!$F$2:$F$378,0)*AE45,"")</f>
        <v/>
      </c>
      <c r="K43" s="587">
        <f>SUM(D45:J45)</f>
        <v/>
      </c>
      <c r="L43" s="197">
        <f>_xlfn.XLOOKUP(C45,'00_SKU_Master'!$B$2:$B$378,'00_SKU_Master'!K:K)</f>
        <v/>
      </c>
      <c r="M43" s="14">
        <f>X45</f>
        <v/>
      </c>
      <c r="N43" s="157">
        <f>_xludf.IFNA(D45/_xlfn.XLOOKUP($M45,'00_SKU_Master'!$B$2:$B$378,'00_SKU_Master'!$M$2:$M$378,0)/$M$2,"0")</f>
        <v/>
      </c>
      <c r="O43" s="157">
        <f>_xludf.IFNA(E45/_xlfn.XLOOKUP($M45,'00_SKU_Master'!$B$2:$B$378,'00_SKU_Master'!$M$2:$M$378,0)/$M$2,"0")</f>
        <v/>
      </c>
      <c r="P43" s="157">
        <f>_xludf.IFNA(F45/_xlfn.XLOOKUP($M45,'00_SKU_Master'!$B$2:$B$378,'00_SKU_Master'!$M$2:$M$378,0)/$M$2,"0")</f>
        <v/>
      </c>
      <c r="Q43" s="157">
        <f>_xludf.IFNA(G45/_xlfn.XLOOKUP($M45,'00_SKU_Master'!$B$2:$B$378,'00_SKU_Master'!$M$2:$M$378,0)/$M$2,"0")</f>
        <v/>
      </c>
      <c r="R43" s="157">
        <f>_xludf.IFNA(H45/_xlfn.XLOOKUP($M45,'00_SKU_Master'!$B$2:$B$378,'00_SKU_Master'!$M$2:$M$378,0)/$M$2,"0")</f>
        <v/>
      </c>
      <c r="S43" s="157">
        <f>_xludf.IFNA(I45/_xlfn.XLOOKUP($M45,'00_SKU_Master'!$B$2:$B$378,'00_SKU_Master'!$M$2:$M$378,0)/$M$2,"0")</f>
        <v/>
      </c>
      <c r="T43" s="157">
        <f>_xludf.IFNA(J45/_xlfn.XLOOKUP($M45,'00_SKU_Master'!$B$2:$B$378,'00_SKU_Master'!$M$2:$M$378,0)/$M$2,"0")</f>
        <v/>
      </c>
      <c r="U43" s="157">
        <f>SUM(N45:T45)</f>
        <v/>
      </c>
      <c r="V43" s="4" t="n"/>
      <c r="W43" s="4">
        <f>_xlfn.XLOOKUP(M45,'00_SKU_Master'!$B$2:$B$378,'00_SKU_Master'!D:D)</f>
        <v/>
      </c>
      <c r="X43" s="14">
        <f>'05_Daily_Orders'!B44</f>
        <v/>
      </c>
      <c r="Y43" s="588" t="n"/>
      <c r="Z43" s="589" t="n"/>
      <c r="AA43" s="589" t="n"/>
      <c r="AB43" s="589" t="n"/>
      <c r="AC43" s="589" t="n">
        <v>0</v>
      </c>
      <c r="AD43" s="589" t="n">
        <v>0</v>
      </c>
      <c r="AE43" s="589" t="n">
        <v>0</v>
      </c>
      <c r="AF43" s="587">
        <f>SUM(Y45:AE45)</f>
        <v/>
      </c>
      <c r="AQ43" s="23" t="n">
        <v>0</v>
      </c>
      <c r="AR43" s="23" t="n">
        <v>0</v>
      </c>
      <c r="AS43" s="23">
        <f>AR45-AQ45</f>
        <v/>
      </c>
    </row>
    <row r="44">
      <c r="A44" s="148">
        <f>_xlfn.XLOOKUP(C46,'00_SKU_Master'!$B$2:$B$378,'00_SKU_Master'!$C$2:$C$378)</f>
        <v/>
      </c>
      <c r="B44" s="148" t="n"/>
      <c r="C44" s="148">
        <f>X46</f>
        <v/>
      </c>
      <c r="D44" s="586">
        <f>_xludf.IFNA(_xlfn.XLOOKUP(C46,'00_SKU_Master'!$B$2:$B$378,'00_SKU_Master'!$F$2:$F$378,0)*Y46,"")</f>
        <v/>
      </c>
      <c r="E44" s="586">
        <f>_xludf.IFNA(_xlfn.XLOOKUP(C46,'00_SKU_Master'!$B$2:$B$378,'00_SKU_Master'!$F$2:$F$378,0)*Z46,"")</f>
        <v/>
      </c>
      <c r="F44" s="586">
        <f>_xludf.IFNA(_xlfn.XLOOKUP(C46,'00_SKU_Master'!$B$2:$B$378,'00_SKU_Master'!$F$2:$F$378,0)*AA46,"")</f>
        <v/>
      </c>
      <c r="G44" s="586">
        <f>_xludf.IFNA(_xlfn.XLOOKUP(C46,'00_SKU_Master'!$B$2:$B$378,'00_SKU_Master'!$F$2:$F$378,0)*AB46,"")</f>
        <v/>
      </c>
      <c r="H44" s="586">
        <f>_xludf.IFNA(_xlfn.XLOOKUP(C46,'00_SKU_Master'!$B$2:$B$378,'00_SKU_Master'!$F$2:$F$378,0)*AC46,"")</f>
        <v/>
      </c>
      <c r="I44" s="586">
        <f>_xludf.IFNA(_xlfn.XLOOKUP(C46,'00_SKU_Master'!$B$2:$B$378,'00_SKU_Master'!$F$2:$F$378,0)*AD46,"")</f>
        <v/>
      </c>
      <c r="J44" s="586">
        <f>_xludf.IFNA(_xlfn.XLOOKUP(C46,'00_SKU_Master'!$B$2:$B$378,'00_SKU_Master'!$F$2:$F$378,0)*AE46,"")</f>
        <v/>
      </c>
      <c r="K44" s="587">
        <f>SUM(D46:J46)</f>
        <v/>
      </c>
      <c r="L44" s="197">
        <f>_xlfn.XLOOKUP(C46,'00_SKU_Master'!$B$2:$B$378,'00_SKU_Master'!K:K)</f>
        <v/>
      </c>
      <c r="M44" s="14">
        <f>X46</f>
        <v/>
      </c>
      <c r="N44" s="157">
        <f>_xludf.IFNA(D46/_xlfn.XLOOKUP($M46,'00_SKU_Master'!$B$2:$B$378,'00_SKU_Master'!$M$2:$M$378,0)/$M$2,"0")</f>
        <v/>
      </c>
      <c r="O44" s="157">
        <f>_xludf.IFNA(E46/_xlfn.XLOOKUP($M46,'00_SKU_Master'!$B$2:$B$378,'00_SKU_Master'!$M$2:$M$378,0)/$M$2,"0")</f>
        <v/>
      </c>
      <c r="P44" s="157">
        <f>_xludf.IFNA(F46/_xlfn.XLOOKUP($M46,'00_SKU_Master'!$B$2:$B$378,'00_SKU_Master'!$M$2:$M$378,0)/$M$2,"0")</f>
        <v/>
      </c>
      <c r="Q44" s="157">
        <f>_xludf.IFNA(G46/_xlfn.XLOOKUP($M46,'00_SKU_Master'!$B$2:$B$378,'00_SKU_Master'!$M$2:$M$378,0)/$M$2,"0")</f>
        <v/>
      </c>
      <c r="R44" s="157">
        <f>_xludf.IFNA(H46/_xlfn.XLOOKUP($M46,'00_SKU_Master'!$B$2:$B$378,'00_SKU_Master'!$M$2:$M$378,0)/$M$2,"0")</f>
        <v/>
      </c>
      <c r="S44" s="157">
        <f>_xludf.IFNA(I46/_xlfn.XLOOKUP($M46,'00_SKU_Master'!$B$2:$B$378,'00_SKU_Master'!$M$2:$M$378,0)/$M$2,"0")</f>
        <v/>
      </c>
      <c r="T44" s="157">
        <f>_xludf.IFNA(J46/_xlfn.XLOOKUP($M46,'00_SKU_Master'!$B$2:$B$378,'00_SKU_Master'!$M$2:$M$378,0)/$M$2,"0")</f>
        <v/>
      </c>
      <c r="U44" s="157">
        <f>SUM(N46:T46)</f>
        <v/>
      </c>
      <c r="V44" s="4" t="n"/>
      <c r="W44" s="4">
        <f>_xlfn.XLOOKUP(M46,'00_SKU_Master'!$B$2:$B$378,'00_SKU_Master'!D:D)</f>
        <v/>
      </c>
      <c r="X44" s="14">
        <f>'05_Daily_Orders'!B45</f>
        <v/>
      </c>
      <c r="Y44" s="588" t="n"/>
      <c r="Z44" s="589" t="n"/>
      <c r="AA44" s="589" t="n"/>
      <c r="AB44" s="589" t="n"/>
      <c r="AC44" s="589" t="n">
        <v>0</v>
      </c>
      <c r="AD44" s="589" t="n">
        <v>0</v>
      </c>
      <c r="AE44" s="589" t="n">
        <v>0</v>
      </c>
      <c r="AF44" s="587">
        <f>SUM(Y46:AE46)</f>
        <v/>
      </c>
      <c r="AQ44" s="23" t="n">
        <v>0</v>
      </c>
      <c r="AR44" s="23" t="n">
        <v>0</v>
      </c>
      <c r="AS44" s="23">
        <f>AR46-AQ46</f>
        <v/>
      </c>
    </row>
    <row r="45">
      <c r="A45" s="148">
        <f>_xlfn.XLOOKUP(C47,'00_SKU_Master'!$B$2:$B$378,'00_SKU_Master'!$C$2:$C$378)</f>
        <v/>
      </c>
      <c r="B45" s="148" t="n"/>
      <c r="C45" s="148">
        <f>X47</f>
        <v/>
      </c>
      <c r="D45" s="586">
        <f>_xludf.IFNA(_xlfn.XLOOKUP(C47,'00_SKU_Master'!$B$2:$B$378,'00_SKU_Master'!$F$2:$F$378,0)*Y47,"")</f>
        <v/>
      </c>
      <c r="E45" s="586">
        <f>_xludf.IFNA(_xlfn.XLOOKUP(C47,'00_SKU_Master'!$B$2:$B$378,'00_SKU_Master'!$F$2:$F$378,0)*Z47,"")</f>
        <v/>
      </c>
      <c r="F45" s="586">
        <f>_xludf.IFNA(_xlfn.XLOOKUP(C47,'00_SKU_Master'!$B$2:$B$378,'00_SKU_Master'!$F$2:$F$378,0)*AA47,"")</f>
        <v/>
      </c>
      <c r="G45" s="586">
        <f>_xludf.IFNA(_xlfn.XLOOKUP(C47,'00_SKU_Master'!$B$2:$B$378,'00_SKU_Master'!$F$2:$F$378,0)*AB47,"")</f>
        <v/>
      </c>
      <c r="H45" s="586">
        <f>_xludf.IFNA(_xlfn.XLOOKUP(C47,'00_SKU_Master'!$B$2:$B$378,'00_SKU_Master'!$F$2:$F$378,0)*AC47,"")</f>
        <v/>
      </c>
      <c r="I45" s="586">
        <f>_xludf.IFNA(_xlfn.XLOOKUP(C47,'00_SKU_Master'!$B$2:$B$378,'00_SKU_Master'!$F$2:$F$378,0)*AD47,"")</f>
        <v/>
      </c>
      <c r="J45" s="586">
        <f>_xludf.IFNA(_xlfn.XLOOKUP(C47,'00_SKU_Master'!$B$2:$B$378,'00_SKU_Master'!$F$2:$F$378,0)*AE47,"")</f>
        <v/>
      </c>
      <c r="K45" s="587">
        <f>SUM(D47:J47)</f>
        <v/>
      </c>
      <c r="L45" s="197">
        <f>_xlfn.XLOOKUP(C47,'00_SKU_Master'!$B$2:$B$378,'00_SKU_Master'!K:K)</f>
        <v/>
      </c>
      <c r="M45" s="14">
        <f>X47</f>
        <v/>
      </c>
      <c r="N45" s="157">
        <f>_xludf.IFNA(D47/_xlfn.XLOOKUP($M47,'00_SKU_Master'!$B$2:$B$378,'00_SKU_Master'!$M$2:$M$378,0)/$M$2,"0")</f>
        <v/>
      </c>
      <c r="O45" s="157">
        <f>_xludf.IFNA(E47/_xlfn.XLOOKUP($M47,'00_SKU_Master'!$B$2:$B$378,'00_SKU_Master'!$M$2:$M$378,0)/$M$2,"0")</f>
        <v/>
      </c>
      <c r="P45" s="157">
        <f>_xludf.IFNA(F47/_xlfn.XLOOKUP($M47,'00_SKU_Master'!$B$2:$B$378,'00_SKU_Master'!$M$2:$M$378,0)/$M$2,"0")</f>
        <v/>
      </c>
      <c r="Q45" s="157">
        <f>_xludf.IFNA(G47/_xlfn.XLOOKUP($M47,'00_SKU_Master'!$B$2:$B$378,'00_SKU_Master'!$M$2:$M$378,0)/$M$2,"0")</f>
        <v/>
      </c>
      <c r="R45" s="157">
        <f>_xludf.IFNA(H47/_xlfn.XLOOKUP($M47,'00_SKU_Master'!$B$2:$B$378,'00_SKU_Master'!$M$2:$M$378,0)/$M$2,"0")</f>
        <v/>
      </c>
      <c r="S45" s="157">
        <f>_xludf.IFNA(I47/_xlfn.XLOOKUP($M47,'00_SKU_Master'!$B$2:$B$378,'00_SKU_Master'!$M$2:$M$378,0)/$M$2,"0")</f>
        <v/>
      </c>
      <c r="T45" s="157">
        <f>_xludf.IFNA(J47/_xlfn.XLOOKUP($M47,'00_SKU_Master'!$B$2:$B$378,'00_SKU_Master'!$M$2:$M$378,0)/$M$2,"0")</f>
        <v/>
      </c>
      <c r="U45" s="157">
        <f>SUM(N47:T47)</f>
        <v/>
      </c>
      <c r="V45" s="4" t="n"/>
      <c r="W45" s="4">
        <f>_xlfn.XLOOKUP(M47,'00_SKU_Master'!$B$2:$B$378,'00_SKU_Master'!D:D)</f>
        <v/>
      </c>
      <c r="X45" s="14">
        <f>'05_Daily_Orders'!B46</f>
        <v/>
      </c>
      <c r="Y45" s="588" t="n"/>
      <c r="Z45" s="589" t="n"/>
      <c r="AA45" s="589" t="n"/>
      <c r="AB45" s="589" t="n"/>
      <c r="AC45" s="589" t="n">
        <v>109</v>
      </c>
      <c r="AD45" s="589" t="n">
        <v>0</v>
      </c>
      <c r="AE45" s="589" t="n">
        <v>100</v>
      </c>
      <c r="AF45" s="587">
        <f>SUM(Y47:AE47)</f>
        <v/>
      </c>
      <c r="AQ45" s="23" t="n">
        <v>0</v>
      </c>
      <c r="AR45" s="23" t="n">
        <v>2</v>
      </c>
      <c r="AS45" s="23">
        <f>AR47-AQ47</f>
        <v/>
      </c>
    </row>
    <row r="46">
      <c r="A46" s="148">
        <f>_xlfn.XLOOKUP(C48,'00_SKU_Master'!$B$2:$B$378,'00_SKU_Master'!$C$2:$C$378)</f>
        <v/>
      </c>
      <c r="B46" s="148" t="n"/>
      <c r="C46" s="148">
        <f>X48</f>
        <v/>
      </c>
      <c r="D46" s="586">
        <f>_xludf.IFNA(_xlfn.XLOOKUP(C48,'00_SKU_Master'!$B$2:$B$378,'00_SKU_Master'!$F$2:$F$378,0)*Y48,"")</f>
        <v/>
      </c>
      <c r="E46" s="586">
        <f>_xludf.IFNA(_xlfn.XLOOKUP(C48,'00_SKU_Master'!$B$2:$B$378,'00_SKU_Master'!$F$2:$F$378,0)*Z48,"")</f>
        <v/>
      </c>
      <c r="F46" s="586">
        <f>_xludf.IFNA(_xlfn.XLOOKUP(C48,'00_SKU_Master'!$B$2:$B$378,'00_SKU_Master'!$F$2:$F$378,0)*AA48,"")</f>
        <v/>
      </c>
      <c r="G46" s="586">
        <f>_xludf.IFNA(_xlfn.XLOOKUP(C48,'00_SKU_Master'!$B$2:$B$378,'00_SKU_Master'!$F$2:$F$378,0)*AB48,"")</f>
        <v/>
      </c>
      <c r="H46" s="586">
        <f>_xludf.IFNA(_xlfn.XLOOKUP(C48,'00_SKU_Master'!$B$2:$B$378,'00_SKU_Master'!$F$2:$F$378,0)*AC48,"")</f>
        <v/>
      </c>
      <c r="I46" s="586">
        <f>_xludf.IFNA(_xlfn.XLOOKUP(C48,'00_SKU_Master'!$B$2:$B$378,'00_SKU_Master'!$F$2:$F$378,0)*AD48,"")</f>
        <v/>
      </c>
      <c r="J46" s="586">
        <f>_xludf.IFNA(_xlfn.XLOOKUP(C48,'00_SKU_Master'!$B$2:$B$378,'00_SKU_Master'!$F$2:$F$378,0)*AE48,"")</f>
        <v/>
      </c>
      <c r="K46" s="587">
        <f>SUM(D48:J48)</f>
        <v/>
      </c>
      <c r="L46" s="197">
        <f>_xlfn.XLOOKUP(C48,'00_SKU_Master'!$B$2:$B$378,'00_SKU_Master'!K:K)</f>
        <v/>
      </c>
      <c r="M46" s="14">
        <f>X48</f>
        <v/>
      </c>
      <c r="N46" s="157">
        <f>_xludf.IFNA(D48/_xlfn.XLOOKUP($M48,'00_SKU_Master'!$B$2:$B$378,'00_SKU_Master'!$M$2:$M$378,0)/$M$2,"0")</f>
        <v/>
      </c>
      <c r="O46" s="157">
        <f>_xludf.IFNA(E48/_xlfn.XLOOKUP($M48,'00_SKU_Master'!$B$2:$B$378,'00_SKU_Master'!$M$2:$M$378,0)/$M$2,"0")</f>
        <v/>
      </c>
      <c r="P46" s="157">
        <f>_xludf.IFNA(F48/_xlfn.XLOOKUP($M48,'00_SKU_Master'!$B$2:$B$378,'00_SKU_Master'!$M$2:$M$378,0)/$M$2,"0")</f>
        <v/>
      </c>
      <c r="Q46" s="157">
        <f>_xludf.IFNA(G48/_xlfn.XLOOKUP($M48,'00_SKU_Master'!$B$2:$B$378,'00_SKU_Master'!$M$2:$M$378,0)/$M$2,"0")</f>
        <v/>
      </c>
      <c r="R46" s="157">
        <f>_xludf.IFNA(H48/_xlfn.XLOOKUP($M48,'00_SKU_Master'!$B$2:$B$378,'00_SKU_Master'!$M$2:$M$378,0)/$M$2,"0")</f>
        <v/>
      </c>
      <c r="S46" s="157">
        <f>_xludf.IFNA(I48/_xlfn.XLOOKUP($M48,'00_SKU_Master'!$B$2:$B$378,'00_SKU_Master'!$M$2:$M$378,0)/$M$2,"0")</f>
        <v/>
      </c>
      <c r="T46" s="157">
        <f>_xludf.IFNA(J48/_xlfn.XLOOKUP($M48,'00_SKU_Master'!$B$2:$B$378,'00_SKU_Master'!$M$2:$M$378,0)/$M$2,"0")</f>
        <v/>
      </c>
      <c r="U46" s="157">
        <f>SUM(N48:T48)</f>
        <v/>
      </c>
      <c r="V46" s="4" t="n"/>
      <c r="W46" s="4">
        <f>_xlfn.XLOOKUP(M48,'00_SKU_Master'!$B$2:$B$378,'00_SKU_Master'!D:D)</f>
        <v/>
      </c>
      <c r="X46" s="14">
        <f>'05_Daily_Orders'!B47</f>
        <v/>
      </c>
      <c r="Y46" s="588" t="n"/>
      <c r="Z46" s="589" t="n"/>
      <c r="AA46" s="589" t="n"/>
      <c r="AB46" s="589" t="n"/>
      <c r="AC46" s="589" t="n">
        <v>217</v>
      </c>
      <c r="AD46" s="589" t="n">
        <v>0</v>
      </c>
      <c r="AE46" s="589" t="n">
        <v>275</v>
      </c>
      <c r="AF46" s="587">
        <f>SUM(Y48:AE48)</f>
        <v/>
      </c>
      <c r="AQ46" s="23" t="n">
        <v>235</v>
      </c>
      <c r="AR46" s="23" t="n">
        <v>0</v>
      </c>
      <c r="AS46" s="23">
        <f>AR48-AQ48</f>
        <v/>
      </c>
    </row>
    <row r="47">
      <c r="A47" s="148">
        <f>_xlfn.XLOOKUP(C49,'00_SKU_Master'!$B$2:$B$378,'00_SKU_Master'!$C$2:$C$378)</f>
        <v/>
      </c>
      <c r="B47" s="148" t="n"/>
      <c r="C47" s="148">
        <f>X49</f>
        <v/>
      </c>
      <c r="D47" s="586">
        <f>_xludf.IFNA(_xlfn.XLOOKUP(C49,'00_SKU_Master'!$B$2:$B$378,'00_SKU_Master'!$F$2:$F$378,0)*Y49,"")</f>
        <v/>
      </c>
      <c r="E47" s="586">
        <f>_xludf.IFNA(_xlfn.XLOOKUP(C49,'00_SKU_Master'!$B$2:$B$378,'00_SKU_Master'!$F$2:$F$378,0)*Z49,"")</f>
        <v/>
      </c>
      <c r="F47" s="586">
        <f>_xludf.IFNA(_xlfn.XLOOKUP(C49,'00_SKU_Master'!$B$2:$B$378,'00_SKU_Master'!$F$2:$F$378,0)*AA49,"")</f>
        <v/>
      </c>
      <c r="G47" s="586">
        <f>_xludf.IFNA(_xlfn.XLOOKUP(C49,'00_SKU_Master'!$B$2:$B$378,'00_SKU_Master'!$F$2:$F$378,0)*AB49,"")</f>
        <v/>
      </c>
      <c r="H47" s="586">
        <f>_xludf.IFNA(_xlfn.XLOOKUP(C49,'00_SKU_Master'!$B$2:$B$378,'00_SKU_Master'!$F$2:$F$378,0)*AC49,"")</f>
        <v/>
      </c>
      <c r="I47" s="586">
        <f>_xludf.IFNA(_xlfn.XLOOKUP(C49,'00_SKU_Master'!$B$2:$B$378,'00_SKU_Master'!$F$2:$F$378,0)*AD49,"")</f>
        <v/>
      </c>
      <c r="J47" s="586">
        <f>_xludf.IFNA(_xlfn.XLOOKUP(C49,'00_SKU_Master'!$B$2:$B$378,'00_SKU_Master'!$F$2:$F$378,0)*AE49,"")</f>
        <v/>
      </c>
      <c r="K47" s="587">
        <f>SUM(D49:J49)</f>
        <v/>
      </c>
      <c r="L47" s="197">
        <f>_xlfn.XLOOKUP(C49,'00_SKU_Master'!$B$2:$B$378,'00_SKU_Master'!K:K)</f>
        <v/>
      </c>
      <c r="M47" s="14">
        <f>X49</f>
        <v/>
      </c>
      <c r="N47" s="157">
        <f>_xludf.IFNA(D49/_xlfn.XLOOKUP($M49,'00_SKU_Master'!$B$2:$B$378,'00_SKU_Master'!$M$2:$M$378,0)/$M$2,"0")</f>
        <v/>
      </c>
      <c r="O47" s="157">
        <f>_xludf.IFNA(E49/_xlfn.XLOOKUP($M49,'00_SKU_Master'!$B$2:$B$378,'00_SKU_Master'!$M$2:$M$378,0)/$M$2,"0")</f>
        <v/>
      </c>
      <c r="P47" s="157">
        <f>_xludf.IFNA(F49/_xlfn.XLOOKUP($M49,'00_SKU_Master'!$B$2:$B$378,'00_SKU_Master'!$M$2:$M$378,0)/$M$2,"0")</f>
        <v/>
      </c>
      <c r="Q47" s="157">
        <f>_xludf.IFNA(G49/_xlfn.XLOOKUP($M49,'00_SKU_Master'!$B$2:$B$378,'00_SKU_Master'!$M$2:$M$378,0)/$M$2,"0")</f>
        <v/>
      </c>
      <c r="R47" s="157">
        <f>_xludf.IFNA(H49/_xlfn.XLOOKUP($M49,'00_SKU_Master'!$B$2:$B$378,'00_SKU_Master'!$M$2:$M$378,0)/$M$2,"0")</f>
        <v/>
      </c>
      <c r="S47" s="157">
        <f>_xludf.IFNA(I49/_xlfn.XLOOKUP($M49,'00_SKU_Master'!$B$2:$B$378,'00_SKU_Master'!$M$2:$M$378,0)/$M$2,"0")</f>
        <v/>
      </c>
      <c r="T47" s="157">
        <f>_xludf.IFNA(J49/_xlfn.XLOOKUP($M49,'00_SKU_Master'!$B$2:$B$378,'00_SKU_Master'!$M$2:$M$378,0)/$M$2,"0")</f>
        <v/>
      </c>
      <c r="U47" s="157">
        <f>SUM(N49:T49)</f>
        <v/>
      </c>
      <c r="V47" s="4" t="n"/>
      <c r="W47" s="4">
        <f>_xlfn.XLOOKUP(M49,'00_SKU_Master'!$B$2:$B$378,'00_SKU_Master'!D:D)</f>
        <v/>
      </c>
      <c r="X47" s="14">
        <f>'05_Daily_Orders'!B48</f>
        <v/>
      </c>
      <c r="Y47" s="588" t="n"/>
      <c r="Z47" s="589" t="n"/>
      <c r="AA47" s="589" t="n"/>
      <c r="AB47" s="589" t="n"/>
      <c r="AC47" s="589" t="n">
        <v>0</v>
      </c>
      <c r="AD47" s="589" t="n">
        <v>0</v>
      </c>
      <c r="AE47" s="589" t="n">
        <v>0</v>
      </c>
      <c r="AF47" s="587">
        <f>SUM(Y49:AE49)</f>
        <v/>
      </c>
      <c r="AQ47" s="23" t="n">
        <v>0</v>
      </c>
      <c r="AR47" s="23" t="n">
        <v>0</v>
      </c>
      <c r="AS47" s="23">
        <f>AR49-AQ49</f>
        <v/>
      </c>
    </row>
    <row r="48">
      <c r="A48" s="148">
        <f>_xlfn.XLOOKUP(C50,'00_SKU_Master'!$B$2:$B$378,'00_SKU_Master'!$C$2:$C$378)</f>
        <v/>
      </c>
      <c r="B48" s="148" t="n"/>
      <c r="C48" s="148">
        <f>X50</f>
        <v/>
      </c>
      <c r="D48" s="586">
        <f>_xludf.IFNA(_xlfn.XLOOKUP(C50,'00_SKU_Master'!$B$2:$B$378,'00_SKU_Master'!$F$2:$F$378,0)*Y50,"")</f>
        <v/>
      </c>
      <c r="E48" s="586">
        <f>_xludf.IFNA(_xlfn.XLOOKUP(C50,'00_SKU_Master'!$B$2:$B$378,'00_SKU_Master'!$F$2:$F$378,0)*Z50,"")</f>
        <v/>
      </c>
      <c r="F48" s="586">
        <f>_xludf.IFNA(_xlfn.XLOOKUP(C50,'00_SKU_Master'!$B$2:$B$378,'00_SKU_Master'!$F$2:$F$378,0)*AA50,"")</f>
        <v/>
      </c>
      <c r="G48" s="586">
        <f>_xludf.IFNA(_xlfn.XLOOKUP(C50,'00_SKU_Master'!$B$2:$B$378,'00_SKU_Master'!$F$2:$F$378,0)*AB50,"")</f>
        <v/>
      </c>
      <c r="H48" s="586">
        <f>_xludf.IFNA(_xlfn.XLOOKUP(C50,'00_SKU_Master'!$B$2:$B$378,'00_SKU_Master'!$F$2:$F$378,0)*AC50,"")</f>
        <v/>
      </c>
      <c r="I48" s="586">
        <f>_xludf.IFNA(_xlfn.XLOOKUP(C50,'00_SKU_Master'!$B$2:$B$378,'00_SKU_Master'!$F$2:$F$378,0)*AD50,"")</f>
        <v/>
      </c>
      <c r="J48" s="586">
        <f>_xludf.IFNA(_xlfn.XLOOKUP(C50,'00_SKU_Master'!$B$2:$B$378,'00_SKU_Master'!$F$2:$F$378,0)*AE50,"")</f>
        <v/>
      </c>
      <c r="K48" s="587">
        <f>SUM(D50:J50)</f>
        <v/>
      </c>
      <c r="L48" s="197">
        <f>_xlfn.XLOOKUP(C50,'00_SKU_Master'!$B$2:$B$378,'00_SKU_Master'!K:K)</f>
        <v/>
      </c>
      <c r="M48" s="14">
        <f>X50</f>
        <v/>
      </c>
      <c r="N48" s="157">
        <f>_xludf.IFNA(D50/_xlfn.XLOOKUP($M50,'00_SKU_Master'!$B$2:$B$378,'00_SKU_Master'!$M$2:$M$378,0)/$M$2,"0")</f>
        <v/>
      </c>
      <c r="O48" s="157">
        <f>_xludf.IFNA(E50/_xlfn.XLOOKUP($M50,'00_SKU_Master'!$B$2:$B$378,'00_SKU_Master'!$M$2:$M$378,0)/$M$2,"0")</f>
        <v/>
      </c>
      <c r="P48" s="157">
        <f>_xludf.IFNA(F50/_xlfn.XLOOKUP($M50,'00_SKU_Master'!$B$2:$B$378,'00_SKU_Master'!$M$2:$M$378,0)/$M$2,"0")</f>
        <v/>
      </c>
      <c r="Q48" s="157">
        <f>_xludf.IFNA(G50/_xlfn.XLOOKUP($M50,'00_SKU_Master'!$B$2:$B$378,'00_SKU_Master'!$M$2:$M$378,0)/$M$2,"0")</f>
        <v/>
      </c>
      <c r="R48" s="157">
        <f>_xludf.IFNA(H50/_xlfn.XLOOKUP($M50,'00_SKU_Master'!$B$2:$B$378,'00_SKU_Master'!$M$2:$M$378,0)/$M$2,"0")</f>
        <v/>
      </c>
      <c r="S48" s="157">
        <f>_xludf.IFNA(I50/_xlfn.XLOOKUP($M50,'00_SKU_Master'!$B$2:$B$378,'00_SKU_Master'!$M$2:$M$378,0)/$M$2,"0")</f>
        <v/>
      </c>
      <c r="T48" s="157">
        <f>_xludf.IFNA(J50/_xlfn.XLOOKUP($M50,'00_SKU_Master'!$B$2:$B$378,'00_SKU_Master'!$M$2:$M$378,0)/$M$2,"0")</f>
        <v/>
      </c>
      <c r="U48" s="157">
        <f>SUM(N50:T50)</f>
        <v/>
      </c>
      <c r="V48" s="4" t="n"/>
      <c r="W48" s="4">
        <f>_xlfn.XLOOKUP(M50,'00_SKU_Master'!$B$2:$B$378,'00_SKU_Master'!D:D)</f>
        <v/>
      </c>
      <c r="X48" s="14">
        <f>'05_Daily_Orders'!B49</f>
        <v/>
      </c>
      <c r="Y48" s="588" t="n"/>
      <c r="Z48" s="589" t="n"/>
      <c r="AA48" s="589" t="n"/>
      <c r="AB48" s="589" t="n"/>
      <c r="AC48" s="589" t="n">
        <v>23</v>
      </c>
      <c r="AD48" s="589" t="n">
        <v>0</v>
      </c>
      <c r="AE48" s="589" t="n">
        <v>20</v>
      </c>
      <c r="AF48" s="587">
        <f>SUM(Y50:AE50)</f>
        <v/>
      </c>
      <c r="AQ48" s="23" t="n">
        <v>0</v>
      </c>
      <c r="AR48" s="23" t="n">
        <v>0</v>
      </c>
      <c r="AS48" s="23">
        <f>AR50-AQ50</f>
        <v/>
      </c>
    </row>
    <row r="49">
      <c r="A49" s="148">
        <f>_xlfn.XLOOKUP(C51,'00_SKU_Master'!$B$2:$B$378,'00_SKU_Master'!$C$2:$C$378)</f>
        <v/>
      </c>
      <c r="B49" s="148" t="n"/>
      <c r="C49" s="148">
        <f>X51</f>
        <v/>
      </c>
      <c r="D49" s="586">
        <f>_xludf.IFNA(_xlfn.XLOOKUP(C51,'00_SKU_Master'!$B$2:$B$378,'00_SKU_Master'!$F$2:$F$378,0)*Y51,"")</f>
        <v/>
      </c>
      <c r="E49" s="586">
        <f>_xludf.IFNA(_xlfn.XLOOKUP(C51,'00_SKU_Master'!$B$2:$B$378,'00_SKU_Master'!$F$2:$F$378,0)*Z51,"")</f>
        <v/>
      </c>
      <c r="F49" s="586">
        <f>_xludf.IFNA(_xlfn.XLOOKUP(C51,'00_SKU_Master'!$B$2:$B$378,'00_SKU_Master'!$F$2:$F$378,0)*AA51,"")</f>
        <v/>
      </c>
      <c r="G49" s="586">
        <f>_xludf.IFNA(_xlfn.XLOOKUP(C51,'00_SKU_Master'!$B$2:$B$378,'00_SKU_Master'!$F$2:$F$378,0)*AB51,"")</f>
        <v/>
      </c>
      <c r="H49" s="586">
        <f>_xludf.IFNA(_xlfn.XLOOKUP(C51,'00_SKU_Master'!$B$2:$B$378,'00_SKU_Master'!$F$2:$F$378,0)*AC51,"")</f>
        <v/>
      </c>
      <c r="I49" s="586">
        <f>_xludf.IFNA(_xlfn.XLOOKUP(C51,'00_SKU_Master'!$B$2:$B$378,'00_SKU_Master'!$F$2:$F$378,0)*AD51,"")</f>
        <v/>
      </c>
      <c r="J49" s="586">
        <f>_xludf.IFNA(_xlfn.XLOOKUP(C51,'00_SKU_Master'!$B$2:$B$378,'00_SKU_Master'!$F$2:$F$378,0)*AE51,"")</f>
        <v/>
      </c>
      <c r="K49" s="587">
        <f>SUM(D51:J51)</f>
        <v/>
      </c>
      <c r="L49" s="197">
        <f>_xlfn.XLOOKUP(C51,'00_SKU_Master'!$B$2:$B$378,'00_SKU_Master'!K:K)</f>
        <v/>
      </c>
      <c r="M49" s="14">
        <f>X51</f>
        <v/>
      </c>
      <c r="N49" s="157">
        <f>_xludf.IFNA(D51/_xlfn.XLOOKUP($M51,'00_SKU_Master'!$B$2:$B$378,'00_SKU_Master'!$M$2:$M$378,0)/$M$2,"0")</f>
        <v/>
      </c>
      <c r="O49" s="157">
        <f>_xludf.IFNA(E51/_xlfn.XLOOKUP($M51,'00_SKU_Master'!$B$2:$B$378,'00_SKU_Master'!$M$2:$M$378,0)/$M$2,"0")</f>
        <v/>
      </c>
      <c r="P49" s="157">
        <f>_xludf.IFNA(F51/_xlfn.XLOOKUP($M51,'00_SKU_Master'!$B$2:$B$378,'00_SKU_Master'!$M$2:$M$378,0)/$M$2,"0")</f>
        <v/>
      </c>
      <c r="Q49" s="157">
        <f>_xludf.IFNA(G51/_xlfn.XLOOKUP($M51,'00_SKU_Master'!$B$2:$B$378,'00_SKU_Master'!$M$2:$M$378,0)/$M$2,"0")</f>
        <v/>
      </c>
      <c r="R49" s="157">
        <f>_xludf.IFNA(H51/_xlfn.XLOOKUP($M51,'00_SKU_Master'!$B$2:$B$378,'00_SKU_Master'!$M$2:$M$378,0)/$M$2,"0")</f>
        <v/>
      </c>
      <c r="S49" s="157">
        <f>_xludf.IFNA(I51/_xlfn.XLOOKUP($M51,'00_SKU_Master'!$B$2:$B$378,'00_SKU_Master'!$M$2:$M$378,0)/$M$2,"0")</f>
        <v/>
      </c>
      <c r="T49" s="157">
        <f>_xludf.IFNA(J51/_xlfn.XLOOKUP($M51,'00_SKU_Master'!$B$2:$B$378,'00_SKU_Master'!$M$2:$M$378,0)/$M$2,"0")</f>
        <v/>
      </c>
      <c r="U49" s="157">
        <f>SUM(N51:T51)</f>
        <v/>
      </c>
      <c r="V49" s="4" t="n"/>
      <c r="W49" s="4">
        <f>_xlfn.XLOOKUP(M51,'00_SKU_Master'!$B$2:$B$378,'00_SKU_Master'!D:D)</f>
        <v/>
      </c>
      <c r="X49" s="14">
        <f>'05_Daily_Orders'!B50</f>
        <v/>
      </c>
      <c r="Y49" s="588" t="n"/>
      <c r="Z49" s="589" t="n"/>
      <c r="AA49" s="589" t="n"/>
      <c r="AB49" s="589" t="n"/>
      <c r="AC49" s="589" t="n">
        <v>200</v>
      </c>
      <c r="AD49" s="589" t="n">
        <v>0</v>
      </c>
      <c r="AE49" s="589" t="n">
        <v>152</v>
      </c>
      <c r="AF49" s="587">
        <f>SUM(Y51:AE51)</f>
        <v/>
      </c>
      <c r="AQ49" s="23" t="n">
        <v>0</v>
      </c>
      <c r="AR49" s="23" t="n">
        <v>31</v>
      </c>
      <c r="AS49" s="23">
        <f>AR51-AQ51</f>
        <v/>
      </c>
    </row>
    <row r="50">
      <c r="A50" s="148">
        <f>_xlfn.XLOOKUP(C52,'00_SKU_Master'!$B$2:$B$378,'00_SKU_Master'!$C$2:$C$378)</f>
        <v/>
      </c>
      <c r="B50" s="148" t="n"/>
      <c r="C50" s="148">
        <f>X52</f>
        <v/>
      </c>
      <c r="D50" s="586">
        <f>_xludf.IFNA(_xlfn.XLOOKUP(C52,'00_SKU_Master'!$B$2:$B$378,'00_SKU_Master'!$F$2:$F$378,0)*Y52,"")</f>
        <v/>
      </c>
      <c r="E50" s="586">
        <f>_xludf.IFNA(_xlfn.XLOOKUP(C52,'00_SKU_Master'!$B$2:$B$378,'00_SKU_Master'!$F$2:$F$378,0)*Z52,"")</f>
        <v/>
      </c>
      <c r="F50" s="586">
        <f>_xludf.IFNA(_xlfn.XLOOKUP(C52,'00_SKU_Master'!$B$2:$B$378,'00_SKU_Master'!$F$2:$F$378,0)*AA52,"")</f>
        <v/>
      </c>
      <c r="G50" s="586">
        <f>_xludf.IFNA(_xlfn.XLOOKUP(C52,'00_SKU_Master'!$B$2:$B$378,'00_SKU_Master'!$F$2:$F$378,0)*AB52,"")</f>
        <v/>
      </c>
      <c r="H50" s="586">
        <f>_xludf.IFNA(_xlfn.XLOOKUP(C52,'00_SKU_Master'!$B$2:$B$378,'00_SKU_Master'!$F$2:$F$378,0)*AC52,"")</f>
        <v/>
      </c>
      <c r="I50" s="586">
        <f>_xludf.IFNA(_xlfn.XLOOKUP(C52,'00_SKU_Master'!$B$2:$B$378,'00_SKU_Master'!$F$2:$F$378,0)*AD52,"")</f>
        <v/>
      </c>
      <c r="J50" s="586">
        <f>_xludf.IFNA(_xlfn.XLOOKUP(C52,'00_SKU_Master'!$B$2:$B$378,'00_SKU_Master'!$F$2:$F$378,0)*AE52,"")</f>
        <v/>
      </c>
      <c r="K50" s="587">
        <f>SUM(D52:J52)</f>
        <v/>
      </c>
      <c r="L50" s="197">
        <f>_xlfn.XLOOKUP(C52,'00_SKU_Master'!$B$2:$B$378,'00_SKU_Master'!K:K)</f>
        <v/>
      </c>
      <c r="M50" s="14">
        <f>X52</f>
        <v/>
      </c>
      <c r="N50" s="157">
        <f>_xludf.IFNA(D52/_xlfn.XLOOKUP($M52,'00_SKU_Master'!$B$2:$B$378,'00_SKU_Master'!$M$2:$M$378,0)/$M$2,"0")</f>
        <v/>
      </c>
      <c r="O50" s="157">
        <f>_xludf.IFNA(E52/_xlfn.XLOOKUP($M52,'00_SKU_Master'!$B$2:$B$378,'00_SKU_Master'!$M$2:$M$378,0)/$M$2,"0")</f>
        <v/>
      </c>
      <c r="P50" s="157">
        <f>_xludf.IFNA(F52/_xlfn.XLOOKUP($M52,'00_SKU_Master'!$B$2:$B$378,'00_SKU_Master'!$M$2:$M$378,0)/$M$2,"0")</f>
        <v/>
      </c>
      <c r="Q50" s="157">
        <f>_xludf.IFNA(G52/_xlfn.XLOOKUP($M52,'00_SKU_Master'!$B$2:$B$378,'00_SKU_Master'!$M$2:$M$378,0)/$M$2,"0")</f>
        <v/>
      </c>
      <c r="R50" s="157">
        <f>_xludf.IFNA(H52/_xlfn.XLOOKUP($M52,'00_SKU_Master'!$B$2:$B$378,'00_SKU_Master'!$M$2:$M$378,0)/$M$2,"0")</f>
        <v/>
      </c>
      <c r="S50" s="157">
        <f>_xludf.IFNA(I52/_xlfn.XLOOKUP($M52,'00_SKU_Master'!$B$2:$B$378,'00_SKU_Master'!$M$2:$M$378,0)/$M$2,"0")</f>
        <v/>
      </c>
      <c r="T50" s="157">
        <f>_xludf.IFNA(J52/_xlfn.XLOOKUP($M52,'00_SKU_Master'!$B$2:$B$378,'00_SKU_Master'!$M$2:$M$378,0)/$M$2,"0")</f>
        <v/>
      </c>
      <c r="U50" s="157">
        <f>SUM(N52:T52)</f>
        <v/>
      </c>
      <c r="V50" s="4" t="n"/>
      <c r="W50" s="4">
        <f>_xlfn.XLOOKUP(M52,'00_SKU_Master'!$B$2:$B$378,'00_SKU_Master'!D:D)</f>
        <v/>
      </c>
      <c r="X50" s="14">
        <f>'05_Daily_Orders'!B51</f>
        <v/>
      </c>
      <c r="Y50" s="588" t="n"/>
      <c r="Z50" s="589" t="n"/>
      <c r="AA50" s="589" t="n"/>
      <c r="AB50" s="589" t="n"/>
      <c r="AC50" s="589" t="n">
        <v>0</v>
      </c>
      <c r="AD50" s="589" t="n">
        <v>0</v>
      </c>
      <c r="AE50" s="589" t="n">
        <v>0</v>
      </c>
      <c r="AF50" s="587">
        <f>SUM(Y52:AE52)</f>
        <v/>
      </c>
      <c r="AQ50" s="23" t="n">
        <v>0</v>
      </c>
      <c r="AR50" s="23" t="n">
        <v>0</v>
      </c>
      <c r="AS50" s="23">
        <f>AR52-AQ52</f>
        <v/>
      </c>
    </row>
    <row r="51">
      <c r="A51" s="148">
        <f>_xlfn.XLOOKUP(C53,'00_SKU_Master'!$B$2:$B$378,'00_SKU_Master'!$C$2:$C$378)</f>
        <v/>
      </c>
      <c r="B51" s="148" t="n"/>
      <c r="C51" s="148">
        <f>X53</f>
        <v/>
      </c>
      <c r="D51" s="586">
        <f>_xludf.IFNA(_xlfn.XLOOKUP(C53,'00_SKU_Master'!$B$2:$B$378,'00_SKU_Master'!$F$2:$F$378,0)*Y53,"")</f>
        <v/>
      </c>
      <c r="E51" s="586">
        <f>_xludf.IFNA(_xlfn.XLOOKUP(C53,'00_SKU_Master'!$B$2:$B$378,'00_SKU_Master'!$F$2:$F$378,0)*Z53,"")</f>
        <v/>
      </c>
      <c r="F51" s="586">
        <f>_xludf.IFNA(_xlfn.XLOOKUP(C53,'00_SKU_Master'!$B$2:$B$378,'00_SKU_Master'!$F$2:$F$378,0)*AA53,"")</f>
        <v/>
      </c>
      <c r="G51" s="586">
        <f>_xludf.IFNA(_xlfn.XLOOKUP(C53,'00_SKU_Master'!$B$2:$B$378,'00_SKU_Master'!$F$2:$F$378,0)*AB53,"")</f>
        <v/>
      </c>
      <c r="H51" s="586">
        <f>_xludf.IFNA(_xlfn.XLOOKUP(C53,'00_SKU_Master'!$B$2:$B$378,'00_SKU_Master'!$F$2:$F$378,0)*AC53,"")</f>
        <v/>
      </c>
      <c r="I51" s="586">
        <f>_xludf.IFNA(_xlfn.XLOOKUP(C53,'00_SKU_Master'!$B$2:$B$378,'00_SKU_Master'!$F$2:$F$378,0)*AD53,"")</f>
        <v/>
      </c>
      <c r="J51" s="586">
        <f>_xludf.IFNA(_xlfn.XLOOKUP(C53,'00_SKU_Master'!$B$2:$B$378,'00_SKU_Master'!$F$2:$F$378,0)*AE53,"")</f>
        <v/>
      </c>
      <c r="K51" s="587">
        <f>SUM(D53:J53)</f>
        <v/>
      </c>
      <c r="L51" s="197">
        <f>_xlfn.XLOOKUP(C53,'00_SKU_Master'!$B$2:$B$378,'00_SKU_Master'!K:K)</f>
        <v/>
      </c>
      <c r="M51" s="14">
        <f>X53</f>
        <v/>
      </c>
      <c r="N51" s="157">
        <f>_xludf.IFNA(D53/_xlfn.XLOOKUP($M53,'00_SKU_Master'!$B$2:$B$378,'00_SKU_Master'!$M$2:$M$378,0)/$M$2,"0")</f>
        <v/>
      </c>
      <c r="O51" s="157">
        <f>_xludf.IFNA(E53/_xlfn.XLOOKUP($M53,'00_SKU_Master'!$B$2:$B$378,'00_SKU_Master'!$M$2:$M$378,0)/$M$2,"0")</f>
        <v/>
      </c>
      <c r="P51" s="157">
        <f>_xludf.IFNA(F53/_xlfn.XLOOKUP($M53,'00_SKU_Master'!$B$2:$B$378,'00_SKU_Master'!$M$2:$M$378,0)/$M$2,"0")</f>
        <v/>
      </c>
      <c r="Q51" s="157">
        <f>_xludf.IFNA(G53/_xlfn.XLOOKUP($M53,'00_SKU_Master'!$B$2:$B$378,'00_SKU_Master'!$M$2:$M$378,0)/$M$2,"0")</f>
        <v/>
      </c>
      <c r="R51" s="157">
        <f>_xludf.IFNA(H53/_xlfn.XLOOKUP($M53,'00_SKU_Master'!$B$2:$B$378,'00_SKU_Master'!$M$2:$M$378,0)/$M$2,"0")</f>
        <v/>
      </c>
      <c r="S51" s="157">
        <f>_xludf.IFNA(I53/_xlfn.XLOOKUP($M53,'00_SKU_Master'!$B$2:$B$378,'00_SKU_Master'!$M$2:$M$378,0)/$M$2,"0")</f>
        <v/>
      </c>
      <c r="T51" s="157">
        <f>_xludf.IFNA(J53/_xlfn.XLOOKUP($M53,'00_SKU_Master'!$B$2:$B$378,'00_SKU_Master'!$M$2:$M$378,0)/$M$2,"0")</f>
        <v/>
      </c>
      <c r="U51" s="157">
        <f>SUM(N53:T53)</f>
        <v/>
      </c>
      <c r="V51" s="4" t="n"/>
      <c r="W51" s="4">
        <f>_xlfn.XLOOKUP(M53,'00_SKU_Master'!$B$2:$B$378,'00_SKU_Master'!D:D)</f>
        <v/>
      </c>
      <c r="X51" s="14">
        <f>'05_Daily_Orders'!B52</f>
        <v/>
      </c>
      <c r="Y51" s="588" t="n"/>
      <c r="Z51" s="589" t="n"/>
      <c r="AA51" s="589" t="n"/>
      <c r="AB51" s="589" t="n"/>
      <c r="AC51" s="589" t="n">
        <v>215</v>
      </c>
      <c r="AD51" s="589" t="n">
        <v>0</v>
      </c>
      <c r="AE51" s="589" t="n">
        <v>0</v>
      </c>
      <c r="AF51" s="587">
        <f>SUM(Y53:AE53)</f>
        <v/>
      </c>
      <c r="AQ51" s="23" t="n">
        <v>1</v>
      </c>
      <c r="AR51" s="23" t="n">
        <v>0</v>
      </c>
      <c r="AS51" s="23">
        <f>AR53-AQ53</f>
        <v/>
      </c>
    </row>
    <row r="52">
      <c r="A52" s="148">
        <f>_xlfn.XLOOKUP(C54,'00_SKU_Master'!$B$2:$B$378,'00_SKU_Master'!$C$2:$C$378)</f>
        <v/>
      </c>
      <c r="B52" s="148" t="n"/>
      <c r="C52" s="148">
        <f>X54</f>
        <v/>
      </c>
      <c r="D52" s="586">
        <f>_xludf.IFNA(_xlfn.XLOOKUP(C54,'00_SKU_Master'!$B$2:$B$378,'00_SKU_Master'!$F$2:$F$378,0)*Y54,"")</f>
        <v/>
      </c>
      <c r="E52" s="586">
        <f>_xludf.IFNA(_xlfn.XLOOKUP(C54,'00_SKU_Master'!$B$2:$B$378,'00_SKU_Master'!$F$2:$F$378,0)*Z54,"")</f>
        <v/>
      </c>
      <c r="F52" s="586">
        <f>_xludf.IFNA(_xlfn.XLOOKUP(C54,'00_SKU_Master'!$B$2:$B$378,'00_SKU_Master'!$F$2:$F$378,0)*AA54,"")</f>
        <v/>
      </c>
      <c r="G52" s="586">
        <f>_xludf.IFNA(_xlfn.XLOOKUP(C54,'00_SKU_Master'!$B$2:$B$378,'00_SKU_Master'!$F$2:$F$378,0)*AB54,"")</f>
        <v/>
      </c>
      <c r="H52" s="586">
        <f>_xludf.IFNA(_xlfn.XLOOKUP(C54,'00_SKU_Master'!$B$2:$B$378,'00_SKU_Master'!$F$2:$F$378,0)*AC54,"")</f>
        <v/>
      </c>
      <c r="I52" s="586">
        <f>_xludf.IFNA(_xlfn.XLOOKUP(C54,'00_SKU_Master'!$B$2:$B$378,'00_SKU_Master'!$F$2:$F$378,0)*AD54,"")</f>
        <v/>
      </c>
      <c r="J52" s="586">
        <f>_xludf.IFNA(_xlfn.XLOOKUP(C54,'00_SKU_Master'!$B$2:$B$378,'00_SKU_Master'!$F$2:$F$378,0)*AE54,"")</f>
        <v/>
      </c>
      <c r="K52" s="587">
        <f>SUM(D54:J54)</f>
        <v/>
      </c>
      <c r="L52" s="197">
        <f>_xlfn.XLOOKUP(C54,'00_SKU_Master'!$B$2:$B$378,'00_SKU_Master'!K:K)</f>
        <v/>
      </c>
      <c r="M52" s="14">
        <f>X54</f>
        <v/>
      </c>
      <c r="N52" s="157">
        <f>_xludf.IFNA(D54/_xlfn.XLOOKUP($M54,'00_SKU_Master'!$B$2:$B$378,'00_SKU_Master'!$M$2:$M$378,0)/$M$2,"0")</f>
        <v/>
      </c>
      <c r="O52" s="157">
        <f>_xludf.IFNA(E54/_xlfn.XLOOKUP($M54,'00_SKU_Master'!$B$2:$B$378,'00_SKU_Master'!$M$2:$M$378,0)/$M$2,"0")</f>
        <v/>
      </c>
      <c r="P52" s="157">
        <f>_xludf.IFNA(F54/_xlfn.XLOOKUP($M54,'00_SKU_Master'!$B$2:$B$378,'00_SKU_Master'!$M$2:$M$378,0)/$M$2,"0")</f>
        <v/>
      </c>
      <c r="Q52" s="157">
        <f>_xludf.IFNA(G54/_xlfn.XLOOKUP($M54,'00_SKU_Master'!$B$2:$B$378,'00_SKU_Master'!$M$2:$M$378,0)/$M$2,"0")</f>
        <v/>
      </c>
      <c r="R52" s="157">
        <f>_xludf.IFNA(H54/_xlfn.XLOOKUP($M54,'00_SKU_Master'!$B$2:$B$378,'00_SKU_Master'!$M$2:$M$378,0)/$M$2,"0")</f>
        <v/>
      </c>
      <c r="S52" s="157">
        <f>_xludf.IFNA(I54/_xlfn.XLOOKUP($M54,'00_SKU_Master'!$B$2:$B$378,'00_SKU_Master'!$M$2:$M$378,0)/$M$2,"0")</f>
        <v/>
      </c>
      <c r="T52" s="157">
        <f>_xludf.IFNA(J54/_xlfn.XLOOKUP($M54,'00_SKU_Master'!$B$2:$B$378,'00_SKU_Master'!$M$2:$M$378,0)/$M$2,"0")</f>
        <v/>
      </c>
      <c r="U52" s="157">
        <f>SUM(N54:T54)</f>
        <v/>
      </c>
      <c r="V52" s="4" t="n"/>
      <c r="W52" s="4">
        <f>_xlfn.XLOOKUP(M54,'00_SKU_Master'!$B$2:$B$378,'00_SKU_Master'!D:D)</f>
        <v/>
      </c>
      <c r="X52" s="14">
        <f>'05_Daily_Orders'!B53</f>
        <v/>
      </c>
      <c r="Y52" s="588" t="n"/>
      <c r="Z52" s="589" t="n"/>
      <c r="AA52" s="589" t="n"/>
      <c r="AB52" s="589" t="n"/>
      <c r="AC52" s="589" t="n">
        <v>80</v>
      </c>
      <c r="AD52" s="589" t="n">
        <v>0</v>
      </c>
      <c r="AE52" s="589" t="n">
        <v>0</v>
      </c>
      <c r="AF52" s="587">
        <f>SUM(Y54:AE54)</f>
        <v/>
      </c>
      <c r="AQ52" s="23" t="n">
        <v>0</v>
      </c>
      <c r="AR52" s="23" t="n">
        <v>40</v>
      </c>
      <c r="AS52" s="23">
        <f>AR54-AQ54</f>
        <v/>
      </c>
    </row>
    <row r="53">
      <c r="A53" s="148">
        <f>_xlfn.XLOOKUP(C55,'00_SKU_Master'!$B$2:$B$378,'00_SKU_Master'!$C$2:$C$378)</f>
        <v/>
      </c>
      <c r="B53" s="148" t="n"/>
      <c r="C53" s="148">
        <f>X55</f>
        <v/>
      </c>
      <c r="D53" s="586">
        <f>_xludf.IFNA(_xlfn.XLOOKUP(C55,'00_SKU_Master'!$B$2:$B$378,'00_SKU_Master'!$F$2:$F$378,0)*Y55,"")</f>
        <v/>
      </c>
      <c r="E53" s="586">
        <f>_xludf.IFNA(_xlfn.XLOOKUP(C55,'00_SKU_Master'!$B$2:$B$378,'00_SKU_Master'!$F$2:$F$378,0)*Z55,"")</f>
        <v/>
      </c>
      <c r="F53" s="586">
        <f>_xludf.IFNA(_xlfn.XLOOKUP(C55,'00_SKU_Master'!$B$2:$B$378,'00_SKU_Master'!$F$2:$F$378,0)*AA55,"")</f>
        <v/>
      </c>
      <c r="G53" s="586">
        <f>_xludf.IFNA(_xlfn.XLOOKUP(C55,'00_SKU_Master'!$B$2:$B$378,'00_SKU_Master'!$F$2:$F$378,0)*AB55,"")</f>
        <v/>
      </c>
      <c r="H53" s="586">
        <f>_xludf.IFNA(_xlfn.XLOOKUP(C55,'00_SKU_Master'!$B$2:$B$378,'00_SKU_Master'!$F$2:$F$378,0)*AC55,"")</f>
        <v/>
      </c>
      <c r="I53" s="586">
        <f>_xludf.IFNA(_xlfn.XLOOKUP(C55,'00_SKU_Master'!$B$2:$B$378,'00_SKU_Master'!$F$2:$F$378,0)*AD55,"")</f>
        <v/>
      </c>
      <c r="J53" s="586">
        <f>_xludf.IFNA(_xlfn.XLOOKUP(C55,'00_SKU_Master'!$B$2:$B$378,'00_SKU_Master'!$F$2:$F$378,0)*AE55,"")</f>
        <v/>
      </c>
      <c r="K53" s="587">
        <f>SUM(D55:J55)</f>
        <v/>
      </c>
      <c r="L53" s="197">
        <f>_xlfn.XLOOKUP(C55,'00_SKU_Master'!$B$2:$B$378,'00_SKU_Master'!K:K)</f>
        <v/>
      </c>
      <c r="M53" s="14">
        <f>X55</f>
        <v/>
      </c>
      <c r="N53" s="157">
        <f>_xludf.IFNA(D55/_xlfn.XLOOKUP($M55,'00_SKU_Master'!$B$2:$B$378,'00_SKU_Master'!$M$2:$M$378,0)/$M$2,"0")</f>
        <v/>
      </c>
      <c r="O53" s="157">
        <f>_xludf.IFNA(E55/_xlfn.XLOOKUP($M55,'00_SKU_Master'!$B$2:$B$378,'00_SKU_Master'!$M$2:$M$378,0)/$M$2,"0")</f>
        <v/>
      </c>
      <c r="P53" s="157">
        <f>_xludf.IFNA(F55/_xlfn.XLOOKUP($M55,'00_SKU_Master'!$B$2:$B$378,'00_SKU_Master'!$M$2:$M$378,0)/$M$2,"0")</f>
        <v/>
      </c>
      <c r="Q53" s="157">
        <f>_xludf.IFNA(G55/_xlfn.XLOOKUP($M55,'00_SKU_Master'!$B$2:$B$378,'00_SKU_Master'!$M$2:$M$378,0)/$M$2,"0")</f>
        <v/>
      </c>
      <c r="R53" s="157">
        <f>_xludf.IFNA(H55/_xlfn.XLOOKUP($M55,'00_SKU_Master'!$B$2:$B$378,'00_SKU_Master'!$M$2:$M$378,0)/$M$2,"0")</f>
        <v/>
      </c>
      <c r="S53" s="157">
        <f>_xludf.IFNA(I55/_xlfn.XLOOKUP($M55,'00_SKU_Master'!$B$2:$B$378,'00_SKU_Master'!$M$2:$M$378,0)/$M$2,"0")</f>
        <v/>
      </c>
      <c r="T53" s="157">
        <f>_xludf.IFNA(J55/_xlfn.XLOOKUP($M55,'00_SKU_Master'!$B$2:$B$378,'00_SKU_Master'!$M$2:$M$378,0)/$M$2,"0")</f>
        <v/>
      </c>
      <c r="U53" s="157">
        <f>SUM(N55:T55)</f>
        <v/>
      </c>
      <c r="V53" s="4" t="n"/>
      <c r="W53" s="4">
        <f>_xlfn.XLOOKUP(M55,'00_SKU_Master'!$B$2:$B$378,'00_SKU_Master'!D:D)</f>
        <v/>
      </c>
      <c r="X53" s="14">
        <f>'05_Daily_Orders'!B54</f>
        <v/>
      </c>
      <c r="Y53" s="588" t="n"/>
      <c r="Z53" s="589" t="n"/>
      <c r="AA53" s="588" t="n"/>
      <c r="AB53" s="589" t="n"/>
      <c r="AC53" s="588" t="n">
        <v>0</v>
      </c>
      <c r="AD53" s="589" t="n">
        <v>0</v>
      </c>
      <c r="AE53" s="588" t="n">
        <v>0</v>
      </c>
      <c r="AF53" s="587">
        <f>SUM(Y55:AE55)</f>
        <v/>
      </c>
      <c r="AQ53" s="23" t="n">
        <v>0</v>
      </c>
      <c r="AR53" s="23" t="n">
        <v>0</v>
      </c>
      <c r="AS53" s="23">
        <f>AR55-AQ55</f>
        <v/>
      </c>
    </row>
    <row r="54">
      <c r="A54" s="148">
        <f>_xlfn.XLOOKUP(C56,'00_SKU_Master'!$B$2:$B$378,'00_SKU_Master'!$C$2:$C$378)</f>
        <v/>
      </c>
      <c r="B54" s="148" t="n"/>
      <c r="C54" s="148">
        <f>X56</f>
        <v/>
      </c>
      <c r="D54" s="586">
        <f>_xludf.IFNA(_xlfn.XLOOKUP(C56,'00_SKU_Master'!$B$2:$B$378,'00_SKU_Master'!$F$2:$F$378,0)*Y56,"")</f>
        <v/>
      </c>
      <c r="E54" s="586">
        <f>_xludf.IFNA(_xlfn.XLOOKUP(C56,'00_SKU_Master'!$B$2:$B$378,'00_SKU_Master'!$F$2:$F$378,0)*Z56,"")</f>
        <v/>
      </c>
      <c r="F54" s="586">
        <f>_xludf.IFNA(_xlfn.XLOOKUP(C56,'00_SKU_Master'!$B$2:$B$378,'00_SKU_Master'!$F$2:$F$378,0)*AA56,"")</f>
        <v/>
      </c>
      <c r="G54" s="586">
        <f>_xludf.IFNA(_xlfn.XLOOKUP(C56,'00_SKU_Master'!$B$2:$B$378,'00_SKU_Master'!$F$2:$F$378,0)*AB56,"")</f>
        <v/>
      </c>
      <c r="H54" s="586">
        <f>_xludf.IFNA(_xlfn.XLOOKUP(C56,'00_SKU_Master'!$B$2:$B$378,'00_SKU_Master'!$F$2:$F$378,0)*AC56,"")</f>
        <v/>
      </c>
      <c r="I54" s="586">
        <f>_xludf.IFNA(_xlfn.XLOOKUP(C56,'00_SKU_Master'!$B$2:$B$378,'00_SKU_Master'!$F$2:$F$378,0)*AD56,"")</f>
        <v/>
      </c>
      <c r="J54" s="586">
        <f>_xludf.IFNA(_xlfn.XLOOKUP(C56,'00_SKU_Master'!$B$2:$B$378,'00_SKU_Master'!$F$2:$F$378,0)*AE56,"")</f>
        <v/>
      </c>
      <c r="K54" s="587">
        <f>SUM(D56:J56)</f>
        <v/>
      </c>
      <c r="L54" s="197">
        <f>_xlfn.XLOOKUP(C56,'00_SKU_Master'!$B$2:$B$378,'00_SKU_Master'!K:K)</f>
        <v/>
      </c>
      <c r="M54" s="14">
        <f>X56</f>
        <v/>
      </c>
      <c r="N54" s="157">
        <f>_xludf.IFNA(D56/_xlfn.XLOOKUP($M56,'00_SKU_Master'!$B$2:$B$378,'00_SKU_Master'!$M$2:$M$378,0)/$M$2,"0")</f>
        <v/>
      </c>
      <c r="O54" s="157">
        <f>_xludf.IFNA(E56/_xlfn.XLOOKUP($M56,'00_SKU_Master'!$B$2:$B$378,'00_SKU_Master'!$M$2:$M$378,0)/$M$2,"0")</f>
        <v/>
      </c>
      <c r="P54" s="157">
        <f>_xludf.IFNA(F56/_xlfn.XLOOKUP($M56,'00_SKU_Master'!$B$2:$B$378,'00_SKU_Master'!$M$2:$M$378,0)/$M$2,"0")</f>
        <v/>
      </c>
      <c r="Q54" s="157">
        <f>_xludf.IFNA(G56/_xlfn.XLOOKUP($M56,'00_SKU_Master'!$B$2:$B$378,'00_SKU_Master'!$M$2:$M$378,0)/$M$2,"0")</f>
        <v/>
      </c>
      <c r="R54" s="157">
        <f>_xludf.IFNA(H56/_xlfn.XLOOKUP($M56,'00_SKU_Master'!$B$2:$B$378,'00_SKU_Master'!$M$2:$M$378,0)/$M$2,"0")</f>
        <v/>
      </c>
      <c r="S54" s="157">
        <f>_xludf.IFNA(I56/_xlfn.XLOOKUP($M56,'00_SKU_Master'!$B$2:$B$378,'00_SKU_Master'!$M$2:$M$378,0)/$M$2,"0")</f>
        <v/>
      </c>
      <c r="T54" s="157">
        <f>_xludf.IFNA(J56/_xlfn.XLOOKUP($M56,'00_SKU_Master'!$B$2:$B$378,'00_SKU_Master'!$M$2:$M$378,0)/$M$2,"0")</f>
        <v/>
      </c>
      <c r="U54" s="157">
        <f>SUM(N56:T56)</f>
        <v/>
      </c>
      <c r="V54" s="4" t="n"/>
      <c r="W54" s="4">
        <f>_xlfn.XLOOKUP(M56,'00_SKU_Master'!$B$2:$B$378,'00_SKU_Master'!D:D)</f>
        <v/>
      </c>
      <c r="X54" s="14">
        <f>'05_Daily_Orders'!B55</f>
        <v/>
      </c>
      <c r="Y54" s="588" t="n"/>
      <c r="Z54" s="589" t="n"/>
      <c r="AA54" s="588" t="n"/>
      <c r="AB54" s="589" t="n"/>
      <c r="AC54" s="588" t="n">
        <v>0</v>
      </c>
      <c r="AD54" s="589" t="n">
        <v>0</v>
      </c>
      <c r="AE54" s="588" t="n">
        <v>0</v>
      </c>
      <c r="AF54" s="587">
        <f>SUM(Y56:AE56)</f>
        <v/>
      </c>
      <c r="AQ54" s="23" t="n">
        <v>0</v>
      </c>
      <c r="AR54" s="23" t="n">
        <v>0</v>
      </c>
      <c r="AS54" s="23">
        <f>AR56-AQ56</f>
        <v/>
      </c>
    </row>
    <row r="55">
      <c r="A55" s="148">
        <f>_xlfn.XLOOKUP(C57,'00_SKU_Master'!$B$2:$B$378,'00_SKU_Master'!$C$2:$C$378)</f>
        <v/>
      </c>
      <c r="B55" s="148" t="n"/>
      <c r="C55" s="148">
        <f>X57</f>
        <v/>
      </c>
      <c r="D55" s="586">
        <f>_xludf.IFNA(_xlfn.XLOOKUP(C57,'00_SKU_Master'!$B$2:$B$378,'00_SKU_Master'!$F$2:$F$378,0)*Y57,"")</f>
        <v/>
      </c>
      <c r="E55" s="586">
        <f>_xludf.IFNA(_xlfn.XLOOKUP(C57,'00_SKU_Master'!$B$2:$B$378,'00_SKU_Master'!$F$2:$F$378,0)*Z57,"")</f>
        <v/>
      </c>
      <c r="F55" s="586">
        <f>_xludf.IFNA(_xlfn.XLOOKUP(C57,'00_SKU_Master'!$B$2:$B$378,'00_SKU_Master'!$F$2:$F$378,0)*AA57,"")</f>
        <v/>
      </c>
      <c r="G55" s="586">
        <f>_xludf.IFNA(_xlfn.XLOOKUP(C57,'00_SKU_Master'!$B$2:$B$378,'00_SKU_Master'!$F$2:$F$378,0)*AB57,"")</f>
        <v/>
      </c>
      <c r="H55" s="586">
        <f>_xludf.IFNA(_xlfn.XLOOKUP(C57,'00_SKU_Master'!$B$2:$B$378,'00_SKU_Master'!$F$2:$F$378,0)*AC57,"")</f>
        <v/>
      </c>
      <c r="I55" s="586">
        <f>_xludf.IFNA(_xlfn.XLOOKUP(C57,'00_SKU_Master'!$B$2:$B$378,'00_SKU_Master'!$F$2:$F$378,0)*AD57,"")</f>
        <v/>
      </c>
      <c r="J55" s="586">
        <f>_xludf.IFNA(_xlfn.XLOOKUP(C57,'00_SKU_Master'!$B$2:$B$378,'00_SKU_Master'!$F$2:$F$378,0)*AE57,"")</f>
        <v/>
      </c>
      <c r="K55" s="587">
        <f>SUM(D57:J57)</f>
        <v/>
      </c>
      <c r="L55" s="197">
        <f>_xlfn.XLOOKUP(C57,'00_SKU_Master'!$B$2:$B$378,'00_SKU_Master'!K:K)</f>
        <v/>
      </c>
      <c r="M55" s="14">
        <f>X57</f>
        <v/>
      </c>
      <c r="N55" s="157">
        <f>_xludf.IFNA(D57/_xlfn.XLOOKUP($M57,'00_SKU_Master'!$B$2:$B$378,'00_SKU_Master'!$M$2:$M$378,0)/$M$2,"0")</f>
        <v/>
      </c>
      <c r="O55" s="157">
        <f>_xludf.IFNA(E57/_xlfn.XLOOKUP($M57,'00_SKU_Master'!$B$2:$B$378,'00_SKU_Master'!$M$2:$M$378,0)/$M$2,"0")</f>
        <v/>
      </c>
      <c r="P55" s="157">
        <f>_xludf.IFNA(F57/_xlfn.XLOOKUP($M57,'00_SKU_Master'!$B$2:$B$378,'00_SKU_Master'!$M$2:$M$378,0)/$M$2,"0")</f>
        <v/>
      </c>
      <c r="Q55" s="157">
        <f>_xludf.IFNA(G57/_xlfn.XLOOKUP($M57,'00_SKU_Master'!$B$2:$B$378,'00_SKU_Master'!$M$2:$M$378,0)/$M$2,"0")</f>
        <v/>
      </c>
      <c r="R55" s="157">
        <f>_xludf.IFNA(H57/_xlfn.XLOOKUP($M57,'00_SKU_Master'!$B$2:$B$378,'00_SKU_Master'!$M$2:$M$378,0)/$M$2,"0")</f>
        <v/>
      </c>
      <c r="S55" s="157">
        <f>_xludf.IFNA(I57/_xlfn.XLOOKUP($M57,'00_SKU_Master'!$B$2:$B$378,'00_SKU_Master'!$M$2:$M$378,0)/$M$2,"0")</f>
        <v/>
      </c>
      <c r="T55" s="157">
        <f>_xludf.IFNA(J57/_xlfn.XLOOKUP($M57,'00_SKU_Master'!$B$2:$B$378,'00_SKU_Master'!$M$2:$M$378,0)/$M$2,"0")</f>
        <v/>
      </c>
      <c r="U55" s="157">
        <f>SUM(N57:T57)</f>
        <v/>
      </c>
      <c r="V55" s="4" t="n"/>
      <c r="W55" s="4">
        <f>_xlfn.XLOOKUP(M57,'00_SKU_Master'!$B$2:$B$378,'00_SKU_Master'!D:D)</f>
        <v/>
      </c>
      <c r="X55" s="14">
        <f>'05_Daily_Orders'!B56</f>
        <v/>
      </c>
      <c r="Y55" s="588" t="n"/>
      <c r="Z55" s="589" t="n"/>
      <c r="AA55" s="588" t="n"/>
      <c r="AB55" s="589" t="n"/>
      <c r="AC55" s="588" t="n">
        <v>0</v>
      </c>
      <c r="AD55" s="589" t="n">
        <v>0</v>
      </c>
      <c r="AE55" s="588" t="n">
        <v>0</v>
      </c>
      <c r="AF55" s="587">
        <f>SUM(Y57:AE57)</f>
        <v/>
      </c>
      <c r="AQ55" s="23" t="n">
        <v>0</v>
      </c>
      <c r="AR55" s="23" t="n">
        <v>0</v>
      </c>
      <c r="AS55" s="23">
        <f>AR57-AQ57</f>
        <v/>
      </c>
    </row>
    <row r="56">
      <c r="A56" s="148">
        <f>_xlfn.XLOOKUP(C58,'00_SKU_Master'!$B$2:$B$378,'00_SKU_Master'!$C$2:$C$378)</f>
        <v/>
      </c>
      <c r="B56" s="148" t="n"/>
      <c r="C56" s="148">
        <f>X58</f>
        <v/>
      </c>
      <c r="D56" s="586">
        <f>_xludf.IFNA(_xlfn.XLOOKUP(C58,'00_SKU_Master'!$B$2:$B$378,'00_SKU_Master'!$F$2:$F$378,0)*Y58,"")</f>
        <v/>
      </c>
      <c r="E56" s="586">
        <f>_xludf.IFNA(_xlfn.XLOOKUP(C58,'00_SKU_Master'!$B$2:$B$378,'00_SKU_Master'!$F$2:$F$378,0)*Z58,"")</f>
        <v/>
      </c>
      <c r="F56" s="586">
        <f>_xludf.IFNA(_xlfn.XLOOKUP(C58,'00_SKU_Master'!$B$2:$B$378,'00_SKU_Master'!$F$2:$F$378,0)*AA58,"")</f>
        <v/>
      </c>
      <c r="G56" s="586">
        <f>_xludf.IFNA(_xlfn.XLOOKUP(C58,'00_SKU_Master'!$B$2:$B$378,'00_SKU_Master'!$F$2:$F$378,0)*AB58,"")</f>
        <v/>
      </c>
      <c r="H56" s="586">
        <f>_xludf.IFNA(_xlfn.XLOOKUP(C58,'00_SKU_Master'!$B$2:$B$378,'00_SKU_Master'!$F$2:$F$378,0)*AC58,"")</f>
        <v/>
      </c>
      <c r="I56" s="586">
        <f>_xludf.IFNA(_xlfn.XLOOKUP(C58,'00_SKU_Master'!$B$2:$B$378,'00_SKU_Master'!$F$2:$F$378,0)*AD58,"")</f>
        <v/>
      </c>
      <c r="J56" s="586">
        <f>_xludf.IFNA(_xlfn.XLOOKUP(C58,'00_SKU_Master'!$B$2:$B$378,'00_SKU_Master'!$F$2:$F$378,0)*AE58,"")</f>
        <v/>
      </c>
      <c r="K56" s="587">
        <f>SUM(D58:J58)</f>
        <v/>
      </c>
      <c r="L56" s="197">
        <f>_xlfn.XLOOKUP(C58,'00_SKU_Master'!$B$2:$B$378,'00_SKU_Master'!K:K)</f>
        <v/>
      </c>
      <c r="M56" s="14">
        <f>X58</f>
        <v/>
      </c>
      <c r="N56" s="157">
        <f>_xludf.IFNA(D58/_xlfn.XLOOKUP($M58,'00_SKU_Master'!$B$2:$B$378,'00_SKU_Master'!$M$2:$M$378,0)/$M$2,"0")</f>
        <v/>
      </c>
      <c r="O56" s="157">
        <f>_xludf.IFNA(E58/_xlfn.XLOOKUP($M58,'00_SKU_Master'!$B$2:$B$378,'00_SKU_Master'!$M$2:$M$378,0)/$M$2,"0")</f>
        <v/>
      </c>
      <c r="P56" s="157">
        <f>_xludf.IFNA(F58/_xlfn.XLOOKUP($M58,'00_SKU_Master'!$B$2:$B$378,'00_SKU_Master'!$M$2:$M$378,0)/$M$2,"0")</f>
        <v/>
      </c>
      <c r="Q56" s="157">
        <f>_xludf.IFNA(G58/_xlfn.XLOOKUP($M58,'00_SKU_Master'!$B$2:$B$378,'00_SKU_Master'!$M$2:$M$378,0)/$M$2,"0")</f>
        <v/>
      </c>
      <c r="R56" s="157">
        <f>_xludf.IFNA(H58/_xlfn.XLOOKUP($M58,'00_SKU_Master'!$B$2:$B$378,'00_SKU_Master'!$M$2:$M$378,0)/$M$2,"0")</f>
        <v/>
      </c>
      <c r="S56" s="157">
        <f>_xludf.IFNA(I58/_xlfn.XLOOKUP($M58,'00_SKU_Master'!$B$2:$B$378,'00_SKU_Master'!$M$2:$M$378,0)/$M$2,"0")</f>
        <v/>
      </c>
      <c r="T56" s="157">
        <f>_xludf.IFNA(J58/_xlfn.XLOOKUP($M58,'00_SKU_Master'!$B$2:$B$378,'00_SKU_Master'!$M$2:$M$378,0)/$M$2,"0")</f>
        <v/>
      </c>
      <c r="U56" s="157">
        <f>SUM(N58:T58)</f>
        <v/>
      </c>
      <c r="V56" s="4" t="n"/>
      <c r="W56" s="4">
        <f>_xlfn.XLOOKUP(M58,'00_SKU_Master'!$B$2:$B$378,'00_SKU_Master'!D:D)</f>
        <v/>
      </c>
      <c r="X56" s="14">
        <f>'05_Daily_Orders'!B57</f>
        <v/>
      </c>
      <c r="Y56" s="588" t="n"/>
      <c r="Z56" s="589" t="n"/>
      <c r="AA56" s="588" t="n"/>
      <c r="AB56" s="589" t="n"/>
      <c r="AC56" s="588" t="n">
        <v>0</v>
      </c>
      <c r="AD56" s="589" t="n">
        <v>0</v>
      </c>
      <c r="AE56" s="588" t="n">
        <v>0</v>
      </c>
      <c r="AF56" s="587">
        <f>SUM(Y58:AE58)</f>
        <v/>
      </c>
      <c r="AQ56" s="23" t="n">
        <v>0</v>
      </c>
      <c r="AR56" s="23" t="n">
        <v>0</v>
      </c>
      <c r="AS56" s="23">
        <f>AR58-AQ58</f>
        <v/>
      </c>
    </row>
    <row r="57">
      <c r="A57" s="148">
        <f>_xlfn.XLOOKUP(C59,'00_SKU_Master'!$B$2:$B$378,'00_SKU_Master'!$C$2:$C$378)</f>
        <v/>
      </c>
      <c r="B57" s="148" t="n"/>
      <c r="C57" s="148">
        <f>X59</f>
        <v/>
      </c>
      <c r="D57" s="586">
        <f>_xludf.IFNA(_xlfn.XLOOKUP(C59,'00_SKU_Master'!$B$2:$B$378,'00_SKU_Master'!$F$2:$F$378,0)*Y59,"")</f>
        <v/>
      </c>
      <c r="E57" s="586">
        <f>_xludf.IFNA(_xlfn.XLOOKUP(C59,'00_SKU_Master'!$B$2:$B$378,'00_SKU_Master'!$F$2:$F$378,0)*Z59,"")</f>
        <v/>
      </c>
      <c r="F57" s="586">
        <f>_xludf.IFNA(_xlfn.XLOOKUP(C59,'00_SKU_Master'!$B$2:$B$378,'00_SKU_Master'!$F$2:$F$378,0)*AA59,"")</f>
        <v/>
      </c>
      <c r="G57" s="586">
        <f>_xludf.IFNA(_xlfn.XLOOKUP(C59,'00_SKU_Master'!$B$2:$B$378,'00_SKU_Master'!$F$2:$F$378,0)*AB59,"")</f>
        <v/>
      </c>
      <c r="H57" s="586">
        <f>_xludf.IFNA(_xlfn.XLOOKUP(C59,'00_SKU_Master'!$B$2:$B$378,'00_SKU_Master'!$F$2:$F$378,0)*AC59,"")</f>
        <v/>
      </c>
      <c r="I57" s="586">
        <f>_xludf.IFNA(_xlfn.XLOOKUP(C59,'00_SKU_Master'!$B$2:$B$378,'00_SKU_Master'!$F$2:$F$378,0)*AD59,"")</f>
        <v/>
      </c>
      <c r="J57" s="586">
        <f>_xludf.IFNA(_xlfn.XLOOKUP(C59,'00_SKU_Master'!$B$2:$B$378,'00_SKU_Master'!$F$2:$F$378,0)*AE59,"")</f>
        <v/>
      </c>
      <c r="K57" s="587">
        <f>SUM(D59:J59)</f>
        <v/>
      </c>
      <c r="L57" s="197">
        <f>_xlfn.XLOOKUP(C59,'00_SKU_Master'!$B$2:$B$378,'00_SKU_Master'!K:K)</f>
        <v/>
      </c>
      <c r="M57" s="14">
        <f>X59</f>
        <v/>
      </c>
      <c r="N57" s="157">
        <f>_xludf.IFNA(D59/_xlfn.XLOOKUP($M59,'00_SKU_Master'!$B$2:$B$378,'00_SKU_Master'!$M$2:$M$378,0)/$M$2,"0")</f>
        <v/>
      </c>
      <c r="O57" s="157">
        <f>_xludf.IFNA(E59/_xlfn.XLOOKUP($M59,'00_SKU_Master'!$B$2:$B$378,'00_SKU_Master'!$M$2:$M$378,0)/$M$2,"0")</f>
        <v/>
      </c>
      <c r="P57" s="157">
        <f>_xludf.IFNA(F59/_xlfn.XLOOKUP($M59,'00_SKU_Master'!$B$2:$B$378,'00_SKU_Master'!$M$2:$M$378,0)/$M$2,"0")</f>
        <v/>
      </c>
      <c r="Q57" s="157">
        <f>_xludf.IFNA(G59/_xlfn.XLOOKUP($M59,'00_SKU_Master'!$B$2:$B$378,'00_SKU_Master'!$M$2:$M$378,0)/$M$2,"0")</f>
        <v/>
      </c>
      <c r="R57" s="157">
        <f>_xludf.IFNA(H59/_xlfn.XLOOKUP($M59,'00_SKU_Master'!$B$2:$B$378,'00_SKU_Master'!$M$2:$M$378,0)/$M$2,"0")</f>
        <v/>
      </c>
      <c r="S57" s="157">
        <f>_xludf.IFNA(I59/_xlfn.XLOOKUP($M59,'00_SKU_Master'!$B$2:$B$378,'00_SKU_Master'!$M$2:$M$378,0)/$M$2,"0")</f>
        <v/>
      </c>
      <c r="T57" s="157">
        <f>_xludf.IFNA(J59/_xlfn.XLOOKUP($M59,'00_SKU_Master'!$B$2:$B$378,'00_SKU_Master'!$M$2:$M$378,0)/$M$2,"0")</f>
        <v/>
      </c>
      <c r="U57" s="157">
        <f>SUM(N59:T59)</f>
        <v/>
      </c>
      <c r="V57" s="4" t="n"/>
      <c r="W57" s="4">
        <f>_xlfn.XLOOKUP(M59,'00_SKU_Master'!$B$2:$B$378,'00_SKU_Master'!D:D)</f>
        <v/>
      </c>
      <c r="X57" s="14">
        <f>'05_Daily_Orders'!B58</f>
        <v/>
      </c>
      <c r="Y57" s="588" t="n"/>
      <c r="Z57" s="589" t="n"/>
      <c r="AA57" s="588" t="n"/>
      <c r="AB57" s="589" t="n"/>
      <c r="AC57" s="588" t="n">
        <v>0</v>
      </c>
      <c r="AD57" s="589" t="n">
        <v>0</v>
      </c>
      <c r="AE57" s="588" t="n">
        <v>0</v>
      </c>
      <c r="AF57" s="587">
        <f>SUM(Y59:AE59)</f>
        <v/>
      </c>
      <c r="AQ57" s="23" t="n">
        <v>0</v>
      </c>
      <c r="AR57" s="23" t="n">
        <v>0</v>
      </c>
      <c r="AS57" s="23">
        <f>AR59-AQ59</f>
        <v/>
      </c>
    </row>
    <row r="58">
      <c r="A58" s="148">
        <f>_xlfn.XLOOKUP(C60,'00_SKU_Master'!$B$2:$B$378,'00_SKU_Master'!$C$2:$C$378)</f>
        <v/>
      </c>
      <c r="B58" s="148" t="n"/>
      <c r="C58" s="148">
        <f>X60</f>
        <v/>
      </c>
      <c r="D58" s="586">
        <f>_xludf.IFNA(_xlfn.XLOOKUP(C60,'00_SKU_Master'!$B$2:$B$378,'00_SKU_Master'!$F$2:$F$378,0)*Y60,"")</f>
        <v/>
      </c>
      <c r="E58" s="586">
        <f>_xludf.IFNA(_xlfn.XLOOKUP(C60,'00_SKU_Master'!$B$2:$B$378,'00_SKU_Master'!$F$2:$F$378,0)*Z60,"")</f>
        <v/>
      </c>
      <c r="F58" s="586">
        <f>_xludf.IFNA(_xlfn.XLOOKUP(C60,'00_SKU_Master'!$B$2:$B$378,'00_SKU_Master'!$F$2:$F$378,0)*AA60,"")</f>
        <v/>
      </c>
      <c r="G58" s="586">
        <f>_xludf.IFNA(_xlfn.XLOOKUP(C60,'00_SKU_Master'!$B$2:$B$378,'00_SKU_Master'!$F$2:$F$378,0)*AB60,"")</f>
        <v/>
      </c>
      <c r="H58" s="586">
        <f>_xludf.IFNA(_xlfn.XLOOKUP(C60,'00_SKU_Master'!$B$2:$B$378,'00_SKU_Master'!$F$2:$F$378,0)*AC60,"")</f>
        <v/>
      </c>
      <c r="I58" s="586">
        <f>_xludf.IFNA(_xlfn.XLOOKUP(C60,'00_SKU_Master'!$B$2:$B$378,'00_SKU_Master'!$F$2:$F$378,0)*AD60,"")</f>
        <v/>
      </c>
      <c r="J58" s="586">
        <f>_xludf.IFNA(_xlfn.XLOOKUP(C60,'00_SKU_Master'!$B$2:$B$378,'00_SKU_Master'!$F$2:$F$378,0)*AE60,"")</f>
        <v/>
      </c>
      <c r="K58" s="587">
        <f>SUM(D60:J60)</f>
        <v/>
      </c>
      <c r="L58" s="197">
        <f>_xlfn.XLOOKUP(C60,'00_SKU_Master'!$B$2:$B$378,'00_SKU_Master'!K:K)</f>
        <v/>
      </c>
      <c r="M58" s="14">
        <f>X60</f>
        <v/>
      </c>
      <c r="N58" s="157">
        <f>_xludf.IFNA(D60/_xlfn.XLOOKUP($M60,'00_SKU_Master'!$B$2:$B$378,'00_SKU_Master'!$M$2:$M$378,0)/$M$2,"0")</f>
        <v/>
      </c>
      <c r="O58" s="157">
        <f>_xludf.IFNA(E60/_xlfn.XLOOKUP($M60,'00_SKU_Master'!$B$2:$B$378,'00_SKU_Master'!$M$2:$M$378,0)/$M$2,"0")</f>
        <v/>
      </c>
      <c r="P58" s="157">
        <f>_xludf.IFNA(F60/_xlfn.XLOOKUP($M60,'00_SKU_Master'!$B$2:$B$378,'00_SKU_Master'!$M$2:$M$378,0)/$M$2,"0")</f>
        <v/>
      </c>
      <c r="Q58" s="157">
        <f>_xludf.IFNA(G60/_xlfn.XLOOKUP($M60,'00_SKU_Master'!$B$2:$B$378,'00_SKU_Master'!$M$2:$M$378,0)/$M$2,"0")</f>
        <v/>
      </c>
      <c r="R58" s="157">
        <f>_xludf.IFNA(H60/_xlfn.XLOOKUP($M60,'00_SKU_Master'!$B$2:$B$378,'00_SKU_Master'!$M$2:$M$378,0)/$M$2,"0")</f>
        <v/>
      </c>
      <c r="S58" s="157">
        <f>_xludf.IFNA(I60/_xlfn.XLOOKUP($M60,'00_SKU_Master'!$B$2:$B$378,'00_SKU_Master'!$M$2:$M$378,0)/$M$2,"0")</f>
        <v/>
      </c>
      <c r="T58" s="157">
        <f>_xludf.IFNA(J60/_xlfn.XLOOKUP($M60,'00_SKU_Master'!$B$2:$B$378,'00_SKU_Master'!$M$2:$M$378,0)/$M$2,"0")</f>
        <v/>
      </c>
      <c r="U58" s="157">
        <f>SUM(N60:T60)</f>
        <v/>
      </c>
      <c r="V58" s="4" t="n"/>
      <c r="W58" s="4">
        <f>_xlfn.XLOOKUP(M60,'00_SKU_Master'!$B$2:$B$378,'00_SKU_Master'!D:D)</f>
        <v/>
      </c>
      <c r="X58" s="14">
        <f>'05_Daily_Orders'!B59</f>
        <v/>
      </c>
      <c r="Y58" s="588" t="n"/>
      <c r="Z58" s="589" t="n"/>
      <c r="AA58" s="588" t="n"/>
      <c r="AB58" s="589" t="n"/>
      <c r="AC58" s="588" t="n">
        <v>0</v>
      </c>
      <c r="AD58" s="589" t="n">
        <v>0</v>
      </c>
      <c r="AE58" s="588" t="n">
        <v>0</v>
      </c>
      <c r="AF58" s="587">
        <f>SUM(Y60:AE60)</f>
        <v/>
      </c>
      <c r="AQ58" s="23" t="n">
        <v>0</v>
      </c>
      <c r="AR58" s="23" t="n">
        <v>0</v>
      </c>
      <c r="AS58" s="23">
        <f>AR60-AQ60</f>
        <v/>
      </c>
    </row>
    <row r="59">
      <c r="A59" s="148">
        <f>_xlfn.XLOOKUP(C61,'00_SKU_Master'!$B$2:$B$378,'00_SKU_Master'!$C$2:$C$378)</f>
        <v/>
      </c>
      <c r="B59" s="148" t="n"/>
      <c r="C59" s="148">
        <f>X61</f>
        <v/>
      </c>
      <c r="D59" s="586">
        <f>_xludf.IFNA(_xlfn.XLOOKUP(C61,'00_SKU_Master'!$B$2:$B$378,'00_SKU_Master'!$F$2:$F$378,0)*Y61,"")</f>
        <v/>
      </c>
      <c r="E59" s="586">
        <f>_xludf.IFNA(_xlfn.XLOOKUP(C61,'00_SKU_Master'!$B$2:$B$378,'00_SKU_Master'!$F$2:$F$378,0)*Z61,"")</f>
        <v/>
      </c>
      <c r="F59" s="586">
        <f>_xludf.IFNA(_xlfn.XLOOKUP(C61,'00_SKU_Master'!$B$2:$B$378,'00_SKU_Master'!$F$2:$F$378,0)*AA61,"")</f>
        <v/>
      </c>
      <c r="G59" s="586">
        <f>_xludf.IFNA(_xlfn.XLOOKUP(C61,'00_SKU_Master'!$B$2:$B$378,'00_SKU_Master'!$F$2:$F$378,0)*AB61,"")</f>
        <v/>
      </c>
      <c r="H59" s="586">
        <f>_xludf.IFNA(_xlfn.XLOOKUP(C61,'00_SKU_Master'!$B$2:$B$378,'00_SKU_Master'!$F$2:$F$378,0)*AC61,"")</f>
        <v/>
      </c>
      <c r="I59" s="586">
        <f>_xludf.IFNA(_xlfn.XLOOKUP(C61,'00_SKU_Master'!$B$2:$B$378,'00_SKU_Master'!$F$2:$F$378,0)*AD61,"")</f>
        <v/>
      </c>
      <c r="J59" s="586">
        <f>_xludf.IFNA(_xlfn.XLOOKUP(C61,'00_SKU_Master'!$B$2:$B$378,'00_SKU_Master'!$F$2:$F$378,0)*AE61,"")</f>
        <v/>
      </c>
      <c r="K59" s="587">
        <f>SUM(D61:J61)</f>
        <v/>
      </c>
      <c r="L59" s="197">
        <f>_xlfn.XLOOKUP(C61,'00_SKU_Master'!$B$2:$B$378,'00_SKU_Master'!K:K)</f>
        <v/>
      </c>
      <c r="M59" s="14">
        <f>X61</f>
        <v/>
      </c>
      <c r="N59" s="157">
        <f>_xludf.IFNA(D61/_xlfn.XLOOKUP($M61,'00_SKU_Master'!$B$2:$B$378,'00_SKU_Master'!$M$2:$M$378,0)/$M$2,"0")</f>
        <v/>
      </c>
      <c r="O59" s="157">
        <f>_xludf.IFNA(E61/_xlfn.XLOOKUP($M61,'00_SKU_Master'!$B$2:$B$378,'00_SKU_Master'!$M$2:$M$378,0)/$M$2,"0")</f>
        <v/>
      </c>
      <c r="P59" s="157">
        <f>_xludf.IFNA(F61/_xlfn.XLOOKUP($M61,'00_SKU_Master'!$B$2:$B$378,'00_SKU_Master'!$M$2:$M$378,0)/$M$2,"0")</f>
        <v/>
      </c>
      <c r="Q59" s="157">
        <f>_xludf.IFNA(G61/_xlfn.XLOOKUP($M61,'00_SKU_Master'!$B$2:$B$378,'00_SKU_Master'!$M$2:$M$378,0)/$M$2,"0")</f>
        <v/>
      </c>
      <c r="R59" s="157">
        <f>_xludf.IFNA(H61/_xlfn.XLOOKUP($M61,'00_SKU_Master'!$B$2:$B$378,'00_SKU_Master'!$M$2:$M$378,0)/$M$2,"0")</f>
        <v/>
      </c>
      <c r="S59" s="157">
        <f>_xludf.IFNA(I61/_xlfn.XLOOKUP($M61,'00_SKU_Master'!$B$2:$B$378,'00_SKU_Master'!$M$2:$M$378,0)/$M$2,"0")</f>
        <v/>
      </c>
      <c r="T59" s="157">
        <f>_xludf.IFNA(J61/_xlfn.XLOOKUP($M61,'00_SKU_Master'!$B$2:$B$378,'00_SKU_Master'!$M$2:$M$378,0)/$M$2,"0")</f>
        <v/>
      </c>
      <c r="U59" s="157">
        <f>SUM(N61:T61)</f>
        <v/>
      </c>
      <c r="V59" s="4" t="n"/>
      <c r="W59" s="4">
        <f>_xlfn.XLOOKUP(M61,'00_SKU_Master'!$B$2:$B$378,'00_SKU_Master'!D:D)</f>
        <v/>
      </c>
      <c r="X59" s="14">
        <f>'05_Daily_Orders'!B60</f>
        <v/>
      </c>
      <c r="Y59" s="588" t="n"/>
      <c r="Z59" s="589" t="n"/>
      <c r="AA59" s="588" t="n"/>
      <c r="AB59" s="589" t="n"/>
      <c r="AC59" s="588" t="n">
        <v>0</v>
      </c>
      <c r="AD59" s="589" t="n">
        <v>0</v>
      </c>
      <c r="AE59" s="588" t="n">
        <v>0</v>
      </c>
      <c r="AF59" s="587">
        <f>SUM(Y61:AE61)</f>
        <v/>
      </c>
      <c r="AQ59" s="23" t="n">
        <v>0</v>
      </c>
      <c r="AR59" s="23" t="n">
        <v>0</v>
      </c>
      <c r="AS59" s="23">
        <f>AR61-AQ61</f>
        <v/>
      </c>
    </row>
    <row r="60">
      <c r="A60" s="148">
        <f>_xlfn.XLOOKUP(C62,'00_SKU_Master'!$B$2:$B$378,'00_SKU_Master'!$C$2:$C$378)</f>
        <v/>
      </c>
      <c r="B60" s="148" t="n"/>
      <c r="C60" s="148">
        <f>X62</f>
        <v/>
      </c>
      <c r="D60" s="586">
        <f>_xludf.IFNA(_xlfn.XLOOKUP(C62,'00_SKU_Master'!$B$2:$B$378,'00_SKU_Master'!$F$2:$F$378,0)*Y62,"")</f>
        <v/>
      </c>
      <c r="E60" s="586">
        <f>_xludf.IFNA(_xlfn.XLOOKUP(C62,'00_SKU_Master'!$B$2:$B$378,'00_SKU_Master'!$F$2:$F$378,0)*Z62,"")</f>
        <v/>
      </c>
      <c r="F60" s="586">
        <f>_xludf.IFNA(_xlfn.XLOOKUP(C62,'00_SKU_Master'!$B$2:$B$378,'00_SKU_Master'!$F$2:$F$378,0)*AA62,"")</f>
        <v/>
      </c>
      <c r="G60" s="586">
        <f>_xludf.IFNA(_xlfn.XLOOKUP(C62,'00_SKU_Master'!$B$2:$B$378,'00_SKU_Master'!$F$2:$F$378,0)*AB62,"")</f>
        <v/>
      </c>
      <c r="H60" s="586">
        <f>_xludf.IFNA(_xlfn.XLOOKUP(C62,'00_SKU_Master'!$B$2:$B$378,'00_SKU_Master'!$F$2:$F$378,0)*AC62,"")</f>
        <v/>
      </c>
      <c r="I60" s="586">
        <f>_xludf.IFNA(_xlfn.XLOOKUP(C62,'00_SKU_Master'!$B$2:$B$378,'00_SKU_Master'!$F$2:$F$378,0)*AD62,"")</f>
        <v/>
      </c>
      <c r="J60" s="586">
        <f>_xludf.IFNA(_xlfn.XLOOKUP(C62,'00_SKU_Master'!$B$2:$B$378,'00_SKU_Master'!$F$2:$F$378,0)*AE62,"")</f>
        <v/>
      </c>
      <c r="K60" s="587">
        <f>SUM(D62:J62)</f>
        <v/>
      </c>
      <c r="L60" s="197">
        <f>_xlfn.XLOOKUP(C62,'00_SKU_Master'!$B$2:$B$378,'00_SKU_Master'!K:K)</f>
        <v/>
      </c>
      <c r="M60" s="14">
        <f>X62</f>
        <v/>
      </c>
      <c r="N60" s="157">
        <f>_xludf.IFNA(D62/_xlfn.XLOOKUP($M62,'00_SKU_Master'!$B$2:$B$378,'00_SKU_Master'!$M$2:$M$378,0)/$M$2,"0")</f>
        <v/>
      </c>
      <c r="O60" s="157">
        <f>_xludf.IFNA(E62/_xlfn.XLOOKUP($M62,'00_SKU_Master'!$B$2:$B$378,'00_SKU_Master'!$M$2:$M$378,0)/$M$2,"0")</f>
        <v/>
      </c>
      <c r="P60" s="157">
        <f>_xludf.IFNA(F62/_xlfn.XLOOKUP($M62,'00_SKU_Master'!$B$2:$B$378,'00_SKU_Master'!$M$2:$M$378,0)/$M$2,"0")</f>
        <v/>
      </c>
      <c r="Q60" s="157">
        <f>_xludf.IFNA(G62/_xlfn.XLOOKUP($M62,'00_SKU_Master'!$B$2:$B$378,'00_SKU_Master'!$M$2:$M$378,0)/$M$2,"0")</f>
        <v/>
      </c>
      <c r="R60" s="157">
        <f>_xludf.IFNA(H62/_xlfn.XLOOKUP($M62,'00_SKU_Master'!$B$2:$B$378,'00_SKU_Master'!$M$2:$M$378,0)/$M$2,"0")</f>
        <v/>
      </c>
      <c r="S60" s="157">
        <f>_xludf.IFNA(I62/_xlfn.XLOOKUP($M62,'00_SKU_Master'!$B$2:$B$378,'00_SKU_Master'!$M$2:$M$378,0)/$M$2,"0")</f>
        <v/>
      </c>
      <c r="T60" s="157">
        <f>_xludf.IFNA(J62/_xlfn.XLOOKUP($M62,'00_SKU_Master'!$B$2:$B$378,'00_SKU_Master'!$M$2:$M$378,0)/$M$2,"0")</f>
        <v/>
      </c>
      <c r="U60" s="157">
        <f>SUM(N62:T62)</f>
        <v/>
      </c>
      <c r="V60" s="4" t="n"/>
      <c r="W60" s="4">
        <f>_xlfn.XLOOKUP(M62,'00_SKU_Master'!$B$2:$B$378,'00_SKU_Master'!D:D)</f>
        <v/>
      </c>
      <c r="X60" s="14">
        <f>'05_Daily_Orders'!B61</f>
        <v/>
      </c>
      <c r="Y60" s="588" t="n"/>
      <c r="Z60" s="589" t="n"/>
      <c r="AA60" s="588" t="n"/>
      <c r="AB60" s="589" t="n"/>
      <c r="AC60" s="588" t="n">
        <v>0</v>
      </c>
      <c r="AD60" s="589" t="n">
        <v>0</v>
      </c>
      <c r="AE60" s="588" t="n">
        <v>0</v>
      </c>
      <c r="AF60" s="587">
        <f>SUM(Y62:AE62)</f>
        <v/>
      </c>
      <c r="AQ60" s="23" t="n">
        <v>0</v>
      </c>
      <c r="AR60" s="23" t="n">
        <v>0</v>
      </c>
      <c r="AS60" s="23">
        <f>AR62-AQ62</f>
        <v/>
      </c>
    </row>
    <row r="61">
      <c r="A61" s="148">
        <f>_xlfn.XLOOKUP(C63,'00_SKU_Master'!$B$2:$B$378,'00_SKU_Master'!$C$2:$C$378)</f>
        <v/>
      </c>
      <c r="B61" s="148" t="n"/>
      <c r="C61" s="148">
        <f>X63</f>
        <v/>
      </c>
      <c r="D61" s="586">
        <f>_xludf.IFNA(_xlfn.XLOOKUP(C63,'00_SKU_Master'!$B$2:$B$378,'00_SKU_Master'!$F$2:$F$378,0)*Y63,"")</f>
        <v/>
      </c>
      <c r="E61" s="586">
        <f>_xludf.IFNA(_xlfn.XLOOKUP(C63,'00_SKU_Master'!$B$2:$B$378,'00_SKU_Master'!$F$2:$F$378,0)*Z63,"")</f>
        <v/>
      </c>
      <c r="F61" s="586">
        <f>_xludf.IFNA(_xlfn.XLOOKUP(C63,'00_SKU_Master'!$B$2:$B$378,'00_SKU_Master'!$F$2:$F$378,0)*AA63,"")</f>
        <v/>
      </c>
      <c r="G61" s="586">
        <f>_xludf.IFNA(_xlfn.XLOOKUP(C63,'00_SKU_Master'!$B$2:$B$378,'00_SKU_Master'!$F$2:$F$378,0)*AB63,"")</f>
        <v/>
      </c>
      <c r="H61" s="586">
        <f>_xludf.IFNA(_xlfn.XLOOKUP(C63,'00_SKU_Master'!$B$2:$B$378,'00_SKU_Master'!$F$2:$F$378,0)*AC63,"")</f>
        <v/>
      </c>
      <c r="I61" s="586">
        <f>_xludf.IFNA(_xlfn.XLOOKUP(C63,'00_SKU_Master'!$B$2:$B$378,'00_SKU_Master'!$F$2:$F$378,0)*AD63,"")</f>
        <v/>
      </c>
      <c r="J61" s="586">
        <f>_xludf.IFNA(_xlfn.XLOOKUP(C63,'00_SKU_Master'!$B$2:$B$378,'00_SKU_Master'!$F$2:$F$378,0)*AE63,"")</f>
        <v/>
      </c>
      <c r="K61" s="587">
        <f>SUM(D63:J63)</f>
        <v/>
      </c>
      <c r="L61" s="197">
        <f>_xlfn.XLOOKUP(C63,'00_SKU_Master'!$B$2:$B$378,'00_SKU_Master'!K:K)</f>
        <v/>
      </c>
      <c r="M61" s="14">
        <f>X63</f>
        <v/>
      </c>
      <c r="N61" s="157">
        <f>_xludf.IFNA(D63/_xlfn.XLOOKUP($M63,'00_SKU_Master'!$B$2:$B$378,'00_SKU_Master'!$M$2:$M$378,0)/$M$2,"0")</f>
        <v/>
      </c>
      <c r="O61" s="157">
        <f>_xludf.IFNA(E63/_xlfn.XLOOKUP($M63,'00_SKU_Master'!$B$2:$B$378,'00_SKU_Master'!$M$2:$M$378,0)/$M$2,"0")</f>
        <v/>
      </c>
      <c r="P61" s="157">
        <f>_xludf.IFNA(F63/_xlfn.XLOOKUP($M63,'00_SKU_Master'!$B$2:$B$378,'00_SKU_Master'!$M$2:$M$378,0)/$M$2,"0")</f>
        <v/>
      </c>
      <c r="Q61" s="157">
        <f>_xludf.IFNA(G63/_xlfn.XLOOKUP($M63,'00_SKU_Master'!$B$2:$B$378,'00_SKU_Master'!$M$2:$M$378,0)/$M$2,"0")</f>
        <v/>
      </c>
      <c r="R61" s="157">
        <f>_xludf.IFNA(H63/_xlfn.XLOOKUP($M63,'00_SKU_Master'!$B$2:$B$378,'00_SKU_Master'!$M$2:$M$378,0)/$M$2,"0")</f>
        <v/>
      </c>
      <c r="S61" s="157">
        <f>_xludf.IFNA(I63/_xlfn.XLOOKUP($M63,'00_SKU_Master'!$B$2:$B$378,'00_SKU_Master'!$M$2:$M$378,0)/$M$2,"0")</f>
        <v/>
      </c>
      <c r="T61" s="157">
        <f>_xludf.IFNA(J63/_xlfn.XLOOKUP($M63,'00_SKU_Master'!$B$2:$B$378,'00_SKU_Master'!$M$2:$M$378,0)/$M$2,"0")</f>
        <v/>
      </c>
      <c r="U61" s="157">
        <f>SUM(N63:T63)</f>
        <v/>
      </c>
      <c r="V61" s="4" t="n"/>
      <c r="W61" s="4">
        <f>_xlfn.XLOOKUP(M63,'00_SKU_Master'!$B$2:$B$378,'00_SKU_Master'!D:D)</f>
        <v/>
      </c>
      <c r="X61" s="14">
        <f>'05_Daily_Orders'!B62</f>
        <v/>
      </c>
      <c r="Y61" s="588" t="n"/>
      <c r="Z61" s="589" t="n"/>
      <c r="AA61" s="588" t="n"/>
      <c r="AB61" s="589" t="n"/>
      <c r="AC61" s="588" t="n">
        <v>0</v>
      </c>
      <c r="AD61" s="589" t="n">
        <v>0</v>
      </c>
      <c r="AE61" s="588" t="n">
        <v>0</v>
      </c>
      <c r="AF61" s="587">
        <f>SUM(Y63:AE63)</f>
        <v/>
      </c>
      <c r="AQ61" s="23" t="n">
        <v>0</v>
      </c>
      <c r="AR61" s="23" t="n">
        <v>0</v>
      </c>
      <c r="AS61" s="23">
        <f>AR63-AQ63</f>
        <v/>
      </c>
    </row>
    <row r="62">
      <c r="A62" s="148">
        <f>_xlfn.XLOOKUP(C64,'00_SKU_Master'!$B$2:$B$378,'00_SKU_Master'!$C$2:$C$378)</f>
        <v/>
      </c>
      <c r="B62" s="148" t="n"/>
      <c r="C62" s="148">
        <f>X64</f>
        <v/>
      </c>
      <c r="D62" s="586">
        <f>_xludf.IFNA(_xlfn.XLOOKUP(C64,'00_SKU_Master'!$B$2:$B$378,'00_SKU_Master'!$F$2:$F$378,0)*Y64,"")</f>
        <v/>
      </c>
      <c r="E62" s="586">
        <f>_xludf.IFNA(_xlfn.XLOOKUP(C64,'00_SKU_Master'!$B$2:$B$378,'00_SKU_Master'!$F$2:$F$378,0)*Z64,"")</f>
        <v/>
      </c>
      <c r="F62" s="586">
        <f>_xludf.IFNA(_xlfn.XLOOKUP(C64,'00_SKU_Master'!$B$2:$B$378,'00_SKU_Master'!$F$2:$F$378,0)*AA64,"")</f>
        <v/>
      </c>
      <c r="G62" s="586">
        <f>_xludf.IFNA(_xlfn.XLOOKUP(C64,'00_SKU_Master'!$B$2:$B$378,'00_SKU_Master'!$F$2:$F$378,0)*AB64,"")</f>
        <v/>
      </c>
      <c r="H62" s="586">
        <f>_xludf.IFNA(_xlfn.XLOOKUP(C64,'00_SKU_Master'!$B$2:$B$378,'00_SKU_Master'!$F$2:$F$378,0)*AC64,"")</f>
        <v/>
      </c>
      <c r="I62" s="586">
        <f>_xludf.IFNA(_xlfn.XLOOKUP(C64,'00_SKU_Master'!$B$2:$B$378,'00_SKU_Master'!$F$2:$F$378,0)*AD64,"")</f>
        <v/>
      </c>
      <c r="J62" s="586">
        <f>_xludf.IFNA(_xlfn.XLOOKUP(C64,'00_SKU_Master'!$B$2:$B$378,'00_SKU_Master'!$F$2:$F$378,0)*AE64,"")</f>
        <v/>
      </c>
      <c r="K62" s="587">
        <f>SUM(D64:J64)</f>
        <v/>
      </c>
      <c r="L62" s="197">
        <f>_xlfn.XLOOKUP(C64,'00_SKU_Master'!$B$2:$B$378,'00_SKU_Master'!K:K)</f>
        <v/>
      </c>
      <c r="M62" s="14">
        <f>X64</f>
        <v/>
      </c>
      <c r="N62" s="157">
        <f>_xludf.IFNA(D64/_xlfn.XLOOKUP($M64,'00_SKU_Master'!$B$2:$B$378,'00_SKU_Master'!$M$2:$M$378,0)/$M$2,"0")</f>
        <v/>
      </c>
      <c r="O62" s="157">
        <f>_xludf.IFNA(E64/_xlfn.XLOOKUP($M64,'00_SKU_Master'!$B$2:$B$378,'00_SKU_Master'!$M$2:$M$378,0)/$M$2,"0")</f>
        <v/>
      </c>
      <c r="P62" s="157">
        <f>_xludf.IFNA(F64/_xlfn.XLOOKUP($M64,'00_SKU_Master'!$B$2:$B$378,'00_SKU_Master'!$M$2:$M$378,0)/$M$2,"0")</f>
        <v/>
      </c>
      <c r="Q62" s="157">
        <f>_xludf.IFNA(G64/_xlfn.XLOOKUP($M64,'00_SKU_Master'!$B$2:$B$378,'00_SKU_Master'!$M$2:$M$378,0)/$M$2,"0")</f>
        <v/>
      </c>
      <c r="R62" s="157">
        <f>_xludf.IFNA(H64/_xlfn.XLOOKUP($M64,'00_SKU_Master'!$B$2:$B$378,'00_SKU_Master'!$M$2:$M$378,0)/$M$2,"0")</f>
        <v/>
      </c>
      <c r="S62" s="157">
        <f>_xludf.IFNA(I64/_xlfn.XLOOKUP($M64,'00_SKU_Master'!$B$2:$B$378,'00_SKU_Master'!$M$2:$M$378,0)/$M$2,"0")</f>
        <v/>
      </c>
      <c r="T62" s="157">
        <f>_xludf.IFNA(J64/_xlfn.XLOOKUP($M64,'00_SKU_Master'!$B$2:$B$378,'00_SKU_Master'!$M$2:$M$378,0)/$M$2,"0")</f>
        <v/>
      </c>
      <c r="U62" s="157">
        <f>SUM(N64:T64)</f>
        <v/>
      </c>
      <c r="V62" s="4" t="n"/>
      <c r="W62" s="4">
        <f>_xlfn.XLOOKUP(M64,'00_SKU_Master'!$B$2:$B$378,'00_SKU_Master'!D:D)</f>
        <v/>
      </c>
      <c r="X62" s="14">
        <f>'05_Daily_Orders'!B63</f>
        <v/>
      </c>
      <c r="Y62" s="588" t="n"/>
      <c r="Z62" s="589" t="n"/>
      <c r="AA62" s="588" t="n"/>
      <c r="AB62" s="589" t="n"/>
      <c r="AC62" s="588" t="n">
        <v>0</v>
      </c>
      <c r="AD62" s="589" t="n">
        <v>0</v>
      </c>
      <c r="AE62" s="588" t="n">
        <v>0</v>
      </c>
      <c r="AF62" s="587">
        <f>SUM(Y64:AE64)</f>
        <v/>
      </c>
      <c r="AQ62" s="23" t="n">
        <v>0</v>
      </c>
      <c r="AR62" s="23" t="n">
        <v>0</v>
      </c>
      <c r="AS62" s="23">
        <f>AR64-AQ64</f>
        <v/>
      </c>
    </row>
    <row r="63">
      <c r="A63" s="148">
        <f>_xlfn.XLOOKUP(C65,'00_SKU_Master'!$B$2:$B$378,'00_SKU_Master'!$C$2:$C$378)</f>
        <v/>
      </c>
      <c r="B63" s="148" t="n"/>
      <c r="C63" s="148">
        <f>X65</f>
        <v/>
      </c>
      <c r="D63" s="586">
        <f>_xludf.IFNA(_xlfn.XLOOKUP(C65,'00_SKU_Master'!$B$2:$B$378,'00_SKU_Master'!$F$2:$F$378,0)*Y65,"")</f>
        <v/>
      </c>
      <c r="E63" s="586">
        <f>_xludf.IFNA(_xlfn.XLOOKUP(C65,'00_SKU_Master'!$B$2:$B$378,'00_SKU_Master'!$F$2:$F$378,0)*Z65,"")</f>
        <v/>
      </c>
      <c r="F63" s="586">
        <f>_xludf.IFNA(_xlfn.XLOOKUP(C65,'00_SKU_Master'!$B$2:$B$378,'00_SKU_Master'!$F$2:$F$378,0)*AA65,"")</f>
        <v/>
      </c>
      <c r="G63" s="586">
        <f>_xludf.IFNA(_xlfn.XLOOKUP(C65,'00_SKU_Master'!$B$2:$B$378,'00_SKU_Master'!$F$2:$F$378,0)*AB65,"")</f>
        <v/>
      </c>
      <c r="H63" s="586">
        <f>_xludf.IFNA(_xlfn.XLOOKUP(C65,'00_SKU_Master'!$B$2:$B$378,'00_SKU_Master'!$F$2:$F$378,0)*AC65,"")</f>
        <v/>
      </c>
      <c r="I63" s="586">
        <f>_xludf.IFNA(_xlfn.XLOOKUP(C65,'00_SKU_Master'!$B$2:$B$378,'00_SKU_Master'!$F$2:$F$378,0)*AD65,"")</f>
        <v/>
      </c>
      <c r="J63" s="586">
        <f>_xludf.IFNA(_xlfn.XLOOKUP(C65,'00_SKU_Master'!$B$2:$B$378,'00_SKU_Master'!$F$2:$F$378,0)*AE65,"")</f>
        <v/>
      </c>
      <c r="K63" s="587">
        <f>SUM(D65:J65)</f>
        <v/>
      </c>
      <c r="L63" s="197">
        <f>_xlfn.XLOOKUP(C65,'00_SKU_Master'!$B$2:$B$378,'00_SKU_Master'!K:K)</f>
        <v/>
      </c>
      <c r="M63" s="14">
        <f>X65</f>
        <v/>
      </c>
      <c r="N63" s="157">
        <f>_xludf.IFNA(D65/_xlfn.XLOOKUP($M65,'00_SKU_Master'!$B$2:$B$378,'00_SKU_Master'!$M$2:$M$378,0)/$M$2,"0")</f>
        <v/>
      </c>
      <c r="O63" s="157">
        <f>_xludf.IFNA(E65/_xlfn.XLOOKUP($M65,'00_SKU_Master'!$B$2:$B$378,'00_SKU_Master'!$M$2:$M$378,0)/$M$2,"0")</f>
        <v/>
      </c>
      <c r="P63" s="157">
        <f>_xludf.IFNA(F65/_xlfn.XLOOKUP($M65,'00_SKU_Master'!$B$2:$B$378,'00_SKU_Master'!$M$2:$M$378,0)/$M$2,"0")</f>
        <v/>
      </c>
      <c r="Q63" s="157">
        <f>_xludf.IFNA(G65/_xlfn.XLOOKUP($M65,'00_SKU_Master'!$B$2:$B$378,'00_SKU_Master'!$M$2:$M$378,0)/$M$2,"0")</f>
        <v/>
      </c>
      <c r="R63" s="157">
        <f>_xludf.IFNA(H65/_xlfn.XLOOKUP($M65,'00_SKU_Master'!$B$2:$B$378,'00_SKU_Master'!$M$2:$M$378,0)/$M$2,"0")</f>
        <v/>
      </c>
      <c r="S63" s="157">
        <f>_xludf.IFNA(I65/_xlfn.XLOOKUP($M65,'00_SKU_Master'!$B$2:$B$378,'00_SKU_Master'!$M$2:$M$378,0)/$M$2,"0")</f>
        <v/>
      </c>
      <c r="T63" s="157">
        <f>_xludf.IFNA(J65/_xlfn.XLOOKUP($M65,'00_SKU_Master'!$B$2:$B$378,'00_SKU_Master'!$M$2:$M$378,0)/$M$2,"0")</f>
        <v/>
      </c>
      <c r="U63" s="157">
        <f>SUM(N65:T65)</f>
        <v/>
      </c>
      <c r="V63" s="4" t="n"/>
      <c r="W63" s="4">
        <f>_xlfn.XLOOKUP(M65,'00_SKU_Master'!$B$2:$B$378,'00_SKU_Master'!D:D)</f>
        <v/>
      </c>
      <c r="X63" s="14">
        <f>'05_Daily_Orders'!B64</f>
        <v/>
      </c>
      <c r="Y63" s="588" t="n"/>
      <c r="Z63" s="589" t="n"/>
      <c r="AA63" s="588" t="n"/>
      <c r="AB63" s="589" t="n"/>
      <c r="AC63" s="588" t="n">
        <v>0</v>
      </c>
      <c r="AD63" s="589" t="n">
        <v>0</v>
      </c>
      <c r="AE63" s="588" t="n">
        <v>0</v>
      </c>
      <c r="AF63" s="587">
        <f>SUM(Y65:AE65)</f>
        <v/>
      </c>
      <c r="AQ63" s="23" t="n">
        <v>0</v>
      </c>
      <c r="AR63" s="23" t="n">
        <v>0</v>
      </c>
      <c r="AS63" s="23">
        <f>AR65-AQ65</f>
        <v/>
      </c>
    </row>
    <row r="64">
      <c r="A64" s="148">
        <f>_xlfn.XLOOKUP(C66,'00_SKU_Master'!$B$2:$B$378,'00_SKU_Master'!$C$2:$C$378)</f>
        <v/>
      </c>
      <c r="B64" s="148" t="n"/>
      <c r="C64" s="148">
        <f>X66</f>
        <v/>
      </c>
      <c r="D64" s="586">
        <f>_xludf.IFNA(_xlfn.XLOOKUP(C66,'00_SKU_Master'!$B$2:$B$378,'00_SKU_Master'!$F$2:$F$378,0)*Y66,"")</f>
        <v/>
      </c>
      <c r="E64" s="586">
        <f>_xludf.IFNA(_xlfn.XLOOKUP(C66,'00_SKU_Master'!$B$2:$B$378,'00_SKU_Master'!$F$2:$F$378,0)*Z66,"")</f>
        <v/>
      </c>
      <c r="F64" s="586">
        <f>_xludf.IFNA(_xlfn.XLOOKUP(C66,'00_SKU_Master'!$B$2:$B$378,'00_SKU_Master'!$F$2:$F$378,0)*AA66,"")</f>
        <v/>
      </c>
      <c r="G64" s="586">
        <f>_xludf.IFNA(_xlfn.XLOOKUP(C66,'00_SKU_Master'!$B$2:$B$378,'00_SKU_Master'!$F$2:$F$378,0)*AB66,"")</f>
        <v/>
      </c>
      <c r="H64" s="586">
        <f>_xludf.IFNA(_xlfn.XLOOKUP(C66,'00_SKU_Master'!$B$2:$B$378,'00_SKU_Master'!$F$2:$F$378,0)*AC66,"")</f>
        <v/>
      </c>
      <c r="I64" s="586">
        <f>_xludf.IFNA(_xlfn.XLOOKUP(C66,'00_SKU_Master'!$B$2:$B$378,'00_SKU_Master'!$F$2:$F$378,0)*AD66,"")</f>
        <v/>
      </c>
      <c r="J64" s="586">
        <f>_xludf.IFNA(_xlfn.XLOOKUP(C66,'00_SKU_Master'!$B$2:$B$378,'00_SKU_Master'!$F$2:$F$378,0)*AE66,"")</f>
        <v/>
      </c>
      <c r="K64" s="587">
        <f>SUM(D66:J66)</f>
        <v/>
      </c>
      <c r="L64" s="197">
        <f>_xlfn.XLOOKUP(C66,'00_SKU_Master'!$B$2:$B$378,'00_SKU_Master'!K:K)</f>
        <v/>
      </c>
      <c r="M64" s="14">
        <f>X66</f>
        <v/>
      </c>
      <c r="N64" s="157">
        <f>_xludf.IFNA(D66/_xlfn.XLOOKUP($M66,'00_SKU_Master'!$B$2:$B$378,'00_SKU_Master'!$M$2:$M$378,0)/$M$2,"0")</f>
        <v/>
      </c>
      <c r="O64" s="157">
        <f>_xludf.IFNA(E66/_xlfn.XLOOKUP($M66,'00_SKU_Master'!$B$2:$B$378,'00_SKU_Master'!$M$2:$M$378,0)/$M$2,"0")</f>
        <v/>
      </c>
      <c r="P64" s="157">
        <f>_xludf.IFNA(F66/_xlfn.XLOOKUP($M66,'00_SKU_Master'!$B$2:$B$378,'00_SKU_Master'!$M$2:$M$378,0)/$M$2,"0")</f>
        <v/>
      </c>
      <c r="Q64" s="157">
        <f>_xludf.IFNA(G66/_xlfn.XLOOKUP($M66,'00_SKU_Master'!$B$2:$B$378,'00_SKU_Master'!$M$2:$M$378,0)/$M$2,"0")</f>
        <v/>
      </c>
      <c r="R64" s="157">
        <f>_xludf.IFNA(H66/_xlfn.XLOOKUP($M66,'00_SKU_Master'!$B$2:$B$378,'00_SKU_Master'!$M$2:$M$378,0)/$M$2,"0")</f>
        <v/>
      </c>
      <c r="S64" s="157">
        <f>_xludf.IFNA(I66/_xlfn.XLOOKUP($M66,'00_SKU_Master'!$B$2:$B$378,'00_SKU_Master'!$M$2:$M$378,0)/$M$2,"0")</f>
        <v/>
      </c>
      <c r="T64" s="157">
        <f>_xludf.IFNA(J66/_xlfn.XLOOKUP($M66,'00_SKU_Master'!$B$2:$B$378,'00_SKU_Master'!$M$2:$M$378,0)/$M$2,"0")</f>
        <v/>
      </c>
      <c r="U64" s="157">
        <f>SUM(N66:T66)</f>
        <v/>
      </c>
      <c r="V64" s="4" t="n"/>
      <c r="W64" s="4">
        <f>_xlfn.XLOOKUP(M66,'00_SKU_Master'!$B$2:$B$378,'00_SKU_Master'!D:D)</f>
        <v/>
      </c>
      <c r="X64" s="14">
        <f>'05_Daily_Orders'!B65</f>
        <v/>
      </c>
      <c r="Y64" s="588" t="n"/>
      <c r="Z64" s="589" t="n"/>
      <c r="AA64" s="588" t="n"/>
      <c r="AB64" s="589" t="n"/>
      <c r="AC64" s="588" t="n">
        <v>0</v>
      </c>
      <c r="AD64" s="589" t="n">
        <v>0</v>
      </c>
      <c r="AE64" s="588" t="n">
        <v>0</v>
      </c>
      <c r="AF64" s="587">
        <f>SUM(Y66:AE66)</f>
        <v/>
      </c>
      <c r="AQ64" s="23" t="n">
        <v>0</v>
      </c>
      <c r="AR64" s="23" t="n">
        <v>0</v>
      </c>
      <c r="AS64" s="23">
        <f>AR66-AQ66</f>
        <v/>
      </c>
    </row>
    <row r="65">
      <c r="A65" s="148">
        <f>_xlfn.XLOOKUP(C67,'00_SKU_Master'!$B$2:$B$378,'00_SKU_Master'!$C$2:$C$378)</f>
        <v/>
      </c>
      <c r="B65" s="148" t="n"/>
      <c r="C65" s="148">
        <f>X67</f>
        <v/>
      </c>
      <c r="D65" s="586">
        <f>_xludf.IFNA(_xlfn.XLOOKUP(C67,'00_SKU_Master'!$B$2:$B$378,'00_SKU_Master'!$F$2:$F$378,0)*Y67,"")</f>
        <v/>
      </c>
      <c r="E65" s="586">
        <f>_xludf.IFNA(_xlfn.XLOOKUP(C67,'00_SKU_Master'!$B$2:$B$378,'00_SKU_Master'!$F$2:$F$378,0)*Z67,"")</f>
        <v/>
      </c>
      <c r="F65" s="586">
        <f>_xludf.IFNA(_xlfn.XLOOKUP(C67,'00_SKU_Master'!$B$2:$B$378,'00_SKU_Master'!$F$2:$F$378,0)*AA67,"")</f>
        <v/>
      </c>
      <c r="G65" s="586">
        <f>_xludf.IFNA(_xlfn.XLOOKUP(C67,'00_SKU_Master'!$B$2:$B$378,'00_SKU_Master'!$F$2:$F$378,0)*AB67,"")</f>
        <v/>
      </c>
      <c r="H65" s="586">
        <f>_xludf.IFNA(_xlfn.XLOOKUP(C67,'00_SKU_Master'!$B$2:$B$378,'00_SKU_Master'!$F$2:$F$378,0)*AC67,"")</f>
        <v/>
      </c>
      <c r="I65" s="586">
        <f>_xludf.IFNA(_xlfn.XLOOKUP(C67,'00_SKU_Master'!$B$2:$B$378,'00_SKU_Master'!$F$2:$F$378,0)*AD67,"")</f>
        <v/>
      </c>
      <c r="J65" s="586">
        <f>_xludf.IFNA(_xlfn.XLOOKUP(C67,'00_SKU_Master'!$B$2:$B$378,'00_SKU_Master'!$F$2:$F$378,0)*AE67,"")</f>
        <v/>
      </c>
      <c r="K65" s="587">
        <f>SUM(D67:J67)</f>
        <v/>
      </c>
      <c r="L65" s="197">
        <f>_xlfn.XLOOKUP(C67,'00_SKU_Master'!$B$2:$B$378,'00_SKU_Master'!K:K)</f>
        <v/>
      </c>
      <c r="M65" s="14">
        <f>X67</f>
        <v/>
      </c>
      <c r="N65" s="157">
        <f>_xludf.IFNA(D67/_xlfn.XLOOKUP($M67,'00_SKU_Master'!$B$2:$B$378,'00_SKU_Master'!$M$2:$M$378,0)/$M$2,"0")</f>
        <v/>
      </c>
      <c r="O65" s="157">
        <f>_xludf.IFNA(E67/_xlfn.XLOOKUP($M67,'00_SKU_Master'!$B$2:$B$378,'00_SKU_Master'!$M$2:$M$378,0)/$M$2,"0")</f>
        <v/>
      </c>
      <c r="P65" s="157">
        <f>_xludf.IFNA(F67/_xlfn.XLOOKUP($M67,'00_SKU_Master'!$B$2:$B$378,'00_SKU_Master'!$M$2:$M$378,0)/$M$2,"0")</f>
        <v/>
      </c>
      <c r="Q65" s="157">
        <f>_xludf.IFNA(G67/_xlfn.XLOOKUP($M67,'00_SKU_Master'!$B$2:$B$378,'00_SKU_Master'!$M$2:$M$378,0)/$M$2,"0")</f>
        <v/>
      </c>
      <c r="R65" s="157">
        <f>_xludf.IFNA(H67/_xlfn.XLOOKUP($M67,'00_SKU_Master'!$B$2:$B$378,'00_SKU_Master'!$M$2:$M$378,0)/$M$2,"0")</f>
        <v/>
      </c>
      <c r="S65" s="157">
        <f>_xludf.IFNA(I67/_xlfn.XLOOKUP($M67,'00_SKU_Master'!$B$2:$B$378,'00_SKU_Master'!$M$2:$M$378,0)/$M$2,"0")</f>
        <v/>
      </c>
      <c r="T65" s="157">
        <f>_xludf.IFNA(J67/_xlfn.XLOOKUP($M67,'00_SKU_Master'!$B$2:$B$378,'00_SKU_Master'!$M$2:$M$378,0)/$M$2,"0")</f>
        <v/>
      </c>
      <c r="U65" s="157">
        <f>SUM(N67:T67)</f>
        <v/>
      </c>
      <c r="V65" s="4" t="n"/>
      <c r="W65" s="4">
        <f>_xlfn.XLOOKUP(M67,'00_SKU_Master'!$B$2:$B$378,'00_SKU_Master'!D:D)</f>
        <v/>
      </c>
      <c r="X65" s="14">
        <f>'05_Daily_Orders'!B66</f>
        <v/>
      </c>
      <c r="Y65" s="588" t="n"/>
      <c r="Z65" s="589" t="n"/>
      <c r="AA65" s="588" t="n"/>
      <c r="AB65" s="589" t="n"/>
      <c r="AC65" s="588" t="n">
        <v>0</v>
      </c>
      <c r="AD65" s="589" t="n">
        <v>0</v>
      </c>
      <c r="AE65" s="588" t="n">
        <v>0</v>
      </c>
      <c r="AF65" s="587">
        <f>SUM(Y67:AE67)</f>
        <v/>
      </c>
      <c r="AQ65" s="23" t="n">
        <v>0</v>
      </c>
      <c r="AR65" s="23" t="n">
        <v>0</v>
      </c>
      <c r="AS65" s="23">
        <f>AR67-AQ67</f>
        <v/>
      </c>
    </row>
    <row r="66">
      <c r="A66" s="148">
        <f>_xlfn.XLOOKUP(C68,'00_SKU_Master'!$B$2:$B$378,'00_SKU_Master'!$C$2:$C$378)</f>
        <v/>
      </c>
      <c r="B66" s="148" t="n"/>
      <c r="C66" s="148">
        <f>X68</f>
        <v/>
      </c>
      <c r="D66" s="586">
        <f>_xludf.IFNA(_xlfn.XLOOKUP(C68,'00_SKU_Master'!$B$2:$B$378,'00_SKU_Master'!$F$2:$F$378,0)*Y68,"")</f>
        <v/>
      </c>
      <c r="E66" s="586">
        <f>_xludf.IFNA(_xlfn.XLOOKUP(C68,'00_SKU_Master'!$B$2:$B$378,'00_SKU_Master'!$F$2:$F$378,0)*Z68,"")</f>
        <v/>
      </c>
      <c r="F66" s="586">
        <f>_xludf.IFNA(_xlfn.XLOOKUP(C68,'00_SKU_Master'!$B$2:$B$378,'00_SKU_Master'!$F$2:$F$378,0)*AA68,"")</f>
        <v/>
      </c>
      <c r="G66" s="586">
        <f>_xludf.IFNA(_xlfn.XLOOKUP(C68,'00_SKU_Master'!$B$2:$B$378,'00_SKU_Master'!$F$2:$F$378,0)*AB68,"")</f>
        <v/>
      </c>
      <c r="H66" s="586">
        <f>_xludf.IFNA(_xlfn.XLOOKUP(C68,'00_SKU_Master'!$B$2:$B$378,'00_SKU_Master'!$F$2:$F$378,0)*AC68,"")</f>
        <v/>
      </c>
      <c r="I66" s="586">
        <f>_xludf.IFNA(_xlfn.XLOOKUP(C68,'00_SKU_Master'!$B$2:$B$378,'00_SKU_Master'!$F$2:$F$378,0)*AD68,"")</f>
        <v/>
      </c>
      <c r="J66" s="586">
        <f>_xludf.IFNA(_xlfn.XLOOKUP(C68,'00_SKU_Master'!$B$2:$B$378,'00_SKU_Master'!$F$2:$F$378,0)*AE68,"")</f>
        <v/>
      </c>
      <c r="K66" s="587">
        <f>SUM(D68:J68)</f>
        <v/>
      </c>
      <c r="L66" s="197">
        <f>_xlfn.XLOOKUP(C68,'00_SKU_Master'!$B$2:$B$378,'00_SKU_Master'!K:K)</f>
        <v/>
      </c>
      <c r="M66" s="14">
        <f>X68</f>
        <v/>
      </c>
      <c r="N66" s="157">
        <f>_xludf.IFNA(D68/_xlfn.XLOOKUP($M68,'00_SKU_Master'!$B$2:$B$378,'00_SKU_Master'!$M$2:$M$378,0)/$M$2,"0")</f>
        <v/>
      </c>
      <c r="O66" s="157">
        <f>_xludf.IFNA(E68/_xlfn.XLOOKUP($M68,'00_SKU_Master'!$B$2:$B$378,'00_SKU_Master'!$M$2:$M$378,0)/$M$2,"0")</f>
        <v/>
      </c>
      <c r="P66" s="157">
        <f>_xludf.IFNA(F68/_xlfn.XLOOKUP($M68,'00_SKU_Master'!$B$2:$B$378,'00_SKU_Master'!$M$2:$M$378,0)/$M$2,"0")</f>
        <v/>
      </c>
      <c r="Q66" s="157">
        <f>_xludf.IFNA(G68/_xlfn.XLOOKUP($M68,'00_SKU_Master'!$B$2:$B$378,'00_SKU_Master'!$M$2:$M$378,0)/$M$2,"0")</f>
        <v/>
      </c>
      <c r="R66" s="157">
        <f>_xludf.IFNA(H68/_xlfn.XLOOKUP($M68,'00_SKU_Master'!$B$2:$B$378,'00_SKU_Master'!$M$2:$M$378,0)/$M$2,"0")</f>
        <v/>
      </c>
      <c r="S66" s="157">
        <f>_xludf.IFNA(I68/_xlfn.XLOOKUP($M68,'00_SKU_Master'!$B$2:$B$378,'00_SKU_Master'!$M$2:$M$378,0)/$M$2,"0")</f>
        <v/>
      </c>
      <c r="T66" s="157">
        <f>_xludf.IFNA(J68/_xlfn.XLOOKUP($M68,'00_SKU_Master'!$B$2:$B$378,'00_SKU_Master'!$M$2:$M$378,0)/$M$2,"0")</f>
        <v/>
      </c>
      <c r="U66" s="157">
        <f>SUM(N68:T68)</f>
        <v/>
      </c>
      <c r="V66" s="4" t="n"/>
      <c r="W66" s="4">
        <f>_xlfn.XLOOKUP(M68,'00_SKU_Master'!$B$2:$B$378,'00_SKU_Master'!D:D)</f>
        <v/>
      </c>
      <c r="X66" s="14">
        <f>'05_Daily_Orders'!B67</f>
        <v/>
      </c>
      <c r="Y66" s="588" t="n"/>
      <c r="Z66" s="589" t="n"/>
      <c r="AA66" s="588" t="n"/>
      <c r="AB66" s="589" t="n"/>
      <c r="AC66" s="588" t="n">
        <v>0</v>
      </c>
      <c r="AD66" s="589" t="n">
        <v>0</v>
      </c>
      <c r="AE66" s="588" t="n">
        <v>0</v>
      </c>
      <c r="AF66" s="587">
        <f>SUM(Y68:AE68)</f>
        <v/>
      </c>
      <c r="AQ66" s="23" t="n">
        <v>0</v>
      </c>
      <c r="AR66" s="23" t="n">
        <v>0</v>
      </c>
      <c r="AS66" s="23">
        <f>AR68-AQ68</f>
        <v/>
      </c>
    </row>
    <row r="67">
      <c r="A67" s="148">
        <f>_xlfn.XLOOKUP(C69,'00_SKU_Master'!$B$2:$B$378,'00_SKU_Master'!$C$2:$C$378)</f>
        <v/>
      </c>
      <c r="B67" s="148" t="n"/>
      <c r="C67" s="148">
        <f>X69</f>
        <v/>
      </c>
      <c r="D67" s="586">
        <f>_xludf.IFNA(_xlfn.XLOOKUP(C69,'00_SKU_Master'!$B$2:$B$378,'00_SKU_Master'!$F$2:$F$378,0)*Y69,"")</f>
        <v/>
      </c>
      <c r="E67" s="586">
        <f>_xludf.IFNA(_xlfn.XLOOKUP(C69,'00_SKU_Master'!$B$2:$B$378,'00_SKU_Master'!$F$2:$F$378,0)*Z69,"")</f>
        <v/>
      </c>
      <c r="F67" s="586">
        <f>_xludf.IFNA(_xlfn.XLOOKUP(C69,'00_SKU_Master'!$B$2:$B$378,'00_SKU_Master'!$F$2:$F$378,0)*AA69,"")</f>
        <v/>
      </c>
      <c r="G67" s="586">
        <f>_xludf.IFNA(_xlfn.XLOOKUP(C69,'00_SKU_Master'!$B$2:$B$378,'00_SKU_Master'!$F$2:$F$378,0)*AB69,"")</f>
        <v/>
      </c>
      <c r="H67" s="586">
        <f>_xludf.IFNA(_xlfn.XLOOKUP(C69,'00_SKU_Master'!$B$2:$B$378,'00_SKU_Master'!$F$2:$F$378,0)*AC69,"")</f>
        <v/>
      </c>
      <c r="I67" s="586">
        <f>_xludf.IFNA(_xlfn.XLOOKUP(C69,'00_SKU_Master'!$B$2:$B$378,'00_SKU_Master'!$F$2:$F$378,0)*AD69,"")</f>
        <v/>
      </c>
      <c r="J67" s="586">
        <f>_xludf.IFNA(_xlfn.XLOOKUP(C69,'00_SKU_Master'!$B$2:$B$378,'00_SKU_Master'!$F$2:$F$378,0)*AE69,"")</f>
        <v/>
      </c>
      <c r="K67" s="587">
        <f>SUM(D69:J69)</f>
        <v/>
      </c>
      <c r="L67" s="197">
        <f>_xlfn.XLOOKUP(C69,'00_SKU_Master'!$B$2:$B$378,'00_SKU_Master'!K:K)</f>
        <v/>
      </c>
      <c r="M67" s="14">
        <f>X69</f>
        <v/>
      </c>
      <c r="N67" s="157">
        <f>_xludf.IFNA(D69/_xlfn.XLOOKUP($M69,'00_SKU_Master'!$B$2:$B$378,'00_SKU_Master'!$M$2:$M$378,0)/$M$2,"0")</f>
        <v/>
      </c>
      <c r="O67" s="157">
        <f>_xludf.IFNA(E69/_xlfn.XLOOKUP($M69,'00_SKU_Master'!$B$2:$B$378,'00_SKU_Master'!$M$2:$M$378,0)/$M$2,"0")</f>
        <v/>
      </c>
      <c r="P67" s="157">
        <f>_xludf.IFNA(F69/_xlfn.XLOOKUP($M69,'00_SKU_Master'!$B$2:$B$378,'00_SKU_Master'!$M$2:$M$378,0)/$M$2,"0")</f>
        <v/>
      </c>
      <c r="Q67" s="157">
        <f>_xludf.IFNA(G69/_xlfn.XLOOKUP($M69,'00_SKU_Master'!$B$2:$B$378,'00_SKU_Master'!$M$2:$M$378,0)/$M$2,"0")</f>
        <v/>
      </c>
      <c r="R67" s="157">
        <f>_xludf.IFNA(H69/_xlfn.XLOOKUP($M69,'00_SKU_Master'!$B$2:$B$378,'00_SKU_Master'!$M$2:$M$378,0)/$M$2,"0")</f>
        <v/>
      </c>
      <c r="S67" s="157">
        <f>_xludf.IFNA(I69/_xlfn.XLOOKUP($M69,'00_SKU_Master'!$B$2:$B$378,'00_SKU_Master'!$M$2:$M$378,0)/$M$2,"0")</f>
        <v/>
      </c>
      <c r="T67" s="157">
        <f>_xludf.IFNA(J69/_xlfn.XLOOKUP($M69,'00_SKU_Master'!$B$2:$B$378,'00_SKU_Master'!$M$2:$M$378,0)/$M$2,"0")</f>
        <v/>
      </c>
      <c r="U67" s="157">
        <f>SUM(N69:T69)</f>
        <v/>
      </c>
      <c r="V67" s="4" t="n"/>
      <c r="W67" s="4">
        <f>_xlfn.XLOOKUP(M69,'00_SKU_Master'!$B$2:$B$378,'00_SKU_Master'!D:D)</f>
        <v/>
      </c>
      <c r="X67" s="14">
        <f>'05_Daily_Orders'!B68</f>
        <v/>
      </c>
      <c r="Y67" s="588" t="n"/>
      <c r="Z67" s="589" t="n"/>
      <c r="AA67" s="589" t="n"/>
      <c r="AB67" s="589" t="n"/>
      <c r="AC67" s="589" t="n">
        <v>0</v>
      </c>
      <c r="AD67" s="589" t="n">
        <v>0</v>
      </c>
      <c r="AE67" s="589" t="n">
        <v>0</v>
      </c>
      <c r="AF67" s="587">
        <f>SUM(Y69:AE69)</f>
        <v/>
      </c>
      <c r="AQ67" s="23" t="n">
        <v>0</v>
      </c>
      <c r="AR67" s="23" t="n">
        <v>0</v>
      </c>
      <c r="AS67" s="23">
        <f>AR69-AQ69</f>
        <v/>
      </c>
    </row>
    <row r="68">
      <c r="A68" s="148">
        <f>_xlfn.XLOOKUP(C70,'00_SKU_Master'!$B$2:$B$378,'00_SKU_Master'!$C$2:$C$378)</f>
        <v/>
      </c>
      <c r="B68" s="148" t="n"/>
      <c r="C68" s="148">
        <f>X70</f>
        <v/>
      </c>
      <c r="D68" s="586">
        <f>_xludf.IFNA(_xlfn.XLOOKUP(C70,'00_SKU_Master'!$B$2:$B$378,'00_SKU_Master'!$F$2:$F$378,0)*Y70,"")</f>
        <v/>
      </c>
      <c r="E68" s="586">
        <f>_xludf.IFNA(_xlfn.XLOOKUP(C70,'00_SKU_Master'!$B$2:$B$378,'00_SKU_Master'!$F$2:$F$378,0)*Z70,"")</f>
        <v/>
      </c>
      <c r="F68" s="586">
        <f>_xludf.IFNA(_xlfn.XLOOKUP(C70,'00_SKU_Master'!$B$2:$B$378,'00_SKU_Master'!$F$2:$F$378,0)*AA70,"")</f>
        <v/>
      </c>
      <c r="G68" s="586">
        <f>_xludf.IFNA(_xlfn.XLOOKUP(C70,'00_SKU_Master'!$B$2:$B$378,'00_SKU_Master'!$F$2:$F$378,0)*AB70,"")</f>
        <v/>
      </c>
      <c r="H68" s="586">
        <f>_xludf.IFNA(_xlfn.XLOOKUP(C70,'00_SKU_Master'!$B$2:$B$378,'00_SKU_Master'!$F$2:$F$378,0)*AC70,"")</f>
        <v/>
      </c>
      <c r="I68" s="586">
        <f>_xludf.IFNA(_xlfn.XLOOKUP(C70,'00_SKU_Master'!$B$2:$B$378,'00_SKU_Master'!$F$2:$F$378,0)*AD70,"")</f>
        <v/>
      </c>
      <c r="J68" s="586">
        <f>_xludf.IFNA(_xlfn.XLOOKUP(C70,'00_SKU_Master'!$B$2:$B$378,'00_SKU_Master'!$F$2:$F$378,0)*AE70,"")</f>
        <v/>
      </c>
      <c r="K68" s="587">
        <f>SUM(D70:J70)</f>
        <v/>
      </c>
      <c r="L68" s="197">
        <f>_xlfn.XLOOKUP(C70,'00_SKU_Master'!$B$2:$B$378,'00_SKU_Master'!K:K)</f>
        <v/>
      </c>
      <c r="M68" s="14">
        <f>X70</f>
        <v/>
      </c>
      <c r="N68" s="157">
        <f>_xludf.IFNA(D70/_xlfn.XLOOKUP($M70,'00_SKU_Master'!$B$2:$B$378,'00_SKU_Master'!$M$2:$M$378,0)/$M$2,"0")</f>
        <v/>
      </c>
      <c r="O68" s="157">
        <f>_xludf.IFNA(E70/_xlfn.XLOOKUP($M70,'00_SKU_Master'!$B$2:$B$378,'00_SKU_Master'!$M$2:$M$378,0)/$M$2,"0")</f>
        <v/>
      </c>
      <c r="P68" s="157">
        <f>_xludf.IFNA(F70/_xlfn.XLOOKUP($M70,'00_SKU_Master'!$B$2:$B$378,'00_SKU_Master'!$M$2:$M$378,0)/$M$2,"0")</f>
        <v/>
      </c>
      <c r="Q68" s="157">
        <f>_xludf.IFNA(G70/_xlfn.XLOOKUP($M70,'00_SKU_Master'!$B$2:$B$378,'00_SKU_Master'!$M$2:$M$378,0)/$M$2,"0")</f>
        <v/>
      </c>
      <c r="R68" s="157">
        <f>_xludf.IFNA(H70/_xlfn.XLOOKUP($M70,'00_SKU_Master'!$B$2:$B$378,'00_SKU_Master'!$M$2:$M$378,0)/$M$2,"0")</f>
        <v/>
      </c>
      <c r="S68" s="157">
        <f>_xludf.IFNA(I70/_xlfn.XLOOKUP($M70,'00_SKU_Master'!$B$2:$B$378,'00_SKU_Master'!$M$2:$M$378,0)/$M$2,"0")</f>
        <v/>
      </c>
      <c r="T68" s="157">
        <f>_xludf.IFNA(J70/_xlfn.XLOOKUP($M70,'00_SKU_Master'!$B$2:$B$378,'00_SKU_Master'!$M$2:$M$378,0)/$M$2,"0")</f>
        <v/>
      </c>
      <c r="U68" s="157">
        <f>SUM(N70:T70)</f>
        <v/>
      </c>
      <c r="V68" s="4" t="n"/>
      <c r="W68" s="4">
        <f>_xlfn.XLOOKUP(M70,'00_SKU_Master'!$B$2:$B$378,'00_SKU_Master'!D:D)</f>
        <v/>
      </c>
      <c r="X68" s="14">
        <f>'05_Daily_Orders'!B69</f>
        <v/>
      </c>
      <c r="Y68" s="588" t="n"/>
      <c r="Z68" s="589" t="n"/>
      <c r="AA68" s="589" t="n"/>
      <c r="AB68" s="589" t="n"/>
      <c r="AC68" s="589" t="n">
        <v>0</v>
      </c>
      <c r="AD68" s="589" t="n">
        <v>0</v>
      </c>
      <c r="AE68" s="589" t="n">
        <v>0</v>
      </c>
      <c r="AF68" s="587">
        <f>SUM(Y70:AE70)</f>
        <v/>
      </c>
      <c r="AQ68" s="23" t="n">
        <v>0</v>
      </c>
      <c r="AR68" s="23" t="n">
        <v>0</v>
      </c>
      <c r="AS68" s="23">
        <f>AR70-AQ70</f>
        <v/>
      </c>
    </row>
    <row r="69">
      <c r="A69" s="148">
        <f>_xlfn.XLOOKUP(C71,'00_SKU_Master'!$B$2:$B$378,'00_SKU_Master'!$C$2:$C$378)</f>
        <v/>
      </c>
      <c r="B69" s="148" t="n"/>
      <c r="C69" s="148">
        <f>X71</f>
        <v/>
      </c>
      <c r="D69" s="586">
        <f>_xludf.IFNA(_xlfn.XLOOKUP(C71,'00_SKU_Master'!$B$2:$B$378,'00_SKU_Master'!$F$2:$F$378,0)*Y71,"")</f>
        <v/>
      </c>
      <c r="E69" s="586">
        <f>_xludf.IFNA(_xlfn.XLOOKUP(C71,'00_SKU_Master'!$B$2:$B$378,'00_SKU_Master'!$F$2:$F$378,0)*Z71,"")</f>
        <v/>
      </c>
      <c r="F69" s="586">
        <f>_xludf.IFNA(_xlfn.XLOOKUP(C71,'00_SKU_Master'!$B$2:$B$378,'00_SKU_Master'!$F$2:$F$378,0)*AA71,"")</f>
        <v/>
      </c>
      <c r="G69" s="586">
        <f>_xludf.IFNA(_xlfn.XLOOKUP(C71,'00_SKU_Master'!$B$2:$B$378,'00_SKU_Master'!$F$2:$F$378,0)*AB71,"")</f>
        <v/>
      </c>
      <c r="H69" s="586">
        <f>_xludf.IFNA(_xlfn.XLOOKUP(C71,'00_SKU_Master'!$B$2:$B$378,'00_SKU_Master'!$F$2:$F$378,0)*AC71,"")</f>
        <v/>
      </c>
      <c r="I69" s="586">
        <f>_xludf.IFNA(_xlfn.XLOOKUP(C71,'00_SKU_Master'!$B$2:$B$378,'00_SKU_Master'!$F$2:$F$378,0)*AD71,"")</f>
        <v/>
      </c>
      <c r="J69" s="586">
        <f>_xludf.IFNA(_xlfn.XLOOKUP(C71,'00_SKU_Master'!$B$2:$B$378,'00_SKU_Master'!$F$2:$F$378,0)*AE71,"")</f>
        <v/>
      </c>
      <c r="K69" s="587">
        <f>SUM(D71:J71)</f>
        <v/>
      </c>
      <c r="L69" s="197">
        <f>_xlfn.XLOOKUP(C71,'00_SKU_Master'!$B$2:$B$378,'00_SKU_Master'!K:K)</f>
        <v/>
      </c>
      <c r="M69" s="14">
        <f>X71</f>
        <v/>
      </c>
      <c r="N69" s="157">
        <f>_xludf.IFNA(D71/_xlfn.XLOOKUP($M71,'00_SKU_Master'!$B$2:$B$378,'00_SKU_Master'!$M$2:$M$378,0)/$M$2,"0")</f>
        <v/>
      </c>
      <c r="O69" s="157">
        <f>_xludf.IFNA(E71/_xlfn.XLOOKUP($M71,'00_SKU_Master'!$B$2:$B$378,'00_SKU_Master'!$M$2:$M$378,0)/$M$2,"0")</f>
        <v/>
      </c>
      <c r="P69" s="157">
        <f>_xludf.IFNA(F71/_xlfn.XLOOKUP($M71,'00_SKU_Master'!$B$2:$B$378,'00_SKU_Master'!$M$2:$M$378,0)/$M$2,"0")</f>
        <v/>
      </c>
      <c r="Q69" s="157">
        <f>_xludf.IFNA(G71/_xlfn.XLOOKUP($M71,'00_SKU_Master'!$B$2:$B$378,'00_SKU_Master'!$M$2:$M$378,0)/$M$2,"0")</f>
        <v/>
      </c>
      <c r="R69" s="157">
        <f>_xludf.IFNA(H71/_xlfn.XLOOKUP($M71,'00_SKU_Master'!$B$2:$B$378,'00_SKU_Master'!$M$2:$M$378,0)/$M$2,"0")</f>
        <v/>
      </c>
      <c r="S69" s="157">
        <f>_xludf.IFNA(I71/_xlfn.XLOOKUP($M71,'00_SKU_Master'!$B$2:$B$378,'00_SKU_Master'!$M$2:$M$378,0)/$M$2,"0")</f>
        <v/>
      </c>
      <c r="T69" s="157">
        <f>_xludf.IFNA(J71/_xlfn.XLOOKUP($M71,'00_SKU_Master'!$B$2:$B$378,'00_SKU_Master'!$M$2:$M$378,0)/$M$2,"0")</f>
        <v/>
      </c>
      <c r="U69" s="157">
        <f>SUM(N71:T71)</f>
        <v/>
      </c>
      <c r="V69" s="4" t="n"/>
      <c r="W69" s="4">
        <f>_xlfn.XLOOKUP(M71,'00_SKU_Master'!$B$2:$B$378,'00_SKU_Master'!D:D)</f>
        <v/>
      </c>
      <c r="X69" s="14">
        <f>'05_Daily_Orders'!B70</f>
        <v/>
      </c>
      <c r="Y69" s="588" t="n"/>
      <c r="Z69" s="589" t="n"/>
      <c r="AA69" s="589" t="n"/>
      <c r="AB69" s="589" t="n"/>
      <c r="AC69" s="589" t="n">
        <v>0</v>
      </c>
      <c r="AD69" s="589" t="n">
        <v>0</v>
      </c>
      <c r="AE69" s="589" t="n">
        <v>0</v>
      </c>
      <c r="AF69" s="587">
        <f>SUM(Y71:AE71)</f>
        <v/>
      </c>
      <c r="AQ69" s="23" t="n">
        <v>0</v>
      </c>
      <c r="AR69" s="23" t="n">
        <v>0</v>
      </c>
      <c r="AS69" s="23">
        <f>AR71-AQ71</f>
        <v/>
      </c>
    </row>
    <row r="70">
      <c r="A70" s="148">
        <f>_xlfn.XLOOKUP(C72,'00_SKU_Master'!$B$2:$B$378,'00_SKU_Master'!$C$2:$C$378)</f>
        <v/>
      </c>
      <c r="B70" s="148" t="n"/>
      <c r="C70" s="148">
        <f>X72</f>
        <v/>
      </c>
      <c r="D70" s="586">
        <f>_xludf.IFNA(_xlfn.XLOOKUP(C72,'00_SKU_Master'!$B$2:$B$378,'00_SKU_Master'!$F$2:$F$378,0)*Y72,"")</f>
        <v/>
      </c>
      <c r="E70" s="586">
        <f>_xludf.IFNA(_xlfn.XLOOKUP(C72,'00_SKU_Master'!$B$2:$B$378,'00_SKU_Master'!$F$2:$F$378,0)*Z72,"")</f>
        <v/>
      </c>
      <c r="F70" s="586">
        <f>_xludf.IFNA(_xlfn.XLOOKUP(C72,'00_SKU_Master'!$B$2:$B$378,'00_SKU_Master'!$F$2:$F$378,0)*AA72,"")</f>
        <v/>
      </c>
      <c r="G70" s="586">
        <f>_xludf.IFNA(_xlfn.XLOOKUP(C72,'00_SKU_Master'!$B$2:$B$378,'00_SKU_Master'!$F$2:$F$378,0)*AB72,"")</f>
        <v/>
      </c>
      <c r="H70" s="586">
        <f>_xludf.IFNA(_xlfn.XLOOKUP(C72,'00_SKU_Master'!$B$2:$B$378,'00_SKU_Master'!$F$2:$F$378,0)*AC72,"")</f>
        <v/>
      </c>
      <c r="I70" s="586">
        <f>_xludf.IFNA(_xlfn.XLOOKUP(C72,'00_SKU_Master'!$B$2:$B$378,'00_SKU_Master'!$F$2:$F$378,0)*AD72,"")</f>
        <v/>
      </c>
      <c r="J70" s="586">
        <f>_xludf.IFNA(_xlfn.XLOOKUP(C72,'00_SKU_Master'!$B$2:$B$378,'00_SKU_Master'!$F$2:$F$378,0)*AE72,"")</f>
        <v/>
      </c>
      <c r="K70" s="587">
        <f>SUM(D72:J72)</f>
        <v/>
      </c>
      <c r="L70" s="197">
        <f>_xlfn.XLOOKUP(C72,'00_SKU_Master'!$B$2:$B$378,'00_SKU_Master'!K:K)</f>
        <v/>
      </c>
      <c r="M70" s="14">
        <f>X72</f>
        <v/>
      </c>
      <c r="N70" s="157">
        <f>_xludf.IFNA(D72/_xlfn.XLOOKUP($M72,'00_SKU_Master'!$B$2:$B$378,'00_SKU_Master'!$M$2:$M$378,0)/$M$2,"0")</f>
        <v/>
      </c>
      <c r="O70" s="157">
        <f>_xludf.IFNA(E72/_xlfn.XLOOKUP($M72,'00_SKU_Master'!$B$2:$B$378,'00_SKU_Master'!$M$2:$M$378,0)/$M$2,"0")</f>
        <v/>
      </c>
      <c r="P70" s="157">
        <f>_xludf.IFNA(F72/_xlfn.XLOOKUP($M72,'00_SKU_Master'!$B$2:$B$378,'00_SKU_Master'!$M$2:$M$378,0)/$M$2,"0")</f>
        <v/>
      </c>
      <c r="Q70" s="157">
        <f>_xludf.IFNA(G72/_xlfn.XLOOKUP($M72,'00_SKU_Master'!$B$2:$B$378,'00_SKU_Master'!$M$2:$M$378,0)/$M$2,"0")</f>
        <v/>
      </c>
      <c r="R70" s="157">
        <f>_xludf.IFNA(H72/_xlfn.XLOOKUP($M72,'00_SKU_Master'!$B$2:$B$378,'00_SKU_Master'!$M$2:$M$378,0)/$M$2,"0")</f>
        <v/>
      </c>
      <c r="S70" s="157">
        <f>_xludf.IFNA(I72/_xlfn.XLOOKUP($M72,'00_SKU_Master'!$B$2:$B$378,'00_SKU_Master'!$M$2:$M$378,0)/$M$2,"0")</f>
        <v/>
      </c>
      <c r="T70" s="157">
        <f>_xludf.IFNA(J72/_xlfn.XLOOKUP($M72,'00_SKU_Master'!$B$2:$B$378,'00_SKU_Master'!$M$2:$M$378,0)/$M$2,"0")</f>
        <v/>
      </c>
      <c r="U70" s="157">
        <f>SUM(N72:T72)</f>
        <v/>
      </c>
      <c r="V70" s="4" t="n"/>
      <c r="W70" s="4">
        <f>_xlfn.XLOOKUP(M72,'00_SKU_Master'!$B$2:$B$378,'00_SKU_Master'!D:D)</f>
        <v/>
      </c>
      <c r="X70" s="14">
        <f>'05_Daily_Orders'!B71</f>
        <v/>
      </c>
      <c r="Y70" s="588" t="n"/>
      <c r="Z70" s="589" t="n"/>
      <c r="AA70" s="589" t="n"/>
      <c r="AB70" s="589" t="n"/>
      <c r="AC70" s="589" t="n">
        <v>0</v>
      </c>
      <c r="AD70" s="589" t="n">
        <v>0</v>
      </c>
      <c r="AE70" s="589" t="n">
        <v>0</v>
      </c>
      <c r="AF70" s="587">
        <f>SUM(Y72:AE72)</f>
        <v/>
      </c>
      <c r="AQ70" s="23" t="n">
        <v>0</v>
      </c>
      <c r="AR70" s="23" t="n">
        <v>0</v>
      </c>
      <c r="AS70" s="23">
        <f>AR72-AQ72</f>
        <v/>
      </c>
    </row>
    <row r="71">
      <c r="A71" s="148">
        <f>_xlfn.XLOOKUP(C73,'00_SKU_Master'!$B$2:$B$378,'00_SKU_Master'!$C$2:$C$378)</f>
        <v/>
      </c>
      <c r="B71" s="148" t="n"/>
      <c r="C71" s="148">
        <f>X73</f>
        <v/>
      </c>
      <c r="D71" s="586">
        <f>_xludf.IFNA(_xlfn.XLOOKUP(C73,'00_SKU_Master'!$B$2:$B$378,'00_SKU_Master'!$F$2:$F$378,0)*Y73,"")</f>
        <v/>
      </c>
      <c r="E71" s="586">
        <f>_xludf.IFNA(_xlfn.XLOOKUP(C73,'00_SKU_Master'!$B$2:$B$378,'00_SKU_Master'!$F$2:$F$378,0)*Z73,"")</f>
        <v/>
      </c>
      <c r="F71" s="586">
        <f>_xludf.IFNA(_xlfn.XLOOKUP(C73,'00_SKU_Master'!$B$2:$B$378,'00_SKU_Master'!$F$2:$F$378,0)*AA73,"")</f>
        <v/>
      </c>
      <c r="G71" s="586">
        <f>_xludf.IFNA(_xlfn.XLOOKUP(C73,'00_SKU_Master'!$B$2:$B$378,'00_SKU_Master'!$F$2:$F$378,0)*AB73,"")</f>
        <v/>
      </c>
      <c r="H71" s="586">
        <f>_xludf.IFNA(_xlfn.XLOOKUP(C73,'00_SKU_Master'!$B$2:$B$378,'00_SKU_Master'!$F$2:$F$378,0)*AC73,"")</f>
        <v/>
      </c>
      <c r="I71" s="586">
        <f>_xludf.IFNA(_xlfn.XLOOKUP(C73,'00_SKU_Master'!$B$2:$B$378,'00_SKU_Master'!$F$2:$F$378,0)*AD73,"")</f>
        <v/>
      </c>
      <c r="J71" s="586">
        <f>_xludf.IFNA(_xlfn.XLOOKUP(C73,'00_SKU_Master'!$B$2:$B$378,'00_SKU_Master'!$F$2:$F$378,0)*AE73,"")</f>
        <v/>
      </c>
      <c r="K71" s="587">
        <f>SUM(D73:J73)</f>
        <v/>
      </c>
      <c r="L71" s="197">
        <f>_xlfn.XLOOKUP(C73,'00_SKU_Master'!$B$2:$B$378,'00_SKU_Master'!K:K)</f>
        <v/>
      </c>
      <c r="M71" s="14">
        <f>X73</f>
        <v/>
      </c>
      <c r="N71" s="157">
        <f>_xludf.IFNA(D73/_xlfn.XLOOKUP($M73,'00_SKU_Master'!$B$2:$B$378,'00_SKU_Master'!$M$2:$M$378,0)/$M$2,"0")</f>
        <v/>
      </c>
      <c r="O71" s="157">
        <f>_xludf.IFNA(E73/_xlfn.XLOOKUP($M73,'00_SKU_Master'!$B$2:$B$378,'00_SKU_Master'!$M$2:$M$378,0)/$M$2,"0")</f>
        <v/>
      </c>
      <c r="P71" s="157">
        <f>_xludf.IFNA(F73/_xlfn.XLOOKUP($M73,'00_SKU_Master'!$B$2:$B$378,'00_SKU_Master'!$M$2:$M$378,0)/$M$2,"0")</f>
        <v/>
      </c>
      <c r="Q71" s="157">
        <f>_xludf.IFNA(G73/_xlfn.XLOOKUP($M73,'00_SKU_Master'!$B$2:$B$378,'00_SKU_Master'!$M$2:$M$378,0)/$M$2,"0")</f>
        <v/>
      </c>
      <c r="R71" s="157">
        <f>_xludf.IFNA(H73/_xlfn.XLOOKUP($M73,'00_SKU_Master'!$B$2:$B$378,'00_SKU_Master'!$M$2:$M$378,0)/$M$2,"0")</f>
        <v/>
      </c>
      <c r="S71" s="157">
        <f>_xludf.IFNA(I73/_xlfn.XLOOKUP($M73,'00_SKU_Master'!$B$2:$B$378,'00_SKU_Master'!$M$2:$M$378,0)/$M$2,"0")</f>
        <v/>
      </c>
      <c r="T71" s="157">
        <f>_xludf.IFNA(J73/_xlfn.XLOOKUP($M73,'00_SKU_Master'!$B$2:$B$378,'00_SKU_Master'!$M$2:$M$378,0)/$M$2,"0")</f>
        <v/>
      </c>
      <c r="U71" s="157">
        <f>SUM(N73:T73)</f>
        <v/>
      </c>
      <c r="V71" s="4" t="n"/>
      <c r="W71" s="4">
        <f>_xlfn.XLOOKUP(M73,'00_SKU_Master'!$B$2:$B$378,'00_SKU_Master'!D:D)</f>
        <v/>
      </c>
      <c r="X71" s="14">
        <f>'05_Daily_Orders'!B72</f>
        <v/>
      </c>
      <c r="Y71" s="588" t="n"/>
      <c r="Z71" s="589" t="n"/>
      <c r="AA71" s="589" t="n"/>
      <c r="AB71" s="589" t="n"/>
      <c r="AC71" s="589" t="n">
        <v>0</v>
      </c>
      <c r="AD71" s="589" t="n">
        <v>0</v>
      </c>
      <c r="AE71" s="589" t="n">
        <v>0</v>
      </c>
      <c r="AF71" s="587">
        <f>SUM(Y73:AE73)</f>
        <v/>
      </c>
      <c r="AQ71" s="23" t="n">
        <v>0</v>
      </c>
      <c r="AR71" s="23" t="n">
        <v>0</v>
      </c>
      <c r="AS71" s="23">
        <f>AR73-AQ73</f>
        <v/>
      </c>
    </row>
    <row r="72">
      <c r="A72" s="148">
        <f>_xlfn.XLOOKUP(C74,'00_SKU_Master'!$B$2:$B$378,'00_SKU_Master'!$C$2:$C$378)</f>
        <v/>
      </c>
      <c r="B72" s="148" t="n"/>
      <c r="C72" s="148">
        <f>X74</f>
        <v/>
      </c>
      <c r="D72" s="586">
        <f>_xludf.IFNA(_xlfn.XLOOKUP(C74,'00_SKU_Master'!$B$2:$B$378,'00_SKU_Master'!$F$2:$F$378,0)*Y74,"")</f>
        <v/>
      </c>
      <c r="E72" s="586">
        <f>_xludf.IFNA(_xlfn.XLOOKUP(C74,'00_SKU_Master'!$B$2:$B$378,'00_SKU_Master'!$F$2:$F$378,0)*Z74,"")</f>
        <v/>
      </c>
      <c r="F72" s="586">
        <f>_xludf.IFNA(_xlfn.XLOOKUP(C74,'00_SKU_Master'!$B$2:$B$378,'00_SKU_Master'!$F$2:$F$378,0)*AA74,"")</f>
        <v/>
      </c>
      <c r="G72" s="586">
        <f>_xludf.IFNA(_xlfn.XLOOKUP(C74,'00_SKU_Master'!$B$2:$B$378,'00_SKU_Master'!$F$2:$F$378,0)*AB74,"")</f>
        <v/>
      </c>
      <c r="H72" s="586">
        <f>_xludf.IFNA(_xlfn.XLOOKUP(C74,'00_SKU_Master'!$B$2:$B$378,'00_SKU_Master'!$F$2:$F$378,0)*AC74,"")</f>
        <v/>
      </c>
      <c r="I72" s="586">
        <f>_xludf.IFNA(_xlfn.XLOOKUP(C74,'00_SKU_Master'!$B$2:$B$378,'00_SKU_Master'!$F$2:$F$378,0)*AD74,"")</f>
        <v/>
      </c>
      <c r="J72" s="586">
        <f>_xludf.IFNA(_xlfn.XLOOKUP(C74,'00_SKU_Master'!$B$2:$B$378,'00_SKU_Master'!$F$2:$F$378,0)*AE74,"")</f>
        <v/>
      </c>
      <c r="K72" s="587">
        <f>SUM(D74:J74)</f>
        <v/>
      </c>
      <c r="L72" s="197">
        <f>_xlfn.XLOOKUP(C74,'00_SKU_Master'!$B$2:$B$378,'00_SKU_Master'!K:K)</f>
        <v/>
      </c>
      <c r="M72" s="14">
        <f>X74</f>
        <v/>
      </c>
      <c r="N72" s="157">
        <f>_xludf.IFNA(D74/_xlfn.XLOOKUP($M74,'00_SKU_Master'!$B$2:$B$378,'00_SKU_Master'!$M$2:$M$378,0)/$M$2,"0")</f>
        <v/>
      </c>
      <c r="O72" s="157">
        <f>_xludf.IFNA(E74/_xlfn.XLOOKUP($M74,'00_SKU_Master'!$B$2:$B$378,'00_SKU_Master'!$M$2:$M$378,0)/$M$2,"0")</f>
        <v/>
      </c>
      <c r="P72" s="157">
        <f>_xludf.IFNA(F74/_xlfn.XLOOKUP($M74,'00_SKU_Master'!$B$2:$B$378,'00_SKU_Master'!$M$2:$M$378,0)/$M$2,"0")</f>
        <v/>
      </c>
      <c r="Q72" s="157">
        <f>_xludf.IFNA(G74/_xlfn.XLOOKUP($M74,'00_SKU_Master'!$B$2:$B$378,'00_SKU_Master'!$M$2:$M$378,0)/$M$2,"0")</f>
        <v/>
      </c>
      <c r="R72" s="157">
        <f>_xludf.IFNA(H74/_xlfn.XLOOKUP($M74,'00_SKU_Master'!$B$2:$B$378,'00_SKU_Master'!$M$2:$M$378,0)/$M$2,"0")</f>
        <v/>
      </c>
      <c r="S72" s="157">
        <f>_xludf.IFNA(I74/_xlfn.XLOOKUP($M74,'00_SKU_Master'!$B$2:$B$378,'00_SKU_Master'!$M$2:$M$378,0)/$M$2,"0")</f>
        <v/>
      </c>
      <c r="T72" s="157">
        <f>_xludf.IFNA(J74/_xlfn.XLOOKUP($M74,'00_SKU_Master'!$B$2:$B$378,'00_SKU_Master'!$M$2:$M$378,0)/$M$2,"0")</f>
        <v/>
      </c>
      <c r="U72" s="157">
        <f>SUM(N74:T74)</f>
        <v/>
      </c>
      <c r="V72" s="4" t="n"/>
      <c r="W72" s="4">
        <f>_xlfn.XLOOKUP(M74,'00_SKU_Master'!$B$2:$B$378,'00_SKU_Master'!D:D)</f>
        <v/>
      </c>
      <c r="X72" s="14">
        <f>'05_Daily_Orders'!B73</f>
        <v/>
      </c>
      <c r="Y72" s="588" t="n"/>
      <c r="Z72" s="589" t="n"/>
      <c r="AA72" s="589" t="n"/>
      <c r="AB72" s="589" t="n"/>
      <c r="AC72" s="589" t="n">
        <v>56</v>
      </c>
      <c r="AD72" s="589" t="n">
        <v>0</v>
      </c>
      <c r="AE72" s="589" t="n">
        <v>63</v>
      </c>
      <c r="AF72" s="587">
        <f>SUM(Y74:AE74)</f>
        <v/>
      </c>
      <c r="AQ72" s="23" t="n">
        <v>56</v>
      </c>
      <c r="AR72" s="23" t="n">
        <v>0</v>
      </c>
      <c r="AS72" s="23">
        <f>AR74-AQ74</f>
        <v/>
      </c>
    </row>
    <row r="73">
      <c r="A73" s="148">
        <f>_xlfn.XLOOKUP(C75,'00_SKU_Master'!$B$2:$B$378,'00_SKU_Master'!$C$2:$C$378)</f>
        <v/>
      </c>
      <c r="B73" s="148" t="n"/>
      <c r="C73" s="148">
        <f>X75</f>
        <v/>
      </c>
      <c r="D73" s="586">
        <f>_xludf.IFNA(_xlfn.XLOOKUP(C75,'00_SKU_Master'!$B$2:$B$378,'00_SKU_Master'!$F$2:$F$378,0)*Y75,"")</f>
        <v/>
      </c>
      <c r="E73" s="586">
        <f>_xludf.IFNA(_xlfn.XLOOKUP(C75,'00_SKU_Master'!$B$2:$B$378,'00_SKU_Master'!$F$2:$F$378,0)*Z75,"")</f>
        <v/>
      </c>
      <c r="F73" s="586">
        <f>_xludf.IFNA(_xlfn.XLOOKUP(C75,'00_SKU_Master'!$B$2:$B$378,'00_SKU_Master'!$F$2:$F$378,0)*AA75,"")</f>
        <v/>
      </c>
      <c r="G73" s="586">
        <f>_xludf.IFNA(_xlfn.XLOOKUP(C75,'00_SKU_Master'!$B$2:$B$378,'00_SKU_Master'!$F$2:$F$378,0)*AB75,"")</f>
        <v/>
      </c>
      <c r="H73" s="586">
        <f>_xludf.IFNA(_xlfn.XLOOKUP(C75,'00_SKU_Master'!$B$2:$B$378,'00_SKU_Master'!$F$2:$F$378,0)*AC75,"")</f>
        <v/>
      </c>
      <c r="I73" s="586">
        <f>_xludf.IFNA(_xlfn.XLOOKUP(C75,'00_SKU_Master'!$B$2:$B$378,'00_SKU_Master'!$F$2:$F$378,0)*AD75,"")</f>
        <v/>
      </c>
      <c r="J73" s="586">
        <f>_xludf.IFNA(_xlfn.XLOOKUP(C75,'00_SKU_Master'!$B$2:$B$378,'00_SKU_Master'!$F$2:$F$378,0)*AE75,"")</f>
        <v/>
      </c>
      <c r="K73" s="587">
        <f>SUM(D75:J75)</f>
        <v/>
      </c>
      <c r="L73" s="197">
        <f>_xlfn.XLOOKUP(C75,'00_SKU_Master'!$B$2:$B$378,'00_SKU_Master'!K:K)</f>
        <v/>
      </c>
      <c r="M73" s="14">
        <f>X75</f>
        <v/>
      </c>
      <c r="N73" s="157">
        <f>_xludf.IFNA(D75/_xlfn.XLOOKUP($M75,'00_SKU_Master'!$B$2:$B$378,'00_SKU_Master'!$M$2:$M$378,0)/$M$2,"0")</f>
        <v/>
      </c>
      <c r="O73" s="157">
        <f>_xludf.IFNA(E75/_xlfn.XLOOKUP($M75,'00_SKU_Master'!$B$2:$B$378,'00_SKU_Master'!$M$2:$M$378,0)/$M$2,"0")</f>
        <v/>
      </c>
      <c r="P73" s="157">
        <f>_xludf.IFNA(F75/_xlfn.XLOOKUP($M75,'00_SKU_Master'!$B$2:$B$378,'00_SKU_Master'!$M$2:$M$378,0)/$M$2,"0")</f>
        <v/>
      </c>
      <c r="Q73" s="157">
        <f>_xludf.IFNA(G75/_xlfn.XLOOKUP($M75,'00_SKU_Master'!$B$2:$B$378,'00_SKU_Master'!$M$2:$M$378,0)/$M$2,"0")</f>
        <v/>
      </c>
      <c r="R73" s="157">
        <f>_xludf.IFNA(H75/_xlfn.XLOOKUP($M75,'00_SKU_Master'!$B$2:$B$378,'00_SKU_Master'!$M$2:$M$378,0)/$M$2,"0")</f>
        <v/>
      </c>
      <c r="S73" s="157">
        <f>_xludf.IFNA(I75/_xlfn.XLOOKUP($M75,'00_SKU_Master'!$B$2:$B$378,'00_SKU_Master'!$M$2:$M$378,0)/$M$2,"0")</f>
        <v/>
      </c>
      <c r="T73" s="157">
        <f>_xludf.IFNA(J75/_xlfn.XLOOKUP($M75,'00_SKU_Master'!$B$2:$B$378,'00_SKU_Master'!$M$2:$M$378,0)/$M$2,"0")</f>
        <v/>
      </c>
      <c r="U73" s="157">
        <f>SUM(N75:T75)</f>
        <v/>
      </c>
      <c r="V73" s="4" t="n"/>
      <c r="W73" s="4">
        <f>_xlfn.XLOOKUP(M75,'00_SKU_Master'!$B$2:$B$378,'00_SKU_Master'!D:D)</f>
        <v/>
      </c>
      <c r="X73" s="14">
        <f>'05_Daily_Orders'!B74</f>
        <v/>
      </c>
      <c r="Y73" s="588" t="n"/>
      <c r="Z73" s="589" t="n"/>
      <c r="AA73" s="589" t="n"/>
      <c r="AB73" s="589" t="n"/>
      <c r="AC73" s="589" t="n">
        <v>0</v>
      </c>
      <c r="AD73" s="589" t="n">
        <v>0</v>
      </c>
      <c r="AE73" s="589" t="n">
        <v>0</v>
      </c>
      <c r="AF73" s="587">
        <f>SUM(Y75:AE75)</f>
        <v/>
      </c>
      <c r="AQ73" s="23" t="n">
        <v>0</v>
      </c>
      <c r="AR73" s="23" t="n">
        <v>0</v>
      </c>
      <c r="AS73" s="23">
        <f>AR75-AQ75</f>
        <v/>
      </c>
    </row>
    <row r="74">
      <c r="A74" s="148">
        <f>_xlfn.XLOOKUP(C76,'00_SKU_Master'!$B$2:$B$378,'00_SKU_Master'!$C$2:$C$378)</f>
        <v/>
      </c>
      <c r="B74" s="148" t="n"/>
      <c r="C74" s="148">
        <f>X76</f>
        <v/>
      </c>
      <c r="D74" s="586">
        <f>_xludf.IFNA(_xlfn.XLOOKUP(C76,'00_SKU_Master'!$B$2:$B$378,'00_SKU_Master'!$F$2:$F$378,0)*Y76,"")</f>
        <v/>
      </c>
      <c r="E74" s="586">
        <f>_xludf.IFNA(_xlfn.XLOOKUP(C76,'00_SKU_Master'!$B$2:$B$378,'00_SKU_Master'!$F$2:$F$378,0)*Z76,"")</f>
        <v/>
      </c>
      <c r="F74" s="586">
        <f>_xludf.IFNA(_xlfn.XLOOKUP(C76,'00_SKU_Master'!$B$2:$B$378,'00_SKU_Master'!$F$2:$F$378,0)*AA76,"")</f>
        <v/>
      </c>
      <c r="G74" s="586">
        <f>_xludf.IFNA(_xlfn.XLOOKUP(C76,'00_SKU_Master'!$B$2:$B$378,'00_SKU_Master'!$F$2:$F$378,0)*AB76,"")</f>
        <v/>
      </c>
      <c r="H74" s="586">
        <f>_xludf.IFNA(_xlfn.XLOOKUP(C76,'00_SKU_Master'!$B$2:$B$378,'00_SKU_Master'!$F$2:$F$378,0)*AC76,"")</f>
        <v/>
      </c>
      <c r="I74" s="586">
        <f>_xludf.IFNA(_xlfn.XLOOKUP(C76,'00_SKU_Master'!$B$2:$B$378,'00_SKU_Master'!$F$2:$F$378,0)*AD76,"")</f>
        <v/>
      </c>
      <c r="J74" s="586">
        <f>_xludf.IFNA(_xlfn.XLOOKUP(C76,'00_SKU_Master'!$B$2:$B$378,'00_SKU_Master'!$F$2:$F$378,0)*AE76,"")</f>
        <v/>
      </c>
      <c r="K74" s="587">
        <f>SUM(D76:J76)</f>
        <v/>
      </c>
      <c r="L74" s="197">
        <f>_xlfn.XLOOKUP(C76,'00_SKU_Master'!$B$2:$B$378,'00_SKU_Master'!K:K)</f>
        <v/>
      </c>
      <c r="M74" s="14">
        <f>X76</f>
        <v/>
      </c>
      <c r="N74" s="157">
        <f>_xludf.IFNA(D76/_xlfn.XLOOKUP($M76,'00_SKU_Master'!$B$2:$B$378,'00_SKU_Master'!$M$2:$M$378,0)/$M$2,"0")</f>
        <v/>
      </c>
      <c r="O74" s="157">
        <f>_xludf.IFNA(E76/_xlfn.XLOOKUP($M76,'00_SKU_Master'!$B$2:$B$378,'00_SKU_Master'!$M$2:$M$378,0)/$M$2,"0")</f>
        <v/>
      </c>
      <c r="P74" s="157">
        <f>_xludf.IFNA(F76/_xlfn.XLOOKUP($M76,'00_SKU_Master'!$B$2:$B$378,'00_SKU_Master'!$M$2:$M$378,0)/$M$2,"0")</f>
        <v/>
      </c>
      <c r="Q74" s="157">
        <f>_xludf.IFNA(G76/_xlfn.XLOOKUP($M76,'00_SKU_Master'!$B$2:$B$378,'00_SKU_Master'!$M$2:$M$378,0)/$M$2,"0")</f>
        <v/>
      </c>
      <c r="R74" s="157">
        <f>_xludf.IFNA(H76/_xlfn.XLOOKUP($M76,'00_SKU_Master'!$B$2:$B$378,'00_SKU_Master'!$M$2:$M$378,0)/$M$2,"0")</f>
        <v/>
      </c>
      <c r="S74" s="157">
        <f>_xludf.IFNA(I76/_xlfn.XLOOKUP($M76,'00_SKU_Master'!$B$2:$B$378,'00_SKU_Master'!$M$2:$M$378,0)/$M$2,"0")</f>
        <v/>
      </c>
      <c r="T74" s="157">
        <f>_xludf.IFNA(J76/_xlfn.XLOOKUP($M76,'00_SKU_Master'!$B$2:$B$378,'00_SKU_Master'!$M$2:$M$378,0)/$M$2,"0")</f>
        <v/>
      </c>
      <c r="U74" s="157">
        <f>SUM(N76:T76)</f>
        <v/>
      </c>
      <c r="V74" s="4" t="n"/>
      <c r="W74" s="4">
        <f>_xlfn.XLOOKUP(M76,'00_SKU_Master'!$B$2:$B$378,'00_SKU_Master'!D:D)</f>
        <v/>
      </c>
      <c r="X74" s="14">
        <f>'05_Daily_Orders'!B75</f>
        <v/>
      </c>
      <c r="Y74" s="588" t="n"/>
      <c r="Z74" s="589" t="n"/>
      <c r="AA74" s="589" t="n"/>
      <c r="AB74" s="589" t="n"/>
      <c r="AC74" s="589" t="n">
        <v>73</v>
      </c>
      <c r="AD74" s="589" t="n">
        <v>0</v>
      </c>
      <c r="AE74" s="589" t="n">
        <v>76</v>
      </c>
      <c r="AF74" s="587">
        <f>SUM(Y76:AE76)</f>
        <v/>
      </c>
      <c r="AQ74" s="23" t="n">
        <v>67</v>
      </c>
      <c r="AR74" s="23" t="n">
        <v>0</v>
      </c>
      <c r="AS74" s="23">
        <f>AR76-AQ76</f>
        <v/>
      </c>
    </row>
    <row r="75">
      <c r="A75" s="148">
        <f>_xlfn.XLOOKUP(C77,'00_SKU_Master'!$B$2:$B$378,'00_SKU_Master'!$C$2:$C$378)</f>
        <v/>
      </c>
      <c r="B75" s="148" t="n"/>
      <c r="C75" s="148">
        <f>X77</f>
        <v/>
      </c>
      <c r="D75" s="586">
        <f>_xludf.IFNA(_xlfn.XLOOKUP(C77,'00_SKU_Master'!$B$2:$B$378,'00_SKU_Master'!$F$2:$F$378,0)*Y77,"")</f>
        <v/>
      </c>
      <c r="E75" s="586">
        <f>_xludf.IFNA(_xlfn.XLOOKUP(C77,'00_SKU_Master'!$B$2:$B$378,'00_SKU_Master'!$F$2:$F$378,0)*Z77,"")</f>
        <v/>
      </c>
      <c r="F75" s="586">
        <f>_xludf.IFNA(_xlfn.XLOOKUP(C77,'00_SKU_Master'!$B$2:$B$378,'00_SKU_Master'!$F$2:$F$378,0)*AA77,"")</f>
        <v/>
      </c>
      <c r="G75" s="586">
        <f>_xludf.IFNA(_xlfn.XLOOKUP(C77,'00_SKU_Master'!$B$2:$B$378,'00_SKU_Master'!$F$2:$F$378,0)*AB77,"")</f>
        <v/>
      </c>
      <c r="H75" s="586">
        <f>_xludf.IFNA(_xlfn.XLOOKUP(C77,'00_SKU_Master'!$B$2:$B$378,'00_SKU_Master'!$F$2:$F$378,0)*AC77,"")</f>
        <v/>
      </c>
      <c r="I75" s="586">
        <f>_xludf.IFNA(_xlfn.XLOOKUP(C77,'00_SKU_Master'!$B$2:$B$378,'00_SKU_Master'!$F$2:$F$378,0)*AD77,"")</f>
        <v/>
      </c>
      <c r="J75" s="586">
        <f>_xludf.IFNA(_xlfn.XLOOKUP(C77,'00_SKU_Master'!$B$2:$B$378,'00_SKU_Master'!$F$2:$F$378,0)*AE77,"")</f>
        <v/>
      </c>
      <c r="K75" s="587">
        <f>SUM(D77:J77)</f>
        <v/>
      </c>
      <c r="L75" s="197">
        <f>_xlfn.XLOOKUP(C77,'00_SKU_Master'!$B$2:$B$378,'00_SKU_Master'!K:K)</f>
        <v/>
      </c>
      <c r="M75" s="14">
        <f>X77</f>
        <v/>
      </c>
      <c r="N75" s="157">
        <f>_xludf.IFNA(D77/_xlfn.XLOOKUP($M77,'00_SKU_Master'!$B$2:$B$378,'00_SKU_Master'!$M$2:$M$378,0)/$M$2,"0")</f>
        <v/>
      </c>
      <c r="O75" s="157">
        <f>_xludf.IFNA(E77/_xlfn.XLOOKUP($M77,'00_SKU_Master'!$B$2:$B$378,'00_SKU_Master'!$M$2:$M$378,0)/$M$2,"0")</f>
        <v/>
      </c>
      <c r="P75" s="157">
        <f>_xludf.IFNA(F77/_xlfn.XLOOKUP($M77,'00_SKU_Master'!$B$2:$B$378,'00_SKU_Master'!$M$2:$M$378,0)/$M$2,"0")</f>
        <v/>
      </c>
      <c r="Q75" s="157">
        <f>_xludf.IFNA(G77/_xlfn.XLOOKUP($M77,'00_SKU_Master'!$B$2:$B$378,'00_SKU_Master'!$M$2:$M$378,0)/$M$2,"0")</f>
        <v/>
      </c>
      <c r="R75" s="157">
        <f>_xludf.IFNA(H77/_xlfn.XLOOKUP($M77,'00_SKU_Master'!$B$2:$B$378,'00_SKU_Master'!$M$2:$M$378,0)/$M$2,"0")</f>
        <v/>
      </c>
      <c r="S75" s="157">
        <f>_xludf.IFNA(I77/_xlfn.XLOOKUP($M77,'00_SKU_Master'!$B$2:$B$378,'00_SKU_Master'!$M$2:$M$378,0)/$M$2,"0")</f>
        <v/>
      </c>
      <c r="T75" s="157">
        <f>_xludf.IFNA(J77/_xlfn.XLOOKUP($M77,'00_SKU_Master'!$B$2:$B$378,'00_SKU_Master'!$M$2:$M$378,0)/$M$2,"0")</f>
        <v/>
      </c>
      <c r="U75" s="157">
        <f>SUM(N77:T77)</f>
        <v/>
      </c>
      <c r="V75" s="4" t="n"/>
      <c r="W75" s="4">
        <f>_xlfn.XLOOKUP(M77,'00_SKU_Master'!$B$2:$B$378,'00_SKU_Master'!D:D)</f>
        <v/>
      </c>
      <c r="X75" s="14">
        <f>'05_Daily_Orders'!B76</f>
        <v/>
      </c>
      <c r="Y75" s="588" t="n"/>
      <c r="Z75" s="589" t="n"/>
      <c r="AA75" s="589" t="n"/>
      <c r="AB75" s="589" t="n"/>
      <c r="AC75" s="589" t="n">
        <v>0</v>
      </c>
      <c r="AD75" s="589" t="n">
        <v>0</v>
      </c>
      <c r="AE75" s="589" t="n">
        <v>0</v>
      </c>
      <c r="AF75" s="587">
        <f>SUM(Y77:AE77)</f>
        <v/>
      </c>
      <c r="AQ75" s="23" t="n">
        <v>0</v>
      </c>
      <c r="AR75" s="23" t="n">
        <v>0</v>
      </c>
      <c r="AS75" s="23">
        <f>AR77-AQ77</f>
        <v/>
      </c>
    </row>
    <row r="76">
      <c r="A76" s="148">
        <f>_xlfn.XLOOKUP(C78,'00_SKU_Master'!$B$2:$B$378,'00_SKU_Master'!$C$2:$C$378)</f>
        <v/>
      </c>
      <c r="B76" s="148" t="n"/>
      <c r="C76" s="148">
        <f>X78</f>
        <v/>
      </c>
      <c r="D76" s="586">
        <f>_xludf.IFNA(_xlfn.XLOOKUP(C78,'00_SKU_Master'!$B$2:$B$378,'00_SKU_Master'!$F$2:$F$378,0)*Y78,"")</f>
        <v/>
      </c>
      <c r="E76" s="586">
        <f>_xludf.IFNA(_xlfn.XLOOKUP(C78,'00_SKU_Master'!$B$2:$B$378,'00_SKU_Master'!$F$2:$F$378,0)*Z78,"")</f>
        <v/>
      </c>
      <c r="F76" s="586">
        <f>_xludf.IFNA(_xlfn.XLOOKUP(C78,'00_SKU_Master'!$B$2:$B$378,'00_SKU_Master'!$F$2:$F$378,0)*AA78,"")</f>
        <v/>
      </c>
      <c r="G76" s="586">
        <f>_xludf.IFNA(_xlfn.XLOOKUP(C78,'00_SKU_Master'!$B$2:$B$378,'00_SKU_Master'!$F$2:$F$378,0)*AB78,"")</f>
        <v/>
      </c>
      <c r="H76" s="586">
        <f>_xludf.IFNA(_xlfn.XLOOKUP(C78,'00_SKU_Master'!$B$2:$B$378,'00_SKU_Master'!$F$2:$F$378,0)*AC78,"")</f>
        <v/>
      </c>
      <c r="I76" s="586">
        <f>_xludf.IFNA(_xlfn.XLOOKUP(C78,'00_SKU_Master'!$B$2:$B$378,'00_SKU_Master'!$F$2:$F$378,0)*AD78,"")</f>
        <v/>
      </c>
      <c r="J76" s="586">
        <f>_xludf.IFNA(_xlfn.XLOOKUP(C78,'00_SKU_Master'!$B$2:$B$378,'00_SKU_Master'!$F$2:$F$378,0)*AE78,"")</f>
        <v/>
      </c>
      <c r="K76" s="587">
        <f>SUM(D78:J78)</f>
        <v/>
      </c>
      <c r="L76" s="197">
        <f>_xlfn.XLOOKUP(C78,'00_SKU_Master'!$B$2:$B$378,'00_SKU_Master'!K:K)</f>
        <v/>
      </c>
      <c r="M76" s="14">
        <f>X78</f>
        <v/>
      </c>
      <c r="N76" s="157">
        <f>_xludf.IFNA(D78/_xlfn.XLOOKUP($M78,'00_SKU_Master'!$B$2:$B$378,'00_SKU_Master'!$M$2:$M$378,0)/$M$2,"0")</f>
        <v/>
      </c>
      <c r="O76" s="157">
        <f>_xludf.IFNA(E78/_xlfn.XLOOKUP($M78,'00_SKU_Master'!$B$2:$B$378,'00_SKU_Master'!$M$2:$M$378,0)/$M$2,"0")</f>
        <v/>
      </c>
      <c r="P76" s="157">
        <f>_xludf.IFNA(F78/_xlfn.XLOOKUP($M78,'00_SKU_Master'!$B$2:$B$378,'00_SKU_Master'!$M$2:$M$378,0)/$M$2,"0")</f>
        <v/>
      </c>
      <c r="Q76" s="157">
        <f>_xludf.IFNA(G78/_xlfn.XLOOKUP($M78,'00_SKU_Master'!$B$2:$B$378,'00_SKU_Master'!$M$2:$M$378,0)/$M$2,"0")</f>
        <v/>
      </c>
      <c r="R76" s="157">
        <f>_xludf.IFNA(H78/_xlfn.XLOOKUP($M78,'00_SKU_Master'!$B$2:$B$378,'00_SKU_Master'!$M$2:$M$378,0)/$M$2,"0")</f>
        <v/>
      </c>
      <c r="S76" s="157">
        <f>_xludf.IFNA(I78/_xlfn.XLOOKUP($M78,'00_SKU_Master'!$B$2:$B$378,'00_SKU_Master'!$M$2:$M$378,0)/$M$2,"0")</f>
        <v/>
      </c>
      <c r="T76" s="157">
        <f>_xludf.IFNA(J78/_xlfn.XLOOKUP($M78,'00_SKU_Master'!$B$2:$B$378,'00_SKU_Master'!$M$2:$M$378,0)/$M$2,"0")</f>
        <v/>
      </c>
      <c r="U76" s="157">
        <f>SUM(N78:T78)</f>
        <v/>
      </c>
      <c r="V76" s="4" t="n"/>
      <c r="W76" s="4">
        <f>_xlfn.XLOOKUP(M78,'00_SKU_Master'!$B$2:$B$378,'00_SKU_Master'!D:D)</f>
        <v/>
      </c>
      <c r="X76" s="14">
        <f>'05_Daily_Orders'!B77</f>
        <v/>
      </c>
      <c r="Y76" s="588" t="n"/>
      <c r="Z76" s="589" t="n"/>
      <c r="AA76" s="589" t="n"/>
      <c r="AB76" s="589" t="n"/>
      <c r="AC76" s="589" t="n">
        <v>38</v>
      </c>
      <c r="AD76" s="589" t="n">
        <v>0</v>
      </c>
      <c r="AE76" s="589" t="n">
        <v>80</v>
      </c>
      <c r="AF76" s="587">
        <f>SUM(Y78:AE78)</f>
        <v/>
      </c>
      <c r="AQ76" s="23" t="n">
        <v>46</v>
      </c>
      <c r="AR76" s="23" t="n">
        <v>0</v>
      </c>
      <c r="AS76" s="23">
        <f>AR78-AQ78</f>
        <v/>
      </c>
    </row>
    <row r="77">
      <c r="A77" s="148">
        <f>_xlfn.XLOOKUP(C79,'00_SKU_Master'!$B$2:$B$378,'00_SKU_Master'!$C$2:$C$378)</f>
        <v/>
      </c>
      <c r="B77" s="148" t="n"/>
      <c r="C77" s="148">
        <f>X79</f>
        <v/>
      </c>
      <c r="D77" s="586">
        <f>_xludf.IFNA(_xlfn.XLOOKUP(C79,'00_SKU_Master'!$B$2:$B$378,'00_SKU_Master'!$F$2:$F$378,0)*Y79,"")</f>
        <v/>
      </c>
      <c r="E77" s="586">
        <f>_xludf.IFNA(_xlfn.XLOOKUP(C79,'00_SKU_Master'!$B$2:$B$378,'00_SKU_Master'!$F$2:$F$378,0)*Z79,"")</f>
        <v/>
      </c>
      <c r="F77" s="586">
        <f>_xludf.IFNA(_xlfn.XLOOKUP(C79,'00_SKU_Master'!$B$2:$B$378,'00_SKU_Master'!$F$2:$F$378,0)*AA79,"")</f>
        <v/>
      </c>
      <c r="G77" s="586">
        <f>_xludf.IFNA(_xlfn.XLOOKUP(C79,'00_SKU_Master'!$B$2:$B$378,'00_SKU_Master'!$F$2:$F$378,0)*AB79,"")</f>
        <v/>
      </c>
      <c r="H77" s="586">
        <f>_xludf.IFNA(_xlfn.XLOOKUP(C79,'00_SKU_Master'!$B$2:$B$378,'00_SKU_Master'!$F$2:$F$378,0)*AC79,"")</f>
        <v/>
      </c>
      <c r="I77" s="586">
        <f>_xludf.IFNA(_xlfn.XLOOKUP(C79,'00_SKU_Master'!$B$2:$B$378,'00_SKU_Master'!$F$2:$F$378,0)*AD79,"")</f>
        <v/>
      </c>
      <c r="J77" s="586">
        <f>_xludf.IFNA(_xlfn.XLOOKUP(C79,'00_SKU_Master'!$B$2:$B$378,'00_SKU_Master'!$F$2:$F$378,0)*AE79,"")</f>
        <v/>
      </c>
      <c r="K77" s="587">
        <f>SUM(D79:J79)</f>
        <v/>
      </c>
      <c r="L77" s="197">
        <f>_xlfn.XLOOKUP(C79,'00_SKU_Master'!$B$2:$B$378,'00_SKU_Master'!K:K)</f>
        <v/>
      </c>
      <c r="M77" s="14">
        <f>X79</f>
        <v/>
      </c>
      <c r="N77" s="157">
        <f>_xludf.IFNA(D79/_xlfn.XLOOKUP($M79,'00_SKU_Master'!$B$2:$B$378,'00_SKU_Master'!$M$2:$M$378,0)/$M$2,"0")</f>
        <v/>
      </c>
      <c r="O77" s="157">
        <f>_xludf.IFNA(E79/_xlfn.XLOOKUP($M79,'00_SKU_Master'!$B$2:$B$378,'00_SKU_Master'!$M$2:$M$378,0)/$M$2,"0")</f>
        <v/>
      </c>
      <c r="P77" s="157">
        <f>_xludf.IFNA(F79/_xlfn.XLOOKUP($M79,'00_SKU_Master'!$B$2:$B$378,'00_SKU_Master'!$M$2:$M$378,0)/$M$2,"0")</f>
        <v/>
      </c>
      <c r="Q77" s="157">
        <f>_xludf.IFNA(G79/_xlfn.XLOOKUP($M79,'00_SKU_Master'!$B$2:$B$378,'00_SKU_Master'!$M$2:$M$378,0)/$M$2,"0")</f>
        <v/>
      </c>
      <c r="R77" s="157">
        <f>_xludf.IFNA(H79/_xlfn.XLOOKUP($M79,'00_SKU_Master'!$B$2:$B$378,'00_SKU_Master'!$M$2:$M$378,0)/$M$2,"0")</f>
        <v/>
      </c>
      <c r="S77" s="157">
        <f>_xludf.IFNA(I79/_xlfn.XLOOKUP($M79,'00_SKU_Master'!$B$2:$B$378,'00_SKU_Master'!$M$2:$M$378,0)/$M$2,"0")</f>
        <v/>
      </c>
      <c r="T77" s="157">
        <f>_xludf.IFNA(J79/_xlfn.XLOOKUP($M79,'00_SKU_Master'!$B$2:$B$378,'00_SKU_Master'!$M$2:$M$378,0)/$M$2,"0")</f>
        <v/>
      </c>
      <c r="U77" s="157">
        <f>SUM(N79:T79)</f>
        <v/>
      </c>
      <c r="V77" s="4" t="n"/>
      <c r="W77" s="4">
        <f>_xlfn.XLOOKUP(M79,'00_SKU_Master'!$B$2:$B$378,'00_SKU_Master'!D:D)</f>
        <v/>
      </c>
      <c r="X77" s="14">
        <f>'05_Daily_Orders'!B78</f>
        <v/>
      </c>
      <c r="Y77" s="588" t="n"/>
      <c r="Z77" s="589" t="n"/>
      <c r="AA77" s="589" t="n"/>
      <c r="AB77" s="589" t="n"/>
      <c r="AC77" s="589" t="n">
        <v>0</v>
      </c>
      <c r="AD77" s="589" t="n">
        <v>0</v>
      </c>
      <c r="AE77" s="589" t="n">
        <v>0</v>
      </c>
      <c r="AF77" s="587">
        <f>SUM(Y79:AE79)</f>
        <v/>
      </c>
      <c r="AQ77" s="23" t="n">
        <v>0</v>
      </c>
      <c r="AR77" s="23" t="n">
        <v>0</v>
      </c>
      <c r="AS77" s="23">
        <f>AR79-AQ79</f>
        <v/>
      </c>
    </row>
    <row r="78">
      <c r="A78" s="148">
        <f>_xlfn.XLOOKUP(C80,'00_SKU_Master'!$B$2:$B$378,'00_SKU_Master'!$C$2:$C$378)</f>
        <v/>
      </c>
      <c r="B78" s="148" t="n"/>
      <c r="C78" s="148">
        <f>X80</f>
        <v/>
      </c>
      <c r="D78" s="586">
        <f>_xludf.IFNA(_xlfn.XLOOKUP(C80,'00_SKU_Master'!$B$2:$B$378,'00_SKU_Master'!$F$2:$F$378,0)*Y80,"")</f>
        <v/>
      </c>
      <c r="E78" s="586">
        <f>_xludf.IFNA(_xlfn.XLOOKUP(C80,'00_SKU_Master'!$B$2:$B$378,'00_SKU_Master'!$F$2:$F$378,0)*Z80,"")</f>
        <v/>
      </c>
      <c r="F78" s="586">
        <f>_xludf.IFNA(_xlfn.XLOOKUP(C80,'00_SKU_Master'!$B$2:$B$378,'00_SKU_Master'!$F$2:$F$378,0)*AA80,"")</f>
        <v/>
      </c>
      <c r="G78" s="586">
        <f>_xludf.IFNA(_xlfn.XLOOKUP(C80,'00_SKU_Master'!$B$2:$B$378,'00_SKU_Master'!$F$2:$F$378,0)*AB80,"")</f>
        <v/>
      </c>
      <c r="H78" s="586">
        <f>_xludf.IFNA(_xlfn.XLOOKUP(C80,'00_SKU_Master'!$B$2:$B$378,'00_SKU_Master'!$F$2:$F$378,0)*AC80,"")</f>
        <v/>
      </c>
      <c r="I78" s="586">
        <f>_xludf.IFNA(_xlfn.XLOOKUP(C80,'00_SKU_Master'!$B$2:$B$378,'00_SKU_Master'!$F$2:$F$378,0)*AD80,"")</f>
        <v/>
      </c>
      <c r="J78" s="586">
        <f>_xludf.IFNA(_xlfn.XLOOKUP(C80,'00_SKU_Master'!$B$2:$B$378,'00_SKU_Master'!$F$2:$F$378,0)*AE80,"")</f>
        <v/>
      </c>
      <c r="K78" s="587">
        <f>SUM(D80:J80)</f>
        <v/>
      </c>
      <c r="L78" s="197">
        <f>_xlfn.XLOOKUP(C80,'00_SKU_Master'!$B$2:$B$378,'00_SKU_Master'!K:K)</f>
        <v/>
      </c>
      <c r="M78" s="14">
        <f>X80</f>
        <v/>
      </c>
      <c r="N78" s="157">
        <f>_xludf.IFNA(D80/_xlfn.XLOOKUP($M80,'00_SKU_Master'!$B$2:$B$378,'00_SKU_Master'!$M$2:$M$378,0)/$M$2,"0")</f>
        <v/>
      </c>
      <c r="O78" s="157">
        <f>_xludf.IFNA(E80/_xlfn.XLOOKUP($M80,'00_SKU_Master'!$B$2:$B$378,'00_SKU_Master'!$M$2:$M$378,0)/$M$2,"0")</f>
        <v/>
      </c>
      <c r="P78" s="157">
        <f>_xludf.IFNA(F80/_xlfn.XLOOKUP($M80,'00_SKU_Master'!$B$2:$B$378,'00_SKU_Master'!$M$2:$M$378,0)/$M$2,"0")</f>
        <v/>
      </c>
      <c r="Q78" s="157">
        <f>_xludf.IFNA(G80/_xlfn.XLOOKUP($M80,'00_SKU_Master'!$B$2:$B$378,'00_SKU_Master'!$M$2:$M$378,0)/$M$2,"0")</f>
        <v/>
      </c>
      <c r="R78" s="157">
        <f>_xludf.IFNA(H80/_xlfn.XLOOKUP($M80,'00_SKU_Master'!$B$2:$B$378,'00_SKU_Master'!$M$2:$M$378,0)/$M$2,"0")</f>
        <v/>
      </c>
      <c r="S78" s="157">
        <f>_xludf.IFNA(I80/_xlfn.XLOOKUP($M80,'00_SKU_Master'!$B$2:$B$378,'00_SKU_Master'!$M$2:$M$378,0)/$M$2,"0")</f>
        <v/>
      </c>
      <c r="T78" s="157">
        <f>_xludf.IFNA(J80/_xlfn.XLOOKUP($M80,'00_SKU_Master'!$B$2:$B$378,'00_SKU_Master'!$M$2:$M$378,0)/$M$2,"0")</f>
        <v/>
      </c>
      <c r="U78" s="157">
        <f>SUM(N80:T80)</f>
        <v/>
      </c>
      <c r="V78" s="4" t="n"/>
      <c r="W78" s="4">
        <f>_xlfn.XLOOKUP(M80,'00_SKU_Master'!$B$2:$B$378,'00_SKU_Master'!D:D)</f>
        <v/>
      </c>
      <c r="X78" s="14">
        <f>'05_Daily_Orders'!B79</f>
        <v/>
      </c>
      <c r="Y78" s="588" t="n"/>
      <c r="Z78" s="589" t="n"/>
      <c r="AA78" s="589" t="n"/>
      <c r="AB78" s="589" t="n"/>
      <c r="AC78" s="589" t="n">
        <v>44</v>
      </c>
      <c r="AD78" s="589" t="n">
        <v>0</v>
      </c>
      <c r="AE78" s="589" t="n">
        <v>62</v>
      </c>
      <c r="AF78" s="587">
        <f>SUM(Y80:AE80)</f>
        <v/>
      </c>
      <c r="AQ78" s="23" t="n">
        <v>44</v>
      </c>
      <c r="AR78" s="23" t="n">
        <v>0</v>
      </c>
      <c r="AS78" s="23">
        <f>AR80-AQ80</f>
        <v/>
      </c>
    </row>
    <row r="79">
      <c r="A79" s="148">
        <f>_xlfn.XLOOKUP(C81,'00_SKU_Master'!$B$2:$B$378,'00_SKU_Master'!$C$2:$C$378)</f>
        <v/>
      </c>
      <c r="B79" s="148" t="n"/>
      <c r="C79" s="148">
        <f>X81</f>
        <v/>
      </c>
      <c r="D79" s="586">
        <f>_xludf.IFNA(_xlfn.XLOOKUP(C81,'00_SKU_Master'!$B$2:$B$378,'00_SKU_Master'!$F$2:$F$378,0)*Y81,"")</f>
        <v/>
      </c>
      <c r="E79" s="586">
        <f>_xludf.IFNA(_xlfn.XLOOKUP(C81,'00_SKU_Master'!$B$2:$B$378,'00_SKU_Master'!$F$2:$F$378,0)*Z81,"")</f>
        <v/>
      </c>
      <c r="F79" s="586">
        <f>_xludf.IFNA(_xlfn.XLOOKUP(C81,'00_SKU_Master'!$B$2:$B$378,'00_SKU_Master'!$F$2:$F$378,0)*AA81,"")</f>
        <v/>
      </c>
      <c r="G79" s="586">
        <f>_xludf.IFNA(_xlfn.XLOOKUP(C81,'00_SKU_Master'!$B$2:$B$378,'00_SKU_Master'!$F$2:$F$378,0)*AB81,"")</f>
        <v/>
      </c>
      <c r="H79" s="586">
        <f>_xludf.IFNA(_xlfn.XLOOKUP(C81,'00_SKU_Master'!$B$2:$B$378,'00_SKU_Master'!$F$2:$F$378,0)*AC81,"")</f>
        <v/>
      </c>
      <c r="I79" s="586">
        <f>_xludf.IFNA(_xlfn.XLOOKUP(C81,'00_SKU_Master'!$B$2:$B$378,'00_SKU_Master'!$F$2:$F$378,0)*AD81,"")</f>
        <v/>
      </c>
      <c r="J79" s="586">
        <f>_xludf.IFNA(_xlfn.XLOOKUP(C81,'00_SKU_Master'!$B$2:$B$378,'00_SKU_Master'!$F$2:$F$378,0)*AE81,"")</f>
        <v/>
      </c>
      <c r="K79" s="587">
        <f>SUM(D81:J81)</f>
        <v/>
      </c>
      <c r="L79" s="197">
        <f>_xlfn.XLOOKUP(C81,'00_SKU_Master'!$B$2:$B$378,'00_SKU_Master'!K:K)</f>
        <v/>
      </c>
      <c r="M79" s="14">
        <f>X81</f>
        <v/>
      </c>
      <c r="N79" s="157">
        <f>_xludf.IFNA(D81/_xlfn.XLOOKUP($M81,'00_SKU_Master'!$B$2:$B$378,'00_SKU_Master'!$M$2:$M$378,0)/$M$2,"0")</f>
        <v/>
      </c>
      <c r="O79" s="157">
        <f>_xludf.IFNA(E81/_xlfn.XLOOKUP($M81,'00_SKU_Master'!$B$2:$B$378,'00_SKU_Master'!$M$2:$M$378,0)/$M$2,"0")</f>
        <v/>
      </c>
      <c r="P79" s="157">
        <f>_xludf.IFNA(F81/_xlfn.XLOOKUP($M81,'00_SKU_Master'!$B$2:$B$378,'00_SKU_Master'!$M$2:$M$378,0)/$M$2,"0")</f>
        <v/>
      </c>
      <c r="Q79" s="157">
        <f>_xludf.IFNA(G81/_xlfn.XLOOKUP($M81,'00_SKU_Master'!$B$2:$B$378,'00_SKU_Master'!$M$2:$M$378,0)/$M$2,"0")</f>
        <v/>
      </c>
      <c r="R79" s="157">
        <f>_xludf.IFNA(H81/_xlfn.XLOOKUP($M81,'00_SKU_Master'!$B$2:$B$378,'00_SKU_Master'!$M$2:$M$378,0)/$M$2,"0")</f>
        <v/>
      </c>
      <c r="S79" s="157">
        <f>_xludf.IFNA(I81/_xlfn.XLOOKUP($M81,'00_SKU_Master'!$B$2:$B$378,'00_SKU_Master'!$M$2:$M$378,0)/$M$2,"0")</f>
        <v/>
      </c>
      <c r="T79" s="157">
        <f>_xludf.IFNA(J81/_xlfn.XLOOKUP($M81,'00_SKU_Master'!$B$2:$B$378,'00_SKU_Master'!$M$2:$M$378,0)/$M$2,"0")</f>
        <v/>
      </c>
      <c r="U79" s="157">
        <f>SUM(N81:T81)</f>
        <v/>
      </c>
      <c r="V79" s="4" t="n"/>
      <c r="W79" s="4">
        <f>_xlfn.XLOOKUP(M81,'00_SKU_Master'!$B$2:$B$378,'00_SKU_Master'!D:D)</f>
        <v/>
      </c>
      <c r="X79" s="14">
        <f>'05_Daily_Orders'!B80</f>
        <v/>
      </c>
      <c r="Y79" s="588" t="n"/>
      <c r="Z79" s="589" t="n"/>
      <c r="AA79" s="589" t="n"/>
      <c r="AB79" s="589" t="n"/>
      <c r="AC79" s="589" t="n">
        <v>26</v>
      </c>
      <c r="AD79" s="589" t="n">
        <v>0</v>
      </c>
      <c r="AE79" s="589" t="n">
        <v>98</v>
      </c>
      <c r="AF79" s="587">
        <f>SUM(Y81:AE81)</f>
        <v/>
      </c>
      <c r="AQ79" s="23" t="n">
        <v>63</v>
      </c>
      <c r="AR79" s="23" t="n">
        <v>0</v>
      </c>
      <c r="AS79" s="23">
        <f>AR81-AQ81</f>
        <v/>
      </c>
    </row>
    <row r="80">
      <c r="A80" s="148">
        <f>_xlfn.XLOOKUP(C82,'00_SKU_Master'!$B$2:$B$378,'00_SKU_Master'!$C$2:$C$378)</f>
        <v/>
      </c>
      <c r="B80" s="148" t="n"/>
      <c r="C80" s="148">
        <f>X82</f>
        <v/>
      </c>
      <c r="D80" s="586">
        <f>_xludf.IFNA(_xlfn.XLOOKUP(C82,'00_SKU_Master'!$B$2:$B$378,'00_SKU_Master'!$F$2:$F$378,0)*Y82,"")</f>
        <v/>
      </c>
      <c r="E80" s="586">
        <f>_xludf.IFNA(_xlfn.XLOOKUP(C82,'00_SKU_Master'!$B$2:$B$378,'00_SKU_Master'!$F$2:$F$378,0)*Z82,"")</f>
        <v/>
      </c>
      <c r="F80" s="586">
        <f>_xludf.IFNA(_xlfn.XLOOKUP(C82,'00_SKU_Master'!$B$2:$B$378,'00_SKU_Master'!$F$2:$F$378,0)*AA82,"")</f>
        <v/>
      </c>
      <c r="G80" s="586">
        <f>_xludf.IFNA(_xlfn.XLOOKUP(C82,'00_SKU_Master'!$B$2:$B$378,'00_SKU_Master'!$F$2:$F$378,0)*AB82,"")</f>
        <v/>
      </c>
      <c r="H80" s="586">
        <f>_xludf.IFNA(_xlfn.XLOOKUP(C82,'00_SKU_Master'!$B$2:$B$378,'00_SKU_Master'!$F$2:$F$378,0)*AC82,"")</f>
        <v/>
      </c>
      <c r="I80" s="586">
        <f>_xludf.IFNA(_xlfn.XLOOKUP(C82,'00_SKU_Master'!$B$2:$B$378,'00_SKU_Master'!$F$2:$F$378,0)*AD82,"")</f>
        <v/>
      </c>
      <c r="J80" s="586">
        <f>_xludf.IFNA(_xlfn.XLOOKUP(C82,'00_SKU_Master'!$B$2:$B$378,'00_SKU_Master'!$F$2:$F$378,0)*AE82,"")</f>
        <v/>
      </c>
      <c r="K80" s="587">
        <f>SUM(D82:J82)</f>
        <v/>
      </c>
      <c r="L80" s="197">
        <f>_xlfn.XLOOKUP(C82,'00_SKU_Master'!$B$2:$B$378,'00_SKU_Master'!K:K)</f>
        <v/>
      </c>
      <c r="M80" s="14">
        <f>X82</f>
        <v/>
      </c>
      <c r="N80" s="157">
        <f>_xludf.IFNA(D82/_xlfn.XLOOKUP($M82,'00_SKU_Master'!$B$2:$B$378,'00_SKU_Master'!$M$2:$M$378,0)/$M$2,"0")</f>
        <v/>
      </c>
      <c r="O80" s="157">
        <f>_xludf.IFNA(E82/_xlfn.XLOOKUP($M82,'00_SKU_Master'!$B$2:$B$378,'00_SKU_Master'!$M$2:$M$378,0)/$M$2,"0")</f>
        <v/>
      </c>
      <c r="P80" s="157">
        <f>_xludf.IFNA(F82/_xlfn.XLOOKUP($M82,'00_SKU_Master'!$B$2:$B$378,'00_SKU_Master'!$M$2:$M$378,0)/$M$2,"0")</f>
        <v/>
      </c>
      <c r="Q80" s="157">
        <f>_xludf.IFNA(G82/_xlfn.XLOOKUP($M82,'00_SKU_Master'!$B$2:$B$378,'00_SKU_Master'!$M$2:$M$378,0)/$M$2,"0")</f>
        <v/>
      </c>
      <c r="R80" s="157">
        <f>_xludf.IFNA(H82/_xlfn.XLOOKUP($M82,'00_SKU_Master'!$B$2:$B$378,'00_SKU_Master'!$M$2:$M$378,0)/$M$2,"0")</f>
        <v/>
      </c>
      <c r="S80" s="157">
        <f>_xludf.IFNA(I82/_xlfn.XLOOKUP($M82,'00_SKU_Master'!$B$2:$B$378,'00_SKU_Master'!$M$2:$M$378,0)/$M$2,"0")</f>
        <v/>
      </c>
      <c r="T80" s="157">
        <f>_xludf.IFNA(J82/_xlfn.XLOOKUP($M82,'00_SKU_Master'!$B$2:$B$378,'00_SKU_Master'!$M$2:$M$378,0)/$M$2,"0")</f>
        <v/>
      </c>
      <c r="U80" s="157">
        <f>SUM(N82:T82)</f>
        <v/>
      </c>
      <c r="V80" s="4" t="n"/>
      <c r="W80" s="4">
        <f>_xlfn.XLOOKUP(M82,'00_SKU_Master'!$B$2:$B$378,'00_SKU_Master'!D:D)</f>
        <v/>
      </c>
      <c r="X80" s="14">
        <f>'05_Daily_Orders'!B81</f>
        <v/>
      </c>
      <c r="Y80" s="588" t="n"/>
      <c r="Z80" s="589" t="n"/>
      <c r="AA80" s="589" t="n"/>
      <c r="AB80" s="589" t="n"/>
      <c r="AC80" s="589" t="n">
        <v>0</v>
      </c>
      <c r="AD80" s="589" t="n">
        <v>0</v>
      </c>
      <c r="AE80" s="589" t="n">
        <v>0</v>
      </c>
      <c r="AF80" s="587">
        <f>SUM(Y82:AE82)</f>
        <v/>
      </c>
      <c r="AQ80" s="23" t="n">
        <v>0</v>
      </c>
      <c r="AR80" s="23" t="n">
        <v>0</v>
      </c>
      <c r="AS80" s="23">
        <f>AR82-AQ82</f>
        <v/>
      </c>
    </row>
    <row r="81">
      <c r="A81" s="148">
        <f>_xlfn.XLOOKUP(C83,'00_SKU_Master'!$B$2:$B$378,'00_SKU_Master'!$C$2:$C$378)</f>
        <v/>
      </c>
      <c r="B81" s="148" t="n"/>
      <c r="C81" s="148">
        <f>X83</f>
        <v/>
      </c>
      <c r="D81" s="586">
        <f>_xludf.IFNA(_xlfn.XLOOKUP(C83,'00_SKU_Master'!$B$2:$B$378,'00_SKU_Master'!$F$2:$F$378,0)*Y83,"")</f>
        <v/>
      </c>
      <c r="E81" s="586">
        <f>_xludf.IFNA(_xlfn.XLOOKUP(C83,'00_SKU_Master'!$B$2:$B$378,'00_SKU_Master'!$F$2:$F$378,0)*Z83,"")</f>
        <v/>
      </c>
      <c r="F81" s="586">
        <f>_xludf.IFNA(_xlfn.XLOOKUP(C83,'00_SKU_Master'!$B$2:$B$378,'00_SKU_Master'!$F$2:$F$378,0)*AA83,"")</f>
        <v/>
      </c>
      <c r="G81" s="586">
        <f>_xludf.IFNA(_xlfn.XLOOKUP(C83,'00_SKU_Master'!$B$2:$B$378,'00_SKU_Master'!$F$2:$F$378,0)*AB83,"")</f>
        <v/>
      </c>
      <c r="H81" s="586">
        <f>_xludf.IFNA(_xlfn.XLOOKUP(C83,'00_SKU_Master'!$B$2:$B$378,'00_SKU_Master'!$F$2:$F$378,0)*AC83,"")</f>
        <v/>
      </c>
      <c r="I81" s="586">
        <f>_xludf.IFNA(_xlfn.XLOOKUP(C83,'00_SKU_Master'!$B$2:$B$378,'00_SKU_Master'!$F$2:$F$378,0)*AD83,"")</f>
        <v/>
      </c>
      <c r="J81" s="586">
        <f>_xludf.IFNA(_xlfn.XLOOKUP(C83,'00_SKU_Master'!$B$2:$B$378,'00_SKU_Master'!$F$2:$F$378,0)*AE83,"")</f>
        <v/>
      </c>
      <c r="K81" s="587">
        <f>SUM(D83:J83)</f>
        <v/>
      </c>
      <c r="L81" s="197">
        <f>_xlfn.XLOOKUP(C83,'00_SKU_Master'!$B$2:$B$378,'00_SKU_Master'!K:K)</f>
        <v/>
      </c>
      <c r="M81" s="14">
        <f>X83</f>
        <v/>
      </c>
      <c r="N81" s="157">
        <f>_xludf.IFNA(D83/_xlfn.XLOOKUP($M83,'00_SKU_Master'!$B$2:$B$378,'00_SKU_Master'!$M$2:$M$378,0)/$M$2,"0")</f>
        <v/>
      </c>
      <c r="O81" s="157">
        <f>_xludf.IFNA(E83/_xlfn.XLOOKUP($M83,'00_SKU_Master'!$B$2:$B$378,'00_SKU_Master'!$M$2:$M$378,0)/$M$2,"0")</f>
        <v/>
      </c>
      <c r="P81" s="157">
        <f>_xludf.IFNA(F83/_xlfn.XLOOKUP($M83,'00_SKU_Master'!$B$2:$B$378,'00_SKU_Master'!$M$2:$M$378,0)/$M$2,"0")</f>
        <v/>
      </c>
      <c r="Q81" s="157">
        <f>_xludf.IFNA(G83/_xlfn.XLOOKUP($M83,'00_SKU_Master'!$B$2:$B$378,'00_SKU_Master'!$M$2:$M$378,0)/$M$2,"0")</f>
        <v/>
      </c>
      <c r="R81" s="157">
        <f>_xludf.IFNA(H83/_xlfn.XLOOKUP($M83,'00_SKU_Master'!$B$2:$B$378,'00_SKU_Master'!$M$2:$M$378,0)/$M$2,"0")</f>
        <v/>
      </c>
      <c r="S81" s="157">
        <f>_xludf.IFNA(I83/_xlfn.XLOOKUP($M83,'00_SKU_Master'!$B$2:$B$378,'00_SKU_Master'!$M$2:$M$378,0)/$M$2,"0")</f>
        <v/>
      </c>
      <c r="T81" s="157">
        <f>_xludf.IFNA(J83/_xlfn.XLOOKUP($M83,'00_SKU_Master'!$B$2:$B$378,'00_SKU_Master'!$M$2:$M$378,0)/$M$2,"0")</f>
        <v/>
      </c>
      <c r="U81" s="157">
        <f>SUM(N83:T83)</f>
        <v/>
      </c>
      <c r="V81" s="4" t="n"/>
      <c r="W81" s="4">
        <f>_xlfn.XLOOKUP(M83,'00_SKU_Master'!$B$2:$B$378,'00_SKU_Master'!D:D)</f>
        <v/>
      </c>
      <c r="X81" s="14">
        <f>'05_Daily_Orders'!B82</f>
        <v/>
      </c>
      <c r="Y81" s="588" t="n"/>
      <c r="Z81" s="589" t="n"/>
      <c r="AA81" s="589" t="n"/>
      <c r="AB81" s="589" t="n"/>
      <c r="AC81" s="589" t="n">
        <v>209</v>
      </c>
      <c r="AD81" s="589" t="n">
        <v>0</v>
      </c>
      <c r="AE81" s="589" t="n">
        <v>162</v>
      </c>
      <c r="AF81" s="587">
        <f>SUM(Y83:AE83)</f>
        <v/>
      </c>
      <c r="AQ81" s="23" t="n">
        <v>141</v>
      </c>
      <c r="AR81" s="23" t="n">
        <v>0</v>
      </c>
      <c r="AS81" s="23">
        <f>AR83-AQ83</f>
        <v/>
      </c>
    </row>
    <row r="82">
      <c r="A82" s="148">
        <f>_xlfn.XLOOKUP(C84,'00_SKU_Master'!$B$2:$B$378,'00_SKU_Master'!$C$2:$C$378)</f>
        <v/>
      </c>
      <c r="B82" s="148" t="n"/>
      <c r="C82" s="148">
        <f>X84</f>
        <v/>
      </c>
      <c r="D82" s="586">
        <f>_xludf.IFNA(_xlfn.XLOOKUP(C84,'00_SKU_Master'!$B$2:$B$378,'00_SKU_Master'!$F$2:$F$378,0)*Y84,"")</f>
        <v/>
      </c>
      <c r="E82" s="586">
        <f>_xludf.IFNA(_xlfn.XLOOKUP(C84,'00_SKU_Master'!$B$2:$B$378,'00_SKU_Master'!$F$2:$F$378,0)*Z84,"")</f>
        <v/>
      </c>
      <c r="F82" s="586">
        <f>_xludf.IFNA(_xlfn.XLOOKUP(C84,'00_SKU_Master'!$B$2:$B$378,'00_SKU_Master'!$F$2:$F$378,0)*AA84,"")</f>
        <v/>
      </c>
      <c r="G82" s="586">
        <f>_xludf.IFNA(_xlfn.XLOOKUP(C84,'00_SKU_Master'!$B$2:$B$378,'00_SKU_Master'!$F$2:$F$378,0)*AB84,"")</f>
        <v/>
      </c>
      <c r="H82" s="586">
        <f>_xludf.IFNA(_xlfn.XLOOKUP(C84,'00_SKU_Master'!$B$2:$B$378,'00_SKU_Master'!$F$2:$F$378,0)*AC84,"")</f>
        <v/>
      </c>
      <c r="I82" s="586">
        <f>_xludf.IFNA(_xlfn.XLOOKUP(C84,'00_SKU_Master'!$B$2:$B$378,'00_SKU_Master'!$F$2:$F$378,0)*AD84,"")</f>
        <v/>
      </c>
      <c r="J82" s="586">
        <f>_xludf.IFNA(_xlfn.XLOOKUP(C84,'00_SKU_Master'!$B$2:$B$378,'00_SKU_Master'!$F$2:$F$378,0)*AE84,"")</f>
        <v/>
      </c>
      <c r="K82" s="587">
        <f>SUM(D84:J84)</f>
        <v/>
      </c>
      <c r="L82" s="197">
        <f>_xlfn.XLOOKUP(C84,'00_SKU_Master'!$B$2:$B$378,'00_SKU_Master'!K:K)</f>
        <v/>
      </c>
      <c r="M82" s="14">
        <f>X84</f>
        <v/>
      </c>
      <c r="N82" s="157">
        <f>_xludf.IFNA(D84/_xlfn.XLOOKUP($M84,'00_SKU_Master'!$B$2:$B$378,'00_SKU_Master'!$M$2:$M$378,0)/$M$2,"0")</f>
        <v/>
      </c>
      <c r="O82" s="157">
        <f>_xludf.IFNA(E84/_xlfn.XLOOKUP($M84,'00_SKU_Master'!$B$2:$B$378,'00_SKU_Master'!$M$2:$M$378,0)/$M$2,"0")</f>
        <v/>
      </c>
      <c r="P82" s="157">
        <f>_xludf.IFNA(F84/_xlfn.XLOOKUP($M84,'00_SKU_Master'!$B$2:$B$378,'00_SKU_Master'!$M$2:$M$378,0)/$M$2,"0")</f>
        <v/>
      </c>
      <c r="Q82" s="157">
        <f>_xludf.IFNA(G84/_xlfn.XLOOKUP($M84,'00_SKU_Master'!$B$2:$B$378,'00_SKU_Master'!$M$2:$M$378,0)/$M$2,"0")</f>
        <v/>
      </c>
      <c r="R82" s="157">
        <f>_xludf.IFNA(H84/_xlfn.XLOOKUP($M84,'00_SKU_Master'!$B$2:$B$378,'00_SKU_Master'!$M$2:$M$378,0)/$M$2,"0")</f>
        <v/>
      </c>
      <c r="S82" s="157">
        <f>_xludf.IFNA(I84/_xlfn.XLOOKUP($M84,'00_SKU_Master'!$B$2:$B$378,'00_SKU_Master'!$M$2:$M$378,0)/$M$2,"0")</f>
        <v/>
      </c>
      <c r="T82" s="157">
        <f>_xludf.IFNA(J84/_xlfn.XLOOKUP($M84,'00_SKU_Master'!$B$2:$B$378,'00_SKU_Master'!$M$2:$M$378,0)/$M$2,"0")</f>
        <v/>
      </c>
      <c r="U82" s="157">
        <f>SUM(N84:T84)</f>
        <v/>
      </c>
      <c r="V82" s="4" t="n"/>
      <c r="W82" s="4">
        <f>_xlfn.XLOOKUP(M84,'00_SKU_Master'!$B$2:$B$378,'00_SKU_Master'!D:D)</f>
        <v/>
      </c>
      <c r="X82" s="14">
        <f>'05_Daily_Orders'!B83</f>
        <v/>
      </c>
      <c r="Y82" s="588" t="n"/>
      <c r="Z82" s="589" t="n"/>
      <c r="AA82" s="589" t="n"/>
      <c r="AB82" s="589" t="n"/>
      <c r="AC82" s="589" t="n">
        <v>80</v>
      </c>
      <c r="AD82" s="589" t="n">
        <v>0</v>
      </c>
      <c r="AE82" s="589" t="n">
        <v>0</v>
      </c>
      <c r="AF82" s="587">
        <f>SUM(Y84:AE84)</f>
        <v/>
      </c>
      <c r="AQ82" s="23" t="n">
        <v>0</v>
      </c>
      <c r="AR82" s="23" t="n">
        <v>0</v>
      </c>
      <c r="AS82" s="23">
        <f>AR84-AQ84</f>
        <v/>
      </c>
    </row>
    <row r="83">
      <c r="A83" s="148">
        <f>_xlfn.XLOOKUP(C85,'00_SKU_Master'!$B$2:$B$378,'00_SKU_Master'!$C$2:$C$378)</f>
        <v/>
      </c>
      <c r="B83" s="148" t="n"/>
      <c r="C83" s="148">
        <f>X85</f>
        <v/>
      </c>
      <c r="D83" s="586">
        <f>_xludf.IFNA(_xlfn.XLOOKUP(C85,'00_SKU_Master'!$B$2:$B$378,'00_SKU_Master'!$F$2:$F$378,0)*Y85,"")</f>
        <v/>
      </c>
      <c r="E83" s="586">
        <f>_xludf.IFNA(_xlfn.XLOOKUP(C85,'00_SKU_Master'!$B$2:$B$378,'00_SKU_Master'!$F$2:$F$378,0)*Z85,"")</f>
        <v/>
      </c>
      <c r="F83" s="586">
        <f>_xludf.IFNA(_xlfn.XLOOKUP(C85,'00_SKU_Master'!$B$2:$B$378,'00_SKU_Master'!$F$2:$F$378,0)*AA85,"")</f>
        <v/>
      </c>
      <c r="G83" s="586">
        <f>_xludf.IFNA(_xlfn.XLOOKUP(C85,'00_SKU_Master'!$B$2:$B$378,'00_SKU_Master'!$F$2:$F$378,0)*AB85,"")</f>
        <v/>
      </c>
      <c r="H83" s="586">
        <f>_xludf.IFNA(_xlfn.XLOOKUP(C85,'00_SKU_Master'!$B$2:$B$378,'00_SKU_Master'!$F$2:$F$378,0)*AC85,"")</f>
        <v/>
      </c>
      <c r="I83" s="586">
        <f>_xludf.IFNA(_xlfn.XLOOKUP(C85,'00_SKU_Master'!$B$2:$B$378,'00_SKU_Master'!$F$2:$F$378,0)*AD85,"")</f>
        <v/>
      </c>
      <c r="J83" s="586">
        <f>_xludf.IFNA(_xlfn.XLOOKUP(C85,'00_SKU_Master'!$B$2:$B$378,'00_SKU_Master'!$F$2:$F$378,0)*AE85,"")</f>
        <v/>
      </c>
      <c r="K83" s="587">
        <f>SUM(D85:J85)</f>
        <v/>
      </c>
      <c r="L83" s="197">
        <f>_xlfn.XLOOKUP(C85,'00_SKU_Master'!$B$2:$B$378,'00_SKU_Master'!K:K)</f>
        <v/>
      </c>
      <c r="M83" s="14">
        <f>X85</f>
        <v/>
      </c>
      <c r="N83" s="157">
        <f>_xludf.IFNA(D85/_xlfn.XLOOKUP($M85,'00_SKU_Master'!$B$2:$B$378,'00_SKU_Master'!$M$2:$M$378,0)/$M$2,"0")</f>
        <v/>
      </c>
      <c r="O83" s="157">
        <f>_xludf.IFNA(E85/_xlfn.XLOOKUP($M85,'00_SKU_Master'!$B$2:$B$378,'00_SKU_Master'!$M$2:$M$378,0)/$M$2,"0")</f>
        <v/>
      </c>
      <c r="P83" s="157">
        <f>_xludf.IFNA(F85/_xlfn.XLOOKUP($M85,'00_SKU_Master'!$B$2:$B$378,'00_SKU_Master'!$M$2:$M$378,0)/$M$2,"0")</f>
        <v/>
      </c>
      <c r="Q83" s="157">
        <f>_xludf.IFNA(G85/_xlfn.XLOOKUP($M85,'00_SKU_Master'!$B$2:$B$378,'00_SKU_Master'!$M$2:$M$378,0)/$M$2,"0")</f>
        <v/>
      </c>
      <c r="R83" s="157">
        <f>_xludf.IFNA(H85/_xlfn.XLOOKUP($M85,'00_SKU_Master'!$B$2:$B$378,'00_SKU_Master'!$M$2:$M$378,0)/$M$2,"0")</f>
        <v/>
      </c>
      <c r="S83" s="157">
        <f>_xludf.IFNA(I85/_xlfn.XLOOKUP($M85,'00_SKU_Master'!$B$2:$B$378,'00_SKU_Master'!$M$2:$M$378,0)/$M$2,"0")</f>
        <v/>
      </c>
      <c r="T83" s="157">
        <f>_xludf.IFNA(J85/_xlfn.XLOOKUP($M85,'00_SKU_Master'!$B$2:$B$378,'00_SKU_Master'!$M$2:$M$378,0)/$M$2,"0")</f>
        <v/>
      </c>
      <c r="U83" s="157">
        <f>SUM(N85:T85)</f>
        <v/>
      </c>
      <c r="V83" s="4" t="n"/>
      <c r="W83" s="4">
        <f>_xlfn.XLOOKUP(M85,'00_SKU_Master'!$B$2:$B$378,'00_SKU_Master'!D:D)</f>
        <v/>
      </c>
      <c r="X83" s="14">
        <f>'05_Daily_Orders'!B84</f>
        <v/>
      </c>
      <c r="Y83" s="588" t="n"/>
      <c r="Z83" s="589" t="n"/>
      <c r="AA83" s="589" t="n"/>
      <c r="AB83" s="589" t="n"/>
      <c r="AC83" s="589" t="n">
        <v>0</v>
      </c>
      <c r="AD83" s="589" t="n">
        <v>0</v>
      </c>
      <c r="AE83" s="589" t="n">
        <v>0</v>
      </c>
      <c r="AF83" s="587">
        <f>SUM(Y85:AE85)</f>
        <v/>
      </c>
      <c r="AQ83" s="23" t="n">
        <v>0</v>
      </c>
      <c r="AR83" s="23" t="n">
        <v>0</v>
      </c>
      <c r="AS83" s="23">
        <f>AR85-AQ85</f>
        <v/>
      </c>
    </row>
    <row r="84">
      <c r="A84" s="148">
        <f>_xlfn.XLOOKUP(C86,'00_SKU_Master'!$B$2:$B$378,'00_SKU_Master'!$C$2:$C$378)</f>
        <v/>
      </c>
      <c r="B84" s="148" t="n"/>
      <c r="C84" s="148">
        <f>X86</f>
        <v/>
      </c>
      <c r="D84" s="586">
        <f>_xludf.IFNA(_xlfn.XLOOKUP(C86,'00_SKU_Master'!$B$2:$B$378,'00_SKU_Master'!$F$2:$F$378,0)*Y86,"")</f>
        <v/>
      </c>
      <c r="E84" s="586">
        <f>_xludf.IFNA(_xlfn.XLOOKUP(C86,'00_SKU_Master'!$B$2:$B$378,'00_SKU_Master'!$F$2:$F$378,0)*Z86,"")</f>
        <v/>
      </c>
      <c r="F84" s="586">
        <f>_xludf.IFNA(_xlfn.XLOOKUP(C86,'00_SKU_Master'!$B$2:$B$378,'00_SKU_Master'!$F$2:$F$378,0)*AA86,"")</f>
        <v/>
      </c>
      <c r="G84" s="586">
        <f>_xludf.IFNA(_xlfn.XLOOKUP(C86,'00_SKU_Master'!$B$2:$B$378,'00_SKU_Master'!$F$2:$F$378,0)*AB86,"")</f>
        <v/>
      </c>
      <c r="H84" s="586">
        <f>_xludf.IFNA(_xlfn.XLOOKUP(C86,'00_SKU_Master'!$B$2:$B$378,'00_SKU_Master'!$F$2:$F$378,0)*AC86,"")</f>
        <v/>
      </c>
      <c r="I84" s="586">
        <f>_xludf.IFNA(_xlfn.XLOOKUP(C86,'00_SKU_Master'!$B$2:$B$378,'00_SKU_Master'!$F$2:$F$378,0)*AD86,"")</f>
        <v/>
      </c>
      <c r="J84" s="586">
        <f>_xludf.IFNA(_xlfn.XLOOKUP(C86,'00_SKU_Master'!$B$2:$B$378,'00_SKU_Master'!$F$2:$F$378,0)*AE86,"")</f>
        <v/>
      </c>
      <c r="K84" s="587">
        <f>SUM(D86:J86)</f>
        <v/>
      </c>
      <c r="L84" s="197">
        <f>_xlfn.XLOOKUP(C86,'00_SKU_Master'!$B$2:$B$378,'00_SKU_Master'!K:K)</f>
        <v/>
      </c>
      <c r="M84" s="14">
        <f>X86</f>
        <v/>
      </c>
      <c r="N84" s="157">
        <f>_xludf.IFNA(D86/_xlfn.XLOOKUP($M86,'00_SKU_Master'!$B$2:$B$378,'00_SKU_Master'!$M$2:$M$378,0)/$M$2,"0")</f>
        <v/>
      </c>
      <c r="O84" s="157">
        <f>_xludf.IFNA(E86/_xlfn.XLOOKUP($M86,'00_SKU_Master'!$B$2:$B$378,'00_SKU_Master'!$M$2:$M$378,0)/$M$2,"0")</f>
        <v/>
      </c>
      <c r="P84" s="157">
        <f>_xludf.IFNA(F86/_xlfn.XLOOKUP($M86,'00_SKU_Master'!$B$2:$B$378,'00_SKU_Master'!$M$2:$M$378,0)/$M$2,"0")</f>
        <v/>
      </c>
      <c r="Q84" s="157">
        <f>_xludf.IFNA(G86/_xlfn.XLOOKUP($M86,'00_SKU_Master'!$B$2:$B$378,'00_SKU_Master'!$M$2:$M$378,0)/$M$2,"0")</f>
        <v/>
      </c>
      <c r="R84" s="157">
        <f>_xludf.IFNA(H86/_xlfn.XLOOKUP($M86,'00_SKU_Master'!$B$2:$B$378,'00_SKU_Master'!$M$2:$M$378,0)/$M$2,"0")</f>
        <v/>
      </c>
      <c r="S84" s="157">
        <f>_xludf.IFNA(I86/_xlfn.XLOOKUP($M86,'00_SKU_Master'!$B$2:$B$378,'00_SKU_Master'!$M$2:$M$378,0)/$M$2,"0")</f>
        <v/>
      </c>
      <c r="T84" s="157">
        <f>_xludf.IFNA(J86/_xlfn.XLOOKUP($M86,'00_SKU_Master'!$B$2:$B$378,'00_SKU_Master'!$M$2:$M$378,0)/$M$2,"0")</f>
        <v/>
      </c>
      <c r="U84" s="157">
        <f>SUM(N86:T86)</f>
        <v/>
      </c>
      <c r="V84" s="4" t="n"/>
      <c r="W84" s="4">
        <f>_xlfn.XLOOKUP(M86,'00_SKU_Master'!$B$2:$B$378,'00_SKU_Master'!D:D)</f>
        <v/>
      </c>
      <c r="X84" s="14">
        <f>'05_Daily_Orders'!B85</f>
        <v/>
      </c>
      <c r="Y84" s="588" t="n"/>
      <c r="Z84" s="589" t="n"/>
      <c r="AA84" s="589" t="n"/>
      <c r="AB84" s="589" t="n"/>
      <c r="AC84" s="589" t="n">
        <v>0</v>
      </c>
      <c r="AD84" s="589" t="n">
        <v>0</v>
      </c>
      <c r="AE84" s="589" t="n">
        <v>0</v>
      </c>
      <c r="AF84" s="587">
        <f>SUM(Y86:AE86)</f>
        <v/>
      </c>
      <c r="AQ84" s="23" t="n">
        <v>0</v>
      </c>
      <c r="AR84" s="23" t="n">
        <v>0</v>
      </c>
      <c r="AS84" s="23">
        <f>AR86-AQ86</f>
        <v/>
      </c>
    </row>
    <row r="85">
      <c r="A85" s="148">
        <f>_xlfn.XLOOKUP(C87,'00_SKU_Master'!$B$2:$B$378,'00_SKU_Master'!$C$2:$C$378)</f>
        <v/>
      </c>
      <c r="B85" s="148" t="n"/>
      <c r="C85" s="148">
        <f>X87</f>
        <v/>
      </c>
      <c r="D85" s="586">
        <f>_xludf.IFNA(_xlfn.XLOOKUP(C87,'00_SKU_Master'!$B$2:$B$378,'00_SKU_Master'!$F$2:$F$378,0)*Y87,"")</f>
        <v/>
      </c>
      <c r="E85" s="586">
        <f>_xludf.IFNA(_xlfn.XLOOKUP(C87,'00_SKU_Master'!$B$2:$B$378,'00_SKU_Master'!$F$2:$F$378,0)*Z87,"")</f>
        <v/>
      </c>
      <c r="F85" s="586">
        <f>_xludf.IFNA(_xlfn.XLOOKUP(C87,'00_SKU_Master'!$B$2:$B$378,'00_SKU_Master'!$F$2:$F$378,0)*AA87,"")</f>
        <v/>
      </c>
      <c r="G85" s="586">
        <f>_xludf.IFNA(_xlfn.XLOOKUP(C87,'00_SKU_Master'!$B$2:$B$378,'00_SKU_Master'!$F$2:$F$378,0)*AB87,"")</f>
        <v/>
      </c>
      <c r="H85" s="586">
        <f>_xludf.IFNA(_xlfn.XLOOKUP(C87,'00_SKU_Master'!$B$2:$B$378,'00_SKU_Master'!$F$2:$F$378,0)*AC87,"")</f>
        <v/>
      </c>
      <c r="I85" s="586">
        <f>_xludf.IFNA(_xlfn.XLOOKUP(C87,'00_SKU_Master'!$B$2:$B$378,'00_SKU_Master'!$F$2:$F$378,0)*AD87,"")</f>
        <v/>
      </c>
      <c r="J85" s="586">
        <f>_xludf.IFNA(_xlfn.XLOOKUP(C87,'00_SKU_Master'!$B$2:$B$378,'00_SKU_Master'!$F$2:$F$378,0)*AE87,"")</f>
        <v/>
      </c>
      <c r="K85" s="587">
        <f>SUM(D87:J87)</f>
        <v/>
      </c>
      <c r="L85" s="197">
        <f>_xlfn.XLOOKUP(C87,'00_SKU_Master'!$B$2:$B$378,'00_SKU_Master'!K:K)</f>
        <v/>
      </c>
      <c r="M85" s="14">
        <f>X87</f>
        <v/>
      </c>
      <c r="N85" s="157">
        <f>_xludf.IFNA(D87/_xlfn.XLOOKUP($M87,'00_SKU_Master'!$B$2:$B$378,'00_SKU_Master'!$M$2:$M$378,0)/$M$2,"0")</f>
        <v/>
      </c>
      <c r="O85" s="157">
        <f>_xludf.IFNA(E87/_xlfn.XLOOKUP($M87,'00_SKU_Master'!$B$2:$B$378,'00_SKU_Master'!$M$2:$M$378,0)/$M$2,"0")</f>
        <v/>
      </c>
      <c r="P85" s="157">
        <f>_xludf.IFNA(F87/_xlfn.XLOOKUP($M87,'00_SKU_Master'!$B$2:$B$378,'00_SKU_Master'!$M$2:$M$378,0)/$M$2,"0")</f>
        <v/>
      </c>
      <c r="Q85" s="157">
        <f>_xludf.IFNA(G87/_xlfn.XLOOKUP($M87,'00_SKU_Master'!$B$2:$B$378,'00_SKU_Master'!$M$2:$M$378,0)/$M$2,"0")</f>
        <v/>
      </c>
      <c r="R85" s="157">
        <f>_xludf.IFNA(H87/_xlfn.XLOOKUP($M87,'00_SKU_Master'!$B$2:$B$378,'00_SKU_Master'!$M$2:$M$378,0)/$M$2,"0")</f>
        <v/>
      </c>
      <c r="S85" s="157">
        <f>_xludf.IFNA(I87/_xlfn.XLOOKUP($M87,'00_SKU_Master'!$B$2:$B$378,'00_SKU_Master'!$M$2:$M$378,0)/$M$2,"0")</f>
        <v/>
      </c>
      <c r="T85" s="157">
        <f>_xludf.IFNA(J87/_xlfn.XLOOKUP($M87,'00_SKU_Master'!$B$2:$B$378,'00_SKU_Master'!$M$2:$M$378,0)/$M$2,"0")</f>
        <v/>
      </c>
      <c r="U85" s="157">
        <f>SUM(N87:T87)</f>
        <v/>
      </c>
      <c r="V85" s="4" t="n"/>
      <c r="W85" s="4">
        <f>_xlfn.XLOOKUP(M87,'00_SKU_Master'!$B$2:$B$378,'00_SKU_Master'!D:D)</f>
        <v/>
      </c>
      <c r="X85" s="14">
        <f>'05_Daily_Orders'!B86</f>
        <v/>
      </c>
      <c r="Y85" s="588" t="n"/>
      <c r="Z85" s="589" t="n"/>
      <c r="AA85" s="589" t="n"/>
      <c r="AB85" s="589" t="n"/>
      <c r="AC85" s="589" t="n">
        <v>0</v>
      </c>
      <c r="AD85" s="589" t="n">
        <v>0</v>
      </c>
      <c r="AE85" s="589" t="n">
        <v>0</v>
      </c>
      <c r="AF85" s="587">
        <f>SUM(Y87:AE87)</f>
        <v/>
      </c>
      <c r="AQ85" s="23" t="n">
        <v>0</v>
      </c>
      <c r="AR85" s="23" t="n">
        <v>0</v>
      </c>
      <c r="AS85" s="23">
        <f>AR87-AQ87</f>
        <v/>
      </c>
    </row>
    <row r="86">
      <c r="A86" s="148">
        <f>_xlfn.XLOOKUP(C88,'00_SKU_Master'!$B$2:$B$378,'00_SKU_Master'!$C$2:$C$378)</f>
        <v/>
      </c>
      <c r="B86" s="148" t="n"/>
      <c r="C86" s="148">
        <f>X88</f>
        <v/>
      </c>
      <c r="D86" s="586">
        <f>_xludf.IFNA(_xlfn.XLOOKUP(C88,'00_SKU_Master'!$B$2:$B$378,'00_SKU_Master'!$F$2:$F$378,0)*Y88,"")</f>
        <v/>
      </c>
      <c r="E86" s="586">
        <f>_xludf.IFNA(_xlfn.XLOOKUP(C88,'00_SKU_Master'!$B$2:$B$378,'00_SKU_Master'!$F$2:$F$378,0)*Z88,"")</f>
        <v/>
      </c>
      <c r="F86" s="586">
        <f>_xludf.IFNA(_xlfn.XLOOKUP(C88,'00_SKU_Master'!$B$2:$B$378,'00_SKU_Master'!$F$2:$F$378,0)*AA88,"")</f>
        <v/>
      </c>
      <c r="G86" s="586">
        <f>_xludf.IFNA(_xlfn.XLOOKUP(C88,'00_SKU_Master'!$B$2:$B$378,'00_SKU_Master'!$F$2:$F$378,0)*AB88,"")</f>
        <v/>
      </c>
      <c r="H86" s="586">
        <f>_xludf.IFNA(_xlfn.XLOOKUP(C88,'00_SKU_Master'!$B$2:$B$378,'00_SKU_Master'!$F$2:$F$378,0)*AC88,"")</f>
        <v/>
      </c>
      <c r="I86" s="586">
        <f>_xludf.IFNA(_xlfn.XLOOKUP(C88,'00_SKU_Master'!$B$2:$B$378,'00_SKU_Master'!$F$2:$F$378,0)*AD88,"")</f>
        <v/>
      </c>
      <c r="J86" s="586">
        <f>_xludf.IFNA(_xlfn.XLOOKUP(C88,'00_SKU_Master'!$B$2:$B$378,'00_SKU_Master'!$F$2:$F$378,0)*AE88,"")</f>
        <v/>
      </c>
      <c r="K86" s="587">
        <f>SUM(D88:J88)</f>
        <v/>
      </c>
      <c r="L86" s="197">
        <f>_xlfn.XLOOKUP(C88,'00_SKU_Master'!$B$2:$B$378,'00_SKU_Master'!K:K)</f>
        <v/>
      </c>
      <c r="M86" s="14">
        <f>X88</f>
        <v/>
      </c>
      <c r="N86" s="157">
        <f>_xludf.IFNA(D88/_xlfn.XLOOKUP($M88,'00_SKU_Master'!$B$2:$B$378,'00_SKU_Master'!$M$2:$M$378,0)/$M$2,"0")</f>
        <v/>
      </c>
      <c r="O86" s="157">
        <f>_xludf.IFNA(E88/_xlfn.XLOOKUP($M88,'00_SKU_Master'!$B$2:$B$378,'00_SKU_Master'!$M$2:$M$378,0)/$M$2,"0")</f>
        <v/>
      </c>
      <c r="P86" s="157">
        <f>_xludf.IFNA(F88/_xlfn.XLOOKUP($M88,'00_SKU_Master'!$B$2:$B$378,'00_SKU_Master'!$M$2:$M$378,0)/$M$2,"0")</f>
        <v/>
      </c>
      <c r="Q86" s="157">
        <f>_xludf.IFNA(G88/_xlfn.XLOOKUP($M88,'00_SKU_Master'!$B$2:$B$378,'00_SKU_Master'!$M$2:$M$378,0)/$M$2,"0")</f>
        <v/>
      </c>
      <c r="R86" s="157">
        <f>_xludf.IFNA(H88/_xlfn.XLOOKUP($M88,'00_SKU_Master'!$B$2:$B$378,'00_SKU_Master'!$M$2:$M$378,0)/$M$2,"0")</f>
        <v/>
      </c>
      <c r="S86" s="157">
        <f>_xludf.IFNA(I88/_xlfn.XLOOKUP($M88,'00_SKU_Master'!$B$2:$B$378,'00_SKU_Master'!$M$2:$M$378,0)/$M$2,"0")</f>
        <v/>
      </c>
      <c r="T86" s="157">
        <f>_xludf.IFNA(J88/_xlfn.XLOOKUP($M88,'00_SKU_Master'!$B$2:$B$378,'00_SKU_Master'!$M$2:$M$378,0)/$M$2,"0")</f>
        <v/>
      </c>
      <c r="U86" s="157">
        <f>SUM(N88:T88)</f>
        <v/>
      </c>
      <c r="V86" s="4" t="n"/>
      <c r="W86" s="4">
        <f>_xlfn.XLOOKUP(M88,'00_SKU_Master'!$B$2:$B$378,'00_SKU_Master'!D:D)</f>
        <v/>
      </c>
      <c r="X86" s="14">
        <f>'05_Daily_Orders'!B87</f>
        <v/>
      </c>
      <c r="Y86" s="588" t="n"/>
      <c r="Z86" s="589" t="n"/>
      <c r="AA86" s="589" t="n"/>
      <c r="AB86" s="589" t="n"/>
      <c r="AC86" s="589" t="n">
        <v>0</v>
      </c>
      <c r="AD86" s="589" t="n">
        <v>0</v>
      </c>
      <c r="AE86" s="589" t="n">
        <v>0</v>
      </c>
      <c r="AF86" s="587">
        <f>SUM(Y88:AE88)</f>
        <v/>
      </c>
      <c r="AQ86" s="23" t="n">
        <v>0</v>
      </c>
      <c r="AR86" s="23" t="n">
        <v>0</v>
      </c>
      <c r="AS86" s="23">
        <f>AR88-AQ88</f>
        <v/>
      </c>
    </row>
    <row r="87">
      <c r="A87" s="148">
        <f>_xlfn.XLOOKUP(C89,'00_SKU_Master'!$B$2:$B$378,'00_SKU_Master'!$C$2:$C$378)</f>
        <v/>
      </c>
      <c r="B87" s="148" t="n"/>
      <c r="C87" s="148">
        <f>X89</f>
        <v/>
      </c>
      <c r="D87" s="586">
        <f>_xludf.IFNA(_xlfn.XLOOKUP(C89,'00_SKU_Master'!$B$2:$B$378,'00_SKU_Master'!$F$2:$F$378,0)*Y89,"")</f>
        <v/>
      </c>
      <c r="E87" s="586">
        <f>_xludf.IFNA(_xlfn.XLOOKUP(C89,'00_SKU_Master'!$B$2:$B$378,'00_SKU_Master'!$F$2:$F$378,0)*Z89,"")</f>
        <v/>
      </c>
      <c r="F87" s="586">
        <f>_xludf.IFNA(_xlfn.XLOOKUP(C89,'00_SKU_Master'!$B$2:$B$378,'00_SKU_Master'!$F$2:$F$378,0)*AA89,"")</f>
        <v/>
      </c>
      <c r="G87" s="586">
        <f>_xludf.IFNA(_xlfn.XLOOKUP(C89,'00_SKU_Master'!$B$2:$B$378,'00_SKU_Master'!$F$2:$F$378,0)*AB89,"")</f>
        <v/>
      </c>
      <c r="H87" s="586">
        <f>_xludf.IFNA(_xlfn.XLOOKUP(C89,'00_SKU_Master'!$B$2:$B$378,'00_SKU_Master'!$F$2:$F$378,0)*AC89,"")</f>
        <v/>
      </c>
      <c r="I87" s="586">
        <f>_xludf.IFNA(_xlfn.XLOOKUP(C89,'00_SKU_Master'!$B$2:$B$378,'00_SKU_Master'!$F$2:$F$378,0)*AD89,"")</f>
        <v/>
      </c>
      <c r="J87" s="586">
        <f>_xludf.IFNA(_xlfn.XLOOKUP(C89,'00_SKU_Master'!$B$2:$B$378,'00_SKU_Master'!$F$2:$F$378,0)*AE89,"")</f>
        <v/>
      </c>
      <c r="K87" s="587">
        <f>SUM(D89:J89)</f>
        <v/>
      </c>
      <c r="L87" s="197">
        <f>_xlfn.XLOOKUP(C89,'00_SKU_Master'!$B$2:$B$378,'00_SKU_Master'!K:K)</f>
        <v/>
      </c>
      <c r="M87" s="14">
        <f>X89</f>
        <v/>
      </c>
      <c r="N87" s="157">
        <f>_xludf.IFNA(D89/_xlfn.XLOOKUP($M89,'00_SKU_Master'!$B$2:$B$378,'00_SKU_Master'!$M$2:$M$378,0)/$M$2,"0")</f>
        <v/>
      </c>
      <c r="O87" s="157">
        <f>_xludf.IFNA(E89/_xlfn.XLOOKUP($M89,'00_SKU_Master'!$B$2:$B$378,'00_SKU_Master'!$M$2:$M$378,0)/$M$2,"0")</f>
        <v/>
      </c>
      <c r="P87" s="157">
        <f>_xludf.IFNA(F89/_xlfn.XLOOKUP($M89,'00_SKU_Master'!$B$2:$B$378,'00_SKU_Master'!$M$2:$M$378,0)/$M$2,"0")</f>
        <v/>
      </c>
      <c r="Q87" s="157">
        <f>_xludf.IFNA(G89/_xlfn.XLOOKUP($M89,'00_SKU_Master'!$B$2:$B$378,'00_SKU_Master'!$M$2:$M$378,0)/$M$2,"0")</f>
        <v/>
      </c>
      <c r="R87" s="157">
        <f>_xludf.IFNA(H89/_xlfn.XLOOKUP($M89,'00_SKU_Master'!$B$2:$B$378,'00_SKU_Master'!$M$2:$M$378,0)/$M$2,"0")</f>
        <v/>
      </c>
      <c r="S87" s="157">
        <f>_xludf.IFNA(I89/_xlfn.XLOOKUP($M89,'00_SKU_Master'!$B$2:$B$378,'00_SKU_Master'!$M$2:$M$378,0)/$M$2,"0")</f>
        <v/>
      </c>
      <c r="T87" s="157">
        <f>_xludf.IFNA(J89/_xlfn.XLOOKUP($M89,'00_SKU_Master'!$B$2:$B$378,'00_SKU_Master'!$M$2:$M$378,0)/$M$2,"0")</f>
        <v/>
      </c>
      <c r="U87" s="157">
        <f>SUM(N89:T89)</f>
        <v/>
      </c>
      <c r="V87" s="4" t="n"/>
      <c r="W87" s="4">
        <f>_xlfn.XLOOKUP(M89,'00_SKU_Master'!$B$2:$B$378,'00_SKU_Master'!D:D)</f>
        <v/>
      </c>
      <c r="X87" s="14">
        <f>'05_Daily_Orders'!B88</f>
        <v/>
      </c>
      <c r="Y87" s="588" t="n"/>
      <c r="Z87" s="589" t="n"/>
      <c r="AA87" s="589" t="n"/>
      <c r="AB87" s="589" t="n"/>
      <c r="AC87" s="589" t="n">
        <v>0</v>
      </c>
      <c r="AD87" s="589" t="n">
        <v>0</v>
      </c>
      <c r="AE87" s="589" t="n">
        <v>0</v>
      </c>
      <c r="AF87" s="587">
        <f>SUM(Y89:AE89)</f>
        <v/>
      </c>
      <c r="AQ87" s="23" t="n">
        <v>0</v>
      </c>
      <c r="AR87" s="23" t="n">
        <v>0</v>
      </c>
      <c r="AS87" s="23">
        <f>AR89-AQ89</f>
        <v/>
      </c>
    </row>
    <row r="88">
      <c r="A88" s="148">
        <f>_xlfn.XLOOKUP(C90,'00_SKU_Master'!$B$2:$B$378,'00_SKU_Master'!$C$2:$C$378)</f>
        <v/>
      </c>
      <c r="B88" s="148" t="n"/>
      <c r="C88" s="148">
        <f>X90</f>
        <v/>
      </c>
      <c r="D88" s="586">
        <f>_xludf.IFNA(_xlfn.XLOOKUP(C90,'00_SKU_Master'!$B$2:$B$378,'00_SKU_Master'!$F$2:$F$378,0)*Y90,"")</f>
        <v/>
      </c>
      <c r="E88" s="586">
        <f>_xludf.IFNA(_xlfn.XLOOKUP(C90,'00_SKU_Master'!$B$2:$B$378,'00_SKU_Master'!$F$2:$F$378,0)*Z90,"")</f>
        <v/>
      </c>
      <c r="F88" s="586">
        <f>_xludf.IFNA(_xlfn.XLOOKUP(C90,'00_SKU_Master'!$B$2:$B$378,'00_SKU_Master'!$F$2:$F$378,0)*AA90,"")</f>
        <v/>
      </c>
      <c r="G88" s="586">
        <f>_xludf.IFNA(_xlfn.XLOOKUP(C90,'00_SKU_Master'!$B$2:$B$378,'00_SKU_Master'!$F$2:$F$378,0)*AB90,"")</f>
        <v/>
      </c>
      <c r="H88" s="586">
        <f>_xludf.IFNA(_xlfn.XLOOKUP(C90,'00_SKU_Master'!$B$2:$B$378,'00_SKU_Master'!$F$2:$F$378,0)*AC90,"")</f>
        <v/>
      </c>
      <c r="I88" s="586">
        <f>_xludf.IFNA(_xlfn.XLOOKUP(C90,'00_SKU_Master'!$B$2:$B$378,'00_SKU_Master'!$F$2:$F$378,0)*AD90,"")</f>
        <v/>
      </c>
      <c r="J88" s="586">
        <f>_xludf.IFNA(_xlfn.XLOOKUP(C90,'00_SKU_Master'!$B$2:$B$378,'00_SKU_Master'!$F$2:$F$378,0)*AE90,"")</f>
        <v/>
      </c>
      <c r="K88" s="587">
        <f>SUM(D90:J90)</f>
        <v/>
      </c>
      <c r="L88" s="197">
        <f>_xlfn.XLOOKUP(C90,'00_SKU_Master'!$B$2:$B$378,'00_SKU_Master'!K:K)</f>
        <v/>
      </c>
      <c r="M88" s="14">
        <f>X90</f>
        <v/>
      </c>
      <c r="N88" s="157">
        <f>_xludf.IFNA(D90/_xlfn.XLOOKUP($M90,'00_SKU_Master'!$B$2:$B$378,'00_SKU_Master'!$M$2:$M$378,0)/$M$2,"0")</f>
        <v/>
      </c>
      <c r="O88" s="157">
        <f>_xludf.IFNA(E90/_xlfn.XLOOKUP($M90,'00_SKU_Master'!$B$2:$B$378,'00_SKU_Master'!$M$2:$M$378,0)/$M$2,"0")</f>
        <v/>
      </c>
      <c r="P88" s="157">
        <f>_xludf.IFNA(F90/_xlfn.XLOOKUP($M90,'00_SKU_Master'!$B$2:$B$378,'00_SKU_Master'!$M$2:$M$378,0)/$M$2,"0")</f>
        <v/>
      </c>
      <c r="Q88" s="157">
        <f>_xludf.IFNA(G90/_xlfn.XLOOKUP($M90,'00_SKU_Master'!$B$2:$B$378,'00_SKU_Master'!$M$2:$M$378,0)/$M$2,"0")</f>
        <v/>
      </c>
      <c r="R88" s="157">
        <f>_xludf.IFNA(H90/_xlfn.XLOOKUP($M90,'00_SKU_Master'!$B$2:$B$378,'00_SKU_Master'!$M$2:$M$378,0)/$M$2,"0")</f>
        <v/>
      </c>
      <c r="S88" s="157">
        <f>_xludf.IFNA(I90/_xlfn.XLOOKUP($M90,'00_SKU_Master'!$B$2:$B$378,'00_SKU_Master'!$M$2:$M$378,0)/$M$2,"0")</f>
        <v/>
      </c>
      <c r="T88" s="157">
        <f>_xludf.IFNA(J90/_xlfn.XLOOKUP($M90,'00_SKU_Master'!$B$2:$B$378,'00_SKU_Master'!$M$2:$M$378,0)/$M$2,"0")</f>
        <v/>
      </c>
      <c r="U88" s="157">
        <f>SUM(N90:T90)</f>
        <v/>
      </c>
      <c r="V88" s="4" t="n"/>
      <c r="W88" s="4">
        <f>_xlfn.XLOOKUP(M90,'00_SKU_Master'!$B$2:$B$378,'00_SKU_Master'!D:D)</f>
        <v/>
      </c>
      <c r="X88" s="14">
        <f>'05_Daily_Orders'!B89</f>
        <v/>
      </c>
      <c r="Y88" s="588" t="n"/>
      <c r="Z88" s="589" t="n"/>
      <c r="AA88" s="589" t="n"/>
      <c r="AB88" s="589" t="n"/>
      <c r="AC88" s="589" t="n">
        <v>0</v>
      </c>
      <c r="AD88" s="589" t="n">
        <v>0</v>
      </c>
      <c r="AE88" s="589" t="n">
        <v>0</v>
      </c>
      <c r="AF88" s="587">
        <f>SUM(Y90:AE90)</f>
        <v/>
      </c>
      <c r="AQ88" s="23" t="n">
        <v>0</v>
      </c>
      <c r="AR88" s="23" t="n">
        <v>0</v>
      </c>
      <c r="AS88" s="23">
        <f>AR90-AQ90</f>
        <v/>
      </c>
    </row>
    <row r="89">
      <c r="A89" s="148">
        <f>_xlfn.XLOOKUP(C91,'00_SKU_Master'!$B$2:$B$378,'00_SKU_Master'!$C$2:$C$378)</f>
        <v/>
      </c>
      <c r="B89" s="148" t="n"/>
      <c r="C89" s="148">
        <f>X91</f>
        <v/>
      </c>
      <c r="D89" s="586">
        <f>_xludf.IFNA(_xlfn.XLOOKUP(C91,'00_SKU_Master'!$B$2:$B$378,'00_SKU_Master'!$F$2:$F$378,0)*Y91,"")</f>
        <v/>
      </c>
      <c r="E89" s="586">
        <f>_xludf.IFNA(_xlfn.XLOOKUP(C91,'00_SKU_Master'!$B$2:$B$378,'00_SKU_Master'!$F$2:$F$378,0)*Z91,"")</f>
        <v/>
      </c>
      <c r="F89" s="586">
        <f>_xludf.IFNA(_xlfn.XLOOKUP(C91,'00_SKU_Master'!$B$2:$B$378,'00_SKU_Master'!$F$2:$F$378,0)*AA91,"")</f>
        <v/>
      </c>
      <c r="G89" s="586">
        <f>_xludf.IFNA(_xlfn.XLOOKUP(C91,'00_SKU_Master'!$B$2:$B$378,'00_SKU_Master'!$F$2:$F$378,0)*AB91,"")</f>
        <v/>
      </c>
      <c r="H89" s="586">
        <f>_xludf.IFNA(_xlfn.XLOOKUP(C91,'00_SKU_Master'!$B$2:$B$378,'00_SKU_Master'!$F$2:$F$378,0)*AC91,"")</f>
        <v/>
      </c>
      <c r="I89" s="586">
        <f>_xludf.IFNA(_xlfn.XLOOKUP(C91,'00_SKU_Master'!$B$2:$B$378,'00_SKU_Master'!$F$2:$F$378,0)*AD91,"")</f>
        <v/>
      </c>
      <c r="J89" s="586">
        <f>_xludf.IFNA(_xlfn.XLOOKUP(C91,'00_SKU_Master'!$B$2:$B$378,'00_SKU_Master'!$F$2:$F$378,0)*AE91,"")</f>
        <v/>
      </c>
      <c r="K89" s="587">
        <f>SUM(D91:J91)</f>
        <v/>
      </c>
      <c r="L89" s="197">
        <f>_xlfn.XLOOKUP(C91,'00_SKU_Master'!$B$2:$B$378,'00_SKU_Master'!K:K)</f>
        <v/>
      </c>
      <c r="M89" s="14">
        <f>X91</f>
        <v/>
      </c>
      <c r="N89" s="157">
        <f>_xludf.IFNA(D91/_xlfn.XLOOKUP($M91,'00_SKU_Master'!$B$2:$B$378,'00_SKU_Master'!$M$2:$M$378,0)/$M$2,"0")</f>
        <v/>
      </c>
      <c r="O89" s="157">
        <f>_xludf.IFNA(E91/_xlfn.XLOOKUP($M91,'00_SKU_Master'!$B$2:$B$378,'00_SKU_Master'!$M$2:$M$378,0)/$M$2,"0")</f>
        <v/>
      </c>
      <c r="P89" s="157">
        <f>_xludf.IFNA(F91/_xlfn.XLOOKUP($M91,'00_SKU_Master'!$B$2:$B$378,'00_SKU_Master'!$M$2:$M$378,0)/$M$2,"0")</f>
        <v/>
      </c>
      <c r="Q89" s="157">
        <f>_xludf.IFNA(G91/_xlfn.XLOOKUP($M91,'00_SKU_Master'!$B$2:$B$378,'00_SKU_Master'!$M$2:$M$378,0)/$M$2,"0")</f>
        <v/>
      </c>
      <c r="R89" s="157">
        <f>_xludf.IFNA(H91/_xlfn.XLOOKUP($M91,'00_SKU_Master'!$B$2:$B$378,'00_SKU_Master'!$M$2:$M$378,0)/$M$2,"0")</f>
        <v/>
      </c>
      <c r="S89" s="157">
        <f>_xludf.IFNA(I91/_xlfn.XLOOKUP($M91,'00_SKU_Master'!$B$2:$B$378,'00_SKU_Master'!$M$2:$M$378,0)/$M$2,"0")</f>
        <v/>
      </c>
      <c r="T89" s="157">
        <f>_xludf.IFNA(J91/_xlfn.XLOOKUP($M91,'00_SKU_Master'!$B$2:$B$378,'00_SKU_Master'!$M$2:$M$378,0)/$M$2,"0")</f>
        <v/>
      </c>
      <c r="U89" s="157">
        <f>SUM(N91:T91)</f>
        <v/>
      </c>
      <c r="V89" s="4" t="n"/>
      <c r="W89" s="4">
        <f>_xlfn.XLOOKUP(M91,'00_SKU_Master'!$B$2:$B$378,'00_SKU_Master'!D:D)</f>
        <v/>
      </c>
      <c r="X89" s="14">
        <f>'05_Daily_Orders'!B90</f>
        <v/>
      </c>
      <c r="Y89" s="588" t="n"/>
      <c r="Z89" s="589" t="n"/>
      <c r="AA89" s="589" t="n"/>
      <c r="AB89" s="589" t="n"/>
      <c r="AC89" s="589" t="n">
        <v>0</v>
      </c>
      <c r="AD89" s="589" t="n">
        <v>0</v>
      </c>
      <c r="AE89" s="589" t="n">
        <v>0</v>
      </c>
      <c r="AF89" s="587">
        <f>SUM(Y91:AE91)</f>
        <v/>
      </c>
      <c r="AQ89" s="23" t="n">
        <v>0</v>
      </c>
      <c r="AR89" s="23" t="n">
        <v>0</v>
      </c>
      <c r="AS89" s="23">
        <f>AR91-AQ91</f>
        <v/>
      </c>
    </row>
    <row r="90">
      <c r="A90" s="148">
        <f>_xlfn.XLOOKUP(C92,'00_SKU_Master'!$B$2:$B$378,'00_SKU_Master'!$C$2:$C$378)</f>
        <v/>
      </c>
      <c r="B90" s="148" t="n"/>
      <c r="C90" s="148">
        <f>X92</f>
        <v/>
      </c>
      <c r="D90" s="586">
        <f>_xludf.IFNA(_xlfn.XLOOKUP(C92,'00_SKU_Master'!$B$2:$B$378,'00_SKU_Master'!$F$2:$F$378,0)*Y92,"")</f>
        <v/>
      </c>
      <c r="E90" s="586">
        <f>_xludf.IFNA(_xlfn.XLOOKUP(C92,'00_SKU_Master'!$B$2:$B$378,'00_SKU_Master'!$F$2:$F$378,0)*Z92,"")</f>
        <v/>
      </c>
      <c r="F90" s="586">
        <f>_xludf.IFNA(_xlfn.XLOOKUP(C92,'00_SKU_Master'!$B$2:$B$378,'00_SKU_Master'!$F$2:$F$378,0)*AA92,"")</f>
        <v/>
      </c>
      <c r="G90" s="586">
        <f>_xludf.IFNA(_xlfn.XLOOKUP(C92,'00_SKU_Master'!$B$2:$B$378,'00_SKU_Master'!$F$2:$F$378,0)*AB92,"")</f>
        <v/>
      </c>
      <c r="H90" s="586">
        <f>_xludf.IFNA(_xlfn.XLOOKUP(C92,'00_SKU_Master'!$B$2:$B$378,'00_SKU_Master'!$F$2:$F$378,0)*AC92,"")</f>
        <v/>
      </c>
      <c r="I90" s="586">
        <f>_xludf.IFNA(_xlfn.XLOOKUP(C92,'00_SKU_Master'!$B$2:$B$378,'00_SKU_Master'!$F$2:$F$378,0)*AD92,"")</f>
        <v/>
      </c>
      <c r="J90" s="586">
        <f>_xludf.IFNA(_xlfn.XLOOKUP(C92,'00_SKU_Master'!$B$2:$B$378,'00_SKU_Master'!$F$2:$F$378,0)*AE92,"")</f>
        <v/>
      </c>
      <c r="K90" s="587">
        <f>SUM(D92:J92)</f>
        <v/>
      </c>
      <c r="L90" s="197">
        <f>_xlfn.XLOOKUP(C92,'00_SKU_Master'!$B$2:$B$378,'00_SKU_Master'!K:K)</f>
        <v/>
      </c>
      <c r="M90" s="14">
        <f>X92</f>
        <v/>
      </c>
      <c r="N90" s="157">
        <f>_xludf.IFNA(D92/_xlfn.XLOOKUP($M92,'00_SKU_Master'!$B$2:$B$378,'00_SKU_Master'!$M$2:$M$378,0)/$M$2,"0")</f>
        <v/>
      </c>
      <c r="O90" s="157">
        <f>_xludf.IFNA(E92/_xlfn.XLOOKUP($M92,'00_SKU_Master'!$B$2:$B$378,'00_SKU_Master'!$M$2:$M$378,0)/$M$2,"0")</f>
        <v/>
      </c>
      <c r="P90" s="157">
        <f>_xludf.IFNA(F92/_xlfn.XLOOKUP($M92,'00_SKU_Master'!$B$2:$B$378,'00_SKU_Master'!$M$2:$M$378,0)/$M$2,"0")</f>
        <v/>
      </c>
      <c r="Q90" s="157">
        <f>_xludf.IFNA(G92/_xlfn.XLOOKUP($M92,'00_SKU_Master'!$B$2:$B$378,'00_SKU_Master'!$M$2:$M$378,0)/$M$2,"0")</f>
        <v/>
      </c>
      <c r="R90" s="157">
        <f>_xludf.IFNA(H92/_xlfn.XLOOKUP($M92,'00_SKU_Master'!$B$2:$B$378,'00_SKU_Master'!$M$2:$M$378,0)/$M$2,"0")</f>
        <v/>
      </c>
      <c r="S90" s="157">
        <f>_xludf.IFNA(I92/_xlfn.XLOOKUP($M92,'00_SKU_Master'!$B$2:$B$378,'00_SKU_Master'!$M$2:$M$378,0)/$M$2,"0")</f>
        <v/>
      </c>
      <c r="T90" s="157">
        <f>_xludf.IFNA(J92/_xlfn.XLOOKUP($M92,'00_SKU_Master'!$B$2:$B$378,'00_SKU_Master'!$M$2:$M$378,0)/$M$2,"0")</f>
        <v/>
      </c>
      <c r="U90" s="157">
        <f>SUM(N92:T92)</f>
        <v/>
      </c>
      <c r="V90" s="4" t="n"/>
      <c r="W90" s="4">
        <f>_xlfn.XLOOKUP(M92,'00_SKU_Master'!$B$2:$B$378,'00_SKU_Master'!D:D)</f>
        <v/>
      </c>
      <c r="X90" s="14">
        <f>'05_Daily_Orders'!B91</f>
        <v/>
      </c>
      <c r="Y90" s="588" t="n"/>
      <c r="Z90" s="589" t="n"/>
      <c r="AA90" s="589" t="n"/>
      <c r="AB90" s="589" t="n"/>
      <c r="AC90" s="589" t="n">
        <v>0</v>
      </c>
      <c r="AD90" s="589" t="n">
        <v>0</v>
      </c>
      <c r="AE90" s="589" t="n">
        <v>0</v>
      </c>
      <c r="AF90" s="587">
        <f>SUM(Y92:AE92)</f>
        <v/>
      </c>
      <c r="AQ90" s="23" t="n">
        <v>0</v>
      </c>
      <c r="AR90" s="23" t="n">
        <v>0</v>
      </c>
      <c r="AS90" s="23">
        <f>AR92-AQ92</f>
        <v/>
      </c>
    </row>
    <row r="91">
      <c r="A91" s="148">
        <f>_xlfn.XLOOKUP(C93,'00_SKU_Master'!$B$2:$B$378,'00_SKU_Master'!$C$2:$C$378)</f>
        <v/>
      </c>
      <c r="B91" s="148" t="n"/>
      <c r="C91" s="148">
        <f>X93</f>
        <v/>
      </c>
      <c r="D91" s="586">
        <f>_xludf.IFNA(_xlfn.XLOOKUP(C93,'00_SKU_Master'!$B$2:$B$378,'00_SKU_Master'!$F$2:$F$378,0)*Y93,"")</f>
        <v/>
      </c>
      <c r="E91" s="586">
        <f>_xludf.IFNA(_xlfn.XLOOKUP(C93,'00_SKU_Master'!$B$2:$B$378,'00_SKU_Master'!$F$2:$F$378,0)*Z93,"")</f>
        <v/>
      </c>
      <c r="F91" s="586">
        <f>_xludf.IFNA(_xlfn.XLOOKUP(C93,'00_SKU_Master'!$B$2:$B$378,'00_SKU_Master'!$F$2:$F$378,0)*AA93,"")</f>
        <v/>
      </c>
      <c r="G91" s="586">
        <f>_xludf.IFNA(_xlfn.XLOOKUP(C93,'00_SKU_Master'!$B$2:$B$378,'00_SKU_Master'!$F$2:$F$378,0)*AB93,"")</f>
        <v/>
      </c>
      <c r="H91" s="586">
        <f>_xludf.IFNA(_xlfn.XLOOKUP(C93,'00_SKU_Master'!$B$2:$B$378,'00_SKU_Master'!$F$2:$F$378,0)*AC93,"")</f>
        <v/>
      </c>
      <c r="I91" s="586">
        <f>_xludf.IFNA(_xlfn.XLOOKUP(C93,'00_SKU_Master'!$B$2:$B$378,'00_SKU_Master'!$F$2:$F$378,0)*AD93,"")</f>
        <v/>
      </c>
      <c r="J91" s="586">
        <f>_xludf.IFNA(_xlfn.XLOOKUP(C93,'00_SKU_Master'!$B$2:$B$378,'00_SKU_Master'!$F$2:$F$378,0)*AE93,"")</f>
        <v/>
      </c>
      <c r="K91" s="587">
        <f>SUM(D93:J93)</f>
        <v/>
      </c>
      <c r="L91" s="197">
        <f>_xlfn.XLOOKUP(C93,'00_SKU_Master'!$B$2:$B$378,'00_SKU_Master'!K:K)</f>
        <v/>
      </c>
      <c r="M91" s="14">
        <f>X93</f>
        <v/>
      </c>
      <c r="N91" s="157">
        <f>_xludf.IFNA(D93/_xlfn.XLOOKUP($M93,'00_SKU_Master'!$B$2:$B$378,'00_SKU_Master'!$M$2:$M$378,0)/$M$2,"0")</f>
        <v/>
      </c>
      <c r="O91" s="157">
        <f>_xludf.IFNA(E93/_xlfn.XLOOKUP($M93,'00_SKU_Master'!$B$2:$B$378,'00_SKU_Master'!$M$2:$M$378,0)/$M$2,"0")</f>
        <v/>
      </c>
      <c r="P91" s="157">
        <f>_xludf.IFNA(F93/_xlfn.XLOOKUP($M93,'00_SKU_Master'!$B$2:$B$378,'00_SKU_Master'!$M$2:$M$378,0)/$M$2,"0")</f>
        <v/>
      </c>
      <c r="Q91" s="157">
        <f>_xludf.IFNA(G93/_xlfn.XLOOKUP($M93,'00_SKU_Master'!$B$2:$B$378,'00_SKU_Master'!$M$2:$M$378,0)/$M$2,"0")</f>
        <v/>
      </c>
      <c r="R91" s="157">
        <f>_xludf.IFNA(H93/_xlfn.XLOOKUP($M93,'00_SKU_Master'!$B$2:$B$378,'00_SKU_Master'!$M$2:$M$378,0)/$M$2,"0")</f>
        <v/>
      </c>
      <c r="S91" s="157">
        <f>_xludf.IFNA(I93/_xlfn.XLOOKUP($M93,'00_SKU_Master'!$B$2:$B$378,'00_SKU_Master'!$M$2:$M$378,0)/$M$2,"0")</f>
        <v/>
      </c>
      <c r="T91" s="157">
        <f>_xludf.IFNA(J93/_xlfn.XLOOKUP($M93,'00_SKU_Master'!$B$2:$B$378,'00_SKU_Master'!$M$2:$M$378,0)/$M$2,"0")</f>
        <v/>
      </c>
      <c r="U91" s="157">
        <f>SUM(N93:T93)</f>
        <v/>
      </c>
      <c r="V91" s="4" t="n"/>
      <c r="W91" s="4">
        <f>_xlfn.XLOOKUP(M93,'00_SKU_Master'!$B$2:$B$378,'00_SKU_Master'!D:D)</f>
        <v/>
      </c>
      <c r="X91" s="14">
        <f>'05_Daily_Orders'!B92</f>
        <v/>
      </c>
      <c r="Y91" s="588" t="n"/>
      <c r="Z91" s="589" t="n"/>
      <c r="AA91" s="589" t="n"/>
      <c r="AB91" s="589" t="n"/>
      <c r="AC91" s="589" t="n">
        <v>0</v>
      </c>
      <c r="AD91" s="589" t="n">
        <v>0</v>
      </c>
      <c r="AE91" s="589" t="n">
        <v>0</v>
      </c>
      <c r="AF91" s="587">
        <f>SUM(Y93:AE93)</f>
        <v/>
      </c>
      <c r="AQ91" s="23" t="n">
        <v>0</v>
      </c>
      <c r="AR91" s="23" t="n">
        <v>160</v>
      </c>
      <c r="AS91" s="23">
        <f>AR93-AQ93</f>
        <v/>
      </c>
    </row>
    <row r="92">
      <c r="A92" s="148">
        <f>_xlfn.XLOOKUP(C94,'00_SKU_Master'!$B$2:$B$378,'00_SKU_Master'!$C$2:$C$378)</f>
        <v/>
      </c>
      <c r="B92" s="148" t="n"/>
      <c r="C92" s="148">
        <f>X94</f>
        <v/>
      </c>
      <c r="D92" s="586">
        <f>_xludf.IFNA(_xlfn.XLOOKUP(C94,'00_SKU_Master'!$B$2:$B$378,'00_SKU_Master'!$F$2:$F$378,0)*Y94,"")</f>
        <v/>
      </c>
      <c r="E92" s="586">
        <f>_xludf.IFNA(_xlfn.XLOOKUP(C94,'00_SKU_Master'!$B$2:$B$378,'00_SKU_Master'!$F$2:$F$378,0)*Z94,"")</f>
        <v/>
      </c>
      <c r="F92" s="586">
        <f>_xludf.IFNA(_xlfn.XLOOKUP(C94,'00_SKU_Master'!$B$2:$B$378,'00_SKU_Master'!$F$2:$F$378,0)*AA94,"")</f>
        <v/>
      </c>
      <c r="G92" s="586">
        <f>_xludf.IFNA(_xlfn.XLOOKUP(C94,'00_SKU_Master'!$B$2:$B$378,'00_SKU_Master'!$F$2:$F$378,0)*AB94,"")</f>
        <v/>
      </c>
      <c r="H92" s="586">
        <f>_xludf.IFNA(_xlfn.XLOOKUP(C94,'00_SKU_Master'!$B$2:$B$378,'00_SKU_Master'!$F$2:$F$378,0)*AC94,"")</f>
        <v/>
      </c>
      <c r="I92" s="586">
        <f>_xludf.IFNA(_xlfn.XLOOKUP(C94,'00_SKU_Master'!$B$2:$B$378,'00_SKU_Master'!$F$2:$F$378,0)*AD94,"")</f>
        <v/>
      </c>
      <c r="J92" s="586">
        <f>_xludf.IFNA(_xlfn.XLOOKUP(C94,'00_SKU_Master'!$B$2:$B$378,'00_SKU_Master'!$F$2:$F$378,0)*AE94,"")</f>
        <v/>
      </c>
      <c r="K92" s="587">
        <f>SUM(D94:J94)</f>
        <v/>
      </c>
      <c r="L92" s="197">
        <f>_xlfn.XLOOKUP(C94,'00_SKU_Master'!$B$2:$B$378,'00_SKU_Master'!K:K)</f>
        <v/>
      </c>
      <c r="M92" s="14">
        <f>X94</f>
        <v/>
      </c>
      <c r="N92" s="157">
        <f>_xludf.IFNA(D94/_xlfn.XLOOKUP($M94,'00_SKU_Master'!$B$2:$B$378,'00_SKU_Master'!$M$2:$M$378,0)/$M$2,"0")</f>
        <v/>
      </c>
      <c r="O92" s="157">
        <f>_xludf.IFNA(E94/_xlfn.XLOOKUP($M94,'00_SKU_Master'!$B$2:$B$378,'00_SKU_Master'!$M$2:$M$378,0)/$M$2,"0")</f>
        <v/>
      </c>
      <c r="P92" s="157">
        <f>_xludf.IFNA(F94/_xlfn.XLOOKUP($M94,'00_SKU_Master'!$B$2:$B$378,'00_SKU_Master'!$M$2:$M$378,0)/$M$2,"0")</f>
        <v/>
      </c>
      <c r="Q92" s="157">
        <f>_xludf.IFNA(G94/_xlfn.XLOOKUP($M94,'00_SKU_Master'!$B$2:$B$378,'00_SKU_Master'!$M$2:$M$378,0)/$M$2,"0")</f>
        <v/>
      </c>
      <c r="R92" s="157">
        <f>_xludf.IFNA(H94/_xlfn.XLOOKUP($M94,'00_SKU_Master'!$B$2:$B$378,'00_SKU_Master'!$M$2:$M$378,0)/$M$2,"0")</f>
        <v/>
      </c>
      <c r="S92" s="157">
        <f>_xludf.IFNA(I94/_xlfn.XLOOKUP($M94,'00_SKU_Master'!$B$2:$B$378,'00_SKU_Master'!$M$2:$M$378,0)/$M$2,"0")</f>
        <v/>
      </c>
      <c r="T92" s="157">
        <f>_xludf.IFNA(J94/_xlfn.XLOOKUP($M94,'00_SKU_Master'!$B$2:$B$378,'00_SKU_Master'!$M$2:$M$378,0)/$M$2,"0")</f>
        <v/>
      </c>
      <c r="U92" s="157">
        <f>SUM(N94:T94)</f>
        <v/>
      </c>
      <c r="V92" s="4" t="n"/>
      <c r="W92" s="4">
        <f>_xlfn.XLOOKUP(M94,'00_SKU_Master'!$B$2:$B$378,'00_SKU_Master'!D:D)</f>
        <v/>
      </c>
      <c r="X92" s="14">
        <f>'05_Daily_Orders'!B93</f>
        <v/>
      </c>
      <c r="Y92" s="588" t="n"/>
      <c r="Z92" s="589" t="n"/>
      <c r="AA92" s="589" t="n"/>
      <c r="AB92" s="589" t="n"/>
      <c r="AC92" s="589" t="n">
        <v>0</v>
      </c>
      <c r="AD92" s="589" t="n">
        <v>0</v>
      </c>
      <c r="AE92" s="589" t="n">
        <v>0</v>
      </c>
      <c r="AF92" s="587">
        <f>SUM(Y94:AE94)</f>
        <v/>
      </c>
      <c r="AQ92" s="23" t="n">
        <v>0</v>
      </c>
      <c r="AR92" s="23" t="n">
        <v>0</v>
      </c>
      <c r="AS92" s="23">
        <f>AR94-AQ94</f>
        <v/>
      </c>
    </row>
    <row r="93">
      <c r="A93" s="148">
        <f>_xlfn.XLOOKUP(C95,'00_SKU_Master'!$B$2:$B$378,'00_SKU_Master'!$C$2:$C$378)</f>
        <v/>
      </c>
      <c r="B93" s="148" t="n"/>
      <c r="C93" s="148">
        <f>X95</f>
        <v/>
      </c>
      <c r="D93" s="586">
        <f>_xludf.IFNA(_xlfn.XLOOKUP(C95,'00_SKU_Master'!$B$2:$B$378,'00_SKU_Master'!$F$2:$F$378,0)*Y95,"")</f>
        <v/>
      </c>
      <c r="E93" s="586">
        <f>_xludf.IFNA(_xlfn.XLOOKUP(C95,'00_SKU_Master'!$B$2:$B$378,'00_SKU_Master'!$F$2:$F$378,0)*Z95,"")</f>
        <v/>
      </c>
      <c r="F93" s="586">
        <f>_xludf.IFNA(_xlfn.XLOOKUP(C95,'00_SKU_Master'!$B$2:$B$378,'00_SKU_Master'!$F$2:$F$378,0)*AA95,"")</f>
        <v/>
      </c>
      <c r="G93" s="586">
        <f>_xludf.IFNA(_xlfn.XLOOKUP(C95,'00_SKU_Master'!$B$2:$B$378,'00_SKU_Master'!$F$2:$F$378,0)*AB95,"")</f>
        <v/>
      </c>
      <c r="H93" s="586">
        <f>_xludf.IFNA(_xlfn.XLOOKUP(C95,'00_SKU_Master'!$B$2:$B$378,'00_SKU_Master'!$F$2:$F$378,0)*AC95,"")</f>
        <v/>
      </c>
      <c r="I93" s="586">
        <f>_xludf.IFNA(_xlfn.XLOOKUP(C95,'00_SKU_Master'!$B$2:$B$378,'00_SKU_Master'!$F$2:$F$378,0)*AD95,"")</f>
        <v/>
      </c>
      <c r="J93" s="586">
        <f>_xludf.IFNA(_xlfn.XLOOKUP(C95,'00_SKU_Master'!$B$2:$B$378,'00_SKU_Master'!$F$2:$F$378,0)*AE95,"")</f>
        <v/>
      </c>
      <c r="K93" s="587">
        <f>SUM(D95:J95)</f>
        <v/>
      </c>
      <c r="L93" s="197">
        <f>_xlfn.XLOOKUP(C95,'00_SKU_Master'!$B$2:$B$378,'00_SKU_Master'!K:K)</f>
        <v/>
      </c>
      <c r="M93" s="14">
        <f>X95</f>
        <v/>
      </c>
      <c r="N93" s="157">
        <f>_xludf.IFNA(D95/_xlfn.XLOOKUP($M95,'00_SKU_Master'!$B$2:$B$378,'00_SKU_Master'!$M$2:$M$378,0)/$M$2,"0")</f>
        <v/>
      </c>
      <c r="O93" s="157">
        <f>_xludf.IFNA(E95/_xlfn.XLOOKUP($M95,'00_SKU_Master'!$B$2:$B$378,'00_SKU_Master'!$M$2:$M$378,0)/$M$2,"0")</f>
        <v/>
      </c>
      <c r="P93" s="157">
        <f>_xludf.IFNA(F95/_xlfn.XLOOKUP($M95,'00_SKU_Master'!$B$2:$B$378,'00_SKU_Master'!$M$2:$M$378,0)/$M$2,"0")</f>
        <v/>
      </c>
      <c r="Q93" s="157">
        <f>_xludf.IFNA(G95/_xlfn.XLOOKUP($M95,'00_SKU_Master'!$B$2:$B$378,'00_SKU_Master'!$M$2:$M$378,0)/$M$2,"0")</f>
        <v/>
      </c>
      <c r="R93" s="157">
        <f>_xludf.IFNA(H95/_xlfn.XLOOKUP($M95,'00_SKU_Master'!$B$2:$B$378,'00_SKU_Master'!$M$2:$M$378,0)/$M$2,"0")</f>
        <v/>
      </c>
      <c r="S93" s="157">
        <f>_xludf.IFNA(I95/_xlfn.XLOOKUP($M95,'00_SKU_Master'!$B$2:$B$378,'00_SKU_Master'!$M$2:$M$378,0)/$M$2,"0")</f>
        <v/>
      </c>
      <c r="T93" s="157">
        <f>_xludf.IFNA(J95/_xlfn.XLOOKUP($M95,'00_SKU_Master'!$B$2:$B$378,'00_SKU_Master'!$M$2:$M$378,0)/$M$2,"0")</f>
        <v/>
      </c>
      <c r="U93" s="157">
        <f>SUM(N95:T95)</f>
        <v/>
      </c>
      <c r="V93" s="4" t="n"/>
      <c r="W93" s="4">
        <f>_xlfn.XLOOKUP(M95,'00_SKU_Master'!$B$2:$B$378,'00_SKU_Master'!D:D)</f>
        <v/>
      </c>
      <c r="X93" s="14">
        <f>'05_Daily_Orders'!B94</f>
        <v/>
      </c>
      <c r="Y93" s="588" t="n"/>
      <c r="Z93" s="589" t="n"/>
      <c r="AA93" s="589" t="n"/>
      <c r="AB93" s="589" t="n"/>
      <c r="AC93" s="589" t="n">
        <v>0</v>
      </c>
      <c r="AD93" s="589" t="n">
        <v>0</v>
      </c>
      <c r="AE93" s="589" t="n">
        <v>0</v>
      </c>
      <c r="AF93" s="587">
        <f>SUM(Y95:AE95)</f>
        <v/>
      </c>
      <c r="AQ93" s="23" t="n">
        <v>0</v>
      </c>
      <c r="AR93" s="23" t="n">
        <v>0</v>
      </c>
      <c r="AS93" s="23">
        <f>AR95-AQ95</f>
        <v/>
      </c>
    </row>
    <row r="94">
      <c r="A94" s="148">
        <f>_xlfn.XLOOKUP(C96,'00_SKU_Master'!$B$2:$B$378,'00_SKU_Master'!$C$2:$C$378)</f>
        <v/>
      </c>
      <c r="B94" s="148" t="n"/>
      <c r="C94" s="148">
        <f>X96</f>
        <v/>
      </c>
      <c r="D94" s="586">
        <f>_xludf.IFNA(_xlfn.XLOOKUP(C96,'00_SKU_Master'!$B$2:$B$378,'00_SKU_Master'!$F$2:$F$378,0)*Y96,"")</f>
        <v/>
      </c>
      <c r="E94" s="586">
        <f>_xludf.IFNA(_xlfn.XLOOKUP(C96,'00_SKU_Master'!$B$2:$B$378,'00_SKU_Master'!$F$2:$F$378,0)*Z96,"")</f>
        <v/>
      </c>
      <c r="F94" s="586">
        <f>_xludf.IFNA(_xlfn.XLOOKUP(C96,'00_SKU_Master'!$B$2:$B$378,'00_SKU_Master'!$F$2:$F$378,0)*AA96,"")</f>
        <v/>
      </c>
      <c r="G94" s="586">
        <f>_xludf.IFNA(_xlfn.XLOOKUP(C96,'00_SKU_Master'!$B$2:$B$378,'00_SKU_Master'!$F$2:$F$378,0)*AB96,"")</f>
        <v/>
      </c>
      <c r="H94" s="586">
        <f>_xludf.IFNA(_xlfn.XLOOKUP(C96,'00_SKU_Master'!$B$2:$B$378,'00_SKU_Master'!$F$2:$F$378,0)*AC96,"")</f>
        <v/>
      </c>
      <c r="I94" s="586">
        <f>_xludf.IFNA(_xlfn.XLOOKUP(C96,'00_SKU_Master'!$B$2:$B$378,'00_SKU_Master'!$F$2:$F$378,0)*AD96,"")</f>
        <v/>
      </c>
      <c r="J94" s="586">
        <f>_xludf.IFNA(_xlfn.XLOOKUP(C96,'00_SKU_Master'!$B$2:$B$378,'00_SKU_Master'!$F$2:$F$378,0)*AE96,"")</f>
        <v/>
      </c>
      <c r="K94" s="587">
        <f>SUM(D96:J96)</f>
        <v/>
      </c>
      <c r="L94" s="197">
        <f>_xlfn.XLOOKUP(C96,'00_SKU_Master'!$B$2:$B$378,'00_SKU_Master'!K:K)</f>
        <v/>
      </c>
      <c r="M94" s="14">
        <f>X96</f>
        <v/>
      </c>
      <c r="N94" s="157">
        <f>_xludf.IFNA(D96/_xlfn.XLOOKUP($M96,'00_SKU_Master'!$B$2:$B$378,'00_SKU_Master'!$M$2:$M$378,0)/$M$2,"0")</f>
        <v/>
      </c>
      <c r="O94" s="157">
        <f>_xludf.IFNA(E96/_xlfn.XLOOKUP($M96,'00_SKU_Master'!$B$2:$B$378,'00_SKU_Master'!$M$2:$M$378,0)/$M$2,"0")</f>
        <v/>
      </c>
      <c r="P94" s="157">
        <f>_xludf.IFNA(F96/_xlfn.XLOOKUP($M96,'00_SKU_Master'!$B$2:$B$378,'00_SKU_Master'!$M$2:$M$378,0)/$M$2,"0")</f>
        <v/>
      </c>
      <c r="Q94" s="157">
        <f>_xludf.IFNA(G96/_xlfn.XLOOKUP($M96,'00_SKU_Master'!$B$2:$B$378,'00_SKU_Master'!$M$2:$M$378,0)/$M$2,"0")</f>
        <v/>
      </c>
      <c r="R94" s="157">
        <f>_xludf.IFNA(H96/_xlfn.XLOOKUP($M96,'00_SKU_Master'!$B$2:$B$378,'00_SKU_Master'!$M$2:$M$378,0)/$M$2,"0")</f>
        <v/>
      </c>
      <c r="S94" s="157">
        <f>_xludf.IFNA(I96/_xlfn.XLOOKUP($M96,'00_SKU_Master'!$B$2:$B$378,'00_SKU_Master'!$M$2:$M$378,0)/$M$2,"0")</f>
        <v/>
      </c>
      <c r="T94" s="157">
        <f>_xludf.IFNA(J96/_xlfn.XLOOKUP($M96,'00_SKU_Master'!$B$2:$B$378,'00_SKU_Master'!$M$2:$M$378,0)/$M$2,"0")</f>
        <v/>
      </c>
      <c r="U94" s="157">
        <f>SUM(N96:T96)</f>
        <v/>
      </c>
      <c r="V94" s="4" t="n"/>
      <c r="W94" s="4">
        <f>_xlfn.XLOOKUP(M96,'00_SKU_Master'!$B$2:$B$378,'00_SKU_Master'!D:D)</f>
        <v/>
      </c>
      <c r="X94" s="14">
        <f>'05_Daily_Orders'!B95</f>
        <v/>
      </c>
      <c r="Y94" s="588" t="n"/>
      <c r="Z94" s="589" t="n"/>
      <c r="AA94" s="589" t="n"/>
      <c r="AB94" s="589" t="n"/>
      <c r="AC94" s="589" t="n">
        <v>0</v>
      </c>
      <c r="AD94" s="589" t="n">
        <v>0</v>
      </c>
      <c r="AE94" s="589" t="n">
        <v>0</v>
      </c>
      <c r="AF94" s="587">
        <f>SUM(Y96:AE96)</f>
        <v/>
      </c>
      <c r="AQ94" s="23" t="n">
        <v>0</v>
      </c>
      <c r="AR94" s="23" t="n">
        <v>0</v>
      </c>
      <c r="AS94" s="23">
        <f>AR96-AQ96</f>
        <v/>
      </c>
    </row>
    <row r="95">
      <c r="A95" s="148">
        <f>_xlfn.XLOOKUP(C97,'00_SKU_Master'!$B$2:$B$378,'00_SKU_Master'!$C$2:$C$378)</f>
        <v/>
      </c>
      <c r="B95" s="148" t="n"/>
      <c r="C95" s="148">
        <f>X97</f>
        <v/>
      </c>
      <c r="D95" s="586">
        <f>_xludf.IFNA(_xlfn.XLOOKUP(C97,'00_SKU_Master'!$B$2:$B$378,'00_SKU_Master'!$F$2:$F$378,0)*Y97,"")</f>
        <v/>
      </c>
      <c r="E95" s="586">
        <f>_xludf.IFNA(_xlfn.XLOOKUP(C97,'00_SKU_Master'!$B$2:$B$378,'00_SKU_Master'!$F$2:$F$378,0)*Z97,"")</f>
        <v/>
      </c>
      <c r="F95" s="586">
        <f>_xludf.IFNA(_xlfn.XLOOKUP(C97,'00_SKU_Master'!$B$2:$B$378,'00_SKU_Master'!$F$2:$F$378,0)*AA97,"")</f>
        <v/>
      </c>
      <c r="G95" s="586">
        <f>_xludf.IFNA(_xlfn.XLOOKUP(C97,'00_SKU_Master'!$B$2:$B$378,'00_SKU_Master'!$F$2:$F$378,0)*AB97,"")</f>
        <v/>
      </c>
      <c r="H95" s="586">
        <f>_xludf.IFNA(_xlfn.XLOOKUP(C97,'00_SKU_Master'!$B$2:$B$378,'00_SKU_Master'!$F$2:$F$378,0)*AC97,"")</f>
        <v/>
      </c>
      <c r="I95" s="586">
        <f>_xludf.IFNA(_xlfn.XLOOKUP(C97,'00_SKU_Master'!$B$2:$B$378,'00_SKU_Master'!$F$2:$F$378,0)*AD97,"")</f>
        <v/>
      </c>
      <c r="J95" s="586">
        <f>_xludf.IFNA(_xlfn.XLOOKUP(C97,'00_SKU_Master'!$B$2:$B$378,'00_SKU_Master'!$F$2:$F$378,0)*AE97,"")</f>
        <v/>
      </c>
      <c r="K95" s="587">
        <f>SUM(D97:J97)</f>
        <v/>
      </c>
      <c r="L95" s="197">
        <f>_xlfn.XLOOKUP(C97,'00_SKU_Master'!$B$2:$B$378,'00_SKU_Master'!K:K)</f>
        <v/>
      </c>
      <c r="M95" s="14">
        <f>X97</f>
        <v/>
      </c>
      <c r="N95" s="157">
        <f>_xludf.IFNA(D97/_xlfn.XLOOKUP($M97,'00_SKU_Master'!$B$2:$B$378,'00_SKU_Master'!$M$2:$M$378,0)/$M$2,"0")</f>
        <v/>
      </c>
      <c r="O95" s="157">
        <f>_xludf.IFNA(E97/_xlfn.XLOOKUP($M97,'00_SKU_Master'!$B$2:$B$378,'00_SKU_Master'!$M$2:$M$378,0)/$M$2,"0")</f>
        <v/>
      </c>
      <c r="P95" s="157">
        <f>_xludf.IFNA(F97/_xlfn.XLOOKUP($M97,'00_SKU_Master'!$B$2:$B$378,'00_SKU_Master'!$M$2:$M$378,0)/$M$2,"0")</f>
        <v/>
      </c>
      <c r="Q95" s="157">
        <f>_xludf.IFNA(G97/_xlfn.XLOOKUP($M97,'00_SKU_Master'!$B$2:$B$378,'00_SKU_Master'!$M$2:$M$378,0)/$M$2,"0")</f>
        <v/>
      </c>
      <c r="R95" s="157">
        <f>_xludf.IFNA(H97/_xlfn.XLOOKUP($M97,'00_SKU_Master'!$B$2:$B$378,'00_SKU_Master'!$M$2:$M$378,0)/$M$2,"0")</f>
        <v/>
      </c>
      <c r="S95" s="157">
        <f>_xludf.IFNA(I97/_xlfn.XLOOKUP($M97,'00_SKU_Master'!$B$2:$B$378,'00_SKU_Master'!$M$2:$M$378,0)/$M$2,"0")</f>
        <v/>
      </c>
      <c r="T95" s="157">
        <f>_xludf.IFNA(J97/_xlfn.XLOOKUP($M97,'00_SKU_Master'!$B$2:$B$378,'00_SKU_Master'!$M$2:$M$378,0)/$M$2,"0")</f>
        <v/>
      </c>
      <c r="U95" s="157">
        <f>SUM(N97:T97)</f>
        <v/>
      </c>
      <c r="V95" s="4" t="n"/>
      <c r="W95" s="4">
        <f>_xlfn.XLOOKUP(M97,'00_SKU_Master'!$B$2:$B$378,'00_SKU_Master'!D:D)</f>
        <v/>
      </c>
      <c r="X95" s="14">
        <f>'05_Daily_Orders'!B96</f>
        <v/>
      </c>
      <c r="Y95" s="588" t="n"/>
      <c r="Z95" s="589" t="n"/>
      <c r="AA95" s="589" t="n"/>
      <c r="AB95" s="589" t="n"/>
      <c r="AC95" s="589" t="n">
        <v>0</v>
      </c>
      <c r="AD95" s="589" t="n">
        <v>0</v>
      </c>
      <c r="AE95" s="589" t="n">
        <v>0</v>
      </c>
      <c r="AF95" s="587">
        <f>SUM(Y97:AE97)</f>
        <v/>
      </c>
      <c r="AQ95" s="23" t="n">
        <v>0</v>
      </c>
      <c r="AR95" s="23" t="n">
        <v>0</v>
      </c>
      <c r="AS95" s="23">
        <f>AR97-AQ97</f>
        <v/>
      </c>
    </row>
    <row r="96">
      <c r="A96" s="148">
        <f>_xlfn.XLOOKUP(C98,'00_SKU_Master'!$B$2:$B$378,'00_SKU_Master'!$C$2:$C$378)</f>
        <v/>
      </c>
      <c r="B96" s="148" t="n"/>
      <c r="C96" s="148">
        <f>X98</f>
        <v/>
      </c>
      <c r="D96" s="586">
        <f>_xludf.IFNA(_xlfn.XLOOKUP(C98,'00_SKU_Master'!$B$2:$B$378,'00_SKU_Master'!$F$2:$F$378,0)*Y98,"")</f>
        <v/>
      </c>
      <c r="E96" s="586">
        <f>_xludf.IFNA(_xlfn.XLOOKUP(C98,'00_SKU_Master'!$B$2:$B$378,'00_SKU_Master'!$F$2:$F$378,0)*Z98,"")</f>
        <v/>
      </c>
      <c r="F96" s="586">
        <f>_xludf.IFNA(_xlfn.XLOOKUP(C98,'00_SKU_Master'!$B$2:$B$378,'00_SKU_Master'!$F$2:$F$378,0)*AA98,"")</f>
        <v/>
      </c>
      <c r="G96" s="586">
        <f>_xludf.IFNA(_xlfn.XLOOKUP(C98,'00_SKU_Master'!$B$2:$B$378,'00_SKU_Master'!$F$2:$F$378,0)*AB98,"")</f>
        <v/>
      </c>
      <c r="H96" s="586">
        <f>_xludf.IFNA(_xlfn.XLOOKUP(C98,'00_SKU_Master'!$B$2:$B$378,'00_SKU_Master'!$F$2:$F$378,0)*AC98,"")</f>
        <v/>
      </c>
      <c r="I96" s="586">
        <f>_xludf.IFNA(_xlfn.XLOOKUP(C98,'00_SKU_Master'!$B$2:$B$378,'00_SKU_Master'!$F$2:$F$378,0)*AD98,"")</f>
        <v/>
      </c>
      <c r="J96" s="586">
        <f>_xludf.IFNA(_xlfn.XLOOKUP(C98,'00_SKU_Master'!$B$2:$B$378,'00_SKU_Master'!$F$2:$F$378,0)*AE98,"")</f>
        <v/>
      </c>
      <c r="K96" s="587">
        <f>SUM(D98:J98)</f>
        <v/>
      </c>
      <c r="L96" s="197">
        <f>_xlfn.XLOOKUP(C98,'00_SKU_Master'!$B$2:$B$378,'00_SKU_Master'!K:K)</f>
        <v/>
      </c>
      <c r="M96" s="14">
        <f>X98</f>
        <v/>
      </c>
      <c r="N96" s="157">
        <f>_xludf.IFNA(D98/_xlfn.XLOOKUP($M98,'00_SKU_Master'!$B$2:$B$378,'00_SKU_Master'!$M$2:$M$378,0)/$M$2,"0")</f>
        <v/>
      </c>
      <c r="O96" s="157">
        <f>_xludf.IFNA(E98/_xlfn.XLOOKUP($M98,'00_SKU_Master'!$B$2:$B$378,'00_SKU_Master'!$M$2:$M$378,0)/$M$2,"0")</f>
        <v/>
      </c>
      <c r="P96" s="157">
        <f>_xludf.IFNA(F98/_xlfn.XLOOKUP($M98,'00_SKU_Master'!$B$2:$B$378,'00_SKU_Master'!$M$2:$M$378,0)/$M$2,"0")</f>
        <v/>
      </c>
      <c r="Q96" s="157">
        <f>_xludf.IFNA(G98/_xlfn.XLOOKUP($M98,'00_SKU_Master'!$B$2:$B$378,'00_SKU_Master'!$M$2:$M$378,0)/$M$2,"0")</f>
        <v/>
      </c>
      <c r="R96" s="157">
        <f>_xludf.IFNA(H98/_xlfn.XLOOKUP($M98,'00_SKU_Master'!$B$2:$B$378,'00_SKU_Master'!$M$2:$M$378,0)/$M$2,"0")</f>
        <v/>
      </c>
      <c r="S96" s="157">
        <f>_xludf.IFNA(I98/_xlfn.XLOOKUP($M98,'00_SKU_Master'!$B$2:$B$378,'00_SKU_Master'!$M$2:$M$378,0)/$M$2,"0")</f>
        <v/>
      </c>
      <c r="T96" s="157">
        <f>_xludf.IFNA(J98/_xlfn.XLOOKUP($M98,'00_SKU_Master'!$B$2:$B$378,'00_SKU_Master'!$M$2:$M$378,0)/$M$2,"0")</f>
        <v/>
      </c>
      <c r="U96" s="157">
        <f>SUM(N98:T98)</f>
        <v/>
      </c>
      <c r="V96" s="4" t="n"/>
      <c r="W96" s="4">
        <f>_xlfn.XLOOKUP(M98,'00_SKU_Master'!$B$2:$B$378,'00_SKU_Master'!D:D)</f>
        <v/>
      </c>
      <c r="X96" s="14">
        <f>'05_Daily_Orders'!B97</f>
        <v/>
      </c>
      <c r="Y96" s="588" t="n"/>
      <c r="Z96" s="589" t="n"/>
      <c r="AA96" s="589" t="n"/>
      <c r="AB96" s="589" t="n"/>
      <c r="AC96" s="589" t="n">
        <v>0</v>
      </c>
      <c r="AD96" s="589" t="n">
        <v>0</v>
      </c>
      <c r="AE96" s="589" t="n">
        <v>0</v>
      </c>
      <c r="AF96" s="587">
        <f>SUM(Y98:AE98)</f>
        <v/>
      </c>
      <c r="AQ96" s="23" t="n">
        <v>0</v>
      </c>
      <c r="AR96" s="23" t="n">
        <v>0</v>
      </c>
      <c r="AS96" s="23">
        <f>AR98-AQ98</f>
        <v/>
      </c>
    </row>
    <row r="97">
      <c r="A97" s="148">
        <f>_xlfn.XLOOKUP(C99,'00_SKU_Master'!$B$2:$B$378,'00_SKU_Master'!$C$2:$C$378)</f>
        <v/>
      </c>
      <c r="B97" s="148" t="n"/>
      <c r="C97" s="148">
        <f>X99</f>
        <v/>
      </c>
      <c r="D97" s="586">
        <f>_xludf.IFNA(_xlfn.XLOOKUP(C99,'00_SKU_Master'!$B$2:$B$378,'00_SKU_Master'!$F$2:$F$378,0)*Y99,"")</f>
        <v/>
      </c>
      <c r="E97" s="586">
        <f>_xludf.IFNA(_xlfn.XLOOKUP(C99,'00_SKU_Master'!$B$2:$B$378,'00_SKU_Master'!$F$2:$F$378,0)*Z99,"")</f>
        <v/>
      </c>
      <c r="F97" s="586">
        <f>_xludf.IFNA(_xlfn.XLOOKUP(C99,'00_SKU_Master'!$B$2:$B$378,'00_SKU_Master'!$F$2:$F$378,0)*AA99,"")</f>
        <v/>
      </c>
      <c r="G97" s="586">
        <f>_xludf.IFNA(_xlfn.XLOOKUP(C99,'00_SKU_Master'!$B$2:$B$378,'00_SKU_Master'!$F$2:$F$378,0)*AB99,"")</f>
        <v/>
      </c>
      <c r="H97" s="586">
        <f>_xludf.IFNA(_xlfn.XLOOKUP(C99,'00_SKU_Master'!$B$2:$B$378,'00_SKU_Master'!$F$2:$F$378,0)*AC99,"")</f>
        <v/>
      </c>
      <c r="I97" s="586">
        <f>_xludf.IFNA(_xlfn.XLOOKUP(C99,'00_SKU_Master'!$B$2:$B$378,'00_SKU_Master'!$F$2:$F$378,0)*AD99,"")</f>
        <v/>
      </c>
      <c r="J97" s="586">
        <f>_xludf.IFNA(_xlfn.XLOOKUP(C99,'00_SKU_Master'!$B$2:$B$378,'00_SKU_Master'!$F$2:$F$378,0)*AE99,"")</f>
        <v/>
      </c>
      <c r="K97" s="587">
        <f>SUM(D99:J99)</f>
        <v/>
      </c>
      <c r="L97" s="197">
        <f>_xlfn.XLOOKUP(C99,'00_SKU_Master'!$B$2:$B$378,'00_SKU_Master'!K:K)</f>
        <v/>
      </c>
      <c r="M97" s="14">
        <f>X99</f>
        <v/>
      </c>
      <c r="N97" s="157">
        <f>_xludf.IFNA(D99/_xlfn.XLOOKUP($M99,'00_SKU_Master'!$B$2:$B$378,'00_SKU_Master'!$M$2:$M$378,0)/$M$2,"0")</f>
        <v/>
      </c>
      <c r="O97" s="157">
        <f>_xludf.IFNA(E99/_xlfn.XLOOKUP($M99,'00_SKU_Master'!$B$2:$B$378,'00_SKU_Master'!$M$2:$M$378,0)/$M$2,"0")</f>
        <v/>
      </c>
      <c r="P97" s="157">
        <f>_xludf.IFNA(F99/_xlfn.XLOOKUP($M99,'00_SKU_Master'!$B$2:$B$378,'00_SKU_Master'!$M$2:$M$378,0)/$M$2,"0")</f>
        <v/>
      </c>
      <c r="Q97" s="157">
        <f>_xludf.IFNA(G99/_xlfn.XLOOKUP($M99,'00_SKU_Master'!$B$2:$B$378,'00_SKU_Master'!$M$2:$M$378,0)/$M$2,"0")</f>
        <v/>
      </c>
      <c r="R97" s="157">
        <f>_xludf.IFNA(H99/_xlfn.XLOOKUP($M99,'00_SKU_Master'!$B$2:$B$378,'00_SKU_Master'!$M$2:$M$378,0)/$M$2,"0")</f>
        <v/>
      </c>
      <c r="S97" s="157">
        <f>_xludf.IFNA(I99/_xlfn.XLOOKUP($M99,'00_SKU_Master'!$B$2:$B$378,'00_SKU_Master'!$M$2:$M$378,0)/$M$2,"0")</f>
        <v/>
      </c>
      <c r="T97" s="157">
        <f>_xludf.IFNA(J99/_xlfn.XLOOKUP($M99,'00_SKU_Master'!$B$2:$B$378,'00_SKU_Master'!$M$2:$M$378,0)/$M$2,"0")</f>
        <v/>
      </c>
      <c r="U97" s="157">
        <f>SUM(N99:T99)</f>
        <v/>
      </c>
      <c r="V97" s="4" t="n"/>
      <c r="W97" s="4">
        <f>_xlfn.XLOOKUP(M99,'00_SKU_Master'!$B$2:$B$378,'00_SKU_Master'!D:D)</f>
        <v/>
      </c>
      <c r="X97" s="14">
        <f>'05_Daily_Orders'!B98</f>
        <v/>
      </c>
      <c r="Y97" s="588" t="n"/>
      <c r="Z97" s="589" t="n"/>
      <c r="AA97" s="589" t="n"/>
      <c r="AB97" s="589" t="n"/>
      <c r="AC97" s="589" t="n">
        <v>0</v>
      </c>
      <c r="AD97" s="589" t="n">
        <v>0</v>
      </c>
      <c r="AE97" s="589" t="n">
        <v>0</v>
      </c>
      <c r="AF97" s="587">
        <f>SUM(Y99:AE99)</f>
        <v/>
      </c>
      <c r="AQ97" s="23" t="n">
        <v>0</v>
      </c>
      <c r="AR97" s="23" t="n">
        <v>0</v>
      </c>
      <c r="AS97" s="23">
        <f>AR99-AQ99</f>
        <v/>
      </c>
    </row>
    <row r="98">
      <c r="A98" s="148">
        <f>_xlfn.XLOOKUP(C100,'00_SKU_Master'!$B$2:$B$378,'00_SKU_Master'!$C$2:$C$378)</f>
        <v/>
      </c>
      <c r="B98" s="148" t="n"/>
      <c r="C98" s="148">
        <f>X100</f>
        <v/>
      </c>
      <c r="D98" s="586">
        <f>_xludf.IFNA(_xlfn.XLOOKUP(C100,'00_SKU_Master'!$B$2:$B$378,'00_SKU_Master'!$F$2:$F$378,0)*Y100,"")</f>
        <v/>
      </c>
      <c r="E98" s="586">
        <f>_xludf.IFNA(_xlfn.XLOOKUP(C100,'00_SKU_Master'!$B$2:$B$378,'00_SKU_Master'!$F$2:$F$378,0)*Z100,"")</f>
        <v/>
      </c>
      <c r="F98" s="586">
        <f>_xludf.IFNA(_xlfn.XLOOKUP(C100,'00_SKU_Master'!$B$2:$B$378,'00_SKU_Master'!$F$2:$F$378,0)*AA100,"")</f>
        <v/>
      </c>
      <c r="G98" s="586">
        <f>_xludf.IFNA(_xlfn.XLOOKUP(C100,'00_SKU_Master'!$B$2:$B$378,'00_SKU_Master'!$F$2:$F$378,0)*AB100,"")</f>
        <v/>
      </c>
      <c r="H98" s="586">
        <f>_xludf.IFNA(_xlfn.XLOOKUP(C100,'00_SKU_Master'!$B$2:$B$378,'00_SKU_Master'!$F$2:$F$378,0)*AC100,"")</f>
        <v/>
      </c>
      <c r="I98" s="586">
        <f>_xludf.IFNA(_xlfn.XLOOKUP(C100,'00_SKU_Master'!$B$2:$B$378,'00_SKU_Master'!$F$2:$F$378,0)*AD100,"")</f>
        <v/>
      </c>
      <c r="J98" s="586">
        <f>_xludf.IFNA(_xlfn.XLOOKUP(C100,'00_SKU_Master'!$B$2:$B$378,'00_SKU_Master'!$F$2:$F$378,0)*AE100,"")</f>
        <v/>
      </c>
      <c r="K98" s="587">
        <f>SUM(D100:J100)</f>
        <v/>
      </c>
      <c r="L98" s="197">
        <f>_xlfn.XLOOKUP(C100,'00_SKU_Master'!$B$2:$B$378,'00_SKU_Master'!K:K)</f>
        <v/>
      </c>
      <c r="M98" s="14">
        <f>X100</f>
        <v/>
      </c>
      <c r="N98" s="157">
        <f>_xludf.IFNA(D100/_xlfn.XLOOKUP($M100,'00_SKU_Master'!$B$2:$B$378,'00_SKU_Master'!$M$2:$M$378,0)/$M$2,"0")</f>
        <v/>
      </c>
      <c r="O98" s="157">
        <f>_xludf.IFNA(E100/_xlfn.XLOOKUP($M100,'00_SKU_Master'!$B$2:$B$378,'00_SKU_Master'!$M$2:$M$378,0)/$M$2,"0")</f>
        <v/>
      </c>
      <c r="P98" s="157">
        <f>_xludf.IFNA(F100/_xlfn.XLOOKUP($M100,'00_SKU_Master'!$B$2:$B$378,'00_SKU_Master'!$M$2:$M$378,0)/$M$2,"0")</f>
        <v/>
      </c>
      <c r="Q98" s="157">
        <f>_xludf.IFNA(G100/_xlfn.XLOOKUP($M100,'00_SKU_Master'!$B$2:$B$378,'00_SKU_Master'!$M$2:$M$378,0)/$M$2,"0")</f>
        <v/>
      </c>
      <c r="R98" s="157">
        <f>_xludf.IFNA(H100/_xlfn.XLOOKUP($M100,'00_SKU_Master'!$B$2:$B$378,'00_SKU_Master'!$M$2:$M$378,0)/$M$2,"0")</f>
        <v/>
      </c>
      <c r="S98" s="157">
        <f>_xludf.IFNA(I100/_xlfn.XLOOKUP($M100,'00_SKU_Master'!$B$2:$B$378,'00_SKU_Master'!$M$2:$M$378,0)/$M$2,"0")</f>
        <v/>
      </c>
      <c r="T98" s="157">
        <f>_xludf.IFNA(J100/_xlfn.XLOOKUP($M100,'00_SKU_Master'!$B$2:$B$378,'00_SKU_Master'!$M$2:$M$378,0)/$M$2,"0")</f>
        <v/>
      </c>
      <c r="U98" s="157">
        <f>SUM(N100:T100)</f>
        <v/>
      </c>
      <c r="V98" s="4" t="n"/>
      <c r="W98" s="4">
        <f>_xlfn.XLOOKUP(M100,'00_SKU_Master'!$B$2:$B$378,'00_SKU_Master'!D:D)</f>
        <v/>
      </c>
      <c r="X98" s="14">
        <f>'05_Daily_Orders'!B99</f>
        <v/>
      </c>
      <c r="Y98" s="588" t="n"/>
      <c r="Z98" s="589" t="n"/>
      <c r="AA98" s="589" t="n"/>
      <c r="AB98" s="589" t="n"/>
      <c r="AC98" s="589" t="n">
        <v>0</v>
      </c>
      <c r="AD98" s="589" t="n">
        <v>0</v>
      </c>
      <c r="AE98" s="589" t="n">
        <v>0</v>
      </c>
      <c r="AF98" s="587">
        <f>SUM(Y100:AE100)</f>
        <v/>
      </c>
      <c r="AQ98" s="23" t="n">
        <v>0</v>
      </c>
      <c r="AR98" s="23" t="n">
        <v>0</v>
      </c>
      <c r="AS98" s="23">
        <f>AR100-AQ100</f>
        <v/>
      </c>
    </row>
    <row r="99">
      <c r="A99" s="148">
        <f>_xlfn.XLOOKUP(C101,'00_SKU_Master'!$B$2:$B$378,'00_SKU_Master'!$C$2:$C$378)</f>
        <v/>
      </c>
      <c r="B99" s="148" t="n"/>
      <c r="C99" s="148">
        <f>X101</f>
        <v/>
      </c>
      <c r="D99" s="586">
        <f>_xludf.IFNA(_xlfn.XLOOKUP(C101,'00_SKU_Master'!$B$2:$B$378,'00_SKU_Master'!$F$2:$F$378,0)*Y101,"")</f>
        <v/>
      </c>
      <c r="E99" s="586">
        <f>_xludf.IFNA(_xlfn.XLOOKUP(C101,'00_SKU_Master'!$B$2:$B$378,'00_SKU_Master'!$F$2:$F$378,0)*Z101,"")</f>
        <v/>
      </c>
      <c r="F99" s="586">
        <f>_xludf.IFNA(_xlfn.XLOOKUP(C101,'00_SKU_Master'!$B$2:$B$378,'00_SKU_Master'!$F$2:$F$378,0)*AA101,"")</f>
        <v/>
      </c>
      <c r="G99" s="586">
        <f>_xludf.IFNA(_xlfn.XLOOKUP(C101,'00_SKU_Master'!$B$2:$B$378,'00_SKU_Master'!$F$2:$F$378,0)*AB101,"")</f>
        <v/>
      </c>
      <c r="H99" s="586">
        <f>_xludf.IFNA(_xlfn.XLOOKUP(C101,'00_SKU_Master'!$B$2:$B$378,'00_SKU_Master'!$F$2:$F$378,0)*AC101,"")</f>
        <v/>
      </c>
      <c r="I99" s="586">
        <f>_xludf.IFNA(_xlfn.XLOOKUP(C101,'00_SKU_Master'!$B$2:$B$378,'00_SKU_Master'!$F$2:$F$378,0)*AD101,"")</f>
        <v/>
      </c>
      <c r="J99" s="586">
        <f>_xludf.IFNA(_xlfn.XLOOKUP(C101,'00_SKU_Master'!$B$2:$B$378,'00_SKU_Master'!$F$2:$F$378,0)*AE101,"")</f>
        <v/>
      </c>
      <c r="K99" s="587">
        <f>SUM(D101:J101)</f>
        <v/>
      </c>
      <c r="L99" s="197">
        <f>_xlfn.XLOOKUP(C101,'00_SKU_Master'!$B$2:$B$378,'00_SKU_Master'!K:K)</f>
        <v/>
      </c>
      <c r="M99" s="14">
        <f>X101</f>
        <v/>
      </c>
      <c r="N99" s="157">
        <f>_xludf.IFNA(D101/_xlfn.XLOOKUP($M101,'00_SKU_Master'!$B$2:$B$378,'00_SKU_Master'!$M$2:$M$378,0)/$M$2,"0")</f>
        <v/>
      </c>
      <c r="O99" s="157">
        <f>_xludf.IFNA(E101/_xlfn.XLOOKUP($M101,'00_SKU_Master'!$B$2:$B$378,'00_SKU_Master'!$M$2:$M$378,0)/$M$2,"0")</f>
        <v/>
      </c>
      <c r="P99" s="157">
        <f>_xludf.IFNA(F101/_xlfn.XLOOKUP($M101,'00_SKU_Master'!$B$2:$B$378,'00_SKU_Master'!$M$2:$M$378,0)/$M$2,"0")</f>
        <v/>
      </c>
      <c r="Q99" s="157">
        <f>_xludf.IFNA(G101/_xlfn.XLOOKUP($M101,'00_SKU_Master'!$B$2:$B$378,'00_SKU_Master'!$M$2:$M$378,0)/$M$2,"0")</f>
        <v/>
      </c>
      <c r="R99" s="157">
        <f>_xludf.IFNA(H101/_xlfn.XLOOKUP($M101,'00_SKU_Master'!$B$2:$B$378,'00_SKU_Master'!$M$2:$M$378,0)/$M$2,"0")</f>
        <v/>
      </c>
      <c r="S99" s="157">
        <f>_xludf.IFNA(I101/_xlfn.XLOOKUP($M101,'00_SKU_Master'!$B$2:$B$378,'00_SKU_Master'!$M$2:$M$378,0)/$M$2,"0")</f>
        <v/>
      </c>
      <c r="T99" s="157">
        <f>_xludf.IFNA(J101/_xlfn.XLOOKUP($M101,'00_SKU_Master'!$B$2:$B$378,'00_SKU_Master'!$M$2:$M$378,0)/$M$2,"0")</f>
        <v/>
      </c>
      <c r="U99" s="157">
        <f>SUM(N101:T101)</f>
        <v/>
      </c>
      <c r="V99" s="4" t="n"/>
      <c r="W99" s="4">
        <f>_xlfn.XLOOKUP(M101,'00_SKU_Master'!$B$2:$B$378,'00_SKU_Master'!D:D)</f>
        <v/>
      </c>
      <c r="X99" s="14">
        <f>'05_Daily_Orders'!B100</f>
        <v/>
      </c>
      <c r="Y99" s="588" t="n"/>
      <c r="Z99" s="589" t="n"/>
      <c r="AA99" s="589" t="n"/>
      <c r="AB99" s="589" t="n"/>
      <c r="AC99" s="589" t="n">
        <v>0</v>
      </c>
      <c r="AD99" s="589" t="n">
        <v>0</v>
      </c>
      <c r="AE99" s="589" t="n">
        <v>0</v>
      </c>
      <c r="AF99" s="587">
        <f>SUM(Y101:AE101)</f>
        <v/>
      </c>
      <c r="AQ99" s="23" t="n">
        <v>0</v>
      </c>
      <c r="AR99" s="23" t="n">
        <v>0</v>
      </c>
      <c r="AS99" s="23">
        <f>AR101-AQ101</f>
        <v/>
      </c>
    </row>
    <row r="100">
      <c r="A100" s="148">
        <f>_xlfn.XLOOKUP(C102,'00_SKU_Master'!$B$2:$B$378,'00_SKU_Master'!$C$2:$C$378)</f>
        <v/>
      </c>
      <c r="B100" s="148" t="n"/>
      <c r="C100" s="148">
        <f>X102</f>
        <v/>
      </c>
      <c r="D100" s="586">
        <f>_xludf.IFNA(_xlfn.XLOOKUP(C102,'00_SKU_Master'!$B$2:$B$378,'00_SKU_Master'!$F$2:$F$378,0)*Y102,"")</f>
        <v/>
      </c>
      <c r="E100" s="586">
        <f>_xludf.IFNA(_xlfn.XLOOKUP(C102,'00_SKU_Master'!$B$2:$B$378,'00_SKU_Master'!$F$2:$F$378,0)*Z102,"")</f>
        <v/>
      </c>
      <c r="F100" s="586">
        <f>_xludf.IFNA(_xlfn.XLOOKUP(C102,'00_SKU_Master'!$B$2:$B$378,'00_SKU_Master'!$F$2:$F$378,0)*AA102,"")</f>
        <v/>
      </c>
      <c r="G100" s="586">
        <f>_xludf.IFNA(_xlfn.XLOOKUP(C102,'00_SKU_Master'!$B$2:$B$378,'00_SKU_Master'!$F$2:$F$378,0)*AB102,"")</f>
        <v/>
      </c>
      <c r="H100" s="586">
        <f>_xludf.IFNA(_xlfn.XLOOKUP(C102,'00_SKU_Master'!$B$2:$B$378,'00_SKU_Master'!$F$2:$F$378,0)*AC102,"")</f>
        <v/>
      </c>
      <c r="I100" s="586">
        <f>_xludf.IFNA(_xlfn.XLOOKUP(C102,'00_SKU_Master'!$B$2:$B$378,'00_SKU_Master'!$F$2:$F$378,0)*AD102,"")</f>
        <v/>
      </c>
      <c r="J100" s="586">
        <f>_xludf.IFNA(_xlfn.XLOOKUP(C102,'00_SKU_Master'!$B$2:$B$378,'00_SKU_Master'!$F$2:$F$378,0)*AE102,"")</f>
        <v/>
      </c>
      <c r="K100" s="587">
        <f>SUM(D102:J102)</f>
        <v/>
      </c>
      <c r="L100" s="197">
        <f>_xlfn.XLOOKUP(C102,'00_SKU_Master'!$B$2:$B$378,'00_SKU_Master'!K:K)</f>
        <v/>
      </c>
      <c r="M100" s="14">
        <f>X102</f>
        <v/>
      </c>
      <c r="N100" s="157">
        <f>_xludf.IFNA(D102/_xlfn.XLOOKUP($M102,'00_SKU_Master'!$B$2:$B$378,'00_SKU_Master'!$M$2:$M$378,0)/$M$2,"0")</f>
        <v/>
      </c>
      <c r="O100" s="157">
        <f>_xludf.IFNA(E102/_xlfn.XLOOKUP($M102,'00_SKU_Master'!$B$2:$B$378,'00_SKU_Master'!$M$2:$M$378,0)/$M$2,"0")</f>
        <v/>
      </c>
      <c r="P100" s="157">
        <f>_xludf.IFNA(F102/_xlfn.XLOOKUP($M102,'00_SKU_Master'!$B$2:$B$378,'00_SKU_Master'!$M$2:$M$378,0)/$M$2,"0")</f>
        <v/>
      </c>
      <c r="Q100" s="157">
        <f>_xludf.IFNA(G102/_xlfn.XLOOKUP($M102,'00_SKU_Master'!$B$2:$B$378,'00_SKU_Master'!$M$2:$M$378,0)/$M$2,"0")</f>
        <v/>
      </c>
      <c r="R100" s="157">
        <f>_xludf.IFNA(H102/_xlfn.XLOOKUP($M102,'00_SKU_Master'!$B$2:$B$378,'00_SKU_Master'!$M$2:$M$378,0)/$M$2,"0")</f>
        <v/>
      </c>
      <c r="S100" s="157">
        <f>_xludf.IFNA(I102/_xlfn.XLOOKUP($M102,'00_SKU_Master'!$B$2:$B$378,'00_SKU_Master'!$M$2:$M$378,0)/$M$2,"0")</f>
        <v/>
      </c>
      <c r="T100" s="157">
        <f>_xludf.IFNA(J102/_xlfn.XLOOKUP($M102,'00_SKU_Master'!$B$2:$B$378,'00_SKU_Master'!$M$2:$M$378,0)/$M$2,"0")</f>
        <v/>
      </c>
      <c r="U100" s="157">
        <f>SUM(N102:T102)</f>
        <v/>
      </c>
      <c r="V100" s="4" t="n"/>
      <c r="W100" s="4">
        <f>_xlfn.XLOOKUP(M102,'00_SKU_Master'!$B$2:$B$378,'00_SKU_Master'!D:D)</f>
        <v/>
      </c>
      <c r="X100" s="14">
        <f>'05_Daily_Orders'!B101</f>
        <v/>
      </c>
      <c r="Y100" s="588" t="n"/>
      <c r="Z100" s="589" t="n"/>
      <c r="AA100" s="589" t="n"/>
      <c r="AB100" s="589" t="n"/>
      <c r="AC100" s="589" t="n">
        <v>0</v>
      </c>
      <c r="AD100" s="589" t="n">
        <v>0</v>
      </c>
      <c r="AE100" s="589" t="n">
        <v>0</v>
      </c>
      <c r="AF100" s="587">
        <f>SUM(Y102:AE102)</f>
        <v/>
      </c>
      <c r="AQ100" s="23" t="n">
        <v>0</v>
      </c>
      <c r="AR100" s="23" t="n">
        <v>0</v>
      </c>
      <c r="AS100" s="23">
        <f>AR102-AQ102</f>
        <v/>
      </c>
    </row>
    <row r="101">
      <c r="A101" s="148">
        <f>_xlfn.XLOOKUP(C103,'00_SKU_Master'!$B$2:$B$378,'00_SKU_Master'!$C$2:$C$378)</f>
        <v/>
      </c>
      <c r="B101" s="148" t="n"/>
      <c r="C101" s="148">
        <f>X103</f>
        <v/>
      </c>
      <c r="D101" s="586">
        <f>_xludf.IFNA(_xlfn.XLOOKUP(C103,'00_SKU_Master'!$B$2:$B$378,'00_SKU_Master'!$F$2:$F$378,0)*Y103,"")</f>
        <v/>
      </c>
      <c r="E101" s="586">
        <f>_xludf.IFNA(_xlfn.XLOOKUP(C103,'00_SKU_Master'!$B$2:$B$378,'00_SKU_Master'!$F$2:$F$378,0)*Z103,"")</f>
        <v/>
      </c>
      <c r="F101" s="586">
        <f>_xludf.IFNA(_xlfn.XLOOKUP(C103,'00_SKU_Master'!$B$2:$B$378,'00_SKU_Master'!$F$2:$F$378,0)*AA103,"")</f>
        <v/>
      </c>
      <c r="G101" s="586">
        <f>_xludf.IFNA(_xlfn.XLOOKUP(C103,'00_SKU_Master'!$B$2:$B$378,'00_SKU_Master'!$F$2:$F$378,0)*AB103,"")</f>
        <v/>
      </c>
      <c r="H101" s="586">
        <f>_xludf.IFNA(_xlfn.XLOOKUP(C103,'00_SKU_Master'!$B$2:$B$378,'00_SKU_Master'!$F$2:$F$378,0)*AC103,"")</f>
        <v/>
      </c>
      <c r="I101" s="586">
        <f>_xludf.IFNA(_xlfn.XLOOKUP(C103,'00_SKU_Master'!$B$2:$B$378,'00_SKU_Master'!$F$2:$F$378,0)*AD103,"")</f>
        <v/>
      </c>
      <c r="J101" s="586">
        <f>_xludf.IFNA(_xlfn.XLOOKUP(C103,'00_SKU_Master'!$B$2:$B$378,'00_SKU_Master'!$F$2:$F$378,0)*AE103,"")</f>
        <v/>
      </c>
      <c r="K101" s="587">
        <f>SUM(D103:J103)</f>
        <v/>
      </c>
      <c r="L101" s="197">
        <f>_xlfn.XLOOKUP(C103,'00_SKU_Master'!$B$2:$B$378,'00_SKU_Master'!K:K)</f>
        <v/>
      </c>
      <c r="M101" s="14">
        <f>X103</f>
        <v/>
      </c>
      <c r="N101" s="157">
        <f>_xludf.IFNA(D103/_xlfn.XLOOKUP($M103,'00_SKU_Master'!$B$2:$B$378,'00_SKU_Master'!$M$2:$M$378,0)/$M$2,"0")</f>
        <v/>
      </c>
      <c r="O101" s="157">
        <f>_xludf.IFNA(E103/_xlfn.XLOOKUP($M103,'00_SKU_Master'!$B$2:$B$378,'00_SKU_Master'!$M$2:$M$378,0)/$M$2,"0")</f>
        <v/>
      </c>
      <c r="P101" s="157">
        <f>_xludf.IFNA(F103/_xlfn.XLOOKUP($M103,'00_SKU_Master'!$B$2:$B$378,'00_SKU_Master'!$M$2:$M$378,0)/$M$2,"0")</f>
        <v/>
      </c>
      <c r="Q101" s="157">
        <f>_xludf.IFNA(G103/_xlfn.XLOOKUP($M103,'00_SKU_Master'!$B$2:$B$378,'00_SKU_Master'!$M$2:$M$378,0)/$M$2,"0")</f>
        <v/>
      </c>
      <c r="R101" s="157">
        <f>_xludf.IFNA(H103/_xlfn.XLOOKUP($M103,'00_SKU_Master'!$B$2:$B$378,'00_SKU_Master'!$M$2:$M$378,0)/$M$2,"0")</f>
        <v/>
      </c>
      <c r="S101" s="157">
        <f>_xludf.IFNA(I103/_xlfn.XLOOKUP($M103,'00_SKU_Master'!$B$2:$B$378,'00_SKU_Master'!$M$2:$M$378,0)/$M$2,"0")</f>
        <v/>
      </c>
      <c r="T101" s="157">
        <f>_xludf.IFNA(J103/_xlfn.XLOOKUP($M103,'00_SKU_Master'!$B$2:$B$378,'00_SKU_Master'!$M$2:$M$378,0)/$M$2,"0")</f>
        <v/>
      </c>
      <c r="U101" s="157">
        <f>SUM(N103:T103)</f>
        <v/>
      </c>
      <c r="V101" s="4" t="n"/>
      <c r="W101" s="4">
        <f>_xlfn.XLOOKUP(M103,'00_SKU_Master'!$B$2:$B$378,'00_SKU_Master'!D:D)</f>
        <v/>
      </c>
      <c r="X101" s="14">
        <f>'05_Daily_Orders'!B102</f>
        <v/>
      </c>
      <c r="Y101" s="588" t="n"/>
      <c r="Z101" s="589" t="n"/>
      <c r="AA101" s="589" t="n"/>
      <c r="AB101" s="589" t="n"/>
      <c r="AC101" s="589" t="n">
        <v>0</v>
      </c>
      <c r="AD101" s="589" t="n">
        <v>0</v>
      </c>
      <c r="AE101" s="589" t="n">
        <v>0</v>
      </c>
      <c r="AF101" s="587">
        <f>SUM(Y103:AE103)</f>
        <v/>
      </c>
      <c r="AQ101" s="23" t="n">
        <v>0</v>
      </c>
      <c r="AR101" s="23" t="n">
        <v>0</v>
      </c>
      <c r="AS101" s="23">
        <f>AR103-AQ103</f>
        <v/>
      </c>
    </row>
    <row r="102">
      <c r="A102" s="148">
        <f>_xlfn.XLOOKUP(C104,'00_SKU_Master'!$B$2:$B$378,'00_SKU_Master'!$C$2:$C$378)</f>
        <v/>
      </c>
      <c r="B102" s="148" t="n"/>
      <c r="C102" s="148">
        <f>X104</f>
        <v/>
      </c>
      <c r="D102" s="586">
        <f>_xludf.IFNA(_xlfn.XLOOKUP(C104,'00_SKU_Master'!$B$2:$B$378,'00_SKU_Master'!$F$2:$F$378,0)*Y104,"")</f>
        <v/>
      </c>
      <c r="E102" s="586">
        <f>_xludf.IFNA(_xlfn.XLOOKUP(C104,'00_SKU_Master'!$B$2:$B$378,'00_SKU_Master'!$F$2:$F$378,0)*Z104,"")</f>
        <v/>
      </c>
      <c r="F102" s="586">
        <f>_xludf.IFNA(_xlfn.XLOOKUP(C104,'00_SKU_Master'!$B$2:$B$378,'00_SKU_Master'!$F$2:$F$378,0)*AA104,"")</f>
        <v/>
      </c>
      <c r="G102" s="586">
        <f>_xludf.IFNA(_xlfn.XLOOKUP(C104,'00_SKU_Master'!$B$2:$B$378,'00_SKU_Master'!$F$2:$F$378,0)*AB104,"")</f>
        <v/>
      </c>
      <c r="H102" s="586">
        <f>_xludf.IFNA(_xlfn.XLOOKUP(C104,'00_SKU_Master'!$B$2:$B$378,'00_SKU_Master'!$F$2:$F$378,0)*AC104,"")</f>
        <v/>
      </c>
      <c r="I102" s="586">
        <f>_xludf.IFNA(_xlfn.XLOOKUP(C104,'00_SKU_Master'!$B$2:$B$378,'00_SKU_Master'!$F$2:$F$378,0)*AD104,"")</f>
        <v/>
      </c>
      <c r="J102" s="586">
        <f>_xludf.IFNA(_xlfn.XLOOKUP(C104,'00_SKU_Master'!$B$2:$B$378,'00_SKU_Master'!$F$2:$F$378,0)*AE104,"")</f>
        <v/>
      </c>
      <c r="K102" s="587">
        <f>SUM(D104:J104)</f>
        <v/>
      </c>
      <c r="L102" s="197">
        <f>_xlfn.XLOOKUP(C104,'00_SKU_Master'!$B$2:$B$378,'00_SKU_Master'!K:K)</f>
        <v/>
      </c>
      <c r="M102" s="14">
        <f>X104</f>
        <v/>
      </c>
      <c r="N102" s="157">
        <f>_xludf.IFNA(D104/_xlfn.XLOOKUP($M104,'00_SKU_Master'!$B$2:$B$378,'00_SKU_Master'!$M$2:$M$378,0)/$M$2,"0")</f>
        <v/>
      </c>
      <c r="O102" s="157">
        <f>_xludf.IFNA(E104/_xlfn.XLOOKUP($M104,'00_SKU_Master'!$B$2:$B$378,'00_SKU_Master'!$M$2:$M$378,0)/$M$2,"0")</f>
        <v/>
      </c>
      <c r="P102" s="157">
        <f>_xludf.IFNA(F104/_xlfn.XLOOKUP($M104,'00_SKU_Master'!$B$2:$B$378,'00_SKU_Master'!$M$2:$M$378,0)/$M$2,"0")</f>
        <v/>
      </c>
      <c r="Q102" s="157">
        <f>_xludf.IFNA(G104/_xlfn.XLOOKUP($M104,'00_SKU_Master'!$B$2:$B$378,'00_SKU_Master'!$M$2:$M$378,0)/$M$2,"0")</f>
        <v/>
      </c>
      <c r="R102" s="157">
        <f>_xludf.IFNA(H104/_xlfn.XLOOKUP($M104,'00_SKU_Master'!$B$2:$B$378,'00_SKU_Master'!$M$2:$M$378,0)/$M$2,"0")</f>
        <v/>
      </c>
      <c r="S102" s="157">
        <f>_xludf.IFNA(I104/_xlfn.XLOOKUP($M104,'00_SKU_Master'!$B$2:$B$378,'00_SKU_Master'!$M$2:$M$378,0)/$M$2,"0")</f>
        <v/>
      </c>
      <c r="T102" s="157">
        <f>_xludf.IFNA(J104/_xlfn.XLOOKUP($M104,'00_SKU_Master'!$B$2:$B$378,'00_SKU_Master'!$M$2:$M$378,0)/$M$2,"0")</f>
        <v/>
      </c>
      <c r="U102" s="157">
        <f>SUM(N104:T104)</f>
        <v/>
      </c>
      <c r="V102" s="4" t="n"/>
      <c r="W102" s="4">
        <f>_xlfn.XLOOKUP(M104,'00_SKU_Master'!$B$2:$B$378,'00_SKU_Master'!D:D)</f>
        <v/>
      </c>
      <c r="X102" s="14">
        <f>'05_Daily_Orders'!B103</f>
        <v/>
      </c>
      <c r="Y102" s="588" t="n"/>
      <c r="Z102" s="589" t="n"/>
      <c r="AA102" s="589" t="n"/>
      <c r="AB102" s="589" t="n"/>
      <c r="AC102" s="589" t="n">
        <v>0</v>
      </c>
      <c r="AD102" s="589" t="n">
        <v>0</v>
      </c>
      <c r="AE102" s="589" t="n">
        <v>0</v>
      </c>
      <c r="AF102" s="587">
        <f>SUM(Y104:AE104)</f>
        <v/>
      </c>
      <c r="AQ102" s="23" t="n">
        <v>0</v>
      </c>
      <c r="AR102" s="23" t="n">
        <v>0</v>
      </c>
      <c r="AS102" s="23">
        <f>AR104-AQ104</f>
        <v/>
      </c>
    </row>
    <row r="103">
      <c r="A103" s="148">
        <f>_xlfn.XLOOKUP(C105,'00_SKU_Master'!$B$2:$B$378,'00_SKU_Master'!$C$2:$C$378)</f>
        <v/>
      </c>
      <c r="B103" s="148" t="n"/>
      <c r="C103" s="148">
        <f>X105</f>
        <v/>
      </c>
      <c r="D103" s="586">
        <f>_xludf.IFNA(_xlfn.XLOOKUP(C105,'00_SKU_Master'!$B$2:$B$378,'00_SKU_Master'!$F$2:$F$378,0)*Y105,"")</f>
        <v/>
      </c>
      <c r="E103" s="586">
        <f>_xludf.IFNA(_xlfn.XLOOKUP(C105,'00_SKU_Master'!$B$2:$B$378,'00_SKU_Master'!$F$2:$F$378,0)*Z105,"")</f>
        <v/>
      </c>
      <c r="F103" s="586">
        <f>_xludf.IFNA(_xlfn.XLOOKUP(C105,'00_SKU_Master'!$B$2:$B$378,'00_SKU_Master'!$F$2:$F$378,0)*AA105,"")</f>
        <v/>
      </c>
      <c r="G103" s="586">
        <f>_xludf.IFNA(_xlfn.XLOOKUP(C105,'00_SKU_Master'!$B$2:$B$378,'00_SKU_Master'!$F$2:$F$378,0)*AB105,"")</f>
        <v/>
      </c>
      <c r="H103" s="586">
        <f>_xludf.IFNA(_xlfn.XLOOKUP(C105,'00_SKU_Master'!$B$2:$B$378,'00_SKU_Master'!$F$2:$F$378,0)*AC105,"")</f>
        <v/>
      </c>
      <c r="I103" s="586">
        <f>_xludf.IFNA(_xlfn.XLOOKUP(C105,'00_SKU_Master'!$B$2:$B$378,'00_SKU_Master'!$F$2:$F$378,0)*AD105,"")</f>
        <v/>
      </c>
      <c r="J103" s="586">
        <f>_xludf.IFNA(_xlfn.XLOOKUP(C105,'00_SKU_Master'!$B$2:$B$378,'00_SKU_Master'!$F$2:$F$378,0)*AE105,"")</f>
        <v/>
      </c>
      <c r="K103" s="587">
        <f>SUM(D105:J105)</f>
        <v/>
      </c>
      <c r="L103" s="197">
        <f>_xlfn.XLOOKUP(C105,'00_SKU_Master'!$B$2:$B$378,'00_SKU_Master'!K:K)</f>
        <v/>
      </c>
      <c r="M103" s="14">
        <f>X105</f>
        <v/>
      </c>
      <c r="N103" s="157">
        <f>_xludf.IFNA(D105/_xlfn.XLOOKUP($M105,'00_SKU_Master'!$B$2:$B$378,'00_SKU_Master'!$M$2:$M$378,0)/$M$2,"0")</f>
        <v/>
      </c>
      <c r="O103" s="157">
        <f>_xludf.IFNA(E105/_xlfn.XLOOKUP($M105,'00_SKU_Master'!$B$2:$B$378,'00_SKU_Master'!$M$2:$M$378,0)/$M$2,"0")</f>
        <v/>
      </c>
      <c r="P103" s="157">
        <f>_xludf.IFNA(F105/_xlfn.XLOOKUP($M105,'00_SKU_Master'!$B$2:$B$378,'00_SKU_Master'!$M$2:$M$378,0)/$M$2,"0")</f>
        <v/>
      </c>
      <c r="Q103" s="157">
        <f>_xludf.IFNA(G105/_xlfn.XLOOKUP($M105,'00_SKU_Master'!$B$2:$B$378,'00_SKU_Master'!$M$2:$M$378,0)/$M$2,"0")</f>
        <v/>
      </c>
      <c r="R103" s="157">
        <f>_xludf.IFNA(H105/_xlfn.XLOOKUP($M105,'00_SKU_Master'!$B$2:$B$378,'00_SKU_Master'!$M$2:$M$378,0)/$M$2,"0")</f>
        <v/>
      </c>
      <c r="S103" s="157">
        <f>_xludf.IFNA(I105/_xlfn.XLOOKUP($M105,'00_SKU_Master'!$B$2:$B$378,'00_SKU_Master'!$M$2:$M$378,0)/$M$2,"0")</f>
        <v/>
      </c>
      <c r="T103" s="157">
        <f>_xludf.IFNA(J105/_xlfn.XLOOKUP($M105,'00_SKU_Master'!$B$2:$B$378,'00_SKU_Master'!$M$2:$M$378,0)/$M$2,"0")</f>
        <v/>
      </c>
      <c r="U103" s="157">
        <f>SUM(N105:T105)</f>
        <v/>
      </c>
      <c r="V103" s="4" t="n"/>
      <c r="W103" s="4">
        <f>_xlfn.XLOOKUP(M105,'00_SKU_Master'!$B$2:$B$378,'00_SKU_Master'!D:D)</f>
        <v/>
      </c>
      <c r="X103" s="14">
        <f>'05_Daily_Orders'!B104</f>
        <v/>
      </c>
      <c r="Y103" s="588" t="n"/>
      <c r="Z103" s="589" t="n"/>
      <c r="AA103" s="589" t="n"/>
      <c r="AB103" s="589" t="n"/>
      <c r="AC103" s="589" t="n">
        <v>0</v>
      </c>
      <c r="AD103" s="589" t="n">
        <v>0</v>
      </c>
      <c r="AE103" s="589" t="n">
        <v>0</v>
      </c>
      <c r="AF103" s="587">
        <f>SUM(Y105:AE105)</f>
        <v/>
      </c>
      <c r="AQ103" s="23" t="n">
        <v>0</v>
      </c>
      <c r="AR103" s="23" t="n">
        <v>0</v>
      </c>
      <c r="AS103" s="23">
        <f>AR105-AQ105</f>
        <v/>
      </c>
    </row>
    <row r="104">
      <c r="A104" s="148">
        <f>_xlfn.XLOOKUP(C106,'00_SKU_Master'!$B$2:$B$378,'00_SKU_Master'!$C$2:$C$378)</f>
        <v/>
      </c>
      <c r="B104" s="148" t="n"/>
      <c r="C104" s="148">
        <f>X106</f>
        <v/>
      </c>
      <c r="D104" s="586">
        <f>_xludf.IFNA(_xlfn.XLOOKUP(C106,'00_SKU_Master'!$B$2:$B$378,'00_SKU_Master'!$F$2:$F$378,0)*Y106,"")</f>
        <v/>
      </c>
      <c r="E104" s="586">
        <f>_xludf.IFNA(_xlfn.XLOOKUP(C106,'00_SKU_Master'!$B$2:$B$378,'00_SKU_Master'!$F$2:$F$378,0)*Z106,"")</f>
        <v/>
      </c>
      <c r="F104" s="586">
        <f>_xludf.IFNA(_xlfn.XLOOKUP(C106,'00_SKU_Master'!$B$2:$B$378,'00_SKU_Master'!$F$2:$F$378,0)*AA106,"")</f>
        <v/>
      </c>
      <c r="G104" s="586">
        <f>_xludf.IFNA(_xlfn.XLOOKUP(C106,'00_SKU_Master'!$B$2:$B$378,'00_SKU_Master'!$F$2:$F$378,0)*AB106,"")</f>
        <v/>
      </c>
      <c r="H104" s="586">
        <f>_xludf.IFNA(_xlfn.XLOOKUP(C106,'00_SKU_Master'!$B$2:$B$378,'00_SKU_Master'!$F$2:$F$378,0)*AC106,"")</f>
        <v/>
      </c>
      <c r="I104" s="586">
        <f>_xludf.IFNA(_xlfn.XLOOKUP(C106,'00_SKU_Master'!$B$2:$B$378,'00_SKU_Master'!$F$2:$F$378,0)*AD106,"")</f>
        <v/>
      </c>
      <c r="J104" s="586">
        <f>_xludf.IFNA(_xlfn.XLOOKUP(C106,'00_SKU_Master'!$B$2:$B$378,'00_SKU_Master'!$F$2:$F$378,0)*AE106,"")</f>
        <v/>
      </c>
      <c r="K104" s="587">
        <f>SUM(D106:J106)</f>
        <v/>
      </c>
      <c r="L104" s="197">
        <f>_xlfn.XLOOKUP(C106,'00_SKU_Master'!$B$2:$B$378,'00_SKU_Master'!K:K)</f>
        <v/>
      </c>
      <c r="M104" s="14">
        <f>X106</f>
        <v/>
      </c>
      <c r="N104" s="157">
        <f>_xludf.IFNA(D106/_xlfn.XLOOKUP($M106,'00_SKU_Master'!$B$2:$B$378,'00_SKU_Master'!$M$2:$M$378,0)/$M$2,"0")</f>
        <v/>
      </c>
      <c r="O104" s="157">
        <f>_xludf.IFNA(E106/_xlfn.XLOOKUP($M106,'00_SKU_Master'!$B$2:$B$378,'00_SKU_Master'!$M$2:$M$378,0)/$M$2,"0")</f>
        <v/>
      </c>
      <c r="P104" s="157">
        <f>_xludf.IFNA(F106/_xlfn.XLOOKUP($M106,'00_SKU_Master'!$B$2:$B$378,'00_SKU_Master'!$M$2:$M$378,0)/$M$2,"0")</f>
        <v/>
      </c>
      <c r="Q104" s="157">
        <f>_xludf.IFNA(G106/_xlfn.XLOOKUP($M106,'00_SKU_Master'!$B$2:$B$378,'00_SKU_Master'!$M$2:$M$378,0)/$M$2,"0")</f>
        <v/>
      </c>
      <c r="R104" s="157">
        <f>_xludf.IFNA(H106/_xlfn.XLOOKUP($M106,'00_SKU_Master'!$B$2:$B$378,'00_SKU_Master'!$M$2:$M$378,0)/$M$2,"0")</f>
        <v/>
      </c>
      <c r="S104" s="157">
        <f>_xludf.IFNA(I106/_xlfn.XLOOKUP($M106,'00_SKU_Master'!$B$2:$B$378,'00_SKU_Master'!$M$2:$M$378,0)/$M$2,"0")</f>
        <v/>
      </c>
      <c r="T104" s="157">
        <f>_xludf.IFNA(J106/_xlfn.XLOOKUP($M106,'00_SKU_Master'!$B$2:$B$378,'00_SKU_Master'!$M$2:$M$378,0)/$M$2,"0")</f>
        <v/>
      </c>
      <c r="U104" s="157">
        <f>SUM(N106:T106)</f>
        <v/>
      </c>
      <c r="V104" s="4" t="n"/>
      <c r="W104" s="4">
        <f>_xlfn.XLOOKUP(M106,'00_SKU_Master'!$B$2:$B$378,'00_SKU_Master'!D:D)</f>
        <v/>
      </c>
      <c r="X104" s="14">
        <f>'05_Daily_Orders'!B105</f>
        <v/>
      </c>
      <c r="Y104" s="588" t="n"/>
      <c r="Z104" s="589" t="n"/>
      <c r="AA104" s="589" t="n"/>
      <c r="AB104" s="589" t="n"/>
      <c r="AC104" s="589" t="n">
        <v>0</v>
      </c>
      <c r="AD104" s="589" t="n">
        <v>0</v>
      </c>
      <c r="AE104" s="589" t="n">
        <v>0</v>
      </c>
      <c r="AF104" s="587">
        <f>SUM(Y106:AE106)</f>
        <v/>
      </c>
      <c r="AQ104" s="23" t="n">
        <v>0</v>
      </c>
      <c r="AR104" s="23" t="n">
        <v>0</v>
      </c>
      <c r="AS104" s="23">
        <f>AR106-AQ106</f>
        <v/>
      </c>
    </row>
    <row r="105">
      <c r="A105" s="148">
        <f>_xlfn.XLOOKUP(C107,'00_SKU_Master'!$B$2:$B$378,'00_SKU_Master'!$C$2:$C$378)</f>
        <v/>
      </c>
      <c r="B105" s="148" t="n"/>
      <c r="C105" s="148">
        <f>X107</f>
        <v/>
      </c>
      <c r="D105" s="586">
        <f>_xludf.IFNA(_xlfn.XLOOKUP(C107,'00_SKU_Master'!$B$2:$B$378,'00_SKU_Master'!$F$2:$F$378,0)*Y107,"")</f>
        <v/>
      </c>
      <c r="E105" s="586">
        <f>_xludf.IFNA(_xlfn.XLOOKUP(C107,'00_SKU_Master'!$B$2:$B$378,'00_SKU_Master'!$F$2:$F$378,0)*Z107,"")</f>
        <v/>
      </c>
      <c r="F105" s="586">
        <f>_xludf.IFNA(_xlfn.XLOOKUP(C107,'00_SKU_Master'!$B$2:$B$378,'00_SKU_Master'!$F$2:$F$378,0)*AA107,"")</f>
        <v/>
      </c>
      <c r="G105" s="586">
        <f>_xludf.IFNA(_xlfn.XLOOKUP(C107,'00_SKU_Master'!$B$2:$B$378,'00_SKU_Master'!$F$2:$F$378,0)*AB107,"")</f>
        <v/>
      </c>
      <c r="H105" s="586">
        <f>_xludf.IFNA(_xlfn.XLOOKUP(C107,'00_SKU_Master'!$B$2:$B$378,'00_SKU_Master'!$F$2:$F$378,0)*AC107,"")</f>
        <v/>
      </c>
      <c r="I105" s="586">
        <f>_xludf.IFNA(_xlfn.XLOOKUP(C107,'00_SKU_Master'!$B$2:$B$378,'00_SKU_Master'!$F$2:$F$378,0)*AD107,"")</f>
        <v/>
      </c>
      <c r="J105" s="586">
        <f>_xludf.IFNA(_xlfn.XLOOKUP(C107,'00_SKU_Master'!$B$2:$B$378,'00_SKU_Master'!$F$2:$F$378,0)*AE107,"")</f>
        <v/>
      </c>
      <c r="K105" s="587">
        <f>SUM(D107:J107)</f>
        <v/>
      </c>
      <c r="L105" s="197">
        <f>_xlfn.XLOOKUP(C107,'00_SKU_Master'!$B$2:$B$378,'00_SKU_Master'!K:K)</f>
        <v/>
      </c>
      <c r="M105" s="14">
        <f>X107</f>
        <v/>
      </c>
      <c r="N105" s="157">
        <f>_xludf.IFNA(D107/_xlfn.XLOOKUP($M107,'00_SKU_Master'!$B$2:$B$378,'00_SKU_Master'!$M$2:$M$378,0)/$M$2,"0")</f>
        <v/>
      </c>
      <c r="O105" s="157">
        <f>_xludf.IFNA(E107/_xlfn.XLOOKUP($M107,'00_SKU_Master'!$B$2:$B$378,'00_SKU_Master'!$M$2:$M$378,0)/$M$2,"0")</f>
        <v/>
      </c>
      <c r="P105" s="157">
        <f>_xludf.IFNA(F107/_xlfn.XLOOKUP($M107,'00_SKU_Master'!$B$2:$B$378,'00_SKU_Master'!$M$2:$M$378,0)/$M$2,"0")</f>
        <v/>
      </c>
      <c r="Q105" s="157">
        <f>_xludf.IFNA(G107/_xlfn.XLOOKUP($M107,'00_SKU_Master'!$B$2:$B$378,'00_SKU_Master'!$M$2:$M$378,0)/$M$2,"0")</f>
        <v/>
      </c>
      <c r="R105" s="157">
        <f>_xludf.IFNA(H107/_xlfn.XLOOKUP($M107,'00_SKU_Master'!$B$2:$B$378,'00_SKU_Master'!$M$2:$M$378,0)/$M$2,"0")</f>
        <v/>
      </c>
      <c r="S105" s="157">
        <f>_xludf.IFNA(I107/_xlfn.XLOOKUP($M107,'00_SKU_Master'!$B$2:$B$378,'00_SKU_Master'!$M$2:$M$378,0)/$M$2,"0")</f>
        <v/>
      </c>
      <c r="T105" s="157">
        <f>_xludf.IFNA(J107/_xlfn.XLOOKUP($M107,'00_SKU_Master'!$B$2:$B$378,'00_SKU_Master'!$M$2:$M$378,0)/$M$2,"0")</f>
        <v/>
      </c>
      <c r="U105" s="157">
        <f>SUM(N107:T107)</f>
        <v/>
      </c>
      <c r="V105" s="4" t="n"/>
      <c r="W105" s="4">
        <f>_xlfn.XLOOKUP(M107,'00_SKU_Master'!$B$2:$B$378,'00_SKU_Master'!D:D)</f>
        <v/>
      </c>
      <c r="X105" s="14">
        <f>'05_Daily_Orders'!B106</f>
        <v/>
      </c>
      <c r="Y105" s="588" t="n"/>
      <c r="Z105" s="589" t="n"/>
      <c r="AA105" s="589" t="n"/>
      <c r="AB105" s="589" t="n"/>
      <c r="AC105" s="589" t="n">
        <v>0</v>
      </c>
      <c r="AD105" s="589" t="n">
        <v>0</v>
      </c>
      <c r="AE105" s="589" t="n">
        <v>0</v>
      </c>
      <c r="AF105" s="587">
        <f>SUM(Y107:AE107)</f>
        <v/>
      </c>
      <c r="AQ105" s="23" t="n">
        <v>0</v>
      </c>
      <c r="AR105" s="23" t="n">
        <v>0</v>
      </c>
      <c r="AS105" s="23">
        <f>AR107-AQ107</f>
        <v/>
      </c>
    </row>
    <row r="106">
      <c r="A106" s="148">
        <f>_xlfn.XLOOKUP(C108,'00_SKU_Master'!$B$2:$B$378,'00_SKU_Master'!$C$2:$C$378)</f>
        <v/>
      </c>
      <c r="B106" s="148" t="n"/>
      <c r="C106" s="148">
        <f>X108</f>
        <v/>
      </c>
      <c r="D106" s="586">
        <f>_xludf.IFNA(_xlfn.XLOOKUP(C108,'00_SKU_Master'!$B$2:$B$378,'00_SKU_Master'!$F$2:$F$378,0)*Y108,"")</f>
        <v/>
      </c>
      <c r="E106" s="586">
        <f>_xludf.IFNA(_xlfn.XLOOKUP(C108,'00_SKU_Master'!$B$2:$B$378,'00_SKU_Master'!$F$2:$F$378,0)*Z108,"")</f>
        <v/>
      </c>
      <c r="F106" s="586">
        <f>_xludf.IFNA(_xlfn.XLOOKUP(C108,'00_SKU_Master'!$B$2:$B$378,'00_SKU_Master'!$F$2:$F$378,0)*AA108,"")</f>
        <v/>
      </c>
      <c r="G106" s="586">
        <f>_xludf.IFNA(_xlfn.XLOOKUP(C108,'00_SKU_Master'!$B$2:$B$378,'00_SKU_Master'!$F$2:$F$378,0)*AB108,"")</f>
        <v/>
      </c>
      <c r="H106" s="586">
        <f>_xludf.IFNA(_xlfn.XLOOKUP(C108,'00_SKU_Master'!$B$2:$B$378,'00_SKU_Master'!$F$2:$F$378,0)*AC108,"")</f>
        <v/>
      </c>
      <c r="I106" s="586">
        <f>_xludf.IFNA(_xlfn.XLOOKUP(C108,'00_SKU_Master'!$B$2:$B$378,'00_SKU_Master'!$F$2:$F$378,0)*AD108,"")</f>
        <v/>
      </c>
      <c r="J106" s="586">
        <f>_xludf.IFNA(_xlfn.XLOOKUP(C108,'00_SKU_Master'!$B$2:$B$378,'00_SKU_Master'!$F$2:$F$378,0)*AE108,"")</f>
        <v/>
      </c>
      <c r="K106" s="587">
        <f>SUM(D108:J108)</f>
        <v/>
      </c>
      <c r="L106" s="197">
        <f>_xlfn.XLOOKUP(C108,'00_SKU_Master'!$B$2:$B$378,'00_SKU_Master'!K:K)</f>
        <v/>
      </c>
      <c r="M106" s="14">
        <f>X108</f>
        <v/>
      </c>
      <c r="N106" s="157">
        <f>_xludf.IFNA(D108/_xlfn.XLOOKUP($M108,'00_SKU_Master'!$B$2:$B$378,'00_SKU_Master'!$M$2:$M$378,0)/$M$2,"0")</f>
        <v/>
      </c>
      <c r="O106" s="157">
        <f>_xludf.IFNA(E108/_xlfn.XLOOKUP($M108,'00_SKU_Master'!$B$2:$B$378,'00_SKU_Master'!$M$2:$M$378,0)/$M$2,"0")</f>
        <v/>
      </c>
      <c r="P106" s="157">
        <f>_xludf.IFNA(F108/_xlfn.XLOOKUP($M108,'00_SKU_Master'!$B$2:$B$378,'00_SKU_Master'!$M$2:$M$378,0)/$M$2,"0")</f>
        <v/>
      </c>
      <c r="Q106" s="157">
        <f>_xludf.IFNA(G108/_xlfn.XLOOKUP($M108,'00_SKU_Master'!$B$2:$B$378,'00_SKU_Master'!$M$2:$M$378,0)/$M$2,"0")</f>
        <v/>
      </c>
      <c r="R106" s="157">
        <f>_xludf.IFNA(H108/_xlfn.XLOOKUP($M108,'00_SKU_Master'!$B$2:$B$378,'00_SKU_Master'!$M$2:$M$378,0)/$M$2,"0")</f>
        <v/>
      </c>
      <c r="S106" s="157">
        <f>_xludf.IFNA(I108/_xlfn.XLOOKUP($M108,'00_SKU_Master'!$B$2:$B$378,'00_SKU_Master'!$M$2:$M$378,0)/$M$2,"0")</f>
        <v/>
      </c>
      <c r="T106" s="157">
        <f>_xludf.IFNA(J108/_xlfn.XLOOKUP($M108,'00_SKU_Master'!$B$2:$B$378,'00_SKU_Master'!$M$2:$M$378,0)/$M$2,"0")</f>
        <v/>
      </c>
      <c r="U106" s="157">
        <f>SUM(N108:T108)</f>
        <v/>
      </c>
      <c r="V106" s="4" t="n"/>
      <c r="W106" s="4">
        <f>_xlfn.XLOOKUP(M108,'00_SKU_Master'!$B$2:$B$378,'00_SKU_Master'!D:D)</f>
        <v/>
      </c>
      <c r="X106" s="14">
        <f>'05_Daily_Orders'!B107</f>
        <v/>
      </c>
      <c r="Y106" s="588" t="n"/>
      <c r="Z106" s="589" t="n"/>
      <c r="AA106" s="589" t="n"/>
      <c r="AB106" s="589" t="n"/>
      <c r="AC106" s="589" t="n">
        <v>0</v>
      </c>
      <c r="AD106" s="589" t="n">
        <v>0</v>
      </c>
      <c r="AE106" s="589" t="n">
        <v>0</v>
      </c>
      <c r="AF106" s="587">
        <f>SUM(Y108:AE108)</f>
        <v/>
      </c>
      <c r="AQ106" s="23" t="n">
        <v>0</v>
      </c>
      <c r="AR106" s="23" t="n">
        <v>0</v>
      </c>
      <c r="AS106" s="23">
        <f>AR108-AQ108</f>
        <v/>
      </c>
    </row>
    <row r="107">
      <c r="A107" s="148">
        <f>_xlfn.XLOOKUP(C109,'00_SKU_Master'!$B$2:$B$378,'00_SKU_Master'!$C$2:$C$378)</f>
        <v/>
      </c>
      <c r="B107" s="148" t="n"/>
      <c r="C107" s="148">
        <f>X109</f>
        <v/>
      </c>
      <c r="D107" s="586">
        <f>_xludf.IFNA(_xlfn.XLOOKUP(C109,'00_SKU_Master'!$B$2:$B$378,'00_SKU_Master'!$F$2:$F$378,0)*Y109,"")</f>
        <v/>
      </c>
      <c r="E107" s="586">
        <f>_xludf.IFNA(_xlfn.XLOOKUP(C109,'00_SKU_Master'!$B$2:$B$378,'00_SKU_Master'!$F$2:$F$378,0)*Z109,"")</f>
        <v/>
      </c>
      <c r="F107" s="586">
        <f>_xludf.IFNA(_xlfn.XLOOKUP(C109,'00_SKU_Master'!$B$2:$B$378,'00_SKU_Master'!$F$2:$F$378,0)*AA109,"")</f>
        <v/>
      </c>
      <c r="G107" s="586">
        <f>_xludf.IFNA(_xlfn.XLOOKUP(C109,'00_SKU_Master'!$B$2:$B$378,'00_SKU_Master'!$F$2:$F$378,0)*AB109,"")</f>
        <v/>
      </c>
      <c r="H107" s="586">
        <f>_xludf.IFNA(_xlfn.XLOOKUP(C109,'00_SKU_Master'!$B$2:$B$378,'00_SKU_Master'!$F$2:$F$378,0)*AC109,"")</f>
        <v/>
      </c>
      <c r="I107" s="586">
        <f>_xludf.IFNA(_xlfn.XLOOKUP(C109,'00_SKU_Master'!$B$2:$B$378,'00_SKU_Master'!$F$2:$F$378,0)*AD109,"")</f>
        <v/>
      </c>
      <c r="J107" s="586">
        <f>_xludf.IFNA(_xlfn.XLOOKUP(C109,'00_SKU_Master'!$B$2:$B$378,'00_SKU_Master'!$F$2:$F$378,0)*AE109,"")</f>
        <v/>
      </c>
      <c r="K107" s="587">
        <f>SUM(D109:J109)</f>
        <v/>
      </c>
      <c r="L107" s="197">
        <f>_xlfn.XLOOKUP(C109,'00_SKU_Master'!$B$2:$B$378,'00_SKU_Master'!K:K)</f>
        <v/>
      </c>
      <c r="M107" s="14">
        <f>X109</f>
        <v/>
      </c>
      <c r="N107" s="157">
        <f>_xludf.IFNA(D109/_xlfn.XLOOKUP($M109,'00_SKU_Master'!$B$2:$B$378,'00_SKU_Master'!$M$2:$M$378,0)/$M$2,"0")</f>
        <v/>
      </c>
      <c r="O107" s="157">
        <f>_xludf.IFNA(E109/_xlfn.XLOOKUP($M109,'00_SKU_Master'!$B$2:$B$378,'00_SKU_Master'!$M$2:$M$378,0)/$M$2,"0")</f>
        <v/>
      </c>
      <c r="P107" s="157">
        <f>_xludf.IFNA(F109/_xlfn.XLOOKUP($M109,'00_SKU_Master'!$B$2:$B$378,'00_SKU_Master'!$M$2:$M$378,0)/$M$2,"0")</f>
        <v/>
      </c>
      <c r="Q107" s="157">
        <f>_xludf.IFNA(G109/_xlfn.XLOOKUP($M109,'00_SKU_Master'!$B$2:$B$378,'00_SKU_Master'!$M$2:$M$378,0)/$M$2,"0")</f>
        <v/>
      </c>
      <c r="R107" s="157">
        <f>_xludf.IFNA(H109/_xlfn.XLOOKUP($M109,'00_SKU_Master'!$B$2:$B$378,'00_SKU_Master'!$M$2:$M$378,0)/$M$2,"0")</f>
        <v/>
      </c>
      <c r="S107" s="157">
        <f>_xludf.IFNA(I109/_xlfn.XLOOKUP($M109,'00_SKU_Master'!$B$2:$B$378,'00_SKU_Master'!$M$2:$M$378,0)/$M$2,"0")</f>
        <v/>
      </c>
      <c r="T107" s="157">
        <f>_xludf.IFNA(J109/_xlfn.XLOOKUP($M109,'00_SKU_Master'!$B$2:$B$378,'00_SKU_Master'!$M$2:$M$378,0)/$M$2,"0")</f>
        <v/>
      </c>
      <c r="U107" s="157">
        <f>SUM(N109:T109)</f>
        <v/>
      </c>
      <c r="V107" s="4" t="n"/>
      <c r="W107" s="4">
        <f>_xlfn.XLOOKUP(M109,'00_SKU_Master'!$B$2:$B$378,'00_SKU_Master'!D:D)</f>
        <v/>
      </c>
      <c r="X107" s="14">
        <f>'05_Daily_Orders'!B108</f>
        <v/>
      </c>
      <c r="Y107" s="588" t="n"/>
      <c r="Z107" s="589" t="n"/>
      <c r="AA107" s="589" t="n"/>
      <c r="AB107" s="589" t="n"/>
      <c r="AC107" s="589" t="n">
        <v>0</v>
      </c>
      <c r="AD107" s="589" t="n">
        <v>0</v>
      </c>
      <c r="AE107" s="589" t="n">
        <v>0</v>
      </c>
      <c r="AF107" s="587">
        <f>SUM(Y109:AE109)</f>
        <v/>
      </c>
      <c r="AQ107" s="23" t="n">
        <v>0</v>
      </c>
      <c r="AR107" s="23" t="n">
        <v>0</v>
      </c>
      <c r="AS107" s="23">
        <f>AR109-AQ109</f>
        <v/>
      </c>
    </row>
    <row r="108">
      <c r="A108" s="148">
        <f>_xlfn.XLOOKUP(C110,'00_SKU_Master'!$B$2:$B$378,'00_SKU_Master'!$C$2:$C$378)</f>
        <v/>
      </c>
      <c r="B108" s="148" t="n"/>
      <c r="C108" s="148">
        <f>X110</f>
        <v/>
      </c>
      <c r="D108" s="586">
        <f>_xludf.IFNA(_xlfn.XLOOKUP(C110,'00_SKU_Master'!$B$2:$B$378,'00_SKU_Master'!$F$2:$F$378,0)*Y110,"")</f>
        <v/>
      </c>
      <c r="E108" s="586">
        <f>_xludf.IFNA(_xlfn.XLOOKUP(C110,'00_SKU_Master'!$B$2:$B$378,'00_SKU_Master'!$F$2:$F$378,0)*Z110,"")</f>
        <v/>
      </c>
      <c r="F108" s="586">
        <f>_xludf.IFNA(_xlfn.XLOOKUP(C110,'00_SKU_Master'!$B$2:$B$378,'00_SKU_Master'!$F$2:$F$378,0)*AA110,"")</f>
        <v/>
      </c>
      <c r="G108" s="586">
        <f>_xludf.IFNA(_xlfn.XLOOKUP(C110,'00_SKU_Master'!$B$2:$B$378,'00_SKU_Master'!$F$2:$F$378,0)*AB110,"")</f>
        <v/>
      </c>
      <c r="H108" s="586">
        <f>_xludf.IFNA(_xlfn.XLOOKUP(C110,'00_SKU_Master'!$B$2:$B$378,'00_SKU_Master'!$F$2:$F$378,0)*AC110,"")</f>
        <v/>
      </c>
      <c r="I108" s="586">
        <f>_xludf.IFNA(_xlfn.XLOOKUP(C110,'00_SKU_Master'!$B$2:$B$378,'00_SKU_Master'!$F$2:$F$378,0)*AD110,"")</f>
        <v/>
      </c>
      <c r="J108" s="586">
        <f>_xludf.IFNA(_xlfn.XLOOKUP(C110,'00_SKU_Master'!$B$2:$B$378,'00_SKU_Master'!$F$2:$F$378,0)*AE110,"")</f>
        <v/>
      </c>
      <c r="K108" s="587">
        <f>SUM(D110:J110)</f>
        <v/>
      </c>
      <c r="L108" s="197">
        <f>_xlfn.XLOOKUP(C110,'00_SKU_Master'!$B$2:$B$378,'00_SKU_Master'!K:K)</f>
        <v/>
      </c>
      <c r="M108" s="14">
        <f>X110</f>
        <v/>
      </c>
      <c r="N108" s="157">
        <f>_xludf.IFNA(D110/_xlfn.XLOOKUP($M110,'00_SKU_Master'!$B$2:$B$378,'00_SKU_Master'!$M$2:$M$378,0)/$M$2,"0")</f>
        <v/>
      </c>
      <c r="O108" s="157">
        <f>_xludf.IFNA(E110/_xlfn.XLOOKUP($M110,'00_SKU_Master'!$B$2:$B$378,'00_SKU_Master'!$M$2:$M$378,0)/$M$2,"0")</f>
        <v/>
      </c>
      <c r="P108" s="157">
        <f>_xludf.IFNA(F110/_xlfn.XLOOKUP($M110,'00_SKU_Master'!$B$2:$B$378,'00_SKU_Master'!$M$2:$M$378,0)/$M$2,"0")</f>
        <v/>
      </c>
      <c r="Q108" s="157">
        <f>_xludf.IFNA(G110/_xlfn.XLOOKUP($M110,'00_SKU_Master'!$B$2:$B$378,'00_SKU_Master'!$M$2:$M$378,0)/$M$2,"0")</f>
        <v/>
      </c>
      <c r="R108" s="157">
        <f>_xludf.IFNA(H110/_xlfn.XLOOKUP($M110,'00_SKU_Master'!$B$2:$B$378,'00_SKU_Master'!$M$2:$M$378,0)/$M$2,"0")</f>
        <v/>
      </c>
      <c r="S108" s="157">
        <f>_xludf.IFNA(I110/_xlfn.XLOOKUP($M110,'00_SKU_Master'!$B$2:$B$378,'00_SKU_Master'!$M$2:$M$378,0)/$M$2,"0")</f>
        <v/>
      </c>
      <c r="T108" s="157">
        <f>_xludf.IFNA(J110/_xlfn.XLOOKUP($M110,'00_SKU_Master'!$B$2:$B$378,'00_SKU_Master'!$M$2:$M$378,0)/$M$2,"0")</f>
        <v/>
      </c>
      <c r="U108" s="157">
        <f>SUM(N110:T110)</f>
        <v/>
      </c>
      <c r="V108" s="4" t="n"/>
      <c r="W108" s="4">
        <f>_xlfn.XLOOKUP(M110,'00_SKU_Master'!$B$2:$B$378,'00_SKU_Master'!D:D)</f>
        <v/>
      </c>
      <c r="X108" s="14">
        <f>'05_Daily_Orders'!B109</f>
        <v/>
      </c>
      <c r="Y108" s="588" t="n"/>
      <c r="Z108" s="589" t="n"/>
      <c r="AA108" s="589" t="n"/>
      <c r="AB108" s="589" t="n"/>
      <c r="AC108" s="589" t="n">
        <v>0</v>
      </c>
      <c r="AD108" s="589" t="n">
        <v>0</v>
      </c>
      <c r="AE108" s="589" t="n">
        <v>0</v>
      </c>
      <c r="AF108" s="587">
        <f>SUM(Y110:AE110)</f>
        <v/>
      </c>
      <c r="AQ108" s="23" t="n">
        <v>0</v>
      </c>
      <c r="AR108" s="23" t="n">
        <v>0</v>
      </c>
      <c r="AS108" s="23">
        <f>AR110-AQ110</f>
        <v/>
      </c>
    </row>
    <row r="109">
      <c r="A109" s="148">
        <f>_xlfn.XLOOKUP(C111,'00_SKU_Master'!$B$2:$B$378,'00_SKU_Master'!$C$2:$C$378)</f>
        <v/>
      </c>
      <c r="B109" s="148" t="n"/>
      <c r="C109" s="148">
        <f>X111</f>
        <v/>
      </c>
      <c r="D109" s="586">
        <f>_xludf.IFNA(_xlfn.XLOOKUP(C111,'00_SKU_Master'!$B$2:$B$378,'00_SKU_Master'!$F$2:$F$378,0)*Y111,"")</f>
        <v/>
      </c>
      <c r="E109" s="586">
        <f>_xludf.IFNA(_xlfn.XLOOKUP(C111,'00_SKU_Master'!$B$2:$B$378,'00_SKU_Master'!$F$2:$F$378,0)*Z111,"")</f>
        <v/>
      </c>
      <c r="F109" s="586">
        <f>_xludf.IFNA(_xlfn.XLOOKUP(C111,'00_SKU_Master'!$B$2:$B$378,'00_SKU_Master'!$F$2:$F$378,0)*AA111,"")</f>
        <v/>
      </c>
      <c r="G109" s="586">
        <f>_xludf.IFNA(_xlfn.XLOOKUP(C111,'00_SKU_Master'!$B$2:$B$378,'00_SKU_Master'!$F$2:$F$378,0)*AB111,"")</f>
        <v/>
      </c>
      <c r="H109" s="586">
        <f>_xludf.IFNA(_xlfn.XLOOKUP(C111,'00_SKU_Master'!$B$2:$B$378,'00_SKU_Master'!$F$2:$F$378,0)*AC111,"")</f>
        <v/>
      </c>
      <c r="I109" s="586">
        <f>_xludf.IFNA(_xlfn.XLOOKUP(C111,'00_SKU_Master'!$B$2:$B$378,'00_SKU_Master'!$F$2:$F$378,0)*AD111,"")</f>
        <v/>
      </c>
      <c r="J109" s="586">
        <f>_xludf.IFNA(_xlfn.XLOOKUP(C111,'00_SKU_Master'!$B$2:$B$378,'00_SKU_Master'!$F$2:$F$378,0)*AE111,"")</f>
        <v/>
      </c>
      <c r="K109" s="587">
        <f>SUM(D111:J111)</f>
        <v/>
      </c>
      <c r="L109" s="197">
        <f>_xlfn.XLOOKUP(C111,'00_SKU_Master'!$B$2:$B$378,'00_SKU_Master'!K:K)</f>
        <v/>
      </c>
      <c r="M109" s="14">
        <f>X111</f>
        <v/>
      </c>
      <c r="N109" s="157">
        <f>_xludf.IFNA(D111/_xlfn.XLOOKUP($M111,'00_SKU_Master'!$B$2:$B$378,'00_SKU_Master'!$M$2:$M$378,0)/$M$2,"0")</f>
        <v/>
      </c>
      <c r="O109" s="157">
        <f>_xludf.IFNA(E111/_xlfn.XLOOKUP($M111,'00_SKU_Master'!$B$2:$B$378,'00_SKU_Master'!$M$2:$M$378,0)/$M$2,"0")</f>
        <v/>
      </c>
      <c r="P109" s="157">
        <f>_xludf.IFNA(F111/_xlfn.XLOOKUP($M111,'00_SKU_Master'!$B$2:$B$378,'00_SKU_Master'!$M$2:$M$378,0)/$M$2,"0")</f>
        <v/>
      </c>
      <c r="Q109" s="157">
        <f>_xludf.IFNA(G111/_xlfn.XLOOKUP($M111,'00_SKU_Master'!$B$2:$B$378,'00_SKU_Master'!$M$2:$M$378,0)/$M$2,"0")</f>
        <v/>
      </c>
      <c r="R109" s="157">
        <f>_xludf.IFNA(H111/_xlfn.XLOOKUP($M111,'00_SKU_Master'!$B$2:$B$378,'00_SKU_Master'!$M$2:$M$378,0)/$M$2,"0")</f>
        <v/>
      </c>
      <c r="S109" s="157">
        <f>_xludf.IFNA(I111/_xlfn.XLOOKUP($M111,'00_SKU_Master'!$B$2:$B$378,'00_SKU_Master'!$M$2:$M$378,0)/$M$2,"0")</f>
        <v/>
      </c>
      <c r="T109" s="157">
        <f>_xludf.IFNA(J111/_xlfn.XLOOKUP($M111,'00_SKU_Master'!$B$2:$B$378,'00_SKU_Master'!$M$2:$M$378,0)/$M$2,"0")</f>
        <v/>
      </c>
      <c r="U109" s="157">
        <f>SUM(N111:T111)</f>
        <v/>
      </c>
      <c r="V109" s="4" t="n"/>
      <c r="W109" s="4">
        <f>_xlfn.XLOOKUP(M111,'00_SKU_Master'!$B$2:$B$378,'00_SKU_Master'!D:D)</f>
        <v/>
      </c>
      <c r="X109" s="14">
        <f>'05_Daily_Orders'!B110</f>
        <v/>
      </c>
      <c r="Y109" s="588" t="n"/>
      <c r="Z109" s="589" t="n"/>
      <c r="AA109" s="589" t="n"/>
      <c r="AB109" s="589" t="n"/>
      <c r="AC109" s="589" t="n">
        <v>0</v>
      </c>
      <c r="AD109" s="589" t="n">
        <v>0</v>
      </c>
      <c r="AE109" s="589" t="n">
        <v>0</v>
      </c>
      <c r="AF109" s="587">
        <f>SUM(Y111:AE111)</f>
        <v/>
      </c>
      <c r="AQ109" s="23" t="n">
        <v>0</v>
      </c>
      <c r="AR109" s="23" t="n">
        <v>0</v>
      </c>
      <c r="AS109" s="23">
        <f>AR111-AQ111</f>
        <v/>
      </c>
    </row>
    <row r="110">
      <c r="A110" s="148">
        <f>_xlfn.XLOOKUP(C112,'00_SKU_Master'!$B$2:$B$378,'00_SKU_Master'!$C$2:$C$378)</f>
        <v/>
      </c>
      <c r="B110" s="148" t="n"/>
      <c r="C110" s="148">
        <f>X112</f>
        <v/>
      </c>
      <c r="D110" s="586">
        <f>_xludf.IFNA(_xlfn.XLOOKUP(C112,'00_SKU_Master'!$B$2:$B$378,'00_SKU_Master'!$F$2:$F$378,0)*Y112,"")</f>
        <v/>
      </c>
      <c r="E110" s="586">
        <f>_xludf.IFNA(_xlfn.XLOOKUP(C112,'00_SKU_Master'!$B$2:$B$378,'00_SKU_Master'!$F$2:$F$378,0)*Z112,"")</f>
        <v/>
      </c>
      <c r="F110" s="586">
        <f>_xludf.IFNA(_xlfn.XLOOKUP(C112,'00_SKU_Master'!$B$2:$B$378,'00_SKU_Master'!$F$2:$F$378,0)*AA112,"")</f>
        <v/>
      </c>
      <c r="G110" s="586">
        <f>_xludf.IFNA(_xlfn.XLOOKUP(C112,'00_SKU_Master'!$B$2:$B$378,'00_SKU_Master'!$F$2:$F$378,0)*AB112,"")</f>
        <v/>
      </c>
      <c r="H110" s="586">
        <f>_xludf.IFNA(_xlfn.XLOOKUP(C112,'00_SKU_Master'!$B$2:$B$378,'00_SKU_Master'!$F$2:$F$378,0)*AC112,"")</f>
        <v/>
      </c>
      <c r="I110" s="586">
        <f>_xludf.IFNA(_xlfn.XLOOKUP(C112,'00_SKU_Master'!$B$2:$B$378,'00_SKU_Master'!$F$2:$F$378,0)*AD112,"")</f>
        <v/>
      </c>
      <c r="J110" s="586">
        <f>_xludf.IFNA(_xlfn.XLOOKUP(C112,'00_SKU_Master'!$B$2:$B$378,'00_SKU_Master'!$F$2:$F$378,0)*AE112,"")</f>
        <v/>
      </c>
      <c r="K110" s="587">
        <f>SUM(D112:J112)</f>
        <v/>
      </c>
      <c r="L110" s="197">
        <f>_xlfn.XLOOKUP(C112,'00_SKU_Master'!$B$2:$B$378,'00_SKU_Master'!K:K)</f>
        <v/>
      </c>
      <c r="M110" s="14">
        <f>X112</f>
        <v/>
      </c>
      <c r="N110" s="157">
        <f>_xludf.IFNA(D112/_xlfn.XLOOKUP($M112,'00_SKU_Master'!$B$2:$B$378,'00_SKU_Master'!$M$2:$M$378,0)/$M$2,"0")</f>
        <v/>
      </c>
      <c r="O110" s="157">
        <f>_xludf.IFNA(E112/_xlfn.XLOOKUP($M112,'00_SKU_Master'!$B$2:$B$378,'00_SKU_Master'!$M$2:$M$378,0)/$M$2,"0")</f>
        <v/>
      </c>
      <c r="P110" s="157">
        <f>_xludf.IFNA(F112/_xlfn.XLOOKUP($M112,'00_SKU_Master'!$B$2:$B$378,'00_SKU_Master'!$M$2:$M$378,0)/$M$2,"0")</f>
        <v/>
      </c>
      <c r="Q110" s="157">
        <f>_xludf.IFNA(G112/_xlfn.XLOOKUP($M112,'00_SKU_Master'!$B$2:$B$378,'00_SKU_Master'!$M$2:$M$378,0)/$M$2,"0")</f>
        <v/>
      </c>
      <c r="R110" s="157">
        <f>_xludf.IFNA(H112/_xlfn.XLOOKUP($M112,'00_SKU_Master'!$B$2:$B$378,'00_SKU_Master'!$M$2:$M$378,0)/$M$2,"0")</f>
        <v/>
      </c>
      <c r="S110" s="157">
        <f>_xludf.IFNA(I112/_xlfn.XLOOKUP($M112,'00_SKU_Master'!$B$2:$B$378,'00_SKU_Master'!$M$2:$M$378,0)/$M$2,"0")</f>
        <v/>
      </c>
      <c r="T110" s="157">
        <f>_xludf.IFNA(J112/_xlfn.XLOOKUP($M112,'00_SKU_Master'!$B$2:$B$378,'00_SKU_Master'!$M$2:$M$378,0)/$M$2,"0")</f>
        <v/>
      </c>
      <c r="U110" s="157">
        <f>SUM(N112:T112)</f>
        <v/>
      </c>
      <c r="V110" s="4" t="n"/>
      <c r="W110" s="4">
        <f>_xlfn.XLOOKUP(M112,'00_SKU_Master'!$B$2:$B$378,'00_SKU_Master'!D:D)</f>
        <v/>
      </c>
      <c r="X110" s="14">
        <f>'05_Daily_Orders'!B111</f>
        <v/>
      </c>
      <c r="Y110" s="588" t="n"/>
      <c r="Z110" s="589" t="n"/>
      <c r="AA110" s="589" t="n"/>
      <c r="AB110" s="589" t="n"/>
      <c r="AC110" s="589" t="n">
        <v>0</v>
      </c>
      <c r="AD110" s="589" t="n">
        <v>0</v>
      </c>
      <c r="AE110" s="589" t="n">
        <v>0</v>
      </c>
      <c r="AF110" s="587">
        <f>SUM(Y112:AE112)</f>
        <v/>
      </c>
      <c r="AQ110" s="23" t="n">
        <v>0</v>
      </c>
      <c r="AR110" s="23" t="n">
        <v>0</v>
      </c>
      <c r="AS110" s="23">
        <f>AR112-AQ112</f>
        <v/>
      </c>
    </row>
    <row r="111">
      <c r="A111" s="148">
        <f>_xlfn.XLOOKUP(C113,'00_SKU_Master'!$B$2:$B$378,'00_SKU_Master'!$C$2:$C$378)</f>
        <v/>
      </c>
      <c r="B111" s="148" t="n"/>
      <c r="C111" s="148">
        <f>X113</f>
        <v/>
      </c>
      <c r="D111" s="586">
        <f>_xludf.IFNA(_xlfn.XLOOKUP(C113,'00_SKU_Master'!$B$2:$B$378,'00_SKU_Master'!$F$2:$F$378,0)*Y113,"")</f>
        <v/>
      </c>
      <c r="E111" s="586">
        <f>_xludf.IFNA(_xlfn.XLOOKUP(C113,'00_SKU_Master'!$B$2:$B$378,'00_SKU_Master'!$F$2:$F$378,0)*Z113,"")</f>
        <v/>
      </c>
      <c r="F111" s="586">
        <f>_xludf.IFNA(_xlfn.XLOOKUP(C113,'00_SKU_Master'!$B$2:$B$378,'00_SKU_Master'!$F$2:$F$378,0)*AA113,"")</f>
        <v/>
      </c>
      <c r="G111" s="586">
        <f>_xludf.IFNA(_xlfn.XLOOKUP(C113,'00_SKU_Master'!$B$2:$B$378,'00_SKU_Master'!$F$2:$F$378,0)*AB113,"")</f>
        <v/>
      </c>
      <c r="H111" s="586">
        <f>_xludf.IFNA(_xlfn.XLOOKUP(C113,'00_SKU_Master'!$B$2:$B$378,'00_SKU_Master'!$F$2:$F$378,0)*AC113,"")</f>
        <v/>
      </c>
      <c r="I111" s="586">
        <f>_xludf.IFNA(_xlfn.XLOOKUP(C113,'00_SKU_Master'!$B$2:$B$378,'00_SKU_Master'!$F$2:$F$378,0)*AD113,"")</f>
        <v/>
      </c>
      <c r="J111" s="586">
        <f>_xludf.IFNA(_xlfn.XLOOKUP(C113,'00_SKU_Master'!$B$2:$B$378,'00_SKU_Master'!$F$2:$F$378,0)*AE113,"")</f>
        <v/>
      </c>
      <c r="K111" s="587">
        <f>SUM(D113:J113)</f>
        <v/>
      </c>
      <c r="L111" s="197">
        <f>_xlfn.XLOOKUP(C113,'00_SKU_Master'!$B$2:$B$378,'00_SKU_Master'!K:K)</f>
        <v/>
      </c>
      <c r="M111" s="14">
        <f>X113</f>
        <v/>
      </c>
      <c r="N111" s="157">
        <f>_xludf.IFNA(D113/_xlfn.XLOOKUP($M113,'00_SKU_Master'!$B$2:$B$378,'00_SKU_Master'!$M$2:$M$378,0)/$M$2,"0")</f>
        <v/>
      </c>
      <c r="O111" s="157">
        <f>_xludf.IFNA(E113/_xlfn.XLOOKUP($M113,'00_SKU_Master'!$B$2:$B$378,'00_SKU_Master'!$M$2:$M$378,0)/$M$2,"0")</f>
        <v/>
      </c>
      <c r="P111" s="157">
        <f>_xludf.IFNA(F113/_xlfn.XLOOKUP($M113,'00_SKU_Master'!$B$2:$B$378,'00_SKU_Master'!$M$2:$M$378,0)/$M$2,"0")</f>
        <v/>
      </c>
      <c r="Q111" s="157">
        <f>_xludf.IFNA(G113/_xlfn.XLOOKUP($M113,'00_SKU_Master'!$B$2:$B$378,'00_SKU_Master'!$M$2:$M$378,0)/$M$2,"0")</f>
        <v/>
      </c>
      <c r="R111" s="157">
        <f>_xludf.IFNA(H113/_xlfn.XLOOKUP($M113,'00_SKU_Master'!$B$2:$B$378,'00_SKU_Master'!$M$2:$M$378,0)/$M$2,"0")</f>
        <v/>
      </c>
      <c r="S111" s="157">
        <f>_xludf.IFNA(I113/_xlfn.XLOOKUP($M113,'00_SKU_Master'!$B$2:$B$378,'00_SKU_Master'!$M$2:$M$378,0)/$M$2,"0")</f>
        <v/>
      </c>
      <c r="T111" s="157">
        <f>_xludf.IFNA(J113/_xlfn.XLOOKUP($M113,'00_SKU_Master'!$B$2:$B$378,'00_SKU_Master'!$M$2:$M$378,0)/$M$2,"0")</f>
        <v/>
      </c>
      <c r="U111" s="157">
        <f>SUM(N113:T113)</f>
        <v/>
      </c>
      <c r="V111" s="4" t="n"/>
      <c r="W111" s="4">
        <f>_xlfn.XLOOKUP(M113,'00_SKU_Master'!$B$2:$B$378,'00_SKU_Master'!D:D)</f>
        <v/>
      </c>
      <c r="X111" s="14">
        <f>'05_Daily_Orders'!B112</f>
        <v/>
      </c>
      <c r="Y111" s="588" t="n"/>
      <c r="Z111" s="589" t="n"/>
      <c r="AA111" s="589" t="n"/>
      <c r="AB111" s="589" t="n"/>
      <c r="AC111" s="589" t="n">
        <v>0</v>
      </c>
      <c r="AD111" s="589" t="n">
        <v>0</v>
      </c>
      <c r="AE111" s="589" t="n">
        <v>0</v>
      </c>
      <c r="AF111" s="587">
        <f>SUM(Y113:AE113)</f>
        <v/>
      </c>
      <c r="AQ111" s="23" t="n">
        <v>0</v>
      </c>
      <c r="AR111" s="23" t="n">
        <v>0</v>
      </c>
      <c r="AS111" s="23">
        <f>AR113-AQ113</f>
        <v/>
      </c>
    </row>
    <row r="112">
      <c r="A112" s="148">
        <f>_xlfn.XLOOKUP(C114,'00_SKU_Master'!$B$2:$B$378,'00_SKU_Master'!$C$2:$C$378)</f>
        <v/>
      </c>
      <c r="B112" s="148" t="n"/>
      <c r="C112" s="148">
        <f>X114</f>
        <v/>
      </c>
      <c r="D112" s="586">
        <f>_xludf.IFNA(_xlfn.XLOOKUP(C114,'00_SKU_Master'!$B$2:$B$378,'00_SKU_Master'!$F$2:$F$378,0)*Y114,"")</f>
        <v/>
      </c>
      <c r="E112" s="586">
        <f>_xludf.IFNA(_xlfn.XLOOKUP(C114,'00_SKU_Master'!$B$2:$B$378,'00_SKU_Master'!$F$2:$F$378,0)*Z114,"")</f>
        <v/>
      </c>
      <c r="F112" s="586">
        <f>_xludf.IFNA(_xlfn.XLOOKUP(C114,'00_SKU_Master'!$B$2:$B$378,'00_SKU_Master'!$F$2:$F$378,0)*AA114,"")</f>
        <v/>
      </c>
      <c r="G112" s="586">
        <f>_xludf.IFNA(_xlfn.XLOOKUP(C114,'00_SKU_Master'!$B$2:$B$378,'00_SKU_Master'!$F$2:$F$378,0)*AB114,"")</f>
        <v/>
      </c>
      <c r="H112" s="586">
        <f>_xludf.IFNA(_xlfn.XLOOKUP(C114,'00_SKU_Master'!$B$2:$B$378,'00_SKU_Master'!$F$2:$F$378,0)*AC114,"")</f>
        <v/>
      </c>
      <c r="I112" s="586">
        <f>_xludf.IFNA(_xlfn.XLOOKUP(C114,'00_SKU_Master'!$B$2:$B$378,'00_SKU_Master'!$F$2:$F$378,0)*AD114,"")</f>
        <v/>
      </c>
      <c r="J112" s="586">
        <f>_xludf.IFNA(_xlfn.XLOOKUP(C114,'00_SKU_Master'!$B$2:$B$378,'00_SKU_Master'!$F$2:$F$378,0)*AE114,"")</f>
        <v/>
      </c>
      <c r="K112" s="587">
        <f>SUM(D114:J114)</f>
        <v/>
      </c>
      <c r="L112" s="197">
        <f>_xlfn.XLOOKUP(C114,'00_SKU_Master'!$B$2:$B$378,'00_SKU_Master'!K:K)</f>
        <v/>
      </c>
      <c r="M112" s="14">
        <f>X114</f>
        <v/>
      </c>
      <c r="N112" s="157">
        <f>_xludf.IFNA(D114/_xlfn.XLOOKUP($M114,'00_SKU_Master'!$B$2:$B$378,'00_SKU_Master'!$M$2:$M$378,0)/$M$2,"0")</f>
        <v/>
      </c>
      <c r="O112" s="157">
        <f>_xludf.IFNA(E114/_xlfn.XLOOKUP($M114,'00_SKU_Master'!$B$2:$B$378,'00_SKU_Master'!$M$2:$M$378,0)/$M$2,"0")</f>
        <v/>
      </c>
      <c r="P112" s="157">
        <f>_xludf.IFNA(F114/_xlfn.XLOOKUP($M114,'00_SKU_Master'!$B$2:$B$378,'00_SKU_Master'!$M$2:$M$378,0)/$M$2,"0")</f>
        <v/>
      </c>
      <c r="Q112" s="157">
        <f>_xludf.IFNA(G114/_xlfn.XLOOKUP($M114,'00_SKU_Master'!$B$2:$B$378,'00_SKU_Master'!$M$2:$M$378,0)/$M$2,"0")</f>
        <v/>
      </c>
      <c r="R112" s="157">
        <f>_xludf.IFNA(H114/_xlfn.XLOOKUP($M114,'00_SKU_Master'!$B$2:$B$378,'00_SKU_Master'!$M$2:$M$378,0)/$M$2,"0")</f>
        <v/>
      </c>
      <c r="S112" s="157">
        <f>_xludf.IFNA(I114/_xlfn.XLOOKUP($M114,'00_SKU_Master'!$B$2:$B$378,'00_SKU_Master'!$M$2:$M$378,0)/$M$2,"0")</f>
        <v/>
      </c>
      <c r="T112" s="157">
        <f>_xludf.IFNA(J114/_xlfn.XLOOKUP($M114,'00_SKU_Master'!$B$2:$B$378,'00_SKU_Master'!$M$2:$M$378,0)/$M$2,"0")</f>
        <v/>
      </c>
      <c r="U112" s="157">
        <f>SUM(N114:T114)</f>
        <v/>
      </c>
      <c r="V112" s="4" t="n"/>
      <c r="W112" s="4">
        <f>_xlfn.XLOOKUP(M114,'00_SKU_Master'!$B$2:$B$378,'00_SKU_Master'!D:D)</f>
        <v/>
      </c>
      <c r="X112" s="14">
        <f>'05_Daily_Orders'!B113</f>
        <v/>
      </c>
      <c r="Y112" s="588" t="n"/>
      <c r="Z112" s="589" t="n"/>
      <c r="AA112" s="589" t="n"/>
      <c r="AB112" s="589" t="n"/>
      <c r="AC112" s="589" t="n">
        <v>0</v>
      </c>
      <c r="AD112" s="589" t="n">
        <v>0</v>
      </c>
      <c r="AE112" s="589" t="n">
        <v>0</v>
      </c>
      <c r="AF112" s="587">
        <f>SUM(Y114:AE114)</f>
        <v/>
      </c>
      <c r="AQ112" s="23" t="n">
        <v>0</v>
      </c>
      <c r="AR112" s="23" t="n">
        <v>0</v>
      </c>
      <c r="AS112" s="23">
        <f>AR114-AQ114</f>
        <v/>
      </c>
    </row>
    <row r="113">
      <c r="A113" s="148">
        <f>_xlfn.XLOOKUP(C115,'00_SKU_Master'!$B$2:$B$378,'00_SKU_Master'!$C$2:$C$378)</f>
        <v/>
      </c>
      <c r="B113" s="148" t="n"/>
      <c r="C113" s="148">
        <f>X115</f>
        <v/>
      </c>
      <c r="D113" s="586">
        <f>_xludf.IFNA(_xlfn.XLOOKUP(C115,'00_SKU_Master'!$B$2:$B$378,'00_SKU_Master'!$F$2:$F$378,0)*Y115,"")</f>
        <v/>
      </c>
      <c r="E113" s="586">
        <f>_xludf.IFNA(_xlfn.XLOOKUP(C115,'00_SKU_Master'!$B$2:$B$378,'00_SKU_Master'!$F$2:$F$378,0)*Z115,"")</f>
        <v/>
      </c>
      <c r="F113" s="586">
        <f>_xludf.IFNA(_xlfn.XLOOKUP(C115,'00_SKU_Master'!$B$2:$B$378,'00_SKU_Master'!$F$2:$F$378,0)*AA115,"")</f>
        <v/>
      </c>
      <c r="G113" s="586">
        <f>_xludf.IFNA(_xlfn.XLOOKUP(C115,'00_SKU_Master'!$B$2:$B$378,'00_SKU_Master'!$F$2:$F$378,0)*AB115,"")</f>
        <v/>
      </c>
      <c r="H113" s="586">
        <f>_xludf.IFNA(_xlfn.XLOOKUP(C115,'00_SKU_Master'!$B$2:$B$378,'00_SKU_Master'!$F$2:$F$378,0)*AC115,"")</f>
        <v/>
      </c>
      <c r="I113" s="586">
        <f>_xludf.IFNA(_xlfn.XLOOKUP(C115,'00_SKU_Master'!$B$2:$B$378,'00_SKU_Master'!$F$2:$F$378,0)*AD115,"")</f>
        <v/>
      </c>
      <c r="J113" s="586">
        <f>_xludf.IFNA(_xlfn.XLOOKUP(C115,'00_SKU_Master'!$B$2:$B$378,'00_SKU_Master'!$F$2:$F$378,0)*AE115,"")</f>
        <v/>
      </c>
      <c r="K113" s="587">
        <f>SUM(D115:J115)</f>
        <v/>
      </c>
      <c r="L113" s="197">
        <f>_xlfn.XLOOKUP(C115,'00_SKU_Master'!$B$2:$B$378,'00_SKU_Master'!K:K)</f>
        <v/>
      </c>
      <c r="M113" s="14">
        <f>X115</f>
        <v/>
      </c>
      <c r="N113" s="157">
        <f>_xludf.IFNA(D115/_xlfn.XLOOKUP($M115,'00_SKU_Master'!$B$2:$B$378,'00_SKU_Master'!$M$2:$M$378,0)/$M$2,"0")</f>
        <v/>
      </c>
      <c r="O113" s="157">
        <f>_xludf.IFNA(E115/_xlfn.XLOOKUP($M115,'00_SKU_Master'!$B$2:$B$378,'00_SKU_Master'!$M$2:$M$378,0)/$M$2,"0")</f>
        <v/>
      </c>
      <c r="P113" s="157">
        <f>_xludf.IFNA(F115/_xlfn.XLOOKUP($M115,'00_SKU_Master'!$B$2:$B$378,'00_SKU_Master'!$M$2:$M$378,0)/$M$2,"0")</f>
        <v/>
      </c>
      <c r="Q113" s="157">
        <f>_xludf.IFNA(G115/_xlfn.XLOOKUP($M115,'00_SKU_Master'!$B$2:$B$378,'00_SKU_Master'!$M$2:$M$378,0)/$M$2,"0")</f>
        <v/>
      </c>
      <c r="R113" s="157">
        <f>_xludf.IFNA(H115/_xlfn.XLOOKUP($M115,'00_SKU_Master'!$B$2:$B$378,'00_SKU_Master'!$M$2:$M$378,0)/$M$2,"0")</f>
        <v/>
      </c>
      <c r="S113" s="157">
        <f>_xludf.IFNA(I115/_xlfn.XLOOKUP($M115,'00_SKU_Master'!$B$2:$B$378,'00_SKU_Master'!$M$2:$M$378,0)/$M$2,"0")</f>
        <v/>
      </c>
      <c r="T113" s="157">
        <f>_xludf.IFNA(J115/_xlfn.XLOOKUP($M115,'00_SKU_Master'!$B$2:$B$378,'00_SKU_Master'!$M$2:$M$378,0)/$M$2,"0")</f>
        <v/>
      </c>
      <c r="U113" s="157">
        <f>SUM(N115:T115)</f>
        <v/>
      </c>
      <c r="V113" s="4" t="n"/>
      <c r="W113" s="4">
        <f>_xlfn.XLOOKUP(M115,'00_SKU_Master'!$B$2:$B$378,'00_SKU_Master'!D:D)</f>
        <v/>
      </c>
      <c r="X113" s="14">
        <f>'05_Daily_Orders'!B114</f>
        <v/>
      </c>
      <c r="Y113" s="588" t="n"/>
      <c r="Z113" s="589" t="n"/>
      <c r="AA113" s="589" t="n"/>
      <c r="AB113" s="589" t="n"/>
      <c r="AC113" s="589" t="n">
        <v>0</v>
      </c>
      <c r="AD113" s="589" t="n">
        <v>0</v>
      </c>
      <c r="AE113" s="589" t="n">
        <v>0</v>
      </c>
      <c r="AF113" s="587">
        <f>SUM(Y115:AE115)</f>
        <v/>
      </c>
      <c r="AQ113" s="23" t="n">
        <v>0</v>
      </c>
      <c r="AR113" s="23" t="n">
        <v>0</v>
      </c>
      <c r="AS113" s="23">
        <f>AR115-AQ115</f>
        <v/>
      </c>
    </row>
    <row r="114">
      <c r="A114" s="148">
        <f>_xlfn.XLOOKUP(C116,'00_SKU_Master'!$B$2:$B$378,'00_SKU_Master'!$C$2:$C$378)</f>
        <v/>
      </c>
      <c r="B114" s="148" t="n"/>
      <c r="C114" s="148">
        <f>X116</f>
        <v/>
      </c>
      <c r="D114" s="586">
        <f>_xludf.IFNA(_xlfn.XLOOKUP(C116,'00_SKU_Master'!$B$2:$B$378,'00_SKU_Master'!$F$2:$F$378,0)*Y116,"")</f>
        <v/>
      </c>
      <c r="E114" s="586">
        <f>_xludf.IFNA(_xlfn.XLOOKUP(C116,'00_SKU_Master'!$B$2:$B$378,'00_SKU_Master'!$F$2:$F$378,0)*Z116,"")</f>
        <v/>
      </c>
      <c r="F114" s="586">
        <f>_xludf.IFNA(_xlfn.XLOOKUP(C116,'00_SKU_Master'!$B$2:$B$378,'00_SKU_Master'!$F$2:$F$378,0)*AA116,"")</f>
        <v/>
      </c>
      <c r="G114" s="586">
        <f>_xludf.IFNA(_xlfn.XLOOKUP(C116,'00_SKU_Master'!$B$2:$B$378,'00_SKU_Master'!$F$2:$F$378,0)*AB116,"")</f>
        <v/>
      </c>
      <c r="H114" s="586">
        <f>_xludf.IFNA(_xlfn.XLOOKUP(C116,'00_SKU_Master'!$B$2:$B$378,'00_SKU_Master'!$F$2:$F$378,0)*AC116,"")</f>
        <v/>
      </c>
      <c r="I114" s="586">
        <f>_xludf.IFNA(_xlfn.XLOOKUP(C116,'00_SKU_Master'!$B$2:$B$378,'00_SKU_Master'!$F$2:$F$378,0)*AD116,"")</f>
        <v/>
      </c>
      <c r="J114" s="586">
        <f>_xludf.IFNA(_xlfn.XLOOKUP(C116,'00_SKU_Master'!$B$2:$B$378,'00_SKU_Master'!$F$2:$F$378,0)*AE116,"")</f>
        <v/>
      </c>
      <c r="K114" s="587">
        <f>SUM(D116:J116)</f>
        <v/>
      </c>
      <c r="L114" s="197">
        <f>_xlfn.XLOOKUP(C116,'00_SKU_Master'!$B$2:$B$378,'00_SKU_Master'!K:K)</f>
        <v/>
      </c>
      <c r="M114" s="14">
        <f>X116</f>
        <v/>
      </c>
      <c r="N114" s="157">
        <f>_xludf.IFNA(D116/_xlfn.XLOOKUP($M116,'00_SKU_Master'!$B$2:$B$378,'00_SKU_Master'!$M$2:$M$378,0)/$M$2,"0")</f>
        <v/>
      </c>
      <c r="O114" s="157">
        <f>_xludf.IFNA(E116/_xlfn.XLOOKUP($M116,'00_SKU_Master'!$B$2:$B$378,'00_SKU_Master'!$M$2:$M$378,0)/$M$2,"0")</f>
        <v/>
      </c>
      <c r="P114" s="157">
        <f>_xludf.IFNA(F116/_xlfn.XLOOKUP($M116,'00_SKU_Master'!$B$2:$B$378,'00_SKU_Master'!$M$2:$M$378,0)/$M$2,"0")</f>
        <v/>
      </c>
      <c r="Q114" s="157">
        <f>_xludf.IFNA(G116/_xlfn.XLOOKUP($M116,'00_SKU_Master'!$B$2:$B$378,'00_SKU_Master'!$M$2:$M$378,0)/$M$2,"0")</f>
        <v/>
      </c>
      <c r="R114" s="157">
        <f>_xludf.IFNA(H116/_xlfn.XLOOKUP($M116,'00_SKU_Master'!$B$2:$B$378,'00_SKU_Master'!$M$2:$M$378,0)/$M$2,"0")</f>
        <v/>
      </c>
      <c r="S114" s="157">
        <f>_xludf.IFNA(I116/_xlfn.XLOOKUP($M116,'00_SKU_Master'!$B$2:$B$378,'00_SKU_Master'!$M$2:$M$378,0)/$M$2,"0")</f>
        <v/>
      </c>
      <c r="T114" s="157">
        <f>_xludf.IFNA(J116/_xlfn.XLOOKUP($M116,'00_SKU_Master'!$B$2:$B$378,'00_SKU_Master'!$M$2:$M$378,0)/$M$2,"0")</f>
        <v/>
      </c>
      <c r="U114" s="157">
        <f>SUM(N116:T116)</f>
        <v/>
      </c>
      <c r="V114" s="4" t="n"/>
      <c r="W114" s="4">
        <f>_xlfn.XLOOKUP(M116,'00_SKU_Master'!$B$2:$B$378,'00_SKU_Master'!D:D)</f>
        <v/>
      </c>
      <c r="X114" s="14">
        <f>'05_Daily_Orders'!B115</f>
        <v/>
      </c>
      <c r="Y114" s="588" t="n"/>
      <c r="Z114" s="589" t="n"/>
      <c r="AA114" s="589" t="n"/>
      <c r="AB114" s="589" t="n"/>
      <c r="AC114" s="589" t="n">
        <v>0</v>
      </c>
      <c r="AD114" s="589" t="n">
        <v>0</v>
      </c>
      <c r="AE114" s="589" t="n">
        <v>0</v>
      </c>
      <c r="AF114" s="587">
        <f>SUM(Y116:AE116)</f>
        <v/>
      </c>
      <c r="AQ114" s="23" t="n">
        <v>0</v>
      </c>
      <c r="AR114" s="23" t="n">
        <v>0</v>
      </c>
      <c r="AS114" s="23">
        <f>AR116-AQ116</f>
        <v/>
      </c>
    </row>
    <row r="115">
      <c r="A115" s="148">
        <f>_xlfn.XLOOKUP(C117,'00_SKU_Master'!$B$2:$B$378,'00_SKU_Master'!$C$2:$C$378)</f>
        <v/>
      </c>
      <c r="B115" s="148" t="n"/>
      <c r="C115" s="148">
        <f>X117</f>
        <v/>
      </c>
      <c r="D115" s="586">
        <f>_xludf.IFNA(_xlfn.XLOOKUP(C117,'00_SKU_Master'!$B$2:$B$378,'00_SKU_Master'!$F$2:$F$378,0)*Y117,"")</f>
        <v/>
      </c>
      <c r="E115" s="586">
        <f>_xludf.IFNA(_xlfn.XLOOKUP(C117,'00_SKU_Master'!$B$2:$B$378,'00_SKU_Master'!$F$2:$F$378,0)*Z117,"")</f>
        <v/>
      </c>
      <c r="F115" s="586">
        <f>_xludf.IFNA(_xlfn.XLOOKUP(C117,'00_SKU_Master'!$B$2:$B$378,'00_SKU_Master'!$F$2:$F$378,0)*AA117,"")</f>
        <v/>
      </c>
      <c r="G115" s="586">
        <f>_xludf.IFNA(_xlfn.XLOOKUP(C117,'00_SKU_Master'!$B$2:$B$378,'00_SKU_Master'!$F$2:$F$378,0)*AB117,"")</f>
        <v/>
      </c>
      <c r="H115" s="586">
        <f>_xludf.IFNA(_xlfn.XLOOKUP(C117,'00_SKU_Master'!$B$2:$B$378,'00_SKU_Master'!$F$2:$F$378,0)*AC117,"")</f>
        <v/>
      </c>
      <c r="I115" s="586">
        <f>_xludf.IFNA(_xlfn.XLOOKUP(C117,'00_SKU_Master'!$B$2:$B$378,'00_SKU_Master'!$F$2:$F$378,0)*AD117,"")</f>
        <v/>
      </c>
      <c r="J115" s="586">
        <f>_xludf.IFNA(_xlfn.XLOOKUP(C117,'00_SKU_Master'!$B$2:$B$378,'00_SKU_Master'!$F$2:$F$378,0)*AE117,"")</f>
        <v/>
      </c>
      <c r="K115" s="587">
        <f>SUM(D117:J117)</f>
        <v/>
      </c>
      <c r="L115" s="197">
        <f>_xlfn.XLOOKUP(C117,'00_SKU_Master'!$B$2:$B$378,'00_SKU_Master'!K:K)</f>
        <v/>
      </c>
      <c r="M115" s="14">
        <f>X117</f>
        <v/>
      </c>
      <c r="N115" s="157">
        <f>_xludf.IFNA(D117/_xlfn.XLOOKUP($M117,'00_SKU_Master'!$B$2:$B$378,'00_SKU_Master'!$M$2:$M$378,0)/$M$2,"0")</f>
        <v/>
      </c>
      <c r="O115" s="157">
        <f>_xludf.IFNA(E117/_xlfn.XLOOKUP($M117,'00_SKU_Master'!$B$2:$B$378,'00_SKU_Master'!$M$2:$M$378,0)/$M$2,"0")</f>
        <v/>
      </c>
      <c r="P115" s="157">
        <f>_xludf.IFNA(F117/_xlfn.XLOOKUP($M117,'00_SKU_Master'!$B$2:$B$378,'00_SKU_Master'!$M$2:$M$378,0)/$M$2,"0")</f>
        <v/>
      </c>
      <c r="Q115" s="157">
        <f>_xludf.IFNA(G117/_xlfn.XLOOKUP($M117,'00_SKU_Master'!$B$2:$B$378,'00_SKU_Master'!$M$2:$M$378,0)/$M$2,"0")</f>
        <v/>
      </c>
      <c r="R115" s="157">
        <f>_xludf.IFNA(H117/_xlfn.XLOOKUP($M117,'00_SKU_Master'!$B$2:$B$378,'00_SKU_Master'!$M$2:$M$378,0)/$M$2,"0")</f>
        <v/>
      </c>
      <c r="S115" s="157">
        <f>_xludf.IFNA(I117/_xlfn.XLOOKUP($M117,'00_SKU_Master'!$B$2:$B$378,'00_SKU_Master'!$M$2:$M$378,0)/$M$2,"0")</f>
        <v/>
      </c>
      <c r="T115" s="157">
        <f>_xludf.IFNA(J117/_xlfn.XLOOKUP($M117,'00_SKU_Master'!$B$2:$B$378,'00_SKU_Master'!$M$2:$M$378,0)/$M$2,"0")</f>
        <v/>
      </c>
      <c r="U115" s="157">
        <f>SUM(N117:T117)</f>
        <v/>
      </c>
      <c r="V115" s="4" t="n"/>
      <c r="W115" s="4">
        <f>_xlfn.XLOOKUP(M117,'00_SKU_Master'!$B$2:$B$378,'00_SKU_Master'!D:D)</f>
        <v/>
      </c>
      <c r="X115" s="14">
        <f>'05_Daily_Orders'!B116</f>
        <v/>
      </c>
      <c r="Y115" s="588" t="n"/>
      <c r="Z115" s="589" t="n"/>
      <c r="AA115" s="589" t="n"/>
      <c r="AB115" s="589" t="n"/>
      <c r="AC115" s="589" t="n">
        <v>0</v>
      </c>
      <c r="AD115" s="589" t="n">
        <v>0</v>
      </c>
      <c r="AE115" s="589" t="n">
        <v>0</v>
      </c>
      <c r="AF115" s="587">
        <f>SUM(Y117:AE117)</f>
        <v/>
      </c>
      <c r="AQ115" s="23" t="n">
        <v>0</v>
      </c>
      <c r="AR115" s="23" t="n">
        <v>0</v>
      </c>
      <c r="AS115" s="23">
        <f>AR117-AQ117</f>
        <v/>
      </c>
    </row>
    <row r="116">
      <c r="A116" s="148">
        <f>_xlfn.XLOOKUP(C118,'00_SKU_Master'!$B$2:$B$378,'00_SKU_Master'!$C$2:$C$378)</f>
        <v/>
      </c>
      <c r="B116" s="148" t="n"/>
      <c r="C116" s="148">
        <f>X118</f>
        <v/>
      </c>
      <c r="D116" s="586">
        <f>_xludf.IFNA(_xlfn.XLOOKUP(C118,'00_SKU_Master'!$B$2:$B$378,'00_SKU_Master'!$F$2:$F$378,0)*Y118,"")</f>
        <v/>
      </c>
      <c r="E116" s="586">
        <f>_xludf.IFNA(_xlfn.XLOOKUP(C118,'00_SKU_Master'!$B$2:$B$378,'00_SKU_Master'!$F$2:$F$378,0)*Z118,"")</f>
        <v/>
      </c>
      <c r="F116" s="586">
        <f>_xludf.IFNA(_xlfn.XLOOKUP(C118,'00_SKU_Master'!$B$2:$B$378,'00_SKU_Master'!$F$2:$F$378,0)*AA118,"")</f>
        <v/>
      </c>
      <c r="G116" s="586">
        <f>_xludf.IFNA(_xlfn.XLOOKUP(C118,'00_SKU_Master'!$B$2:$B$378,'00_SKU_Master'!$F$2:$F$378,0)*AB118,"")</f>
        <v/>
      </c>
      <c r="H116" s="586">
        <f>_xludf.IFNA(_xlfn.XLOOKUP(C118,'00_SKU_Master'!$B$2:$B$378,'00_SKU_Master'!$F$2:$F$378,0)*AC118,"")</f>
        <v/>
      </c>
      <c r="I116" s="586">
        <f>_xludf.IFNA(_xlfn.XLOOKUP(C118,'00_SKU_Master'!$B$2:$B$378,'00_SKU_Master'!$F$2:$F$378,0)*AD118,"")</f>
        <v/>
      </c>
      <c r="J116" s="586">
        <f>_xludf.IFNA(_xlfn.XLOOKUP(C118,'00_SKU_Master'!$B$2:$B$378,'00_SKU_Master'!$F$2:$F$378,0)*AE118,"")</f>
        <v/>
      </c>
      <c r="K116" s="587">
        <f>SUM(D118:J118)</f>
        <v/>
      </c>
      <c r="L116" s="197">
        <f>_xlfn.XLOOKUP(C118,'00_SKU_Master'!$B$2:$B$378,'00_SKU_Master'!K:K)</f>
        <v/>
      </c>
      <c r="M116" s="14">
        <f>X118</f>
        <v/>
      </c>
      <c r="N116" s="157">
        <f>_xludf.IFNA(D118/_xlfn.XLOOKUP($M118,'00_SKU_Master'!$B$2:$B$378,'00_SKU_Master'!$M$2:$M$378,0)/$M$2,"0")</f>
        <v/>
      </c>
      <c r="O116" s="157">
        <f>_xludf.IFNA(E118/_xlfn.XLOOKUP($M118,'00_SKU_Master'!$B$2:$B$378,'00_SKU_Master'!$M$2:$M$378,0)/$M$2,"0")</f>
        <v/>
      </c>
      <c r="P116" s="157">
        <f>_xludf.IFNA(F118/_xlfn.XLOOKUP($M118,'00_SKU_Master'!$B$2:$B$378,'00_SKU_Master'!$M$2:$M$378,0)/$M$2,"0")</f>
        <v/>
      </c>
      <c r="Q116" s="157">
        <f>_xludf.IFNA(G118/_xlfn.XLOOKUP($M118,'00_SKU_Master'!$B$2:$B$378,'00_SKU_Master'!$M$2:$M$378,0)/$M$2,"0")</f>
        <v/>
      </c>
      <c r="R116" s="157">
        <f>_xludf.IFNA(H118/_xlfn.XLOOKUP($M118,'00_SKU_Master'!$B$2:$B$378,'00_SKU_Master'!$M$2:$M$378,0)/$M$2,"0")</f>
        <v/>
      </c>
      <c r="S116" s="157">
        <f>_xludf.IFNA(I118/_xlfn.XLOOKUP($M118,'00_SKU_Master'!$B$2:$B$378,'00_SKU_Master'!$M$2:$M$378,0)/$M$2,"0")</f>
        <v/>
      </c>
      <c r="T116" s="157">
        <f>_xludf.IFNA(J118/_xlfn.XLOOKUP($M118,'00_SKU_Master'!$B$2:$B$378,'00_SKU_Master'!$M$2:$M$378,0)/$M$2,"0")</f>
        <v/>
      </c>
      <c r="U116" s="157">
        <f>SUM(N118:T118)</f>
        <v/>
      </c>
      <c r="V116" s="4" t="n"/>
      <c r="W116" s="4">
        <f>_xlfn.XLOOKUP(M118,'00_SKU_Master'!$B$2:$B$378,'00_SKU_Master'!D:D)</f>
        <v/>
      </c>
      <c r="X116" s="14">
        <f>'05_Daily_Orders'!B117</f>
        <v/>
      </c>
      <c r="Y116" s="588" t="n"/>
      <c r="Z116" s="589" t="n"/>
      <c r="AA116" s="589" t="n"/>
      <c r="AB116" s="589" t="n"/>
      <c r="AC116" s="589" t="n">
        <v>0</v>
      </c>
      <c r="AD116" s="589" t="n">
        <v>0</v>
      </c>
      <c r="AE116" s="589" t="n">
        <v>0</v>
      </c>
      <c r="AF116" s="587">
        <f>SUM(Y118:AE118)</f>
        <v/>
      </c>
      <c r="AQ116" s="23" t="n">
        <v>0</v>
      </c>
      <c r="AR116" s="23" t="n">
        <v>0</v>
      </c>
      <c r="AS116" s="23">
        <f>AR118-AQ118</f>
        <v/>
      </c>
    </row>
    <row r="117">
      <c r="A117" s="148">
        <f>_xlfn.XLOOKUP(C119,'00_SKU_Master'!$B$2:$B$378,'00_SKU_Master'!$C$2:$C$378)</f>
        <v/>
      </c>
      <c r="B117" s="148" t="n"/>
      <c r="C117" s="148">
        <f>X119</f>
        <v/>
      </c>
      <c r="D117" s="586">
        <f>_xludf.IFNA(_xlfn.XLOOKUP(C119,'00_SKU_Master'!$B$2:$B$378,'00_SKU_Master'!$F$2:$F$378,0)*Y119,"")</f>
        <v/>
      </c>
      <c r="E117" s="586">
        <f>_xludf.IFNA(_xlfn.XLOOKUP(C119,'00_SKU_Master'!$B$2:$B$378,'00_SKU_Master'!$F$2:$F$378,0)*Z119,"")</f>
        <v/>
      </c>
      <c r="F117" s="586">
        <f>_xludf.IFNA(_xlfn.XLOOKUP(C119,'00_SKU_Master'!$B$2:$B$378,'00_SKU_Master'!$F$2:$F$378,0)*AA119,"")</f>
        <v/>
      </c>
      <c r="G117" s="586">
        <f>_xludf.IFNA(_xlfn.XLOOKUP(C119,'00_SKU_Master'!$B$2:$B$378,'00_SKU_Master'!$F$2:$F$378,0)*AB119,"")</f>
        <v/>
      </c>
      <c r="H117" s="586">
        <f>_xludf.IFNA(_xlfn.XLOOKUP(C119,'00_SKU_Master'!$B$2:$B$378,'00_SKU_Master'!$F$2:$F$378,0)*AC119,"")</f>
        <v/>
      </c>
      <c r="I117" s="586">
        <f>_xludf.IFNA(_xlfn.XLOOKUP(C119,'00_SKU_Master'!$B$2:$B$378,'00_SKU_Master'!$F$2:$F$378,0)*AD119,"")</f>
        <v/>
      </c>
      <c r="J117" s="586">
        <f>_xludf.IFNA(_xlfn.XLOOKUP(C119,'00_SKU_Master'!$B$2:$B$378,'00_SKU_Master'!$F$2:$F$378,0)*AE119,"")</f>
        <v/>
      </c>
      <c r="K117" s="587">
        <f>SUM(D119:J119)</f>
        <v/>
      </c>
      <c r="L117" s="197">
        <f>_xlfn.XLOOKUP(C119,'00_SKU_Master'!$B$2:$B$378,'00_SKU_Master'!K:K)</f>
        <v/>
      </c>
      <c r="M117" s="14">
        <f>X119</f>
        <v/>
      </c>
      <c r="N117" s="157">
        <f>_xludf.IFNA(D119/_xlfn.XLOOKUP($M119,'00_SKU_Master'!$B$2:$B$378,'00_SKU_Master'!$M$2:$M$378,0)/$M$2,"0")</f>
        <v/>
      </c>
      <c r="O117" s="157">
        <f>_xludf.IFNA(E119/_xlfn.XLOOKUP($M119,'00_SKU_Master'!$B$2:$B$378,'00_SKU_Master'!$M$2:$M$378,0)/$M$2,"0")</f>
        <v/>
      </c>
      <c r="P117" s="157">
        <f>_xludf.IFNA(F119/_xlfn.XLOOKUP($M119,'00_SKU_Master'!$B$2:$B$378,'00_SKU_Master'!$M$2:$M$378,0)/$M$2,"0")</f>
        <v/>
      </c>
      <c r="Q117" s="157">
        <f>_xludf.IFNA(G119/_xlfn.XLOOKUP($M119,'00_SKU_Master'!$B$2:$B$378,'00_SKU_Master'!$M$2:$M$378,0)/$M$2,"0")</f>
        <v/>
      </c>
      <c r="R117" s="157">
        <f>_xludf.IFNA(H119/_xlfn.XLOOKUP($M119,'00_SKU_Master'!$B$2:$B$378,'00_SKU_Master'!$M$2:$M$378,0)/$M$2,"0")</f>
        <v/>
      </c>
      <c r="S117" s="157">
        <f>_xludf.IFNA(I119/_xlfn.XLOOKUP($M119,'00_SKU_Master'!$B$2:$B$378,'00_SKU_Master'!$M$2:$M$378,0)/$M$2,"0")</f>
        <v/>
      </c>
      <c r="T117" s="157">
        <f>_xludf.IFNA(J119/_xlfn.XLOOKUP($M119,'00_SKU_Master'!$B$2:$B$378,'00_SKU_Master'!$M$2:$M$378,0)/$M$2,"0")</f>
        <v/>
      </c>
      <c r="U117" s="157">
        <f>SUM(N119:T119)</f>
        <v/>
      </c>
      <c r="V117" s="4" t="n"/>
      <c r="W117" s="4">
        <f>_xlfn.XLOOKUP(M119,'00_SKU_Master'!$B$2:$B$378,'00_SKU_Master'!D:D)</f>
        <v/>
      </c>
      <c r="X117" s="14">
        <f>'05_Daily_Orders'!B118</f>
        <v/>
      </c>
      <c r="Y117" s="588" t="n"/>
      <c r="Z117" s="589" t="n"/>
      <c r="AA117" s="589" t="n"/>
      <c r="AB117" s="589" t="n"/>
      <c r="AC117" s="589" t="n">
        <v>0</v>
      </c>
      <c r="AD117" s="589" t="n">
        <v>0</v>
      </c>
      <c r="AE117" s="589" t="n">
        <v>0</v>
      </c>
      <c r="AF117" s="587">
        <f>SUM(Y119:AE119)</f>
        <v/>
      </c>
      <c r="AQ117" s="23" t="n">
        <v>0</v>
      </c>
      <c r="AR117" s="23" t="n">
        <v>0</v>
      </c>
      <c r="AS117" s="23">
        <f>AR119-AQ119</f>
        <v/>
      </c>
    </row>
    <row r="118">
      <c r="A118" s="148">
        <f>_xlfn.XLOOKUP(C120,'00_SKU_Master'!$B$2:$B$378,'00_SKU_Master'!$C$2:$C$378)</f>
        <v/>
      </c>
      <c r="B118" s="148" t="n"/>
      <c r="C118" s="148">
        <f>X120</f>
        <v/>
      </c>
      <c r="D118" s="586">
        <f>_xludf.IFNA(_xlfn.XLOOKUP(C120,'00_SKU_Master'!$B$2:$B$378,'00_SKU_Master'!$F$2:$F$378,0)*Y120,"")</f>
        <v/>
      </c>
      <c r="E118" s="586">
        <f>_xludf.IFNA(_xlfn.XLOOKUP(C120,'00_SKU_Master'!$B$2:$B$378,'00_SKU_Master'!$F$2:$F$378,0)*Z120,"")</f>
        <v/>
      </c>
      <c r="F118" s="586">
        <f>_xludf.IFNA(_xlfn.XLOOKUP(C120,'00_SKU_Master'!$B$2:$B$378,'00_SKU_Master'!$F$2:$F$378,0)*AA120,"")</f>
        <v/>
      </c>
      <c r="G118" s="586">
        <f>_xludf.IFNA(_xlfn.XLOOKUP(C120,'00_SKU_Master'!$B$2:$B$378,'00_SKU_Master'!$F$2:$F$378,0)*AB120,"")</f>
        <v/>
      </c>
      <c r="H118" s="586">
        <f>_xludf.IFNA(_xlfn.XLOOKUP(C120,'00_SKU_Master'!$B$2:$B$378,'00_SKU_Master'!$F$2:$F$378,0)*AC120,"")</f>
        <v/>
      </c>
      <c r="I118" s="586">
        <f>_xludf.IFNA(_xlfn.XLOOKUP(C120,'00_SKU_Master'!$B$2:$B$378,'00_SKU_Master'!$F$2:$F$378,0)*AD120,"")</f>
        <v/>
      </c>
      <c r="J118" s="586">
        <f>_xludf.IFNA(_xlfn.XLOOKUP(C120,'00_SKU_Master'!$B$2:$B$378,'00_SKU_Master'!$F$2:$F$378,0)*AE120,"")</f>
        <v/>
      </c>
      <c r="K118" s="587">
        <f>SUM(D120:J120)</f>
        <v/>
      </c>
      <c r="L118" s="197">
        <f>_xlfn.XLOOKUP(C120,'00_SKU_Master'!$B$2:$B$378,'00_SKU_Master'!K:K)</f>
        <v/>
      </c>
      <c r="M118" s="14">
        <f>X120</f>
        <v/>
      </c>
      <c r="N118" s="157">
        <f>_xludf.IFNA(D120/_xlfn.XLOOKUP($M120,'00_SKU_Master'!$B$2:$B$378,'00_SKU_Master'!$M$2:$M$378,0)/$M$2,"0")</f>
        <v/>
      </c>
      <c r="O118" s="157">
        <f>_xludf.IFNA(E120/_xlfn.XLOOKUP($M120,'00_SKU_Master'!$B$2:$B$378,'00_SKU_Master'!$M$2:$M$378,0)/$M$2,"0")</f>
        <v/>
      </c>
      <c r="P118" s="157">
        <f>_xludf.IFNA(F120/_xlfn.XLOOKUP($M120,'00_SKU_Master'!$B$2:$B$378,'00_SKU_Master'!$M$2:$M$378,0)/$M$2,"0")</f>
        <v/>
      </c>
      <c r="Q118" s="157">
        <f>_xludf.IFNA(G120/_xlfn.XLOOKUP($M120,'00_SKU_Master'!$B$2:$B$378,'00_SKU_Master'!$M$2:$M$378,0)/$M$2,"0")</f>
        <v/>
      </c>
      <c r="R118" s="157">
        <f>_xludf.IFNA(H120/_xlfn.XLOOKUP($M120,'00_SKU_Master'!$B$2:$B$378,'00_SKU_Master'!$M$2:$M$378,0)/$M$2,"0")</f>
        <v/>
      </c>
      <c r="S118" s="157">
        <f>_xludf.IFNA(I120/_xlfn.XLOOKUP($M120,'00_SKU_Master'!$B$2:$B$378,'00_SKU_Master'!$M$2:$M$378,0)/$M$2,"0")</f>
        <v/>
      </c>
      <c r="T118" s="157">
        <f>_xludf.IFNA(J120/_xlfn.XLOOKUP($M120,'00_SKU_Master'!$B$2:$B$378,'00_SKU_Master'!$M$2:$M$378,0)/$M$2,"0")</f>
        <v/>
      </c>
      <c r="U118" s="157">
        <f>SUM(N120:T120)</f>
        <v/>
      </c>
      <c r="V118" s="4" t="n"/>
      <c r="W118" s="4">
        <f>_xlfn.XLOOKUP(M120,'00_SKU_Master'!$B$2:$B$378,'00_SKU_Master'!D:D)</f>
        <v/>
      </c>
      <c r="X118" s="14">
        <f>'05_Daily_Orders'!B119</f>
        <v/>
      </c>
      <c r="Y118" s="588" t="n"/>
      <c r="Z118" s="589" t="n"/>
      <c r="AA118" s="589" t="n"/>
      <c r="AB118" s="589" t="n"/>
      <c r="AC118" s="589" t="n">
        <v>0</v>
      </c>
      <c r="AD118" s="589" t="n">
        <v>0</v>
      </c>
      <c r="AE118" s="589" t="n">
        <v>0</v>
      </c>
      <c r="AF118" s="587">
        <f>SUM(Y120:AE120)</f>
        <v/>
      </c>
      <c r="AQ118" s="23" t="n">
        <v>0</v>
      </c>
      <c r="AR118" s="23" t="n">
        <v>0</v>
      </c>
      <c r="AS118" s="23">
        <f>AR120-AQ120</f>
        <v/>
      </c>
    </row>
    <row r="119">
      <c r="A119" s="148">
        <f>_xlfn.XLOOKUP(C121,'00_SKU_Master'!$B$2:$B$378,'00_SKU_Master'!$C$2:$C$378)</f>
        <v/>
      </c>
      <c r="B119" s="148" t="n"/>
      <c r="C119" s="148">
        <f>X121</f>
        <v/>
      </c>
      <c r="D119" s="586">
        <f>_xludf.IFNA(_xlfn.XLOOKUP(C121,'00_SKU_Master'!$B$2:$B$378,'00_SKU_Master'!$F$2:$F$378,0)*Y121,"")</f>
        <v/>
      </c>
      <c r="E119" s="586">
        <f>_xludf.IFNA(_xlfn.XLOOKUP(C121,'00_SKU_Master'!$B$2:$B$378,'00_SKU_Master'!$F$2:$F$378,0)*Z121,"")</f>
        <v/>
      </c>
      <c r="F119" s="586">
        <f>_xludf.IFNA(_xlfn.XLOOKUP(C121,'00_SKU_Master'!$B$2:$B$378,'00_SKU_Master'!$F$2:$F$378,0)*AA121,"")</f>
        <v/>
      </c>
      <c r="G119" s="586">
        <f>_xludf.IFNA(_xlfn.XLOOKUP(C121,'00_SKU_Master'!$B$2:$B$378,'00_SKU_Master'!$F$2:$F$378,0)*AB121,"")</f>
        <v/>
      </c>
      <c r="H119" s="586">
        <f>_xludf.IFNA(_xlfn.XLOOKUP(C121,'00_SKU_Master'!$B$2:$B$378,'00_SKU_Master'!$F$2:$F$378,0)*AC121,"")</f>
        <v/>
      </c>
      <c r="I119" s="586">
        <f>_xludf.IFNA(_xlfn.XLOOKUP(C121,'00_SKU_Master'!$B$2:$B$378,'00_SKU_Master'!$F$2:$F$378,0)*AD121,"")</f>
        <v/>
      </c>
      <c r="J119" s="586">
        <f>_xludf.IFNA(_xlfn.XLOOKUP(C121,'00_SKU_Master'!$B$2:$B$378,'00_SKU_Master'!$F$2:$F$378,0)*AE121,"")</f>
        <v/>
      </c>
      <c r="K119" s="587">
        <f>SUM(D121:J121)</f>
        <v/>
      </c>
      <c r="L119" s="197">
        <f>_xlfn.XLOOKUP(C121,'00_SKU_Master'!$B$2:$B$378,'00_SKU_Master'!K:K)</f>
        <v/>
      </c>
      <c r="M119" s="14">
        <f>X121</f>
        <v/>
      </c>
      <c r="N119" s="157">
        <f>_xludf.IFNA(D121/_xlfn.XLOOKUP($M121,'00_SKU_Master'!$B$2:$B$378,'00_SKU_Master'!$M$2:$M$378,0)/$M$2,"0")</f>
        <v/>
      </c>
      <c r="O119" s="157">
        <f>_xludf.IFNA(E121/_xlfn.XLOOKUP($M121,'00_SKU_Master'!$B$2:$B$378,'00_SKU_Master'!$M$2:$M$378,0)/$M$2,"0")</f>
        <v/>
      </c>
      <c r="P119" s="157">
        <f>_xludf.IFNA(F121/_xlfn.XLOOKUP($M121,'00_SKU_Master'!$B$2:$B$378,'00_SKU_Master'!$M$2:$M$378,0)/$M$2,"0")</f>
        <v/>
      </c>
      <c r="Q119" s="157">
        <f>_xludf.IFNA(G121/_xlfn.XLOOKUP($M121,'00_SKU_Master'!$B$2:$B$378,'00_SKU_Master'!$M$2:$M$378,0)/$M$2,"0")</f>
        <v/>
      </c>
      <c r="R119" s="157">
        <f>_xludf.IFNA(H121/_xlfn.XLOOKUP($M121,'00_SKU_Master'!$B$2:$B$378,'00_SKU_Master'!$M$2:$M$378,0)/$M$2,"0")</f>
        <v/>
      </c>
      <c r="S119" s="157">
        <f>_xludf.IFNA(I121/_xlfn.XLOOKUP($M121,'00_SKU_Master'!$B$2:$B$378,'00_SKU_Master'!$M$2:$M$378,0)/$M$2,"0")</f>
        <v/>
      </c>
      <c r="T119" s="157">
        <f>_xludf.IFNA(J121/_xlfn.XLOOKUP($M121,'00_SKU_Master'!$B$2:$B$378,'00_SKU_Master'!$M$2:$M$378,0)/$M$2,"0")</f>
        <v/>
      </c>
      <c r="U119" s="157">
        <f>SUM(N121:T121)</f>
        <v/>
      </c>
      <c r="V119" s="4" t="n"/>
      <c r="W119" s="4">
        <f>_xlfn.XLOOKUP(M121,'00_SKU_Master'!$B$2:$B$378,'00_SKU_Master'!D:D)</f>
        <v/>
      </c>
      <c r="X119" s="14">
        <f>'05_Daily_Orders'!B120</f>
        <v/>
      </c>
      <c r="Y119" s="588" t="n"/>
      <c r="Z119" s="589" t="n"/>
      <c r="AA119" s="589" t="n"/>
      <c r="AB119" s="589" t="n"/>
      <c r="AC119" s="589" t="n">
        <v>0</v>
      </c>
      <c r="AD119" s="589" t="n">
        <v>0</v>
      </c>
      <c r="AE119" s="589" t="n">
        <v>0</v>
      </c>
      <c r="AF119" s="587">
        <f>SUM(Y121:AE121)</f>
        <v/>
      </c>
      <c r="AQ119" s="23" t="n">
        <v>0</v>
      </c>
      <c r="AR119" s="23" t="n">
        <v>0</v>
      </c>
      <c r="AS119" s="23">
        <f>AR121-AQ121</f>
        <v/>
      </c>
    </row>
    <row r="120">
      <c r="A120" s="148">
        <f>_xlfn.XLOOKUP(C122,'00_SKU_Master'!$B$2:$B$378,'00_SKU_Master'!$C$2:$C$378)</f>
        <v/>
      </c>
      <c r="B120" s="148" t="n"/>
      <c r="C120" s="148">
        <f>X122</f>
        <v/>
      </c>
      <c r="D120" s="586">
        <f>_xludf.IFNA(_xlfn.XLOOKUP(C122,'00_SKU_Master'!$B$2:$B$378,'00_SKU_Master'!$F$2:$F$378,0)*Y122,"")</f>
        <v/>
      </c>
      <c r="E120" s="586">
        <f>_xludf.IFNA(_xlfn.XLOOKUP(C122,'00_SKU_Master'!$B$2:$B$378,'00_SKU_Master'!$F$2:$F$378,0)*Z122,"")</f>
        <v/>
      </c>
      <c r="F120" s="586">
        <f>_xludf.IFNA(_xlfn.XLOOKUP(C122,'00_SKU_Master'!$B$2:$B$378,'00_SKU_Master'!$F$2:$F$378,0)*AA122,"")</f>
        <v/>
      </c>
      <c r="G120" s="586">
        <f>_xludf.IFNA(_xlfn.XLOOKUP(C122,'00_SKU_Master'!$B$2:$B$378,'00_SKU_Master'!$F$2:$F$378,0)*AB122,"")</f>
        <v/>
      </c>
      <c r="H120" s="586">
        <f>_xludf.IFNA(_xlfn.XLOOKUP(C122,'00_SKU_Master'!$B$2:$B$378,'00_SKU_Master'!$F$2:$F$378,0)*AC122,"")</f>
        <v/>
      </c>
      <c r="I120" s="586">
        <f>_xludf.IFNA(_xlfn.XLOOKUP(C122,'00_SKU_Master'!$B$2:$B$378,'00_SKU_Master'!$F$2:$F$378,0)*AD122,"")</f>
        <v/>
      </c>
      <c r="J120" s="586">
        <f>_xludf.IFNA(_xlfn.XLOOKUP(C122,'00_SKU_Master'!$B$2:$B$378,'00_SKU_Master'!$F$2:$F$378,0)*AE122,"")</f>
        <v/>
      </c>
      <c r="K120" s="587">
        <f>SUM(D122:J122)</f>
        <v/>
      </c>
      <c r="L120" s="197">
        <f>_xlfn.XLOOKUP(C122,'00_SKU_Master'!$B$2:$B$378,'00_SKU_Master'!K:K)</f>
        <v/>
      </c>
      <c r="M120" s="14">
        <f>X122</f>
        <v/>
      </c>
      <c r="N120" s="157">
        <f>_xludf.IFNA(D122/_xlfn.XLOOKUP($M122,'00_SKU_Master'!$B$2:$B$378,'00_SKU_Master'!$M$2:$M$378,0)/$M$2,"0")</f>
        <v/>
      </c>
      <c r="O120" s="157">
        <f>_xludf.IFNA(E122/_xlfn.XLOOKUP($M122,'00_SKU_Master'!$B$2:$B$378,'00_SKU_Master'!$M$2:$M$378,0)/$M$2,"0")</f>
        <v/>
      </c>
      <c r="P120" s="157">
        <f>_xludf.IFNA(F122/_xlfn.XLOOKUP($M122,'00_SKU_Master'!$B$2:$B$378,'00_SKU_Master'!$M$2:$M$378,0)/$M$2,"0")</f>
        <v/>
      </c>
      <c r="Q120" s="157">
        <f>_xludf.IFNA(G122/_xlfn.XLOOKUP($M122,'00_SKU_Master'!$B$2:$B$378,'00_SKU_Master'!$M$2:$M$378,0)/$M$2,"0")</f>
        <v/>
      </c>
      <c r="R120" s="157">
        <f>_xludf.IFNA(H122/_xlfn.XLOOKUP($M122,'00_SKU_Master'!$B$2:$B$378,'00_SKU_Master'!$M$2:$M$378,0)/$M$2,"0")</f>
        <v/>
      </c>
      <c r="S120" s="157">
        <f>_xludf.IFNA(I122/_xlfn.XLOOKUP($M122,'00_SKU_Master'!$B$2:$B$378,'00_SKU_Master'!$M$2:$M$378,0)/$M$2,"0")</f>
        <v/>
      </c>
      <c r="T120" s="157">
        <f>_xludf.IFNA(J122/_xlfn.XLOOKUP($M122,'00_SKU_Master'!$B$2:$B$378,'00_SKU_Master'!$M$2:$M$378,0)/$M$2,"0")</f>
        <v/>
      </c>
      <c r="U120" s="157">
        <f>SUM(N122:T122)</f>
        <v/>
      </c>
      <c r="V120" s="4" t="n"/>
      <c r="W120" s="4">
        <f>_xlfn.XLOOKUP(M122,'00_SKU_Master'!$B$2:$B$378,'00_SKU_Master'!D:D)</f>
        <v/>
      </c>
      <c r="X120" s="14">
        <f>'05_Daily_Orders'!B121</f>
        <v/>
      </c>
      <c r="Y120" s="588" t="n"/>
      <c r="Z120" s="589" t="n"/>
      <c r="AA120" s="589" t="n"/>
      <c r="AB120" s="589" t="n"/>
      <c r="AC120" s="589" t="n">
        <v>0</v>
      </c>
      <c r="AD120" s="589" t="n">
        <v>0</v>
      </c>
      <c r="AE120" s="589" t="n">
        <v>0</v>
      </c>
      <c r="AF120" s="587">
        <f>SUM(Y122:AE122)</f>
        <v/>
      </c>
      <c r="AQ120" s="23" t="n">
        <v>0</v>
      </c>
      <c r="AR120" s="23" t="n">
        <v>0</v>
      </c>
      <c r="AS120" s="23">
        <f>AR122-AQ122</f>
        <v/>
      </c>
    </row>
    <row r="121">
      <c r="A121" s="148">
        <f>_xlfn.XLOOKUP(C123,'00_SKU_Master'!$B$2:$B$378,'00_SKU_Master'!$C$2:$C$378)</f>
        <v/>
      </c>
      <c r="B121" s="148" t="n"/>
      <c r="C121" s="148">
        <f>X123</f>
        <v/>
      </c>
      <c r="D121" s="586">
        <f>_xludf.IFNA(_xlfn.XLOOKUP(C123,'00_SKU_Master'!$B$2:$B$378,'00_SKU_Master'!$F$2:$F$378,0)*Y123,"")</f>
        <v/>
      </c>
      <c r="E121" s="586">
        <f>_xludf.IFNA(_xlfn.XLOOKUP(C123,'00_SKU_Master'!$B$2:$B$378,'00_SKU_Master'!$F$2:$F$378,0)*Z123,"")</f>
        <v/>
      </c>
      <c r="F121" s="586">
        <f>_xludf.IFNA(_xlfn.XLOOKUP(C123,'00_SKU_Master'!$B$2:$B$378,'00_SKU_Master'!$F$2:$F$378,0)*AA123,"")</f>
        <v/>
      </c>
      <c r="G121" s="586">
        <f>_xludf.IFNA(_xlfn.XLOOKUP(C123,'00_SKU_Master'!$B$2:$B$378,'00_SKU_Master'!$F$2:$F$378,0)*AB123,"")</f>
        <v/>
      </c>
      <c r="H121" s="586">
        <f>_xludf.IFNA(_xlfn.XLOOKUP(C123,'00_SKU_Master'!$B$2:$B$378,'00_SKU_Master'!$F$2:$F$378,0)*AC123,"")</f>
        <v/>
      </c>
      <c r="I121" s="586">
        <f>_xludf.IFNA(_xlfn.XLOOKUP(C123,'00_SKU_Master'!$B$2:$B$378,'00_SKU_Master'!$F$2:$F$378,0)*AD123,"")</f>
        <v/>
      </c>
      <c r="J121" s="586">
        <f>_xludf.IFNA(_xlfn.XLOOKUP(C123,'00_SKU_Master'!$B$2:$B$378,'00_SKU_Master'!$F$2:$F$378,0)*AE123,"")</f>
        <v/>
      </c>
      <c r="K121" s="587">
        <f>SUM(D123:J123)</f>
        <v/>
      </c>
      <c r="L121" s="197">
        <f>_xlfn.XLOOKUP(C123,'00_SKU_Master'!$B$2:$B$378,'00_SKU_Master'!K:K)</f>
        <v/>
      </c>
      <c r="M121" s="14">
        <f>X123</f>
        <v/>
      </c>
      <c r="N121" s="157">
        <f>_xludf.IFNA(D123/_xlfn.XLOOKUP($M123,'00_SKU_Master'!$B$2:$B$378,'00_SKU_Master'!$M$2:$M$378,0)/$M$2,"0")</f>
        <v/>
      </c>
      <c r="O121" s="157">
        <f>_xludf.IFNA(E123/_xlfn.XLOOKUP($M123,'00_SKU_Master'!$B$2:$B$378,'00_SKU_Master'!$M$2:$M$378,0)/$M$2,"0")</f>
        <v/>
      </c>
      <c r="P121" s="157">
        <f>_xludf.IFNA(F123/_xlfn.XLOOKUP($M123,'00_SKU_Master'!$B$2:$B$378,'00_SKU_Master'!$M$2:$M$378,0)/$M$2,"0")</f>
        <v/>
      </c>
      <c r="Q121" s="157">
        <f>_xludf.IFNA(G123/_xlfn.XLOOKUP($M123,'00_SKU_Master'!$B$2:$B$378,'00_SKU_Master'!$M$2:$M$378,0)/$M$2,"0")</f>
        <v/>
      </c>
      <c r="R121" s="157">
        <f>_xludf.IFNA(H123/_xlfn.XLOOKUP($M123,'00_SKU_Master'!$B$2:$B$378,'00_SKU_Master'!$M$2:$M$378,0)/$M$2,"0")</f>
        <v/>
      </c>
      <c r="S121" s="157">
        <f>_xludf.IFNA(I123/_xlfn.XLOOKUP($M123,'00_SKU_Master'!$B$2:$B$378,'00_SKU_Master'!$M$2:$M$378,0)/$M$2,"0")</f>
        <v/>
      </c>
      <c r="T121" s="157">
        <f>_xludf.IFNA(J123/_xlfn.XLOOKUP($M123,'00_SKU_Master'!$B$2:$B$378,'00_SKU_Master'!$M$2:$M$378,0)/$M$2,"0")</f>
        <v/>
      </c>
      <c r="U121" s="157">
        <f>SUM(N123:T123)</f>
        <v/>
      </c>
      <c r="V121" s="4" t="n"/>
      <c r="W121" s="4">
        <f>_xlfn.XLOOKUP(M123,'00_SKU_Master'!$B$2:$B$378,'00_SKU_Master'!D:D)</f>
        <v/>
      </c>
      <c r="X121" s="14">
        <f>'05_Daily_Orders'!B122</f>
        <v/>
      </c>
      <c r="Y121" s="588" t="n"/>
      <c r="Z121" s="589" t="n"/>
      <c r="AA121" s="589" t="n"/>
      <c r="AB121" s="589" t="n"/>
      <c r="AC121" s="589" t="n">
        <v>0</v>
      </c>
      <c r="AD121" s="589" t="n">
        <v>0</v>
      </c>
      <c r="AE121" s="589" t="n">
        <v>0</v>
      </c>
      <c r="AF121" s="587">
        <f>SUM(Y123:AE123)</f>
        <v/>
      </c>
      <c r="AQ121" s="23" t="n">
        <v>0</v>
      </c>
      <c r="AR121" s="23" t="n">
        <v>0</v>
      </c>
      <c r="AS121" s="23">
        <f>AR123-AQ123</f>
        <v/>
      </c>
    </row>
    <row r="122">
      <c r="A122" s="148">
        <f>_xlfn.XLOOKUP(C124,'00_SKU_Master'!$B$2:$B$378,'00_SKU_Master'!$C$2:$C$378)</f>
        <v/>
      </c>
      <c r="B122" s="148" t="n"/>
      <c r="C122" s="148">
        <f>X124</f>
        <v/>
      </c>
      <c r="D122" s="586">
        <f>_xludf.IFNA(_xlfn.XLOOKUP(C124,'00_SKU_Master'!$B$2:$B$378,'00_SKU_Master'!$F$2:$F$378,0)*Y124,"")</f>
        <v/>
      </c>
      <c r="E122" s="586">
        <f>_xludf.IFNA(_xlfn.XLOOKUP(C124,'00_SKU_Master'!$B$2:$B$378,'00_SKU_Master'!$F$2:$F$378,0)*Z124,"")</f>
        <v/>
      </c>
      <c r="F122" s="586">
        <f>_xludf.IFNA(_xlfn.XLOOKUP(C124,'00_SKU_Master'!$B$2:$B$378,'00_SKU_Master'!$F$2:$F$378,0)*AA124,"")</f>
        <v/>
      </c>
      <c r="G122" s="586">
        <f>_xludf.IFNA(_xlfn.XLOOKUP(C124,'00_SKU_Master'!$B$2:$B$378,'00_SKU_Master'!$F$2:$F$378,0)*AB124,"")</f>
        <v/>
      </c>
      <c r="H122" s="586">
        <f>_xludf.IFNA(_xlfn.XLOOKUP(C124,'00_SKU_Master'!$B$2:$B$378,'00_SKU_Master'!$F$2:$F$378,0)*AC124,"")</f>
        <v/>
      </c>
      <c r="I122" s="586">
        <f>_xludf.IFNA(_xlfn.XLOOKUP(C124,'00_SKU_Master'!$B$2:$B$378,'00_SKU_Master'!$F$2:$F$378,0)*AD124,"")</f>
        <v/>
      </c>
      <c r="J122" s="586">
        <f>_xludf.IFNA(_xlfn.XLOOKUP(C124,'00_SKU_Master'!$B$2:$B$378,'00_SKU_Master'!$F$2:$F$378,0)*AE124,"")</f>
        <v/>
      </c>
      <c r="K122" s="587">
        <f>SUM(D124:J124)</f>
        <v/>
      </c>
      <c r="L122" s="197">
        <f>_xlfn.XLOOKUP(C124,'00_SKU_Master'!$B$2:$B$378,'00_SKU_Master'!K:K)</f>
        <v/>
      </c>
      <c r="M122" s="14">
        <f>X124</f>
        <v/>
      </c>
      <c r="N122" s="157">
        <f>_xludf.IFNA(D124/_xlfn.XLOOKUP($M124,'00_SKU_Master'!$B$2:$B$378,'00_SKU_Master'!$M$2:$M$378,0)/$M$2,"0")</f>
        <v/>
      </c>
      <c r="O122" s="157">
        <f>_xludf.IFNA(E124/_xlfn.XLOOKUP($M124,'00_SKU_Master'!$B$2:$B$378,'00_SKU_Master'!$M$2:$M$378,0)/$M$2,"0")</f>
        <v/>
      </c>
      <c r="P122" s="157">
        <f>_xludf.IFNA(F124/_xlfn.XLOOKUP($M124,'00_SKU_Master'!$B$2:$B$378,'00_SKU_Master'!$M$2:$M$378,0)/$M$2,"0")</f>
        <v/>
      </c>
      <c r="Q122" s="157">
        <f>_xludf.IFNA(G124/_xlfn.XLOOKUP($M124,'00_SKU_Master'!$B$2:$B$378,'00_SKU_Master'!$M$2:$M$378,0)/$M$2,"0")</f>
        <v/>
      </c>
      <c r="R122" s="157">
        <f>_xludf.IFNA(H124/_xlfn.XLOOKUP($M124,'00_SKU_Master'!$B$2:$B$378,'00_SKU_Master'!$M$2:$M$378,0)/$M$2,"0")</f>
        <v/>
      </c>
      <c r="S122" s="157">
        <f>_xludf.IFNA(I124/_xlfn.XLOOKUP($M124,'00_SKU_Master'!$B$2:$B$378,'00_SKU_Master'!$M$2:$M$378,0)/$M$2,"0")</f>
        <v/>
      </c>
      <c r="T122" s="157">
        <f>_xludf.IFNA(J124/_xlfn.XLOOKUP($M124,'00_SKU_Master'!$B$2:$B$378,'00_SKU_Master'!$M$2:$M$378,0)/$M$2,"0")</f>
        <v/>
      </c>
      <c r="U122" s="157">
        <f>SUM(N124:T124)</f>
        <v/>
      </c>
      <c r="V122" s="4" t="n"/>
      <c r="W122" s="4">
        <f>_xlfn.XLOOKUP(M124,'00_SKU_Master'!$B$2:$B$378,'00_SKU_Master'!D:D)</f>
        <v/>
      </c>
      <c r="X122" s="14">
        <f>'05_Daily_Orders'!B123</f>
        <v/>
      </c>
      <c r="Y122" s="588" t="n"/>
      <c r="Z122" s="589" t="n"/>
      <c r="AA122" s="589" t="n"/>
      <c r="AB122" s="589" t="n"/>
      <c r="AC122" s="589" t="n">
        <v>0</v>
      </c>
      <c r="AD122" s="589" t="n">
        <v>0</v>
      </c>
      <c r="AE122" s="589" t="n">
        <v>0</v>
      </c>
      <c r="AF122" s="587">
        <f>SUM(Y124:AE124)</f>
        <v/>
      </c>
      <c r="AQ122" s="23" t="n">
        <v>0</v>
      </c>
      <c r="AR122" s="23" t="n">
        <v>0</v>
      </c>
      <c r="AS122" s="23">
        <f>AR124-AQ124</f>
        <v/>
      </c>
    </row>
    <row r="123">
      <c r="A123" s="148">
        <f>_xlfn.XLOOKUP(C125,'00_SKU_Master'!$B$2:$B$378,'00_SKU_Master'!$C$2:$C$378)</f>
        <v/>
      </c>
      <c r="B123" s="148" t="n"/>
      <c r="C123" s="148">
        <f>X125</f>
        <v/>
      </c>
      <c r="D123" s="586">
        <f>_xludf.IFNA(_xlfn.XLOOKUP(C125,'00_SKU_Master'!$B$2:$B$378,'00_SKU_Master'!$F$2:$F$378,0)*Y125,"")</f>
        <v/>
      </c>
      <c r="E123" s="586">
        <f>_xludf.IFNA(_xlfn.XLOOKUP(C125,'00_SKU_Master'!$B$2:$B$378,'00_SKU_Master'!$F$2:$F$378,0)*Z125,"")</f>
        <v/>
      </c>
      <c r="F123" s="586">
        <f>_xludf.IFNA(_xlfn.XLOOKUP(C125,'00_SKU_Master'!$B$2:$B$378,'00_SKU_Master'!$F$2:$F$378,0)*AA125,"")</f>
        <v/>
      </c>
      <c r="G123" s="586">
        <f>_xludf.IFNA(_xlfn.XLOOKUP(C125,'00_SKU_Master'!$B$2:$B$378,'00_SKU_Master'!$F$2:$F$378,0)*AB125,"")</f>
        <v/>
      </c>
      <c r="H123" s="586">
        <f>_xludf.IFNA(_xlfn.XLOOKUP(C125,'00_SKU_Master'!$B$2:$B$378,'00_SKU_Master'!$F$2:$F$378,0)*AC125,"")</f>
        <v/>
      </c>
      <c r="I123" s="586">
        <f>_xludf.IFNA(_xlfn.XLOOKUP(C125,'00_SKU_Master'!$B$2:$B$378,'00_SKU_Master'!$F$2:$F$378,0)*AD125,"")</f>
        <v/>
      </c>
      <c r="J123" s="586">
        <f>_xludf.IFNA(_xlfn.XLOOKUP(C125,'00_SKU_Master'!$B$2:$B$378,'00_SKU_Master'!$F$2:$F$378,0)*AE125,"")</f>
        <v/>
      </c>
      <c r="K123" s="587">
        <f>SUM(D125:J125)</f>
        <v/>
      </c>
      <c r="L123" s="197">
        <f>_xlfn.XLOOKUP(C125,'00_SKU_Master'!$B$2:$B$378,'00_SKU_Master'!K:K)</f>
        <v/>
      </c>
      <c r="M123" s="14">
        <f>X125</f>
        <v/>
      </c>
      <c r="N123" s="157">
        <f>_xludf.IFNA(D125/_xlfn.XLOOKUP($M125,'00_SKU_Master'!$B$2:$B$378,'00_SKU_Master'!$M$2:$M$378,0)/$M$2,"0")</f>
        <v/>
      </c>
      <c r="O123" s="157">
        <f>_xludf.IFNA(E125/_xlfn.XLOOKUP($M125,'00_SKU_Master'!$B$2:$B$378,'00_SKU_Master'!$M$2:$M$378,0)/$M$2,"0")</f>
        <v/>
      </c>
      <c r="P123" s="157">
        <f>_xludf.IFNA(F125/_xlfn.XLOOKUP($M125,'00_SKU_Master'!$B$2:$B$378,'00_SKU_Master'!$M$2:$M$378,0)/$M$2,"0")</f>
        <v/>
      </c>
      <c r="Q123" s="157">
        <f>_xludf.IFNA(G125/_xlfn.XLOOKUP($M125,'00_SKU_Master'!$B$2:$B$378,'00_SKU_Master'!$M$2:$M$378,0)/$M$2,"0")</f>
        <v/>
      </c>
      <c r="R123" s="157">
        <f>_xludf.IFNA(H125/_xlfn.XLOOKUP($M125,'00_SKU_Master'!$B$2:$B$378,'00_SKU_Master'!$M$2:$M$378,0)/$M$2,"0")</f>
        <v/>
      </c>
      <c r="S123" s="157">
        <f>_xludf.IFNA(I125/_xlfn.XLOOKUP($M125,'00_SKU_Master'!$B$2:$B$378,'00_SKU_Master'!$M$2:$M$378,0)/$M$2,"0")</f>
        <v/>
      </c>
      <c r="T123" s="157">
        <f>_xludf.IFNA(J125/_xlfn.XLOOKUP($M125,'00_SKU_Master'!$B$2:$B$378,'00_SKU_Master'!$M$2:$M$378,0)/$M$2,"0")</f>
        <v/>
      </c>
      <c r="U123" s="157">
        <f>SUM(N125:T125)</f>
        <v/>
      </c>
      <c r="V123" s="4" t="n"/>
      <c r="W123" s="4">
        <f>_xlfn.XLOOKUP(M125,'00_SKU_Master'!$B$2:$B$378,'00_SKU_Master'!D:D)</f>
        <v/>
      </c>
      <c r="X123" s="14">
        <f>'05_Daily_Orders'!B124</f>
        <v/>
      </c>
      <c r="Y123" s="588" t="n"/>
      <c r="Z123" s="589" t="n"/>
      <c r="AA123" s="589" t="n"/>
      <c r="AB123" s="589" t="n"/>
      <c r="AC123" s="589" t="n">
        <v>0</v>
      </c>
      <c r="AD123" s="589" t="n">
        <v>0</v>
      </c>
      <c r="AE123" s="589" t="n">
        <v>0</v>
      </c>
      <c r="AF123" s="587">
        <f>SUM(Y125:AE125)</f>
        <v/>
      </c>
      <c r="AQ123" s="23" t="n">
        <v>0</v>
      </c>
      <c r="AR123" s="23" t="n">
        <v>0</v>
      </c>
      <c r="AS123" s="23">
        <f>AR125-AQ125</f>
        <v/>
      </c>
    </row>
    <row r="124">
      <c r="A124" s="148">
        <f>_xlfn.XLOOKUP(C126,'00_SKU_Master'!$B$2:$B$378,'00_SKU_Master'!$C$2:$C$378)</f>
        <v/>
      </c>
      <c r="B124" s="148" t="n"/>
      <c r="C124" s="148">
        <f>X126</f>
        <v/>
      </c>
      <c r="D124" s="586">
        <f>_xludf.IFNA(_xlfn.XLOOKUP(C126,'00_SKU_Master'!$B$2:$B$378,'00_SKU_Master'!$F$2:$F$378,0)*Y126,"")</f>
        <v/>
      </c>
      <c r="E124" s="586">
        <f>_xludf.IFNA(_xlfn.XLOOKUP(C126,'00_SKU_Master'!$B$2:$B$378,'00_SKU_Master'!$F$2:$F$378,0)*Z126,"")</f>
        <v/>
      </c>
      <c r="F124" s="586">
        <f>_xludf.IFNA(_xlfn.XLOOKUP(C126,'00_SKU_Master'!$B$2:$B$378,'00_SKU_Master'!$F$2:$F$378,0)*AA126,"")</f>
        <v/>
      </c>
      <c r="G124" s="586">
        <f>_xludf.IFNA(_xlfn.XLOOKUP(C126,'00_SKU_Master'!$B$2:$B$378,'00_SKU_Master'!$F$2:$F$378,0)*AB126,"")</f>
        <v/>
      </c>
      <c r="H124" s="586">
        <f>_xludf.IFNA(_xlfn.XLOOKUP(C126,'00_SKU_Master'!$B$2:$B$378,'00_SKU_Master'!$F$2:$F$378,0)*AC126,"")</f>
        <v/>
      </c>
      <c r="I124" s="586">
        <f>_xludf.IFNA(_xlfn.XLOOKUP(C126,'00_SKU_Master'!$B$2:$B$378,'00_SKU_Master'!$F$2:$F$378,0)*AD126,"")</f>
        <v/>
      </c>
      <c r="J124" s="586">
        <f>_xludf.IFNA(_xlfn.XLOOKUP(C126,'00_SKU_Master'!$B$2:$B$378,'00_SKU_Master'!$F$2:$F$378,0)*AE126,"")</f>
        <v/>
      </c>
      <c r="K124" s="587">
        <f>SUM(D126:J126)</f>
        <v/>
      </c>
      <c r="L124" s="197">
        <f>_xlfn.XLOOKUP(C126,'00_SKU_Master'!$B$2:$B$378,'00_SKU_Master'!K:K)</f>
        <v/>
      </c>
      <c r="M124" s="14">
        <f>X126</f>
        <v/>
      </c>
      <c r="N124" s="157">
        <f>_xludf.IFNA(D126/_xlfn.XLOOKUP($M126,'00_SKU_Master'!$B$2:$B$378,'00_SKU_Master'!$M$2:$M$378,0)/$M$2,"0")</f>
        <v/>
      </c>
      <c r="O124" s="157">
        <f>_xludf.IFNA(E126/_xlfn.XLOOKUP($M126,'00_SKU_Master'!$B$2:$B$378,'00_SKU_Master'!$M$2:$M$378,0)/$M$2,"0")</f>
        <v/>
      </c>
      <c r="P124" s="157">
        <f>_xludf.IFNA(F126/_xlfn.XLOOKUP($M126,'00_SKU_Master'!$B$2:$B$378,'00_SKU_Master'!$M$2:$M$378,0)/$M$2,"0")</f>
        <v/>
      </c>
      <c r="Q124" s="157">
        <f>_xludf.IFNA(G126/_xlfn.XLOOKUP($M126,'00_SKU_Master'!$B$2:$B$378,'00_SKU_Master'!$M$2:$M$378,0)/$M$2,"0")</f>
        <v/>
      </c>
      <c r="R124" s="157">
        <f>_xludf.IFNA(H126/_xlfn.XLOOKUP($M126,'00_SKU_Master'!$B$2:$B$378,'00_SKU_Master'!$M$2:$M$378,0)/$M$2,"0")</f>
        <v/>
      </c>
      <c r="S124" s="157">
        <f>_xludf.IFNA(I126/_xlfn.XLOOKUP($M126,'00_SKU_Master'!$B$2:$B$378,'00_SKU_Master'!$M$2:$M$378,0)/$M$2,"0")</f>
        <v/>
      </c>
      <c r="T124" s="157">
        <f>_xludf.IFNA(J126/_xlfn.XLOOKUP($M126,'00_SKU_Master'!$B$2:$B$378,'00_SKU_Master'!$M$2:$M$378,0)/$M$2,"0")</f>
        <v/>
      </c>
      <c r="U124" s="157">
        <f>SUM(N126:T126)</f>
        <v/>
      </c>
      <c r="V124" s="4" t="n"/>
      <c r="W124" s="4">
        <f>_xlfn.XLOOKUP(M126,'00_SKU_Master'!$B$2:$B$378,'00_SKU_Master'!D:D)</f>
        <v/>
      </c>
      <c r="X124" s="14">
        <f>'05_Daily_Orders'!B125</f>
        <v/>
      </c>
      <c r="Y124" s="588" t="n"/>
      <c r="Z124" s="589" t="n"/>
      <c r="AA124" s="589" t="n"/>
      <c r="AB124" s="589" t="n"/>
      <c r="AC124" s="589" t="n">
        <v>0</v>
      </c>
      <c r="AD124" s="589" t="n">
        <v>0</v>
      </c>
      <c r="AE124" s="589" t="n">
        <v>0</v>
      </c>
      <c r="AF124" s="587">
        <f>SUM(Y126:AE126)</f>
        <v/>
      </c>
      <c r="AQ124" s="23" t="n">
        <v>0</v>
      </c>
      <c r="AR124" s="23" t="n">
        <v>0</v>
      </c>
      <c r="AS124" s="23">
        <f>AR126-AQ126</f>
        <v/>
      </c>
    </row>
    <row r="125">
      <c r="A125" s="148">
        <f>_xlfn.XLOOKUP(C127,'00_SKU_Master'!$B$2:$B$378,'00_SKU_Master'!$C$2:$C$378)</f>
        <v/>
      </c>
      <c r="B125" s="148" t="n"/>
      <c r="C125" s="148">
        <f>X127</f>
        <v/>
      </c>
      <c r="D125" s="586">
        <f>_xludf.IFNA(_xlfn.XLOOKUP(C127,'00_SKU_Master'!$B$2:$B$378,'00_SKU_Master'!$F$2:$F$378,0)*Y127,"")</f>
        <v/>
      </c>
      <c r="E125" s="586">
        <f>_xludf.IFNA(_xlfn.XLOOKUP(C127,'00_SKU_Master'!$B$2:$B$378,'00_SKU_Master'!$F$2:$F$378,0)*Z127,"")</f>
        <v/>
      </c>
      <c r="F125" s="586">
        <f>_xludf.IFNA(_xlfn.XLOOKUP(C127,'00_SKU_Master'!$B$2:$B$378,'00_SKU_Master'!$F$2:$F$378,0)*AA127,"")</f>
        <v/>
      </c>
      <c r="G125" s="586">
        <f>_xludf.IFNA(_xlfn.XLOOKUP(C127,'00_SKU_Master'!$B$2:$B$378,'00_SKU_Master'!$F$2:$F$378,0)*AB127,"")</f>
        <v/>
      </c>
      <c r="H125" s="586">
        <f>_xludf.IFNA(_xlfn.XLOOKUP(C127,'00_SKU_Master'!$B$2:$B$378,'00_SKU_Master'!$F$2:$F$378,0)*AC127,"")</f>
        <v/>
      </c>
      <c r="I125" s="586">
        <f>_xludf.IFNA(_xlfn.XLOOKUP(C127,'00_SKU_Master'!$B$2:$B$378,'00_SKU_Master'!$F$2:$F$378,0)*AD127,"")</f>
        <v/>
      </c>
      <c r="J125" s="586">
        <f>_xludf.IFNA(_xlfn.XLOOKUP(C127,'00_SKU_Master'!$B$2:$B$378,'00_SKU_Master'!$F$2:$F$378,0)*AE127,"")</f>
        <v/>
      </c>
      <c r="K125" s="587">
        <f>SUM(D127:J127)</f>
        <v/>
      </c>
      <c r="L125" s="197">
        <f>_xlfn.XLOOKUP(C127,'00_SKU_Master'!$B$2:$B$378,'00_SKU_Master'!K:K)</f>
        <v/>
      </c>
      <c r="M125" s="14">
        <f>X127</f>
        <v/>
      </c>
      <c r="N125" s="157">
        <f>_xludf.IFNA(D127/_xlfn.XLOOKUP($M127,'00_SKU_Master'!$B$2:$B$378,'00_SKU_Master'!$M$2:$M$378,0)/$M$2,"0")</f>
        <v/>
      </c>
      <c r="O125" s="157">
        <f>_xludf.IFNA(E127/_xlfn.XLOOKUP($M127,'00_SKU_Master'!$B$2:$B$378,'00_SKU_Master'!$M$2:$M$378,0)/$M$2,"0")</f>
        <v/>
      </c>
      <c r="P125" s="157">
        <f>_xludf.IFNA(F127/_xlfn.XLOOKUP($M127,'00_SKU_Master'!$B$2:$B$378,'00_SKU_Master'!$M$2:$M$378,0)/$M$2,"0")</f>
        <v/>
      </c>
      <c r="Q125" s="157">
        <f>_xludf.IFNA(G127/_xlfn.XLOOKUP($M127,'00_SKU_Master'!$B$2:$B$378,'00_SKU_Master'!$M$2:$M$378,0)/$M$2,"0")</f>
        <v/>
      </c>
      <c r="R125" s="157">
        <f>_xludf.IFNA(H127/_xlfn.XLOOKUP($M127,'00_SKU_Master'!$B$2:$B$378,'00_SKU_Master'!$M$2:$M$378,0)/$M$2,"0")</f>
        <v/>
      </c>
      <c r="S125" s="157">
        <f>_xludf.IFNA(I127/_xlfn.XLOOKUP($M127,'00_SKU_Master'!$B$2:$B$378,'00_SKU_Master'!$M$2:$M$378,0)/$M$2,"0")</f>
        <v/>
      </c>
      <c r="T125" s="157">
        <f>_xludf.IFNA(J127/_xlfn.XLOOKUP($M127,'00_SKU_Master'!$B$2:$B$378,'00_SKU_Master'!$M$2:$M$378,0)/$M$2,"0")</f>
        <v/>
      </c>
      <c r="U125" s="157">
        <f>SUM(N127:T127)</f>
        <v/>
      </c>
      <c r="V125" s="4" t="n"/>
      <c r="W125" s="4">
        <f>_xlfn.XLOOKUP(M127,'00_SKU_Master'!$B$2:$B$378,'00_SKU_Master'!D:D)</f>
        <v/>
      </c>
      <c r="X125" s="14">
        <f>'05_Daily_Orders'!B126</f>
        <v/>
      </c>
      <c r="Y125" s="588" t="n"/>
      <c r="Z125" s="589" t="n"/>
      <c r="AA125" s="589" t="n"/>
      <c r="AB125" s="589" t="n"/>
      <c r="AC125" s="589" t="n">
        <v>0</v>
      </c>
      <c r="AD125" s="589" t="n">
        <v>0</v>
      </c>
      <c r="AE125" s="589" t="n">
        <v>0</v>
      </c>
      <c r="AF125" s="587">
        <f>SUM(Y127:AE127)</f>
        <v/>
      </c>
      <c r="AQ125" s="23" t="n">
        <v>0</v>
      </c>
      <c r="AR125" s="23" t="n">
        <v>0</v>
      </c>
      <c r="AS125" s="23">
        <f>AR127-AQ127</f>
        <v/>
      </c>
    </row>
    <row r="126">
      <c r="A126" s="148">
        <f>_xlfn.XLOOKUP(C128,'00_SKU_Master'!$B$2:$B$378,'00_SKU_Master'!$C$2:$C$378)</f>
        <v/>
      </c>
      <c r="B126" s="148" t="n"/>
      <c r="C126" s="148">
        <f>X128</f>
        <v/>
      </c>
      <c r="D126" s="586">
        <f>_xludf.IFNA(_xlfn.XLOOKUP(C128,'00_SKU_Master'!$B$2:$B$378,'00_SKU_Master'!$F$2:$F$378,0)*Y128,"")</f>
        <v/>
      </c>
      <c r="E126" s="586">
        <f>_xludf.IFNA(_xlfn.XLOOKUP(C128,'00_SKU_Master'!$B$2:$B$378,'00_SKU_Master'!$F$2:$F$378,0)*Z128,"")</f>
        <v/>
      </c>
      <c r="F126" s="586">
        <f>_xludf.IFNA(_xlfn.XLOOKUP(C128,'00_SKU_Master'!$B$2:$B$378,'00_SKU_Master'!$F$2:$F$378,0)*AA128,"")</f>
        <v/>
      </c>
      <c r="G126" s="586">
        <f>_xludf.IFNA(_xlfn.XLOOKUP(C128,'00_SKU_Master'!$B$2:$B$378,'00_SKU_Master'!$F$2:$F$378,0)*AB128,"")</f>
        <v/>
      </c>
      <c r="H126" s="586">
        <f>_xludf.IFNA(_xlfn.XLOOKUP(C128,'00_SKU_Master'!$B$2:$B$378,'00_SKU_Master'!$F$2:$F$378,0)*AC128,"")</f>
        <v/>
      </c>
      <c r="I126" s="586">
        <f>_xludf.IFNA(_xlfn.XLOOKUP(C128,'00_SKU_Master'!$B$2:$B$378,'00_SKU_Master'!$F$2:$F$378,0)*AD128,"")</f>
        <v/>
      </c>
      <c r="J126" s="586">
        <f>_xludf.IFNA(_xlfn.XLOOKUP(C128,'00_SKU_Master'!$B$2:$B$378,'00_SKU_Master'!$F$2:$F$378,0)*AE128,"")</f>
        <v/>
      </c>
      <c r="K126" s="587">
        <f>SUM(D128:J128)</f>
        <v/>
      </c>
      <c r="L126" s="197">
        <f>_xlfn.XLOOKUP(C128,'00_SKU_Master'!$B$2:$B$378,'00_SKU_Master'!K:K)</f>
        <v/>
      </c>
      <c r="M126" s="14">
        <f>X128</f>
        <v/>
      </c>
      <c r="N126" s="157">
        <f>_xludf.IFNA(D128/_xlfn.XLOOKUP($M128,'00_SKU_Master'!$B$2:$B$378,'00_SKU_Master'!$M$2:$M$378,0)/$M$2,"0")</f>
        <v/>
      </c>
      <c r="O126" s="157">
        <f>_xludf.IFNA(E128/_xlfn.XLOOKUP($M128,'00_SKU_Master'!$B$2:$B$378,'00_SKU_Master'!$M$2:$M$378,0)/$M$2,"0")</f>
        <v/>
      </c>
      <c r="P126" s="157">
        <f>_xludf.IFNA(F128/_xlfn.XLOOKUP($M128,'00_SKU_Master'!$B$2:$B$378,'00_SKU_Master'!$M$2:$M$378,0)/$M$2,"0")</f>
        <v/>
      </c>
      <c r="Q126" s="157">
        <f>_xludf.IFNA(G128/_xlfn.XLOOKUP($M128,'00_SKU_Master'!$B$2:$B$378,'00_SKU_Master'!$M$2:$M$378,0)/$M$2,"0")</f>
        <v/>
      </c>
      <c r="R126" s="157">
        <f>_xludf.IFNA(H128/_xlfn.XLOOKUP($M128,'00_SKU_Master'!$B$2:$B$378,'00_SKU_Master'!$M$2:$M$378,0)/$M$2,"0")</f>
        <v/>
      </c>
      <c r="S126" s="157">
        <f>_xludf.IFNA(I128/_xlfn.XLOOKUP($M128,'00_SKU_Master'!$B$2:$B$378,'00_SKU_Master'!$M$2:$M$378,0)/$M$2,"0")</f>
        <v/>
      </c>
      <c r="T126" s="157">
        <f>_xludf.IFNA(J128/_xlfn.XLOOKUP($M128,'00_SKU_Master'!$B$2:$B$378,'00_SKU_Master'!$M$2:$M$378,0)/$M$2,"0")</f>
        <v/>
      </c>
      <c r="U126" s="157">
        <f>SUM(N128:T128)</f>
        <v/>
      </c>
      <c r="V126" s="4" t="n"/>
      <c r="W126" s="4">
        <f>_xlfn.XLOOKUP(M128,'00_SKU_Master'!$B$2:$B$378,'00_SKU_Master'!D:D)</f>
        <v/>
      </c>
      <c r="X126" s="14">
        <f>'05_Daily_Orders'!B127</f>
        <v/>
      </c>
      <c r="Y126" s="588" t="n"/>
      <c r="Z126" s="589" t="n"/>
      <c r="AA126" s="589" t="n"/>
      <c r="AB126" s="589" t="n"/>
      <c r="AC126" s="589" t="n">
        <v>0</v>
      </c>
      <c r="AD126" s="589" t="n">
        <v>0</v>
      </c>
      <c r="AE126" s="589" t="n">
        <v>0</v>
      </c>
      <c r="AF126" s="587">
        <f>SUM(Y128:AE128)</f>
        <v/>
      </c>
      <c r="AQ126" s="23" t="n">
        <v>0</v>
      </c>
      <c r="AR126" s="23" t="n">
        <v>0</v>
      </c>
      <c r="AS126" s="23">
        <f>AR128-AQ128</f>
        <v/>
      </c>
    </row>
    <row r="127">
      <c r="A127" s="148">
        <f>_xlfn.XLOOKUP(C129,'00_SKU_Master'!$B$2:$B$378,'00_SKU_Master'!$C$2:$C$378)</f>
        <v/>
      </c>
      <c r="B127" s="148" t="n"/>
      <c r="C127" s="148">
        <f>X129</f>
        <v/>
      </c>
      <c r="D127" s="586">
        <f>_xludf.IFNA(_xlfn.XLOOKUP(C129,'00_SKU_Master'!$B$2:$B$378,'00_SKU_Master'!$F$2:$F$378,0)*Y129,"")</f>
        <v/>
      </c>
      <c r="E127" s="586">
        <f>_xludf.IFNA(_xlfn.XLOOKUP(C129,'00_SKU_Master'!$B$2:$B$378,'00_SKU_Master'!$F$2:$F$378,0)*Z129,"")</f>
        <v/>
      </c>
      <c r="F127" s="586">
        <f>_xludf.IFNA(_xlfn.XLOOKUP(C129,'00_SKU_Master'!$B$2:$B$378,'00_SKU_Master'!$F$2:$F$378,0)*AA129,"")</f>
        <v/>
      </c>
      <c r="G127" s="586">
        <f>_xludf.IFNA(_xlfn.XLOOKUP(C129,'00_SKU_Master'!$B$2:$B$378,'00_SKU_Master'!$F$2:$F$378,0)*AB129,"")</f>
        <v/>
      </c>
      <c r="H127" s="586">
        <f>_xludf.IFNA(_xlfn.XLOOKUP(C129,'00_SKU_Master'!$B$2:$B$378,'00_SKU_Master'!$F$2:$F$378,0)*AC129,"")</f>
        <v/>
      </c>
      <c r="I127" s="586">
        <f>_xludf.IFNA(_xlfn.XLOOKUP(C129,'00_SKU_Master'!$B$2:$B$378,'00_SKU_Master'!$F$2:$F$378,0)*AD129,"")</f>
        <v/>
      </c>
      <c r="J127" s="586">
        <f>_xludf.IFNA(_xlfn.XLOOKUP(C129,'00_SKU_Master'!$B$2:$B$378,'00_SKU_Master'!$F$2:$F$378,0)*AE129,"")</f>
        <v/>
      </c>
      <c r="K127" s="587">
        <f>SUM(D129:J129)</f>
        <v/>
      </c>
      <c r="L127" s="197">
        <f>_xlfn.XLOOKUP(C129,'00_SKU_Master'!$B$2:$B$378,'00_SKU_Master'!K:K)</f>
        <v/>
      </c>
      <c r="M127" s="14">
        <f>X129</f>
        <v/>
      </c>
      <c r="N127" s="157">
        <f>_xludf.IFNA(D129/_xlfn.XLOOKUP($M129,'00_SKU_Master'!$B$2:$B$378,'00_SKU_Master'!$M$2:$M$378,0)/$M$2,"0")</f>
        <v/>
      </c>
      <c r="O127" s="157">
        <f>_xludf.IFNA(E129/_xlfn.XLOOKUP($M129,'00_SKU_Master'!$B$2:$B$378,'00_SKU_Master'!$M$2:$M$378,0)/$M$2,"0")</f>
        <v/>
      </c>
      <c r="P127" s="157">
        <f>_xludf.IFNA(F129/_xlfn.XLOOKUP($M129,'00_SKU_Master'!$B$2:$B$378,'00_SKU_Master'!$M$2:$M$378,0)/$M$2,"0")</f>
        <v/>
      </c>
      <c r="Q127" s="157">
        <f>_xludf.IFNA(G129/_xlfn.XLOOKUP($M129,'00_SKU_Master'!$B$2:$B$378,'00_SKU_Master'!$M$2:$M$378,0)/$M$2,"0")</f>
        <v/>
      </c>
      <c r="R127" s="157">
        <f>_xludf.IFNA(H129/_xlfn.XLOOKUP($M129,'00_SKU_Master'!$B$2:$B$378,'00_SKU_Master'!$M$2:$M$378,0)/$M$2,"0")</f>
        <v/>
      </c>
      <c r="S127" s="157">
        <f>_xludf.IFNA(I129/_xlfn.XLOOKUP($M129,'00_SKU_Master'!$B$2:$B$378,'00_SKU_Master'!$M$2:$M$378,0)/$M$2,"0")</f>
        <v/>
      </c>
      <c r="T127" s="157">
        <f>_xludf.IFNA(J129/_xlfn.XLOOKUP($M129,'00_SKU_Master'!$B$2:$B$378,'00_SKU_Master'!$M$2:$M$378,0)/$M$2,"0")</f>
        <v/>
      </c>
      <c r="U127" s="157">
        <f>SUM(N129:T129)</f>
        <v/>
      </c>
      <c r="V127" s="4" t="n"/>
      <c r="W127" s="4">
        <f>_xlfn.XLOOKUP(M129,'00_SKU_Master'!$B$2:$B$378,'00_SKU_Master'!D:D)</f>
        <v/>
      </c>
      <c r="X127" s="14">
        <f>'05_Daily_Orders'!B128</f>
        <v/>
      </c>
      <c r="Y127" s="588" t="n"/>
      <c r="Z127" s="589" t="n"/>
      <c r="AA127" s="589" t="n"/>
      <c r="AB127" s="589" t="n"/>
      <c r="AC127" s="589" t="n">
        <v>0</v>
      </c>
      <c r="AD127" s="589" t="n">
        <v>0</v>
      </c>
      <c r="AE127" s="589" t="n">
        <v>0</v>
      </c>
      <c r="AF127" s="587">
        <f>SUM(Y129:AE129)</f>
        <v/>
      </c>
      <c r="AQ127" s="23" t="n">
        <v>0</v>
      </c>
      <c r="AR127" s="23" t="n">
        <v>0</v>
      </c>
      <c r="AS127" s="23">
        <f>AR129-AQ129</f>
        <v/>
      </c>
    </row>
    <row r="128">
      <c r="A128" s="148">
        <f>_xlfn.XLOOKUP(C130,'00_SKU_Master'!$B$2:$B$378,'00_SKU_Master'!$C$2:$C$378)</f>
        <v/>
      </c>
      <c r="B128" s="148" t="n"/>
      <c r="C128" s="148">
        <f>X130</f>
        <v/>
      </c>
      <c r="D128" s="586">
        <f>_xludf.IFNA(_xlfn.XLOOKUP(C130,'00_SKU_Master'!$B$2:$B$378,'00_SKU_Master'!$F$2:$F$378,0)*Y130,"")</f>
        <v/>
      </c>
      <c r="E128" s="586">
        <f>_xludf.IFNA(_xlfn.XLOOKUP(C130,'00_SKU_Master'!$B$2:$B$378,'00_SKU_Master'!$F$2:$F$378,0)*Z130,"")</f>
        <v/>
      </c>
      <c r="F128" s="586">
        <f>_xludf.IFNA(_xlfn.XLOOKUP(C130,'00_SKU_Master'!$B$2:$B$378,'00_SKU_Master'!$F$2:$F$378,0)*AA130,"")</f>
        <v/>
      </c>
      <c r="G128" s="586">
        <f>_xludf.IFNA(_xlfn.XLOOKUP(C130,'00_SKU_Master'!$B$2:$B$378,'00_SKU_Master'!$F$2:$F$378,0)*AB130,"")</f>
        <v/>
      </c>
      <c r="H128" s="586">
        <f>_xludf.IFNA(_xlfn.XLOOKUP(C130,'00_SKU_Master'!$B$2:$B$378,'00_SKU_Master'!$F$2:$F$378,0)*AC130,"")</f>
        <v/>
      </c>
      <c r="I128" s="586">
        <f>_xludf.IFNA(_xlfn.XLOOKUP(C130,'00_SKU_Master'!$B$2:$B$378,'00_SKU_Master'!$F$2:$F$378,0)*AD130,"")</f>
        <v/>
      </c>
      <c r="J128" s="586">
        <f>_xludf.IFNA(_xlfn.XLOOKUP(C130,'00_SKU_Master'!$B$2:$B$378,'00_SKU_Master'!$F$2:$F$378,0)*AE130,"")</f>
        <v/>
      </c>
      <c r="K128" s="587">
        <f>SUM(D130:J130)</f>
        <v/>
      </c>
      <c r="L128" s="197">
        <f>_xlfn.XLOOKUP(C130,'00_SKU_Master'!$B$2:$B$378,'00_SKU_Master'!K:K)</f>
        <v/>
      </c>
      <c r="M128" s="14">
        <f>X130</f>
        <v/>
      </c>
      <c r="N128" s="157">
        <f>_xludf.IFNA(D130/_xlfn.XLOOKUP($M130,'00_SKU_Master'!$B$2:$B$378,'00_SKU_Master'!$M$2:$M$378,0)/$M$2,"0")</f>
        <v/>
      </c>
      <c r="O128" s="157">
        <f>_xludf.IFNA(E130/_xlfn.XLOOKUP($M130,'00_SKU_Master'!$B$2:$B$378,'00_SKU_Master'!$M$2:$M$378,0)/$M$2,"0")</f>
        <v/>
      </c>
      <c r="P128" s="157">
        <f>_xludf.IFNA(F130/_xlfn.XLOOKUP($M130,'00_SKU_Master'!$B$2:$B$378,'00_SKU_Master'!$M$2:$M$378,0)/$M$2,"0")</f>
        <v/>
      </c>
      <c r="Q128" s="157">
        <f>_xludf.IFNA(G130/_xlfn.XLOOKUP($M130,'00_SKU_Master'!$B$2:$B$378,'00_SKU_Master'!$M$2:$M$378,0)/$M$2,"0")</f>
        <v/>
      </c>
      <c r="R128" s="157">
        <f>_xludf.IFNA(H130/_xlfn.XLOOKUP($M130,'00_SKU_Master'!$B$2:$B$378,'00_SKU_Master'!$M$2:$M$378,0)/$M$2,"0")</f>
        <v/>
      </c>
      <c r="S128" s="157">
        <f>_xludf.IFNA(I130/_xlfn.XLOOKUP($M130,'00_SKU_Master'!$B$2:$B$378,'00_SKU_Master'!$M$2:$M$378,0)/$M$2,"0")</f>
        <v/>
      </c>
      <c r="T128" s="157">
        <f>_xludf.IFNA(J130/_xlfn.XLOOKUP($M130,'00_SKU_Master'!$B$2:$B$378,'00_SKU_Master'!$M$2:$M$378,0)/$M$2,"0")</f>
        <v/>
      </c>
      <c r="U128" s="157">
        <f>SUM(N130:T130)</f>
        <v/>
      </c>
      <c r="V128" s="4" t="n"/>
      <c r="W128" s="4">
        <f>_xlfn.XLOOKUP(M130,'00_SKU_Master'!$B$2:$B$378,'00_SKU_Master'!D:D)</f>
        <v/>
      </c>
      <c r="X128" s="14">
        <f>'05_Daily_Orders'!B129</f>
        <v/>
      </c>
      <c r="Y128" s="588" t="n"/>
      <c r="Z128" s="589" t="n"/>
      <c r="AA128" s="589" t="n"/>
      <c r="AB128" s="589" t="n"/>
      <c r="AC128" s="589" t="n">
        <v>0</v>
      </c>
      <c r="AD128" s="589" t="n">
        <v>0</v>
      </c>
      <c r="AE128" s="589" t="n">
        <v>0</v>
      </c>
      <c r="AF128" s="587">
        <f>SUM(Y130:AE130)</f>
        <v/>
      </c>
      <c r="AQ128" s="23" t="n">
        <v>0</v>
      </c>
      <c r="AR128" s="23" t="n">
        <v>0</v>
      </c>
      <c r="AS128" s="23">
        <f>AR130-AQ130</f>
        <v/>
      </c>
    </row>
    <row r="129">
      <c r="A129" s="148">
        <f>_xlfn.XLOOKUP(C131,'00_SKU_Master'!$B$2:$B$378,'00_SKU_Master'!$C$2:$C$378)</f>
        <v/>
      </c>
      <c r="B129" s="148" t="n"/>
      <c r="C129" s="148">
        <f>X131</f>
        <v/>
      </c>
      <c r="D129" s="586">
        <f>_xludf.IFNA(_xlfn.XLOOKUP(C131,'00_SKU_Master'!$B$2:$B$378,'00_SKU_Master'!$F$2:$F$378,0)*Y131,"")</f>
        <v/>
      </c>
      <c r="E129" s="586">
        <f>_xludf.IFNA(_xlfn.XLOOKUP(C131,'00_SKU_Master'!$B$2:$B$378,'00_SKU_Master'!$F$2:$F$378,0)*Z131,"")</f>
        <v/>
      </c>
      <c r="F129" s="586">
        <f>_xludf.IFNA(_xlfn.XLOOKUP(C131,'00_SKU_Master'!$B$2:$B$378,'00_SKU_Master'!$F$2:$F$378,0)*AA131,"")</f>
        <v/>
      </c>
      <c r="G129" s="586">
        <f>_xludf.IFNA(_xlfn.XLOOKUP(C131,'00_SKU_Master'!$B$2:$B$378,'00_SKU_Master'!$F$2:$F$378,0)*AB131,"")</f>
        <v/>
      </c>
      <c r="H129" s="586">
        <f>_xludf.IFNA(_xlfn.XLOOKUP(C131,'00_SKU_Master'!$B$2:$B$378,'00_SKU_Master'!$F$2:$F$378,0)*AC131,"")</f>
        <v/>
      </c>
      <c r="I129" s="586">
        <f>_xludf.IFNA(_xlfn.XLOOKUP(C131,'00_SKU_Master'!$B$2:$B$378,'00_SKU_Master'!$F$2:$F$378,0)*AD131,"")</f>
        <v/>
      </c>
      <c r="J129" s="586">
        <f>_xludf.IFNA(_xlfn.XLOOKUP(C131,'00_SKU_Master'!$B$2:$B$378,'00_SKU_Master'!$F$2:$F$378,0)*AE131,"")</f>
        <v/>
      </c>
      <c r="K129" s="587">
        <f>SUM(D131:J131)</f>
        <v/>
      </c>
      <c r="L129" s="197">
        <f>_xlfn.XLOOKUP(C131,'00_SKU_Master'!$B$2:$B$378,'00_SKU_Master'!K:K)</f>
        <v/>
      </c>
      <c r="M129" s="14">
        <f>X131</f>
        <v/>
      </c>
      <c r="N129" s="157">
        <f>_xludf.IFNA(D131/_xlfn.XLOOKUP($M131,'00_SKU_Master'!$B$2:$B$378,'00_SKU_Master'!$M$2:$M$378,0)/$M$2,"0")</f>
        <v/>
      </c>
      <c r="O129" s="157">
        <f>_xludf.IFNA(E131/_xlfn.XLOOKUP($M131,'00_SKU_Master'!$B$2:$B$378,'00_SKU_Master'!$M$2:$M$378,0)/$M$2,"0")</f>
        <v/>
      </c>
      <c r="P129" s="157">
        <f>_xludf.IFNA(F131/_xlfn.XLOOKUP($M131,'00_SKU_Master'!$B$2:$B$378,'00_SKU_Master'!$M$2:$M$378,0)/$M$2,"0")</f>
        <v/>
      </c>
      <c r="Q129" s="157">
        <f>_xludf.IFNA(G131/_xlfn.XLOOKUP($M131,'00_SKU_Master'!$B$2:$B$378,'00_SKU_Master'!$M$2:$M$378,0)/$M$2,"0")</f>
        <v/>
      </c>
      <c r="R129" s="157">
        <f>_xludf.IFNA(H131/_xlfn.XLOOKUP($M131,'00_SKU_Master'!$B$2:$B$378,'00_SKU_Master'!$M$2:$M$378,0)/$M$2,"0")</f>
        <v/>
      </c>
      <c r="S129" s="157">
        <f>_xludf.IFNA(I131/_xlfn.XLOOKUP($M131,'00_SKU_Master'!$B$2:$B$378,'00_SKU_Master'!$M$2:$M$378,0)/$M$2,"0")</f>
        <v/>
      </c>
      <c r="T129" s="157">
        <f>_xludf.IFNA(J131/_xlfn.XLOOKUP($M131,'00_SKU_Master'!$B$2:$B$378,'00_SKU_Master'!$M$2:$M$378,0)/$M$2,"0")</f>
        <v/>
      </c>
      <c r="U129" s="157">
        <f>SUM(N131:T131)</f>
        <v/>
      </c>
      <c r="V129" s="4" t="n"/>
      <c r="W129" s="4">
        <f>_xlfn.XLOOKUP(M131,'00_SKU_Master'!$B$2:$B$378,'00_SKU_Master'!D:D)</f>
        <v/>
      </c>
      <c r="X129" s="14">
        <f>'05_Daily_Orders'!B130</f>
        <v/>
      </c>
      <c r="Y129" s="588" t="n"/>
      <c r="Z129" s="589" t="n"/>
      <c r="AA129" s="589" t="n"/>
      <c r="AB129" s="589" t="n"/>
      <c r="AC129" s="589" t="n">
        <v>0</v>
      </c>
      <c r="AD129" s="589" t="n">
        <v>0</v>
      </c>
      <c r="AE129" s="589" t="n">
        <v>0</v>
      </c>
      <c r="AF129" s="587">
        <f>SUM(Y131:AE131)</f>
        <v/>
      </c>
      <c r="AQ129" s="23" t="n">
        <v>0</v>
      </c>
      <c r="AR129" s="23" t="n">
        <v>0</v>
      </c>
      <c r="AS129" s="23">
        <f>AR131-AQ131</f>
        <v/>
      </c>
    </row>
    <row r="130">
      <c r="A130" s="148">
        <f>_xlfn.XLOOKUP(C132,'00_SKU_Master'!$B$2:$B$378,'00_SKU_Master'!$C$2:$C$378)</f>
        <v/>
      </c>
      <c r="B130" s="148" t="n"/>
      <c r="C130" s="148">
        <f>X132</f>
        <v/>
      </c>
      <c r="D130" s="586">
        <f>_xludf.IFNA(_xlfn.XLOOKUP(C132,'00_SKU_Master'!$B$2:$B$378,'00_SKU_Master'!$F$2:$F$378,0)*Y132,"")</f>
        <v/>
      </c>
      <c r="E130" s="586">
        <f>_xludf.IFNA(_xlfn.XLOOKUP(C132,'00_SKU_Master'!$B$2:$B$378,'00_SKU_Master'!$F$2:$F$378,0)*Z132,"")</f>
        <v/>
      </c>
      <c r="F130" s="586">
        <f>_xludf.IFNA(_xlfn.XLOOKUP(C132,'00_SKU_Master'!$B$2:$B$378,'00_SKU_Master'!$F$2:$F$378,0)*AA132,"")</f>
        <v/>
      </c>
      <c r="G130" s="586">
        <f>_xludf.IFNA(_xlfn.XLOOKUP(C132,'00_SKU_Master'!$B$2:$B$378,'00_SKU_Master'!$F$2:$F$378,0)*AB132,"")</f>
        <v/>
      </c>
      <c r="H130" s="586">
        <f>_xludf.IFNA(_xlfn.XLOOKUP(C132,'00_SKU_Master'!$B$2:$B$378,'00_SKU_Master'!$F$2:$F$378,0)*AC132,"")</f>
        <v/>
      </c>
      <c r="I130" s="586">
        <f>_xludf.IFNA(_xlfn.XLOOKUP(C132,'00_SKU_Master'!$B$2:$B$378,'00_SKU_Master'!$F$2:$F$378,0)*AD132,"")</f>
        <v/>
      </c>
      <c r="J130" s="586">
        <f>_xludf.IFNA(_xlfn.XLOOKUP(C132,'00_SKU_Master'!$B$2:$B$378,'00_SKU_Master'!$F$2:$F$378,0)*AE132,"")</f>
        <v/>
      </c>
      <c r="K130" s="587">
        <f>SUM(D132:J132)</f>
        <v/>
      </c>
      <c r="L130" s="197">
        <f>_xlfn.XLOOKUP(C132,'00_SKU_Master'!$B$2:$B$378,'00_SKU_Master'!K:K)</f>
        <v/>
      </c>
      <c r="M130" s="14">
        <f>X132</f>
        <v/>
      </c>
      <c r="N130" s="157">
        <f>_xludf.IFNA(D132/_xlfn.XLOOKUP($M132,'00_SKU_Master'!$B$2:$B$378,'00_SKU_Master'!$M$2:$M$378,0)/$M$2,"0")</f>
        <v/>
      </c>
      <c r="O130" s="157">
        <f>_xludf.IFNA(E132/_xlfn.XLOOKUP($M132,'00_SKU_Master'!$B$2:$B$378,'00_SKU_Master'!$M$2:$M$378,0)/$M$2,"0")</f>
        <v/>
      </c>
      <c r="P130" s="157">
        <f>_xludf.IFNA(F132/_xlfn.XLOOKUP($M132,'00_SKU_Master'!$B$2:$B$378,'00_SKU_Master'!$M$2:$M$378,0)/$M$2,"0")</f>
        <v/>
      </c>
      <c r="Q130" s="157">
        <f>_xludf.IFNA(G132/_xlfn.XLOOKUP($M132,'00_SKU_Master'!$B$2:$B$378,'00_SKU_Master'!$M$2:$M$378,0)/$M$2,"0")</f>
        <v/>
      </c>
      <c r="R130" s="157">
        <f>_xludf.IFNA(H132/_xlfn.XLOOKUP($M132,'00_SKU_Master'!$B$2:$B$378,'00_SKU_Master'!$M$2:$M$378,0)/$M$2,"0")</f>
        <v/>
      </c>
      <c r="S130" s="157">
        <f>_xludf.IFNA(I132/_xlfn.XLOOKUP($M132,'00_SKU_Master'!$B$2:$B$378,'00_SKU_Master'!$M$2:$M$378,0)/$M$2,"0")</f>
        <v/>
      </c>
      <c r="T130" s="157">
        <f>_xludf.IFNA(J132/_xlfn.XLOOKUP($M132,'00_SKU_Master'!$B$2:$B$378,'00_SKU_Master'!$M$2:$M$378,0)/$M$2,"0")</f>
        <v/>
      </c>
      <c r="U130" s="157">
        <f>SUM(N132:T132)</f>
        <v/>
      </c>
      <c r="V130" s="4" t="n"/>
      <c r="W130" s="4">
        <f>_xlfn.XLOOKUP(M132,'00_SKU_Master'!$B$2:$B$378,'00_SKU_Master'!D:D)</f>
        <v/>
      </c>
      <c r="X130" s="14">
        <f>'05_Daily_Orders'!B131</f>
        <v/>
      </c>
      <c r="Y130" s="588" t="n"/>
      <c r="Z130" s="589" t="n"/>
      <c r="AA130" s="589" t="n"/>
      <c r="AB130" s="589" t="n"/>
      <c r="AC130" s="589" t="n">
        <v>0</v>
      </c>
      <c r="AD130" s="589" t="n">
        <v>0</v>
      </c>
      <c r="AE130" s="589" t="n">
        <v>0</v>
      </c>
      <c r="AF130" s="587">
        <f>SUM(Y132:AE132)</f>
        <v/>
      </c>
      <c r="AQ130" s="23" t="n">
        <v>0</v>
      </c>
      <c r="AR130" s="23" t="n">
        <v>0</v>
      </c>
      <c r="AS130" s="23">
        <f>AR132-AQ132</f>
        <v/>
      </c>
    </row>
    <row r="131">
      <c r="A131" s="148">
        <f>_xlfn.XLOOKUP(C133,'00_SKU_Master'!$B$2:$B$378,'00_SKU_Master'!$C$2:$C$378)</f>
        <v/>
      </c>
      <c r="B131" s="148" t="n"/>
      <c r="C131" s="148">
        <f>X133</f>
        <v/>
      </c>
      <c r="D131" s="586">
        <f>_xludf.IFNA(_xlfn.XLOOKUP(C133,'00_SKU_Master'!$B$2:$B$378,'00_SKU_Master'!$F$2:$F$378,0)*Y133,"")</f>
        <v/>
      </c>
      <c r="E131" s="586">
        <f>_xludf.IFNA(_xlfn.XLOOKUP(C133,'00_SKU_Master'!$B$2:$B$378,'00_SKU_Master'!$F$2:$F$378,0)*Z133,"")</f>
        <v/>
      </c>
      <c r="F131" s="586">
        <f>_xludf.IFNA(_xlfn.XLOOKUP(C133,'00_SKU_Master'!$B$2:$B$378,'00_SKU_Master'!$F$2:$F$378,0)*AA133,"")</f>
        <v/>
      </c>
      <c r="G131" s="586">
        <f>_xludf.IFNA(_xlfn.XLOOKUP(C133,'00_SKU_Master'!$B$2:$B$378,'00_SKU_Master'!$F$2:$F$378,0)*AB133,"")</f>
        <v/>
      </c>
      <c r="H131" s="586">
        <f>_xludf.IFNA(_xlfn.XLOOKUP(C133,'00_SKU_Master'!$B$2:$B$378,'00_SKU_Master'!$F$2:$F$378,0)*AC133,"")</f>
        <v/>
      </c>
      <c r="I131" s="586">
        <f>_xludf.IFNA(_xlfn.XLOOKUP(C133,'00_SKU_Master'!$B$2:$B$378,'00_SKU_Master'!$F$2:$F$378,0)*AD133,"")</f>
        <v/>
      </c>
      <c r="J131" s="586">
        <f>_xludf.IFNA(_xlfn.XLOOKUP(C133,'00_SKU_Master'!$B$2:$B$378,'00_SKU_Master'!$F$2:$F$378,0)*AE133,"")</f>
        <v/>
      </c>
      <c r="K131" s="587">
        <f>SUM(D133:J133)</f>
        <v/>
      </c>
      <c r="L131" s="197">
        <f>_xlfn.XLOOKUP(C133,'00_SKU_Master'!$B$2:$B$378,'00_SKU_Master'!K:K)</f>
        <v/>
      </c>
      <c r="M131" s="14">
        <f>X133</f>
        <v/>
      </c>
      <c r="N131" s="157">
        <f>_xludf.IFNA(D133/_xlfn.XLOOKUP($M133,'00_SKU_Master'!$B$2:$B$378,'00_SKU_Master'!$M$2:$M$378,0)/$M$2,"0")</f>
        <v/>
      </c>
      <c r="O131" s="157">
        <f>_xludf.IFNA(E133/_xlfn.XLOOKUP($M133,'00_SKU_Master'!$B$2:$B$378,'00_SKU_Master'!$M$2:$M$378,0)/$M$2,"0")</f>
        <v/>
      </c>
      <c r="P131" s="157">
        <f>_xludf.IFNA(F133/_xlfn.XLOOKUP($M133,'00_SKU_Master'!$B$2:$B$378,'00_SKU_Master'!$M$2:$M$378,0)/$M$2,"0")</f>
        <v/>
      </c>
      <c r="Q131" s="157">
        <f>_xludf.IFNA(G133/_xlfn.XLOOKUP($M133,'00_SKU_Master'!$B$2:$B$378,'00_SKU_Master'!$M$2:$M$378,0)/$M$2,"0")</f>
        <v/>
      </c>
      <c r="R131" s="157">
        <f>_xludf.IFNA(H133/_xlfn.XLOOKUP($M133,'00_SKU_Master'!$B$2:$B$378,'00_SKU_Master'!$M$2:$M$378,0)/$M$2,"0")</f>
        <v/>
      </c>
      <c r="S131" s="157">
        <f>_xludf.IFNA(I133/_xlfn.XLOOKUP($M133,'00_SKU_Master'!$B$2:$B$378,'00_SKU_Master'!$M$2:$M$378,0)/$M$2,"0")</f>
        <v/>
      </c>
      <c r="T131" s="157">
        <f>_xludf.IFNA(J133/_xlfn.XLOOKUP($M133,'00_SKU_Master'!$B$2:$B$378,'00_SKU_Master'!$M$2:$M$378,0)/$M$2,"0")</f>
        <v/>
      </c>
      <c r="U131" s="157">
        <f>SUM(N133:T133)</f>
        <v/>
      </c>
      <c r="V131" s="4" t="n"/>
      <c r="W131" s="4">
        <f>_xlfn.XLOOKUP(M133,'00_SKU_Master'!$B$2:$B$378,'00_SKU_Master'!D:D)</f>
        <v/>
      </c>
      <c r="X131" s="14">
        <f>'05_Daily_Orders'!B132</f>
        <v/>
      </c>
      <c r="Y131" s="588" t="n"/>
      <c r="Z131" s="589" t="n"/>
      <c r="AA131" s="589" t="n"/>
      <c r="AB131" s="589" t="n"/>
      <c r="AC131" s="589" t="n">
        <v>0</v>
      </c>
      <c r="AD131" s="589" t="n">
        <v>0</v>
      </c>
      <c r="AE131" s="589" t="n">
        <v>0</v>
      </c>
      <c r="AF131" s="587">
        <f>SUM(Y133:AE133)</f>
        <v/>
      </c>
      <c r="AQ131" s="23" t="n">
        <v>0</v>
      </c>
      <c r="AR131" s="23" t="n">
        <v>0</v>
      </c>
      <c r="AS131" s="23">
        <f>AR133-AQ133</f>
        <v/>
      </c>
    </row>
    <row r="132">
      <c r="A132" s="148">
        <f>_xlfn.XLOOKUP(C134,'00_SKU_Master'!$B$2:$B$378,'00_SKU_Master'!$C$2:$C$378)</f>
        <v/>
      </c>
      <c r="B132" s="148" t="n"/>
      <c r="C132" s="148">
        <f>X134</f>
        <v/>
      </c>
      <c r="D132" s="586">
        <f>_xludf.IFNA(_xlfn.XLOOKUP(C134,'00_SKU_Master'!$B$2:$B$378,'00_SKU_Master'!$F$2:$F$378,0)*Y134,"")</f>
        <v/>
      </c>
      <c r="E132" s="586">
        <f>_xludf.IFNA(_xlfn.XLOOKUP(C134,'00_SKU_Master'!$B$2:$B$378,'00_SKU_Master'!$F$2:$F$378,0)*Z134,"")</f>
        <v/>
      </c>
      <c r="F132" s="586">
        <f>_xludf.IFNA(_xlfn.XLOOKUP(C134,'00_SKU_Master'!$B$2:$B$378,'00_SKU_Master'!$F$2:$F$378,0)*AA134,"")</f>
        <v/>
      </c>
      <c r="G132" s="586">
        <f>_xludf.IFNA(_xlfn.XLOOKUP(C134,'00_SKU_Master'!$B$2:$B$378,'00_SKU_Master'!$F$2:$F$378,0)*AB134,"")</f>
        <v/>
      </c>
      <c r="H132" s="586">
        <f>_xludf.IFNA(_xlfn.XLOOKUP(C134,'00_SKU_Master'!$B$2:$B$378,'00_SKU_Master'!$F$2:$F$378,0)*AC134,"")</f>
        <v/>
      </c>
      <c r="I132" s="586">
        <f>_xludf.IFNA(_xlfn.XLOOKUP(C134,'00_SKU_Master'!$B$2:$B$378,'00_SKU_Master'!$F$2:$F$378,0)*AD134,"")</f>
        <v/>
      </c>
      <c r="J132" s="586">
        <f>_xludf.IFNA(_xlfn.XLOOKUP(C134,'00_SKU_Master'!$B$2:$B$378,'00_SKU_Master'!$F$2:$F$378,0)*AE134,"")</f>
        <v/>
      </c>
      <c r="K132" s="587">
        <f>SUM(D134:J134)</f>
        <v/>
      </c>
      <c r="L132" s="197">
        <f>_xlfn.XLOOKUP(C134,'00_SKU_Master'!$B$2:$B$378,'00_SKU_Master'!K:K)</f>
        <v/>
      </c>
      <c r="M132" s="14">
        <f>X134</f>
        <v/>
      </c>
      <c r="N132" s="157">
        <f>_xludf.IFNA(D134/_xlfn.XLOOKUP($M134,'00_SKU_Master'!$B$2:$B$378,'00_SKU_Master'!$M$2:$M$378,0)/$M$2,"0")</f>
        <v/>
      </c>
      <c r="O132" s="157">
        <f>_xludf.IFNA(E134/_xlfn.XLOOKUP($M134,'00_SKU_Master'!$B$2:$B$378,'00_SKU_Master'!$M$2:$M$378,0)/$M$2,"0")</f>
        <v/>
      </c>
      <c r="P132" s="157">
        <f>_xludf.IFNA(F134/_xlfn.XLOOKUP($M134,'00_SKU_Master'!$B$2:$B$378,'00_SKU_Master'!$M$2:$M$378,0)/$M$2,"0")</f>
        <v/>
      </c>
      <c r="Q132" s="157">
        <f>_xludf.IFNA(G134/_xlfn.XLOOKUP($M134,'00_SKU_Master'!$B$2:$B$378,'00_SKU_Master'!$M$2:$M$378,0)/$M$2,"0")</f>
        <v/>
      </c>
      <c r="R132" s="157">
        <f>_xludf.IFNA(H134/_xlfn.XLOOKUP($M134,'00_SKU_Master'!$B$2:$B$378,'00_SKU_Master'!$M$2:$M$378,0)/$M$2,"0")</f>
        <v/>
      </c>
      <c r="S132" s="157">
        <f>_xludf.IFNA(I134/_xlfn.XLOOKUP($M134,'00_SKU_Master'!$B$2:$B$378,'00_SKU_Master'!$M$2:$M$378,0)/$M$2,"0")</f>
        <v/>
      </c>
      <c r="T132" s="157">
        <f>_xludf.IFNA(J134/_xlfn.XLOOKUP($M134,'00_SKU_Master'!$B$2:$B$378,'00_SKU_Master'!$M$2:$M$378,0)/$M$2,"0")</f>
        <v/>
      </c>
      <c r="U132" s="157">
        <f>SUM(N134:T134)</f>
        <v/>
      </c>
      <c r="V132" s="4" t="n"/>
      <c r="W132" s="4">
        <f>_xlfn.XLOOKUP(M134,'00_SKU_Master'!$B$2:$B$378,'00_SKU_Master'!D:D)</f>
        <v/>
      </c>
      <c r="X132" s="14">
        <f>'05_Daily_Orders'!B133</f>
        <v/>
      </c>
      <c r="Y132" s="588" t="n"/>
      <c r="Z132" s="589" t="n"/>
      <c r="AA132" s="589" t="n"/>
      <c r="AB132" s="589" t="n"/>
      <c r="AC132" s="589" t="n">
        <v>0</v>
      </c>
      <c r="AD132" s="589" t="n">
        <v>0</v>
      </c>
      <c r="AE132" s="589" t="n">
        <v>0</v>
      </c>
      <c r="AF132" s="587">
        <f>SUM(Y134:AE134)</f>
        <v/>
      </c>
      <c r="AQ132" s="23" t="n">
        <v>0</v>
      </c>
      <c r="AR132" s="23" t="n">
        <v>0</v>
      </c>
      <c r="AS132" s="23">
        <f>AR134-AQ134</f>
        <v/>
      </c>
    </row>
    <row r="133">
      <c r="A133" s="148">
        <f>_xlfn.XLOOKUP(C135,'00_SKU_Master'!$B$2:$B$378,'00_SKU_Master'!$C$2:$C$378)</f>
        <v/>
      </c>
      <c r="B133" s="148" t="n"/>
      <c r="C133" s="148">
        <f>X135</f>
        <v/>
      </c>
      <c r="D133" s="586">
        <f>_xludf.IFNA(_xlfn.XLOOKUP(C135,'00_SKU_Master'!$B$2:$B$378,'00_SKU_Master'!$F$2:$F$378,0)*Y135,"")</f>
        <v/>
      </c>
      <c r="E133" s="586">
        <f>_xludf.IFNA(_xlfn.XLOOKUP(C135,'00_SKU_Master'!$B$2:$B$378,'00_SKU_Master'!$F$2:$F$378,0)*Z135,"")</f>
        <v/>
      </c>
      <c r="F133" s="586">
        <f>_xludf.IFNA(_xlfn.XLOOKUP(C135,'00_SKU_Master'!$B$2:$B$378,'00_SKU_Master'!$F$2:$F$378,0)*AA135,"")</f>
        <v/>
      </c>
      <c r="G133" s="586">
        <f>_xludf.IFNA(_xlfn.XLOOKUP(C135,'00_SKU_Master'!$B$2:$B$378,'00_SKU_Master'!$F$2:$F$378,0)*AB135,"")</f>
        <v/>
      </c>
      <c r="H133" s="586">
        <f>_xludf.IFNA(_xlfn.XLOOKUP(C135,'00_SKU_Master'!$B$2:$B$378,'00_SKU_Master'!$F$2:$F$378,0)*AC135,"")</f>
        <v/>
      </c>
      <c r="I133" s="586">
        <f>_xludf.IFNA(_xlfn.XLOOKUP(C135,'00_SKU_Master'!$B$2:$B$378,'00_SKU_Master'!$F$2:$F$378,0)*AD135,"")</f>
        <v/>
      </c>
      <c r="J133" s="586">
        <f>_xludf.IFNA(_xlfn.XLOOKUP(C135,'00_SKU_Master'!$B$2:$B$378,'00_SKU_Master'!$F$2:$F$378,0)*AE135,"")</f>
        <v/>
      </c>
      <c r="K133" s="587">
        <f>SUM(D135:J135)</f>
        <v/>
      </c>
      <c r="L133" s="197">
        <f>_xlfn.XLOOKUP(C135,'00_SKU_Master'!$B$2:$B$378,'00_SKU_Master'!K:K)</f>
        <v/>
      </c>
      <c r="M133" s="14">
        <f>X135</f>
        <v/>
      </c>
      <c r="N133" s="157">
        <f>_xludf.IFNA(D135/_xlfn.XLOOKUP($M135,'00_SKU_Master'!$B$2:$B$378,'00_SKU_Master'!$M$2:$M$378,0)/$M$2,"0")</f>
        <v/>
      </c>
      <c r="O133" s="157">
        <f>_xludf.IFNA(E135/_xlfn.XLOOKUP($M135,'00_SKU_Master'!$B$2:$B$378,'00_SKU_Master'!$M$2:$M$378,0)/$M$2,"0")</f>
        <v/>
      </c>
      <c r="P133" s="157">
        <f>_xludf.IFNA(F135/_xlfn.XLOOKUP($M135,'00_SKU_Master'!$B$2:$B$378,'00_SKU_Master'!$M$2:$M$378,0)/$M$2,"0")</f>
        <v/>
      </c>
      <c r="Q133" s="157">
        <f>_xludf.IFNA(G135/_xlfn.XLOOKUP($M135,'00_SKU_Master'!$B$2:$B$378,'00_SKU_Master'!$M$2:$M$378,0)/$M$2,"0")</f>
        <v/>
      </c>
      <c r="R133" s="157">
        <f>_xludf.IFNA(H135/_xlfn.XLOOKUP($M135,'00_SKU_Master'!$B$2:$B$378,'00_SKU_Master'!$M$2:$M$378,0)/$M$2,"0")</f>
        <v/>
      </c>
      <c r="S133" s="157">
        <f>_xludf.IFNA(I135/_xlfn.XLOOKUP($M135,'00_SKU_Master'!$B$2:$B$378,'00_SKU_Master'!$M$2:$M$378,0)/$M$2,"0")</f>
        <v/>
      </c>
      <c r="T133" s="157">
        <f>_xludf.IFNA(J135/_xlfn.XLOOKUP($M135,'00_SKU_Master'!$B$2:$B$378,'00_SKU_Master'!$M$2:$M$378,0)/$M$2,"0")</f>
        <v/>
      </c>
      <c r="U133" s="157">
        <f>SUM(N135:T135)</f>
        <v/>
      </c>
      <c r="V133" s="4" t="n"/>
      <c r="W133" s="4">
        <f>_xlfn.XLOOKUP(M135,'00_SKU_Master'!$B$2:$B$378,'00_SKU_Master'!D:D)</f>
        <v/>
      </c>
      <c r="X133" s="14">
        <f>'05_Daily_Orders'!B134</f>
        <v/>
      </c>
      <c r="Y133" s="588" t="n"/>
      <c r="Z133" s="589" t="n"/>
      <c r="AA133" s="589" t="n"/>
      <c r="AB133" s="589" t="n"/>
      <c r="AC133" s="589" t="n">
        <v>0</v>
      </c>
      <c r="AD133" s="589" t="n">
        <v>0</v>
      </c>
      <c r="AE133" s="589" t="n">
        <v>0</v>
      </c>
      <c r="AF133" s="587">
        <f>SUM(Y135:AE135)</f>
        <v/>
      </c>
      <c r="AQ133" s="23" t="n">
        <v>0</v>
      </c>
      <c r="AR133" s="23" t="n">
        <v>0</v>
      </c>
      <c r="AS133" s="23">
        <f>AR135-AQ135</f>
        <v/>
      </c>
    </row>
    <row r="134">
      <c r="A134" s="148">
        <f>_xlfn.XLOOKUP(C136,'00_SKU_Master'!$B$2:$B$378,'00_SKU_Master'!$C$2:$C$378)</f>
        <v/>
      </c>
      <c r="B134" s="148" t="n"/>
      <c r="C134" s="148">
        <f>X136</f>
        <v/>
      </c>
      <c r="D134" s="586">
        <f>_xludf.IFNA(_xlfn.XLOOKUP(C136,'00_SKU_Master'!$B$2:$B$378,'00_SKU_Master'!$F$2:$F$378,0)*Y136,"")</f>
        <v/>
      </c>
      <c r="E134" s="586">
        <f>_xludf.IFNA(_xlfn.XLOOKUP(C136,'00_SKU_Master'!$B$2:$B$378,'00_SKU_Master'!$F$2:$F$378,0)*Z136,"")</f>
        <v/>
      </c>
      <c r="F134" s="586">
        <f>_xludf.IFNA(_xlfn.XLOOKUP(C136,'00_SKU_Master'!$B$2:$B$378,'00_SKU_Master'!$F$2:$F$378,0)*AA136,"")</f>
        <v/>
      </c>
      <c r="G134" s="586">
        <f>_xludf.IFNA(_xlfn.XLOOKUP(C136,'00_SKU_Master'!$B$2:$B$378,'00_SKU_Master'!$F$2:$F$378,0)*AB136,"")</f>
        <v/>
      </c>
      <c r="H134" s="586">
        <f>_xludf.IFNA(_xlfn.XLOOKUP(C136,'00_SKU_Master'!$B$2:$B$378,'00_SKU_Master'!$F$2:$F$378,0)*AC136,"")</f>
        <v/>
      </c>
      <c r="I134" s="586">
        <f>_xludf.IFNA(_xlfn.XLOOKUP(C136,'00_SKU_Master'!$B$2:$B$378,'00_SKU_Master'!$F$2:$F$378,0)*AD136,"")</f>
        <v/>
      </c>
      <c r="J134" s="586">
        <f>_xludf.IFNA(_xlfn.XLOOKUP(C136,'00_SKU_Master'!$B$2:$B$378,'00_SKU_Master'!$F$2:$F$378,0)*AE136,"")</f>
        <v/>
      </c>
      <c r="K134" s="587">
        <f>SUM(D136:J136)</f>
        <v/>
      </c>
      <c r="L134" s="197">
        <f>_xlfn.XLOOKUP(C136,'00_SKU_Master'!$B$2:$B$378,'00_SKU_Master'!K:K)</f>
        <v/>
      </c>
      <c r="M134" s="14">
        <f>X136</f>
        <v/>
      </c>
      <c r="N134" s="157">
        <f>_xludf.IFNA(D136/_xlfn.XLOOKUP($M136,'00_SKU_Master'!$B$2:$B$378,'00_SKU_Master'!$M$2:$M$378,0)/$M$2,"0")</f>
        <v/>
      </c>
      <c r="O134" s="157">
        <f>_xludf.IFNA(E136/_xlfn.XLOOKUP($M136,'00_SKU_Master'!$B$2:$B$378,'00_SKU_Master'!$M$2:$M$378,0)/$M$2,"0")</f>
        <v/>
      </c>
      <c r="P134" s="157">
        <f>_xludf.IFNA(F136/_xlfn.XLOOKUP($M136,'00_SKU_Master'!$B$2:$B$378,'00_SKU_Master'!$M$2:$M$378,0)/$M$2,"0")</f>
        <v/>
      </c>
      <c r="Q134" s="157">
        <f>_xludf.IFNA(G136/_xlfn.XLOOKUP($M136,'00_SKU_Master'!$B$2:$B$378,'00_SKU_Master'!$M$2:$M$378,0)/$M$2,"0")</f>
        <v/>
      </c>
      <c r="R134" s="157">
        <f>_xludf.IFNA(H136/_xlfn.XLOOKUP($M136,'00_SKU_Master'!$B$2:$B$378,'00_SKU_Master'!$M$2:$M$378,0)/$M$2,"0")</f>
        <v/>
      </c>
      <c r="S134" s="157">
        <f>_xludf.IFNA(I136/_xlfn.XLOOKUP($M136,'00_SKU_Master'!$B$2:$B$378,'00_SKU_Master'!$M$2:$M$378,0)/$M$2,"0")</f>
        <v/>
      </c>
      <c r="T134" s="157">
        <f>_xludf.IFNA(J136/_xlfn.XLOOKUP($M136,'00_SKU_Master'!$B$2:$B$378,'00_SKU_Master'!$M$2:$M$378,0)/$M$2,"0")</f>
        <v/>
      </c>
      <c r="U134" s="157">
        <f>SUM(N136:T136)</f>
        <v/>
      </c>
      <c r="V134" s="4" t="n"/>
      <c r="W134" s="4">
        <f>_xlfn.XLOOKUP(M136,'00_SKU_Master'!$B$2:$B$378,'00_SKU_Master'!D:D)</f>
        <v/>
      </c>
      <c r="X134" s="14">
        <f>'05_Daily_Orders'!B135</f>
        <v/>
      </c>
      <c r="Y134" s="588" t="n"/>
      <c r="Z134" s="589" t="n"/>
      <c r="AA134" s="589" t="n"/>
      <c r="AB134" s="589" t="n"/>
      <c r="AC134" s="589" t="n">
        <v>0</v>
      </c>
      <c r="AD134" s="589" t="n">
        <v>0</v>
      </c>
      <c r="AE134" s="589" t="n">
        <v>0</v>
      </c>
      <c r="AF134" s="587">
        <f>SUM(Y136:AE136)</f>
        <v/>
      </c>
      <c r="AQ134" s="23" t="n">
        <v>0</v>
      </c>
      <c r="AR134" s="23" t="n">
        <v>0</v>
      </c>
      <c r="AS134" s="23">
        <f>AR136-AQ136</f>
        <v/>
      </c>
    </row>
    <row r="135">
      <c r="A135" s="148">
        <f>_xlfn.XLOOKUP(C137,'00_SKU_Master'!$B$2:$B$378,'00_SKU_Master'!$C$2:$C$378)</f>
        <v/>
      </c>
      <c r="B135" s="148" t="n"/>
      <c r="C135" s="148">
        <f>X137</f>
        <v/>
      </c>
      <c r="D135" s="586">
        <f>_xludf.IFNA(_xlfn.XLOOKUP(C137,'00_SKU_Master'!$B$2:$B$378,'00_SKU_Master'!$F$2:$F$378,0)*Y137,"")</f>
        <v/>
      </c>
      <c r="E135" s="586">
        <f>_xludf.IFNA(_xlfn.XLOOKUP(C137,'00_SKU_Master'!$B$2:$B$378,'00_SKU_Master'!$F$2:$F$378,0)*Z137,"")</f>
        <v/>
      </c>
      <c r="F135" s="586">
        <f>_xludf.IFNA(_xlfn.XLOOKUP(C137,'00_SKU_Master'!$B$2:$B$378,'00_SKU_Master'!$F$2:$F$378,0)*AA137,"")</f>
        <v/>
      </c>
      <c r="G135" s="586">
        <f>_xludf.IFNA(_xlfn.XLOOKUP(C137,'00_SKU_Master'!$B$2:$B$378,'00_SKU_Master'!$F$2:$F$378,0)*AB137,"")</f>
        <v/>
      </c>
      <c r="H135" s="586">
        <f>_xludf.IFNA(_xlfn.XLOOKUP(C137,'00_SKU_Master'!$B$2:$B$378,'00_SKU_Master'!$F$2:$F$378,0)*AC137,"")</f>
        <v/>
      </c>
      <c r="I135" s="586">
        <f>_xludf.IFNA(_xlfn.XLOOKUP(C137,'00_SKU_Master'!$B$2:$B$378,'00_SKU_Master'!$F$2:$F$378,0)*AD137,"")</f>
        <v/>
      </c>
      <c r="J135" s="586">
        <f>_xludf.IFNA(_xlfn.XLOOKUP(C137,'00_SKU_Master'!$B$2:$B$378,'00_SKU_Master'!$F$2:$F$378,0)*AE137,"")</f>
        <v/>
      </c>
      <c r="K135" s="587">
        <f>SUM(D137:J137)</f>
        <v/>
      </c>
      <c r="L135" s="197">
        <f>_xlfn.XLOOKUP(C137,'00_SKU_Master'!$B$2:$B$378,'00_SKU_Master'!K:K)</f>
        <v/>
      </c>
      <c r="M135" s="14">
        <f>X137</f>
        <v/>
      </c>
      <c r="N135" s="157">
        <f>_xludf.IFNA(D137/_xlfn.XLOOKUP($M137,'00_SKU_Master'!$B$2:$B$378,'00_SKU_Master'!$M$2:$M$378,0)/$M$2,"0")</f>
        <v/>
      </c>
      <c r="O135" s="157">
        <f>_xludf.IFNA(E137/_xlfn.XLOOKUP($M137,'00_SKU_Master'!$B$2:$B$378,'00_SKU_Master'!$M$2:$M$378,0)/$M$2,"0")</f>
        <v/>
      </c>
      <c r="P135" s="157">
        <f>_xludf.IFNA(F137/_xlfn.XLOOKUP($M137,'00_SKU_Master'!$B$2:$B$378,'00_SKU_Master'!$M$2:$M$378,0)/$M$2,"0")</f>
        <v/>
      </c>
      <c r="Q135" s="157">
        <f>_xludf.IFNA(G137/_xlfn.XLOOKUP($M137,'00_SKU_Master'!$B$2:$B$378,'00_SKU_Master'!$M$2:$M$378,0)/$M$2,"0")</f>
        <v/>
      </c>
      <c r="R135" s="157">
        <f>_xludf.IFNA(H137/_xlfn.XLOOKUP($M137,'00_SKU_Master'!$B$2:$B$378,'00_SKU_Master'!$M$2:$M$378,0)/$M$2,"0")</f>
        <v/>
      </c>
      <c r="S135" s="157">
        <f>_xludf.IFNA(I137/_xlfn.XLOOKUP($M137,'00_SKU_Master'!$B$2:$B$378,'00_SKU_Master'!$M$2:$M$378,0)/$M$2,"0")</f>
        <v/>
      </c>
      <c r="T135" s="157">
        <f>_xludf.IFNA(J137/_xlfn.XLOOKUP($M137,'00_SKU_Master'!$B$2:$B$378,'00_SKU_Master'!$M$2:$M$378,0)/$M$2,"0")</f>
        <v/>
      </c>
      <c r="U135" s="157">
        <f>SUM(N137:T137)</f>
        <v/>
      </c>
      <c r="V135" s="4" t="n"/>
      <c r="W135" s="4">
        <f>_xlfn.XLOOKUP(M137,'00_SKU_Master'!$B$2:$B$378,'00_SKU_Master'!D:D)</f>
        <v/>
      </c>
      <c r="X135" s="14">
        <f>'05_Daily_Orders'!B136</f>
        <v/>
      </c>
      <c r="Y135" s="588" t="n"/>
      <c r="Z135" s="589" t="n"/>
      <c r="AA135" s="589" t="n"/>
      <c r="AB135" s="589" t="n"/>
      <c r="AC135" s="589" t="n">
        <v>0</v>
      </c>
      <c r="AD135" s="589" t="n">
        <v>0</v>
      </c>
      <c r="AE135" s="589" t="n">
        <v>0</v>
      </c>
      <c r="AF135" s="587">
        <f>SUM(Y137:AE137)</f>
        <v/>
      </c>
      <c r="AQ135" s="23" t="n">
        <v>0</v>
      </c>
      <c r="AR135" s="23" t="n">
        <v>0</v>
      </c>
      <c r="AS135" s="23">
        <f>AR137-AQ137</f>
        <v/>
      </c>
    </row>
    <row r="136">
      <c r="A136" s="148">
        <f>_xlfn.XLOOKUP(C138,'00_SKU_Master'!$B$2:$B$378,'00_SKU_Master'!$C$2:$C$378)</f>
        <v/>
      </c>
      <c r="B136" s="148" t="n"/>
      <c r="C136" s="148">
        <f>X138</f>
        <v/>
      </c>
      <c r="D136" s="586">
        <f>_xludf.IFNA(_xlfn.XLOOKUP(C138,'00_SKU_Master'!$B$2:$B$378,'00_SKU_Master'!$F$2:$F$378,0)*Y138,"")</f>
        <v/>
      </c>
      <c r="E136" s="586">
        <f>_xludf.IFNA(_xlfn.XLOOKUP(C138,'00_SKU_Master'!$B$2:$B$378,'00_SKU_Master'!$F$2:$F$378,0)*Z138,"")</f>
        <v/>
      </c>
      <c r="F136" s="586">
        <f>_xludf.IFNA(_xlfn.XLOOKUP(C138,'00_SKU_Master'!$B$2:$B$378,'00_SKU_Master'!$F$2:$F$378,0)*AA138,"")</f>
        <v/>
      </c>
      <c r="G136" s="586">
        <f>_xludf.IFNA(_xlfn.XLOOKUP(C138,'00_SKU_Master'!$B$2:$B$378,'00_SKU_Master'!$F$2:$F$378,0)*AB138,"")</f>
        <v/>
      </c>
      <c r="H136" s="586">
        <f>_xludf.IFNA(_xlfn.XLOOKUP(C138,'00_SKU_Master'!$B$2:$B$378,'00_SKU_Master'!$F$2:$F$378,0)*AC138,"")</f>
        <v/>
      </c>
      <c r="I136" s="586">
        <f>_xludf.IFNA(_xlfn.XLOOKUP(C138,'00_SKU_Master'!$B$2:$B$378,'00_SKU_Master'!$F$2:$F$378,0)*AD138,"")</f>
        <v/>
      </c>
      <c r="J136" s="586">
        <f>_xludf.IFNA(_xlfn.XLOOKUP(C138,'00_SKU_Master'!$B$2:$B$378,'00_SKU_Master'!$F$2:$F$378,0)*AE138,"")</f>
        <v/>
      </c>
      <c r="K136" s="587">
        <f>SUM(D138:J138)</f>
        <v/>
      </c>
      <c r="L136" s="197">
        <f>_xlfn.XLOOKUP(C138,'00_SKU_Master'!$B$2:$B$378,'00_SKU_Master'!K:K)</f>
        <v/>
      </c>
      <c r="M136" s="14">
        <f>X138</f>
        <v/>
      </c>
      <c r="N136" s="157">
        <f>_xludf.IFNA(D138/_xlfn.XLOOKUP($M138,'00_SKU_Master'!$B$2:$B$378,'00_SKU_Master'!$M$2:$M$378,0)/$M$2,"0")</f>
        <v/>
      </c>
      <c r="O136" s="157">
        <f>_xludf.IFNA(E138/_xlfn.XLOOKUP($M138,'00_SKU_Master'!$B$2:$B$378,'00_SKU_Master'!$M$2:$M$378,0)/$M$2,"0")</f>
        <v/>
      </c>
      <c r="P136" s="157">
        <f>_xludf.IFNA(F138/_xlfn.XLOOKUP($M138,'00_SKU_Master'!$B$2:$B$378,'00_SKU_Master'!$M$2:$M$378,0)/$M$2,"0")</f>
        <v/>
      </c>
      <c r="Q136" s="157">
        <f>_xludf.IFNA(G138/_xlfn.XLOOKUP($M138,'00_SKU_Master'!$B$2:$B$378,'00_SKU_Master'!$M$2:$M$378,0)/$M$2,"0")</f>
        <v/>
      </c>
      <c r="R136" s="157">
        <f>_xludf.IFNA(H138/_xlfn.XLOOKUP($M138,'00_SKU_Master'!$B$2:$B$378,'00_SKU_Master'!$M$2:$M$378,0)/$M$2,"0")</f>
        <v/>
      </c>
      <c r="S136" s="157">
        <f>_xludf.IFNA(I138/_xlfn.XLOOKUP($M138,'00_SKU_Master'!$B$2:$B$378,'00_SKU_Master'!$M$2:$M$378,0)/$M$2,"0")</f>
        <v/>
      </c>
      <c r="T136" s="157">
        <f>_xludf.IFNA(J138/_xlfn.XLOOKUP($M138,'00_SKU_Master'!$B$2:$B$378,'00_SKU_Master'!$M$2:$M$378,0)/$M$2,"0")</f>
        <v/>
      </c>
      <c r="U136" s="157">
        <f>SUM(N138:T138)</f>
        <v/>
      </c>
      <c r="V136" s="4" t="n"/>
      <c r="W136" s="4">
        <f>_xlfn.XLOOKUP(M138,'00_SKU_Master'!$B$2:$B$378,'00_SKU_Master'!D:D)</f>
        <v/>
      </c>
      <c r="X136" s="14">
        <f>'05_Daily_Orders'!B137</f>
        <v/>
      </c>
      <c r="Y136" s="588" t="n"/>
      <c r="Z136" s="589" t="n"/>
      <c r="AA136" s="589" t="n"/>
      <c r="AB136" s="589" t="n"/>
      <c r="AC136" s="589" t="n">
        <v>0</v>
      </c>
      <c r="AD136" s="589" t="n">
        <v>0</v>
      </c>
      <c r="AE136" s="589" t="n">
        <v>0</v>
      </c>
      <c r="AF136" s="587">
        <f>SUM(Y138:AE138)</f>
        <v/>
      </c>
      <c r="AQ136" s="23" t="n">
        <v>0</v>
      </c>
      <c r="AR136" s="23" t="n">
        <v>0</v>
      </c>
      <c r="AS136" s="23">
        <f>AR138-AQ138</f>
        <v/>
      </c>
    </row>
    <row r="137">
      <c r="A137" s="148">
        <f>_xlfn.XLOOKUP(C139,'00_SKU_Master'!$B$2:$B$378,'00_SKU_Master'!$C$2:$C$378)</f>
        <v/>
      </c>
      <c r="B137" s="148" t="n"/>
      <c r="C137" s="148">
        <f>X139</f>
        <v/>
      </c>
      <c r="D137" s="586">
        <f>_xludf.IFNA(_xlfn.XLOOKUP(C139,'00_SKU_Master'!$B$2:$B$378,'00_SKU_Master'!$F$2:$F$378,0)*Y139,"")</f>
        <v/>
      </c>
      <c r="E137" s="586">
        <f>_xludf.IFNA(_xlfn.XLOOKUP(C139,'00_SKU_Master'!$B$2:$B$378,'00_SKU_Master'!$F$2:$F$378,0)*Z139,"")</f>
        <v/>
      </c>
      <c r="F137" s="586">
        <f>_xludf.IFNA(_xlfn.XLOOKUP(C139,'00_SKU_Master'!$B$2:$B$378,'00_SKU_Master'!$F$2:$F$378,0)*AA139,"")</f>
        <v/>
      </c>
      <c r="G137" s="586">
        <f>_xludf.IFNA(_xlfn.XLOOKUP(C139,'00_SKU_Master'!$B$2:$B$378,'00_SKU_Master'!$F$2:$F$378,0)*AB139,"")</f>
        <v/>
      </c>
      <c r="H137" s="586">
        <f>_xludf.IFNA(_xlfn.XLOOKUP(C139,'00_SKU_Master'!$B$2:$B$378,'00_SKU_Master'!$F$2:$F$378,0)*AC139,"")</f>
        <v/>
      </c>
      <c r="I137" s="586">
        <f>_xludf.IFNA(_xlfn.XLOOKUP(C139,'00_SKU_Master'!$B$2:$B$378,'00_SKU_Master'!$F$2:$F$378,0)*AD139,"")</f>
        <v/>
      </c>
      <c r="J137" s="586">
        <f>_xludf.IFNA(_xlfn.XLOOKUP(C139,'00_SKU_Master'!$B$2:$B$378,'00_SKU_Master'!$F$2:$F$378,0)*AE139,"")</f>
        <v/>
      </c>
      <c r="K137" s="587">
        <f>SUM(D139:J139)</f>
        <v/>
      </c>
      <c r="L137" s="197">
        <f>_xlfn.XLOOKUP(C139,'00_SKU_Master'!$B$2:$B$378,'00_SKU_Master'!K:K)</f>
        <v/>
      </c>
      <c r="M137" s="14">
        <f>X139</f>
        <v/>
      </c>
      <c r="N137" s="157">
        <f>_xludf.IFNA(D139/_xlfn.XLOOKUP($M139,'00_SKU_Master'!$B$2:$B$378,'00_SKU_Master'!$M$2:$M$378,0)/$M$2,"0")</f>
        <v/>
      </c>
      <c r="O137" s="157">
        <f>_xludf.IFNA(E139/_xlfn.XLOOKUP($M139,'00_SKU_Master'!$B$2:$B$378,'00_SKU_Master'!$M$2:$M$378,0)/$M$2,"0")</f>
        <v/>
      </c>
      <c r="P137" s="157">
        <f>_xludf.IFNA(F139/_xlfn.XLOOKUP($M139,'00_SKU_Master'!$B$2:$B$378,'00_SKU_Master'!$M$2:$M$378,0)/$M$2,"0")</f>
        <v/>
      </c>
      <c r="Q137" s="157">
        <f>_xludf.IFNA(G139/_xlfn.XLOOKUP($M139,'00_SKU_Master'!$B$2:$B$378,'00_SKU_Master'!$M$2:$M$378,0)/$M$2,"0")</f>
        <v/>
      </c>
      <c r="R137" s="157">
        <f>_xludf.IFNA(H139/_xlfn.XLOOKUP($M139,'00_SKU_Master'!$B$2:$B$378,'00_SKU_Master'!$M$2:$M$378,0)/$M$2,"0")</f>
        <v/>
      </c>
      <c r="S137" s="157">
        <f>_xludf.IFNA(I139/_xlfn.XLOOKUP($M139,'00_SKU_Master'!$B$2:$B$378,'00_SKU_Master'!$M$2:$M$378,0)/$M$2,"0")</f>
        <v/>
      </c>
      <c r="T137" s="157">
        <f>_xludf.IFNA(J139/_xlfn.XLOOKUP($M139,'00_SKU_Master'!$B$2:$B$378,'00_SKU_Master'!$M$2:$M$378,0)/$M$2,"0")</f>
        <v/>
      </c>
      <c r="U137" s="157">
        <f>SUM(N139:T139)</f>
        <v/>
      </c>
      <c r="V137" s="4" t="n"/>
      <c r="W137" s="4">
        <f>_xlfn.XLOOKUP(M139,'00_SKU_Master'!$B$2:$B$378,'00_SKU_Master'!D:D)</f>
        <v/>
      </c>
      <c r="X137" s="14">
        <f>'05_Daily_Orders'!B138</f>
        <v/>
      </c>
      <c r="Y137" s="588" t="n"/>
      <c r="Z137" s="589" t="n"/>
      <c r="AA137" s="589" t="n"/>
      <c r="AB137" s="589" t="n"/>
      <c r="AC137" s="589" t="n">
        <v>0</v>
      </c>
      <c r="AD137" s="589" t="n">
        <v>0</v>
      </c>
      <c r="AE137" s="589" t="n">
        <v>0</v>
      </c>
      <c r="AF137" s="587">
        <f>SUM(Y139:AE139)</f>
        <v/>
      </c>
      <c r="AQ137" s="23" t="n">
        <v>0</v>
      </c>
      <c r="AR137" s="23" t="n">
        <v>0</v>
      </c>
      <c r="AS137" s="23">
        <f>AR139-AQ139</f>
        <v/>
      </c>
    </row>
    <row r="138">
      <c r="A138" s="148">
        <f>_xlfn.XLOOKUP(C140,'00_SKU_Master'!$B$2:$B$378,'00_SKU_Master'!$C$2:$C$378)</f>
        <v/>
      </c>
      <c r="B138" s="148" t="n"/>
      <c r="C138" s="148">
        <f>X140</f>
        <v/>
      </c>
      <c r="D138" s="586">
        <f>_xludf.IFNA(_xlfn.XLOOKUP(C140,'00_SKU_Master'!$B$2:$B$378,'00_SKU_Master'!$F$2:$F$378,0)*Y140,"")</f>
        <v/>
      </c>
      <c r="E138" s="586">
        <f>_xludf.IFNA(_xlfn.XLOOKUP(C140,'00_SKU_Master'!$B$2:$B$378,'00_SKU_Master'!$F$2:$F$378,0)*Z140,"")</f>
        <v/>
      </c>
      <c r="F138" s="586">
        <f>_xludf.IFNA(_xlfn.XLOOKUP(C140,'00_SKU_Master'!$B$2:$B$378,'00_SKU_Master'!$F$2:$F$378,0)*AA140,"")</f>
        <v/>
      </c>
      <c r="G138" s="586">
        <f>_xludf.IFNA(_xlfn.XLOOKUP(C140,'00_SKU_Master'!$B$2:$B$378,'00_SKU_Master'!$F$2:$F$378,0)*AB140,"")</f>
        <v/>
      </c>
      <c r="H138" s="586">
        <f>_xludf.IFNA(_xlfn.XLOOKUP(C140,'00_SKU_Master'!$B$2:$B$378,'00_SKU_Master'!$F$2:$F$378,0)*AC140,"")</f>
        <v/>
      </c>
      <c r="I138" s="586">
        <f>_xludf.IFNA(_xlfn.XLOOKUP(C140,'00_SKU_Master'!$B$2:$B$378,'00_SKU_Master'!$F$2:$F$378,0)*AD140,"")</f>
        <v/>
      </c>
      <c r="J138" s="586">
        <f>_xludf.IFNA(_xlfn.XLOOKUP(C140,'00_SKU_Master'!$B$2:$B$378,'00_SKU_Master'!$F$2:$F$378,0)*AE140,"")</f>
        <v/>
      </c>
      <c r="K138" s="587">
        <f>SUM(D140:J140)</f>
        <v/>
      </c>
      <c r="L138" s="197">
        <f>_xlfn.XLOOKUP(C140,'00_SKU_Master'!$B$2:$B$378,'00_SKU_Master'!K:K)</f>
        <v/>
      </c>
      <c r="M138" s="14">
        <f>X140</f>
        <v/>
      </c>
      <c r="N138" s="157">
        <f>_xludf.IFNA(D140/_xlfn.XLOOKUP($M140,'00_SKU_Master'!$B$2:$B$378,'00_SKU_Master'!$M$2:$M$378,0)/$M$2,"0")</f>
        <v/>
      </c>
      <c r="O138" s="157">
        <f>_xludf.IFNA(E140/_xlfn.XLOOKUP($M140,'00_SKU_Master'!$B$2:$B$378,'00_SKU_Master'!$M$2:$M$378,0)/$M$2,"0")</f>
        <v/>
      </c>
      <c r="P138" s="157">
        <f>_xludf.IFNA(F140/_xlfn.XLOOKUP($M140,'00_SKU_Master'!$B$2:$B$378,'00_SKU_Master'!$M$2:$M$378,0)/$M$2,"0")</f>
        <v/>
      </c>
      <c r="Q138" s="157">
        <f>_xludf.IFNA(G140/_xlfn.XLOOKUP($M140,'00_SKU_Master'!$B$2:$B$378,'00_SKU_Master'!$M$2:$M$378,0)/$M$2,"0")</f>
        <v/>
      </c>
      <c r="R138" s="157">
        <f>_xludf.IFNA(H140/_xlfn.XLOOKUP($M140,'00_SKU_Master'!$B$2:$B$378,'00_SKU_Master'!$M$2:$M$378,0)/$M$2,"0")</f>
        <v/>
      </c>
      <c r="S138" s="157">
        <f>_xludf.IFNA(I140/_xlfn.XLOOKUP($M140,'00_SKU_Master'!$B$2:$B$378,'00_SKU_Master'!$M$2:$M$378,0)/$M$2,"0")</f>
        <v/>
      </c>
      <c r="T138" s="157">
        <f>_xludf.IFNA(J140/_xlfn.XLOOKUP($M140,'00_SKU_Master'!$B$2:$B$378,'00_SKU_Master'!$M$2:$M$378,0)/$M$2,"0")</f>
        <v/>
      </c>
      <c r="U138" s="157">
        <f>SUM(N140:T140)</f>
        <v/>
      </c>
      <c r="V138" s="4" t="n"/>
      <c r="W138" s="4">
        <f>_xlfn.XLOOKUP(M140,'00_SKU_Master'!$B$2:$B$378,'00_SKU_Master'!D:D)</f>
        <v/>
      </c>
      <c r="X138" s="14">
        <f>'05_Daily_Orders'!B139</f>
        <v/>
      </c>
      <c r="Y138" s="588" t="n"/>
      <c r="Z138" s="589" t="n"/>
      <c r="AA138" s="589" t="n"/>
      <c r="AB138" s="589" t="n"/>
      <c r="AC138" s="589" t="n">
        <v>0</v>
      </c>
      <c r="AD138" s="589" t="n">
        <v>0</v>
      </c>
      <c r="AE138" s="589" t="n">
        <v>0</v>
      </c>
      <c r="AF138" s="587">
        <f>SUM(Y140:AE140)</f>
        <v/>
      </c>
      <c r="AQ138" s="23" t="n">
        <v>0</v>
      </c>
      <c r="AR138" s="23" t="n">
        <v>0</v>
      </c>
      <c r="AS138" s="23">
        <f>AR140-AQ140</f>
        <v/>
      </c>
    </row>
    <row r="139">
      <c r="A139" s="148">
        <f>_xlfn.XLOOKUP(C141,'00_SKU_Master'!$B$2:$B$378,'00_SKU_Master'!$C$2:$C$378)</f>
        <v/>
      </c>
      <c r="B139" s="148" t="n"/>
      <c r="C139" s="148">
        <f>X141</f>
        <v/>
      </c>
      <c r="D139" s="586">
        <f>_xludf.IFNA(_xlfn.XLOOKUP(C141,'00_SKU_Master'!$B$2:$B$378,'00_SKU_Master'!$F$2:$F$378,0)*Y141,"")</f>
        <v/>
      </c>
      <c r="E139" s="586">
        <f>_xludf.IFNA(_xlfn.XLOOKUP(C141,'00_SKU_Master'!$B$2:$B$378,'00_SKU_Master'!$F$2:$F$378,0)*Z141,"")</f>
        <v/>
      </c>
      <c r="F139" s="586">
        <f>_xludf.IFNA(_xlfn.XLOOKUP(C141,'00_SKU_Master'!$B$2:$B$378,'00_SKU_Master'!$F$2:$F$378,0)*AA141,"")</f>
        <v/>
      </c>
      <c r="G139" s="586">
        <f>_xludf.IFNA(_xlfn.XLOOKUP(C141,'00_SKU_Master'!$B$2:$B$378,'00_SKU_Master'!$F$2:$F$378,0)*AB141,"")</f>
        <v/>
      </c>
      <c r="H139" s="586">
        <f>_xludf.IFNA(_xlfn.XLOOKUP(C141,'00_SKU_Master'!$B$2:$B$378,'00_SKU_Master'!$F$2:$F$378,0)*AC141,"")</f>
        <v/>
      </c>
      <c r="I139" s="586">
        <f>_xludf.IFNA(_xlfn.XLOOKUP(C141,'00_SKU_Master'!$B$2:$B$378,'00_SKU_Master'!$F$2:$F$378,0)*AD141,"")</f>
        <v/>
      </c>
      <c r="J139" s="586">
        <f>_xludf.IFNA(_xlfn.XLOOKUP(C141,'00_SKU_Master'!$B$2:$B$378,'00_SKU_Master'!$F$2:$F$378,0)*AE141,"")</f>
        <v/>
      </c>
      <c r="K139" s="587">
        <f>SUM(D141:J141)</f>
        <v/>
      </c>
      <c r="L139" s="197">
        <f>_xlfn.XLOOKUP(C141,'00_SKU_Master'!$B$2:$B$378,'00_SKU_Master'!K:K)</f>
        <v/>
      </c>
      <c r="M139" s="14">
        <f>X141</f>
        <v/>
      </c>
      <c r="N139" s="157">
        <f>_xludf.IFNA(D141/_xlfn.XLOOKUP($M141,'00_SKU_Master'!$B$2:$B$378,'00_SKU_Master'!$M$2:$M$378,0)/$M$2,"0")</f>
        <v/>
      </c>
      <c r="O139" s="157">
        <f>_xludf.IFNA(E141/_xlfn.XLOOKUP($M141,'00_SKU_Master'!$B$2:$B$378,'00_SKU_Master'!$M$2:$M$378,0)/$M$2,"0")</f>
        <v/>
      </c>
      <c r="P139" s="157">
        <f>_xludf.IFNA(F141/_xlfn.XLOOKUP($M141,'00_SKU_Master'!$B$2:$B$378,'00_SKU_Master'!$M$2:$M$378,0)/$M$2,"0")</f>
        <v/>
      </c>
      <c r="Q139" s="157">
        <f>_xludf.IFNA(G141/_xlfn.XLOOKUP($M141,'00_SKU_Master'!$B$2:$B$378,'00_SKU_Master'!$M$2:$M$378,0)/$M$2,"0")</f>
        <v/>
      </c>
      <c r="R139" s="157">
        <f>_xludf.IFNA(H141/_xlfn.XLOOKUP($M141,'00_SKU_Master'!$B$2:$B$378,'00_SKU_Master'!$M$2:$M$378,0)/$M$2,"0")</f>
        <v/>
      </c>
      <c r="S139" s="157">
        <f>_xludf.IFNA(I141/_xlfn.XLOOKUP($M141,'00_SKU_Master'!$B$2:$B$378,'00_SKU_Master'!$M$2:$M$378,0)/$M$2,"0")</f>
        <v/>
      </c>
      <c r="T139" s="157">
        <f>_xludf.IFNA(J141/_xlfn.XLOOKUP($M141,'00_SKU_Master'!$B$2:$B$378,'00_SKU_Master'!$M$2:$M$378,0)/$M$2,"0")</f>
        <v/>
      </c>
      <c r="U139" s="157">
        <f>SUM(N141:T141)</f>
        <v/>
      </c>
      <c r="V139" s="4" t="n"/>
      <c r="W139" s="4">
        <f>_xlfn.XLOOKUP(M141,'00_SKU_Master'!$B$2:$B$378,'00_SKU_Master'!D:D)</f>
        <v/>
      </c>
      <c r="X139" s="14">
        <f>'05_Daily_Orders'!B140</f>
        <v/>
      </c>
      <c r="Y139" s="588" t="n"/>
      <c r="Z139" s="589" t="n"/>
      <c r="AA139" s="589" t="n"/>
      <c r="AB139" s="589" t="n"/>
      <c r="AC139" s="589" t="n">
        <v>0</v>
      </c>
      <c r="AD139" s="589" t="n">
        <v>0</v>
      </c>
      <c r="AE139" s="589" t="n">
        <v>0</v>
      </c>
      <c r="AF139" s="587">
        <f>SUM(Y141:AE141)</f>
        <v/>
      </c>
      <c r="AQ139" s="23" t="n">
        <v>0</v>
      </c>
      <c r="AR139" s="23" t="n">
        <v>0</v>
      </c>
      <c r="AS139" s="23">
        <f>AR141-AQ141</f>
        <v/>
      </c>
    </row>
    <row r="140">
      <c r="A140" s="148">
        <f>_xlfn.XLOOKUP(C142,'00_SKU_Master'!$B$2:$B$378,'00_SKU_Master'!$C$2:$C$378)</f>
        <v/>
      </c>
      <c r="B140" s="148" t="n"/>
      <c r="C140" s="148">
        <f>X142</f>
        <v/>
      </c>
      <c r="D140" s="586">
        <f>_xludf.IFNA(_xlfn.XLOOKUP(C142,'00_SKU_Master'!$B$2:$B$378,'00_SKU_Master'!$F$2:$F$378,0)*Y142,"")</f>
        <v/>
      </c>
      <c r="E140" s="586">
        <f>_xludf.IFNA(_xlfn.XLOOKUP(C142,'00_SKU_Master'!$B$2:$B$378,'00_SKU_Master'!$F$2:$F$378,0)*Z142,"")</f>
        <v/>
      </c>
      <c r="F140" s="586">
        <f>_xludf.IFNA(_xlfn.XLOOKUP(C142,'00_SKU_Master'!$B$2:$B$378,'00_SKU_Master'!$F$2:$F$378,0)*AA142,"")</f>
        <v/>
      </c>
      <c r="G140" s="586">
        <f>_xludf.IFNA(_xlfn.XLOOKUP(C142,'00_SKU_Master'!$B$2:$B$378,'00_SKU_Master'!$F$2:$F$378,0)*AB142,"")</f>
        <v/>
      </c>
      <c r="H140" s="586">
        <f>_xludf.IFNA(_xlfn.XLOOKUP(C142,'00_SKU_Master'!$B$2:$B$378,'00_SKU_Master'!$F$2:$F$378,0)*AC142,"")</f>
        <v/>
      </c>
      <c r="I140" s="586">
        <f>_xludf.IFNA(_xlfn.XLOOKUP(C142,'00_SKU_Master'!$B$2:$B$378,'00_SKU_Master'!$F$2:$F$378,0)*AD142,"")</f>
        <v/>
      </c>
      <c r="J140" s="586">
        <f>_xludf.IFNA(_xlfn.XLOOKUP(C142,'00_SKU_Master'!$B$2:$B$378,'00_SKU_Master'!$F$2:$F$378,0)*AE142,"")</f>
        <v/>
      </c>
      <c r="K140" s="587">
        <f>SUM(D142:J142)</f>
        <v/>
      </c>
      <c r="L140" s="197">
        <f>_xlfn.XLOOKUP(C142,'00_SKU_Master'!$B$2:$B$378,'00_SKU_Master'!K:K)</f>
        <v/>
      </c>
      <c r="M140" s="14">
        <f>X142</f>
        <v/>
      </c>
      <c r="N140" s="157">
        <f>_xludf.IFNA(D142/_xlfn.XLOOKUP($M142,'00_SKU_Master'!$B$2:$B$378,'00_SKU_Master'!$M$2:$M$378,0)/$M$2,"0")</f>
        <v/>
      </c>
      <c r="O140" s="157">
        <f>_xludf.IFNA(E142/_xlfn.XLOOKUP($M142,'00_SKU_Master'!$B$2:$B$378,'00_SKU_Master'!$M$2:$M$378,0)/$M$2,"0")</f>
        <v/>
      </c>
      <c r="P140" s="157">
        <f>_xludf.IFNA(F142/_xlfn.XLOOKUP($M142,'00_SKU_Master'!$B$2:$B$378,'00_SKU_Master'!$M$2:$M$378,0)/$M$2,"0")</f>
        <v/>
      </c>
      <c r="Q140" s="157">
        <f>_xludf.IFNA(G142/_xlfn.XLOOKUP($M142,'00_SKU_Master'!$B$2:$B$378,'00_SKU_Master'!$M$2:$M$378,0)/$M$2,"0")</f>
        <v/>
      </c>
      <c r="R140" s="157">
        <f>_xludf.IFNA(H142/_xlfn.XLOOKUP($M142,'00_SKU_Master'!$B$2:$B$378,'00_SKU_Master'!$M$2:$M$378,0)/$M$2,"0")</f>
        <v/>
      </c>
      <c r="S140" s="157">
        <f>_xludf.IFNA(I142/_xlfn.XLOOKUP($M142,'00_SKU_Master'!$B$2:$B$378,'00_SKU_Master'!$M$2:$M$378,0)/$M$2,"0")</f>
        <v/>
      </c>
      <c r="T140" s="157">
        <f>_xludf.IFNA(J142/_xlfn.XLOOKUP($M142,'00_SKU_Master'!$B$2:$B$378,'00_SKU_Master'!$M$2:$M$378,0)/$M$2,"0")</f>
        <v/>
      </c>
      <c r="U140" s="157">
        <f>SUM(N142:T142)</f>
        <v/>
      </c>
      <c r="V140" s="4" t="n"/>
      <c r="W140" s="4">
        <f>_xlfn.XLOOKUP(M142,'00_SKU_Master'!$B$2:$B$378,'00_SKU_Master'!D:D)</f>
        <v/>
      </c>
      <c r="X140" s="14">
        <f>'05_Daily_Orders'!B141</f>
        <v/>
      </c>
      <c r="Y140" s="588" t="n"/>
      <c r="Z140" s="589" t="n"/>
      <c r="AA140" s="589" t="n"/>
      <c r="AB140" s="589" t="n"/>
      <c r="AC140" s="589" t="n">
        <v>0</v>
      </c>
      <c r="AD140" s="589" t="n">
        <v>0</v>
      </c>
      <c r="AE140" s="589" t="n">
        <v>0</v>
      </c>
      <c r="AF140" s="587">
        <f>SUM(Y142:AE142)</f>
        <v/>
      </c>
      <c r="AQ140" s="23" t="n">
        <v>0</v>
      </c>
      <c r="AR140" s="23" t="n">
        <v>0</v>
      </c>
      <c r="AS140" s="23">
        <f>AR142-AQ142</f>
        <v/>
      </c>
    </row>
    <row r="141">
      <c r="A141" s="148">
        <f>_xlfn.XLOOKUP(C143,'00_SKU_Master'!$B$2:$B$378,'00_SKU_Master'!$C$2:$C$378)</f>
        <v/>
      </c>
      <c r="B141" s="148" t="n"/>
      <c r="C141" s="148">
        <f>X143</f>
        <v/>
      </c>
      <c r="D141" s="586">
        <f>_xludf.IFNA(_xlfn.XLOOKUP(C143,'00_SKU_Master'!$B$2:$B$378,'00_SKU_Master'!$F$2:$F$378,0)*Y143,"")</f>
        <v/>
      </c>
      <c r="E141" s="586">
        <f>_xludf.IFNA(_xlfn.XLOOKUP(C143,'00_SKU_Master'!$B$2:$B$378,'00_SKU_Master'!$F$2:$F$378,0)*Z143,"")</f>
        <v/>
      </c>
      <c r="F141" s="586">
        <f>_xludf.IFNA(_xlfn.XLOOKUP(C143,'00_SKU_Master'!$B$2:$B$378,'00_SKU_Master'!$F$2:$F$378,0)*AA143,"")</f>
        <v/>
      </c>
      <c r="G141" s="586">
        <f>_xludf.IFNA(_xlfn.XLOOKUP(C143,'00_SKU_Master'!$B$2:$B$378,'00_SKU_Master'!$F$2:$F$378,0)*AB143,"")</f>
        <v/>
      </c>
      <c r="H141" s="586">
        <f>_xludf.IFNA(_xlfn.XLOOKUP(C143,'00_SKU_Master'!$B$2:$B$378,'00_SKU_Master'!$F$2:$F$378,0)*AC143,"")</f>
        <v/>
      </c>
      <c r="I141" s="586">
        <f>_xludf.IFNA(_xlfn.XLOOKUP(C143,'00_SKU_Master'!$B$2:$B$378,'00_SKU_Master'!$F$2:$F$378,0)*AD143,"")</f>
        <v/>
      </c>
      <c r="J141" s="586">
        <f>_xludf.IFNA(_xlfn.XLOOKUP(C143,'00_SKU_Master'!$B$2:$B$378,'00_SKU_Master'!$F$2:$F$378,0)*AE143,"")</f>
        <v/>
      </c>
      <c r="K141" s="587">
        <f>SUM(D143:J143)</f>
        <v/>
      </c>
      <c r="L141" s="197">
        <f>_xlfn.XLOOKUP(C143,'00_SKU_Master'!$B$2:$B$378,'00_SKU_Master'!K:K)</f>
        <v/>
      </c>
      <c r="M141" s="14">
        <f>X143</f>
        <v/>
      </c>
      <c r="N141" s="157">
        <f>_xludf.IFNA(D143/_xlfn.XLOOKUP($M143,'00_SKU_Master'!$B$2:$B$378,'00_SKU_Master'!$M$2:$M$378,0)/$M$2,"0")</f>
        <v/>
      </c>
      <c r="O141" s="157">
        <f>_xludf.IFNA(E143/_xlfn.XLOOKUP($M143,'00_SKU_Master'!$B$2:$B$378,'00_SKU_Master'!$M$2:$M$378,0)/$M$2,"0")</f>
        <v/>
      </c>
      <c r="P141" s="157">
        <f>_xludf.IFNA(F143/_xlfn.XLOOKUP($M143,'00_SKU_Master'!$B$2:$B$378,'00_SKU_Master'!$M$2:$M$378,0)/$M$2,"0")</f>
        <v/>
      </c>
      <c r="Q141" s="157">
        <f>_xludf.IFNA(G143/_xlfn.XLOOKUP($M143,'00_SKU_Master'!$B$2:$B$378,'00_SKU_Master'!$M$2:$M$378,0)/$M$2,"0")</f>
        <v/>
      </c>
      <c r="R141" s="157">
        <f>_xludf.IFNA(H143/_xlfn.XLOOKUP($M143,'00_SKU_Master'!$B$2:$B$378,'00_SKU_Master'!$M$2:$M$378,0)/$M$2,"0")</f>
        <v/>
      </c>
      <c r="S141" s="157">
        <f>_xludf.IFNA(I143/_xlfn.XLOOKUP($M143,'00_SKU_Master'!$B$2:$B$378,'00_SKU_Master'!$M$2:$M$378,0)/$M$2,"0")</f>
        <v/>
      </c>
      <c r="T141" s="157">
        <f>_xludf.IFNA(J143/_xlfn.XLOOKUP($M143,'00_SKU_Master'!$B$2:$B$378,'00_SKU_Master'!$M$2:$M$378,0)/$M$2,"0")</f>
        <v/>
      </c>
      <c r="U141" s="157">
        <f>SUM(N143:T143)</f>
        <v/>
      </c>
      <c r="V141" s="4" t="n"/>
      <c r="W141" s="4">
        <f>_xlfn.XLOOKUP(M143,'00_SKU_Master'!$B$2:$B$378,'00_SKU_Master'!D:D)</f>
        <v/>
      </c>
      <c r="X141" s="14">
        <f>'05_Daily_Orders'!B142</f>
        <v/>
      </c>
      <c r="Y141" s="588" t="n"/>
      <c r="Z141" s="589" t="n"/>
      <c r="AA141" s="589" t="n"/>
      <c r="AB141" s="589" t="n"/>
      <c r="AC141" s="589" t="n">
        <v>0</v>
      </c>
      <c r="AD141" s="589" t="n">
        <v>0</v>
      </c>
      <c r="AE141" s="589" t="n">
        <v>0</v>
      </c>
      <c r="AF141" s="587">
        <f>SUM(Y143:AE143)</f>
        <v/>
      </c>
      <c r="AQ141" s="23" t="n">
        <v>0</v>
      </c>
      <c r="AR141" s="23" t="n">
        <v>0</v>
      </c>
      <c r="AS141" s="23">
        <f>AR143-AQ143</f>
        <v/>
      </c>
    </row>
    <row r="142">
      <c r="A142" s="148">
        <f>_xlfn.XLOOKUP(C144,'00_SKU_Master'!$B$2:$B$378,'00_SKU_Master'!$C$2:$C$378)</f>
        <v/>
      </c>
      <c r="B142" s="148" t="n"/>
      <c r="C142" s="148">
        <f>X144</f>
        <v/>
      </c>
      <c r="D142" s="586">
        <f>_xludf.IFNA(_xlfn.XLOOKUP(C144,'00_SKU_Master'!$B$2:$B$378,'00_SKU_Master'!$F$2:$F$378,0)*Y144,"")</f>
        <v/>
      </c>
      <c r="E142" s="586">
        <f>_xludf.IFNA(_xlfn.XLOOKUP(C144,'00_SKU_Master'!$B$2:$B$378,'00_SKU_Master'!$F$2:$F$378,0)*Z144,"")</f>
        <v/>
      </c>
      <c r="F142" s="586">
        <f>_xludf.IFNA(_xlfn.XLOOKUP(C144,'00_SKU_Master'!$B$2:$B$378,'00_SKU_Master'!$F$2:$F$378,0)*AA144,"")</f>
        <v/>
      </c>
      <c r="G142" s="586">
        <f>_xludf.IFNA(_xlfn.XLOOKUP(C144,'00_SKU_Master'!$B$2:$B$378,'00_SKU_Master'!$F$2:$F$378,0)*AB144,"")</f>
        <v/>
      </c>
      <c r="H142" s="586">
        <f>_xludf.IFNA(_xlfn.XLOOKUP(C144,'00_SKU_Master'!$B$2:$B$378,'00_SKU_Master'!$F$2:$F$378,0)*AC144,"")</f>
        <v/>
      </c>
      <c r="I142" s="586">
        <f>_xludf.IFNA(_xlfn.XLOOKUP(C144,'00_SKU_Master'!$B$2:$B$378,'00_SKU_Master'!$F$2:$F$378,0)*AD144,"")</f>
        <v/>
      </c>
      <c r="J142" s="586">
        <f>_xludf.IFNA(_xlfn.XLOOKUP(C144,'00_SKU_Master'!$B$2:$B$378,'00_SKU_Master'!$F$2:$F$378,0)*AE144,"")</f>
        <v/>
      </c>
      <c r="K142" s="587">
        <f>SUM(D144:J144)</f>
        <v/>
      </c>
      <c r="L142" s="197">
        <f>_xlfn.XLOOKUP(C144,'00_SKU_Master'!$B$2:$B$378,'00_SKU_Master'!K:K)</f>
        <v/>
      </c>
      <c r="M142" s="14">
        <f>X144</f>
        <v/>
      </c>
      <c r="N142" s="157">
        <f>_xludf.IFNA(D144/_xlfn.XLOOKUP($M144,'00_SKU_Master'!$B$2:$B$378,'00_SKU_Master'!$M$2:$M$378,0)/$M$2,"0")</f>
        <v/>
      </c>
      <c r="O142" s="157">
        <f>_xludf.IFNA(E144/_xlfn.XLOOKUP($M144,'00_SKU_Master'!$B$2:$B$378,'00_SKU_Master'!$M$2:$M$378,0)/$M$2,"0")</f>
        <v/>
      </c>
      <c r="P142" s="157">
        <f>_xludf.IFNA(F144/_xlfn.XLOOKUP($M144,'00_SKU_Master'!$B$2:$B$378,'00_SKU_Master'!$M$2:$M$378,0)/$M$2,"0")</f>
        <v/>
      </c>
      <c r="Q142" s="157">
        <f>_xludf.IFNA(G144/_xlfn.XLOOKUP($M144,'00_SKU_Master'!$B$2:$B$378,'00_SKU_Master'!$M$2:$M$378,0)/$M$2,"0")</f>
        <v/>
      </c>
      <c r="R142" s="157">
        <f>_xludf.IFNA(H144/_xlfn.XLOOKUP($M144,'00_SKU_Master'!$B$2:$B$378,'00_SKU_Master'!$M$2:$M$378,0)/$M$2,"0")</f>
        <v/>
      </c>
      <c r="S142" s="157">
        <f>_xludf.IFNA(I144/_xlfn.XLOOKUP($M144,'00_SKU_Master'!$B$2:$B$378,'00_SKU_Master'!$M$2:$M$378,0)/$M$2,"0")</f>
        <v/>
      </c>
      <c r="T142" s="157">
        <f>_xludf.IFNA(J144/_xlfn.XLOOKUP($M144,'00_SKU_Master'!$B$2:$B$378,'00_SKU_Master'!$M$2:$M$378,0)/$M$2,"0")</f>
        <v/>
      </c>
      <c r="U142" s="157">
        <f>SUM(N144:T144)</f>
        <v/>
      </c>
      <c r="V142" s="4" t="n"/>
      <c r="W142" s="4">
        <f>_xlfn.XLOOKUP(M144,'00_SKU_Master'!$B$2:$B$378,'00_SKU_Master'!D:D)</f>
        <v/>
      </c>
      <c r="X142" s="14">
        <f>'05_Daily_Orders'!B143</f>
        <v/>
      </c>
      <c r="Y142" s="588" t="n"/>
      <c r="Z142" s="589" t="n"/>
      <c r="AA142" s="589" t="n"/>
      <c r="AB142" s="589" t="n"/>
      <c r="AC142" s="589" t="n">
        <v>0</v>
      </c>
      <c r="AD142" s="589" t="n">
        <v>0</v>
      </c>
      <c r="AE142" s="589" t="n">
        <v>0</v>
      </c>
      <c r="AF142" s="587">
        <f>SUM(Y144:AE144)</f>
        <v/>
      </c>
      <c r="AQ142" s="23" t="n">
        <v>0</v>
      </c>
      <c r="AR142" s="23" t="n">
        <v>0</v>
      </c>
      <c r="AS142" s="23">
        <f>AR144-AQ144</f>
        <v/>
      </c>
    </row>
    <row r="143">
      <c r="A143" s="148">
        <f>_xlfn.XLOOKUP(C145,'00_SKU_Master'!$B$2:$B$378,'00_SKU_Master'!$C$2:$C$378)</f>
        <v/>
      </c>
      <c r="B143" s="148" t="n"/>
      <c r="C143" s="148">
        <f>X145</f>
        <v/>
      </c>
      <c r="D143" s="586">
        <f>_xludf.IFNA(_xlfn.XLOOKUP(C145,'00_SKU_Master'!$B$2:$B$378,'00_SKU_Master'!$F$2:$F$378,0)*Y145,"")</f>
        <v/>
      </c>
      <c r="E143" s="586">
        <f>_xludf.IFNA(_xlfn.XLOOKUP(C145,'00_SKU_Master'!$B$2:$B$378,'00_SKU_Master'!$F$2:$F$378,0)*Z145,"")</f>
        <v/>
      </c>
      <c r="F143" s="586">
        <f>_xludf.IFNA(_xlfn.XLOOKUP(C145,'00_SKU_Master'!$B$2:$B$378,'00_SKU_Master'!$F$2:$F$378,0)*AA145,"")</f>
        <v/>
      </c>
      <c r="G143" s="586">
        <f>_xludf.IFNA(_xlfn.XLOOKUP(C145,'00_SKU_Master'!$B$2:$B$378,'00_SKU_Master'!$F$2:$F$378,0)*AB145,"")</f>
        <v/>
      </c>
      <c r="H143" s="586">
        <f>_xludf.IFNA(_xlfn.XLOOKUP(C145,'00_SKU_Master'!$B$2:$B$378,'00_SKU_Master'!$F$2:$F$378,0)*AC145,"")</f>
        <v/>
      </c>
      <c r="I143" s="586">
        <f>_xludf.IFNA(_xlfn.XLOOKUP(C145,'00_SKU_Master'!$B$2:$B$378,'00_SKU_Master'!$F$2:$F$378,0)*AD145,"")</f>
        <v/>
      </c>
      <c r="J143" s="586">
        <f>_xludf.IFNA(_xlfn.XLOOKUP(C145,'00_SKU_Master'!$B$2:$B$378,'00_SKU_Master'!$F$2:$F$378,0)*AE145,"")</f>
        <v/>
      </c>
      <c r="K143" s="587">
        <f>SUM(D145:J145)</f>
        <v/>
      </c>
      <c r="L143" s="197">
        <f>_xlfn.XLOOKUP(C145,'00_SKU_Master'!$B$2:$B$378,'00_SKU_Master'!K:K)</f>
        <v/>
      </c>
      <c r="M143" s="14">
        <f>X145</f>
        <v/>
      </c>
      <c r="N143" s="157">
        <f>_xludf.IFNA(D145/_xlfn.XLOOKUP($M145,'00_SKU_Master'!$B$2:$B$378,'00_SKU_Master'!$M$2:$M$378,0)/$M$2,"0")</f>
        <v/>
      </c>
      <c r="O143" s="157">
        <f>_xludf.IFNA(E145/_xlfn.XLOOKUP($M145,'00_SKU_Master'!$B$2:$B$378,'00_SKU_Master'!$M$2:$M$378,0)/$M$2,"0")</f>
        <v/>
      </c>
      <c r="P143" s="157">
        <f>_xludf.IFNA(F145/_xlfn.XLOOKUP($M145,'00_SKU_Master'!$B$2:$B$378,'00_SKU_Master'!$M$2:$M$378,0)/$M$2,"0")</f>
        <v/>
      </c>
      <c r="Q143" s="157">
        <f>_xludf.IFNA(G145/_xlfn.XLOOKUP($M145,'00_SKU_Master'!$B$2:$B$378,'00_SKU_Master'!$M$2:$M$378,0)/$M$2,"0")</f>
        <v/>
      </c>
      <c r="R143" s="157">
        <f>_xludf.IFNA(H145/_xlfn.XLOOKUP($M145,'00_SKU_Master'!$B$2:$B$378,'00_SKU_Master'!$M$2:$M$378,0)/$M$2,"0")</f>
        <v/>
      </c>
      <c r="S143" s="157">
        <f>_xludf.IFNA(I145/_xlfn.XLOOKUP($M145,'00_SKU_Master'!$B$2:$B$378,'00_SKU_Master'!$M$2:$M$378,0)/$M$2,"0")</f>
        <v/>
      </c>
      <c r="T143" s="157">
        <f>_xludf.IFNA(J145/_xlfn.XLOOKUP($M145,'00_SKU_Master'!$B$2:$B$378,'00_SKU_Master'!$M$2:$M$378,0)/$M$2,"0")</f>
        <v/>
      </c>
      <c r="U143" s="157">
        <f>SUM(N145:T145)</f>
        <v/>
      </c>
      <c r="V143" s="4" t="n"/>
      <c r="W143" s="4">
        <f>_xlfn.XLOOKUP(M145,'00_SKU_Master'!$B$2:$B$378,'00_SKU_Master'!D:D)</f>
        <v/>
      </c>
      <c r="X143" s="14">
        <f>'05_Daily_Orders'!B144</f>
        <v/>
      </c>
      <c r="Y143" s="588" t="n"/>
      <c r="Z143" s="589" t="n"/>
      <c r="AA143" s="589" t="n"/>
      <c r="AB143" s="589" t="n"/>
      <c r="AC143" s="589" t="n">
        <v>0</v>
      </c>
      <c r="AD143" s="589" t="n">
        <v>0</v>
      </c>
      <c r="AE143" s="589" t="n">
        <v>0</v>
      </c>
      <c r="AF143" s="587">
        <f>SUM(Y145:AE145)</f>
        <v/>
      </c>
      <c r="AQ143" s="23" t="n">
        <v>0</v>
      </c>
      <c r="AR143" s="23" t="n">
        <v>0</v>
      </c>
      <c r="AS143" s="23">
        <f>AR145-AQ145</f>
        <v/>
      </c>
    </row>
    <row r="144">
      <c r="A144" s="148">
        <f>_xlfn.XLOOKUP(C146,'00_SKU_Master'!$B$2:$B$378,'00_SKU_Master'!$C$2:$C$378)</f>
        <v/>
      </c>
      <c r="B144" s="148" t="n"/>
      <c r="C144" s="148">
        <f>X146</f>
        <v/>
      </c>
      <c r="D144" s="586">
        <f>_xludf.IFNA(_xlfn.XLOOKUP(C146,'00_SKU_Master'!$B$2:$B$378,'00_SKU_Master'!$F$2:$F$378,0)*Y146,"")</f>
        <v/>
      </c>
      <c r="E144" s="586">
        <f>_xludf.IFNA(_xlfn.XLOOKUP(C146,'00_SKU_Master'!$B$2:$B$378,'00_SKU_Master'!$F$2:$F$378,0)*Z146,"")</f>
        <v/>
      </c>
      <c r="F144" s="586">
        <f>_xludf.IFNA(_xlfn.XLOOKUP(C146,'00_SKU_Master'!$B$2:$B$378,'00_SKU_Master'!$F$2:$F$378,0)*AA146,"")</f>
        <v/>
      </c>
      <c r="G144" s="586">
        <f>_xludf.IFNA(_xlfn.XLOOKUP(C146,'00_SKU_Master'!$B$2:$B$378,'00_SKU_Master'!$F$2:$F$378,0)*AB146,"")</f>
        <v/>
      </c>
      <c r="H144" s="586">
        <f>_xludf.IFNA(_xlfn.XLOOKUP(C146,'00_SKU_Master'!$B$2:$B$378,'00_SKU_Master'!$F$2:$F$378,0)*AC146,"")</f>
        <v/>
      </c>
      <c r="I144" s="586">
        <f>_xludf.IFNA(_xlfn.XLOOKUP(C146,'00_SKU_Master'!$B$2:$B$378,'00_SKU_Master'!$F$2:$F$378,0)*AD146,"")</f>
        <v/>
      </c>
      <c r="J144" s="586">
        <f>_xludf.IFNA(_xlfn.XLOOKUP(C146,'00_SKU_Master'!$B$2:$B$378,'00_SKU_Master'!$F$2:$F$378,0)*AE146,"")</f>
        <v/>
      </c>
      <c r="K144" s="587">
        <f>SUM(D146:J146)</f>
        <v/>
      </c>
      <c r="L144" s="197">
        <f>_xlfn.XLOOKUP(C146,'00_SKU_Master'!$B$2:$B$378,'00_SKU_Master'!K:K)</f>
        <v/>
      </c>
      <c r="M144" s="14">
        <f>X146</f>
        <v/>
      </c>
      <c r="N144" s="157">
        <f>_xludf.IFNA(D146/_xlfn.XLOOKUP($M146,'00_SKU_Master'!$B$2:$B$378,'00_SKU_Master'!$M$2:$M$378,0)/$M$2,"0")</f>
        <v/>
      </c>
      <c r="O144" s="157">
        <f>_xludf.IFNA(E146/_xlfn.XLOOKUP($M146,'00_SKU_Master'!$B$2:$B$378,'00_SKU_Master'!$M$2:$M$378,0)/$M$2,"0")</f>
        <v/>
      </c>
      <c r="P144" s="157">
        <f>_xludf.IFNA(F146/_xlfn.XLOOKUP($M146,'00_SKU_Master'!$B$2:$B$378,'00_SKU_Master'!$M$2:$M$378,0)/$M$2,"0")</f>
        <v/>
      </c>
      <c r="Q144" s="157">
        <f>_xludf.IFNA(G146/_xlfn.XLOOKUP($M146,'00_SKU_Master'!$B$2:$B$378,'00_SKU_Master'!$M$2:$M$378,0)/$M$2,"0")</f>
        <v/>
      </c>
      <c r="R144" s="157">
        <f>_xludf.IFNA(H146/_xlfn.XLOOKUP($M146,'00_SKU_Master'!$B$2:$B$378,'00_SKU_Master'!$M$2:$M$378,0)/$M$2,"0")</f>
        <v/>
      </c>
      <c r="S144" s="157">
        <f>_xludf.IFNA(I146/_xlfn.XLOOKUP($M146,'00_SKU_Master'!$B$2:$B$378,'00_SKU_Master'!$M$2:$M$378,0)/$M$2,"0")</f>
        <v/>
      </c>
      <c r="T144" s="157">
        <f>_xludf.IFNA(J146/_xlfn.XLOOKUP($M146,'00_SKU_Master'!$B$2:$B$378,'00_SKU_Master'!$M$2:$M$378,0)/$M$2,"0")</f>
        <v/>
      </c>
      <c r="U144" s="157">
        <f>SUM(N146:T146)</f>
        <v/>
      </c>
      <c r="V144" s="4" t="n"/>
      <c r="W144" s="4">
        <f>_xlfn.XLOOKUP(M146,'00_SKU_Master'!$B$2:$B$378,'00_SKU_Master'!D:D)</f>
        <v/>
      </c>
      <c r="X144" s="14">
        <f>'05_Daily_Orders'!B145</f>
        <v/>
      </c>
      <c r="Y144" s="588" t="n"/>
      <c r="Z144" s="589" t="n"/>
      <c r="AA144" s="589" t="n"/>
      <c r="AB144" s="589" t="n"/>
      <c r="AC144" s="589" t="n">
        <v>0</v>
      </c>
      <c r="AD144" s="589" t="n">
        <v>0</v>
      </c>
      <c r="AE144" s="589" t="n">
        <v>0</v>
      </c>
      <c r="AF144" s="587">
        <f>SUM(Y146:AE146)</f>
        <v/>
      </c>
      <c r="AQ144" s="23" t="n">
        <v>0</v>
      </c>
      <c r="AR144" s="23" t="n">
        <v>0</v>
      </c>
      <c r="AS144" s="23">
        <f>AR146-AQ146</f>
        <v/>
      </c>
    </row>
    <row r="145">
      <c r="A145" s="148">
        <f>_xlfn.XLOOKUP(C147,'00_SKU_Master'!$B$2:$B$378,'00_SKU_Master'!$C$2:$C$378)</f>
        <v/>
      </c>
      <c r="B145" s="148" t="n"/>
      <c r="C145" s="148">
        <f>X147</f>
        <v/>
      </c>
      <c r="D145" s="586">
        <f>_xludf.IFNA(_xlfn.XLOOKUP(C147,'00_SKU_Master'!$B$2:$B$378,'00_SKU_Master'!$F$2:$F$378,0)*Y147,"")</f>
        <v/>
      </c>
      <c r="E145" s="586">
        <f>_xludf.IFNA(_xlfn.XLOOKUP(C147,'00_SKU_Master'!$B$2:$B$378,'00_SKU_Master'!$F$2:$F$378,0)*Z147,"")</f>
        <v/>
      </c>
      <c r="F145" s="586">
        <f>_xludf.IFNA(_xlfn.XLOOKUP(C147,'00_SKU_Master'!$B$2:$B$378,'00_SKU_Master'!$F$2:$F$378,0)*AA147,"")</f>
        <v/>
      </c>
      <c r="G145" s="586">
        <f>_xludf.IFNA(_xlfn.XLOOKUP(C147,'00_SKU_Master'!$B$2:$B$378,'00_SKU_Master'!$F$2:$F$378,0)*AB147,"")</f>
        <v/>
      </c>
      <c r="H145" s="586">
        <f>_xludf.IFNA(_xlfn.XLOOKUP(C147,'00_SKU_Master'!$B$2:$B$378,'00_SKU_Master'!$F$2:$F$378,0)*AC147,"")</f>
        <v/>
      </c>
      <c r="I145" s="586">
        <f>_xludf.IFNA(_xlfn.XLOOKUP(C147,'00_SKU_Master'!$B$2:$B$378,'00_SKU_Master'!$F$2:$F$378,0)*AD147,"")</f>
        <v/>
      </c>
      <c r="J145" s="586">
        <f>_xludf.IFNA(_xlfn.XLOOKUP(C147,'00_SKU_Master'!$B$2:$B$378,'00_SKU_Master'!$F$2:$F$378,0)*AE147,"")</f>
        <v/>
      </c>
      <c r="K145" s="587">
        <f>SUM(D147:J147)</f>
        <v/>
      </c>
      <c r="L145" s="197">
        <f>_xlfn.XLOOKUP(C147,'00_SKU_Master'!$B$2:$B$378,'00_SKU_Master'!K:K)</f>
        <v/>
      </c>
      <c r="M145" s="14">
        <f>X147</f>
        <v/>
      </c>
      <c r="N145" s="157">
        <f>_xludf.IFNA(D147/_xlfn.XLOOKUP($M147,'00_SKU_Master'!$B$2:$B$378,'00_SKU_Master'!$M$2:$M$378,0)/$M$2,"0")</f>
        <v/>
      </c>
      <c r="O145" s="157">
        <f>_xludf.IFNA(E147/_xlfn.XLOOKUP($M147,'00_SKU_Master'!$B$2:$B$378,'00_SKU_Master'!$M$2:$M$378,0)/$M$2,"0")</f>
        <v/>
      </c>
      <c r="P145" s="157">
        <f>_xludf.IFNA(F147/_xlfn.XLOOKUP($M147,'00_SKU_Master'!$B$2:$B$378,'00_SKU_Master'!$M$2:$M$378,0)/$M$2,"0")</f>
        <v/>
      </c>
      <c r="Q145" s="157">
        <f>_xludf.IFNA(G147/_xlfn.XLOOKUP($M147,'00_SKU_Master'!$B$2:$B$378,'00_SKU_Master'!$M$2:$M$378,0)/$M$2,"0")</f>
        <v/>
      </c>
      <c r="R145" s="157">
        <f>_xludf.IFNA(H147/_xlfn.XLOOKUP($M147,'00_SKU_Master'!$B$2:$B$378,'00_SKU_Master'!$M$2:$M$378,0)/$M$2,"0")</f>
        <v/>
      </c>
      <c r="S145" s="157">
        <f>_xludf.IFNA(I147/_xlfn.XLOOKUP($M147,'00_SKU_Master'!$B$2:$B$378,'00_SKU_Master'!$M$2:$M$378,0)/$M$2,"0")</f>
        <v/>
      </c>
      <c r="T145" s="157">
        <f>_xludf.IFNA(J147/_xlfn.XLOOKUP($M147,'00_SKU_Master'!$B$2:$B$378,'00_SKU_Master'!$M$2:$M$378,0)/$M$2,"0")</f>
        <v/>
      </c>
      <c r="U145" s="157">
        <f>SUM(N147:T147)</f>
        <v/>
      </c>
      <c r="V145" s="4" t="n"/>
      <c r="W145" s="4">
        <f>_xlfn.XLOOKUP(M147,'00_SKU_Master'!$B$2:$B$378,'00_SKU_Master'!D:D)</f>
        <v/>
      </c>
      <c r="X145" s="14">
        <f>'05_Daily_Orders'!B146</f>
        <v/>
      </c>
      <c r="Y145" s="588" t="n"/>
      <c r="Z145" s="589" t="n"/>
      <c r="AA145" s="589" t="n"/>
      <c r="AB145" s="589" t="n"/>
      <c r="AC145" s="589" t="n">
        <v>0</v>
      </c>
      <c r="AD145" s="589" t="n">
        <v>0</v>
      </c>
      <c r="AE145" s="589" t="n">
        <v>0</v>
      </c>
      <c r="AF145" s="587">
        <f>SUM(Y147:AE147)</f>
        <v/>
      </c>
      <c r="AQ145" s="23" t="n">
        <v>0</v>
      </c>
      <c r="AR145" s="23" t="n">
        <v>0</v>
      </c>
      <c r="AS145" s="23">
        <f>AR147-AQ147</f>
        <v/>
      </c>
    </row>
    <row r="146">
      <c r="A146" s="148">
        <f>_xlfn.XLOOKUP(C148,'00_SKU_Master'!$B$2:$B$378,'00_SKU_Master'!$C$2:$C$378)</f>
        <v/>
      </c>
      <c r="B146" s="148" t="n"/>
      <c r="C146" s="148">
        <f>X148</f>
        <v/>
      </c>
      <c r="D146" s="586">
        <f>_xludf.IFNA(_xlfn.XLOOKUP(C148,'00_SKU_Master'!$B$2:$B$378,'00_SKU_Master'!$F$2:$F$378,0)*Y148,"")</f>
        <v/>
      </c>
      <c r="E146" s="586">
        <f>_xludf.IFNA(_xlfn.XLOOKUP(C148,'00_SKU_Master'!$B$2:$B$378,'00_SKU_Master'!$F$2:$F$378,0)*Z148,"")</f>
        <v/>
      </c>
      <c r="F146" s="586">
        <f>_xludf.IFNA(_xlfn.XLOOKUP(C148,'00_SKU_Master'!$B$2:$B$378,'00_SKU_Master'!$F$2:$F$378,0)*AA148,"")</f>
        <v/>
      </c>
      <c r="G146" s="586">
        <f>_xludf.IFNA(_xlfn.XLOOKUP(C148,'00_SKU_Master'!$B$2:$B$378,'00_SKU_Master'!$F$2:$F$378,0)*AB148,"")</f>
        <v/>
      </c>
      <c r="H146" s="586">
        <f>_xludf.IFNA(_xlfn.XLOOKUP(C148,'00_SKU_Master'!$B$2:$B$378,'00_SKU_Master'!$F$2:$F$378,0)*AC148,"")</f>
        <v/>
      </c>
      <c r="I146" s="586">
        <f>_xludf.IFNA(_xlfn.XLOOKUP(C148,'00_SKU_Master'!$B$2:$B$378,'00_SKU_Master'!$F$2:$F$378,0)*AD148,"")</f>
        <v/>
      </c>
      <c r="J146" s="586">
        <f>_xludf.IFNA(_xlfn.XLOOKUP(C148,'00_SKU_Master'!$B$2:$B$378,'00_SKU_Master'!$F$2:$F$378,0)*AE148,"")</f>
        <v/>
      </c>
      <c r="K146" s="587">
        <f>SUM(D148:J148)</f>
        <v/>
      </c>
      <c r="L146" s="197">
        <f>_xlfn.XLOOKUP(C148,'00_SKU_Master'!$B$2:$B$378,'00_SKU_Master'!K:K)</f>
        <v/>
      </c>
      <c r="M146" s="14">
        <f>X148</f>
        <v/>
      </c>
      <c r="N146" s="157">
        <f>_xludf.IFNA(D148/_xlfn.XLOOKUP($M148,'00_SKU_Master'!$B$2:$B$378,'00_SKU_Master'!$M$2:$M$378,0)/$M$2,"0")</f>
        <v/>
      </c>
      <c r="O146" s="157">
        <f>_xludf.IFNA(E148/_xlfn.XLOOKUP($M148,'00_SKU_Master'!$B$2:$B$378,'00_SKU_Master'!$M$2:$M$378,0)/$M$2,"0")</f>
        <v/>
      </c>
      <c r="P146" s="157">
        <f>_xludf.IFNA(F148/_xlfn.XLOOKUP($M148,'00_SKU_Master'!$B$2:$B$378,'00_SKU_Master'!$M$2:$M$378,0)/$M$2,"0")</f>
        <v/>
      </c>
      <c r="Q146" s="157">
        <f>_xludf.IFNA(G148/_xlfn.XLOOKUP($M148,'00_SKU_Master'!$B$2:$B$378,'00_SKU_Master'!$M$2:$M$378,0)/$M$2,"0")</f>
        <v/>
      </c>
      <c r="R146" s="157">
        <f>_xludf.IFNA(H148/_xlfn.XLOOKUP($M148,'00_SKU_Master'!$B$2:$B$378,'00_SKU_Master'!$M$2:$M$378,0)/$M$2,"0")</f>
        <v/>
      </c>
      <c r="S146" s="157">
        <f>_xludf.IFNA(I148/_xlfn.XLOOKUP($M148,'00_SKU_Master'!$B$2:$B$378,'00_SKU_Master'!$M$2:$M$378,0)/$M$2,"0")</f>
        <v/>
      </c>
      <c r="T146" s="157">
        <f>_xludf.IFNA(J148/_xlfn.XLOOKUP($M148,'00_SKU_Master'!$B$2:$B$378,'00_SKU_Master'!$M$2:$M$378,0)/$M$2,"0")</f>
        <v/>
      </c>
      <c r="U146" s="157">
        <f>SUM(N148:T148)</f>
        <v/>
      </c>
      <c r="V146" s="4" t="n"/>
      <c r="W146" s="4">
        <f>_xlfn.XLOOKUP(M148,'00_SKU_Master'!$B$2:$B$378,'00_SKU_Master'!D:D)</f>
        <v/>
      </c>
      <c r="X146" s="14">
        <f>'05_Daily_Orders'!B147</f>
        <v/>
      </c>
      <c r="Y146" s="588" t="n"/>
      <c r="Z146" s="589" t="n"/>
      <c r="AA146" s="589" t="n"/>
      <c r="AB146" s="589" t="n"/>
      <c r="AC146" s="589" t="n">
        <v>0</v>
      </c>
      <c r="AD146" s="589" t="n">
        <v>0</v>
      </c>
      <c r="AE146" s="589" t="n">
        <v>0</v>
      </c>
      <c r="AF146" s="587">
        <f>SUM(Y148:AE148)</f>
        <v/>
      </c>
      <c r="AQ146" s="23" t="n">
        <v>0</v>
      </c>
      <c r="AR146" s="23" t="n">
        <v>0</v>
      </c>
      <c r="AS146" s="23">
        <f>AR148-AQ148</f>
        <v/>
      </c>
    </row>
    <row r="147">
      <c r="A147" s="148">
        <f>_xlfn.XLOOKUP(C149,'00_SKU_Master'!$B$2:$B$378,'00_SKU_Master'!$C$2:$C$378)</f>
        <v/>
      </c>
      <c r="B147" s="148" t="n"/>
      <c r="C147" s="148">
        <f>X149</f>
        <v/>
      </c>
      <c r="D147" s="586">
        <f>_xludf.IFNA(_xlfn.XLOOKUP(C149,'00_SKU_Master'!$B$2:$B$378,'00_SKU_Master'!$F$2:$F$378,0)*Y149,"")</f>
        <v/>
      </c>
      <c r="E147" s="586">
        <f>_xludf.IFNA(_xlfn.XLOOKUP(C149,'00_SKU_Master'!$B$2:$B$378,'00_SKU_Master'!$F$2:$F$378,0)*Z149,"")</f>
        <v/>
      </c>
      <c r="F147" s="586">
        <f>_xludf.IFNA(_xlfn.XLOOKUP(C149,'00_SKU_Master'!$B$2:$B$378,'00_SKU_Master'!$F$2:$F$378,0)*AA149,"")</f>
        <v/>
      </c>
      <c r="G147" s="586">
        <f>_xludf.IFNA(_xlfn.XLOOKUP(C149,'00_SKU_Master'!$B$2:$B$378,'00_SKU_Master'!$F$2:$F$378,0)*AB149,"")</f>
        <v/>
      </c>
      <c r="H147" s="586">
        <f>_xludf.IFNA(_xlfn.XLOOKUP(C149,'00_SKU_Master'!$B$2:$B$378,'00_SKU_Master'!$F$2:$F$378,0)*AC149,"")</f>
        <v/>
      </c>
      <c r="I147" s="586">
        <f>_xludf.IFNA(_xlfn.XLOOKUP(C149,'00_SKU_Master'!$B$2:$B$378,'00_SKU_Master'!$F$2:$F$378,0)*AD149,"")</f>
        <v/>
      </c>
      <c r="J147" s="586">
        <f>_xludf.IFNA(_xlfn.XLOOKUP(C149,'00_SKU_Master'!$B$2:$B$378,'00_SKU_Master'!$F$2:$F$378,0)*AE149,"")</f>
        <v/>
      </c>
      <c r="K147" s="587">
        <f>SUM(D149:J149)</f>
        <v/>
      </c>
      <c r="L147" s="197">
        <f>_xlfn.XLOOKUP(C149,'00_SKU_Master'!$B$2:$B$378,'00_SKU_Master'!K:K)</f>
        <v/>
      </c>
      <c r="M147" s="14">
        <f>X149</f>
        <v/>
      </c>
      <c r="N147" s="157">
        <f>_xludf.IFNA(D149/_xlfn.XLOOKUP($M149,'00_SKU_Master'!$B$2:$B$378,'00_SKU_Master'!$M$2:$M$378,0)/$M$2,"0")</f>
        <v/>
      </c>
      <c r="O147" s="157">
        <f>_xludf.IFNA(E149/_xlfn.XLOOKUP($M149,'00_SKU_Master'!$B$2:$B$378,'00_SKU_Master'!$M$2:$M$378,0)/$M$2,"0")</f>
        <v/>
      </c>
      <c r="P147" s="157">
        <f>_xludf.IFNA(F149/_xlfn.XLOOKUP($M149,'00_SKU_Master'!$B$2:$B$378,'00_SKU_Master'!$M$2:$M$378,0)/$M$2,"0")</f>
        <v/>
      </c>
      <c r="Q147" s="157">
        <f>_xludf.IFNA(G149/_xlfn.XLOOKUP($M149,'00_SKU_Master'!$B$2:$B$378,'00_SKU_Master'!$M$2:$M$378,0)/$M$2,"0")</f>
        <v/>
      </c>
      <c r="R147" s="157">
        <f>_xludf.IFNA(H149/_xlfn.XLOOKUP($M149,'00_SKU_Master'!$B$2:$B$378,'00_SKU_Master'!$M$2:$M$378,0)/$M$2,"0")</f>
        <v/>
      </c>
      <c r="S147" s="157">
        <f>_xludf.IFNA(I149/_xlfn.XLOOKUP($M149,'00_SKU_Master'!$B$2:$B$378,'00_SKU_Master'!$M$2:$M$378,0)/$M$2,"0")</f>
        <v/>
      </c>
      <c r="T147" s="157">
        <f>_xludf.IFNA(J149/_xlfn.XLOOKUP($M149,'00_SKU_Master'!$B$2:$B$378,'00_SKU_Master'!$M$2:$M$378,0)/$M$2,"0")</f>
        <v/>
      </c>
      <c r="U147" s="157">
        <f>SUM(N149:T149)</f>
        <v/>
      </c>
      <c r="V147" s="4" t="n"/>
      <c r="W147" s="4">
        <f>_xlfn.XLOOKUP(M149,'00_SKU_Master'!$B$2:$B$378,'00_SKU_Master'!D:D)</f>
        <v/>
      </c>
      <c r="X147" s="14">
        <f>'05_Daily_Orders'!B148</f>
        <v/>
      </c>
      <c r="Y147" s="588" t="n"/>
      <c r="Z147" s="589" t="n"/>
      <c r="AA147" s="589" t="n"/>
      <c r="AB147" s="589" t="n"/>
      <c r="AC147" s="589" t="n">
        <v>0</v>
      </c>
      <c r="AD147" s="589" t="n">
        <v>0</v>
      </c>
      <c r="AE147" s="589" t="n">
        <v>0</v>
      </c>
      <c r="AF147" s="587">
        <f>SUM(Y149:AE149)</f>
        <v/>
      </c>
      <c r="AQ147" s="23" t="n">
        <v>0</v>
      </c>
      <c r="AR147" s="23" t="n">
        <v>0</v>
      </c>
      <c r="AS147" s="23">
        <f>AR149-AQ149</f>
        <v/>
      </c>
    </row>
    <row r="148">
      <c r="A148" s="148">
        <f>_xlfn.XLOOKUP(C150,'00_SKU_Master'!$B$2:$B$378,'00_SKU_Master'!$C$2:$C$378)</f>
        <v/>
      </c>
      <c r="B148" s="148" t="n"/>
      <c r="C148" s="148">
        <f>X150</f>
        <v/>
      </c>
      <c r="D148" s="586">
        <f>_xludf.IFNA(_xlfn.XLOOKUP(C150,'00_SKU_Master'!$B$2:$B$378,'00_SKU_Master'!$F$2:$F$378,0)*Y150,"")</f>
        <v/>
      </c>
      <c r="E148" s="586">
        <f>_xludf.IFNA(_xlfn.XLOOKUP(C150,'00_SKU_Master'!$B$2:$B$378,'00_SKU_Master'!$F$2:$F$378,0)*Z150,"")</f>
        <v/>
      </c>
      <c r="F148" s="586">
        <f>_xludf.IFNA(_xlfn.XLOOKUP(C150,'00_SKU_Master'!$B$2:$B$378,'00_SKU_Master'!$F$2:$F$378,0)*AA150,"")</f>
        <v/>
      </c>
      <c r="G148" s="586">
        <f>_xludf.IFNA(_xlfn.XLOOKUP(C150,'00_SKU_Master'!$B$2:$B$378,'00_SKU_Master'!$F$2:$F$378,0)*AB150,"")</f>
        <v/>
      </c>
      <c r="H148" s="586">
        <f>_xludf.IFNA(_xlfn.XLOOKUP(C150,'00_SKU_Master'!$B$2:$B$378,'00_SKU_Master'!$F$2:$F$378,0)*AC150,"")</f>
        <v/>
      </c>
      <c r="I148" s="586">
        <f>_xludf.IFNA(_xlfn.XLOOKUP(C150,'00_SKU_Master'!$B$2:$B$378,'00_SKU_Master'!$F$2:$F$378,0)*AD150,"")</f>
        <v/>
      </c>
      <c r="J148" s="586">
        <f>_xludf.IFNA(_xlfn.XLOOKUP(C150,'00_SKU_Master'!$B$2:$B$378,'00_SKU_Master'!$F$2:$F$378,0)*AE150,"")</f>
        <v/>
      </c>
      <c r="K148" s="587">
        <f>SUM(D150:J150)</f>
        <v/>
      </c>
      <c r="L148" s="197">
        <f>_xlfn.XLOOKUP(C150,'00_SKU_Master'!$B$2:$B$378,'00_SKU_Master'!K:K)</f>
        <v/>
      </c>
      <c r="M148" s="14">
        <f>X150</f>
        <v/>
      </c>
      <c r="N148" s="157">
        <f>_xludf.IFNA(D150/_xlfn.XLOOKUP($M150,'00_SKU_Master'!$B$2:$B$378,'00_SKU_Master'!$M$2:$M$378,0)/$M$2,"0")</f>
        <v/>
      </c>
      <c r="O148" s="157">
        <f>_xludf.IFNA(E150/_xlfn.XLOOKUP($M150,'00_SKU_Master'!$B$2:$B$378,'00_SKU_Master'!$M$2:$M$378,0)/$M$2,"0")</f>
        <v/>
      </c>
      <c r="P148" s="157">
        <f>_xludf.IFNA(F150/_xlfn.XLOOKUP($M150,'00_SKU_Master'!$B$2:$B$378,'00_SKU_Master'!$M$2:$M$378,0)/$M$2,"0")</f>
        <v/>
      </c>
      <c r="Q148" s="157">
        <f>_xludf.IFNA(G150/_xlfn.XLOOKUP($M150,'00_SKU_Master'!$B$2:$B$378,'00_SKU_Master'!$M$2:$M$378,0)/$M$2,"0")</f>
        <v/>
      </c>
      <c r="R148" s="157">
        <f>_xludf.IFNA(H150/_xlfn.XLOOKUP($M150,'00_SKU_Master'!$B$2:$B$378,'00_SKU_Master'!$M$2:$M$378,0)/$M$2,"0")</f>
        <v/>
      </c>
      <c r="S148" s="157">
        <f>_xludf.IFNA(I150/_xlfn.XLOOKUP($M150,'00_SKU_Master'!$B$2:$B$378,'00_SKU_Master'!$M$2:$M$378,0)/$M$2,"0")</f>
        <v/>
      </c>
      <c r="T148" s="157">
        <f>_xludf.IFNA(J150/_xlfn.XLOOKUP($M150,'00_SKU_Master'!$B$2:$B$378,'00_SKU_Master'!$M$2:$M$378,0)/$M$2,"0")</f>
        <v/>
      </c>
      <c r="U148" s="157">
        <f>SUM(N150:T150)</f>
        <v/>
      </c>
      <c r="V148" s="4" t="n"/>
      <c r="W148" s="4">
        <f>_xlfn.XLOOKUP(M150,'00_SKU_Master'!$B$2:$B$378,'00_SKU_Master'!D:D)</f>
        <v/>
      </c>
      <c r="X148" s="14">
        <f>'05_Daily_Orders'!B149</f>
        <v/>
      </c>
      <c r="Y148" s="588" t="n"/>
      <c r="Z148" s="589" t="n"/>
      <c r="AA148" s="589" t="n"/>
      <c r="AB148" s="589" t="n"/>
      <c r="AC148" s="589" t="n">
        <v>0</v>
      </c>
      <c r="AD148" s="589" t="n">
        <v>0</v>
      </c>
      <c r="AE148" s="589" t="n">
        <v>0</v>
      </c>
      <c r="AF148" s="587">
        <f>SUM(Y150:AE150)</f>
        <v/>
      </c>
      <c r="AQ148" s="23" t="n">
        <v>0</v>
      </c>
      <c r="AR148" s="23" t="n">
        <v>0</v>
      </c>
      <c r="AS148" s="23">
        <f>AR150-AQ150</f>
        <v/>
      </c>
    </row>
    <row r="149">
      <c r="A149" s="148">
        <f>_xlfn.XLOOKUP(C151,'00_SKU_Master'!$B$2:$B$378,'00_SKU_Master'!$C$2:$C$378)</f>
        <v/>
      </c>
      <c r="B149" s="148" t="n"/>
      <c r="C149" s="148">
        <f>X151</f>
        <v/>
      </c>
      <c r="D149" s="586">
        <f>_xludf.IFNA(_xlfn.XLOOKUP(C151,'00_SKU_Master'!$B$2:$B$378,'00_SKU_Master'!$F$2:$F$378,0)*Y151,"")</f>
        <v/>
      </c>
      <c r="E149" s="586">
        <f>_xludf.IFNA(_xlfn.XLOOKUP(C151,'00_SKU_Master'!$B$2:$B$378,'00_SKU_Master'!$F$2:$F$378,0)*Z151,"")</f>
        <v/>
      </c>
      <c r="F149" s="586">
        <f>_xludf.IFNA(_xlfn.XLOOKUP(C151,'00_SKU_Master'!$B$2:$B$378,'00_SKU_Master'!$F$2:$F$378,0)*AA151,"")</f>
        <v/>
      </c>
      <c r="G149" s="586">
        <f>_xludf.IFNA(_xlfn.XLOOKUP(C151,'00_SKU_Master'!$B$2:$B$378,'00_SKU_Master'!$F$2:$F$378,0)*AB151,"")</f>
        <v/>
      </c>
      <c r="H149" s="586">
        <f>_xludf.IFNA(_xlfn.XLOOKUP(C151,'00_SKU_Master'!$B$2:$B$378,'00_SKU_Master'!$F$2:$F$378,0)*AC151,"")</f>
        <v/>
      </c>
      <c r="I149" s="586">
        <f>_xludf.IFNA(_xlfn.XLOOKUP(C151,'00_SKU_Master'!$B$2:$B$378,'00_SKU_Master'!$F$2:$F$378,0)*AD151,"")</f>
        <v/>
      </c>
      <c r="J149" s="586">
        <f>_xludf.IFNA(_xlfn.XLOOKUP(C151,'00_SKU_Master'!$B$2:$B$378,'00_SKU_Master'!$F$2:$F$378,0)*AE151,"")</f>
        <v/>
      </c>
      <c r="K149" s="587">
        <f>SUM(D151:J151)</f>
        <v/>
      </c>
      <c r="L149" s="197">
        <f>_xlfn.XLOOKUP(C151,'00_SKU_Master'!$B$2:$B$378,'00_SKU_Master'!K:K)</f>
        <v/>
      </c>
      <c r="M149" s="14">
        <f>X151</f>
        <v/>
      </c>
      <c r="N149" s="157">
        <f>_xludf.IFNA(D151/_xlfn.XLOOKUP($M151,'00_SKU_Master'!$B$2:$B$378,'00_SKU_Master'!$M$2:$M$378,0)/$M$2,"0")</f>
        <v/>
      </c>
      <c r="O149" s="157">
        <f>_xludf.IFNA(E151/_xlfn.XLOOKUP($M151,'00_SKU_Master'!$B$2:$B$378,'00_SKU_Master'!$M$2:$M$378,0)/$M$2,"0")</f>
        <v/>
      </c>
      <c r="P149" s="157">
        <f>_xludf.IFNA(F151/_xlfn.XLOOKUP($M151,'00_SKU_Master'!$B$2:$B$378,'00_SKU_Master'!$M$2:$M$378,0)/$M$2,"0")</f>
        <v/>
      </c>
      <c r="Q149" s="157">
        <f>_xludf.IFNA(G151/_xlfn.XLOOKUP($M151,'00_SKU_Master'!$B$2:$B$378,'00_SKU_Master'!$M$2:$M$378,0)/$M$2,"0")</f>
        <v/>
      </c>
      <c r="R149" s="157">
        <f>_xludf.IFNA(H151/_xlfn.XLOOKUP($M151,'00_SKU_Master'!$B$2:$B$378,'00_SKU_Master'!$M$2:$M$378,0)/$M$2,"0")</f>
        <v/>
      </c>
      <c r="S149" s="157">
        <f>_xludf.IFNA(I151/_xlfn.XLOOKUP($M151,'00_SKU_Master'!$B$2:$B$378,'00_SKU_Master'!$M$2:$M$378,0)/$M$2,"0")</f>
        <v/>
      </c>
      <c r="T149" s="157">
        <f>_xludf.IFNA(J151/_xlfn.XLOOKUP($M151,'00_SKU_Master'!$B$2:$B$378,'00_SKU_Master'!$M$2:$M$378,0)/$M$2,"0")</f>
        <v/>
      </c>
      <c r="U149" s="157">
        <f>SUM(N151:T151)</f>
        <v/>
      </c>
      <c r="V149" s="4" t="n"/>
      <c r="W149" s="4">
        <f>_xlfn.XLOOKUP(M151,'00_SKU_Master'!$B$2:$B$378,'00_SKU_Master'!D:D)</f>
        <v/>
      </c>
      <c r="X149" s="14">
        <f>'05_Daily_Orders'!B150</f>
        <v/>
      </c>
      <c r="Y149" s="588" t="n"/>
      <c r="Z149" s="589" t="n"/>
      <c r="AA149" s="589" t="n"/>
      <c r="AB149" s="589" t="n"/>
      <c r="AC149" s="589" t="n">
        <v>0</v>
      </c>
      <c r="AD149" s="589" t="n">
        <v>0</v>
      </c>
      <c r="AE149" s="589" t="n">
        <v>0</v>
      </c>
      <c r="AF149" s="587">
        <f>SUM(Y151:AE151)</f>
        <v/>
      </c>
      <c r="AQ149" s="23" t="n">
        <v>0</v>
      </c>
      <c r="AR149" s="23" t="n">
        <v>0</v>
      </c>
      <c r="AS149" s="23">
        <f>AR151-AQ151</f>
        <v/>
      </c>
    </row>
    <row r="150">
      <c r="A150" s="148">
        <f>_xlfn.XLOOKUP(C152,'00_SKU_Master'!$B$2:$B$378,'00_SKU_Master'!$C$2:$C$378)</f>
        <v/>
      </c>
      <c r="B150" s="148" t="n"/>
      <c r="C150" s="148">
        <f>X152</f>
        <v/>
      </c>
      <c r="D150" s="586">
        <f>_xludf.IFNA(_xlfn.XLOOKUP(C152,'00_SKU_Master'!$B$2:$B$378,'00_SKU_Master'!$F$2:$F$378,0)*Y152,"")</f>
        <v/>
      </c>
      <c r="E150" s="586">
        <f>_xludf.IFNA(_xlfn.XLOOKUP(C152,'00_SKU_Master'!$B$2:$B$378,'00_SKU_Master'!$F$2:$F$378,0)*Z152,"")</f>
        <v/>
      </c>
      <c r="F150" s="586">
        <f>_xludf.IFNA(_xlfn.XLOOKUP(C152,'00_SKU_Master'!$B$2:$B$378,'00_SKU_Master'!$F$2:$F$378,0)*AA152,"")</f>
        <v/>
      </c>
      <c r="G150" s="586">
        <f>_xludf.IFNA(_xlfn.XLOOKUP(C152,'00_SKU_Master'!$B$2:$B$378,'00_SKU_Master'!$F$2:$F$378,0)*AB152,"")</f>
        <v/>
      </c>
      <c r="H150" s="586">
        <f>_xludf.IFNA(_xlfn.XLOOKUP(C152,'00_SKU_Master'!$B$2:$B$378,'00_SKU_Master'!$F$2:$F$378,0)*AC152,"")</f>
        <v/>
      </c>
      <c r="I150" s="586">
        <f>_xludf.IFNA(_xlfn.XLOOKUP(C152,'00_SKU_Master'!$B$2:$B$378,'00_SKU_Master'!$F$2:$F$378,0)*AD152,"")</f>
        <v/>
      </c>
      <c r="J150" s="586">
        <f>_xludf.IFNA(_xlfn.XLOOKUP(C152,'00_SKU_Master'!$B$2:$B$378,'00_SKU_Master'!$F$2:$F$378,0)*AE152,"")</f>
        <v/>
      </c>
      <c r="K150" s="587">
        <f>SUM(D152:J152)</f>
        <v/>
      </c>
      <c r="L150" s="197">
        <f>_xlfn.XLOOKUP(C152,'00_SKU_Master'!$B$2:$B$378,'00_SKU_Master'!K:K)</f>
        <v/>
      </c>
      <c r="M150" s="14">
        <f>X152</f>
        <v/>
      </c>
      <c r="N150" s="157">
        <f>_xludf.IFNA(D152/_xlfn.XLOOKUP($M152,'00_SKU_Master'!$B$2:$B$378,'00_SKU_Master'!$M$2:$M$378,0)/$M$2,"0")</f>
        <v/>
      </c>
      <c r="O150" s="157">
        <f>_xludf.IFNA(E152/_xlfn.XLOOKUP($M152,'00_SKU_Master'!$B$2:$B$378,'00_SKU_Master'!$M$2:$M$378,0)/$M$2,"0")</f>
        <v/>
      </c>
      <c r="P150" s="157">
        <f>_xludf.IFNA(F152/_xlfn.XLOOKUP($M152,'00_SKU_Master'!$B$2:$B$378,'00_SKU_Master'!$M$2:$M$378,0)/$M$2,"0")</f>
        <v/>
      </c>
      <c r="Q150" s="157">
        <f>_xludf.IFNA(G152/_xlfn.XLOOKUP($M152,'00_SKU_Master'!$B$2:$B$378,'00_SKU_Master'!$M$2:$M$378,0)/$M$2,"0")</f>
        <v/>
      </c>
      <c r="R150" s="157">
        <f>_xludf.IFNA(H152/_xlfn.XLOOKUP($M152,'00_SKU_Master'!$B$2:$B$378,'00_SKU_Master'!$M$2:$M$378,0)/$M$2,"0")</f>
        <v/>
      </c>
      <c r="S150" s="157">
        <f>_xludf.IFNA(I152/_xlfn.XLOOKUP($M152,'00_SKU_Master'!$B$2:$B$378,'00_SKU_Master'!$M$2:$M$378,0)/$M$2,"0")</f>
        <v/>
      </c>
      <c r="T150" s="157">
        <f>_xludf.IFNA(J152/_xlfn.XLOOKUP($M152,'00_SKU_Master'!$B$2:$B$378,'00_SKU_Master'!$M$2:$M$378,0)/$M$2,"0")</f>
        <v/>
      </c>
      <c r="U150" s="157">
        <f>SUM(N152:T152)</f>
        <v/>
      </c>
      <c r="V150" s="4" t="n"/>
      <c r="W150" s="4">
        <f>_xlfn.XLOOKUP(M152,'00_SKU_Master'!$B$2:$B$378,'00_SKU_Master'!D:D)</f>
        <v/>
      </c>
      <c r="X150" s="14">
        <f>'05_Daily_Orders'!B151</f>
        <v/>
      </c>
      <c r="Y150" s="588" t="n"/>
      <c r="Z150" s="589" t="n"/>
      <c r="AA150" s="589" t="n"/>
      <c r="AB150" s="589" t="n"/>
      <c r="AC150" s="589" t="n">
        <v>0</v>
      </c>
      <c r="AD150" s="589" t="n">
        <v>0</v>
      </c>
      <c r="AE150" s="589" t="n">
        <v>0</v>
      </c>
      <c r="AF150" s="587">
        <f>SUM(Y152:AE152)</f>
        <v/>
      </c>
      <c r="AQ150" s="23" t="n">
        <v>0</v>
      </c>
      <c r="AR150" s="23" t="n">
        <v>0</v>
      </c>
      <c r="AS150" s="23">
        <f>AR152-AQ152</f>
        <v/>
      </c>
    </row>
    <row r="151">
      <c r="A151" s="148">
        <f>_xlfn.XLOOKUP(C153,'00_SKU_Master'!$B$2:$B$378,'00_SKU_Master'!$C$2:$C$378)</f>
        <v/>
      </c>
      <c r="B151" s="148" t="n"/>
      <c r="C151" s="148">
        <f>X153</f>
        <v/>
      </c>
      <c r="D151" s="586">
        <f>_xludf.IFNA(_xlfn.XLOOKUP(C153,'00_SKU_Master'!$B$2:$B$378,'00_SKU_Master'!$F$2:$F$378,0)*Y153,"")</f>
        <v/>
      </c>
      <c r="E151" s="586">
        <f>_xludf.IFNA(_xlfn.XLOOKUP(C153,'00_SKU_Master'!$B$2:$B$378,'00_SKU_Master'!$F$2:$F$378,0)*Z153,"")</f>
        <v/>
      </c>
      <c r="F151" s="586">
        <f>_xludf.IFNA(_xlfn.XLOOKUP(C153,'00_SKU_Master'!$B$2:$B$378,'00_SKU_Master'!$F$2:$F$378,0)*AA153,"")</f>
        <v/>
      </c>
      <c r="G151" s="586">
        <f>_xludf.IFNA(_xlfn.XLOOKUP(C153,'00_SKU_Master'!$B$2:$B$378,'00_SKU_Master'!$F$2:$F$378,0)*AB153,"")</f>
        <v/>
      </c>
      <c r="H151" s="586">
        <f>_xludf.IFNA(_xlfn.XLOOKUP(C153,'00_SKU_Master'!$B$2:$B$378,'00_SKU_Master'!$F$2:$F$378,0)*AC153,"")</f>
        <v/>
      </c>
      <c r="I151" s="586">
        <f>_xludf.IFNA(_xlfn.XLOOKUP(C153,'00_SKU_Master'!$B$2:$B$378,'00_SKU_Master'!$F$2:$F$378,0)*AD153,"")</f>
        <v/>
      </c>
      <c r="J151" s="586">
        <f>_xludf.IFNA(_xlfn.XLOOKUP(C153,'00_SKU_Master'!$B$2:$B$378,'00_SKU_Master'!$F$2:$F$378,0)*AE153,"")</f>
        <v/>
      </c>
      <c r="K151" s="587">
        <f>SUM(D153:J153)</f>
        <v/>
      </c>
      <c r="L151" s="197">
        <f>_xlfn.XLOOKUP(C153,'00_SKU_Master'!$B$2:$B$378,'00_SKU_Master'!K:K)</f>
        <v/>
      </c>
      <c r="M151" s="14">
        <f>X153</f>
        <v/>
      </c>
      <c r="N151" s="157">
        <f>_xludf.IFNA(D153/_xlfn.XLOOKUP($M153,'00_SKU_Master'!$B$2:$B$378,'00_SKU_Master'!$M$2:$M$378,0)/$M$2,"0")</f>
        <v/>
      </c>
      <c r="O151" s="157">
        <f>_xludf.IFNA(E153/_xlfn.XLOOKUP($M153,'00_SKU_Master'!$B$2:$B$378,'00_SKU_Master'!$M$2:$M$378,0)/$M$2,"0")</f>
        <v/>
      </c>
      <c r="P151" s="157">
        <f>_xludf.IFNA(F153/_xlfn.XLOOKUP($M153,'00_SKU_Master'!$B$2:$B$378,'00_SKU_Master'!$M$2:$M$378,0)/$M$2,"0")</f>
        <v/>
      </c>
      <c r="Q151" s="157">
        <f>_xludf.IFNA(G153/_xlfn.XLOOKUP($M153,'00_SKU_Master'!$B$2:$B$378,'00_SKU_Master'!$M$2:$M$378,0)/$M$2,"0")</f>
        <v/>
      </c>
      <c r="R151" s="157">
        <f>_xludf.IFNA(H153/_xlfn.XLOOKUP($M153,'00_SKU_Master'!$B$2:$B$378,'00_SKU_Master'!$M$2:$M$378,0)/$M$2,"0")</f>
        <v/>
      </c>
      <c r="S151" s="157">
        <f>_xludf.IFNA(I153/_xlfn.XLOOKUP($M153,'00_SKU_Master'!$B$2:$B$378,'00_SKU_Master'!$M$2:$M$378,0)/$M$2,"0")</f>
        <v/>
      </c>
      <c r="T151" s="157">
        <f>_xludf.IFNA(J153/_xlfn.XLOOKUP($M153,'00_SKU_Master'!$B$2:$B$378,'00_SKU_Master'!$M$2:$M$378,0)/$M$2,"0")</f>
        <v/>
      </c>
      <c r="U151" s="157">
        <f>SUM(N153:T153)</f>
        <v/>
      </c>
      <c r="V151" s="4" t="n"/>
      <c r="W151" s="4">
        <f>_xlfn.XLOOKUP(M153,'00_SKU_Master'!$B$2:$B$378,'00_SKU_Master'!D:D)</f>
        <v/>
      </c>
      <c r="X151" s="14">
        <f>'05_Daily_Orders'!B152</f>
        <v/>
      </c>
      <c r="Y151" s="588" t="n"/>
      <c r="Z151" s="589" t="n"/>
      <c r="AA151" s="589" t="n"/>
      <c r="AB151" s="589" t="n"/>
      <c r="AC151" s="589" t="n">
        <v>0</v>
      </c>
      <c r="AD151" s="589" t="n">
        <v>0</v>
      </c>
      <c r="AE151" s="589" t="n">
        <v>0</v>
      </c>
      <c r="AF151" s="587">
        <f>SUM(Y153:AE153)</f>
        <v/>
      </c>
      <c r="AQ151" s="23" t="n">
        <v>0</v>
      </c>
      <c r="AR151" s="23" t="n">
        <v>0</v>
      </c>
      <c r="AS151" s="23">
        <f>AR153-AQ153</f>
        <v/>
      </c>
    </row>
    <row r="152">
      <c r="A152" s="148">
        <f>_xlfn.XLOOKUP(C154,'00_SKU_Master'!$B$2:$B$378,'00_SKU_Master'!$C$2:$C$378)</f>
        <v/>
      </c>
      <c r="B152" s="148" t="n"/>
      <c r="C152" s="148">
        <f>X154</f>
        <v/>
      </c>
      <c r="D152" s="586">
        <f>_xludf.IFNA(_xlfn.XLOOKUP(C154,'00_SKU_Master'!$B$2:$B$378,'00_SKU_Master'!$F$2:$F$378,0)*Y154,"")</f>
        <v/>
      </c>
      <c r="E152" s="586">
        <f>_xludf.IFNA(_xlfn.XLOOKUP(C154,'00_SKU_Master'!$B$2:$B$378,'00_SKU_Master'!$F$2:$F$378,0)*Z154,"")</f>
        <v/>
      </c>
      <c r="F152" s="586">
        <f>_xludf.IFNA(_xlfn.XLOOKUP(C154,'00_SKU_Master'!$B$2:$B$378,'00_SKU_Master'!$F$2:$F$378,0)*AA154,"")</f>
        <v/>
      </c>
      <c r="G152" s="586">
        <f>_xludf.IFNA(_xlfn.XLOOKUP(C154,'00_SKU_Master'!$B$2:$B$378,'00_SKU_Master'!$F$2:$F$378,0)*AB154,"")</f>
        <v/>
      </c>
      <c r="H152" s="586">
        <f>_xludf.IFNA(_xlfn.XLOOKUP(C154,'00_SKU_Master'!$B$2:$B$378,'00_SKU_Master'!$F$2:$F$378,0)*AC154,"")</f>
        <v/>
      </c>
      <c r="I152" s="586">
        <f>_xludf.IFNA(_xlfn.XLOOKUP(C154,'00_SKU_Master'!$B$2:$B$378,'00_SKU_Master'!$F$2:$F$378,0)*AD154,"")</f>
        <v/>
      </c>
      <c r="J152" s="586">
        <f>_xludf.IFNA(_xlfn.XLOOKUP(C154,'00_SKU_Master'!$B$2:$B$378,'00_SKU_Master'!$F$2:$F$378,0)*AE154,"")</f>
        <v/>
      </c>
      <c r="K152" s="587">
        <f>SUM(D154:J154)</f>
        <v/>
      </c>
      <c r="L152" s="197">
        <f>_xlfn.XLOOKUP(C154,'00_SKU_Master'!$B$2:$B$378,'00_SKU_Master'!K:K)</f>
        <v/>
      </c>
      <c r="M152" s="14">
        <f>X154</f>
        <v/>
      </c>
      <c r="N152" s="157">
        <f>_xludf.IFNA(D154/_xlfn.XLOOKUP($M154,'00_SKU_Master'!$B$2:$B$378,'00_SKU_Master'!$M$2:$M$378,0)/$M$2,"0")</f>
        <v/>
      </c>
      <c r="O152" s="157">
        <f>_xludf.IFNA(E154/_xlfn.XLOOKUP($M154,'00_SKU_Master'!$B$2:$B$378,'00_SKU_Master'!$M$2:$M$378,0)/$M$2,"0")</f>
        <v/>
      </c>
      <c r="P152" s="157">
        <f>_xludf.IFNA(F154/_xlfn.XLOOKUP($M154,'00_SKU_Master'!$B$2:$B$378,'00_SKU_Master'!$M$2:$M$378,0)/$M$2,"0")</f>
        <v/>
      </c>
      <c r="Q152" s="157">
        <f>_xludf.IFNA(G154/_xlfn.XLOOKUP($M154,'00_SKU_Master'!$B$2:$B$378,'00_SKU_Master'!$M$2:$M$378,0)/$M$2,"0")</f>
        <v/>
      </c>
      <c r="R152" s="157">
        <f>_xludf.IFNA(H154/_xlfn.XLOOKUP($M154,'00_SKU_Master'!$B$2:$B$378,'00_SKU_Master'!$M$2:$M$378,0)/$M$2,"0")</f>
        <v/>
      </c>
      <c r="S152" s="157">
        <f>_xludf.IFNA(I154/_xlfn.XLOOKUP($M154,'00_SKU_Master'!$B$2:$B$378,'00_SKU_Master'!$M$2:$M$378,0)/$M$2,"0")</f>
        <v/>
      </c>
      <c r="T152" s="157">
        <f>_xludf.IFNA(J154/_xlfn.XLOOKUP($M154,'00_SKU_Master'!$B$2:$B$378,'00_SKU_Master'!$M$2:$M$378,0)/$M$2,"0")</f>
        <v/>
      </c>
      <c r="U152" s="157">
        <f>SUM(N154:T154)</f>
        <v/>
      </c>
      <c r="V152" s="4" t="n"/>
      <c r="W152" s="4">
        <f>_xlfn.XLOOKUP(M154,'00_SKU_Master'!$B$2:$B$378,'00_SKU_Master'!D:D)</f>
        <v/>
      </c>
      <c r="X152" s="14">
        <f>'05_Daily_Orders'!B153</f>
        <v/>
      </c>
      <c r="Y152" s="588" t="n"/>
      <c r="Z152" s="589" t="n"/>
      <c r="AA152" s="589" t="n"/>
      <c r="AB152" s="589" t="n"/>
      <c r="AC152" s="589" t="n">
        <v>0</v>
      </c>
      <c r="AD152" s="589" t="n">
        <v>0</v>
      </c>
      <c r="AE152" s="589" t="n">
        <v>0</v>
      </c>
      <c r="AF152" s="587">
        <f>SUM(Y154:AE154)</f>
        <v/>
      </c>
      <c r="AQ152" s="23" t="n">
        <v>0</v>
      </c>
      <c r="AR152" s="23" t="n">
        <v>0</v>
      </c>
      <c r="AS152" s="23">
        <f>AR154-AQ154</f>
        <v/>
      </c>
    </row>
    <row r="153">
      <c r="A153" s="148">
        <f>_xlfn.XLOOKUP(C155,'00_SKU_Master'!$B$2:$B$378,'00_SKU_Master'!$C$2:$C$378)</f>
        <v/>
      </c>
      <c r="B153" s="148" t="n"/>
      <c r="C153" s="148">
        <f>X155</f>
        <v/>
      </c>
      <c r="D153" s="586">
        <f>_xludf.IFNA(_xlfn.XLOOKUP(C155,'00_SKU_Master'!$B$2:$B$378,'00_SKU_Master'!$F$2:$F$378,0)*Y155,"")</f>
        <v/>
      </c>
      <c r="E153" s="586">
        <f>_xludf.IFNA(_xlfn.XLOOKUP(C155,'00_SKU_Master'!$B$2:$B$378,'00_SKU_Master'!$F$2:$F$378,0)*Z155,"")</f>
        <v/>
      </c>
      <c r="F153" s="586">
        <f>_xludf.IFNA(_xlfn.XLOOKUP(C155,'00_SKU_Master'!$B$2:$B$378,'00_SKU_Master'!$F$2:$F$378,0)*AA155,"")</f>
        <v/>
      </c>
      <c r="G153" s="586">
        <f>_xludf.IFNA(_xlfn.XLOOKUP(C155,'00_SKU_Master'!$B$2:$B$378,'00_SKU_Master'!$F$2:$F$378,0)*AB155,"")</f>
        <v/>
      </c>
      <c r="H153" s="586">
        <f>_xludf.IFNA(_xlfn.XLOOKUP(C155,'00_SKU_Master'!$B$2:$B$378,'00_SKU_Master'!$F$2:$F$378,0)*AC155,"")</f>
        <v/>
      </c>
      <c r="I153" s="586">
        <f>_xludf.IFNA(_xlfn.XLOOKUP(C155,'00_SKU_Master'!$B$2:$B$378,'00_SKU_Master'!$F$2:$F$378,0)*AD155,"")</f>
        <v/>
      </c>
      <c r="J153" s="586">
        <f>_xludf.IFNA(_xlfn.XLOOKUP(C155,'00_SKU_Master'!$B$2:$B$378,'00_SKU_Master'!$F$2:$F$378,0)*AE155,"")</f>
        <v/>
      </c>
      <c r="K153" s="587">
        <f>SUM(D155:J155)</f>
        <v/>
      </c>
      <c r="L153" s="197">
        <f>_xlfn.XLOOKUP(C155,'00_SKU_Master'!$B$2:$B$378,'00_SKU_Master'!K:K)</f>
        <v/>
      </c>
      <c r="M153" s="14">
        <f>X155</f>
        <v/>
      </c>
      <c r="N153" s="157">
        <f>_xludf.IFNA(D155/_xlfn.XLOOKUP($M155,'00_SKU_Master'!$B$2:$B$378,'00_SKU_Master'!$M$2:$M$378,0)/$M$2,"0")</f>
        <v/>
      </c>
      <c r="O153" s="157">
        <f>_xludf.IFNA(E155/_xlfn.XLOOKUP($M155,'00_SKU_Master'!$B$2:$B$378,'00_SKU_Master'!$M$2:$M$378,0)/$M$2,"0")</f>
        <v/>
      </c>
      <c r="P153" s="157">
        <f>_xludf.IFNA(F155/_xlfn.XLOOKUP($M155,'00_SKU_Master'!$B$2:$B$378,'00_SKU_Master'!$M$2:$M$378,0)/$M$2,"0")</f>
        <v/>
      </c>
      <c r="Q153" s="157">
        <f>_xludf.IFNA(G155/_xlfn.XLOOKUP($M155,'00_SKU_Master'!$B$2:$B$378,'00_SKU_Master'!$M$2:$M$378,0)/$M$2,"0")</f>
        <v/>
      </c>
      <c r="R153" s="157">
        <f>_xludf.IFNA(H155/_xlfn.XLOOKUP($M155,'00_SKU_Master'!$B$2:$B$378,'00_SKU_Master'!$M$2:$M$378,0)/$M$2,"0")</f>
        <v/>
      </c>
      <c r="S153" s="157">
        <f>_xludf.IFNA(I155/_xlfn.XLOOKUP($M155,'00_SKU_Master'!$B$2:$B$378,'00_SKU_Master'!$M$2:$M$378,0)/$M$2,"0")</f>
        <v/>
      </c>
      <c r="T153" s="157">
        <f>_xludf.IFNA(J155/_xlfn.XLOOKUP($M155,'00_SKU_Master'!$B$2:$B$378,'00_SKU_Master'!$M$2:$M$378,0)/$M$2,"0")</f>
        <v/>
      </c>
      <c r="U153" s="157">
        <f>SUM(N155:T155)</f>
        <v/>
      </c>
      <c r="V153" s="4" t="n"/>
      <c r="W153" s="4">
        <f>_xlfn.XLOOKUP(M155,'00_SKU_Master'!$B$2:$B$378,'00_SKU_Master'!D:D)</f>
        <v/>
      </c>
      <c r="X153" s="14">
        <f>'05_Daily_Orders'!B154</f>
        <v/>
      </c>
      <c r="Y153" s="588" t="n"/>
      <c r="Z153" s="589" t="n"/>
      <c r="AA153" s="589" t="n"/>
      <c r="AB153" s="589" t="n"/>
      <c r="AC153" s="589" t="n">
        <v>0</v>
      </c>
      <c r="AD153" s="589" t="n">
        <v>0</v>
      </c>
      <c r="AE153" s="589" t="n">
        <v>0</v>
      </c>
      <c r="AF153" s="587">
        <f>SUM(Y155:AE155)</f>
        <v/>
      </c>
      <c r="AQ153" s="23" t="n">
        <v>0</v>
      </c>
      <c r="AR153" s="23" t="n">
        <v>0</v>
      </c>
      <c r="AS153" s="23">
        <f>AR155-AQ155</f>
        <v/>
      </c>
    </row>
    <row r="154">
      <c r="A154" s="148">
        <f>_xlfn.XLOOKUP(C156,'00_SKU_Master'!$B$2:$B$378,'00_SKU_Master'!$C$2:$C$378)</f>
        <v/>
      </c>
      <c r="B154" s="148" t="n"/>
      <c r="C154" s="148">
        <f>X156</f>
        <v/>
      </c>
      <c r="D154" s="586">
        <f>_xludf.IFNA(_xlfn.XLOOKUP(C156,'00_SKU_Master'!$B$2:$B$378,'00_SKU_Master'!$F$2:$F$378,0)*Y156,"")</f>
        <v/>
      </c>
      <c r="E154" s="586">
        <f>_xludf.IFNA(_xlfn.XLOOKUP(C156,'00_SKU_Master'!$B$2:$B$378,'00_SKU_Master'!$F$2:$F$378,0)*Z156,"")</f>
        <v/>
      </c>
      <c r="F154" s="586">
        <f>_xludf.IFNA(_xlfn.XLOOKUP(C156,'00_SKU_Master'!$B$2:$B$378,'00_SKU_Master'!$F$2:$F$378,0)*AA156,"")</f>
        <v/>
      </c>
      <c r="G154" s="586">
        <f>_xludf.IFNA(_xlfn.XLOOKUP(C156,'00_SKU_Master'!$B$2:$B$378,'00_SKU_Master'!$F$2:$F$378,0)*AB156,"")</f>
        <v/>
      </c>
      <c r="H154" s="586">
        <f>_xludf.IFNA(_xlfn.XLOOKUP(C156,'00_SKU_Master'!$B$2:$B$378,'00_SKU_Master'!$F$2:$F$378,0)*AC156,"")</f>
        <v/>
      </c>
      <c r="I154" s="586">
        <f>_xludf.IFNA(_xlfn.XLOOKUP(C156,'00_SKU_Master'!$B$2:$B$378,'00_SKU_Master'!$F$2:$F$378,0)*AD156,"")</f>
        <v/>
      </c>
      <c r="J154" s="586">
        <f>_xludf.IFNA(_xlfn.XLOOKUP(C156,'00_SKU_Master'!$B$2:$B$378,'00_SKU_Master'!$F$2:$F$378,0)*AE156,"")</f>
        <v/>
      </c>
      <c r="K154" s="587">
        <f>SUM(D156:J156)</f>
        <v/>
      </c>
      <c r="L154" s="197">
        <f>_xlfn.XLOOKUP(C156,'00_SKU_Master'!$B$2:$B$378,'00_SKU_Master'!K:K)</f>
        <v/>
      </c>
      <c r="M154" s="14">
        <f>X156</f>
        <v/>
      </c>
      <c r="N154" s="157">
        <f>_xludf.IFNA(D156/_xlfn.XLOOKUP($M156,'00_SKU_Master'!$B$2:$B$378,'00_SKU_Master'!$M$2:$M$378,0)/$M$2,"0")</f>
        <v/>
      </c>
      <c r="O154" s="157">
        <f>_xludf.IFNA(E156/_xlfn.XLOOKUP($M156,'00_SKU_Master'!$B$2:$B$378,'00_SKU_Master'!$M$2:$M$378,0)/$M$2,"0")</f>
        <v/>
      </c>
      <c r="P154" s="157">
        <f>_xludf.IFNA(F156/_xlfn.XLOOKUP($M156,'00_SKU_Master'!$B$2:$B$378,'00_SKU_Master'!$M$2:$M$378,0)/$M$2,"0")</f>
        <v/>
      </c>
      <c r="Q154" s="157">
        <f>_xludf.IFNA(G156/_xlfn.XLOOKUP($M156,'00_SKU_Master'!$B$2:$B$378,'00_SKU_Master'!$M$2:$M$378,0)/$M$2,"0")</f>
        <v/>
      </c>
      <c r="R154" s="157">
        <f>_xludf.IFNA(H156/_xlfn.XLOOKUP($M156,'00_SKU_Master'!$B$2:$B$378,'00_SKU_Master'!$M$2:$M$378,0)/$M$2,"0")</f>
        <v/>
      </c>
      <c r="S154" s="157">
        <f>_xludf.IFNA(I156/_xlfn.XLOOKUP($M156,'00_SKU_Master'!$B$2:$B$378,'00_SKU_Master'!$M$2:$M$378,0)/$M$2,"0")</f>
        <v/>
      </c>
      <c r="T154" s="157">
        <f>_xludf.IFNA(J156/_xlfn.XLOOKUP($M156,'00_SKU_Master'!$B$2:$B$378,'00_SKU_Master'!$M$2:$M$378,0)/$M$2,"0")</f>
        <v/>
      </c>
      <c r="U154" s="157">
        <f>SUM(N156:T156)</f>
        <v/>
      </c>
      <c r="V154" s="4" t="n"/>
      <c r="W154" s="4">
        <f>_xlfn.XLOOKUP(M156,'00_SKU_Master'!$B$2:$B$378,'00_SKU_Master'!D:D)</f>
        <v/>
      </c>
      <c r="X154" s="14">
        <f>'05_Daily_Orders'!B155</f>
        <v/>
      </c>
      <c r="Y154" s="588" t="n"/>
      <c r="Z154" s="589" t="n"/>
      <c r="AA154" s="589" t="n"/>
      <c r="AB154" s="589" t="n"/>
      <c r="AC154" s="589" t="n">
        <v>0</v>
      </c>
      <c r="AD154" s="589" t="n">
        <v>0</v>
      </c>
      <c r="AE154" s="589" t="n">
        <v>0</v>
      </c>
      <c r="AF154" s="587">
        <f>SUM(Y156:AE156)</f>
        <v/>
      </c>
      <c r="AQ154" s="23" t="n">
        <v>0</v>
      </c>
      <c r="AR154" s="23" t="n">
        <v>0</v>
      </c>
      <c r="AS154" s="23">
        <f>AR156-AQ156</f>
        <v/>
      </c>
    </row>
    <row r="155">
      <c r="A155" s="148">
        <f>_xlfn.XLOOKUP(C157,'00_SKU_Master'!$B$2:$B$378,'00_SKU_Master'!$C$2:$C$378)</f>
        <v/>
      </c>
      <c r="B155" s="148" t="n"/>
      <c r="C155" s="148">
        <f>X157</f>
        <v/>
      </c>
      <c r="D155" s="586">
        <f>_xludf.IFNA(_xlfn.XLOOKUP(C157,'00_SKU_Master'!$B$2:$B$378,'00_SKU_Master'!$F$2:$F$378,0)*Y157,"")</f>
        <v/>
      </c>
      <c r="E155" s="586">
        <f>_xludf.IFNA(_xlfn.XLOOKUP(C157,'00_SKU_Master'!$B$2:$B$378,'00_SKU_Master'!$F$2:$F$378,0)*Z157,"")</f>
        <v/>
      </c>
      <c r="F155" s="586">
        <f>_xludf.IFNA(_xlfn.XLOOKUP(C157,'00_SKU_Master'!$B$2:$B$378,'00_SKU_Master'!$F$2:$F$378,0)*AA157,"")</f>
        <v/>
      </c>
      <c r="G155" s="586">
        <f>_xludf.IFNA(_xlfn.XLOOKUP(C157,'00_SKU_Master'!$B$2:$B$378,'00_SKU_Master'!$F$2:$F$378,0)*AB157,"")</f>
        <v/>
      </c>
      <c r="H155" s="586">
        <f>_xludf.IFNA(_xlfn.XLOOKUP(C157,'00_SKU_Master'!$B$2:$B$378,'00_SKU_Master'!$F$2:$F$378,0)*AC157,"")</f>
        <v/>
      </c>
      <c r="I155" s="586">
        <f>_xludf.IFNA(_xlfn.XLOOKUP(C157,'00_SKU_Master'!$B$2:$B$378,'00_SKU_Master'!$F$2:$F$378,0)*AD157,"")</f>
        <v/>
      </c>
      <c r="J155" s="586">
        <f>_xludf.IFNA(_xlfn.XLOOKUP(C157,'00_SKU_Master'!$B$2:$B$378,'00_SKU_Master'!$F$2:$F$378,0)*AE157,"")</f>
        <v/>
      </c>
      <c r="K155" s="587">
        <f>SUM(D157:J157)</f>
        <v/>
      </c>
      <c r="L155" s="197">
        <f>_xlfn.XLOOKUP(C157,'00_SKU_Master'!$B$2:$B$378,'00_SKU_Master'!K:K)</f>
        <v/>
      </c>
      <c r="M155" s="14">
        <f>X157</f>
        <v/>
      </c>
      <c r="N155" s="157">
        <f>_xludf.IFNA(D157/_xlfn.XLOOKUP($M157,'00_SKU_Master'!$B$2:$B$378,'00_SKU_Master'!$M$2:$M$378,0)/$M$2,"0")</f>
        <v/>
      </c>
      <c r="O155" s="157">
        <f>_xludf.IFNA(E157/_xlfn.XLOOKUP($M157,'00_SKU_Master'!$B$2:$B$378,'00_SKU_Master'!$M$2:$M$378,0)/$M$2,"0")</f>
        <v/>
      </c>
      <c r="P155" s="157">
        <f>_xludf.IFNA(F157/_xlfn.XLOOKUP($M157,'00_SKU_Master'!$B$2:$B$378,'00_SKU_Master'!$M$2:$M$378,0)/$M$2,"0")</f>
        <v/>
      </c>
      <c r="Q155" s="157">
        <f>_xludf.IFNA(G157/_xlfn.XLOOKUP($M157,'00_SKU_Master'!$B$2:$B$378,'00_SKU_Master'!$M$2:$M$378,0)/$M$2,"0")</f>
        <v/>
      </c>
      <c r="R155" s="157">
        <f>_xludf.IFNA(H157/_xlfn.XLOOKUP($M157,'00_SKU_Master'!$B$2:$B$378,'00_SKU_Master'!$M$2:$M$378,0)/$M$2,"0")</f>
        <v/>
      </c>
      <c r="S155" s="157">
        <f>_xludf.IFNA(I157/_xlfn.XLOOKUP($M157,'00_SKU_Master'!$B$2:$B$378,'00_SKU_Master'!$M$2:$M$378,0)/$M$2,"0")</f>
        <v/>
      </c>
      <c r="T155" s="157">
        <f>_xludf.IFNA(J157/_xlfn.XLOOKUP($M157,'00_SKU_Master'!$B$2:$B$378,'00_SKU_Master'!$M$2:$M$378,0)/$M$2,"0")</f>
        <v/>
      </c>
      <c r="U155" s="157">
        <f>SUM(N157:T157)</f>
        <v/>
      </c>
      <c r="V155" s="4" t="n"/>
      <c r="W155" s="4">
        <f>_xlfn.XLOOKUP(M157,'00_SKU_Master'!$B$2:$B$378,'00_SKU_Master'!D:D)</f>
        <v/>
      </c>
      <c r="X155" s="14">
        <f>'05_Daily_Orders'!B156</f>
        <v/>
      </c>
      <c r="Y155" s="588" t="n"/>
      <c r="Z155" s="589" t="n"/>
      <c r="AA155" s="589" t="n"/>
      <c r="AB155" s="589" t="n"/>
      <c r="AC155" s="589" t="n">
        <v>0</v>
      </c>
      <c r="AD155" s="589" t="n">
        <v>0</v>
      </c>
      <c r="AE155" s="589" t="n">
        <v>0</v>
      </c>
      <c r="AF155" s="587">
        <f>SUM(Y157:AE157)</f>
        <v/>
      </c>
      <c r="AQ155" s="23" t="n">
        <v>0</v>
      </c>
      <c r="AR155" s="23" t="n">
        <v>0</v>
      </c>
      <c r="AS155" s="23">
        <f>AR157-AQ157</f>
        <v/>
      </c>
    </row>
    <row r="156">
      <c r="A156" s="148">
        <f>_xlfn.XLOOKUP(C158,'00_SKU_Master'!$B$2:$B$378,'00_SKU_Master'!$C$2:$C$378)</f>
        <v/>
      </c>
      <c r="B156" s="148" t="n"/>
      <c r="C156" s="148">
        <f>X158</f>
        <v/>
      </c>
      <c r="D156" s="586">
        <f>_xludf.IFNA(_xlfn.XLOOKUP(C158,'00_SKU_Master'!$B$2:$B$378,'00_SKU_Master'!$F$2:$F$378,0)*Y158,"")</f>
        <v/>
      </c>
      <c r="E156" s="586">
        <f>_xludf.IFNA(_xlfn.XLOOKUP(C158,'00_SKU_Master'!$B$2:$B$378,'00_SKU_Master'!$F$2:$F$378,0)*Z158,"")</f>
        <v/>
      </c>
      <c r="F156" s="586">
        <f>_xludf.IFNA(_xlfn.XLOOKUP(C158,'00_SKU_Master'!$B$2:$B$378,'00_SKU_Master'!$F$2:$F$378,0)*AA158,"")</f>
        <v/>
      </c>
      <c r="G156" s="586">
        <f>_xludf.IFNA(_xlfn.XLOOKUP(C158,'00_SKU_Master'!$B$2:$B$378,'00_SKU_Master'!$F$2:$F$378,0)*AB158,"")</f>
        <v/>
      </c>
      <c r="H156" s="586">
        <f>_xludf.IFNA(_xlfn.XLOOKUP(C158,'00_SKU_Master'!$B$2:$B$378,'00_SKU_Master'!$F$2:$F$378,0)*AC158,"")</f>
        <v/>
      </c>
      <c r="I156" s="586">
        <f>_xludf.IFNA(_xlfn.XLOOKUP(C158,'00_SKU_Master'!$B$2:$B$378,'00_SKU_Master'!$F$2:$F$378,0)*AD158,"")</f>
        <v/>
      </c>
      <c r="J156" s="586">
        <f>_xludf.IFNA(_xlfn.XLOOKUP(C158,'00_SKU_Master'!$B$2:$B$378,'00_SKU_Master'!$F$2:$F$378,0)*AE158,"")</f>
        <v/>
      </c>
      <c r="K156" s="587">
        <f>SUM(D158:J158)</f>
        <v/>
      </c>
      <c r="L156" s="197">
        <f>_xlfn.XLOOKUP(C158,'00_SKU_Master'!$B$2:$B$378,'00_SKU_Master'!K:K)</f>
        <v/>
      </c>
      <c r="M156" s="14">
        <f>X158</f>
        <v/>
      </c>
      <c r="N156" s="157">
        <f>_xludf.IFNA(D158/_xlfn.XLOOKUP($M158,'00_SKU_Master'!$B$2:$B$378,'00_SKU_Master'!$M$2:$M$378,0)/$M$2,"0")</f>
        <v/>
      </c>
      <c r="O156" s="157">
        <f>_xludf.IFNA(E158/_xlfn.XLOOKUP($M158,'00_SKU_Master'!$B$2:$B$378,'00_SKU_Master'!$M$2:$M$378,0)/$M$2,"0")</f>
        <v/>
      </c>
      <c r="P156" s="157">
        <f>_xludf.IFNA(F158/_xlfn.XLOOKUP($M158,'00_SKU_Master'!$B$2:$B$378,'00_SKU_Master'!$M$2:$M$378,0)/$M$2,"0")</f>
        <v/>
      </c>
      <c r="Q156" s="157">
        <f>_xludf.IFNA(G158/_xlfn.XLOOKUP($M158,'00_SKU_Master'!$B$2:$B$378,'00_SKU_Master'!$M$2:$M$378,0)/$M$2,"0")</f>
        <v/>
      </c>
      <c r="R156" s="157">
        <f>_xludf.IFNA(H158/_xlfn.XLOOKUP($M158,'00_SKU_Master'!$B$2:$B$378,'00_SKU_Master'!$M$2:$M$378,0)/$M$2,"0")</f>
        <v/>
      </c>
      <c r="S156" s="157">
        <f>_xludf.IFNA(I158/_xlfn.XLOOKUP($M158,'00_SKU_Master'!$B$2:$B$378,'00_SKU_Master'!$M$2:$M$378,0)/$M$2,"0")</f>
        <v/>
      </c>
      <c r="T156" s="157">
        <f>_xludf.IFNA(J158/_xlfn.XLOOKUP($M158,'00_SKU_Master'!$B$2:$B$378,'00_SKU_Master'!$M$2:$M$378,0)/$M$2,"0")</f>
        <v/>
      </c>
      <c r="U156" s="157">
        <f>SUM(N158:T158)</f>
        <v/>
      </c>
      <c r="V156" s="4" t="n"/>
      <c r="W156" s="4">
        <f>_xlfn.XLOOKUP(M158,'00_SKU_Master'!$B$2:$B$378,'00_SKU_Master'!D:D)</f>
        <v/>
      </c>
      <c r="X156" s="14">
        <f>'05_Daily_Orders'!B157</f>
        <v/>
      </c>
      <c r="Y156" s="588" t="n"/>
      <c r="Z156" s="589" t="n"/>
      <c r="AA156" s="589" t="n"/>
      <c r="AB156" s="589" t="n"/>
      <c r="AC156" s="589" t="n">
        <v>0</v>
      </c>
      <c r="AD156" s="589" t="n">
        <v>0</v>
      </c>
      <c r="AE156" s="589" t="n">
        <v>0</v>
      </c>
      <c r="AF156" s="587">
        <f>SUM(Y158:AE158)</f>
        <v/>
      </c>
      <c r="AQ156" s="23" t="n">
        <v>0</v>
      </c>
      <c r="AR156" s="23" t="n">
        <v>0</v>
      </c>
      <c r="AS156" s="23">
        <f>AR158-AQ158</f>
        <v/>
      </c>
    </row>
    <row r="157">
      <c r="A157" s="148">
        <f>_xlfn.XLOOKUP(C159,'00_SKU_Master'!$B$2:$B$378,'00_SKU_Master'!$C$2:$C$378)</f>
        <v/>
      </c>
      <c r="B157" s="148" t="n"/>
      <c r="C157" s="148">
        <f>X159</f>
        <v/>
      </c>
      <c r="D157" s="586">
        <f>_xludf.IFNA(_xlfn.XLOOKUP(C159,'00_SKU_Master'!$B$2:$B$378,'00_SKU_Master'!$F$2:$F$378,0)*Y159,"")</f>
        <v/>
      </c>
      <c r="E157" s="586">
        <f>_xludf.IFNA(_xlfn.XLOOKUP(C159,'00_SKU_Master'!$B$2:$B$378,'00_SKU_Master'!$F$2:$F$378,0)*Z159,"")</f>
        <v/>
      </c>
      <c r="F157" s="586">
        <f>_xludf.IFNA(_xlfn.XLOOKUP(C159,'00_SKU_Master'!$B$2:$B$378,'00_SKU_Master'!$F$2:$F$378,0)*AA159,"")</f>
        <v/>
      </c>
      <c r="G157" s="586">
        <f>_xludf.IFNA(_xlfn.XLOOKUP(C159,'00_SKU_Master'!$B$2:$B$378,'00_SKU_Master'!$F$2:$F$378,0)*AB159,"")</f>
        <v/>
      </c>
      <c r="H157" s="586">
        <f>_xludf.IFNA(_xlfn.XLOOKUP(C159,'00_SKU_Master'!$B$2:$B$378,'00_SKU_Master'!$F$2:$F$378,0)*AC159,"")</f>
        <v/>
      </c>
      <c r="I157" s="586">
        <f>_xludf.IFNA(_xlfn.XLOOKUP(C159,'00_SKU_Master'!$B$2:$B$378,'00_SKU_Master'!$F$2:$F$378,0)*AD159,"")</f>
        <v/>
      </c>
      <c r="J157" s="586">
        <f>_xludf.IFNA(_xlfn.XLOOKUP(C159,'00_SKU_Master'!$B$2:$B$378,'00_SKU_Master'!$F$2:$F$378,0)*AE159,"")</f>
        <v/>
      </c>
      <c r="K157" s="587">
        <f>SUM(D159:J159)</f>
        <v/>
      </c>
      <c r="L157" s="197">
        <f>_xlfn.XLOOKUP(C159,'00_SKU_Master'!$B$2:$B$378,'00_SKU_Master'!K:K)</f>
        <v/>
      </c>
      <c r="M157" s="14">
        <f>X159</f>
        <v/>
      </c>
      <c r="N157" s="157">
        <f>_xludf.IFNA(D159/_xlfn.XLOOKUP($M159,'00_SKU_Master'!$B$2:$B$378,'00_SKU_Master'!$M$2:$M$378,0)/$M$2,"0")</f>
        <v/>
      </c>
      <c r="O157" s="157">
        <f>_xludf.IFNA(E159/_xlfn.XLOOKUP($M159,'00_SKU_Master'!$B$2:$B$378,'00_SKU_Master'!$M$2:$M$378,0)/$M$2,"0")</f>
        <v/>
      </c>
      <c r="P157" s="157">
        <f>_xludf.IFNA(F159/_xlfn.XLOOKUP($M159,'00_SKU_Master'!$B$2:$B$378,'00_SKU_Master'!$M$2:$M$378,0)/$M$2,"0")</f>
        <v/>
      </c>
      <c r="Q157" s="157">
        <f>_xludf.IFNA(G159/_xlfn.XLOOKUP($M159,'00_SKU_Master'!$B$2:$B$378,'00_SKU_Master'!$M$2:$M$378,0)/$M$2,"0")</f>
        <v/>
      </c>
      <c r="R157" s="157">
        <f>_xludf.IFNA(H159/_xlfn.XLOOKUP($M159,'00_SKU_Master'!$B$2:$B$378,'00_SKU_Master'!$M$2:$M$378,0)/$M$2,"0")</f>
        <v/>
      </c>
      <c r="S157" s="157">
        <f>_xludf.IFNA(I159/_xlfn.XLOOKUP($M159,'00_SKU_Master'!$B$2:$B$378,'00_SKU_Master'!$M$2:$M$378,0)/$M$2,"0")</f>
        <v/>
      </c>
      <c r="T157" s="157">
        <f>_xludf.IFNA(J159/_xlfn.XLOOKUP($M159,'00_SKU_Master'!$B$2:$B$378,'00_SKU_Master'!$M$2:$M$378,0)/$M$2,"0")</f>
        <v/>
      </c>
      <c r="U157" s="157">
        <f>SUM(N159:T159)</f>
        <v/>
      </c>
      <c r="V157" s="4" t="n"/>
      <c r="W157" s="4">
        <f>_xlfn.XLOOKUP(M159,'00_SKU_Master'!$B$2:$B$378,'00_SKU_Master'!D:D)</f>
        <v/>
      </c>
      <c r="X157" s="14">
        <f>'05_Daily_Orders'!B158</f>
        <v/>
      </c>
      <c r="Y157" s="588" t="n"/>
      <c r="Z157" s="589" t="n"/>
      <c r="AA157" s="589" t="n"/>
      <c r="AB157" s="589" t="n"/>
      <c r="AC157" s="589" t="n">
        <v>0</v>
      </c>
      <c r="AD157" s="589" t="n">
        <v>0</v>
      </c>
      <c r="AE157" s="589" t="n">
        <v>0</v>
      </c>
      <c r="AF157" s="587">
        <f>SUM(Y159:AE159)</f>
        <v/>
      </c>
      <c r="AQ157" s="23" t="n">
        <v>0</v>
      </c>
      <c r="AR157" s="23" t="n">
        <v>0</v>
      </c>
      <c r="AS157" s="23">
        <f>AR159-AQ159</f>
        <v/>
      </c>
    </row>
    <row r="158">
      <c r="A158" s="148">
        <f>_xlfn.XLOOKUP(C160,'00_SKU_Master'!$B$2:$B$378,'00_SKU_Master'!$C$2:$C$378)</f>
        <v/>
      </c>
      <c r="B158" s="148" t="n"/>
      <c r="C158" s="148">
        <f>X160</f>
        <v/>
      </c>
      <c r="D158" s="586">
        <f>_xludf.IFNA(_xlfn.XLOOKUP(C160,'00_SKU_Master'!$B$2:$B$378,'00_SKU_Master'!$F$2:$F$378,0)*Y160,"")</f>
        <v/>
      </c>
      <c r="E158" s="586">
        <f>_xludf.IFNA(_xlfn.XLOOKUP(C160,'00_SKU_Master'!$B$2:$B$378,'00_SKU_Master'!$F$2:$F$378,0)*Z160,"")</f>
        <v/>
      </c>
      <c r="F158" s="586">
        <f>_xludf.IFNA(_xlfn.XLOOKUP(C160,'00_SKU_Master'!$B$2:$B$378,'00_SKU_Master'!$F$2:$F$378,0)*AA160,"")</f>
        <v/>
      </c>
      <c r="G158" s="586">
        <f>_xludf.IFNA(_xlfn.XLOOKUP(C160,'00_SKU_Master'!$B$2:$B$378,'00_SKU_Master'!$F$2:$F$378,0)*AB160,"")</f>
        <v/>
      </c>
      <c r="H158" s="586">
        <f>_xludf.IFNA(_xlfn.XLOOKUP(C160,'00_SKU_Master'!$B$2:$B$378,'00_SKU_Master'!$F$2:$F$378,0)*AC160,"")</f>
        <v/>
      </c>
      <c r="I158" s="586">
        <f>_xludf.IFNA(_xlfn.XLOOKUP(C160,'00_SKU_Master'!$B$2:$B$378,'00_SKU_Master'!$F$2:$F$378,0)*AD160,"")</f>
        <v/>
      </c>
      <c r="J158" s="586">
        <f>_xludf.IFNA(_xlfn.XLOOKUP(C160,'00_SKU_Master'!$B$2:$B$378,'00_SKU_Master'!$F$2:$F$378,0)*AE160,"")</f>
        <v/>
      </c>
      <c r="K158" s="587">
        <f>SUM(D160:J160)</f>
        <v/>
      </c>
      <c r="L158" s="197">
        <f>_xlfn.XLOOKUP(C160,'00_SKU_Master'!$B$2:$B$378,'00_SKU_Master'!K:K)</f>
        <v/>
      </c>
      <c r="M158" s="14">
        <f>X160</f>
        <v/>
      </c>
      <c r="N158" s="157">
        <f>_xludf.IFNA(D160/_xlfn.XLOOKUP($M160,'00_SKU_Master'!$B$2:$B$378,'00_SKU_Master'!$M$2:$M$378,0)/$M$2,"0")</f>
        <v/>
      </c>
      <c r="O158" s="157">
        <f>_xludf.IFNA(E160/_xlfn.XLOOKUP($M160,'00_SKU_Master'!$B$2:$B$378,'00_SKU_Master'!$M$2:$M$378,0)/$M$2,"0")</f>
        <v/>
      </c>
      <c r="P158" s="157">
        <f>_xludf.IFNA(F160/_xlfn.XLOOKUP($M160,'00_SKU_Master'!$B$2:$B$378,'00_SKU_Master'!$M$2:$M$378,0)/$M$2,"0")</f>
        <v/>
      </c>
      <c r="Q158" s="157">
        <f>_xludf.IFNA(G160/_xlfn.XLOOKUP($M160,'00_SKU_Master'!$B$2:$B$378,'00_SKU_Master'!$M$2:$M$378,0)/$M$2,"0")</f>
        <v/>
      </c>
      <c r="R158" s="157">
        <f>_xludf.IFNA(H160/_xlfn.XLOOKUP($M160,'00_SKU_Master'!$B$2:$B$378,'00_SKU_Master'!$M$2:$M$378,0)/$M$2,"0")</f>
        <v/>
      </c>
      <c r="S158" s="157">
        <f>_xludf.IFNA(I160/_xlfn.XLOOKUP($M160,'00_SKU_Master'!$B$2:$B$378,'00_SKU_Master'!$M$2:$M$378,0)/$M$2,"0")</f>
        <v/>
      </c>
      <c r="T158" s="157">
        <f>_xludf.IFNA(J160/_xlfn.XLOOKUP($M160,'00_SKU_Master'!$B$2:$B$378,'00_SKU_Master'!$M$2:$M$378,0)/$M$2,"0")</f>
        <v/>
      </c>
      <c r="U158" s="157">
        <f>SUM(N160:T160)</f>
        <v/>
      </c>
      <c r="V158" s="4" t="n"/>
      <c r="W158" s="4">
        <f>_xlfn.XLOOKUP(M160,'00_SKU_Master'!$B$2:$B$378,'00_SKU_Master'!D:D)</f>
        <v/>
      </c>
      <c r="X158" s="14">
        <f>'05_Daily_Orders'!B159</f>
        <v/>
      </c>
      <c r="Y158" s="588" t="n"/>
      <c r="Z158" s="589" t="n"/>
      <c r="AA158" s="589" t="n"/>
      <c r="AB158" s="589" t="n"/>
      <c r="AC158" s="589" t="n">
        <v>0</v>
      </c>
      <c r="AD158" s="589" t="n">
        <v>0</v>
      </c>
      <c r="AE158" s="589" t="n">
        <v>0</v>
      </c>
      <c r="AF158" s="587">
        <f>SUM(Y160:AE160)</f>
        <v/>
      </c>
      <c r="AQ158" s="23" t="n">
        <v>0</v>
      </c>
      <c r="AR158" s="23" t="n">
        <v>0</v>
      </c>
      <c r="AS158" s="23">
        <f>AR160-AQ160</f>
        <v/>
      </c>
    </row>
    <row r="159">
      <c r="A159" s="148">
        <f>_xlfn.XLOOKUP(C161,'00_SKU_Master'!$B$2:$B$378,'00_SKU_Master'!$C$2:$C$378)</f>
        <v/>
      </c>
      <c r="B159" s="148" t="n"/>
      <c r="C159" s="148">
        <f>X161</f>
        <v/>
      </c>
      <c r="D159" s="586">
        <f>_xludf.IFNA(_xlfn.XLOOKUP(C161,'00_SKU_Master'!$B$2:$B$378,'00_SKU_Master'!$F$2:$F$378,0)*Y161,"")</f>
        <v/>
      </c>
      <c r="E159" s="586">
        <f>_xludf.IFNA(_xlfn.XLOOKUP(C161,'00_SKU_Master'!$B$2:$B$378,'00_SKU_Master'!$F$2:$F$378,0)*Z161,"")</f>
        <v/>
      </c>
      <c r="F159" s="586">
        <f>_xludf.IFNA(_xlfn.XLOOKUP(C161,'00_SKU_Master'!$B$2:$B$378,'00_SKU_Master'!$F$2:$F$378,0)*AA161,"")</f>
        <v/>
      </c>
      <c r="G159" s="586">
        <f>_xludf.IFNA(_xlfn.XLOOKUP(C161,'00_SKU_Master'!$B$2:$B$378,'00_SKU_Master'!$F$2:$F$378,0)*AB161,"")</f>
        <v/>
      </c>
      <c r="H159" s="586">
        <f>_xludf.IFNA(_xlfn.XLOOKUP(C161,'00_SKU_Master'!$B$2:$B$378,'00_SKU_Master'!$F$2:$F$378,0)*AC161,"")</f>
        <v/>
      </c>
      <c r="I159" s="586">
        <f>_xludf.IFNA(_xlfn.XLOOKUP(C161,'00_SKU_Master'!$B$2:$B$378,'00_SKU_Master'!$F$2:$F$378,0)*AD161,"")</f>
        <v/>
      </c>
      <c r="J159" s="586">
        <f>_xludf.IFNA(_xlfn.XLOOKUP(C161,'00_SKU_Master'!$B$2:$B$378,'00_SKU_Master'!$F$2:$F$378,0)*AE161,"")</f>
        <v/>
      </c>
      <c r="K159" s="587">
        <f>SUM(D161:J161)</f>
        <v/>
      </c>
      <c r="L159" s="197">
        <f>_xlfn.XLOOKUP(C161,'00_SKU_Master'!$B$2:$B$378,'00_SKU_Master'!K:K)</f>
        <v/>
      </c>
      <c r="M159" s="14">
        <f>X161</f>
        <v/>
      </c>
      <c r="N159" s="157">
        <f>_xludf.IFNA(D161/_xlfn.XLOOKUP($M161,'00_SKU_Master'!$B$2:$B$378,'00_SKU_Master'!$M$2:$M$378,0)/$M$2,"0")</f>
        <v/>
      </c>
      <c r="O159" s="157">
        <f>_xludf.IFNA(E161/_xlfn.XLOOKUP($M161,'00_SKU_Master'!$B$2:$B$378,'00_SKU_Master'!$M$2:$M$378,0)/$M$2,"0")</f>
        <v/>
      </c>
      <c r="P159" s="157">
        <f>_xludf.IFNA(F161/_xlfn.XLOOKUP($M161,'00_SKU_Master'!$B$2:$B$378,'00_SKU_Master'!$M$2:$M$378,0)/$M$2,"0")</f>
        <v/>
      </c>
      <c r="Q159" s="157">
        <f>_xludf.IFNA(G161/_xlfn.XLOOKUP($M161,'00_SKU_Master'!$B$2:$B$378,'00_SKU_Master'!$M$2:$M$378,0)/$M$2,"0")</f>
        <v/>
      </c>
      <c r="R159" s="157">
        <f>_xludf.IFNA(H161/_xlfn.XLOOKUP($M161,'00_SKU_Master'!$B$2:$B$378,'00_SKU_Master'!$M$2:$M$378,0)/$M$2,"0")</f>
        <v/>
      </c>
      <c r="S159" s="157">
        <f>_xludf.IFNA(I161/_xlfn.XLOOKUP($M161,'00_SKU_Master'!$B$2:$B$378,'00_SKU_Master'!$M$2:$M$378,0)/$M$2,"0")</f>
        <v/>
      </c>
      <c r="T159" s="157">
        <f>_xludf.IFNA(J161/_xlfn.XLOOKUP($M161,'00_SKU_Master'!$B$2:$B$378,'00_SKU_Master'!$M$2:$M$378,0)/$M$2,"0")</f>
        <v/>
      </c>
      <c r="U159" s="157">
        <f>SUM(N161:T161)</f>
        <v/>
      </c>
      <c r="V159" s="4" t="n"/>
      <c r="W159" s="4">
        <f>_xlfn.XLOOKUP(M161,'00_SKU_Master'!$B$2:$B$378,'00_SKU_Master'!D:D)</f>
        <v/>
      </c>
      <c r="X159" s="14">
        <f>'05_Daily_Orders'!B160</f>
        <v/>
      </c>
      <c r="Y159" s="588" t="n"/>
      <c r="Z159" s="589" t="n"/>
      <c r="AA159" s="589" t="n"/>
      <c r="AB159" s="589" t="n"/>
      <c r="AC159" s="589" t="n">
        <v>0</v>
      </c>
      <c r="AD159" s="589" t="n">
        <v>0</v>
      </c>
      <c r="AE159" s="589" t="n">
        <v>0</v>
      </c>
      <c r="AF159" s="587">
        <f>SUM(Y161:AE161)</f>
        <v/>
      </c>
      <c r="AQ159" s="23" t="n">
        <v>0</v>
      </c>
      <c r="AR159" s="23" t="n">
        <v>0</v>
      </c>
      <c r="AS159" s="23">
        <f>AR161-AQ161</f>
        <v/>
      </c>
    </row>
    <row r="160">
      <c r="A160" s="148">
        <f>_xlfn.XLOOKUP(C162,'00_SKU_Master'!$B$2:$B$378,'00_SKU_Master'!$C$2:$C$378)</f>
        <v/>
      </c>
      <c r="B160" s="148" t="n"/>
      <c r="C160" s="148">
        <f>X162</f>
        <v/>
      </c>
      <c r="D160" s="586">
        <f>_xludf.IFNA(_xlfn.XLOOKUP(C162,'00_SKU_Master'!$B$2:$B$378,'00_SKU_Master'!$F$2:$F$378,0)*Y162,"")</f>
        <v/>
      </c>
      <c r="E160" s="586">
        <f>_xludf.IFNA(_xlfn.XLOOKUP(C162,'00_SKU_Master'!$B$2:$B$378,'00_SKU_Master'!$F$2:$F$378,0)*Z162,"")</f>
        <v/>
      </c>
      <c r="F160" s="586">
        <f>_xludf.IFNA(_xlfn.XLOOKUP(C162,'00_SKU_Master'!$B$2:$B$378,'00_SKU_Master'!$F$2:$F$378,0)*AA162,"")</f>
        <v/>
      </c>
      <c r="G160" s="586">
        <f>_xludf.IFNA(_xlfn.XLOOKUP(C162,'00_SKU_Master'!$B$2:$B$378,'00_SKU_Master'!$F$2:$F$378,0)*AB162,"")</f>
        <v/>
      </c>
      <c r="H160" s="586">
        <f>_xludf.IFNA(_xlfn.XLOOKUP(C162,'00_SKU_Master'!$B$2:$B$378,'00_SKU_Master'!$F$2:$F$378,0)*AC162,"")</f>
        <v/>
      </c>
      <c r="I160" s="586">
        <f>_xludf.IFNA(_xlfn.XLOOKUP(C162,'00_SKU_Master'!$B$2:$B$378,'00_SKU_Master'!$F$2:$F$378,0)*AD162,"")</f>
        <v/>
      </c>
      <c r="J160" s="586">
        <f>_xludf.IFNA(_xlfn.XLOOKUP(C162,'00_SKU_Master'!$B$2:$B$378,'00_SKU_Master'!$F$2:$F$378,0)*AE162,"")</f>
        <v/>
      </c>
      <c r="K160" s="587">
        <f>SUM(D162:J162)</f>
        <v/>
      </c>
      <c r="L160" s="197">
        <f>_xlfn.XLOOKUP(C162,'00_SKU_Master'!$B$2:$B$378,'00_SKU_Master'!K:K)</f>
        <v/>
      </c>
      <c r="M160" s="14">
        <f>X162</f>
        <v/>
      </c>
      <c r="N160" s="157">
        <f>_xludf.IFNA(D162/_xlfn.XLOOKUP($M162,'00_SKU_Master'!$B$2:$B$378,'00_SKU_Master'!$M$2:$M$378,0)/$M$2,"0")</f>
        <v/>
      </c>
      <c r="O160" s="157">
        <f>_xludf.IFNA(E162/_xlfn.XLOOKUP($M162,'00_SKU_Master'!$B$2:$B$378,'00_SKU_Master'!$M$2:$M$378,0)/$M$2,"0")</f>
        <v/>
      </c>
      <c r="P160" s="157">
        <f>_xludf.IFNA(F162/_xlfn.XLOOKUP($M162,'00_SKU_Master'!$B$2:$B$378,'00_SKU_Master'!$M$2:$M$378,0)/$M$2,"0")</f>
        <v/>
      </c>
      <c r="Q160" s="157">
        <f>_xludf.IFNA(G162/_xlfn.XLOOKUP($M162,'00_SKU_Master'!$B$2:$B$378,'00_SKU_Master'!$M$2:$M$378,0)/$M$2,"0")</f>
        <v/>
      </c>
      <c r="R160" s="157">
        <f>_xludf.IFNA(H162/_xlfn.XLOOKUP($M162,'00_SKU_Master'!$B$2:$B$378,'00_SKU_Master'!$M$2:$M$378,0)/$M$2,"0")</f>
        <v/>
      </c>
      <c r="S160" s="157">
        <f>_xludf.IFNA(I162/_xlfn.XLOOKUP($M162,'00_SKU_Master'!$B$2:$B$378,'00_SKU_Master'!$M$2:$M$378,0)/$M$2,"0")</f>
        <v/>
      </c>
      <c r="T160" s="157">
        <f>_xludf.IFNA(J162/_xlfn.XLOOKUP($M162,'00_SKU_Master'!$B$2:$B$378,'00_SKU_Master'!$M$2:$M$378,0)/$M$2,"0")</f>
        <v/>
      </c>
      <c r="U160" s="157">
        <f>SUM(N162:T162)</f>
        <v/>
      </c>
      <c r="V160" s="4" t="n"/>
      <c r="W160" s="4">
        <f>_xlfn.XLOOKUP(M162,'00_SKU_Master'!$B$2:$B$378,'00_SKU_Master'!D:D)</f>
        <v/>
      </c>
      <c r="X160" s="14">
        <f>'05_Daily_Orders'!B161</f>
        <v/>
      </c>
      <c r="Y160" s="588" t="n"/>
      <c r="Z160" s="589" t="n"/>
      <c r="AA160" s="589" t="n"/>
      <c r="AB160" s="589" t="n"/>
      <c r="AC160" s="589" t="n">
        <v>0</v>
      </c>
      <c r="AD160" s="589" t="n">
        <v>0</v>
      </c>
      <c r="AE160" s="589" t="n">
        <v>0</v>
      </c>
      <c r="AF160" s="587">
        <f>SUM(Y162:AE162)</f>
        <v/>
      </c>
      <c r="AQ160" s="23" t="n">
        <v>0</v>
      </c>
      <c r="AR160" s="23" t="n">
        <v>0</v>
      </c>
      <c r="AS160" s="23">
        <f>AR162-AQ162</f>
        <v/>
      </c>
    </row>
    <row r="161">
      <c r="A161" s="148">
        <f>_xlfn.XLOOKUP(C163,'00_SKU_Master'!$B$2:$B$378,'00_SKU_Master'!$C$2:$C$378)</f>
        <v/>
      </c>
      <c r="B161" s="148" t="n"/>
      <c r="C161" s="148">
        <f>X163</f>
        <v/>
      </c>
      <c r="D161" s="586">
        <f>_xludf.IFNA(_xlfn.XLOOKUP(C163,'00_SKU_Master'!$B$2:$B$378,'00_SKU_Master'!$F$2:$F$378,0)*Y163,"")</f>
        <v/>
      </c>
      <c r="E161" s="586">
        <f>_xludf.IFNA(_xlfn.XLOOKUP(C163,'00_SKU_Master'!$B$2:$B$378,'00_SKU_Master'!$F$2:$F$378,0)*Z163,"")</f>
        <v/>
      </c>
      <c r="F161" s="586">
        <f>_xludf.IFNA(_xlfn.XLOOKUP(C163,'00_SKU_Master'!$B$2:$B$378,'00_SKU_Master'!$F$2:$F$378,0)*AA163,"")</f>
        <v/>
      </c>
      <c r="G161" s="586">
        <f>_xludf.IFNA(_xlfn.XLOOKUP(C163,'00_SKU_Master'!$B$2:$B$378,'00_SKU_Master'!$F$2:$F$378,0)*AB163,"")</f>
        <v/>
      </c>
      <c r="H161" s="586">
        <f>_xludf.IFNA(_xlfn.XLOOKUP(C163,'00_SKU_Master'!$B$2:$B$378,'00_SKU_Master'!$F$2:$F$378,0)*AC163,"")</f>
        <v/>
      </c>
      <c r="I161" s="586">
        <f>_xludf.IFNA(_xlfn.XLOOKUP(C163,'00_SKU_Master'!$B$2:$B$378,'00_SKU_Master'!$F$2:$F$378,0)*AD163,"")</f>
        <v/>
      </c>
      <c r="J161" s="586">
        <f>_xludf.IFNA(_xlfn.XLOOKUP(C163,'00_SKU_Master'!$B$2:$B$378,'00_SKU_Master'!$F$2:$F$378,0)*AE163,"")</f>
        <v/>
      </c>
      <c r="K161" s="587">
        <f>SUM(D163:J163)</f>
        <v/>
      </c>
      <c r="L161" s="197">
        <f>_xlfn.XLOOKUP(C163,'00_SKU_Master'!$B$2:$B$378,'00_SKU_Master'!K:K)</f>
        <v/>
      </c>
      <c r="M161" s="14">
        <f>X163</f>
        <v/>
      </c>
      <c r="N161" s="157">
        <f>_xludf.IFNA(D163/_xlfn.XLOOKUP($M163,'00_SKU_Master'!$B$2:$B$378,'00_SKU_Master'!$M$2:$M$378,0)/$M$2,"0")</f>
        <v/>
      </c>
      <c r="O161" s="157">
        <f>_xludf.IFNA(E163/_xlfn.XLOOKUP($M163,'00_SKU_Master'!$B$2:$B$378,'00_SKU_Master'!$M$2:$M$378,0)/$M$2,"0")</f>
        <v/>
      </c>
      <c r="P161" s="157">
        <f>_xludf.IFNA(F163/_xlfn.XLOOKUP($M163,'00_SKU_Master'!$B$2:$B$378,'00_SKU_Master'!$M$2:$M$378,0)/$M$2,"0")</f>
        <v/>
      </c>
      <c r="Q161" s="157">
        <f>_xludf.IFNA(G163/_xlfn.XLOOKUP($M163,'00_SKU_Master'!$B$2:$B$378,'00_SKU_Master'!$M$2:$M$378,0)/$M$2,"0")</f>
        <v/>
      </c>
      <c r="R161" s="157">
        <f>_xludf.IFNA(H163/_xlfn.XLOOKUP($M163,'00_SKU_Master'!$B$2:$B$378,'00_SKU_Master'!$M$2:$M$378,0)/$M$2,"0")</f>
        <v/>
      </c>
      <c r="S161" s="157">
        <f>_xludf.IFNA(I163/_xlfn.XLOOKUP($M163,'00_SKU_Master'!$B$2:$B$378,'00_SKU_Master'!$M$2:$M$378,0)/$M$2,"0")</f>
        <v/>
      </c>
      <c r="T161" s="157">
        <f>_xludf.IFNA(J163/_xlfn.XLOOKUP($M163,'00_SKU_Master'!$B$2:$B$378,'00_SKU_Master'!$M$2:$M$378,0)/$M$2,"0")</f>
        <v/>
      </c>
      <c r="U161" s="157">
        <f>SUM(N163:T163)</f>
        <v/>
      </c>
      <c r="V161" s="4" t="n"/>
      <c r="W161" s="4">
        <f>_xlfn.XLOOKUP(M163,'00_SKU_Master'!$B$2:$B$378,'00_SKU_Master'!D:D)</f>
        <v/>
      </c>
      <c r="X161" s="14">
        <f>'05_Daily_Orders'!B162</f>
        <v/>
      </c>
      <c r="Y161" s="588" t="n"/>
      <c r="Z161" s="589" t="n"/>
      <c r="AA161" s="589" t="n"/>
      <c r="AB161" s="589" t="n"/>
      <c r="AC161" s="589" t="n">
        <v>0</v>
      </c>
      <c r="AD161" s="589" t="n">
        <v>0</v>
      </c>
      <c r="AE161" s="589" t="n">
        <v>0</v>
      </c>
      <c r="AF161" s="587">
        <f>SUM(Y163:AE163)</f>
        <v/>
      </c>
      <c r="AQ161" s="23" t="n">
        <v>0</v>
      </c>
      <c r="AR161" s="23" t="n">
        <v>0</v>
      </c>
      <c r="AS161" s="23">
        <f>AR163-AQ163</f>
        <v/>
      </c>
    </row>
    <row r="162">
      <c r="A162" s="148">
        <f>_xlfn.XLOOKUP(C164,'00_SKU_Master'!$B$2:$B$378,'00_SKU_Master'!$C$2:$C$378)</f>
        <v/>
      </c>
      <c r="B162" s="148" t="n"/>
      <c r="C162" s="148">
        <f>X164</f>
        <v/>
      </c>
      <c r="D162" s="586">
        <f>_xludf.IFNA(_xlfn.XLOOKUP(C164,'00_SKU_Master'!$B$2:$B$378,'00_SKU_Master'!$F$2:$F$378,0)*Y164,"")</f>
        <v/>
      </c>
      <c r="E162" s="586">
        <f>_xludf.IFNA(_xlfn.XLOOKUP(C164,'00_SKU_Master'!$B$2:$B$378,'00_SKU_Master'!$F$2:$F$378,0)*Z164,"")</f>
        <v/>
      </c>
      <c r="F162" s="586">
        <f>_xludf.IFNA(_xlfn.XLOOKUP(C164,'00_SKU_Master'!$B$2:$B$378,'00_SKU_Master'!$F$2:$F$378,0)*AA164,"")</f>
        <v/>
      </c>
      <c r="G162" s="586">
        <f>_xludf.IFNA(_xlfn.XLOOKUP(C164,'00_SKU_Master'!$B$2:$B$378,'00_SKU_Master'!$F$2:$F$378,0)*AB164,"")</f>
        <v/>
      </c>
      <c r="H162" s="586">
        <f>_xludf.IFNA(_xlfn.XLOOKUP(C164,'00_SKU_Master'!$B$2:$B$378,'00_SKU_Master'!$F$2:$F$378,0)*AC164,"")</f>
        <v/>
      </c>
      <c r="I162" s="586">
        <f>_xludf.IFNA(_xlfn.XLOOKUP(C164,'00_SKU_Master'!$B$2:$B$378,'00_SKU_Master'!$F$2:$F$378,0)*AD164,"")</f>
        <v/>
      </c>
      <c r="J162" s="586">
        <f>_xludf.IFNA(_xlfn.XLOOKUP(C164,'00_SKU_Master'!$B$2:$B$378,'00_SKU_Master'!$F$2:$F$378,0)*AE164,"")</f>
        <v/>
      </c>
      <c r="K162" s="587">
        <f>SUM(D164:J164)</f>
        <v/>
      </c>
      <c r="L162" s="197">
        <f>_xlfn.XLOOKUP(C164,'00_SKU_Master'!$B$2:$B$378,'00_SKU_Master'!K:K)</f>
        <v/>
      </c>
      <c r="M162" s="14">
        <f>X164</f>
        <v/>
      </c>
      <c r="N162" s="157">
        <f>_xludf.IFNA(D164/_xlfn.XLOOKUP($M164,'00_SKU_Master'!$B$2:$B$378,'00_SKU_Master'!$M$2:$M$378,0)/$M$2,"0")</f>
        <v/>
      </c>
      <c r="O162" s="157">
        <f>_xludf.IFNA(E164/_xlfn.XLOOKUP($M164,'00_SKU_Master'!$B$2:$B$378,'00_SKU_Master'!$M$2:$M$378,0)/$M$2,"0")</f>
        <v/>
      </c>
      <c r="P162" s="157">
        <f>_xludf.IFNA(F164/_xlfn.XLOOKUP($M164,'00_SKU_Master'!$B$2:$B$378,'00_SKU_Master'!$M$2:$M$378,0)/$M$2,"0")</f>
        <v/>
      </c>
      <c r="Q162" s="157">
        <f>_xludf.IFNA(G164/_xlfn.XLOOKUP($M164,'00_SKU_Master'!$B$2:$B$378,'00_SKU_Master'!$M$2:$M$378,0)/$M$2,"0")</f>
        <v/>
      </c>
      <c r="R162" s="157">
        <f>_xludf.IFNA(H164/_xlfn.XLOOKUP($M164,'00_SKU_Master'!$B$2:$B$378,'00_SKU_Master'!$M$2:$M$378,0)/$M$2,"0")</f>
        <v/>
      </c>
      <c r="S162" s="157">
        <f>_xludf.IFNA(I164/_xlfn.XLOOKUP($M164,'00_SKU_Master'!$B$2:$B$378,'00_SKU_Master'!$M$2:$M$378,0)/$M$2,"0")</f>
        <v/>
      </c>
      <c r="T162" s="157">
        <f>_xludf.IFNA(J164/_xlfn.XLOOKUP($M164,'00_SKU_Master'!$B$2:$B$378,'00_SKU_Master'!$M$2:$M$378,0)/$M$2,"0")</f>
        <v/>
      </c>
      <c r="U162" s="157">
        <f>SUM(N164:T164)</f>
        <v/>
      </c>
      <c r="V162" s="4" t="n"/>
      <c r="W162" s="4">
        <f>_xlfn.XLOOKUP(M164,'00_SKU_Master'!$B$2:$B$378,'00_SKU_Master'!D:D)</f>
        <v/>
      </c>
      <c r="X162" s="14">
        <f>'05_Daily_Orders'!B163</f>
        <v/>
      </c>
      <c r="Y162" s="588" t="n"/>
      <c r="Z162" s="589" t="n"/>
      <c r="AA162" s="589" t="n"/>
      <c r="AB162" s="589" t="n"/>
      <c r="AC162" s="589" t="n">
        <v>0</v>
      </c>
      <c r="AD162" s="589" t="n">
        <v>0</v>
      </c>
      <c r="AE162" s="589" t="n">
        <v>0</v>
      </c>
      <c r="AF162" s="587">
        <f>SUM(Y164:AE164)</f>
        <v/>
      </c>
      <c r="AQ162" s="23" t="n">
        <v>0</v>
      </c>
      <c r="AR162" s="23" t="n">
        <v>0</v>
      </c>
      <c r="AS162" s="23">
        <f>AR164-AQ164</f>
        <v/>
      </c>
    </row>
    <row r="163">
      <c r="A163" s="148">
        <f>_xlfn.XLOOKUP(C165,'00_SKU_Master'!$B$2:$B$378,'00_SKU_Master'!$C$2:$C$378)</f>
        <v/>
      </c>
      <c r="B163" s="148" t="n"/>
      <c r="C163" s="148">
        <f>X165</f>
        <v/>
      </c>
      <c r="D163" s="586">
        <f>_xludf.IFNA(_xlfn.XLOOKUP(C165,'00_SKU_Master'!$B$2:$B$378,'00_SKU_Master'!$F$2:$F$378,0)*Y165,"")</f>
        <v/>
      </c>
      <c r="E163" s="586">
        <f>_xludf.IFNA(_xlfn.XLOOKUP(C165,'00_SKU_Master'!$B$2:$B$378,'00_SKU_Master'!$F$2:$F$378,0)*Z165,"")</f>
        <v/>
      </c>
      <c r="F163" s="586">
        <f>_xludf.IFNA(_xlfn.XLOOKUP(C165,'00_SKU_Master'!$B$2:$B$378,'00_SKU_Master'!$F$2:$F$378,0)*AA165,"")</f>
        <v/>
      </c>
      <c r="G163" s="586">
        <f>_xludf.IFNA(_xlfn.XLOOKUP(C165,'00_SKU_Master'!$B$2:$B$378,'00_SKU_Master'!$F$2:$F$378,0)*AB165,"")</f>
        <v/>
      </c>
      <c r="H163" s="586">
        <f>_xludf.IFNA(_xlfn.XLOOKUP(C165,'00_SKU_Master'!$B$2:$B$378,'00_SKU_Master'!$F$2:$F$378,0)*AC165,"")</f>
        <v/>
      </c>
      <c r="I163" s="586">
        <f>_xludf.IFNA(_xlfn.XLOOKUP(C165,'00_SKU_Master'!$B$2:$B$378,'00_SKU_Master'!$F$2:$F$378,0)*AD165,"")</f>
        <v/>
      </c>
      <c r="J163" s="586">
        <f>_xludf.IFNA(_xlfn.XLOOKUP(C165,'00_SKU_Master'!$B$2:$B$378,'00_SKU_Master'!$F$2:$F$378,0)*AE165,"")</f>
        <v/>
      </c>
      <c r="K163" s="587">
        <f>SUM(D165:J165)</f>
        <v/>
      </c>
      <c r="L163" s="197">
        <f>_xlfn.XLOOKUP(C165,'00_SKU_Master'!$B$2:$B$378,'00_SKU_Master'!K:K)</f>
        <v/>
      </c>
      <c r="M163" s="14">
        <f>X165</f>
        <v/>
      </c>
      <c r="N163" s="157">
        <f>_xludf.IFNA(D165/_xlfn.XLOOKUP($M165,'00_SKU_Master'!$B$2:$B$378,'00_SKU_Master'!$M$2:$M$378,0)/$M$2,"0")</f>
        <v/>
      </c>
      <c r="O163" s="157">
        <f>_xludf.IFNA(E165/_xlfn.XLOOKUP($M165,'00_SKU_Master'!$B$2:$B$378,'00_SKU_Master'!$M$2:$M$378,0)/$M$2,"0")</f>
        <v/>
      </c>
      <c r="P163" s="157">
        <f>_xludf.IFNA(F165/_xlfn.XLOOKUP($M165,'00_SKU_Master'!$B$2:$B$378,'00_SKU_Master'!$M$2:$M$378,0)/$M$2,"0")</f>
        <v/>
      </c>
      <c r="Q163" s="157">
        <f>_xludf.IFNA(G165/_xlfn.XLOOKUP($M165,'00_SKU_Master'!$B$2:$B$378,'00_SKU_Master'!$M$2:$M$378,0)/$M$2,"0")</f>
        <v/>
      </c>
      <c r="R163" s="157">
        <f>_xludf.IFNA(H165/_xlfn.XLOOKUP($M165,'00_SKU_Master'!$B$2:$B$378,'00_SKU_Master'!$M$2:$M$378,0)/$M$2,"0")</f>
        <v/>
      </c>
      <c r="S163" s="157">
        <f>_xludf.IFNA(I165/_xlfn.XLOOKUP($M165,'00_SKU_Master'!$B$2:$B$378,'00_SKU_Master'!$M$2:$M$378,0)/$M$2,"0")</f>
        <v/>
      </c>
      <c r="T163" s="157">
        <f>_xludf.IFNA(J165/_xlfn.XLOOKUP($M165,'00_SKU_Master'!$B$2:$B$378,'00_SKU_Master'!$M$2:$M$378,0)/$M$2,"0")</f>
        <v/>
      </c>
      <c r="U163" s="157">
        <f>SUM(N165:T165)</f>
        <v/>
      </c>
      <c r="V163" s="4" t="n"/>
      <c r="W163" s="4">
        <f>_xlfn.XLOOKUP(M165,'00_SKU_Master'!$B$2:$B$378,'00_SKU_Master'!D:D)</f>
        <v/>
      </c>
      <c r="X163" s="14">
        <f>'05_Daily_Orders'!B164</f>
        <v/>
      </c>
      <c r="Y163" s="588" t="n"/>
      <c r="Z163" s="589" t="n"/>
      <c r="AA163" s="589" t="n"/>
      <c r="AB163" s="589" t="n"/>
      <c r="AC163" s="589" t="n">
        <v>0</v>
      </c>
      <c r="AD163" s="589" t="n">
        <v>0</v>
      </c>
      <c r="AE163" s="589" t="n">
        <v>0</v>
      </c>
      <c r="AF163" s="587">
        <f>SUM(Y165:AE165)</f>
        <v/>
      </c>
      <c r="AQ163" s="23" t="n">
        <v>0</v>
      </c>
      <c r="AR163" s="23" t="n">
        <v>0</v>
      </c>
      <c r="AS163" s="23">
        <f>AR165-AQ165</f>
        <v/>
      </c>
    </row>
    <row r="164">
      <c r="A164" s="148">
        <f>_xlfn.XLOOKUP(C166,'00_SKU_Master'!$B$2:$B$378,'00_SKU_Master'!$C$2:$C$378)</f>
        <v/>
      </c>
      <c r="B164" s="148" t="n"/>
      <c r="C164" s="148">
        <f>X166</f>
        <v/>
      </c>
      <c r="D164" s="586">
        <f>_xludf.IFNA(_xlfn.XLOOKUP(C166,'00_SKU_Master'!$B$2:$B$378,'00_SKU_Master'!$F$2:$F$378,0)*Y166,"")</f>
        <v/>
      </c>
      <c r="E164" s="586">
        <f>_xludf.IFNA(_xlfn.XLOOKUP(C166,'00_SKU_Master'!$B$2:$B$378,'00_SKU_Master'!$F$2:$F$378,0)*Z166,"")</f>
        <v/>
      </c>
      <c r="F164" s="586">
        <f>_xludf.IFNA(_xlfn.XLOOKUP(C166,'00_SKU_Master'!$B$2:$B$378,'00_SKU_Master'!$F$2:$F$378,0)*AA166,"")</f>
        <v/>
      </c>
      <c r="G164" s="586">
        <f>_xludf.IFNA(_xlfn.XLOOKUP(C166,'00_SKU_Master'!$B$2:$B$378,'00_SKU_Master'!$F$2:$F$378,0)*AB166,"")</f>
        <v/>
      </c>
      <c r="H164" s="586">
        <f>_xludf.IFNA(_xlfn.XLOOKUP(C166,'00_SKU_Master'!$B$2:$B$378,'00_SKU_Master'!$F$2:$F$378,0)*AC166,"")</f>
        <v/>
      </c>
      <c r="I164" s="586">
        <f>_xludf.IFNA(_xlfn.XLOOKUP(C166,'00_SKU_Master'!$B$2:$B$378,'00_SKU_Master'!$F$2:$F$378,0)*AD166,"")</f>
        <v/>
      </c>
      <c r="J164" s="586">
        <f>_xludf.IFNA(_xlfn.XLOOKUP(C166,'00_SKU_Master'!$B$2:$B$378,'00_SKU_Master'!$F$2:$F$378,0)*AE166,"")</f>
        <v/>
      </c>
      <c r="K164" s="587">
        <f>SUM(D166:J166)</f>
        <v/>
      </c>
      <c r="L164" s="197">
        <f>_xlfn.XLOOKUP(C166,'00_SKU_Master'!$B$2:$B$378,'00_SKU_Master'!K:K)</f>
        <v/>
      </c>
      <c r="M164" s="14">
        <f>X166</f>
        <v/>
      </c>
      <c r="N164" s="157">
        <f>_xludf.IFNA(D166/_xlfn.XLOOKUP($M166,'00_SKU_Master'!$B$2:$B$378,'00_SKU_Master'!$M$2:$M$378,0)/$M$2,"0")</f>
        <v/>
      </c>
      <c r="O164" s="157">
        <f>_xludf.IFNA(E166/_xlfn.XLOOKUP($M166,'00_SKU_Master'!$B$2:$B$378,'00_SKU_Master'!$M$2:$M$378,0)/$M$2,"0")</f>
        <v/>
      </c>
      <c r="P164" s="157">
        <f>_xludf.IFNA(F166/_xlfn.XLOOKUP($M166,'00_SKU_Master'!$B$2:$B$378,'00_SKU_Master'!$M$2:$M$378,0)/$M$2,"0")</f>
        <v/>
      </c>
      <c r="Q164" s="157">
        <f>_xludf.IFNA(G166/_xlfn.XLOOKUP($M166,'00_SKU_Master'!$B$2:$B$378,'00_SKU_Master'!$M$2:$M$378,0)/$M$2,"0")</f>
        <v/>
      </c>
      <c r="R164" s="157">
        <f>_xludf.IFNA(H166/_xlfn.XLOOKUP($M166,'00_SKU_Master'!$B$2:$B$378,'00_SKU_Master'!$M$2:$M$378,0)/$M$2,"0")</f>
        <v/>
      </c>
      <c r="S164" s="157">
        <f>_xludf.IFNA(I166/_xlfn.XLOOKUP($M166,'00_SKU_Master'!$B$2:$B$378,'00_SKU_Master'!$M$2:$M$378,0)/$M$2,"0")</f>
        <v/>
      </c>
      <c r="T164" s="157">
        <f>_xludf.IFNA(J166/_xlfn.XLOOKUP($M166,'00_SKU_Master'!$B$2:$B$378,'00_SKU_Master'!$M$2:$M$378,0)/$M$2,"0")</f>
        <v/>
      </c>
      <c r="U164" s="157">
        <f>SUM(N166:T166)</f>
        <v/>
      </c>
      <c r="V164" s="4" t="n"/>
      <c r="W164" s="4">
        <f>_xlfn.XLOOKUP(M166,'00_SKU_Master'!$B$2:$B$378,'00_SKU_Master'!D:D)</f>
        <v/>
      </c>
      <c r="X164" s="14">
        <f>'05_Daily_Orders'!B165</f>
        <v/>
      </c>
      <c r="Y164" s="588" t="n"/>
      <c r="Z164" s="589" t="n"/>
      <c r="AA164" s="589" t="n"/>
      <c r="AB164" s="589" t="n"/>
      <c r="AC164" s="589" t="n">
        <v>0</v>
      </c>
      <c r="AD164" s="589" t="n">
        <v>0</v>
      </c>
      <c r="AE164" s="589" t="n">
        <v>0</v>
      </c>
      <c r="AF164" s="587">
        <f>SUM(Y166:AE166)</f>
        <v/>
      </c>
      <c r="AQ164" s="23" t="n">
        <v>0</v>
      </c>
      <c r="AR164" s="23" t="n">
        <v>0</v>
      </c>
      <c r="AS164" s="23">
        <f>AR166-AQ166</f>
        <v/>
      </c>
    </row>
    <row r="165">
      <c r="A165" s="148">
        <f>_xlfn.XLOOKUP(C167,'00_SKU_Master'!$B$2:$B$378,'00_SKU_Master'!$C$2:$C$378)</f>
        <v/>
      </c>
      <c r="B165" s="148" t="n"/>
      <c r="C165" s="148">
        <f>X167</f>
        <v/>
      </c>
      <c r="D165" s="586">
        <f>_xludf.IFNA(_xlfn.XLOOKUP(C167,'00_SKU_Master'!$B$2:$B$378,'00_SKU_Master'!$F$2:$F$378,0)*Y167,"")</f>
        <v/>
      </c>
      <c r="E165" s="586">
        <f>_xludf.IFNA(_xlfn.XLOOKUP(C167,'00_SKU_Master'!$B$2:$B$378,'00_SKU_Master'!$F$2:$F$378,0)*Z167,"")</f>
        <v/>
      </c>
      <c r="F165" s="586">
        <f>_xludf.IFNA(_xlfn.XLOOKUP(C167,'00_SKU_Master'!$B$2:$B$378,'00_SKU_Master'!$F$2:$F$378,0)*AA167,"")</f>
        <v/>
      </c>
      <c r="G165" s="586">
        <f>_xludf.IFNA(_xlfn.XLOOKUP(C167,'00_SKU_Master'!$B$2:$B$378,'00_SKU_Master'!$F$2:$F$378,0)*AB167,"")</f>
        <v/>
      </c>
      <c r="H165" s="586">
        <f>_xludf.IFNA(_xlfn.XLOOKUP(C167,'00_SKU_Master'!$B$2:$B$378,'00_SKU_Master'!$F$2:$F$378,0)*AC167,"")</f>
        <v/>
      </c>
      <c r="I165" s="586">
        <f>_xludf.IFNA(_xlfn.XLOOKUP(C167,'00_SKU_Master'!$B$2:$B$378,'00_SKU_Master'!$F$2:$F$378,0)*AD167,"")</f>
        <v/>
      </c>
      <c r="J165" s="586">
        <f>_xludf.IFNA(_xlfn.XLOOKUP(C167,'00_SKU_Master'!$B$2:$B$378,'00_SKU_Master'!$F$2:$F$378,0)*AE167,"")</f>
        <v/>
      </c>
      <c r="K165" s="587">
        <f>SUM(D167:J167)</f>
        <v/>
      </c>
      <c r="L165" s="197">
        <f>_xlfn.XLOOKUP(C167,'00_SKU_Master'!$B$2:$B$378,'00_SKU_Master'!K:K)</f>
        <v/>
      </c>
      <c r="M165" s="14">
        <f>X167</f>
        <v/>
      </c>
      <c r="N165" s="157">
        <f>_xludf.IFNA(D167/_xlfn.XLOOKUP($M167,'00_SKU_Master'!$B$2:$B$378,'00_SKU_Master'!$M$2:$M$378,0)/$M$2,"0")</f>
        <v/>
      </c>
      <c r="O165" s="157">
        <f>_xludf.IFNA(E167/_xlfn.XLOOKUP($M167,'00_SKU_Master'!$B$2:$B$378,'00_SKU_Master'!$M$2:$M$378,0)/$M$2,"0")</f>
        <v/>
      </c>
      <c r="P165" s="157">
        <f>_xludf.IFNA(F167/_xlfn.XLOOKUP($M167,'00_SKU_Master'!$B$2:$B$378,'00_SKU_Master'!$M$2:$M$378,0)/$M$2,"0")</f>
        <v/>
      </c>
      <c r="Q165" s="157">
        <f>_xludf.IFNA(G167/_xlfn.XLOOKUP($M167,'00_SKU_Master'!$B$2:$B$378,'00_SKU_Master'!$M$2:$M$378,0)/$M$2,"0")</f>
        <v/>
      </c>
      <c r="R165" s="157">
        <f>_xludf.IFNA(H167/_xlfn.XLOOKUP($M167,'00_SKU_Master'!$B$2:$B$378,'00_SKU_Master'!$M$2:$M$378,0)/$M$2,"0")</f>
        <v/>
      </c>
      <c r="S165" s="157">
        <f>_xludf.IFNA(I167/_xlfn.XLOOKUP($M167,'00_SKU_Master'!$B$2:$B$378,'00_SKU_Master'!$M$2:$M$378,0)/$M$2,"0")</f>
        <v/>
      </c>
      <c r="T165" s="157">
        <f>_xludf.IFNA(J167/_xlfn.XLOOKUP($M167,'00_SKU_Master'!$B$2:$B$378,'00_SKU_Master'!$M$2:$M$378,0)/$M$2,"0")</f>
        <v/>
      </c>
      <c r="U165" s="157">
        <f>SUM(N167:T167)</f>
        <v/>
      </c>
      <c r="V165" s="4" t="n"/>
      <c r="W165" s="4">
        <f>_xlfn.XLOOKUP(M167,'00_SKU_Master'!$B$2:$B$378,'00_SKU_Master'!D:D)</f>
        <v/>
      </c>
      <c r="X165" s="14">
        <f>'05_Daily_Orders'!B166</f>
        <v/>
      </c>
      <c r="Y165" s="588" t="n"/>
      <c r="Z165" s="589" t="n"/>
      <c r="AA165" s="589" t="n"/>
      <c r="AB165" s="589" t="n"/>
      <c r="AC165" s="589" t="n">
        <v>0</v>
      </c>
      <c r="AD165" s="589" t="n">
        <v>0</v>
      </c>
      <c r="AE165" s="589" t="n">
        <v>0</v>
      </c>
      <c r="AF165" s="587">
        <f>SUM(Y167:AE167)</f>
        <v/>
      </c>
      <c r="AQ165" s="23" t="n">
        <v>0</v>
      </c>
      <c r="AR165" s="23" t="n">
        <v>0</v>
      </c>
      <c r="AS165" s="23">
        <f>AR167-AQ167</f>
        <v/>
      </c>
    </row>
    <row r="166">
      <c r="A166" s="148">
        <f>_xlfn.XLOOKUP(C168,'00_SKU_Master'!$B$2:$B$378,'00_SKU_Master'!$C$2:$C$378)</f>
        <v/>
      </c>
      <c r="B166" s="148" t="n"/>
      <c r="C166" s="148">
        <f>X168</f>
        <v/>
      </c>
      <c r="D166" s="586">
        <f>_xludf.IFNA(_xlfn.XLOOKUP(C168,'00_SKU_Master'!$B$2:$B$378,'00_SKU_Master'!$F$2:$F$378,0)*Y168,"")</f>
        <v/>
      </c>
      <c r="E166" s="586">
        <f>_xludf.IFNA(_xlfn.XLOOKUP(C168,'00_SKU_Master'!$B$2:$B$378,'00_SKU_Master'!$F$2:$F$378,0)*Z168,"")</f>
        <v/>
      </c>
      <c r="F166" s="586">
        <f>_xludf.IFNA(_xlfn.XLOOKUP(C168,'00_SKU_Master'!$B$2:$B$378,'00_SKU_Master'!$F$2:$F$378,0)*AA168,"")</f>
        <v/>
      </c>
      <c r="G166" s="586">
        <f>_xludf.IFNA(_xlfn.XLOOKUP(C168,'00_SKU_Master'!$B$2:$B$378,'00_SKU_Master'!$F$2:$F$378,0)*AB168,"")</f>
        <v/>
      </c>
      <c r="H166" s="586">
        <f>_xludf.IFNA(_xlfn.XLOOKUP(C168,'00_SKU_Master'!$B$2:$B$378,'00_SKU_Master'!$F$2:$F$378,0)*AC168,"")</f>
        <v/>
      </c>
      <c r="I166" s="586">
        <f>_xludf.IFNA(_xlfn.XLOOKUP(C168,'00_SKU_Master'!$B$2:$B$378,'00_SKU_Master'!$F$2:$F$378,0)*AD168,"")</f>
        <v/>
      </c>
      <c r="J166" s="586">
        <f>_xludf.IFNA(_xlfn.XLOOKUP(C168,'00_SKU_Master'!$B$2:$B$378,'00_SKU_Master'!$F$2:$F$378,0)*AE168,"")</f>
        <v/>
      </c>
      <c r="K166" s="587">
        <f>SUM(D168:J168)</f>
        <v/>
      </c>
      <c r="L166" s="197">
        <f>_xlfn.XLOOKUP(C168,'00_SKU_Master'!$B$2:$B$378,'00_SKU_Master'!K:K)</f>
        <v/>
      </c>
      <c r="M166" s="14">
        <f>X168</f>
        <v/>
      </c>
      <c r="N166" s="157">
        <f>_xludf.IFNA(D168/_xlfn.XLOOKUP($M168,'00_SKU_Master'!$B$2:$B$378,'00_SKU_Master'!$M$2:$M$378,0)/$M$2,"0")</f>
        <v/>
      </c>
      <c r="O166" s="157">
        <f>_xludf.IFNA(E168/_xlfn.XLOOKUP($M168,'00_SKU_Master'!$B$2:$B$378,'00_SKU_Master'!$M$2:$M$378,0)/$M$2,"0")</f>
        <v/>
      </c>
      <c r="P166" s="157">
        <f>_xludf.IFNA(F168/_xlfn.XLOOKUP($M168,'00_SKU_Master'!$B$2:$B$378,'00_SKU_Master'!$M$2:$M$378,0)/$M$2,"0")</f>
        <v/>
      </c>
      <c r="Q166" s="157">
        <f>_xludf.IFNA(G168/_xlfn.XLOOKUP($M168,'00_SKU_Master'!$B$2:$B$378,'00_SKU_Master'!$M$2:$M$378,0)/$M$2,"0")</f>
        <v/>
      </c>
      <c r="R166" s="157">
        <f>_xludf.IFNA(H168/_xlfn.XLOOKUP($M168,'00_SKU_Master'!$B$2:$B$378,'00_SKU_Master'!$M$2:$M$378,0)/$M$2,"0")</f>
        <v/>
      </c>
      <c r="S166" s="157">
        <f>_xludf.IFNA(I168/_xlfn.XLOOKUP($M168,'00_SKU_Master'!$B$2:$B$378,'00_SKU_Master'!$M$2:$M$378,0)/$M$2,"0")</f>
        <v/>
      </c>
      <c r="T166" s="157">
        <f>_xludf.IFNA(J168/_xlfn.XLOOKUP($M168,'00_SKU_Master'!$B$2:$B$378,'00_SKU_Master'!$M$2:$M$378,0)/$M$2,"0")</f>
        <v/>
      </c>
      <c r="U166" s="157">
        <f>SUM(N168:T168)</f>
        <v/>
      </c>
      <c r="V166" s="4" t="n"/>
      <c r="W166" s="4">
        <f>_xlfn.XLOOKUP(M168,'00_SKU_Master'!$B$2:$B$378,'00_SKU_Master'!D:D)</f>
        <v/>
      </c>
      <c r="X166" s="14">
        <f>'05_Daily_Orders'!B167</f>
        <v/>
      </c>
      <c r="Y166" s="588" t="n"/>
      <c r="Z166" s="589" t="n"/>
      <c r="AA166" s="589" t="n"/>
      <c r="AB166" s="589" t="n"/>
      <c r="AC166" s="589" t="n">
        <v>0</v>
      </c>
      <c r="AD166" s="589" t="n">
        <v>0</v>
      </c>
      <c r="AE166" s="589" t="n">
        <v>0</v>
      </c>
      <c r="AF166" s="587">
        <f>SUM(Y168:AE168)</f>
        <v/>
      </c>
      <c r="AQ166" s="23" t="n">
        <v>0</v>
      </c>
      <c r="AR166" s="23" t="n">
        <v>0</v>
      </c>
      <c r="AS166" s="23">
        <f>AR168-AQ168</f>
        <v/>
      </c>
    </row>
    <row r="167">
      <c r="A167" s="148">
        <f>_xlfn.XLOOKUP(C169,'00_SKU_Master'!$B$2:$B$378,'00_SKU_Master'!$C$2:$C$378)</f>
        <v/>
      </c>
      <c r="B167" s="148" t="n"/>
      <c r="C167" s="148">
        <f>X169</f>
        <v/>
      </c>
      <c r="D167" s="586">
        <f>_xludf.IFNA(_xlfn.XLOOKUP(C169,'00_SKU_Master'!$B$2:$B$378,'00_SKU_Master'!$F$2:$F$378,0)*Y169,"")</f>
        <v/>
      </c>
      <c r="E167" s="586">
        <f>_xludf.IFNA(_xlfn.XLOOKUP(C169,'00_SKU_Master'!$B$2:$B$378,'00_SKU_Master'!$F$2:$F$378,0)*Z169,"")</f>
        <v/>
      </c>
      <c r="F167" s="586">
        <f>_xludf.IFNA(_xlfn.XLOOKUP(C169,'00_SKU_Master'!$B$2:$B$378,'00_SKU_Master'!$F$2:$F$378,0)*AA169,"")</f>
        <v/>
      </c>
      <c r="G167" s="586">
        <f>_xludf.IFNA(_xlfn.XLOOKUP(C169,'00_SKU_Master'!$B$2:$B$378,'00_SKU_Master'!$F$2:$F$378,0)*AB169,"")</f>
        <v/>
      </c>
      <c r="H167" s="586">
        <f>_xludf.IFNA(_xlfn.XLOOKUP(C169,'00_SKU_Master'!$B$2:$B$378,'00_SKU_Master'!$F$2:$F$378,0)*AC169,"")</f>
        <v/>
      </c>
      <c r="I167" s="586">
        <f>_xludf.IFNA(_xlfn.XLOOKUP(C169,'00_SKU_Master'!$B$2:$B$378,'00_SKU_Master'!$F$2:$F$378,0)*AD169,"")</f>
        <v/>
      </c>
      <c r="J167" s="586">
        <f>_xludf.IFNA(_xlfn.XLOOKUP(C169,'00_SKU_Master'!$B$2:$B$378,'00_SKU_Master'!$F$2:$F$378,0)*AE169,"")</f>
        <v/>
      </c>
      <c r="K167" s="587">
        <f>SUM(D169:J169)</f>
        <v/>
      </c>
      <c r="L167" s="197">
        <f>_xlfn.XLOOKUP(C169,'00_SKU_Master'!$B$2:$B$378,'00_SKU_Master'!K:K)</f>
        <v/>
      </c>
      <c r="M167" s="14">
        <f>X169</f>
        <v/>
      </c>
      <c r="N167" s="157">
        <f>_xludf.IFNA(D169/_xlfn.XLOOKUP($M169,'00_SKU_Master'!$B$2:$B$378,'00_SKU_Master'!$M$2:$M$378,0)/$M$2,"0")</f>
        <v/>
      </c>
      <c r="O167" s="157">
        <f>_xludf.IFNA(E169/_xlfn.XLOOKUP($M169,'00_SKU_Master'!$B$2:$B$378,'00_SKU_Master'!$M$2:$M$378,0)/$M$2,"0")</f>
        <v/>
      </c>
      <c r="P167" s="157">
        <f>_xludf.IFNA(F169/_xlfn.XLOOKUP($M169,'00_SKU_Master'!$B$2:$B$378,'00_SKU_Master'!$M$2:$M$378,0)/$M$2,"0")</f>
        <v/>
      </c>
      <c r="Q167" s="157">
        <f>_xludf.IFNA(G169/_xlfn.XLOOKUP($M169,'00_SKU_Master'!$B$2:$B$378,'00_SKU_Master'!$M$2:$M$378,0)/$M$2,"0")</f>
        <v/>
      </c>
      <c r="R167" s="157">
        <f>_xludf.IFNA(H169/_xlfn.XLOOKUP($M169,'00_SKU_Master'!$B$2:$B$378,'00_SKU_Master'!$M$2:$M$378,0)/$M$2,"0")</f>
        <v/>
      </c>
      <c r="S167" s="157">
        <f>_xludf.IFNA(I169/_xlfn.XLOOKUP($M169,'00_SKU_Master'!$B$2:$B$378,'00_SKU_Master'!$M$2:$M$378,0)/$M$2,"0")</f>
        <v/>
      </c>
      <c r="T167" s="157">
        <f>_xludf.IFNA(J169/_xlfn.XLOOKUP($M169,'00_SKU_Master'!$B$2:$B$378,'00_SKU_Master'!$M$2:$M$378,0)/$M$2,"0")</f>
        <v/>
      </c>
      <c r="U167" s="157">
        <f>SUM(N169:T169)</f>
        <v/>
      </c>
      <c r="V167" s="4" t="n"/>
      <c r="W167" s="4">
        <f>_xlfn.XLOOKUP(M169,'00_SKU_Master'!$B$2:$B$378,'00_SKU_Master'!D:D)</f>
        <v/>
      </c>
      <c r="X167" s="14">
        <f>'05_Daily_Orders'!B168</f>
        <v/>
      </c>
      <c r="Y167" s="588" t="n"/>
      <c r="Z167" s="589" t="n"/>
      <c r="AA167" s="589" t="n"/>
      <c r="AB167" s="589" t="n"/>
      <c r="AC167" s="589" t="n">
        <v>0</v>
      </c>
      <c r="AD167" s="589" t="n">
        <v>0</v>
      </c>
      <c r="AE167" s="589" t="n">
        <v>0</v>
      </c>
      <c r="AF167" s="587">
        <f>SUM(Y169:AE169)</f>
        <v/>
      </c>
      <c r="AQ167" s="23" t="n">
        <v>0</v>
      </c>
      <c r="AR167" s="23" t="n">
        <v>0</v>
      </c>
      <c r="AS167" s="23">
        <f>AR169-AQ169</f>
        <v/>
      </c>
    </row>
    <row r="168">
      <c r="A168" s="148">
        <f>_xlfn.XLOOKUP(C170,'00_SKU_Master'!$B$2:$B$378,'00_SKU_Master'!$C$2:$C$378)</f>
        <v/>
      </c>
      <c r="B168" s="148" t="n"/>
      <c r="C168" s="148">
        <f>X170</f>
        <v/>
      </c>
      <c r="D168" s="586">
        <f>_xludf.IFNA(_xlfn.XLOOKUP(C170,'00_SKU_Master'!$B$2:$B$378,'00_SKU_Master'!$F$2:$F$378,0)*Y170,"")</f>
        <v/>
      </c>
      <c r="E168" s="586">
        <f>_xludf.IFNA(_xlfn.XLOOKUP(C170,'00_SKU_Master'!$B$2:$B$378,'00_SKU_Master'!$F$2:$F$378,0)*Z170,"")</f>
        <v/>
      </c>
      <c r="F168" s="586">
        <f>_xludf.IFNA(_xlfn.XLOOKUP(C170,'00_SKU_Master'!$B$2:$B$378,'00_SKU_Master'!$F$2:$F$378,0)*AA170,"")</f>
        <v/>
      </c>
      <c r="G168" s="586">
        <f>_xludf.IFNA(_xlfn.XLOOKUP(C170,'00_SKU_Master'!$B$2:$B$378,'00_SKU_Master'!$F$2:$F$378,0)*AB170,"")</f>
        <v/>
      </c>
      <c r="H168" s="586">
        <f>_xludf.IFNA(_xlfn.XLOOKUP(C170,'00_SKU_Master'!$B$2:$B$378,'00_SKU_Master'!$F$2:$F$378,0)*AC170,"")</f>
        <v/>
      </c>
      <c r="I168" s="586">
        <f>_xludf.IFNA(_xlfn.XLOOKUP(C170,'00_SKU_Master'!$B$2:$B$378,'00_SKU_Master'!$F$2:$F$378,0)*AD170,"")</f>
        <v/>
      </c>
      <c r="J168" s="586">
        <f>_xludf.IFNA(_xlfn.XLOOKUP(C170,'00_SKU_Master'!$B$2:$B$378,'00_SKU_Master'!$F$2:$F$378,0)*AE170,"")</f>
        <v/>
      </c>
      <c r="K168" s="587">
        <f>SUM(D170:J170)</f>
        <v/>
      </c>
      <c r="L168" s="197">
        <f>_xlfn.XLOOKUP(C170,'00_SKU_Master'!$B$2:$B$378,'00_SKU_Master'!K:K)</f>
        <v/>
      </c>
      <c r="M168" s="14">
        <f>X170</f>
        <v/>
      </c>
      <c r="N168" s="157">
        <f>_xludf.IFNA(D170/_xlfn.XLOOKUP($M170,'00_SKU_Master'!$B$2:$B$378,'00_SKU_Master'!$M$2:$M$378,0)/$M$2,"0")</f>
        <v/>
      </c>
      <c r="O168" s="157">
        <f>_xludf.IFNA(E170/_xlfn.XLOOKUP($M170,'00_SKU_Master'!$B$2:$B$378,'00_SKU_Master'!$M$2:$M$378,0)/$M$2,"0")</f>
        <v/>
      </c>
      <c r="P168" s="157">
        <f>_xludf.IFNA(F170/_xlfn.XLOOKUP($M170,'00_SKU_Master'!$B$2:$B$378,'00_SKU_Master'!$M$2:$M$378,0)/$M$2,"0")</f>
        <v/>
      </c>
      <c r="Q168" s="157">
        <f>_xludf.IFNA(G170/_xlfn.XLOOKUP($M170,'00_SKU_Master'!$B$2:$B$378,'00_SKU_Master'!$M$2:$M$378,0)/$M$2,"0")</f>
        <v/>
      </c>
      <c r="R168" s="157">
        <f>_xludf.IFNA(H170/_xlfn.XLOOKUP($M170,'00_SKU_Master'!$B$2:$B$378,'00_SKU_Master'!$M$2:$M$378,0)/$M$2,"0")</f>
        <v/>
      </c>
      <c r="S168" s="157">
        <f>_xludf.IFNA(I170/_xlfn.XLOOKUP($M170,'00_SKU_Master'!$B$2:$B$378,'00_SKU_Master'!$M$2:$M$378,0)/$M$2,"0")</f>
        <v/>
      </c>
      <c r="T168" s="157">
        <f>_xludf.IFNA(J170/_xlfn.XLOOKUP($M170,'00_SKU_Master'!$B$2:$B$378,'00_SKU_Master'!$M$2:$M$378,0)/$M$2,"0")</f>
        <v/>
      </c>
      <c r="U168" s="157">
        <f>SUM(N170:T170)</f>
        <v/>
      </c>
      <c r="V168" s="4" t="n"/>
      <c r="W168" s="4">
        <f>_xlfn.XLOOKUP(M170,'00_SKU_Master'!$B$2:$B$378,'00_SKU_Master'!D:D)</f>
        <v/>
      </c>
      <c r="X168" s="14">
        <f>'05_Daily_Orders'!B169</f>
        <v/>
      </c>
      <c r="Y168" s="588" t="n"/>
      <c r="Z168" s="589" t="n"/>
      <c r="AA168" s="589" t="n"/>
      <c r="AB168" s="589" t="n"/>
      <c r="AC168" s="589" t="n">
        <v>0</v>
      </c>
      <c r="AD168" s="589" t="n">
        <v>0</v>
      </c>
      <c r="AE168" s="589" t="n">
        <v>0</v>
      </c>
      <c r="AF168" s="587">
        <f>SUM(Y170:AE170)</f>
        <v/>
      </c>
      <c r="AQ168" s="23" t="n">
        <v>0</v>
      </c>
      <c r="AR168" s="23" t="n">
        <v>0</v>
      </c>
      <c r="AS168" s="23">
        <f>AR170-AQ170</f>
        <v/>
      </c>
    </row>
    <row r="169">
      <c r="A169" s="148">
        <f>_xlfn.XLOOKUP(C171,'00_SKU_Master'!$B$2:$B$378,'00_SKU_Master'!$C$2:$C$378)</f>
        <v/>
      </c>
      <c r="B169" s="148" t="n"/>
      <c r="C169" s="148">
        <f>X171</f>
        <v/>
      </c>
      <c r="D169" s="586">
        <f>_xludf.IFNA(_xlfn.XLOOKUP(C171,'00_SKU_Master'!$B$2:$B$378,'00_SKU_Master'!$F$2:$F$378,0)*Y171,"")</f>
        <v/>
      </c>
      <c r="E169" s="586">
        <f>_xludf.IFNA(_xlfn.XLOOKUP(C171,'00_SKU_Master'!$B$2:$B$378,'00_SKU_Master'!$F$2:$F$378,0)*Z171,"")</f>
        <v/>
      </c>
      <c r="F169" s="586">
        <f>_xludf.IFNA(_xlfn.XLOOKUP(C171,'00_SKU_Master'!$B$2:$B$378,'00_SKU_Master'!$F$2:$F$378,0)*AA171,"")</f>
        <v/>
      </c>
      <c r="G169" s="586">
        <f>_xludf.IFNA(_xlfn.XLOOKUP(C171,'00_SKU_Master'!$B$2:$B$378,'00_SKU_Master'!$F$2:$F$378,0)*AB171,"")</f>
        <v/>
      </c>
      <c r="H169" s="586">
        <f>_xludf.IFNA(_xlfn.XLOOKUP(C171,'00_SKU_Master'!$B$2:$B$378,'00_SKU_Master'!$F$2:$F$378,0)*AC171,"")</f>
        <v/>
      </c>
      <c r="I169" s="586">
        <f>_xludf.IFNA(_xlfn.XLOOKUP(C171,'00_SKU_Master'!$B$2:$B$378,'00_SKU_Master'!$F$2:$F$378,0)*AD171,"")</f>
        <v/>
      </c>
      <c r="J169" s="586">
        <f>_xludf.IFNA(_xlfn.XLOOKUP(C171,'00_SKU_Master'!$B$2:$B$378,'00_SKU_Master'!$F$2:$F$378,0)*AE171,"")</f>
        <v/>
      </c>
      <c r="K169" s="587">
        <f>SUM(D171:J171)</f>
        <v/>
      </c>
      <c r="L169" s="197">
        <f>_xlfn.XLOOKUP(C171,'00_SKU_Master'!$B$2:$B$378,'00_SKU_Master'!K:K)</f>
        <v/>
      </c>
      <c r="M169" s="14">
        <f>X171</f>
        <v/>
      </c>
      <c r="N169" s="157">
        <f>_xludf.IFNA(D171/_xlfn.XLOOKUP($M171,'00_SKU_Master'!$B$2:$B$378,'00_SKU_Master'!$M$2:$M$378,0)/$M$2,"0")</f>
        <v/>
      </c>
      <c r="O169" s="157">
        <f>_xludf.IFNA(E171/_xlfn.XLOOKUP($M171,'00_SKU_Master'!$B$2:$B$378,'00_SKU_Master'!$M$2:$M$378,0)/$M$2,"0")</f>
        <v/>
      </c>
      <c r="P169" s="157">
        <f>_xludf.IFNA(F171/_xlfn.XLOOKUP($M171,'00_SKU_Master'!$B$2:$B$378,'00_SKU_Master'!$M$2:$M$378,0)/$M$2,"0")</f>
        <v/>
      </c>
      <c r="Q169" s="157">
        <f>_xludf.IFNA(G171/_xlfn.XLOOKUP($M171,'00_SKU_Master'!$B$2:$B$378,'00_SKU_Master'!$M$2:$M$378,0)/$M$2,"0")</f>
        <v/>
      </c>
      <c r="R169" s="157">
        <f>_xludf.IFNA(H171/_xlfn.XLOOKUP($M171,'00_SKU_Master'!$B$2:$B$378,'00_SKU_Master'!$M$2:$M$378,0)/$M$2,"0")</f>
        <v/>
      </c>
      <c r="S169" s="157">
        <f>_xludf.IFNA(I171/_xlfn.XLOOKUP($M171,'00_SKU_Master'!$B$2:$B$378,'00_SKU_Master'!$M$2:$M$378,0)/$M$2,"0")</f>
        <v/>
      </c>
      <c r="T169" s="157">
        <f>_xludf.IFNA(J171/_xlfn.XLOOKUP($M171,'00_SKU_Master'!$B$2:$B$378,'00_SKU_Master'!$M$2:$M$378,0)/$M$2,"0")</f>
        <v/>
      </c>
      <c r="U169" s="157">
        <f>SUM(N171:T171)</f>
        <v/>
      </c>
      <c r="V169" s="4" t="n"/>
      <c r="W169" s="4">
        <f>_xlfn.XLOOKUP(M171,'00_SKU_Master'!$B$2:$B$378,'00_SKU_Master'!D:D)</f>
        <v/>
      </c>
      <c r="X169" s="14">
        <f>'05_Daily_Orders'!B170</f>
        <v/>
      </c>
      <c r="Y169" s="588" t="n"/>
      <c r="Z169" s="589" t="n"/>
      <c r="AA169" s="589" t="n"/>
      <c r="AB169" s="589" t="n"/>
      <c r="AC169" s="589" t="n">
        <v>0</v>
      </c>
      <c r="AD169" s="589" t="n">
        <v>0</v>
      </c>
      <c r="AE169" s="589" t="n">
        <v>0</v>
      </c>
      <c r="AF169" s="587">
        <f>SUM(Y171:AE171)</f>
        <v/>
      </c>
      <c r="AQ169" s="23" t="n">
        <v>0</v>
      </c>
      <c r="AR169" s="23" t="n">
        <v>0</v>
      </c>
      <c r="AS169" s="23">
        <f>AR171-AQ171</f>
        <v/>
      </c>
    </row>
    <row r="170">
      <c r="A170" s="148">
        <f>_xlfn.XLOOKUP(C172,'00_SKU_Master'!$B$2:$B$378,'00_SKU_Master'!$C$2:$C$378)</f>
        <v/>
      </c>
      <c r="B170" s="148" t="n"/>
      <c r="C170" s="148">
        <f>X172</f>
        <v/>
      </c>
      <c r="D170" s="586">
        <f>_xludf.IFNA(_xlfn.XLOOKUP(C172,'00_SKU_Master'!$B$2:$B$378,'00_SKU_Master'!$F$2:$F$378,0)*Y172,"")</f>
        <v/>
      </c>
      <c r="E170" s="586">
        <f>_xludf.IFNA(_xlfn.XLOOKUP(C172,'00_SKU_Master'!$B$2:$B$378,'00_SKU_Master'!$F$2:$F$378,0)*Z172,"")</f>
        <v/>
      </c>
      <c r="F170" s="586">
        <f>_xludf.IFNA(_xlfn.XLOOKUP(C172,'00_SKU_Master'!$B$2:$B$378,'00_SKU_Master'!$F$2:$F$378,0)*AA172,"")</f>
        <v/>
      </c>
      <c r="G170" s="586">
        <f>_xludf.IFNA(_xlfn.XLOOKUP(C172,'00_SKU_Master'!$B$2:$B$378,'00_SKU_Master'!$F$2:$F$378,0)*AB172,"")</f>
        <v/>
      </c>
      <c r="H170" s="586">
        <f>_xludf.IFNA(_xlfn.XLOOKUP(C172,'00_SKU_Master'!$B$2:$B$378,'00_SKU_Master'!$F$2:$F$378,0)*AC172,"")</f>
        <v/>
      </c>
      <c r="I170" s="586">
        <f>_xludf.IFNA(_xlfn.XLOOKUP(C172,'00_SKU_Master'!$B$2:$B$378,'00_SKU_Master'!$F$2:$F$378,0)*AD172,"")</f>
        <v/>
      </c>
      <c r="J170" s="586">
        <f>_xludf.IFNA(_xlfn.XLOOKUP(C172,'00_SKU_Master'!$B$2:$B$378,'00_SKU_Master'!$F$2:$F$378,0)*AE172,"")</f>
        <v/>
      </c>
      <c r="K170" s="587">
        <f>SUM(D172:J172)</f>
        <v/>
      </c>
      <c r="L170" s="197">
        <f>_xlfn.XLOOKUP(C172,'00_SKU_Master'!$B$2:$B$378,'00_SKU_Master'!K:K)</f>
        <v/>
      </c>
      <c r="M170" s="14">
        <f>X172</f>
        <v/>
      </c>
      <c r="N170" s="157">
        <f>_xludf.IFNA(D172/_xlfn.XLOOKUP($M172,'00_SKU_Master'!$B$2:$B$378,'00_SKU_Master'!$M$2:$M$378,0)/$M$2,"0")</f>
        <v/>
      </c>
      <c r="O170" s="157">
        <f>_xludf.IFNA(E172/_xlfn.XLOOKUP($M172,'00_SKU_Master'!$B$2:$B$378,'00_SKU_Master'!$M$2:$M$378,0)/$M$2,"0")</f>
        <v/>
      </c>
      <c r="P170" s="157">
        <f>_xludf.IFNA(F172/_xlfn.XLOOKUP($M172,'00_SKU_Master'!$B$2:$B$378,'00_SKU_Master'!$M$2:$M$378,0)/$M$2,"0")</f>
        <v/>
      </c>
      <c r="Q170" s="157">
        <f>_xludf.IFNA(G172/_xlfn.XLOOKUP($M172,'00_SKU_Master'!$B$2:$B$378,'00_SKU_Master'!$M$2:$M$378,0)/$M$2,"0")</f>
        <v/>
      </c>
      <c r="R170" s="157">
        <f>_xludf.IFNA(H172/_xlfn.XLOOKUP($M172,'00_SKU_Master'!$B$2:$B$378,'00_SKU_Master'!$M$2:$M$378,0)/$M$2,"0")</f>
        <v/>
      </c>
      <c r="S170" s="157">
        <f>_xludf.IFNA(I172/_xlfn.XLOOKUP($M172,'00_SKU_Master'!$B$2:$B$378,'00_SKU_Master'!$M$2:$M$378,0)/$M$2,"0")</f>
        <v/>
      </c>
      <c r="T170" s="157">
        <f>_xludf.IFNA(J172/_xlfn.XLOOKUP($M172,'00_SKU_Master'!$B$2:$B$378,'00_SKU_Master'!$M$2:$M$378,0)/$M$2,"0")</f>
        <v/>
      </c>
      <c r="U170" s="157">
        <f>SUM(N172:T172)</f>
        <v/>
      </c>
      <c r="V170" s="4" t="n"/>
      <c r="W170" s="4">
        <f>_xlfn.XLOOKUP(M172,'00_SKU_Master'!$B$2:$B$378,'00_SKU_Master'!D:D)</f>
        <v/>
      </c>
      <c r="X170" s="14">
        <f>'05_Daily_Orders'!B171</f>
        <v/>
      </c>
      <c r="Y170" s="588" t="n"/>
      <c r="Z170" s="589" t="n"/>
      <c r="AA170" s="589" t="n"/>
      <c r="AB170" s="589" t="n"/>
      <c r="AC170" s="589" t="n">
        <v>0</v>
      </c>
      <c r="AD170" s="589" t="n">
        <v>0</v>
      </c>
      <c r="AE170" s="589" t="n">
        <v>0</v>
      </c>
      <c r="AF170" s="587">
        <f>SUM(Y172:AE172)</f>
        <v/>
      </c>
      <c r="AQ170" s="23" t="n">
        <v>0</v>
      </c>
      <c r="AR170" s="23" t="n">
        <v>0</v>
      </c>
      <c r="AS170" s="23">
        <f>AR172-AQ172</f>
        <v/>
      </c>
    </row>
    <row r="171">
      <c r="A171" s="148">
        <f>_xlfn.XLOOKUP(C173,'00_SKU_Master'!$B$2:$B$378,'00_SKU_Master'!$C$2:$C$378)</f>
        <v/>
      </c>
      <c r="B171" s="148" t="n"/>
      <c r="C171" s="148">
        <f>X173</f>
        <v/>
      </c>
      <c r="D171" s="586">
        <f>_xludf.IFNA(_xlfn.XLOOKUP(C173,'00_SKU_Master'!$B$2:$B$378,'00_SKU_Master'!$F$2:$F$378,0)*Y173,"")</f>
        <v/>
      </c>
      <c r="E171" s="586">
        <f>_xludf.IFNA(_xlfn.XLOOKUP(C173,'00_SKU_Master'!$B$2:$B$378,'00_SKU_Master'!$F$2:$F$378,0)*Z173,"")</f>
        <v/>
      </c>
      <c r="F171" s="586">
        <f>_xludf.IFNA(_xlfn.XLOOKUP(C173,'00_SKU_Master'!$B$2:$B$378,'00_SKU_Master'!$F$2:$F$378,0)*AA173,"")</f>
        <v/>
      </c>
      <c r="G171" s="586">
        <f>_xludf.IFNA(_xlfn.XLOOKUP(C173,'00_SKU_Master'!$B$2:$B$378,'00_SKU_Master'!$F$2:$F$378,0)*AB173,"")</f>
        <v/>
      </c>
      <c r="H171" s="586">
        <f>_xludf.IFNA(_xlfn.XLOOKUP(C173,'00_SKU_Master'!$B$2:$B$378,'00_SKU_Master'!$F$2:$F$378,0)*AC173,"")</f>
        <v/>
      </c>
      <c r="I171" s="586">
        <f>_xludf.IFNA(_xlfn.XLOOKUP(C173,'00_SKU_Master'!$B$2:$B$378,'00_SKU_Master'!$F$2:$F$378,0)*AD173,"")</f>
        <v/>
      </c>
      <c r="J171" s="586">
        <f>_xludf.IFNA(_xlfn.XLOOKUP(C173,'00_SKU_Master'!$B$2:$B$378,'00_SKU_Master'!$F$2:$F$378,0)*AE173,"")</f>
        <v/>
      </c>
      <c r="K171" s="587">
        <f>SUM(D173:J173)</f>
        <v/>
      </c>
      <c r="L171" s="197">
        <f>_xlfn.XLOOKUP(C173,'00_SKU_Master'!$B$2:$B$378,'00_SKU_Master'!K:K)</f>
        <v/>
      </c>
      <c r="M171" s="14">
        <f>X173</f>
        <v/>
      </c>
      <c r="N171" s="157">
        <f>_xludf.IFNA(D173/_xlfn.XLOOKUP($M173,'00_SKU_Master'!$B$2:$B$378,'00_SKU_Master'!$M$2:$M$378,0)/$M$2,"0")</f>
        <v/>
      </c>
      <c r="O171" s="157">
        <f>_xludf.IFNA(E173/_xlfn.XLOOKUP($M173,'00_SKU_Master'!$B$2:$B$378,'00_SKU_Master'!$M$2:$M$378,0)/$M$2,"0")</f>
        <v/>
      </c>
      <c r="P171" s="157">
        <f>_xludf.IFNA(F173/_xlfn.XLOOKUP($M173,'00_SKU_Master'!$B$2:$B$378,'00_SKU_Master'!$M$2:$M$378,0)/$M$2,"0")</f>
        <v/>
      </c>
      <c r="Q171" s="157">
        <f>_xludf.IFNA(G173/_xlfn.XLOOKUP($M173,'00_SKU_Master'!$B$2:$B$378,'00_SKU_Master'!$M$2:$M$378,0)/$M$2,"0")</f>
        <v/>
      </c>
      <c r="R171" s="157">
        <f>_xludf.IFNA(H173/_xlfn.XLOOKUP($M173,'00_SKU_Master'!$B$2:$B$378,'00_SKU_Master'!$M$2:$M$378,0)/$M$2,"0")</f>
        <v/>
      </c>
      <c r="S171" s="157">
        <f>_xludf.IFNA(I173/_xlfn.XLOOKUP($M173,'00_SKU_Master'!$B$2:$B$378,'00_SKU_Master'!$M$2:$M$378,0)/$M$2,"0")</f>
        <v/>
      </c>
      <c r="T171" s="157">
        <f>_xludf.IFNA(J173/_xlfn.XLOOKUP($M173,'00_SKU_Master'!$B$2:$B$378,'00_SKU_Master'!$M$2:$M$378,0)/$M$2,"0")</f>
        <v/>
      </c>
      <c r="U171" s="157">
        <f>SUM(N173:T173)</f>
        <v/>
      </c>
      <c r="V171" s="4" t="n"/>
      <c r="W171" s="4">
        <f>_xlfn.XLOOKUP(M173,'00_SKU_Master'!$B$2:$B$378,'00_SKU_Master'!D:D)</f>
        <v/>
      </c>
      <c r="X171" s="14">
        <f>'05_Daily_Orders'!B172</f>
        <v/>
      </c>
      <c r="Y171" s="588" t="n"/>
      <c r="Z171" s="589" t="n"/>
      <c r="AA171" s="589" t="n"/>
      <c r="AB171" s="589" t="n"/>
      <c r="AC171" s="589" t="n">
        <v>0</v>
      </c>
      <c r="AD171" s="589" t="n">
        <v>0</v>
      </c>
      <c r="AE171" s="589" t="n">
        <v>0</v>
      </c>
      <c r="AF171" s="587">
        <f>SUM(Y173:AE173)</f>
        <v/>
      </c>
      <c r="AQ171" s="23" t="n">
        <v>0</v>
      </c>
      <c r="AR171" s="23" t="n">
        <v>0</v>
      </c>
      <c r="AS171" s="23">
        <f>AR173-AQ173</f>
        <v/>
      </c>
    </row>
    <row r="172">
      <c r="A172" s="148">
        <f>_xlfn.XLOOKUP(C174,'00_SKU_Master'!$B$2:$B$378,'00_SKU_Master'!$C$2:$C$378)</f>
        <v/>
      </c>
      <c r="B172" s="148" t="n"/>
      <c r="C172" s="148">
        <f>X174</f>
        <v/>
      </c>
      <c r="D172" s="586">
        <f>_xludf.IFNA(_xlfn.XLOOKUP(C174,'00_SKU_Master'!$B$2:$B$378,'00_SKU_Master'!$F$2:$F$378,0)*Y174,"")</f>
        <v/>
      </c>
      <c r="E172" s="586">
        <f>_xludf.IFNA(_xlfn.XLOOKUP(C174,'00_SKU_Master'!$B$2:$B$378,'00_SKU_Master'!$F$2:$F$378,0)*Z174,"")</f>
        <v/>
      </c>
      <c r="F172" s="586">
        <f>_xludf.IFNA(_xlfn.XLOOKUP(C174,'00_SKU_Master'!$B$2:$B$378,'00_SKU_Master'!$F$2:$F$378,0)*AA174,"")</f>
        <v/>
      </c>
      <c r="G172" s="586">
        <f>_xludf.IFNA(_xlfn.XLOOKUP(C174,'00_SKU_Master'!$B$2:$B$378,'00_SKU_Master'!$F$2:$F$378,0)*AB174,"")</f>
        <v/>
      </c>
      <c r="H172" s="586">
        <f>_xludf.IFNA(_xlfn.XLOOKUP(C174,'00_SKU_Master'!$B$2:$B$378,'00_SKU_Master'!$F$2:$F$378,0)*AC174,"")</f>
        <v/>
      </c>
      <c r="I172" s="586">
        <f>_xludf.IFNA(_xlfn.XLOOKUP(C174,'00_SKU_Master'!$B$2:$B$378,'00_SKU_Master'!$F$2:$F$378,0)*AD174,"")</f>
        <v/>
      </c>
      <c r="J172" s="586">
        <f>_xludf.IFNA(_xlfn.XLOOKUP(C174,'00_SKU_Master'!$B$2:$B$378,'00_SKU_Master'!$F$2:$F$378,0)*AE174,"")</f>
        <v/>
      </c>
      <c r="K172" s="587">
        <f>SUM(D174:J174)</f>
        <v/>
      </c>
      <c r="L172" s="197">
        <f>_xlfn.XLOOKUP(C174,'00_SKU_Master'!$B$2:$B$378,'00_SKU_Master'!K:K)</f>
        <v/>
      </c>
      <c r="M172" s="14">
        <f>X174</f>
        <v/>
      </c>
      <c r="N172" s="157">
        <f>_xludf.IFNA(D174/_xlfn.XLOOKUP($M174,'00_SKU_Master'!$B$2:$B$378,'00_SKU_Master'!$M$2:$M$378,0)/$M$2,"0")</f>
        <v/>
      </c>
      <c r="O172" s="157">
        <f>_xludf.IFNA(E174/_xlfn.XLOOKUP($M174,'00_SKU_Master'!$B$2:$B$378,'00_SKU_Master'!$M$2:$M$378,0)/$M$2,"0")</f>
        <v/>
      </c>
      <c r="P172" s="157">
        <f>_xludf.IFNA(F174/_xlfn.XLOOKUP($M174,'00_SKU_Master'!$B$2:$B$378,'00_SKU_Master'!$M$2:$M$378,0)/$M$2,"0")</f>
        <v/>
      </c>
      <c r="Q172" s="157">
        <f>_xludf.IFNA(G174/_xlfn.XLOOKUP($M174,'00_SKU_Master'!$B$2:$B$378,'00_SKU_Master'!$M$2:$M$378,0)/$M$2,"0")</f>
        <v/>
      </c>
      <c r="R172" s="157">
        <f>_xludf.IFNA(H174/_xlfn.XLOOKUP($M174,'00_SKU_Master'!$B$2:$B$378,'00_SKU_Master'!$M$2:$M$378,0)/$M$2,"0")</f>
        <v/>
      </c>
      <c r="S172" s="157">
        <f>_xludf.IFNA(I174/_xlfn.XLOOKUP($M174,'00_SKU_Master'!$B$2:$B$378,'00_SKU_Master'!$M$2:$M$378,0)/$M$2,"0")</f>
        <v/>
      </c>
      <c r="T172" s="157">
        <f>_xludf.IFNA(J174/_xlfn.XLOOKUP($M174,'00_SKU_Master'!$B$2:$B$378,'00_SKU_Master'!$M$2:$M$378,0)/$M$2,"0")</f>
        <v/>
      </c>
      <c r="U172" s="157">
        <f>SUM(N174:T174)</f>
        <v/>
      </c>
      <c r="V172" s="4" t="n"/>
      <c r="W172" s="4">
        <f>_xlfn.XLOOKUP(M174,'00_SKU_Master'!$B$2:$B$378,'00_SKU_Master'!D:D)</f>
        <v/>
      </c>
      <c r="X172" s="14">
        <f>'05_Daily_Orders'!B173</f>
        <v/>
      </c>
      <c r="Y172" s="588" t="n"/>
      <c r="Z172" s="589" t="n"/>
      <c r="AA172" s="589" t="n"/>
      <c r="AB172" s="589" t="n"/>
      <c r="AC172" s="589" t="n">
        <v>0</v>
      </c>
      <c r="AD172" s="589" t="n">
        <v>0</v>
      </c>
      <c r="AE172" s="589" t="n">
        <v>0</v>
      </c>
      <c r="AF172" s="587">
        <f>SUM(Y174:AE174)</f>
        <v/>
      </c>
      <c r="AQ172" s="23" t="n">
        <v>0</v>
      </c>
      <c r="AR172" s="23" t="n">
        <v>0</v>
      </c>
      <c r="AS172" s="23">
        <f>AR174-AQ174</f>
        <v/>
      </c>
    </row>
    <row r="173">
      <c r="A173" s="148">
        <f>_xlfn.XLOOKUP(C175,'00_SKU_Master'!$B$2:$B$378,'00_SKU_Master'!$C$2:$C$378)</f>
        <v/>
      </c>
      <c r="B173" s="148" t="n"/>
      <c r="C173" s="148">
        <f>X175</f>
        <v/>
      </c>
      <c r="D173" s="586">
        <f>_xludf.IFNA(_xlfn.XLOOKUP(C175,'00_SKU_Master'!$B$2:$B$378,'00_SKU_Master'!$F$2:$F$378,0)*Y175,"")</f>
        <v/>
      </c>
      <c r="E173" s="586">
        <f>_xludf.IFNA(_xlfn.XLOOKUP(C175,'00_SKU_Master'!$B$2:$B$378,'00_SKU_Master'!$F$2:$F$378,0)*Z175,"")</f>
        <v/>
      </c>
      <c r="F173" s="586">
        <f>_xludf.IFNA(_xlfn.XLOOKUP(C175,'00_SKU_Master'!$B$2:$B$378,'00_SKU_Master'!$F$2:$F$378,0)*AA175,"")</f>
        <v/>
      </c>
      <c r="G173" s="586">
        <f>_xludf.IFNA(_xlfn.XLOOKUP(C175,'00_SKU_Master'!$B$2:$B$378,'00_SKU_Master'!$F$2:$F$378,0)*AB175,"")</f>
        <v/>
      </c>
      <c r="H173" s="586">
        <f>_xludf.IFNA(_xlfn.XLOOKUP(C175,'00_SKU_Master'!$B$2:$B$378,'00_SKU_Master'!$F$2:$F$378,0)*AC175,"")</f>
        <v/>
      </c>
      <c r="I173" s="586">
        <f>_xludf.IFNA(_xlfn.XLOOKUP(C175,'00_SKU_Master'!$B$2:$B$378,'00_SKU_Master'!$F$2:$F$378,0)*AD175,"")</f>
        <v/>
      </c>
      <c r="J173" s="586">
        <f>_xludf.IFNA(_xlfn.XLOOKUP(C175,'00_SKU_Master'!$B$2:$B$378,'00_SKU_Master'!$F$2:$F$378,0)*AE175,"")</f>
        <v/>
      </c>
      <c r="K173" s="587">
        <f>SUM(D175:J175)</f>
        <v/>
      </c>
      <c r="L173" s="197">
        <f>_xlfn.XLOOKUP(C175,'00_SKU_Master'!$B$2:$B$378,'00_SKU_Master'!K:K)</f>
        <v/>
      </c>
      <c r="M173" s="14">
        <f>X175</f>
        <v/>
      </c>
      <c r="N173" s="157">
        <f>_xludf.IFNA(D175/_xlfn.XLOOKUP($M175,'00_SKU_Master'!$B$2:$B$378,'00_SKU_Master'!$M$2:$M$378,0)/$M$2,"0")</f>
        <v/>
      </c>
      <c r="O173" s="157">
        <f>_xludf.IFNA(E175/_xlfn.XLOOKUP($M175,'00_SKU_Master'!$B$2:$B$378,'00_SKU_Master'!$M$2:$M$378,0)/$M$2,"0")</f>
        <v/>
      </c>
      <c r="P173" s="157">
        <f>_xludf.IFNA(F175/_xlfn.XLOOKUP($M175,'00_SKU_Master'!$B$2:$B$378,'00_SKU_Master'!$M$2:$M$378,0)/$M$2,"0")</f>
        <v/>
      </c>
      <c r="Q173" s="157">
        <f>_xludf.IFNA(G175/_xlfn.XLOOKUP($M175,'00_SKU_Master'!$B$2:$B$378,'00_SKU_Master'!$M$2:$M$378,0)/$M$2,"0")</f>
        <v/>
      </c>
      <c r="R173" s="157">
        <f>_xludf.IFNA(H175/_xlfn.XLOOKUP($M175,'00_SKU_Master'!$B$2:$B$378,'00_SKU_Master'!$M$2:$M$378,0)/$M$2,"0")</f>
        <v/>
      </c>
      <c r="S173" s="157">
        <f>_xludf.IFNA(I175/_xlfn.XLOOKUP($M175,'00_SKU_Master'!$B$2:$B$378,'00_SKU_Master'!$M$2:$M$378,0)/$M$2,"0")</f>
        <v/>
      </c>
      <c r="T173" s="157">
        <f>_xludf.IFNA(J175/_xlfn.XLOOKUP($M175,'00_SKU_Master'!$B$2:$B$378,'00_SKU_Master'!$M$2:$M$378,0)/$M$2,"0")</f>
        <v/>
      </c>
      <c r="U173" s="157">
        <f>SUM(N175:T175)</f>
        <v/>
      </c>
      <c r="V173" s="4" t="n"/>
      <c r="W173" s="4">
        <f>_xlfn.XLOOKUP(M175,'00_SKU_Master'!$B$2:$B$378,'00_SKU_Master'!D:D)</f>
        <v/>
      </c>
      <c r="X173" s="14">
        <f>'05_Daily_Orders'!B174</f>
        <v/>
      </c>
      <c r="Y173" s="588" t="n"/>
      <c r="Z173" s="589" t="n"/>
      <c r="AA173" s="589" t="n"/>
      <c r="AB173" s="589" t="n"/>
      <c r="AC173" s="589" t="n">
        <v>0</v>
      </c>
      <c r="AD173" s="589" t="n">
        <v>0</v>
      </c>
      <c r="AE173" s="589" t="n">
        <v>0</v>
      </c>
      <c r="AF173" s="587">
        <f>SUM(Y175:AE175)</f>
        <v/>
      </c>
      <c r="AQ173" s="23" t="n">
        <v>0</v>
      </c>
      <c r="AR173" s="23" t="n">
        <v>0</v>
      </c>
      <c r="AS173" s="23">
        <f>AR175-AQ175</f>
        <v/>
      </c>
    </row>
    <row r="174">
      <c r="A174" s="148">
        <f>_xlfn.XLOOKUP(C176,'00_SKU_Master'!$B$2:$B$378,'00_SKU_Master'!$C$2:$C$378)</f>
        <v/>
      </c>
      <c r="B174" s="148" t="n"/>
      <c r="C174" s="148">
        <f>X176</f>
        <v/>
      </c>
      <c r="D174" s="586">
        <f>_xludf.IFNA(_xlfn.XLOOKUP(C176,'00_SKU_Master'!$B$2:$B$378,'00_SKU_Master'!$F$2:$F$378,0)*Y176,"")</f>
        <v/>
      </c>
      <c r="E174" s="586">
        <f>_xludf.IFNA(_xlfn.XLOOKUP(C176,'00_SKU_Master'!$B$2:$B$378,'00_SKU_Master'!$F$2:$F$378,0)*Z176,"")</f>
        <v/>
      </c>
      <c r="F174" s="586">
        <f>_xludf.IFNA(_xlfn.XLOOKUP(C176,'00_SKU_Master'!$B$2:$B$378,'00_SKU_Master'!$F$2:$F$378,0)*AA176,"")</f>
        <v/>
      </c>
      <c r="G174" s="586">
        <f>_xludf.IFNA(_xlfn.XLOOKUP(C176,'00_SKU_Master'!$B$2:$B$378,'00_SKU_Master'!$F$2:$F$378,0)*AB176,"")</f>
        <v/>
      </c>
      <c r="H174" s="586">
        <f>_xludf.IFNA(_xlfn.XLOOKUP(C176,'00_SKU_Master'!$B$2:$B$378,'00_SKU_Master'!$F$2:$F$378,0)*AC176,"")</f>
        <v/>
      </c>
      <c r="I174" s="586">
        <f>_xludf.IFNA(_xlfn.XLOOKUP(C176,'00_SKU_Master'!$B$2:$B$378,'00_SKU_Master'!$F$2:$F$378,0)*AD176,"")</f>
        <v/>
      </c>
      <c r="J174" s="586">
        <f>_xludf.IFNA(_xlfn.XLOOKUP(C176,'00_SKU_Master'!$B$2:$B$378,'00_SKU_Master'!$F$2:$F$378,0)*AE176,"")</f>
        <v/>
      </c>
      <c r="K174" s="587">
        <f>SUM(D176:J176)</f>
        <v/>
      </c>
      <c r="L174" s="197">
        <f>_xlfn.XLOOKUP(C176,'00_SKU_Master'!$B$2:$B$378,'00_SKU_Master'!K:K)</f>
        <v/>
      </c>
      <c r="M174" s="14">
        <f>X176</f>
        <v/>
      </c>
      <c r="N174" s="157">
        <f>_xludf.IFNA(D176/_xlfn.XLOOKUP($M176,'00_SKU_Master'!$B$2:$B$378,'00_SKU_Master'!$M$2:$M$378,0)/$M$2,"0")</f>
        <v/>
      </c>
      <c r="O174" s="157">
        <f>_xludf.IFNA(E176/_xlfn.XLOOKUP($M176,'00_SKU_Master'!$B$2:$B$378,'00_SKU_Master'!$M$2:$M$378,0)/$M$2,"0")</f>
        <v/>
      </c>
      <c r="P174" s="157">
        <f>_xludf.IFNA(F176/_xlfn.XLOOKUP($M176,'00_SKU_Master'!$B$2:$B$378,'00_SKU_Master'!$M$2:$M$378,0)/$M$2,"0")</f>
        <v/>
      </c>
      <c r="Q174" s="157">
        <f>_xludf.IFNA(G176/_xlfn.XLOOKUP($M176,'00_SKU_Master'!$B$2:$B$378,'00_SKU_Master'!$M$2:$M$378,0)/$M$2,"0")</f>
        <v/>
      </c>
      <c r="R174" s="157">
        <f>_xludf.IFNA(H176/_xlfn.XLOOKUP($M176,'00_SKU_Master'!$B$2:$B$378,'00_SKU_Master'!$M$2:$M$378,0)/$M$2,"0")</f>
        <v/>
      </c>
      <c r="S174" s="157">
        <f>_xludf.IFNA(I176/_xlfn.XLOOKUP($M176,'00_SKU_Master'!$B$2:$B$378,'00_SKU_Master'!$M$2:$M$378,0)/$M$2,"0")</f>
        <v/>
      </c>
      <c r="T174" s="157">
        <f>_xludf.IFNA(J176/_xlfn.XLOOKUP($M176,'00_SKU_Master'!$B$2:$B$378,'00_SKU_Master'!$M$2:$M$378,0)/$M$2,"0")</f>
        <v/>
      </c>
      <c r="U174" s="157">
        <f>SUM(N176:T176)</f>
        <v/>
      </c>
      <c r="V174" s="4" t="n"/>
      <c r="W174" s="4">
        <f>_xlfn.XLOOKUP(M176,'00_SKU_Master'!$B$2:$B$378,'00_SKU_Master'!D:D)</f>
        <v/>
      </c>
      <c r="X174" s="14">
        <f>'05_Daily_Orders'!B175</f>
        <v/>
      </c>
      <c r="Y174" s="588" t="n"/>
      <c r="Z174" s="589" t="n"/>
      <c r="AA174" s="589" t="n"/>
      <c r="AB174" s="589" t="n"/>
      <c r="AC174" s="589" t="n">
        <v>0</v>
      </c>
      <c r="AD174" s="589" t="n">
        <v>0</v>
      </c>
      <c r="AE174" s="589" t="n">
        <v>0</v>
      </c>
      <c r="AF174" s="587">
        <f>SUM(Y176:AE176)</f>
        <v/>
      </c>
      <c r="AQ174" s="23" t="n">
        <v>0</v>
      </c>
      <c r="AR174" s="23" t="n">
        <v>0</v>
      </c>
      <c r="AS174" s="23">
        <f>AR176-AQ176</f>
        <v/>
      </c>
    </row>
    <row r="175">
      <c r="A175" s="148">
        <f>_xlfn.XLOOKUP(C177,'00_SKU_Master'!$B$2:$B$378,'00_SKU_Master'!$C$2:$C$378)</f>
        <v/>
      </c>
      <c r="B175" s="148" t="n"/>
      <c r="C175" s="148">
        <f>X177</f>
        <v/>
      </c>
      <c r="D175" s="586">
        <f>_xludf.IFNA(_xlfn.XLOOKUP(C177,'00_SKU_Master'!$B$2:$B$378,'00_SKU_Master'!$F$2:$F$378,0)*Y177,"")</f>
        <v/>
      </c>
      <c r="E175" s="586">
        <f>_xludf.IFNA(_xlfn.XLOOKUP(C177,'00_SKU_Master'!$B$2:$B$378,'00_SKU_Master'!$F$2:$F$378,0)*Z177,"")</f>
        <v/>
      </c>
      <c r="F175" s="586">
        <f>_xludf.IFNA(_xlfn.XLOOKUP(C177,'00_SKU_Master'!$B$2:$B$378,'00_SKU_Master'!$F$2:$F$378,0)*AA177,"")</f>
        <v/>
      </c>
      <c r="G175" s="586">
        <f>_xludf.IFNA(_xlfn.XLOOKUP(C177,'00_SKU_Master'!$B$2:$B$378,'00_SKU_Master'!$F$2:$F$378,0)*AB177,"")</f>
        <v/>
      </c>
      <c r="H175" s="586">
        <f>_xludf.IFNA(_xlfn.XLOOKUP(C177,'00_SKU_Master'!$B$2:$B$378,'00_SKU_Master'!$F$2:$F$378,0)*AC177,"")</f>
        <v/>
      </c>
      <c r="I175" s="586">
        <f>_xludf.IFNA(_xlfn.XLOOKUP(C177,'00_SKU_Master'!$B$2:$B$378,'00_SKU_Master'!$F$2:$F$378,0)*AD177,"")</f>
        <v/>
      </c>
      <c r="J175" s="586">
        <f>_xludf.IFNA(_xlfn.XLOOKUP(C177,'00_SKU_Master'!$B$2:$B$378,'00_SKU_Master'!$F$2:$F$378,0)*AE177,"")</f>
        <v/>
      </c>
      <c r="K175" s="587">
        <f>SUM(D177:J177)</f>
        <v/>
      </c>
      <c r="L175" s="197">
        <f>_xlfn.XLOOKUP(C177,'00_SKU_Master'!$B$2:$B$378,'00_SKU_Master'!K:K)</f>
        <v/>
      </c>
      <c r="M175" s="14">
        <f>X177</f>
        <v/>
      </c>
      <c r="N175" s="157">
        <f>_xludf.IFNA(D177/_xlfn.XLOOKUP($M177,'00_SKU_Master'!$B$2:$B$378,'00_SKU_Master'!$M$2:$M$378,0)/$M$2,"0")</f>
        <v/>
      </c>
      <c r="O175" s="157">
        <f>_xludf.IFNA(E177/_xlfn.XLOOKUP($M177,'00_SKU_Master'!$B$2:$B$378,'00_SKU_Master'!$M$2:$M$378,0)/$M$2,"0")</f>
        <v/>
      </c>
      <c r="P175" s="157">
        <f>_xludf.IFNA(F177/_xlfn.XLOOKUP($M177,'00_SKU_Master'!$B$2:$B$378,'00_SKU_Master'!$M$2:$M$378,0)/$M$2,"0")</f>
        <v/>
      </c>
      <c r="Q175" s="157">
        <f>_xludf.IFNA(G177/_xlfn.XLOOKUP($M177,'00_SKU_Master'!$B$2:$B$378,'00_SKU_Master'!$M$2:$M$378,0)/$M$2,"0")</f>
        <v/>
      </c>
      <c r="R175" s="157">
        <f>_xludf.IFNA(H177/_xlfn.XLOOKUP($M177,'00_SKU_Master'!$B$2:$B$378,'00_SKU_Master'!$M$2:$M$378,0)/$M$2,"0")</f>
        <v/>
      </c>
      <c r="S175" s="157">
        <f>_xludf.IFNA(I177/_xlfn.XLOOKUP($M177,'00_SKU_Master'!$B$2:$B$378,'00_SKU_Master'!$M$2:$M$378,0)/$M$2,"0")</f>
        <v/>
      </c>
      <c r="T175" s="157">
        <f>_xludf.IFNA(J177/_xlfn.XLOOKUP($M177,'00_SKU_Master'!$B$2:$B$378,'00_SKU_Master'!$M$2:$M$378,0)/$M$2,"0")</f>
        <v/>
      </c>
      <c r="U175" s="157">
        <f>SUM(N177:T177)</f>
        <v/>
      </c>
      <c r="V175" s="4" t="n"/>
      <c r="W175" s="4">
        <f>_xlfn.XLOOKUP(M177,'00_SKU_Master'!$B$2:$B$378,'00_SKU_Master'!D:D)</f>
        <v/>
      </c>
      <c r="X175" s="14">
        <f>'05_Daily_Orders'!B176</f>
        <v/>
      </c>
      <c r="Y175" s="588" t="n"/>
      <c r="Z175" s="589" t="n"/>
      <c r="AA175" s="589" t="n"/>
      <c r="AB175" s="589" t="n"/>
      <c r="AC175" s="589" t="n">
        <v>0</v>
      </c>
      <c r="AD175" s="589" t="n">
        <v>0</v>
      </c>
      <c r="AE175" s="589" t="n">
        <v>0</v>
      </c>
      <c r="AF175" s="587">
        <f>SUM(Y177:AE177)</f>
        <v/>
      </c>
      <c r="AQ175" s="23" t="n">
        <v>0</v>
      </c>
      <c r="AR175" s="23" t="n">
        <v>0</v>
      </c>
      <c r="AS175" s="23">
        <f>AR177-AQ177</f>
        <v/>
      </c>
    </row>
    <row r="176">
      <c r="A176" s="148">
        <f>_xlfn.XLOOKUP(C178,'00_SKU_Master'!$B$2:$B$378,'00_SKU_Master'!$C$2:$C$378)</f>
        <v/>
      </c>
      <c r="B176" s="148" t="n"/>
      <c r="C176" s="148">
        <f>X178</f>
        <v/>
      </c>
      <c r="D176" s="586">
        <f>_xludf.IFNA(_xlfn.XLOOKUP(C178,'00_SKU_Master'!$B$2:$B$378,'00_SKU_Master'!$F$2:$F$378,0)*Y178,"")</f>
        <v/>
      </c>
      <c r="E176" s="586">
        <f>_xludf.IFNA(_xlfn.XLOOKUP(C178,'00_SKU_Master'!$B$2:$B$378,'00_SKU_Master'!$F$2:$F$378,0)*Z178,"")</f>
        <v/>
      </c>
      <c r="F176" s="586">
        <f>_xludf.IFNA(_xlfn.XLOOKUP(C178,'00_SKU_Master'!$B$2:$B$378,'00_SKU_Master'!$F$2:$F$378,0)*AA178,"")</f>
        <v/>
      </c>
      <c r="G176" s="586">
        <f>_xludf.IFNA(_xlfn.XLOOKUP(C178,'00_SKU_Master'!$B$2:$B$378,'00_SKU_Master'!$F$2:$F$378,0)*AB178,"")</f>
        <v/>
      </c>
      <c r="H176" s="586">
        <f>_xludf.IFNA(_xlfn.XLOOKUP(C178,'00_SKU_Master'!$B$2:$B$378,'00_SKU_Master'!$F$2:$F$378,0)*AC178,"")</f>
        <v/>
      </c>
      <c r="I176" s="586">
        <f>_xludf.IFNA(_xlfn.XLOOKUP(C178,'00_SKU_Master'!$B$2:$B$378,'00_SKU_Master'!$F$2:$F$378,0)*AD178,"")</f>
        <v/>
      </c>
      <c r="J176" s="586">
        <f>_xludf.IFNA(_xlfn.XLOOKUP(C178,'00_SKU_Master'!$B$2:$B$378,'00_SKU_Master'!$F$2:$F$378,0)*AE178,"")</f>
        <v/>
      </c>
      <c r="K176" s="587">
        <f>SUM(D178:J178)</f>
        <v/>
      </c>
      <c r="L176" s="197">
        <f>_xlfn.XLOOKUP(C178,'00_SKU_Master'!$B$2:$B$378,'00_SKU_Master'!K:K)</f>
        <v/>
      </c>
      <c r="M176" s="14">
        <f>X178</f>
        <v/>
      </c>
      <c r="N176" s="157">
        <f>_xludf.IFNA(D178/_xlfn.XLOOKUP($M178,'00_SKU_Master'!$B$2:$B$378,'00_SKU_Master'!$M$2:$M$378,0)/$M$2,"0")</f>
        <v/>
      </c>
      <c r="O176" s="157">
        <f>_xludf.IFNA(E178/_xlfn.XLOOKUP($M178,'00_SKU_Master'!$B$2:$B$378,'00_SKU_Master'!$M$2:$M$378,0)/$M$2,"0")</f>
        <v/>
      </c>
      <c r="P176" s="157">
        <f>_xludf.IFNA(F178/_xlfn.XLOOKUP($M178,'00_SKU_Master'!$B$2:$B$378,'00_SKU_Master'!$M$2:$M$378,0)/$M$2,"0")</f>
        <v/>
      </c>
      <c r="Q176" s="157">
        <f>_xludf.IFNA(G178/_xlfn.XLOOKUP($M178,'00_SKU_Master'!$B$2:$B$378,'00_SKU_Master'!$M$2:$M$378,0)/$M$2,"0")</f>
        <v/>
      </c>
      <c r="R176" s="157">
        <f>_xludf.IFNA(H178/_xlfn.XLOOKUP($M178,'00_SKU_Master'!$B$2:$B$378,'00_SKU_Master'!$M$2:$M$378,0)/$M$2,"0")</f>
        <v/>
      </c>
      <c r="S176" s="157">
        <f>_xludf.IFNA(I178/_xlfn.XLOOKUP($M178,'00_SKU_Master'!$B$2:$B$378,'00_SKU_Master'!$M$2:$M$378,0)/$M$2,"0")</f>
        <v/>
      </c>
      <c r="T176" s="157">
        <f>_xludf.IFNA(J178/_xlfn.XLOOKUP($M178,'00_SKU_Master'!$B$2:$B$378,'00_SKU_Master'!$M$2:$M$378,0)/$M$2,"0")</f>
        <v/>
      </c>
      <c r="U176" s="157">
        <f>SUM(N178:T178)</f>
        <v/>
      </c>
      <c r="V176" s="4" t="n"/>
      <c r="W176" s="4">
        <f>_xlfn.XLOOKUP(M178,'00_SKU_Master'!$B$2:$B$378,'00_SKU_Master'!D:D)</f>
        <v/>
      </c>
      <c r="X176" s="14">
        <f>'05_Daily_Orders'!B177</f>
        <v/>
      </c>
      <c r="Y176" s="588" t="n"/>
      <c r="Z176" s="589" t="n"/>
      <c r="AA176" s="589" t="n"/>
      <c r="AB176" s="589" t="n"/>
      <c r="AC176" s="589" t="n">
        <v>0</v>
      </c>
      <c r="AD176" s="589" t="n">
        <v>0</v>
      </c>
      <c r="AE176" s="589" t="n">
        <v>0</v>
      </c>
      <c r="AF176" s="587">
        <f>SUM(Y178:AE178)</f>
        <v/>
      </c>
      <c r="AQ176" s="23" t="n">
        <v>0</v>
      </c>
      <c r="AR176" s="23" t="n">
        <v>0</v>
      </c>
      <c r="AS176" s="23">
        <f>AR178-AQ178</f>
        <v/>
      </c>
    </row>
    <row r="177">
      <c r="A177" s="148">
        <f>_xlfn.XLOOKUP(C179,'00_SKU_Master'!$B$2:$B$378,'00_SKU_Master'!$C$2:$C$378)</f>
        <v/>
      </c>
      <c r="B177" s="148" t="n"/>
      <c r="C177" s="148">
        <f>X179</f>
        <v/>
      </c>
      <c r="D177" s="586">
        <f>_xludf.IFNA(_xlfn.XLOOKUP(C179,'00_SKU_Master'!$B$2:$B$378,'00_SKU_Master'!$F$2:$F$378,0)*Y179,"")</f>
        <v/>
      </c>
      <c r="E177" s="586">
        <f>_xludf.IFNA(_xlfn.XLOOKUP(C179,'00_SKU_Master'!$B$2:$B$378,'00_SKU_Master'!$F$2:$F$378,0)*Z179,"")</f>
        <v/>
      </c>
      <c r="F177" s="586">
        <f>_xludf.IFNA(_xlfn.XLOOKUP(C179,'00_SKU_Master'!$B$2:$B$378,'00_SKU_Master'!$F$2:$F$378,0)*AA179,"")</f>
        <v/>
      </c>
      <c r="G177" s="586">
        <f>_xludf.IFNA(_xlfn.XLOOKUP(C179,'00_SKU_Master'!$B$2:$B$378,'00_SKU_Master'!$F$2:$F$378,0)*AB179,"")</f>
        <v/>
      </c>
      <c r="H177" s="586">
        <f>_xludf.IFNA(_xlfn.XLOOKUP(C179,'00_SKU_Master'!$B$2:$B$378,'00_SKU_Master'!$F$2:$F$378,0)*AC179,"")</f>
        <v/>
      </c>
      <c r="I177" s="586">
        <f>_xludf.IFNA(_xlfn.XLOOKUP(C179,'00_SKU_Master'!$B$2:$B$378,'00_SKU_Master'!$F$2:$F$378,0)*AD179,"")</f>
        <v/>
      </c>
      <c r="J177" s="586">
        <f>_xludf.IFNA(_xlfn.XLOOKUP(C179,'00_SKU_Master'!$B$2:$B$378,'00_SKU_Master'!$F$2:$F$378,0)*AE179,"")</f>
        <v/>
      </c>
      <c r="K177" s="587">
        <f>SUM(D179:J179)</f>
        <v/>
      </c>
      <c r="L177" s="197">
        <f>_xlfn.XLOOKUP(C179,'00_SKU_Master'!$B$2:$B$378,'00_SKU_Master'!K:K)</f>
        <v/>
      </c>
      <c r="M177" s="14">
        <f>X179</f>
        <v/>
      </c>
      <c r="N177" s="157">
        <f>_xludf.IFNA(D179/_xlfn.XLOOKUP($M179,'00_SKU_Master'!$B$2:$B$378,'00_SKU_Master'!$M$2:$M$378,0)/$M$2,"0")</f>
        <v/>
      </c>
      <c r="O177" s="157">
        <f>_xludf.IFNA(E179/_xlfn.XLOOKUP($M179,'00_SKU_Master'!$B$2:$B$378,'00_SKU_Master'!$M$2:$M$378,0)/$M$2,"0")</f>
        <v/>
      </c>
      <c r="P177" s="157">
        <f>_xludf.IFNA(F179/_xlfn.XLOOKUP($M179,'00_SKU_Master'!$B$2:$B$378,'00_SKU_Master'!$M$2:$M$378,0)/$M$2,"0")</f>
        <v/>
      </c>
      <c r="Q177" s="157">
        <f>_xludf.IFNA(G179/_xlfn.XLOOKUP($M179,'00_SKU_Master'!$B$2:$B$378,'00_SKU_Master'!$M$2:$M$378,0)/$M$2,"0")</f>
        <v/>
      </c>
      <c r="R177" s="157">
        <f>_xludf.IFNA(H179/_xlfn.XLOOKUP($M179,'00_SKU_Master'!$B$2:$B$378,'00_SKU_Master'!$M$2:$M$378,0)/$M$2,"0")</f>
        <v/>
      </c>
      <c r="S177" s="157">
        <f>_xludf.IFNA(I179/_xlfn.XLOOKUP($M179,'00_SKU_Master'!$B$2:$B$378,'00_SKU_Master'!$M$2:$M$378,0)/$M$2,"0")</f>
        <v/>
      </c>
      <c r="T177" s="157">
        <f>_xludf.IFNA(J179/_xlfn.XLOOKUP($M179,'00_SKU_Master'!$B$2:$B$378,'00_SKU_Master'!$M$2:$M$378,0)/$M$2,"0")</f>
        <v/>
      </c>
      <c r="U177" s="157">
        <f>SUM(N179:T179)</f>
        <v/>
      </c>
      <c r="V177" s="4" t="n"/>
      <c r="W177" s="4">
        <f>_xlfn.XLOOKUP(M179,'00_SKU_Master'!$B$2:$B$378,'00_SKU_Master'!D:D)</f>
        <v/>
      </c>
      <c r="X177" s="14">
        <f>'05_Daily_Orders'!B178</f>
        <v/>
      </c>
      <c r="Y177" s="588" t="n"/>
      <c r="Z177" s="589" t="n"/>
      <c r="AA177" s="589" t="n"/>
      <c r="AB177" s="589" t="n"/>
      <c r="AC177" s="589" t="n">
        <v>0</v>
      </c>
      <c r="AD177" s="589" t="n">
        <v>0</v>
      </c>
      <c r="AE177" s="589" t="n">
        <v>0</v>
      </c>
      <c r="AF177" s="587">
        <f>SUM(Y179:AE179)</f>
        <v/>
      </c>
      <c r="AQ177" s="23" t="n">
        <v>0</v>
      </c>
      <c r="AR177" s="23" t="n">
        <v>0</v>
      </c>
      <c r="AS177" s="23">
        <f>AR179-AQ179</f>
        <v/>
      </c>
    </row>
    <row r="178">
      <c r="A178" s="148">
        <f>_xlfn.XLOOKUP(C180,'00_SKU_Master'!$B$2:$B$378,'00_SKU_Master'!$C$2:$C$378)</f>
        <v/>
      </c>
      <c r="B178" s="148" t="n"/>
      <c r="C178" s="148">
        <f>X180</f>
        <v/>
      </c>
      <c r="D178" s="586">
        <f>_xludf.IFNA(_xlfn.XLOOKUP(C180,'00_SKU_Master'!$B$2:$B$378,'00_SKU_Master'!$F$2:$F$378,0)*Y180,"")</f>
        <v/>
      </c>
      <c r="E178" s="586">
        <f>_xludf.IFNA(_xlfn.XLOOKUP(C180,'00_SKU_Master'!$B$2:$B$378,'00_SKU_Master'!$F$2:$F$378,0)*Z180,"")</f>
        <v/>
      </c>
      <c r="F178" s="586">
        <f>_xludf.IFNA(_xlfn.XLOOKUP(C180,'00_SKU_Master'!$B$2:$B$378,'00_SKU_Master'!$F$2:$F$378,0)*AA180,"")</f>
        <v/>
      </c>
      <c r="G178" s="586">
        <f>_xludf.IFNA(_xlfn.XLOOKUP(C180,'00_SKU_Master'!$B$2:$B$378,'00_SKU_Master'!$F$2:$F$378,0)*AB180,"")</f>
        <v/>
      </c>
      <c r="H178" s="586">
        <f>_xludf.IFNA(_xlfn.XLOOKUP(C180,'00_SKU_Master'!$B$2:$B$378,'00_SKU_Master'!$F$2:$F$378,0)*AC180,"")</f>
        <v/>
      </c>
      <c r="I178" s="586">
        <f>_xludf.IFNA(_xlfn.XLOOKUP(C180,'00_SKU_Master'!$B$2:$B$378,'00_SKU_Master'!$F$2:$F$378,0)*AD180,"")</f>
        <v/>
      </c>
      <c r="J178" s="586">
        <f>_xludf.IFNA(_xlfn.XLOOKUP(C180,'00_SKU_Master'!$B$2:$B$378,'00_SKU_Master'!$F$2:$F$378,0)*AE180,"")</f>
        <v/>
      </c>
      <c r="K178" s="587">
        <f>SUM(D180:J180)</f>
        <v/>
      </c>
      <c r="L178" s="197">
        <f>_xlfn.XLOOKUP(C180,'00_SKU_Master'!$B$2:$B$378,'00_SKU_Master'!K:K)</f>
        <v/>
      </c>
      <c r="M178" s="14">
        <f>X180</f>
        <v/>
      </c>
      <c r="N178" s="157">
        <f>_xludf.IFNA(D180/_xlfn.XLOOKUP($M180,'00_SKU_Master'!$B$2:$B$378,'00_SKU_Master'!$M$2:$M$378,0)/$M$2,"0")</f>
        <v/>
      </c>
      <c r="O178" s="157">
        <f>_xludf.IFNA(E180/_xlfn.XLOOKUP($M180,'00_SKU_Master'!$B$2:$B$378,'00_SKU_Master'!$M$2:$M$378,0)/$M$2,"0")</f>
        <v/>
      </c>
      <c r="P178" s="157">
        <f>_xludf.IFNA(F180/_xlfn.XLOOKUP($M180,'00_SKU_Master'!$B$2:$B$378,'00_SKU_Master'!$M$2:$M$378,0)/$M$2,"0")</f>
        <v/>
      </c>
      <c r="Q178" s="157">
        <f>_xludf.IFNA(G180/_xlfn.XLOOKUP($M180,'00_SKU_Master'!$B$2:$B$378,'00_SKU_Master'!$M$2:$M$378,0)/$M$2,"0")</f>
        <v/>
      </c>
      <c r="R178" s="157">
        <f>_xludf.IFNA(H180/_xlfn.XLOOKUP($M180,'00_SKU_Master'!$B$2:$B$378,'00_SKU_Master'!$M$2:$M$378,0)/$M$2,"0")</f>
        <v/>
      </c>
      <c r="S178" s="157">
        <f>_xludf.IFNA(I180/_xlfn.XLOOKUP($M180,'00_SKU_Master'!$B$2:$B$378,'00_SKU_Master'!$M$2:$M$378,0)/$M$2,"0")</f>
        <v/>
      </c>
      <c r="T178" s="157">
        <f>_xludf.IFNA(J180/_xlfn.XLOOKUP($M180,'00_SKU_Master'!$B$2:$B$378,'00_SKU_Master'!$M$2:$M$378,0)/$M$2,"0")</f>
        <v/>
      </c>
      <c r="U178" s="157">
        <f>SUM(N180:T180)</f>
        <v/>
      </c>
      <c r="V178" s="4" t="n"/>
      <c r="W178" s="4">
        <f>_xlfn.XLOOKUP(M180,'00_SKU_Master'!$B$2:$B$378,'00_SKU_Master'!D:D)</f>
        <v/>
      </c>
      <c r="X178" s="14">
        <f>'05_Daily_Orders'!B179</f>
        <v/>
      </c>
      <c r="Y178" s="588" t="n"/>
      <c r="Z178" s="589" t="n"/>
      <c r="AA178" s="589" t="n"/>
      <c r="AB178" s="589" t="n"/>
      <c r="AC178" s="589" t="n">
        <v>0</v>
      </c>
      <c r="AD178" s="589" t="n">
        <v>0</v>
      </c>
      <c r="AE178" s="589" t="n">
        <v>0</v>
      </c>
      <c r="AF178" s="587">
        <f>SUM(Y180:AE180)</f>
        <v/>
      </c>
      <c r="AQ178" s="23" t="n">
        <v>0</v>
      </c>
      <c r="AR178" s="23" t="n">
        <v>0</v>
      </c>
      <c r="AS178" s="23">
        <f>AR180-AQ180</f>
        <v/>
      </c>
    </row>
    <row r="179">
      <c r="A179" s="148">
        <f>_xlfn.XLOOKUP(C181,'00_SKU_Master'!$B$2:$B$378,'00_SKU_Master'!$C$2:$C$378)</f>
        <v/>
      </c>
      <c r="B179" s="148" t="n"/>
      <c r="C179" s="148">
        <f>X181</f>
        <v/>
      </c>
      <c r="D179" s="586">
        <f>_xludf.IFNA(_xlfn.XLOOKUP(C181,'00_SKU_Master'!$B$2:$B$378,'00_SKU_Master'!$F$2:$F$378,0)*Y181,"")</f>
        <v/>
      </c>
      <c r="E179" s="586">
        <f>_xludf.IFNA(_xlfn.XLOOKUP(C181,'00_SKU_Master'!$B$2:$B$378,'00_SKU_Master'!$F$2:$F$378,0)*Z181,"")</f>
        <v/>
      </c>
      <c r="F179" s="586">
        <f>_xludf.IFNA(_xlfn.XLOOKUP(C181,'00_SKU_Master'!$B$2:$B$378,'00_SKU_Master'!$F$2:$F$378,0)*AA181,"")</f>
        <v/>
      </c>
      <c r="G179" s="586">
        <f>_xludf.IFNA(_xlfn.XLOOKUP(C181,'00_SKU_Master'!$B$2:$B$378,'00_SKU_Master'!$F$2:$F$378,0)*AB181,"")</f>
        <v/>
      </c>
      <c r="H179" s="586">
        <f>_xludf.IFNA(_xlfn.XLOOKUP(C181,'00_SKU_Master'!$B$2:$B$378,'00_SKU_Master'!$F$2:$F$378,0)*AC181,"")</f>
        <v/>
      </c>
      <c r="I179" s="586">
        <f>_xludf.IFNA(_xlfn.XLOOKUP(C181,'00_SKU_Master'!$B$2:$B$378,'00_SKU_Master'!$F$2:$F$378,0)*AD181,"")</f>
        <v/>
      </c>
      <c r="J179" s="586">
        <f>_xludf.IFNA(_xlfn.XLOOKUP(C181,'00_SKU_Master'!$B$2:$B$378,'00_SKU_Master'!$F$2:$F$378,0)*AE181,"")</f>
        <v/>
      </c>
      <c r="K179" s="587">
        <f>SUM(D181:J181)</f>
        <v/>
      </c>
      <c r="L179" s="197">
        <f>_xlfn.XLOOKUP(C181,'00_SKU_Master'!$B$2:$B$378,'00_SKU_Master'!K:K)</f>
        <v/>
      </c>
      <c r="M179" s="14">
        <f>X181</f>
        <v/>
      </c>
      <c r="N179" s="157">
        <f>_xludf.IFNA(D181/_xlfn.XLOOKUP($M181,'00_SKU_Master'!$B$2:$B$378,'00_SKU_Master'!$M$2:$M$378,0)/$M$2,"0")</f>
        <v/>
      </c>
      <c r="O179" s="157">
        <f>_xludf.IFNA(E181/_xlfn.XLOOKUP($M181,'00_SKU_Master'!$B$2:$B$378,'00_SKU_Master'!$M$2:$M$378,0)/$M$2,"0")</f>
        <v/>
      </c>
      <c r="P179" s="157">
        <f>_xludf.IFNA(F181/_xlfn.XLOOKUP($M181,'00_SKU_Master'!$B$2:$B$378,'00_SKU_Master'!$M$2:$M$378,0)/$M$2,"0")</f>
        <v/>
      </c>
      <c r="Q179" s="157">
        <f>_xludf.IFNA(G181/_xlfn.XLOOKUP($M181,'00_SKU_Master'!$B$2:$B$378,'00_SKU_Master'!$M$2:$M$378,0)/$M$2,"0")</f>
        <v/>
      </c>
      <c r="R179" s="157">
        <f>_xludf.IFNA(H181/_xlfn.XLOOKUP($M181,'00_SKU_Master'!$B$2:$B$378,'00_SKU_Master'!$M$2:$M$378,0)/$M$2,"0")</f>
        <v/>
      </c>
      <c r="S179" s="157">
        <f>_xludf.IFNA(I181/_xlfn.XLOOKUP($M181,'00_SKU_Master'!$B$2:$B$378,'00_SKU_Master'!$M$2:$M$378,0)/$M$2,"0")</f>
        <v/>
      </c>
      <c r="T179" s="157">
        <f>_xludf.IFNA(J181/_xlfn.XLOOKUP($M181,'00_SKU_Master'!$B$2:$B$378,'00_SKU_Master'!$M$2:$M$378,0)/$M$2,"0")</f>
        <v/>
      </c>
      <c r="U179" s="157">
        <f>SUM(N181:T181)</f>
        <v/>
      </c>
      <c r="V179" s="4" t="n"/>
      <c r="W179" s="4">
        <f>_xlfn.XLOOKUP(M181,'00_SKU_Master'!$B$2:$B$378,'00_SKU_Master'!D:D)</f>
        <v/>
      </c>
      <c r="X179" s="14">
        <f>'05_Daily_Orders'!B180</f>
        <v/>
      </c>
      <c r="Y179" s="588" t="n"/>
      <c r="Z179" s="589" t="n"/>
      <c r="AA179" s="589" t="n"/>
      <c r="AB179" s="589" t="n"/>
      <c r="AC179" s="589" t="n">
        <v>0</v>
      </c>
      <c r="AD179" s="589" t="n">
        <v>0</v>
      </c>
      <c r="AE179" s="589" t="n">
        <v>0</v>
      </c>
      <c r="AF179" s="587">
        <f>SUM(Y181:AE181)</f>
        <v/>
      </c>
      <c r="AQ179" s="23" t="n">
        <v>0</v>
      </c>
      <c r="AR179" s="23" t="n">
        <v>0</v>
      </c>
      <c r="AS179" s="23">
        <f>AR181-AQ181</f>
        <v/>
      </c>
    </row>
    <row r="180">
      <c r="A180" s="148">
        <f>_xlfn.XLOOKUP(C182,'00_SKU_Master'!$B$2:$B$378,'00_SKU_Master'!$C$2:$C$378)</f>
        <v/>
      </c>
      <c r="B180" s="148" t="n"/>
      <c r="C180" s="148">
        <f>X182</f>
        <v/>
      </c>
      <c r="D180" s="586">
        <f>_xludf.IFNA(_xlfn.XLOOKUP(C182,'00_SKU_Master'!$B$2:$B$378,'00_SKU_Master'!$F$2:$F$378,0)*Y182,"")</f>
        <v/>
      </c>
      <c r="E180" s="586">
        <f>_xludf.IFNA(_xlfn.XLOOKUP(C182,'00_SKU_Master'!$B$2:$B$378,'00_SKU_Master'!$F$2:$F$378,0)*Z182,"")</f>
        <v/>
      </c>
      <c r="F180" s="586">
        <f>_xludf.IFNA(_xlfn.XLOOKUP(C182,'00_SKU_Master'!$B$2:$B$378,'00_SKU_Master'!$F$2:$F$378,0)*AA182,"")</f>
        <v/>
      </c>
      <c r="G180" s="586">
        <f>_xludf.IFNA(_xlfn.XLOOKUP(C182,'00_SKU_Master'!$B$2:$B$378,'00_SKU_Master'!$F$2:$F$378,0)*AB182,"")</f>
        <v/>
      </c>
      <c r="H180" s="586">
        <f>_xludf.IFNA(_xlfn.XLOOKUP(C182,'00_SKU_Master'!$B$2:$B$378,'00_SKU_Master'!$F$2:$F$378,0)*AC182,"")</f>
        <v/>
      </c>
      <c r="I180" s="586">
        <f>_xludf.IFNA(_xlfn.XLOOKUP(C182,'00_SKU_Master'!$B$2:$B$378,'00_SKU_Master'!$F$2:$F$378,0)*AD182,"")</f>
        <v/>
      </c>
      <c r="J180" s="586">
        <f>_xludf.IFNA(_xlfn.XLOOKUP(C182,'00_SKU_Master'!$B$2:$B$378,'00_SKU_Master'!$F$2:$F$378,0)*AE182,"")</f>
        <v/>
      </c>
      <c r="K180" s="587">
        <f>SUM(D182:J182)</f>
        <v/>
      </c>
      <c r="L180" s="197">
        <f>_xlfn.XLOOKUP(C182,'00_SKU_Master'!$B$2:$B$378,'00_SKU_Master'!K:K)</f>
        <v/>
      </c>
      <c r="M180" s="14">
        <f>X182</f>
        <v/>
      </c>
      <c r="N180" s="157">
        <f>_xludf.IFNA(D182/_xlfn.XLOOKUP($M182,'00_SKU_Master'!$B$2:$B$378,'00_SKU_Master'!$M$2:$M$378,0)/$M$2,"0")</f>
        <v/>
      </c>
      <c r="O180" s="157">
        <f>_xludf.IFNA(E182/_xlfn.XLOOKUP($M182,'00_SKU_Master'!$B$2:$B$378,'00_SKU_Master'!$M$2:$M$378,0)/$M$2,"0")</f>
        <v/>
      </c>
      <c r="P180" s="157">
        <f>_xludf.IFNA(F182/_xlfn.XLOOKUP($M182,'00_SKU_Master'!$B$2:$B$378,'00_SKU_Master'!$M$2:$M$378,0)/$M$2,"0")</f>
        <v/>
      </c>
      <c r="Q180" s="157">
        <f>_xludf.IFNA(G182/_xlfn.XLOOKUP($M182,'00_SKU_Master'!$B$2:$B$378,'00_SKU_Master'!$M$2:$M$378,0)/$M$2,"0")</f>
        <v/>
      </c>
      <c r="R180" s="157">
        <f>_xludf.IFNA(H182/_xlfn.XLOOKUP($M182,'00_SKU_Master'!$B$2:$B$378,'00_SKU_Master'!$M$2:$M$378,0)/$M$2,"0")</f>
        <v/>
      </c>
      <c r="S180" s="157">
        <f>_xludf.IFNA(I182/_xlfn.XLOOKUP($M182,'00_SKU_Master'!$B$2:$B$378,'00_SKU_Master'!$M$2:$M$378,0)/$M$2,"0")</f>
        <v/>
      </c>
      <c r="T180" s="157">
        <f>_xludf.IFNA(J182/_xlfn.XLOOKUP($M182,'00_SKU_Master'!$B$2:$B$378,'00_SKU_Master'!$M$2:$M$378,0)/$M$2,"0")</f>
        <v/>
      </c>
      <c r="U180" s="157">
        <f>SUM(N182:T182)</f>
        <v/>
      </c>
      <c r="V180" s="4" t="n"/>
      <c r="W180" s="4">
        <f>_xlfn.XLOOKUP(M182,'00_SKU_Master'!$B$2:$B$378,'00_SKU_Master'!D:D)</f>
        <v/>
      </c>
      <c r="X180" s="14">
        <f>'05_Daily_Orders'!B181</f>
        <v/>
      </c>
      <c r="Y180" s="588" t="n"/>
      <c r="Z180" s="589" t="n"/>
      <c r="AA180" s="589" t="n"/>
      <c r="AB180" s="589" t="n"/>
      <c r="AC180" s="589" t="n">
        <v>0</v>
      </c>
      <c r="AD180" s="589" t="n">
        <v>0</v>
      </c>
      <c r="AE180" s="589" t="n">
        <v>0</v>
      </c>
      <c r="AF180" s="587">
        <f>SUM(Y182:AE182)</f>
        <v/>
      </c>
      <c r="AQ180" s="23" t="n">
        <v>0</v>
      </c>
      <c r="AR180" s="23" t="n">
        <v>0</v>
      </c>
      <c r="AS180" s="23">
        <f>AR182-AQ182</f>
        <v/>
      </c>
    </row>
    <row r="181">
      <c r="A181" s="148">
        <f>_xlfn.XLOOKUP(C183,'00_SKU_Master'!$B$2:$B$378,'00_SKU_Master'!$C$2:$C$378)</f>
        <v/>
      </c>
      <c r="B181" s="148" t="n"/>
      <c r="C181" s="148">
        <f>X183</f>
        <v/>
      </c>
      <c r="D181" s="586">
        <f>_xludf.IFNA(_xlfn.XLOOKUP(C183,'00_SKU_Master'!$B$2:$B$378,'00_SKU_Master'!$F$2:$F$378,0)*Y183,"")</f>
        <v/>
      </c>
      <c r="E181" s="586">
        <f>_xludf.IFNA(_xlfn.XLOOKUP(C183,'00_SKU_Master'!$B$2:$B$378,'00_SKU_Master'!$F$2:$F$378,0)*Z183,"")</f>
        <v/>
      </c>
      <c r="F181" s="586">
        <f>_xludf.IFNA(_xlfn.XLOOKUP(C183,'00_SKU_Master'!$B$2:$B$378,'00_SKU_Master'!$F$2:$F$378,0)*AA183,"")</f>
        <v/>
      </c>
      <c r="G181" s="586">
        <f>_xludf.IFNA(_xlfn.XLOOKUP(C183,'00_SKU_Master'!$B$2:$B$378,'00_SKU_Master'!$F$2:$F$378,0)*AB183,"")</f>
        <v/>
      </c>
      <c r="H181" s="586">
        <f>_xludf.IFNA(_xlfn.XLOOKUP(C183,'00_SKU_Master'!$B$2:$B$378,'00_SKU_Master'!$F$2:$F$378,0)*AC183,"")</f>
        <v/>
      </c>
      <c r="I181" s="586">
        <f>_xludf.IFNA(_xlfn.XLOOKUP(C183,'00_SKU_Master'!$B$2:$B$378,'00_SKU_Master'!$F$2:$F$378,0)*AD183,"")</f>
        <v/>
      </c>
      <c r="J181" s="586">
        <f>_xludf.IFNA(_xlfn.XLOOKUP(C183,'00_SKU_Master'!$B$2:$B$378,'00_SKU_Master'!$F$2:$F$378,0)*AE183,"")</f>
        <v/>
      </c>
      <c r="K181" s="587">
        <f>SUM(D183:J183)</f>
        <v/>
      </c>
      <c r="L181" s="197">
        <f>_xlfn.XLOOKUP(C183,'00_SKU_Master'!$B$2:$B$378,'00_SKU_Master'!K:K)</f>
        <v/>
      </c>
      <c r="M181" s="14">
        <f>X183</f>
        <v/>
      </c>
      <c r="N181" s="157">
        <f>_xludf.IFNA(D183/_xlfn.XLOOKUP($M183,'00_SKU_Master'!$B$2:$B$378,'00_SKU_Master'!$M$2:$M$378,0)/$M$2,"0")</f>
        <v/>
      </c>
      <c r="O181" s="157">
        <f>_xludf.IFNA(E183/_xlfn.XLOOKUP($M183,'00_SKU_Master'!$B$2:$B$378,'00_SKU_Master'!$M$2:$M$378,0)/$M$2,"0")</f>
        <v/>
      </c>
      <c r="P181" s="157">
        <f>_xludf.IFNA(F183/_xlfn.XLOOKUP($M183,'00_SKU_Master'!$B$2:$B$378,'00_SKU_Master'!$M$2:$M$378,0)/$M$2,"0")</f>
        <v/>
      </c>
      <c r="Q181" s="157">
        <f>_xludf.IFNA(G183/_xlfn.XLOOKUP($M183,'00_SKU_Master'!$B$2:$B$378,'00_SKU_Master'!$M$2:$M$378,0)/$M$2,"0")</f>
        <v/>
      </c>
      <c r="R181" s="157">
        <f>_xludf.IFNA(H183/_xlfn.XLOOKUP($M183,'00_SKU_Master'!$B$2:$B$378,'00_SKU_Master'!$M$2:$M$378,0)/$M$2,"0")</f>
        <v/>
      </c>
      <c r="S181" s="157">
        <f>_xludf.IFNA(I183/_xlfn.XLOOKUP($M183,'00_SKU_Master'!$B$2:$B$378,'00_SKU_Master'!$M$2:$M$378,0)/$M$2,"0")</f>
        <v/>
      </c>
      <c r="T181" s="157">
        <f>_xludf.IFNA(J183/_xlfn.XLOOKUP($M183,'00_SKU_Master'!$B$2:$B$378,'00_SKU_Master'!$M$2:$M$378,0)/$M$2,"0")</f>
        <v/>
      </c>
      <c r="U181" s="157">
        <f>SUM(N183:T183)</f>
        <v/>
      </c>
      <c r="V181" s="4" t="n"/>
      <c r="W181" s="4">
        <f>_xlfn.XLOOKUP(M183,'00_SKU_Master'!$B$2:$B$378,'00_SKU_Master'!D:D)</f>
        <v/>
      </c>
      <c r="X181" s="14">
        <f>'05_Daily_Orders'!B182</f>
        <v/>
      </c>
      <c r="Y181" s="588" t="n"/>
      <c r="Z181" s="589" t="n"/>
      <c r="AA181" s="589" t="n"/>
      <c r="AB181" s="589" t="n"/>
      <c r="AC181" s="589" t="n">
        <v>0</v>
      </c>
      <c r="AD181" s="589" t="n">
        <v>0</v>
      </c>
      <c r="AE181" s="589" t="n">
        <v>0</v>
      </c>
      <c r="AF181" s="587">
        <f>SUM(Y183:AE183)</f>
        <v/>
      </c>
      <c r="AQ181" s="23" t="n">
        <v>0</v>
      </c>
      <c r="AR181" s="23" t="n">
        <v>0</v>
      </c>
      <c r="AS181" s="23">
        <f>AR183-AQ183</f>
        <v/>
      </c>
    </row>
    <row r="182">
      <c r="A182" s="148">
        <f>_xlfn.XLOOKUP(C184,'00_SKU_Master'!$B$2:$B$378,'00_SKU_Master'!$C$2:$C$378)</f>
        <v/>
      </c>
      <c r="B182" s="148" t="n"/>
      <c r="C182" s="148">
        <f>X184</f>
        <v/>
      </c>
      <c r="D182" s="586">
        <f>_xludf.IFNA(_xlfn.XLOOKUP(C184,'00_SKU_Master'!$B$2:$B$378,'00_SKU_Master'!$F$2:$F$378,0)*Y184,"")</f>
        <v/>
      </c>
      <c r="E182" s="586">
        <f>_xludf.IFNA(_xlfn.XLOOKUP(C184,'00_SKU_Master'!$B$2:$B$378,'00_SKU_Master'!$F$2:$F$378,0)*Z184,"")</f>
        <v/>
      </c>
      <c r="F182" s="586">
        <f>_xludf.IFNA(_xlfn.XLOOKUP(C184,'00_SKU_Master'!$B$2:$B$378,'00_SKU_Master'!$F$2:$F$378,0)*AA184,"")</f>
        <v/>
      </c>
      <c r="G182" s="586">
        <f>_xludf.IFNA(_xlfn.XLOOKUP(C184,'00_SKU_Master'!$B$2:$B$378,'00_SKU_Master'!$F$2:$F$378,0)*AB184,"")</f>
        <v/>
      </c>
      <c r="H182" s="586">
        <f>_xludf.IFNA(_xlfn.XLOOKUP(C184,'00_SKU_Master'!$B$2:$B$378,'00_SKU_Master'!$F$2:$F$378,0)*AC184,"")</f>
        <v/>
      </c>
      <c r="I182" s="586">
        <f>_xludf.IFNA(_xlfn.XLOOKUP(C184,'00_SKU_Master'!$B$2:$B$378,'00_SKU_Master'!$F$2:$F$378,0)*AD184,"")</f>
        <v/>
      </c>
      <c r="J182" s="586">
        <f>_xludf.IFNA(_xlfn.XLOOKUP(C184,'00_SKU_Master'!$B$2:$B$378,'00_SKU_Master'!$F$2:$F$378,0)*AE184,"")</f>
        <v/>
      </c>
      <c r="K182" s="587">
        <f>SUM(D184:J184)</f>
        <v/>
      </c>
      <c r="L182" s="197">
        <f>_xlfn.XLOOKUP(C184,'00_SKU_Master'!$B$2:$B$378,'00_SKU_Master'!K:K)</f>
        <v/>
      </c>
      <c r="M182" s="14">
        <f>X184</f>
        <v/>
      </c>
      <c r="N182" s="157">
        <f>_xludf.IFNA(D184/_xlfn.XLOOKUP($M184,'00_SKU_Master'!$B$2:$B$378,'00_SKU_Master'!$M$2:$M$378,0)/$M$2,"0")</f>
        <v/>
      </c>
      <c r="O182" s="157">
        <f>_xludf.IFNA(E184/_xlfn.XLOOKUP($M184,'00_SKU_Master'!$B$2:$B$378,'00_SKU_Master'!$M$2:$M$378,0)/$M$2,"0")</f>
        <v/>
      </c>
      <c r="P182" s="157">
        <f>_xludf.IFNA(F184/_xlfn.XLOOKUP($M184,'00_SKU_Master'!$B$2:$B$378,'00_SKU_Master'!$M$2:$M$378,0)/$M$2,"0")</f>
        <v/>
      </c>
      <c r="Q182" s="157">
        <f>_xludf.IFNA(G184/_xlfn.XLOOKUP($M184,'00_SKU_Master'!$B$2:$B$378,'00_SKU_Master'!$M$2:$M$378,0)/$M$2,"0")</f>
        <v/>
      </c>
      <c r="R182" s="157">
        <f>_xludf.IFNA(H184/_xlfn.XLOOKUP($M184,'00_SKU_Master'!$B$2:$B$378,'00_SKU_Master'!$M$2:$M$378,0)/$M$2,"0")</f>
        <v/>
      </c>
      <c r="S182" s="157">
        <f>_xludf.IFNA(I184/_xlfn.XLOOKUP($M184,'00_SKU_Master'!$B$2:$B$378,'00_SKU_Master'!$M$2:$M$378,0)/$M$2,"0")</f>
        <v/>
      </c>
      <c r="T182" s="157">
        <f>_xludf.IFNA(J184/_xlfn.XLOOKUP($M184,'00_SKU_Master'!$B$2:$B$378,'00_SKU_Master'!$M$2:$M$378,0)/$M$2,"0")</f>
        <v/>
      </c>
      <c r="U182" s="157">
        <f>SUM(N184:T184)</f>
        <v/>
      </c>
      <c r="V182" s="4" t="n"/>
      <c r="W182" s="4">
        <f>_xlfn.XLOOKUP(M184,'00_SKU_Master'!$B$2:$B$378,'00_SKU_Master'!D:D)</f>
        <v/>
      </c>
      <c r="X182" s="14">
        <f>'05_Daily_Orders'!B183</f>
        <v/>
      </c>
      <c r="Y182" s="588" t="n"/>
      <c r="Z182" s="589" t="n"/>
      <c r="AA182" s="589" t="n"/>
      <c r="AB182" s="589" t="n"/>
      <c r="AC182" s="589" t="n">
        <v>0</v>
      </c>
      <c r="AD182" s="589" t="n">
        <v>0</v>
      </c>
      <c r="AE182" s="589" t="n">
        <v>0</v>
      </c>
      <c r="AF182" s="587">
        <f>SUM(Y184:AE184)</f>
        <v/>
      </c>
      <c r="AQ182" s="23" t="n">
        <v>0</v>
      </c>
      <c r="AR182" s="23" t="n">
        <v>0</v>
      </c>
      <c r="AS182" s="23">
        <f>AR184-AQ184</f>
        <v/>
      </c>
    </row>
    <row r="183">
      <c r="A183" s="148">
        <f>_xlfn.XLOOKUP(C185,'00_SKU_Master'!$B$2:$B$378,'00_SKU_Master'!$C$2:$C$378)</f>
        <v/>
      </c>
      <c r="B183" s="148" t="n"/>
      <c r="C183" s="148">
        <f>X185</f>
        <v/>
      </c>
      <c r="D183" s="586">
        <f>_xludf.IFNA(_xlfn.XLOOKUP(C185,'00_SKU_Master'!$B$2:$B$378,'00_SKU_Master'!$F$2:$F$378,0)*Y185,"")</f>
        <v/>
      </c>
      <c r="E183" s="586">
        <f>_xludf.IFNA(_xlfn.XLOOKUP(C185,'00_SKU_Master'!$B$2:$B$378,'00_SKU_Master'!$F$2:$F$378,0)*Z185,"")</f>
        <v/>
      </c>
      <c r="F183" s="586">
        <f>_xludf.IFNA(_xlfn.XLOOKUP(C185,'00_SKU_Master'!$B$2:$B$378,'00_SKU_Master'!$F$2:$F$378,0)*AA185,"")</f>
        <v/>
      </c>
      <c r="G183" s="586">
        <f>_xludf.IFNA(_xlfn.XLOOKUP(C185,'00_SKU_Master'!$B$2:$B$378,'00_SKU_Master'!$F$2:$F$378,0)*AB185,"")</f>
        <v/>
      </c>
      <c r="H183" s="586">
        <f>_xludf.IFNA(_xlfn.XLOOKUP(C185,'00_SKU_Master'!$B$2:$B$378,'00_SKU_Master'!$F$2:$F$378,0)*AC185,"")</f>
        <v/>
      </c>
      <c r="I183" s="586">
        <f>_xludf.IFNA(_xlfn.XLOOKUP(C185,'00_SKU_Master'!$B$2:$B$378,'00_SKU_Master'!$F$2:$F$378,0)*AD185,"")</f>
        <v/>
      </c>
      <c r="J183" s="586">
        <f>_xludf.IFNA(_xlfn.XLOOKUP(C185,'00_SKU_Master'!$B$2:$B$378,'00_SKU_Master'!$F$2:$F$378,0)*AE185,"")</f>
        <v/>
      </c>
      <c r="K183" s="587">
        <f>SUM(D185:J185)</f>
        <v/>
      </c>
      <c r="L183" s="197">
        <f>_xlfn.XLOOKUP(C185,'00_SKU_Master'!$B$2:$B$378,'00_SKU_Master'!K:K)</f>
        <v/>
      </c>
      <c r="M183" s="14">
        <f>X185</f>
        <v/>
      </c>
      <c r="N183" s="157">
        <f>_xludf.IFNA(D185/_xlfn.XLOOKUP($M185,'00_SKU_Master'!$B$2:$B$378,'00_SKU_Master'!$M$2:$M$378,0)/$M$2,"0")</f>
        <v/>
      </c>
      <c r="O183" s="157">
        <f>_xludf.IFNA(E185/_xlfn.XLOOKUP($M185,'00_SKU_Master'!$B$2:$B$378,'00_SKU_Master'!$M$2:$M$378,0)/$M$2,"0")</f>
        <v/>
      </c>
      <c r="P183" s="157">
        <f>_xludf.IFNA(F185/_xlfn.XLOOKUP($M185,'00_SKU_Master'!$B$2:$B$378,'00_SKU_Master'!$M$2:$M$378,0)/$M$2,"0")</f>
        <v/>
      </c>
      <c r="Q183" s="157">
        <f>_xludf.IFNA(G185/_xlfn.XLOOKUP($M185,'00_SKU_Master'!$B$2:$B$378,'00_SKU_Master'!$M$2:$M$378,0)/$M$2,"0")</f>
        <v/>
      </c>
      <c r="R183" s="157">
        <f>_xludf.IFNA(H185/_xlfn.XLOOKUP($M185,'00_SKU_Master'!$B$2:$B$378,'00_SKU_Master'!$M$2:$M$378,0)/$M$2,"0")</f>
        <v/>
      </c>
      <c r="S183" s="157">
        <f>_xludf.IFNA(I185/_xlfn.XLOOKUP($M185,'00_SKU_Master'!$B$2:$B$378,'00_SKU_Master'!$M$2:$M$378,0)/$M$2,"0")</f>
        <v/>
      </c>
      <c r="T183" s="157">
        <f>_xludf.IFNA(J185/_xlfn.XLOOKUP($M185,'00_SKU_Master'!$B$2:$B$378,'00_SKU_Master'!$M$2:$M$378,0)/$M$2,"0")</f>
        <v/>
      </c>
      <c r="U183" s="157">
        <f>SUM(N185:T185)</f>
        <v/>
      </c>
      <c r="V183" s="4" t="n"/>
      <c r="W183" s="4">
        <f>_xlfn.XLOOKUP(M185,'00_SKU_Master'!$B$2:$B$378,'00_SKU_Master'!D:D)</f>
        <v/>
      </c>
      <c r="X183" s="14">
        <f>'05_Daily_Orders'!B184</f>
        <v/>
      </c>
      <c r="Y183" s="588" t="n"/>
      <c r="Z183" s="589" t="n"/>
      <c r="AA183" s="589" t="n"/>
      <c r="AB183" s="589" t="n"/>
      <c r="AC183" s="589" t="n">
        <v>0</v>
      </c>
      <c r="AD183" s="589" t="n">
        <v>0</v>
      </c>
      <c r="AE183" s="589" t="n">
        <v>0</v>
      </c>
      <c r="AF183" s="587">
        <f>SUM(Y185:AE185)</f>
        <v/>
      </c>
      <c r="AQ183" s="23" t="n">
        <v>0</v>
      </c>
      <c r="AR183" s="23" t="n">
        <v>0</v>
      </c>
      <c r="AS183" s="23">
        <f>AR185-AQ185</f>
        <v/>
      </c>
    </row>
    <row r="184">
      <c r="A184" s="148">
        <f>_xlfn.XLOOKUP(C186,'00_SKU_Master'!$B$2:$B$378,'00_SKU_Master'!$C$2:$C$378)</f>
        <v/>
      </c>
      <c r="B184" s="148" t="n"/>
      <c r="C184" s="148">
        <f>X186</f>
        <v/>
      </c>
      <c r="D184" s="586">
        <f>_xludf.IFNA(_xlfn.XLOOKUP(C186,'00_SKU_Master'!$B$2:$B$378,'00_SKU_Master'!$F$2:$F$378,0)*Y186,"")</f>
        <v/>
      </c>
      <c r="E184" s="586">
        <f>_xludf.IFNA(_xlfn.XLOOKUP(C186,'00_SKU_Master'!$B$2:$B$378,'00_SKU_Master'!$F$2:$F$378,0)*Z186,"")</f>
        <v/>
      </c>
      <c r="F184" s="586">
        <f>_xludf.IFNA(_xlfn.XLOOKUP(C186,'00_SKU_Master'!$B$2:$B$378,'00_SKU_Master'!$F$2:$F$378,0)*AA186,"")</f>
        <v/>
      </c>
      <c r="G184" s="586">
        <f>_xludf.IFNA(_xlfn.XLOOKUP(C186,'00_SKU_Master'!$B$2:$B$378,'00_SKU_Master'!$F$2:$F$378,0)*AB186,"")</f>
        <v/>
      </c>
      <c r="H184" s="586">
        <f>_xludf.IFNA(_xlfn.XLOOKUP(C186,'00_SKU_Master'!$B$2:$B$378,'00_SKU_Master'!$F$2:$F$378,0)*AC186,"")</f>
        <v/>
      </c>
      <c r="I184" s="586">
        <f>_xludf.IFNA(_xlfn.XLOOKUP(C186,'00_SKU_Master'!$B$2:$B$378,'00_SKU_Master'!$F$2:$F$378,0)*AD186,"")</f>
        <v/>
      </c>
      <c r="J184" s="586">
        <f>_xludf.IFNA(_xlfn.XLOOKUP(C186,'00_SKU_Master'!$B$2:$B$378,'00_SKU_Master'!$F$2:$F$378,0)*AE186,"")</f>
        <v/>
      </c>
      <c r="K184" s="587">
        <f>SUM(D186:J186)</f>
        <v/>
      </c>
      <c r="L184" s="197">
        <f>_xlfn.XLOOKUP(C186,'00_SKU_Master'!$B$2:$B$378,'00_SKU_Master'!K:K)</f>
        <v/>
      </c>
      <c r="M184" s="14">
        <f>X186</f>
        <v/>
      </c>
      <c r="N184" s="157">
        <f>_xludf.IFNA(D186/_xlfn.XLOOKUP($M186,'00_SKU_Master'!$B$2:$B$378,'00_SKU_Master'!$M$2:$M$378,0)/$M$2,"0")</f>
        <v/>
      </c>
      <c r="O184" s="157">
        <f>_xludf.IFNA(E186/_xlfn.XLOOKUP($M186,'00_SKU_Master'!$B$2:$B$378,'00_SKU_Master'!$M$2:$M$378,0)/$M$2,"0")</f>
        <v/>
      </c>
      <c r="P184" s="157">
        <f>_xludf.IFNA(F186/_xlfn.XLOOKUP($M186,'00_SKU_Master'!$B$2:$B$378,'00_SKU_Master'!$M$2:$M$378,0)/$M$2,"0")</f>
        <v/>
      </c>
      <c r="Q184" s="157">
        <f>_xludf.IFNA(G186/_xlfn.XLOOKUP($M186,'00_SKU_Master'!$B$2:$B$378,'00_SKU_Master'!$M$2:$M$378,0)/$M$2,"0")</f>
        <v/>
      </c>
      <c r="R184" s="157">
        <f>_xludf.IFNA(H186/_xlfn.XLOOKUP($M186,'00_SKU_Master'!$B$2:$B$378,'00_SKU_Master'!$M$2:$M$378,0)/$M$2,"0")</f>
        <v/>
      </c>
      <c r="S184" s="157">
        <f>_xludf.IFNA(I186/_xlfn.XLOOKUP($M186,'00_SKU_Master'!$B$2:$B$378,'00_SKU_Master'!$M$2:$M$378,0)/$M$2,"0")</f>
        <v/>
      </c>
      <c r="T184" s="157">
        <f>_xludf.IFNA(J186/_xlfn.XLOOKUP($M186,'00_SKU_Master'!$B$2:$B$378,'00_SKU_Master'!$M$2:$M$378,0)/$M$2,"0")</f>
        <v/>
      </c>
      <c r="U184" s="157">
        <f>SUM(N186:T186)</f>
        <v/>
      </c>
      <c r="V184" s="4" t="n"/>
      <c r="W184" s="4">
        <f>_xlfn.XLOOKUP(M186,'00_SKU_Master'!$B$2:$B$378,'00_SKU_Master'!D:D)</f>
        <v/>
      </c>
      <c r="X184" s="14">
        <f>'05_Daily_Orders'!B185</f>
        <v/>
      </c>
      <c r="Y184" s="588" t="n"/>
      <c r="Z184" s="589" t="n"/>
      <c r="AA184" s="589" t="n"/>
      <c r="AB184" s="589" t="n"/>
      <c r="AC184" s="589" t="n">
        <v>0</v>
      </c>
      <c r="AD184" s="589" t="n">
        <v>0</v>
      </c>
      <c r="AE184" s="589" t="n">
        <v>0</v>
      </c>
      <c r="AF184" s="587">
        <f>SUM(Y186:AE186)</f>
        <v/>
      </c>
      <c r="AQ184" s="23" t="n">
        <v>0</v>
      </c>
      <c r="AR184" s="23" t="n">
        <v>0</v>
      </c>
      <c r="AS184" s="23">
        <f>AR186-AQ186</f>
        <v/>
      </c>
    </row>
    <row r="185">
      <c r="A185" s="148">
        <f>_xlfn.XLOOKUP(C187,'00_SKU_Master'!$B$2:$B$378,'00_SKU_Master'!$C$2:$C$378)</f>
        <v/>
      </c>
      <c r="B185" s="148" t="n"/>
      <c r="C185" s="148">
        <f>X187</f>
        <v/>
      </c>
      <c r="D185" s="586">
        <f>_xludf.IFNA(_xlfn.XLOOKUP(C187,'00_SKU_Master'!$B$2:$B$378,'00_SKU_Master'!$F$2:$F$378,0)*Y187,"")</f>
        <v/>
      </c>
      <c r="E185" s="586">
        <f>_xludf.IFNA(_xlfn.XLOOKUP(C187,'00_SKU_Master'!$B$2:$B$378,'00_SKU_Master'!$F$2:$F$378,0)*Z187,"")</f>
        <v/>
      </c>
      <c r="F185" s="586">
        <f>_xludf.IFNA(_xlfn.XLOOKUP(C187,'00_SKU_Master'!$B$2:$B$378,'00_SKU_Master'!$F$2:$F$378,0)*AA187,"")</f>
        <v/>
      </c>
      <c r="G185" s="586">
        <f>_xludf.IFNA(_xlfn.XLOOKUP(C187,'00_SKU_Master'!$B$2:$B$378,'00_SKU_Master'!$F$2:$F$378,0)*AB187,"")</f>
        <v/>
      </c>
      <c r="H185" s="586">
        <f>_xludf.IFNA(_xlfn.XLOOKUP(C187,'00_SKU_Master'!$B$2:$B$378,'00_SKU_Master'!$F$2:$F$378,0)*AC187,"")</f>
        <v/>
      </c>
      <c r="I185" s="586">
        <f>_xludf.IFNA(_xlfn.XLOOKUP(C187,'00_SKU_Master'!$B$2:$B$378,'00_SKU_Master'!$F$2:$F$378,0)*AD187,"")</f>
        <v/>
      </c>
      <c r="J185" s="586">
        <f>_xludf.IFNA(_xlfn.XLOOKUP(C187,'00_SKU_Master'!$B$2:$B$378,'00_SKU_Master'!$F$2:$F$378,0)*AE187,"")</f>
        <v/>
      </c>
      <c r="K185" s="587">
        <f>SUM(D187:J187)</f>
        <v/>
      </c>
      <c r="L185" s="197">
        <f>_xlfn.XLOOKUP(C187,'00_SKU_Master'!$B$2:$B$378,'00_SKU_Master'!K:K)</f>
        <v/>
      </c>
      <c r="M185" s="14">
        <f>X187</f>
        <v/>
      </c>
      <c r="N185" s="157">
        <f>_xludf.IFNA(D187/_xlfn.XLOOKUP($M187,'00_SKU_Master'!$B$2:$B$378,'00_SKU_Master'!$M$2:$M$378,0)/$M$2,"0")</f>
        <v/>
      </c>
      <c r="O185" s="157">
        <f>_xludf.IFNA(E187/_xlfn.XLOOKUP($M187,'00_SKU_Master'!$B$2:$B$378,'00_SKU_Master'!$M$2:$M$378,0)/$M$2,"0")</f>
        <v/>
      </c>
      <c r="P185" s="157">
        <f>_xludf.IFNA(F187/_xlfn.XLOOKUP($M187,'00_SKU_Master'!$B$2:$B$378,'00_SKU_Master'!$M$2:$M$378,0)/$M$2,"0")</f>
        <v/>
      </c>
      <c r="Q185" s="157">
        <f>_xludf.IFNA(G187/_xlfn.XLOOKUP($M187,'00_SKU_Master'!$B$2:$B$378,'00_SKU_Master'!$M$2:$M$378,0)/$M$2,"0")</f>
        <v/>
      </c>
      <c r="R185" s="157">
        <f>_xludf.IFNA(H187/_xlfn.XLOOKUP($M187,'00_SKU_Master'!$B$2:$B$378,'00_SKU_Master'!$M$2:$M$378,0)/$M$2,"0")</f>
        <v/>
      </c>
      <c r="S185" s="157">
        <f>_xludf.IFNA(I187/_xlfn.XLOOKUP($M187,'00_SKU_Master'!$B$2:$B$378,'00_SKU_Master'!$M$2:$M$378,0)/$M$2,"0")</f>
        <v/>
      </c>
      <c r="T185" s="157">
        <f>_xludf.IFNA(J187/_xlfn.XLOOKUP($M187,'00_SKU_Master'!$B$2:$B$378,'00_SKU_Master'!$M$2:$M$378,0)/$M$2,"0")</f>
        <v/>
      </c>
      <c r="U185" s="157">
        <f>SUM(N187:T187)</f>
        <v/>
      </c>
      <c r="V185" s="4" t="n"/>
      <c r="W185" s="4">
        <f>_xlfn.XLOOKUP(M187,'00_SKU_Master'!$B$2:$B$378,'00_SKU_Master'!D:D)</f>
        <v/>
      </c>
      <c r="X185" s="14">
        <f>'05_Daily_Orders'!B186</f>
        <v/>
      </c>
      <c r="Y185" s="588" t="n"/>
      <c r="Z185" s="589" t="n"/>
      <c r="AA185" s="589" t="n"/>
      <c r="AB185" s="589" t="n"/>
      <c r="AC185" s="589" t="n">
        <v>0</v>
      </c>
      <c r="AD185" s="589" t="n">
        <v>0</v>
      </c>
      <c r="AE185" s="589" t="n">
        <v>0</v>
      </c>
      <c r="AF185" s="587">
        <f>SUM(Y187:AE187)</f>
        <v/>
      </c>
      <c r="AQ185" s="23" t="n">
        <v>100</v>
      </c>
      <c r="AR185" s="23" t="n">
        <v>0</v>
      </c>
      <c r="AS185" s="23">
        <f>AR187-AQ187</f>
        <v/>
      </c>
    </row>
    <row r="186">
      <c r="A186" s="148">
        <f>_xlfn.XLOOKUP(C188,'00_SKU_Master'!$B$2:$B$378,'00_SKU_Master'!$C$2:$C$378)</f>
        <v/>
      </c>
      <c r="B186" s="148" t="n"/>
      <c r="C186" s="148">
        <f>X188</f>
        <v/>
      </c>
      <c r="D186" s="586">
        <f>_xludf.IFNA(_xlfn.XLOOKUP(C188,'00_SKU_Master'!$B$2:$B$378,'00_SKU_Master'!$F$2:$F$378,0)*Y188,"")</f>
        <v/>
      </c>
      <c r="E186" s="586">
        <f>_xludf.IFNA(_xlfn.XLOOKUP(C188,'00_SKU_Master'!$B$2:$B$378,'00_SKU_Master'!$F$2:$F$378,0)*Z188,"")</f>
        <v/>
      </c>
      <c r="F186" s="586">
        <f>_xludf.IFNA(_xlfn.XLOOKUP(C188,'00_SKU_Master'!$B$2:$B$378,'00_SKU_Master'!$F$2:$F$378,0)*AA188,"")</f>
        <v/>
      </c>
      <c r="G186" s="586">
        <f>_xludf.IFNA(_xlfn.XLOOKUP(C188,'00_SKU_Master'!$B$2:$B$378,'00_SKU_Master'!$F$2:$F$378,0)*AB188,"")</f>
        <v/>
      </c>
      <c r="H186" s="586">
        <f>_xludf.IFNA(_xlfn.XLOOKUP(C188,'00_SKU_Master'!$B$2:$B$378,'00_SKU_Master'!$F$2:$F$378,0)*AC188,"")</f>
        <v/>
      </c>
      <c r="I186" s="586">
        <f>_xludf.IFNA(_xlfn.XLOOKUP(C188,'00_SKU_Master'!$B$2:$B$378,'00_SKU_Master'!$F$2:$F$378,0)*AD188,"")</f>
        <v/>
      </c>
      <c r="J186" s="586">
        <f>_xludf.IFNA(_xlfn.XLOOKUP(C188,'00_SKU_Master'!$B$2:$B$378,'00_SKU_Master'!$F$2:$F$378,0)*AE188,"")</f>
        <v/>
      </c>
      <c r="K186" s="587">
        <f>SUM(D188:J188)</f>
        <v/>
      </c>
      <c r="L186" s="197">
        <f>_xlfn.XLOOKUP(C188,'00_SKU_Master'!$B$2:$B$378,'00_SKU_Master'!K:K)</f>
        <v/>
      </c>
      <c r="M186" s="14">
        <f>X188</f>
        <v/>
      </c>
      <c r="N186" s="157">
        <f>_xludf.IFNA(D188/_xlfn.XLOOKUP($M188,'00_SKU_Master'!$B$2:$B$378,'00_SKU_Master'!$M$2:$M$378,0)/$M$2,"0")</f>
        <v/>
      </c>
      <c r="O186" s="157">
        <f>_xludf.IFNA(E188/_xlfn.XLOOKUP($M188,'00_SKU_Master'!$B$2:$B$378,'00_SKU_Master'!$M$2:$M$378,0)/$M$2,"0")</f>
        <v/>
      </c>
      <c r="P186" s="157">
        <f>_xludf.IFNA(F188/_xlfn.XLOOKUP($M188,'00_SKU_Master'!$B$2:$B$378,'00_SKU_Master'!$M$2:$M$378,0)/$M$2,"0")</f>
        <v/>
      </c>
      <c r="Q186" s="157">
        <f>_xludf.IFNA(G188/_xlfn.XLOOKUP($M188,'00_SKU_Master'!$B$2:$B$378,'00_SKU_Master'!$M$2:$M$378,0)/$M$2,"0")</f>
        <v/>
      </c>
      <c r="R186" s="157">
        <f>_xludf.IFNA(H188/_xlfn.XLOOKUP($M188,'00_SKU_Master'!$B$2:$B$378,'00_SKU_Master'!$M$2:$M$378,0)/$M$2,"0")</f>
        <v/>
      </c>
      <c r="S186" s="157">
        <f>_xludf.IFNA(I188/_xlfn.XLOOKUP($M188,'00_SKU_Master'!$B$2:$B$378,'00_SKU_Master'!$M$2:$M$378,0)/$M$2,"0")</f>
        <v/>
      </c>
      <c r="T186" s="157">
        <f>_xludf.IFNA(J188/_xlfn.XLOOKUP($M188,'00_SKU_Master'!$B$2:$B$378,'00_SKU_Master'!$M$2:$M$378,0)/$M$2,"0")</f>
        <v/>
      </c>
      <c r="U186" s="157">
        <f>SUM(N188:T188)</f>
        <v/>
      </c>
      <c r="V186" s="4" t="n"/>
      <c r="W186" s="4">
        <f>_xlfn.XLOOKUP(M188,'00_SKU_Master'!$B$2:$B$378,'00_SKU_Master'!D:D)</f>
        <v/>
      </c>
      <c r="X186" s="14">
        <f>'05_Daily_Orders'!B187</f>
        <v/>
      </c>
      <c r="Y186" s="588" t="n"/>
      <c r="Z186" s="589" t="n"/>
      <c r="AA186" s="589" t="n"/>
      <c r="AB186" s="589" t="n"/>
      <c r="AC186" s="589" t="n">
        <v>0</v>
      </c>
      <c r="AD186" s="589" t="n">
        <v>0</v>
      </c>
      <c r="AE186" s="589" t="n">
        <v>0</v>
      </c>
      <c r="AF186" s="587">
        <f>SUM(Y188:AE188)</f>
        <v/>
      </c>
      <c r="AQ186" s="23" t="n">
        <v>440</v>
      </c>
      <c r="AR186" s="23" t="n">
        <v>0</v>
      </c>
      <c r="AS186" s="23">
        <f>AR188-AQ188</f>
        <v/>
      </c>
    </row>
    <row r="187">
      <c r="A187" s="148">
        <f>_xlfn.XLOOKUP(C189,'00_SKU_Master'!$B$2:$B$378,'00_SKU_Master'!$C$2:$C$378)</f>
        <v/>
      </c>
      <c r="B187" s="148" t="n"/>
      <c r="C187" s="148">
        <f>X189</f>
        <v/>
      </c>
      <c r="D187" s="586">
        <f>_xludf.IFNA(_xlfn.XLOOKUP(C189,'00_SKU_Master'!$B$2:$B$378,'00_SKU_Master'!$F$2:$F$378,0)*Y189,"")</f>
        <v/>
      </c>
      <c r="E187" s="586">
        <f>_xludf.IFNA(_xlfn.XLOOKUP(C189,'00_SKU_Master'!$B$2:$B$378,'00_SKU_Master'!$F$2:$F$378,0)*Z189,"")</f>
        <v/>
      </c>
      <c r="F187" s="586">
        <f>_xludf.IFNA(_xlfn.XLOOKUP(C189,'00_SKU_Master'!$B$2:$B$378,'00_SKU_Master'!$F$2:$F$378,0)*AA189,"")</f>
        <v/>
      </c>
      <c r="G187" s="586">
        <f>_xludf.IFNA(_xlfn.XLOOKUP(C189,'00_SKU_Master'!$B$2:$B$378,'00_SKU_Master'!$F$2:$F$378,0)*AB189,"")</f>
        <v/>
      </c>
      <c r="H187" s="586">
        <f>_xludf.IFNA(_xlfn.XLOOKUP(C189,'00_SKU_Master'!$B$2:$B$378,'00_SKU_Master'!$F$2:$F$378,0)*AC189,"")</f>
        <v/>
      </c>
      <c r="I187" s="586">
        <f>_xludf.IFNA(_xlfn.XLOOKUP(C189,'00_SKU_Master'!$B$2:$B$378,'00_SKU_Master'!$F$2:$F$378,0)*AD189,"")</f>
        <v/>
      </c>
      <c r="J187" s="586">
        <f>_xludf.IFNA(_xlfn.XLOOKUP(C189,'00_SKU_Master'!$B$2:$B$378,'00_SKU_Master'!$F$2:$F$378,0)*AE189,"")</f>
        <v/>
      </c>
      <c r="K187" s="587">
        <f>SUM(D189:J189)</f>
        <v/>
      </c>
      <c r="L187" s="197">
        <f>_xlfn.XLOOKUP(C189,'00_SKU_Master'!$B$2:$B$378,'00_SKU_Master'!K:K)</f>
        <v/>
      </c>
      <c r="M187" s="14">
        <f>X189</f>
        <v/>
      </c>
      <c r="N187" s="157">
        <f>_xludf.IFNA(D189/_xlfn.XLOOKUP($M189,'00_SKU_Master'!$B$2:$B$378,'00_SKU_Master'!$M$2:$M$378,0)/$M$2,"0")</f>
        <v/>
      </c>
      <c r="O187" s="157">
        <f>_xludf.IFNA(E189/_xlfn.XLOOKUP($M189,'00_SKU_Master'!$B$2:$B$378,'00_SKU_Master'!$M$2:$M$378,0)/$M$2,"0")</f>
        <v/>
      </c>
      <c r="P187" s="157">
        <f>_xludf.IFNA(F189/_xlfn.XLOOKUP($M189,'00_SKU_Master'!$B$2:$B$378,'00_SKU_Master'!$M$2:$M$378,0)/$M$2,"0")</f>
        <v/>
      </c>
      <c r="Q187" s="157">
        <f>_xludf.IFNA(G189/_xlfn.XLOOKUP($M189,'00_SKU_Master'!$B$2:$B$378,'00_SKU_Master'!$M$2:$M$378,0)/$M$2,"0")</f>
        <v/>
      </c>
      <c r="R187" s="157">
        <f>_xludf.IFNA(H189/_xlfn.XLOOKUP($M189,'00_SKU_Master'!$B$2:$B$378,'00_SKU_Master'!$M$2:$M$378,0)/$M$2,"0")</f>
        <v/>
      </c>
      <c r="S187" s="157">
        <f>_xludf.IFNA(I189/_xlfn.XLOOKUP($M189,'00_SKU_Master'!$B$2:$B$378,'00_SKU_Master'!$M$2:$M$378,0)/$M$2,"0")</f>
        <v/>
      </c>
      <c r="T187" s="157">
        <f>_xludf.IFNA(J189/_xlfn.XLOOKUP($M189,'00_SKU_Master'!$B$2:$B$378,'00_SKU_Master'!$M$2:$M$378,0)/$M$2,"0")</f>
        <v/>
      </c>
      <c r="U187" s="157">
        <f>SUM(N189:T189)</f>
        <v/>
      </c>
      <c r="V187" s="4" t="n"/>
      <c r="W187" s="4">
        <f>_xlfn.XLOOKUP(M189,'00_SKU_Master'!$B$2:$B$378,'00_SKU_Master'!D:D)</f>
        <v/>
      </c>
      <c r="X187" s="14">
        <f>'05_Daily_Orders'!B188</f>
        <v/>
      </c>
      <c r="Y187" s="588" t="n"/>
      <c r="Z187" s="589" t="n"/>
      <c r="AA187" s="589" t="n"/>
      <c r="AB187" s="589" t="n"/>
      <c r="AC187" s="589" t="n">
        <v>239</v>
      </c>
      <c r="AD187" s="589" t="n">
        <v>110</v>
      </c>
      <c r="AE187" s="589" t="n">
        <v>73</v>
      </c>
      <c r="AF187" s="587">
        <f>SUM(Y189:AE189)</f>
        <v/>
      </c>
      <c r="AQ187" s="23" t="n">
        <v>0</v>
      </c>
      <c r="AR187" s="23" t="n">
        <v>2</v>
      </c>
      <c r="AS187" s="23">
        <f>AR189-AQ189</f>
        <v/>
      </c>
    </row>
    <row r="188">
      <c r="A188" s="148">
        <f>_xlfn.XLOOKUP(C190,'00_SKU_Master'!$B$2:$B$378,'00_SKU_Master'!$C$2:$C$378)</f>
        <v/>
      </c>
      <c r="B188" s="148" t="n"/>
      <c r="C188" s="148">
        <f>X190</f>
        <v/>
      </c>
      <c r="D188" s="586">
        <f>_xludf.IFNA(_xlfn.XLOOKUP(C190,'00_SKU_Master'!$B$2:$B$378,'00_SKU_Master'!$F$2:$F$378,0)*Y190,"")</f>
        <v/>
      </c>
      <c r="E188" s="586">
        <f>_xludf.IFNA(_xlfn.XLOOKUP(C190,'00_SKU_Master'!$B$2:$B$378,'00_SKU_Master'!$F$2:$F$378,0)*Z190,"")</f>
        <v/>
      </c>
      <c r="F188" s="586">
        <f>_xludf.IFNA(_xlfn.XLOOKUP(C190,'00_SKU_Master'!$B$2:$B$378,'00_SKU_Master'!$F$2:$F$378,0)*AA190,"")</f>
        <v/>
      </c>
      <c r="G188" s="586">
        <f>_xludf.IFNA(_xlfn.XLOOKUP(C190,'00_SKU_Master'!$B$2:$B$378,'00_SKU_Master'!$F$2:$F$378,0)*AB190,"")</f>
        <v/>
      </c>
      <c r="H188" s="586">
        <f>_xludf.IFNA(_xlfn.XLOOKUP(C190,'00_SKU_Master'!$B$2:$B$378,'00_SKU_Master'!$F$2:$F$378,0)*AC190,"")</f>
        <v/>
      </c>
      <c r="I188" s="586">
        <f>_xludf.IFNA(_xlfn.XLOOKUP(C190,'00_SKU_Master'!$B$2:$B$378,'00_SKU_Master'!$F$2:$F$378,0)*AD190,"")</f>
        <v/>
      </c>
      <c r="J188" s="586">
        <f>_xludf.IFNA(_xlfn.XLOOKUP(C190,'00_SKU_Master'!$B$2:$B$378,'00_SKU_Master'!$F$2:$F$378,0)*AE190,"")</f>
        <v/>
      </c>
      <c r="K188" s="587">
        <f>SUM(D190:J190)</f>
        <v/>
      </c>
      <c r="L188" s="197">
        <f>_xlfn.XLOOKUP(C190,'00_SKU_Master'!$B$2:$B$378,'00_SKU_Master'!K:K)</f>
        <v/>
      </c>
      <c r="M188" s="14">
        <f>X190</f>
        <v/>
      </c>
      <c r="N188" s="157">
        <f>_xludf.IFNA(D190/_xlfn.XLOOKUP($M190,'00_SKU_Master'!$B$2:$B$378,'00_SKU_Master'!$M$2:$M$378,0)/$M$2,"0")</f>
        <v/>
      </c>
      <c r="O188" s="157">
        <f>_xludf.IFNA(E190/_xlfn.XLOOKUP($M190,'00_SKU_Master'!$B$2:$B$378,'00_SKU_Master'!$M$2:$M$378,0)/$M$2,"0")</f>
        <v/>
      </c>
      <c r="P188" s="157">
        <f>_xludf.IFNA(F190/_xlfn.XLOOKUP($M190,'00_SKU_Master'!$B$2:$B$378,'00_SKU_Master'!$M$2:$M$378,0)/$M$2,"0")</f>
        <v/>
      </c>
      <c r="Q188" s="157">
        <f>_xludf.IFNA(G190/_xlfn.XLOOKUP($M190,'00_SKU_Master'!$B$2:$B$378,'00_SKU_Master'!$M$2:$M$378,0)/$M$2,"0")</f>
        <v/>
      </c>
      <c r="R188" s="157">
        <f>_xludf.IFNA(H190/_xlfn.XLOOKUP($M190,'00_SKU_Master'!$B$2:$B$378,'00_SKU_Master'!$M$2:$M$378,0)/$M$2,"0")</f>
        <v/>
      </c>
      <c r="S188" s="157">
        <f>_xludf.IFNA(I190/_xlfn.XLOOKUP($M190,'00_SKU_Master'!$B$2:$B$378,'00_SKU_Master'!$M$2:$M$378,0)/$M$2,"0")</f>
        <v/>
      </c>
      <c r="T188" s="157">
        <f>_xludf.IFNA(J190/_xlfn.XLOOKUP($M190,'00_SKU_Master'!$B$2:$B$378,'00_SKU_Master'!$M$2:$M$378,0)/$M$2,"0")</f>
        <v/>
      </c>
      <c r="U188" s="157">
        <f>SUM(N190:T190)</f>
        <v/>
      </c>
      <c r="V188" s="4" t="n"/>
      <c r="W188" s="4">
        <f>_xlfn.XLOOKUP(M190,'00_SKU_Master'!$B$2:$B$378,'00_SKU_Master'!D:D)</f>
        <v/>
      </c>
      <c r="X188" s="14">
        <f>'05_Daily_Orders'!B189</f>
        <v/>
      </c>
      <c r="Y188" s="588" t="n"/>
      <c r="Z188" s="589" t="n"/>
      <c r="AA188" s="589" t="n"/>
      <c r="AB188" s="589" t="n"/>
      <c r="AC188" s="589" t="n">
        <v>81</v>
      </c>
      <c r="AD188" s="589" t="n">
        <v>82</v>
      </c>
      <c r="AE188" s="589" t="n">
        <v>56</v>
      </c>
      <c r="AF188" s="587">
        <f>SUM(Y190:AE190)</f>
        <v/>
      </c>
      <c r="AQ188" s="23" t="n">
        <v>0</v>
      </c>
      <c r="AR188" s="23" t="n">
        <v>0</v>
      </c>
      <c r="AS188" s="23">
        <f>AR190-AQ190</f>
        <v/>
      </c>
    </row>
    <row r="189">
      <c r="A189" s="148">
        <f>_xlfn.XLOOKUP(C191,'00_SKU_Master'!$B$2:$B$378,'00_SKU_Master'!$C$2:$C$378)</f>
        <v/>
      </c>
      <c r="B189" s="148" t="n"/>
      <c r="C189" s="148">
        <f>X191</f>
        <v/>
      </c>
      <c r="D189" s="586">
        <f>_xludf.IFNA(_xlfn.XLOOKUP(C191,'00_SKU_Master'!$B$2:$B$378,'00_SKU_Master'!$F$2:$F$378,0)*Y191,"")</f>
        <v/>
      </c>
      <c r="E189" s="586">
        <f>_xludf.IFNA(_xlfn.XLOOKUP(C191,'00_SKU_Master'!$B$2:$B$378,'00_SKU_Master'!$F$2:$F$378,0)*Z191,"")</f>
        <v/>
      </c>
      <c r="F189" s="586">
        <f>_xludf.IFNA(_xlfn.XLOOKUP(C191,'00_SKU_Master'!$B$2:$B$378,'00_SKU_Master'!$F$2:$F$378,0)*AA191,"")</f>
        <v/>
      </c>
      <c r="G189" s="586">
        <f>_xludf.IFNA(_xlfn.XLOOKUP(C191,'00_SKU_Master'!$B$2:$B$378,'00_SKU_Master'!$F$2:$F$378,0)*AB191,"")</f>
        <v/>
      </c>
      <c r="H189" s="586">
        <f>_xludf.IFNA(_xlfn.XLOOKUP(C191,'00_SKU_Master'!$B$2:$B$378,'00_SKU_Master'!$F$2:$F$378,0)*AC191,"")</f>
        <v/>
      </c>
      <c r="I189" s="586">
        <f>_xludf.IFNA(_xlfn.XLOOKUP(C191,'00_SKU_Master'!$B$2:$B$378,'00_SKU_Master'!$F$2:$F$378,0)*AD191,"")</f>
        <v/>
      </c>
      <c r="J189" s="586">
        <f>_xludf.IFNA(_xlfn.XLOOKUP(C191,'00_SKU_Master'!$B$2:$B$378,'00_SKU_Master'!$F$2:$F$378,0)*AE191,"")</f>
        <v/>
      </c>
      <c r="K189" s="587">
        <f>SUM(D191:J191)</f>
        <v/>
      </c>
      <c r="L189" s="197">
        <f>_xlfn.XLOOKUP(C191,'00_SKU_Master'!$B$2:$B$378,'00_SKU_Master'!K:K)</f>
        <v/>
      </c>
      <c r="M189" s="14">
        <f>X191</f>
        <v/>
      </c>
      <c r="N189" s="157">
        <f>_xludf.IFNA(D191/_xlfn.XLOOKUP($M191,'00_SKU_Master'!$B$2:$B$378,'00_SKU_Master'!$M$2:$M$378,0)/$M$2,"0")</f>
        <v/>
      </c>
      <c r="O189" s="157">
        <f>_xludf.IFNA(E191/_xlfn.XLOOKUP($M191,'00_SKU_Master'!$B$2:$B$378,'00_SKU_Master'!$M$2:$M$378,0)/$M$2,"0")</f>
        <v/>
      </c>
      <c r="P189" s="157">
        <f>_xludf.IFNA(F191/_xlfn.XLOOKUP($M191,'00_SKU_Master'!$B$2:$B$378,'00_SKU_Master'!$M$2:$M$378,0)/$M$2,"0")</f>
        <v/>
      </c>
      <c r="Q189" s="157">
        <f>_xludf.IFNA(G191/_xlfn.XLOOKUP($M191,'00_SKU_Master'!$B$2:$B$378,'00_SKU_Master'!$M$2:$M$378,0)/$M$2,"0")</f>
        <v/>
      </c>
      <c r="R189" s="157">
        <f>_xludf.IFNA(H191/_xlfn.XLOOKUP($M191,'00_SKU_Master'!$B$2:$B$378,'00_SKU_Master'!$M$2:$M$378,0)/$M$2,"0")</f>
        <v/>
      </c>
      <c r="S189" s="157">
        <f>_xludf.IFNA(I191/_xlfn.XLOOKUP($M191,'00_SKU_Master'!$B$2:$B$378,'00_SKU_Master'!$M$2:$M$378,0)/$M$2,"0")</f>
        <v/>
      </c>
      <c r="T189" s="157">
        <f>_xludf.IFNA(J191/_xlfn.XLOOKUP($M191,'00_SKU_Master'!$B$2:$B$378,'00_SKU_Master'!$M$2:$M$378,0)/$M$2,"0")</f>
        <v/>
      </c>
      <c r="U189" s="157">
        <f>SUM(N191:T191)</f>
        <v/>
      </c>
      <c r="V189" s="4" t="n"/>
      <c r="W189" s="4">
        <f>_xlfn.XLOOKUP(M191,'00_SKU_Master'!$B$2:$B$378,'00_SKU_Master'!D:D)</f>
        <v/>
      </c>
      <c r="X189" s="14">
        <f>'05_Daily_Orders'!B190</f>
        <v/>
      </c>
      <c r="Y189" s="588" t="n"/>
      <c r="Z189" s="589" t="n"/>
      <c r="AA189" s="589" t="n"/>
      <c r="AB189" s="589" t="n"/>
      <c r="AC189" s="589" t="n">
        <v>145</v>
      </c>
      <c r="AD189" s="589" t="n">
        <v>140</v>
      </c>
      <c r="AE189" s="589" t="n">
        <v>87</v>
      </c>
      <c r="AF189" s="587">
        <f>SUM(Y191:AE191)</f>
        <v/>
      </c>
      <c r="AQ189" s="23" t="n">
        <v>0</v>
      </c>
      <c r="AR189" s="23" t="n">
        <v>32</v>
      </c>
      <c r="AS189" s="23">
        <f>AR191-AQ191</f>
        <v/>
      </c>
    </row>
    <row r="190">
      <c r="A190" s="148">
        <f>_xlfn.XLOOKUP(C192,'00_SKU_Master'!$B$2:$B$378,'00_SKU_Master'!$C$2:$C$378)</f>
        <v/>
      </c>
      <c r="B190" s="148" t="n"/>
      <c r="C190" s="148">
        <f>X192</f>
        <v/>
      </c>
      <c r="D190" s="586">
        <f>_xludf.IFNA(_xlfn.XLOOKUP(C192,'00_SKU_Master'!$B$2:$B$378,'00_SKU_Master'!$F$2:$F$378,0)*Y192,"")</f>
        <v/>
      </c>
      <c r="E190" s="586">
        <f>_xludf.IFNA(_xlfn.XLOOKUP(C192,'00_SKU_Master'!$B$2:$B$378,'00_SKU_Master'!$F$2:$F$378,0)*Z192,"")</f>
        <v/>
      </c>
      <c r="F190" s="586">
        <f>_xludf.IFNA(_xlfn.XLOOKUP(C192,'00_SKU_Master'!$B$2:$B$378,'00_SKU_Master'!$F$2:$F$378,0)*AA192,"")</f>
        <v/>
      </c>
      <c r="G190" s="586">
        <f>_xludf.IFNA(_xlfn.XLOOKUP(C192,'00_SKU_Master'!$B$2:$B$378,'00_SKU_Master'!$F$2:$F$378,0)*AB192,"")</f>
        <v/>
      </c>
      <c r="H190" s="586">
        <f>_xludf.IFNA(_xlfn.XLOOKUP(C192,'00_SKU_Master'!$B$2:$B$378,'00_SKU_Master'!$F$2:$F$378,0)*AC192,"")</f>
        <v/>
      </c>
      <c r="I190" s="586">
        <f>_xludf.IFNA(_xlfn.XLOOKUP(C192,'00_SKU_Master'!$B$2:$B$378,'00_SKU_Master'!$F$2:$F$378,0)*AD192,"")</f>
        <v/>
      </c>
      <c r="J190" s="586">
        <f>_xludf.IFNA(_xlfn.XLOOKUP(C192,'00_SKU_Master'!$B$2:$B$378,'00_SKU_Master'!$F$2:$F$378,0)*AE192,"")</f>
        <v/>
      </c>
      <c r="K190" s="587">
        <f>SUM(D192:J192)</f>
        <v/>
      </c>
      <c r="L190" s="197">
        <f>_xlfn.XLOOKUP(C192,'00_SKU_Master'!$B$2:$B$378,'00_SKU_Master'!K:K)</f>
        <v/>
      </c>
      <c r="M190" s="14">
        <f>X192</f>
        <v/>
      </c>
      <c r="N190" s="157">
        <f>_xludf.IFNA(D192/_xlfn.XLOOKUP($M192,'00_SKU_Master'!$B$2:$B$378,'00_SKU_Master'!$M$2:$M$378,0)/$M$2,"0")</f>
        <v/>
      </c>
      <c r="O190" s="157">
        <f>_xludf.IFNA(E192/_xlfn.XLOOKUP($M192,'00_SKU_Master'!$B$2:$B$378,'00_SKU_Master'!$M$2:$M$378,0)/$M$2,"0")</f>
        <v/>
      </c>
      <c r="P190" s="157">
        <f>_xludf.IFNA(F192/_xlfn.XLOOKUP($M192,'00_SKU_Master'!$B$2:$B$378,'00_SKU_Master'!$M$2:$M$378,0)/$M$2,"0")</f>
        <v/>
      </c>
      <c r="Q190" s="157">
        <f>_xludf.IFNA(G192/_xlfn.XLOOKUP($M192,'00_SKU_Master'!$B$2:$B$378,'00_SKU_Master'!$M$2:$M$378,0)/$M$2,"0")</f>
        <v/>
      </c>
      <c r="R190" s="157">
        <f>_xludf.IFNA(H192/_xlfn.XLOOKUP($M192,'00_SKU_Master'!$B$2:$B$378,'00_SKU_Master'!$M$2:$M$378,0)/$M$2,"0")</f>
        <v/>
      </c>
      <c r="S190" s="157">
        <f>_xludf.IFNA(I192/_xlfn.XLOOKUP($M192,'00_SKU_Master'!$B$2:$B$378,'00_SKU_Master'!$M$2:$M$378,0)/$M$2,"0")</f>
        <v/>
      </c>
      <c r="T190" s="157">
        <f>_xludf.IFNA(J192/_xlfn.XLOOKUP($M192,'00_SKU_Master'!$B$2:$B$378,'00_SKU_Master'!$M$2:$M$378,0)/$M$2,"0")</f>
        <v/>
      </c>
      <c r="U190" s="157">
        <f>SUM(N192:T192)</f>
        <v/>
      </c>
      <c r="V190" s="4" t="n"/>
      <c r="W190" s="4">
        <f>_xlfn.XLOOKUP(M192,'00_SKU_Master'!$B$2:$B$378,'00_SKU_Master'!D:D)</f>
        <v/>
      </c>
      <c r="X190" s="14">
        <f>'05_Daily_Orders'!B191</f>
        <v/>
      </c>
      <c r="Y190" s="588" t="n"/>
      <c r="Z190" s="589" t="n"/>
      <c r="AA190" s="589" t="n"/>
      <c r="AB190" s="589" t="n"/>
      <c r="AC190" s="589" t="n">
        <v>522</v>
      </c>
      <c r="AD190" s="589" t="n">
        <v>556</v>
      </c>
      <c r="AE190" s="589" t="n">
        <v>337</v>
      </c>
      <c r="AF190" s="587">
        <f>SUM(Y192:AE192)</f>
        <v/>
      </c>
      <c r="AQ190" s="23" t="n">
        <v>275</v>
      </c>
      <c r="AR190" s="23" t="n">
        <v>0</v>
      </c>
      <c r="AS190" s="23">
        <f>AR192-AQ192</f>
        <v/>
      </c>
    </row>
    <row r="191">
      <c r="A191" s="148">
        <f>_xlfn.XLOOKUP(C193,'00_SKU_Master'!$B$2:$B$378,'00_SKU_Master'!$C$2:$C$378)</f>
        <v/>
      </c>
      <c r="B191" s="148" t="n"/>
      <c r="C191" s="148">
        <f>X193</f>
        <v/>
      </c>
      <c r="D191" s="586">
        <f>_xludf.IFNA(_xlfn.XLOOKUP(C193,'00_SKU_Master'!$B$2:$B$378,'00_SKU_Master'!$F$2:$F$378,0)*Y193,"")</f>
        <v/>
      </c>
      <c r="E191" s="586">
        <f>_xludf.IFNA(_xlfn.XLOOKUP(C193,'00_SKU_Master'!$B$2:$B$378,'00_SKU_Master'!$F$2:$F$378,0)*Z193,"")</f>
        <v/>
      </c>
      <c r="F191" s="586">
        <f>_xludf.IFNA(_xlfn.XLOOKUP(C193,'00_SKU_Master'!$B$2:$B$378,'00_SKU_Master'!$F$2:$F$378,0)*AA193,"")</f>
        <v/>
      </c>
      <c r="G191" s="586">
        <f>_xludf.IFNA(_xlfn.XLOOKUP(C193,'00_SKU_Master'!$B$2:$B$378,'00_SKU_Master'!$F$2:$F$378,0)*AB193,"")</f>
        <v/>
      </c>
      <c r="H191" s="586">
        <f>_xludf.IFNA(_xlfn.XLOOKUP(C193,'00_SKU_Master'!$B$2:$B$378,'00_SKU_Master'!$F$2:$F$378,0)*AC193,"")</f>
        <v/>
      </c>
      <c r="I191" s="586">
        <f>_xludf.IFNA(_xlfn.XLOOKUP(C193,'00_SKU_Master'!$B$2:$B$378,'00_SKU_Master'!$F$2:$F$378,0)*AD193,"")</f>
        <v/>
      </c>
      <c r="J191" s="586">
        <f>_xludf.IFNA(_xlfn.XLOOKUP(C193,'00_SKU_Master'!$B$2:$B$378,'00_SKU_Master'!$F$2:$F$378,0)*AE193,"")</f>
        <v/>
      </c>
      <c r="K191" s="587">
        <f>SUM(D193:J193)</f>
        <v/>
      </c>
      <c r="L191" s="197">
        <f>_xlfn.XLOOKUP(C193,'00_SKU_Master'!$B$2:$B$378,'00_SKU_Master'!K:K)</f>
        <v/>
      </c>
      <c r="M191" s="14">
        <f>X193</f>
        <v/>
      </c>
      <c r="N191" s="157">
        <f>_xludf.IFNA(D193/_xlfn.XLOOKUP($M193,'00_SKU_Master'!$B$2:$B$378,'00_SKU_Master'!$M$2:$M$378,0)/$M$2,"0")</f>
        <v/>
      </c>
      <c r="O191" s="157">
        <f>_xludf.IFNA(E193/_xlfn.XLOOKUP($M193,'00_SKU_Master'!$B$2:$B$378,'00_SKU_Master'!$M$2:$M$378,0)/$M$2,"0")</f>
        <v/>
      </c>
      <c r="P191" s="157">
        <f>_xludf.IFNA(F193/_xlfn.XLOOKUP($M193,'00_SKU_Master'!$B$2:$B$378,'00_SKU_Master'!$M$2:$M$378,0)/$M$2,"0")</f>
        <v/>
      </c>
      <c r="Q191" s="157">
        <f>_xludf.IFNA(G193/_xlfn.XLOOKUP($M193,'00_SKU_Master'!$B$2:$B$378,'00_SKU_Master'!$M$2:$M$378,0)/$M$2,"0")</f>
        <v/>
      </c>
      <c r="R191" s="157">
        <f>_xludf.IFNA(H193/_xlfn.XLOOKUP($M193,'00_SKU_Master'!$B$2:$B$378,'00_SKU_Master'!$M$2:$M$378,0)/$M$2,"0")</f>
        <v/>
      </c>
      <c r="S191" s="157">
        <f>_xludf.IFNA(I193/_xlfn.XLOOKUP($M193,'00_SKU_Master'!$B$2:$B$378,'00_SKU_Master'!$M$2:$M$378,0)/$M$2,"0")</f>
        <v/>
      </c>
      <c r="T191" s="157">
        <f>_xludf.IFNA(J193/_xlfn.XLOOKUP($M193,'00_SKU_Master'!$B$2:$B$378,'00_SKU_Master'!$M$2:$M$378,0)/$M$2,"0")</f>
        <v/>
      </c>
      <c r="U191" s="157">
        <f>SUM(N193:T193)</f>
        <v/>
      </c>
      <c r="V191" s="4" t="n"/>
      <c r="W191" s="4">
        <f>_xlfn.XLOOKUP(M193,'00_SKU_Master'!$B$2:$B$378,'00_SKU_Master'!D:D)</f>
        <v/>
      </c>
      <c r="X191" s="14">
        <f>'05_Daily_Orders'!B192</f>
        <v/>
      </c>
      <c r="Y191" s="588" t="n"/>
      <c r="Z191" s="589" t="n"/>
      <c r="AA191" s="589" t="n"/>
      <c r="AB191" s="589" t="n"/>
      <c r="AC191" s="589" t="n">
        <v>164</v>
      </c>
      <c r="AD191" s="589" t="n">
        <v>84</v>
      </c>
      <c r="AE191" s="589" t="n">
        <v>81</v>
      </c>
      <c r="AF191" s="587">
        <f>SUM(Y193:AE193)</f>
        <v/>
      </c>
      <c r="AQ191" s="23" t="n">
        <v>295</v>
      </c>
      <c r="AR191" s="23" t="n">
        <v>0</v>
      </c>
      <c r="AS191" s="23">
        <f>AR193-AQ193</f>
        <v/>
      </c>
    </row>
    <row r="192">
      <c r="A192" s="148">
        <f>_xlfn.XLOOKUP(C194,'00_SKU_Master'!$B$2:$B$378,'00_SKU_Master'!$C$2:$C$378)</f>
        <v/>
      </c>
      <c r="B192" s="148" t="n"/>
      <c r="C192" s="148">
        <f>X194</f>
        <v/>
      </c>
      <c r="D192" s="586">
        <f>_xludf.IFNA(_xlfn.XLOOKUP(C194,'00_SKU_Master'!$B$2:$B$378,'00_SKU_Master'!$F$2:$F$378,0)*Y194,"")</f>
        <v/>
      </c>
      <c r="E192" s="586">
        <f>_xludf.IFNA(_xlfn.XLOOKUP(C194,'00_SKU_Master'!$B$2:$B$378,'00_SKU_Master'!$F$2:$F$378,0)*Z194,"")</f>
        <v/>
      </c>
      <c r="F192" s="586">
        <f>_xludf.IFNA(_xlfn.XLOOKUP(C194,'00_SKU_Master'!$B$2:$B$378,'00_SKU_Master'!$F$2:$F$378,0)*AA194,"")</f>
        <v/>
      </c>
      <c r="G192" s="586">
        <f>_xludf.IFNA(_xlfn.XLOOKUP(C194,'00_SKU_Master'!$B$2:$B$378,'00_SKU_Master'!$F$2:$F$378,0)*AB194,"")</f>
        <v/>
      </c>
      <c r="H192" s="586">
        <f>_xludf.IFNA(_xlfn.XLOOKUP(C194,'00_SKU_Master'!$B$2:$B$378,'00_SKU_Master'!$F$2:$F$378,0)*AC194,"")</f>
        <v/>
      </c>
      <c r="I192" s="586">
        <f>_xludf.IFNA(_xlfn.XLOOKUP(C194,'00_SKU_Master'!$B$2:$B$378,'00_SKU_Master'!$F$2:$F$378,0)*AD194,"")</f>
        <v/>
      </c>
      <c r="J192" s="586">
        <f>_xludf.IFNA(_xlfn.XLOOKUP(C194,'00_SKU_Master'!$B$2:$B$378,'00_SKU_Master'!$F$2:$F$378,0)*AE194,"")</f>
        <v/>
      </c>
      <c r="K192" s="587">
        <f>SUM(D194:J194)</f>
        <v/>
      </c>
      <c r="L192" s="197">
        <f>_xlfn.XLOOKUP(C194,'00_SKU_Master'!$B$2:$B$378,'00_SKU_Master'!K:K)</f>
        <v/>
      </c>
      <c r="M192" s="14">
        <f>X194</f>
        <v/>
      </c>
      <c r="N192" s="157">
        <f>_xludf.IFNA(D194/_xlfn.XLOOKUP($M194,'00_SKU_Master'!$B$2:$B$378,'00_SKU_Master'!$M$2:$M$378,0)/$M$2,"0")</f>
        <v/>
      </c>
      <c r="O192" s="157">
        <f>_xludf.IFNA(E194/_xlfn.XLOOKUP($M194,'00_SKU_Master'!$B$2:$B$378,'00_SKU_Master'!$M$2:$M$378,0)/$M$2,"0")</f>
        <v/>
      </c>
      <c r="P192" s="157">
        <f>_xludf.IFNA(F194/_xlfn.XLOOKUP($M194,'00_SKU_Master'!$B$2:$B$378,'00_SKU_Master'!$M$2:$M$378,0)/$M$2,"0")</f>
        <v/>
      </c>
      <c r="Q192" s="157">
        <f>_xludf.IFNA(G194/_xlfn.XLOOKUP($M194,'00_SKU_Master'!$B$2:$B$378,'00_SKU_Master'!$M$2:$M$378,0)/$M$2,"0")</f>
        <v/>
      </c>
      <c r="R192" s="157">
        <f>_xludf.IFNA(H194/_xlfn.XLOOKUP($M194,'00_SKU_Master'!$B$2:$B$378,'00_SKU_Master'!$M$2:$M$378,0)/$M$2,"0")</f>
        <v/>
      </c>
      <c r="S192" s="157">
        <f>_xludf.IFNA(I194/_xlfn.XLOOKUP($M194,'00_SKU_Master'!$B$2:$B$378,'00_SKU_Master'!$M$2:$M$378,0)/$M$2,"0")</f>
        <v/>
      </c>
      <c r="T192" s="157">
        <f>_xludf.IFNA(J194/_xlfn.XLOOKUP($M194,'00_SKU_Master'!$B$2:$B$378,'00_SKU_Master'!$M$2:$M$378,0)/$M$2,"0")</f>
        <v/>
      </c>
      <c r="U192" s="157">
        <f>SUM(N194:T194)</f>
        <v/>
      </c>
      <c r="V192" s="4" t="n"/>
      <c r="W192" s="4">
        <f>_xlfn.XLOOKUP(M194,'00_SKU_Master'!$B$2:$B$378,'00_SKU_Master'!D:D)</f>
        <v/>
      </c>
      <c r="X192" s="14">
        <f>'05_Daily_Orders'!B193</f>
        <v/>
      </c>
      <c r="Y192" s="588" t="n"/>
      <c r="Z192" s="589" t="n"/>
      <c r="AA192" s="589" t="n"/>
      <c r="AB192" s="589" t="n"/>
      <c r="AC192" s="589" t="n">
        <v>0</v>
      </c>
      <c r="AD192" s="589" t="n">
        <v>0</v>
      </c>
      <c r="AE192" s="589" t="n">
        <v>0</v>
      </c>
      <c r="AF192" s="587">
        <f>SUM(Y194:AE194)</f>
        <v/>
      </c>
      <c r="AQ192" s="23" t="n">
        <v>0</v>
      </c>
      <c r="AR192" s="23" t="n">
        <v>0</v>
      </c>
      <c r="AS192" s="23">
        <f>AR194-AQ194</f>
        <v/>
      </c>
    </row>
    <row r="193">
      <c r="A193" s="148">
        <f>_xlfn.XLOOKUP(C195,'00_SKU_Master'!$B$2:$B$378,'00_SKU_Master'!$C$2:$C$378)</f>
        <v/>
      </c>
      <c r="B193" s="148" t="n"/>
      <c r="C193" s="148">
        <f>X195</f>
        <v/>
      </c>
      <c r="D193" s="586">
        <f>_xludf.IFNA(_xlfn.XLOOKUP(C195,'00_SKU_Master'!$B$2:$B$378,'00_SKU_Master'!$F$2:$F$378,0)*Y195,"")</f>
        <v/>
      </c>
      <c r="E193" s="586">
        <f>_xludf.IFNA(_xlfn.XLOOKUP(C195,'00_SKU_Master'!$B$2:$B$378,'00_SKU_Master'!$F$2:$F$378,0)*Z195,"")</f>
        <v/>
      </c>
      <c r="F193" s="586">
        <f>_xludf.IFNA(_xlfn.XLOOKUP(C195,'00_SKU_Master'!$B$2:$B$378,'00_SKU_Master'!$F$2:$F$378,0)*AA195,"")</f>
        <v/>
      </c>
      <c r="G193" s="586">
        <f>_xludf.IFNA(_xlfn.XLOOKUP(C195,'00_SKU_Master'!$B$2:$B$378,'00_SKU_Master'!$F$2:$F$378,0)*AB195,"")</f>
        <v/>
      </c>
      <c r="H193" s="586">
        <f>_xludf.IFNA(_xlfn.XLOOKUP(C195,'00_SKU_Master'!$B$2:$B$378,'00_SKU_Master'!$F$2:$F$378,0)*AC195,"")</f>
        <v/>
      </c>
      <c r="I193" s="586">
        <f>_xludf.IFNA(_xlfn.XLOOKUP(C195,'00_SKU_Master'!$B$2:$B$378,'00_SKU_Master'!$F$2:$F$378,0)*AD195,"")</f>
        <v/>
      </c>
      <c r="J193" s="586">
        <f>_xludf.IFNA(_xlfn.XLOOKUP(C195,'00_SKU_Master'!$B$2:$B$378,'00_SKU_Master'!$F$2:$F$378,0)*AE195,"")</f>
        <v/>
      </c>
      <c r="K193" s="587">
        <f>SUM(D195:J195)</f>
        <v/>
      </c>
      <c r="L193" s="197">
        <f>_xlfn.XLOOKUP(C195,'00_SKU_Master'!$B$2:$B$378,'00_SKU_Master'!K:K)</f>
        <v/>
      </c>
      <c r="M193" s="14">
        <f>X195</f>
        <v/>
      </c>
      <c r="N193" s="157">
        <f>_xludf.IFNA(D195/_xlfn.XLOOKUP($M195,'00_SKU_Master'!$B$2:$B$378,'00_SKU_Master'!$M$2:$M$378,0)/$M$2,"0")</f>
        <v/>
      </c>
      <c r="O193" s="157">
        <f>_xludf.IFNA(E195/_xlfn.XLOOKUP($M195,'00_SKU_Master'!$B$2:$B$378,'00_SKU_Master'!$M$2:$M$378,0)/$M$2,"0")</f>
        <v/>
      </c>
      <c r="P193" s="157">
        <f>_xludf.IFNA(F195/_xlfn.XLOOKUP($M195,'00_SKU_Master'!$B$2:$B$378,'00_SKU_Master'!$M$2:$M$378,0)/$M$2,"0")</f>
        <v/>
      </c>
      <c r="Q193" s="157">
        <f>_xludf.IFNA(G195/_xlfn.XLOOKUP($M195,'00_SKU_Master'!$B$2:$B$378,'00_SKU_Master'!$M$2:$M$378,0)/$M$2,"0")</f>
        <v/>
      </c>
      <c r="R193" s="157">
        <f>_xludf.IFNA(H195/_xlfn.XLOOKUP($M195,'00_SKU_Master'!$B$2:$B$378,'00_SKU_Master'!$M$2:$M$378,0)/$M$2,"0")</f>
        <v/>
      </c>
      <c r="S193" s="157">
        <f>_xludf.IFNA(I195/_xlfn.XLOOKUP($M195,'00_SKU_Master'!$B$2:$B$378,'00_SKU_Master'!$M$2:$M$378,0)/$M$2,"0")</f>
        <v/>
      </c>
      <c r="T193" s="157">
        <f>_xludf.IFNA(J195/_xlfn.XLOOKUP($M195,'00_SKU_Master'!$B$2:$B$378,'00_SKU_Master'!$M$2:$M$378,0)/$M$2,"0")</f>
        <v/>
      </c>
      <c r="U193" s="157">
        <f>SUM(N195:T195)</f>
        <v/>
      </c>
      <c r="V193" s="4" t="n"/>
      <c r="W193" s="4">
        <f>_xlfn.XLOOKUP(M195,'00_SKU_Master'!$B$2:$B$378,'00_SKU_Master'!D:D)</f>
        <v/>
      </c>
      <c r="X193" s="14">
        <f>'05_Daily_Orders'!B194</f>
        <v/>
      </c>
      <c r="Y193" s="588" t="n"/>
      <c r="Z193" s="589" t="n"/>
      <c r="AA193" s="589" t="n"/>
      <c r="AB193" s="589" t="n"/>
      <c r="AC193" s="589" t="n">
        <v>73</v>
      </c>
      <c r="AD193" s="589" t="n">
        <v>27</v>
      </c>
      <c r="AE193" s="589" t="n">
        <v>32</v>
      </c>
      <c r="AF193" s="587">
        <f>SUM(Y195:AE195)</f>
        <v/>
      </c>
      <c r="AQ193" s="23" t="n">
        <v>0</v>
      </c>
      <c r="AR193" s="23" t="n">
        <v>0</v>
      </c>
      <c r="AS193" s="23">
        <f>AR195-AQ195</f>
        <v/>
      </c>
    </row>
    <row r="194">
      <c r="A194" s="148">
        <f>_xlfn.XLOOKUP(C196,'00_SKU_Master'!$B$2:$B$378,'00_SKU_Master'!$C$2:$C$378)</f>
        <v/>
      </c>
      <c r="B194" s="148" t="n"/>
      <c r="C194" s="148">
        <f>X196</f>
        <v/>
      </c>
      <c r="D194" s="586">
        <f>_xludf.IFNA(_xlfn.XLOOKUP(C196,'00_SKU_Master'!$B$2:$B$378,'00_SKU_Master'!$F$2:$F$378,0)*Y196,"")</f>
        <v/>
      </c>
      <c r="E194" s="586">
        <f>_xludf.IFNA(_xlfn.XLOOKUP(C196,'00_SKU_Master'!$B$2:$B$378,'00_SKU_Master'!$F$2:$F$378,0)*Z196,"")</f>
        <v/>
      </c>
      <c r="F194" s="586">
        <f>_xludf.IFNA(_xlfn.XLOOKUP(C196,'00_SKU_Master'!$B$2:$B$378,'00_SKU_Master'!$F$2:$F$378,0)*AA196,"")</f>
        <v/>
      </c>
      <c r="G194" s="586">
        <f>_xludf.IFNA(_xlfn.XLOOKUP(C196,'00_SKU_Master'!$B$2:$B$378,'00_SKU_Master'!$F$2:$F$378,0)*AB196,"")</f>
        <v/>
      </c>
      <c r="H194" s="586">
        <f>_xludf.IFNA(_xlfn.XLOOKUP(C196,'00_SKU_Master'!$B$2:$B$378,'00_SKU_Master'!$F$2:$F$378,0)*AC196,"")</f>
        <v/>
      </c>
      <c r="I194" s="586">
        <f>_xludf.IFNA(_xlfn.XLOOKUP(C196,'00_SKU_Master'!$B$2:$B$378,'00_SKU_Master'!$F$2:$F$378,0)*AD196,"")</f>
        <v/>
      </c>
      <c r="J194" s="586">
        <f>_xludf.IFNA(_xlfn.XLOOKUP(C196,'00_SKU_Master'!$B$2:$B$378,'00_SKU_Master'!$F$2:$F$378,0)*AE196,"")</f>
        <v/>
      </c>
      <c r="K194" s="587">
        <f>SUM(D196:J196)</f>
        <v/>
      </c>
      <c r="L194" s="197">
        <f>_xlfn.XLOOKUP(C196,'00_SKU_Master'!$B$2:$B$378,'00_SKU_Master'!K:K)</f>
        <v/>
      </c>
      <c r="M194" s="14">
        <f>X196</f>
        <v/>
      </c>
      <c r="N194" s="157">
        <f>_xludf.IFNA(D196/_xlfn.XLOOKUP($M196,'00_SKU_Master'!$B$2:$B$378,'00_SKU_Master'!$M$2:$M$378,0)/$M$2,"0")</f>
        <v/>
      </c>
      <c r="O194" s="157">
        <f>_xludf.IFNA(E196/_xlfn.XLOOKUP($M196,'00_SKU_Master'!$B$2:$B$378,'00_SKU_Master'!$M$2:$M$378,0)/$M$2,"0")</f>
        <v/>
      </c>
      <c r="P194" s="157">
        <f>_xludf.IFNA(F196/_xlfn.XLOOKUP($M196,'00_SKU_Master'!$B$2:$B$378,'00_SKU_Master'!$M$2:$M$378,0)/$M$2,"0")</f>
        <v/>
      </c>
      <c r="Q194" s="157">
        <f>_xludf.IFNA(G196/_xlfn.XLOOKUP($M196,'00_SKU_Master'!$B$2:$B$378,'00_SKU_Master'!$M$2:$M$378,0)/$M$2,"0")</f>
        <v/>
      </c>
      <c r="R194" s="157">
        <f>_xludf.IFNA(H196/_xlfn.XLOOKUP($M196,'00_SKU_Master'!$B$2:$B$378,'00_SKU_Master'!$M$2:$M$378,0)/$M$2,"0")</f>
        <v/>
      </c>
      <c r="S194" s="157">
        <f>_xludf.IFNA(I196/_xlfn.XLOOKUP($M196,'00_SKU_Master'!$B$2:$B$378,'00_SKU_Master'!$M$2:$M$378,0)/$M$2,"0")</f>
        <v/>
      </c>
      <c r="T194" s="157">
        <f>_xludf.IFNA(J196/_xlfn.XLOOKUP($M196,'00_SKU_Master'!$B$2:$B$378,'00_SKU_Master'!$M$2:$M$378,0)/$M$2,"0")</f>
        <v/>
      </c>
      <c r="U194" s="157">
        <f>SUM(N196:T196)</f>
        <v/>
      </c>
      <c r="V194" s="4" t="n"/>
      <c r="W194" s="4">
        <f>_xlfn.XLOOKUP(M196,'00_SKU_Master'!$B$2:$B$378,'00_SKU_Master'!D:D)</f>
        <v/>
      </c>
      <c r="X194" s="14">
        <f>'05_Daily_Orders'!B195</f>
        <v/>
      </c>
      <c r="Y194" s="588" t="n"/>
      <c r="Z194" s="589" t="n"/>
      <c r="AA194" s="589" t="n"/>
      <c r="AB194" s="589" t="n"/>
      <c r="AC194" s="589" t="n">
        <v>360</v>
      </c>
      <c r="AD194" s="589" t="n">
        <v>355</v>
      </c>
      <c r="AE194" s="589" t="n">
        <v>241</v>
      </c>
      <c r="AF194" s="587">
        <f>SUM(Y196:AE196)</f>
        <v/>
      </c>
      <c r="AQ194" s="23" t="n">
        <v>0</v>
      </c>
      <c r="AR194" s="23" t="n">
        <v>0</v>
      </c>
      <c r="AS194" s="23">
        <f>AR196-AQ196</f>
        <v/>
      </c>
    </row>
    <row r="195">
      <c r="A195" s="148">
        <f>_xlfn.XLOOKUP(C197,'00_SKU_Master'!$B$2:$B$378,'00_SKU_Master'!$C$2:$C$378)</f>
        <v/>
      </c>
      <c r="B195" s="148" t="n"/>
      <c r="C195" s="148">
        <f>X197</f>
        <v/>
      </c>
      <c r="D195" s="586">
        <f>_xludf.IFNA(_xlfn.XLOOKUP(C197,'00_SKU_Master'!$B$2:$B$378,'00_SKU_Master'!$F$2:$F$378,0)*Y197,"")</f>
        <v/>
      </c>
      <c r="E195" s="586">
        <f>_xludf.IFNA(_xlfn.XLOOKUP(C197,'00_SKU_Master'!$B$2:$B$378,'00_SKU_Master'!$F$2:$F$378,0)*Z197,"")</f>
        <v/>
      </c>
      <c r="F195" s="586">
        <f>_xludf.IFNA(_xlfn.XLOOKUP(C197,'00_SKU_Master'!$B$2:$B$378,'00_SKU_Master'!$F$2:$F$378,0)*AA197,"")</f>
        <v/>
      </c>
      <c r="G195" s="586">
        <f>_xludf.IFNA(_xlfn.XLOOKUP(C197,'00_SKU_Master'!$B$2:$B$378,'00_SKU_Master'!$F$2:$F$378,0)*AB197,"")</f>
        <v/>
      </c>
      <c r="H195" s="586">
        <f>_xludf.IFNA(_xlfn.XLOOKUP(C197,'00_SKU_Master'!$B$2:$B$378,'00_SKU_Master'!$F$2:$F$378,0)*AC197,"")</f>
        <v/>
      </c>
      <c r="I195" s="586">
        <f>_xludf.IFNA(_xlfn.XLOOKUP(C197,'00_SKU_Master'!$B$2:$B$378,'00_SKU_Master'!$F$2:$F$378,0)*AD197,"")</f>
        <v/>
      </c>
      <c r="J195" s="586">
        <f>_xludf.IFNA(_xlfn.XLOOKUP(C197,'00_SKU_Master'!$B$2:$B$378,'00_SKU_Master'!$F$2:$F$378,0)*AE197,"")</f>
        <v/>
      </c>
      <c r="K195" s="587">
        <f>SUM(D197:J197)</f>
        <v/>
      </c>
      <c r="L195" s="197">
        <f>_xlfn.XLOOKUP(C197,'00_SKU_Master'!$B$2:$B$378,'00_SKU_Master'!K:K)</f>
        <v/>
      </c>
      <c r="M195" s="14">
        <f>X197</f>
        <v/>
      </c>
      <c r="N195" s="157">
        <f>_xludf.IFNA(D197/_xlfn.XLOOKUP($M197,'00_SKU_Master'!$B$2:$B$378,'00_SKU_Master'!$M$2:$M$378,0)/$M$2,"0")</f>
        <v/>
      </c>
      <c r="O195" s="157">
        <f>_xludf.IFNA(E197/_xlfn.XLOOKUP($M197,'00_SKU_Master'!$B$2:$B$378,'00_SKU_Master'!$M$2:$M$378,0)/$M$2,"0")</f>
        <v/>
      </c>
      <c r="P195" s="157">
        <f>_xludf.IFNA(F197/_xlfn.XLOOKUP($M197,'00_SKU_Master'!$B$2:$B$378,'00_SKU_Master'!$M$2:$M$378,0)/$M$2,"0")</f>
        <v/>
      </c>
      <c r="Q195" s="157">
        <f>_xludf.IFNA(G197/_xlfn.XLOOKUP($M197,'00_SKU_Master'!$B$2:$B$378,'00_SKU_Master'!$M$2:$M$378,0)/$M$2,"0")</f>
        <v/>
      </c>
      <c r="R195" s="157">
        <f>_xludf.IFNA(H197/_xlfn.XLOOKUP($M197,'00_SKU_Master'!$B$2:$B$378,'00_SKU_Master'!$M$2:$M$378,0)/$M$2,"0")</f>
        <v/>
      </c>
      <c r="S195" s="157">
        <f>_xludf.IFNA(I197/_xlfn.XLOOKUP($M197,'00_SKU_Master'!$B$2:$B$378,'00_SKU_Master'!$M$2:$M$378,0)/$M$2,"0")</f>
        <v/>
      </c>
      <c r="T195" s="157">
        <f>_xludf.IFNA(J197/_xlfn.XLOOKUP($M197,'00_SKU_Master'!$B$2:$B$378,'00_SKU_Master'!$M$2:$M$378,0)/$M$2,"0")</f>
        <v/>
      </c>
      <c r="U195" s="157">
        <f>SUM(N197:T197)</f>
        <v/>
      </c>
      <c r="V195" s="4" t="n"/>
      <c r="W195" s="4">
        <f>_xlfn.XLOOKUP(M197,'00_SKU_Master'!$B$2:$B$378,'00_SKU_Master'!D:D)</f>
        <v/>
      </c>
      <c r="X195" s="14">
        <f>'05_Daily_Orders'!B196</f>
        <v/>
      </c>
      <c r="Y195" s="588" t="n"/>
      <c r="Z195" s="589" t="n"/>
      <c r="AA195" s="589" t="n"/>
      <c r="AB195" s="589" t="n"/>
      <c r="AC195" s="589" t="n">
        <v>733</v>
      </c>
      <c r="AD195" s="589" t="n">
        <v>417</v>
      </c>
      <c r="AE195" s="589" t="n">
        <v>203</v>
      </c>
      <c r="AF195" s="587">
        <f>SUM(Y197:AE197)</f>
        <v/>
      </c>
      <c r="AQ195" s="23" t="n">
        <v>0</v>
      </c>
      <c r="AR195" s="23" t="n">
        <v>0</v>
      </c>
      <c r="AS195" s="23">
        <f>AR197-AQ197</f>
        <v/>
      </c>
    </row>
    <row r="196">
      <c r="A196" s="148">
        <f>_xlfn.XLOOKUP(C198,'00_SKU_Master'!$B$2:$B$378,'00_SKU_Master'!$C$2:$C$378)</f>
        <v/>
      </c>
      <c r="B196" s="148" t="n"/>
      <c r="C196" s="148">
        <f>X198</f>
        <v/>
      </c>
      <c r="D196" s="586">
        <f>_xludf.IFNA(_xlfn.XLOOKUP(C198,'00_SKU_Master'!$B$2:$B$378,'00_SKU_Master'!$F$2:$F$378,0)*Y198,"")</f>
        <v/>
      </c>
      <c r="E196" s="586">
        <f>_xludf.IFNA(_xlfn.XLOOKUP(C198,'00_SKU_Master'!$B$2:$B$378,'00_SKU_Master'!$F$2:$F$378,0)*Z198,"")</f>
        <v/>
      </c>
      <c r="F196" s="586">
        <f>_xludf.IFNA(_xlfn.XLOOKUP(C198,'00_SKU_Master'!$B$2:$B$378,'00_SKU_Master'!$F$2:$F$378,0)*AA198,"")</f>
        <v/>
      </c>
      <c r="G196" s="586">
        <f>_xludf.IFNA(_xlfn.XLOOKUP(C198,'00_SKU_Master'!$B$2:$B$378,'00_SKU_Master'!$F$2:$F$378,0)*AB198,"")</f>
        <v/>
      </c>
      <c r="H196" s="586">
        <f>_xludf.IFNA(_xlfn.XLOOKUP(C198,'00_SKU_Master'!$B$2:$B$378,'00_SKU_Master'!$F$2:$F$378,0)*AC198,"")</f>
        <v/>
      </c>
      <c r="I196" s="586">
        <f>_xludf.IFNA(_xlfn.XLOOKUP(C198,'00_SKU_Master'!$B$2:$B$378,'00_SKU_Master'!$F$2:$F$378,0)*AD198,"")</f>
        <v/>
      </c>
      <c r="J196" s="586">
        <f>_xludf.IFNA(_xlfn.XLOOKUP(C198,'00_SKU_Master'!$B$2:$B$378,'00_SKU_Master'!$F$2:$F$378,0)*AE198,"")</f>
        <v/>
      </c>
      <c r="K196" s="587">
        <f>SUM(D198:J198)</f>
        <v/>
      </c>
      <c r="L196" s="197">
        <f>_xlfn.XLOOKUP(C198,'00_SKU_Master'!$B$2:$B$378,'00_SKU_Master'!K:K)</f>
        <v/>
      </c>
      <c r="M196" s="14">
        <f>X198</f>
        <v/>
      </c>
      <c r="N196" s="157">
        <f>_xludf.IFNA(D198/_xlfn.XLOOKUP($M198,'00_SKU_Master'!$B$2:$B$378,'00_SKU_Master'!$M$2:$M$378,0)/$M$2,"0")</f>
        <v/>
      </c>
      <c r="O196" s="157">
        <f>_xludf.IFNA(E198/_xlfn.XLOOKUP($M198,'00_SKU_Master'!$B$2:$B$378,'00_SKU_Master'!$M$2:$M$378,0)/$M$2,"0")</f>
        <v/>
      </c>
      <c r="P196" s="157">
        <f>_xludf.IFNA(F198/_xlfn.XLOOKUP($M198,'00_SKU_Master'!$B$2:$B$378,'00_SKU_Master'!$M$2:$M$378,0)/$M$2,"0")</f>
        <v/>
      </c>
      <c r="Q196" s="157">
        <f>_xludf.IFNA(G198/_xlfn.XLOOKUP($M198,'00_SKU_Master'!$B$2:$B$378,'00_SKU_Master'!$M$2:$M$378,0)/$M$2,"0")</f>
        <v/>
      </c>
      <c r="R196" s="157">
        <f>_xludf.IFNA(H198/_xlfn.XLOOKUP($M198,'00_SKU_Master'!$B$2:$B$378,'00_SKU_Master'!$M$2:$M$378,0)/$M$2,"0")</f>
        <v/>
      </c>
      <c r="S196" s="157">
        <f>_xludf.IFNA(I198/_xlfn.XLOOKUP($M198,'00_SKU_Master'!$B$2:$B$378,'00_SKU_Master'!$M$2:$M$378,0)/$M$2,"0")</f>
        <v/>
      </c>
      <c r="T196" s="157">
        <f>_xludf.IFNA(J198/_xlfn.XLOOKUP($M198,'00_SKU_Master'!$B$2:$B$378,'00_SKU_Master'!$M$2:$M$378,0)/$M$2,"0")</f>
        <v/>
      </c>
      <c r="U196" s="157">
        <f>SUM(N198:T198)</f>
        <v/>
      </c>
      <c r="V196" s="4" t="n"/>
      <c r="W196" s="4">
        <f>_xlfn.XLOOKUP(M198,'00_SKU_Master'!$B$2:$B$378,'00_SKU_Master'!D:D)</f>
        <v/>
      </c>
      <c r="X196" s="14">
        <f>'05_Daily_Orders'!B197</f>
        <v/>
      </c>
      <c r="Y196" s="588" t="n"/>
      <c r="Z196" s="589" t="n"/>
      <c r="AA196" s="589" t="n"/>
      <c r="AB196" s="589" t="n"/>
      <c r="AC196" s="589" t="n">
        <v>0</v>
      </c>
      <c r="AD196" s="589" t="n">
        <v>0</v>
      </c>
      <c r="AE196" s="589" t="n">
        <v>0</v>
      </c>
      <c r="AF196" s="587">
        <f>SUM(Y198:AE198)</f>
        <v/>
      </c>
      <c r="AQ196" s="23" t="n">
        <v>0</v>
      </c>
      <c r="AR196" s="23" t="n">
        <v>0</v>
      </c>
      <c r="AS196" s="23">
        <f>AR198-AQ198</f>
        <v/>
      </c>
    </row>
    <row r="197">
      <c r="A197" s="148">
        <f>_xlfn.XLOOKUP(C199,'00_SKU_Master'!$B$2:$B$378,'00_SKU_Master'!$C$2:$C$378)</f>
        <v/>
      </c>
      <c r="B197" s="148" t="n"/>
      <c r="C197" s="148">
        <f>X199</f>
        <v/>
      </c>
      <c r="D197" s="586">
        <f>_xludf.IFNA(_xlfn.XLOOKUP(C199,'00_SKU_Master'!$B$2:$B$378,'00_SKU_Master'!$F$2:$F$378,0)*Y199,"")</f>
        <v/>
      </c>
      <c r="E197" s="586">
        <f>_xludf.IFNA(_xlfn.XLOOKUP(C199,'00_SKU_Master'!$B$2:$B$378,'00_SKU_Master'!$F$2:$F$378,0)*Z199,"")</f>
        <v/>
      </c>
      <c r="F197" s="586">
        <f>_xludf.IFNA(_xlfn.XLOOKUP(C199,'00_SKU_Master'!$B$2:$B$378,'00_SKU_Master'!$F$2:$F$378,0)*AA199,"")</f>
        <v/>
      </c>
      <c r="G197" s="586">
        <f>_xludf.IFNA(_xlfn.XLOOKUP(C199,'00_SKU_Master'!$B$2:$B$378,'00_SKU_Master'!$F$2:$F$378,0)*AB199,"")</f>
        <v/>
      </c>
      <c r="H197" s="586">
        <f>_xludf.IFNA(_xlfn.XLOOKUP(C199,'00_SKU_Master'!$B$2:$B$378,'00_SKU_Master'!$F$2:$F$378,0)*AC199,"")</f>
        <v/>
      </c>
      <c r="I197" s="586">
        <f>_xludf.IFNA(_xlfn.XLOOKUP(C199,'00_SKU_Master'!$B$2:$B$378,'00_SKU_Master'!$F$2:$F$378,0)*AD199,"")</f>
        <v/>
      </c>
      <c r="J197" s="586">
        <f>_xludf.IFNA(_xlfn.XLOOKUP(C199,'00_SKU_Master'!$B$2:$B$378,'00_SKU_Master'!$F$2:$F$378,0)*AE199,"")</f>
        <v/>
      </c>
      <c r="K197" s="587">
        <f>SUM(D199:J199)</f>
        <v/>
      </c>
      <c r="L197" s="197">
        <f>_xlfn.XLOOKUP(C199,'00_SKU_Master'!$B$2:$B$378,'00_SKU_Master'!K:K)</f>
        <v/>
      </c>
      <c r="M197" s="14">
        <f>X199</f>
        <v/>
      </c>
      <c r="N197" s="157">
        <f>_xludf.IFNA(D199/_xlfn.XLOOKUP($M199,'00_SKU_Master'!$B$2:$B$378,'00_SKU_Master'!$M$2:$M$378,0)/$M$2,"0")</f>
        <v/>
      </c>
      <c r="O197" s="157">
        <f>_xludf.IFNA(E199/_xlfn.XLOOKUP($M199,'00_SKU_Master'!$B$2:$B$378,'00_SKU_Master'!$M$2:$M$378,0)/$M$2,"0")</f>
        <v/>
      </c>
      <c r="P197" s="157">
        <f>_xludf.IFNA(F199/_xlfn.XLOOKUP($M199,'00_SKU_Master'!$B$2:$B$378,'00_SKU_Master'!$M$2:$M$378,0)/$M$2,"0")</f>
        <v/>
      </c>
      <c r="Q197" s="157">
        <f>_xludf.IFNA(G199/_xlfn.XLOOKUP($M199,'00_SKU_Master'!$B$2:$B$378,'00_SKU_Master'!$M$2:$M$378,0)/$M$2,"0")</f>
        <v/>
      </c>
      <c r="R197" s="157">
        <f>_xludf.IFNA(H199/_xlfn.XLOOKUP($M199,'00_SKU_Master'!$B$2:$B$378,'00_SKU_Master'!$M$2:$M$378,0)/$M$2,"0")</f>
        <v/>
      </c>
      <c r="S197" s="157">
        <f>_xludf.IFNA(I199/_xlfn.XLOOKUP($M199,'00_SKU_Master'!$B$2:$B$378,'00_SKU_Master'!$M$2:$M$378,0)/$M$2,"0")</f>
        <v/>
      </c>
      <c r="T197" s="157">
        <f>_xludf.IFNA(J199/_xlfn.XLOOKUP($M199,'00_SKU_Master'!$B$2:$B$378,'00_SKU_Master'!$M$2:$M$378,0)/$M$2,"0")</f>
        <v/>
      </c>
      <c r="U197" s="157">
        <f>SUM(N199:T199)</f>
        <v/>
      </c>
      <c r="V197" s="4" t="n"/>
      <c r="W197" s="4">
        <f>_xlfn.XLOOKUP(M199,'00_SKU_Master'!$B$2:$B$378,'00_SKU_Master'!D:D)</f>
        <v/>
      </c>
      <c r="X197" s="14">
        <f>'05_Daily_Orders'!B198</f>
        <v/>
      </c>
      <c r="Y197" s="588" t="n"/>
      <c r="Z197" s="589" t="n"/>
      <c r="AA197" s="589" t="n"/>
      <c r="AB197" s="589" t="n"/>
      <c r="AC197" s="589" t="n">
        <v>0</v>
      </c>
      <c r="AD197" s="589" t="n">
        <v>0</v>
      </c>
      <c r="AE197" s="589" t="n">
        <v>0</v>
      </c>
      <c r="AF197" s="587">
        <f>SUM(Y199:AE199)</f>
        <v/>
      </c>
      <c r="AQ197" s="23" t="n">
        <v>0</v>
      </c>
      <c r="AR197" s="23" t="n">
        <v>0</v>
      </c>
      <c r="AS197" s="23">
        <f>AR199-AQ199</f>
        <v/>
      </c>
    </row>
    <row r="198">
      <c r="A198" s="148">
        <f>_xlfn.XLOOKUP(C200,'00_SKU_Master'!$B$2:$B$378,'00_SKU_Master'!$C$2:$C$378)</f>
        <v/>
      </c>
      <c r="B198" s="148" t="n"/>
      <c r="C198" s="148">
        <f>X200</f>
        <v/>
      </c>
      <c r="D198" s="586">
        <f>_xludf.IFNA(_xlfn.XLOOKUP(C200,'00_SKU_Master'!$B$2:$B$378,'00_SKU_Master'!$F$2:$F$378,0)*Y200,"")</f>
        <v/>
      </c>
      <c r="E198" s="586">
        <f>_xludf.IFNA(_xlfn.XLOOKUP(C200,'00_SKU_Master'!$B$2:$B$378,'00_SKU_Master'!$F$2:$F$378,0)*Z200,"")</f>
        <v/>
      </c>
      <c r="F198" s="586">
        <f>_xludf.IFNA(_xlfn.XLOOKUP(C200,'00_SKU_Master'!$B$2:$B$378,'00_SKU_Master'!$F$2:$F$378,0)*AA200,"")</f>
        <v/>
      </c>
      <c r="G198" s="586">
        <f>_xludf.IFNA(_xlfn.XLOOKUP(C200,'00_SKU_Master'!$B$2:$B$378,'00_SKU_Master'!$F$2:$F$378,0)*AB200,"")</f>
        <v/>
      </c>
      <c r="H198" s="586">
        <f>_xludf.IFNA(_xlfn.XLOOKUP(C200,'00_SKU_Master'!$B$2:$B$378,'00_SKU_Master'!$F$2:$F$378,0)*AC200,"")</f>
        <v/>
      </c>
      <c r="I198" s="586">
        <f>_xludf.IFNA(_xlfn.XLOOKUP(C200,'00_SKU_Master'!$B$2:$B$378,'00_SKU_Master'!$F$2:$F$378,0)*AD200,"")</f>
        <v/>
      </c>
      <c r="J198" s="586">
        <f>_xludf.IFNA(_xlfn.XLOOKUP(C200,'00_SKU_Master'!$B$2:$B$378,'00_SKU_Master'!$F$2:$F$378,0)*AE200,"")</f>
        <v/>
      </c>
      <c r="K198" s="587">
        <f>SUM(D200:J200)</f>
        <v/>
      </c>
      <c r="L198" s="197">
        <f>_xlfn.XLOOKUP(C200,'00_SKU_Master'!$B$2:$B$378,'00_SKU_Master'!K:K)</f>
        <v/>
      </c>
      <c r="M198" s="14">
        <f>X200</f>
        <v/>
      </c>
      <c r="N198" s="157">
        <f>_xludf.IFNA(D200/_xlfn.XLOOKUP($M200,'00_SKU_Master'!$B$2:$B$378,'00_SKU_Master'!$M$2:$M$378,0)/$M$2,"0")</f>
        <v/>
      </c>
      <c r="O198" s="157">
        <f>_xludf.IFNA(E200/_xlfn.XLOOKUP($M200,'00_SKU_Master'!$B$2:$B$378,'00_SKU_Master'!$M$2:$M$378,0)/$M$2,"0")</f>
        <v/>
      </c>
      <c r="P198" s="157">
        <f>_xludf.IFNA(F200/_xlfn.XLOOKUP($M200,'00_SKU_Master'!$B$2:$B$378,'00_SKU_Master'!$M$2:$M$378,0)/$M$2,"0")</f>
        <v/>
      </c>
      <c r="Q198" s="157">
        <f>_xludf.IFNA(G200/_xlfn.XLOOKUP($M200,'00_SKU_Master'!$B$2:$B$378,'00_SKU_Master'!$M$2:$M$378,0)/$M$2,"0")</f>
        <v/>
      </c>
      <c r="R198" s="157">
        <f>_xludf.IFNA(H200/_xlfn.XLOOKUP($M200,'00_SKU_Master'!$B$2:$B$378,'00_SKU_Master'!$M$2:$M$378,0)/$M$2,"0")</f>
        <v/>
      </c>
      <c r="S198" s="157">
        <f>_xludf.IFNA(I200/_xlfn.XLOOKUP($M200,'00_SKU_Master'!$B$2:$B$378,'00_SKU_Master'!$M$2:$M$378,0)/$M$2,"0")</f>
        <v/>
      </c>
      <c r="T198" s="157">
        <f>_xludf.IFNA(J200/_xlfn.XLOOKUP($M200,'00_SKU_Master'!$B$2:$B$378,'00_SKU_Master'!$M$2:$M$378,0)/$M$2,"0")</f>
        <v/>
      </c>
      <c r="U198" s="157">
        <f>SUM(N200:T200)</f>
        <v/>
      </c>
      <c r="V198" s="4" t="n"/>
      <c r="W198" s="4">
        <f>_xlfn.XLOOKUP(M200,'00_SKU_Master'!$B$2:$B$378,'00_SKU_Master'!D:D)</f>
        <v/>
      </c>
      <c r="X198" s="14">
        <f>'05_Daily_Orders'!B199</f>
        <v/>
      </c>
      <c r="Y198" s="588" t="n"/>
      <c r="Z198" s="589" t="n"/>
      <c r="AA198" s="589" t="n"/>
      <c r="AB198" s="589" t="n"/>
      <c r="AC198" s="589" t="n">
        <v>0</v>
      </c>
      <c r="AD198" s="589" t="n">
        <v>0</v>
      </c>
      <c r="AE198" s="589" t="n">
        <v>0</v>
      </c>
      <c r="AF198" s="587">
        <f>SUM(Y200:AE200)</f>
        <v/>
      </c>
      <c r="AQ198" s="23" t="n">
        <v>0</v>
      </c>
      <c r="AR198" s="23" t="n">
        <v>0</v>
      </c>
      <c r="AS198" s="23">
        <f>AR200-AQ200</f>
        <v/>
      </c>
    </row>
    <row r="199">
      <c r="A199" s="148">
        <f>_xlfn.XLOOKUP(C201,'00_SKU_Master'!$B$2:$B$378,'00_SKU_Master'!$C$2:$C$378)</f>
        <v/>
      </c>
      <c r="B199" s="148" t="n"/>
      <c r="C199" s="148">
        <f>X201</f>
        <v/>
      </c>
      <c r="D199" s="586">
        <f>_xludf.IFNA(_xlfn.XLOOKUP(C201,'00_SKU_Master'!$B$2:$B$378,'00_SKU_Master'!$F$2:$F$378,0)*Y201,"")</f>
        <v/>
      </c>
      <c r="E199" s="586">
        <f>_xludf.IFNA(_xlfn.XLOOKUP(C201,'00_SKU_Master'!$B$2:$B$378,'00_SKU_Master'!$F$2:$F$378,0)*Z201,"")</f>
        <v/>
      </c>
      <c r="F199" s="586">
        <f>_xludf.IFNA(_xlfn.XLOOKUP(C201,'00_SKU_Master'!$B$2:$B$378,'00_SKU_Master'!$F$2:$F$378,0)*AA201,"")</f>
        <v/>
      </c>
      <c r="G199" s="586">
        <f>_xludf.IFNA(_xlfn.XLOOKUP(C201,'00_SKU_Master'!$B$2:$B$378,'00_SKU_Master'!$F$2:$F$378,0)*AB201,"")</f>
        <v/>
      </c>
      <c r="H199" s="586">
        <f>_xludf.IFNA(_xlfn.XLOOKUP(C201,'00_SKU_Master'!$B$2:$B$378,'00_SKU_Master'!$F$2:$F$378,0)*AC201,"")</f>
        <v/>
      </c>
      <c r="I199" s="586">
        <f>_xludf.IFNA(_xlfn.XLOOKUP(C201,'00_SKU_Master'!$B$2:$B$378,'00_SKU_Master'!$F$2:$F$378,0)*AD201,"")</f>
        <v/>
      </c>
      <c r="J199" s="586">
        <f>_xludf.IFNA(_xlfn.XLOOKUP(C201,'00_SKU_Master'!$B$2:$B$378,'00_SKU_Master'!$F$2:$F$378,0)*AE201,"")</f>
        <v/>
      </c>
      <c r="K199" s="587">
        <f>SUM(D201:J201)</f>
        <v/>
      </c>
      <c r="L199" s="197">
        <f>_xlfn.XLOOKUP(C201,'00_SKU_Master'!$B$2:$B$378,'00_SKU_Master'!K:K)</f>
        <v/>
      </c>
      <c r="M199" s="14">
        <f>X201</f>
        <v/>
      </c>
      <c r="N199" s="157">
        <f>_xludf.IFNA(D201/_xlfn.XLOOKUP($M201,'00_SKU_Master'!$B$2:$B$378,'00_SKU_Master'!$M$2:$M$378,0)/$M$2,"0")</f>
        <v/>
      </c>
      <c r="O199" s="157">
        <f>_xludf.IFNA(E201/_xlfn.XLOOKUP($M201,'00_SKU_Master'!$B$2:$B$378,'00_SKU_Master'!$M$2:$M$378,0)/$M$2,"0")</f>
        <v/>
      </c>
      <c r="P199" s="157">
        <f>_xludf.IFNA(F201/_xlfn.XLOOKUP($M201,'00_SKU_Master'!$B$2:$B$378,'00_SKU_Master'!$M$2:$M$378,0)/$M$2,"0")</f>
        <v/>
      </c>
      <c r="Q199" s="157">
        <f>_xludf.IFNA(G201/_xlfn.XLOOKUP($M201,'00_SKU_Master'!$B$2:$B$378,'00_SKU_Master'!$M$2:$M$378,0)/$M$2,"0")</f>
        <v/>
      </c>
      <c r="R199" s="157">
        <f>_xludf.IFNA(H201/_xlfn.XLOOKUP($M201,'00_SKU_Master'!$B$2:$B$378,'00_SKU_Master'!$M$2:$M$378,0)/$M$2,"0")</f>
        <v/>
      </c>
      <c r="S199" s="157">
        <f>_xludf.IFNA(I201/_xlfn.XLOOKUP($M201,'00_SKU_Master'!$B$2:$B$378,'00_SKU_Master'!$M$2:$M$378,0)/$M$2,"0")</f>
        <v/>
      </c>
      <c r="T199" s="157">
        <f>_xludf.IFNA(J201/_xlfn.XLOOKUP($M201,'00_SKU_Master'!$B$2:$B$378,'00_SKU_Master'!$M$2:$M$378,0)/$M$2,"0")</f>
        <v/>
      </c>
      <c r="U199" s="157">
        <f>SUM(N201:T201)</f>
        <v/>
      </c>
      <c r="V199" s="4" t="n"/>
      <c r="W199" s="4">
        <f>_xlfn.XLOOKUP(M201,'00_SKU_Master'!$B$2:$B$378,'00_SKU_Master'!D:D)</f>
        <v/>
      </c>
      <c r="X199" s="14">
        <f>'05_Daily_Orders'!B200</f>
        <v/>
      </c>
      <c r="Y199" s="588" t="n"/>
      <c r="Z199" s="589" t="n"/>
      <c r="AA199" s="589" t="n"/>
      <c r="AB199" s="589" t="n"/>
      <c r="AC199" s="589" t="n">
        <v>0</v>
      </c>
      <c r="AD199" s="589" t="n">
        <v>0</v>
      </c>
      <c r="AE199" s="589" t="n">
        <v>0</v>
      </c>
      <c r="AF199" s="587">
        <f>SUM(Y201:AE201)</f>
        <v/>
      </c>
      <c r="AQ199" s="23" t="n">
        <v>33</v>
      </c>
      <c r="AR199" s="23" t="n">
        <v>0</v>
      </c>
      <c r="AS199" s="23">
        <f>AR201-AQ201</f>
        <v/>
      </c>
    </row>
    <row r="200">
      <c r="A200" s="148">
        <f>_xlfn.XLOOKUP(C202,'00_SKU_Master'!$B$2:$B$378,'00_SKU_Master'!$C$2:$C$378)</f>
        <v/>
      </c>
      <c r="B200" s="148" t="n"/>
      <c r="C200" s="148">
        <f>X202</f>
        <v/>
      </c>
      <c r="D200" s="586">
        <f>_xludf.IFNA(_xlfn.XLOOKUP(C202,'00_SKU_Master'!$B$2:$B$378,'00_SKU_Master'!$F$2:$F$378,0)*Y202,"")</f>
        <v/>
      </c>
      <c r="E200" s="586">
        <f>_xludf.IFNA(_xlfn.XLOOKUP(C202,'00_SKU_Master'!$B$2:$B$378,'00_SKU_Master'!$F$2:$F$378,0)*Z202,"")</f>
        <v/>
      </c>
      <c r="F200" s="586">
        <f>_xludf.IFNA(_xlfn.XLOOKUP(C202,'00_SKU_Master'!$B$2:$B$378,'00_SKU_Master'!$F$2:$F$378,0)*AA202,"")</f>
        <v/>
      </c>
      <c r="G200" s="586">
        <f>_xludf.IFNA(_xlfn.XLOOKUP(C202,'00_SKU_Master'!$B$2:$B$378,'00_SKU_Master'!$F$2:$F$378,0)*AB202,"")</f>
        <v/>
      </c>
      <c r="H200" s="586">
        <f>_xludf.IFNA(_xlfn.XLOOKUP(C202,'00_SKU_Master'!$B$2:$B$378,'00_SKU_Master'!$F$2:$F$378,0)*AC202,"")</f>
        <v/>
      </c>
      <c r="I200" s="586">
        <f>_xludf.IFNA(_xlfn.XLOOKUP(C202,'00_SKU_Master'!$B$2:$B$378,'00_SKU_Master'!$F$2:$F$378,0)*AD202,"")</f>
        <v/>
      </c>
      <c r="J200" s="586">
        <f>_xludf.IFNA(_xlfn.XLOOKUP(C202,'00_SKU_Master'!$B$2:$B$378,'00_SKU_Master'!$F$2:$F$378,0)*AE202,"")</f>
        <v/>
      </c>
      <c r="K200" s="587">
        <f>SUM(D202:J202)</f>
        <v/>
      </c>
      <c r="L200" s="197">
        <f>_xlfn.XLOOKUP(C202,'00_SKU_Master'!$B$2:$B$378,'00_SKU_Master'!K:K)</f>
        <v/>
      </c>
      <c r="M200" s="14">
        <f>X202</f>
        <v/>
      </c>
      <c r="N200" s="157">
        <f>_xludf.IFNA(D202/_xlfn.XLOOKUP($M202,'00_SKU_Master'!$B$2:$B$378,'00_SKU_Master'!$M$2:$M$378,0)/$M$2,"0")</f>
        <v/>
      </c>
      <c r="O200" s="157">
        <f>_xludf.IFNA(E202/_xlfn.XLOOKUP($M202,'00_SKU_Master'!$B$2:$B$378,'00_SKU_Master'!$M$2:$M$378,0)/$M$2,"0")</f>
        <v/>
      </c>
      <c r="P200" s="157">
        <f>_xludf.IFNA(F202/_xlfn.XLOOKUP($M202,'00_SKU_Master'!$B$2:$B$378,'00_SKU_Master'!$M$2:$M$378,0)/$M$2,"0")</f>
        <v/>
      </c>
      <c r="Q200" s="157">
        <f>_xludf.IFNA(G202/_xlfn.XLOOKUP($M202,'00_SKU_Master'!$B$2:$B$378,'00_SKU_Master'!$M$2:$M$378,0)/$M$2,"0")</f>
        <v/>
      </c>
      <c r="R200" s="157">
        <f>_xludf.IFNA(H202/_xlfn.XLOOKUP($M202,'00_SKU_Master'!$B$2:$B$378,'00_SKU_Master'!$M$2:$M$378,0)/$M$2,"0")</f>
        <v/>
      </c>
      <c r="S200" s="157">
        <f>_xludf.IFNA(I202/_xlfn.XLOOKUP($M202,'00_SKU_Master'!$B$2:$B$378,'00_SKU_Master'!$M$2:$M$378,0)/$M$2,"0")</f>
        <v/>
      </c>
      <c r="T200" s="157">
        <f>_xludf.IFNA(J202/_xlfn.XLOOKUP($M202,'00_SKU_Master'!$B$2:$B$378,'00_SKU_Master'!$M$2:$M$378,0)/$M$2,"0")</f>
        <v/>
      </c>
      <c r="U200" s="157">
        <f>SUM(N202:T202)</f>
        <v/>
      </c>
      <c r="V200" s="4" t="n"/>
      <c r="W200" s="4">
        <f>_xlfn.XLOOKUP(M202,'00_SKU_Master'!$B$2:$B$378,'00_SKU_Master'!D:D)</f>
        <v/>
      </c>
      <c r="X200" s="14">
        <f>'05_Daily_Orders'!B201</f>
        <v/>
      </c>
      <c r="Y200" s="588" t="n"/>
      <c r="Z200" s="589" t="n"/>
      <c r="AA200" s="589" t="n"/>
      <c r="AB200" s="589" t="n"/>
      <c r="AC200" s="589" t="n">
        <v>0</v>
      </c>
      <c r="AD200" s="589" t="n">
        <v>0</v>
      </c>
      <c r="AE200" s="589" t="n">
        <v>0</v>
      </c>
      <c r="AF200" s="587">
        <f>SUM(Y202:AE202)</f>
        <v/>
      </c>
      <c r="AQ200" s="23" t="n">
        <v>0</v>
      </c>
      <c r="AR200" s="23" t="n">
        <v>127</v>
      </c>
      <c r="AS200" s="23">
        <f>AR202-AQ202</f>
        <v/>
      </c>
    </row>
    <row r="201">
      <c r="A201" s="148">
        <f>_xlfn.XLOOKUP(C203,'00_SKU_Master'!$B$2:$B$378,'00_SKU_Master'!$C$2:$C$378)</f>
        <v/>
      </c>
      <c r="B201" s="148" t="n"/>
      <c r="C201" s="148">
        <f>X203</f>
        <v/>
      </c>
      <c r="D201" s="586">
        <f>_xludf.IFNA(_xlfn.XLOOKUP(C203,'00_SKU_Master'!$B$2:$B$378,'00_SKU_Master'!$F$2:$F$378,0)*Y203,"")</f>
        <v/>
      </c>
      <c r="E201" s="586">
        <f>_xludf.IFNA(_xlfn.XLOOKUP(C203,'00_SKU_Master'!$B$2:$B$378,'00_SKU_Master'!$F$2:$F$378,0)*Z203,"")</f>
        <v/>
      </c>
      <c r="F201" s="586">
        <f>_xludf.IFNA(_xlfn.XLOOKUP(C203,'00_SKU_Master'!$B$2:$B$378,'00_SKU_Master'!$F$2:$F$378,0)*AA203,"")</f>
        <v/>
      </c>
      <c r="G201" s="586">
        <f>_xludf.IFNA(_xlfn.XLOOKUP(C203,'00_SKU_Master'!$B$2:$B$378,'00_SKU_Master'!$F$2:$F$378,0)*AB203,"")</f>
        <v/>
      </c>
      <c r="H201" s="586">
        <f>_xludf.IFNA(_xlfn.XLOOKUP(C203,'00_SKU_Master'!$B$2:$B$378,'00_SKU_Master'!$F$2:$F$378,0)*AC203,"")</f>
        <v/>
      </c>
      <c r="I201" s="586">
        <f>_xludf.IFNA(_xlfn.XLOOKUP(C203,'00_SKU_Master'!$B$2:$B$378,'00_SKU_Master'!$F$2:$F$378,0)*AD203,"")</f>
        <v/>
      </c>
      <c r="J201" s="586">
        <f>_xludf.IFNA(_xlfn.XLOOKUP(C203,'00_SKU_Master'!$B$2:$B$378,'00_SKU_Master'!$F$2:$F$378,0)*AE203,"")</f>
        <v/>
      </c>
      <c r="K201" s="587">
        <f>SUM(D203:J203)</f>
        <v/>
      </c>
      <c r="L201" s="197">
        <f>_xlfn.XLOOKUP(C203,'00_SKU_Master'!$B$2:$B$378,'00_SKU_Master'!K:K)</f>
        <v/>
      </c>
      <c r="M201" s="14">
        <f>X203</f>
        <v/>
      </c>
      <c r="N201" s="157">
        <f>_xludf.IFNA(D203/_xlfn.XLOOKUP($M203,'00_SKU_Master'!$B$2:$B$378,'00_SKU_Master'!$M$2:$M$378,0)/$M$2,"0")</f>
        <v/>
      </c>
      <c r="O201" s="157">
        <f>_xludf.IFNA(E203/_xlfn.XLOOKUP($M203,'00_SKU_Master'!$B$2:$B$378,'00_SKU_Master'!$M$2:$M$378,0)/$M$2,"0")</f>
        <v/>
      </c>
      <c r="P201" s="157">
        <f>_xludf.IFNA(F203/_xlfn.XLOOKUP($M203,'00_SKU_Master'!$B$2:$B$378,'00_SKU_Master'!$M$2:$M$378,0)/$M$2,"0")</f>
        <v/>
      </c>
      <c r="Q201" s="157">
        <f>_xludf.IFNA(G203/_xlfn.XLOOKUP($M203,'00_SKU_Master'!$B$2:$B$378,'00_SKU_Master'!$M$2:$M$378,0)/$M$2,"0")</f>
        <v/>
      </c>
      <c r="R201" s="157">
        <f>_xludf.IFNA(H203/_xlfn.XLOOKUP($M203,'00_SKU_Master'!$B$2:$B$378,'00_SKU_Master'!$M$2:$M$378,0)/$M$2,"0")</f>
        <v/>
      </c>
      <c r="S201" s="157">
        <f>_xludf.IFNA(I203/_xlfn.XLOOKUP($M203,'00_SKU_Master'!$B$2:$B$378,'00_SKU_Master'!$M$2:$M$378,0)/$M$2,"0")</f>
        <v/>
      </c>
      <c r="T201" s="157">
        <f>_xludf.IFNA(J203/_xlfn.XLOOKUP($M203,'00_SKU_Master'!$B$2:$B$378,'00_SKU_Master'!$M$2:$M$378,0)/$M$2,"0")</f>
        <v/>
      </c>
      <c r="U201" s="157">
        <f>SUM(N203:T203)</f>
        <v/>
      </c>
      <c r="V201" s="4" t="n"/>
      <c r="W201" s="4">
        <f>_xlfn.XLOOKUP(M203,'00_SKU_Master'!$B$2:$B$378,'00_SKU_Master'!D:D)</f>
        <v/>
      </c>
      <c r="X201" s="14">
        <f>'05_Daily_Orders'!B202</f>
        <v/>
      </c>
      <c r="Y201" s="588" t="n"/>
      <c r="Z201" s="589" t="n"/>
      <c r="AA201" s="589" t="n"/>
      <c r="AB201" s="589" t="n"/>
      <c r="AC201" s="589" t="n">
        <v>0</v>
      </c>
      <c r="AD201" s="589" t="n">
        <v>0</v>
      </c>
      <c r="AE201" s="589" t="n">
        <v>0</v>
      </c>
      <c r="AF201" s="587">
        <f>SUM(Y203:AE203)</f>
        <v/>
      </c>
      <c r="AQ201" s="23" t="n">
        <v>3</v>
      </c>
      <c r="AR201" s="23" t="n">
        <v>0</v>
      </c>
      <c r="AS201" s="23">
        <f>AR203-AQ203</f>
        <v/>
      </c>
    </row>
    <row r="202">
      <c r="A202" s="148">
        <f>_xlfn.XLOOKUP(C204,'00_SKU_Master'!$B$2:$B$378,'00_SKU_Master'!$C$2:$C$378)</f>
        <v/>
      </c>
      <c r="B202" s="148" t="n"/>
      <c r="C202" s="148">
        <f>X204</f>
        <v/>
      </c>
      <c r="D202" s="586">
        <f>_xludf.IFNA(_xlfn.XLOOKUP(C204,'00_SKU_Master'!$B$2:$B$378,'00_SKU_Master'!$F$2:$F$378,0)*Y204,"")</f>
        <v/>
      </c>
      <c r="E202" s="586">
        <f>_xludf.IFNA(_xlfn.XLOOKUP(C204,'00_SKU_Master'!$B$2:$B$378,'00_SKU_Master'!$F$2:$F$378,0)*Z204,"")</f>
        <v/>
      </c>
      <c r="F202" s="586">
        <f>_xludf.IFNA(_xlfn.XLOOKUP(C204,'00_SKU_Master'!$B$2:$B$378,'00_SKU_Master'!$F$2:$F$378,0)*AA204,"")</f>
        <v/>
      </c>
      <c r="G202" s="586">
        <f>_xludf.IFNA(_xlfn.XLOOKUP(C204,'00_SKU_Master'!$B$2:$B$378,'00_SKU_Master'!$F$2:$F$378,0)*AB204,"")</f>
        <v/>
      </c>
      <c r="H202" s="586">
        <f>_xludf.IFNA(_xlfn.XLOOKUP(C204,'00_SKU_Master'!$B$2:$B$378,'00_SKU_Master'!$F$2:$F$378,0)*AC204,"")</f>
        <v/>
      </c>
      <c r="I202" s="586">
        <f>_xludf.IFNA(_xlfn.XLOOKUP(C204,'00_SKU_Master'!$B$2:$B$378,'00_SKU_Master'!$F$2:$F$378,0)*AD204,"")</f>
        <v/>
      </c>
      <c r="J202" s="586">
        <f>_xludf.IFNA(_xlfn.XLOOKUP(C204,'00_SKU_Master'!$B$2:$B$378,'00_SKU_Master'!$F$2:$F$378,0)*AE204,"")</f>
        <v/>
      </c>
      <c r="K202" s="587">
        <f>SUM(D204:J204)</f>
        <v/>
      </c>
      <c r="L202" s="197">
        <f>_xlfn.XLOOKUP(C204,'00_SKU_Master'!$B$2:$B$378,'00_SKU_Master'!K:K)</f>
        <v/>
      </c>
      <c r="M202" s="14">
        <f>X204</f>
        <v/>
      </c>
      <c r="N202" s="157">
        <f>_xludf.IFNA(D204/_xlfn.XLOOKUP($M204,'00_SKU_Master'!$B$2:$B$378,'00_SKU_Master'!$M$2:$M$378,0)/$M$2,"0")</f>
        <v/>
      </c>
      <c r="O202" s="157">
        <f>_xludf.IFNA(E204/_xlfn.XLOOKUP($M204,'00_SKU_Master'!$B$2:$B$378,'00_SKU_Master'!$M$2:$M$378,0)/$M$2,"0")</f>
        <v/>
      </c>
      <c r="P202" s="157">
        <f>_xludf.IFNA(F204/_xlfn.XLOOKUP($M204,'00_SKU_Master'!$B$2:$B$378,'00_SKU_Master'!$M$2:$M$378,0)/$M$2,"0")</f>
        <v/>
      </c>
      <c r="Q202" s="157">
        <f>_xludf.IFNA(G204/_xlfn.XLOOKUP($M204,'00_SKU_Master'!$B$2:$B$378,'00_SKU_Master'!$M$2:$M$378,0)/$M$2,"0")</f>
        <v/>
      </c>
      <c r="R202" s="157">
        <f>_xludf.IFNA(H204/_xlfn.XLOOKUP($M204,'00_SKU_Master'!$B$2:$B$378,'00_SKU_Master'!$M$2:$M$378,0)/$M$2,"0")</f>
        <v/>
      </c>
      <c r="S202" s="157">
        <f>_xludf.IFNA(I204/_xlfn.XLOOKUP($M204,'00_SKU_Master'!$B$2:$B$378,'00_SKU_Master'!$M$2:$M$378,0)/$M$2,"0")</f>
        <v/>
      </c>
      <c r="T202" s="157">
        <f>_xludf.IFNA(J204/_xlfn.XLOOKUP($M204,'00_SKU_Master'!$B$2:$B$378,'00_SKU_Master'!$M$2:$M$378,0)/$M$2,"0")</f>
        <v/>
      </c>
      <c r="U202" s="157">
        <f>SUM(N204:T204)</f>
        <v/>
      </c>
      <c r="V202" s="4" t="n"/>
      <c r="W202" s="4">
        <f>_xlfn.XLOOKUP(M204,'00_SKU_Master'!$B$2:$B$378,'00_SKU_Master'!D:D)</f>
        <v/>
      </c>
      <c r="X202" s="14">
        <f>'05_Daily_Orders'!B203</f>
        <v/>
      </c>
      <c r="Y202" s="588" t="n"/>
      <c r="Z202" s="589" t="n"/>
      <c r="AA202" s="589" t="n"/>
      <c r="AB202" s="589" t="n"/>
      <c r="AC202" s="589" t="n">
        <v>144</v>
      </c>
      <c r="AD202" s="589" t="n">
        <v>167</v>
      </c>
      <c r="AE202" s="589" t="n">
        <v>70</v>
      </c>
      <c r="AF202" s="587">
        <f>SUM(Y204:AE204)</f>
        <v/>
      </c>
      <c r="AQ202" s="23" t="n">
        <v>93</v>
      </c>
      <c r="AR202" s="23" t="n">
        <v>0</v>
      </c>
      <c r="AS202" s="23">
        <f>AR204-AQ204</f>
        <v/>
      </c>
    </row>
    <row r="203">
      <c r="A203" s="148">
        <f>_xlfn.XLOOKUP(C205,'00_SKU_Master'!$B$2:$B$378,'00_SKU_Master'!$C$2:$C$378)</f>
        <v/>
      </c>
      <c r="B203" s="148" t="n"/>
      <c r="C203" s="148">
        <f>X205</f>
        <v/>
      </c>
      <c r="D203" s="586">
        <f>_xludf.IFNA(_xlfn.XLOOKUP(C205,'00_SKU_Master'!$B$2:$B$378,'00_SKU_Master'!$F$2:$F$378,0)*Y205,"")</f>
        <v/>
      </c>
      <c r="E203" s="586">
        <f>_xludf.IFNA(_xlfn.XLOOKUP(C205,'00_SKU_Master'!$B$2:$B$378,'00_SKU_Master'!$F$2:$F$378,0)*Z205,"")</f>
        <v/>
      </c>
      <c r="F203" s="586">
        <f>_xludf.IFNA(_xlfn.XLOOKUP(C205,'00_SKU_Master'!$B$2:$B$378,'00_SKU_Master'!$F$2:$F$378,0)*AA205,"")</f>
        <v/>
      </c>
      <c r="G203" s="586">
        <f>_xludf.IFNA(_xlfn.XLOOKUP(C205,'00_SKU_Master'!$B$2:$B$378,'00_SKU_Master'!$F$2:$F$378,0)*AB205,"")</f>
        <v/>
      </c>
      <c r="H203" s="586">
        <f>_xludf.IFNA(_xlfn.XLOOKUP(C205,'00_SKU_Master'!$B$2:$B$378,'00_SKU_Master'!$F$2:$F$378,0)*AC205,"")</f>
        <v/>
      </c>
      <c r="I203" s="586">
        <f>_xludf.IFNA(_xlfn.XLOOKUP(C205,'00_SKU_Master'!$B$2:$B$378,'00_SKU_Master'!$F$2:$F$378,0)*AD205,"")</f>
        <v/>
      </c>
      <c r="J203" s="586">
        <f>_xludf.IFNA(_xlfn.XLOOKUP(C205,'00_SKU_Master'!$B$2:$B$378,'00_SKU_Master'!$F$2:$F$378,0)*AE205,"")</f>
        <v/>
      </c>
      <c r="K203" s="587">
        <f>SUM(D205:J205)</f>
        <v/>
      </c>
      <c r="L203" s="197">
        <f>_xlfn.XLOOKUP(C205,'00_SKU_Master'!$B$2:$B$378,'00_SKU_Master'!K:K)</f>
        <v/>
      </c>
      <c r="M203" s="14">
        <f>X205</f>
        <v/>
      </c>
      <c r="N203" s="157">
        <f>_xludf.IFNA(D205/_xlfn.XLOOKUP($M205,'00_SKU_Master'!$B$2:$B$378,'00_SKU_Master'!$M$2:$M$378,0)/$M$2,"0")</f>
        <v/>
      </c>
      <c r="O203" s="157">
        <f>_xludf.IFNA(E205/_xlfn.XLOOKUP($M205,'00_SKU_Master'!$B$2:$B$378,'00_SKU_Master'!$M$2:$M$378,0)/$M$2,"0")</f>
        <v/>
      </c>
      <c r="P203" s="157">
        <f>_xludf.IFNA(F205/_xlfn.XLOOKUP($M205,'00_SKU_Master'!$B$2:$B$378,'00_SKU_Master'!$M$2:$M$378,0)/$M$2,"0")</f>
        <v/>
      </c>
      <c r="Q203" s="157">
        <f>_xludf.IFNA(G205/_xlfn.XLOOKUP($M205,'00_SKU_Master'!$B$2:$B$378,'00_SKU_Master'!$M$2:$M$378,0)/$M$2,"0")</f>
        <v/>
      </c>
      <c r="R203" s="157">
        <f>_xludf.IFNA(H205/_xlfn.XLOOKUP($M205,'00_SKU_Master'!$B$2:$B$378,'00_SKU_Master'!$M$2:$M$378,0)/$M$2,"0")</f>
        <v/>
      </c>
      <c r="S203" s="157">
        <f>_xludf.IFNA(I205/_xlfn.XLOOKUP($M205,'00_SKU_Master'!$B$2:$B$378,'00_SKU_Master'!$M$2:$M$378,0)/$M$2,"0")</f>
        <v/>
      </c>
      <c r="T203" s="157">
        <f>_xludf.IFNA(J205/_xlfn.XLOOKUP($M205,'00_SKU_Master'!$B$2:$B$378,'00_SKU_Master'!$M$2:$M$378,0)/$M$2,"0")</f>
        <v/>
      </c>
      <c r="U203" s="157">
        <f>SUM(N205:T205)</f>
        <v/>
      </c>
      <c r="V203" s="4" t="n"/>
      <c r="W203" s="4">
        <f>_xlfn.XLOOKUP(M205,'00_SKU_Master'!$B$2:$B$378,'00_SKU_Master'!D:D)</f>
        <v/>
      </c>
      <c r="X203" s="14">
        <f>'05_Daily_Orders'!B204</f>
        <v/>
      </c>
      <c r="Y203" s="588" t="n"/>
      <c r="Z203" s="589" t="n"/>
      <c r="AA203" s="589" t="n"/>
      <c r="AB203" s="589" t="n"/>
      <c r="AC203" s="589" t="n">
        <v>323</v>
      </c>
      <c r="AD203" s="589" t="n">
        <v>339</v>
      </c>
      <c r="AE203" s="589" t="n">
        <v>169</v>
      </c>
      <c r="AF203" s="587">
        <f>SUM(Y205:AE205)</f>
        <v/>
      </c>
      <c r="AQ203" s="23" t="n">
        <v>0</v>
      </c>
      <c r="AR203" s="23" t="n">
        <v>0</v>
      </c>
      <c r="AS203" s="23">
        <f>AR205-AQ205</f>
        <v/>
      </c>
    </row>
    <row r="204">
      <c r="A204" s="148">
        <f>_xlfn.XLOOKUP(C206,'00_SKU_Master'!$B$2:$B$378,'00_SKU_Master'!$C$2:$C$378)</f>
        <v/>
      </c>
      <c r="B204" s="148" t="n"/>
      <c r="C204" s="148">
        <f>X206</f>
        <v/>
      </c>
      <c r="D204" s="586">
        <f>_xludf.IFNA(_xlfn.XLOOKUP(C206,'00_SKU_Master'!$B$2:$B$378,'00_SKU_Master'!$F$2:$F$378,0)*Y206,"")</f>
        <v/>
      </c>
      <c r="E204" s="586">
        <f>_xludf.IFNA(_xlfn.XLOOKUP(C206,'00_SKU_Master'!$B$2:$B$378,'00_SKU_Master'!$F$2:$F$378,0)*Z206,"")</f>
        <v/>
      </c>
      <c r="F204" s="586">
        <f>_xludf.IFNA(_xlfn.XLOOKUP(C206,'00_SKU_Master'!$B$2:$B$378,'00_SKU_Master'!$F$2:$F$378,0)*AA206,"")</f>
        <v/>
      </c>
      <c r="G204" s="586">
        <f>_xludf.IFNA(_xlfn.XLOOKUP(C206,'00_SKU_Master'!$B$2:$B$378,'00_SKU_Master'!$F$2:$F$378,0)*AB206,"")</f>
        <v/>
      </c>
      <c r="H204" s="586">
        <f>_xludf.IFNA(_xlfn.XLOOKUP(C206,'00_SKU_Master'!$B$2:$B$378,'00_SKU_Master'!$F$2:$F$378,0)*AC206,"")</f>
        <v/>
      </c>
      <c r="I204" s="586">
        <f>_xludf.IFNA(_xlfn.XLOOKUP(C206,'00_SKU_Master'!$B$2:$B$378,'00_SKU_Master'!$F$2:$F$378,0)*AD206,"")</f>
        <v/>
      </c>
      <c r="J204" s="586">
        <f>_xludf.IFNA(_xlfn.XLOOKUP(C206,'00_SKU_Master'!$B$2:$B$378,'00_SKU_Master'!$F$2:$F$378,0)*AE206,"")</f>
        <v/>
      </c>
      <c r="K204" s="587">
        <f>SUM(D206:J206)</f>
        <v/>
      </c>
      <c r="L204" s="197">
        <f>_xlfn.XLOOKUP(C206,'00_SKU_Master'!$B$2:$B$378,'00_SKU_Master'!K:K)</f>
        <v/>
      </c>
      <c r="M204" s="14">
        <f>X206</f>
        <v/>
      </c>
      <c r="N204" s="157">
        <f>_xludf.IFNA(D206/_xlfn.XLOOKUP($M206,'00_SKU_Master'!$B$2:$B$378,'00_SKU_Master'!$M$2:$M$378,0)/$M$2,"0")</f>
        <v/>
      </c>
      <c r="O204" s="157">
        <f>_xludf.IFNA(E206/_xlfn.XLOOKUP($M206,'00_SKU_Master'!$B$2:$B$378,'00_SKU_Master'!$M$2:$M$378,0)/$M$2,"0")</f>
        <v/>
      </c>
      <c r="P204" s="157">
        <f>_xludf.IFNA(F206/_xlfn.XLOOKUP($M206,'00_SKU_Master'!$B$2:$B$378,'00_SKU_Master'!$M$2:$M$378,0)/$M$2,"0")</f>
        <v/>
      </c>
      <c r="Q204" s="157">
        <f>_xludf.IFNA(G206/_xlfn.XLOOKUP($M206,'00_SKU_Master'!$B$2:$B$378,'00_SKU_Master'!$M$2:$M$378,0)/$M$2,"0")</f>
        <v/>
      </c>
      <c r="R204" s="157">
        <f>_xludf.IFNA(H206/_xlfn.XLOOKUP($M206,'00_SKU_Master'!$B$2:$B$378,'00_SKU_Master'!$M$2:$M$378,0)/$M$2,"0")</f>
        <v/>
      </c>
      <c r="S204" s="157">
        <f>_xludf.IFNA(I206/_xlfn.XLOOKUP($M206,'00_SKU_Master'!$B$2:$B$378,'00_SKU_Master'!$M$2:$M$378,0)/$M$2,"0")</f>
        <v/>
      </c>
      <c r="T204" s="157">
        <f>_xludf.IFNA(J206/_xlfn.XLOOKUP($M206,'00_SKU_Master'!$B$2:$B$378,'00_SKU_Master'!$M$2:$M$378,0)/$M$2,"0")</f>
        <v/>
      </c>
      <c r="U204" s="157">
        <f>SUM(N206:T206)</f>
        <v/>
      </c>
      <c r="V204" s="4" t="n"/>
      <c r="W204" s="4">
        <f>_xlfn.XLOOKUP(M206,'00_SKU_Master'!$B$2:$B$378,'00_SKU_Master'!D:D)</f>
        <v/>
      </c>
      <c r="X204" s="14">
        <f>'05_Daily_Orders'!B205</f>
        <v/>
      </c>
      <c r="Y204" s="588" t="n"/>
      <c r="Z204" s="589" t="n"/>
      <c r="AA204" s="589" t="n"/>
      <c r="AB204" s="589" t="n"/>
      <c r="AC204" s="589" t="n">
        <v>369</v>
      </c>
      <c r="AD204" s="589" t="n">
        <v>206</v>
      </c>
      <c r="AE204" s="589" t="n">
        <v>109</v>
      </c>
      <c r="AF204" s="587">
        <f>SUM(Y206:AE206)</f>
        <v/>
      </c>
      <c r="AQ204" s="23" t="n">
        <v>0</v>
      </c>
      <c r="AR204" s="23" t="n">
        <v>6</v>
      </c>
      <c r="AS204" s="23">
        <f>AR206-AQ206</f>
        <v/>
      </c>
    </row>
    <row r="205">
      <c r="A205" s="148">
        <f>_xlfn.XLOOKUP(C207,'00_SKU_Master'!$B$2:$B$378,'00_SKU_Master'!$C$2:$C$378)</f>
        <v/>
      </c>
      <c r="B205" s="148" t="n"/>
      <c r="C205" s="148">
        <f>X207</f>
        <v/>
      </c>
      <c r="D205" s="586">
        <f>_xludf.IFNA(_xlfn.XLOOKUP(C207,'00_SKU_Master'!$B$2:$B$378,'00_SKU_Master'!$F$2:$F$378,0)*Y207,"")</f>
        <v/>
      </c>
      <c r="E205" s="586">
        <f>_xludf.IFNA(_xlfn.XLOOKUP(C207,'00_SKU_Master'!$B$2:$B$378,'00_SKU_Master'!$F$2:$F$378,0)*Z207,"")</f>
        <v/>
      </c>
      <c r="F205" s="586">
        <f>_xludf.IFNA(_xlfn.XLOOKUP(C207,'00_SKU_Master'!$B$2:$B$378,'00_SKU_Master'!$F$2:$F$378,0)*AA207,"")</f>
        <v/>
      </c>
      <c r="G205" s="586">
        <f>_xludf.IFNA(_xlfn.XLOOKUP(C207,'00_SKU_Master'!$B$2:$B$378,'00_SKU_Master'!$F$2:$F$378,0)*AB207,"")</f>
        <v/>
      </c>
      <c r="H205" s="586">
        <f>_xludf.IFNA(_xlfn.XLOOKUP(C207,'00_SKU_Master'!$B$2:$B$378,'00_SKU_Master'!$F$2:$F$378,0)*AC207,"")</f>
        <v/>
      </c>
      <c r="I205" s="586">
        <f>_xludf.IFNA(_xlfn.XLOOKUP(C207,'00_SKU_Master'!$B$2:$B$378,'00_SKU_Master'!$F$2:$F$378,0)*AD207,"")</f>
        <v/>
      </c>
      <c r="J205" s="586">
        <f>_xludf.IFNA(_xlfn.XLOOKUP(C207,'00_SKU_Master'!$B$2:$B$378,'00_SKU_Master'!$F$2:$F$378,0)*AE207,"")</f>
        <v/>
      </c>
      <c r="K205" s="587">
        <f>SUM(D207:J207)</f>
        <v/>
      </c>
      <c r="L205" s="197">
        <f>_xlfn.XLOOKUP(C207,'00_SKU_Master'!$B$2:$B$378,'00_SKU_Master'!K:K)</f>
        <v/>
      </c>
      <c r="M205" s="14">
        <f>X207</f>
        <v/>
      </c>
      <c r="N205" s="157">
        <f>_xludf.IFNA(D207/_xlfn.XLOOKUP($M207,'00_SKU_Master'!$B$2:$B$378,'00_SKU_Master'!$M$2:$M$378,0)/$M$2,"0")</f>
        <v/>
      </c>
      <c r="O205" s="157">
        <f>_xludf.IFNA(E207/_xlfn.XLOOKUP($M207,'00_SKU_Master'!$B$2:$B$378,'00_SKU_Master'!$M$2:$M$378,0)/$M$2,"0")</f>
        <v/>
      </c>
      <c r="P205" s="157">
        <f>_xludf.IFNA(F207/_xlfn.XLOOKUP($M207,'00_SKU_Master'!$B$2:$B$378,'00_SKU_Master'!$M$2:$M$378,0)/$M$2,"0")</f>
        <v/>
      </c>
      <c r="Q205" s="157">
        <f>_xludf.IFNA(G207/_xlfn.XLOOKUP($M207,'00_SKU_Master'!$B$2:$B$378,'00_SKU_Master'!$M$2:$M$378,0)/$M$2,"0")</f>
        <v/>
      </c>
      <c r="R205" s="157">
        <f>_xludf.IFNA(H207/_xlfn.XLOOKUP($M207,'00_SKU_Master'!$B$2:$B$378,'00_SKU_Master'!$M$2:$M$378,0)/$M$2,"0")</f>
        <v/>
      </c>
      <c r="S205" s="157">
        <f>_xludf.IFNA(I207/_xlfn.XLOOKUP($M207,'00_SKU_Master'!$B$2:$B$378,'00_SKU_Master'!$M$2:$M$378,0)/$M$2,"0")</f>
        <v/>
      </c>
      <c r="T205" s="157">
        <f>_xludf.IFNA(J207/_xlfn.XLOOKUP($M207,'00_SKU_Master'!$B$2:$B$378,'00_SKU_Master'!$M$2:$M$378,0)/$M$2,"0")</f>
        <v/>
      </c>
      <c r="U205" s="157">
        <f>SUM(N207:T207)</f>
        <v/>
      </c>
      <c r="V205" s="4" t="n"/>
      <c r="W205" s="4">
        <f>_xlfn.XLOOKUP(M207,'00_SKU_Master'!$B$2:$B$378,'00_SKU_Master'!D:D)</f>
        <v/>
      </c>
      <c r="X205" s="14">
        <f>'05_Daily_Orders'!B206</f>
        <v/>
      </c>
      <c r="Y205" s="588" t="n"/>
      <c r="Z205" s="589" t="n"/>
      <c r="AA205" s="589" t="n"/>
      <c r="AB205" s="589" t="n"/>
      <c r="AC205" s="589" t="n">
        <v>127</v>
      </c>
      <c r="AD205" s="589" t="n">
        <v>138</v>
      </c>
      <c r="AE205" s="589" t="n">
        <v>79</v>
      </c>
      <c r="AF205" s="587">
        <f>SUM(Y207:AE207)</f>
        <v/>
      </c>
      <c r="AQ205" s="23" t="n">
        <v>0</v>
      </c>
      <c r="AR205" s="23" t="n">
        <v>9</v>
      </c>
      <c r="AS205" s="23">
        <f>AR207-AQ207</f>
        <v/>
      </c>
    </row>
    <row r="206">
      <c r="A206" s="148">
        <f>_xlfn.XLOOKUP(C208,'00_SKU_Master'!$B$2:$B$378,'00_SKU_Master'!$C$2:$C$378)</f>
        <v/>
      </c>
      <c r="B206" s="148" t="n"/>
      <c r="C206" s="148">
        <f>X208</f>
        <v/>
      </c>
      <c r="D206" s="586">
        <f>_xludf.IFNA(_xlfn.XLOOKUP(C208,'00_SKU_Master'!$B$2:$B$378,'00_SKU_Master'!$F$2:$F$378,0)*Y208,"")</f>
        <v/>
      </c>
      <c r="E206" s="586">
        <f>_xludf.IFNA(_xlfn.XLOOKUP(C208,'00_SKU_Master'!$B$2:$B$378,'00_SKU_Master'!$F$2:$F$378,0)*Z208,"")</f>
        <v/>
      </c>
      <c r="F206" s="586">
        <f>_xludf.IFNA(_xlfn.XLOOKUP(C208,'00_SKU_Master'!$B$2:$B$378,'00_SKU_Master'!$F$2:$F$378,0)*AA208,"")</f>
        <v/>
      </c>
      <c r="G206" s="586">
        <f>_xludf.IFNA(_xlfn.XLOOKUP(C208,'00_SKU_Master'!$B$2:$B$378,'00_SKU_Master'!$F$2:$F$378,0)*AB208,"")</f>
        <v/>
      </c>
      <c r="H206" s="586">
        <f>_xludf.IFNA(_xlfn.XLOOKUP(C208,'00_SKU_Master'!$B$2:$B$378,'00_SKU_Master'!$F$2:$F$378,0)*AC208,"")</f>
        <v/>
      </c>
      <c r="I206" s="586">
        <f>_xludf.IFNA(_xlfn.XLOOKUP(C208,'00_SKU_Master'!$B$2:$B$378,'00_SKU_Master'!$F$2:$F$378,0)*AD208,"")</f>
        <v/>
      </c>
      <c r="J206" s="586">
        <f>_xludf.IFNA(_xlfn.XLOOKUP(C208,'00_SKU_Master'!$B$2:$B$378,'00_SKU_Master'!$F$2:$F$378,0)*AE208,"")</f>
        <v/>
      </c>
      <c r="K206" s="587">
        <f>SUM(D208:J208)</f>
        <v/>
      </c>
      <c r="L206" s="197">
        <f>_xlfn.XLOOKUP(C208,'00_SKU_Master'!$B$2:$B$378,'00_SKU_Master'!K:K)</f>
        <v/>
      </c>
      <c r="M206" s="14">
        <f>X208</f>
        <v/>
      </c>
      <c r="N206" s="157">
        <f>_xludf.IFNA(D208/_xlfn.XLOOKUP($M208,'00_SKU_Master'!$B$2:$B$378,'00_SKU_Master'!$M$2:$M$378,0)/$M$2,"0")</f>
        <v/>
      </c>
      <c r="O206" s="157">
        <f>_xludf.IFNA(E208/_xlfn.XLOOKUP($M208,'00_SKU_Master'!$B$2:$B$378,'00_SKU_Master'!$M$2:$M$378,0)/$M$2,"0")</f>
        <v/>
      </c>
      <c r="P206" s="157">
        <f>_xludf.IFNA(F208/_xlfn.XLOOKUP($M208,'00_SKU_Master'!$B$2:$B$378,'00_SKU_Master'!$M$2:$M$378,0)/$M$2,"0")</f>
        <v/>
      </c>
      <c r="Q206" s="157">
        <f>_xludf.IFNA(G208/_xlfn.XLOOKUP($M208,'00_SKU_Master'!$B$2:$B$378,'00_SKU_Master'!$M$2:$M$378,0)/$M$2,"0")</f>
        <v/>
      </c>
      <c r="R206" s="157">
        <f>_xludf.IFNA(H208/_xlfn.XLOOKUP($M208,'00_SKU_Master'!$B$2:$B$378,'00_SKU_Master'!$M$2:$M$378,0)/$M$2,"0")</f>
        <v/>
      </c>
      <c r="S206" s="157">
        <f>_xludf.IFNA(I208/_xlfn.XLOOKUP($M208,'00_SKU_Master'!$B$2:$B$378,'00_SKU_Master'!$M$2:$M$378,0)/$M$2,"0")</f>
        <v/>
      </c>
      <c r="T206" s="157">
        <f>_xludf.IFNA(J208/_xlfn.XLOOKUP($M208,'00_SKU_Master'!$B$2:$B$378,'00_SKU_Master'!$M$2:$M$378,0)/$M$2,"0")</f>
        <v/>
      </c>
      <c r="U206" s="157">
        <f>SUM(N208:T208)</f>
        <v/>
      </c>
      <c r="V206" s="4" t="n"/>
      <c r="W206" s="4">
        <f>_xlfn.XLOOKUP(M208,'00_SKU_Master'!$B$2:$B$378,'00_SKU_Master'!D:D)</f>
        <v/>
      </c>
      <c r="X206" s="14">
        <f>'05_Daily_Orders'!B207</f>
        <v/>
      </c>
      <c r="Y206" s="588" t="n"/>
      <c r="Z206" s="589" t="n"/>
      <c r="AA206" s="589" t="n"/>
      <c r="AB206" s="589" t="n"/>
      <c r="AC206" s="589" t="n">
        <v>109</v>
      </c>
      <c r="AD206" s="589" t="n">
        <v>120</v>
      </c>
      <c r="AE206" s="589" t="n">
        <v>55</v>
      </c>
      <c r="AF206" s="587">
        <f>SUM(Y208:AE208)</f>
        <v/>
      </c>
      <c r="AQ206" s="23" t="n">
        <v>0</v>
      </c>
      <c r="AR206" s="23" t="n">
        <v>0</v>
      </c>
      <c r="AS206" s="23">
        <f>AR208-AQ208</f>
        <v/>
      </c>
    </row>
    <row r="207">
      <c r="A207" s="148">
        <f>_xlfn.XLOOKUP(C209,'00_SKU_Master'!$B$2:$B$378,'00_SKU_Master'!$C$2:$C$378)</f>
        <v/>
      </c>
      <c r="B207" s="148" t="n"/>
      <c r="C207" s="148">
        <f>X209</f>
        <v/>
      </c>
      <c r="D207" s="586">
        <f>_xludf.IFNA(_xlfn.XLOOKUP(C209,'00_SKU_Master'!$B$2:$B$378,'00_SKU_Master'!$F$2:$F$378,0)*Y209,"")</f>
        <v/>
      </c>
      <c r="E207" s="586">
        <f>_xludf.IFNA(_xlfn.XLOOKUP(C209,'00_SKU_Master'!$B$2:$B$378,'00_SKU_Master'!$F$2:$F$378,0)*Z209,"")</f>
        <v/>
      </c>
      <c r="F207" s="586">
        <f>_xludf.IFNA(_xlfn.XLOOKUP(C209,'00_SKU_Master'!$B$2:$B$378,'00_SKU_Master'!$F$2:$F$378,0)*AA209,"")</f>
        <v/>
      </c>
      <c r="G207" s="586">
        <f>_xludf.IFNA(_xlfn.XLOOKUP(C209,'00_SKU_Master'!$B$2:$B$378,'00_SKU_Master'!$F$2:$F$378,0)*AB209,"")</f>
        <v/>
      </c>
      <c r="H207" s="586">
        <f>_xludf.IFNA(_xlfn.XLOOKUP(C209,'00_SKU_Master'!$B$2:$B$378,'00_SKU_Master'!$F$2:$F$378,0)*AC209,"")</f>
        <v/>
      </c>
      <c r="I207" s="586">
        <f>_xludf.IFNA(_xlfn.XLOOKUP(C209,'00_SKU_Master'!$B$2:$B$378,'00_SKU_Master'!$F$2:$F$378,0)*AD209,"")</f>
        <v/>
      </c>
      <c r="J207" s="586">
        <f>_xludf.IFNA(_xlfn.XLOOKUP(C209,'00_SKU_Master'!$B$2:$B$378,'00_SKU_Master'!$F$2:$F$378,0)*AE209,"")</f>
        <v/>
      </c>
      <c r="K207" s="587">
        <f>SUM(D209:J209)</f>
        <v/>
      </c>
      <c r="L207" s="197">
        <f>_xlfn.XLOOKUP(C209,'00_SKU_Master'!$B$2:$B$378,'00_SKU_Master'!K:K)</f>
        <v/>
      </c>
      <c r="M207" s="14">
        <f>X209</f>
        <v/>
      </c>
      <c r="N207" s="157">
        <f>_xludf.IFNA(D209/_xlfn.XLOOKUP($M209,'00_SKU_Master'!$B$2:$B$378,'00_SKU_Master'!$M$2:$M$378,0)/$M$2,"0")</f>
        <v/>
      </c>
      <c r="O207" s="157">
        <f>_xludf.IFNA(E209/_xlfn.XLOOKUP($M209,'00_SKU_Master'!$B$2:$B$378,'00_SKU_Master'!$M$2:$M$378,0)/$M$2,"0")</f>
        <v/>
      </c>
      <c r="P207" s="157">
        <f>_xludf.IFNA(F209/_xlfn.XLOOKUP($M209,'00_SKU_Master'!$B$2:$B$378,'00_SKU_Master'!$M$2:$M$378,0)/$M$2,"0")</f>
        <v/>
      </c>
      <c r="Q207" s="157">
        <f>_xludf.IFNA(G209/_xlfn.XLOOKUP($M209,'00_SKU_Master'!$B$2:$B$378,'00_SKU_Master'!$M$2:$M$378,0)/$M$2,"0")</f>
        <v/>
      </c>
      <c r="R207" s="157">
        <f>_xludf.IFNA(H209/_xlfn.XLOOKUP($M209,'00_SKU_Master'!$B$2:$B$378,'00_SKU_Master'!$M$2:$M$378,0)/$M$2,"0")</f>
        <v/>
      </c>
      <c r="S207" s="157">
        <f>_xludf.IFNA(I209/_xlfn.XLOOKUP($M209,'00_SKU_Master'!$B$2:$B$378,'00_SKU_Master'!$M$2:$M$378,0)/$M$2,"0")</f>
        <v/>
      </c>
      <c r="T207" s="157">
        <f>_xludf.IFNA(J209/_xlfn.XLOOKUP($M209,'00_SKU_Master'!$B$2:$B$378,'00_SKU_Master'!$M$2:$M$378,0)/$M$2,"0")</f>
        <v/>
      </c>
      <c r="U207" s="157">
        <f>SUM(N209:T209)</f>
        <v/>
      </c>
      <c r="V207" s="4" t="n"/>
      <c r="W207" s="4">
        <f>_xlfn.XLOOKUP(M209,'00_SKU_Master'!$B$2:$B$378,'00_SKU_Master'!D:D)</f>
        <v/>
      </c>
      <c r="X207" s="14">
        <f>'05_Daily_Orders'!B208</f>
        <v/>
      </c>
      <c r="Y207" s="588" t="n"/>
      <c r="Z207" s="589" t="n"/>
      <c r="AA207" s="589" t="n"/>
      <c r="AB207" s="589" t="n"/>
      <c r="AC207" s="589" t="n">
        <v>0</v>
      </c>
      <c r="AD207" s="589" t="n">
        <v>0</v>
      </c>
      <c r="AE207" s="589" t="n">
        <v>0</v>
      </c>
      <c r="AF207" s="587">
        <f>SUM(Y209:AE209)</f>
        <v/>
      </c>
      <c r="AQ207" s="23" t="n">
        <v>0</v>
      </c>
      <c r="AR207" s="23" t="n">
        <v>0</v>
      </c>
      <c r="AS207" s="23">
        <f>AR209-AQ209</f>
        <v/>
      </c>
    </row>
    <row r="208">
      <c r="A208" s="148">
        <f>_xlfn.XLOOKUP(C210,'00_SKU_Master'!$B$2:$B$378,'00_SKU_Master'!$C$2:$C$378)</f>
        <v/>
      </c>
      <c r="B208" s="148" t="n"/>
      <c r="C208" s="148">
        <f>X210</f>
        <v/>
      </c>
      <c r="D208" s="586">
        <f>_xludf.IFNA(_xlfn.XLOOKUP(C210,'00_SKU_Master'!$B$2:$B$378,'00_SKU_Master'!$F$2:$F$378,0)*Y210,"")</f>
        <v/>
      </c>
      <c r="E208" s="586">
        <f>_xludf.IFNA(_xlfn.XLOOKUP(C210,'00_SKU_Master'!$B$2:$B$378,'00_SKU_Master'!$F$2:$F$378,0)*Z210,"")</f>
        <v/>
      </c>
      <c r="F208" s="586">
        <f>_xludf.IFNA(_xlfn.XLOOKUP(C210,'00_SKU_Master'!$B$2:$B$378,'00_SKU_Master'!$F$2:$F$378,0)*AA210,"")</f>
        <v/>
      </c>
      <c r="G208" s="586">
        <f>_xludf.IFNA(_xlfn.XLOOKUP(C210,'00_SKU_Master'!$B$2:$B$378,'00_SKU_Master'!$F$2:$F$378,0)*AB210,"")</f>
        <v/>
      </c>
      <c r="H208" s="586">
        <f>_xludf.IFNA(_xlfn.XLOOKUP(C210,'00_SKU_Master'!$B$2:$B$378,'00_SKU_Master'!$F$2:$F$378,0)*AC210,"")</f>
        <v/>
      </c>
      <c r="I208" s="586">
        <f>_xludf.IFNA(_xlfn.XLOOKUP(C210,'00_SKU_Master'!$B$2:$B$378,'00_SKU_Master'!$F$2:$F$378,0)*AD210,"")</f>
        <v/>
      </c>
      <c r="J208" s="586">
        <f>_xludf.IFNA(_xlfn.XLOOKUP(C210,'00_SKU_Master'!$B$2:$B$378,'00_SKU_Master'!$F$2:$F$378,0)*AE210,"")</f>
        <v/>
      </c>
      <c r="K208" s="587">
        <f>SUM(D210:J210)</f>
        <v/>
      </c>
      <c r="L208" s="197">
        <f>_xlfn.XLOOKUP(C210,'00_SKU_Master'!$B$2:$B$378,'00_SKU_Master'!K:K)</f>
        <v/>
      </c>
      <c r="M208" s="14">
        <f>X210</f>
        <v/>
      </c>
      <c r="N208" s="157">
        <f>_xludf.IFNA(D210/_xlfn.XLOOKUP($M210,'00_SKU_Master'!$B$2:$B$378,'00_SKU_Master'!$M$2:$M$378,0)/$M$2,"0")</f>
        <v/>
      </c>
      <c r="O208" s="157">
        <f>_xludf.IFNA(E210/_xlfn.XLOOKUP($M210,'00_SKU_Master'!$B$2:$B$378,'00_SKU_Master'!$M$2:$M$378,0)/$M$2,"0")</f>
        <v/>
      </c>
      <c r="P208" s="157">
        <f>_xludf.IFNA(F210/_xlfn.XLOOKUP($M210,'00_SKU_Master'!$B$2:$B$378,'00_SKU_Master'!$M$2:$M$378,0)/$M$2,"0")</f>
        <v/>
      </c>
      <c r="Q208" s="157">
        <f>_xludf.IFNA(G210/_xlfn.XLOOKUP($M210,'00_SKU_Master'!$B$2:$B$378,'00_SKU_Master'!$M$2:$M$378,0)/$M$2,"0")</f>
        <v/>
      </c>
      <c r="R208" s="157">
        <f>_xludf.IFNA(H210/_xlfn.XLOOKUP($M210,'00_SKU_Master'!$B$2:$B$378,'00_SKU_Master'!$M$2:$M$378,0)/$M$2,"0")</f>
        <v/>
      </c>
      <c r="S208" s="157">
        <f>_xludf.IFNA(I210/_xlfn.XLOOKUP($M210,'00_SKU_Master'!$B$2:$B$378,'00_SKU_Master'!$M$2:$M$378,0)/$M$2,"0")</f>
        <v/>
      </c>
      <c r="T208" s="157">
        <f>_xludf.IFNA(J210/_xlfn.XLOOKUP($M210,'00_SKU_Master'!$B$2:$B$378,'00_SKU_Master'!$M$2:$M$378,0)/$M$2,"0")</f>
        <v/>
      </c>
      <c r="U208" s="157">
        <f>SUM(N210:T210)</f>
        <v/>
      </c>
      <c r="V208" s="4" t="n"/>
      <c r="W208" s="4">
        <f>_xlfn.XLOOKUP(M210,'00_SKU_Master'!$B$2:$B$378,'00_SKU_Master'!D:D)</f>
        <v/>
      </c>
      <c r="X208" s="14">
        <f>'05_Daily_Orders'!B209</f>
        <v/>
      </c>
      <c r="Y208" s="588" t="n"/>
      <c r="Z208" s="589" t="n"/>
      <c r="AA208" s="589" t="n"/>
      <c r="AB208" s="589" t="n"/>
      <c r="AC208" s="589" t="n">
        <v>30</v>
      </c>
      <c r="AD208" s="589" t="n">
        <v>13</v>
      </c>
      <c r="AE208" s="589" t="n">
        <v>9</v>
      </c>
      <c r="AF208" s="587">
        <f>SUM(Y210:AE210)</f>
        <v/>
      </c>
      <c r="AQ208" s="23" t="n">
        <v>0</v>
      </c>
      <c r="AR208" s="23" t="n">
        <v>0</v>
      </c>
      <c r="AS208" s="23">
        <f>AR210-AQ210</f>
        <v/>
      </c>
    </row>
    <row r="209">
      <c r="A209" s="148">
        <f>_xlfn.XLOOKUP(C211,'00_SKU_Master'!$B$2:$B$378,'00_SKU_Master'!$C$2:$C$378)</f>
        <v/>
      </c>
      <c r="B209" s="148" t="n"/>
      <c r="C209" s="148">
        <f>X211</f>
        <v/>
      </c>
      <c r="D209" s="586">
        <f>_xludf.IFNA(_xlfn.XLOOKUP(C211,'00_SKU_Master'!$B$2:$B$378,'00_SKU_Master'!$F$2:$F$378,0)*Y211,"")</f>
        <v/>
      </c>
      <c r="E209" s="586">
        <f>_xludf.IFNA(_xlfn.XLOOKUP(C211,'00_SKU_Master'!$B$2:$B$378,'00_SKU_Master'!$F$2:$F$378,0)*Z211,"")</f>
        <v/>
      </c>
      <c r="F209" s="586">
        <f>_xludf.IFNA(_xlfn.XLOOKUP(C211,'00_SKU_Master'!$B$2:$B$378,'00_SKU_Master'!$F$2:$F$378,0)*AA211,"")</f>
        <v/>
      </c>
      <c r="G209" s="586">
        <f>_xludf.IFNA(_xlfn.XLOOKUP(C211,'00_SKU_Master'!$B$2:$B$378,'00_SKU_Master'!$F$2:$F$378,0)*AB211,"")</f>
        <v/>
      </c>
      <c r="H209" s="586">
        <f>_xludf.IFNA(_xlfn.XLOOKUP(C211,'00_SKU_Master'!$B$2:$B$378,'00_SKU_Master'!$F$2:$F$378,0)*AC211,"")</f>
        <v/>
      </c>
      <c r="I209" s="586">
        <f>_xludf.IFNA(_xlfn.XLOOKUP(C211,'00_SKU_Master'!$B$2:$B$378,'00_SKU_Master'!$F$2:$F$378,0)*AD211,"")</f>
        <v/>
      </c>
      <c r="J209" s="586">
        <f>_xludf.IFNA(_xlfn.XLOOKUP(C211,'00_SKU_Master'!$B$2:$B$378,'00_SKU_Master'!$F$2:$F$378,0)*AE211,"")</f>
        <v/>
      </c>
      <c r="K209" s="587">
        <f>SUM(D211:J211)</f>
        <v/>
      </c>
      <c r="L209" s="197">
        <f>_xlfn.XLOOKUP(C211,'00_SKU_Master'!$B$2:$B$378,'00_SKU_Master'!K:K)</f>
        <v/>
      </c>
      <c r="M209" s="14">
        <f>X211</f>
        <v/>
      </c>
      <c r="N209" s="157">
        <f>_xludf.IFNA(D211/_xlfn.XLOOKUP($M211,'00_SKU_Master'!$B$2:$B$378,'00_SKU_Master'!$M$2:$M$378,0)/$M$2,"0")</f>
        <v/>
      </c>
      <c r="O209" s="157">
        <f>_xludf.IFNA(E211/_xlfn.XLOOKUP($M211,'00_SKU_Master'!$B$2:$B$378,'00_SKU_Master'!$M$2:$M$378,0)/$M$2,"0")</f>
        <v/>
      </c>
      <c r="P209" s="157">
        <f>_xludf.IFNA(F211/_xlfn.XLOOKUP($M211,'00_SKU_Master'!$B$2:$B$378,'00_SKU_Master'!$M$2:$M$378,0)/$M$2,"0")</f>
        <v/>
      </c>
      <c r="Q209" s="157">
        <f>_xludf.IFNA(G211/_xlfn.XLOOKUP($M211,'00_SKU_Master'!$B$2:$B$378,'00_SKU_Master'!$M$2:$M$378,0)/$M$2,"0")</f>
        <v/>
      </c>
      <c r="R209" s="157">
        <f>_xludf.IFNA(H211/_xlfn.XLOOKUP($M211,'00_SKU_Master'!$B$2:$B$378,'00_SKU_Master'!$M$2:$M$378,0)/$M$2,"0")</f>
        <v/>
      </c>
      <c r="S209" s="157">
        <f>_xludf.IFNA(I211/_xlfn.XLOOKUP($M211,'00_SKU_Master'!$B$2:$B$378,'00_SKU_Master'!$M$2:$M$378,0)/$M$2,"0")</f>
        <v/>
      </c>
      <c r="T209" s="157">
        <f>_xludf.IFNA(J211/_xlfn.XLOOKUP($M211,'00_SKU_Master'!$B$2:$B$378,'00_SKU_Master'!$M$2:$M$378,0)/$M$2,"0")</f>
        <v/>
      </c>
      <c r="U209" s="157">
        <f>SUM(N211:T211)</f>
        <v/>
      </c>
      <c r="V209" s="4" t="n"/>
      <c r="W209" s="4">
        <f>_xlfn.XLOOKUP(M211,'00_SKU_Master'!$B$2:$B$378,'00_SKU_Master'!D:D)</f>
        <v/>
      </c>
      <c r="X209" s="14">
        <f>'05_Daily_Orders'!B210</f>
        <v/>
      </c>
      <c r="Y209" s="588" t="n"/>
      <c r="Z209" s="589" t="n"/>
      <c r="AA209" s="589" t="n"/>
      <c r="AB209" s="589" t="n"/>
      <c r="AC209" s="589" t="n">
        <v>258</v>
      </c>
      <c r="AD209" s="589" t="n">
        <v>273</v>
      </c>
      <c r="AE209" s="589" t="n">
        <v>142</v>
      </c>
      <c r="AF209" s="587">
        <f>SUM(Y211:AE211)</f>
        <v/>
      </c>
      <c r="AQ209" s="23" t="n">
        <v>0</v>
      </c>
      <c r="AR209" s="23" t="n">
        <v>0</v>
      </c>
      <c r="AS209" s="23">
        <f>AR211-AQ211</f>
        <v/>
      </c>
    </row>
    <row r="210">
      <c r="A210" s="148">
        <f>_xlfn.XLOOKUP(C212,'00_SKU_Master'!$B$2:$B$378,'00_SKU_Master'!$C$2:$C$378)</f>
        <v/>
      </c>
      <c r="B210" s="148" t="n"/>
      <c r="C210" s="148">
        <f>X212</f>
        <v/>
      </c>
      <c r="D210" s="586">
        <f>_xludf.IFNA(_xlfn.XLOOKUP(C212,'00_SKU_Master'!$B$2:$B$378,'00_SKU_Master'!$F$2:$F$378,0)*Y212,"")</f>
        <v/>
      </c>
      <c r="E210" s="586">
        <f>_xludf.IFNA(_xlfn.XLOOKUP(C212,'00_SKU_Master'!$B$2:$B$378,'00_SKU_Master'!$F$2:$F$378,0)*Z212,"")</f>
        <v/>
      </c>
      <c r="F210" s="586">
        <f>_xludf.IFNA(_xlfn.XLOOKUP(C212,'00_SKU_Master'!$B$2:$B$378,'00_SKU_Master'!$F$2:$F$378,0)*AA212,"")</f>
        <v/>
      </c>
      <c r="G210" s="586">
        <f>_xludf.IFNA(_xlfn.XLOOKUP(C212,'00_SKU_Master'!$B$2:$B$378,'00_SKU_Master'!$F$2:$F$378,0)*AB212,"")</f>
        <v/>
      </c>
      <c r="H210" s="586">
        <f>_xludf.IFNA(_xlfn.XLOOKUP(C212,'00_SKU_Master'!$B$2:$B$378,'00_SKU_Master'!$F$2:$F$378,0)*AC212,"")</f>
        <v/>
      </c>
      <c r="I210" s="586">
        <f>_xludf.IFNA(_xlfn.XLOOKUP(C212,'00_SKU_Master'!$B$2:$B$378,'00_SKU_Master'!$F$2:$F$378,0)*AD212,"")</f>
        <v/>
      </c>
      <c r="J210" s="586">
        <f>_xludf.IFNA(_xlfn.XLOOKUP(C212,'00_SKU_Master'!$B$2:$B$378,'00_SKU_Master'!$F$2:$F$378,0)*AE212,"")</f>
        <v/>
      </c>
      <c r="K210" s="587">
        <f>SUM(D212:J212)</f>
        <v/>
      </c>
      <c r="L210" s="197">
        <f>_xlfn.XLOOKUP(C212,'00_SKU_Master'!$B$2:$B$378,'00_SKU_Master'!K:K)</f>
        <v/>
      </c>
      <c r="M210" s="14">
        <f>X212</f>
        <v/>
      </c>
      <c r="N210" s="157">
        <f>_xludf.IFNA(D212/_xlfn.XLOOKUP($M212,'00_SKU_Master'!$B$2:$B$378,'00_SKU_Master'!$M$2:$M$378,0)/$M$2,"0")</f>
        <v/>
      </c>
      <c r="O210" s="157">
        <f>_xludf.IFNA(E212/_xlfn.XLOOKUP($M212,'00_SKU_Master'!$B$2:$B$378,'00_SKU_Master'!$M$2:$M$378,0)/$M$2,"0")</f>
        <v/>
      </c>
      <c r="P210" s="157">
        <f>_xludf.IFNA(F212/_xlfn.XLOOKUP($M212,'00_SKU_Master'!$B$2:$B$378,'00_SKU_Master'!$M$2:$M$378,0)/$M$2,"0")</f>
        <v/>
      </c>
      <c r="Q210" s="157">
        <f>_xludf.IFNA(G212/_xlfn.XLOOKUP($M212,'00_SKU_Master'!$B$2:$B$378,'00_SKU_Master'!$M$2:$M$378,0)/$M$2,"0")</f>
        <v/>
      </c>
      <c r="R210" s="157">
        <f>_xludf.IFNA(H212/_xlfn.XLOOKUP($M212,'00_SKU_Master'!$B$2:$B$378,'00_SKU_Master'!$M$2:$M$378,0)/$M$2,"0")</f>
        <v/>
      </c>
      <c r="S210" s="157">
        <f>_xludf.IFNA(I212/_xlfn.XLOOKUP($M212,'00_SKU_Master'!$B$2:$B$378,'00_SKU_Master'!$M$2:$M$378,0)/$M$2,"0")</f>
        <v/>
      </c>
      <c r="T210" s="157">
        <f>_xludf.IFNA(J212/_xlfn.XLOOKUP($M212,'00_SKU_Master'!$B$2:$B$378,'00_SKU_Master'!$M$2:$M$378,0)/$M$2,"0")</f>
        <v/>
      </c>
      <c r="U210" s="157">
        <f>SUM(N212:T212)</f>
        <v/>
      </c>
      <c r="V210" s="4" t="n"/>
      <c r="W210" s="4">
        <f>_xlfn.XLOOKUP(M212,'00_SKU_Master'!$B$2:$B$378,'00_SKU_Master'!D:D)</f>
        <v/>
      </c>
      <c r="X210" s="14">
        <f>'05_Daily_Orders'!B211</f>
        <v/>
      </c>
      <c r="Y210" s="588" t="n"/>
      <c r="Z210" s="589" t="n"/>
      <c r="AA210" s="589" t="n"/>
      <c r="AB210" s="589" t="n"/>
      <c r="AC210" s="589" t="n">
        <v>0</v>
      </c>
      <c r="AD210" s="589" t="n">
        <v>0</v>
      </c>
      <c r="AE210" s="589" t="n">
        <v>0</v>
      </c>
      <c r="AF210" s="587">
        <f>SUM(Y212:AE212)</f>
        <v/>
      </c>
      <c r="AQ210" s="23" t="n">
        <v>0</v>
      </c>
      <c r="AR210" s="23" t="n">
        <v>0</v>
      </c>
      <c r="AS210" s="23">
        <f>AR212-AQ212</f>
        <v/>
      </c>
    </row>
    <row r="211">
      <c r="A211" s="148">
        <f>_xlfn.XLOOKUP(C213,'00_SKU_Master'!$B$2:$B$378,'00_SKU_Master'!$C$2:$C$378)</f>
        <v/>
      </c>
      <c r="B211" s="148" t="n"/>
      <c r="C211" s="148">
        <f>X213</f>
        <v/>
      </c>
      <c r="D211" s="586">
        <f>_xludf.IFNA(_xlfn.XLOOKUP(C213,'00_SKU_Master'!$B$2:$B$378,'00_SKU_Master'!$F$2:$F$378,0)*Y213,"")</f>
        <v/>
      </c>
      <c r="E211" s="586">
        <f>_xludf.IFNA(_xlfn.XLOOKUP(C213,'00_SKU_Master'!$B$2:$B$378,'00_SKU_Master'!$F$2:$F$378,0)*Z213,"")</f>
        <v/>
      </c>
      <c r="F211" s="586">
        <f>_xludf.IFNA(_xlfn.XLOOKUP(C213,'00_SKU_Master'!$B$2:$B$378,'00_SKU_Master'!$F$2:$F$378,0)*AA213,"")</f>
        <v/>
      </c>
      <c r="G211" s="586">
        <f>_xludf.IFNA(_xlfn.XLOOKUP(C213,'00_SKU_Master'!$B$2:$B$378,'00_SKU_Master'!$F$2:$F$378,0)*AB213,"")</f>
        <v/>
      </c>
      <c r="H211" s="586">
        <f>_xludf.IFNA(_xlfn.XLOOKUP(C213,'00_SKU_Master'!$B$2:$B$378,'00_SKU_Master'!$F$2:$F$378,0)*AC213,"")</f>
        <v/>
      </c>
      <c r="I211" s="586">
        <f>_xludf.IFNA(_xlfn.XLOOKUP(C213,'00_SKU_Master'!$B$2:$B$378,'00_SKU_Master'!$F$2:$F$378,0)*AD213,"")</f>
        <v/>
      </c>
      <c r="J211" s="586">
        <f>_xludf.IFNA(_xlfn.XLOOKUP(C213,'00_SKU_Master'!$B$2:$B$378,'00_SKU_Master'!$F$2:$F$378,0)*AE213,"")</f>
        <v/>
      </c>
      <c r="K211" s="587">
        <f>SUM(D213:J213)</f>
        <v/>
      </c>
      <c r="L211" s="197">
        <f>_xlfn.XLOOKUP(C213,'00_SKU_Master'!$B$2:$B$378,'00_SKU_Master'!K:K)</f>
        <v/>
      </c>
      <c r="M211" s="14">
        <f>X213</f>
        <v/>
      </c>
      <c r="N211" s="157">
        <f>_xludf.IFNA(D213/_xlfn.XLOOKUP($M213,'00_SKU_Master'!$B$2:$B$378,'00_SKU_Master'!$M$2:$M$378,0)/$M$2,"0")</f>
        <v/>
      </c>
      <c r="O211" s="157">
        <f>_xludf.IFNA(E213/_xlfn.XLOOKUP($M213,'00_SKU_Master'!$B$2:$B$378,'00_SKU_Master'!$M$2:$M$378,0)/$M$2,"0")</f>
        <v/>
      </c>
      <c r="P211" s="157">
        <f>_xludf.IFNA(F213/_xlfn.XLOOKUP($M213,'00_SKU_Master'!$B$2:$B$378,'00_SKU_Master'!$M$2:$M$378,0)/$M$2,"0")</f>
        <v/>
      </c>
      <c r="Q211" s="157">
        <f>_xludf.IFNA(G213/_xlfn.XLOOKUP($M213,'00_SKU_Master'!$B$2:$B$378,'00_SKU_Master'!$M$2:$M$378,0)/$M$2,"0")</f>
        <v/>
      </c>
      <c r="R211" s="157">
        <f>_xludf.IFNA(H213/_xlfn.XLOOKUP($M213,'00_SKU_Master'!$B$2:$B$378,'00_SKU_Master'!$M$2:$M$378,0)/$M$2,"0")</f>
        <v/>
      </c>
      <c r="S211" s="157">
        <f>_xludf.IFNA(I213/_xlfn.XLOOKUP($M213,'00_SKU_Master'!$B$2:$B$378,'00_SKU_Master'!$M$2:$M$378,0)/$M$2,"0")</f>
        <v/>
      </c>
      <c r="T211" s="157">
        <f>_xludf.IFNA(J213/_xlfn.XLOOKUP($M213,'00_SKU_Master'!$B$2:$B$378,'00_SKU_Master'!$M$2:$M$378,0)/$M$2,"0")</f>
        <v/>
      </c>
      <c r="U211" s="157">
        <f>SUM(N213:T213)</f>
        <v/>
      </c>
      <c r="V211" s="4" t="n"/>
      <c r="W211" s="4">
        <f>_xlfn.XLOOKUP(M213,'00_SKU_Master'!$B$2:$B$378,'00_SKU_Master'!D:D)</f>
        <v/>
      </c>
      <c r="X211" s="14">
        <f>'05_Daily_Orders'!B212</f>
        <v/>
      </c>
      <c r="Y211" s="588" t="n"/>
      <c r="Z211" s="589" t="n"/>
      <c r="AA211" s="589" t="n"/>
      <c r="AB211" s="589" t="n"/>
      <c r="AC211" s="589" t="n">
        <v>0</v>
      </c>
      <c r="AD211" s="589" t="n">
        <v>0</v>
      </c>
      <c r="AE211" s="589" t="n">
        <v>0</v>
      </c>
      <c r="AF211" s="587">
        <f>SUM(Y213:AE213)</f>
        <v/>
      </c>
      <c r="AQ211" s="23" t="n">
        <v>0</v>
      </c>
      <c r="AR211" s="23" t="n">
        <v>0</v>
      </c>
      <c r="AS211" s="23">
        <f>AR213-AQ213</f>
        <v/>
      </c>
    </row>
    <row r="212">
      <c r="A212" s="148">
        <f>_xlfn.XLOOKUP(C214,'00_SKU_Master'!$B$2:$B$378,'00_SKU_Master'!$C$2:$C$378)</f>
        <v/>
      </c>
      <c r="B212" s="148" t="n"/>
      <c r="C212" s="148">
        <f>X214</f>
        <v/>
      </c>
      <c r="D212" s="586">
        <f>_xludf.IFNA(_xlfn.XLOOKUP(C214,'00_SKU_Master'!$B$2:$B$378,'00_SKU_Master'!$F$2:$F$378,0)*Y214,"")</f>
        <v/>
      </c>
      <c r="E212" s="586">
        <f>_xludf.IFNA(_xlfn.XLOOKUP(C214,'00_SKU_Master'!$B$2:$B$378,'00_SKU_Master'!$F$2:$F$378,0)*Z214,"")</f>
        <v/>
      </c>
      <c r="F212" s="586">
        <f>_xludf.IFNA(_xlfn.XLOOKUP(C214,'00_SKU_Master'!$B$2:$B$378,'00_SKU_Master'!$F$2:$F$378,0)*AA214,"")</f>
        <v/>
      </c>
      <c r="G212" s="586">
        <f>_xludf.IFNA(_xlfn.XLOOKUP(C214,'00_SKU_Master'!$B$2:$B$378,'00_SKU_Master'!$F$2:$F$378,0)*AB214,"")</f>
        <v/>
      </c>
      <c r="H212" s="586">
        <f>_xludf.IFNA(_xlfn.XLOOKUP(C214,'00_SKU_Master'!$B$2:$B$378,'00_SKU_Master'!$F$2:$F$378,0)*AC214,"")</f>
        <v/>
      </c>
      <c r="I212" s="586">
        <f>_xludf.IFNA(_xlfn.XLOOKUP(C214,'00_SKU_Master'!$B$2:$B$378,'00_SKU_Master'!$F$2:$F$378,0)*AD214,"")</f>
        <v/>
      </c>
      <c r="J212" s="586">
        <f>_xludf.IFNA(_xlfn.XLOOKUP(C214,'00_SKU_Master'!$B$2:$B$378,'00_SKU_Master'!$F$2:$F$378,0)*AE214,"")</f>
        <v/>
      </c>
      <c r="K212" s="587">
        <f>SUM(D214:J214)</f>
        <v/>
      </c>
      <c r="L212" s="197">
        <f>_xlfn.XLOOKUP(C214,'00_SKU_Master'!$B$2:$B$378,'00_SKU_Master'!K:K)</f>
        <v/>
      </c>
      <c r="M212" s="14">
        <f>X214</f>
        <v/>
      </c>
      <c r="N212" s="157">
        <f>_xludf.IFNA(D214/_xlfn.XLOOKUP($M214,'00_SKU_Master'!$B$2:$B$378,'00_SKU_Master'!$M$2:$M$378,0)/$M$2,"0")</f>
        <v/>
      </c>
      <c r="O212" s="157">
        <f>_xludf.IFNA(E214/_xlfn.XLOOKUP($M214,'00_SKU_Master'!$B$2:$B$378,'00_SKU_Master'!$M$2:$M$378,0)/$M$2,"0")</f>
        <v/>
      </c>
      <c r="P212" s="157">
        <f>_xludf.IFNA(F214/_xlfn.XLOOKUP($M214,'00_SKU_Master'!$B$2:$B$378,'00_SKU_Master'!$M$2:$M$378,0)/$M$2,"0")</f>
        <v/>
      </c>
      <c r="Q212" s="157">
        <f>_xludf.IFNA(G214/_xlfn.XLOOKUP($M214,'00_SKU_Master'!$B$2:$B$378,'00_SKU_Master'!$M$2:$M$378,0)/$M$2,"0")</f>
        <v/>
      </c>
      <c r="R212" s="157">
        <f>_xludf.IFNA(H214/_xlfn.XLOOKUP($M214,'00_SKU_Master'!$B$2:$B$378,'00_SKU_Master'!$M$2:$M$378,0)/$M$2,"0")</f>
        <v/>
      </c>
      <c r="S212" s="157">
        <f>_xludf.IFNA(I214/_xlfn.XLOOKUP($M214,'00_SKU_Master'!$B$2:$B$378,'00_SKU_Master'!$M$2:$M$378,0)/$M$2,"0")</f>
        <v/>
      </c>
      <c r="T212" s="157">
        <f>_xludf.IFNA(J214/_xlfn.XLOOKUP($M214,'00_SKU_Master'!$B$2:$B$378,'00_SKU_Master'!$M$2:$M$378,0)/$M$2,"0")</f>
        <v/>
      </c>
      <c r="U212" s="157">
        <f>SUM(N214:T214)</f>
        <v/>
      </c>
      <c r="V212" s="4" t="n"/>
      <c r="W212" s="4">
        <f>_xlfn.XLOOKUP(M214,'00_SKU_Master'!$B$2:$B$378,'00_SKU_Master'!D:D)</f>
        <v/>
      </c>
      <c r="X212" s="14">
        <f>'05_Daily_Orders'!B213</f>
        <v/>
      </c>
      <c r="Y212" s="588" t="n"/>
      <c r="Z212" s="589" t="n"/>
      <c r="AA212" s="589" t="n"/>
      <c r="AB212" s="589" t="n"/>
      <c r="AC212" s="589" t="n">
        <v>0</v>
      </c>
      <c r="AD212" s="589" t="n">
        <v>0</v>
      </c>
      <c r="AE212" s="589" t="n">
        <v>0</v>
      </c>
      <c r="AF212" s="587">
        <f>SUM(Y214:AE214)</f>
        <v/>
      </c>
      <c r="AQ212" s="23" t="n">
        <v>0</v>
      </c>
      <c r="AR212" s="23" t="n">
        <v>0</v>
      </c>
      <c r="AS212" s="23">
        <f>AR214-AQ214</f>
        <v/>
      </c>
    </row>
    <row r="213">
      <c r="A213" s="148">
        <f>_xlfn.XLOOKUP(C215,'00_SKU_Master'!$B$2:$B$378,'00_SKU_Master'!$C$2:$C$378)</f>
        <v/>
      </c>
      <c r="B213" s="148" t="n"/>
      <c r="C213" s="148">
        <f>X215</f>
        <v/>
      </c>
      <c r="D213" s="586">
        <f>_xludf.IFNA(_xlfn.XLOOKUP(C215,'00_SKU_Master'!$B$2:$B$378,'00_SKU_Master'!$F$2:$F$378,0)*Y215,"")</f>
        <v/>
      </c>
      <c r="E213" s="586">
        <f>_xludf.IFNA(_xlfn.XLOOKUP(C215,'00_SKU_Master'!$B$2:$B$378,'00_SKU_Master'!$F$2:$F$378,0)*Z215,"")</f>
        <v/>
      </c>
      <c r="F213" s="586">
        <f>_xludf.IFNA(_xlfn.XLOOKUP(C215,'00_SKU_Master'!$B$2:$B$378,'00_SKU_Master'!$F$2:$F$378,0)*AA215,"")</f>
        <v/>
      </c>
      <c r="G213" s="586">
        <f>_xludf.IFNA(_xlfn.XLOOKUP(C215,'00_SKU_Master'!$B$2:$B$378,'00_SKU_Master'!$F$2:$F$378,0)*AB215,"")</f>
        <v/>
      </c>
      <c r="H213" s="586">
        <f>_xludf.IFNA(_xlfn.XLOOKUP(C215,'00_SKU_Master'!$B$2:$B$378,'00_SKU_Master'!$F$2:$F$378,0)*AC215,"")</f>
        <v/>
      </c>
      <c r="I213" s="586">
        <f>_xludf.IFNA(_xlfn.XLOOKUP(C215,'00_SKU_Master'!$B$2:$B$378,'00_SKU_Master'!$F$2:$F$378,0)*AD215,"")</f>
        <v/>
      </c>
      <c r="J213" s="586">
        <f>_xludf.IFNA(_xlfn.XLOOKUP(C215,'00_SKU_Master'!$B$2:$B$378,'00_SKU_Master'!$F$2:$F$378,0)*AE215,"")</f>
        <v/>
      </c>
      <c r="K213" s="587">
        <f>SUM(D215:J215)</f>
        <v/>
      </c>
      <c r="L213" s="197">
        <f>_xlfn.XLOOKUP(C215,'00_SKU_Master'!$B$2:$B$378,'00_SKU_Master'!K:K)</f>
        <v/>
      </c>
      <c r="M213" s="14">
        <f>X215</f>
        <v/>
      </c>
      <c r="N213" s="157">
        <f>_xludf.IFNA(D215/_xlfn.XLOOKUP($M215,'00_SKU_Master'!$B$2:$B$378,'00_SKU_Master'!$M$2:$M$378,0)/$M$2,"0")</f>
        <v/>
      </c>
      <c r="O213" s="157">
        <f>_xludf.IFNA(E215/_xlfn.XLOOKUP($M215,'00_SKU_Master'!$B$2:$B$378,'00_SKU_Master'!$M$2:$M$378,0)/$M$2,"0")</f>
        <v/>
      </c>
      <c r="P213" s="157">
        <f>_xludf.IFNA(F215/_xlfn.XLOOKUP($M215,'00_SKU_Master'!$B$2:$B$378,'00_SKU_Master'!$M$2:$M$378,0)/$M$2,"0")</f>
        <v/>
      </c>
      <c r="Q213" s="157">
        <f>_xludf.IFNA(G215/_xlfn.XLOOKUP($M215,'00_SKU_Master'!$B$2:$B$378,'00_SKU_Master'!$M$2:$M$378,0)/$M$2,"0")</f>
        <v/>
      </c>
      <c r="R213" s="157">
        <f>_xludf.IFNA(H215/_xlfn.XLOOKUP($M215,'00_SKU_Master'!$B$2:$B$378,'00_SKU_Master'!$M$2:$M$378,0)/$M$2,"0")</f>
        <v/>
      </c>
      <c r="S213" s="157">
        <f>_xludf.IFNA(I215/_xlfn.XLOOKUP($M215,'00_SKU_Master'!$B$2:$B$378,'00_SKU_Master'!$M$2:$M$378,0)/$M$2,"0")</f>
        <v/>
      </c>
      <c r="T213" s="157">
        <f>_xludf.IFNA(J215/_xlfn.XLOOKUP($M215,'00_SKU_Master'!$B$2:$B$378,'00_SKU_Master'!$M$2:$M$378,0)/$M$2,"0")</f>
        <v/>
      </c>
      <c r="U213" s="157">
        <f>SUM(N215:T215)</f>
        <v/>
      </c>
      <c r="V213" s="4" t="n"/>
      <c r="W213" s="4">
        <f>_xlfn.XLOOKUP(M215,'00_SKU_Master'!$B$2:$B$378,'00_SKU_Master'!D:D)</f>
        <v/>
      </c>
      <c r="X213" s="14">
        <f>'05_Daily_Orders'!B214</f>
        <v/>
      </c>
      <c r="Y213" s="588" t="n"/>
      <c r="Z213" s="589" t="n"/>
      <c r="AA213" s="589" t="n"/>
      <c r="AB213" s="589" t="n"/>
      <c r="AC213" s="589" t="n">
        <v>0</v>
      </c>
      <c r="AD213" s="589" t="n">
        <v>0</v>
      </c>
      <c r="AE213" s="589" t="n">
        <v>0</v>
      </c>
      <c r="AF213" s="587">
        <f>SUM(Y215:AE215)</f>
        <v/>
      </c>
      <c r="AQ213" s="23" t="n">
        <v>0</v>
      </c>
      <c r="AR213" s="23" t="n">
        <v>9</v>
      </c>
      <c r="AS213" s="23">
        <f>AR215-AQ215</f>
        <v/>
      </c>
    </row>
    <row r="214">
      <c r="A214" s="148">
        <f>_xlfn.XLOOKUP(C216,'00_SKU_Master'!$B$2:$B$378,'00_SKU_Master'!$C$2:$C$378)</f>
        <v/>
      </c>
      <c r="B214" s="148" t="n"/>
      <c r="C214" s="148">
        <f>X216</f>
        <v/>
      </c>
      <c r="D214" s="586">
        <f>_xludf.IFNA(_xlfn.XLOOKUP(C216,'00_SKU_Master'!$B$2:$B$378,'00_SKU_Master'!$F$2:$F$378,0)*Y216,"")</f>
        <v/>
      </c>
      <c r="E214" s="586">
        <f>_xludf.IFNA(_xlfn.XLOOKUP(C216,'00_SKU_Master'!$B$2:$B$378,'00_SKU_Master'!$F$2:$F$378,0)*Z216,"")</f>
        <v/>
      </c>
      <c r="F214" s="586">
        <f>_xludf.IFNA(_xlfn.XLOOKUP(C216,'00_SKU_Master'!$B$2:$B$378,'00_SKU_Master'!$F$2:$F$378,0)*AA216,"")</f>
        <v/>
      </c>
      <c r="G214" s="586">
        <f>_xludf.IFNA(_xlfn.XLOOKUP(C216,'00_SKU_Master'!$B$2:$B$378,'00_SKU_Master'!$F$2:$F$378,0)*AB216,"")</f>
        <v/>
      </c>
      <c r="H214" s="586">
        <f>_xludf.IFNA(_xlfn.XLOOKUP(C216,'00_SKU_Master'!$B$2:$B$378,'00_SKU_Master'!$F$2:$F$378,0)*AC216,"")</f>
        <v/>
      </c>
      <c r="I214" s="586">
        <f>_xludf.IFNA(_xlfn.XLOOKUP(C216,'00_SKU_Master'!$B$2:$B$378,'00_SKU_Master'!$F$2:$F$378,0)*AD216,"")</f>
        <v/>
      </c>
      <c r="J214" s="586">
        <f>_xludf.IFNA(_xlfn.XLOOKUP(C216,'00_SKU_Master'!$B$2:$B$378,'00_SKU_Master'!$F$2:$F$378,0)*AE216,"")</f>
        <v/>
      </c>
      <c r="K214" s="587">
        <f>SUM(D216:J216)</f>
        <v/>
      </c>
      <c r="L214" s="197">
        <f>_xlfn.XLOOKUP(C216,'00_SKU_Master'!$B$2:$B$378,'00_SKU_Master'!K:K)</f>
        <v/>
      </c>
      <c r="M214" s="14">
        <f>X216</f>
        <v/>
      </c>
      <c r="N214" s="157">
        <f>_xludf.IFNA(D216/_xlfn.XLOOKUP($M216,'00_SKU_Master'!$B$2:$B$378,'00_SKU_Master'!$M$2:$M$378,0)/$M$2,"0")</f>
        <v/>
      </c>
      <c r="O214" s="157">
        <f>_xludf.IFNA(E216/_xlfn.XLOOKUP($M216,'00_SKU_Master'!$B$2:$B$378,'00_SKU_Master'!$M$2:$M$378,0)/$M$2,"0")</f>
        <v/>
      </c>
      <c r="P214" s="157">
        <f>_xludf.IFNA(F216/_xlfn.XLOOKUP($M216,'00_SKU_Master'!$B$2:$B$378,'00_SKU_Master'!$M$2:$M$378,0)/$M$2,"0")</f>
        <v/>
      </c>
      <c r="Q214" s="157">
        <f>_xludf.IFNA(G216/_xlfn.XLOOKUP($M216,'00_SKU_Master'!$B$2:$B$378,'00_SKU_Master'!$M$2:$M$378,0)/$M$2,"0")</f>
        <v/>
      </c>
      <c r="R214" s="157">
        <f>_xludf.IFNA(H216/_xlfn.XLOOKUP($M216,'00_SKU_Master'!$B$2:$B$378,'00_SKU_Master'!$M$2:$M$378,0)/$M$2,"0")</f>
        <v/>
      </c>
      <c r="S214" s="157">
        <f>_xludf.IFNA(I216/_xlfn.XLOOKUP($M216,'00_SKU_Master'!$B$2:$B$378,'00_SKU_Master'!$M$2:$M$378,0)/$M$2,"0")</f>
        <v/>
      </c>
      <c r="T214" s="157">
        <f>_xludf.IFNA(J216/_xlfn.XLOOKUP($M216,'00_SKU_Master'!$B$2:$B$378,'00_SKU_Master'!$M$2:$M$378,0)/$M$2,"0")</f>
        <v/>
      </c>
      <c r="U214" s="157">
        <f>SUM(N216:T216)</f>
        <v/>
      </c>
      <c r="V214" s="4" t="n"/>
      <c r="W214" s="4">
        <f>_xlfn.XLOOKUP(M216,'00_SKU_Master'!$B$2:$B$378,'00_SKU_Master'!D:D)</f>
        <v/>
      </c>
      <c r="X214" s="14">
        <f>'05_Daily_Orders'!B215</f>
        <v/>
      </c>
      <c r="Y214" s="588" t="n"/>
      <c r="Z214" s="589" t="n"/>
      <c r="AA214" s="589" t="n"/>
      <c r="AB214" s="589" t="n"/>
      <c r="AC214" s="589" t="n">
        <v>0</v>
      </c>
      <c r="AD214" s="589" t="n">
        <v>0</v>
      </c>
      <c r="AE214" s="589" t="n">
        <v>0</v>
      </c>
      <c r="AF214" s="587">
        <f>SUM(Y216:AE216)</f>
        <v/>
      </c>
      <c r="AQ214" s="23" t="n">
        <v>0</v>
      </c>
      <c r="AR214" s="23" t="n">
        <v>0</v>
      </c>
      <c r="AS214" s="23">
        <f>AR216-AQ216</f>
        <v/>
      </c>
    </row>
    <row r="215">
      <c r="A215" s="148">
        <f>_xlfn.XLOOKUP(C217,'00_SKU_Master'!$B$2:$B$378,'00_SKU_Master'!$C$2:$C$378)</f>
        <v/>
      </c>
      <c r="B215" s="148" t="n"/>
      <c r="C215" s="148">
        <f>X217</f>
        <v/>
      </c>
      <c r="D215" s="586">
        <f>_xludf.IFNA(_xlfn.XLOOKUP(C217,'00_SKU_Master'!$B$2:$B$378,'00_SKU_Master'!$F$2:$F$378,0)*Y217,"")</f>
        <v/>
      </c>
      <c r="E215" s="586">
        <f>_xludf.IFNA(_xlfn.XLOOKUP(C217,'00_SKU_Master'!$B$2:$B$378,'00_SKU_Master'!$F$2:$F$378,0)*Z217,"")</f>
        <v/>
      </c>
      <c r="F215" s="586">
        <f>_xludf.IFNA(_xlfn.XLOOKUP(C217,'00_SKU_Master'!$B$2:$B$378,'00_SKU_Master'!$F$2:$F$378,0)*AA217,"")</f>
        <v/>
      </c>
      <c r="G215" s="586">
        <f>_xludf.IFNA(_xlfn.XLOOKUP(C217,'00_SKU_Master'!$B$2:$B$378,'00_SKU_Master'!$F$2:$F$378,0)*AB217,"")</f>
        <v/>
      </c>
      <c r="H215" s="586">
        <f>_xludf.IFNA(_xlfn.XLOOKUP(C217,'00_SKU_Master'!$B$2:$B$378,'00_SKU_Master'!$F$2:$F$378,0)*AC217,"")</f>
        <v/>
      </c>
      <c r="I215" s="586">
        <f>_xludf.IFNA(_xlfn.XLOOKUP(C217,'00_SKU_Master'!$B$2:$B$378,'00_SKU_Master'!$F$2:$F$378,0)*AD217,"")</f>
        <v/>
      </c>
      <c r="J215" s="586">
        <f>_xludf.IFNA(_xlfn.XLOOKUP(C217,'00_SKU_Master'!$B$2:$B$378,'00_SKU_Master'!$F$2:$F$378,0)*AE217,"")</f>
        <v/>
      </c>
      <c r="K215" s="587">
        <f>SUM(D217:J217)</f>
        <v/>
      </c>
      <c r="L215" s="197">
        <f>_xlfn.XLOOKUP(C217,'00_SKU_Master'!$B$2:$B$378,'00_SKU_Master'!K:K)</f>
        <v/>
      </c>
      <c r="M215" s="14">
        <f>X217</f>
        <v/>
      </c>
      <c r="N215" s="157">
        <f>_xludf.IFNA(D217/_xlfn.XLOOKUP($M217,'00_SKU_Master'!$B$2:$B$378,'00_SKU_Master'!$M$2:$M$378,0)/$M$2,"0")</f>
        <v/>
      </c>
      <c r="O215" s="157">
        <f>_xludf.IFNA(E217/_xlfn.XLOOKUP($M217,'00_SKU_Master'!$B$2:$B$378,'00_SKU_Master'!$M$2:$M$378,0)/$M$2,"0")</f>
        <v/>
      </c>
      <c r="P215" s="157">
        <f>_xludf.IFNA(F217/_xlfn.XLOOKUP($M217,'00_SKU_Master'!$B$2:$B$378,'00_SKU_Master'!$M$2:$M$378,0)/$M$2,"0")</f>
        <v/>
      </c>
      <c r="Q215" s="157">
        <f>_xludf.IFNA(G217/_xlfn.XLOOKUP($M217,'00_SKU_Master'!$B$2:$B$378,'00_SKU_Master'!$M$2:$M$378,0)/$M$2,"0")</f>
        <v/>
      </c>
      <c r="R215" s="157">
        <f>_xludf.IFNA(H217/_xlfn.XLOOKUP($M217,'00_SKU_Master'!$B$2:$B$378,'00_SKU_Master'!$M$2:$M$378,0)/$M$2,"0")</f>
        <v/>
      </c>
      <c r="S215" s="157">
        <f>_xludf.IFNA(I217/_xlfn.XLOOKUP($M217,'00_SKU_Master'!$B$2:$B$378,'00_SKU_Master'!$M$2:$M$378,0)/$M$2,"0")</f>
        <v/>
      </c>
      <c r="T215" s="157">
        <f>_xludf.IFNA(J217/_xlfn.XLOOKUP($M217,'00_SKU_Master'!$B$2:$B$378,'00_SKU_Master'!$M$2:$M$378,0)/$M$2,"0")</f>
        <v/>
      </c>
      <c r="U215" s="157">
        <f>SUM(N217:T217)</f>
        <v/>
      </c>
      <c r="V215" s="4" t="n"/>
      <c r="W215" s="4">
        <f>_xlfn.XLOOKUP(M217,'00_SKU_Master'!$B$2:$B$378,'00_SKU_Master'!D:D)</f>
        <v/>
      </c>
      <c r="X215" s="14">
        <f>'05_Daily_Orders'!B216</f>
        <v/>
      </c>
      <c r="Y215" s="588" t="n"/>
      <c r="Z215" s="589" t="n"/>
      <c r="AA215" s="589" t="n"/>
      <c r="AB215" s="589" t="n"/>
      <c r="AC215" s="589" t="n">
        <v>0</v>
      </c>
      <c r="AD215" s="589" t="n">
        <v>0</v>
      </c>
      <c r="AE215" s="589" t="n">
        <v>0</v>
      </c>
      <c r="AF215" s="587">
        <f>SUM(Y217:AE217)</f>
        <v/>
      </c>
      <c r="AQ215" s="23" t="n">
        <v>0</v>
      </c>
      <c r="AR215" s="23" t="n">
        <v>0</v>
      </c>
      <c r="AS215" s="23">
        <f>AR217-AQ217</f>
        <v/>
      </c>
    </row>
    <row r="216">
      <c r="A216" s="148">
        <f>_xlfn.XLOOKUP(C218,'00_SKU_Master'!$B$2:$B$378,'00_SKU_Master'!$C$2:$C$378)</f>
        <v/>
      </c>
      <c r="B216" s="148" t="n"/>
      <c r="C216" s="148">
        <f>X218</f>
        <v/>
      </c>
      <c r="D216" s="586">
        <f>_xludf.IFNA(_xlfn.XLOOKUP(C218,'00_SKU_Master'!$B$2:$B$378,'00_SKU_Master'!$F$2:$F$378,0)*Y218,"")</f>
        <v/>
      </c>
      <c r="E216" s="586">
        <f>_xludf.IFNA(_xlfn.XLOOKUP(C218,'00_SKU_Master'!$B$2:$B$378,'00_SKU_Master'!$F$2:$F$378,0)*Z218,"")</f>
        <v/>
      </c>
      <c r="F216" s="586">
        <f>_xludf.IFNA(_xlfn.XLOOKUP(C218,'00_SKU_Master'!$B$2:$B$378,'00_SKU_Master'!$F$2:$F$378,0)*AA218,"")</f>
        <v/>
      </c>
      <c r="G216" s="586">
        <f>_xludf.IFNA(_xlfn.XLOOKUP(C218,'00_SKU_Master'!$B$2:$B$378,'00_SKU_Master'!$F$2:$F$378,0)*AB218,"")</f>
        <v/>
      </c>
      <c r="H216" s="586">
        <f>_xludf.IFNA(_xlfn.XLOOKUP(C218,'00_SKU_Master'!$B$2:$B$378,'00_SKU_Master'!$F$2:$F$378,0)*AC218,"")</f>
        <v/>
      </c>
      <c r="I216" s="586">
        <f>_xludf.IFNA(_xlfn.XLOOKUP(C218,'00_SKU_Master'!$B$2:$B$378,'00_SKU_Master'!$F$2:$F$378,0)*AD218,"")</f>
        <v/>
      </c>
      <c r="J216" s="586">
        <f>_xludf.IFNA(_xlfn.XLOOKUP(C218,'00_SKU_Master'!$B$2:$B$378,'00_SKU_Master'!$F$2:$F$378,0)*AE218,"")</f>
        <v/>
      </c>
      <c r="K216" s="587">
        <f>SUM(D218:J218)</f>
        <v/>
      </c>
      <c r="L216" s="197">
        <f>_xlfn.XLOOKUP(C218,'00_SKU_Master'!$B$2:$B$378,'00_SKU_Master'!K:K)</f>
        <v/>
      </c>
      <c r="M216" s="14">
        <f>X218</f>
        <v/>
      </c>
      <c r="N216" s="157">
        <f>_xludf.IFNA(D218/_xlfn.XLOOKUP($M218,'00_SKU_Master'!$B$2:$B$378,'00_SKU_Master'!$M$2:$M$378,0)/$M$2,"0")</f>
        <v/>
      </c>
      <c r="O216" s="157">
        <f>_xludf.IFNA(E218/_xlfn.XLOOKUP($M218,'00_SKU_Master'!$B$2:$B$378,'00_SKU_Master'!$M$2:$M$378,0)/$M$2,"0")</f>
        <v/>
      </c>
      <c r="P216" s="157">
        <f>_xludf.IFNA(F218/_xlfn.XLOOKUP($M218,'00_SKU_Master'!$B$2:$B$378,'00_SKU_Master'!$M$2:$M$378,0)/$M$2,"0")</f>
        <v/>
      </c>
      <c r="Q216" s="157">
        <f>_xludf.IFNA(G218/_xlfn.XLOOKUP($M218,'00_SKU_Master'!$B$2:$B$378,'00_SKU_Master'!$M$2:$M$378,0)/$M$2,"0")</f>
        <v/>
      </c>
      <c r="R216" s="157">
        <f>_xludf.IFNA(H218/_xlfn.XLOOKUP($M218,'00_SKU_Master'!$B$2:$B$378,'00_SKU_Master'!$M$2:$M$378,0)/$M$2,"0")</f>
        <v/>
      </c>
      <c r="S216" s="157">
        <f>_xludf.IFNA(I218/_xlfn.XLOOKUP($M218,'00_SKU_Master'!$B$2:$B$378,'00_SKU_Master'!$M$2:$M$378,0)/$M$2,"0")</f>
        <v/>
      </c>
      <c r="T216" s="157">
        <f>_xludf.IFNA(J218/_xlfn.XLOOKUP($M218,'00_SKU_Master'!$B$2:$B$378,'00_SKU_Master'!$M$2:$M$378,0)/$M$2,"0")</f>
        <v/>
      </c>
      <c r="U216" s="157">
        <f>SUM(N218:T218)</f>
        <v/>
      </c>
      <c r="V216" s="4" t="n"/>
      <c r="W216" s="4">
        <f>_xlfn.XLOOKUP(M218,'00_SKU_Master'!$B$2:$B$378,'00_SKU_Master'!D:D)</f>
        <v/>
      </c>
      <c r="X216" s="14">
        <f>'05_Daily_Orders'!B217</f>
        <v/>
      </c>
      <c r="Y216" s="588" t="n"/>
      <c r="Z216" s="589" t="n"/>
      <c r="AA216" s="589" t="n"/>
      <c r="AB216" s="589" t="n"/>
      <c r="AC216" s="589" t="n">
        <v>0</v>
      </c>
      <c r="AD216" s="589" t="n">
        <v>0</v>
      </c>
      <c r="AE216" s="589" t="n">
        <v>0</v>
      </c>
      <c r="AF216" s="587">
        <f>SUM(Y218:AE218)</f>
        <v/>
      </c>
      <c r="AQ216" s="23" t="n">
        <v>0</v>
      </c>
      <c r="AR216" s="23" t="n">
        <v>0</v>
      </c>
      <c r="AS216" s="23">
        <f>AR218-AQ218</f>
        <v/>
      </c>
    </row>
    <row r="217">
      <c r="A217" s="148">
        <f>_xlfn.XLOOKUP(C219,'00_SKU_Master'!$B$2:$B$378,'00_SKU_Master'!$C$2:$C$378)</f>
        <v/>
      </c>
      <c r="B217" s="148" t="n"/>
      <c r="C217" s="148">
        <f>X219</f>
        <v/>
      </c>
      <c r="D217" s="586">
        <f>_xludf.IFNA(_xlfn.XLOOKUP(C219,'00_SKU_Master'!$B$2:$B$378,'00_SKU_Master'!$F$2:$F$378,0)*Y219,"")</f>
        <v/>
      </c>
      <c r="E217" s="586">
        <f>_xludf.IFNA(_xlfn.XLOOKUP(C219,'00_SKU_Master'!$B$2:$B$378,'00_SKU_Master'!$F$2:$F$378,0)*Z219,"")</f>
        <v/>
      </c>
      <c r="F217" s="586">
        <f>_xludf.IFNA(_xlfn.XLOOKUP(C219,'00_SKU_Master'!$B$2:$B$378,'00_SKU_Master'!$F$2:$F$378,0)*AA219,"")</f>
        <v/>
      </c>
      <c r="G217" s="586">
        <f>_xludf.IFNA(_xlfn.XLOOKUP(C219,'00_SKU_Master'!$B$2:$B$378,'00_SKU_Master'!$F$2:$F$378,0)*AB219,"")</f>
        <v/>
      </c>
      <c r="H217" s="586">
        <f>_xludf.IFNA(_xlfn.XLOOKUP(C219,'00_SKU_Master'!$B$2:$B$378,'00_SKU_Master'!$F$2:$F$378,0)*AC219,"")</f>
        <v/>
      </c>
      <c r="I217" s="586">
        <f>_xludf.IFNA(_xlfn.XLOOKUP(C219,'00_SKU_Master'!$B$2:$B$378,'00_SKU_Master'!$F$2:$F$378,0)*AD219,"")</f>
        <v/>
      </c>
      <c r="J217" s="586">
        <f>_xludf.IFNA(_xlfn.XLOOKUP(C219,'00_SKU_Master'!$B$2:$B$378,'00_SKU_Master'!$F$2:$F$378,0)*AE219,"")</f>
        <v/>
      </c>
      <c r="K217" s="587">
        <f>SUM(D219:J219)</f>
        <v/>
      </c>
      <c r="L217" s="197">
        <f>_xlfn.XLOOKUP(C219,'00_SKU_Master'!$B$2:$B$378,'00_SKU_Master'!K:K)</f>
        <v/>
      </c>
      <c r="M217" s="14">
        <f>X219</f>
        <v/>
      </c>
      <c r="N217" s="157">
        <f>_xludf.IFNA(D219/_xlfn.XLOOKUP($M219,'00_SKU_Master'!$B$2:$B$378,'00_SKU_Master'!$M$2:$M$378,0)/$M$2,"0")</f>
        <v/>
      </c>
      <c r="O217" s="157">
        <f>_xludf.IFNA(E219/_xlfn.XLOOKUP($M219,'00_SKU_Master'!$B$2:$B$378,'00_SKU_Master'!$M$2:$M$378,0)/$M$2,"0")</f>
        <v/>
      </c>
      <c r="P217" s="157">
        <f>_xludf.IFNA(F219/_xlfn.XLOOKUP($M219,'00_SKU_Master'!$B$2:$B$378,'00_SKU_Master'!$M$2:$M$378,0)/$M$2,"0")</f>
        <v/>
      </c>
      <c r="Q217" s="157">
        <f>_xludf.IFNA(G219/_xlfn.XLOOKUP($M219,'00_SKU_Master'!$B$2:$B$378,'00_SKU_Master'!$M$2:$M$378,0)/$M$2,"0")</f>
        <v/>
      </c>
      <c r="R217" s="157">
        <f>_xludf.IFNA(H219/_xlfn.XLOOKUP($M219,'00_SKU_Master'!$B$2:$B$378,'00_SKU_Master'!$M$2:$M$378,0)/$M$2,"0")</f>
        <v/>
      </c>
      <c r="S217" s="157">
        <f>_xludf.IFNA(I219/_xlfn.XLOOKUP($M219,'00_SKU_Master'!$B$2:$B$378,'00_SKU_Master'!$M$2:$M$378,0)/$M$2,"0")</f>
        <v/>
      </c>
      <c r="T217" s="157">
        <f>_xludf.IFNA(J219/_xlfn.XLOOKUP($M219,'00_SKU_Master'!$B$2:$B$378,'00_SKU_Master'!$M$2:$M$378,0)/$M$2,"0")</f>
        <v/>
      </c>
      <c r="U217" s="157">
        <f>SUM(N219:T219)</f>
        <v/>
      </c>
      <c r="V217" s="4" t="n"/>
      <c r="W217" s="4">
        <f>_xlfn.XLOOKUP(M219,'00_SKU_Master'!$B$2:$B$378,'00_SKU_Master'!D:D)</f>
        <v/>
      </c>
      <c r="X217" s="14">
        <f>'05_Daily_Orders'!B218</f>
        <v/>
      </c>
      <c r="Y217" s="588" t="n"/>
      <c r="Z217" s="589" t="n"/>
      <c r="AA217" s="589" t="n"/>
      <c r="AB217" s="589" t="n"/>
      <c r="AC217" s="589" t="n">
        <v>41</v>
      </c>
      <c r="AD217" s="589" t="n">
        <v>28</v>
      </c>
      <c r="AE217" s="589" t="n">
        <v>28</v>
      </c>
      <c r="AF217" s="587">
        <f>SUM(Y219:AE219)</f>
        <v/>
      </c>
      <c r="AQ217" s="23" t="n">
        <v>0</v>
      </c>
      <c r="AR217" s="23" t="n">
        <v>0</v>
      </c>
      <c r="AS217" s="23">
        <f>AR219-AQ219</f>
        <v/>
      </c>
    </row>
    <row r="218">
      <c r="A218" s="148">
        <f>_xlfn.XLOOKUP(C220,'00_SKU_Master'!$B$2:$B$378,'00_SKU_Master'!$C$2:$C$378)</f>
        <v/>
      </c>
      <c r="B218" s="148" t="n"/>
      <c r="C218" s="148">
        <f>X220</f>
        <v/>
      </c>
      <c r="D218" s="586">
        <f>_xludf.IFNA(_xlfn.XLOOKUP(C220,'00_SKU_Master'!$B$2:$B$378,'00_SKU_Master'!$F$2:$F$378,0)*Y220,"")</f>
        <v/>
      </c>
      <c r="E218" s="586">
        <f>_xludf.IFNA(_xlfn.XLOOKUP(C220,'00_SKU_Master'!$B$2:$B$378,'00_SKU_Master'!$F$2:$F$378,0)*Z220,"")</f>
        <v/>
      </c>
      <c r="F218" s="586">
        <f>_xludf.IFNA(_xlfn.XLOOKUP(C220,'00_SKU_Master'!$B$2:$B$378,'00_SKU_Master'!$F$2:$F$378,0)*AA220,"")</f>
        <v/>
      </c>
      <c r="G218" s="586">
        <f>_xludf.IFNA(_xlfn.XLOOKUP(C220,'00_SKU_Master'!$B$2:$B$378,'00_SKU_Master'!$F$2:$F$378,0)*AB220,"")</f>
        <v/>
      </c>
      <c r="H218" s="586">
        <f>_xludf.IFNA(_xlfn.XLOOKUP(C220,'00_SKU_Master'!$B$2:$B$378,'00_SKU_Master'!$F$2:$F$378,0)*AC220,"")</f>
        <v/>
      </c>
      <c r="I218" s="586">
        <f>_xludf.IFNA(_xlfn.XLOOKUP(C220,'00_SKU_Master'!$B$2:$B$378,'00_SKU_Master'!$F$2:$F$378,0)*AD220,"")</f>
        <v/>
      </c>
      <c r="J218" s="586">
        <f>_xludf.IFNA(_xlfn.XLOOKUP(C220,'00_SKU_Master'!$B$2:$B$378,'00_SKU_Master'!$F$2:$F$378,0)*AE220,"")</f>
        <v/>
      </c>
      <c r="K218" s="587">
        <f>SUM(D220:J220)</f>
        <v/>
      </c>
      <c r="L218" s="197">
        <f>_xlfn.XLOOKUP(C220,'00_SKU_Master'!$B$2:$B$378,'00_SKU_Master'!K:K)</f>
        <v/>
      </c>
      <c r="M218" s="14">
        <f>X220</f>
        <v/>
      </c>
      <c r="N218" s="157">
        <f>_xludf.IFNA(D220/_xlfn.XLOOKUP($M220,'00_SKU_Master'!$B$2:$B$378,'00_SKU_Master'!$M$2:$M$378,0)/$M$2,"0")</f>
        <v/>
      </c>
      <c r="O218" s="157">
        <f>_xludf.IFNA(E220/_xlfn.XLOOKUP($M220,'00_SKU_Master'!$B$2:$B$378,'00_SKU_Master'!$M$2:$M$378,0)/$M$2,"0")</f>
        <v/>
      </c>
      <c r="P218" s="157">
        <f>_xludf.IFNA(F220/_xlfn.XLOOKUP($M220,'00_SKU_Master'!$B$2:$B$378,'00_SKU_Master'!$M$2:$M$378,0)/$M$2,"0")</f>
        <v/>
      </c>
      <c r="Q218" s="157">
        <f>_xludf.IFNA(G220/_xlfn.XLOOKUP($M220,'00_SKU_Master'!$B$2:$B$378,'00_SKU_Master'!$M$2:$M$378,0)/$M$2,"0")</f>
        <v/>
      </c>
      <c r="R218" s="157">
        <f>_xludf.IFNA(H220/_xlfn.XLOOKUP($M220,'00_SKU_Master'!$B$2:$B$378,'00_SKU_Master'!$M$2:$M$378,0)/$M$2,"0")</f>
        <v/>
      </c>
      <c r="S218" s="157">
        <f>_xludf.IFNA(I220/_xlfn.XLOOKUP($M220,'00_SKU_Master'!$B$2:$B$378,'00_SKU_Master'!$M$2:$M$378,0)/$M$2,"0")</f>
        <v/>
      </c>
      <c r="T218" s="157">
        <f>_xludf.IFNA(J220/_xlfn.XLOOKUP($M220,'00_SKU_Master'!$B$2:$B$378,'00_SKU_Master'!$M$2:$M$378,0)/$M$2,"0")</f>
        <v/>
      </c>
      <c r="U218" s="157">
        <f>SUM(N220:T220)</f>
        <v/>
      </c>
      <c r="V218" s="4" t="n"/>
      <c r="W218" s="4">
        <f>_xlfn.XLOOKUP(M220,'00_SKU_Master'!$B$2:$B$378,'00_SKU_Master'!D:D)</f>
        <v/>
      </c>
      <c r="X218" s="14">
        <f>'05_Daily_Orders'!B219</f>
        <v/>
      </c>
      <c r="Y218" s="588" t="n"/>
      <c r="Z218" s="589" t="n"/>
      <c r="AA218" s="589" t="n"/>
      <c r="AB218" s="589" t="n"/>
      <c r="AC218" s="589" t="n">
        <v>0</v>
      </c>
      <c r="AD218" s="589" t="n">
        <v>0</v>
      </c>
      <c r="AE218" s="589" t="n">
        <v>0</v>
      </c>
      <c r="AF218" s="587">
        <f>SUM(Y220:AE220)</f>
        <v/>
      </c>
      <c r="AQ218" s="23" t="n">
        <v>0</v>
      </c>
      <c r="AR218" s="23" t="n">
        <v>0</v>
      </c>
      <c r="AS218" s="23">
        <f>AR220-AQ220</f>
        <v/>
      </c>
    </row>
    <row r="219">
      <c r="A219" s="148">
        <f>_xlfn.XLOOKUP(C221,'00_SKU_Master'!$B$2:$B$378,'00_SKU_Master'!$C$2:$C$378)</f>
        <v/>
      </c>
      <c r="B219" s="148" t="n"/>
      <c r="C219" s="148">
        <f>X221</f>
        <v/>
      </c>
      <c r="D219" s="586">
        <f>_xludf.IFNA(_xlfn.XLOOKUP(C221,'00_SKU_Master'!$B$2:$B$378,'00_SKU_Master'!$F$2:$F$378,0)*Y221,"")</f>
        <v/>
      </c>
      <c r="E219" s="586">
        <f>_xludf.IFNA(_xlfn.XLOOKUP(C221,'00_SKU_Master'!$B$2:$B$378,'00_SKU_Master'!$F$2:$F$378,0)*Z221,"")</f>
        <v/>
      </c>
      <c r="F219" s="586">
        <f>_xludf.IFNA(_xlfn.XLOOKUP(C221,'00_SKU_Master'!$B$2:$B$378,'00_SKU_Master'!$F$2:$F$378,0)*AA221,"")</f>
        <v/>
      </c>
      <c r="G219" s="586">
        <f>_xludf.IFNA(_xlfn.XLOOKUP(C221,'00_SKU_Master'!$B$2:$B$378,'00_SKU_Master'!$F$2:$F$378,0)*AB221,"")</f>
        <v/>
      </c>
      <c r="H219" s="586">
        <f>_xludf.IFNA(_xlfn.XLOOKUP(C221,'00_SKU_Master'!$B$2:$B$378,'00_SKU_Master'!$F$2:$F$378,0)*AC221,"")</f>
        <v/>
      </c>
      <c r="I219" s="586">
        <f>_xludf.IFNA(_xlfn.XLOOKUP(C221,'00_SKU_Master'!$B$2:$B$378,'00_SKU_Master'!$F$2:$F$378,0)*AD221,"")</f>
        <v/>
      </c>
      <c r="J219" s="586">
        <f>_xludf.IFNA(_xlfn.XLOOKUP(C221,'00_SKU_Master'!$B$2:$B$378,'00_SKU_Master'!$F$2:$F$378,0)*AE221,"")</f>
        <v/>
      </c>
      <c r="K219" s="587">
        <f>SUM(D221:J221)</f>
        <v/>
      </c>
      <c r="L219" s="197">
        <f>_xlfn.XLOOKUP(C221,'00_SKU_Master'!$B$2:$B$378,'00_SKU_Master'!K:K)</f>
        <v/>
      </c>
      <c r="M219" s="14">
        <f>X221</f>
        <v/>
      </c>
      <c r="N219" s="157">
        <f>_xludf.IFNA(D221/_xlfn.XLOOKUP($M221,'00_SKU_Master'!$B$2:$B$378,'00_SKU_Master'!$M$2:$M$378,0)/$M$2,"0")</f>
        <v/>
      </c>
      <c r="O219" s="157">
        <f>_xludf.IFNA(E221/_xlfn.XLOOKUP($M221,'00_SKU_Master'!$B$2:$B$378,'00_SKU_Master'!$M$2:$M$378,0)/$M$2,"0")</f>
        <v/>
      </c>
      <c r="P219" s="157">
        <f>_xludf.IFNA(F221/_xlfn.XLOOKUP($M221,'00_SKU_Master'!$B$2:$B$378,'00_SKU_Master'!$M$2:$M$378,0)/$M$2,"0")</f>
        <v/>
      </c>
      <c r="Q219" s="157">
        <f>_xludf.IFNA(G221/_xlfn.XLOOKUP($M221,'00_SKU_Master'!$B$2:$B$378,'00_SKU_Master'!$M$2:$M$378,0)/$M$2,"0")</f>
        <v/>
      </c>
      <c r="R219" s="157">
        <f>_xludf.IFNA(H221/_xlfn.XLOOKUP($M221,'00_SKU_Master'!$B$2:$B$378,'00_SKU_Master'!$M$2:$M$378,0)/$M$2,"0")</f>
        <v/>
      </c>
      <c r="S219" s="157">
        <f>_xludf.IFNA(I221/_xlfn.XLOOKUP($M221,'00_SKU_Master'!$B$2:$B$378,'00_SKU_Master'!$M$2:$M$378,0)/$M$2,"0")</f>
        <v/>
      </c>
      <c r="T219" s="157">
        <f>_xludf.IFNA(J221/_xlfn.XLOOKUP($M221,'00_SKU_Master'!$B$2:$B$378,'00_SKU_Master'!$M$2:$M$378,0)/$M$2,"0")</f>
        <v/>
      </c>
      <c r="U219" s="157">
        <f>SUM(N221:T221)</f>
        <v/>
      </c>
      <c r="V219" s="4" t="n"/>
      <c r="W219" s="4">
        <f>_xlfn.XLOOKUP(M221,'00_SKU_Master'!$B$2:$B$378,'00_SKU_Master'!D:D)</f>
        <v/>
      </c>
      <c r="X219" s="14">
        <f>'05_Daily_Orders'!B220</f>
        <v/>
      </c>
      <c r="Y219" s="588" t="n"/>
      <c r="Z219" s="589" t="n"/>
      <c r="AA219" s="589" t="n"/>
      <c r="AB219" s="589" t="n"/>
      <c r="AC219" s="589" t="n">
        <v>0</v>
      </c>
      <c r="AD219" s="589" t="n">
        <v>0</v>
      </c>
      <c r="AE219" s="589" t="n">
        <v>0</v>
      </c>
      <c r="AF219" s="587">
        <f>SUM(Y221:AE221)</f>
        <v/>
      </c>
      <c r="AQ219" s="23" t="n">
        <v>0</v>
      </c>
      <c r="AR219" s="23" t="n">
        <v>8</v>
      </c>
      <c r="AS219" s="23">
        <f>AR221-AQ221</f>
        <v/>
      </c>
    </row>
    <row r="220">
      <c r="A220" s="148">
        <f>_xlfn.XLOOKUP(C222,'00_SKU_Master'!$B$2:$B$378,'00_SKU_Master'!$C$2:$C$378)</f>
        <v/>
      </c>
      <c r="B220" s="148" t="n"/>
      <c r="C220" s="148">
        <f>X222</f>
        <v/>
      </c>
      <c r="D220" s="586">
        <f>_xludf.IFNA(_xlfn.XLOOKUP(C222,'00_SKU_Master'!$B$2:$B$378,'00_SKU_Master'!$F$2:$F$378,0)*Y222,"")</f>
        <v/>
      </c>
      <c r="E220" s="586">
        <f>_xludf.IFNA(_xlfn.XLOOKUP(C222,'00_SKU_Master'!$B$2:$B$378,'00_SKU_Master'!$F$2:$F$378,0)*Z222,"")</f>
        <v/>
      </c>
      <c r="F220" s="586">
        <f>_xludf.IFNA(_xlfn.XLOOKUP(C222,'00_SKU_Master'!$B$2:$B$378,'00_SKU_Master'!$F$2:$F$378,0)*AA222,"")</f>
        <v/>
      </c>
      <c r="G220" s="586">
        <f>_xludf.IFNA(_xlfn.XLOOKUP(C222,'00_SKU_Master'!$B$2:$B$378,'00_SKU_Master'!$F$2:$F$378,0)*AB222,"")</f>
        <v/>
      </c>
      <c r="H220" s="586">
        <f>_xludf.IFNA(_xlfn.XLOOKUP(C222,'00_SKU_Master'!$B$2:$B$378,'00_SKU_Master'!$F$2:$F$378,0)*AC222,"")</f>
        <v/>
      </c>
      <c r="I220" s="586">
        <f>_xludf.IFNA(_xlfn.XLOOKUP(C222,'00_SKU_Master'!$B$2:$B$378,'00_SKU_Master'!$F$2:$F$378,0)*AD222,"")</f>
        <v/>
      </c>
      <c r="J220" s="586">
        <f>_xludf.IFNA(_xlfn.XLOOKUP(C222,'00_SKU_Master'!$B$2:$B$378,'00_SKU_Master'!$F$2:$F$378,0)*AE222,"")</f>
        <v/>
      </c>
      <c r="K220" s="587">
        <f>SUM(D222:J222)</f>
        <v/>
      </c>
      <c r="L220" s="197">
        <f>_xlfn.XLOOKUP(C222,'00_SKU_Master'!$B$2:$B$378,'00_SKU_Master'!K:K)</f>
        <v/>
      </c>
      <c r="M220" s="14">
        <f>X222</f>
        <v/>
      </c>
      <c r="N220" s="157">
        <f>_xludf.IFNA(D222/_xlfn.XLOOKUP($M222,'00_SKU_Master'!$B$2:$B$378,'00_SKU_Master'!$M$2:$M$378,0)/$M$2,"0")</f>
        <v/>
      </c>
      <c r="O220" s="157">
        <f>_xludf.IFNA(E222/_xlfn.XLOOKUP($M222,'00_SKU_Master'!$B$2:$B$378,'00_SKU_Master'!$M$2:$M$378,0)/$M$2,"0")</f>
        <v/>
      </c>
      <c r="P220" s="157">
        <f>_xludf.IFNA(F222/_xlfn.XLOOKUP($M222,'00_SKU_Master'!$B$2:$B$378,'00_SKU_Master'!$M$2:$M$378,0)/$M$2,"0")</f>
        <v/>
      </c>
      <c r="Q220" s="157">
        <f>_xludf.IFNA(G222/_xlfn.XLOOKUP($M222,'00_SKU_Master'!$B$2:$B$378,'00_SKU_Master'!$M$2:$M$378,0)/$M$2,"0")</f>
        <v/>
      </c>
      <c r="R220" s="157">
        <f>_xludf.IFNA(H222/_xlfn.XLOOKUP($M222,'00_SKU_Master'!$B$2:$B$378,'00_SKU_Master'!$M$2:$M$378,0)/$M$2,"0")</f>
        <v/>
      </c>
      <c r="S220" s="157">
        <f>_xludf.IFNA(I222/_xlfn.XLOOKUP($M222,'00_SKU_Master'!$B$2:$B$378,'00_SKU_Master'!$M$2:$M$378,0)/$M$2,"0")</f>
        <v/>
      </c>
      <c r="T220" s="157">
        <f>_xludf.IFNA(J222/_xlfn.XLOOKUP($M222,'00_SKU_Master'!$B$2:$B$378,'00_SKU_Master'!$M$2:$M$378,0)/$M$2,"0")</f>
        <v/>
      </c>
      <c r="U220" s="157">
        <f>SUM(N222:T222)</f>
        <v/>
      </c>
      <c r="V220" s="4" t="n"/>
      <c r="W220" s="4">
        <f>_xlfn.XLOOKUP(M222,'00_SKU_Master'!$B$2:$B$378,'00_SKU_Master'!D:D)</f>
        <v/>
      </c>
      <c r="X220" s="14">
        <f>'05_Daily_Orders'!B221</f>
        <v/>
      </c>
      <c r="Y220" s="588" t="n"/>
      <c r="Z220" s="589" t="n"/>
      <c r="AA220" s="589" t="n"/>
      <c r="AB220" s="589" t="n"/>
      <c r="AC220" s="589" t="n">
        <v>0</v>
      </c>
      <c r="AD220" s="589" t="n">
        <v>0</v>
      </c>
      <c r="AE220" s="589" t="n">
        <v>0</v>
      </c>
      <c r="AF220" s="587">
        <f>SUM(Y222:AE222)</f>
        <v/>
      </c>
      <c r="AQ220" s="23" t="n">
        <v>63</v>
      </c>
      <c r="AR220" s="23" t="n">
        <v>0</v>
      </c>
      <c r="AS220" s="23">
        <f>AR222-AQ222</f>
        <v/>
      </c>
    </row>
    <row r="221">
      <c r="A221" s="148">
        <f>_xlfn.XLOOKUP(C223,'00_SKU_Master'!$B$2:$B$378,'00_SKU_Master'!$C$2:$C$378)</f>
        <v/>
      </c>
      <c r="B221" s="148" t="n"/>
      <c r="C221" s="148">
        <f>X223</f>
        <v/>
      </c>
      <c r="D221" s="586">
        <f>_xludf.IFNA(_xlfn.XLOOKUP(C223,'00_SKU_Master'!$B$2:$B$378,'00_SKU_Master'!$F$2:$F$378,0)*Y223,"")</f>
        <v/>
      </c>
      <c r="E221" s="586">
        <f>_xludf.IFNA(_xlfn.XLOOKUP(C223,'00_SKU_Master'!$B$2:$B$378,'00_SKU_Master'!$F$2:$F$378,0)*Z223,"")</f>
        <v/>
      </c>
      <c r="F221" s="586">
        <f>_xludf.IFNA(_xlfn.XLOOKUP(C223,'00_SKU_Master'!$B$2:$B$378,'00_SKU_Master'!$F$2:$F$378,0)*AA223,"")</f>
        <v/>
      </c>
      <c r="G221" s="586">
        <f>_xludf.IFNA(_xlfn.XLOOKUP(C223,'00_SKU_Master'!$B$2:$B$378,'00_SKU_Master'!$F$2:$F$378,0)*AB223,"")</f>
        <v/>
      </c>
      <c r="H221" s="586">
        <f>_xludf.IFNA(_xlfn.XLOOKUP(C223,'00_SKU_Master'!$B$2:$B$378,'00_SKU_Master'!$F$2:$F$378,0)*AC223,"")</f>
        <v/>
      </c>
      <c r="I221" s="586">
        <f>_xludf.IFNA(_xlfn.XLOOKUP(C223,'00_SKU_Master'!$B$2:$B$378,'00_SKU_Master'!$F$2:$F$378,0)*AD223,"")</f>
        <v/>
      </c>
      <c r="J221" s="586">
        <f>_xludf.IFNA(_xlfn.XLOOKUP(C223,'00_SKU_Master'!$B$2:$B$378,'00_SKU_Master'!$F$2:$F$378,0)*AE223,"")</f>
        <v/>
      </c>
      <c r="K221" s="587">
        <f>SUM(D223:J223)</f>
        <v/>
      </c>
      <c r="L221" s="197">
        <f>_xlfn.XLOOKUP(C223,'00_SKU_Master'!$B$2:$B$378,'00_SKU_Master'!K:K)</f>
        <v/>
      </c>
      <c r="M221" s="14">
        <f>X223</f>
        <v/>
      </c>
      <c r="N221" s="157">
        <f>_xludf.IFNA(D223/_xlfn.XLOOKUP($M223,'00_SKU_Master'!$B$2:$B$378,'00_SKU_Master'!$M$2:$M$378,0)/$M$2,"0")</f>
        <v/>
      </c>
      <c r="O221" s="157">
        <f>_xludf.IFNA(E223/_xlfn.XLOOKUP($M223,'00_SKU_Master'!$B$2:$B$378,'00_SKU_Master'!$M$2:$M$378,0)/$M$2,"0")</f>
        <v/>
      </c>
      <c r="P221" s="157">
        <f>_xludf.IFNA(F223/_xlfn.XLOOKUP($M223,'00_SKU_Master'!$B$2:$B$378,'00_SKU_Master'!$M$2:$M$378,0)/$M$2,"0")</f>
        <v/>
      </c>
      <c r="Q221" s="157">
        <f>_xludf.IFNA(G223/_xlfn.XLOOKUP($M223,'00_SKU_Master'!$B$2:$B$378,'00_SKU_Master'!$M$2:$M$378,0)/$M$2,"0")</f>
        <v/>
      </c>
      <c r="R221" s="157">
        <f>_xludf.IFNA(H223/_xlfn.XLOOKUP($M223,'00_SKU_Master'!$B$2:$B$378,'00_SKU_Master'!$M$2:$M$378,0)/$M$2,"0")</f>
        <v/>
      </c>
      <c r="S221" s="157">
        <f>_xludf.IFNA(I223/_xlfn.XLOOKUP($M223,'00_SKU_Master'!$B$2:$B$378,'00_SKU_Master'!$M$2:$M$378,0)/$M$2,"0")</f>
        <v/>
      </c>
      <c r="T221" s="157">
        <f>_xludf.IFNA(J223/_xlfn.XLOOKUP($M223,'00_SKU_Master'!$B$2:$B$378,'00_SKU_Master'!$M$2:$M$378,0)/$M$2,"0")</f>
        <v/>
      </c>
      <c r="U221" s="157">
        <f>SUM(N223:T223)</f>
        <v/>
      </c>
      <c r="V221" s="4" t="n"/>
      <c r="W221" s="4">
        <f>_xlfn.XLOOKUP(M223,'00_SKU_Master'!$B$2:$B$378,'00_SKU_Master'!D:D)</f>
        <v/>
      </c>
      <c r="X221" s="14">
        <f>'05_Daily_Orders'!B222</f>
        <v/>
      </c>
      <c r="Y221" s="588" t="n"/>
      <c r="Z221" s="589" t="n"/>
      <c r="AA221" s="589" t="n"/>
      <c r="AB221" s="589" t="n"/>
      <c r="AC221" s="589" t="n">
        <v>0</v>
      </c>
      <c r="AD221" s="589" t="n">
        <v>0</v>
      </c>
      <c r="AE221" s="589" t="n">
        <v>0</v>
      </c>
      <c r="AF221" s="587">
        <f>SUM(Y223:AE223)</f>
        <v/>
      </c>
      <c r="AQ221" s="23" t="n">
        <v>0</v>
      </c>
      <c r="AR221" s="23" t="n">
        <v>37</v>
      </c>
      <c r="AS221" s="23">
        <f>AR223-AQ223</f>
        <v/>
      </c>
    </row>
    <row r="222">
      <c r="A222" s="148">
        <f>_xlfn.XLOOKUP(C224,'00_SKU_Master'!$B$2:$B$378,'00_SKU_Master'!$C$2:$C$378)</f>
        <v/>
      </c>
      <c r="B222" s="148" t="n"/>
      <c r="C222" s="148">
        <f>X224</f>
        <v/>
      </c>
      <c r="D222" s="586">
        <f>_xludf.IFNA(_xlfn.XLOOKUP(C224,'00_SKU_Master'!$B$2:$B$378,'00_SKU_Master'!$F$2:$F$378,0)*Y224,"")</f>
        <v/>
      </c>
      <c r="E222" s="586">
        <f>_xludf.IFNA(_xlfn.XLOOKUP(C224,'00_SKU_Master'!$B$2:$B$378,'00_SKU_Master'!$F$2:$F$378,0)*Z224,"")</f>
        <v/>
      </c>
      <c r="F222" s="586">
        <f>_xludf.IFNA(_xlfn.XLOOKUP(C224,'00_SKU_Master'!$B$2:$B$378,'00_SKU_Master'!$F$2:$F$378,0)*AA224,"")</f>
        <v/>
      </c>
      <c r="G222" s="586">
        <f>_xludf.IFNA(_xlfn.XLOOKUP(C224,'00_SKU_Master'!$B$2:$B$378,'00_SKU_Master'!$F$2:$F$378,0)*AB224,"")</f>
        <v/>
      </c>
      <c r="H222" s="586">
        <f>_xludf.IFNA(_xlfn.XLOOKUP(C224,'00_SKU_Master'!$B$2:$B$378,'00_SKU_Master'!$F$2:$F$378,0)*AC224,"")</f>
        <v/>
      </c>
      <c r="I222" s="586">
        <f>_xludf.IFNA(_xlfn.XLOOKUP(C224,'00_SKU_Master'!$B$2:$B$378,'00_SKU_Master'!$F$2:$F$378,0)*AD224,"")</f>
        <v/>
      </c>
      <c r="J222" s="586">
        <f>_xludf.IFNA(_xlfn.XLOOKUP(C224,'00_SKU_Master'!$B$2:$B$378,'00_SKU_Master'!$F$2:$F$378,0)*AE224,"")</f>
        <v/>
      </c>
      <c r="K222" s="587">
        <f>SUM(D224:J224)</f>
        <v/>
      </c>
      <c r="L222" s="197">
        <f>_xlfn.XLOOKUP(C224,'00_SKU_Master'!$B$2:$B$378,'00_SKU_Master'!K:K)</f>
        <v/>
      </c>
      <c r="M222" s="14">
        <f>X224</f>
        <v/>
      </c>
      <c r="N222" s="157">
        <f>_xludf.IFNA(D224/_xlfn.XLOOKUP($M224,'00_SKU_Master'!$B$2:$B$378,'00_SKU_Master'!$M$2:$M$378,0)/$M$2,"0")</f>
        <v/>
      </c>
      <c r="O222" s="157">
        <f>_xludf.IFNA(E224/_xlfn.XLOOKUP($M224,'00_SKU_Master'!$B$2:$B$378,'00_SKU_Master'!$M$2:$M$378,0)/$M$2,"0")</f>
        <v/>
      </c>
      <c r="P222" s="157">
        <f>_xludf.IFNA(F224/_xlfn.XLOOKUP($M224,'00_SKU_Master'!$B$2:$B$378,'00_SKU_Master'!$M$2:$M$378,0)/$M$2,"0")</f>
        <v/>
      </c>
      <c r="Q222" s="157">
        <f>_xludf.IFNA(G224/_xlfn.XLOOKUP($M224,'00_SKU_Master'!$B$2:$B$378,'00_SKU_Master'!$M$2:$M$378,0)/$M$2,"0")</f>
        <v/>
      </c>
      <c r="R222" s="157">
        <f>_xludf.IFNA(H224/_xlfn.XLOOKUP($M224,'00_SKU_Master'!$B$2:$B$378,'00_SKU_Master'!$M$2:$M$378,0)/$M$2,"0")</f>
        <v/>
      </c>
      <c r="S222" s="157">
        <f>_xludf.IFNA(I224/_xlfn.XLOOKUP($M224,'00_SKU_Master'!$B$2:$B$378,'00_SKU_Master'!$M$2:$M$378,0)/$M$2,"0")</f>
        <v/>
      </c>
      <c r="T222" s="157">
        <f>_xludf.IFNA(J224/_xlfn.XLOOKUP($M224,'00_SKU_Master'!$B$2:$B$378,'00_SKU_Master'!$M$2:$M$378,0)/$M$2,"0")</f>
        <v/>
      </c>
      <c r="U222" s="157">
        <f>SUM(N224:T224)</f>
        <v/>
      </c>
      <c r="V222" s="4" t="n"/>
      <c r="W222" s="4">
        <f>_xlfn.XLOOKUP(M224,'00_SKU_Master'!$B$2:$B$378,'00_SKU_Master'!D:D)</f>
        <v/>
      </c>
      <c r="X222" s="14">
        <f>'05_Daily_Orders'!B223</f>
        <v/>
      </c>
      <c r="Y222" s="588" t="n"/>
      <c r="Z222" s="589" t="n"/>
      <c r="AA222" s="589" t="n"/>
      <c r="AB222" s="589" t="n"/>
      <c r="AC222" s="589" t="n">
        <v>0</v>
      </c>
      <c r="AD222" s="589" t="n">
        <v>0</v>
      </c>
      <c r="AE222" s="589" t="n">
        <v>0</v>
      </c>
      <c r="AF222" s="587">
        <f>SUM(Y224:AE224)</f>
        <v/>
      </c>
      <c r="AQ222" s="23" t="n">
        <v>29</v>
      </c>
      <c r="AR222" s="23" t="n">
        <v>0</v>
      </c>
      <c r="AS222" s="23">
        <f>AR224-AQ224</f>
        <v/>
      </c>
    </row>
    <row r="223">
      <c r="A223" s="148">
        <f>_xlfn.XLOOKUP(C225,'00_SKU_Master'!$B$2:$B$378,'00_SKU_Master'!$C$2:$C$378)</f>
        <v/>
      </c>
      <c r="B223" s="148" t="n"/>
      <c r="C223" s="148">
        <f>X225</f>
        <v/>
      </c>
      <c r="D223" s="586">
        <f>_xludf.IFNA(_xlfn.XLOOKUP(C225,'00_SKU_Master'!$B$2:$B$378,'00_SKU_Master'!$F$2:$F$378,0)*Y225,"")</f>
        <v/>
      </c>
      <c r="E223" s="586">
        <f>_xludf.IFNA(_xlfn.XLOOKUP(C225,'00_SKU_Master'!$B$2:$B$378,'00_SKU_Master'!$F$2:$F$378,0)*Z225,"")</f>
        <v/>
      </c>
      <c r="F223" s="586">
        <f>_xludf.IFNA(_xlfn.XLOOKUP(C225,'00_SKU_Master'!$B$2:$B$378,'00_SKU_Master'!$F$2:$F$378,0)*AA225,"")</f>
        <v/>
      </c>
      <c r="G223" s="586">
        <f>_xludf.IFNA(_xlfn.XLOOKUP(C225,'00_SKU_Master'!$B$2:$B$378,'00_SKU_Master'!$F$2:$F$378,0)*AB225,"")</f>
        <v/>
      </c>
      <c r="H223" s="586">
        <f>_xludf.IFNA(_xlfn.XLOOKUP(C225,'00_SKU_Master'!$B$2:$B$378,'00_SKU_Master'!$F$2:$F$378,0)*AC225,"")</f>
        <v/>
      </c>
      <c r="I223" s="586">
        <f>_xludf.IFNA(_xlfn.XLOOKUP(C225,'00_SKU_Master'!$B$2:$B$378,'00_SKU_Master'!$F$2:$F$378,0)*AD225,"")</f>
        <v/>
      </c>
      <c r="J223" s="586">
        <f>_xludf.IFNA(_xlfn.XLOOKUP(C225,'00_SKU_Master'!$B$2:$B$378,'00_SKU_Master'!$F$2:$F$378,0)*AE225,"")</f>
        <v/>
      </c>
      <c r="K223" s="587">
        <f>SUM(D225:J225)</f>
        <v/>
      </c>
      <c r="L223" s="197">
        <f>_xlfn.XLOOKUP(C225,'00_SKU_Master'!$B$2:$B$378,'00_SKU_Master'!K:K)</f>
        <v/>
      </c>
      <c r="M223" s="14">
        <f>X225</f>
        <v/>
      </c>
      <c r="N223" s="157">
        <f>_xludf.IFNA(D225/_xlfn.XLOOKUP($M225,'00_SKU_Master'!$B$2:$B$378,'00_SKU_Master'!$M$2:$M$378,0)/$M$2,"0")</f>
        <v/>
      </c>
      <c r="O223" s="157">
        <f>_xludf.IFNA(E225/_xlfn.XLOOKUP($M225,'00_SKU_Master'!$B$2:$B$378,'00_SKU_Master'!$M$2:$M$378,0)/$M$2,"0")</f>
        <v/>
      </c>
      <c r="P223" s="157">
        <f>_xludf.IFNA(F225/_xlfn.XLOOKUP($M225,'00_SKU_Master'!$B$2:$B$378,'00_SKU_Master'!$M$2:$M$378,0)/$M$2,"0")</f>
        <v/>
      </c>
      <c r="Q223" s="157">
        <f>_xludf.IFNA(G225/_xlfn.XLOOKUP($M225,'00_SKU_Master'!$B$2:$B$378,'00_SKU_Master'!$M$2:$M$378,0)/$M$2,"0")</f>
        <v/>
      </c>
      <c r="R223" s="157">
        <f>_xludf.IFNA(H225/_xlfn.XLOOKUP($M225,'00_SKU_Master'!$B$2:$B$378,'00_SKU_Master'!$M$2:$M$378,0)/$M$2,"0")</f>
        <v/>
      </c>
      <c r="S223" s="157">
        <f>_xludf.IFNA(I225/_xlfn.XLOOKUP($M225,'00_SKU_Master'!$B$2:$B$378,'00_SKU_Master'!$M$2:$M$378,0)/$M$2,"0")</f>
        <v/>
      </c>
      <c r="T223" s="157">
        <f>_xludf.IFNA(J225/_xlfn.XLOOKUP($M225,'00_SKU_Master'!$B$2:$B$378,'00_SKU_Master'!$M$2:$M$378,0)/$M$2,"0")</f>
        <v/>
      </c>
      <c r="U223" s="157">
        <f>SUM(N225:T225)</f>
        <v/>
      </c>
      <c r="V223" s="4" t="n"/>
      <c r="W223" s="4">
        <f>_xlfn.XLOOKUP(M225,'00_SKU_Master'!$B$2:$B$378,'00_SKU_Master'!D:D)</f>
        <v/>
      </c>
      <c r="X223" s="14">
        <f>'05_Daily_Orders'!B224</f>
        <v/>
      </c>
      <c r="Y223" s="588" t="n"/>
      <c r="Z223" s="589" t="n"/>
      <c r="AA223" s="589" t="n"/>
      <c r="AB223" s="589" t="n"/>
      <c r="AC223" s="589" t="n">
        <v>10</v>
      </c>
      <c r="AD223" s="589" t="n">
        <v>0</v>
      </c>
      <c r="AE223" s="589" t="n">
        <v>125</v>
      </c>
      <c r="AF223" s="587">
        <f>SUM(Y225:AE225)</f>
        <v/>
      </c>
      <c r="AQ223" s="23" t="n">
        <v>41</v>
      </c>
      <c r="AR223" s="23" t="n">
        <v>0</v>
      </c>
      <c r="AS223" s="23">
        <f>AR225-AQ225</f>
        <v/>
      </c>
    </row>
    <row r="224">
      <c r="A224" s="148">
        <f>_xlfn.XLOOKUP(C226,'00_SKU_Master'!$B$2:$B$378,'00_SKU_Master'!$C$2:$C$378)</f>
        <v/>
      </c>
      <c r="B224" s="148" t="n"/>
      <c r="C224" s="148">
        <f>X226</f>
        <v/>
      </c>
      <c r="D224" s="586">
        <f>_xludf.IFNA(_xlfn.XLOOKUP(C226,'00_SKU_Master'!$B$2:$B$378,'00_SKU_Master'!$F$2:$F$378,0)*Y226,"")</f>
        <v/>
      </c>
      <c r="E224" s="586">
        <f>_xludf.IFNA(_xlfn.XLOOKUP(C226,'00_SKU_Master'!$B$2:$B$378,'00_SKU_Master'!$F$2:$F$378,0)*Z226,"")</f>
        <v/>
      </c>
      <c r="F224" s="586">
        <f>_xludf.IFNA(_xlfn.XLOOKUP(C226,'00_SKU_Master'!$B$2:$B$378,'00_SKU_Master'!$F$2:$F$378,0)*AA226,"")</f>
        <v/>
      </c>
      <c r="G224" s="586">
        <f>_xludf.IFNA(_xlfn.XLOOKUP(C226,'00_SKU_Master'!$B$2:$B$378,'00_SKU_Master'!$F$2:$F$378,0)*AB226,"")</f>
        <v/>
      </c>
      <c r="H224" s="586">
        <f>_xludf.IFNA(_xlfn.XLOOKUP(C226,'00_SKU_Master'!$B$2:$B$378,'00_SKU_Master'!$F$2:$F$378,0)*AC226,"")</f>
        <v/>
      </c>
      <c r="I224" s="586">
        <f>_xludf.IFNA(_xlfn.XLOOKUP(C226,'00_SKU_Master'!$B$2:$B$378,'00_SKU_Master'!$F$2:$F$378,0)*AD226,"")</f>
        <v/>
      </c>
      <c r="J224" s="586">
        <f>_xludf.IFNA(_xlfn.XLOOKUP(C226,'00_SKU_Master'!$B$2:$B$378,'00_SKU_Master'!$F$2:$F$378,0)*AE226,"")</f>
        <v/>
      </c>
      <c r="K224" s="587">
        <f>SUM(D226:J226)</f>
        <v/>
      </c>
      <c r="L224" s="197">
        <f>_xlfn.XLOOKUP(C226,'00_SKU_Master'!$B$2:$B$378,'00_SKU_Master'!K:K)</f>
        <v/>
      </c>
      <c r="M224" s="14">
        <f>X226</f>
        <v/>
      </c>
      <c r="N224" s="157">
        <f>_xludf.IFNA(D226/_xlfn.XLOOKUP($M226,'00_SKU_Master'!$B$2:$B$378,'00_SKU_Master'!$M$2:$M$378,0)/$M$2,"0")</f>
        <v/>
      </c>
      <c r="O224" s="157">
        <f>_xludf.IFNA(E226/_xlfn.XLOOKUP($M226,'00_SKU_Master'!$B$2:$B$378,'00_SKU_Master'!$M$2:$M$378,0)/$M$2,"0")</f>
        <v/>
      </c>
      <c r="P224" s="157">
        <f>_xludf.IFNA(F226/_xlfn.XLOOKUP($M226,'00_SKU_Master'!$B$2:$B$378,'00_SKU_Master'!$M$2:$M$378,0)/$M$2,"0")</f>
        <v/>
      </c>
      <c r="Q224" s="157">
        <f>_xludf.IFNA(G226/_xlfn.XLOOKUP($M226,'00_SKU_Master'!$B$2:$B$378,'00_SKU_Master'!$M$2:$M$378,0)/$M$2,"0")</f>
        <v/>
      </c>
      <c r="R224" s="157">
        <f>_xludf.IFNA(H226/_xlfn.XLOOKUP($M226,'00_SKU_Master'!$B$2:$B$378,'00_SKU_Master'!$M$2:$M$378,0)/$M$2,"0")</f>
        <v/>
      </c>
      <c r="S224" s="157">
        <f>_xludf.IFNA(I226/_xlfn.XLOOKUP($M226,'00_SKU_Master'!$B$2:$B$378,'00_SKU_Master'!$M$2:$M$378,0)/$M$2,"0")</f>
        <v/>
      </c>
      <c r="T224" s="157">
        <f>_xludf.IFNA(J226/_xlfn.XLOOKUP($M226,'00_SKU_Master'!$B$2:$B$378,'00_SKU_Master'!$M$2:$M$378,0)/$M$2,"0")</f>
        <v/>
      </c>
      <c r="U224" s="157">
        <f>SUM(N226:T226)</f>
        <v/>
      </c>
      <c r="V224" s="4" t="n"/>
      <c r="W224" s="4">
        <f>_xlfn.XLOOKUP(M226,'00_SKU_Master'!$B$2:$B$378,'00_SKU_Master'!D:D)</f>
        <v/>
      </c>
      <c r="X224" s="14">
        <f>'05_Daily_Orders'!B225</f>
        <v/>
      </c>
      <c r="Y224" s="588" t="n"/>
      <c r="Z224" s="589" t="n"/>
      <c r="AA224" s="589" t="n"/>
      <c r="AB224" s="589" t="n"/>
      <c r="AC224" s="589" t="n">
        <v>41</v>
      </c>
      <c r="AD224" s="589" t="n">
        <v>0</v>
      </c>
      <c r="AE224" s="589" t="n">
        <v>75</v>
      </c>
      <c r="AF224" s="587">
        <f>SUM(Y226:AE226)</f>
        <v/>
      </c>
      <c r="AQ224" s="23" t="n">
        <v>28</v>
      </c>
      <c r="AR224" s="23" t="n">
        <v>0</v>
      </c>
      <c r="AS224" s="23">
        <f>AR226-AQ226</f>
        <v/>
      </c>
    </row>
    <row r="225">
      <c r="A225" s="148">
        <f>_xlfn.XLOOKUP(C227,'00_SKU_Master'!$B$2:$B$378,'00_SKU_Master'!$C$2:$C$378)</f>
        <v/>
      </c>
      <c r="B225" s="148" t="n"/>
      <c r="C225" s="148">
        <f>X227</f>
        <v/>
      </c>
      <c r="D225" s="586">
        <f>_xludf.IFNA(_xlfn.XLOOKUP(C227,'00_SKU_Master'!$B$2:$B$378,'00_SKU_Master'!$F$2:$F$378,0)*Y227,"")</f>
        <v/>
      </c>
      <c r="E225" s="586">
        <f>_xludf.IFNA(_xlfn.XLOOKUP(C227,'00_SKU_Master'!$B$2:$B$378,'00_SKU_Master'!$F$2:$F$378,0)*Z227,"")</f>
        <v/>
      </c>
      <c r="F225" s="586">
        <f>_xludf.IFNA(_xlfn.XLOOKUP(C227,'00_SKU_Master'!$B$2:$B$378,'00_SKU_Master'!$F$2:$F$378,0)*AA227,"")</f>
        <v/>
      </c>
      <c r="G225" s="586">
        <f>_xludf.IFNA(_xlfn.XLOOKUP(C227,'00_SKU_Master'!$B$2:$B$378,'00_SKU_Master'!$F$2:$F$378,0)*AB227,"")</f>
        <v/>
      </c>
      <c r="H225" s="586">
        <f>_xludf.IFNA(_xlfn.XLOOKUP(C227,'00_SKU_Master'!$B$2:$B$378,'00_SKU_Master'!$F$2:$F$378,0)*AC227,"")</f>
        <v/>
      </c>
      <c r="I225" s="586">
        <f>_xludf.IFNA(_xlfn.XLOOKUP(C227,'00_SKU_Master'!$B$2:$B$378,'00_SKU_Master'!$F$2:$F$378,0)*AD227,"")</f>
        <v/>
      </c>
      <c r="J225" s="586">
        <f>_xludf.IFNA(_xlfn.XLOOKUP(C227,'00_SKU_Master'!$B$2:$B$378,'00_SKU_Master'!$F$2:$F$378,0)*AE227,"")</f>
        <v/>
      </c>
      <c r="K225" s="587">
        <f>SUM(D227:J227)</f>
        <v/>
      </c>
      <c r="L225" s="197">
        <f>_xlfn.XLOOKUP(C227,'00_SKU_Master'!$B$2:$B$378,'00_SKU_Master'!K:K)</f>
        <v/>
      </c>
      <c r="M225" s="14">
        <f>X227</f>
        <v/>
      </c>
      <c r="N225" s="157">
        <f>_xludf.IFNA(D227/_xlfn.XLOOKUP($M227,'00_SKU_Master'!$B$2:$B$378,'00_SKU_Master'!$M$2:$M$378,0)/$M$2,"0")</f>
        <v/>
      </c>
      <c r="O225" s="157">
        <f>_xludf.IFNA(E227/_xlfn.XLOOKUP($M227,'00_SKU_Master'!$B$2:$B$378,'00_SKU_Master'!$M$2:$M$378,0)/$M$2,"0")</f>
        <v/>
      </c>
      <c r="P225" s="157">
        <f>_xludf.IFNA(F227/_xlfn.XLOOKUP($M227,'00_SKU_Master'!$B$2:$B$378,'00_SKU_Master'!$M$2:$M$378,0)/$M$2,"0")</f>
        <v/>
      </c>
      <c r="Q225" s="157">
        <f>_xludf.IFNA(G227/_xlfn.XLOOKUP($M227,'00_SKU_Master'!$B$2:$B$378,'00_SKU_Master'!$M$2:$M$378,0)/$M$2,"0")</f>
        <v/>
      </c>
      <c r="R225" s="157">
        <f>_xludf.IFNA(H227/_xlfn.XLOOKUP($M227,'00_SKU_Master'!$B$2:$B$378,'00_SKU_Master'!$M$2:$M$378,0)/$M$2,"0")</f>
        <v/>
      </c>
      <c r="S225" s="157">
        <f>_xludf.IFNA(I227/_xlfn.XLOOKUP($M227,'00_SKU_Master'!$B$2:$B$378,'00_SKU_Master'!$M$2:$M$378,0)/$M$2,"0")</f>
        <v/>
      </c>
      <c r="T225" s="157">
        <f>_xludf.IFNA(J227/_xlfn.XLOOKUP($M227,'00_SKU_Master'!$B$2:$B$378,'00_SKU_Master'!$M$2:$M$378,0)/$M$2,"0")</f>
        <v/>
      </c>
      <c r="U225" s="157">
        <f>SUM(N227:T227)</f>
        <v/>
      </c>
      <c r="V225" s="4" t="n"/>
      <c r="W225" s="4">
        <f>_xlfn.XLOOKUP(M227,'00_SKU_Master'!$B$2:$B$378,'00_SKU_Master'!D:D)</f>
        <v/>
      </c>
      <c r="X225" s="14">
        <f>'05_Daily_Orders'!B226</f>
        <v/>
      </c>
      <c r="Y225" s="588" t="n"/>
      <c r="Z225" s="589" t="n"/>
      <c r="AA225" s="589" t="n"/>
      <c r="AB225" s="589" t="n"/>
      <c r="AC225" s="589" t="n">
        <v>250</v>
      </c>
      <c r="AD225" s="589" t="n">
        <v>0</v>
      </c>
      <c r="AE225" s="589" t="n">
        <v>138</v>
      </c>
      <c r="AF225" s="587">
        <f>SUM(Y227:AE227)</f>
        <v/>
      </c>
      <c r="AQ225" s="23" t="n">
        <v>0</v>
      </c>
      <c r="AR225" s="23" t="n">
        <v>0</v>
      </c>
      <c r="AS225" s="23">
        <f>AR227-AQ227</f>
        <v/>
      </c>
    </row>
    <row r="226">
      <c r="A226" s="148">
        <f>_xlfn.XLOOKUP(C228,'00_SKU_Master'!$B$2:$B$378,'00_SKU_Master'!$C$2:$C$378)</f>
        <v/>
      </c>
      <c r="B226" s="148" t="n"/>
      <c r="C226" s="148">
        <f>X228</f>
        <v/>
      </c>
      <c r="D226" s="586">
        <f>_xludf.IFNA(_xlfn.XLOOKUP(C228,'00_SKU_Master'!$B$2:$B$378,'00_SKU_Master'!$F$2:$F$378,0)*Y228,"")</f>
        <v/>
      </c>
      <c r="E226" s="586">
        <f>_xludf.IFNA(_xlfn.XLOOKUP(C228,'00_SKU_Master'!$B$2:$B$378,'00_SKU_Master'!$F$2:$F$378,0)*Z228,"")</f>
        <v/>
      </c>
      <c r="F226" s="586">
        <f>_xludf.IFNA(_xlfn.XLOOKUP(C228,'00_SKU_Master'!$B$2:$B$378,'00_SKU_Master'!$F$2:$F$378,0)*AA228,"")</f>
        <v/>
      </c>
      <c r="G226" s="586">
        <f>_xludf.IFNA(_xlfn.XLOOKUP(C228,'00_SKU_Master'!$B$2:$B$378,'00_SKU_Master'!$F$2:$F$378,0)*AB228,"")</f>
        <v/>
      </c>
      <c r="H226" s="586">
        <f>_xludf.IFNA(_xlfn.XLOOKUP(C228,'00_SKU_Master'!$B$2:$B$378,'00_SKU_Master'!$F$2:$F$378,0)*AC228,"")</f>
        <v/>
      </c>
      <c r="I226" s="586">
        <f>_xludf.IFNA(_xlfn.XLOOKUP(C228,'00_SKU_Master'!$B$2:$B$378,'00_SKU_Master'!$F$2:$F$378,0)*AD228,"")</f>
        <v/>
      </c>
      <c r="J226" s="586">
        <f>_xludf.IFNA(_xlfn.XLOOKUP(C228,'00_SKU_Master'!$B$2:$B$378,'00_SKU_Master'!$F$2:$F$378,0)*AE228,"")</f>
        <v/>
      </c>
      <c r="K226" s="587">
        <f>SUM(D228:J228)</f>
        <v/>
      </c>
      <c r="L226" s="197">
        <f>_xlfn.XLOOKUP(C228,'00_SKU_Master'!$B$2:$B$378,'00_SKU_Master'!K:K)</f>
        <v/>
      </c>
      <c r="M226" s="14">
        <f>X228</f>
        <v/>
      </c>
      <c r="N226" s="157">
        <f>_xludf.IFNA(D228/_xlfn.XLOOKUP($M228,'00_SKU_Master'!$B$2:$B$378,'00_SKU_Master'!$M$2:$M$378,0)/$M$2,"0")</f>
        <v/>
      </c>
      <c r="O226" s="157">
        <f>_xludf.IFNA(E228/_xlfn.XLOOKUP($M228,'00_SKU_Master'!$B$2:$B$378,'00_SKU_Master'!$M$2:$M$378,0)/$M$2,"0")</f>
        <v/>
      </c>
      <c r="P226" s="157">
        <f>_xludf.IFNA(F228/_xlfn.XLOOKUP($M228,'00_SKU_Master'!$B$2:$B$378,'00_SKU_Master'!$M$2:$M$378,0)/$M$2,"0")</f>
        <v/>
      </c>
      <c r="Q226" s="157">
        <f>_xludf.IFNA(G228/_xlfn.XLOOKUP($M228,'00_SKU_Master'!$B$2:$B$378,'00_SKU_Master'!$M$2:$M$378,0)/$M$2,"0")</f>
        <v/>
      </c>
      <c r="R226" s="157">
        <f>_xludf.IFNA(H228/_xlfn.XLOOKUP($M228,'00_SKU_Master'!$B$2:$B$378,'00_SKU_Master'!$M$2:$M$378,0)/$M$2,"0")</f>
        <v/>
      </c>
      <c r="S226" s="157">
        <f>_xludf.IFNA(I228/_xlfn.XLOOKUP($M228,'00_SKU_Master'!$B$2:$B$378,'00_SKU_Master'!$M$2:$M$378,0)/$M$2,"0")</f>
        <v/>
      </c>
      <c r="T226" s="157">
        <f>_xludf.IFNA(J228/_xlfn.XLOOKUP($M228,'00_SKU_Master'!$B$2:$B$378,'00_SKU_Master'!$M$2:$M$378,0)/$M$2,"0")</f>
        <v/>
      </c>
      <c r="U226" s="157">
        <f>SUM(N228:T228)</f>
        <v/>
      </c>
      <c r="V226" s="4" t="n"/>
      <c r="W226" s="4">
        <f>_xlfn.XLOOKUP(M228,'00_SKU_Master'!$B$2:$B$378,'00_SKU_Master'!D:D)</f>
        <v/>
      </c>
      <c r="X226" s="14">
        <f>'05_Daily_Orders'!B227</f>
        <v/>
      </c>
      <c r="Y226" s="588" t="n"/>
      <c r="Z226" s="589" t="n"/>
      <c r="AA226" s="589" t="n"/>
      <c r="AB226" s="589" t="n"/>
      <c r="AC226" s="589" t="n">
        <v>2</v>
      </c>
      <c r="AD226" s="589" t="n">
        <v>0</v>
      </c>
      <c r="AE226" s="589" t="n">
        <v>36</v>
      </c>
      <c r="AF226" s="587">
        <f>SUM(Y228:AE228)</f>
        <v/>
      </c>
      <c r="AQ226" s="23" t="n">
        <v>1</v>
      </c>
      <c r="AR226" s="23" t="n">
        <v>0</v>
      </c>
      <c r="AS226" s="23">
        <f>AR228-AQ228</f>
        <v/>
      </c>
    </row>
    <row r="227">
      <c r="A227" s="148">
        <f>_xlfn.XLOOKUP(C229,'00_SKU_Master'!$B$2:$B$378,'00_SKU_Master'!$C$2:$C$378)</f>
        <v/>
      </c>
      <c r="B227" s="148" t="n"/>
      <c r="C227" s="148">
        <f>X229</f>
        <v/>
      </c>
      <c r="D227" s="586">
        <f>_xludf.IFNA(_xlfn.XLOOKUP(C229,'00_SKU_Master'!$B$2:$B$378,'00_SKU_Master'!$F$2:$F$378,0)*Y229,"")</f>
        <v/>
      </c>
      <c r="E227" s="586">
        <f>_xludf.IFNA(_xlfn.XLOOKUP(C229,'00_SKU_Master'!$B$2:$B$378,'00_SKU_Master'!$F$2:$F$378,0)*Z229,"")</f>
        <v/>
      </c>
      <c r="F227" s="586">
        <f>_xludf.IFNA(_xlfn.XLOOKUP(C229,'00_SKU_Master'!$B$2:$B$378,'00_SKU_Master'!$F$2:$F$378,0)*AA229,"")</f>
        <v/>
      </c>
      <c r="G227" s="586">
        <f>_xludf.IFNA(_xlfn.XLOOKUP(C229,'00_SKU_Master'!$B$2:$B$378,'00_SKU_Master'!$F$2:$F$378,0)*AB229,"")</f>
        <v/>
      </c>
      <c r="H227" s="586">
        <f>_xludf.IFNA(_xlfn.XLOOKUP(C229,'00_SKU_Master'!$B$2:$B$378,'00_SKU_Master'!$F$2:$F$378,0)*AC229,"")</f>
        <v/>
      </c>
      <c r="I227" s="586">
        <f>_xludf.IFNA(_xlfn.XLOOKUP(C229,'00_SKU_Master'!$B$2:$B$378,'00_SKU_Master'!$F$2:$F$378,0)*AD229,"")</f>
        <v/>
      </c>
      <c r="J227" s="586">
        <f>_xludf.IFNA(_xlfn.XLOOKUP(C229,'00_SKU_Master'!$B$2:$B$378,'00_SKU_Master'!$F$2:$F$378,0)*AE229,"")</f>
        <v/>
      </c>
      <c r="K227" s="587">
        <f>SUM(D229:J229)</f>
        <v/>
      </c>
      <c r="L227" s="197">
        <f>_xlfn.XLOOKUP(C229,'00_SKU_Master'!$B$2:$B$378,'00_SKU_Master'!K:K)</f>
        <v/>
      </c>
      <c r="M227" s="14">
        <f>X229</f>
        <v/>
      </c>
      <c r="N227" s="157">
        <f>_xludf.IFNA(D229/_xlfn.XLOOKUP($M229,'00_SKU_Master'!$B$2:$B$378,'00_SKU_Master'!$M$2:$M$378,0)/$M$2,"0")</f>
        <v/>
      </c>
      <c r="O227" s="157">
        <f>_xludf.IFNA(E229/_xlfn.XLOOKUP($M229,'00_SKU_Master'!$B$2:$B$378,'00_SKU_Master'!$M$2:$M$378,0)/$M$2,"0")</f>
        <v/>
      </c>
      <c r="P227" s="157">
        <f>_xludf.IFNA(F229/_xlfn.XLOOKUP($M229,'00_SKU_Master'!$B$2:$B$378,'00_SKU_Master'!$M$2:$M$378,0)/$M$2,"0")</f>
        <v/>
      </c>
      <c r="Q227" s="157">
        <f>_xludf.IFNA(G229/_xlfn.XLOOKUP($M229,'00_SKU_Master'!$B$2:$B$378,'00_SKU_Master'!$M$2:$M$378,0)/$M$2,"0")</f>
        <v/>
      </c>
      <c r="R227" s="157">
        <f>_xludf.IFNA(H229/_xlfn.XLOOKUP($M229,'00_SKU_Master'!$B$2:$B$378,'00_SKU_Master'!$M$2:$M$378,0)/$M$2,"0")</f>
        <v/>
      </c>
      <c r="S227" s="157">
        <f>_xludf.IFNA(I229/_xlfn.XLOOKUP($M229,'00_SKU_Master'!$B$2:$B$378,'00_SKU_Master'!$M$2:$M$378,0)/$M$2,"0")</f>
        <v/>
      </c>
      <c r="T227" s="157">
        <f>_xludf.IFNA(J229/_xlfn.XLOOKUP($M229,'00_SKU_Master'!$B$2:$B$378,'00_SKU_Master'!$M$2:$M$378,0)/$M$2,"0")</f>
        <v/>
      </c>
      <c r="U227" s="157">
        <f>SUM(N229:T229)</f>
        <v/>
      </c>
      <c r="V227" s="4" t="n"/>
      <c r="W227" s="4">
        <f>_xlfn.XLOOKUP(M229,'00_SKU_Master'!$B$2:$B$378,'00_SKU_Master'!D:D)</f>
        <v/>
      </c>
      <c r="X227" s="14">
        <f>'05_Daily_Orders'!B228</f>
        <v/>
      </c>
      <c r="Y227" s="588" t="n"/>
      <c r="Z227" s="589" t="n"/>
      <c r="AA227" s="589" t="n"/>
      <c r="AB227" s="589" t="n"/>
      <c r="AC227" s="589" t="n">
        <v>18</v>
      </c>
      <c r="AD227" s="589" t="n">
        <v>0</v>
      </c>
      <c r="AE227" s="589" t="n">
        <v>62</v>
      </c>
      <c r="AF227" s="587">
        <f>SUM(Y229:AE229)</f>
        <v/>
      </c>
      <c r="AQ227" s="23" t="n">
        <v>0</v>
      </c>
      <c r="AR227" s="23" t="n">
        <v>35</v>
      </c>
      <c r="AS227" s="23">
        <f>AR229-AQ229</f>
        <v/>
      </c>
    </row>
    <row r="228">
      <c r="A228" s="148">
        <f>_xlfn.XLOOKUP(C230,'00_SKU_Master'!$B$2:$B$378,'00_SKU_Master'!$C$2:$C$378)</f>
        <v/>
      </c>
      <c r="B228" s="148" t="n"/>
      <c r="C228" s="148">
        <f>X230</f>
        <v/>
      </c>
      <c r="D228" s="586">
        <f>_xludf.IFNA(_xlfn.XLOOKUP(C230,'00_SKU_Master'!$B$2:$B$378,'00_SKU_Master'!$F$2:$F$378,0)*Y230,"")</f>
        <v/>
      </c>
      <c r="E228" s="586">
        <f>_xludf.IFNA(_xlfn.XLOOKUP(C230,'00_SKU_Master'!$B$2:$B$378,'00_SKU_Master'!$F$2:$F$378,0)*Z230,"")</f>
        <v/>
      </c>
      <c r="F228" s="586">
        <f>_xludf.IFNA(_xlfn.XLOOKUP(C230,'00_SKU_Master'!$B$2:$B$378,'00_SKU_Master'!$F$2:$F$378,0)*AA230,"")</f>
        <v/>
      </c>
      <c r="G228" s="586">
        <f>_xludf.IFNA(_xlfn.XLOOKUP(C230,'00_SKU_Master'!$B$2:$B$378,'00_SKU_Master'!$F$2:$F$378,0)*AB230,"")</f>
        <v/>
      </c>
      <c r="H228" s="586">
        <f>_xludf.IFNA(_xlfn.XLOOKUP(C230,'00_SKU_Master'!$B$2:$B$378,'00_SKU_Master'!$F$2:$F$378,0)*AC230,"")</f>
        <v/>
      </c>
      <c r="I228" s="586">
        <f>_xludf.IFNA(_xlfn.XLOOKUP(C230,'00_SKU_Master'!$B$2:$B$378,'00_SKU_Master'!$F$2:$F$378,0)*AD230,"")</f>
        <v/>
      </c>
      <c r="J228" s="586">
        <f>_xludf.IFNA(_xlfn.XLOOKUP(C230,'00_SKU_Master'!$B$2:$B$378,'00_SKU_Master'!$F$2:$F$378,0)*AE230,"")</f>
        <v/>
      </c>
      <c r="K228" s="587">
        <f>SUM(D230:J230)</f>
        <v/>
      </c>
      <c r="L228" s="197">
        <f>_xlfn.XLOOKUP(C230,'00_SKU_Master'!$B$2:$B$378,'00_SKU_Master'!K:K)</f>
        <v/>
      </c>
      <c r="M228" s="14">
        <f>X230</f>
        <v/>
      </c>
      <c r="N228" s="157">
        <f>_xludf.IFNA(D230/_xlfn.XLOOKUP($M230,'00_SKU_Master'!$B$2:$B$378,'00_SKU_Master'!$M$2:$M$378,0)/$M$2,"0")</f>
        <v/>
      </c>
      <c r="O228" s="157">
        <f>_xludf.IFNA(E230/_xlfn.XLOOKUP($M230,'00_SKU_Master'!$B$2:$B$378,'00_SKU_Master'!$M$2:$M$378,0)/$M$2,"0")</f>
        <v/>
      </c>
      <c r="P228" s="157">
        <f>_xludf.IFNA(F230/_xlfn.XLOOKUP($M230,'00_SKU_Master'!$B$2:$B$378,'00_SKU_Master'!$M$2:$M$378,0)/$M$2,"0")</f>
        <v/>
      </c>
      <c r="Q228" s="157">
        <f>_xludf.IFNA(G230/_xlfn.XLOOKUP($M230,'00_SKU_Master'!$B$2:$B$378,'00_SKU_Master'!$M$2:$M$378,0)/$M$2,"0")</f>
        <v/>
      </c>
      <c r="R228" s="157">
        <f>_xludf.IFNA(H230/_xlfn.XLOOKUP($M230,'00_SKU_Master'!$B$2:$B$378,'00_SKU_Master'!$M$2:$M$378,0)/$M$2,"0")</f>
        <v/>
      </c>
      <c r="S228" s="157">
        <f>_xludf.IFNA(I230/_xlfn.XLOOKUP($M230,'00_SKU_Master'!$B$2:$B$378,'00_SKU_Master'!$M$2:$M$378,0)/$M$2,"0")</f>
        <v/>
      </c>
      <c r="T228" s="157">
        <f>_xludf.IFNA(J230/_xlfn.XLOOKUP($M230,'00_SKU_Master'!$B$2:$B$378,'00_SKU_Master'!$M$2:$M$378,0)/$M$2,"0")</f>
        <v/>
      </c>
      <c r="U228" s="157">
        <f>SUM(N230:T230)</f>
        <v/>
      </c>
      <c r="V228" s="4" t="n"/>
      <c r="W228" s="4">
        <f>_xlfn.XLOOKUP(M230,'00_SKU_Master'!$B$2:$B$378,'00_SKU_Master'!D:D)</f>
        <v/>
      </c>
      <c r="X228" s="14">
        <f>'05_Daily_Orders'!B229</f>
        <v/>
      </c>
      <c r="Y228" s="588" t="n"/>
      <c r="Z228" s="589" t="n"/>
      <c r="AA228" s="589" t="n"/>
      <c r="AB228" s="589" t="n"/>
      <c r="AC228" s="589" t="n">
        <v>5</v>
      </c>
      <c r="AD228" s="589" t="n">
        <v>0</v>
      </c>
      <c r="AE228" s="589" t="n">
        <v>28</v>
      </c>
      <c r="AF228" s="587">
        <f>SUM(Y230:AE230)</f>
        <v/>
      </c>
      <c r="AQ228" s="23" t="n">
        <v>1</v>
      </c>
      <c r="AR228" s="23" t="n">
        <v>0</v>
      </c>
      <c r="AS228" s="23">
        <f>AR230-AQ230</f>
        <v/>
      </c>
    </row>
    <row r="229">
      <c r="A229" s="148">
        <f>_xlfn.XLOOKUP(C231,'00_SKU_Master'!$B$2:$B$378,'00_SKU_Master'!$C$2:$C$378)</f>
        <v/>
      </c>
      <c r="B229" s="148" t="n"/>
      <c r="C229" s="148">
        <f>X231</f>
        <v/>
      </c>
      <c r="D229" s="586">
        <f>_xludf.IFNA(_xlfn.XLOOKUP(C231,'00_SKU_Master'!$B$2:$B$378,'00_SKU_Master'!$F$2:$F$378,0)*Y231,"")</f>
        <v/>
      </c>
      <c r="E229" s="586">
        <f>_xludf.IFNA(_xlfn.XLOOKUP(C231,'00_SKU_Master'!$B$2:$B$378,'00_SKU_Master'!$F$2:$F$378,0)*Z231,"")</f>
        <v/>
      </c>
      <c r="F229" s="586">
        <f>_xludf.IFNA(_xlfn.XLOOKUP(C231,'00_SKU_Master'!$B$2:$B$378,'00_SKU_Master'!$F$2:$F$378,0)*AA231,"")</f>
        <v/>
      </c>
      <c r="G229" s="586">
        <f>_xludf.IFNA(_xlfn.XLOOKUP(C231,'00_SKU_Master'!$B$2:$B$378,'00_SKU_Master'!$F$2:$F$378,0)*AB231,"")</f>
        <v/>
      </c>
      <c r="H229" s="586">
        <f>_xludf.IFNA(_xlfn.XLOOKUP(C231,'00_SKU_Master'!$B$2:$B$378,'00_SKU_Master'!$F$2:$F$378,0)*AC231,"")</f>
        <v/>
      </c>
      <c r="I229" s="586">
        <f>_xludf.IFNA(_xlfn.XLOOKUP(C231,'00_SKU_Master'!$B$2:$B$378,'00_SKU_Master'!$F$2:$F$378,0)*AD231,"")</f>
        <v/>
      </c>
      <c r="J229" s="586">
        <f>_xludf.IFNA(_xlfn.XLOOKUP(C231,'00_SKU_Master'!$B$2:$B$378,'00_SKU_Master'!$F$2:$F$378,0)*AE231,"")</f>
        <v/>
      </c>
      <c r="K229" s="587">
        <f>SUM(D231:J231)</f>
        <v/>
      </c>
      <c r="L229" s="197">
        <f>_xlfn.XLOOKUP(C231,'00_SKU_Master'!$B$2:$B$378,'00_SKU_Master'!K:K)</f>
        <v/>
      </c>
      <c r="M229" s="14">
        <f>X231</f>
        <v/>
      </c>
      <c r="N229" s="157">
        <f>_xludf.IFNA(D231/_xlfn.XLOOKUP($M231,'00_SKU_Master'!$B$2:$B$378,'00_SKU_Master'!$M$2:$M$378,0)/$M$2,"0")</f>
        <v/>
      </c>
      <c r="O229" s="157">
        <f>_xludf.IFNA(E231/_xlfn.XLOOKUP($M231,'00_SKU_Master'!$B$2:$B$378,'00_SKU_Master'!$M$2:$M$378,0)/$M$2,"0")</f>
        <v/>
      </c>
      <c r="P229" s="157">
        <f>_xludf.IFNA(F231/_xlfn.XLOOKUP($M231,'00_SKU_Master'!$B$2:$B$378,'00_SKU_Master'!$M$2:$M$378,0)/$M$2,"0")</f>
        <v/>
      </c>
      <c r="Q229" s="157">
        <f>_xludf.IFNA(G231/_xlfn.XLOOKUP($M231,'00_SKU_Master'!$B$2:$B$378,'00_SKU_Master'!$M$2:$M$378,0)/$M$2,"0")</f>
        <v/>
      </c>
      <c r="R229" s="157">
        <f>_xludf.IFNA(H231/_xlfn.XLOOKUP($M231,'00_SKU_Master'!$B$2:$B$378,'00_SKU_Master'!$M$2:$M$378,0)/$M$2,"0")</f>
        <v/>
      </c>
      <c r="S229" s="157">
        <f>_xludf.IFNA(I231/_xlfn.XLOOKUP($M231,'00_SKU_Master'!$B$2:$B$378,'00_SKU_Master'!$M$2:$M$378,0)/$M$2,"0")</f>
        <v/>
      </c>
      <c r="T229" s="157">
        <f>_xludf.IFNA(J231/_xlfn.XLOOKUP($M231,'00_SKU_Master'!$B$2:$B$378,'00_SKU_Master'!$M$2:$M$378,0)/$M$2,"0")</f>
        <v/>
      </c>
      <c r="U229" s="157">
        <f>SUM(N231:T231)</f>
        <v/>
      </c>
      <c r="V229" s="4" t="n"/>
      <c r="W229" s="4">
        <f>_xlfn.XLOOKUP(M231,'00_SKU_Master'!$B$2:$B$378,'00_SKU_Master'!D:D)</f>
        <v/>
      </c>
      <c r="X229" s="14">
        <f>'05_Daily_Orders'!B230</f>
        <v/>
      </c>
      <c r="Y229" s="588" t="n"/>
      <c r="Z229" s="589" t="n"/>
      <c r="AA229" s="589" t="n"/>
      <c r="AB229" s="589" t="n"/>
      <c r="AC229" s="589" t="n">
        <v>0</v>
      </c>
      <c r="AD229" s="589" t="n">
        <v>0</v>
      </c>
      <c r="AE229" s="589" t="n">
        <v>0</v>
      </c>
      <c r="AF229" s="587">
        <f>SUM(Y231:AE231)</f>
        <v/>
      </c>
      <c r="AQ229" s="23" t="n">
        <v>0</v>
      </c>
      <c r="AR229" s="23" t="n">
        <v>0</v>
      </c>
      <c r="AS229" s="23">
        <f>AR231-AQ231</f>
        <v/>
      </c>
    </row>
    <row r="230">
      <c r="A230" s="148">
        <f>_xlfn.XLOOKUP(C232,'00_SKU_Master'!$B$2:$B$378,'00_SKU_Master'!$C$2:$C$378)</f>
        <v/>
      </c>
      <c r="B230" s="148" t="n"/>
      <c r="C230" s="148">
        <f>X232</f>
        <v/>
      </c>
      <c r="D230" s="586">
        <f>_xludf.IFNA(_xlfn.XLOOKUP(C232,'00_SKU_Master'!$B$2:$B$378,'00_SKU_Master'!$F$2:$F$378,0)*Y232,"")</f>
        <v/>
      </c>
      <c r="E230" s="586">
        <f>_xludf.IFNA(_xlfn.XLOOKUP(C232,'00_SKU_Master'!$B$2:$B$378,'00_SKU_Master'!$F$2:$F$378,0)*Z232,"")</f>
        <v/>
      </c>
      <c r="F230" s="586">
        <f>_xludf.IFNA(_xlfn.XLOOKUP(C232,'00_SKU_Master'!$B$2:$B$378,'00_SKU_Master'!$F$2:$F$378,0)*AA232,"")</f>
        <v/>
      </c>
      <c r="G230" s="586">
        <f>_xludf.IFNA(_xlfn.XLOOKUP(C232,'00_SKU_Master'!$B$2:$B$378,'00_SKU_Master'!$F$2:$F$378,0)*AB232,"")</f>
        <v/>
      </c>
      <c r="H230" s="586">
        <f>_xludf.IFNA(_xlfn.XLOOKUP(C232,'00_SKU_Master'!$B$2:$B$378,'00_SKU_Master'!$F$2:$F$378,0)*AC232,"")</f>
        <v/>
      </c>
      <c r="I230" s="586">
        <f>_xludf.IFNA(_xlfn.XLOOKUP(C232,'00_SKU_Master'!$B$2:$B$378,'00_SKU_Master'!$F$2:$F$378,0)*AD232,"")</f>
        <v/>
      </c>
      <c r="J230" s="586">
        <f>_xludf.IFNA(_xlfn.XLOOKUP(C232,'00_SKU_Master'!$B$2:$B$378,'00_SKU_Master'!$F$2:$F$378,0)*AE232,"")</f>
        <v/>
      </c>
      <c r="K230" s="587">
        <f>SUM(D232:J232)</f>
        <v/>
      </c>
      <c r="L230" s="197">
        <f>_xlfn.XLOOKUP(C232,'00_SKU_Master'!$B$2:$B$378,'00_SKU_Master'!K:K)</f>
        <v/>
      </c>
      <c r="M230" s="14">
        <f>X232</f>
        <v/>
      </c>
      <c r="N230" s="157">
        <f>_xludf.IFNA(D232/_xlfn.XLOOKUP($M232,'00_SKU_Master'!$B$2:$B$378,'00_SKU_Master'!$M$2:$M$378,0)/$M$2,"0")</f>
        <v/>
      </c>
      <c r="O230" s="157">
        <f>_xludf.IFNA(E232/_xlfn.XLOOKUP($M232,'00_SKU_Master'!$B$2:$B$378,'00_SKU_Master'!$M$2:$M$378,0)/$M$2,"0")</f>
        <v/>
      </c>
      <c r="P230" s="157">
        <f>_xludf.IFNA(F232/_xlfn.XLOOKUP($M232,'00_SKU_Master'!$B$2:$B$378,'00_SKU_Master'!$M$2:$M$378,0)/$M$2,"0")</f>
        <v/>
      </c>
      <c r="Q230" s="157">
        <f>_xludf.IFNA(G232/_xlfn.XLOOKUP($M232,'00_SKU_Master'!$B$2:$B$378,'00_SKU_Master'!$M$2:$M$378,0)/$M$2,"0")</f>
        <v/>
      </c>
      <c r="R230" s="157">
        <f>_xludf.IFNA(H232/_xlfn.XLOOKUP($M232,'00_SKU_Master'!$B$2:$B$378,'00_SKU_Master'!$M$2:$M$378,0)/$M$2,"0")</f>
        <v/>
      </c>
      <c r="S230" s="157">
        <f>_xludf.IFNA(I232/_xlfn.XLOOKUP($M232,'00_SKU_Master'!$B$2:$B$378,'00_SKU_Master'!$M$2:$M$378,0)/$M$2,"0")</f>
        <v/>
      </c>
      <c r="T230" s="157">
        <f>_xludf.IFNA(J232/_xlfn.XLOOKUP($M232,'00_SKU_Master'!$B$2:$B$378,'00_SKU_Master'!$M$2:$M$378,0)/$M$2,"0")</f>
        <v/>
      </c>
      <c r="U230" s="157">
        <f>SUM(N232:T232)</f>
        <v/>
      </c>
      <c r="V230" s="4" t="n"/>
      <c r="W230" s="4">
        <f>_xlfn.XLOOKUP(M232,'00_SKU_Master'!$B$2:$B$378,'00_SKU_Master'!D:D)</f>
        <v/>
      </c>
      <c r="X230" s="14">
        <f>'05_Daily_Orders'!B231</f>
        <v/>
      </c>
      <c r="Y230" s="588" t="n"/>
      <c r="Z230" s="589" t="n"/>
      <c r="AA230" s="589" t="n"/>
      <c r="AB230" s="589" t="n"/>
      <c r="AC230" s="589" t="n">
        <v>64</v>
      </c>
      <c r="AD230" s="589" t="n">
        <v>0</v>
      </c>
      <c r="AE230" s="589" t="n">
        <v>80</v>
      </c>
      <c r="AF230" s="587">
        <f>SUM(Y232:AE232)</f>
        <v/>
      </c>
      <c r="AQ230" s="23" t="n">
        <v>2</v>
      </c>
      <c r="AR230" s="23" t="n">
        <v>0</v>
      </c>
      <c r="AS230" s="23">
        <f>AR232-AQ232</f>
        <v/>
      </c>
    </row>
    <row r="231">
      <c r="A231" s="148">
        <f>_xlfn.XLOOKUP(C233,'00_SKU_Master'!$B$2:$B$378,'00_SKU_Master'!$C$2:$C$378)</f>
        <v/>
      </c>
      <c r="B231" s="148" t="n"/>
      <c r="C231" s="148">
        <f>X233</f>
        <v/>
      </c>
      <c r="D231" s="586">
        <f>_xludf.IFNA(_xlfn.XLOOKUP(C233,'00_SKU_Master'!$B$2:$B$378,'00_SKU_Master'!$F$2:$F$378,0)*Y233,"")</f>
        <v/>
      </c>
      <c r="E231" s="586">
        <f>_xludf.IFNA(_xlfn.XLOOKUP(C233,'00_SKU_Master'!$B$2:$B$378,'00_SKU_Master'!$F$2:$F$378,0)*Z233,"")</f>
        <v/>
      </c>
      <c r="F231" s="586">
        <f>_xludf.IFNA(_xlfn.XLOOKUP(C233,'00_SKU_Master'!$B$2:$B$378,'00_SKU_Master'!$F$2:$F$378,0)*AA233,"")</f>
        <v/>
      </c>
      <c r="G231" s="586">
        <f>_xludf.IFNA(_xlfn.XLOOKUP(C233,'00_SKU_Master'!$B$2:$B$378,'00_SKU_Master'!$F$2:$F$378,0)*AB233,"")</f>
        <v/>
      </c>
      <c r="H231" s="586">
        <f>_xludf.IFNA(_xlfn.XLOOKUP(C233,'00_SKU_Master'!$B$2:$B$378,'00_SKU_Master'!$F$2:$F$378,0)*AC233,"")</f>
        <v/>
      </c>
      <c r="I231" s="586">
        <f>_xludf.IFNA(_xlfn.XLOOKUP(C233,'00_SKU_Master'!$B$2:$B$378,'00_SKU_Master'!$F$2:$F$378,0)*AD233,"")</f>
        <v/>
      </c>
      <c r="J231" s="586">
        <f>_xludf.IFNA(_xlfn.XLOOKUP(C233,'00_SKU_Master'!$B$2:$B$378,'00_SKU_Master'!$F$2:$F$378,0)*AE233,"")</f>
        <v/>
      </c>
      <c r="K231" s="587">
        <f>SUM(D233:J233)</f>
        <v/>
      </c>
      <c r="L231" s="197">
        <f>_xlfn.XLOOKUP(C233,'00_SKU_Master'!$B$2:$B$378,'00_SKU_Master'!K:K)</f>
        <v/>
      </c>
      <c r="M231" s="14">
        <f>X233</f>
        <v/>
      </c>
      <c r="N231" s="157">
        <f>_xludf.IFNA(D233/_xlfn.XLOOKUP($M233,'00_SKU_Master'!$B$2:$B$378,'00_SKU_Master'!$M$2:$M$378,0)/$M$2,"0")</f>
        <v/>
      </c>
      <c r="O231" s="157">
        <f>_xludf.IFNA(E233/_xlfn.XLOOKUP($M233,'00_SKU_Master'!$B$2:$B$378,'00_SKU_Master'!$M$2:$M$378,0)/$M$2,"0")</f>
        <v/>
      </c>
      <c r="P231" s="157">
        <f>_xludf.IFNA(F233/_xlfn.XLOOKUP($M233,'00_SKU_Master'!$B$2:$B$378,'00_SKU_Master'!$M$2:$M$378,0)/$M$2,"0")</f>
        <v/>
      </c>
      <c r="Q231" s="157">
        <f>_xludf.IFNA(G233/_xlfn.XLOOKUP($M233,'00_SKU_Master'!$B$2:$B$378,'00_SKU_Master'!$M$2:$M$378,0)/$M$2,"0")</f>
        <v/>
      </c>
      <c r="R231" s="157">
        <f>_xludf.IFNA(H233/_xlfn.XLOOKUP($M233,'00_SKU_Master'!$B$2:$B$378,'00_SKU_Master'!$M$2:$M$378,0)/$M$2,"0")</f>
        <v/>
      </c>
      <c r="S231" s="157">
        <f>_xludf.IFNA(I233/_xlfn.XLOOKUP($M233,'00_SKU_Master'!$B$2:$B$378,'00_SKU_Master'!$M$2:$M$378,0)/$M$2,"0")</f>
        <v/>
      </c>
      <c r="T231" s="157">
        <f>_xludf.IFNA(J233/_xlfn.XLOOKUP($M233,'00_SKU_Master'!$B$2:$B$378,'00_SKU_Master'!$M$2:$M$378,0)/$M$2,"0")</f>
        <v/>
      </c>
      <c r="U231" s="157">
        <f>SUM(N233:T233)</f>
        <v/>
      </c>
      <c r="V231" s="4" t="n"/>
      <c r="W231" s="4">
        <f>_xlfn.XLOOKUP(M233,'00_SKU_Master'!$B$2:$B$378,'00_SKU_Master'!D:D)</f>
        <v/>
      </c>
      <c r="X231" s="14">
        <f>'05_Daily_Orders'!B232</f>
        <v/>
      </c>
      <c r="Y231" s="588" t="n"/>
      <c r="Z231" s="589" t="n"/>
      <c r="AA231" s="589" t="n"/>
      <c r="AB231" s="589" t="n"/>
      <c r="AC231" s="589" t="n">
        <v>30</v>
      </c>
      <c r="AD231" s="589" t="n">
        <v>0</v>
      </c>
      <c r="AE231" s="589" t="n">
        <v>30</v>
      </c>
      <c r="AF231" s="587">
        <f>SUM(Y233:AE233)</f>
        <v/>
      </c>
      <c r="AQ231" s="23" t="n">
        <v>0</v>
      </c>
      <c r="AR231" s="23" t="n">
        <v>0</v>
      </c>
      <c r="AS231" s="23">
        <f>AR233-AQ233</f>
        <v/>
      </c>
    </row>
    <row r="232">
      <c r="A232" s="148">
        <f>_xlfn.XLOOKUP(C234,'00_SKU_Master'!$B$2:$B$378,'00_SKU_Master'!$C$2:$C$378)</f>
        <v/>
      </c>
      <c r="B232" s="148" t="n"/>
      <c r="C232" s="148">
        <f>X234</f>
        <v/>
      </c>
      <c r="D232" s="586">
        <f>_xludf.IFNA(_xlfn.XLOOKUP(C234,'00_SKU_Master'!$B$2:$B$378,'00_SKU_Master'!$F$2:$F$378,0)*Y234,"")</f>
        <v/>
      </c>
      <c r="E232" s="586">
        <f>_xludf.IFNA(_xlfn.XLOOKUP(C234,'00_SKU_Master'!$B$2:$B$378,'00_SKU_Master'!$F$2:$F$378,0)*Z234,"")</f>
        <v/>
      </c>
      <c r="F232" s="586">
        <f>_xludf.IFNA(_xlfn.XLOOKUP(C234,'00_SKU_Master'!$B$2:$B$378,'00_SKU_Master'!$F$2:$F$378,0)*AA234,"")</f>
        <v/>
      </c>
      <c r="G232" s="586">
        <f>_xludf.IFNA(_xlfn.XLOOKUP(C234,'00_SKU_Master'!$B$2:$B$378,'00_SKU_Master'!$F$2:$F$378,0)*AB234,"")</f>
        <v/>
      </c>
      <c r="H232" s="586">
        <f>_xludf.IFNA(_xlfn.XLOOKUP(C234,'00_SKU_Master'!$B$2:$B$378,'00_SKU_Master'!$F$2:$F$378,0)*AC234,"")</f>
        <v/>
      </c>
      <c r="I232" s="586">
        <f>_xludf.IFNA(_xlfn.XLOOKUP(C234,'00_SKU_Master'!$B$2:$B$378,'00_SKU_Master'!$F$2:$F$378,0)*AD234,"")</f>
        <v/>
      </c>
      <c r="J232" s="586">
        <f>_xludf.IFNA(_xlfn.XLOOKUP(C234,'00_SKU_Master'!$B$2:$B$378,'00_SKU_Master'!$F$2:$F$378,0)*AE234,"")</f>
        <v/>
      </c>
      <c r="K232" s="587">
        <f>SUM(D234:J234)</f>
        <v/>
      </c>
      <c r="L232" s="197">
        <f>_xlfn.XLOOKUP(C234,'00_SKU_Master'!$B$2:$B$378,'00_SKU_Master'!K:K)</f>
        <v/>
      </c>
      <c r="M232" s="14">
        <f>X234</f>
        <v/>
      </c>
      <c r="N232" s="157">
        <f>_xludf.IFNA(D234/_xlfn.XLOOKUP($M234,'00_SKU_Master'!$B$2:$B$378,'00_SKU_Master'!$M$2:$M$378,0)/$M$2,"0")</f>
        <v/>
      </c>
      <c r="O232" s="157">
        <f>_xludf.IFNA(E234/_xlfn.XLOOKUP($M234,'00_SKU_Master'!$B$2:$B$378,'00_SKU_Master'!$M$2:$M$378,0)/$M$2,"0")</f>
        <v/>
      </c>
      <c r="P232" s="157">
        <f>_xludf.IFNA(F234/_xlfn.XLOOKUP($M234,'00_SKU_Master'!$B$2:$B$378,'00_SKU_Master'!$M$2:$M$378,0)/$M$2,"0")</f>
        <v/>
      </c>
      <c r="Q232" s="157">
        <f>_xludf.IFNA(G234/_xlfn.XLOOKUP($M234,'00_SKU_Master'!$B$2:$B$378,'00_SKU_Master'!$M$2:$M$378,0)/$M$2,"0")</f>
        <v/>
      </c>
      <c r="R232" s="157">
        <f>_xludf.IFNA(H234/_xlfn.XLOOKUP($M234,'00_SKU_Master'!$B$2:$B$378,'00_SKU_Master'!$M$2:$M$378,0)/$M$2,"0")</f>
        <v/>
      </c>
      <c r="S232" s="157">
        <f>_xludf.IFNA(I234/_xlfn.XLOOKUP($M234,'00_SKU_Master'!$B$2:$B$378,'00_SKU_Master'!$M$2:$M$378,0)/$M$2,"0")</f>
        <v/>
      </c>
      <c r="T232" s="157">
        <f>_xludf.IFNA(J234/_xlfn.XLOOKUP($M234,'00_SKU_Master'!$B$2:$B$378,'00_SKU_Master'!$M$2:$M$378,0)/$M$2,"0")</f>
        <v/>
      </c>
      <c r="U232" s="157">
        <f>SUM(N234:T234)</f>
        <v/>
      </c>
      <c r="V232" s="4" t="n"/>
      <c r="W232" s="4">
        <f>_xlfn.XLOOKUP(M234,'00_SKU_Master'!$B$2:$B$378,'00_SKU_Master'!D:D)</f>
        <v/>
      </c>
      <c r="X232" s="14">
        <f>'05_Daily_Orders'!B233</f>
        <v/>
      </c>
      <c r="Y232" s="588" t="n"/>
      <c r="Z232" s="589" t="n"/>
      <c r="AA232" s="589" t="n"/>
      <c r="AB232" s="589" t="n"/>
      <c r="AC232" s="589" t="n">
        <v>30</v>
      </c>
      <c r="AD232" s="589" t="n">
        <v>0</v>
      </c>
      <c r="AE232" s="589" t="n">
        <v>30</v>
      </c>
      <c r="AF232" s="587">
        <f>SUM(Y234:AE234)</f>
        <v/>
      </c>
      <c r="AQ232" s="23" t="n">
        <v>61</v>
      </c>
      <c r="AR232" s="23" t="n">
        <v>0</v>
      </c>
      <c r="AS232" s="23">
        <f>AR234-AQ234</f>
        <v/>
      </c>
    </row>
    <row r="233">
      <c r="A233" s="148">
        <f>_xlfn.XLOOKUP(C235,'00_SKU_Master'!$B$2:$B$378,'00_SKU_Master'!$C$2:$C$378)</f>
        <v/>
      </c>
      <c r="B233" s="148" t="n"/>
      <c r="C233" s="148">
        <f>X235</f>
        <v/>
      </c>
      <c r="D233" s="586">
        <f>_xludf.IFNA(_xlfn.XLOOKUP(C235,'00_SKU_Master'!$B$2:$B$378,'00_SKU_Master'!$F$2:$F$378,0)*Y235,"")</f>
        <v/>
      </c>
      <c r="E233" s="586">
        <f>_xludf.IFNA(_xlfn.XLOOKUP(C235,'00_SKU_Master'!$B$2:$B$378,'00_SKU_Master'!$F$2:$F$378,0)*Z235,"")</f>
        <v/>
      </c>
      <c r="F233" s="586">
        <f>_xludf.IFNA(_xlfn.XLOOKUP(C235,'00_SKU_Master'!$B$2:$B$378,'00_SKU_Master'!$F$2:$F$378,0)*AA235,"")</f>
        <v/>
      </c>
      <c r="G233" s="586">
        <f>_xludf.IFNA(_xlfn.XLOOKUP(C235,'00_SKU_Master'!$B$2:$B$378,'00_SKU_Master'!$F$2:$F$378,0)*AB235,"")</f>
        <v/>
      </c>
      <c r="H233" s="586">
        <f>_xludf.IFNA(_xlfn.XLOOKUP(C235,'00_SKU_Master'!$B$2:$B$378,'00_SKU_Master'!$F$2:$F$378,0)*AC235,"")</f>
        <v/>
      </c>
      <c r="I233" s="586">
        <f>_xludf.IFNA(_xlfn.XLOOKUP(C235,'00_SKU_Master'!$B$2:$B$378,'00_SKU_Master'!$F$2:$F$378,0)*AD235,"")</f>
        <v/>
      </c>
      <c r="J233" s="586">
        <f>_xludf.IFNA(_xlfn.XLOOKUP(C235,'00_SKU_Master'!$B$2:$B$378,'00_SKU_Master'!$F$2:$F$378,0)*AE235,"")</f>
        <v/>
      </c>
      <c r="K233" s="587">
        <f>SUM(D235:J235)</f>
        <v/>
      </c>
      <c r="L233" s="197">
        <f>_xlfn.XLOOKUP(C235,'00_SKU_Master'!$B$2:$B$378,'00_SKU_Master'!K:K)</f>
        <v/>
      </c>
      <c r="M233" s="14">
        <f>X235</f>
        <v/>
      </c>
      <c r="N233" s="157">
        <f>_xludf.IFNA(D235/_xlfn.XLOOKUP($M235,'00_SKU_Master'!$B$2:$B$378,'00_SKU_Master'!$M$2:$M$378,0)/$M$2,"0")</f>
        <v/>
      </c>
      <c r="O233" s="157">
        <f>_xludf.IFNA(E235/_xlfn.XLOOKUP($M235,'00_SKU_Master'!$B$2:$B$378,'00_SKU_Master'!$M$2:$M$378,0)/$M$2,"0")</f>
        <v/>
      </c>
      <c r="P233" s="157">
        <f>_xludf.IFNA(F235/_xlfn.XLOOKUP($M235,'00_SKU_Master'!$B$2:$B$378,'00_SKU_Master'!$M$2:$M$378,0)/$M$2,"0")</f>
        <v/>
      </c>
      <c r="Q233" s="157">
        <f>_xludf.IFNA(G235/_xlfn.XLOOKUP($M235,'00_SKU_Master'!$B$2:$B$378,'00_SKU_Master'!$M$2:$M$378,0)/$M$2,"0")</f>
        <v/>
      </c>
      <c r="R233" s="157">
        <f>_xludf.IFNA(H235/_xlfn.XLOOKUP($M235,'00_SKU_Master'!$B$2:$B$378,'00_SKU_Master'!$M$2:$M$378,0)/$M$2,"0")</f>
        <v/>
      </c>
      <c r="S233" s="157">
        <f>_xludf.IFNA(I235/_xlfn.XLOOKUP($M235,'00_SKU_Master'!$B$2:$B$378,'00_SKU_Master'!$M$2:$M$378,0)/$M$2,"0")</f>
        <v/>
      </c>
      <c r="T233" s="157">
        <f>_xludf.IFNA(J235/_xlfn.XLOOKUP($M235,'00_SKU_Master'!$B$2:$B$378,'00_SKU_Master'!$M$2:$M$378,0)/$M$2,"0")</f>
        <v/>
      </c>
      <c r="U233" s="157">
        <f>SUM(N235:T235)</f>
        <v/>
      </c>
      <c r="V233" s="4" t="n"/>
      <c r="W233" s="4">
        <f>_xlfn.XLOOKUP(M235,'00_SKU_Master'!$B$2:$B$378,'00_SKU_Master'!D:D)</f>
        <v/>
      </c>
      <c r="X233" s="14">
        <f>'05_Daily_Orders'!B234</f>
        <v/>
      </c>
      <c r="Y233" s="588" t="n"/>
      <c r="Z233" s="589" t="n"/>
      <c r="AA233" s="589" t="n"/>
      <c r="AB233" s="589" t="n"/>
      <c r="AC233" s="589" t="n">
        <v>31</v>
      </c>
      <c r="AD233" s="589" t="n">
        <v>0</v>
      </c>
      <c r="AE233" s="589" t="n">
        <v>20</v>
      </c>
      <c r="AF233" s="587">
        <f>SUM(Y235:AE235)</f>
        <v/>
      </c>
      <c r="AQ233" s="23" t="n">
        <v>52</v>
      </c>
      <c r="AR233" s="23" t="n">
        <v>0</v>
      </c>
      <c r="AS233" s="23">
        <f>AR235-AQ235</f>
        <v/>
      </c>
    </row>
    <row r="234">
      <c r="A234" s="148">
        <f>_xlfn.XLOOKUP(C236,'00_SKU_Master'!$B$2:$B$378,'00_SKU_Master'!$C$2:$C$378)</f>
        <v/>
      </c>
      <c r="B234" s="148" t="n"/>
      <c r="C234" s="148">
        <f>X236</f>
        <v/>
      </c>
      <c r="D234" s="586">
        <f>_xludf.IFNA(_xlfn.XLOOKUP(C236,'00_SKU_Master'!$B$2:$B$378,'00_SKU_Master'!$F$2:$F$378,0)*Y236,"")</f>
        <v/>
      </c>
      <c r="E234" s="586">
        <f>_xludf.IFNA(_xlfn.XLOOKUP(C236,'00_SKU_Master'!$B$2:$B$378,'00_SKU_Master'!$F$2:$F$378,0)*Z236,"")</f>
        <v/>
      </c>
      <c r="F234" s="586">
        <f>_xludf.IFNA(_xlfn.XLOOKUP(C236,'00_SKU_Master'!$B$2:$B$378,'00_SKU_Master'!$F$2:$F$378,0)*AA236,"")</f>
        <v/>
      </c>
      <c r="G234" s="586">
        <f>_xludf.IFNA(_xlfn.XLOOKUP(C236,'00_SKU_Master'!$B$2:$B$378,'00_SKU_Master'!$F$2:$F$378,0)*AB236,"")</f>
        <v/>
      </c>
      <c r="H234" s="586">
        <f>_xludf.IFNA(_xlfn.XLOOKUP(C236,'00_SKU_Master'!$B$2:$B$378,'00_SKU_Master'!$F$2:$F$378,0)*AC236,"")</f>
        <v/>
      </c>
      <c r="I234" s="586">
        <f>_xludf.IFNA(_xlfn.XLOOKUP(C236,'00_SKU_Master'!$B$2:$B$378,'00_SKU_Master'!$F$2:$F$378,0)*AD236,"")</f>
        <v/>
      </c>
      <c r="J234" s="586">
        <f>_xludf.IFNA(_xlfn.XLOOKUP(C236,'00_SKU_Master'!$B$2:$B$378,'00_SKU_Master'!$F$2:$F$378,0)*AE236,"")</f>
        <v/>
      </c>
      <c r="K234" s="587">
        <f>SUM(D236:J236)</f>
        <v/>
      </c>
      <c r="L234" s="197">
        <f>_xlfn.XLOOKUP(C236,'00_SKU_Master'!$B$2:$B$378,'00_SKU_Master'!K:K)</f>
        <v/>
      </c>
      <c r="M234" s="14">
        <f>X236</f>
        <v/>
      </c>
      <c r="N234" s="157">
        <f>_xludf.IFNA(D236/_xlfn.XLOOKUP($M236,'00_SKU_Master'!$B$2:$B$378,'00_SKU_Master'!$M$2:$M$378,0)/$M$2,"0")</f>
        <v/>
      </c>
      <c r="O234" s="157">
        <f>_xludf.IFNA(E236/_xlfn.XLOOKUP($M236,'00_SKU_Master'!$B$2:$B$378,'00_SKU_Master'!$M$2:$M$378,0)/$M$2,"0")</f>
        <v/>
      </c>
      <c r="P234" s="157">
        <f>_xludf.IFNA(F236/_xlfn.XLOOKUP($M236,'00_SKU_Master'!$B$2:$B$378,'00_SKU_Master'!$M$2:$M$378,0)/$M$2,"0")</f>
        <v/>
      </c>
      <c r="Q234" s="157">
        <f>_xludf.IFNA(G236/_xlfn.XLOOKUP($M236,'00_SKU_Master'!$B$2:$B$378,'00_SKU_Master'!$M$2:$M$378,0)/$M$2,"0")</f>
        <v/>
      </c>
      <c r="R234" s="157">
        <f>_xludf.IFNA(H236/_xlfn.XLOOKUP($M236,'00_SKU_Master'!$B$2:$B$378,'00_SKU_Master'!$M$2:$M$378,0)/$M$2,"0")</f>
        <v/>
      </c>
      <c r="S234" s="157">
        <f>_xludf.IFNA(I236/_xlfn.XLOOKUP($M236,'00_SKU_Master'!$B$2:$B$378,'00_SKU_Master'!$M$2:$M$378,0)/$M$2,"0")</f>
        <v/>
      </c>
      <c r="T234" s="157">
        <f>_xludf.IFNA(J236/_xlfn.XLOOKUP($M236,'00_SKU_Master'!$B$2:$B$378,'00_SKU_Master'!$M$2:$M$378,0)/$M$2,"0")</f>
        <v/>
      </c>
      <c r="U234" s="157">
        <f>SUM(N236:T236)</f>
        <v/>
      </c>
      <c r="V234" s="4" t="n"/>
      <c r="W234" s="4">
        <f>_xlfn.XLOOKUP(M236,'00_SKU_Master'!$B$2:$B$378,'00_SKU_Master'!D:D)</f>
        <v/>
      </c>
      <c r="X234" s="14">
        <f>'05_Daily_Orders'!B235</f>
        <v/>
      </c>
      <c r="Y234" s="588" t="n"/>
      <c r="Z234" s="589" t="n"/>
      <c r="AA234" s="589" t="n"/>
      <c r="AB234" s="589" t="n"/>
      <c r="AC234" s="589" t="n">
        <v>31</v>
      </c>
      <c r="AD234" s="589" t="n">
        <v>0</v>
      </c>
      <c r="AE234" s="589" t="n">
        <v>40</v>
      </c>
      <c r="AF234" s="587">
        <f>SUM(Y236:AE236)</f>
        <v/>
      </c>
      <c r="AQ234" s="23" t="n">
        <v>49</v>
      </c>
      <c r="AR234" s="23" t="n">
        <v>0</v>
      </c>
      <c r="AS234" s="23">
        <f>AR236-AQ236</f>
        <v/>
      </c>
    </row>
    <row r="235">
      <c r="A235" s="148">
        <f>_xlfn.XLOOKUP(C237,'00_SKU_Master'!$B$2:$B$378,'00_SKU_Master'!$C$2:$C$378)</f>
        <v/>
      </c>
      <c r="B235" s="148" t="n"/>
      <c r="C235" s="148">
        <f>X237</f>
        <v/>
      </c>
      <c r="D235" s="586">
        <f>_xludf.IFNA(_xlfn.XLOOKUP(C237,'00_SKU_Master'!$B$2:$B$378,'00_SKU_Master'!$F$2:$F$378,0)*Y237,"")</f>
        <v/>
      </c>
      <c r="E235" s="586">
        <f>_xludf.IFNA(_xlfn.XLOOKUP(C237,'00_SKU_Master'!$B$2:$B$378,'00_SKU_Master'!$F$2:$F$378,0)*Z237,"")</f>
        <v/>
      </c>
      <c r="F235" s="586">
        <f>_xludf.IFNA(_xlfn.XLOOKUP(C237,'00_SKU_Master'!$B$2:$B$378,'00_SKU_Master'!$F$2:$F$378,0)*AA237,"")</f>
        <v/>
      </c>
      <c r="G235" s="586">
        <f>_xludf.IFNA(_xlfn.XLOOKUP(C237,'00_SKU_Master'!$B$2:$B$378,'00_SKU_Master'!$F$2:$F$378,0)*AB237,"")</f>
        <v/>
      </c>
      <c r="H235" s="586">
        <f>_xludf.IFNA(_xlfn.XLOOKUP(C237,'00_SKU_Master'!$B$2:$B$378,'00_SKU_Master'!$F$2:$F$378,0)*AC237,"")</f>
        <v/>
      </c>
      <c r="I235" s="586">
        <f>_xludf.IFNA(_xlfn.XLOOKUP(C237,'00_SKU_Master'!$B$2:$B$378,'00_SKU_Master'!$F$2:$F$378,0)*AD237,"")</f>
        <v/>
      </c>
      <c r="J235" s="586">
        <f>_xludf.IFNA(_xlfn.XLOOKUP(C237,'00_SKU_Master'!$B$2:$B$378,'00_SKU_Master'!$F$2:$F$378,0)*AE237,"")</f>
        <v/>
      </c>
      <c r="K235" s="587">
        <f>SUM(D237:J237)</f>
        <v/>
      </c>
      <c r="L235" s="197">
        <f>_xlfn.XLOOKUP(C237,'00_SKU_Master'!$B$2:$B$378,'00_SKU_Master'!K:K)</f>
        <v/>
      </c>
      <c r="M235" s="14">
        <f>X237</f>
        <v/>
      </c>
      <c r="N235" s="157">
        <f>_xludf.IFNA(D237/_xlfn.XLOOKUP($M237,'00_SKU_Master'!$B$2:$B$378,'00_SKU_Master'!$M$2:$M$378,0)/$M$2,"0")</f>
        <v/>
      </c>
      <c r="O235" s="157">
        <f>_xludf.IFNA(E237/_xlfn.XLOOKUP($M237,'00_SKU_Master'!$B$2:$B$378,'00_SKU_Master'!$M$2:$M$378,0)/$M$2,"0")</f>
        <v/>
      </c>
      <c r="P235" s="157">
        <f>_xludf.IFNA(F237/_xlfn.XLOOKUP($M237,'00_SKU_Master'!$B$2:$B$378,'00_SKU_Master'!$M$2:$M$378,0)/$M$2,"0")</f>
        <v/>
      </c>
      <c r="Q235" s="157">
        <f>_xludf.IFNA(G237/_xlfn.XLOOKUP($M237,'00_SKU_Master'!$B$2:$B$378,'00_SKU_Master'!$M$2:$M$378,0)/$M$2,"0")</f>
        <v/>
      </c>
      <c r="R235" s="157">
        <f>_xludf.IFNA(H237/_xlfn.XLOOKUP($M237,'00_SKU_Master'!$B$2:$B$378,'00_SKU_Master'!$M$2:$M$378,0)/$M$2,"0")</f>
        <v/>
      </c>
      <c r="S235" s="157">
        <f>_xludf.IFNA(I237/_xlfn.XLOOKUP($M237,'00_SKU_Master'!$B$2:$B$378,'00_SKU_Master'!$M$2:$M$378,0)/$M$2,"0")</f>
        <v/>
      </c>
      <c r="T235" s="157">
        <f>_xludf.IFNA(J237/_xlfn.XLOOKUP($M237,'00_SKU_Master'!$B$2:$B$378,'00_SKU_Master'!$M$2:$M$378,0)/$M$2,"0")</f>
        <v/>
      </c>
      <c r="U235" s="157">
        <f>SUM(N237:T237)</f>
        <v/>
      </c>
      <c r="V235" s="4" t="n"/>
      <c r="W235" s="4">
        <f>_xlfn.XLOOKUP(M237,'00_SKU_Master'!$B$2:$B$378,'00_SKU_Master'!D:D)</f>
        <v/>
      </c>
      <c r="X235" s="14">
        <f>'05_Daily_Orders'!B236</f>
        <v/>
      </c>
      <c r="Y235" s="588" t="n"/>
      <c r="Z235" s="589" t="n"/>
      <c r="AA235" s="589" t="n"/>
      <c r="AB235" s="589" t="n"/>
      <c r="AC235" s="589" t="n">
        <v>10</v>
      </c>
      <c r="AD235" s="589" t="n">
        <v>0</v>
      </c>
      <c r="AE235" s="589" t="n">
        <v>20</v>
      </c>
      <c r="AF235" s="587">
        <f>SUM(Y237:AE237)</f>
        <v/>
      </c>
      <c r="AQ235" s="23" t="n">
        <v>0</v>
      </c>
      <c r="AR235" s="23" t="n">
        <v>0</v>
      </c>
      <c r="AS235" s="23">
        <f>AR237-AQ237</f>
        <v/>
      </c>
    </row>
    <row r="236">
      <c r="A236" s="148">
        <f>_xlfn.XLOOKUP(C238,'00_SKU_Master'!$B$2:$B$378,'00_SKU_Master'!$C$2:$C$378)</f>
        <v/>
      </c>
      <c r="B236" s="148" t="n"/>
      <c r="C236" s="148">
        <f>X238</f>
        <v/>
      </c>
      <c r="D236" s="586">
        <f>_xludf.IFNA(_xlfn.XLOOKUP(C238,'00_SKU_Master'!$B$2:$B$378,'00_SKU_Master'!$F$2:$F$378,0)*Y238,"")</f>
        <v/>
      </c>
      <c r="E236" s="586">
        <f>_xludf.IFNA(_xlfn.XLOOKUP(C238,'00_SKU_Master'!$B$2:$B$378,'00_SKU_Master'!$F$2:$F$378,0)*Z238,"")</f>
        <v/>
      </c>
      <c r="F236" s="586">
        <f>_xludf.IFNA(_xlfn.XLOOKUP(C238,'00_SKU_Master'!$B$2:$B$378,'00_SKU_Master'!$F$2:$F$378,0)*AA238,"")</f>
        <v/>
      </c>
      <c r="G236" s="586">
        <f>_xludf.IFNA(_xlfn.XLOOKUP(C238,'00_SKU_Master'!$B$2:$B$378,'00_SKU_Master'!$F$2:$F$378,0)*AB238,"")</f>
        <v/>
      </c>
      <c r="H236" s="586">
        <f>_xludf.IFNA(_xlfn.XLOOKUP(C238,'00_SKU_Master'!$B$2:$B$378,'00_SKU_Master'!$F$2:$F$378,0)*AC238,"")</f>
        <v/>
      </c>
      <c r="I236" s="586">
        <f>_xludf.IFNA(_xlfn.XLOOKUP(C238,'00_SKU_Master'!$B$2:$B$378,'00_SKU_Master'!$F$2:$F$378,0)*AD238,"")</f>
        <v/>
      </c>
      <c r="J236" s="586">
        <f>_xludf.IFNA(_xlfn.XLOOKUP(C238,'00_SKU_Master'!$B$2:$B$378,'00_SKU_Master'!$F$2:$F$378,0)*AE238,"")</f>
        <v/>
      </c>
      <c r="K236" s="587">
        <f>SUM(D238:J238)</f>
        <v/>
      </c>
      <c r="L236" s="197">
        <f>_xlfn.XLOOKUP(C238,'00_SKU_Master'!$B$2:$B$378,'00_SKU_Master'!K:K)</f>
        <v/>
      </c>
      <c r="M236" s="14">
        <f>X238</f>
        <v/>
      </c>
      <c r="N236" s="157">
        <f>_xludf.IFNA(D238/_xlfn.XLOOKUP($M238,'00_SKU_Master'!$B$2:$B$378,'00_SKU_Master'!$M$2:$M$378,0)/$M$2,"0")</f>
        <v/>
      </c>
      <c r="O236" s="157">
        <f>_xludf.IFNA(E238/_xlfn.XLOOKUP($M238,'00_SKU_Master'!$B$2:$B$378,'00_SKU_Master'!$M$2:$M$378,0)/$M$2,"0")</f>
        <v/>
      </c>
      <c r="P236" s="157">
        <f>_xludf.IFNA(F238/_xlfn.XLOOKUP($M238,'00_SKU_Master'!$B$2:$B$378,'00_SKU_Master'!$M$2:$M$378,0)/$M$2,"0")</f>
        <v/>
      </c>
      <c r="Q236" s="157">
        <f>_xludf.IFNA(G238/_xlfn.XLOOKUP($M238,'00_SKU_Master'!$B$2:$B$378,'00_SKU_Master'!$M$2:$M$378,0)/$M$2,"0")</f>
        <v/>
      </c>
      <c r="R236" s="157">
        <f>_xludf.IFNA(H238/_xlfn.XLOOKUP($M238,'00_SKU_Master'!$B$2:$B$378,'00_SKU_Master'!$M$2:$M$378,0)/$M$2,"0")</f>
        <v/>
      </c>
      <c r="S236" s="157">
        <f>_xludf.IFNA(I238/_xlfn.XLOOKUP($M238,'00_SKU_Master'!$B$2:$B$378,'00_SKU_Master'!$M$2:$M$378,0)/$M$2,"0")</f>
        <v/>
      </c>
      <c r="T236" s="157">
        <f>_xludf.IFNA(J238/_xlfn.XLOOKUP($M238,'00_SKU_Master'!$B$2:$B$378,'00_SKU_Master'!$M$2:$M$378,0)/$M$2,"0")</f>
        <v/>
      </c>
      <c r="U236" s="157">
        <f>SUM(N238:T238)</f>
        <v/>
      </c>
      <c r="V236" s="4" t="n"/>
      <c r="W236" s="4">
        <f>_xlfn.XLOOKUP(M238,'00_SKU_Master'!$B$2:$B$378,'00_SKU_Master'!D:D)</f>
        <v/>
      </c>
      <c r="X236" s="14">
        <f>'05_Daily_Orders'!B237</f>
        <v/>
      </c>
      <c r="Y236" s="588" t="n"/>
      <c r="Z236" s="589" t="n"/>
      <c r="AA236" s="589" t="n"/>
      <c r="AB236" s="589" t="n"/>
      <c r="AC236" s="589" t="n">
        <v>42</v>
      </c>
      <c r="AD236" s="589" t="n">
        <v>0</v>
      </c>
      <c r="AE236" s="589" t="n">
        <v>85</v>
      </c>
      <c r="AF236" s="587">
        <f>SUM(Y238:AE238)</f>
        <v/>
      </c>
      <c r="AQ236" s="23" t="n">
        <v>0</v>
      </c>
      <c r="AR236" s="23" t="n">
        <v>0</v>
      </c>
      <c r="AS236" s="23">
        <f>AR238-AQ238</f>
        <v/>
      </c>
    </row>
    <row r="237">
      <c r="A237" s="148">
        <f>_xlfn.XLOOKUP(C239,'00_SKU_Master'!$B$2:$B$378,'00_SKU_Master'!$C$2:$C$378)</f>
        <v/>
      </c>
      <c r="B237" s="148" t="n"/>
      <c r="C237" s="148">
        <f>X239</f>
        <v/>
      </c>
      <c r="D237" s="586">
        <f>_xludf.IFNA(_xlfn.XLOOKUP(C239,'00_SKU_Master'!$B$2:$B$378,'00_SKU_Master'!$F$2:$F$378,0)*Y239,"")</f>
        <v/>
      </c>
      <c r="E237" s="586">
        <f>_xludf.IFNA(_xlfn.XLOOKUP(C239,'00_SKU_Master'!$B$2:$B$378,'00_SKU_Master'!$F$2:$F$378,0)*Z239,"")</f>
        <v/>
      </c>
      <c r="F237" s="586">
        <f>_xludf.IFNA(_xlfn.XLOOKUP(C239,'00_SKU_Master'!$B$2:$B$378,'00_SKU_Master'!$F$2:$F$378,0)*AA239,"")</f>
        <v/>
      </c>
      <c r="G237" s="586">
        <f>_xludf.IFNA(_xlfn.XLOOKUP(C239,'00_SKU_Master'!$B$2:$B$378,'00_SKU_Master'!$F$2:$F$378,0)*AB239,"")</f>
        <v/>
      </c>
      <c r="H237" s="586">
        <f>_xludf.IFNA(_xlfn.XLOOKUP(C239,'00_SKU_Master'!$B$2:$B$378,'00_SKU_Master'!$F$2:$F$378,0)*AC239,"")</f>
        <v/>
      </c>
      <c r="I237" s="586">
        <f>_xludf.IFNA(_xlfn.XLOOKUP(C239,'00_SKU_Master'!$B$2:$B$378,'00_SKU_Master'!$F$2:$F$378,0)*AD239,"")</f>
        <v/>
      </c>
      <c r="J237" s="586">
        <f>_xludf.IFNA(_xlfn.XLOOKUP(C239,'00_SKU_Master'!$B$2:$B$378,'00_SKU_Master'!$F$2:$F$378,0)*AE239,"")</f>
        <v/>
      </c>
      <c r="K237" s="587">
        <f>SUM(D239:J239)</f>
        <v/>
      </c>
      <c r="L237" s="197">
        <f>_xlfn.XLOOKUP(C239,'00_SKU_Master'!$B$2:$B$378,'00_SKU_Master'!K:K)</f>
        <v/>
      </c>
      <c r="M237" s="14">
        <f>X239</f>
        <v/>
      </c>
      <c r="N237" s="157">
        <f>_xludf.IFNA(D239/_xlfn.XLOOKUP($M239,'00_SKU_Master'!$B$2:$B$378,'00_SKU_Master'!$M$2:$M$378,0)/$M$2,"0")</f>
        <v/>
      </c>
      <c r="O237" s="157">
        <f>_xludf.IFNA(E239/_xlfn.XLOOKUP($M239,'00_SKU_Master'!$B$2:$B$378,'00_SKU_Master'!$M$2:$M$378,0)/$M$2,"0")</f>
        <v/>
      </c>
      <c r="P237" s="157">
        <f>_xludf.IFNA(F239/_xlfn.XLOOKUP($M239,'00_SKU_Master'!$B$2:$B$378,'00_SKU_Master'!$M$2:$M$378,0)/$M$2,"0")</f>
        <v/>
      </c>
      <c r="Q237" s="157">
        <f>_xludf.IFNA(G239/_xlfn.XLOOKUP($M239,'00_SKU_Master'!$B$2:$B$378,'00_SKU_Master'!$M$2:$M$378,0)/$M$2,"0")</f>
        <v/>
      </c>
      <c r="R237" s="157">
        <f>_xludf.IFNA(H239/_xlfn.XLOOKUP($M239,'00_SKU_Master'!$B$2:$B$378,'00_SKU_Master'!$M$2:$M$378,0)/$M$2,"0")</f>
        <v/>
      </c>
      <c r="S237" s="157">
        <f>_xludf.IFNA(I239/_xlfn.XLOOKUP($M239,'00_SKU_Master'!$B$2:$B$378,'00_SKU_Master'!$M$2:$M$378,0)/$M$2,"0")</f>
        <v/>
      </c>
      <c r="T237" s="157">
        <f>_xludf.IFNA(J239/_xlfn.XLOOKUP($M239,'00_SKU_Master'!$B$2:$B$378,'00_SKU_Master'!$M$2:$M$378,0)/$M$2,"0")</f>
        <v/>
      </c>
      <c r="U237" s="157">
        <f>SUM(N239:T239)</f>
        <v/>
      </c>
      <c r="V237" s="4" t="n"/>
      <c r="W237" s="4">
        <f>_xlfn.XLOOKUP(M239,'00_SKU_Master'!$B$2:$B$378,'00_SKU_Master'!D:D)</f>
        <v/>
      </c>
      <c r="X237" s="14">
        <f>'05_Daily_Orders'!B238</f>
        <v/>
      </c>
      <c r="Y237" s="588" t="n"/>
      <c r="Z237" s="589" t="n"/>
      <c r="AA237" s="589" t="n"/>
      <c r="AB237" s="589" t="n"/>
      <c r="AC237" s="589" t="n">
        <v>20</v>
      </c>
      <c r="AD237" s="589" t="n">
        <v>0</v>
      </c>
      <c r="AE237" s="589" t="n">
        <v>72</v>
      </c>
      <c r="AF237" s="587">
        <f>SUM(Y239:AE239)</f>
        <v/>
      </c>
      <c r="AQ237" s="23" t="n">
        <v>0</v>
      </c>
      <c r="AR237" s="23" t="n">
        <v>0</v>
      </c>
      <c r="AS237" s="23">
        <f>AR239-AQ239</f>
        <v/>
      </c>
    </row>
    <row r="238">
      <c r="A238" s="148">
        <f>_xlfn.XLOOKUP(C240,'00_SKU_Master'!$B$2:$B$378,'00_SKU_Master'!$C$2:$C$378)</f>
        <v/>
      </c>
      <c r="B238" s="148" t="n"/>
      <c r="C238" s="148">
        <f>X240</f>
        <v/>
      </c>
      <c r="D238" s="586">
        <f>_xludf.IFNA(_xlfn.XLOOKUP(C240,'00_SKU_Master'!$B$2:$B$378,'00_SKU_Master'!$F$2:$F$378,0)*Y240,"")</f>
        <v/>
      </c>
      <c r="E238" s="586">
        <f>_xludf.IFNA(_xlfn.XLOOKUP(C240,'00_SKU_Master'!$B$2:$B$378,'00_SKU_Master'!$F$2:$F$378,0)*Z240,"")</f>
        <v/>
      </c>
      <c r="F238" s="586">
        <f>_xludf.IFNA(_xlfn.XLOOKUP(C240,'00_SKU_Master'!$B$2:$B$378,'00_SKU_Master'!$F$2:$F$378,0)*AA240,"")</f>
        <v/>
      </c>
      <c r="G238" s="586">
        <f>_xludf.IFNA(_xlfn.XLOOKUP(C240,'00_SKU_Master'!$B$2:$B$378,'00_SKU_Master'!$F$2:$F$378,0)*AB240,"")</f>
        <v/>
      </c>
      <c r="H238" s="586">
        <f>_xludf.IFNA(_xlfn.XLOOKUP(C240,'00_SKU_Master'!$B$2:$B$378,'00_SKU_Master'!$F$2:$F$378,0)*AC240,"")</f>
        <v/>
      </c>
      <c r="I238" s="586">
        <f>_xludf.IFNA(_xlfn.XLOOKUP(C240,'00_SKU_Master'!$B$2:$B$378,'00_SKU_Master'!$F$2:$F$378,0)*AD240,"")</f>
        <v/>
      </c>
      <c r="J238" s="586">
        <f>_xludf.IFNA(_xlfn.XLOOKUP(C240,'00_SKU_Master'!$B$2:$B$378,'00_SKU_Master'!$F$2:$F$378,0)*AE240,"")</f>
        <v/>
      </c>
      <c r="K238" s="587">
        <f>SUM(D240:J240)</f>
        <v/>
      </c>
      <c r="L238" s="197">
        <f>_xlfn.XLOOKUP(C240,'00_SKU_Master'!$B$2:$B$378,'00_SKU_Master'!K:K)</f>
        <v/>
      </c>
      <c r="M238" s="14">
        <f>X240</f>
        <v/>
      </c>
      <c r="N238" s="157">
        <f>_xludf.IFNA(D240/_xlfn.XLOOKUP($M240,'00_SKU_Master'!$B$2:$B$378,'00_SKU_Master'!$M$2:$M$378,0)/$M$2,"0")</f>
        <v/>
      </c>
      <c r="O238" s="157">
        <f>_xludf.IFNA(E240/_xlfn.XLOOKUP($M240,'00_SKU_Master'!$B$2:$B$378,'00_SKU_Master'!$M$2:$M$378,0)/$M$2,"0")</f>
        <v/>
      </c>
      <c r="P238" s="157">
        <f>_xludf.IFNA(F240/_xlfn.XLOOKUP($M240,'00_SKU_Master'!$B$2:$B$378,'00_SKU_Master'!$M$2:$M$378,0)/$M$2,"0")</f>
        <v/>
      </c>
      <c r="Q238" s="157">
        <f>_xludf.IFNA(G240/_xlfn.XLOOKUP($M240,'00_SKU_Master'!$B$2:$B$378,'00_SKU_Master'!$M$2:$M$378,0)/$M$2,"0")</f>
        <v/>
      </c>
      <c r="R238" s="157">
        <f>_xludf.IFNA(H240/_xlfn.XLOOKUP($M240,'00_SKU_Master'!$B$2:$B$378,'00_SKU_Master'!$M$2:$M$378,0)/$M$2,"0")</f>
        <v/>
      </c>
      <c r="S238" s="157">
        <f>_xludf.IFNA(I240/_xlfn.XLOOKUP($M240,'00_SKU_Master'!$B$2:$B$378,'00_SKU_Master'!$M$2:$M$378,0)/$M$2,"0")</f>
        <v/>
      </c>
      <c r="T238" s="157">
        <f>_xludf.IFNA(J240/_xlfn.XLOOKUP($M240,'00_SKU_Master'!$B$2:$B$378,'00_SKU_Master'!$M$2:$M$378,0)/$M$2,"0")</f>
        <v/>
      </c>
      <c r="U238" s="157">
        <f>SUM(N240:T240)</f>
        <v/>
      </c>
      <c r="V238" s="4" t="n"/>
      <c r="W238" s="4">
        <f>_xlfn.XLOOKUP(M240,'00_SKU_Master'!$B$2:$B$378,'00_SKU_Master'!D:D)</f>
        <v/>
      </c>
      <c r="X238" s="14">
        <f>'05_Daily_Orders'!B239</f>
        <v/>
      </c>
      <c r="Y238" s="588" t="n"/>
      <c r="Z238" s="589" t="n"/>
      <c r="AA238" s="589" t="n"/>
      <c r="AB238" s="589" t="n"/>
      <c r="AC238" s="589" t="n">
        <v>19</v>
      </c>
      <c r="AD238" s="589" t="n">
        <v>0</v>
      </c>
      <c r="AE238" s="589" t="n">
        <v>68</v>
      </c>
      <c r="AF238" s="587">
        <f>SUM(Y240:AE240)</f>
        <v/>
      </c>
      <c r="AQ238" s="23" t="n">
        <v>0</v>
      </c>
      <c r="AR238" s="23" t="n">
        <v>0</v>
      </c>
      <c r="AS238" s="23">
        <f>AR240-AQ240</f>
        <v/>
      </c>
    </row>
    <row r="239">
      <c r="A239" s="148">
        <f>_xlfn.XLOOKUP(C241,'00_SKU_Master'!$B$2:$B$378,'00_SKU_Master'!$C$2:$C$378)</f>
        <v/>
      </c>
      <c r="B239" s="148" t="n"/>
      <c r="C239" s="148">
        <f>X241</f>
        <v/>
      </c>
      <c r="D239" s="586">
        <f>_xludf.IFNA(_xlfn.XLOOKUP(C241,'00_SKU_Master'!$B$2:$B$378,'00_SKU_Master'!$F$2:$F$378,0)*Y241,"")</f>
        <v/>
      </c>
      <c r="E239" s="586">
        <f>_xludf.IFNA(_xlfn.XLOOKUP(C241,'00_SKU_Master'!$B$2:$B$378,'00_SKU_Master'!$F$2:$F$378,0)*Z241,"")</f>
        <v/>
      </c>
      <c r="F239" s="586">
        <f>_xludf.IFNA(_xlfn.XLOOKUP(C241,'00_SKU_Master'!$B$2:$B$378,'00_SKU_Master'!$F$2:$F$378,0)*AA241,"")</f>
        <v/>
      </c>
      <c r="G239" s="586">
        <f>_xludf.IFNA(_xlfn.XLOOKUP(C241,'00_SKU_Master'!$B$2:$B$378,'00_SKU_Master'!$F$2:$F$378,0)*AB241,"")</f>
        <v/>
      </c>
      <c r="H239" s="586">
        <f>_xludf.IFNA(_xlfn.XLOOKUP(C241,'00_SKU_Master'!$B$2:$B$378,'00_SKU_Master'!$F$2:$F$378,0)*AC241,"")</f>
        <v/>
      </c>
      <c r="I239" s="586">
        <f>_xludf.IFNA(_xlfn.XLOOKUP(C241,'00_SKU_Master'!$B$2:$B$378,'00_SKU_Master'!$F$2:$F$378,0)*AD241,"")</f>
        <v/>
      </c>
      <c r="J239" s="586">
        <f>_xludf.IFNA(_xlfn.XLOOKUP(C241,'00_SKU_Master'!$B$2:$B$378,'00_SKU_Master'!$F$2:$F$378,0)*AE241,"")</f>
        <v/>
      </c>
      <c r="K239" s="587">
        <f>SUM(D241:J241)</f>
        <v/>
      </c>
      <c r="L239" s="197">
        <f>_xlfn.XLOOKUP(C241,'00_SKU_Master'!$B$2:$B$378,'00_SKU_Master'!K:K)</f>
        <v/>
      </c>
      <c r="M239" s="14">
        <f>X241</f>
        <v/>
      </c>
      <c r="N239" s="157">
        <f>_xludf.IFNA(D241/_xlfn.XLOOKUP($M241,'00_SKU_Master'!$B$2:$B$378,'00_SKU_Master'!$M$2:$M$378,0)/$M$2,"0")</f>
        <v/>
      </c>
      <c r="O239" s="157">
        <f>_xludf.IFNA(E241/_xlfn.XLOOKUP($M241,'00_SKU_Master'!$B$2:$B$378,'00_SKU_Master'!$M$2:$M$378,0)/$M$2,"0")</f>
        <v/>
      </c>
      <c r="P239" s="157">
        <f>_xludf.IFNA(F241/_xlfn.XLOOKUP($M241,'00_SKU_Master'!$B$2:$B$378,'00_SKU_Master'!$M$2:$M$378,0)/$M$2,"0")</f>
        <v/>
      </c>
      <c r="Q239" s="157">
        <f>_xludf.IFNA(G241/_xlfn.XLOOKUP($M241,'00_SKU_Master'!$B$2:$B$378,'00_SKU_Master'!$M$2:$M$378,0)/$M$2,"0")</f>
        <v/>
      </c>
      <c r="R239" s="157">
        <f>_xludf.IFNA(H241/_xlfn.XLOOKUP($M241,'00_SKU_Master'!$B$2:$B$378,'00_SKU_Master'!$M$2:$M$378,0)/$M$2,"0")</f>
        <v/>
      </c>
      <c r="S239" s="157">
        <f>_xludf.IFNA(I241/_xlfn.XLOOKUP($M241,'00_SKU_Master'!$B$2:$B$378,'00_SKU_Master'!$M$2:$M$378,0)/$M$2,"0")</f>
        <v/>
      </c>
      <c r="T239" s="157">
        <f>_xludf.IFNA(J241/_xlfn.XLOOKUP($M241,'00_SKU_Master'!$B$2:$B$378,'00_SKU_Master'!$M$2:$M$378,0)/$M$2,"0")</f>
        <v/>
      </c>
      <c r="U239" s="157">
        <f>SUM(N241:T241)</f>
        <v/>
      </c>
      <c r="V239" s="4" t="n"/>
      <c r="W239" s="4">
        <f>_xlfn.XLOOKUP(M241,'00_SKU_Master'!$B$2:$B$378,'00_SKU_Master'!D:D)</f>
        <v/>
      </c>
      <c r="X239" s="14">
        <f>'05_Daily_Orders'!B240</f>
        <v/>
      </c>
      <c r="Y239" s="588" t="n"/>
      <c r="Z239" s="589" t="n"/>
      <c r="AA239" s="589" t="n"/>
      <c r="AB239" s="589" t="n"/>
      <c r="AC239" s="589" t="n">
        <v>0</v>
      </c>
      <c r="AD239" s="589" t="n">
        <v>0</v>
      </c>
      <c r="AE239" s="589" t="n">
        <v>0</v>
      </c>
      <c r="AF239" s="587">
        <f>SUM(Y241:AE241)</f>
        <v/>
      </c>
      <c r="AQ239" s="23" t="n">
        <v>7</v>
      </c>
      <c r="AR239" s="23" t="n">
        <v>0</v>
      </c>
      <c r="AS239" s="23">
        <f>AR241-AQ241</f>
        <v/>
      </c>
    </row>
    <row r="240">
      <c r="A240" s="148">
        <f>_xlfn.XLOOKUP(C242,'00_SKU_Master'!$B$2:$B$378,'00_SKU_Master'!$C$2:$C$378)</f>
        <v/>
      </c>
      <c r="B240" s="148" t="n"/>
      <c r="C240" s="148">
        <f>X242</f>
        <v/>
      </c>
      <c r="D240" s="586">
        <f>_xludf.IFNA(_xlfn.XLOOKUP(C242,'00_SKU_Master'!$B$2:$B$378,'00_SKU_Master'!$F$2:$F$378,0)*Y242,"")</f>
        <v/>
      </c>
      <c r="E240" s="586">
        <f>_xludf.IFNA(_xlfn.XLOOKUP(C242,'00_SKU_Master'!$B$2:$B$378,'00_SKU_Master'!$F$2:$F$378,0)*Z242,"")</f>
        <v/>
      </c>
      <c r="F240" s="586">
        <f>_xludf.IFNA(_xlfn.XLOOKUP(C242,'00_SKU_Master'!$B$2:$B$378,'00_SKU_Master'!$F$2:$F$378,0)*AA242,"")</f>
        <v/>
      </c>
      <c r="G240" s="586">
        <f>_xludf.IFNA(_xlfn.XLOOKUP(C242,'00_SKU_Master'!$B$2:$B$378,'00_SKU_Master'!$F$2:$F$378,0)*AB242,"")</f>
        <v/>
      </c>
      <c r="H240" s="586">
        <f>_xludf.IFNA(_xlfn.XLOOKUP(C242,'00_SKU_Master'!$B$2:$B$378,'00_SKU_Master'!$F$2:$F$378,0)*AC242,"")</f>
        <v/>
      </c>
      <c r="I240" s="586">
        <f>_xludf.IFNA(_xlfn.XLOOKUP(C242,'00_SKU_Master'!$B$2:$B$378,'00_SKU_Master'!$F$2:$F$378,0)*AD242,"")</f>
        <v/>
      </c>
      <c r="J240" s="586">
        <f>_xludf.IFNA(_xlfn.XLOOKUP(C242,'00_SKU_Master'!$B$2:$B$378,'00_SKU_Master'!$F$2:$F$378,0)*AE242,"")</f>
        <v/>
      </c>
      <c r="K240" s="587">
        <f>SUM(D242:J242)</f>
        <v/>
      </c>
      <c r="L240" s="197">
        <f>_xlfn.XLOOKUP(C242,'00_SKU_Master'!$B$2:$B$378,'00_SKU_Master'!K:K)</f>
        <v/>
      </c>
      <c r="M240" s="14">
        <f>X242</f>
        <v/>
      </c>
      <c r="N240" s="157">
        <f>_xludf.IFNA(D242/_xlfn.XLOOKUP($M242,'00_SKU_Master'!$B$2:$B$378,'00_SKU_Master'!$M$2:$M$378,0)/$M$2,"0")</f>
        <v/>
      </c>
      <c r="O240" s="157">
        <f>_xludf.IFNA(E242/_xlfn.XLOOKUP($M242,'00_SKU_Master'!$B$2:$B$378,'00_SKU_Master'!$M$2:$M$378,0)/$M$2,"0")</f>
        <v/>
      </c>
      <c r="P240" s="157">
        <f>_xludf.IFNA(F242/_xlfn.XLOOKUP($M242,'00_SKU_Master'!$B$2:$B$378,'00_SKU_Master'!$M$2:$M$378,0)/$M$2,"0")</f>
        <v/>
      </c>
      <c r="Q240" s="157">
        <f>_xludf.IFNA(G242/_xlfn.XLOOKUP($M242,'00_SKU_Master'!$B$2:$B$378,'00_SKU_Master'!$M$2:$M$378,0)/$M$2,"0")</f>
        <v/>
      </c>
      <c r="R240" s="157">
        <f>_xludf.IFNA(H242/_xlfn.XLOOKUP($M242,'00_SKU_Master'!$B$2:$B$378,'00_SKU_Master'!$M$2:$M$378,0)/$M$2,"0")</f>
        <v/>
      </c>
      <c r="S240" s="157">
        <f>_xludf.IFNA(I242/_xlfn.XLOOKUP($M242,'00_SKU_Master'!$B$2:$B$378,'00_SKU_Master'!$M$2:$M$378,0)/$M$2,"0")</f>
        <v/>
      </c>
      <c r="T240" s="157">
        <f>_xludf.IFNA(J242/_xlfn.XLOOKUP($M242,'00_SKU_Master'!$B$2:$B$378,'00_SKU_Master'!$M$2:$M$378,0)/$M$2,"0")</f>
        <v/>
      </c>
      <c r="U240" s="157">
        <f>SUM(N242:T242)</f>
        <v/>
      </c>
      <c r="V240" s="4" t="n"/>
      <c r="W240" s="4">
        <f>_xlfn.XLOOKUP(M242,'00_SKU_Master'!$B$2:$B$378,'00_SKU_Master'!D:D)</f>
        <v/>
      </c>
      <c r="X240" s="14">
        <f>'05_Daily_Orders'!B241</f>
        <v/>
      </c>
      <c r="Y240" s="588" t="n"/>
      <c r="Z240" s="589" t="n"/>
      <c r="AA240" s="589" t="n"/>
      <c r="AB240" s="589" t="n"/>
      <c r="AC240" s="589" t="n">
        <v>0</v>
      </c>
      <c r="AD240" s="589" t="n">
        <v>0</v>
      </c>
      <c r="AE240" s="589" t="n">
        <v>0</v>
      </c>
      <c r="AF240" s="587">
        <f>SUM(Y242:AE242)</f>
        <v/>
      </c>
      <c r="AQ240" s="23" t="n">
        <v>0</v>
      </c>
      <c r="AR240" s="23" t="n">
        <v>0</v>
      </c>
      <c r="AS240" s="23">
        <f>AR242-AQ242</f>
        <v/>
      </c>
    </row>
    <row r="241">
      <c r="A241" s="148">
        <f>_xlfn.XLOOKUP(C243,'00_SKU_Master'!$B$2:$B$378,'00_SKU_Master'!$C$2:$C$378)</f>
        <v/>
      </c>
      <c r="B241" s="148" t="n"/>
      <c r="C241" s="148">
        <f>X243</f>
        <v/>
      </c>
      <c r="D241" s="586">
        <f>_xludf.IFNA(_xlfn.XLOOKUP(C243,'00_SKU_Master'!$B$2:$B$378,'00_SKU_Master'!$F$2:$F$378,0)*Y243,"")</f>
        <v/>
      </c>
      <c r="E241" s="586">
        <f>_xludf.IFNA(_xlfn.XLOOKUP(C243,'00_SKU_Master'!$B$2:$B$378,'00_SKU_Master'!$F$2:$F$378,0)*Z243,"")</f>
        <v/>
      </c>
      <c r="F241" s="586">
        <f>_xludf.IFNA(_xlfn.XLOOKUP(C243,'00_SKU_Master'!$B$2:$B$378,'00_SKU_Master'!$F$2:$F$378,0)*AA243,"")</f>
        <v/>
      </c>
      <c r="G241" s="586">
        <f>_xludf.IFNA(_xlfn.XLOOKUP(C243,'00_SKU_Master'!$B$2:$B$378,'00_SKU_Master'!$F$2:$F$378,0)*AB243,"")</f>
        <v/>
      </c>
      <c r="H241" s="586">
        <f>_xludf.IFNA(_xlfn.XLOOKUP(C243,'00_SKU_Master'!$B$2:$B$378,'00_SKU_Master'!$F$2:$F$378,0)*AC243,"")</f>
        <v/>
      </c>
      <c r="I241" s="586">
        <f>_xludf.IFNA(_xlfn.XLOOKUP(C243,'00_SKU_Master'!$B$2:$B$378,'00_SKU_Master'!$F$2:$F$378,0)*AD243,"")</f>
        <v/>
      </c>
      <c r="J241" s="586">
        <f>_xludf.IFNA(_xlfn.XLOOKUP(C243,'00_SKU_Master'!$B$2:$B$378,'00_SKU_Master'!$F$2:$F$378,0)*AE243,"")</f>
        <v/>
      </c>
      <c r="K241" s="587">
        <f>SUM(D243:J243)</f>
        <v/>
      </c>
      <c r="L241" s="197">
        <f>_xlfn.XLOOKUP(C243,'00_SKU_Master'!$B$2:$B$378,'00_SKU_Master'!K:K)</f>
        <v/>
      </c>
      <c r="M241" s="14">
        <f>X243</f>
        <v/>
      </c>
      <c r="N241" s="157">
        <f>_xludf.IFNA(D243/_xlfn.XLOOKUP($M243,'00_SKU_Master'!$B$2:$B$378,'00_SKU_Master'!$M$2:$M$378,0)/$M$2,"0")</f>
        <v/>
      </c>
      <c r="O241" s="157">
        <f>_xludf.IFNA(E243/_xlfn.XLOOKUP($M243,'00_SKU_Master'!$B$2:$B$378,'00_SKU_Master'!$M$2:$M$378,0)/$M$2,"0")</f>
        <v/>
      </c>
      <c r="P241" s="157">
        <f>_xludf.IFNA(F243/_xlfn.XLOOKUP($M243,'00_SKU_Master'!$B$2:$B$378,'00_SKU_Master'!$M$2:$M$378,0)/$M$2,"0")</f>
        <v/>
      </c>
      <c r="Q241" s="157">
        <f>_xludf.IFNA(G243/_xlfn.XLOOKUP($M243,'00_SKU_Master'!$B$2:$B$378,'00_SKU_Master'!$M$2:$M$378,0)/$M$2,"0")</f>
        <v/>
      </c>
      <c r="R241" s="157">
        <f>_xludf.IFNA(H243/_xlfn.XLOOKUP($M243,'00_SKU_Master'!$B$2:$B$378,'00_SKU_Master'!$M$2:$M$378,0)/$M$2,"0")</f>
        <v/>
      </c>
      <c r="S241" s="157">
        <f>_xludf.IFNA(I243/_xlfn.XLOOKUP($M243,'00_SKU_Master'!$B$2:$B$378,'00_SKU_Master'!$M$2:$M$378,0)/$M$2,"0")</f>
        <v/>
      </c>
      <c r="T241" s="157">
        <f>_xludf.IFNA(J243/_xlfn.XLOOKUP($M243,'00_SKU_Master'!$B$2:$B$378,'00_SKU_Master'!$M$2:$M$378,0)/$M$2,"0")</f>
        <v/>
      </c>
      <c r="U241" s="157">
        <f>SUM(N243:T243)</f>
        <v/>
      </c>
      <c r="V241" s="4" t="n"/>
      <c r="W241" s="4">
        <f>_xlfn.XLOOKUP(M243,'00_SKU_Master'!$B$2:$B$378,'00_SKU_Master'!D:D)</f>
        <v/>
      </c>
      <c r="X241" s="14">
        <f>'05_Daily_Orders'!B242</f>
        <v/>
      </c>
      <c r="Y241" s="588" t="n"/>
      <c r="Z241" s="589" t="n"/>
      <c r="AA241" s="589" t="n"/>
      <c r="AB241" s="589" t="n"/>
      <c r="AC241" s="589" t="n">
        <v>0</v>
      </c>
      <c r="AD241" s="589" t="n">
        <v>0</v>
      </c>
      <c r="AE241" s="589" t="n">
        <v>0</v>
      </c>
      <c r="AF241" s="587">
        <f>SUM(Y243:AE243)</f>
        <v/>
      </c>
      <c r="AQ241" s="23" t="n">
        <v>0</v>
      </c>
      <c r="AR241" s="23" t="n">
        <v>0</v>
      </c>
      <c r="AS241" s="23">
        <f>AR243-AQ243</f>
        <v/>
      </c>
    </row>
    <row r="242">
      <c r="A242" s="148">
        <f>_xlfn.XLOOKUP(C244,'00_SKU_Master'!$B$2:$B$378,'00_SKU_Master'!$C$2:$C$378)</f>
        <v/>
      </c>
      <c r="B242" s="148" t="n"/>
      <c r="C242" s="148">
        <f>X244</f>
        <v/>
      </c>
      <c r="D242" s="586">
        <f>_xludf.IFNA(_xlfn.XLOOKUP(C244,'00_SKU_Master'!$B$2:$B$378,'00_SKU_Master'!$F$2:$F$378,0)*Y244,"")</f>
        <v/>
      </c>
      <c r="E242" s="586">
        <f>_xludf.IFNA(_xlfn.XLOOKUP(C244,'00_SKU_Master'!$B$2:$B$378,'00_SKU_Master'!$F$2:$F$378,0)*Z244,"")</f>
        <v/>
      </c>
      <c r="F242" s="586">
        <f>_xludf.IFNA(_xlfn.XLOOKUP(C244,'00_SKU_Master'!$B$2:$B$378,'00_SKU_Master'!$F$2:$F$378,0)*AA244,"")</f>
        <v/>
      </c>
      <c r="G242" s="586">
        <f>_xludf.IFNA(_xlfn.XLOOKUP(C244,'00_SKU_Master'!$B$2:$B$378,'00_SKU_Master'!$F$2:$F$378,0)*AB244,"")</f>
        <v/>
      </c>
      <c r="H242" s="586">
        <f>_xludf.IFNA(_xlfn.XLOOKUP(C244,'00_SKU_Master'!$B$2:$B$378,'00_SKU_Master'!$F$2:$F$378,0)*AC244,"")</f>
        <v/>
      </c>
      <c r="I242" s="586">
        <f>_xludf.IFNA(_xlfn.XLOOKUP(C244,'00_SKU_Master'!$B$2:$B$378,'00_SKU_Master'!$F$2:$F$378,0)*AD244,"")</f>
        <v/>
      </c>
      <c r="J242" s="586">
        <f>_xludf.IFNA(_xlfn.XLOOKUP(C244,'00_SKU_Master'!$B$2:$B$378,'00_SKU_Master'!$F$2:$F$378,0)*AE244,"")</f>
        <v/>
      </c>
      <c r="K242" s="587">
        <f>SUM(D244:J244)</f>
        <v/>
      </c>
      <c r="L242" s="197">
        <f>_xlfn.XLOOKUP(C244,'00_SKU_Master'!$B$2:$B$378,'00_SKU_Master'!K:K)</f>
        <v/>
      </c>
      <c r="M242" s="14">
        <f>X244</f>
        <v/>
      </c>
      <c r="N242" s="157">
        <f>_xludf.IFNA(D244/_xlfn.XLOOKUP($M244,'00_SKU_Master'!$B$2:$B$378,'00_SKU_Master'!$M$2:$M$378,0)/$M$2,"0")</f>
        <v/>
      </c>
      <c r="O242" s="157">
        <f>_xludf.IFNA(E244/_xlfn.XLOOKUP($M244,'00_SKU_Master'!$B$2:$B$378,'00_SKU_Master'!$M$2:$M$378,0)/$M$2,"0")</f>
        <v/>
      </c>
      <c r="P242" s="157">
        <f>_xludf.IFNA(F244/_xlfn.XLOOKUP($M244,'00_SKU_Master'!$B$2:$B$378,'00_SKU_Master'!$M$2:$M$378,0)/$M$2,"0")</f>
        <v/>
      </c>
      <c r="Q242" s="157">
        <f>_xludf.IFNA(G244/_xlfn.XLOOKUP($M244,'00_SKU_Master'!$B$2:$B$378,'00_SKU_Master'!$M$2:$M$378,0)/$M$2,"0")</f>
        <v/>
      </c>
      <c r="R242" s="157">
        <f>_xludf.IFNA(H244/_xlfn.XLOOKUP($M244,'00_SKU_Master'!$B$2:$B$378,'00_SKU_Master'!$M$2:$M$378,0)/$M$2,"0")</f>
        <v/>
      </c>
      <c r="S242" s="157">
        <f>_xludf.IFNA(I244/_xlfn.XLOOKUP($M244,'00_SKU_Master'!$B$2:$B$378,'00_SKU_Master'!$M$2:$M$378,0)/$M$2,"0")</f>
        <v/>
      </c>
      <c r="T242" s="157">
        <f>_xludf.IFNA(J244/_xlfn.XLOOKUP($M244,'00_SKU_Master'!$B$2:$B$378,'00_SKU_Master'!$M$2:$M$378,0)/$M$2,"0")</f>
        <v/>
      </c>
      <c r="U242" s="157">
        <f>SUM(N244:T244)</f>
        <v/>
      </c>
      <c r="V242" s="4" t="n"/>
      <c r="W242" s="4">
        <f>_xlfn.XLOOKUP(M244,'00_SKU_Master'!$B$2:$B$378,'00_SKU_Master'!D:D)</f>
        <v/>
      </c>
      <c r="X242" s="14">
        <f>'05_Daily_Orders'!B243</f>
        <v/>
      </c>
      <c r="Y242" s="588" t="n"/>
      <c r="Z242" s="589" t="n"/>
      <c r="AA242" s="589" t="n"/>
      <c r="AB242" s="589" t="n"/>
      <c r="AC242" s="589" t="n">
        <v>0</v>
      </c>
      <c r="AD242" s="589" t="n">
        <v>0</v>
      </c>
      <c r="AE242" s="589" t="n">
        <v>0</v>
      </c>
      <c r="AF242" s="587">
        <f>SUM(Y244:AE244)</f>
        <v/>
      </c>
      <c r="AQ242" s="23" t="n">
        <v>0</v>
      </c>
      <c r="AR242" s="23" t="n">
        <v>0</v>
      </c>
      <c r="AS242" s="23">
        <f>AR244-AQ244</f>
        <v/>
      </c>
    </row>
    <row r="243">
      <c r="A243" s="148">
        <f>_xlfn.XLOOKUP(C245,'00_SKU_Master'!$B$2:$B$378,'00_SKU_Master'!$C$2:$C$378)</f>
        <v/>
      </c>
      <c r="B243" s="148" t="n"/>
      <c r="C243" s="148">
        <f>X245</f>
        <v/>
      </c>
      <c r="D243" s="586">
        <f>_xludf.IFNA(_xlfn.XLOOKUP(C245,'00_SKU_Master'!$B$2:$B$378,'00_SKU_Master'!$F$2:$F$378,0)*Y245,"")</f>
        <v/>
      </c>
      <c r="E243" s="586">
        <f>_xludf.IFNA(_xlfn.XLOOKUP(C245,'00_SKU_Master'!$B$2:$B$378,'00_SKU_Master'!$F$2:$F$378,0)*Z245,"")</f>
        <v/>
      </c>
      <c r="F243" s="586">
        <f>_xludf.IFNA(_xlfn.XLOOKUP(C245,'00_SKU_Master'!$B$2:$B$378,'00_SKU_Master'!$F$2:$F$378,0)*AA245,"")</f>
        <v/>
      </c>
      <c r="G243" s="586">
        <f>_xludf.IFNA(_xlfn.XLOOKUP(C245,'00_SKU_Master'!$B$2:$B$378,'00_SKU_Master'!$F$2:$F$378,0)*AB245,"")</f>
        <v/>
      </c>
      <c r="H243" s="586">
        <f>_xludf.IFNA(_xlfn.XLOOKUP(C245,'00_SKU_Master'!$B$2:$B$378,'00_SKU_Master'!$F$2:$F$378,0)*AC245,"")</f>
        <v/>
      </c>
      <c r="I243" s="586">
        <f>_xludf.IFNA(_xlfn.XLOOKUP(C245,'00_SKU_Master'!$B$2:$B$378,'00_SKU_Master'!$F$2:$F$378,0)*AD245,"")</f>
        <v/>
      </c>
      <c r="J243" s="586">
        <f>_xludf.IFNA(_xlfn.XLOOKUP(C245,'00_SKU_Master'!$B$2:$B$378,'00_SKU_Master'!$F$2:$F$378,0)*AE245,"")</f>
        <v/>
      </c>
      <c r="K243" s="587">
        <f>SUM(D245:J245)</f>
        <v/>
      </c>
      <c r="L243" s="197">
        <f>_xlfn.XLOOKUP(C245,'00_SKU_Master'!$B$2:$B$378,'00_SKU_Master'!K:K)</f>
        <v/>
      </c>
      <c r="M243" s="14">
        <f>X245</f>
        <v/>
      </c>
      <c r="N243" s="157">
        <f>_xludf.IFNA(D245/_xlfn.XLOOKUP($M245,'00_SKU_Master'!$B$2:$B$378,'00_SKU_Master'!$M$2:$M$378,0)/$M$2,"0")</f>
        <v/>
      </c>
      <c r="O243" s="157">
        <f>_xludf.IFNA(E245/_xlfn.XLOOKUP($M245,'00_SKU_Master'!$B$2:$B$378,'00_SKU_Master'!$M$2:$M$378,0)/$M$2,"0")</f>
        <v/>
      </c>
      <c r="P243" s="157">
        <f>_xludf.IFNA(F245/_xlfn.XLOOKUP($M245,'00_SKU_Master'!$B$2:$B$378,'00_SKU_Master'!$M$2:$M$378,0)/$M$2,"0")</f>
        <v/>
      </c>
      <c r="Q243" s="157">
        <f>_xludf.IFNA(G245/_xlfn.XLOOKUP($M245,'00_SKU_Master'!$B$2:$B$378,'00_SKU_Master'!$M$2:$M$378,0)/$M$2,"0")</f>
        <v/>
      </c>
      <c r="R243" s="157">
        <f>_xludf.IFNA(H245/_xlfn.XLOOKUP($M245,'00_SKU_Master'!$B$2:$B$378,'00_SKU_Master'!$M$2:$M$378,0)/$M$2,"0")</f>
        <v/>
      </c>
      <c r="S243" s="157">
        <f>_xludf.IFNA(I245/_xlfn.XLOOKUP($M245,'00_SKU_Master'!$B$2:$B$378,'00_SKU_Master'!$M$2:$M$378,0)/$M$2,"0")</f>
        <v/>
      </c>
      <c r="T243" s="157">
        <f>_xludf.IFNA(J245/_xlfn.XLOOKUP($M245,'00_SKU_Master'!$B$2:$B$378,'00_SKU_Master'!$M$2:$M$378,0)/$M$2,"0")</f>
        <v/>
      </c>
      <c r="U243" s="157">
        <f>SUM(N245:T245)</f>
        <v/>
      </c>
      <c r="V243" s="4" t="n"/>
      <c r="W243" s="4">
        <f>_xlfn.XLOOKUP(M245,'00_SKU_Master'!$B$2:$B$378,'00_SKU_Master'!D:D)</f>
        <v/>
      </c>
      <c r="X243" s="14">
        <f>'05_Daily_Orders'!B244</f>
        <v/>
      </c>
      <c r="Y243" s="588" t="n"/>
      <c r="Z243" s="589" t="n"/>
      <c r="AA243" s="589" t="n"/>
      <c r="AB243" s="589" t="n"/>
      <c r="AC243" s="589" t="n">
        <v>46</v>
      </c>
      <c r="AD243" s="589" t="n">
        <v>0</v>
      </c>
      <c r="AE243" s="589" t="n">
        <v>40</v>
      </c>
      <c r="AF243" s="587">
        <f>SUM(Y245:AE245)</f>
        <v/>
      </c>
      <c r="AQ243" s="23" t="n">
        <v>0</v>
      </c>
      <c r="AR243" s="23" t="n">
        <v>0</v>
      </c>
      <c r="AS243" s="23">
        <f>AR245-AQ245</f>
        <v/>
      </c>
    </row>
    <row r="244">
      <c r="A244" s="148">
        <f>_xlfn.XLOOKUP(C246,'00_SKU_Master'!$B$2:$B$378,'00_SKU_Master'!$C$2:$C$378)</f>
        <v/>
      </c>
      <c r="B244" s="148" t="n"/>
      <c r="C244" s="148">
        <f>X246</f>
        <v/>
      </c>
      <c r="D244" s="586">
        <f>_xludf.IFNA(_xlfn.XLOOKUP(C246,'00_SKU_Master'!$B$2:$B$378,'00_SKU_Master'!$F$2:$F$378,0)*Y246,"")</f>
        <v/>
      </c>
      <c r="E244" s="586">
        <f>_xludf.IFNA(_xlfn.XLOOKUP(C246,'00_SKU_Master'!$B$2:$B$378,'00_SKU_Master'!$F$2:$F$378,0)*Z246,"")</f>
        <v/>
      </c>
      <c r="F244" s="586">
        <f>_xludf.IFNA(_xlfn.XLOOKUP(C246,'00_SKU_Master'!$B$2:$B$378,'00_SKU_Master'!$F$2:$F$378,0)*AA246,"")</f>
        <v/>
      </c>
      <c r="G244" s="586">
        <f>_xludf.IFNA(_xlfn.XLOOKUP(C246,'00_SKU_Master'!$B$2:$B$378,'00_SKU_Master'!$F$2:$F$378,0)*AB246,"")</f>
        <v/>
      </c>
      <c r="H244" s="586">
        <f>_xludf.IFNA(_xlfn.XLOOKUP(C246,'00_SKU_Master'!$B$2:$B$378,'00_SKU_Master'!$F$2:$F$378,0)*AC246,"")</f>
        <v/>
      </c>
      <c r="I244" s="586">
        <f>_xludf.IFNA(_xlfn.XLOOKUP(C246,'00_SKU_Master'!$B$2:$B$378,'00_SKU_Master'!$F$2:$F$378,0)*AD246,"")</f>
        <v/>
      </c>
      <c r="J244" s="586">
        <f>_xludf.IFNA(_xlfn.XLOOKUP(C246,'00_SKU_Master'!$B$2:$B$378,'00_SKU_Master'!$F$2:$F$378,0)*AE246,"")</f>
        <v/>
      </c>
      <c r="K244" s="587">
        <f>SUM(D246:J246)</f>
        <v/>
      </c>
      <c r="L244" s="197">
        <f>_xlfn.XLOOKUP(C246,'00_SKU_Master'!$B$2:$B$378,'00_SKU_Master'!K:K)</f>
        <v/>
      </c>
      <c r="M244" s="14">
        <f>X246</f>
        <v/>
      </c>
      <c r="N244" s="157">
        <f>_xludf.IFNA(D246/_xlfn.XLOOKUP($M246,'00_SKU_Master'!$B$2:$B$378,'00_SKU_Master'!$M$2:$M$378,0)/$M$2,"0")</f>
        <v/>
      </c>
      <c r="O244" s="157">
        <f>_xludf.IFNA(E246/_xlfn.XLOOKUP($M246,'00_SKU_Master'!$B$2:$B$378,'00_SKU_Master'!$M$2:$M$378,0)/$M$2,"0")</f>
        <v/>
      </c>
      <c r="P244" s="157">
        <f>_xludf.IFNA(F246/_xlfn.XLOOKUP($M246,'00_SKU_Master'!$B$2:$B$378,'00_SKU_Master'!$M$2:$M$378,0)/$M$2,"0")</f>
        <v/>
      </c>
      <c r="Q244" s="157">
        <f>_xludf.IFNA(G246/_xlfn.XLOOKUP($M246,'00_SKU_Master'!$B$2:$B$378,'00_SKU_Master'!$M$2:$M$378,0)/$M$2,"0")</f>
        <v/>
      </c>
      <c r="R244" s="157">
        <f>_xludf.IFNA(H246/_xlfn.XLOOKUP($M246,'00_SKU_Master'!$B$2:$B$378,'00_SKU_Master'!$M$2:$M$378,0)/$M$2,"0")</f>
        <v/>
      </c>
      <c r="S244" s="157">
        <f>_xludf.IFNA(I246/_xlfn.XLOOKUP($M246,'00_SKU_Master'!$B$2:$B$378,'00_SKU_Master'!$M$2:$M$378,0)/$M$2,"0")</f>
        <v/>
      </c>
      <c r="T244" s="157">
        <f>_xludf.IFNA(J246/_xlfn.XLOOKUP($M246,'00_SKU_Master'!$B$2:$B$378,'00_SKU_Master'!$M$2:$M$378,0)/$M$2,"0")</f>
        <v/>
      </c>
      <c r="U244" s="157">
        <f>SUM(N246:T246)</f>
        <v/>
      </c>
      <c r="V244" s="4" t="n"/>
      <c r="W244" s="4">
        <f>_xlfn.XLOOKUP(M246,'00_SKU_Master'!$B$2:$B$378,'00_SKU_Master'!D:D)</f>
        <v/>
      </c>
      <c r="X244" s="14">
        <f>'05_Daily_Orders'!B245</f>
        <v/>
      </c>
      <c r="Y244" s="588" t="n"/>
      <c r="Z244" s="589" t="n"/>
      <c r="AA244" s="589" t="n"/>
      <c r="AB244" s="589" t="n"/>
      <c r="AC244" s="589" t="n">
        <v>0</v>
      </c>
      <c r="AD244" s="589" t="n">
        <v>0</v>
      </c>
      <c r="AE244" s="589" t="n">
        <v>0</v>
      </c>
      <c r="AF244" s="587">
        <f>SUM(Y246:AE246)</f>
        <v/>
      </c>
      <c r="AQ244" s="23" t="n">
        <v>0</v>
      </c>
      <c r="AR244" s="23" t="n">
        <v>0</v>
      </c>
      <c r="AS244" s="23">
        <f>AR246-AQ246</f>
        <v/>
      </c>
    </row>
    <row r="245">
      <c r="A245" s="148">
        <f>_xlfn.XLOOKUP(C247,'00_SKU_Master'!$B$2:$B$378,'00_SKU_Master'!$C$2:$C$378)</f>
        <v/>
      </c>
      <c r="B245" s="148" t="n"/>
      <c r="C245" s="148">
        <f>X247</f>
        <v/>
      </c>
      <c r="D245" s="586">
        <f>_xludf.IFNA(_xlfn.XLOOKUP(C247,'00_SKU_Master'!$B$2:$B$378,'00_SKU_Master'!$F$2:$F$378,0)*Y247,"")</f>
        <v/>
      </c>
      <c r="E245" s="586">
        <f>_xludf.IFNA(_xlfn.XLOOKUP(C247,'00_SKU_Master'!$B$2:$B$378,'00_SKU_Master'!$F$2:$F$378,0)*Z247,"")</f>
        <v/>
      </c>
      <c r="F245" s="586">
        <f>_xludf.IFNA(_xlfn.XLOOKUP(C247,'00_SKU_Master'!$B$2:$B$378,'00_SKU_Master'!$F$2:$F$378,0)*AA247,"")</f>
        <v/>
      </c>
      <c r="G245" s="586">
        <f>_xludf.IFNA(_xlfn.XLOOKUP(C247,'00_SKU_Master'!$B$2:$B$378,'00_SKU_Master'!$F$2:$F$378,0)*AB247,"")</f>
        <v/>
      </c>
      <c r="H245" s="586">
        <f>_xludf.IFNA(_xlfn.XLOOKUP(C247,'00_SKU_Master'!$B$2:$B$378,'00_SKU_Master'!$F$2:$F$378,0)*AC247,"")</f>
        <v/>
      </c>
      <c r="I245" s="586">
        <f>_xludf.IFNA(_xlfn.XLOOKUP(C247,'00_SKU_Master'!$B$2:$B$378,'00_SKU_Master'!$F$2:$F$378,0)*AD247,"")</f>
        <v/>
      </c>
      <c r="J245" s="586">
        <f>_xludf.IFNA(_xlfn.XLOOKUP(C247,'00_SKU_Master'!$B$2:$B$378,'00_SKU_Master'!$F$2:$F$378,0)*AE247,"")</f>
        <v/>
      </c>
      <c r="K245" s="587">
        <f>SUM(D247:J247)</f>
        <v/>
      </c>
      <c r="L245" s="197">
        <f>_xlfn.XLOOKUP(C247,'00_SKU_Master'!$B$2:$B$378,'00_SKU_Master'!K:K)</f>
        <v/>
      </c>
      <c r="M245" s="14">
        <f>X247</f>
        <v/>
      </c>
      <c r="N245" s="157">
        <f>_xludf.IFNA(D247/_xlfn.XLOOKUP($M247,'00_SKU_Master'!$B$2:$B$378,'00_SKU_Master'!$M$2:$M$378,0)/$M$2,"0")</f>
        <v/>
      </c>
      <c r="O245" s="157">
        <f>_xludf.IFNA(E247/_xlfn.XLOOKUP($M247,'00_SKU_Master'!$B$2:$B$378,'00_SKU_Master'!$M$2:$M$378,0)/$M$2,"0")</f>
        <v/>
      </c>
      <c r="P245" s="157">
        <f>_xludf.IFNA(F247/_xlfn.XLOOKUP($M247,'00_SKU_Master'!$B$2:$B$378,'00_SKU_Master'!$M$2:$M$378,0)/$M$2,"0")</f>
        <v/>
      </c>
      <c r="Q245" s="157">
        <f>_xludf.IFNA(G247/_xlfn.XLOOKUP($M247,'00_SKU_Master'!$B$2:$B$378,'00_SKU_Master'!$M$2:$M$378,0)/$M$2,"0")</f>
        <v/>
      </c>
      <c r="R245" s="157">
        <f>_xludf.IFNA(H247/_xlfn.XLOOKUP($M247,'00_SKU_Master'!$B$2:$B$378,'00_SKU_Master'!$M$2:$M$378,0)/$M$2,"0")</f>
        <v/>
      </c>
      <c r="S245" s="157">
        <f>_xludf.IFNA(I247/_xlfn.XLOOKUP($M247,'00_SKU_Master'!$B$2:$B$378,'00_SKU_Master'!$M$2:$M$378,0)/$M$2,"0")</f>
        <v/>
      </c>
      <c r="T245" s="157">
        <f>_xludf.IFNA(J247/_xlfn.XLOOKUP($M247,'00_SKU_Master'!$B$2:$B$378,'00_SKU_Master'!$M$2:$M$378,0)/$M$2,"0")</f>
        <v/>
      </c>
      <c r="U245" s="157">
        <f>SUM(N247:T247)</f>
        <v/>
      </c>
      <c r="V245" s="4" t="n"/>
      <c r="W245" s="4">
        <f>_xlfn.XLOOKUP(M247,'00_SKU_Master'!$B$2:$B$378,'00_SKU_Master'!D:D)</f>
        <v/>
      </c>
      <c r="X245" s="14">
        <f>'05_Daily_Orders'!B246</f>
        <v/>
      </c>
      <c r="Y245" s="588" t="n"/>
      <c r="Z245" s="589" t="n"/>
      <c r="AA245" s="589" t="n"/>
      <c r="AB245" s="589" t="n"/>
      <c r="AC245" s="589" t="n">
        <v>0</v>
      </c>
      <c r="AD245" s="589" t="n">
        <v>0</v>
      </c>
      <c r="AE245" s="589" t="n">
        <v>0</v>
      </c>
      <c r="AF245" s="587">
        <f>SUM(Y247:AE247)</f>
        <v/>
      </c>
      <c r="AQ245" s="23" t="n">
        <v>0</v>
      </c>
      <c r="AR245" s="23" t="n">
        <v>0</v>
      </c>
      <c r="AS245" s="23">
        <f>AR247-AQ247</f>
        <v/>
      </c>
    </row>
    <row r="246">
      <c r="A246" s="148">
        <f>_xlfn.XLOOKUP(C248,'00_SKU_Master'!$B$2:$B$378,'00_SKU_Master'!$C$2:$C$378)</f>
        <v/>
      </c>
      <c r="B246" s="148" t="n"/>
      <c r="C246" s="148">
        <f>X248</f>
        <v/>
      </c>
      <c r="D246" s="586">
        <f>_xludf.IFNA(_xlfn.XLOOKUP(C248,'00_SKU_Master'!$B$2:$B$378,'00_SKU_Master'!$F$2:$F$378,0)*Y248,"")</f>
        <v/>
      </c>
      <c r="E246" s="586">
        <f>_xludf.IFNA(_xlfn.XLOOKUP(C248,'00_SKU_Master'!$B$2:$B$378,'00_SKU_Master'!$F$2:$F$378,0)*Z248,"")</f>
        <v/>
      </c>
      <c r="F246" s="586">
        <f>_xludf.IFNA(_xlfn.XLOOKUP(C248,'00_SKU_Master'!$B$2:$B$378,'00_SKU_Master'!$F$2:$F$378,0)*AA248,"")</f>
        <v/>
      </c>
      <c r="G246" s="586">
        <f>_xludf.IFNA(_xlfn.XLOOKUP(C248,'00_SKU_Master'!$B$2:$B$378,'00_SKU_Master'!$F$2:$F$378,0)*AB248,"")</f>
        <v/>
      </c>
      <c r="H246" s="586">
        <f>_xludf.IFNA(_xlfn.XLOOKUP(C248,'00_SKU_Master'!$B$2:$B$378,'00_SKU_Master'!$F$2:$F$378,0)*AC248,"")</f>
        <v/>
      </c>
      <c r="I246" s="586">
        <f>_xludf.IFNA(_xlfn.XLOOKUP(C248,'00_SKU_Master'!$B$2:$B$378,'00_SKU_Master'!$F$2:$F$378,0)*AD248,"")</f>
        <v/>
      </c>
      <c r="J246" s="586">
        <f>_xludf.IFNA(_xlfn.XLOOKUP(C248,'00_SKU_Master'!$B$2:$B$378,'00_SKU_Master'!$F$2:$F$378,0)*AE248,"")</f>
        <v/>
      </c>
      <c r="K246" s="587">
        <f>SUM(D248:J248)</f>
        <v/>
      </c>
      <c r="L246" s="197">
        <f>_xlfn.XLOOKUP(C248,'00_SKU_Master'!$B$2:$B$378,'00_SKU_Master'!K:K)</f>
        <v/>
      </c>
      <c r="M246" s="14">
        <f>X248</f>
        <v/>
      </c>
      <c r="N246" s="157">
        <f>_xludf.IFNA(D248/_xlfn.XLOOKUP($M248,'00_SKU_Master'!$B$2:$B$378,'00_SKU_Master'!$M$2:$M$378,0)/$M$2,"0")</f>
        <v/>
      </c>
      <c r="O246" s="157">
        <f>_xludf.IFNA(E248/_xlfn.XLOOKUP($M248,'00_SKU_Master'!$B$2:$B$378,'00_SKU_Master'!$M$2:$M$378,0)/$M$2,"0")</f>
        <v/>
      </c>
      <c r="P246" s="157">
        <f>_xludf.IFNA(F248/_xlfn.XLOOKUP($M248,'00_SKU_Master'!$B$2:$B$378,'00_SKU_Master'!$M$2:$M$378,0)/$M$2,"0")</f>
        <v/>
      </c>
      <c r="Q246" s="157">
        <f>_xludf.IFNA(G248/_xlfn.XLOOKUP($M248,'00_SKU_Master'!$B$2:$B$378,'00_SKU_Master'!$M$2:$M$378,0)/$M$2,"0")</f>
        <v/>
      </c>
      <c r="R246" s="157">
        <f>_xludf.IFNA(H248/_xlfn.XLOOKUP($M248,'00_SKU_Master'!$B$2:$B$378,'00_SKU_Master'!$M$2:$M$378,0)/$M$2,"0")</f>
        <v/>
      </c>
      <c r="S246" s="157">
        <f>_xludf.IFNA(I248/_xlfn.XLOOKUP($M248,'00_SKU_Master'!$B$2:$B$378,'00_SKU_Master'!$M$2:$M$378,0)/$M$2,"0")</f>
        <v/>
      </c>
      <c r="T246" s="157">
        <f>_xludf.IFNA(J248/_xlfn.XLOOKUP($M248,'00_SKU_Master'!$B$2:$B$378,'00_SKU_Master'!$M$2:$M$378,0)/$M$2,"0")</f>
        <v/>
      </c>
      <c r="U246" s="157">
        <f>SUM(N248:T248)</f>
        <v/>
      </c>
      <c r="V246" s="4" t="n"/>
      <c r="W246" s="4">
        <f>_xlfn.XLOOKUP(M248,'00_SKU_Master'!$B$2:$B$378,'00_SKU_Master'!D:D)</f>
        <v/>
      </c>
      <c r="X246" s="14">
        <f>'05_Daily_Orders'!B247</f>
        <v/>
      </c>
      <c r="Y246" s="588" t="n"/>
      <c r="Z246" s="589" t="n"/>
      <c r="AA246" s="589" t="n"/>
      <c r="AB246" s="589" t="n"/>
      <c r="AC246" s="589" t="n">
        <v>0</v>
      </c>
      <c r="AD246" s="589" t="n">
        <v>0</v>
      </c>
      <c r="AE246" s="589" t="n">
        <v>0</v>
      </c>
      <c r="AF246" s="587">
        <f>SUM(Y248:AE248)</f>
        <v/>
      </c>
      <c r="AQ246" s="23" t="n">
        <v>0</v>
      </c>
      <c r="AR246" s="23" t="n">
        <v>181</v>
      </c>
      <c r="AS246" s="23">
        <f>AR248-AQ248</f>
        <v/>
      </c>
    </row>
    <row r="247">
      <c r="A247" s="148">
        <f>_xlfn.XLOOKUP(C249,'00_SKU_Master'!$B$2:$B$378,'00_SKU_Master'!$C$2:$C$378)</f>
        <v/>
      </c>
      <c r="B247" s="148" t="n"/>
      <c r="C247" s="148">
        <f>X249</f>
        <v/>
      </c>
      <c r="D247" s="586">
        <f>_xludf.IFNA(_xlfn.XLOOKUP(C249,'00_SKU_Master'!$B$2:$B$378,'00_SKU_Master'!$F$2:$F$378,0)*Y249,"")</f>
        <v/>
      </c>
      <c r="E247" s="586">
        <f>_xludf.IFNA(_xlfn.XLOOKUP(C249,'00_SKU_Master'!$B$2:$B$378,'00_SKU_Master'!$F$2:$F$378,0)*Z249,"")</f>
        <v/>
      </c>
      <c r="F247" s="586">
        <f>_xludf.IFNA(_xlfn.XLOOKUP(C249,'00_SKU_Master'!$B$2:$B$378,'00_SKU_Master'!$F$2:$F$378,0)*AA249,"")</f>
        <v/>
      </c>
      <c r="G247" s="586">
        <f>_xludf.IFNA(_xlfn.XLOOKUP(C249,'00_SKU_Master'!$B$2:$B$378,'00_SKU_Master'!$F$2:$F$378,0)*AB249,"")</f>
        <v/>
      </c>
      <c r="H247" s="586">
        <f>_xludf.IFNA(_xlfn.XLOOKUP(C249,'00_SKU_Master'!$B$2:$B$378,'00_SKU_Master'!$F$2:$F$378,0)*AC249,"")</f>
        <v/>
      </c>
      <c r="I247" s="586">
        <f>_xludf.IFNA(_xlfn.XLOOKUP(C249,'00_SKU_Master'!$B$2:$B$378,'00_SKU_Master'!$F$2:$F$378,0)*AD249,"")</f>
        <v/>
      </c>
      <c r="J247" s="586">
        <f>_xludf.IFNA(_xlfn.XLOOKUP(C249,'00_SKU_Master'!$B$2:$B$378,'00_SKU_Master'!$F$2:$F$378,0)*AE249,"")</f>
        <v/>
      </c>
      <c r="K247" s="587">
        <f>SUM(D249:J249)</f>
        <v/>
      </c>
      <c r="L247" s="197">
        <f>_xlfn.XLOOKUP(C249,'00_SKU_Master'!$B$2:$B$378,'00_SKU_Master'!K:K)</f>
        <v/>
      </c>
      <c r="M247" s="14">
        <f>X249</f>
        <v/>
      </c>
      <c r="N247" s="157">
        <f>_xludf.IFNA(D249/_xlfn.XLOOKUP($M249,'00_SKU_Master'!$B$2:$B$378,'00_SKU_Master'!$M$2:$M$378,0)/$M$2,"0")</f>
        <v/>
      </c>
      <c r="O247" s="157">
        <f>_xludf.IFNA(E249/_xlfn.XLOOKUP($M249,'00_SKU_Master'!$B$2:$B$378,'00_SKU_Master'!$M$2:$M$378,0)/$M$2,"0")</f>
        <v/>
      </c>
      <c r="P247" s="157">
        <f>_xludf.IFNA(F249/_xlfn.XLOOKUP($M249,'00_SKU_Master'!$B$2:$B$378,'00_SKU_Master'!$M$2:$M$378,0)/$M$2,"0")</f>
        <v/>
      </c>
      <c r="Q247" s="157">
        <f>_xludf.IFNA(G249/_xlfn.XLOOKUP($M249,'00_SKU_Master'!$B$2:$B$378,'00_SKU_Master'!$M$2:$M$378,0)/$M$2,"0")</f>
        <v/>
      </c>
      <c r="R247" s="157">
        <f>_xludf.IFNA(H249/_xlfn.XLOOKUP($M249,'00_SKU_Master'!$B$2:$B$378,'00_SKU_Master'!$M$2:$M$378,0)/$M$2,"0")</f>
        <v/>
      </c>
      <c r="S247" s="157">
        <f>_xludf.IFNA(I249/_xlfn.XLOOKUP($M249,'00_SKU_Master'!$B$2:$B$378,'00_SKU_Master'!$M$2:$M$378,0)/$M$2,"0")</f>
        <v/>
      </c>
      <c r="T247" s="157">
        <f>_xludf.IFNA(J249/_xlfn.XLOOKUP($M249,'00_SKU_Master'!$B$2:$B$378,'00_SKU_Master'!$M$2:$M$378,0)/$M$2,"0")</f>
        <v/>
      </c>
      <c r="U247" s="157">
        <f>SUM(N249:T249)</f>
        <v/>
      </c>
      <c r="V247" s="4" t="n"/>
      <c r="W247" s="4">
        <f>_xlfn.XLOOKUP(M249,'00_SKU_Master'!$B$2:$B$378,'00_SKU_Master'!D:D)</f>
        <v/>
      </c>
      <c r="X247" s="14">
        <f>'05_Daily_Orders'!B248</f>
        <v/>
      </c>
      <c r="Y247" s="588" t="n"/>
      <c r="Z247" s="589" t="n"/>
      <c r="AA247" s="589" t="n"/>
      <c r="AB247" s="589" t="n"/>
      <c r="AC247" s="589" t="n">
        <v>0</v>
      </c>
      <c r="AD247" s="589" t="n">
        <v>0</v>
      </c>
      <c r="AE247" s="589" t="n">
        <v>0</v>
      </c>
      <c r="AF247" s="587">
        <f>SUM(Y249:AE249)</f>
        <v/>
      </c>
      <c r="AQ247" s="23" t="n">
        <v>0</v>
      </c>
      <c r="AR247" s="23" t="n">
        <v>0</v>
      </c>
      <c r="AS247" s="23">
        <f>AR249-AQ249</f>
        <v/>
      </c>
    </row>
    <row r="248">
      <c r="A248" s="148">
        <f>_xlfn.XLOOKUP(C250,'00_SKU_Master'!$B$2:$B$378,'00_SKU_Master'!$C$2:$C$378)</f>
        <v/>
      </c>
      <c r="B248" s="148" t="n"/>
      <c r="C248" s="148">
        <f>X250</f>
        <v/>
      </c>
      <c r="D248" s="586">
        <f>_xludf.IFNA(_xlfn.XLOOKUP(C250,'00_SKU_Master'!$B$2:$B$378,'00_SKU_Master'!$F$2:$F$378,0)*Y250,"")</f>
        <v/>
      </c>
      <c r="E248" s="586">
        <f>_xludf.IFNA(_xlfn.XLOOKUP(C250,'00_SKU_Master'!$B$2:$B$378,'00_SKU_Master'!$F$2:$F$378,0)*Z250,"")</f>
        <v/>
      </c>
      <c r="F248" s="586">
        <f>_xludf.IFNA(_xlfn.XLOOKUP(C250,'00_SKU_Master'!$B$2:$B$378,'00_SKU_Master'!$F$2:$F$378,0)*AA250,"")</f>
        <v/>
      </c>
      <c r="G248" s="586">
        <f>_xludf.IFNA(_xlfn.XLOOKUP(C250,'00_SKU_Master'!$B$2:$B$378,'00_SKU_Master'!$F$2:$F$378,0)*AB250,"")</f>
        <v/>
      </c>
      <c r="H248" s="586">
        <f>_xludf.IFNA(_xlfn.XLOOKUP(C250,'00_SKU_Master'!$B$2:$B$378,'00_SKU_Master'!$F$2:$F$378,0)*AC250,"")</f>
        <v/>
      </c>
      <c r="I248" s="586">
        <f>_xludf.IFNA(_xlfn.XLOOKUP(C250,'00_SKU_Master'!$B$2:$B$378,'00_SKU_Master'!$F$2:$F$378,0)*AD250,"")</f>
        <v/>
      </c>
      <c r="J248" s="586">
        <f>_xludf.IFNA(_xlfn.XLOOKUP(C250,'00_SKU_Master'!$B$2:$B$378,'00_SKU_Master'!$F$2:$F$378,0)*AE250,"")</f>
        <v/>
      </c>
      <c r="K248" s="587">
        <f>SUM(D250:J250)</f>
        <v/>
      </c>
      <c r="L248" s="197">
        <f>_xlfn.XLOOKUP(C250,'00_SKU_Master'!$B$2:$B$378,'00_SKU_Master'!K:K)</f>
        <v/>
      </c>
      <c r="M248" s="14">
        <f>X250</f>
        <v/>
      </c>
      <c r="N248" s="157">
        <f>_xludf.IFNA(D250/_xlfn.XLOOKUP($M250,'00_SKU_Master'!$B$2:$B$378,'00_SKU_Master'!$M$2:$M$378,0)/$M$2,"0")</f>
        <v/>
      </c>
      <c r="O248" s="157">
        <f>_xludf.IFNA(E250/_xlfn.XLOOKUP($M250,'00_SKU_Master'!$B$2:$B$378,'00_SKU_Master'!$M$2:$M$378,0)/$M$2,"0")</f>
        <v/>
      </c>
      <c r="P248" s="157">
        <f>_xludf.IFNA(F250/_xlfn.XLOOKUP($M250,'00_SKU_Master'!$B$2:$B$378,'00_SKU_Master'!$M$2:$M$378,0)/$M$2,"0")</f>
        <v/>
      </c>
      <c r="Q248" s="157">
        <f>_xludf.IFNA(G250/_xlfn.XLOOKUP($M250,'00_SKU_Master'!$B$2:$B$378,'00_SKU_Master'!$M$2:$M$378,0)/$M$2,"0")</f>
        <v/>
      </c>
      <c r="R248" s="157">
        <f>_xludf.IFNA(H250/_xlfn.XLOOKUP($M250,'00_SKU_Master'!$B$2:$B$378,'00_SKU_Master'!$M$2:$M$378,0)/$M$2,"0")</f>
        <v/>
      </c>
      <c r="S248" s="157">
        <f>_xludf.IFNA(I250/_xlfn.XLOOKUP($M250,'00_SKU_Master'!$B$2:$B$378,'00_SKU_Master'!$M$2:$M$378,0)/$M$2,"0")</f>
        <v/>
      </c>
      <c r="T248" s="157">
        <f>_xludf.IFNA(J250/_xlfn.XLOOKUP($M250,'00_SKU_Master'!$B$2:$B$378,'00_SKU_Master'!$M$2:$M$378,0)/$M$2,"0")</f>
        <v/>
      </c>
      <c r="U248" s="157">
        <f>SUM(N250:T250)</f>
        <v/>
      </c>
      <c r="V248" s="4" t="n"/>
      <c r="W248" s="4">
        <f>_xlfn.XLOOKUP(M250,'00_SKU_Master'!$B$2:$B$378,'00_SKU_Master'!D:D)</f>
        <v/>
      </c>
      <c r="X248" s="14">
        <f>'05_Daily_Orders'!B249</f>
        <v/>
      </c>
      <c r="Y248" s="588" t="n"/>
      <c r="Z248" s="589" t="n"/>
      <c r="AA248" s="589" t="n"/>
      <c r="AB248" s="589" t="n"/>
      <c r="AC248" s="589" t="n">
        <v>0</v>
      </c>
      <c r="AD248" s="589" t="n">
        <v>0</v>
      </c>
      <c r="AE248" s="589" t="n">
        <v>0</v>
      </c>
      <c r="AF248" s="587">
        <f>SUM(Y250:AE250)</f>
        <v/>
      </c>
      <c r="AQ248" s="23" t="n">
        <v>29</v>
      </c>
      <c r="AR248" s="23" t="n">
        <v>0</v>
      </c>
      <c r="AS248" s="23">
        <f>AR250-AQ250</f>
        <v/>
      </c>
    </row>
    <row r="249">
      <c r="A249" s="148">
        <f>_xlfn.XLOOKUP(C251,'00_SKU_Master'!$B$2:$B$378,'00_SKU_Master'!$C$2:$C$378)</f>
        <v/>
      </c>
      <c r="B249" s="148" t="n"/>
      <c r="C249" s="148">
        <f>X251</f>
        <v/>
      </c>
      <c r="D249" s="586">
        <f>_xludf.IFNA(_xlfn.XLOOKUP(C251,'00_SKU_Master'!$B$2:$B$378,'00_SKU_Master'!$F$2:$F$378,0)*Y251,"")</f>
        <v/>
      </c>
      <c r="E249" s="586">
        <f>_xludf.IFNA(_xlfn.XLOOKUP(C251,'00_SKU_Master'!$B$2:$B$378,'00_SKU_Master'!$F$2:$F$378,0)*Z251,"")</f>
        <v/>
      </c>
      <c r="F249" s="586">
        <f>_xludf.IFNA(_xlfn.XLOOKUP(C251,'00_SKU_Master'!$B$2:$B$378,'00_SKU_Master'!$F$2:$F$378,0)*AA251,"")</f>
        <v/>
      </c>
      <c r="G249" s="586">
        <f>_xludf.IFNA(_xlfn.XLOOKUP(C251,'00_SKU_Master'!$B$2:$B$378,'00_SKU_Master'!$F$2:$F$378,0)*AB251,"")</f>
        <v/>
      </c>
      <c r="H249" s="586">
        <f>_xludf.IFNA(_xlfn.XLOOKUP(C251,'00_SKU_Master'!$B$2:$B$378,'00_SKU_Master'!$F$2:$F$378,0)*AC251,"")</f>
        <v/>
      </c>
      <c r="I249" s="586">
        <f>_xludf.IFNA(_xlfn.XLOOKUP(C251,'00_SKU_Master'!$B$2:$B$378,'00_SKU_Master'!$F$2:$F$378,0)*AD251,"")</f>
        <v/>
      </c>
      <c r="J249" s="586">
        <f>_xludf.IFNA(_xlfn.XLOOKUP(C251,'00_SKU_Master'!$B$2:$B$378,'00_SKU_Master'!$F$2:$F$378,0)*AE251,"")</f>
        <v/>
      </c>
      <c r="K249" s="587">
        <f>SUM(D251:J251)</f>
        <v/>
      </c>
      <c r="L249" s="197">
        <f>_xlfn.XLOOKUP(C251,'00_SKU_Master'!$B$2:$B$378,'00_SKU_Master'!K:K)</f>
        <v/>
      </c>
      <c r="M249" s="14">
        <f>X251</f>
        <v/>
      </c>
      <c r="N249" s="157">
        <f>_xludf.IFNA(D251/_xlfn.XLOOKUP($M251,'00_SKU_Master'!$B$2:$B$378,'00_SKU_Master'!$M$2:$M$378,0)/$M$2,"0")</f>
        <v/>
      </c>
      <c r="O249" s="157">
        <f>_xludf.IFNA(E251/_xlfn.XLOOKUP($M251,'00_SKU_Master'!$B$2:$B$378,'00_SKU_Master'!$M$2:$M$378,0)/$M$2,"0")</f>
        <v/>
      </c>
      <c r="P249" s="157">
        <f>_xludf.IFNA(F251/_xlfn.XLOOKUP($M251,'00_SKU_Master'!$B$2:$B$378,'00_SKU_Master'!$M$2:$M$378,0)/$M$2,"0")</f>
        <v/>
      </c>
      <c r="Q249" s="157">
        <f>_xludf.IFNA(G251/_xlfn.XLOOKUP($M251,'00_SKU_Master'!$B$2:$B$378,'00_SKU_Master'!$M$2:$M$378,0)/$M$2,"0")</f>
        <v/>
      </c>
      <c r="R249" s="157">
        <f>_xludf.IFNA(H251/_xlfn.XLOOKUP($M251,'00_SKU_Master'!$B$2:$B$378,'00_SKU_Master'!$M$2:$M$378,0)/$M$2,"0")</f>
        <v/>
      </c>
      <c r="S249" s="157">
        <f>_xludf.IFNA(I251/_xlfn.XLOOKUP($M251,'00_SKU_Master'!$B$2:$B$378,'00_SKU_Master'!$M$2:$M$378,0)/$M$2,"0")</f>
        <v/>
      </c>
      <c r="T249" s="157">
        <f>_xludf.IFNA(J251/_xlfn.XLOOKUP($M251,'00_SKU_Master'!$B$2:$B$378,'00_SKU_Master'!$M$2:$M$378,0)/$M$2,"0")</f>
        <v/>
      </c>
      <c r="U249" s="157">
        <f>SUM(N251:T251)</f>
        <v/>
      </c>
      <c r="V249" s="4" t="n"/>
      <c r="W249" s="4">
        <f>_xlfn.XLOOKUP(M251,'00_SKU_Master'!$B$2:$B$378,'00_SKU_Master'!D:D)</f>
        <v/>
      </c>
      <c r="X249" s="14">
        <f>'05_Daily_Orders'!B250</f>
        <v/>
      </c>
      <c r="Y249" s="588" t="n"/>
      <c r="Z249" s="589" t="n"/>
      <c r="AA249" s="589" t="n"/>
      <c r="AB249" s="589" t="n"/>
      <c r="AC249" s="589" t="n">
        <v>0</v>
      </c>
      <c r="AD249" s="589" t="n">
        <v>0</v>
      </c>
      <c r="AE249" s="589" t="n">
        <v>0</v>
      </c>
      <c r="AF249" s="587">
        <f>SUM(Y251:AE251)</f>
        <v/>
      </c>
      <c r="AQ249" s="23" t="n">
        <v>0</v>
      </c>
      <c r="AR249" s="23" t="n">
        <v>0</v>
      </c>
      <c r="AS249" s="23">
        <f>AR251-AQ251</f>
        <v/>
      </c>
    </row>
    <row r="250">
      <c r="A250" s="148">
        <f>_xlfn.XLOOKUP(C252,'00_SKU_Master'!$B$2:$B$378,'00_SKU_Master'!$C$2:$C$378)</f>
        <v/>
      </c>
      <c r="B250" s="148" t="n"/>
      <c r="C250" s="148">
        <f>X252</f>
        <v/>
      </c>
      <c r="D250" s="586">
        <f>_xludf.IFNA(_xlfn.XLOOKUP(C252,'00_SKU_Master'!$B$2:$B$378,'00_SKU_Master'!$F$2:$F$378,0)*Y252,"")</f>
        <v/>
      </c>
      <c r="E250" s="586">
        <f>_xludf.IFNA(_xlfn.XLOOKUP(C252,'00_SKU_Master'!$B$2:$B$378,'00_SKU_Master'!$F$2:$F$378,0)*Z252,"")</f>
        <v/>
      </c>
      <c r="F250" s="586">
        <f>_xludf.IFNA(_xlfn.XLOOKUP(C252,'00_SKU_Master'!$B$2:$B$378,'00_SKU_Master'!$F$2:$F$378,0)*AA252,"")</f>
        <v/>
      </c>
      <c r="G250" s="586">
        <f>_xludf.IFNA(_xlfn.XLOOKUP(C252,'00_SKU_Master'!$B$2:$B$378,'00_SKU_Master'!$F$2:$F$378,0)*AB252,"")</f>
        <v/>
      </c>
      <c r="H250" s="586">
        <f>_xludf.IFNA(_xlfn.XLOOKUP(C252,'00_SKU_Master'!$B$2:$B$378,'00_SKU_Master'!$F$2:$F$378,0)*AC252,"")</f>
        <v/>
      </c>
      <c r="I250" s="586">
        <f>_xludf.IFNA(_xlfn.XLOOKUP(C252,'00_SKU_Master'!$B$2:$B$378,'00_SKU_Master'!$F$2:$F$378,0)*AD252,"")</f>
        <v/>
      </c>
      <c r="J250" s="586">
        <f>_xludf.IFNA(_xlfn.XLOOKUP(C252,'00_SKU_Master'!$B$2:$B$378,'00_SKU_Master'!$F$2:$F$378,0)*AE252,"")</f>
        <v/>
      </c>
      <c r="K250" s="587">
        <f>SUM(D252:J252)</f>
        <v/>
      </c>
      <c r="L250" s="197">
        <f>_xlfn.XLOOKUP(C252,'00_SKU_Master'!$B$2:$B$378,'00_SKU_Master'!K:K)</f>
        <v/>
      </c>
      <c r="M250" s="14">
        <f>X252</f>
        <v/>
      </c>
      <c r="N250" s="157">
        <f>_xludf.IFNA(D252/_xlfn.XLOOKUP($M252,'00_SKU_Master'!$B$2:$B$378,'00_SKU_Master'!$M$2:$M$378,0)/$M$2,"0")</f>
        <v/>
      </c>
      <c r="O250" s="157">
        <f>_xludf.IFNA(E252/_xlfn.XLOOKUP($M252,'00_SKU_Master'!$B$2:$B$378,'00_SKU_Master'!$M$2:$M$378,0)/$M$2,"0")</f>
        <v/>
      </c>
      <c r="P250" s="157">
        <f>_xludf.IFNA(F252/_xlfn.XLOOKUP($M252,'00_SKU_Master'!$B$2:$B$378,'00_SKU_Master'!$M$2:$M$378,0)/$M$2,"0")</f>
        <v/>
      </c>
      <c r="Q250" s="157">
        <f>_xludf.IFNA(G252/_xlfn.XLOOKUP($M252,'00_SKU_Master'!$B$2:$B$378,'00_SKU_Master'!$M$2:$M$378,0)/$M$2,"0")</f>
        <v/>
      </c>
      <c r="R250" s="157">
        <f>_xludf.IFNA(H252/_xlfn.XLOOKUP($M252,'00_SKU_Master'!$B$2:$B$378,'00_SKU_Master'!$M$2:$M$378,0)/$M$2,"0")</f>
        <v/>
      </c>
      <c r="S250" s="157">
        <f>_xludf.IFNA(I252/_xlfn.XLOOKUP($M252,'00_SKU_Master'!$B$2:$B$378,'00_SKU_Master'!$M$2:$M$378,0)/$M$2,"0")</f>
        <v/>
      </c>
      <c r="T250" s="157">
        <f>_xludf.IFNA(J252/_xlfn.XLOOKUP($M252,'00_SKU_Master'!$B$2:$B$378,'00_SKU_Master'!$M$2:$M$378,0)/$M$2,"0")</f>
        <v/>
      </c>
      <c r="U250" s="157">
        <f>SUM(N252:T252)</f>
        <v/>
      </c>
      <c r="V250" s="4" t="n"/>
      <c r="W250" s="4">
        <f>_xlfn.XLOOKUP(M252,'00_SKU_Master'!$B$2:$B$378,'00_SKU_Master'!D:D)</f>
        <v/>
      </c>
      <c r="X250" s="14">
        <f>'05_Daily_Orders'!B251</f>
        <v/>
      </c>
      <c r="Y250" s="588" t="n"/>
      <c r="Z250" s="589" t="n"/>
      <c r="AA250" s="589" t="n"/>
      <c r="AB250" s="589" t="n"/>
      <c r="AC250" s="589" t="n">
        <v>0</v>
      </c>
      <c r="AD250" s="589" t="n">
        <v>0</v>
      </c>
      <c r="AE250" s="589" t="n">
        <v>0</v>
      </c>
      <c r="AF250" s="587">
        <f>SUM(Y252:AE252)</f>
        <v/>
      </c>
      <c r="AQ250" s="23" t="n">
        <v>0</v>
      </c>
      <c r="AR250" s="23" t="n">
        <v>0</v>
      </c>
      <c r="AS250" s="23">
        <f>AR252-AQ252</f>
        <v/>
      </c>
    </row>
    <row r="251">
      <c r="A251" s="148">
        <f>_xlfn.XLOOKUP(C253,'00_SKU_Master'!$B$2:$B$378,'00_SKU_Master'!$C$2:$C$378)</f>
        <v/>
      </c>
      <c r="B251" s="148" t="n"/>
      <c r="C251" s="148">
        <f>X253</f>
        <v/>
      </c>
      <c r="D251" s="586">
        <f>_xludf.IFNA(_xlfn.XLOOKUP(C253,'00_SKU_Master'!$B$2:$B$378,'00_SKU_Master'!$F$2:$F$378,0)*Y253,"")</f>
        <v/>
      </c>
      <c r="E251" s="586">
        <f>_xludf.IFNA(_xlfn.XLOOKUP(C253,'00_SKU_Master'!$B$2:$B$378,'00_SKU_Master'!$F$2:$F$378,0)*Z253,"")</f>
        <v/>
      </c>
      <c r="F251" s="586">
        <f>_xludf.IFNA(_xlfn.XLOOKUP(C253,'00_SKU_Master'!$B$2:$B$378,'00_SKU_Master'!$F$2:$F$378,0)*AA253,"")</f>
        <v/>
      </c>
      <c r="G251" s="586">
        <f>_xludf.IFNA(_xlfn.XLOOKUP(C253,'00_SKU_Master'!$B$2:$B$378,'00_SKU_Master'!$F$2:$F$378,0)*AB253,"")</f>
        <v/>
      </c>
      <c r="H251" s="586">
        <f>_xludf.IFNA(_xlfn.XLOOKUP(C253,'00_SKU_Master'!$B$2:$B$378,'00_SKU_Master'!$F$2:$F$378,0)*AC253,"")</f>
        <v/>
      </c>
      <c r="I251" s="586">
        <f>_xludf.IFNA(_xlfn.XLOOKUP(C253,'00_SKU_Master'!$B$2:$B$378,'00_SKU_Master'!$F$2:$F$378,0)*AD253,"")</f>
        <v/>
      </c>
      <c r="J251" s="586">
        <f>_xludf.IFNA(_xlfn.XLOOKUP(C253,'00_SKU_Master'!$B$2:$B$378,'00_SKU_Master'!$F$2:$F$378,0)*AE253,"")</f>
        <v/>
      </c>
      <c r="K251" s="587">
        <f>SUM(D253:J253)</f>
        <v/>
      </c>
      <c r="L251" s="197">
        <f>_xlfn.XLOOKUP(C253,'00_SKU_Master'!$B$2:$B$378,'00_SKU_Master'!K:K)</f>
        <v/>
      </c>
      <c r="M251" s="14">
        <f>X253</f>
        <v/>
      </c>
      <c r="N251" s="157">
        <f>_xludf.IFNA(D253/_xlfn.XLOOKUP($M253,'00_SKU_Master'!$B$2:$B$378,'00_SKU_Master'!$M$2:$M$378,0)/$M$2,"0")</f>
        <v/>
      </c>
      <c r="O251" s="157">
        <f>_xludf.IFNA(E253/_xlfn.XLOOKUP($M253,'00_SKU_Master'!$B$2:$B$378,'00_SKU_Master'!$M$2:$M$378,0)/$M$2,"0")</f>
        <v/>
      </c>
      <c r="P251" s="157">
        <f>_xludf.IFNA(F253/_xlfn.XLOOKUP($M253,'00_SKU_Master'!$B$2:$B$378,'00_SKU_Master'!$M$2:$M$378,0)/$M$2,"0")</f>
        <v/>
      </c>
      <c r="Q251" s="157">
        <f>_xludf.IFNA(G253/_xlfn.XLOOKUP($M253,'00_SKU_Master'!$B$2:$B$378,'00_SKU_Master'!$M$2:$M$378,0)/$M$2,"0")</f>
        <v/>
      </c>
      <c r="R251" s="157">
        <f>_xludf.IFNA(H253/_xlfn.XLOOKUP($M253,'00_SKU_Master'!$B$2:$B$378,'00_SKU_Master'!$M$2:$M$378,0)/$M$2,"0")</f>
        <v/>
      </c>
      <c r="S251" s="157">
        <f>_xludf.IFNA(I253/_xlfn.XLOOKUP($M253,'00_SKU_Master'!$B$2:$B$378,'00_SKU_Master'!$M$2:$M$378,0)/$M$2,"0")</f>
        <v/>
      </c>
      <c r="T251" s="157">
        <f>_xludf.IFNA(J253/_xlfn.XLOOKUP($M253,'00_SKU_Master'!$B$2:$B$378,'00_SKU_Master'!$M$2:$M$378,0)/$M$2,"0")</f>
        <v/>
      </c>
      <c r="U251" s="157">
        <f>SUM(N253:T253)</f>
        <v/>
      </c>
      <c r="V251" s="4" t="n"/>
      <c r="W251" s="4">
        <f>_xlfn.XLOOKUP(M253,'00_SKU_Master'!$B$2:$B$378,'00_SKU_Master'!D:D)</f>
        <v/>
      </c>
      <c r="X251" s="14">
        <f>'05_Daily_Orders'!B252</f>
        <v/>
      </c>
      <c r="Y251" s="588" t="n"/>
      <c r="Z251" s="589" t="n"/>
      <c r="AA251" s="589" t="n"/>
      <c r="AB251" s="589" t="n"/>
      <c r="AC251" s="589" t="n">
        <v>0</v>
      </c>
      <c r="AD251" s="589" t="n">
        <v>0</v>
      </c>
      <c r="AE251" s="589" t="n">
        <v>0</v>
      </c>
      <c r="AF251" s="587">
        <f>SUM(Y253:AE253)</f>
        <v/>
      </c>
      <c r="AQ251" s="23" t="n">
        <v>0</v>
      </c>
      <c r="AR251" s="23" t="n">
        <v>0</v>
      </c>
      <c r="AS251" s="23">
        <f>AR253-AQ253</f>
        <v/>
      </c>
    </row>
    <row r="252">
      <c r="A252" s="148">
        <f>_xlfn.XLOOKUP(C254,'00_SKU_Master'!$B$2:$B$378,'00_SKU_Master'!$C$2:$C$378)</f>
        <v/>
      </c>
      <c r="B252" s="148" t="n"/>
      <c r="C252" s="148">
        <f>X254</f>
        <v/>
      </c>
      <c r="D252" s="586">
        <f>_xludf.IFNA(_xlfn.XLOOKUP(C254,'00_SKU_Master'!$B$2:$B$378,'00_SKU_Master'!$F$2:$F$378,0)*Y254,"")</f>
        <v/>
      </c>
      <c r="E252" s="586">
        <f>_xludf.IFNA(_xlfn.XLOOKUP(C254,'00_SKU_Master'!$B$2:$B$378,'00_SKU_Master'!$F$2:$F$378,0)*Z254,"")</f>
        <v/>
      </c>
      <c r="F252" s="586">
        <f>_xludf.IFNA(_xlfn.XLOOKUP(C254,'00_SKU_Master'!$B$2:$B$378,'00_SKU_Master'!$F$2:$F$378,0)*AA254,"")</f>
        <v/>
      </c>
      <c r="G252" s="586">
        <f>_xludf.IFNA(_xlfn.XLOOKUP(C254,'00_SKU_Master'!$B$2:$B$378,'00_SKU_Master'!$F$2:$F$378,0)*AB254,"")</f>
        <v/>
      </c>
      <c r="H252" s="586">
        <f>_xludf.IFNA(_xlfn.XLOOKUP(C254,'00_SKU_Master'!$B$2:$B$378,'00_SKU_Master'!$F$2:$F$378,0)*AC254,"")</f>
        <v/>
      </c>
      <c r="I252" s="586">
        <f>_xludf.IFNA(_xlfn.XLOOKUP(C254,'00_SKU_Master'!$B$2:$B$378,'00_SKU_Master'!$F$2:$F$378,0)*AD254,"")</f>
        <v/>
      </c>
      <c r="J252" s="586">
        <f>_xludf.IFNA(_xlfn.XLOOKUP(C254,'00_SKU_Master'!$B$2:$B$378,'00_SKU_Master'!$F$2:$F$378,0)*AE254,"")</f>
        <v/>
      </c>
      <c r="K252" s="587">
        <f>SUM(D254:J254)</f>
        <v/>
      </c>
      <c r="L252" s="197">
        <f>_xlfn.XLOOKUP(C254,'00_SKU_Master'!$B$2:$B$378,'00_SKU_Master'!K:K)</f>
        <v/>
      </c>
      <c r="M252" s="14">
        <f>X254</f>
        <v/>
      </c>
      <c r="N252" s="157">
        <f>_xludf.IFNA(D254/_xlfn.XLOOKUP($M254,'00_SKU_Master'!$B$2:$B$378,'00_SKU_Master'!$M$2:$M$378,0)/$M$2,"0")</f>
        <v/>
      </c>
      <c r="O252" s="157">
        <f>_xludf.IFNA(E254/_xlfn.XLOOKUP($M254,'00_SKU_Master'!$B$2:$B$378,'00_SKU_Master'!$M$2:$M$378,0)/$M$2,"0")</f>
        <v/>
      </c>
      <c r="P252" s="157">
        <f>_xludf.IFNA(F254/_xlfn.XLOOKUP($M254,'00_SKU_Master'!$B$2:$B$378,'00_SKU_Master'!$M$2:$M$378,0)/$M$2,"0")</f>
        <v/>
      </c>
      <c r="Q252" s="157">
        <f>_xludf.IFNA(G254/_xlfn.XLOOKUP($M254,'00_SKU_Master'!$B$2:$B$378,'00_SKU_Master'!$M$2:$M$378,0)/$M$2,"0")</f>
        <v/>
      </c>
      <c r="R252" s="157">
        <f>_xludf.IFNA(H254/_xlfn.XLOOKUP($M254,'00_SKU_Master'!$B$2:$B$378,'00_SKU_Master'!$M$2:$M$378,0)/$M$2,"0")</f>
        <v/>
      </c>
      <c r="S252" s="157">
        <f>_xludf.IFNA(I254/_xlfn.XLOOKUP($M254,'00_SKU_Master'!$B$2:$B$378,'00_SKU_Master'!$M$2:$M$378,0)/$M$2,"0")</f>
        <v/>
      </c>
      <c r="T252" s="157">
        <f>_xludf.IFNA(J254/_xlfn.XLOOKUP($M254,'00_SKU_Master'!$B$2:$B$378,'00_SKU_Master'!$M$2:$M$378,0)/$M$2,"0")</f>
        <v/>
      </c>
      <c r="U252" s="157">
        <f>SUM(N254:T254)</f>
        <v/>
      </c>
      <c r="V252" s="4" t="n"/>
      <c r="W252" s="4">
        <f>_xlfn.XLOOKUP(M254,'00_SKU_Master'!$B$2:$B$378,'00_SKU_Master'!D:D)</f>
        <v/>
      </c>
      <c r="X252" s="14">
        <f>'05_Daily_Orders'!B253</f>
        <v/>
      </c>
      <c r="Y252" s="588" t="n"/>
      <c r="Z252" s="589" t="n"/>
      <c r="AA252" s="589" t="n"/>
      <c r="AB252" s="589" t="n"/>
      <c r="AC252" s="589" t="n">
        <v>0</v>
      </c>
      <c r="AD252" s="589" t="n">
        <v>0</v>
      </c>
      <c r="AE252" s="589" t="n">
        <v>0</v>
      </c>
      <c r="AF252" s="587">
        <f>SUM(Y254:AE254)</f>
        <v/>
      </c>
      <c r="AQ252" s="23" t="n">
        <v>0</v>
      </c>
      <c r="AR252" s="23" t="n">
        <v>0</v>
      </c>
      <c r="AS252" s="23">
        <f>AR254-AQ254</f>
        <v/>
      </c>
    </row>
    <row r="253">
      <c r="A253" s="148">
        <f>_xlfn.XLOOKUP(C255,'00_SKU_Master'!$B$2:$B$378,'00_SKU_Master'!$C$2:$C$378)</f>
        <v/>
      </c>
      <c r="B253" s="148" t="n"/>
      <c r="C253" s="148">
        <f>X255</f>
        <v/>
      </c>
      <c r="D253" s="586">
        <f>_xludf.IFNA(_xlfn.XLOOKUP(C255,'00_SKU_Master'!$B$2:$B$378,'00_SKU_Master'!$F$2:$F$378,0)*Y255,"")</f>
        <v/>
      </c>
      <c r="E253" s="586">
        <f>_xludf.IFNA(_xlfn.XLOOKUP(C255,'00_SKU_Master'!$B$2:$B$378,'00_SKU_Master'!$F$2:$F$378,0)*Z255,"")</f>
        <v/>
      </c>
      <c r="F253" s="586">
        <f>_xludf.IFNA(_xlfn.XLOOKUP(C255,'00_SKU_Master'!$B$2:$B$378,'00_SKU_Master'!$F$2:$F$378,0)*AA255,"")</f>
        <v/>
      </c>
      <c r="G253" s="586">
        <f>_xludf.IFNA(_xlfn.XLOOKUP(C255,'00_SKU_Master'!$B$2:$B$378,'00_SKU_Master'!$F$2:$F$378,0)*AB255,"")</f>
        <v/>
      </c>
      <c r="H253" s="586">
        <f>_xludf.IFNA(_xlfn.XLOOKUP(C255,'00_SKU_Master'!$B$2:$B$378,'00_SKU_Master'!$F$2:$F$378,0)*AC255,"")</f>
        <v/>
      </c>
      <c r="I253" s="586">
        <f>_xludf.IFNA(_xlfn.XLOOKUP(C255,'00_SKU_Master'!$B$2:$B$378,'00_SKU_Master'!$F$2:$F$378,0)*AD255,"")</f>
        <v/>
      </c>
      <c r="J253" s="586">
        <f>_xludf.IFNA(_xlfn.XLOOKUP(C255,'00_SKU_Master'!$B$2:$B$378,'00_SKU_Master'!$F$2:$F$378,0)*AE255,"")</f>
        <v/>
      </c>
      <c r="K253" s="587">
        <f>SUM(D255:J255)</f>
        <v/>
      </c>
      <c r="L253" s="197">
        <f>_xlfn.XLOOKUP(C255,'00_SKU_Master'!$B$2:$B$378,'00_SKU_Master'!K:K)</f>
        <v/>
      </c>
      <c r="M253" s="14">
        <f>X255</f>
        <v/>
      </c>
      <c r="N253" s="157">
        <f>_xludf.IFNA(D255/_xlfn.XLOOKUP($M255,'00_SKU_Master'!$B$2:$B$378,'00_SKU_Master'!$M$2:$M$378,0)/$M$2,"0")</f>
        <v/>
      </c>
      <c r="O253" s="157">
        <f>_xludf.IFNA(E255/_xlfn.XLOOKUP($M255,'00_SKU_Master'!$B$2:$B$378,'00_SKU_Master'!$M$2:$M$378,0)/$M$2,"0")</f>
        <v/>
      </c>
      <c r="P253" s="157">
        <f>_xludf.IFNA(F255/_xlfn.XLOOKUP($M255,'00_SKU_Master'!$B$2:$B$378,'00_SKU_Master'!$M$2:$M$378,0)/$M$2,"0")</f>
        <v/>
      </c>
      <c r="Q253" s="157">
        <f>_xludf.IFNA(G255/_xlfn.XLOOKUP($M255,'00_SKU_Master'!$B$2:$B$378,'00_SKU_Master'!$M$2:$M$378,0)/$M$2,"0")</f>
        <v/>
      </c>
      <c r="R253" s="157">
        <f>_xludf.IFNA(H255/_xlfn.XLOOKUP($M255,'00_SKU_Master'!$B$2:$B$378,'00_SKU_Master'!$M$2:$M$378,0)/$M$2,"0")</f>
        <v/>
      </c>
      <c r="S253" s="157">
        <f>_xludf.IFNA(I255/_xlfn.XLOOKUP($M255,'00_SKU_Master'!$B$2:$B$378,'00_SKU_Master'!$M$2:$M$378,0)/$M$2,"0")</f>
        <v/>
      </c>
      <c r="T253" s="157">
        <f>_xludf.IFNA(J255/_xlfn.XLOOKUP($M255,'00_SKU_Master'!$B$2:$B$378,'00_SKU_Master'!$M$2:$M$378,0)/$M$2,"0")</f>
        <v/>
      </c>
      <c r="U253" s="157">
        <f>SUM(N255:T255)</f>
        <v/>
      </c>
      <c r="V253" s="4" t="n"/>
      <c r="W253" s="4">
        <f>_xlfn.XLOOKUP(M255,'00_SKU_Master'!$B$2:$B$378,'00_SKU_Master'!D:D)</f>
        <v/>
      </c>
      <c r="X253" s="14">
        <f>'05_Daily_Orders'!B254</f>
        <v/>
      </c>
      <c r="Y253" s="588" t="n"/>
      <c r="Z253" s="589" t="n"/>
      <c r="AA253" s="589" t="n"/>
      <c r="AB253" s="589" t="n"/>
      <c r="AC253" s="589" t="n">
        <v>0</v>
      </c>
      <c r="AD253" s="589" t="n">
        <v>0</v>
      </c>
      <c r="AE253" s="589" t="n">
        <v>0</v>
      </c>
      <c r="AF253" s="587">
        <f>SUM(Y255:AE255)</f>
        <v/>
      </c>
      <c r="AQ253" s="23" t="n">
        <v>0</v>
      </c>
      <c r="AR253" s="23" t="n">
        <v>0</v>
      </c>
      <c r="AS253" s="23">
        <f>AR255-AQ255</f>
        <v/>
      </c>
    </row>
    <row r="254">
      <c r="A254" s="148">
        <f>_xlfn.XLOOKUP(C256,'00_SKU_Master'!$B$2:$B$378,'00_SKU_Master'!$C$2:$C$378)</f>
        <v/>
      </c>
      <c r="B254" s="148" t="n"/>
      <c r="C254" s="148">
        <f>X256</f>
        <v/>
      </c>
      <c r="D254" s="586">
        <f>_xludf.IFNA(_xlfn.XLOOKUP(C256,'00_SKU_Master'!$B$2:$B$378,'00_SKU_Master'!$F$2:$F$378,0)*Y256,"")</f>
        <v/>
      </c>
      <c r="E254" s="586">
        <f>_xludf.IFNA(_xlfn.XLOOKUP(C256,'00_SKU_Master'!$B$2:$B$378,'00_SKU_Master'!$F$2:$F$378,0)*Z256,"")</f>
        <v/>
      </c>
      <c r="F254" s="586">
        <f>_xludf.IFNA(_xlfn.XLOOKUP(C256,'00_SKU_Master'!$B$2:$B$378,'00_SKU_Master'!$F$2:$F$378,0)*AA256,"")</f>
        <v/>
      </c>
      <c r="G254" s="586">
        <f>_xludf.IFNA(_xlfn.XLOOKUP(C256,'00_SKU_Master'!$B$2:$B$378,'00_SKU_Master'!$F$2:$F$378,0)*AB256,"")</f>
        <v/>
      </c>
      <c r="H254" s="586">
        <f>_xludf.IFNA(_xlfn.XLOOKUP(C256,'00_SKU_Master'!$B$2:$B$378,'00_SKU_Master'!$F$2:$F$378,0)*AC256,"")</f>
        <v/>
      </c>
      <c r="I254" s="586">
        <f>_xludf.IFNA(_xlfn.XLOOKUP(C256,'00_SKU_Master'!$B$2:$B$378,'00_SKU_Master'!$F$2:$F$378,0)*AD256,"")</f>
        <v/>
      </c>
      <c r="J254" s="586">
        <f>_xludf.IFNA(_xlfn.XLOOKUP(C256,'00_SKU_Master'!$B$2:$B$378,'00_SKU_Master'!$F$2:$F$378,0)*AE256,"")</f>
        <v/>
      </c>
      <c r="K254" s="587">
        <f>SUM(D256:J256)</f>
        <v/>
      </c>
      <c r="L254" s="197">
        <f>_xlfn.XLOOKUP(C256,'00_SKU_Master'!$B$2:$B$378,'00_SKU_Master'!K:K)</f>
        <v/>
      </c>
      <c r="M254" s="14">
        <f>X256</f>
        <v/>
      </c>
      <c r="N254" s="157">
        <f>_xludf.IFNA(D256/_xlfn.XLOOKUP($M256,'00_SKU_Master'!$B$2:$B$378,'00_SKU_Master'!$M$2:$M$378,0)/$M$2,"0")</f>
        <v/>
      </c>
      <c r="O254" s="157">
        <f>_xludf.IFNA(E256/_xlfn.XLOOKUP($M256,'00_SKU_Master'!$B$2:$B$378,'00_SKU_Master'!$M$2:$M$378,0)/$M$2,"0")</f>
        <v/>
      </c>
      <c r="P254" s="157">
        <f>_xludf.IFNA(F256/_xlfn.XLOOKUP($M256,'00_SKU_Master'!$B$2:$B$378,'00_SKU_Master'!$M$2:$M$378,0)/$M$2,"0")</f>
        <v/>
      </c>
      <c r="Q254" s="157">
        <f>_xludf.IFNA(G256/_xlfn.XLOOKUP($M256,'00_SKU_Master'!$B$2:$B$378,'00_SKU_Master'!$M$2:$M$378,0)/$M$2,"0")</f>
        <v/>
      </c>
      <c r="R254" s="157">
        <f>_xludf.IFNA(H256/_xlfn.XLOOKUP($M256,'00_SKU_Master'!$B$2:$B$378,'00_SKU_Master'!$M$2:$M$378,0)/$M$2,"0")</f>
        <v/>
      </c>
      <c r="S254" s="157">
        <f>_xludf.IFNA(I256/_xlfn.XLOOKUP($M256,'00_SKU_Master'!$B$2:$B$378,'00_SKU_Master'!$M$2:$M$378,0)/$M$2,"0")</f>
        <v/>
      </c>
      <c r="T254" s="157">
        <f>_xludf.IFNA(J256/_xlfn.XLOOKUP($M256,'00_SKU_Master'!$B$2:$B$378,'00_SKU_Master'!$M$2:$M$378,0)/$M$2,"0")</f>
        <v/>
      </c>
      <c r="U254" s="157">
        <f>SUM(N256:T256)</f>
        <v/>
      </c>
      <c r="V254" s="4" t="n"/>
      <c r="W254" s="4">
        <f>_xlfn.XLOOKUP(M256,'00_SKU_Master'!$B$2:$B$378,'00_SKU_Master'!D:D)</f>
        <v/>
      </c>
      <c r="X254" s="14">
        <f>'05_Daily_Orders'!B255</f>
        <v/>
      </c>
      <c r="Y254" s="588" t="n"/>
      <c r="Z254" s="589" t="n"/>
      <c r="AA254" s="589" t="n"/>
      <c r="AB254" s="589" t="n"/>
      <c r="AC254" s="589" t="n">
        <v>62</v>
      </c>
      <c r="AD254" s="589" t="n">
        <v>0</v>
      </c>
      <c r="AE254" s="589" t="n">
        <v>0</v>
      </c>
      <c r="AF254" s="587">
        <f>SUM(Y256:AE256)</f>
        <v/>
      </c>
      <c r="AQ254" s="23" t="n">
        <v>0</v>
      </c>
      <c r="AR254" s="23" t="n">
        <v>0</v>
      </c>
      <c r="AS254" s="23">
        <f>AR256-AQ256</f>
        <v/>
      </c>
    </row>
    <row r="255">
      <c r="A255" s="148">
        <f>_xlfn.XLOOKUP(C257,'00_SKU_Master'!$B$2:$B$378,'00_SKU_Master'!$C$2:$C$378)</f>
        <v/>
      </c>
      <c r="B255" s="148" t="n"/>
      <c r="C255" s="148">
        <f>X257</f>
        <v/>
      </c>
      <c r="D255" s="586">
        <f>_xludf.IFNA(_xlfn.XLOOKUP(C257,'00_SKU_Master'!$B$2:$B$378,'00_SKU_Master'!$F$2:$F$378,0)*Y257,"")</f>
        <v/>
      </c>
      <c r="E255" s="586">
        <f>_xludf.IFNA(_xlfn.XLOOKUP(C257,'00_SKU_Master'!$B$2:$B$378,'00_SKU_Master'!$F$2:$F$378,0)*Z257,"")</f>
        <v/>
      </c>
      <c r="F255" s="586">
        <f>_xludf.IFNA(_xlfn.XLOOKUP(C257,'00_SKU_Master'!$B$2:$B$378,'00_SKU_Master'!$F$2:$F$378,0)*AA257,"")</f>
        <v/>
      </c>
      <c r="G255" s="586">
        <f>_xludf.IFNA(_xlfn.XLOOKUP(C257,'00_SKU_Master'!$B$2:$B$378,'00_SKU_Master'!$F$2:$F$378,0)*AB257,"")</f>
        <v/>
      </c>
      <c r="H255" s="586">
        <f>_xludf.IFNA(_xlfn.XLOOKUP(C257,'00_SKU_Master'!$B$2:$B$378,'00_SKU_Master'!$F$2:$F$378,0)*AC257,"")</f>
        <v/>
      </c>
      <c r="I255" s="586">
        <f>_xludf.IFNA(_xlfn.XLOOKUP(C257,'00_SKU_Master'!$B$2:$B$378,'00_SKU_Master'!$F$2:$F$378,0)*AD257,"")</f>
        <v/>
      </c>
      <c r="J255" s="586">
        <f>_xludf.IFNA(_xlfn.XLOOKUP(C257,'00_SKU_Master'!$B$2:$B$378,'00_SKU_Master'!$F$2:$F$378,0)*AE257,"")</f>
        <v/>
      </c>
      <c r="K255" s="587">
        <f>SUM(D257:J257)</f>
        <v/>
      </c>
      <c r="L255" s="197">
        <f>_xlfn.XLOOKUP(C257,'00_SKU_Master'!$B$2:$B$378,'00_SKU_Master'!K:K)</f>
        <v/>
      </c>
      <c r="M255" s="14">
        <f>X257</f>
        <v/>
      </c>
      <c r="N255" s="157">
        <f>_xludf.IFNA(D257/_xlfn.XLOOKUP($M257,'00_SKU_Master'!$B$2:$B$378,'00_SKU_Master'!$M$2:$M$378,0)/$M$2,"0")</f>
        <v/>
      </c>
      <c r="O255" s="157">
        <f>_xludf.IFNA(E257/_xlfn.XLOOKUP($M257,'00_SKU_Master'!$B$2:$B$378,'00_SKU_Master'!$M$2:$M$378,0)/$M$2,"0")</f>
        <v/>
      </c>
      <c r="P255" s="157">
        <f>_xludf.IFNA(F257/_xlfn.XLOOKUP($M257,'00_SKU_Master'!$B$2:$B$378,'00_SKU_Master'!$M$2:$M$378,0)/$M$2,"0")</f>
        <v/>
      </c>
      <c r="Q255" s="157">
        <f>_xludf.IFNA(G257/_xlfn.XLOOKUP($M257,'00_SKU_Master'!$B$2:$B$378,'00_SKU_Master'!$M$2:$M$378,0)/$M$2,"0")</f>
        <v/>
      </c>
      <c r="R255" s="157">
        <f>_xludf.IFNA(H257/_xlfn.XLOOKUP($M257,'00_SKU_Master'!$B$2:$B$378,'00_SKU_Master'!$M$2:$M$378,0)/$M$2,"0")</f>
        <v/>
      </c>
      <c r="S255" s="157">
        <f>_xludf.IFNA(I257/_xlfn.XLOOKUP($M257,'00_SKU_Master'!$B$2:$B$378,'00_SKU_Master'!$M$2:$M$378,0)/$M$2,"0")</f>
        <v/>
      </c>
      <c r="T255" s="157">
        <f>_xludf.IFNA(J257/_xlfn.XLOOKUP($M257,'00_SKU_Master'!$B$2:$B$378,'00_SKU_Master'!$M$2:$M$378,0)/$M$2,"0")</f>
        <v/>
      </c>
      <c r="U255" s="157">
        <f>SUM(N257:T257)</f>
        <v/>
      </c>
      <c r="V255" s="4" t="n"/>
      <c r="W255" s="4">
        <f>_xlfn.XLOOKUP(M257,'00_SKU_Master'!$B$2:$B$378,'00_SKU_Master'!D:D)</f>
        <v/>
      </c>
      <c r="X255" s="14">
        <f>'05_Daily_Orders'!B256</f>
        <v/>
      </c>
      <c r="Y255" s="588" t="n"/>
      <c r="Z255" s="589" t="n"/>
      <c r="AA255" s="589" t="n"/>
      <c r="AB255" s="589" t="n"/>
      <c r="AC255" s="589" t="n">
        <v>1711</v>
      </c>
      <c r="AD255" s="589" t="n">
        <v>0</v>
      </c>
      <c r="AE255" s="589" t="n">
        <v>0</v>
      </c>
      <c r="AF255" s="587">
        <f>SUM(Y257:AE257)</f>
        <v/>
      </c>
      <c r="AQ255" s="23" t="n">
        <v>0</v>
      </c>
      <c r="AR255" s="23" t="n">
        <v>0</v>
      </c>
      <c r="AS255" s="23">
        <f>AR257-AQ257</f>
        <v/>
      </c>
    </row>
    <row r="256">
      <c r="A256" s="148">
        <f>_xlfn.XLOOKUP(C258,'00_SKU_Master'!$B$2:$B$378,'00_SKU_Master'!$C$2:$C$378)</f>
        <v/>
      </c>
      <c r="B256" s="148" t="n"/>
      <c r="C256" s="148">
        <f>X258</f>
        <v/>
      </c>
      <c r="D256" s="586">
        <f>_xludf.IFNA(_xlfn.XLOOKUP(C258,'00_SKU_Master'!$B$2:$B$378,'00_SKU_Master'!$F$2:$F$378,0)*Y258,"")</f>
        <v/>
      </c>
      <c r="E256" s="586">
        <f>_xludf.IFNA(_xlfn.XLOOKUP(C258,'00_SKU_Master'!$B$2:$B$378,'00_SKU_Master'!$F$2:$F$378,0)*Z258,"")</f>
        <v/>
      </c>
      <c r="F256" s="586">
        <f>_xludf.IFNA(_xlfn.XLOOKUP(C258,'00_SKU_Master'!$B$2:$B$378,'00_SKU_Master'!$F$2:$F$378,0)*AA258,"")</f>
        <v/>
      </c>
      <c r="G256" s="586">
        <f>_xludf.IFNA(_xlfn.XLOOKUP(C258,'00_SKU_Master'!$B$2:$B$378,'00_SKU_Master'!$F$2:$F$378,0)*AB258,"")</f>
        <v/>
      </c>
      <c r="H256" s="586">
        <f>_xludf.IFNA(_xlfn.XLOOKUP(C258,'00_SKU_Master'!$B$2:$B$378,'00_SKU_Master'!$F$2:$F$378,0)*AC258,"")</f>
        <v/>
      </c>
      <c r="I256" s="586">
        <f>_xludf.IFNA(_xlfn.XLOOKUP(C258,'00_SKU_Master'!$B$2:$B$378,'00_SKU_Master'!$F$2:$F$378,0)*AD258,"")</f>
        <v/>
      </c>
      <c r="J256" s="586">
        <f>_xludf.IFNA(_xlfn.XLOOKUP(C258,'00_SKU_Master'!$B$2:$B$378,'00_SKU_Master'!$F$2:$F$378,0)*AE258,"")</f>
        <v/>
      </c>
      <c r="K256" s="587">
        <f>SUM(D258:J258)</f>
        <v/>
      </c>
      <c r="L256" s="197">
        <f>_xlfn.XLOOKUP(C258,'00_SKU_Master'!$B$2:$B$378,'00_SKU_Master'!K:K)</f>
        <v/>
      </c>
      <c r="M256" s="14">
        <f>X258</f>
        <v/>
      </c>
      <c r="N256" s="157">
        <f>_xludf.IFNA(D258/_xlfn.XLOOKUP($M258,'00_SKU_Master'!$B$2:$B$378,'00_SKU_Master'!$M$2:$M$378,0)/$M$2,"0")</f>
        <v/>
      </c>
      <c r="O256" s="157">
        <f>_xludf.IFNA(E258/_xlfn.XLOOKUP($M258,'00_SKU_Master'!$B$2:$B$378,'00_SKU_Master'!$M$2:$M$378,0)/$M$2,"0")</f>
        <v/>
      </c>
      <c r="P256" s="157">
        <f>_xludf.IFNA(F258/_xlfn.XLOOKUP($M258,'00_SKU_Master'!$B$2:$B$378,'00_SKU_Master'!$M$2:$M$378,0)/$M$2,"0")</f>
        <v/>
      </c>
      <c r="Q256" s="157">
        <f>_xludf.IFNA(G258/_xlfn.XLOOKUP($M258,'00_SKU_Master'!$B$2:$B$378,'00_SKU_Master'!$M$2:$M$378,0)/$M$2,"0")</f>
        <v/>
      </c>
      <c r="R256" s="157">
        <f>_xludf.IFNA(H258/_xlfn.XLOOKUP($M258,'00_SKU_Master'!$B$2:$B$378,'00_SKU_Master'!$M$2:$M$378,0)/$M$2,"0")</f>
        <v/>
      </c>
      <c r="S256" s="157">
        <f>_xludf.IFNA(I258/_xlfn.XLOOKUP($M258,'00_SKU_Master'!$B$2:$B$378,'00_SKU_Master'!$M$2:$M$378,0)/$M$2,"0")</f>
        <v/>
      </c>
      <c r="T256" s="157">
        <f>_xludf.IFNA(J258/_xlfn.XLOOKUP($M258,'00_SKU_Master'!$B$2:$B$378,'00_SKU_Master'!$M$2:$M$378,0)/$M$2,"0")</f>
        <v/>
      </c>
      <c r="U256" s="157">
        <f>SUM(N258:T258)</f>
        <v/>
      </c>
      <c r="V256" s="4" t="n"/>
      <c r="W256" s="4">
        <f>_xlfn.XLOOKUP(M258,'00_SKU_Master'!$B$2:$B$378,'00_SKU_Master'!D:D)</f>
        <v/>
      </c>
      <c r="X256" s="14">
        <f>'05_Daily_Orders'!B257</f>
        <v/>
      </c>
      <c r="Y256" s="588" t="n"/>
      <c r="Z256" s="589" t="n"/>
      <c r="AA256" s="589" t="n"/>
      <c r="AB256" s="589" t="n"/>
      <c r="AC256" s="589" t="n">
        <v>0</v>
      </c>
      <c r="AD256" s="589" t="n">
        <v>0</v>
      </c>
      <c r="AE256" s="589" t="n">
        <v>0</v>
      </c>
      <c r="AF256" s="587">
        <f>SUM(Y258:AE258)</f>
        <v/>
      </c>
      <c r="AQ256" s="23" t="n">
        <v>0</v>
      </c>
      <c r="AR256" s="23" t="n">
        <v>0</v>
      </c>
      <c r="AS256" s="23">
        <f>AR258-AQ258</f>
        <v/>
      </c>
    </row>
    <row r="257">
      <c r="A257" s="148">
        <f>_xlfn.XLOOKUP(C259,'00_SKU_Master'!$B$2:$B$378,'00_SKU_Master'!$C$2:$C$378)</f>
        <v/>
      </c>
      <c r="B257" s="148" t="n"/>
      <c r="C257" s="148">
        <f>X259</f>
        <v/>
      </c>
      <c r="D257" s="586">
        <f>_xludf.IFNA(_xlfn.XLOOKUP(C259,'00_SKU_Master'!$B$2:$B$378,'00_SKU_Master'!$F$2:$F$378,0)*Y259,"")</f>
        <v/>
      </c>
      <c r="E257" s="586">
        <f>_xludf.IFNA(_xlfn.XLOOKUP(C259,'00_SKU_Master'!$B$2:$B$378,'00_SKU_Master'!$F$2:$F$378,0)*Z259,"")</f>
        <v/>
      </c>
      <c r="F257" s="586">
        <f>_xludf.IFNA(_xlfn.XLOOKUP(C259,'00_SKU_Master'!$B$2:$B$378,'00_SKU_Master'!$F$2:$F$378,0)*AA259,"")</f>
        <v/>
      </c>
      <c r="G257" s="586">
        <f>_xludf.IFNA(_xlfn.XLOOKUP(C259,'00_SKU_Master'!$B$2:$B$378,'00_SKU_Master'!$F$2:$F$378,0)*AB259,"")</f>
        <v/>
      </c>
      <c r="H257" s="586">
        <f>_xludf.IFNA(_xlfn.XLOOKUP(C259,'00_SKU_Master'!$B$2:$B$378,'00_SKU_Master'!$F$2:$F$378,0)*AC259,"")</f>
        <v/>
      </c>
      <c r="I257" s="586">
        <f>_xludf.IFNA(_xlfn.XLOOKUP(C259,'00_SKU_Master'!$B$2:$B$378,'00_SKU_Master'!$F$2:$F$378,0)*AD259,"")</f>
        <v/>
      </c>
      <c r="J257" s="586">
        <f>_xludf.IFNA(_xlfn.XLOOKUP(C259,'00_SKU_Master'!$B$2:$B$378,'00_SKU_Master'!$F$2:$F$378,0)*AE259,"")</f>
        <v/>
      </c>
      <c r="K257" s="587">
        <f>SUM(D259:J259)</f>
        <v/>
      </c>
      <c r="L257" s="197">
        <f>_xlfn.XLOOKUP(C259,'00_SKU_Master'!$B$2:$B$378,'00_SKU_Master'!K:K)</f>
        <v/>
      </c>
      <c r="M257" s="14">
        <f>X259</f>
        <v/>
      </c>
      <c r="N257" s="590">
        <f>_xludf.IFNA(D259/_xlfn.XLOOKUP($M259,'00_SKU_Master'!$B$2:$B$378,'00_SKU_Master'!$M$2:$M$378,0)/$M$2,"0")</f>
        <v/>
      </c>
      <c r="O257" s="590">
        <f>_xludf.IFNA(E259/_xlfn.XLOOKUP($M259,'00_SKU_Master'!$B$2:$B$378,'00_SKU_Master'!$M$2:$M$378,0)/$M$2,"0")</f>
        <v/>
      </c>
      <c r="P257" s="590">
        <f>_xludf.IFNA(F259/_xlfn.XLOOKUP($M259,'00_SKU_Master'!$B$2:$B$378,'00_SKU_Master'!$M$2:$M$378,0)/$M$2,"0")</f>
        <v/>
      </c>
      <c r="Q257" s="590">
        <f>_xludf.IFNA(G259/_xlfn.XLOOKUP($M259,'00_SKU_Master'!$B$2:$B$378,'00_SKU_Master'!$M$2:$M$378,0)/$M$2,"0")</f>
        <v/>
      </c>
      <c r="R257" s="590">
        <f>_xludf.IFNA(H259/_xlfn.XLOOKUP($M259,'00_SKU_Master'!$B$2:$B$378,'00_SKU_Master'!$M$2:$M$378,0)/$M$2,"0")</f>
        <v/>
      </c>
      <c r="S257" s="590">
        <f>_xludf.IFNA(I259/_xlfn.XLOOKUP($M259,'00_SKU_Master'!$B$2:$B$378,'00_SKU_Master'!$M$2:$M$378,0)/$M$2,"0")</f>
        <v/>
      </c>
      <c r="T257" s="590">
        <f>_xludf.IFNA(J259/_xlfn.XLOOKUP($M259,'00_SKU_Master'!$B$2:$B$378,'00_SKU_Master'!$M$2:$M$378,0)/$M$2,"0")</f>
        <v/>
      </c>
      <c r="U257" s="590">
        <f>SUM(N259:T259)</f>
        <v/>
      </c>
      <c r="V257" s="4" t="n"/>
      <c r="W257" s="4">
        <f>_xlfn.XLOOKUP(M259,'00_SKU_Master'!$B$2:$B$378,'00_SKU_Master'!D:D)</f>
        <v/>
      </c>
      <c r="X257" s="14">
        <f>'05_Daily_Orders'!B258</f>
        <v/>
      </c>
      <c r="Y257" s="588" t="n"/>
      <c r="Z257" s="589" t="n"/>
      <c r="AA257" s="589" t="n"/>
      <c r="AB257" s="589" t="n"/>
      <c r="AC257" s="589" t="n">
        <v>79</v>
      </c>
      <c r="AD257" s="589" t="n">
        <v>0</v>
      </c>
      <c r="AE257" s="589" t="n">
        <v>0</v>
      </c>
      <c r="AF257" s="587">
        <f>SUM(Y259:AE259)</f>
        <v/>
      </c>
      <c r="AQ257" s="23" t="n"/>
      <c r="AR257" s="23" t="n"/>
      <c r="AS257" s="23" t="n"/>
    </row>
    <row r="258">
      <c r="A258" s="148">
        <f>_xlfn.XLOOKUP(C260,'00_SKU_Master'!$B$2:$B$378,'00_SKU_Master'!$C$2:$C$378)</f>
        <v/>
      </c>
      <c r="B258" s="148" t="n"/>
      <c r="C258" s="148">
        <f>X260</f>
        <v/>
      </c>
      <c r="D258" s="586">
        <f>_xludf.IFNA(_xlfn.XLOOKUP(C260,'00_SKU_Master'!$B$2:$B$378,'00_SKU_Master'!$F$2:$F$378,0)*Y260,"")</f>
        <v/>
      </c>
      <c r="E258" s="586">
        <f>_xludf.IFNA(_xlfn.XLOOKUP(C260,'00_SKU_Master'!$B$2:$B$378,'00_SKU_Master'!$F$2:$F$378,0)*Z260,"")</f>
        <v/>
      </c>
      <c r="F258" s="586">
        <f>_xludf.IFNA(_xlfn.XLOOKUP(C260,'00_SKU_Master'!$B$2:$B$378,'00_SKU_Master'!$F$2:$F$378,0)*AA260,"")</f>
        <v/>
      </c>
      <c r="G258" s="586">
        <f>_xludf.IFNA(_xlfn.XLOOKUP(C260,'00_SKU_Master'!$B$2:$B$378,'00_SKU_Master'!$F$2:$F$378,0)*AB260,"")</f>
        <v/>
      </c>
      <c r="H258" s="586">
        <f>_xludf.IFNA(_xlfn.XLOOKUP(C260,'00_SKU_Master'!$B$2:$B$378,'00_SKU_Master'!$F$2:$F$378,0)*AC260,"")</f>
        <v/>
      </c>
      <c r="I258" s="586">
        <f>_xludf.IFNA(_xlfn.XLOOKUP(C260,'00_SKU_Master'!$B$2:$B$378,'00_SKU_Master'!$F$2:$F$378,0)*AD260,"")</f>
        <v/>
      </c>
      <c r="J258" s="586">
        <f>_xludf.IFNA(_xlfn.XLOOKUP(C260,'00_SKU_Master'!$B$2:$B$378,'00_SKU_Master'!$F$2:$F$378,0)*AE260,"")</f>
        <v/>
      </c>
      <c r="K258" s="587">
        <f>SUM(D260:J260)</f>
        <v/>
      </c>
      <c r="L258" s="197">
        <f>_xlfn.XLOOKUP(C260,'00_SKU_Master'!$B$2:$B$378,'00_SKU_Master'!K:K)</f>
        <v/>
      </c>
      <c r="M258" s="14">
        <f>X260</f>
        <v/>
      </c>
      <c r="N258" s="590">
        <f>_xludf.IFNA(D260/_xlfn.XLOOKUP($M260,'00_SKU_Master'!$B$2:$B$378,'00_SKU_Master'!$M$2:$M$378,0)/$M$2,"0")</f>
        <v/>
      </c>
      <c r="O258" s="590">
        <f>_xludf.IFNA(E260/_xlfn.XLOOKUP($M260,'00_SKU_Master'!$B$2:$B$378,'00_SKU_Master'!$M$2:$M$378,0)/$M$2,"0")</f>
        <v/>
      </c>
      <c r="P258" s="590">
        <f>_xludf.IFNA(F260/_xlfn.XLOOKUP($M260,'00_SKU_Master'!$B$2:$B$378,'00_SKU_Master'!$M$2:$M$378,0)/$M$2,"0")</f>
        <v/>
      </c>
      <c r="Q258" s="590">
        <f>_xludf.IFNA(G260/_xlfn.XLOOKUP($M260,'00_SKU_Master'!$B$2:$B$378,'00_SKU_Master'!$M$2:$M$378,0)/$M$2,"0")</f>
        <v/>
      </c>
      <c r="R258" s="590">
        <f>_xludf.IFNA(H260/_xlfn.XLOOKUP($M260,'00_SKU_Master'!$B$2:$B$378,'00_SKU_Master'!$M$2:$M$378,0)/$M$2,"0")</f>
        <v/>
      </c>
      <c r="S258" s="590">
        <f>_xludf.IFNA(I260/_xlfn.XLOOKUP($M260,'00_SKU_Master'!$B$2:$B$378,'00_SKU_Master'!$M$2:$M$378,0)/$M$2,"0")</f>
        <v/>
      </c>
      <c r="T258" s="590">
        <f>_xludf.IFNA(J260/_xlfn.XLOOKUP($M260,'00_SKU_Master'!$B$2:$B$378,'00_SKU_Master'!$M$2:$M$378,0)/$M$2,"0")</f>
        <v/>
      </c>
      <c r="U258" s="590">
        <f>SUM(N260:T260)</f>
        <v/>
      </c>
      <c r="V258" s="4" t="n"/>
      <c r="W258" s="4">
        <f>_xlfn.XLOOKUP(M260,'00_SKU_Master'!$B$2:$B$378,'00_SKU_Master'!D:D)</f>
        <v/>
      </c>
      <c r="X258" s="14">
        <f>'05_Daily_Orders'!B259</f>
        <v/>
      </c>
      <c r="Y258" s="588" t="n"/>
      <c r="Z258" s="589" t="n"/>
      <c r="AA258" s="589" t="n"/>
      <c r="AB258" s="589" t="n"/>
      <c r="AC258" s="589" t="n">
        <v>517</v>
      </c>
      <c r="AD258" s="589" t="n">
        <v>0</v>
      </c>
      <c r="AE258" s="589" t="n">
        <v>0</v>
      </c>
      <c r="AF258" s="587">
        <f>SUM(Y260:AE260)</f>
        <v/>
      </c>
    </row>
    <row r="259">
      <c r="A259" s="148">
        <f>_xlfn.XLOOKUP(C261,'00_SKU_Master'!$B$2:$B$378,'00_SKU_Master'!$C$2:$C$378)</f>
        <v/>
      </c>
      <c r="B259" s="148" t="n"/>
      <c r="C259" s="148">
        <f>X261</f>
        <v/>
      </c>
      <c r="D259" s="586">
        <f>_xludf.IFNA(_xlfn.XLOOKUP(C261,'00_SKU_Master'!$B$2:$B$378,'00_SKU_Master'!$F$2:$F$378,0)*Y261,"")</f>
        <v/>
      </c>
      <c r="E259" s="586">
        <f>_xludf.IFNA(_xlfn.XLOOKUP(C261,'00_SKU_Master'!$B$2:$B$378,'00_SKU_Master'!$F$2:$F$378,0)*Z261,"")</f>
        <v/>
      </c>
      <c r="F259" s="586">
        <f>_xludf.IFNA(_xlfn.XLOOKUP(C261,'00_SKU_Master'!$B$2:$B$378,'00_SKU_Master'!$F$2:$F$378,0)*AA261,"")</f>
        <v/>
      </c>
      <c r="G259" s="586">
        <f>_xludf.IFNA(_xlfn.XLOOKUP(C261,'00_SKU_Master'!$B$2:$B$378,'00_SKU_Master'!$F$2:$F$378,0)*AB261,"")</f>
        <v/>
      </c>
      <c r="H259" s="586">
        <f>_xludf.IFNA(_xlfn.XLOOKUP(C261,'00_SKU_Master'!$B$2:$B$378,'00_SKU_Master'!$F$2:$F$378,0)*AC261,"")</f>
        <v/>
      </c>
      <c r="I259" s="586">
        <f>_xludf.IFNA(_xlfn.XLOOKUP(C261,'00_SKU_Master'!$B$2:$B$378,'00_SKU_Master'!$F$2:$F$378,0)*AD261,"")</f>
        <v/>
      </c>
      <c r="J259" s="586">
        <f>_xludf.IFNA(_xlfn.XLOOKUP(C261,'00_SKU_Master'!$B$2:$B$378,'00_SKU_Master'!$F$2:$F$378,0)*AE261,"")</f>
        <v/>
      </c>
      <c r="K259" s="587">
        <f>SUM(D261:J261)</f>
        <v/>
      </c>
      <c r="L259" s="197">
        <f>_xlfn.XLOOKUP(C261,'00_SKU_Master'!$B$2:$B$378,'00_SKU_Master'!K:K)</f>
        <v/>
      </c>
      <c r="M259" s="14">
        <f>X261</f>
        <v/>
      </c>
      <c r="N259" s="590">
        <f>_xludf.IFNA(D261/_xlfn.XLOOKUP($M261,'00_SKU_Master'!$B$2:$B$378,'00_SKU_Master'!$M$2:$M$378,0)/$M$2,"0")</f>
        <v/>
      </c>
      <c r="O259" s="590">
        <f>_xludf.IFNA(E261/_xlfn.XLOOKUP($M261,'00_SKU_Master'!$B$2:$B$378,'00_SKU_Master'!$M$2:$M$378,0)/$M$2,"0")</f>
        <v/>
      </c>
      <c r="P259" s="590">
        <f>_xludf.IFNA(F261/_xlfn.XLOOKUP($M261,'00_SKU_Master'!$B$2:$B$378,'00_SKU_Master'!$M$2:$M$378,0)/$M$2,"0")</f>
        <v/>
      </c>
      <c r="Q259" s="590">
        <f>_xludf.IFNA(G261/_xlfn.XLOOKUP($M261,'00_SKU_Master'!$B$2:$B$378,'00_SKU_Master'!$M$2:$M$378,0)/$M$2,"0")</f>
        <v/>
      </c>
      <c r="R259" s="590">
        <f>_xludf.IFNA(H261/_xlfn.XLOOKUP($M261,'00_SKU_Master'!$B$2:$B$378,'00_SKU_Master'!$M$2:$M$378,0)/$M$2,"0")</f>
        <v/>
      </c>
      <c r="S259" s="590">
        <f>_xludf.IFNA(I261/_xlfn.XLOOKUP($M261,'00_SKU_Master'!$B$2:$B$378,'00_SKU_Master'!$M$2:$M$378,0)/$M$2,"0")</f>
        <v/>
      </c>
      <c r="T259" s="590">
        <f>_xludf.IFNA(J261/_xlfn.XLOOKUP($M261,'00_SKU_Master'!$B$2:$B$378,'00_SKU_Master'!$M$2:$M$378,0)/$M$2,"0")</f>
        <v/>
      </c>
      <c r="U259" s="590">
        <f>SUM(N261:T261)</f>
        <v/>
      </c>
      <c r="V259" s="4" t="n"/>
      <c r="W259" s="4">
        <f>_xlfn.XLOOKUP(M261,'00_SKU_Master'!$B$2:$B$378,'00_SKU_Master'!D:D)</f>
        <v/>
      </c>
      <c r="X259" s="14">
        <f>'05_Daily_Orders'!B260</f>
        <v/>
      </c>
      <c r="Y259" s="588" t="n"/>
      <c r="Z259" s="589" t="n"/>
      <c r="AA259" s="589" t="n"/>
      <c r="AB259" s="589" t="n"/>
      <c r="AC259" s="589" t="n">
        <v>0</v>
      </c>
      <c r="AD259" s="589" t="n">
        <v>0</v>
      </c>
      <c r="AE259" s="589" t="n">
        <v>0</v>
      </c>
      <c r="AF259" s="587">
        <f>SUM(Y261:AE261)</f>
        <v/>
      </c>
    </row>
    <row r="260">
      <c r="A260" s="148">
        <f>_xlfn.XLOOKUP(C262,'00_SKU_Master'!$B$2:$B$378,'00_SKU_Master'!$C$2:$C$378)</f>
        <v/>
      </c>
      <c r="B260" s="148" t="n"/>
      <c r="C260" s="148">
        <f>X262</f>
        <v/>
      </c>
      <c r="D260" s="586">
        <f>_xludf.IFNA(_xlfn.XLOOKUP(C262,'00_SKU_Master'!$B$2:$B$378,'00_SKU_Master'!$F$2:$F$378,0)*Y262,"")</f>
        <v/>
      </c>
      <c r="E260" s="586">
        <f>_xludf.IFNA(_xlfn.XLOOKUP(C262,'00_SKU_Master'!$B$2:$B$378,'00_SKU_Master'!$F$2:$F$378,0)*Z262,"")</f>
        <v/>
      </c>
      <c r="F260" s="586">
        <f>_xludf.IFNA(_xlfn.XLOOKUP(C262,'00_SKU_Master'!$B$2:$B$378,'00_SKU_Master'!$F$2:$F$378,0)*AA262,"")</f>
        <v/>
      </c>
      <c r="G260" s="586">
        <f>_xludf.IFNA(_xlfn.XLOOKUP(C262,'00_SKU_Master'!$B$2:$B$378,'00_SKU_Master'!$F$2:$F$378,0)*AB262,"")</f>
        <v/>
      </c>
      <c r="H260" s="586">
        <f>_xludf.IFNA(_xlfn.XLOOKUP(C262,'00_SKU_Master'!$B$2:$B$378,'00_SKU_Master'!$F$2:$F$378,0)*AC262,"")</f>
        <v/>
      </c>
      <c r="I260" s="586">
        <f>_xludf.IFNA(_xlfn.XLOOKUP(C262,'00_SKU_Master'!$B$2:$B$378,'00_SKU_Master'!$F$2:$F$378,0)*AD262,"")</f>
        <v/>
      </c>
      <c r="J260" s="586">
        <f>_xludf.IFNA(_xlfn.XLOOKUP(C262,'00_SKU_Master'!$B$2:$B$378,'00_SKU_Master'!$F$2:$F$378,0)*AE262,"")</f>
        <v/>
      </c>
      <c r="K260" s="587">
        <f>SUM(D262:J262)</f>
        <v/>
      </c>
      <c r="L260" s="197">
        <f>_xlfn.XLOOKUP(C262,'00_SKU_Master'!$B$2:$B$378,'00_SKU_Master'!K:K)</f>
        <v/>
      </c>
      <c r="M260" s="14">
        <f>X262</f>
        <v/>
      </c>
      <c r="N260" s="590">
        <f>_xludf.IFNA(D262/_xlfn.XLOOKUP($M262,'00_SKU_Master'!$B$2:$B$378,'00_SKU_Master'!$M$2:$M$378,0)/$M$2,"0")</f>
        <v/>
      </c>
      <c r="O260" s="590">
        <f>_xludf.IFNA(E262/_xlfn.XLOOKUP($M262,'00_SKU_Master'!$B$2:$B$378,'00_SKU_Master'!$M$2:$M$378,0)/$M$2,"0")</f>
        <v/>
      </c>
      <c r="P260" s="590">
        <f>_xludf.IFNA(F262/_xlfn.XLOOKUP($M262,'00_SKU_Master'!$B$2:$B$378,'00_SKU_Master'!$M$2:$M$378,0)/$M$2,"0")</f>
        <v/>
      </c>
      <c r="Q260" s="590">
        <f>_xludf.IFNA(G262/_xlfn.XLOOKUP($M262,'00_SKU_Master'!$B$2:$B$378,'00_SKU_Master'!$M$2:$M$378,0)/$M$2,"0")</f>
        <v/>
      </c>
      <c r="R260" s="590">
        <f>_xludf.IFNA(H262/_xlfn.XLOOKUP($M262,'00_SKU_Master'!$B$2:$B$378,'00_SKU_Master'!$M$2:$M$378,0)/$M$2,"0")</f>
        <v/>
      </c>
      <c r="S260" s="590">
        <f>_xludf.IFNA(I262/_xlfn.XLOOKUP($M262,'00_SKU_Master'!$B$2:$B$378,'00_SKU_Master'!$M$2:$M$378,0)/$M$2,"0")</f>
        <v/>
      </c>
      <c r="T260" s="590">
        <f>_xludf.IFNA(J262/_xlfn.XLOOKUP($M262,'00_SKU_Master'!$B$2:$B$378,'00_SKU_Master'!$M$2:$M$378,0)/$M$2,"0")</f>
        <v/>
      </c>
      <c r="U260" s="590">
        <f>SUM(N262:T262)</f>
        <v/>
      </c>
      <c r="V260" s="4" t="n"/>
      <c r="W260" s="4">
        <f>_xlfn.XLOOKUP(M262,'00_SKU_Master'!$B$2:$B$378,'00_SKU_Master'!D:D)</f>
        <v/>
      </c>
      <c r="X260" s="14">
        <f>'05_Daily_Orders'!B261</f>
        <v/>
      </c>
      <c r="Y260" s="588" t="n"/>
      <c r="Z260" s="589" t="n"/>
      <c r="AA260" s="589" t="n"/>
      <c r="AB260" s="589" t="n"/>
      <c r="AC260" s="589" t="n">
        <v>0</v>
      </c>
      <c r="AD260" s="589" t="n">
        <v>0</v>
      </c>
      <c r="AE260" s="589" t="n">
        <v>0</v>
      </c>
      <c r="AF260" s="587">
        <f>SUM(Y262:AE262)</f>
        <v/>
      </c>
    </row>
    <row r="261">
      <c r="A261" s="148">
        <f>_xlfn.XLOOKUP(C263,'00_SKU_Master'!$B$2:$B$378,'00_SKU_Master'!$C$2:$C$378)</f>
        <v/>
      </c>
      <c r="B261" s="148" t="n"/>
      <c r="C261" s="148">
        <f>X263</f>
        <v/>
      </c>
      <c r="D261" s="586">
        <f>_xludf.IFNA(_xlfn.XLOOKUP(C263,'00_SKU_Master'!$B$2:$B$378,'00_SKU_Master'!$F$2:$F$378,0)*Y263,"")</f>
        <v/>
      </c>
      <c r="E261" s="586">
        <f>_xludf.IFNA(_xlfn.XLOOKUP(C263,'00_SKU_Master'!$B$2:$B$378,'00_SKU_Master'!$F$2:$F$378,0)*Z263,"")</f>
        <v/>
      </c>
      <c r="F261" s="586">
        <f>_xludf.IFNA(_xlfn.XLOOKUP(C263,'00_SKU_Master'!$B$2:$B$378,'00_SKU_Master'!$F$2:$F$378,0)*AA263,"")</f>
        <v/>
      </c>
      <c r="G261" s="586">
        <f>_xludf.IFNA(_xlfn.XLOOKUP(C263,'00_SKU_Master'!$B$2:$B$378,'00_SKU_Master'!$F$2:$F$378,0)*AB263,"")</f>
        <v/>
      </c>
      <c r="H261" s="586">
        <f>_xludf.IFNA(_xlfn.XLOOKUP(C263,'00_SKU_Master'!$B$2:$B$378,'00_SKU_Master'!$F$2:$F$378,0)*AC263,"")</f>
        <v/>
      </c>
      <c r="I261" s="586">
        <f>_xludf.IFNA(_xlfn.XLOOKUP(C263,'00_SKU_Master'!$B$2:$B$378,'00_SKU_Master'!$F$2:$F$378,0)*AD263,"")</f>
        <v/>
      </c>
      <c r="J261" s="586">
        <f>_xludf.IFNA(_xlfn.XLOOKUP(C263,'00_SKU_Master'!$B$2:$B$378,'00_SKU_Master'!$F$2:$F$378,0)*AE263,"")</f>
        <v/>
      </c>
      <c r="K261" s="587">
        <f>SUM(D263:J263)</f>
        <v/>
      </c>
      <c r="L261" s="197">
        <f>_xlfn.XLOOKUP(C263,'00_SKU_Master'!$B$2:$B$378,'00_SKU_Master'!K:K)</f>
        <v/>
      </c>
      <c r="M261" s="14">
        <f>X263</f>
        <v/>
      </c>
      <c r="N261" s="590">
        <f>_xludf.IFNA(D263/_xlfn.XLOOKUP($M263,'00_SKU_Master'!$B$2:$B$378,'00_SKU_Master'!$M$2:$M$378,0)/$M$2,"0")</f>
        <v/>
      </c>
      <c r="O261" s="590">
        <f>_xludf.IFNA(E263/_xlfn.XLOOKUP($M263,'00_SKU_Master'!$B$2:$B$378,'00_SKU_Master'!$M$2:$M$378,0)/$M$2,"0")</f>
        <v/>
      </c>
      <c r="P261" s="590">
        <f>_xludf.IFNA(F263/_xlfn.XLOOKUP($M263,'00_SKU_Master'!$B$2:$B$378,'00_SKU_Master'!$M$2:$M$378,0)/$M$2,"0")</f>
        <v/>
      </c>
      <c r="Q261" s="590">
        <f>_xludf.IFNA(G263/_xlfn.XLOOKUP($M263,'00_SKU_Master'!$B$2:$B$378,'00_SKU_Master'!$M$2:$M$378,0)/$M$2,"0")</f>
        <v/>
      </c>
      <c r="R261" s="590">
        <f>_xludf.IFNA(H263/_xlfn.XLOOKUP($M263,'00_SKU_Master'!$B$2:$B$378,'00_SKU_Master'!$M$2:$M$378,0)/$M$2,"0")</f>
        <v/>
      </c>
      <c r="S261" s="590">
        <f>_xludf.IFNA(I263/_xlfn.XLOOKUP($M263,'00_SKU_Master'!$B$2:$B$378,'00_SKU_Master'!$M$2:$M$378,0)/$M$2,"0")</f>
        <v/>
      </c>
      <c r="T261" s="590">
        <f>_xludf.IFNA(J263/_xlfn.XLOOKUP($M263,'00_SKU_Master'!$B$2:$B$378,'00_SKU_Master'!$M$2:$M$378,0)/$M$2,"0")</f>
        <v/>
      </c>
      <c r="U261" s="590">
        <f>SUM(N263:T263)</f>
        <v/>
      </c>
      <c r="V261" s="4" t="n"/>
      <c r="W261" s="4">
        <f>_xlfn.XLOOKUP(M263,'00_SKU_Master'!$B$2:$B$378,'00_SKU_Master'!D:D)</f>
        <v/>
      </c>
      <c r="X261" s="14">
        <f>'05_Daily_Orders'!B262</f>
        <v/>
      </c>
      <c r="Y261" s="588" t="n"/>
      <c r="Z261" s="589" t="n"/>
      <c r="AA261" s="589" t="n"/>
      <c r="AB261" s="589" t="n"/>
      <c r="AC261" s="589" t="n">
        <v>0</v>
      </c>
      <c r="AD261" s="589" t="n">
        <v>0</v>
      </c>
      <c r="AE261" s="589" t="n">
        <v>0</v>
      </c>
      <c r="AF261" s="587">
        <f>SUM(Y263:AE263)</f>
        <v/>
      </c>
    </row>
    <row r="262">
      <c r="A262" s="148">
        <f>_xlfn.XLOOKUP(C264,'00_SKU_Master'!$B$2:$B$378,'00_SKU_Master'!$C$2:$C$378)</f>
        <v/>
      </c>
      <c r="B262" s="148" t="n"/>
      <c r="C262" s="148">
        <f>X264</f>
        <v/>
      </c>
      <c r="D262" s="586">
        <f>_xludf.IFNA(_xlfn.XLOOKUP(C264,'00_SKU_Master'!$B$2:$B$378,'00_SKU_Master'!$F$2:$F$378,0)*Y264,"")</f>
        <v/>
      </c>
      <c r="E262" s="586">
        <f>_xludf.IFNA(_xlfn.XLOOKUP(C264,'00_SKU_Master'!$B$2:$B$378,'00_SKU_Master'!$F$2:$F$378,0)*Z264,"")</f>
        <v/>
      </c>
      <c r="F262" s="586">
        <f>_xludf.IFNA(_xlfn.XLOOKUP(C264,'00_SKU_Master'!$B$2:$B$378,'00_SKU_Master'!$F$2:$F$378,0)*AA264,"")</f>
        <v/>
      </c>
      <c r="G262" s="586">
        <f>_xludf.IFNA(_xlfn.XLOOKUP(C264,'00_SKU_Master'!$B$2:$B$378,'00_SKU_Master'!$F$2:$F$378,0)*AB264,"")</f>
        <v/>
      </c>
      <c r="H262" s="586">
        <f>_xludf.IFNA(_xlfn.XLOOKUP(C264,'00_SKU_Master'!$B$2:$B$378,'00_SKU_Master'!$F$2:$F$378,0)*AC264,"")</f>
        <v/>
      </c>
      <c r="I262" s="586">
        <f>_xludf.IFNA(_xlfn.XLOOKUP(C264,'00_SKU_Master'!$B$2:$B$378,'00_SKU_Master'!$F$2:$F$378,0)*AD264,"")</f>
        <v/>
      </c>
      <c r="J262" s="586">
        <f>_xludf.IFNA(_xlfn.XLOOKUP(C264,'00_SKU_Master'!$B$2:$B$378,'00_SKU_Master'!$F$2:$F$378,0)*AE264,"")</f>
        <v/>
      </c>
      <c r="K262" s="587">
        <f>SUM(D264:J264)</f>
        <v/>
      </c>
      <c r="L262" s="197">
        <f>_xlfn.XLOOKUP(C264,'00_SKU_Master'!$B$2:$B$378,'00_SKU_Master'!K:K)</f>
        <v/>
      </c>
      <c r="M262" s="14">
        <f>X264</f>
        <v/>
      </c>
      <c r="N262" s="590">
        <f>_xludf.IFNA(D264/_xlfn.XLOOKUP($M264,'00_SKU_Master'!$B$2:$B$378,'00_SKU_Master'!$M$2:$M$378,0)/$M$2,"0")</f>
        <v/>
      </c>
      <c r="O262" s="590">
        <f>_xludf.IFNA(E264/_xlfn.XLOOKUP($M264,'00_SKU_Master'!$B$2:$B$378,'00_SKU_Master'!$M$2:$M$378,0)/$M$2,"0")</f>
        <v/>
      </c>
      <c r="P262" s="590">
        <f>_xludf.IFNA(F264/_xlfn.XLOOKUP($M264,'00_SKU_Master'!$B$2:$B$378,'00_SKU_Master'!$M$2:$M$378,0)/$M$2,"0")</f>
        <v/>
      </c>
      <c r="Q262" s="590">
        <f>_xludf.IFNA(G264/_xlfn.XLOOKUP($M264,'00_SKU_Master'!$B$2:$B$378,'00_SKU_Master'!$M$2:$M$378,0)/$M$2,"0")</f>
        <v/>
      </c>
      <c r="R262" s="590">
        <f>_xludf.IFNA(H264/_xlfn.XLOOKUP($M264,'00_SKU_Master'!$B$2:$B$378,'00_SKU_Master'!$M$2:$M$378,0)/$M$2,"0")</f>
        <v/>
      </c>
      <c r="S262" s="590">
        <f>_xludf.IFNA(I264/_xlfn.XLOOKUP($M264,'00_SKU_Master'!$B$2:$B$378,'00_SKU_Master'!$M$2:$M$378,0)/$M$2,"0")</f>
        <v/>
      </c>
      <c r="T262" s="590">
        <f>_xludf.IFNA(J264/_xlfn.XLOOKUP($M264,'00_SKU_Master'!$B$2:$B$378,'00_SKU_Master'!$M$2:$M$378,0)/$M$2,"0")</f>
        <v/>
      </c>
      <c r="U262" s="590">
        <f>SUM(N264:T264)</f>
        <v/>
      </c>
      <c r="V262" s="4" t="n"/>
      <c r="W262" s="4">
        <f>_xlfn.XLOOKUP(M264,'00_SKU_Master'!$B$2:$B$378,'00_SKU_Master'!D:D)</f>
        <v/>
      </c>
      <c r="X262" s="14">
        <f>'05_Daily_Orders'!B263</f>
        <v/>
      </c>
      <c r="Y262" s="588" t="n"/>
      <c r="Z262" s="589" t="n"/>
      <c r="AA262" s="589" t="n"/>
      <c r="AB262" s="589" t="n"/>
      <c r="AC262" s="589" t="n">
        <v>0</v>
      </c>
      <c r="AD262" s="589" t="n">
        <v>0</v>
      </c>
      <c r="AE262" s="589" t="n">
        <v>0</v>
      </c>
      <c r="AF262" s="587">
        <f>SUM(Y264:AE264)</f>
        <v/>
      </c>
    </row>
    <row r="263">
      <c r="A263" s="148">
        <f>_xlfn.XLOOKUP(C265,'00_SKU_Master'!$B$2:$B$378,'00_SKU_Master'!$C$2:$C$378)</f>
        <v/>
      </c>
      <c r="B263" s="148" t="n"/>
      <c r="C263" s="148">
        <f>X265</f>
        <v/>
      </c>
      <c r="D263" s="586">
        <f>_xludf.IFNA(_xlfn.XLOOKUP(C265,'00_SKU_Master'!$B$2:$B$378,'00_SKU_Master'!$F$2:$F$378,0)*Y265,"")</f>
        <v/>
      </c>
      <c r="E263" s="586">
        <f>_xludf.IFNA(_xlfn.XLOOKUP(C265,'00_SKU_Master'!$B$2:$B$378,'00_SKU_Master'!$F$2:$F$378,0)*Z265,"")</f>
        <v/>
      </c>
      <c r="F263" s="586">
        <f>_xludf.IFNA(_xlfn.XLOOKUP(C265,'00_SKU_Master'!$B$2:$B$378,'00_SKU_Master'!$F$2:$F$378,0)*AA265,"")</f>
        <v/>
      </c>
      <c r="G263" s="586">
        <f>_xludf.IFNA(_xlfn.XLOOKUP(C265,'00_SKU_Master'!$B$2:$B$378,'00_SKU_Master'!$F$2:$F$378,0)*AB265,"")</f>
        <v/>
      </c>
      <c r="H263" s="586">
        <f>_xludf.IFNA(_xlfn.XLOOKUP(C265,'00_SKU_Master'!$B$2:$B$378,'00_SKU_Master'!$F$2:$F$378,0)*AC265,"")</f>
        <v/>
      </c>
      <c r="I263" s="586">
        <f>_xludf.IFNA(_xlfn.XLOOKUP(C265,'00_SKU_Master'!$B$2:$B$378,'00_SKU_Master'!$F$2:$F$378,0)*AD265,"")</f>
        <v/>
      </c>
      <c r="J263" s="586">
        <f>_xludf.IFNA(_xlfn.XLOOKUP(C265,'00_SKU_Master'!$B$2:$B$378,'00_SKU_Master'!$F$2:$F$378,0)*AE265,"")</f>
        <v/>
      </c>
      <c r="K263" s="587">
        <f>SUM(D265:J265)</f>
        <v/>
      </c>
      <c r="L263" s="197">
        <f>_xlfn.XLOOKUP(C265,'00_SKU_Master'!$B$2:$B$378,'00_SKU_Master'!K:K)</f>
        <v/>
      </c>
      <c r="M263" s="14">
        <f>X265</f>
        <v/>
      </c>
      <c r="N263" s="590">
        <f>_xludf.IFNA(D265/_xlfn.XLOOKUP($M265,'00_SKU_Master'!$B$2:$B$378,'00_SKU_Master'!$M$2:$M$378,0)/$M$2,"0")</f>
        <v/>
      </c>
      <c r="O263" s="590">
        <f>_xludf.IFNA(E265/_xlfn.XLOOKUP($M265,'00_SKU_Master'!$B$2:$B$378,'00_SKU_Master'!$M$2:$M$378,0)/$M$2,"0")</f>
        <v/>
      </c>
      <c r="P263" s="590">
        <f>_xludf.IFNA(F265/_xlfn.XLOOKUP($M265,'00_SKU_Master'!$B$2:$B$378,'00_SKU_Master'!$M$2:$M$378,0)/$M$2,"0")</f>
        <v/>
      </c>
      <c r="Q263" s="590">
        <f>_xludf.IFNA(G265/_xlfn.XLOOKUP($M265,'00_SKU_Master'!$B$2:$B$378,'00_SKU_Master'!$M$2:$M$378,0)/$M$2,"0")</f>
        <v/>
      </c>
      <c r="R263" s="590">
        <f>_xludf.IFNA(H265/_xlfn.XLOOKUP($M265,'00_SKU_Master'!$B$2:$B$378,'00_SKU_Master'!$M$2:$M$378,0)/$M$2,"0")</f>
        <v/>
      </c>
      <c r="S263" s="590">
        <f>_xludf.IFNA(I265/_xlfn.XLOOKUP($M265,'00_SKU_Master'!$B$2:$B$378,'00_SKU_Master'!$M$2:$M$378,0)/$M$2,"0")</f>
        <v/>
      </c>
      <c r="T263" s="590">
        <f>_xludf.IFNA(J265/_xlfn.XLOOKUP($M265,'00_SKU_Master'!$B$2:$B$378,'00_SKU_Master'!$M$2:$M$378,0)/$M$2,"0")</f>
        <v/>
      </c>
      <c r="U263" s="590">
        <f>SUM(N265:T265)</f>
        <v/>
      </c>
      <c r="V263" s="4" t="n"/>
      <c r="W263" s="4">
        <f>_xlfn.XLOOKUP(M265,'00_SKU_Master'!$B$2:$B$378,'00_SKU_Master'!D:D)</f>
        <v/>
      </c>
      <c r="X263" s="14">
        <f>'05_Daily_Orders'!B264</f>
        <v/>
      </c>
      <c r="Y263" s="588" t="n"/>
      <c r="Z263" s="589" t="n"/>
      <c r="AA263" s="589" t="n"/>
      <c r="AB263" s="589" t="n"/>
      <c r="AC263" s="589" t="n">
        <v>0</v>
      </c>
      <c r="AD263" s="589" t="n">
        <v>0</v>
      </c>
      <c r="AE263" s="589" t="n">
        <v>0</v>
      </c>
      <c r="AF263" s="587">
        <f>SUM(Y265:AE265)</f>
        <v/>
      </c>
    </row>
    <row r="264">
      <c r="A264" s="148">
        <f>_xlfn.XLOOKUP(C266,'00_SKU_Master'!$B$2:$B$378,'00_SKU_Master'!$C$2:$C$378)</f>
        <v/>
      </c>
      <c r="B264" s="148" t="n"/>
      <c r="C264" s="148">
        <f>X266</f>
        <v/>
      </c>
      <c r="D264" s="586">
        <f>_xludf.IFNA(_xlfn.XLOOKUP(C266,'00_SKU_Master'!$B$2:$B$378,'00_SKU_Master'!$F$2:$F$378,0)*Y266,"")</f>
        <v/>
      </c>
      <c r="E264" s="586">
        <f>_xludf.IFNA(_xlfn.XLOOKUP(C266,'00_SKU_Master'!$B$2:$B$378,'00_SKU_Master'!$F$2:$F$378,0)*Z266,"")</f>
        <v/>
      </c>
      <c r="F264" s="586">
        <f>_xludf.IFNA(_xlfn.XLOOKUP(C266,'00_SKU_Master'!$B$2:$B$378,'00_SKU_Master'!$F$2:$F$378,0)*AA266,"")</f>
        <v/>
      </c>
      <c r="G264" s="586">
        <f>_xludf.IFNA(_xlfn.XLOOKUP(C266,'00_SKU_Master'!$B$2:$B$378,'00_SKU_Master'!$F$2:$F$378,0)*AB266,"")</f>
        <v/>
      </c>
      <c r="H264" s="586">
        <f>_xludf.IFNA(_xlfn.XLOOKUP(C266,'00_SKU_Master'!$B$2:$B$378,'00_SKU_Master'!$F$2:$F$378,0)*AC266,"")</f>
        <v/>
      </c>
      <c r="I264" s="586">
        <f>_xludf.IFNA(_xlfn.XLOOKUP(C266,'00_SKU_Master'!$B$2:$B$378,'00_SKU_Master'!$F$2:$F$378,0)*AD266,"")</f>
        <v/>
      </c>
      <c r="J264" s="586">
        <f>_xludf.IFNA(_xlfn.XLOOKUP(C266,'00_SKU_Master'!$B$2:$B$378,'00_SKU_Master'!$F$2:$F$378,0)*AE266,"")</f>
        <v/>
      </c>
      <c r="K264" s="587">
        <f>SUM(D266:J266)</f>
        <v/>
      </c>
      <c r="L264" s="197">
        <f>_xlfn.XLOOKUP(C266,'00_SKU_Master'!$B$2:$B$378,'00_SKU_Master'!K:K)</f>
        <v/>
      </c>
      <c r="M264" s="14">
        <f>X266</f>
        <v/>
      </c>
      <c r="N264" s="590">
        <f>_xludf.IFNA(D266/_xlfn.XLOOKUP($M266,'00_SKU_Master'!$B$2:$B$378,'00_SKU_Master'!$M$2:$M$378,0)/$M$2,"0")</f>
        <v/>
      </c>
      <c r="O264" s="590">
        <f>_xludf.IFNA(E266/_xlfn.XLOOKUP($M266,'00_SKU_Master'!$B$2:$B$378,'00_SKU_Master'!$M$2:$M$378,0)/$M$2,"0")</f>
        <v/>
      </c>
      <c r="P264" s="590">
        <f>_xludf.IFNA(F266/_xlfn.XLOOKUP($M266,'00_SKU_Master'!$B$2:$B$378,'00_SKU_Master'!$M$2:$M$378,0)/$M$2,"0")</f>
        <v/>
      </c>
      <c r="Q264" s="590">
        <f>_xludf.IFNA(G266/_xlfn.XLOOKUP($M266,'00_SKU_Master'!$B$2:$B$378,'00_SKU_Master'!$M$2:$M$378,0)/$M$2,"0")</f>
        <v/>
      </c>
      <c r="R264" s="590">
        <f>_xludf.IFNA(H266/_xlfn.XLOOKUP($M266,'00_SKU_Master'!$B$2:$B$378,'00_SKU_Master'!$M$2:$M$378,0)/$M$2,"0")</f>
        <v/>
      </c>
      <c r="S264" s="590">
        <f>_xludf.IFNA(I266/_xlfn.XLOOKUP($M266,'00_SKU_Master'!$B$2:$B$378,'00_SKU_Master'!$M$2:$M$378,0)/$M$2,"0")</f>
        <v/>
      </c>
      <c r="T264" s="590">
        <f>_xludf.IFNA(J266/_xlfn.XLOOKUP($M266,'00_SKU_Master'!$B$2:$B$378,'00_SKU_Master'!$M$2:$M$378,0)/$M$2,"0")</f>
        <v/>
      </c>
      <c r="U264" s="590">
        <f>SUM(N266:T266)</f>
        <v/>
      </c>
      <c r="V264" s="4" t="n"/>
      <c r="W264" s="4">
        <f>_xlfn.XLOOKUP(M266,'00_SKU_Master'!$B$2:$B$378,'00_SKU_Master'!D:D)</f>
        <v/>
      </c>
      <c r="X264" s="14">
        <f>'05_Daily_Orders'!B265</f>
        <v/>
      </c>
      <c r="Y264" s="588" t="n"/>
      <c r="Z264" s="589" t="n"/>
      <c r="AA264" s="589" t="n"/>
      <c r="AB264" s="589" t="n"/>
      <c r="AC264" s="589" t="n">
        <v>0</v>
      </c>
      <c r="AD264" s="589" t="n">
        <v>0</v>
      </c>
      <c r="AE264" s="589" t="n">
        <v>0</v>
      </c>
      <c r="AF264" s="587">
        <f>SUM(Y266:AE266)</f>
        <v/>
      </c>
    </row>
    <row r="265">
      <c r="A265" s="148">
        <f>_xlfn.XLOOKUP(C267,'00_SKU_Master'!$B$2:$B$378,'00_SKU_Master'!$C$2:$C$378)</f>
        <v/>
      </c>
      <c r="B265" s="148" t="n"/>
      <c r="C265" s="148">
        <f>X267</f>
        <v/>
      </c>
      <c r="D265" s="586">
        <f>_xludf.IFNA(_xlfn.XLOOKUP(C267,'00_SKU_Master'!$B$2:$B$378,'00_SKU_Master'!$F$2:$F$378,0)*Y267,"")</f>
        <v/>
      </c>
      <c r="E265" s="586">
        <f>_xludf.IFNA(_xlfn.XLOOKUP(C267,'00_SKU_Master'!$B$2:$B$378,'00_SKU_Master'!$F$2:$F$378,0)*Z267,"")</f>
        <v/>
      </c>
      <c r="F265" s="586">
        <f>_xludf.IFNA(_xlfn.XLOOKUP(C267,'00_SKU_Master'!$B$2:$B$378,'00_SKU_Master'!$F$2:$F$378,0)*AA267,"")</f>
        <v/>
      </c>
      <c r="G265" s="586">
        <f>_xludf.IFNA(_xlfn.XLOOKUP(C267,'00_SKU_Master'!$B$2:$B$378,'00_SKU_Master'!$F$2:$F$378,0)*AB267,"")</f>
        <v/>
      </c>
      <c r="H265" s="586">
        <f>_xludf.IFNA(_xlfn.XLOOKUP(C267,'00_SKU_Master'!$B$2:$B$378,'00_SKU_Master'!$F$2:$F$378,0)*AC267,"")</f>
        <v/>
      </c>
      <c r="I265" s="586">
        <f>_xludf.IFNA(_xlfn.XLOOKUP(C267,'00_SKU_Master'!$B$2:$B$378,'00_SKU_Master'!$F$2:$F$378,0)*AD267,"")</f>
        <v/>
      </c>
      <c r="J265" s="586">
        <f>_xludf.IFNA(_xlfn.XLOOKUP(C267,'00_SKU_Master'!$B$2:$B$378,'00_SKU_Master'!$F$2:$F$378,0)*AE267,"")</f>
        <v/>
      </c>
      <c r="K265" s="587">
        <f>SUM(D267:J267)</f>
        <v/>
      </c>
      <c r="L265" s="197">
        <f>_xlfn.XLOOKUP(C267,'00_SKU_Master'!$B$2:$B$378,'00_SKU_Master'!K:K)</f>
        <v/>
      </c>
      <c r="M265" s="14">
        <f>X267</f>
        <v/>
      </c>
      <c r="N265" s="590">
        <f>_xludf.IFNA(D267/_xlfn.XLOOKUP($M267,'00_SKU_Master'!$B$2:$B$378,'00_SKU_Master'!$M$2:$M$378,0)/$M$2,"0")</f>
        <v/>
      </c>
      <c r="O265" s="590">
        <f>_xludf.IFNA(E267/_xlfn.XLOOKUP($M267,'00_SKU_Master'!$B$2:$B$378,'00_SKU_Master'!$M$2:$M$378,0)/$M$2,"0")</f>
        <v/>
      </c>
      <c r="P265" s="590">
        <f>_xludf.IFNA(F267/_xlfn.XLOOKUP($M267,'00_SKU_Master'!$B$2:$B$378,'00_SKU_Master'!$M$2:$M$378,0)/$M$2,"0")</f>
        <v/>
      </c>
      <c r="Q265" s="590">
        <f>_xludf.IFNA(G267/_xlfn.XLOOKUP($M267,'00_SKU_Master'!$B$2:$B$378,'00_SKU_Master'!$M$2:$M$378,0)/$M$2,"0")</f>
        <v/>
      </c>
      <c r="R265" s="590">
        <f>_xludf.IFNA(H267/_xlfn.XLOOKUP($M267,'00_SKU_Master'!$B$2:$B$378,'00_SKU_Master'!$M$2:$M$378,0)/$M$2,"0")</f>
        <v/>
      </c>
      <c r="S265" s="590">
        <f>_xludf.IFNA(I267/_xlfn.XLOOKUP($M267,'00_SKU_Master'!$B$2:$B$378,'00_SKU_Master'!$M$2:$M$378,0)/$M$2,"0")</f>
        <v/>
      </c>
      <c r="T265" s="590">
        <f>_xludf.IFNA(J267/_xlfn.XLOOKUP($M267,'00_SKU_Master'!$B$2:$B$378,'00_SKU_Master'!$M$2:$M$378,0)/$M$2,"0")</f>
        <v/>
      </c>
      <c r="U265" s="590">
        <f>SUM(N267:T267)</f>
        <v/>
      </c>
      <c r="V265" s="4" t="n"/>
      <c r="W265" s="4">
        <f>_xlfn.XLOOKUP(M267,'00_SKU_Master'!$B$2:$B$378,'00_SKU_Master'!D:D)</f>
        <v/>
      </c>
      <c r="X265" s="14">
        <f>'05_Daily_Orders'!B266</f>
        <v/>
      </c>
      <c r="Y265" s="588" t="n"/>
      <c r="Z265" s="589" t="n"/>
      <c r="AA265" s="589" t="n"/>
      <c r="AB265" s="589" t="n"/>
      <c r="AC265" s="589" t="n"/>
      <c r="AD265" s="589" t="n"/>
      <c r="AE265" s="589" t="n"/>
      <c r="AF265" s="587">
        <f>SUM(Y267:AE267)</f>
        <v/>
      </c>
    </row>
    <row r="266">
      <c r="A266" s="148">
        <f>_xlfn.XLOOKUP(C268,'00_SKU_Master'!$B$2:$B$378,'00_SKU_Master'!$C$2:$C$378)</f>
        <v/>
      </c>
      <c r="B266" s="148" t="n"/>
      <c r="C266" s="148">
        <f>X268</f>
        <v/>
      </c>
      <c r="D266" s="586">
        <f>_xludf.IFNA(_xlfn.XLOOKUP(C268,'00_SKU_Master'!$B$2:$B$378,'00_SKU_Master'!$F$2:$F$378,0)*Y268,"")</f>
        <v/>
      </c>
      <c r="E266" s="586">
        <f>_xludf.IFNA(_xlfn.XLOOKUP(C268,'00_SKU_Master'!$B$2:$B$378,'00_SKU_Master'!$F$2:$F$378,0)*Z268,"")</f>
        <v/>
      </c>
      <c r="F266" s="586">
        <f>_xludf.IFNA(_xlfn.XLOOKUP(C268,'00_SKU_Master'!$B$2:$B$378,'00_SKU_Master'!$F$2:$F$378,0)*AA268,"")</f>
        <v/>
      </c>
      <c r="G266" s="586">
        <f>_xludf.IFNA(_xlfn.XLOOKUP(C268,'00_SKU_Master'!$B$2:$B$378,'00_SKU_Master'!$F$2:$F$378,0)*AB268,"")</f>
        <v/>
      </c>
      <c r="H266" s="586">
        <f>_xludf.IFNA(_xlfn.XLOOKUP(C268,'00_SKU_Master'!$B$2:$B$378,'00_SKU_Master'!$F$2:$F$378,0)*AC268,"")</f>
        <v/>
      </c>
      <c r="I266" s="586">
        <f>_xludf.IFNA(_xlfn.XLOOKUP(C268,'00_SKU_Master'!$B$2:$B$378,'00_SKU_Master'!$F$2:$F$378,0)*AD268,"")</f>
        <v/>
      </c>
      <c r="J266" s="586">
        <f>_xludf.IFNA(_xlfn.XLOOKUP(C268,'00_SKU_Master'!$B$2:$B$378,'00_SKU_Master'!$F$2:$F$378,0)*AE268,"")</f>
        <v/>
      </c>
      <c r="K266" s="587">
        <f>SUM(D268:J268)</f>
        <v/>
      </c>
      <c r="L266" s="197">
        <f>_xlfn.XLOOKUP(C268,'00_SKU_Master'!$B$2:$B$378,'00_SKU_Master'!K:K)</f>
        <v/>
      </c>
      <c r="M266" s="14">
        <f>X268</f>
        <v/>
      </c>
      <c r="N266" s="590">
        <f>_xludf.IFNA(D268/_xlfn.XLOOKUP($M268,'00_SKU_Master'!$B$2:$B$378,'00_SKU_Master'!$M$2:$M$378,0)/$M$2,"0")</f>
        <v/>
      </c>
      <c r="O266" s="590">
        <f>_xludf.IFNA(E268/_xlfn.XLOOKUP($M268,'00_SKU_Master'!$B$2:$B$378,'00_SKU_Master'!$M$2:$M$378,0)/$M$2,"0")</f>
        <v/>
      </c>
      <c r="P266" s="590">
        <f>_xludf.IFNA(F268/_xlfn.XLOOKUP($M268,'00_SKU_Master'!$B$2:$B$378,'00_SKU_Master'!$M$2:$M$378,0)/$M$2,"0")</f>
        <v/>
      </c>
      <c r="Q266" s="590">
        <f>_xludf.IFNA(G268/_xlfn.XLOOKUP($M268,'00_SKU_Master'!$B$2:$B$378,'00_SKU_Master'!$M$2:$M$378,0)/$M$2,"0")</f>
        <v/>
      </c>
      <c r="R266" s="590">
        <f>_xludf.IFNA(H268/_xlfn.XLOOKUP($M268,'00_SKU_Master'!$B$2:$B$378,'00_SKU_Master'!$M$2:$M$378,0)/$M$2,"0")</f>
        <v/>
      </c>
      <c r="S266" s="590">
        <f>_xludf.IFNA(I268/_xlfn.XLOOKUP($M268,'00_SKU_Master'!$B$2:$B$378,'00_SKU_Master'!$M$2:$M$378,0)/$M$2,"0")</f>
        <v/>
      </c>
      <c r="T266" s="590">
        <f>_xludf.IFNA(J268/_xlfn.XLOOKUP($M268,'00_SKU_Master'!$B$2:$B$378,'00_SKU_Master'!$M$2:$M$378,0)/$M$2,"0")</f>
        <v/>
      </c>
      <c r="U266" s="590">
        <f>SUM(N268:T268)</f>
        <v/>
      </c>
      <c r="V266" s="4" t="n"/>
      <c r="W266" s="4">
        <f>_xlfn.XLOOKUP(M268,'00_SKU_Master'!$B$2:$B$378,'00_SKU_Master'!D:D)</f>
        <v/>
      </c>
      <c r="X266" s="14">
        <f>'05_Daily_Orders'!B267</f>
        <v/>
      </c>
      <c r="Y266" s="588" t="n"/>
      <c r="Z266" s="589" t="n"/>
      <c r="AA266" s="589" t="n"/>
      <c r="AB266" s="589" t="n"/>
      <c r="AC266" s="589" t="n"/>
      <c r="AD266" s="589" t="n"/>
      <c r="AE266" s="589" t="n"/>
      <c r="AF266" s="587">
        <f>SUM(Y268:AE268)</f>
        <v/>
      </c>
    </row>
    <row r="267">
      <c r="A267" s="148">
        <f>_xlfn.XLOOKUP(C269,'00_SKU_Master'!$B$2:$B$378,'00_SKU_Master'!$C$2:$C$378)</f>
        <v/>
      </c>
      <c r="B267" s="148" t="n"/>
      <c r="C267" s="148">
        <f>X269</f>
        <v/>
      </c>
      <c r="D267" s="586">
        <f>_xludf.IFNA(_xlfn.XLOOKUP(C269,'00_SKU_Master'!$B$2:$B$378,'00_SKU_Master'!$F$2:$F$378,0)*Y269,"")</f>
        <v/>
      </c>
      <c r="E267" s="586">
        <f>_xludf.IFNA(_xlfn.XLOOKUP(C269,'00_SKU_Master'!$B$2:$B$378,'00_SKU_Master'!$F$2:$F$378,0)*Z269,"")</f>
        <v/>
      </c>
      <c r="F267" s="586">
        <f>_xludf.IFNA(_xlfn.XLOOKUP(C269,'00_SKU_Master'!$B$2:$B$378,'00_SKU_Master'!$F$2:$F$378,0)*AA269,"")</f>
        <v/>
      </c>
      <c r="G267" s="586">
        <f>_xludf.IFNA(_xlfn.XLOOKUP(C269,'00_SKU_Master'!$B$2:$B$378,'00_SKU_Master'!$F$2:$F$378,0)*AB269,"")</f>
        <v/>
      </c>
      <c r="H267" s="586">
        <f>_xludf.IFNA(_xlfn.XLOOKUP(C269,'00_SKU_Master'!$B$2:$B$378,'00_SKU_Master'!$F$2:$F$378,0)*AC269,"")</f>
        <v/>
      </c>
      <c r="I267" s="586">
        <f>_xludf.IFNA(_xlfn.XLOOKUP(C269,'00_SKU_Master'!$B$2:$B$378,'00_SKU_Master'!$F$2:$F$378,0)*AD269,"")</f>
        <v/>
      </c>
      <c r="J267" s="586">
        <f>_xludf.IFNA(_xlfn.XLOOKUP(C269,'00_SKU_Master'!$B$2:$B$378,'00_SKU_Master'!$F$2:$F$378,0)*AE269,"")</f>
        <v/>
      </c>
      <c r="K267" s="587">
        <f>SUM(D269:J269)</f>
        <v/>
      </c>
      <c r="L267" s="197">
        <f>_xlfn.XLOOKUP(C269,'00_SKU_Master'!$B$2:$B$378,'00_SKU_Master'!K:K)</f>
        <v/>
      </c>
      <c r="M267" s="14">
        <f>X269</f>
        <v/>
      </c>
      <c r="N267" s="590">
        <f>_xludf.IFNA(D269/_xlfn.XLOOKUP($M269,'00_SKU_Master'!$B$2:$B$378,'00_SKU_Master'!$M$2:$M$378,0)/$M$2,"0")</f>
        <v/>
      </c>
      <c r="O267" s="590">
        <f>_xludf.IFNA(E269/_xlfn.XLOOKUP($M269,'00_SKU_Master'!$B$2:$B$378,'00_SKU_Master'!$M$2:$M$378,0)/$M$2,"0")</f>
        <v/>
      </c>
      <c r="P267" s="590">
        <f>_xludf.IFNA(F269/_xlfn.XLOOKUP($M269,'00_SKU_Master'!$B$2:$B$378,'00_SKU_Master'!$M$2:$M$378,0)/$M$2,"0")</f>
        <v/>
      </c>
      <c r="Q267" s="590">
        <f>_xludf.IFNA(G269/_xlfn.XLOOKUP($M269,'00_SKU_Master'!$B$2:$B$378,'00_SKU_Master'!$M$2:$M$378,0)/$M$2,"0")</f>
        <v/>
      </c>
      <c r="R267" s="590">
        <f>_xludf.IFNA(H269/_xlfn.XLOOKUP($M269,'00_SKU_Master'!$B$2:$B$378,'00_SKU_Master'!$M$2:$M$378,0)/$M$2,"0")</f>
        <v/>
      </c>
      <c r="S267" s="590">
        <f>_xludf.IFNA(I269/_xlfn.XLOOKUP($M269,'00_SKU_Master'!$B$2:$B$378,'00_SKU_Master'!$M$2:$M$378,0)/$M$2,"0")</f>
        <v/>
      </c>
      <c r="T267" s="590">
        <f>_xludf.IFNA(J269/_xlfn.XLOOKUP($M269,'00_SKU_Master'!$B$2:$B$378,'00_SKU_Master'!$M$2:$M$378,0)/$M$2,"0")</f>
        <v/>
      </c>
      <c r="U267" s="590">
        <f>SUM(N269:T269)</f>
        <v/>
      </c>
      <c r="V267" s="4" t="n"/>
      <c r="W267" s="4">
        <f>_xlfn.XLOOKUP(M269,'00_SKU_Master'!$B$2:$B$378,'00_SKU_Master'!D:D)</f>
        <v/>
      </c>
      <c r="X267" s="14">
        <f>'05_Daily_Orders'!B268</f>
        <v/>
      </c>
      <c r="Y267" s="588" t="n"/>
      <c r="Z267" s="589" t="n"/>
      <c r="AA267" s="589" t="n"/>
      <c r="AB267" s="589" t="n"/>
      <c r="AC267" s="589" t="n"/>
      <c r="AD267" s="589" t="n"/>
      <c r="AE267" s="589" t="n"/>
      <c r="AF267" s="587">
        <f>SUM(Y269:AE269)</f>
        <v/>
      </c>
    </row>
    <row r="268">
      <c r="A268" s="148">
        <f>_xlfn.XLOOKUP(C270,'00_SKU_Master'!$B$2:$B$378,'00_SKU_Master'!$C$2:$C$378)</f>
        <v/>
      </c>
      <c r="B268" s="148" t="n"/>
      <c r="C268" s="148">
        <f>X270</f>
        <v/>
      </c>
      <c r="D268" s="586">
        <f>_xludf.IFNA(_xlfn.XLOOKUP(C270,'00_SKU_Master'!$B$2:$B$378,'00_SKU_Master'!$F$2:$F$378,0)*Y270,"")</f>
        <v/>
      </c>
      <c r="E268" s="586">
        <f>_xludf.IFNA(_xlfn.XLOOKUP(C270,'00_SKU_Master'!$B$2:$B$378,'00_SKU_Master'!$F$2:$F$378,0)*Z270,"")</f>
        <v/>
      </c>
      <c r="F268" s="586">
        <f>_xludf.IFNA(_xlfn.XLOOKUP(C270,'00_SKU_Master'!$B$2:$B$378,'00_SKU_Master'!$F$2:$F$378,0)*AA270,"")</f>
        <v/>
      </c>
      <c r="G268" s="586">
        <f>_xludf.IFNA(_xlfn.XLOOKUP(C270,'00_SKU_Master'!$B$2:$B$378,'00_SKU_Master'!$F$2:$F$378,0)*AB270,"")</f>
        <v/>
      </c>
      <c r="H268" s="586">
        <f>_xludf.IFNA(_xlfn.XLOOKUP(C270,'00_SKU_Master'!$B$2:$B$378,'00_SKU_Master'!$F$2:$F$378,0)*AC270,"")</f>
        <v/>
      </c>
      <c r="I268" s="586">
        <f>_xludf.IFNA(_xlfn.XLOOKUP(C270,'00_SKU_Master'!$B$2:$B$378,'00_SKU_Master'!$F$2:$F$378,0)*AD270,"")</f>
        <v/>
      </c>
      <c r="J268" s="586">
        <f>_xludf.IFNA(_xlfn.XLOOKUP(C270,'00_SKU_Master'!$B$2:$B$378,'00_SKU_Master'!$F$2:$F$378,0)*AE270,"")</f>
        <v/>
      </c>
      <c r="K268" s="587">
        <f>SUM(D270:J270)</f>
        <v/>
      </c>
      <c r="L268" s="197">
        <f>_xlfn.XLOOKUP(C270,'00_SKU_Master'!$B$2:$B$378,'00_SKU_Master'!K:K)</f>
        <v/>
      </c>
      <c r="M268" s="14">
        <f>X270</f>
        <v/>
      </c>
      <c r="N268" s="590">
        <f>_xludf.IFNA(D270/_xlfn.XLOOKUP($M270,'00_SKU_Master'!$B$2:$B$378,'00_SKU_Master'!$M$2:$M$378,0)/$M$2,"0")</f>
        <v/>
      </c>
      <c r="O268" s="590">
        <f>_xludf.IFNA(E270/_xlfn.XLOOKUP($M270,'00_SKU_Master'!$B$2:$B$378,'00_SKU_Master'!$M$2:$M$378,0)/$M$2,"0")</f>
        <v/>
      </c>
      <c r="P268" s="590">
        <f>_xludf.IFNA(F270/_xlfn.XLOOKUP($M270,'00_SKU_Master'!$B$2:$B$378,'00_SKU_Master'!$M$2:$M$378,0)/$M$2,"0")</f>
        <v/>
      </c>
      <c r="Q268" s="590">
        <f>_xludf.IFNA(G270/_xlfn.XLOOKUP($M270,'00_SKU_Master'!$B$2:$B$378,'00_SKU_Master'!$M$2:$M$378,0)/$M$2,"0")</f>
        <v/>
      </c>
      <c r="R268" s="590">
        <f>_xludf.IFNA(H270/_xlfn.XLOOKUP($M270,'00_SKU_Master'!$B$2:$B$378,'00_SKU_Master'!$M$2:$M$378,0)/$M$2,"0")</f>
        <v/>
      </c>
      <c r="S268" s="590">
        <f>_xludf.IFNA(I270/_xlfn.XLOOKUP($M270,'00_SKU_Master'!$B$2:$B$378,'00_SKU_Master'!$M$2:$M$378,0)/$M$2,"0")</f>
        <v/>
      </c>
      <c r="T268" s="590">
        <f>_xludf.IFNA(J270/_xlfn.XLOOKUP($M270,'00_SKU_Master'!$B$2:$B$378,'00_SKU_Master'!$M$2:$M$378,0)/$M$2,"0")</f>
        <v/>
      </c>
      <c r="U268" s="590">
        <f>SUM(N270:T270)</f>
        <v/>
      </c>
      <c r="V268" s="4" t="n"/>
      <c r="W268" s="4">
        <f>_xlfn.XLOOKUP(M270,'00_SKU_Master'!$B$2:$B$378,'00_SKU_Master'!D:D)</f>
        <v/>
      </c>
      <c r="X268" s="14">
        <f>'05_Daily_Orders'!B269</f>
        <v/>
      </c>
      <c r="Y268" s="588" t="n"/>
      <c r="Z268" s="589" t="n"/>
      <c r="AA268" s="589" t="n"/>
      <c r="AB268" s="589" t="n"/>
      <c r="AC268" s="589" t="n"/>
      <c r="AD268" s="589" t="n"/>
      <c r="AE268" s="589" t="n"/>
      <c r="AF268" s="587">
        <f>SUM(Y270:AE270)</f>
        <v/>
      </c>
    </row>
    <row r="269">
      <c r="A269" s="148">
        <f>_xlfn.XLOOKUP(C271,'00_SKU_Master'!$B$2:$B$378,'00_SKU_Master'!$C$2:$C$378)</f>
        <v/>
      </c>
      <c r="B269" s="148" t="n"/>
      <c r="C269" s="148">
        <f>X271</f>
        <v/>
      </c>
      <c r="D269" s="586">
        <f>_xludf.IFNA(_xlfn.XLOOKUP(C271,'00_SKU_Master'!$B$2:$B$378,'00_SKU_Master'!$F$2:$F$378,0)*Y271,"")</f>
        <v/>
      </c>
      <c r="E269" s="586">
        <f>_xludf.IFNA(_xlfn.XLOOKUP(C271,'00_SKU_Master'!$B$2:$B$378,'00_SKU_Master'!$F$2:$F$378,0)*Z271,"")</f>
        <v/>
      </c>
      <c r="F269" s="586">
        <f>_xludf.IFNA(_xlfn.XLOOKUP(C271,'00_SKU_Master'!$B$2:$B$378,'00_SKU_Master'!$F$2:$F$378,0)*AA271,"")</f>
        <v/>
      </c>
      <c r="G269" s="586">
        <f>_xludf.IFNA(_xlfn.XLOOKUP(C271,'00_SKU_Master'!$B$2:$B$378,'00_SKU_Master'!$F$2:$F$378,0)*AB271,"")</f>
        <v/>
      </c>
      <c r="H269" s="586">
        <f>_xludf.IFNA(_xlfn.XLOOKUP(C271,'00_SKU_Master'!$B$2:$B$378,'00_SKU_Master'!$F$2:$F$378,0)*AC271,"")</f>
        <v/>
      </c>
      <c r="I269" s="586">
        <f>_xludf.IFNA(_xlfn.XLOOKUP(C271,'00_SKU_Master'!$B$2:$B$378,'00_SKU_Master'!$F$2:$F$378,0)*AD271,"")</f>
        <v/>
      </c>
      <c r="J269" s="586">
        <f>_xludf.IFNA(_xlfn.XLOOKUP(C271,'00_SKU_Master'!$B$2:$B$378,'00_SKU_Master'!$F$2:$F$378,0)*AE271,"")</f>
        <v/>
      </c>
      <c r="K269" s="587">
        <f>SUM(D271:J271)</f>
        <v/>
      </c>
      <c r="L269" s="197">
        <f>_xlfn.XLOOKUP(C271,'00_SKU_Master'!$B$2:$B$378,'00_SKU_Master'!K:K)</f>
        <v/>
      </c>
      <c r="M269" s="14">
        <f>X271</f>
        <v/>
      </c>
      <c r="N269" s="590">
        <f>_xludf.IFNA(D271/_xlfn.XLOOKUP($M271,'00_SKU_Master'!$B$2:$B$378,'00_SKU_Master'!$M$2:$M$378,0)/$M$2,"0")</f>
        <v/>
      </c>
      <c r="O269" s="590">
        <f>_xludf.IFNA(E271/_xlfn.XLOOKUP($M271,'00_SKU_Master'!$B$2:$B$378,'00_SKU_Master'!$M$2:$M$378,0)/$M$2,"0")</f>
        <v/>
      </c>
      <c r="P269" s="590">
        <f>_xludf.IFNA(F271/_xlfn.XLOOKUP($M271,'00_SKU_Master'!$B$2:$B$378,'00_SKU_Master'!$M$2:$M$378,0)/$M$2,"0")</f>
        <v/>
      </c>
      <c r="Q269" s="590">
        <f>_xludf.IFNA(G271/_xlfn.XLOOKUP($M271,'00_SKU_Master'!$B$2:$B$378,'00_SKU_Master'!$M$2:$M$378,0)/$M$2,"0")</f>
        <v/>
      </c>
      <c r="R269" s="590">
        <f>_xludf.IFNA(H271/_xlfn.XLOOKUP($M271,'00_SKU_Master'!$B$2:$B$378,'00_SKU_Master'!$M$2:$M$378,0)/$M$2,"0")</f>
        <v/>
      </c>
      <c r="S269" s="590">
        <f>_xludf.IFNA(I271/_xlfn.XLOOKUP($M271,'00_SKU_Master'!$B$2:$B$378,'00_SKU_Master'!$M$2:$M$378,0)/$M$2,"0")</f>
        <v/>
      </c>
      <c r="T269" s="590">
        <f>_xludf.IFNA(J271/_xlfn.XLOOKUP($M271,'00_SKU_Master'!$B$2:$B$378,'00_SKU_Master'!$M$2:$M$378,0)/$M$2,"0")</f>
        <v/>
      </c>
      <c r="U269" s="590">
        <f>SUM(N271:T271)</f>
        <v/>
      </c>
      <c r="V269" s="4" t="n"/>
      <c r="W269" s="4">
        <f>_xlfn.XLOOKUP(M271,'00_SKU_Master'!$B$2:$B$378,'00_SKU_Master'!D:D)</f>
        <v/>
      </c>
      <c r="X269" s="14">
        <f>'05_Daily_Orders'!B270</f>
        <v/>
      </c>
      <c r="Y269" s="588" t="n"/>
      <c r="Z269" s="589" t="n"/>
      <c r="AA269" s="589" t="n"/>
      <c r="AB269" s="589" t="n"/>
      <c r="AC269" s="589" t="n"/>
      <c r="AD269" s="589" t="n"/>
      <c r="AE269" s="589" t="n"/>
      <c r="AF269" s="587">
        <f>SUM(Y271:AE271)</f>
        <v/>
      </c>
    </row>
    <row r="270">
      <c r="A270" s="148">
        <f>_xlfn.XLOOKUP(C272,'00_SKU_Master'!$B$2:$B$378,'00_SKU_Master'!$C$2:$C$378)</f>
        <v/>
      </c>
      <c r="B270" s="148" t="n"/>
      <c r="C270" s="148">
        <f>X272</f>
        <v/>
      </c>
      <c r="D270" s="586">
        <f>_xludf.IFNA(_xlfn.XLOOKUP(C272,'00_SKU_Master'!$B$2:$B$378,'00_SKU_Master'!$F$2:$F$378,0)*Y272,"")</f>
        <v/>
      </c>
      <c r="E270" s="586">
        <f>_xludf.IFNA(_xlfn.XLOOKUP(C272,'00_SKU_Master'!$B$2:$B$378,'00_SKU_Master'!$F$2:$F$378,0)*Z272,"")</f>
        <v/>
      </c>
      <c r="F270" s="586">
        <f>_xludf.IFNA(_xlfn.XLOOKUP(C272,'00_SKU_Master'!$B$2:$B$378,'00_SKU_Master'!$F$2:$F$378,0)*AA272,"")</f>
        <v/>
      </c>
      <c r="G270" s="586">
        <f>_xludf.IFNA(_xlfn.XLOOKUP(C272,'00_SKU_Master'!$B$2:$B$378,'00_SKU_Master'!$F$2:$F$378,0)*AB272,"")</f>
        <v/>
      </c>
      <c r="H270" s="586">
        <f>_xludf.IFNA(_xlfn.XLOOKUP(C272,'00_SKU_Master'!$B$2:$B$378,'00_SKU_Master'!$F$2:$F$378,0)*AC272,"")</f>
        <v/>
      </c>
      <c r="I270" s="586">
        <f>_xludf.IFNA(_xlfn.XLOOKUP(C272,'00_SKU_Master'!$B$2:$B$378,'00_SKU_Master'!$F$2:$F$378,0)*AD272,"")</f>
        <v/>
      </c>
      <c r="J270" s="586">
        <f>_xludf.IFNA(_xlfn.XLOOKUP(C272,'00_SKU_Master'!$B$2:$B$378,'00_SKU_Master'!$F$2:$F$378,0)*AE272,"")</f>
        <v/>
      </c>
      <c r="K270" s="587">
        <f>SUM(D272:J272)</f>
        <v/>
      </c>
      <c r="L270" s="197">
        <f>_xlfn.XLOOKUP(C272,'00_SKU_Master'!$B$2:$B$378,'00_SKU_Master'!K:K)</f>
        <v/>
      </c>
      <c r="M270" s="14">
        <f>X272</f>
        <v/>
      </c>
      <c r="N270" s="590">
        <f>_xludf.IFNA(D272/_xlfn.XLOOKUP($M272,'00_SKU_Master'!$B$2:$B$378,'00_SKU_Master'!$M$2:$M$378,0)/$M$2,"0")</f>
        <v/>
      </c>
      <c r="O270" s="590">
        <f>_xludf.IFNA(E272/_xlfn.XLOOKUP($M272,'00_SKU_Master'!$B$2:$B$378,'00_SKU_Master'!$M$2:$M$378,0)/$M$2,"0")</f>
        <v/>
      </c>
      <c r="P270" s="590">
        <f>_xludf.IFNA(F272/_xlfn.XLOOKUP($M272,'00_SKU_Master'!$B$2:$B$378,'00_SKU_Master'!$M$2:$M$378,0)/$M$2,"0")</f>
        <v/>
      </c>
      <c r="Q270" s="590">
        <f>_xludf.IFNA(G272/_xlfn.XLOOKUP($M272,'00_SKU_Master'!$B$2:$B$378,'00_SKU_Master'!$M$2:$M$378,0)/$M$2,"0")</f>
        <v/>
      </c>
      <c r="R270" s="590">
        <f>_xludf.IFNA(H272/_xlfn.XLOOKUP($M272,'00_SKU_Master'!$B$2:$B$378,'00_SKU_Master'!$M$2:$M$378,0)/$M$2,"0")</f>
        <v/>
      </c>
      <c r="S270" s="590">
        <f>_xludf.IFNA(I272/_xlfn.XLOOKUP($M272,'00_SKU_Master'!$B$2:$B$378,'00_SKU_Master'!$M$2:$M$378,0)/$M$2,"0")</f>
        <v/>
      </c>
      <c r="T270" s="590">
        <f>_xludf.IFNA(J272/_xlfn.XLOOKUP($M272,'00_SKU_Master'!$B$2:$B$378,'00_SKU_Master'!$M$2:$M$378,0)/$M$2,"0")</f>
        <v/>
      </c>
      <c r="U270" s="590">
        <f>SUM(N272:T272)</f>
        <v/>
      </c>
      <c r="V270" s="4" t="n"/>
      <c r="W270" s="4">
        <f>_xlfn.XLOOKUP(M272,'00_SKU_Master'!$B$2:$B$378,'00_SKU_Master'!D:D)</f>
        <v/>
      </c>
      <c r="X270" s="14">
        <f>'05_Daily_Orders'!B271</f>
        <v/>
      </c>
      <c r="Y270" s="588" t="n"/>
      <c r="Z270" s="589" t="n"/>
      <c r="AA270" s="589" t="n"/>
      <c r="AB270" s="589" t="n"/>
      <c r="AC270" s="589" t="n"/>
      <c r="AD270" s="589" t="n"/>
      <c r="AE270" s="589" t="n"/>
      <c r="AF270" s="587">
        <f>SUM(Y272:AE272)</f>
        <v/>
      </c>
    </row>
    <row r="271">
      <c r="A271" s="148">
        <f>_xlfn.XLOOKUP(C273,'00_SKU_Master'!$B$2:$B$378,'00_SKU_Master'!$C$2:$C$378)</f>
        <v/>
      </c>
      <c r="B271" s="148" t="n"/>
      <c r="C271" s="148">
        <f>X273</f>
        <v/>
      </c>
      <c r="D271" s="586">
        <f>_xludf.IFNA(_xlfn.XLOOKUP(C273,'00_SKU_Master'!$B$2:$B$378,'00_SKU_Master'!$F$2:$F$378,0)*Y273,"")</f>
        <v/>
      </c>
      <c r="E271" s="586">
        <f>_xludf.IFNA(_xlfn.XLOOKUP(C273,'00_SKU_Master'!$B$2:$B$378,'00_SKU_Master'!$F$2:$F$378,0)*Z273,"")</f>
        <v/>
      </c>
      <c r="F271" s="586">
        <f>_xludf.IFNA(_xlfn.XLOOKUP(C273,'00_SKU_Master'!$B$2:$B$378,'00_SKU_Master'!$F$2:$F$378,0)*AA273,"")</f>
        <v/>
      </c>
      <c r="G271" s="586">
        <f>_xludf.IFNA(_xlfn.XLOOKUP(C273,'00_SKU_Master'!$B$2:$B$378,'00_SKU_Master'!$F$2:$F$378,0)*AB273,"")</f>
        <v/>
      </c>
      <c r="H271" s="586">
        <f>_xludf.IFNA(_xlfn.XLOOKUP(C273,'00_SKU_Master'!$B$2:$B$378,'00_SKU_Master'!$F$2:$F$378,0)*AC273,"")</f>
        <v/>
      </c>
      <c r="I271" s="586">
        <f>_xludf.IFNA(_xlfn.XLOOKUP(C273,'00_SKU_Master'!$B$2:$B$378,'00_SKU_Master'!$F$2:$F$378,0)*AD273,"")</f>
        <v/>
      </c>
      <c r="J271" s="586">
        <f>_xludf.IFNA(_xlfn.XLOOKUP(C273,'00_SKU_Master'!$B$2:$B$378,'00_SKU_Master'!$F$2:$F$378,0)*AE273,"")</f>
        <v/>
      </c>
      <c r="K271" s="587">
        <f>SUM(D273:J273)</f>
        <v/>
      </c>
      <c r="L271" s="197">
        <f>_xlfn.XLOOKUP(C273,'00_SKU_Master'!$B$2:$B$378,'00_SKU_Master'!K:K)</f>
        <v/>
      </c>
      <c r="M271" s="14">
        <f>X273</f>
        <v/>
      </c>
      <c r="N271" s="590">
        <f>_xludf.IFNA(D273/_xlfn.XLOOKUP($M273,'00_SKU_Master'!$B$2:$B$378,'00_SKU_Master'!$M$2:$M$378,0)/$M$2,"0")</f>
        <v/>
      </c>
      <c r="O271" s="590">
        <f>_xludf.IFNA(E273/_xlfn.XLOOKUP($M273,'00_SKU_Master'!$B$2:$B$378,'00_SKU_Master'!$M$2:$M$378,0)/$M$2,"0")</f>
        <v/>
      </c>
      <c r="P271" s="590">
        <f>_xludf.IFNA(F273/_xlfn.XLOOKUP($M273,'00_SKU_Master'!$B$2:$B$378,'00_SKU_Master'!$M$2:$M$378,0)/$M$2,"0")</f>
        <v/>
      </c>
      <c r="Q271" s="590">
        <f>_xludf.IFNA(G273/_xlfn.XLOOKUP($M273,'00_SKU_Master'!$B$2:$B$378,'00_SKU_Master'!$M$2:$M$378,0)/$M$2,"0")</f>
        <v/>
      </c>
      <c r="R271" s="590">
        <f>_xludf.IFNA(H273/_xlfn.XLOOKUP($M273,'00_SKU_Master'!$B$2:$B$378,'00_SKU_Master'!$M$2:$M$378,0)/$M$2,"0")</f>
        <v/>
      </c>
      <c r="S271" s="590">
        <f>_xludf.IFNA(I273/_xlfn.XLOOKUP($M273,'00_SKU_Master'!$B$2:$B$378,'00_SKU_Master'!$M$2:$M$378,0)/$M$2,"0")</f>
        <v/>
      </c>
      <c r="T271" s="590">
        <f>_xludf.IFNA(J273/_xlfn.XLOOKUP($M273,'00_SKU_Master'!$B$2:$B$378,'00_SKU_Master'!$M$2:$M$378,0)/$M$2,"0")</f>
        <v/>
      </c>
      <c r="U271" s="590">
        <f>SUM(N273:T273)</f>
        <v/>
      </c>
      <c r="V271" s="4" t="n"/>
      <c r="W271" s="4">
        <f>_xlfn.XLOOKUP(M273,'00_SKU_Master'!$B$2:$B$378,'00_SKU_Master'!D:D)</f>
        <v/>
      </c>
      <c r="X271" s="14">
        <f>'05_Daily_Orders'!B272</f>
        <v/>
      </c>
      <c r="Y271" s="588" t="n"/>
      <c r="Z271" s="589" t="n"/>
      <c r="AA271" s="589" t="n"/>
      <c r="AB271" s="589" t="n"/>
      <c r="AC271" s="589" t="n"/>
      <c r="AD271" s="589" t="n"/>
      <c r="AE271" s="589" t="n"/>
      <c r="AF271" s="587">
        <f>SUM(Y273:AE273)</f>
        <v/>
      </c>
    </row>
    <row r="272">
      <c r="A272" s="148">
        <f>_xlfn.XLOOKUP(C274,'00_SKU_Master'!$B$2:$B$378,'00_SKU_Master'!$C$2:$C$378)</f>
        <v/>
      </c>
      <c r="B272" s="148" t="n"/>
      <c r="C272" s="148">
        <f>X274</f>
        <v/>
      </c>
      <c r="D272" s="586">
        <f>_xludf.IFNA(_xlfn.XLOOKUP(C274,'00_SKU_Master'!$B$2:$B$378,'00_SKU_Master'!$F$2:$F$378,0)*Y274,"")</f>
        <v/>
      </c>
      <c r="E272" s="586">
        <f>_xludf.IFNA(_xlfn.XLOOKUP(C274,'00_SKU_Master'!$B$2:$B$378,'00_SKU_Master'!$F$2:$F$378,0)*Z274,"")</f>
        <v/>
      </c>
      <c r="F272" s="586">
        <f>_xludf.IFNA(_xlfn.XLOOKUP(C274,'00_SKU_Master'!$B$2:$B$378,'00_SKU_Master'!$F$2:$F$378,0)*AA274,"")</f>
        <v/>
      </c>
      <c r="G272" s="586">
        <f>_xludf.IFNA(_xlfn.XLOOKUP(C274,'00_SKU_Master'!$B$2:$B$378,'00_SKU_Master'!$F$2:$F$378,0)*AB274,"")</f>
        <v/>
      </c>
      <c r="H272" s="586">
        <f>_xludf.IFNA(_xlfn.XLOOKUP(C274,'00_SKU_Master'!$B$2:$B$378,'00_SKU_Master'!$F$2:$F$378,0)*AC274,"")</f>
        <v/>
      </c>
      <c r="I272" s="586">
        <f>_xludf.IFNA(_xlfn.XLOOKUP(C274,'00_SKU_Master'!$B$2:$B$378,'00_SKU_Master'!$F$2:$F$378,0)*AD274,"")</f>
        <v/>
      </c>
      <c r="J272" s="586">
        <f>_xludf.IFNA(_xlfn.XLOOKUP(C274,'00_SKU_Master'!$B$2:$B$378,'00_SKU_Master'!$F$2:$F$378,0)*AE274,"")</f>
        <v/>
      </c>
      <c r="K272" s="587">
        <f>SUM(D274:J274)</f>
        <v/>
      </c>
      <c r="L272" s="197">
        <f>_xlfn.XLOOKUP(C274,'00_SKU_Master'!$B$2:$B$378,'00_SKU_Master'!K:K)</f>
        <v/>
      </c>
      <c r="M272" s="14">
        <f>X274</f>
        <v/>
      </c>
      <c r="N272" s="590">
        <f>_xludf.IFNA(D274/_xlfn.XLOOKUP($M274,'00_SKU_Master'!$B$2:$B$378,'00_SKU_Master'!$M$2:$M$378,0)/$M$2,"0")</f>
        <v/>
      </c>
      <c r="O272" s="590">
        <f>_xludf.IFNA(E274/_xlfn.XLOOKUP($M274,'00_SKU_Master'!$B$2:$B$378,'00_SKU_Master'!$M$2:$M$378,0)/$M$2,"0")</f>
        <v/>
      </c>
      <c r="P272" s="590">
        <f>_xludf.IFNA(F274/_xlfn.XLOOKUP($M274,'00_SKU_Master'!$B$2:$B$378,'00_SKU_Master'!$M$2:$M$378,0)/$M$2,"0")</f>
        <v/>
      </c>
      <c r="Q272" s="590">
        <f>_xludf.IFNA(G274/_xlfn.XLOOKUP($M274,'00_SKU_Master'!$B$2:$B$378,'00_SKU_Master'!$M$2:$M$378,0)/$M$2,"0")</f>
        <v/>
      </c>
      <c r="R272" s="590">
        <f>_xludf.IFNA(H274/_xlfn.XLOOKUP($M274,'00_SKU_Master'!$B$2:$B$378,'00_SKU_Master'!$M$2:$M$378,0)/$M$2,"0")</f>
        <v/>
      </c>
      <c r="S272" s="590">
        <f>_xludf.IFNA(I274/_xlfn.XLOOKUP($M274,'00_SKU_Master'!$B$2:$B$378,'00_SKU_Master'!$M$2:$M$378,0)/$M$2,"0")</f>
        <v/>
      </c>
      <c r="T272" s="590">
        <f>_xludf.IFNA(J274/_xlfn.XLOOKUP($M274,'00_SKU_Master'!$B$2:$B$378,'00_SKU_Master'!$M$2:$M$378,0)/$M$2,"0")</f>
        <v/>
      </c>
      <c r="U272" s="590">
        <f>SUM(N274:T274)</f>
        <v/>
      </c>
      <c r="V272" s="4" t="n"/>
      <c r="W272" s="4">
        <f>_xlfn.XLOOKUP(M274,'00_SKU_Master'!$B$2:$B$378,'00_SKU_Master'!D:D)</f>
        <v/>
      </c>
      <c r="X272" s="14">
        <f>'05_Daily_Orders'!B273</f>
        <v/>
      </c>
      <c r="Y272" s="591" t="n"/>
      <c r="Z272" s="592" t="n"/>
      <c r="AA272" s="592" t="n"/>
      <c r="AB272" s="592" t="n"/>
      <c r="AC272" s="592" t="n"/>
      <c r="AD272" s="592" t="n"/>
      <c r="AE272" s="592" t="n"/>
      <c r="AF272" s="593">
        <f>SUM(Y274:AE274)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2026-01-01T16:53:26Z</dcterms:created>
  <dcterms:modified xsi:type="dcterms:W3CDTF">2026-01-02T00:56:07Z</dcterms:modified>
  <cp:lastModifiedBy>Ying Sun</cp:lastModifiedBy>
</cp:coreProperties>
</file>