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912" firstSheet="1" activeTab="12" autoFilterDateGrouping="1"/>
  </bookViews>
  <sheets>
    <sheet name="00_SKU_Master" sheetId="1" state="hidden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hidden" r:id="rId11"/>
    <sheet name="00_Yield_Rates" sheetId="12" state="hidden" r:id="rId12"/>
    <sheet name="12_Executive_Dash" sheetId="13" state="visible" r:id="rId13"/>
    <sheet name="13_Progress_Track" sheetId="14" state="visible" r:id="rId14"/>
    <sheet name="14_Weekly_Plan" sheetId="15" state="hidden" r:id="rId15"/>
    <sheet name="15_5Day_Forecast" sheetId="16" state="hidden" r:id="rId16"/>
  </sheets>
  <externalReferences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Cambria"/>
      <family val="2"/>
      <color rgb="FF000000"/>
      <sz val="11"/>
      <scheme val="major"/>
    </font>
    <font>
      <name val="Cambria"/>
      <family val="2"/>
      <sz val="11"/>
      <scheme val="maj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00FFFFFF"/>
      <sz val="12"/>
    </font>
    <font>
      <name val="Calibri"/>
      <b val="1"/>
      <color rgb="00343A40"/>
      <sz val="11"/>
    </font>
    <font>
      <name val="Calibri"/>
      <color rgb="00000000"/>
      <sz val="10"/>
    </font>
  </fonts>
  <fills count="5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343A40"/>
        <bgColor rgb="00343A40"/>
      </patternFill>
    </fill>
    <fill>
      <patternFill patternType="solid">
        <fgColor rgb="00495057"/>
        <bgColor rgb="00495057"/>
      </patternFill>
    </fill>
    <fill>
      <patternFill patternType="solid">
        <fgColor rgb="00ADB5BD"/>
        <bgColor rgb="00ADB5BD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  <fill>
      <patternFill patternType="solid">
        <fgColor rgb="00DEE2E6"/>
        <bgColor rgb="00DEE2E6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  <border>
      <left/>
      <right/>
      <top style="thin">
        <color rgb="00CED4DA"/>
      </top>
      <bottom/>
      <diagonal/>
    </border>
    <border>
      <left/>
      <right style="thin">
        <color rgb="00CED4DA"/>
      </right>
      <top style="thin">
        <color rgb="00CED4DA"/>
      </top>
      <bottom/>
      <diagonal/>
    </border>
    <border>
      <left/>
      <right/>
      <top style="thin">
        <color rgb="00CED4DA"/>
      </top>
      <bottom style="thin">
        <color rgb="00CED4DA"/>
      </bottom>
      <diagonal/>
    </border>
    <border>
      <left/>
      <right style="thin">
        <color rgb="00CED4DA"/>
      </right>
      <top style="thin">
        <color rgb="00CED4DA"/>
      </top>
      <bottom style="thin">
        <color rgb="00CED4DA"/>
      </bottom>
      <diagonal/>
    </border>
  </borders>
  <cellStyleXfs count="1">
    <xf numFmtId="0" fontId="2" fillId="0" borderId="0"/>
  </cellStyleXfs>
  <cellXfs count="683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" fillId="3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vertical="center"/>
    </xf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20" fontId="2" fillId="3" borderId="1" pivotButton="0" quotePrefix="0" xfId="0"/>
    <xf numFmtId="0" fontId="2" fillId="6" borderId="1" pivotButton="0" quotePrefix="0" xfId="0"/>
    <xf numFmtId="20" fontId="2" fillId="6" borderId="1" pivotButton="0" quotePrefix="0" xfId="0"/>
    <xf numFmtId="0" fontId="2" fillId="10" borderId="1" pivotButton="0" quotePrefix="0" xfId="0"/>
    <xf numFmtId="1" fontId="2" fillId="3" borderId="0" pivotButton="0" quotePrefix="0" xfId="0"/>
    <xf numFmtId="0" fontId="2" fillId="6" borderId="0" pivotButton="0" quotePrefix="0" xfId="0"/>
    <xf numFmtId="0" fontId="2" fillId="10" borderId="0" pivotButton="0" quotePrefix="0" xfId="0"/>
    <xf numFmtId="1" fontId="2" fillId="3" borderId="1" pivotButton="0" quotePrefix="0" xfId="0"/>
    <xf numFmtId="0" fontId="54" fillId="13" borderId="1" applyAlignment="1" pivotButton="0" quotePrefix="0" xfId="0">
      <alignment horizontal="left" vertical="center" wrapText="1"/>
    </xf>
    <xf numFmtId="1" fontId="54" fillId="13" borderId="1" applyAlignment="1" pivotButton="0" quotePrefix="0" xfId="0">
      <alignment horizontal="right" wrapText="1"/>
    </xf>
    <xf numFmtId="0" fontId="54" fillId="10" borderId="1" applyAlignment="1" pivotButton="0" quotePrefix="0" xfId="0">
      <alignment horizontal="left" vertical="center" wrapText="1"/>
    </xf>
    <xf numFmtId="1" fontId="2" fillId="10" borderId="1" pivotButton="0" quotePrefix="0" xfId="0"/>
    <xf numFmtId="0" fontId="55" fillId="13" borderId="1" applyAlignment="1" pivotButton="0" quotePrefix="0" xfId="0">
      <alignment horizontal="left" vertical="center" wrapText="1"/>
    </xf>
    <xf numFmtId="0" fontId="54" fillId="13" borderId="1" applyAlignment="1" pivotButton="0" quotePrefix="0" xfId="0">
      <alignment horizontal="right" wrapText="1"/>
    </xf>
    <xf numFmtId="0" fontId="2" fillId="10" borderId="1" applyAlignment="1" pivotButton="0" quotePrefix="0" xfId="0">
      <alignment horizontal="left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6" fillId="0" borderId="0" applyAlignment="1" pivotButton="0" quotePrefix="0" xfId="0">
      <alignment horizontal="centerContinuous" vertical="center"/>
    </xf>
    <xf numFmtId="0" fontId="57" fillId="0" borderId="0" applyAlignment="1" pivotButton="0" quotePrefix="0" xfId="0">
      <alignment horizontal="centerContinuous" vertical="center"/>
    </xf>
    <xf numFmtId="1" fontId="58" fillId="0" borderId="14" applyAlignment="1" pivotButton="0" quotePrefix="0" xfId="0">
      <alignment horizontal="center" vertical="center" wrapText="1"/>
    </xf>
    <xf numFmtId="175" fontId="58" fillId="0" borderId="15" applyAlignment="1" pivotButton="0" quotePrefix="0" xfId="0">
      <alignment horizontal="center" vertical="center" wrapText="1"/>
    </xf>
    <xf numFmtId="0" fontId="58" fillId="6" borderId="15" applyAlignment="1" pivotButton="0" quotePrefix="0" xfId="0">
      <alignment horizontal="center" vertical="center"/>
    </xf>
    <xf numFmtId="0" fontId="58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8" fillId="6" borderId="14" applyAlignment="1" pivotButton="0" quotePrefix="0" xfId="0">
      <alignment horizontal="center" vertical="center"/>
    </xf>
    <xf numFmtId="0" fontId="58" fillId="6" borderId="22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9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9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9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9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9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9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9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60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61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2" fillId="44" borderId="48" applyAlignment="1" pivotButton="0" quotePrefix="0" xfId="0">
      <alignment horizontal="center" vertical="center"/>
    </xf>
    <xf numFmtId="0" fontId="62" fillId="45" borderId="48" applyAlignment="1" pivotButton="0" quotePrefix="0" xfId="0">
      <alignment horizontal="center" vertical="center"/>
    </xf>
    <xf numFmtId="0" fontId="63" fillId="46" borderId="48" applyAlignment="1" pivotButton="0" quotePrefix="0" xfId="0">
      <alignment horizontal="center" vertical="center"/>
    </xf>
    <xf numFmtId="20" fontId="63" fillId="46" borderId="48" applyAlignment="1" pivotButton="0" quotePrefix="0" xfId="0">
      <alignment horizontal="center" vertical="center"/>
    </xf>
    <xf numFmtId="0" fontId="64" fillId="47" borderId="48" applyAlignment="1" pivotButton="0" quotePrefix="0" xfId="0">
      <alignment horizontal="left" vertical="center"/>
    </xf>
    <xf numFmtId="20" fontId="64" fillId="47" borderId="48" applyAlignment="1" pivotButton="0" quotePrefix="0" xfId="0">
      <alignment horizontal="left" vertical="center"/>
    </xf>
    <xf numFmtId="0" fontId="64" fillId="48" borderId="48" applyAlignment="1" pivotButton="0" quotePrefix="0" xfId="0">
      <alignment horizontal="left" vertical="center"/>
    </xf>
    <xf numFmtId="20" fontId="64" fillId="48" borderId="48" applyAlignment="1" pivotButton="0" quotePrefix="0" xfId="0">
      <alignment horizontal="left" vertical="center"/>
    </xf>
    <xf numFmtId="0" fontId="64" fillId="49" borderId="48" applyAlignment="1" pivotButton="0" quotePrefix="0" xfId="0">
      <alignment horizontal="left" vertical="center"/>
    </xf>
    <xf numFmtId="0" fontId="64" fillId="49" borderId="48" applyAlignment="1" pivotButton="0" quotePrefix="0" xfId="0">
      <alignment horizontal="right" vertical="center"/>
    </xf>
    <xf numFmtId="1" fontId="64" fillId="47" borderId="48" applyAlignment="1" pivotButton="0" quotePrefix="0" xfId="0">
      <alignment horizontal="left" vertical="center"/>
    </xf>
    <xf numFmtId="1" fontId="64" fillId="48" borderId="48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T378"/>
  <sheetViews>
    <sheetView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94" t="inlineStr">
        <is>
          <t>SKU</t>
        </is>
      </c>
      <c r="C1" s="595" t="inlineStr">
        <is>
          <t>RAW_WIP_CODE</t>
        </is>
      </c>
      <c r="D1" s="595" t="inlineStr">
        <is>
          <t>Customer</t>
        </is>
      </c>
      <c r="E1" s="595" t="inlineStr">
        <is>
          <t>Product_Group</t>
        </is>
      </c>
      <c r="F1" s="596" t="inlineStr">
        <is>
          <t>Avg_Case_Weight</t>
        </is>
      </c>
      <c r="G1" s="595" t="inlineStr">
        <is>
          <t>Trays_Per_Case</t>
        </is>
      </c>
      <c r="H1" s="595" t="inlineStr">
        <is>
          <t>Tray_Type</t>
        </is>
      </c>
      <c r="I1" s="595" t="inlineStr">
        <is>
          <t>Tray_Size</t>
        </is>
      </c>
      <c r="J1" s="597" t="inlineStr">
        <is>
          <t>SKU_Desc</t>
        </is>
      </c>
      <c r="K1" s="598" t="inlineStr">
        <is>
          <t>Tray Pack Speed</t>
        </is>
      </c>
      <c r="L1" s="598" t="inlineStr">
        <is>
          <t>Package_Type</t>
        </is>
      </c>
      <c r="M1" s="598" t="inlineStr">
        <is>
          <t>STD</t>
        </is>
      </c>
      <c r="N1" s="598" t="inlineStr">
        <is>
          <t>Class</t>
        </is>
      </c>
      <c r="O1" s="595" t="inlineStr">
        <is>
          <t>Weight</t>
        </is>
      </c>
      <c r="P1" s="599" t="inlineStr">
        <is>
          <t>Column1</t>
        </is>
      </c>
      <c r="R1" s="600" t="inlineStr">
        <is>
          <t>ORDER</t>
        </is>
      </c>
      <c r="S1" s="600" t="inlineStr">
        <is>
          <t>RAW Request_KG</t>
        </is>
      </c>
      <c r="T1" s="175" t="inlineStr">
        <is>
          <t>Yield</t>
        </is>
      </c>
    </row>
    <row r="2">
      <c r="A2" s="601" t="inlineStr">
        <is>
          <t>Cut_up</t>
        </is>
      </c>
      <c r="B2" s="602" t="n">
        <v>64</v>
      </c>
      <c r="C2" s="603" t="n"/>
      <c r="D2" s="603" t="inlineStr">
        <is>
          <t>Bulk Pack</t>
        </is>
      </c>
      <c r="E2" s="603" t="inlineStr">
        <is>
          <t>ThighMeat</t>
        </is>
      </c>
      <c r="F2" s="603" t="n">
        <v>5</v>
      </c>
      <c r="G2" s="603" t="n"/>
      <c r="H2" s="603" t="n"/>
      <c r="I2" s="603" t="n"/>
      <c r="J2" s="604" t="inlineStr">
        <is>
          <t>MB BSTHIGH AC BG 5KG</t>
        </is>
      </c>
      <c r="K2" s="605" t="n"/>
      <c r="L2" s="605" t="n"/>
      <c r="M2" s="605" t="n"/>
      <c r="N2" s="606" t="inlineStr">
        <is>
          <t>SILVER</t>
        </is>
      </c>
      <c r="O2" s="603" t="n"/>
      <c r="P2" s="154" t="n"/>
      <c r="R2" s="600">
        <f>_xludf.IFNA(_xlfn.XLOOKUP(Table3[[#This Row],[SKU]],'03_BulkPack_Order'!$A$2:$A$67,'03_BulkPack_Order'!C:C),"")</f>
        <v/>
      </c>
      <c r="S2" s="600">
        <f>IFERROR(R2*1,"")</f>
        <v/>
      </c>
      <c r="T2" s="600">
        <f>_xludf.IFNA(_xlfn.XLOOKUP(Table3[[#This Row],[SKU]],'00_Yield_Rates'!$B$2:$B$17,'00_Yield_Rates'!$E$2:$E$17),"")</f>
        <v/>
      </c>
    </row>
    <row r="3">
      <c r="A3" s="601" t="inlineStr">
        <is>
          <t>Cut_up</t>
        </is>
      </c>
      <c r="B3" s="602" t="n">
        <v>65</v>
      </c>
      <c r="C3" s="603" t="n"/>
      <c r="D3" s="603" t="inlineStr">
        <is>
          <t>Bulk Pack</t>
        </is>
      </c>
      <c r="E3" s="603" t="inlineStr">
        <is>
          <t>BSB</t>
        </is>
      </c>
      <c r="F3" s="603" t="n">
        <v>5</v>
      </c>
      <c r="G3" s="603" t="n"/>
      <c r="H3" s="603" t="n"/>
      <c r="I3" s="603" t="n"/>
      <c r="J3" s="604" t="inlineStr">
        <is>
          <t>MB BSHB AC RND 5KG</t>
        </is>
      </c>
      <c r="K3" s="605" t="n"/>
      <c r="L3" s="605" t="n"/>
      <c r="M3" s="605" t="n"/>
      <c r="N3" s="606" t="inlineStr">
        <is>
          <t>SILVER</t>
        </is>
      </c>
      <c r="O3" s="603" t="n"/>
      <c r="P3" s="154" t="n"/>
      <c r="R3" s="600">
        <f>_xludf.IFNA(_xlfn.XLOOKUP(Table3[[#This Row],[SKU]],'03_BulkPack_Order'!$A$2:$A$67,'03_BulkPack_Order'!C:C),"")</f>
        <v/>
      </c>
      <c r="S3" s="600">
        <f>IFERROR(R3*1,"")</f>
        <v/>
      </c>
      <c r="T3" s="600">
        <f>_xludf.IFNA(_xlfn.XLOOKUP(Table3[[#This Row],[SKU]],'00_Yield_Rates'!$B$2:$B$17,'00_Yield_Rates'!$E$2:$E$17),"")</f>
        <v/>
      </c>
    </row>
    <row r="4">
      <c r="A4" s="601" t="inlineStr">
        <is>
          <t>Cut_up</t>
        </is>
      </c>
      <c r="B4" s="602" t="n">
        <v>159</v>
      </c>
      <c r="C4" s="603" t="n"/>
      <c r="D4" s="603" t="inlineStr">
        <is>
          <t>Bulk Pack</t>
        </is>
      </c>
      <c r="E4" s="603" t="inlineStr">
        <is>
          <t>BA</t>
        </is>
      </c>
      <c r="F4" s="603" t="n"/>
      <c r="G4" s="603" t="n"/>
      <c r="H4" s="603" t="n"/>
      <c r="I4" s="603" t="n"/>
      <c r="J4" s="604" t="inlineStr">
        <is>
          <t>MS LEG BA 18KG</t>
        </is>
      </c>
      <c r="K4" s="605" t="n"/>
      <c r="L4" s="605" t="n"/>
      <c r="M4" s="605" t="n"/>
      <c r="N4" s="606" t="inlineStr">
        <is>
          <t>SILVER</t>
        </is>
      </c>
      <c r="O4" s="603" t="n"/>
      <c r="P4" s="154" t="n"/>
      <c r="R4" s="600">
        <f>_xludf.IFNA(_xlfn.XLOOKUP(Table3[[#This Row],[SKU]],'03_BulkPack_Order'!$A$2:$A$67,'03_BulkPack_Order'!C:C),"")</f>
        <v/>
      </c>
      <c r="S4" s="600">
        <f>IFERROR(R4*1,"")</f>
        <v/>
      </c>
      <c r="T4" s="600">
        <f>_xludf.IFNA(_xlfn.XLOOKUP(Table3[[#This Row],[SKU]],'00_Yield_Rates'!$B$2:$B$17,'00_Yield_Rates'!$E$2:$E$17),"")</f>
        <v/>
      </c>
    </row>
    <row r="5">
      <c r="A5" s="601" t="inlineStr">
        <is>
          <t>Cut_up</t>
        </is>
      </c>
      <c r="B5" s="602" t="n">
        <v>160</v>
      </c>
      <c r="C5" s="603" t="n"/>
      <c r="D5" s="603" t="inlineStr">
        <is>
          <t>Bulk Pack</t>
        </is>
      </c>
      <c r="E5" s="603" t="inlineStr">
        <is>
          <t>DRUM</t>
        </is>
      </c>
      <c r="F5" s="603" t="n"/>
      <c r="G5" s="603" t="n"/>
      <c r="H5" s="603" t="n"/>
      <c r="I5" s="603" t="n"/>
      <c r="J5" s="604" t="inlineStr">
        <is>
          <t>MS DRUM 18KG</t>
        </is>
      </c>
      <c r="K5" s="605" t="n"/>
      <c r="L5" s="605" t="n"/>
      <c r="M5" s="605" t="n"/>
      <c r="N5" s="606" t="inlineStr">
        <is>
          <t>SILVER</t>
        </is>
      </c>
      <c r="O5" s="603" t="n"/>
      <c r="P5" s="154" t="n"/>
      <c r="R5" s="600">
        <f>_xludf.IFNA(_xlfn.XLOOKUP(Table3[[#This Row],[SKU]],'03_BulkPack_Order'!$A$2:$A$67,'03_BulkPack_Order'!C:C),"")</f>
        <v/>
      </c>
      <c r="S5" s="600">
        <f>IFERROR(R5*1,"")</f>
        <v/>
      </c>
      <c r="T5" s="600">
        <f>_xludf.IFNA(_xlfn.XLOOKUP(Table3[[#This Row],[SKU]],'00_Yield_Rates'!$B$2:$B$17,'00_Yield_Rates'!$E$2:$E$17),"")</f>
        <v/>
      </c>
    </row>
    <row r="6">
      <c r="A6" s="601" t="inlineStr">
        <is>
          <t>Cut_up</t>
        </is>
      </c>
      <c r="B6" s="602" t="n">
        <v>161</v>
      </c>
      <c r="C6" s="603" t="n"/>
      <c r="D6" s="603" t="inlineStr">
        <is>
          <t>Bulk Pack</t>
        </is>
      </c>
      <c r="E6" s="603" t="inlineStr">
        <is>
          <t>Thigh</t>
        </is>
      </c>
      <c r="F6" s="603" t="n"/>
      <c r="G6" s="603" t="n"/>
      <c r="H6" s="603" t="n"/>
      <c r="I6" s="603" t="n"/>
      <c r="J6" s="604" t="inlineStr">
        <is>
          <t>MB THIGH 20KG</t>
        </is>
      </c>
      <c r="K6" s="605" t="n"/>
      <c r="L6" s="605" t="n"/>
      <c r="M6" s="605" t="n"/>
      <c r="N6" s="606" t="inlineStr">
        <is>
          <t>SILVER</t>
        </is>
      </c>
      <c r="O6" s="603" t="n"/>
      <c r="P6" s="154" t="n"/>
      <c r="R6" s="600">
        <f>_xludf.IFNA(_xlfn.XLOOKUP(Table3[[#This Row],[SKU]],'03_BulkPack_Order'!$A$2:$A$67,'03_BulkPack_Order'!C:C),"")</f>
        <v/>
      </c>
      <c r="S6" s="600">
        <f>IFERROR(R6*1,"")</f>
        <v/>
      </c>
      <c r="T6" s="600">
        <f>_xludf.IFNA(_xlfn.XLOOKUP(Table3[[#This Row],[SKU]],'00_Yield_Rates'!$B$2:$B$17,'00_Yield_Rates'!$E$2:$E$17),"")</f>
        <v/>
      </c>
    </row>
    <row r="7">
      <c r="A7" s="601" t="inlineStr">
        <is>
          <t>Cut_up</t>
        </is>
      </c>
      <c r="B7" s="602" t="n">
        <v>165</v>
      </c>
      <c r="C7" s="603" t="n"/>
      <c r="D7" s="603" t="inlineStr">
        <is>
          <t>Bulk Pack</t>
        </is>
      </c>
      <c r="E7" s="603" t="inlineStr">
        <is>
          <t>BSB</t>
        </is>
      </c>
      <c r="F7" s="603" t="n">
        <v>10</v>
      </c>
      <c r="G7" s="603" t="n"/>
      <c r="H7" s="603" t="n"/>
      <c r="I7" s="603" t="n"/>
      <c r="J7" s="604" t="inlineStr">
        <is>
          <t>MB BSHB AC RND 10KG</t>
        </is>
      </c>
      <c r="K7" s="605" t="n"/>
      <c r="L7" s="605" t="n"/>
      <c r="M7" s="605" t="n"/>
      <c r="N7" s="606" t="inlineStr">
        <is>
          <t>SILVER</t>
        </is>
      </c>
      <c r="O7" s="603" t="n"/>
      <c r="P7" s="154" t="n"/>
      <c r="R7" s="600">
        <f>_xludf.IFNA(_xlfn.XLOOKUP(Table3[[#This Row],[SKU]],'03_BulkPack_Order'!$A$2:$A$67,'03_BulkPack_Order'!C:C),"")</f>
        <v/>
      </c>
      <c r="S7" s="600">
        <f>IFERROR(R7*1,"")</f>
        <v/>
      </c>
      <c r="T7" s="600">
        <f>_xludf.IFNA(_xlfn.XLOOKUP(Table3[[#This Row],[SKU]],'00_Yield_Rates'!$B$2:$B$17,'00_Yield_Rates'!$E$2:$E$17),"")</f>
        <v/>
      </c>
    </row>
    <row r="8">
      <c r="A8" s="601" t="inlineStr">
        <is>
          <t>Cut_up</t>
        </is>
      </c>
      <c r="B8" s="602" t="n">
        <v>834</v>
      </c>
      <c r="C8" s="603" t="n"/>
      <c r="D8" s="603" t="inlineStr">
        <is>
          <t>Bulk Pack</t>
        </is>
      </c>
      <c r="E8" s="603" t="inlineStr">
        <is>
          <t>Thigh</t>
        </is>
      </c>
      <c r="F8" s="603" t="n">
        <v>18</v>
      </c>
      <c r="G8" s="603" t="n"/>
      <c r="H8" s="603" t="n"/>
      <c r="I8" s="603" t="n"/>
      <c r="J8" s="604" t="inlineStr">
        <is>
          <t>THIGH 18KG</t>
        </is>
      </c>
      <c r="K8" s="607" t="n"/>
      <c r="L8" s="607" t="n"/>
      <c r="M8" s="605" t="n"/>
      <c r="N8" s="606" t="inlineStr">
        <is>
          <t>SILVER</t>
        </is>
      </c>
      <c r="O8" s="603" t="n"/>
      <c r="P8" s="154" t="n"/>
      <c r="R8" s="600">
        <f>_xludf.IFNA(_xlfn.XLOOKUP(Table3[[#This Row],[SKU]],'03_BulkPack_Order'!$A$2:$A$67,'03_BulkPack_Order'!C:C),"")</f>
        <v/>
      </c>
      <c r="S8" s="600">
        <f>IFERROR(R8*1,"")</f>
        <v/>
      </c>
      <c r="T8" s="600">
        <f>_xludf.IFNA(_xlfn.XLOOKUP(Table3[[#This Row],[SKU]],'00_Yield_Rates'!$B$2:$B$17,'00_Yield_Rates'!$E$2:$E$17),"")</f>
        <v/>
      </c>
    </row>
    <row r="9">
      <c r="A9" s="601" t="inlineStr">
        <is>
          <t>Cut_up</t>
        </is>
      </c>
      <c r="B9" s="602" t="n">
        <v>868</v>
      </c>
      <c r="C9" s="603" t="n"/>
      <c r="D9" s="603" t="inlineStr">
        <is>
          <t>Bulk Pack</t>
        </is>
      </c>
      <c r="E9" s="603" t="inlineStr">
        <is>
          <t>SplitWing</t>
        </is>
      </c>
      <c r="F9" s="603" t="n">
        <v>18</v>
      </c>
      <c r="G9" s="603" t="n"/>
      <c r="H9" s="603" t="n"/>
      <c r="I9" s="603" t="n"/>
      <c r="J9" s="604" t="inlineStr">
        <is>
          <t>MB SPL WING 18KG</t>
        </is>
      </c>
      <c r="K9" s="608" t="n"/>
      <c r="L9" s="608" t="n"/>
      <c r="M9" s="609" t="n"/>
      <c r="N9" s="606" t="inlineStr">
        <is>
          <t>SILVER</t>
        </is>
      </c>
      <c r="O9" s="603" t="n"/>
      <c r="P9" s="154" t="n"/>
      <c r="R9" s="600">
        <f>_xludf.IFNA(_xlfn.XLOOKUP(Table3[[#This Row],[SKU]],'03_BulkPack_Order'!$A$2:$A$67,'03_BulkPack_Order'!C:C),"")</f>
        <v/>
      </c>
      <c r="S9" s="600">
        <f>IFERROR(R9*1,"")</f>
        <v/>
      </c>
      <c r="T9" s="600">
        <f>_xludf.IFNA(_xlfn.XLOOKUP(Table3[[#This Row],[SKU]],'00_Yield_Rates'!$B$2:$B$17,'00_Yield_Rates'!$E$2:$E$17),"")</f>
        <v/>
      </c>
    </row>
    <row r="10">
      <c r="A10" s="601" t="inlineStr">
        <is>
          <t>Cut_up</t>
        </is>
      </c>
      <c r="B10" s="602" t="n">
        <v>895</v>
      </c>
      <c r="C10" s="603" t="n"/>
      <c r="D10" s="603" t="inlineStr">
        <is>
          <t>Bulk Pack</t>
        </is>
      </c>
      <c r="E10" s="603" t="inlineStr">
        <is>
          <t>DRUM</t>
        </is>
      </c>
      <c r="F10" s="603" t="n"/>
      <c r="G10" s="603" t="n"/>
      <c r="H10" s="603" t="n"/>
      <c r="I10" s="603" t="n"/>
      <c r="J10" s="604" t="inlineStr">
        <is>
          <t>MB DRUM AC 18KG</t>
        </is>
      </c>
      <c r="K10" s="607" t="n"/>
      <c r="L10" s="607" t="n"/>
      <c r="M10" s="605" t="n"/>
      <c r="N10" s="606" t="inlineStr">
        <is>
          <t>GOLD</t>
        </is>
      </c>
      <c r="O10" s="603" t="n"/>
      <c r="P10" s="154" t="n"/>
      <c r="R10" s="600">
        <f>_xludf.IFNA(_xlfn.XLOOKUP(Table3[[#This Row],[SKU]],'03_BulkPack_Order'!$A$2:$A$67,'03_BulkPack_Order'!C:C),"")</f>
        <v/>
      </c>
      <c r="S10" s="600">
        <f>IFERROR(R10*1,"")</f>
        <v/>
      </c>
      <c r="T10" s="600">
        <f>_xludf.IFNA(_xlfn.XLOOKUP(Table3[[#This Row],[SKU]],'00_Yield_Rates'!$B$2:$B$17,'00_Yield_Rates'!$E$2:$E$17),"")</f>
        <v/>
      </c>
    </row>
    <row r="11">
      <c r="A11" s="601" t="inlineStr">
        <is>
          <t>Cut_up</t>
        </is>
      </c>
      <c r="B11" s="602" t="n">
        <v>902</v>
      </c>
      <c r="C11" s="603" t="n"/>
      <c r="D11" s="603" t="inlineStr">
        <is>
          <t>Bulk Pack</t>
        </is>
      </c>
      <c r="E11" s="603" t="inlineStr">
        <is>
          <t>Thigh</t>
        </is>
      </c>
      <c r="F11" s="603" t="n"/>
      <c r="G11" s="603" t="n"/>
      <c r="H11" s="603" t="n"/>
      <c r="I11" s="603" t="n"/>
      <c r="J11" s="604" t="n"/>
      <c r="K11" s="607" t="n"/>
      <c r="L11" s="607" t="n"/>
      <c r="M11" s="605" t="n"/>
      <c r="N11" s="606" t="inlineStr">
        <is>
          <t>SILVER</t>
        </is>
      </c>
      <c r="O11" s="603" t="n"/>
      <c r="P11" s="154" t="n"/>
      <c r="R11" s="600">
        <f>_xludf.IFNA(_xlfn.XLOOKUP(Table3[[#This Row],[SKU]],'03_BulkPack_Order'!$A$2:$A$67,'03_BulkPack_Order'!C:C),"")</f>
        <v/>
      </c>
      <c r="S11" s="600">
        <f>IFERROR(R11*1,"")</f>
        <v/>
      </c>
      <c r="T11" s="600">
        <f>_xludf.IFNA(_xlfn.XLOOKUP(Table3[[#This Row],[SKU]],'00_Yield_Rates'!$B$2:$B$17,'00_Yield_Rates'!$E$2:$E$17),"")</f>
        <v/>
      </c>
    </row>
    <row r="12">
      <c r="A12" s="601" t="inlineStr">
        <is>
          <t>Cut_up</t>
        </is>
      </c>
      <c r="B12" s="610" t="n">
        <v>904</v>
      </c>
      <c r="C12" s="603" t="n"/>
      <c r="D12" s="603" t="inlineStr">
        <is>
          <t>Bulk Pack</t>
        </is>
      </c>
      <c r="E12" s="603" t="inlineStr">
        <is>
          <t>WING</t>
        </is>
      </c>
      <c r="F12" s="605" t="n">
        <v>18</v>
      </c>
      <c r="G12" s="603" t="n"/>
      <c r="H12" s="603" t="n"/>
      <c r="I12" s="603" t="n"/>
      <c r="J12" s="604" t="inlineStr">
        <is>
          <t>MB WING AC 18KG</t>
        </is>
      </c>
      <c r="K12" s="607" t="n"/>
      <c r="L12" s="607" t="n"/>
      <c r="M12" s="605" t="n"/>
      <c r="N12" s="606" t="inlineStr">
        <is>
          <t>SILVER</t>
        </is>
      </c>
      <c r="O12" s="603" t="n"/>
      <c r="P12" s="154" t="n"/>
      <c r="R12" s="600">
        <f>_xludf.IFNA(_xlfn.XLOOKUP(Table3[[#This Row],[SKU]],'03_BulkPack_Order'!$A$2:$A$67,'03_BulkPack_Order'!C:C),"")</f>
        <v/>
      </c>
      <c r="S12" s="600">
        <f>IFERROR(R12*1,"")</f>
        <v/>
      </c>
      <c r="T12" s="600">
        <f>_xludf.IFNA(_xlfn.XLOOKUP(Table3[[#This Row],[SKU]],'00_Yield_Rates'!$B$2:$B$17,'00_Yield_Rates'!$E$2:$E$17),"")</f>
        <v/>
      </c>
    </row>
    <row r="13">
      <c r="A13" s="601" t="inlineStr">
        <is>
          <t>Cut_up</t>
        </is>
      </c>
      <c r="B13" s="602" t="n">
        <v>1026</v>
      </c>
      <c r="C13" s="603" t="n"/>
      <c r="D13" s="603" t="inlineStr">
        <is>
          <t>Bulk Pack</t>
        </is>
      </c>
      <c r="E13" s="603" t="inlineStr">
        <is>
          <t>WING</t>
        </is>
      </c>
      <c r="F13" s="603" t="n"/>
      <c r="G13" s="603" t="n"/>
      <c r="H13" s="603" t="n"/>
      <c r="I13" s="603" t="n"/>
      <c r="J13" s="604" t="n"/>
      <c r="K13" s="607" t="n"/>
      <c r="L13" s="607" t="n"/>
      <c r="M13" s="605" t="n"/>
      <c r="N13" s="606" t="inlineStr">
        <is>
          <t>SILVER</t>
        </is>
      </c>
      <c r="O13" s="603" t="n"/>
      <c r="P13" s="154" t="n"/>
      <c r="R13" s="600">
        <f>_xludf.IFNA(_xlfn.XLOOKUP(Table3[[#This Row],[SKU]],'03_BulkPack_Order'!$A$2:$A$67,'03_BulkPack_Order'!C:C),"")</f>
        <v/>
      </c>
      <c r="S13" s="600">
        <f>IFERROR(R13*1,"")</f>
        <v/>
      </c>
      <c r="T13" s="600">
        <f>_xludf.IFNA(_xlfn.XLOOKUP(Table3[[#This Row],[SKU]],'00_Yield_Rates'!$B$2:$B$17,'00_Yield_Rates'!$E$2:$E$17),"")</f>
        <v/>
      </c>
    </row>
    <row r="14">
      <c r="A14" s="601" t="inlineStr">
        <is>
          <t>Cut_up</t>
        </is>
      </c>
      <c r="B14" s="602" t="n">
        <v>1081</v>
      </c>
      <c r="C14" s="603" t="n"/>
      <c r="D14" s="603" t="inlineStr">
        <is>
          <t>Bulk Pack</t>
        </is>
      </c>
      <c r="E14" s="603" t="inlineStr">
        <is>
          <t>BSB</t>
        </is>
      </c>
      <c r="F14" s="603" t="n"/>
      <c r="G14" s="603" t="n"/>
      <c r="H14" s="603" t="n"/>
      <c r="I14" s="603" t="n"/>
      <c r="J14" s="604" t="n"/>
      <c r="K14" s="607" t="n"/>
      <c r="L14" s="607" t="n"/>
      <c r="M14" s="605" t="n"/>
      <c r="N14" s="606" t="inlineStr">
        <is>
          <t>SILVER</t>
        </is>
      </c>
      <c r="O14" s="603" t="n"/>
      <c r="P14" s="154" t="n"/>
      <c r="R14" s="600">
        <f>_xludf.IFNA(_xlfn.XLOOKUP(Table3[[#This Row],[SKU]],'03_BulkPack_Order'!$A$2:$A$67,'03_BulkPack_Order'!C:C),"")</f>
        <v/>
      </c>
      <c r="S14" s="600">
        <f>IFERROR(R14*1,"")</f>
        <v/>
      </c>
      <c r="T14" s="600">
        <f>_xludf.IFNA(_xlfn.XLOOKUP(Table3[[#This Row],[SKU]],'00_Yield_Rates'!$B$2:$B$17,'00_Yield_Rates'!$E$2:$E$17),"")</f>
        <v/>
      </c>
    </row>
    <row r="15">
      <c r="A15" s="601" t="inlineStr">
        <is>
          <t>Cut_up</t>
        </is>
      </c>
      <c r="B15" s="602" t="n">
        <v>1446</v>
      </c>
      <c r="C15" s="603" t="n"/>
      <c r="D15" s="603" t="inlineStr">
        <is>
          <t>Bulk Pack</t>
        </is>
      </c>
      <c r="E15" s="603" t="inlineStr">
        <is>
          <t>BSB</t>
        </is>
      </c>
      <c r="F15" s="603" t="n"/>
      <c r="G15" s="603" t="n"/>
      <c r="H15" s="603" t="n"/>
      <c r="I15" s="603" t="n"/>
      <c r="J15" s="604" t="n"/>
      <c r="K15" s="607" t="n"/>
      <c r="L15" s="607" t="n"/>
      <c r="M15" s="605" t="n"/>
      <c r="N15" s="606" t="inlineStr">
        <is>
          <t>SILVER</t>
        </is>
      </c>
      <c r="O15" s="603" t="n"/>
      <c r="P15" s="154" t="n"/>
      <c r="R15" s="600">
        <f>_xludf.IFNA(_xlfn.XLOOKUP(Table3[[#This Row],[SKU]],'03_BulkPack_Order'!$A$2:$A$67,'03_BulkPack_Order'!C:C),"")</f>
        <v/>
      </c>
      <c r="S15" s="600">
        <f>IFERROR(R15*1,"")</f>
        <v/>
      </c>
      <c r="T15" s="600">
        <f>_xludf.IFNA(_xlfn.XLOOKUP(Table3[[#This Row],[SKU]],'00_Yield_Rates'!$B$2:$B$17,'00_Yield_Rates'!$E$2:$E$17),"")</f>
        <v/>
      </c>
    </row>
    <row r="16">
      <c r="A16" s="601" t="inlineStr">
        <is>
          <t>Cut_up</t>
        </is>
      </c>
      <c r="B16" s="602" t="n">
        <v>1887</v>
      </c>
      <c r="C16" s="603" t="n"/>
      <c r="D16" s="603" t="inlineStr">
        <is>
          <t>Bulk Pack</t>
        </is>
      </c>
      <c r="E16" s="603" t="inlineStr">
        <is>
          <t>BA</t>
        </is>
      </c>
      <c r="F16" s="603" t="n"/>
      <c r="G16" s="603" t="n"/>
      <c r="H16" s="603" t="n"/>
      <c r="I16" s="603" t="n"/>
      <c r="J16" s="604" t="n"/>
      <c r="K16" s="608" t="n"/>
      <c r="L16" s="608" t="n"/>
      <c r="M16" s="609" t="n"/>
      <c r="N16" s="606" t="inlineStr">
        <is>
          <t>GOLD</t>
        </is>
      </c>
      <c r="O16" s="603" t="n"/>
      <c r="P16" s="154" t="n"/>
      <c r="R16" s="600">
        <f>_xludf.IFNA(_xlfn.XLOOKUP(Table3[[#This Row],[SKU]],'03_BulkPack_Order'!$A$2:$A$67,'03_BulkPack_Order'!C:C),"")</f>
        <v/>
      </c>
      <c r="S16" s="600">
        <f>IFERROR(R16*1,"")</f>
        <v/>
      </c>
      <c r="T16" s="600">
        <f>_xludf.IFNA(_xlfn.XLOOKUP(Table3[[#This Row],[SKU]],'00_Yield_Rates'!$B$2:$B$17,'00_Yield_Rates'!$E$2:$E$17),"")</f>
        <v/>
      </c>
    </row>
    <row r="17">
      <c r="A17" s="601" t="inlineStr">
        <is>
          <t>Cut_up</t>
        </is>
      </c>
      <c r="B17" s="602" t="n">
        <v>1888</v>
      </c>
      <c r="C17" s="603" t="n"/>
      <c r="D17" s="603" t="inlineStr">
        <is>
          <t>Bulk Pack</t>
        </is>
      </c>
      <c r="E17" s="611" t="inlineStr">
        <is>
          <t>SplitBreast</t>
        </is>
      </c>
      <c r="F17" s="603" t="n"/>
      <c r="G17" s="603" t="n"/>
      <c r="H17" s="603" t="n"/>
      <c r="I17" s="603" t="n"/>
      <c r="J17" s="604" t="n"/>
      <c r="K17" s="607" t="n"/>
      <c r="L17" s="607" t="n"/>
      <c r="M17" s="605" t="n"/>
      <c r="N17" s="606" t="inlineStr">
        <is>
          <t>GOLD</t>
        </is>
      </c>
      <c r="O17" s="603" t="n"/>
      <c r="P17" s="154" t="n"/>
      <c r="R17" s="600">
        <f>_xludf.IFNA(_xlfn.XLOOKUP(Table3[[#This Row],[SKU]],'03_BulkPack_Order'!$A$2:$A$67,'03_BulkPack_Order'!C:C),"")</f>
        <v/>
      </c>
      <c r="S17" s="600">
        <f>IFERROR(R17*1,"")</f>
        <v/>
      </c>
      <c r="T17" s="600">
        <f>_xludf.IFNA(_xlfn.XLOOKUP(Table3[[#This Row],[SKU]],'00_Yield_Rates'!$B$2:$B$17,'00_Yield_Rates'!$E$2:$E$17),"")</f>
        <v/>
      </c>
    </row>
    <row r="18">
      <c r="A18" s="601" t="inlineStr">
        <is>
          <t>Cut_up</t>
        </is>
      </c>
      <c r="B18" s="602" t="n">
        <v>1894</v>
      </c>
      <c r="C18" s="603" t="n"/>
      <c r="D18" s="603" t="inlineStr">
        <is>
          <t>Bulk Pack</t>
        </is>
      </c>
      <c r="E18" s="603" t="inlineStr">
        <is>
          <t>BSB</t>
        </is>
      </c>
      <c r="F18" s="603" t="n"/>
      <c r="G18" s="603" t="n"/>
      <c r="H18" s="603" t="n"/>
      <c r="I18" s="603" t="n"/>
      <c r="J18" s="604" t="inlineStr">
        <is>
          <t>MB BSHB RND AC 18KG</t>
        </is>
      </c>
      <c r="K18" s="607" t="n"/>
      <c r="L18" s="607" t="n"/>
      <c r="M18" s="605" t="n"/>
      <c r="N18" s="606" t="inlineStr">
        <is>
          <t>SILVER</t>
        </is>
      </c>
      <c r="O18" s="603" t="n"/>
      <c r="P18" s="154" t="n"/>
      <c r="R18" s="600">
        <f>_xludf.IFNA(_xlfn.XLOOKUP(Table3[[#This Row],[SKU]],'03_BulkPack_Order'!$A$2:$A$67,'03_BulkPack_Order'!C:C),"")</f>
        <v/>
      </c>
      <c r="S18" s="600">
        <f>IFERROR(R18*1,"")</f>
        <v/>
      </c>
      <c r="T18" s="600">
        <f>_xludf.IFNA(_xlfn.XLOOKUP(Table3[[#This Row],[SKU]],'00_Yield_Rates'!$B$2:$B$17,'00_Yield_Rates'!$E$2:$E$17),"")</f>
        <v/>
      </c>
    </row>
    <row r="19">
      <c r="A19" s="601" t="inlineStr">
        <is>
          <t>Cut_up</t>
        </is>
      </c>
      <c r="B19" s="602" t="n">
        <v>2233</v>
      </c>
      <c r="C19" s="603" t="n"/>
      <c r="D19" s="603" t="inlineStr">
        <is>
          <t>Bulk Pack</t>
        </is>
      </c>
      <c r="E19" s="603" t="inlineStr">
        <is>
          <t>SplitWing</t>
        </is>
      </c>
      <c r="F19" s="603" t="n"/>
      <c r="G19" s="603" t="n"/>
      <c r="H19" s="603" t="n"/>
      <c r="I19" s="603" t="n"/>
      <c r="J19" s="604" t="inlineStr">
        <is>
          <t>24839 MB COS SPL WING AC</t>
        </is>
      </c>
      <c r="K19" s="608" t="n"/>
      <c r="L19" s="608" t="n"/>
      <c r="M19" s="609" t="n"/>
      <c r="N19" s="606" t="inlineStr">
        <is>
          <t>GOLD</t>
        </is>
      </c>
      <c r="O19" s="603" t="n"/>
      <c r="P19" s="154" t="n"/>
      <c r="R19" s="600">
        <f>_xludf.IFNA(_xlfn.XLOOKUP(Table3[[#This Row],[SKU]],'03_BulkPack_Order'!$A$2:$A$67,'03_BulkPack_Order'!C:C),"")</f>
        <v/>
      </c>
      <c r="S19" s="600">
        <f>IFERROR(R19*1,"")</f>
        <v/>
      </c>
      <c r="T19" s="600">
        <f>_xludf.IFNA(_xlfn.XLOOKUP(Table3[[#This Row],[SKU]],'00_Yield_Rates'!$B$2:$B$17,'00_Yield_Rates'!$E$2:$E$17),"")</f>
        <v/>
      </c>
    </row>
    <row r="20">
      <c r="A20" s="601" t="inlineStr">
        <is>
          <t>Cut_up</t>
        </is>
      </c>
      <c r="B20" s="602" t="n">
        <v>2235</v>
      </c>
      <c r="C20" s="603" t="n"/>
      <c r="D20" s="603" t="inlineStr">
        <is>
          <t>Bulk Pack</t>
        </is>
      </c>
      <c r="E20" s="603" t="inlineStr">
        <is>
          <t>DRUM</t>
        </is>
      </c>
      <c r="F20" s="603" t="n"/>
      <c r="G20" s="603" t="n"/>
      <c r="H20" s="603" t="n"/>
      <c r="I20" s="603" t="n"/>
      <c r="J20" s="604" t="n"/>
      <c r="K20" s="607" t="n"/>
      <c r="L20" s="607" t="n"/>
      <c r="M20" s="605" t="n"/>
      <c r="N20" s="606" t="inlineStr">
        <is>
          <t>GOLD</t>
        </is>
      </c>
      <c r="O20" s="603" t="n"/>
      <c r="P20" s="154" t="n"/>
      <c r="R20" s="600">
        <f>_xludf.IFNA(_xlfn.XLOOKUP(Table3[[#This Row],[SKU]],'03_BulkPack_Order'!$A$2:$A$67,'03_BulkPack_Order'!C:C),"")</f>
        <v/>
      </c>
      <c r="S20" s="600">
        <f>IFERROR(R20*1,"")</f>
        <v/>
      </c>
      <c r="T20" s="600">
        <f>_xludf.IFNA(_xlfn.XLOOKUP(Table3[[#This Row],[SKU]],'00_Yield_Rates'!$B$2:$B$17,'00_Yield_Rates'!$E$2:$E$17),"")</f>
        <v/>
      </c>
    </row>
    <row r="21">
      <c r="A21" s="601" t="inlineStr">
        <is>
          <t>Cut_up</t>
        </is>
      </c>
      <c r="B21" s="602" t="n">
        <v>2236</v>
      </c>
      <c r="C21" s="603" t="n"/>
      <c r="D21" s="603" t="inlineStr">
        <is>
          <t>Bulk Pack</t>
        </is>
      </c>
      <c r="E21" s="603" t="inlineStr">
        <is>
          <t>BSB</t>
        </is>
      </c>
      <c r="F21" s="603" t="n">
        <v>20</v>
      </c>
      <c r="G21" s="603" t="n"/>
      <c r="H21" s="603" t="n"/>
      <c r="I21" s="603" t="n"/>
      <c r="J21" s="604" t="inlineStr">
        <is>
          <t>17219 MB COS BSHB AC</t>
        </is>
      </c>
      <c r="K21" s="607" t="n"/>
      <c r="L21" s="607" t="n"/>
      <c r="M21" s="605" t="n"/>
      <c r="N21" s="606" t="inlineStr">
        <is>
          <t>PLATINUM</t>
        </is>
      </c>
      <c r="O21" s="603" t="n"/>
      <c r="P21" s="154" t="n"/>
      <c r="R21" s="600">
        <f>_xludf.IFNA(_xlfn.XLOOKUP(Table3[[#This Row],[SKU]],'03_BulkPack_Order'!$A$2:$A$67,'03_BulkPack_Order'!C:C),"")</f>
        <v/>
      </c>
      <c r="S21" s="600">
        <f>IFERROR(R21*1,"")</f>
        <v/>
      </c>
      <c r="T21" s="600">
        <f>_xludf.IFNA(_xlfn.XLOOKUP(Table3[[#This Row],[SKU]],'00_Yield_Rates'!$B$2:$B$17,'00_Yield_Rates'!$E$2:$E$17),"")</f>
        <v/>
      </c>
    </row>
    <row r="22">
      <c r="A22" s="601" t="inlineStr">
        <is>
          <t>Cut_up</t>
        </is>
      </c>
      <c r="B22" s="602" t="n">
        <v>200064</v>
      </c>
      <c r="C22" s="603" t="n"/>
      <c r="D22" s="603" t="inlineStr">
        <is>
          <t>Bulk Pack</t>
        </is>
      </c>
      <c r="E22" s="603" t="inlineStr">
        <is>
          <t>ThighMeat</t>
        </is>
      </c>
      <c r="F22" s="603" t="n">
        <v>5</v>
      </c>
      <c r="G22" s="611" t="n"/>
      <c r="H22" s="611" t="n"/>
      <c r="I22" s="611" t="n"/>
      <c r="J22" s="604" t="inlineStr">
        <is>
          <t>MB HA BSTHIGH AC BG 5KG</t>
        </is>
      </c>
      <c r="K22" s="608" t="n"/>
      <c r="L22" s="608" t="n"/>
      <c r="M22" s="609" t="n"/>
      <c r="N22" s="606" t="inlineStr">
        <is>
          <t>SILVER</t>
        </is>
      </c>
      <c r="O22" s="603" t="n"/>
      <c r="P22" s="154" t="n"/>
      <c r="R22" s="600">
        <f>_xludf.IFNA(_xlfn.XLOOKUP(Table3[[#This Row],[SKU]],'03_BulkPack_Order'!$A$2:$A$67,'03_BulkPack_Order'!C:C),"")</f>
        <v/>
      </c>
      <c r="S22" s="600">
        <f>IFERROR(R22*1,"")</f>
        <v/>
      </c>
      <c r="T22" s="600">
        <f>_xludf.IFNA(_xlfn.XLOOKUP(Table3[[#This Row],[SKU]],'00_Yield_Rates'!$B$2:$B$17,'00_Yield_Rates'!$E$2:$E$17),"")</f>
        <v/>
      </c>
    </row>
    <row r="23">
      <c r="A23" s="601" t="inlineStr">
        <is>
          <t>Cut_up</t>
        </is>
      </c>
      <c r="B23" s="602" t="n">
        <v>200083</v>
      </c>
      <c r="C23" s="603" t="n"/>
      <c r="D23" s="603" t="inlineStr">
        <is>
          <t>Bulk Pack</t>
        </is>
      </c>
      <c r="E23" s="603" t="inlineStr">
        <is>
          <t>SplitBreast</t>
        </is>
      </c>
      <c r="F23" s="603" t="n"/>
      <c r="G23" s="611" t="n"/>
      <c r="H23" s="611" t="n"/>
      <c r="I23" s="611" t="n"/>
      <c r="J23" s="604" t="inlineStr">
        <is>
          <t>MB HA FB BA AC COMBO</t>
        </is>
      </c>
      <c r="K23" s="607" t="n"/>
      <c r="L23" s="607" t="n"/>
      <c r="M23" s="605" t="n"/>
      <c r="N23" s="606" t="inlineStr">
        <is>
          <t>SILVER</t>
        </is>
      </c>
      <c r="O23" s="603" t="n"/>
      <c r="P23" s="154" t="n"/>
      <c r="R23" s="600">
        <f>_xludf.IFNA(_xlfn.XLOOKUP(Table3[[#This Row],[SKU]],'03_BulkPack_Order'!$A$2:$A$67,'03_BulkPack_Order'!C:C),"")</f>
        <v/>
      </c>
      <c r="S23" s="600">
        <f>IFERROR(R23*1,"")</f>
        <v/>
      </c>
      <c r="T23" s="600">
        <f>_xludf.IFNA(_xlfn.XLOOKUP(Table3[[#This Row],[SKU]],'00_Yield_Rates'!$B$2:$B$17,'00_Yield_Rates'!$E$2:$E$17),"")</f>
        <v/>
      </c>
    </row>
    <row r="24">
      <c r="A24" s="601" t="inlineStr">
        <is>
          <t>Cut_up</t>
        </is>
      </c>
      <c r="B24" s="602" t="n">
        <v>200089</v>
      </c>
      <c r="C24" s="603" t="n"/>
      <c r="D24" s="603" t="inlineStr">
        <is>
          <t>Bulk Pack</t>
        </is>
      </c>
      <c r="E24" s="611" t="inlineStr">
        <is>
          <t>SplitBreast</t>
        </is>
      </c>
      <c r="F24" s="603" t="n">
        <v>585</v>
      </c>
      <c r="G24" s="603" t="n"/>
      <c r="H24" s="603" t="n"/>
      <c r="I24" s="603" t="n"/>
      <c r="J24" s="604" t="inlineStr">
        <is>
          <t>MB HA FB AC COMBO</t>
        </is>
      </c>
      <c r="K24" s="607" t="n"/>
      <c r="L24" s="607" t="n"/>
      <c r="M24" s="605" t="n"/>
      <c r="N24" s="606" t="inlineStr">
        <is>
          <t>SILVER</t>
        </is>
      </c>
      <c r="O24" s="603" t="n"/>
      <c r="P24" s="154" t="n"/>
      <c r="R24" s="600">
        <f>_xludf.IFNA(_xlfn.XLOOKUP(Table3[[#This Row],[SKU]],'03_BulkPack_Order'!$A$2:$A$67,'03_BulkPack_Order'!C:C),"")</f>
        <v/>
      </c>
      <c r="S24" s="600">
        <f>IFERROR(R24*1,"")</f>
        <v/>
      </c>
      <c r="T24" s="600">
        <f>_xludf.IFNA(_xlfn.XLOOKUP(Table3[[#This Row],[SKU]],'00_Yield_Rates'!$B$2:$B$17,'00_Yield_Rates'!$E$2:$E$17),"")</f>
        <v/>
      </c>
    </row>
    <row r="25">
      <c r="A25" s="601" t="inlineStr">
        <is>
          <t>Cut_up</t>
        </is>
      </c>
      <c r="B25" s="602" t="n">
        <v>200095</v>
      </c>
      <c r="C25" s="603" t="n"/>
      <c r="D25" s="603" t="inlineStr">
        <is>
          <t>Bulk Pack</t>
        </is>
      </c>
      <c r="E25" s="603" t="inlineStr">
        <is>
          <t>DRUM</t>
        </is>
      </c>
      <c r="F25" s="603" t="n"/>
      <c r="G25" s="603" t="n"/>
      <c r="H25" s="603" t="n"/>
      <c r="I25" s="603" t="n"/>
      <c r="J25" s="604" t="inlineStr">
        <is>
          <t>MS HA DRUM 18KG</t>
        </is>
      </c>
      <c r="K25" s="607" t="n"/>
      <c r="L25" s="607" t="n"/>
      <c r="M25" s="605" t="n"/>
      <c r="N25" s="606" t="inlineStr">
        <is>
          <t>SILVER</t>
        </is>
      </c>
      <c r="O25" s="603" t="n"/>
      <c r="P25" s="154" t="n"/>
      <c r="R25" s="600">
        <f>_xludf.IFNA(_xlfn.XLOOKUP(Table3[[#This Row],[SKU]],'03_BulkPack_Order'!$A$2:$A$67,'03_BulkPack_Order'!C:C),"")</f>
        <v/>
      </c>
      <c r="S25" s="600">
        <f>IFERROR(R25*1,"")</f>
        <v/>
      </c>
      <c r="T25" s="600">
        <f>_xludf.IFNA(_xlfn.XLOOKUP(Table3[[#This Row],[SKU]],'00_Yield_Rates'!$B$2:$B$17,'00_Yield_Rates'!$E$2:$E$17),"")</f>
        <v/>
      </c>
    </row>
    <row r="26">
      <c r="A26" s="601" t="inlineStr">
        <is>
          <t>Cut_up</t>
        </is>
      </c>
      <c r="B26" s="602" t="n">
        <v>200159</v>
      </c>
      <c r="C26" s="603" t="n"/>
      <c r="D26" s="603" t="inlineStr">
        <is>
          <t>Bulk Pack</t>
        </is>
      </c>
      <c r="E26" s="603" t="inlineStr">
        <is>
          <t>BA</t>
        </is>
      </c>
      <c r="F26" s="603" t="n"/>
      <c r="G26" s="603" t="n"/>
      <c r="H26" s="603" t="n"/>
      <c r="I26" s="603" t="n"/>
      <c r="J26" s="604" t="inlineStr">
        <is>
          <t>MS HA LEG BA 18KG</t>
        </is>
      </c>
      <c r="K26" s="607" t="n"/>
      <c r="L26" s="607" t="n"/>
      <c r="M26" s="605" t="n"/>
      <c r="N26" s="606" t="inlineStr">
        <is>
          <t>SILVER</t>
        </is>
      </c>
      <c r="O26" s="603" t="n"/>
      <c r="P26" s="154" t="n"/>
      <c r="R26" s="600">
        <f>_xludf.IFNA(_xlfn.XLOOKUP(Table3[[#This Row],[SKU]],'03_BulkPack_Order'!$A$2:$A$67,'03_BulkPack_Order'!C:C),"")</f>
        <v/>
      </c>
      <c r="S26" s="600">
        <f>IFERROR(R26*1,"")</f>
        <v/>
      </c>
      <c r="T26" s="600">
        <f>_xludf.IFNA(_xlfn.XLOOKUP(Table3[[#This Row],[SKU]],'00_Yield_Rates'!$B$2:$B$17,'00_Yield_Rates'!$E$2:$E$17),"")</f>
        <v/>
      </c>
    </row>
    <row r="27">
      <c r="A27" s="601" t="inlineStr">
        <is>
          <t>Cut_up</t>
        </is>
      </c>
      <c r="B27" s="602" t="n">
        <v>200902</v>
      </c>
      <c r="C27" s="603" t="n"/>
      <c r="D27" s="603" t="inlineStr">
        <is>
          <t>Bulk Pack</t>
        </is>
      </c>
      <c r="E27" s="603" t="inlineStr">
        <is>
          <t>Thigh</t>
        </is>
      </c>
      <c r="F27" s="603" t="n"/>
      <c r="G27" s="603" t="n"/>
      <c r="H27" s="603" t="n"/>
      <c r="I27" s="603" t="n"/>
      <c r="J27" s="604" t="inlineStr">
        <is>
          <t>HA THIGH AC 18KG</t>
        </is>
      </c>
      <c r="K27" s="607" t="n"/>
      <c r="L27" s="607" t="n"/>
      <c r="M27" s="605" t="n"/>
      <c r="N27" s="606" t="inlineStr">
        <is>
          <t>SILVER</t>
        </is>
      </c>
      <c r="O27" s="603" t="n"/>
      <c r="P27" s="154" t="n"/>
      <c r="R27" s="600">
        <f>_xludf.IFNA(_xlfn.XLOOKUP(Table3[[#This Row],[SKU]],'03_BulkPack_Order'!$A$2:$A$67,'03_BulkPack_Order'!C:C),"")</f>
        <v/>
      </c>
      <c r="S27" s="600">
        <f>IFERROR(R27*1,"")</f>
        <v/>
      </c>
      <c r="T27" s="600">
        <f>_xludf.IFNA(_xlfn.XLOOKUP(Table3[[#This Row],[SKU]],'00_Yield_Rates'!$B$2:$B$17,'00_Yield_Rates'!$E$2:$E$17),"")</f>
        <v/>
      </c>
    </row>
    <row r="28">
      <c r="A28" s="601" t="inlineStr">
        <is>
          <t>Cut_up</t>
        </is>
      </c>
      <c r="B28" s="602" t="n">
        <v>200903</v>
      </c>
      <c r="C28" s="603" t="n"/>
      <c r="D28" s="603" t="inlineStr">
        <is>
          <t>Bulk Pack</t>
        </is>
      </c>
      <c r="E28" s="603" t="inlineStr">
        <is>
          <t>BA</t>
        </is>
      </c>
      <c r="F28" s="603" t="n"/>
      <c r="G28" s="603" t="n"/>
      <c r="H28" s="603" t="n"/>
      <c r="I28" s="603" t="n"/>
      <c r="J28" s="604" t="inlineStr">
        <is>
          <t>HA LEG BA AC 18KG</t>
        </is>
      </c>
      <c r="K28" s="607" t="n"/>
      <c r="L28" s="607" t="n"/>
      <c r="M28" s="605" t="n"/>
      <c r="N28" s="606" t="inlineStr">
        <is>
          <t>SILVER</t>
        </is>
      </c>
      <c r="O28" s="603" t="n"/>
      <c r="P28" s="154" t="n"/>
      <c r="R28" s="600">
        <f>_xludf.IFNA(_xlfn.XLOOKUP(Table3[[#This Row],[SKU]],'03_BulkPack_Order'!$A$2:$A$67,'03_BulkPack_Order'!C:C),"")</f>
        <v/>
      </c>
      <c r="S28" s="600">
        <f>IFERROR(R28*1,"")</f>
        <v/>
      </c>
      <c r="T28" s="600">
        <f>_xludf.IFNA(_xlfn.XLOOKUP(Table3[[#This Row],[SKU]],'00_Yield_Rates'!$B$2:$B$17,'00_Yield_Rates'!$E$2:$E$17),"")</f>
        <v/>
      </c>
    </row>
    <row r="29">
      <c r="A29" s="601" t="inlineStr">
        <is>
          <t>Cut_up</t>
        </is>
      </c>
      <c r="B29" s="602" t="n">
        <v>200904</v>
      </c>
      <c r="C29" s="603" t="n"/>
      <c r="D29" s="603" t="inlineStr">
        <is>
          <t>Bulk Pack</t>
        </is>
      </c>
      <c r="E29" s="603" t="inlineStr">
        <is>
          <t>WING</t>
        </is>
      </c>
      <c r="F29" s="603" t="n">
        <v>18</v>
      </c>
      <c r="G29" s="603" t="n"/>
      <c r="H29" s="603" t="n"/>
      <c r="I29" s="603" t="n"/>
      <c r="J29" s="604" t="inlineStr">
        <is>
          <t>MB HA WING AC 18KG</t>
        </is>
      </c>
      <c r="K29" s="607" t="n"/>
      <c r="L29" s="607" t="n"/>
      <c r="M29" s="605" t="n"/>
      <c r="N29" s="606" t="inlineStr">
        <is>
          <t>SILVER</t>
        </is>
      </c>
      <c r="O29" s="603" t="n"/>
      <c r="P29" s="154" t="n"/>
      <c r="R29" s="600">
        <f>_xludf.IFNA(_xlfn.XLOOKUP(Table3[[#This Row],[SKU]],'03_BulkPack_Order'!$A$2:$A$67,'03_BulkPack_Order'!C:C),"")</f>
        <v/>
      </c>
      <c r="S29" s="600">
        <f>IFERROR(R29*1,"")</f>
        <v/>
      </c>
      <c r="T29" s="600">
        <f>_xludf.IFNA(_xlfn.XLOOKUP(Table3[[#This Row],[SKU]],'00_Yield_Rates'!$B$2:$B$17,'00_Yield_Rates'!$E$2:$E$17),"")</f>
        <v/>
      </c>
    </row>
    <row r="30">
      <c r="A30" s="601" t="inlineStr">
        <is>
          <t>Cut_up</t>
        </is>
      </c>
      <c r="B30" s="602" t="n">
        <v>201894</v>
      </c>
      <c r="C30" s="603" t="n"/>
      <c r="D30" s="603" t="inlineStr">
        <is>
          <t>Bulk Pack</t>
        </is>
      </c>
      <c r="E30" s="603" t="inlineStr">
        <is>
          <t>BSB</t>
        </is>
      </c>
      <c r="F30" s="603" t="n">
        <v>18</v>
      </c>
      <c r="G30" s="603" t="n"/>
      <c r="H30" s="603" t="n"/>
      <c r="I30" s="603" t="n"/>
      <c r="J30" s="604" t="inlineStr">
        <is>
          <t>MB HA BSHB RND AC 18KG</t>
        </is>
      </c>
      <c r="K30" s="612" t="n"/>
      <c r="L30" s="612" t="n"/>
      <c r="M30" s="605" t="n"/>
      <c r="N30" s="606" t="inlineStr">
        <is>
          <t>SILVER</t>
        </is>
      </c>
      <c r="O30" s="603" t="n"/>
      <c r="P30" s="154" t="n"/>
      <c r="R30" s="600">
        <f>_xludf.IFNA(_xlfn.XLOOKUP(Table3[[#This Row],[SKU]],'03_BulkPack_Order'!$A$2:$A$67,'03_BulkPack_Order'!C:C),"")</f>
        <v/>
      </c>
      <c r="S30" s="600">
        <f>IFERROR(R30*1,"")</f>
        <v/>
      </c>
      <c r="T30" s="600">
        <f>_xludf.IFNA(_xlfn.XLOOKUP(Table3[[#This Row],[SKU]],'00_Yield_Rates'!$B$2:$B$17,'00_Yield_Rates'!$E$2:$E$17),"")</f>
        <v/>
      </c>
    </row>
    <row r="31">
      <c r="A31" s="601" t="inlineStr">
        <is>
          <t>Cut_up</t>
        </is>
      </c>
      <c r="B31" s="602" t="n">
        <v>201895</v>
      </c>
      <c r="C31" s="603" t="n"/>
      <c r="D31" s="603" t="inlineStr">
        <is>
          <t>Bulk Pack</t>
        </is>
      </c>
      <c r="E31" s="603" t="inlineStr">
        <is>
          <t>BSB</t>
        </is>
      </c>
      <c r="F31" s="603" t="n">
        <v>18</v>
      </c>
      <c r="G31" s="603" t="n"/>
      <c r="H31" s="603" t="n"/>
      <c r="I31" s="603" t="n"/>
      <c r="J31" s="604" t="inlineStr">
        <is>
          <t>MB HA BSHB RND AC 18KG FFF</t>
        </is>
      </c>
      <c r="K31" s="612" t="n"/>
      <c r="L31" s="612" t="n"/>
      <c r="M31" s="605" t="n"/>
      <c r="N31" s="606" t="inlineStr">
        <is>
          <t>SILVER</t>
        </is>
      </c>
      <c r="O31" s="603" t="n"/>
      <c r="P31" s="154" t="n"/>
      <c r="R31" s="600">
        <f>_xludf.IFNA(_xlfn.XLOOKUP(Table3[[#This Row],[SKU]],'03_BulkPack_Order'!$A$2:$A$67,'03_BulkPack_Order'!C:C),"")</f>
        <v/>
      </c>
      <c r="S31" s="600">
        <f>IFERROR(R31*1,"")</f>
        <v/>
      </c>
      <c r="T31" s="600">
        <f>_xludf.IFNA(_xlfn.XLOOKUP(Table3[[#This Row],[SKU]],'00_Yield_Rates'!$B$2:$B$17,'00_Yield_Rates'!$E$2:$E$17),"")</f>
        <v/>
      </c>
    </row>
    <row r="32">
      <c r="A32" s="601" t="inlineStr">
        <is>
          <t>Cut_up</t>
        </is>
      </c>
      <c r="B32" s="602" t="n">
        <v>201899</v>
      </c>
      <c r="C32" s="603" t="n"/>
      <c r="D32" s="603" t="inlineStr">
        <is>
          <t>Bulk Pack</t>
        </is>
      </c>
      <c r="E32" s="603" t="inlineStr">
        <is>
          <t>BSB</t>
        </is>
      </c>
      <c r="F32" s="603" t="n">
        <v>10</v>
      </c>
      <c r="G32" s="603" t="n"/>
      <c r="H32" s="603" t="n"/>
      <c r="I32" s="603" t="n"/>
      <c r="J32" s="604" t="inlineStr">
        <is>
          <t>MB HA BSHB 2ND 10KG</t>
        </is>
      </c>
      <c r="K32" s="608" t="n"/>
      <c r="L32" s="608" t="n"/>
      <c r="M32" s="609" t="n"/>
      <c r="N32" s="606" t="inlineStr">
        <is>
          <t>SILVER</t>
        </is>
      </c>
      <c r="O32" s="603" t="n"/>
      <c r="P32" s="154" t="n"/>
      <c r="R32" s="600">
        <f>_xludf.IFNA(_xlfn.XLOOKUP(Table3[[#This Row],[SKU]],'03_BulkPack_Order'!$A$2:$A$67,'03_BulkPack_Order'!C:C),"")</f>
        <v/>
      </c>
      <c r="S32" s="600">
        <f>IFERROR(R32*1,"")</f>
        <v/>
      </c>
      <c r="T32" s="600">
        <f>_xludf.IFNA(_xlfn.XLOOKUP(Table3[[#This Row],[SKU]],'00_Yield_Rates'!$B$2:$B$17,'00_Yield_Rates'!$E$2:$E$17),"")</f>
        <v/>
      </c>
    </row>
    <row r="33">
      <c r="A33" s="601" t="inlineStr">
        <is>
          <t>Cut_up</t>
        </is>
      </c>
      <c r="B33" s="602" t="n">
        <v>203033</v>
      </c>
      <c r="C33" s="603" t="n"/>
      <c r="D33" s="603" t="inlineStr">
        <is>
          <t>Bulk Pack</t>
        </is>
      </c>
      <c r="E33" s="603" t="inlineStr">
        <is>
          <t>BA</t>
        </is>
      </c>
      <c r="F33" s="603" t="n"/>
      <c r="G33" s="603" t="n"/>
      <c r="H33" s="603" t="n"/>
      <c r="I33" s="603" t="n"/>
      <c r="J33" s="604" t="n"/>
      <c r="K33" s="607" t="n"/>
      <c r="L33" s="607" t="n"/>
      <c r="M33" s="605" t="n"/>
      <c r="N33" s="606" t="inlineStr">
        <is>
          <t>SILVER</t>
        </is>
      </c>
      <c r="O33" s="603" t="n"/>
      <c r="P33" s="154" t="n"/>
      <c r="R33" s="600">
        <f>_xludf.IFNA(_xlfn.XLOOKUP(Table3[[#This Row],[SKU]],'03_BulkPack_Order'!$A$2:$A$67,'03_BulkPack_Order'!C:C),"")</f>
        <v/>
      </c>
      <c r="S33" s="600">
        <f>IFERROR(R33*1,"")</f>
        <v/>
      </c>
      <c r="T33" s="600">
        <f>_xludf.IFNA(_xlfn.XLOOKUP(Table3[[#This Row],[SKU]],'00_Yield_Rates'!$B$2:$B$17,'00_Yield_Rates'!$E$2:$E$17),"")</f>
        <v/>
      </c>
    </row>
    <row r="34">
      <c r="A34" s="601" t="inlineStr">
        <is>
          <t>Cut_up</t>
        </is>
      </c>
      <c r="B34" s="602" t="n">
        <v>203035</v>
      </c>
      <c r="C34" s="603" t="n"/>
      <c r="D34" s="603" t="inlineStr">
        <is>
          <t>Bulk Pack</t>
        </is>
      </c>
      <c r="E34" s="603" t="inlineStr">
        <is>
          <t>SplitWing</t>
        </is>
      </c>
      <c r="F34" s="603" t="n">
        <v>23</v>
      </c>
      <c r="G34" s="603" t="n"/>
      <c r="H34" s="603" t="n"/>
      <c r="I34" s="603" t="n"/>
      <c r="J34" s="604" t="inlineStr">
        <is>
          <t>MB HA SPL WING AC RET 23KG</t>
        </is>
      </c>
      <c r="K34" s="607" t="n"/>
      <c r="L34" s="607" t="n"/>
      <c r="M34" s="605" t="n"/>
      <c r="N34" s="606" t="inlineStr">
        <is>
          <t>PLATINUM</t>
        </is>
      </c>
      <c r="O34" s="603" t="n"/>
      <c r="P34" s="154" t="n"/>
      <c r="R34" s="600">
        <f>_xludf.IFNA(_xlfn.XLOOKUP(Table3[[#This Row],[SKU]],'03_BulkPack_Order'!$A$2:$A$67,'03_BulkPack_Order'!C:C),"")</f>
        <v/>
      </c>
      <c r="S34" s="600">
        <f>IFERROR(R34*1,"")</f>
        <v/>
      </c>
      <c r="T34" s="600">
        <f>_xludf.IFNA(_xlfn.XLOOKUP(Table3[[#This Row],[SKU]],'00_Yield_Rates'!$B$2:$B$17,'00_Yield_Rates'!$E$2:$E$17),"")</f>
        <v/>
      </c>
    </row>
    <row r="35">
      <c r="A35" s="601" t="inlineStr">
        <is>
          <t>Cut_up</t>
        </is>
      </c>
      <c r="B35" s="602" t="n">
        <v>203087</v>
      </c>
      <c r="C35" s="603" t="n"/>
      <c r="D35" s="603" t="inlineStr">
        <is>
          <t>Bulk Pack</t>
        </is>
      </c>
      <c r="E35" s="603" t="inlineStr">
        <is>
          <t>BSB</t>
        </is>
      </c>
      <c r="F35" s="603" t="n"/>
      <c r="G35" s="603" t="n"/>
      <c r="H35" s="603" t="n"/>
      <c r="I35" s="603" t="n"/>
      <c r="J35" s="604" t="n"/>
      <c r="K35" s="607" t="n"/>
      <c r="L35" s="607" t="n"/>
      <c r="M35" s="605" t="n"/>
      <c r="N35" s="606" t="inlineStr">
        <is>
          <t>PLATINUM</t>
        </is>
      </c>
      <c r="O35" s="603" t="n"/>
      <c r="P35" s="154" t="n"/>
      <c r="R35" s="600">
        <f>_xludf.IFNA(_xlfn.XLOOKUP(Table3[[#This Row],[SKU]],'03_BulkPack_Order'!$A$2:$A$67,'03_BulkPack_Order'!C:C),"")</f>
        <v/>
      </c>
      <c r="S35" s="600">
        <f>IFERROR(R35*1,"")</f>
        <v/>
      </c>
      <c r="T35" s="600">
        <f>_xludf.IFNA(_xlfn.XLOOKUP(Table3[[#This Row],[SKU]],'00_Yield_Rates'!$B$2:$B$17,'00_Yield_Rates'!$E$2:$E$17),"")</f>
        <v/>
      </c>
    </row>
    <row r="36">
      <c r="A36" s="601" t="inlineStr">
        <is>
          <t>Cut_up</t>
        </is>
      </c>
      <c r="B36" s="602" t="n">
        <v>203169</v>
      </c>
      <c r="C36" s="603" t="n"/>
      <c r="D36" s="603" t="inlineStr">
        <is>
          <t>Bulk Pack</t>
        </is>
      </c>
      <c r="E36" s="603" t="inlineStr">
        <is>
          <t>BSB</t>
        </is>
      </c>
      <c r="F36" s="603" t="n"/>
      <c r="G36" s="603" t="n"/>
      <c r="H36" s="603" t="n"/>
      <c r="I36" s="603" t="n"/>
      <c r="J36" s="604" t="n"/>
      <c r="K36" s="608" t="n"/>
      <c r="L36" s="608" t="n"/>
      <c r="M36" s="609" t="n"/>
      <c r="N36" s="606" t="inlineStr">
        <is>
          <t>SILVER</t>
        </is>
      </c>
      <c r="O36" s="603" t="n"/>
      <c r="P36" s="154" t="n"/>
      <c r="R36" s="600">
        <f>_xludf.IFNA(_xlfn.XLOOKUP(Table3[[#This Row],[SKU]],'03_BulkPack_Order'!$A$2:$A$67,'03_BulkPack_Order'!C:C),"")</f>
        <v/>
      </c>
      <c r="S36" s="600">
        <f>IFERROR(R36*1,"")</f>
        <v/>
      </c>
      <c r="T36" s="600">
        <f>_xludf.IFNA(_xlfn.XLOOKUP(Table3[[#This Row],[SKU]],'00_Yield_Rates'!$B$2:$B$17,'00_Yield_Rates'!$E$2:$E$17),"")</f>
        <v/>
      </c>
    </row>
    <row r="37">
      <c r="A37" s="601" t="inlineStr">
        <is>
          <t>Cut_up</t>
        </is>
      </c>
      <c r="B37" s="602" t="n">
        <v>203171</v>
      </c>
      <c r="C37" s="603" t="n"/>
      <c r="D37" s="603" t="inlineStr">
        <is>
          <t>Bulk Pack</t>
        </is>
      </c>
      <c r="E37" s="603" t="inlineStr">
        <is>
          <t>DRUM</t>
        </is>
      </c>
      <c r="F37" s="603" t="n"/>
      <c r="G37" s="603" t="n"/>
      <c r="H37" s="603" t="n"/>
      <c r="I37" s="603" t="n"/>
      <c r="J37" s="604" t="n"/>
      <c r="K37" s="607" t="n"/>
      <c r="L37" s="607" t="n"/>
      <c r="M37" s="605" t="n"/>
      <c r="N37" s="606" t="inlineStr">
        <is>
          <t>SILVER</t>
        </is>
      </c>
      <c r="O37" s="603" t="n"/>
      <c r="P37" s="154" t="n"/>
      <c r="R37" s="600">
        <f>_xludf.IFNA(_xlfn.XLOOKUP(Table3[[#This Row],[SKU]],'03_BulkPack_Order'!$A$2:$A$67,'03_BulkPack_Order'!C:C),"")</f>
        <v/>
      </c>
      <c r="S37" s="600">
        <f>IFERROR(R37*1,"")</f>
        <v/>
      </c>
      <c r="T37" s="600">
        <f>_xludf.IFNA(_xlfn.XLOOKUP(Table3[[#This Row],[SKU]],'00_Yield_Rates'!$B$2:$B$17,'00_Yield_Rates'!$E$2:$E$17),"")</f>
        <v/>
      </c>
    </row>
    <row r="38">
      <c r="A38" s="601" t="inlineStr">
        <is>
          <t>Cut_up</t>
        </is>
      </c>
      <c r="B38" s="602" t="n">
        <v>203172</v>
      </c>
      <c r="C38" s="603" t="n"/>
      <c r="D38" s="603" t="inlineStr">
        <is>
          <t>Bulk Pack</t>
        </is>
      </c>
      <c r="E38" s="603" t="inlineStr">
        <is>
          <t>WING</t>
        </is>
      </c>
      <c r="F38" s="603" t="n">
        <v>25</v>
      </c>
      <c r="G38" s="603" t="n"/>
      <c r="H38" s="603" t="n"/>
      <c r="I38" s="603" t="n"/>
      <c r="J38" s="604" t="inlineStr">
        <is>
          <t>MS HA WING RET 25KG</t>
        </is>
      </c>
      <c r="K38" s="607" t="n"/>
      <c r="L38" s="607" t="n"/>
      <c r="M38" s="605" t="n"/>
      <c r="N38" s="606" t="inlineStr">
        <is>
          <t>SILVER</t>
        </is>
      </c>
      <c r="O38" s="603" t="n"/>
      <c r="P38" s="154" t="n"/>
      <c r="R38" s="600">
        <f>_xludf.IFNA(_xlfn.XLOOKUP(Table3[[#This Row],[SKU]],'03_BulkPack_Order'!$A$2:$A$67,'03_BulkPack_Order'!C:C),"")</f>
        <v/>
      </c>
      <c r="S38" s="600">
        <f>IFERROR(R38*1,"")</f>
        <v/>
      </c>
      <c r="T38" s="600">
        <f>_xludf.IFNA(_xlfn.XLOOKUP(Table3[[#This Row],[SKU]],'00_Yield_Rates'!$B$2:$B$17,'00_Yield_Rates'!$E$2:$E$17),"")</f>
        <v/>
      </c>
    </row>
    <row r="39">
      <c r="A39" s="601" t="inlineStr">
        <is>
          <t>Cut_up</t>
        </is>
      </c>
      <c r="B39" s="602" t="n">
        <v>203173</v>
      </c>
      <c r="C39" s="603" t="n"/>
      <c r="D39" s="603" t="inlineStr">
        <is>
          <t>Bulk Pack</t>
        </is>
      </c>
      <c r="E39" s="603" t="inlineStr">
        <is>
          <t>SplitWing</t>
        </is>
      </c>
      <c r="F39" s="603" t="n"/>
      <c r="G39" s="603" t="n"/>
      <c r="H39" s="603" t="n"/>
      <c r="I39" s="603" t="n"/>
      <c r="J39" s="604" t="inlineStr">
        <is>
          <t>MS HA SPL WING RET 25KG</t>
        </is>
      </c>
      <c r="K39" s="607" t="n"/>
      <c r="L39" s="607" t="n"/>
      <c r="M39" s="605" t="n"/>
      <c r="N39" s="606" t="inlineStr">
        <is>
          <t>SILVER</t>
        </is>
      </c>
      <c r="O39" s="603" t="n"/>
      <c r="P39" s="154" t="n"/>
      <c r="R39" s="600">
        <f>_xludf.IFNA(_xlfn.XLOOKUP(Table3[[#This Row],[SKU]],'03_BulkPack_Order'!$A$2:$A$67,'03_BulkPack_Order'!C:C),"")</f>
        <v/>
      </c>
      <c r="S39" s="600">
        <f>IFERROR(R39*1,"")</f>
        <v/>
      </c>
      <c r="T39" s="600">
        <f>_xludf.IFNA(_xlfn.XLOOKUP(Table3[[#This Row],[SKU]],'00_Yield_Rates'!$B$2:$B$17,'00_Yield_Rates'!$E$2:$E$17),"")</f>
        <v/>
      </c>
    </row>
    <row r="40">
      <c r="A40" s="601" t="inlineStr">
        <is>
          <t>Cut_up</t>
        </is>
      </c>
      <c r="B40" s="602" t="n">
        <v>203174</v>
      </c>
      <c r="C40" s="603" t="n"/>
      <c r="D40" s="603" t="inlineStr">
        <is>
          <t>Bulk Pack</t>
        </is>
      </c>
      <c r="E40" s="603" t="inlineStr">
        <is>
          <t>ThighMeat</t>
        </is>
      </c>
      <c r="F40" s="603" t="n"/>
      <c r="G40" s="603" t="n"/>
      <c r="H40" s="603" t="n"/>
      <c r="I40" s="603" t="n"/>
      <c r="J40" s="604" t="n"/>
      <c r="K40" s="607" t="n"/>
      <c r="L40" s="607" t="n"/>
      <c r="M40" s="605" t="n"/>
      <c r="N40" s="606" t="inlineStr">
        <is>
          <t>SILVER</t>
        </is>
      </c>
      <c r="O40" s="603" t="n"/>
      <c r="P40" s="154" t="n"/>
      <c r="R40" s="600">
        <f>_xludf.IFNA(_xlfn.XLOOKUP(Table3[[#This Row],[SKU]],'03_BulkPack_Order'!$A$2:$A$67,'03_BulkPack_Order'!C:C),"")</f>
        <v/>
      </c>
      <c r="S40" s="600">
        <f>IFERROR(R40*1,"")</f>
        <v/>
      </c>
      <c r="T40" s="600">
        <f>_xludf.IFNA(_xlfn.XLOOKUP(Table3[[#This Row],[SKU]],'00_Yield_Rates'!$B$2:$B$17,'00_Yield_Rates'!$E$2:$E$17),"")</f>
        <v/>
      </c>
    </row>
    <row r="41">
      <c r="A41" s="601" t="inlineStr">
        <is>
          <t>Cut_up</t>
        </is>
      </c>
      <c r="B41" s="602" t="n">
        <v>203175</v>
      </c>
      <c r="C41" s="603" t="n"/>
      <c r="D41" s="603" t="inlineStr">
        <is>
          <t>Bulk Pack</t>
        </is>
      </c>
      <c r="E41" s="603" t="inlineStr">
        <is>
          <t>Thigh</t>
        </is>
      </c>
      <c r="F41" s="603" t="n"/>
      <c r="G41" s="603" t="n"/>
      <c r="H41" s="603" t="n"/>
      <c r="I41" s="603" t="n"/>
      <c r="J41" s="604" t="n"/>
      <c r="K41" s="607" t="n"/>
      <c r="L41" s="607" t="n"/>
      <c r="M41" s="605" t="n"/>
      <c r="N41" s="606" t="inlineStr">
        <is>
          <t>SILVER</t>
        </is>
      </c>
      <c r="O41" s="603" t="n"/>
      <c r="P41" s="154" t="n"/>
      <c r="R41" s="600">
        <f>_xludf.IFNA(_xlfn.XLOOKUP(Table3[[#This Row],[SKU]],'03_BulkPack_Order'!$A$2:$A$67,'03_BulkPack_Order'!C:C),"")</f>
        <v/>
      </c>
      <c r="S41" s="600">
        <f>IFERROR(R41*1,"")</f>
        <v/>
      </c>
      <c r="T41" s="600">
        <f>_xludf.IFNA(_xlfn.XLOOKUP(Table3[[#This Row],[SKU]],'00_Yield_Rates'!$B$2:$B$17,'00_Yield_Rates'!$E$2:$E$17),"")</f>
        <v/>
      </c>
    </row>
    <row r="42">
      <c r="A42" s="601" t="inlineStr">
        <is>
          <t>Cut_up</t>
        </is>
      </c>
      <c r="B42" s="610" t="n">
        <v>203193</v>
      </c>
      <c r="C42" s="603" t="n"/>
      <c r="D42" s="603" t="inlineStr">
        <is>
          <t>Bulk Pack</t>
        </is>
      </c>
      <c r="E42" s="603" t="inlineStr">
        <is>
          <t>SplitWing</t>
        </is>
      </c>
      <c r="F42" s="605" t="n">
        <v>25</v>
      </c>
      <c r="G42" s="603" t="n"/>
      <c r="H42" s="603" t="n"/>
      <c r="I42" s="603" t="n"/>
      <c r="J42" s="604" t="inlineStr">
        <is>
          <t>MB HA WINGLET AC 25 KG RET</t>
        </is>
      </c>
      <c r="K42" s="607" t="n"/>
      <c r="L42" s="607" t="n"/>
      <c r="M42" s="605" t="n"/>
      <c r="N42" s="606" t="inlineStr">
        <is>
          <t>SILVER</t>
        </is>
      </c>
      <c r="O42" s="603" t="n"/>
      <c r="P42" s="154" t="n"/>
      <c r="R42" s="600">
        <f>_xludf.IFNA(_xlfn.XLOOKUP(Table3[[#This Row],[SKU]],'03_BulkPack_Order'!$A$2:$A$67,'03_BulkPack_Order'!C:C),"")</f>
        <v/>
      </c>
      <c r="S42" s="600">
        <f>IFERROR(R42*1,"")</f>
        <v/>
      </c>
      <c r="T42" s="600">
        <f>_xludf.IFNA(_xlfn.XLOOKUP(Table3[[#This Row],[SKU]],'00_Yield_Rates'!$B$2:$B$17,'00_Yield_Rates'!$E$2:$E$17),"")</f>
        <v/>
      </c>
    </row>
    <row r="43">
      <c r="A43" s="601" t="inlineStr">
        <is>
          <t>Cut_up</t>
        </is>
      </c>
      <c r="B43" s="602" t="n">
        <v>203194</v>
      </c>
      <c r="C43" s="603" t="n"/>
      <c r="D43" s="603" t="inlineStr">
        <is>
          <t>Bulk Pack</t>
        </is>
      </c>
      <c r="E43" s="603" t="inlineStr">
        <is>
          <t>SplitWing</t>
        </is>
      </c>
      <c r="F43" s="603" t="n">
        <v>25</v>
      </c>
      <c r="G43" s="603" t="n"/>
      <c r="H43" s="603" t="n"/>
      <c r="I43" s="603" t="n"/>
      <c r="J43" s="604" t="inlineStr">
        <is>
          <t>MB HA DRUMETTE AC 25 KG RET</t>
        </is>
      </c>
      <c r="K43" s="607" t="n"/>
      <c r="L43" s="607" t="n"/>
      <c r="M43" s="605" t="n"/>
      <c r="N43" s="606" t="inlineStr">
        <is>
          <t>SILVER</t>
        </is>
      </c>
      <c r="O43" s="603" t="n"/>
      <c r="P43" s="154" t="n"/>
      <c r="R43" s="600">
        <f>_xludf.IFNA(_xlfn.XLOOKUP(Table3[[#This Row],[SKU]],'03_BulkPack_Order'!$A$2:$A$67,'03_BulkPack_Order'!C:C),"")</f>
        <v/>
      </c>
      <c r="S43" s="600">
        <f>IFERROR(R43*1,"")</f>
        <v/>
      </c>
      <c r="T43" s="600">
        <f>_xludf.IFNA(_xlfn.XLOOKUP(Table3[[#This Row],[SKU]],'00_Yield_Rates'!$B$2:$B$17,'00_Yield_Rates'!$E$2:$E$17),"")</f>
        <v/>
      </c>
    </row>
    <row r="44">
      <c r="A44" s="601" t="inlineStr">
        <is>
          <t>Cut_up</t>
        </is>
      </c>
      <c r="B44" s="602" t="n">
        <v>203624</v>
      </c>
      <c r="C44" s="603" t="n"/>
      <c r="D44" s="603" t="inlineStr">
        <is>
          <t>Bulk Pack</t>
        </is>
      </c>
      <c r="E44" s="611" t="inlineStr">
        <is>
          <t>FAT</t>
        </is>
      </c>
      <c r="F44" s="603" t="n">
        <v>25</v>
      </c>
      <c r="G44" s="603" t="n"/>
      <c r="H44" s="603" t="n"/>
      <c r="I44" s="603" t="n"/>
      <c r="J44" s="604" t="inlineStr">
        <is>
          <t>MS HA FFP FAT RET 25KG</t>
        </is>
      </c>
      <c r="K44" s="607" t="n"/>
      <c r="L44" s="607" t="n"/>
      <c r="M44" s="605" t="n"/>
      <c r="N44" s="606" t="inlineStr">
        <is>
          <t>SILVER</t>
        </is>
      </c>
      <c r="O44" s="603" t="n"/>
      <c r="P44" s="154" t="n"/>
      <c r="R44" s="600">
        <f>_xludf.IFNA(_xlfn.XLOOKUP(Table3[[#This Row],[SKU]],'03_BulkPack_Order'!$A$2:$A$67,'03_BulkPack_Order'!C:C),"")</f>
        <v/>
      </c>
      <c r="S44" s="600">
        <f>IFERROR(R44*1,"")</f>
        <v/>
      </c>
      <c r="T44" s="600">
        <f>_xludf.IFNA(_xlfn.XLOOKUP(Table3[[#This Row],[SKU]],'00_Yield_Rates'!$B$2:$B$17,'00_Yield_Rates'!$E$2:$E$17),"")</f>
        <v/>
      </c>
    </row>
    <row r="45">
      <c r="A45" s="601" t="inlineStr">
        <is>
          <t>Cut_up</t>
        </is>
      </c>
      <c r="B45" s="602" t="n">
        <v>203839</v>
      </c>
      <c r="C45" s="603" t="n"/>
      <c r="D45" s="603" t="inlineStr">
        <is>
          <t>Bulk Pack</t>
        </is>
      </c>
      <c r="E45" s="603" t="inlineStr">
        <is>
          <t>ThighMeat</t>
        </is>
      </c>
      <c r="F45" s="603" t="n"/>
      <c r="G45" s="603" t="n"/>
      <c r="H45" s="603" t="n"/>
      <c r="I45" s="603" t="n"/>
      <c r="J45" s="604" t="n"/>
      <c r="K45" s="607" t="n"/>
      <c r="L45" s="607" t="n"/>
      <c r="M45" s="605" t="n"/>
      <c r="N45" s="606" t="inlineStr">
        <is>
          <t>SILVER</t>
        </is>
      </c>
      <c r="O45" s="603" t="n"/>
      <c r="P45" s="154" t="n"/>
      <c r="R45" s="600">
        <f>_xludf.IFNA(_xlfn.XLOOKUP(Table3[[#This Row],[SKU]],'03_BulkPack_Order'!$A$2:$A$67,'03_BulkPack_Order'!C:C),"")</f>
        <v/>
      </c>
      <c r="S45" s="600">
        <f>IFERROR(R45*1,"")</f>
        <v/>
      </c>
      <c r="T45" s="600">
        <f>_xludf.IFNA(_xlfn.XLOOKUP(Table3[[#This Row],[SKU]],'00_Yield_Rates'!$B$2:$B$17,'00_Yield_Rates'!$E$2:$E$17),"")</f>
        <v/>
      </c>
    </row>
    <row r="46">
      <c r="A46" s="601" t="inlineStr">
        <is>
          <t>Cut_up</t>
        </is>
      </c>
      <c r="B46" s="602" t="n">
        <v>203846</v>
      </c>
      <c r="C46" s="603" t="n"/>
      <c r="D46" s="603" t="inlineStr">
        <is>
          <t>Bulk Pack</t>
        </is>
      </c>
      <c r="E46" s="603" t="inlineStr">
        <is>
          <t>SplitBreast</t>
        </is>
      </c>
      <c r="F46" s="603" t="n"/>
      <c r="G46" s="603" t="n"/>
      <c r="H46" s="603" t="n"/>
      <c r="I46" s="603" t="n"/>
      <c r="J46" s="604" t="n"/>
      <c r="K46" s="607" t="n"/>
      <c r="L46" s="607" t="n"/>
      <c r="M46" s="605" t="n"/>
      <c r="N46" s="606" t="inlineStr">
        <is>
          <t>SILVER</t>
        </is>
      </c>
      <c r="O46" s="603" t="n"/>
      <c r="P46" s="154" t="n"/>
      <c r="R46" s="600">
        <f>_xludf.IFNA(_xlfn.XLOOKUP(Table3[[#This Row],[SKU]],'03_BulkPack_Order'!$A$2:$A$67,'03_BulkPack_Order'!C:C),"")</f>
        <v/>
      </c>
      <c r="S46" s="600">
        <f>IFERROR(R46*1,"")</f>
        <v/>
      </c>
      <c r="T46" s="600">
        <f>_xludf.IFNA(_xlfn.XLOOKUP(Table3[[#This Row],[SKU]],'00_Yield_Rates'!$B$2:$B$17,'00_Yield_Rates'!$E$2:$E$17),"")</f>
        <v/>
      </c>
    </row>
    <row r="47">
      <c r="A47" s="613" t="inlineStr">
        <is>
          <t>Cut_up</t>
        </is>
      </c>
      <c r="B47" s="614" t="n">
        <v>61010</v>
      </c>
      <c r="C47" s="615" t="n"/>
      <c r="D47" s="615" t="inlineStr">
        <is>
          <t>WIP</t>
        </is>
      </c>
      <c r="E47" s="615" t="inlineStr">
        <is>
          <t>WING</t>
        </is>
      </c>
      <c r="F47" s="615" t="n"/>
      <c r="G47" s="615" t="n"/>
      <c r="H47" s="615" t="n"/>
      <c r="I47" s="615" t="n"/>
      <c r="J47" s="616" t="inlineStr">
        <is>
          <t>MS WIP AC WINGS WHOLE</t>
        </is>
      </c>
      <c r="K47" s="617" t="n"/>
      <c r="L47" s="617" t="n"/>
      <c r="M47" s="618" t="n"/>
      <c r="N47" s="619" t="inlineStr">
        <is>
          <t>SILVER</t>
        </is>
      </c>
      <c r="O47" s="615" t="n"/>
      <c r="P47" s="154" t="n"/>
      <c r="R47" s="600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600">
        <f>_xludf.IFNA(_xlfn.XLOOKUP(Table3[[#This Row],[SKU]],'00_Yield_Rates'!$B$2:$B$17,'00_Yield_Rates'!$E$2:$E$17),"")</f>
        <v/>
      </c>
    </row>
    <row r="48">
      <c r="A48" s="613" t="inlineStr">
        <is>
          <t>Cut_up</t>
        </is>
      </c>
      <c r="B48" s="614" t="n">
        <v>61014</v>
      </c>
      <c r="C48" s="615" t="n"/>
      <c r="D48" s="615" t="inlineStr">
        <is>
          <t>WIP</t>
        </is>
      </c>
      <c r="E48" s="615" t="inlineStr">
        <is>
          <t>SplitWing</t>
        </is>
      </c>
      <c r="F48" s="615" t="n"/>
      <c r="G48" s="615" t="n"/>
      <c r="H48" s="615" t="n"/>
      <c r="I48" s="615" t="n"/>
      <c r="J48" s="616" t="inlineStr">
        <is>
          <t>MS WIP AC WINGS SPLIT</t>
        </is>
      </c>
      <c r="K48" s="620" t="n"/>
      <c r="L48" s="620" t="n"/>
      <c r="M48" s="621" t="n"/>
      <c r="N48" s="619" t="inlineStr">
        <is>
          <t>PLATINUM</t>
        </is>
      </c>
      <c r="O48" s="615" t="n"/>
      <c r="P48" s="154" t="n"/>
      <c r="R48" s="600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600">
        <f>_xludf.IFNA(_xlfn.XLOOKUP(Table3[[#This Row],[SKU]],'00_Yield_Rates'!$B$2:$B$17,'00_Yield_Rates'!$E$2:$E$17),"")</f>
        <v/>
      </c>
    </row>
    <row r="49">
      <c r="A49" s="613" t="inlineStr">
        <is>
          <t>Cut_up</t>
        </is>
      </c>
      <c r="B49" s="614" t="n">
        <v>61016</v>
      </c>
      <c r="C49" s="615" t="n"/>
      <c r="D49" s="615" t="inlineStr">
        <is>
          <t>WIP</t>
        </is>
      </c>
      <c r="E49" s="615" t="inlineStr">
        <is>
          <t>SplitWing</t>
        </is>
      </c>
      <c r="F49" s="615" t="n"/>
      <c r="G49" s="615" t="n"/>
      <c r="H49" s="615" t="n"/>
      <c r="I49" s="615" t="n"/>
      <c r="J49" s="616" t="inlineStr">
        <is>
          <t>MS WIP AC RWA SPLIT WINGS</t>
        </is>
      </c>
      <c r="K49" s="620" t="n"/>
      <c r="L49" s="620" t="n"/>
      <c r="M49" s="621" t="n"/>
      <c r="N49" s="619" t="inlineStr">
        <is>
          <t>PLATINUM</t>
        </is>
      </c>
      <c r="O49" s="615" t="n"/>
      <c r="P49" s="154" t="n"/>
      <c r="R49" s="600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600">
        <f>_xludf.IFNA(_xlfn.XLOOKUP(Table3[[#This Row],[SKU]],'00_Yield_Rates'!$B$2:$B$17,'00_Yield_Rates'!$E$2:$E$17),"")</f>
        <v/>
      </c>
    </row>
    <row r="50">
      <c r="A50" s="613" t="inlineStr">
        <is>
          <t>Cut_up</t>
        </is>
      </c>
      <c r="B50" s="614" t="n">
        <v>61018</v>
      </c>
      <c r="C50" s="615" t="n"/>
      <c r="D50" s="615" t="inlineStr">
        <is>
          <t>WIP</t>
        </is>
      </c>
      <c r="E50" s="615" t="inlineStr">
        <is>
          <t>WING</t>
        </is>
      </c>
      <c r="F50" s="615" t="n"/>
      <c r="G50" s="615" t="n"/>
      <c r="H50" s="615" t="n"/>
      <c r="I50" s="615" t="n"/>
      <c r="J50" s="616" t="inlineStr">
        <is>
          <t>MS WIP AC WINGS WHOLE CAGE</t>
        </is>
      </c>
      <c r="K50" s="622" t="n"/>
      <c r="L50" s="622" t="n"/>
      <c r="M50" s="621" t="n"/>
      <c r="N50" s="615" t="inlineStr">
        <is>
          <t>SILVER</t>
        </is>
      </c>
      <c r="O50" s="615" t="n"/>
      <c r="P50" s="154" t="n"/>
      <c r="R50" s="600">
        <f>_xludf.IFNA(_xlfn.XLOOKUP(Table3[[#This Row],[SKU]],'03_BulkPack_Order'!$A$2:$A$67,'03_BulkPack_Order'!C:C),"")</f>
        <v/>
      </c>
      <c r="S50" s="175" t="n"/>
      <c r="T50" s="600">
        <f>_xludf.IFNA(_xlfn.XLOOKUP(Table3[[#This Row],[SKU]],'00_Yield_Rates'!$B$2:$B$17,'00_Yield_Rates'!$E$2:$E$17),"")</f>
        <v/>
      </c>
    </row>
    <row r="51">
      <c r="A51" s="613" t="inlineStr">
        <is>
          <t>Cut_up</t>
        </is>
      </c>
      <c r="B51" s="614" t="n">
        <v>61040</v>
      </c>
      <c r="C51" s="615" t="n"/>
      <c r="D51" s="615" t="inlineStr">
        <is>
          <t>WIP</t>
        </is>
      </c>
      <c r="E51" s="623" t="inlineStr">
        <is>
          <t>SplitBreast</t>
        </is>
      </c>
      <c r="F51" s="615" t="n"/>
      <c r="G51" s="615" t="n"/>
      <c r="H51" s="615" t="n"/>
      <c r="I51" s="615" t="n"/>
      <c r="J51" s="616" t="inlineStr">
        <is>
          <t>MS WIP AC BREAST BACK OFF SPLIT</t>
        </is>
      </c>
      <c r="K51" s="620" t="n"/>
      <c r="L51" s="620" t="n"/>
      <c r="M51" s="621" t="n"/>
      <c r="N51" s="619" t="inlineStr">
        <is>
          <t>SILVER</t>
        </is>
      </c>
      <c r="O51" s="615" t="n"/>
      <c r="P51" s="154" t="n"/>
      <c r="R51" s="600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600">
        <f>_xludf.IFNA(_xlfn.XLOOKUP(Table3[[#This Row],[SKU]],'00_Yield_Rates'!$B$2:$B$17,'00_Yield_Rates'!$E$2:$E$17),"")</f>
        <v/>
      </c>
    </row>
    <row r="52">
      <c r="A52" s="613" t="inlineStr">
        <is>
          <t>Cut_up</t>
        </is>
      </c>
      <c r="B52" s="614" t="n">
        <v>61042</v>
      </c>
      <c r="C52" s="615" t="n"/>
      <c r="D52" s="615" t="inlineStr">
        <is>
          <t>WIP</t>
        </is>
      </c>
      <c r="E52" s="623" t="inlineStr">
        <is>
          <t>SplitBreast</t>
        </is>
      </c>
      <c r="F52" s="615" t="n"/>
      <c r="G52" s="615" t="n"/>
      <c r="H52" s="615" t="n"/>
      <c r="I52" s="615" t="n"/>
      <c r="J52" s="616" t="inlineStr">
        <is>
          <t>MS WIP AC RWA BREAST BACK OFF SPLIT</t>
        </is>
      </c>
      <c r="K52" s="620" t="n"/>
      <c r="L52" s="620" t="n"/>
      <c r="M52" s="621" t="n"/>
      <c r="N52" s="619" t="inlineStr">
        <is>
          <t>PLATINUM</t>
        </is>
      </c>
      <c r="O52" s="615" t="n"/>
      <c r="P52" s="154" t="n"/>
      <c r="R52" s="600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600">
        <f>_xludf.IFNA(_xlfn.XLOOKUP(Table3[[#This Row],[SKU]],'00_Yield_Rates'!$B$2:$B$17,'00_Yield_Rates'!$E$2:$E$17),"")</f>
        <v/>
      </c>
    </row>
    <row r="53">
      <c r="A53" s="613" t="inlineStr">
        <is>
          <t>Cut_up</t>
        </is>
      </c>
      <c r="B53" s="614" t="n">
        <v>61048</v>
      </c>
      <c r="C53" s="615" t="n"/>
      <c r="D53" s="615" t="inlineStr">
        <is>
          <t>WIP</t>
        </is>
      </c>
      <c r="E53" s="615" t="inlineStr">
        <is>
          <t>SplitBreast</t>
        </is>
      </c>
      <c r="F53" s="615" t="n"/>
      <c r="G53" s="615" t="n"/>
      <c r="H53" s="615" t="n"/>
      <c r="I53" s="615" t="n"/>
      <c r="J53" s="616" t="inlineStr">
        <is>
          <t>MS WIP AC BREAST BACK OFF SPLIT SKNLS</t>
        </is>
      </c>
      <c r="K53" s="620" t="n"/>
      <c r="L53" s="620" t="n"/>
      <c r="M53" s="621" t="n"/>
      <c r="N53" s="619" t="inlineStr">
        <is>
          <t>SILVER</t>
        </is>
      </c>
      <c r="O53" s="615" t="n"/>
      <c r="P53" s="154" t="n"/>
      <c r="R53" s="600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600">
        <f>_xludf.IFNA(_xlfn.XLOOKUP(Table3[[#This Row],[SKU]],'00_Yield_Rates'!$B$2:$B$17,'00_Yield_Rates'!$E$2:$E$17),"")</f>
        <v/>
      </c>
    </row>
    <row r="54">
      <c r="A54" s="613" t="inlineStr">
        <is>
          <t>Cut_up</t>
        </is>
      </c>
      <c r="B54" s="614" t="n">
        <v>61049</v>
      </c>
      <c r="C54" s="615" t="n"/>
      <c r="D54" s="615" t="inlineStr">
        <is>
          <t>WIP</t>
        </is>
      </c>
      <c r="E54" s="623" t="inlineStr">
        <is>
          <t>SplitBreast</t>
        </is>
      </c>
      <c r="F54" s="615" t="n"/>
      <c r="G54" s="615" t="n"/>
      <c r="H54" s="615" t="n"/>
      <c r="I54" s="615" t="n"/>
      <c r="J54" s="616" t="inlineStr">
        <is>
          <t>MS WIP AC RWA BREAST BACK SKNLS OFF SPLIT</t>
        </is>
      </c>
      <c r="K54" s="617" t="n"/>
      <c r="L54" s="617" t="n"/>
      <c r="M54" s="618" t="n"/>
      <c r="N54" s="619" t="inlineStr">
        <is>
          <t>PLATINUM</t>
        </is>
      </c>
      <c r="O54" s="615" t="n"/>
      <c r="P54" s="154" t="n"/>
      <c r="R54" s="600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600">
        <f>_xludf.IFNA(_xlfn.XLOOKUP(Table3[[#This Row],[SKU]],'00_Yield_Rates'!$B$2:$B$17,'00_Yield_Rates'!$E$2:$E$17),"")</f>
        <v/>
      </c>
    </row>
    <row r="55">
      <c r="A55" s="613" t="inlineStr">
        <is>
          <t>Cut_up</t>
        </is>
      </c>
      <c r="B55" s="614" t="n">
        <v>61050</v>
      </c>
      <c r="C55" s="615" t="n"/>
      <c r="D55" s="615" t="inlineStr">
        <is>
          <t>WIP</t>
        </is>
      </c>
      <c r="E55" s="615" t="inlineStr">
        <is>
          <t>BSB</t>
        </is>
      </c>
      <c r="F55" s="615" t="n"/>
      <c r="G55" s="615" t="n"/>
      <c r="H55" s="615" t="n"/>
      <c r="I55" s="615" t="n"/>
      <c r="J55" s="616" t="inlineStr">
        <is>
          <t>MS WIP AC BREAST MEAT W/FILLET</t>
        </is>
      </c>
      <c r="K55" s="617" t="n"/>
      <c r="L55" s="617" t="n"/>
      <c r="M55" s="618" t="n"/>
      <c r="N55" s="619" t="inlineStr">
        <is>
          <t>PLATINUM</t>
        </is>
      </c>
      <c r="O55" s="615" t="n"/>
      <c r="P55" s="154" t="n"/>
      <c r="R55" s="600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600">
        <f>_xludf.IFNA(_xlfn.XLOOKUP(Table3[[#This Row],[SKU]],'00_Yield_Rates'!$B$2:$B$17,'00_Yield_Rates'!$E$2:$E$17),"")</f>
        <v/>
      </c>
    </row>
    <row r="56">
      <c r="A56" s="613" t="inlineStr">
        <is>
          <t>Cut_up</t>
        </is>
      </c>
      <c r="B56" s="614" t="n">
        <v>61051</v>
      </c>
      <c r="C56" s="615" t="n"/>
      <c r="D56" s="615" t="inlineStr">
        <is>
          <t>WIP</t>
        </is>
      </c>
      <c r="E56" s="615" t="inlineStr">
        <is>
          <t>BSB</t>
        </is>
      </c>
      <c r="F56" s="615" t="n"/>
      <c r="G56" s="615" t="n"/>
      <c r="H56" s="615" t="n"/>
      <c r="I56" s="615" t="n"/>
      <c r="J56" s="616" t="inlineStr">
        <is>
          <t>MS WIP AC RWA BREAST MEAT W/FILLET</t>
        </is>
      </c>
      <c r="K56" s="620" t="n"/>
      <c r="L56" s="620" t="n"/>
      <c r="M56" s="621" t="n"/>
      <c r="N56" s="619" t="inlineStr">
        <is>
          <t>PLATINUM</t>
        </is>
      </c>
      <c r="O56" s="615" t="n"/>
      <c r="P56" s="154" t="n"/>
      <c r="R56" s="600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600">
        <f>_xludf.IFNA(_xlfn.XLOOKUP(Table3[[#This Row],[SKU]],'00_Yield_Rates'!$B$2:$B$17,'00_Yield_Rates'!$E$2:$E$17),"")</f>
        <v/>
      </c>
    </row>
    <row r="57">
      <c r="A57" s="613" t="inlineStr">
        <is>
          <t>Cut_up</t>
        </is>
      </c>
      <c r="B57" s="614" t="n">
        <v>61054</v>
      </c>
      <c r="C57" s="615" t="n"/>
      <c r="D57" s="615" t="inlineStr">
        <is>
          <t>WIP</t>
        </is>
      </c>
      <c r="E57" s="615" t="inlineStr">
        <is>
          <t>FILLET</t>
        </is>
      </c>
      <c r="F57" s="615" t="n"/>
      <c r="G57" s="615" t="n"/>
      <c r="H57" s="615" t="n"/>
      <c r="I57" s="615" t="n"/>
      <c r="J57" s="616" t="inlineStr">
        <is>
          <t>MS WIP AC FILLET</t>
        </is>
      </c>
      <c r="K57" s="620" t="n"/>
      <c r="L57" s="620" t="n"/>
      <c r="M57" s="621" t="n"/>
      <c r="N57" s="619" t="inlineStr">
        <is>
          <t>PLATINUM</t>
        </is>
      </c>
      <c r="O57" s="615" t="n"/>
      <c r="P57" s="154" t="n"/>
      <c r="R57" s="600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600">
        <f>_xludf.IFNA(_xlfn.XLOOKUP(Table3[[#This Row],[SKU]],'00_Yield_Rates'!$B$2:$B$17,'00_Yield_Rates'!$E$2:$E$17),"")</f>
        <v/>
      </c>
    </row>
    <row r="58">
      <c r="A58" s="613" t="inlineStr">
        <is>
          <t>Cut_up</t>
        </is>
      </c>
      <c r="B58" s="614" t="n">
        <v>61055</v>
      </c>
      <c r="C58" s="615" t="n"/>
      <c r="D58" s="615" t="inlineStr">
        <is>
          <t>WIP</t>
        </is>
      </c>
      <c r="E58" s="615" t="inlineStr">
        <is>
          <t>WOF</t>
        </is>
      </c>
      <c r="F58" s="615" t="n"/>
      <c r="G58" s="615" t="n"/>
      <c r="H58" s="615" t="n"/>
      <c r="I58" s="615" t="n"/>
      <c r="J58" s="616" t="inlineStr">
        <is>
          <t>MS WIP AC BREAST MEAT WOF LCL</t>
        </is>
      </c>
      <c r="K58" s="622" t="n"/>
      <c r="L58" s="622" t="n"/>
      <c r="M58" s="621" t="n"/>
      <c r="N58" s="615" t="inlineStr">
        <is>
          <t>SILVER</t>
        </is>
      </c>
      <c r="O58" s="615" t="n"/>
      <c r="P58" s="154" t="n"/>
      <c r="R58" s="600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600">
        <f>_xludf.IFNA(_xlfn.XLOOKUP(Table3[[#This Row],[SKU]],'00_Yield_Rates'!$B$2:$B$17,'00_Yield_Rates'!$E$2:$E$17),"")</f>
        <v/>
      </c>
    </row>
    <row r="59">
      <c r="A59" s="613" t="inlineStr">
        <is>
          <t>Cut_up</t>
        </is>
      </c>
      <c r="B59" s="614" t="n">
        <v>61061</v>
      </c>
      <c r="C59" s="615" t="n"/>
      <c r="D59" s="615" t="inlineStr">
        <is>
          <t>WIP</t>
        </is>
      </c>
      <c r="E59" s="615" t="inlineStr">
        <is>
          <t>BA</t>
        </is>
      </c>
      <c r="F59" s="615" t="n"/>
      <c r="G59" s="615" t="n"/>
      <c r="H59" s="615" t="n"/>
      <c r="I59" s="615" t="n"/>
      <c r="J59" s="616" t="inlineStr">
        <is>
          <t>MS WIP AC LEG BA</t>
        </is>
      </c>
      <c r="K59" s="617" t="n"/>
      <c r="L59" s="617" t="n"/>
      <c r="M59" s="618" t="n"/>
      <c r="N59" s="619" t="inlineStr">
        <is>
          <t>SILVER</t>
        </is>
      </c>
      <c r="O59" s="615" t="n"/>
      <c r="P59" s="154" t="n"/>
      <c r="R59" s="175" t="n"/>
      <c r="S59" s="175">
        <f>_xludf.IFNA(_xlfn.XLOOKUP(Table3[[#This Row],[SKU]],'06_Resource_Plan'!$C$2:$C$58,'06_Resource_Plan'!F:F),"")</f>
        <v/>
      </c>
      <c r="T59" s="600">
        <f>_xludf.IFNA(_xlfn.XLOOKUP(Table3[[#This Row],[SKU]],'00_Yield_Rates'!$B$2:$B$17,'00_Yield_Rates'!$E$2:$E$17),"")</f>
        <v/>
      </c>
    </row>
    <row r="60">
      <c r="A60" s="613" t="inlineStr">
        <is>
          <t>Cut_up</t>
        </is>
      </c>
      <c r="B60" s="614" t="n">
        <v>61062</v>
      </c>
      <c r="C60" s="615" t="n"/>
      <c r="D60" s="615" t="inlineStr">
        <is>
          <t>WIP</t>
        </is>
      </c>
      <c r="E60" s="615" t="inlineStr">
        <is>
          <t>BA</t>
        </is>
      </c>
      <c r="F60" s="615" t="n"/>
      <c r="G60" s="615" t="n"/>
      <c r="H60" s="615" t="n"/>
      <c r="I60" s="615" t="n"/>
      <c r="J60" s="616" t="inlineStr">
        <is>
          <t>MS WIP AC LEG BA CAGE</t>
        </is>
      </c>
      <c r="K60" s="620" t="n"/>
      <c r="L60" s="620" t="n"/>
      <c r="M60" s="621" t="n"/>
      <c r="N60" s="619" t="inlineStr">
        <is>
          <t>SILVER</t>
        </is>
      </c>
      <c r="O60" s="615" t="n"/>
      <c r="P60" s="154" t="n"/>
      <c r="R60" s="175" t="n"/>
      <c r="S60" s="175">
        <f>_xludf.IFNA(_xlfn.XLOOKUP(Table3[[#This Row],[SKU]],'06_Resource_Plan'!$C$2:$C$58,'06_Resource_Plan'!F:F),"")</f>
        <v/>
      </c>
      <c r="T60" s="600">
        <f>_xludf.IFNA(_xlfn.XLOOKUP(Table3[[#This Row],[SKU]],'00_Yield_Rates'!$B$2:$B$17,'00_Yield_Rates'!$E$2:$E$17),"")</f>
        <v/>
      </c>
    </row>
    <row r="61">
      <c r="A61" s="613" t="inlineStr">
        <is>
          <t>Cut_up</t>
        </is>
      </c>
      <c r="B61" s="614" t="n">
        <v>61064</v>
      </c>
      <c r="C61" s="615" t="n"/>
      <c r="D61" s="615" t="inlineStr">
        <is>
          <t>WIP</t>
        </is>
      </c>
      <c r="E61" s="615" t="inlineStr">
        <is>
          <t>BSB</t>
        </is>
      </c>
      <c r="F61" s="615" t="n"/>
      <c r="G61" s="615" t="n"/>
      <c r="H61" s="615" t="n"/>
      <c r="I61" s="615" t="n"/>
      <c r="J61" s="616" t="inlineStr">
        <is>
          <t>MS WIP ACCUTLET</t>
        </is>
      </c>
      <c r="K61" s="620" t="n"/>
      <c r="L61" s="620" t="n"/>
      <c r="M61" s="621" t="n"/>
      <c r="N61" s="619" t="inlineStr">
        <is>
          <t>PLATINUM</t>
        </is>
      </c>
      <c r="O61" s="615" t="n"/>
      <c r="P61" s="154" t="n"/>
      <c r="R61" s="175" t="n"/>
      <c r="S61" s="175">
        <f>_xludf.IFNA(_xlfn.XLOOKUP(Table3[[#This Row],[SKU]],'06_Resource_Plan'!$C$2:$C$58,'06_Resource_Plan'!F:F),"")</f>
        <v/>
      </c>
      <c r="T61" s="600">
        <f>_xludf.IFNA(_xlfn.XLOOKUP(Table3[[#This Row],[SKU]],'00_Yield_Rates'!$B$2:$B$17,'00_Yield_Rates'!$E$2:$E$17),"")</f>
        <v/>
      </c>
    </row>
    <row r="62">
      <c r="A62" s="613" t="inlineStr">
        <is>
          <t>Cut_up</t>
        </is>
      </c>
      <c r="B62" s="614" t="n">
        <v>61069</v>
      </c>
      <c r="C62" s="615" t="n"/>
      <c r="D62" s="615" t="inlineStr">
        <is>
          <t>WIP</t>
        </is>
      </c>
      <c r="E62" s="615" t="inlineStr">
        <is>
          <t>BSB</t>
        </is>
      </c>
      <c r="F62" s="615" t="n"/>
      <c r="G62" s="615" t="n"/>
      <c r="H62" s="615" t="n"/>
      <c r="I62" s="615" t="n"/>
      <c r="J62" s="616" t="inlineStr">
        <is>
          <t>MS WIP AC RWA CUTLET</t>
        </is>
      </c>
      <c r="K62" s="620" t="n"/>
      <c r="L62" s="620" t="n"/>
      <c r="M62" s="621" t="n"/>
      <c r="N62" s="619" t="inlineStr">
        <is>
          <t>PLATINUM</t>
        </is>
      </c>
      <c r="O62" s="615" t="n"/>
      <c r="P62" s="154" t="n"/>
      <c r="R62" s="175" t="n"/>
      <c r="S62" s="175">
        <f>_xludf.IFNA(_xlfn.XLOOKUP(Table3[[#This Row],[SKU]],'06_Resource_Plan'!$C$2:$C$58,'06_Resource_Plan'!F:F),"")</f>
        <v/>
      </c>
      <c r="T62" s="600">
        <f>_xludf.IFNA(_xlfn.XLOOKUP(Table3[[#This Row],[SKU]],'00_Yield_Rates'!$B$2:$B$17,'00_Yield_Rates'!$E$2:$E$17),"")</f>
        <v/>
      </c>
    </row>
    <row r="63">
      <c r="A63" s="613" t="inlineStr">
        <is>
          <t>Cut_up</t>
        </is>
      </c>
      <c r="B63" s="614" t="n">
        <v>61070</v>
      </c>
      <c r="C63" s="615" t="n"/>
      <c r="D63" s="615" t="inlineStr">
        <is>
          <t>WIP</t>
        </is>
      </c>
      <c r="E63" s="615" t="inlineStr">
        <is>
          <t>BSB</t>
        </is>
      </c>
      <c r="F63" s="615" t="n"/>
      <c r="G63" s="615" t="n"/>
      <c r="H63" s="615" t="n"/>
      <c r="I63" s="615" t="n"/>
      <c r="J63" s="616" t="n"/>
      <c r="K63" s="620" t="n"/>
      <c r="L63" s="620" t="n"/>
      <c r="M63" s="621" t="n"/>
      <c r="N63" s="619" t="inlineStr">
        <is>
          <t>PLATINUM</t>
        </is>
      </c>
      <c r="O63" s="615" t="n"/>
      <c r="P63" s="154" t="n"/>
      <c r="R63" s="175" t="n"/>
      <c r="S63" s="175">
        <f>_xludf.IFNA(_xlfn.XLOOKUP(Table3[[#This Row],[SKU]],'06_Resource_Plan'!$C$2:$C$58,'06_Resource_Plan'!F:F),"")</f>
        <v/>
      </c>
      <c r="T63" s="600">
        <f>_xludf.IFNA(_xlfn.XLOOKUP(Table3[[#This Row],[SKU]],'00_Yield_Rates'!$B$2:$B$17,'00_Yield_Rates'!$E$2:$E$17),"")</f>
        <v/>
      </c>
    </row>
    <row r="64">
      <c r="A64" s="613" t="inlineStr">
        <is>
          <t>Cut_up</t>
        </is>
      </c>
      <c r="B64" s="614" t="n">
        <v>61072</v>
      </c>
      <c r="C64" s="615" t="n"/>
      <c r="D64" s="615" t="inlineStr">
        <is>
          <t>WIP</t>
        </is>
      </c>
      <c r="E64" s="615" t="inlineStr">
        <is>
          <t>DRUM</t>
        </is>
      </c>
      <c r="F64" s="615" t="n"/>
      <c r="G64" s="615" t="n"/>
      <c r="H64" s="615" t="n"/>
      <c r="I64" s="615" t="n"/>
      <c r="J64" s="616" t="inlineStr">
        <is>
          <t>MS WIP AC DRUM TRIMMED</t>
        </is>
      </c>
      <c r="K64" s="620" t="n"/>
      <c r="L64" s="620" t="n"/>
      <c r="M64" s="621" t="n"/>
      <c r="N64" s="619" t="inlineStr">
        <is>
          <t>PLATINUM</t>
        </is>
      </c>
      <c r="O64" s="615" t="n"/>
      <c r="P64" s="154" t="n"/>
      <c r="R64" s="175" t="n"/>
      <c r="S64" s="175">
        <f>_xludf.IFNA(_xlfn.XLOOKUP(Table3[[#This Row],[SKU]],'06_Resource_Plan'!$C$2:$C$58,'06_Resource_Plan'!F:F),"")</f>
        <v/>
      </c>
      <c r="T64" s="600">
        <f>_xludf.IFNA(_xlfn.XLOOKUP(Table3[[#This Row],[SKU]],'00_Yield_Rates'!$B$2:$B$17,'00_Yield_Rates'!$E$2:$E$17),"")</f>
        <v/>
      </c>
    </row>
    <row r="65">
      <c r="A65" s="613" t="inlineStr">
        <is>
          <t>Cut_up</t>
        </is>
      </c>
      <c r="B65" s="614" t="n">
        <v>61073</v>
      </c>
      <c r="C65" s="615" t="n"/>
      <c r="D65" s="615" t="inlineStr">
        <is>
          <t>WIP</t>
        </is>
      </c>
      <c r="E65" s="615" t="inlineStr">
        <is>
          <t>DRUM</t>
        </is>
      </c>
      <c r="F65" s="615" t="n"/>
      <c r="G65" s="615" t="n"/>
      <c r="H65" s="615" t="n"/>
      <c r="I65" s="615" t="n"/>
      <c r="J65" s="616" t="inlineStr">
        <is>
          <t>MS WIP AC DRUM TRIMMED CAGE</t>
        </is>
      </c>
      <c r="K65" s="620" t="n"/>
      <c r="L65" s="620" t="n"/>
      <c r="M65" s="621" t="n"/>
      <c r="N65" s="619" t="inlineStr">
        <is>
          <t>SILVER</t>
        </is>
      </c>
      <c r="O65" s="615" t="n"/>
      <c r="P65" s="154" t="n"/>
      <c r="R65" s="175" t="n"/>
      <c r="S65" s="175">
        <f>_xludf.IFNA(_xlfn.XLOOKUP(Table3[[#This Row],[SKU]],'06_Resource_Plan'!$C$2:$C$58,'06_Resource_Plan'!F:F),"")</f>
        <v/>
      </c>
      <c r="T65" s="600">
        <f>_xludf.IFNA(_xlfn.XLOOKUP(Table3[[#This Row],[SKU]],'00_Yield_Rates'!$B$2:$B$17,'00_Yield_Rates'!$E$2:$E$17),"")</f>
        <v/>
      </c>
    </row>
    <row r="66">
      <c r="A66" s="613" t="inlineStr">
        <is>
          <t>Cut_up</t>
        </is>
      </c>
      <c r="B66" s="614" t="n">
        <v>61074</v>
      </c>
      <c r="C66" s="615" t="n"/>
      <c r="D66" s="615" t="inlineStr">
        <is>
          <t>WIP</t>
        </is>
      </c>
      <c r="E66" s="615" t="inlineStr">
        <is>
          <t>DRUM</t>
        </is>
      </c>
      <c r="F66" s="615" t="n"/>
      <c r="G66" s="615" t="n"/>
      <c r="H66" s="615" t="n"/>
      <c r="I66" s="615" t="n"/>
      <c r="J66" s="616" t="inlineStr">
        <is>
          <t>MS WIP AC RWA DRUM TRIMMED</t>
        </is>
      </c>
      <c r="K66" s="620" t="n"/>
      <c r="L66" s="620" t="n"/>
      <c r="M66" s="621" t="n"/>
      <c r="N66" s="619" t="inlineStr">
        <is>
          <t>PLATINUM</t>
        </is>
      </c>
      <c r="O66" s="615" t="n"/>
      <c r="P66" s="154" t="n"/>
      <c r="R66" s="175" t="n"/>
      <c r="S66" s="175">
        <f>_xludf.IFNA(_xlfn.XLOOKUP(Table3[[#This Row],[SKU]],'06_Resource_Plan'!$C$2:$C$58,'06_Resource_Plan'!F:F),"")</f>
        <v/>
      </c>
      <c r="T66" s="600">
        <f>_xludf.IFNA(_xlfn.XLOOKUP(Table3[[#This Row],[SKU]],'00_Yield_Rates'!$B$2:$B$17,'00_Yield_Rates'!$E$2:$E$17),"")</f>
        <v/>
      </c>
    </row>
    <row r="67">
      <c r="A67" s="613" t="inlineStr">
        <is>
          <t>Cut_up</t>
        </is>
      </c>
      <c r="B67" s="614" t="n">
        <v>61075</v>
      </c>
      <c r="C67" s="615" t="n"/>
      <c r="D67" s="615" t="inlineStr">
        <is>
          <t>WIP</t>
        </is>
      </c>
      <c r="E67" s="615" t="inlineStr">
        <is>
          <t>DRUM</t>
        </is>
      </c>
      <c r="F67" s="615" t="n"/>
      <c r="G67" s="615" t="n"/>
      <c r="H67" s="615" t="n"/>
      <c r="I67" s="615" t="n"/>
      <c r="J67" s="616" t="inlineStr">
        <is>
          <t>MS WIP AC RWA DRUM TRIMMED CAGE</t>
        </is>
      </c>
      <c r="K67" s="620" t="n"/>
      <c r="L67" s="620" t="n"/>
      <c r="M67" s="621" t="n"/>
      <c r="N67" s="619" t="inlineStr">
        <is>
          <t>SILVER</t>
        </is>
      </c>
      <c r="O67" s="615" t="n"/>
      <c r="P67" s="154" t="n"/>
      <c r="R67" s="175" t="n"/>
      <c r="S67" s="175">
        <f>_xludf.IFNA(_xlfn.XLOOKUP(Table3[[#This Row],[SKU]],'06_Resource_Plan'!$C$2:$C$58,'06_Resource_Plan'!F:F),"")</f>
        <v/>
      </c>
      <c r="T67" s="600">
        <f>_xludf.IFNA(_xlfn.XLOOKUP(Table3[[#This Row],[SKU]],'00_Yield_Rates'!$B$2:$B$17,'00_Yield_Rates'!$E$2:$E$17),"")</f>
        <v/>
      </c>
    </row>
    <row r="68">
      <c r="A68" s="613" t="inlineStr">
        <is>
          <t>Cut_up</t>
        </is>
      </c>
      <c r="B68" s="614" t="n">
        <v>61076</v>
      </c>
      <c r="C68" s="615" t="n"/>
      <c r="D68" s="615" t="inlineStr">
        <is>
          <t>WIP</t>
        </is>
      </c>
      <c r="E68" s="615" t="inlineStr">
        <is>
          <t>DRUM</t>
        </is>
      </c>
      <c r="F68" s="615" t="n"/>
      <c r="G68" s="615" t="n"/>
      <c r="H68" s="615" t="n"/>
      <c r="I68" s="615" t="n"/>
      <c r="J68" s="616" t="n"/>
      <c r="K68" s="620" t="n"/>
      <c r="L68" s="620" t="n"/>
      <c r="M68" s="621" t="n"/>
      <c r="N68" s="619" t="inlineStr">
        <is>
          <t>PLATINUM</t>
        </is>
      </c>
      <c r="O68" s="615" t="n"/>
      <c r="P68" s="154" t="n"/>
      <c r="R68" s="175" t="n"/>
      <c r="S68" s="175">
        <f>_xludf.IFNA(_xlfn.XLOOKUP(Table3[[#This Row],[SKU]],'06_Resource_Plan'!$C$2:$C$58,'06_Resource_Plan'!F:F),"")</f>
        <v/>
      </c>
      <c r="T68" s="600">
        <f>_xludf.IFNA(_xlfn.XLOOKUP(Table3[[#This Row],[SKU]],'00_Yield_Rates'!$B$2:$B$17,'00_Yield_Rates'!$E$2:$E$17),"")</f>
        <v/>
      </c>
    </row>
    <row r="69">
      <c r="A69" s="613" t="inlineStr">
        <is>
          <t>Cut_up</t>
        </is>
      </c>
      <c r="B69" s="614" t="n">
        <v>61077</v>
      </c>
      <c r="C69" s="615" t="n"/>
      <c r="D69" s="615" t="inlineStr">
        <is>
          <t>WIP</t>
        </is>
      </c>
      <c r="E69" s="615" t="inlineStr">
        <is>
          <t>Thigh</t>
        </is>
      </c>
      <c r="F69" s="615" t="n"/>
      <c r="G69" s="615" t="n"/>
      <c r="H69" s="615" t="n"/>
      <c r="I69" s="615" t="n"/>
      <c r="J69" s="616" t="inlineStr">
        <is>
          <t>MS WIP AC THIGH PC TRIM</t>
        </is>
      </c>
      <c r="K69" s="620" t="n"/>
      <c r="L69" s="620" t="n"/>
      <c r="M69" s="621" t="n"/>
      <c r="N69" s="619" t="inlineStr">
        <is>
          <t>PLATINUM</t>
        </is>
      </c>
      <c r="O69" s="615" t="n"/>
      <c r="P69" s="154" t="n"/>
      <c r="R69" s="175" t="n"/>
      <c r="S69" s="175">
        <f>_xludf.IFNA(_xlfn.XLOOKUP(Table3[[#This Row],[SKU]],'06_Resource_Plan'!$C$2:$C$58,'06_Resource_Plan'!F:F),"")</f>
        <v/>
      </c>
      <c r="T69" s="600">
        <f>_xludf.IFNA(_xlfn.XLOOKUP(Table3[[#This Row],[SKU]],'00_Yield_Rates'!$B$2:$B$17,'00_Yield_Rates'!$E$2:$E$17),"")</f>
        <v/>
      </c>
    </row>
    <row r="70">
      <c r="A70" s="613" t="inlineStr">
        <is>
          <t>Cut_up</t>
        </is>
      </c>
      <c r="B70" s="614" t="n">
        <v>61078</v>
      </c>
      <c r="C70" s="615" t="n"/>
      <c r="D70" s="615" t="inlineStr">
        <is>
          <t>WIP</t>
        </is>
      </c>
      <c r="E70" s="615" t="inlineStr">
        <is>
          <t>Thigh</t>
        </is>
      </c>
      <c r="F70" s="615" t="n"/>
      <c r="G70" s="615" t="n"/>
      <c r="H70" s="615" t="n"/>
      <c r="I70" s="615" t="n"/>
      <c r="J70" s="616" t="inlineStr">
        <is>
          <t>MS WIP AC THIGH COSTCO TRIM</t>
        </is>
      </c>
      <c r="K70" s="620" t="n"/>
      <c r="L70" s="620" t="n"/>
      <c r="M70" s="621" t="n"/>
      <c r="N70" s="619" t="inlineStr">
        <is>
          <t>GOLD</t>
        </is>
      </c>
      <c r="O70" s="615" t="n"/>
      <c r="P70" s="154" t="n"/>
      <c r="R70" s="175" t="n"/>
      <c r="S70" s="175">
        <f>_xludf.IFNA(_xlfn.XLOOKUP(Table3[[#This Row],[SKU]],'06_Resource_Plan'!$C$2:$C$58,'06_Resource_Plan'!F:F),"")</f>
        <v/>
      </c>
      <c r="T70" s="600">
        <f>_xludf.IFNA(_xlfn.XLOOKUP(Table3[[#This Row],[SKU]],'00_Yield_Rates'!$B$2:$B$17,'00_Yield_Rates'!$E$2:$E$17),"")</f>
        <v/>
      </c>
    </row>
    <row r="71">
      <c r="A71" s="613" t="inlineStr">
        <is>
          <t>Cut_up</t>
        </is>
      </c>
      <c r="B71" s="614" t="n">
        <v>61079</v>
      </c>
      <c r="C71" s="615" t="n"/>
      <c r="D71" s="615" t="inlineStr">
        <is>
          <t>WIP</t>
        </is>
      </c>
      <c r="E71" s="615" t="inlineStr">
        <is>
          <t>Thigh</t>
        </is>
      </c>
      <c r="F71" s="615" t="n"/>
      <c r="G71" s="615" t="n"/>
      <c r="H71" s="615" t="n"/>
      <c r="I71" s="615" t="n"/>
      <c r="J71" s="616" t="inlineStr">
        <is>
          <t>MS WIP RWA THIGH TRIM - PC</t>
        </is>
      </c>
      <c r="K71" s="620" t="n"/>
      <c r="L71" s="620" t="n"/>
      <c r="M71" s="621" t="n"/>
      <c r="N71" s="619" t="inlineStr">
        <is>
          <t>PLATINUM</t>
        </is>
      </c>
      <c r="O71" s="615" t="n"/>
      <c r="P71" s="154" t="n"/>
      <c r="R71" s="175" t="n"/>
      <c r="S71" s="175">
        <f>_xludf.IFNA(_xlfn.XLOOKUP(Table3[[#This Row],[SKU]],'06_Resource_Plan'!$C$2:$C$58,'06_Resource_Plan'!F:F),"")</f>
        <v/>
      </c>
      <c r="T71" s="600">
        <f>_xludf.IFNA(_xlfn.XLOOKUP(Table3[[#This Row],[SKU]],'00_Yield_Rates'!$B$2:$B$17,'00_Yield_Rates'!$E$2:$E$17),"")</f>
        <v/>
      </c>
    </row>
    <row r="72">
      <c r="A72" s="613" t="inlineStr">
        <is>
          <t>Cut_up</t>
        </is>
      </c>
      <c r="B72" s="614" t="n">
        <v>61082</v>
      </c>
      <c r="C72" s="615" t="n"/>
      <c r="D72" s="615" t="inlineStr">
        <is>
          <t>WIP</t>
        </is>
      </c>
      <c r="E72" s="615" t="inlineStr">
        <is>
          <t>Thigh</t>
        </is>
      </c>
      <c r="F72" s="615" t="n"/>
      <c r="G72" s="615" t="n"/>
      <c r="H72" s="615" t="n"/>
      <c r="I72" s="615" t="n"/>
      <c r="J72" s="616" t="inlineStr">
        <is>
          <t>MS WIP AC THIGHS</t>
        </is>
      </c>
      <c r="K72" s="620" t="n"/>
      <c r="L72" s="620" t="n"/>
      <c r="M72" s="621" t="n"/>
      <c r="N72" s="619" t="inlineStr">
        <is>
          <t>SILVER</t>
        </is>
      </c>
      <c r="O72" s="615" t="n"/>
      <c r="P72" s="154" t="n"/>
      <c r="R72" s="175" t="n"/>
      <c r="S72" s="175">
        <f>_xludf.IFNA(_xlfn.XLOOKUP(Table3[[#This Row],[SKU]],'06_Resource_Plan'!$C$2:$C$58,'06_Resource_Plan'!F:F),"")</f>
        <v/>
      </c>
      <c r="T72" s="600">
        <f>_xludf.IFNA(_xlfn.XLOOKUP(Table3[[#This Row],[SKU]],'00_Yield_Rates'!$B$2:$B$17,'00_Yield_Rates'!$E$2:$E$17),"")</f>
        <v/>
      </c>
    </row>
    <row r="73">
      <c r="A73" s="613" t="inlineStr">
        <is>
          <t>Cut_up</t>
        </is>
      </c>
      <c r="B73" s="614" t="n">
        <v>61086</v>
      </c>
      <c r="C73" s="615" t="n"/>
      <c r="D73" s="615" t="inlineStr">
        <is>
          <t>WIP</t>
        </is>
      </c>
      <c r="E73" s="615" t="inlineStr">
        <is>
          <t>ThighMeat</t>
        </is>
      </c>
      <c r="F73" s="615" t="n"/>
      <c r="G73" s="615" t="n"/>
      <c r="H73" s="615" t="n"/>
      <c r="I73" s="615" t="n"/>
      <c r="J73" s="616" t="inlineStr">
        <is>
          <t>MS WIP AC THIGH MEAT</t>
        </is>
      </c>
      <c r="K73" s="620" t="n"/>
      <c r="L73" s="620" t="n"/>
      <c r="M73" s="621" t="n"/>
      <c r="N73" s="619" t="inlineStr">
        <is>
          <t>PLATINUM</t>
        </is>
      </c>
      <c r="O73" s="615" t="n"/>
      <c r="P73" s="154" t="n"/>
      <c r="R73" s="175" t="n"/>
      <c r="S73" s="175">
        <f>_xludf.IFNA(_xlfn.XLOOKUP(Table3[[#This Row],[SKU]],'06_Resource_Plan'!$C$2:$C$58,'06_Resource_Plan'!F:F),"")</f>
        <v/>
      </c>
      <c r="T73" s="600">
        <f>_xludf.IFNA(_xlfn.XLOOKUP(Table3[[#This Row],[SKU]],'00_Yield_Rates'!$B$2:$B$17,'00_Yield_Rates'!$E$2:$E$17),"")</f>
        <v/>
      </c>
    </row>
    <row r="74">
      <c r="A74" s="613" t="inlineStr">
        <is>
          <t>Cut_up</t>
        </is>
      </c>
      <c r="B74" s="614" t="n">
        <v>61087</v>
      </c>
      <c r="C74" s="615" t="n"/>
      <c r="D74" s="615" t="inlineStr">
        <is>
          <t>WIP</t>
        </is>
      </c>
      <c r="E74" s="615" t="inlineStr">
        <is>
          <t>ThighMeat</t>
        </is>
      </c>
      <c r="F74" s="615" t="n"/>
      <c r="G74" s="615" t="n"/>
      <c r="H74" s="615" t="n"/>
      <c r="I74" s="615" t="n"/>
      <c r="J74" s="616" t="inlineStr">
        <is>
          <t>MS WIP AC RWA THIGH MEAT</t>
        </is>
      </c>
      <c r="K74" s="620" t="n"/>
      <c r="L74" s="620" t="n"/>
      <c r="M74" s="621" t="n"/>
      <c r="N74" s="619" t="inlineStr">
        <is>
          <t>PLATINUM</t>
        </is>
      </c>
      <c r="O74" s="615" t="n"/>
      <c r="P74" s="154" t="n"/>
      <c r="R74" s="175" t="n"/>
      <c r="S74" s="175">
        <f>_xludf.IFNA(_xlfn.XLOOKUP(Table3[[#This Row],[SKU]],'06_Resource_Plan'!$C$2:$C$58,'06_Resource_Plan'!F:F),"")</f>
        <v/>
      </c>
      <c r="T74" s="600">
        <f>_xludf.IFNA(_xlfn.XLOOKUP(Table3[[#This Row],[SKU]],'00_Yield_Rates'!$B$2:$B$17,'00_Yield_Rates'!$E$2:$E$17),"")</f>
        <v/>
      </c>
    </row>
    <row r="75">
      <c r="A75" s="613" t="inlineStr">
        <is>
          <t>Cut_up</t>
        </is>
      </c>
      <c r="B75" s="614" t="n">
        <v>61104</v>
      </c>
      <c r="C75" s="615" t="n"/>
      <c r="D75" s="615" t="inlineStr">
        <is>
          <t>WIP</t>
        </is>
      </c>
      <c r="E75" s="615" t="inlineStr">
        <is>
          <t>BSB</t>
        </is>
      </c>
      <c r="F75" s="615" t="n"/>
      <c r="G75" s="615" t="n"/>
      <c r="H75" s="615" t="n"/>
      <c r="I75" s="615" t="n"/>
      <c r="J75" s="616" t="inlineStr">
        <is>
          <t>MS WIP AC CHUNK MEAT</t>
        </is>
      </c>
      <c r="K75" s="620" t="n"/>
      <c r="L75" s="620" t="n"/>
      <c r="M75" s="621" t="n"/>
      <c r="N75" s="619" t="inlineStr">
        <is>
          <t>SILVER</t>
        </is>
      </c>
      <c r="O75" s="615" t="n"/>
      <c r="P75" s="154" t="n"/>
      <c r="R75" s="175" t="n"/>
      <c r="S75" s="175">
        <f>_xludf.IFNA(_xlfn.XLOOKUP(Table3[[#This Row],[SKU]],'06_Resource_Plan'!$C$2:$C$58,'06_Resource_Plan'!F:F),"")</f>
        <v/>
      </c>
      <c r="T75" s="600">
        <f>_xludf.IFNA(_xlfn.XLOOKUP(Table3[[#This Row],[SKU]],'00_Yield_Rates'!$B$2:$B$17,'00_Yield_Rates'!$E$2:$E$17),"")</f>
        <v/>
      </c>
    </row>
    <row r="76">
      <c r="A76" s="613" t="inlineStr">
        <is>
          <t>Cut_up</t>
        </is>
      </c>
      <c r="B76" s="614" t="n">
        <v>61121</v>
      </c>
      <c r="C76" s="615" t="n"/>
      <c r="D76" s="615" t="inlineStr">
        <is>
          <t>WIP</t>
        </is>
      </c>
      <c r="E76" s="615" t="inlineStr">
        <is>
          <t>BACKBONE</t>
        </is>
      </c>
      <c r="F76" s="615" t="n"/>
      <c r="G76" s="615" t="n"/>
      <c r="H76" s="615" t="n"/>
      <c r="I76" s="615" t="n"/>
      <c r="J76" s="616" t="inlineStr">
        <is>
          <t>MS WIP AC BACKS</t>
        </is>
      </c>
      <c r="K76" s="620" t="n"/>
      <c r="L76" s="620" t="n"/>
      <c r="M76" s="621" t="n"/>
      <c r="N76" s="619" t="inlineStr">
        <is>
          <t>SILVER</t>
        </is>
      </c>
      <c r="O76" s="615" t="n"/>
      <c r="P76" s="154" t="n"/>
      <c r="R76" s="175" t="n"/>
      <c r="S76" s="175">
        <f>_xludf.IFNA(_xlfn.XLOOKUP(Table3[[#This Row],[SKU]],'06_Resource_Plan'!$C$2:$C$58,'06_Resource_Plan'!F:F),"")</f>
        <v/>
      </c>
      <c r="T76" s="600">
        <f>_xludf.IFNA(_xlfn.XLOOKUP(Table3[[#This Row],[SKU]],'00_Yield_Rates'!$B$2:$B$17,'00_Yield_Rates'!$E$2:$E$17),"")</f>
        <v/>
      </c>
    </row>
    <row r="77">
      <c r="A77" s="613" t="inlineStr">
        <is>
          <t>Cut_up</t>
        </is>
      </c>
      <c r="B77" s="614" t="inlineStr">
        <is>
          <t>61014#2</t>
        </is>
      </c>
      <c r="C77" s="615" t="n"/>
      <c r="D77" s="615" t="inlineStr">
        <is>
          <t>WIP</t>
        </is>
      </c>
      <c r="E77" s="615" t="inlineStr">
        <is>
          <t>SplitWing</t>
        </is>
      </c>
      <c r="F77" s="615" t="n"/>
      <c r="G77" s="615" t="n"/>
      <c r="H77" s="615" t="n"/>
      <c r="I77" s="615" t="n"/>
      <c r="J77" s="616" t="inlineStr">
        <is>
          <t>MS WIP AC WINGS SPLIT</t>
        </is>
      </c>
      <c r="K77" s="620" t="n"/>
      <c r="L77" s="620" t="n"/>
      <c r="M77" s="621" t="n"/>
      <c r="N77" s="619" t="inlineStr">
        <is>
          <t>SILVER</t>
        </is>
      </c>
      <c r="O77" s="615" t="n"/>
      <c r="P77" s="154" t="n"/>
      <c r="R77" s="175" t="n"/>
      <c r="S77" s="175">
        <f>_xludf.IFNA(_xlfn.XLOOKUP(Table3[[#This Row],[SKU]],'06_Resource_Plan'!$C$2:$C$58,'06_Resource_Plan'!F:F),"")</f>
        <v/>
      </c>
      <c r="T77" s="600">
        <f>_xludf.IFNA(_xlfn.XLOOKUP(Table3[[#This Row],[SKU]],'00_Yield_Rates'!$B$2:$B$17,'00_Yield_Rates'!$E$2:$E$17),"")</f>
        <v/>
      </c>
    </row>
    <row r="78">
      <c r="A78" s="613" t="inlineStr">
        <is>
          <t>Cut_up</t>
        </is>
      </c>
      <c r="B78" s="614" t="inlineStr">
        <is>
          <t>61014C</t>
        </is>
      </c>
      <c r="C78" s="615" t="n"/>
      <c r="D78" s="615" t="inlineStr">
        <is>
          <t>WIP</t>
        </is>
      </c>
      <c r="E78" s="615" t="inlineStr">
        <is>
          <t>SplitWing</t>
        </is>
      </c>
      <c r="F78" s="615" t="n"/>
      <c r="G78" s="615" t="n"/>
      <c r="H78" s="615" t="n"/>
      <c r="I78" s="615" t="n"/>
      <c r="J78" s="616" t="inlineStr">
        <is>
          <t>MS WIP AC WINGS SPLIT</t>
        </is>
      </c>
      <c r="K78" s="620" t="n"/>
      <c r="L78" s="620" t="n"/>
      <c r="M78" s="621" t="n"/>
      <c r="N78" s="619" t="inlineStr">
        <is>
          <t>GOLD</t>
        </is>
      </c>
      <c r="O78" s="615" t="n"/>
      <c r="P78" s="154" t="n"/>
      <c r="R78" s="175" t="n"/>
      <c r="S78" s="175">
        <f>_xludf.IFNA(_xlfn.XLOOKUP(Table3[[#This Row],[SKU]],'06_Resource_Plan'!$C$2:$C$58,'06_Resource_Plan'!F:F),"")</f>
        <v/>
      </c>
      <c r="T78" s="600">
        <f>_xludf.IFNA(_xlfn.XLOOKUP(Table3[[#This Row],[SKU]],'00_Yield_Rates'!$B$2:$B$17,'00_Yield_Rates'!$E$2:$E$17),"")</f>
        <v/>
      </c>
    </row>
    <row r="79">
      <c r="A79" s="613" t="inlineStr">
        <is>
          <t>Cut_up</t>
        </is>
      </c>
      <c r="B79" s="614" t="inlineStr">
        <is>
          <t>61014F</t>
        </is>
      </c>
      <c r="C79" s="615" t="n"/>
      <c r="D79" s="615" t="inlineStr">
        <is>
          <t>WIP</t>
        </is>
      </c>
      <c r="E79" s="615" t="inlineStr">
        <is>
          <t>SplitWing</t>
        </is>
      </c>
      <c r="F79" s="615" t="n"/>
      <c r="G79" s="615" t="n"/>
      <c r="H79" s="615" t="n"/>
      <c r="I79" s="615" t="n"/>
      <c r="J79" s="616" t="inlineStr">
        <is>
          <t>MS WIP AC WINGS SPLIT FFF</t>
        </is>
      </c>
      <c r="K79" s="617" t="n"/>
      <c r="L79" s="617" t="n"/>
      <c r="M79" s="618" t="n"/>
      <c r="N79" s="619" t="inlineStr">
        <is>
          <t>PLATINUM</t>
        </is>
      </c>
      <c r="O79" s="615" t="n"/>
      <c r="P79" s="154" t="n"/>
      <c r="R79" s="175" t="n"/>
      <c r="S79" s="175">
        <f>_xludf.IFNA(_xlfn.XLOOKUP(Table3[[#This Row],[SKU]],'06_Resource_Plan'!$C$2:$C$58,'06_Resource_Plan'!F:F),"")</f>
        <v/>
      </c>
      <c r="T79" s="600">
        <f>_xludf.IFNA(_xlfn.XLOOKUP(Table3[[#This Row],[SKU]],'00_Yield_Rates'!$B$2:$B$17,'00_Yield_Rates'!$E$2:$E$17),"")</f>
        <v/>
      </c>
    </row>
    <row r="80">
      <c r="A80" s="613" t="inlineStr">
        <is>
          <t>Cut_up</t>
        </is>
      </c>
      <c r="B80" s="614" t="inlineStr">
        <is>
          <t>61014B</t>
        </is>
      </c>
      <c r="C80" s="615" t="n"/>
      <c r="D80" s="615" t="inlineStr">
        <is>
          <t>WIP</t>
        </is>
      </c>
      <c r="E80" s="615" t="inlineStr">
        <is>
          <t>SplitWing</t>
        </is>
      </c>
      <c r="F80" s="615" t="n"/>
      <c r="G80" s="615" t="n"/>
      <c r="H80" s="615" t="n"/>
      <c r="I80" s="615" t="n"/>
      <c r="J80" s="616" t="inlineStr">
        <is>
          <t>MS WIP AC WINGS SPLIT</t>
        </is>
      </c>
      <c r="K80" s="622" t="n"/>
      <c r="L80" s="622" t="n"/>
      <c r="M80" s="621" t="n"/>
      <c r="N80" s="615" t="inlineStr">
        <is>
          <t>SILVER</t>
        </is>
      </c>
      <c r="O80" s="615" t="n"/>
      <c r="P80" s="154" t="n"/>
      <c r="R80" s="175" t="n"/>
      <c r="S80" s="175">
        <f>_xludf.IFNA(_xlfn.XLOOKUP(Table3[[#This Row],[SKU]],'06_Resource_Plan'!$C$2:$C$58,'06_Resource_Plan'!F:F),"")</f>
        <v/>
      </c>
      <c r="T80" s="600">
        <f>_xludf.IFNA(_xlfn.XLOOKUP(Table3[[#This Row],[SKU]],'00_Yield_Rates'!$B$2:$B$17,'00_Yield_Rates'!$E$2:$E$17),"")</f>
        <v/>
      </c>
    </row>
    <row r="81">
      <c r="A81" s="613" t="inlineStr">
        <is>
          <t>Cut_up</t>
        </is>
      </c>
      <c r="B81" s="614" t="inlineStr">
        <is>
          <t>61040#2</t>
        </is>
      </c>
      <c r="C81" s="615" t="n"/>
      <c r="D81" s="615" t="inlineStr">
        <is>
          <t>WIP</t>
        </is>
      </c>
      <c r="E81" s="623" t="inlineStr">
        <is>
          <t>SplitBreast</t>
        </is>
      </c>
      <c r="F81" s="615" t="n"/>
      <c r="G81" s="615" t="n"/>
      <c r="H81" s="615" t="n"/>
      <c r="I81" s="615" t="n"/>
      <c r="J81" s="616" t="inlineStr">
        <is>
          <t>MS WIP AC BREAST BACK OFF SPLIT</t>
        </is>
      </c>
      <c r="K81" s="620" t="n"/>
      <c r="L81" s="620" t="n"/>
      <c r="M81" s="621" t="n"/>
      <c r="N81" s="619" t="inlineStr">
        <is>
          <t>SILVER</t>
        </is>
      </c>
      <c r="O81" s="615" t="n"/>
      <c r="P81" s="154" t="n"/>
      <c r="R81" s="175" t="n"/>
      <c r="S81" s="175">
        <f>_xludf.IFNA(_xlfn.XLOOKUP(Table3[[#This Row],[SKU]],'06_Resource_Plan'!$C$2:$C$58,'06_Resource_Plan'!F:F),"")</f>
        <v/>
      </c>
      <c r="T81" s="600">
        <f>_xludf.IFNA(_xlfn.XLOOKUP(Table3[[#This Row],[SKU]],'00_Yield_Rates'!$B$2:$B$17,'00_Yield_Rates'!$E$2:$E$17),"")</f>
        <v/>
      </c>
    </row>
    <row r="82">
      <c r="A82" s="613" t="inlineStr">
        <is>
          <t>Cut_up</t>
        </is>
      </c>
      <c r="B82" s="614" t="inlineStr">
        <is>
          <t>61048#2</t>
        </is>
      </c>
      <c r="C82" s="615" t="n"/>
      <c r="D82" s="615" t="inlineStr">
        <is>
          <t>WIP</t>
        </is>
      </c>
      <c r="E82" s="615" t="inlineStr">
        <is>
          <t>SplitBreast</t>
        </is>
      </c>
      <c r="F82" s="615" t="n"/>
      <c r="G82" s="615" t="n"/>
      <c r="H82" s="615" t="n"/>
      <c r="I82" s="615" t="n"/>
      <c r="J82" s="616" t="inlineStr">
        <is>
          <t>MS WIP AC BREAST BACK OFF SPLIT SKNLS</t>
        </is>
      </c>
      <c r="K82" s="620" t="n"/>
      <c r="L82" s="620" t="n"/>
      <c r="M82" s="621" t="n"/>
      <c r="N82" s="619" t="inlineStr">
        <is>
          <t>SILVER</t>
        </is>
      </c>
      <c r="O82" s="615" t="n"/>
      <c r="P82" s="154" t="n"/>
      <c r="R82" s="175" t="n"/>
      <c r="S82" s="175">
        <f>_xludf.IFNA(_xlfn.XLOOKUP(Table3[[#This Row],[SKU]],'06_Resource_Plan'!$C$2:$C$58,'06_Resource_Plan'!F:F),"")</f>
        <v/>
      </c>
      <c r="T82" s="600">
        <f>_xludf.IFNA(_xlfn.XLOOKUP(Table3[[#This Row],[SKU]],'00_Yield_Rates'!$B$2:$B$17,'00_Yield_Rates'!$E$2:$E$17),"")</f>
        <v/>
      </c>
    </row>
    <row r="83">
      <c r="A83" s="613" t="inlineStr">
        <is>
          <t>Cut_up</t>
        </is>
      </c>
      <c r="B83" s="624" t="inlineStr">
        <is>
          <t>61050#2</t>
        </is>
      </c>
      <c r="C83" s="615" t="n"/>
      <c r="D83" s="615" t="inlineStr">
        <is>
          <t>WIP</t>
        </is>
      </c>
      <c r="E83" s="615" t="inlineStr">
        <is>
          <t>BSB</t>
        </is>
      </c>
      <c r="F83" s="621" t="n"/>
      <c r="G83" s="615" t="n"/>
      <c r="H83" s="615" t="n"/>
      <c r="I83" s="615" t="n"/>
      <c r="J83" s="616" t="inlineStr">
        <is>
          <t>MS WIP AC BREAST MEAT W/FILLET SILVER</t>
        </is>
      </c>
      <c r="K83" s="620" t="n"/>
      <c r="L83" s="620" t="n"/>
      <c r="M83" s="621" t="n"/>
      <c r="N83" s="619" t="inlineStr">
        <is>
          <t>SILVER</t>
        </is>
      </c>
      <c r="O83" s="615" t="n"/>
      <c r="P83" s="154" t="n"/>
      <c r="R83" s="175" t="n"/>
      <c r="S83" s="175">
        <f>_xludf.IFNA(_xlfn.XLOOKUP(Table3[[#This Row],[SKU]],'06_Resource_Plan'!$C$2:$C$58,'06_Resource_Plan'!F:F),"")</f>
        <v/>
      </c>
      <c r="T83" s="600">
        <f>_xludf.IFNA(_xlfn.XLOOKUP(Table3[[#This Row],[SKU]],'00_Yield_Rates'!$B$2:$B$17,'00_Yield_Rates'!$E$2:$E$17),"")</f>
        <v/>
      </c>
    </row>
    <row r="84">
      <c r="A84" s="613" t="inlineStr">
        <is>
          <t>Cut_up</t>
        </is>
      </c>
      <c r="B84" s="614" t="inlineStr">
        <is>
          <t>61050C</t>
        </is>
      </c>
      <c r="C84" s="615" t="n"/>
      <c r="D84" s="615" t="inlineStr">
        <is>
          <t>WIP</t>
        </is>
      </c>
      <c r="E84" s="615" t="inlineStr">
        <is>
          <t>BSB</t>
        </is>
      </c>
      <c r="F84" s="615" t="n"/>
      <c r="G84" s="615" t="n"/>
      <c r="H84" s="615" t="n"/>
      <c r="I84" s="615" t="n"/>
      <c r="J84" s="616" t="inlineStr">
        <is>
          <t>MS WIP AC BREAST MEAT W/FILLET COSTCO</t>
        </is>
      </c>
      <c r="K84" s="620" t="n"/>
      <c r="L84" s="620" t="n"/>
      <c r="M84" s="621" t="n"/>
      <c r="N84" s="619" t="inlineStr">
        <is>
          <t>PLATINUM</t>
        </is>
      </c>
      <c r="O84" s="615" t="n"/>
      <c r="P84" s="154" t="n"/>
      <c r="R84" s="175" t="n"/>
      <c r="S84" s="175">
        <f>_xludf.IFNA(_xlfn.XLOOKUP(Table3[[#This Row],[SKU]],'06_Resource_Plan'!$C$2:$C$58,'06_Resource_Plan'!F:F),"")</f>
        <v/>
      </c>
      <c r="T84" s="600">
        <f>_xludf.IFNA(_xlfn.XLOOKUP(Table3[[#This Row],[SKU]],'00_Yield_Rates'!$B$2:$B$17,'00_Yield_Rates'!$E$2:$E$17),"")</f>
        <v/>
      </c>
    </row>
    <row r="85">
      <c r="A85" s="613" t="inlineStr">
        <is>
          <t>Cut_up</t>
        </is>
      </c>
      <c r="B85" s="614" t="inlineStr">
        <is>
          <t>61050F</t>
        </is>
      </c>
      <c r="C85" s="615" t="n"/>
      <c r="D85" s="615" t="inlineStr">
        <is>
          <t>WIP</t>
        </is>
      </c>
      <c r="E85" s="615" t="inlineStr">
        <is>
          <t>BSB</t>
        </is>
      </c>
      <c r="F85" s="615" t="n"/>
      <c r="G85" s="615" t="n"/>
      <c r="H85" s="615" t="n"/>
      <c r="I85" s="615" t="n"/>
      <c r="J85" s="616" t="inlineStr">
        <is>
          <t>MS WIP AC BREAST MEAT W/FILLET FFF</t>
        </is>
      </c>
      <c r="K85" s="620" t="n"/>
      <c r="L85" s="620" t="n"/>
      <c r="M85" s="621" t="n"/>
      <c r="N85" s="619" t="inlineStr">
        <is>
          <t>PLATINUM</t>
        </is>
      </c>
      <c r="O85" s="615" t="n"/>
      <c r="P85" s="154" t="n"/>
      <c r="R85" s="175" t="n"/>
      <c r="S85" s="175">
        <f>_xludf.IFNA(_xlfn.XLOOKUP(Table3[[#This Row],[SKU]],'06_Resource_Plan'!$C$2:$C$58,'06_Resource_Plan'!F:F),"")</f>
        <v/>
      </c>
      <c r="T85" s="600">
        <f>_xludf.IFNA(_xlfn.XLOOKUP(Table3[[#This Row],[SKU]],'00_Yield_Rates'!$B$2:$B$17,'00_Yield_Rates'!$E$2:$E$17),"")</f>
        <v/>
      </c>
    </row>
    <row r="86">
      <c r="A86" s="613" t="inlineStr">
        <is>
          <t>Cut_up</t>
        </is>
      </c>
      <c r="B86" s="614" t="inlineStr">
        <is>
          <t>61061F</t>
        </is>
      </c>
      <c r="C86" s="615" t="n"/>
      <c r="D86" s="615" t="inlineStr">
        <is>
          <t>WIP</t>
        </is>
      </c>
      <c r="E86" s="615" t="inlineStr">
        <is>
          <t>BA</t>
        </is>
      </c>
      <c r="F86" s="615" t="n"/>
      <c r="G86" s="615" t="n"/>
      <c r="H86" s="615" t="n"/>
      <c r="I86" s="615" t="n"/>
      <c r="J86" s="616" t="inlineStr">
        <is>
          <t>ZH LCL LEG BA FFF</t>
        </is>
      </c>
      <c r="K86" s="615" t="n"/>
      <c r="L86" s="615" t="n"/>
      <c r="M86" s="621" t="n"/>
      <c r="N86" s="619" t="inlineStr">
        <is>
          <t>PLATINUM</t>
        </is>
      </c>
      <c r="O86" s="615" t="n"/>
      <c r="P86" s="154" t="n"/>
      <c r="R86" s="175" t="n"/>
      <c r="S86" s="175">
        <f>_xludf.IFNA(_xlfn.XLOOKUP(Table3[[#This Row],[SKU]],'06_Resource_Plan'!$C$2:$C$58,'06_Resource_Plan'!F:F),"")</f>
        <v/>
      </c>
      <c r="T86" s="600">
        <f>_xludf.IFNA(_xlfn.XLOOKUP(Table3[[#This Row],[SKU]],'00_Yield_Rates'!$B$2:$B$17,'00_Yield_Rates'!$E$2:$E$17),"")</f>
        <v/>
      </c>
    </row>
    <row r="87">
      <c r="A87" s="613" t="inlineStr">
        <is>
          <t>Cut_up</t>
        </is>
      </c>
      <c r="B87" s="614" t="inlineStr">
        <is>
          <t>61072#2</t>
        </is>
      </c>
      <c r="C87" s="615" t="n"/>
      <c r="D87" s="615" t="inlineStr">
        <is>
          <t>WIP</t>
        </is>
      </c>
      <c r="E87" s="615" t="inlineStr">
        <is>
          <t>DRUM</t>
        </is>
      </c>
      <c r="F87" s="615" t="n"/>
      <c r="G87" s="615" t="n"/>
      <c r="H87" s="615" t="n"/>
      <c r="I87" s="615" t="n"/>
      <c r="J87" s="616" t="inlineStr">
        <is>
          <t>WetChill Drums</t>
        </is>
      </c>
      <c r="K87" s="615" t="n"/>
      <c r="L87" s="615" t="n"/>
      <c r="M87" s="621" t="n"/>
      <c r="N87" s="619" t="inlineStr">
        <is>
          <t>SILVER</t>
        </is>
      </c>
      <c r="O87" s="615" t="n"/>
      <c r="P87" s="154" t="n"/>
      <c r="R87" s="175" t="n"/>
      <c r="S87" s="175">
        <f>_xludf.IFNA(_xlfn.XLOOKUP(Table3[[#This Row],[SKU]],'06_Resource_Plan'!$C$2:$C$58,'06_Resource_Plan'!F:F),"")</f>
        <v/>
      </c>
      <c r="T87" s="600">
        <f>_xludf.IFNA(_xlfn.XLOOKUP(Table3[[#This Row],[SKU]],'00_Yield_Rates'!$B$2:$B$17,'00_Yield_Rates'!$E$2:$E$17),"")</f>
        <v/>
      </c>
    </row>
    <row r="88">
      <c r="A88" s="613" t="inlineStr">
        <is>
          <t>Cut_up</t>
        </is>
      </c>
      <c r="B88" s="614" t="inlineStr">
        <is>
          <t>61072C</t>
        </is>
      </c>
      <c r="C88" s="615" t="n"/>
      <c r="D88" s="615" t="inlineStr">
        <is>
          <t>WIP</t>
        </is>
      </c>
      <c r="E88" s="615" t="inlineStr">
        <is>
          <t>DRUM</t>
        </is>
      </c>
      <c r="F88" s="615" t="n"/>
      <c r="G88" s="615" t="n"/>
      <c r="H88" s="615" t="n"/>
      <c r="I88" s="615" t="n"/>
      <c r="J88" s="616" t="inlineStr">
        <is>
          <t>MS COS DRUMS</t>
        </is>
      </c>
      <c r="K88" s="620" t="n"/>
      <c r="L88" s="620" t="n"/>
      <c r="M88" s="621" t="n"/>
      <c r="N88" s="619" t="inlineStr">
        <is>
          <t>GOLD</t>
        </is>
      </c>
      <c r="O88" s="615" t="n"/>
      <c r="P88" s="154" t="n"/>
      <c r="R88" s="175" t="n"/>
      <c r="S88" s="175">
        <f>_xludf.IFNA(_xlfn.XLOOKUP(Table3[[#This Row],[SKU]],'06_Resource_Plan'!$C$2:$C$58,'06_Resource_Plan'!F:F),"")</f>
        <v/>
      </c>
      <c r="T88" s="600">
        <f>_xludf.IFNA(_xlfn.XLOOKUP(Table3[[#This Row],[SKU]],'00_Yield_Rates'!$B$2:$B$17,'00_Yield_Rates'!$E$2:$E$17),"")</f>
        <v/>
      </c>
    </row>
    <row r="89">
      <c r="A89" s="613" t="inlineStr">
        <is>
          <t>Cut_up</t>
        </is>
      </c>
      <c r="B89" s="614" t="inlineStr">
        <is>
          <t>61072F</t>
        </is>
      </c>
      <c r="C89" s="615" t="n"/>
      <c r="D89" s="615" t="inlineStr">
        <is>
          <t>WIP</t>
        </is>
      </c>
      <c r="E89" s="615" t="inlineStr">
        <is>
          <t>DRUM</t>
        </is>
      </c>
      <c r="F89" s="615" t="n"/>
      <c r="G89" s="615" t="n"/>
      <c r="H89" s="615" t="n"/>
      <c r="I89" s="615" t="n"/>
      <c r="J89" s="616" t="inlineStr">
        <is>
          <t>MS MLF DRUM AC FFF</t>
        </is>
      </c>
      <c r="K89" s="620" t="n"/>
      <c r="L89" s="620" t="n"/>
      <c r="M89" s="621" t="n"/>
      <c r="N89" s="619" t="inlineStr">
        <is>
          <t>PLATINUM</t>
        </is>
      </c>
      <c r="O89" s="615" t="n"/>
      <c r="P89" s="154" t="n"/>
      <c r="R89" s="175" t="n"/>
      <c r="S89" s="175">
        <f>_xludf.IFNA(_xlfn.XLOOKUP(Table3[[#This Row],[SKU]],'06_Resource_Plan'!$C$2:$C$58,'06_Resource_Plan'!F:F),"")</f>
        <v/>
      </c>
      <c r="T89" s="600">
        <f>_xludf.IFNA(_xlfn.XLOOKUP(Table3[[#This Row],[SKU]],'00_Yield_Rates'!$B$2:$B$17,'00_Yield_Rates'!$E$2:$E$17),"")</f>
        <v/>
      </c>
    </row>
    <row r="90">
      <c r="A90" s="613" t="inlineStr">
        <is>
          <t>Cut_up</t>
        </is>
      </c>
      <c r="B90" s="614" t="inlineStr">
        <is>
          <t>61077F</t>
        </is>
      </c>
      <c r="C90" s="615" t="n"/>
      <c r="D90" s="615" t="inlineStr">
        <is>
          <t>WIP</t>
        </is>
      </c>
      <c r="E90" s="615" t="inlineStr">
        <is>
          <t>Thigh</t>
        </is>
      </c>
      <c r="F90" s="615" t="n"/>
      <c r="G90" s="615" t="n"/>
      <c r="H90" s="615" t="n"/>
      <c r="I90" s="615" t="n"/>
      <c r="J90" s="616" t="inlineStr">
        <is>
          <t>MS MLF THIGH AC FFF</t>
        </is>
      </c>
      <c r="K90" s="620" t="n"/>
      <c r="L90" s="620" t="n"/>
      <c r="M90" s="621" t="n"/>
      <c r="N90" s="619" t="inlineStr">
        <is>
          <t>PLATINUM</t>
        </is>
      </c>
      <c r="O90" s="615" t="n"/>
      <c r="P90" s="154" t="n"/>
      <c r="R90" s="175" t="n"/>
      <c r="S90" s="175">
        <f>_xludf.IFNA(_xlfn.XLOOKUP(Table3[[#This Row],[SKU]],'06_Resource_Plan'!$C$2:$C$58,'06_Resource_Plan'!F:F),"")</f>
        <v/>
      </c>
      <c r="T90" s="600">
        <f>_xludf.IFNA(_xlfn.XLOOKUP(Table3[[#This Row],[SKU]],'00_Yield_Rates'!$B$2:$B$17,'00_Yield_Rates'!$E$2:$E$17),"")</f>
        <v/>
      </c>
    </row>
    <row r="91">
      <c r="A91" s="613" t="inlineStr">
        <is>
          <t>Cut_up</t>
        </is>
      </c>
      <c r="B91" s="614" t="inlineStr">
        <is>
          <t>61086#2</t>
        </is>
      </c>
      <c r="C91" s="615" t="n"/>
      <c r="D91" s="615" t="inlineStr">
        <is>
          <t>WIP</t>
        </is>
      </c>
      <c r="E91" s="615" t="inlineStr">
        <is>
          <t>ThighMeat</t>
        </is>
      </c>
      <c r="F91" s="615" t="n"/>
      <c r="G91" s="615" t="n"/>
      <c r="H91" s="615" t="n"/>
      <c r="I91" s="615" t="n"/>
      <c r="J91" s="616" t="inlineStr">
        <is>
          <t>MS WIP AC THIGH MEAT SILVER</t>
        </is>
      </c>
      <c r="K91" s="620" t="n"/>
      <c r="L91" s="620" t="n"/>
      <c r="M91" s="621" t="n"/>
      <c r="N91" s="619" t="inlineStr">
        <is>
          <t>SILVER</t>
        </is>
      </c>
      <c r="O91" s="615" t="n"/>
      <c r="P91" s="154" t="n"/>
      <c r="R91" s="175" t="n"/>
      <c r="S91" s="175">
        <f>_xludf.IFNA(_xlfn.XLOOKUP(Table3[[#This Row],[SKU]],'06_Resource_Plan'!$C$2:$C$58,'06_Resource_Plan'!F:F),"")</f>
        <v/>
      </c>
      <c r="T91" s="600">
        <f>_xludf.IFNA(_xlfn.XLOOKUP(Table3[[#This Row],[SKU]],'00_Yield_Rates'!$B$2:$B$17,'00_Yield_Rates'!$E$2:$E$17),"")</f>
        <v/>
      </c>
    </row>
    <row r="92">
      <c r="A92" s="613" t="inlineStr">
        <is>
          <t>Cut_up</t>
        </is>
      </c>
      <c r="B92" s="614" t="inlineStr">
        <is>
          <t>61086C</t>
        </is>
      </c>
      <c r="C92" s="615" t="n"/>
      <c r="D92" s="615" t="inlineStr">
        <is>
          <t>WIP</t>
        </is>
      </c>
      <c r="E92" s="615" t="inlineStr">
        <is>
          <t>ThighMeat</t>
        </is>
      </c>
      <c r="F92" s="615" t="n"/>
      <c r="G92" s="615" t="n"/>
      <c r="H92" s="615" t="n"/>
      <c r="I92" s="615" t="n"/>
      <c r="J92" s="616" t="inlineStr">
        <is>
          <t>MS WIP AC THIGH MEAT COSTCO</t>
        </is>
      </c>
      <c r="K92" s="617" t="n"/>
      <c r="L92" s="617" t="n"/>
      <c r="M92" s="618" t="n"/>
      <c r="N92" s="619" t="inlineStr">
        <is>
          <t>GOLD</t>
        </is>
      </c>
      <c r="O92" s="615" t="n"/>
      <c r="P92" s="154" t="n"/>
      <c r="R92" s="175" t="n"/>
      <c r="S92" s="175">
        <f>_xludf.IFNA(_xlfn.XLOOKUP(Table3[[#This Row],[SKU]],'06_Resource_Plan'!$C$2:$C$58,'06_Resource_Plan'!F:F),"")</f>
        <v/>
      </c>
      <c r="T92" s="600">
        <f>_xludf.IFNA(_xlfn.XLOOKUP(Table3[[#This Row],[SKU]],'00_Yield_Rates'!$B$2:$B$17,'00_Yield_Rates'!$E$2:$E$17),"")</f>
        <v/>
      </c>
    </row>
    <row r="93">
      <c r="A93" s="613" t="inlineStr">
        <is>
          <t>Cut_up</t>
        </is>
      </c>
      <c r="B93" s="624" t="inlineStr">
        <is>
          <t>61086F</t>
        </is>
      </c>
      <c r="C93" s="615" t="n"/>
      <c r="D93" s="615" t="inlineStr">
        <is>
          <t>WIP</t>
        </is>
      </c>
      <c r="E93" s="615" t="inlineStr">
        <is>
          <t>ThighMeat</t>
        </is>
      </c>
      <c r="F93" s="621" t="n"/>
      <c r="G93" s="615" t="n"/>
      <c r="H93" s="615" t="n"/>
      <c r="I93" s="615" t="n"/>
      <c r="J93" s="616" t="inlineStr">
        <is>
          <t>MS WIP AC THIGH MEAT FFF</t>
        </is>
      </c>
      <c r="K93" s="620" t="n"/>
      <c r="L93" s="620" t="n"/>
      <c r="M93" s="621" t="n"/>
      <c r="N93" s="619" t="inlineStr">
        <is>
          <t>PLATINUM</t>
        </is>
      </c>
      <c r="O93" s="615" t="n"/>
      <c r="P93" s="154" t="n"/>
      <c r="R93" s="175" t="n"/>
      <c r="S93" s="175" t="n"/>
      <c r="T93" s="600">
        <f>_xludf.IFNA(_xlfn.XLOOKUP(Table3[[#This Row],[SKU]],'00_Yield_Rates'!$B$2:$B$17,'00_Yield_Rates'!$E$2:$E$17),"")</f>
        <v/>
      </c>
    </row>
    <row r="94">
      <c r="A94" s="625" t="inlineStr">
        <is>
          <t>Tray_Pack</t>
        </is>
      </c>
      <c r="B94" s="626" t="n">
        <v>260</v>
      </c>
      <c r="C94" s="627" t="inlineStr">
        <is>
          <t>61050#2</t>
        </is>
      </c>
      <c r="D94" s="627" t="inlineStr">
        <is>
          <t>LCL</t>
        </is>
      </c>
      <c r="E94" s="627" t="inlineStr">
        <is>
          <t>BSB</t>
        </is>
      </c>
      <c r="F94" s="627" t="n"/>
      <c r="G94" s="627" t="n">
        <v>8</v>
      </c>
      <c r="H94" s="627" t="inlineStr">
        <is>
          <t>PET 8</t>
        </is>
      </c>
      <c r="I94" s="627" t="inlineStr">
        <is>
          <t>Small</t>
        </is>
      </c>
      <c r="J94" s="628" t="inlineStr">
        <is>
          <t>MS LCL BSHB PET8 PP</t>
        </is>
      </c>
      <c r="K94" s="629" t="inlineStr">
        <is>
          <t>Fast</t>
        </is>
      </c>
      <c r="L94" s="629" t="inlineStr">
        <is>
          <t>BOX</t>
        </is>
      </c>
      <c r="M94" s="630" t="n">
        <v>109.6</v>
      </c>
      <c r="N94" s="631" t="inlineStr">
        <is>
          <t>SILVER</t>
        </is>
      </c>
      <c r="O94" s="627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600">
        <f>_xludf.IFNA(_xlfn.XLOOKUP(Table3[[#This Row],[SKU]],'00_Yield_Rates'!$B$2:$B$17,'00_Yield_Rates'!$E$2:$E$17),"")</f>
        <v/>
      </c>
    </row>
    <row r="95">
      <c r="A95" s="625" t="inlineStr">
        <is>
          <t>Tray_Pack</t>
        </is>
      </c>
      <c r="B95" s="626" t="n">
        <v>331</v>
      </c>
      <c r="C95" s="627" t="n">
        <v>61061</v>
      </c>
      <c r="D95" s="627" t="inlineStr">
        <is>
          <t>METRO</t>
        </is>
      </c>
      <c r="E95" s="627" t="inlineStr">
        <is>
          <t>BA</t>
        </is>
      </c>
      <c r="F95" s="627" t="n">
        <v>10.0088994565217</v>
      </c>
      <c r="G95" s="627" t="n">
        <v>16</v>
      </c>
      <c r="H95" s="627" t="inlineStr">
        <is>
          <t>ST 3XP</t>
        </is>
      </c>
      <c r="I95" s="627" t="inlineStr">
        <is>
          <t>Small</t>
        </is>
      </c>
      <c r="J95" s="628" t="inlineStr">
        <is>
          <t>MS LEG BA ST</t>
        </is>
      </c>
      <c r="K95" s="629" t="inlineStr">
        <is>
          <t>Fast</t>
        </is>
      </c>
      <c r="L95" s="629" t="inlineStr">
        <is>
          <t>6.5 BOX</t>
        </is>
      </c>
      <c r="M95" s="630" t="n">
        <v>32.31</v>
      </c>
      <c r="N95" s="631" t="inlineStr">
        <is>
          <t>SILVER</t>
        </is>
      </c>
      <c r="O95" s="627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600">
        <f>_xludf.IFNA(_xlfn.XLOOKUP(Table3[[#This Row],[SKU]],'00_Yield_Rates'!$B$2:$B$17,'00_Yield_Rates'!$E$2:$E$17),"")</f>
        <v/>
      </c>
    </row>
    <row r="96">
      <c r="A96" s="625" t="inlineStr">
        <is>
          <t>Tray_Pack</t>
        </is>
      </c>
      <c r="B96" s="626" t="n">
        <v>349</v>
      </c>
      <c r="C96" s="627" t="inlineStr">
        <is>
          <t>61040#2</t>
        </is>
      </c>
      <c r="D96" s="627" t="inlineStr">
        <is>
          <t>FB</t>
        </is>
      </c>
      <c r="E96" s="627" t="inlineStr">
        <is>
          <t>SplitBreast</t>
        </is>
      </c>
      <c r="F96" s="627" t="n"/>
      <c r="G96" s="627" t="n">
        <v>16</v>
      </c>
      <c r="H96" s="627" t="inlineStr">
        <is>
          <t>ST 3XP</t>
        </is>
      </c>
      <c r="I96" s="627" t="inlineStr">
        <is>
          <t>Small</t>
        </is>
      </c>
      <c r="J96" s="628" t="inlineStr">
        <is>
          <t>PB HB ST</t>
        </is>
      </c>
      <c r="K96" s="629" t="inlineStr">
        <is>
          <t>Fast</t>
        </is>
      </c>
      <c r="L96" s="629" t="inlineStr">
        <is>
          <t>6.5 BOX</t>
        </is>
      </c>
      <c r="M96" s="630" t="n">
        <v>48.8</v>
      </c>
      <c r="N96" s="631" t="inlineStr">
        <is>
          <t>SILVER</t>
        </is>
      </c>
      <c r="O96" s="627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600">
        <f>_xludf.IFNA(_xlfn.XLOOKUP(Table3[[#This Row],[SKU]],'00_Yield_Rates'!$B$2:$B$17,'00_Yield_Rates'!$E$2:$E$17),"")</f>
        <v/>
      </c>
    </row>
    <row r="97">
      <c r="A97" s="625" t="inlineStr">
        <is>
          <t>Tray_Pack</t>
        </is>
      </c>
      <c r="B97" s="626" t="n">
        <v>484</v>
      </c>
      <c r="C97" s="627" t="n">
        <v>61121</v>
      </c>
      <c r="D97" s="627" t="inlineStr">
        <is>
          <t>FB</t>
        </is>
      </c>
      <c r="E97" s="627" t="inlineStr">
        <is>
          <t>BackBone</t>
        </is>
      </c>
      <c r="F97" s="627" t="n">
        <v>9.41501846532622</v>
      </c>
      <c r="G97" s="627" t="n">
        <v>16</v>
      </c>
      <c r="H97" s="627" t="inlineStr">
        <is>
          <t>ST 3XP</t>
        </is>
      </c>
      <c r="I97" s="627" t="inlineStr">
        <is>
          <t>Small</t>
        </is>
      </c>
      <c r="J97" s="628" t="inlineStr">
        <is>
          <t>MS BACK ST PP</t>
        </is>
      </c>
      <c r="K97" s="632" t="inlineStr">
        <is>
          <t>Fast</t>
        </is>
      </c>
      <c r="L97" s="632" t="inlineStr">
        <is>
          <t>6.5 BOX</t>
        </is>
      </c>
      <c r="M97" s="633" t="n">
        <v>47.38</v>
      </c>
      <c r="N97" s="631" t="inlineStr">
        <is>
          <t>SILVER</t>
        </is>
      </c>
      <c r="O97" s="627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600">
        <f>_xludf.IFNA(_xlfn.XLOOKUP(Table3[[#This Row],[SKU]],'00_Yield_Rates'!$B$2:$B$17,'00_Yield_Rates'!$E$2:$E$17),"")</f>
        <v/>
      </c>
    </row>
    <row r="98">
      <c r="A98" s="625" t="inlineStr">
        <is>
          <t>Tray_Pack</t>
        </is>
      </c>
      <c r="B98" s="626" t="n">
        <v>784</v>
      </c>
      <c r="C98" s="627" t="inlineStr">
        <is>
          <t>61086#2</t>
        </is>
      </c>
      <c r="D98" s="627" t="inlineStr">
        <is>
          <t>FB</t>
        </is>
      </c>
      <c r="E98" s="627" t="inlineStr">
        <is>
          <t>ThighMeat</t>
        </is>
      </c>
      <c r="F98" s="627" t="n">
        <v>8.2634387451455</v>
      </c>
      <c r="G98" s="627" t="n">
        <v>8</v>
      </c>
      <c r="H98" s="627" t="inlineStr">
        <is>
          <t>LT 8XP</t>
        </is>
      </c>
      <c r="I98" s="627" t="inlineStr">
        <is>
          <t>Large</t>
        </is>
      </c>
      <c r="J98" s="628" t="inlineStr">
        <is>
          <t>MS BSC BSTHIGH LT PP</t>
        </is>
      </c>
      <c r="K98" s="629" t="inlineStr">
        <is>
          <t>Slow</t>
        </is>
      </c>
      <c r="L98" s="629" t="inlineStr">
        <is>
          <t>BOX</t>
        </is>
      </c>
      <c r="M98" s="630" t="n">
        <v>17.92</v>
      </c>
      <c r="N98" s="631" t="inlineStr">
        <is>
          <t>SILVER</t>
        </is>
      </c>
      <c r="O98" s="627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600">
        <f>_xludf.IFNA(_xlfn.XLOOKUP(Table3[[#This Row],[SKU]],'00_Yield_Rates'!$B$2:$B$17,'00_Yield_Rates'!$E$2:$E$17),"")</f>
        <v/>
      </c>
    </row>
    <row r="99">
      <c r="A99" s="625" t="inlineStr">
        <is>
          <t>Tray_Pack</t>
        </is>
      </c>
      <c r="B99" s="626" t="n">
        <v>946</v>
      </c>
      <c r="C99" s="627" t="inlineStr">
        <is>
          <t>61040#2</t>
        </is>
      </c>
      <c r="D99" s="627" t="inlineStr">
        <is>
          <t>FB</t>
        </is>
      </c>
      <c r="E99" s="627" t="inlineStr">
        <is>
          <t>SplitBreast</t>
        </is>
      </c>
      <c r="F99" s="627" t="n"/>
      <c r="G99" s="627" t="n">
        <v>6</v>
      </c>
      <c r="H99" s="627" t="inlineStr">
        <is>
          <t>LT 14D</t>
        </is>
      </c>
      <c r="I99" s="627" t="inlineStr">
        <is>
          <t>Clubpack</t>
        </is>
      </c>
      <c r="J99" s="628" t="inlineStr">
        <is>
          <t>PB BSC HB FT PP 8/BOX</t>
        </is>
      </c>
      <c r="K99" s="629" t="inlineStr">
        <is>
          <t>Fast</t>
        </is>
      </c>
      <c r="L99" s="629" t="inlineStr">
        <is>
          <t>6.5 BOX</t>
        </is>
      </c>
      <c r="M99" s="630" t="n">
        <v>55.73</v>
      </c>
      <c r="N99" s="631" t="inlineStr">
        <is>
          <t>SILVER</t>
        </is>
      </c>
      <c r="O99" s="627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600">
        <f>_xludf.IFNA(_xlfn.XLOOKUP(Table3[[#This Row],[SKU]],'00_Yield_Rates'!$B$2:$B$17,'00_Yield_Rates'!$E$2:$E$17),"")</f>
        <v/>
      </c>
    </row>
    <row r="100">
      <c r="A100" s="625" t="inlineStr">
        <is>
          <t>Tray_Pack</t>
        </is>
      </c>
      <c r="B100" s="626" t="n">
        <v>956</v>
      </c>
      <c r="C100" s="627" t="inlineStr">
        <is>
          <t>61072#2</t>
        </is>
      </c>
      <c r="D100" s="627" t="inlineStr">
        <is>
          <t>FB</t>
        </is>
      </c>
      <c r="E100" s="627" t="inlineStr">
        <is>
          <t>Drum</t>
        </is>
      </c>
      <c r="F100" s="627" t="n"/>
      <c r="G100" s="627" t="n">
        <v>6</v>
      </c>
      <c r="H100" s="627" t="inlineStr">
        <is>
          <t>LT 14D</t>
        </is>
      </c>
      <c r="I100" s="627" t="inlineStr">
        <is>
          <t>Clubpack</t>
        </is>
      </c>
      <c r="J100" s="628" t="inlineStr">
        <is>
          <t>PB BSC DRUM FT PP</t>
        </is>
      </c>
      <c r="K100" s="629" t="inlineStr">
        <is>
          <t>Fast</t>
        </is>
      </c>
      <c r="L100" s="629" t="inlineStr">
        <is>
          <t>6.5 BOX</t>
        </is>
      </c>
      <c r="M100" s="630" t="n">
        <v>72.73</v>
      </c>
      <c r="N100" s="631" t="n"/>
      <c r="O100" s="627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600">
        <f>_xludf.IFNA(_xlfn.XLOOKUP(Table3[[#This Row],[SKU]],'00_Yield_Rates'!$B$2:$B$17,'00_Yield_Rates'!$E$2:$E$17),"")</f>
        <v/>
      </c>
    </row>
    <row r="101">
      <c r="A101" s="625" t="inlineStr">
        <is>
          <t>Tray_Pack</t>
        </is>
      </c>
      <c r="B101" s="626" t="n">
        <v>957</v>
      </c>
      <c r="C101" s="627" t="n">
        <v>61082</v>
      </c>
      <c r="D101" s="627" t="inlineStr">
        <is>
          <t>FB</t>
        </is>
      </c>
      <c r="E101" s="627" t="inlineStr">
        <is>
          <t>Thigh</t>
        </is>
      </c>
      <c r="F101" s="627" t="n"/>
      <c r="G101" s="627" t="n">
        <v>6</v>
      </c>
      <c r="H101" s="627" t="inlineStr">
        <is>
          <t>LT 14D</t>
        </is>
      </c>
      <c r="I101" s="627" t="inlineStr">
        <is>
          <t>Clubpack</t>
        </is>
      </c>
      <c r="J101" s="628" t="inlineStr">
        <is>
          <t>PB BSC THIGH FT PP</t>
        </is>
      </c>
      <c r="K101" s="629" t="inlineStr">
        <is>
          <t>Fast</t>
        </is>
      </c>
      <c r="L101" s="632" t="inlineStr">
        <is>
          <t>6.5 BOX</t>
        </is>
      </c>
      <c r="M101" s="633" t="n">
        <v>57.23</v>
      </c>
      <c r="N101" s="631" t="n"/>
      <c r="O101" s="627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600">
        <f>_xludf.IFNA(_xlfn.XLOOKUP(Table3[[#This Row],[SKU]],'00_Yield_Rates'!$B$2:$B$17,'00_Yield_Rates'!$E$2:$E$17),"")</f>
        <v/>
      </c>
    </row>
    <row r="102">
      <c r="A102" s="625" t="inlineStr">
        <is>
          <t>Tray_Pack</t>
        </is>
      </c>
      <c r="B102" s="626" t="n">
        <v>1023</v>
      </c>
      <c r="C102" s="627" t="n">
        <v>61121</v>
      </c>
      <c r="D102" s="627" t="inlineStr">
        <is>
          <t>METRO</t>
        </is>
      </c>
      <c r="E102" s="627" t="inlineStr">
        <is>
          <t>Backbone</t>
        </is>
      </c>
      <c r="F102" s="627" t="n">
        <v>9.37012559402579</v>
      </c>
      <c r="G102" s="627" t="n">
        <v>16</v>
      </c>
      <c r="H102" s="627" t="inlineStr">
        <is>
          <t>ST 3XP</t>
        </is>
      </c>
      <c r="I102" s="627" t="inlineStr">
        <is>
          <t>Small</t>
        </is>
      </c>
      <c r="J102" s="628" t="inlineStr">
        <is>
          <t>PB BACK ST</t>
        </is>
      </c>
      <c r="K102" s="632" t="inlineStr">
        <is>
          <t>Fast</t>
        </is>
      </c>
      <c r="L102" s="632" t="inlineStr">
        <is>
          <t>6.5 BOX</t>
        </is>
      </c>
      <c r="M102" s="633" t="n">
        <v>47.38</v>
      </c>
      <c r="N102" s="631" t="inlineStr">
        <is>
          <t>SILVER</t>
        </is>
      </c>
      <c r="O102" s="627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600">
        <f>_xludf.IFNA(_xlfn.XLOOKUP(Table3[[#This Row],[SKU]],'00_Yield_Rates'!$B$2:$B$17,'00_Yield_Rates'!$E$2:$E$17),"")</f>
        <v/>
      </c>
    </row>
    <row r="103">
      <c r="A103" s="625" t="inlineStr">
        <is>
          <t>Tray_Pack</t>
        </is>
      </c>
      <c r="B103" s="626" t="n">
        <v>1830</v>
      </c>
      <c r="C103" s="627" t="inlineStr">
        <is>
          <t>61050F</t>
        </is>
      </c>
      <c r="D103" s="627" t="inlineStr">
        <is>
          <t>FB</t>
        </is>
      </c>
      <c r="E103" s="627" t="inlineStr">
        <is>
          <t>BSB</t>
        </is>
      </c>
      <c r="F103" s="627" t="n">
        <v>3.58673735119047</v>
      </c>
      <c r="G103" s="627" t="n">
        <v>8</v>
      </c>
      <c r="H103" s="627" t="inlineStr">
        <is>
          <t>ST 3D</t>
        </is>
      </c>
      <c r="I103" s="627" t="inlineStr">
        <is>
          <t>Small</t>
        </is>
      </c>
      <c r="J103" s="628" t="inlineStr">
        <is>
          <t>MS BSC FFTF BSHB AC 3D PP</t>
        </is>
      </c>
      <c r="K103" s="629" t="inlineStr">
        <is>
          <t>Fast</t>
        </is>
      </c>
      <c r="L103" s="629" t="inlineStr">
        <is>
          <t>BOX</t>
        </is>
      </c>
      <c r="M103" s="630" t="n">
        <v>56.51</v>
      </c>
      <c r="N103" s="631" t="inlineStr">
        <is>
          <t>PLATINUM</t>
        </is>
      </c>
      <c r="O103" s="627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600">
        <f>_xludf.IFNA(_xlfn.XLOOKUP(Table3[[#This Row],[SKU]],'00_Yield_Rates'!$B$2:$B$17,'00_Yield_Rates'!$E$2:$E$17),"")</f>
        <v/>
      </c>
    </row>
    <row r="104">
      <c r="A104" s="625" t="inlineStr">
        <is>
          <t>Tray_Pack</t>
        </is>
      </c>
      <c r="B104" s="634" t="n">
        <v>1831</v>
      </c>
      <c r="C104" s="627" t="n">
        <v>203021</v>
      </c>
      <c r="D104" s="627" t="inlineStr">
        <is>
          <t>FB</t>
        </is>
      </c>
      <c r="E104" s="627" t="inlineStr">
        <is>
          <t>Whole Bird-Small</t>
        </is>
      </c>
      <c r="F104" s="630" t="n">
        <v>7.23819556265748</v>
      </c>
      <c r="G104" s="627" t="n">
        <v>5</v>
      </c>
      <c r="H104" s="627" t="inlineStr">
        <is>
          <t>ST 3XP</t>
        </is>
      </c>
      <c r="I104" s="627" t="inlineStr">
        <is>
          <t>Small</t>
        </is>
      </c>
      <c r="J104" s="628" t="inlineStr">
        <is>
          <t>MS BSC FFTF FRY WOG TI AC 3XP PP</t>
        </is>
      </c>
      <c r="K104" s="632" t="inlineStr">
        <is>
          <t>Fast</t>
        </is>
      </c>
      <c r="L104" s="629" t="inlineStr">
        <is>
          <t>BOX</t>
        </is>
      </c>
      <c r="M104" s="630" t="n">
        <v>131.17</v>
      </c>
      <c r="N104" s="631" t="n"/>
      <c r="O104" s="627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600">
        <f>_xludf.IFNA(_xlfn.XLOOKUP(Table3[[#This Row],[SKU]],'00_Yield_Rates'!$B$2:$B$17,'00_Yield_Rates'!$E$2:$E$17),"")</f>
        <v/>
      </c>
    </row>
    <row r="105">
      <c r="A105" s="625" t="inlineStr">
        <is>
          <t>Tray_Pack</t>
        </is>
      </c>
      <c r="B105" s="626" t="n">
        <v>1837</v>
      </c>
      <c r="C105" s="627" t="n">
        <v>61010</v>
      </c>
      <c r="D105" s="627" t="inlineStr">
        <is>
          <t>FB</t>
        </is>
      </c>
      <c r="E105" s="627" t="inlineStr">
        <is>
          <t>Whole Wing-Large</t>
        </is>
      </c>
      <c r="F105" s="627" t="n"/>
      <c r="G105" s="627" t="n">
        <v>6</v>
      </c>
      <c r="H105" s="627" t="inlineStr">
        <is>
          <t>LT 8XP</t>
        </is>
      </c>
      <c r="I105" s="627" t="inlineStr">
        <is>
          <t>Large</t>
        </is>
      </c>
      <c r="J105" s="628" t="inlineStr">
        <is>
          <t>PB WING LT PP</t>
        </is>
      </c>
      <c r="K105" s="629" t="inlineStr">
        <is>
          <t>Fast</t>
        </is>
      </c>
      <c r="L105" s="630" t="inlineStr">
        <is>
          <t>BOX</t>
        </is>
      </c>
      <c r="M105" s="630" t="n">
        <v>38.69</v>
      </c>
      <c r="N105" s="631" t="inlineStr">
        <is>
          <t>SILVER</t>
        </is>
      </c>
      <c r="O105" s="627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600">
        <f>_xludf.IFNA(_xlfn.XLOOKUP(Table3[[#This Row],[SKU]],'00_Yield_Rates'!$B$2:$B$17,'00_Yield_Rates'!$E$2:$E$17),"")</f>
        <v/>
      </c>
    </row>
    <row r="106">
      <c r="A106" s="625" t="inlineStr">
        <is>
          <t>Tray_Pack</t>
        </is>
      </c>
      <c r="B106" s="626" t="n">
        <v>1838</v>
      </c>
      <c r="C106" s="627" t="inlineStr">
        <is>
          <t>61050F</t>
        </is>
      </c>
      <c r="D106" s="627" t="inlineStr">
        <is>
          <t>FB</t>
        </is>
      </c>
      <c r="E106" s="627" t="inlineStr">
        <is>
          <t>BSB</t>
        </is>
      </c>
      <c r="F106" s="627" t="n"/>
      <c r="G106" s="627" t="n">
        <v>8</v>
      </c>
      <c r="H106" s="627" t="inlineStr">
        <is>
          <t>ST 3D</t>
        </is>
      </c>
      <c r="I106" s="627" t="inlineStr">
        <is>
          <t>Small</t>
        </is>
      </c>
      <c r="J106" s="628" t="inlineStr">
        <is>
          <t>MS MLF BSHB AC ST</t>
        </is>
      </c>
      <c r="K106" s="629" t="inlineStr">
        <is>
          <t>Fast</t>
        </is>
      </c>
      <c r="L106" s="630" t="inlineStr">
        <is>
          <t>BOX</t>
        </is>
      </c>
      <c r="M106" s="630" t="n">
        <v>56.51</v>
      </c>
      <c r="N106" s="631" t="inlineStr">
        <is>
          <t>PLATINUM</t>
        </is>
      </c>
      <c r="O106" s="627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600">
        <f>_xludf.IFNA(_xlfn.XLOOKUP(Table3[[#This Row],[SKU]],'00_Yield_Rates'!$B$2:$B$17,'00_Yield_Rates'!$E$2:$E$17),"")</f>
        <v/>
      </c>
    </row>
    <row r="107">
      <c r="A107" s="625" t="inlineStr">
        <is>
          <t>Tray_Pack</t>
        </is>
      </c>
      <c r="B107" s="626" t="n">
        <v>1839</v>
      </c>
      <c r="C107" s="627" t="n">
        <v>203021</v>
      </c>
      <c r="D107" s="627" t="inlineStr">
        <is>
          <t>FB</t>
        </is>
      </c>
      <c r="E107" s="627" t="inlineStr">
        <is>
          <t>Whole Bird-Small</t>
        </is>
      </c>
      <c r="F107" s="627" t="n"/>
      <c r="G107" s="627" t="n">
        <v>5</v>
      </c>
      <c r="H107" s="627" t="inlineStr">
        <is>
          <t>ST 3XP</t>
        </is>
      </c>
      <c r="I107" s="627" t="inlineStr">
        <is>
          <t>Small</t>
        </is>
      </c>
      <c r="J107" s="628" t="inlineStr">
        <is>
          <t>MS MLF FRY WOG AC TI PET</t>
        </is>
      </c>
      <c r="K107" s="632" t="inlineStr">
        <is>
          <t>Fast</t>
        </is>
      </c>
      <c r="L107" s="630" t="inlineStr">
        <is>
          <t>BOX</t>
        </is>
      </c>
      <c r="M107" s="630" t="n">
        <v>131.17</v>
      </c>
      <c r="N107" s="631" t="n"/>
      <c r="O107" s="627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600">
        <f>_xludf.IFNA(_xlfn.XLOOKUP(Table3[[#This Row],[SKU]],'00_Yield_Rates'!$B$2:$B$17,'00_Yield_Rates'!$E$2:$E$17),"")</f>
        <v/>
      </c>
    </row>
    <row r="108">
      <c r="A108" s="625" t="inlineStr">
        <is>
          <t>Tray_Pack</t>
        </is>
      </c>
      <c r="B108" s="626" t="n">
        <v>1842</v>
      </c>
      <c r="C108" s="627" t="n">
        <v>61040</v>
      </c>
      <c r="D108" s="627" t="inlineStr">
        <is>
          <t>FB</t>
        </is>
      </c>
      <c r="E108" s="627" t="inlineStr">
        <is>
          <t>SplitBreast</t>
        </is>
      </c>
      <c r="F108" s="627" t="n"/>
      <c r="G108" s="627" t="n">
        <v>8</v>
      </c>
      <c r="H108" s="627" t="inlineStr">
        <is>
          <t>ST 3D</t>
        </is>
      </c>
      <c r="I108" s="627" t="inlineStr">
        <is>
          <t>Small</t>
        </is>
      </c>
      <c r="J108" s="628" t="inlineStr">
        <is>
          <t>MS MLF HB AC ST</t>
        </is>
      </c>
      <c r="K108" s="629" t="inlineStr">
        <is>
          <t>Fast</t>
        </is>
      </c>
      <c r="L108" s="630" t="inlineStr">
        <is>
          <t>BOX</t>
        </is>
      </c>
      <c r="M108" s="630" t="n">
        <v>51.65</v>
      </c>
      <c r="N108" s="631" t="inlineStr">
        <is>
          <t>PLATINUM</t>
        </is>
      </c>
      <c r="O108" s="627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600">
        <f>_xludf.IFNA(_xlfn.XLOOKUP(Table3[[#This Row],[SKU]],'00_Yield_Rates'!$B$2:$B$17,'00_Yield_Rates'!$E$2:$E$17),"")</f>
        <v/>
      </c>
    </row>
    <row r="109">
      <c r="A109" s="625" t="inlineStr">
        <is>
          <t>Tray_Pack</t>
        </is>
      </c>
      <c r="B109" s="626" t="n">
        <v>1843</v>
      </c>
      <c r="C109" s="627" t="n">
        <v>61014</v>
      </c>
      <c r="D109" s="627" t="inlineStr">
        <is>
          <t>FB</t>
        </is>
      </c>
      <c r="E109" s="627" t="inlineStr">
        <is>
          <t>SplitWing</t>
        </is>
      </c>
      <c r="F109" s="627" t="n"/>
      <c r="G109" s="627" t="n">
        <v>8</v>
      </c>
      <c r="H109" s="627" t="inlineStr">
        <is>
          <t>ST 3D</t>
        </is>
      </c>
      <c r="I109" s="627" t="inlineStr">
        <is>
          <t>Small</t>
        </is>
      </c>
      <c r="J109" s="628" t="inlineStr">
        <is>
          <t>MS MLF SPL WING AC ST</t>
        </is>
      </c>
      <c r="K109" s="629" t="inlineStr">
        <is>
          <t>Slow</t>
        </is>
      </c>
      <c r="L109" s="630" t="inlineStr">
        <is>
          <t>BOX</t>
        </is>
      </c>
      <c r="M109" s="630" t="n">
        <v>27.65</v>
      </c>
      <c r="N109" s="631" t="inlineStr">
        <is>
          <t>PLATINUM</t>
        </is>
      </c>
      <c r="O109" s="627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600">
        <f>_xludf.IFNA(_xlfn.XLOOKUP(Table3[[#This Row],[SKU]],'00_Yield_Rates'!$B$2:$B$17,'00_Yield_Rates'!$E$2:$E$17),"")</f>
        <v/>
      </c>
    </row>
    <row r="110">
      <c r="A110" s="625" t="inlineStr">
        <is>
          <t>Tray_Pack</t>
        </is>
      </c>
      <c r="B110" s="626" t="n">
        <v>1874</v>
      </c>
      <c r="C110" s="627" t="n">
        <v>61050</v>
      </c>
      <c r="D110" s="627" t="inlineStr">
        <is>
          <t>FB</t>
        </is>
      </c>
      <c r="E110" s="627" t="inlineStr">
        <is>
          <t>BSB</t>
        </is>
      </c>
      <c r="F110" s="627" t="n"/>
      <c r="G110" s="627" t="n">
        <v>8</v>
      </c>
      <c r="H110" s="627" t="inlineStr">
        <is>
          <t>ST 3D</t>
        </is>
      </c>
      <c r="I110" s="627" t="inlineStr">
        <is>
          <t>Small</t>
        </is>
      </c>
      <c r="J110" s="628" t="inlineStr">
        <is>
          <t>MS FFF 3pc Breast</t>
        </is>
      </c>
      <c r="K110" s="629" t="inlineStr">
        <is>
          <t>Fast</t>
        </is>
      </c>
      <c r="L110" s="632" t="inlineStr">
        <is>
          <t>BOX</t>
        </is>
      </c>
      <c r="M110" s="633" t="n">
        <v>74.40000000000001</v>
      </c>
      <c r="N110" s="631" t="inlineStr">
        <is>
          <t>PLATINUM</t>
        </is>
      </c>
      <c r="O110" s="627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600">
        <f>_xludf.IFNA(_xlfn.XLOOKUP(Table3[[#This Row],[SKU]],'00_Yield_Rates'!$B$2:$B$17,'00_Yield_Rates'!$E$2:$E$17),"")</f>
        <v/>
      </c>
    </row>
    <row r="111">
      <c r="A111" s="625" t="inlineStr">
        <is>
          <t>Tray_Pack</t>
        </is>
      </c>
      <c r="B111" s="626" t="n">
        <v>1876</v>
      </c>
      <c r="C111" s="627" t="inlineStr">
        <is>
          <t>61072#2</t>
        </is>
      </c>
      <c r="D111" s="627" t="inlineStr">
        <is>
          <t>FB</t>
        </is>
      </c>
      <c r="E111" s="627" t="inlineStr">
        <is>
          <t>Drum</t>
        </is>
      </c>
      <c r="F111" s="627" t="n">
        <v>10.6241185173648</v>
      </c>
      <c r="G111" s="627" t="n">
        <v>6</v>
      </c>
      <c r="H111" s="627" t="inlineStr">
        <is>
          <t>LT 14D</t>
        </is>
      </c>
      <c r="I111" s="627" t="inlineStr">
        <is>
          <t>Clubpack</t>
        </is>
      </c>
      <c r="J111" s="628" t="inlineStr">
        <is>
          <t>MS BSC DRUM 14D PP</t>
        </is>
      </c>
      <c r="K111" s="629" t="inlineStr">
        <is>
          <t>Fast</t>
        </is>
      </c>
      <c r="L111" s="632" t="inlineStr">
        <is>
          <t>BOX</t>
        </is>
      </c>
      <c r="M111" s="633" t="n">
        <v>72.73</v>
      </c>
      <c r="N111" s="631" t="inlineStr">
        <is>
          <t>SILVER</t>
        </is>
      </c>
      <c r="O111" s="627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600">
        <f>_xludf.IFNA(_xlfn.XLOOKUP(Table3[[#This Row],[SKU]],'00_Yield_Rates'!$B$2:$B$17,'00_Yield_Rates'!$E$2:$E$17),"")</f>
        <v/>
      </c>
    </row>
    <row r="112">
      <c r="A112" s="625" t="inlineStr">
        <is>
          <t>Tray_Pack</t>
        </is>
      </c>
      <c r="B112" s="626" t="n">
        <v>1877</v>
      </c>
      <c r="C112" s="627" t="n">
        <v>61082</v>
      </c>
      <c r="D112" s="627" t="inlineStr">
        <is>
          <t>FB</t>
        </is>
      </c>
      <c r="E112" s="627" t="inlineStr">
        <is>
          <t>Thigh</t>
        </is>
      </c>
      <c r="F112" s="627" t="n">
        <v>12.4327576461722</v>
      </c>
      <c r="G112" s="627" t="n">
        <v>6</v>
      </c>
      <c r="H112" s="627" t="inlineStr">
        <is>
          <t>LT 14D</t>
        </is>
      </c>
      <c r="I112" s="627" t="inlineStr">
        <is>
          <t>Clubpack</t>
        </is>
      </c>
      <c r="J112" s="628" t="inlineStr">
        <is>
          <t>MS BSC THIGH 14D PP</t>
        </is>
      </c>
      <c r="K112" s="629" t="inlineStr">
        <is>
          <t>Fast</t>
        </is>
      </c>
      <c r="L112" s="632" t="inlineStr">
        <is>
          <t>BOX</t>
        </is>
      </c>
      <c r="M112" s="633" t="n">
        <v>57.23</v>
      </c>
      <c r="N112" s="631" t="inlineStr">
        <is>
          <t>SILVER</t>
        </is>
      </c>
      <c r="O112" s="627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600">
        <f>_xludf.IFNA(_xlfn.XLOOKUP(Table3[[#This Row],[SKU]],'00_Yield_Rates'!$B$2:$B$17,'00_Yield_Rates'!$E$2:$E$17),"")</f>
        <v/>
      </c>
    </row>
    <row r="113">
      <c r="A113" s="625" t="inlineStr">
        <is>
          <t>Tray_Pack</t>
        </is>
      </c>
      <c r="B113" s="626" t="n">
        <v>1878</v>
      </c>
      <c r="C113" s="627" t="inlineStr">
        <is>
          <t>61040#2</t>
        </is>
      </c>
      <c r="D113" s="627" t="inlineStr">
        <is>
          <t>FB</t>
        </is>
      </c>
      <c r="E113" s="627" t="inlineStr">
        <is>
          <t>SplitBreast</t>
        </is>
      </c>
      <c r="F113" s="627" t="n"/>
      <c r="G113" s="627" t="n">
        <v>8</v>
      </c>
      <c r="H113" s="627" t="inlineStr">
        <is>
          <t>LT 14D</t>
        </is>
      </c>
      <c r="I113" s="627" t="inlineStr">
        <is>
          <t>Clubpack</t>
        </is>
      </c>
      <c r="J113" s="628" t="inlineStr">
        <is>
          <t>MS BSC HB FT PP 8/BOX</t>
        </is>
      </c>
      <c r="K113" s="629" t="inlineStr">
        <is>
          <t>Fast</t>
        </is>
      </c>
      <c r="L113" s="629" t="inlineStr">
        <is>
          <t>6.5 BOX</t>
        </is>
      </c>
      <c r="M113" s="630" t="n">
        <v>55.73</v>
      </c>
      <c r="N113" s="631" t="inlineStr">
        <is>
          <t>SILVER</t>
        </is>
      </c>
      <c r="O113" s="627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600">
        <f>_xludf.IFNA(_xlfn.XLOOKUP(Table3[[#This Row],[SKU]],'00_Yield_Rates'!$B$2:$B$17,'00_Yield_Rates'!$E$2:$E$17),"")</f>
        <v/>
      </c>
    </row>
    <row r="114">
      <c r="A114" s="625" t="inlineStr">
        <is>
          <t>Tray_Pack</t>
        </is>
      </c>
      <c r="B114" s="626" t="n">
        <v>1881</v>
      </c>
      <c r="C114" s="627" t="inlineStr">
        <is>
          <t>61050#2</t>
        </is>
      </c>
      <c r="D114" s="627" t="inlineStr">
        <is>
          <t>FB</t>
        </is>
      </c>
      <c r="E114" s="627" t="inlineStr">
        <is>
          <t>BSB</t>
        </is>
      </c>
      <c r="F114" s="627" t="n"/>
      <c r="G114" s="627" t="n">
        <v>16</v>
      </c>
      <c r="H114" s="627" t="inlineStr">
        <is>
          <t>ST 2HP</t>
        </is>
      </c>
      <c r="I114" s="627" t="inlineStr">
        <is>
          <t>Small</t>
        </is>
      </c>
      <c r="J114" s="628" t="inlineStr">
        <is>
          <t>MS BSHB ST</t>
        </is>
      </c>
      <c r="K114" s="629" t="inlineStr">
        <is>
          <t>Fast</t>
        </is>
      </c>
      <c r="L114" s="629" t="inlineStr">
        <is>
          <t>BOX</t>
        </is>
      </c>
      <c r="M114" s="630" t="n">
        <v>96.55</v>
      </c>
      <c r="N114" s="631" t="inlineStr">
        <is>
          <t>SILVER</t>
        </is>
      </c>
      <c r="O114" s="627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600">
        <f>_xludf.IFNA(_xlfn.XLOOKUP(Table3[[#This Row],[SKU]],'00_Yield_Rates'!$B$2:$B$17,'00_Yield_Rates'!$E$2:$E$17),"")</f>
        <v/>
      </c>
    </row>
    <row r="115">
      <c r="A115" s="625" t="inlineStr">
        <is>
          <t>Tray_Pack</t>
        </is>
      </c>
      <c r="B115" s="626" t="n">
        <v>2030</v>
      </c>
      <c r="C115" s="627" t="inlineStr">
        <is>
          <t>61048#2</t>
        </is>
      </c>
      <c r="D115" s="627" t="inlineStr">
        <is>
          <t>FB</t>
        </is>
      </c>
      <c r="E115" s="627" t="inlineStr">
        <is>
          <t>SplitBreast</t>
        </is>
      </c>
      <c r="F115" s="627" t="n"/>
      <c r="G115" s="627" t="n">
        <v>18</v>
      </c>
      <c r="H115" s="627" t="inlineStr">
        <is>
          <t>ST 3XP</t>
        </is>
      </c>
      <c r="I115" s="627" t="inlineStr">
        <is>
          <t>Small</t>
        </is>
      </c>
      <c r="J115" s="628" t="inlineStr">
        <is>
          <t>PB BSC SKLS HB ST PP BSK</t>
        </is>
      </c>
      <c r="K115" s="629" t="inlineStr">
        <is>
          <t>Fast</t>
        </is>
      </c>
      <c r="L115" s="629" t="inlineStr">
        <is>
          <t>6.5 BOX</t>
        </is>
      </c>
      <c r="M115" s="630" t="n">
        <v>45.49</v>
      </c>
      <c r="N115" s="631" t="inlineStr">
        <is>
          <t>SILVER</t>
        </is>
      </c>
      <c r="O115" s="627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600">
        <f>_xludf.IFNA(_xlfn.XLOOKUP(Table3[[#This Row],[SKU]],'00_Yield_Rates'!$B$2:$B$17,'00_Yield_Rates'!$E$2:$E$17),"")</f>
        <v/>
      </c>
    </row>
    <row r="116">
      <c r="A116" s="625" t="inlineStr">
        <is>
          <t>Tray_Pack</t>
        </is>
      </c>
      <c r="B116" s="626" t="n">
        <v>2031</v>
      </c>
      <c r="C116" s="627" t="inlineStr">
        <is>
          <t>61048#2</t>
        </is>
      </c>
      <c r="D116" s="627" t="inlineStr">
        <is>
          <t>FB</t>
        </is>
      </c>
      <c r="E116" s="627" t="inlineStr">
        <is>
          <t>SplitBreast</t>
        </is>
      </c>
      <c r="F116" s="627" t="n">
        <v>7.71892430278884</v>
      </c>
      <c r="G116" s="627" t="n">
        <v>6</v>
      </c>
      <c r="H116" s="627" t="inlineStr">
        <is>
          <t>LT 8XP</t>
        </is>
      </c>
      <c r="I116" s="627" t="inlineStr">
        <is>
          <t>Large</t>
        </is>
      </c>
      <c r="J116" s="628" t="inlineStr">
        <is>
          <t>MS BSC SKLS HB 8XP PP</t>
        </is>
      </c>
      <c r="K116" s="629" t="inlineStr">
        <is>
          <t>Fast</t>
        </is>
      </c>
      <c r="L116" s="629" t="inlineStr">
        <is>
          <t>BOX</t>
        </is>
      </c>
      <c r="M116" s="630" t="n">
        <v>92.77</v>
      </c>
      <c r="N116" s="631" t="inlineStr">
        <is>
          <t>SILVER</t>
        </is>
      </c>
      <c r="O116" s="627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600">
        <f>_xludf.IFNA(_xlfn.XLOOKUP(Table3[[#This Row],[SKU]],'00_Yield_Rates'!$B$2:$B$17,'00_Yield_Rates'!$E$2:$E$17),"")</f>
        <v/>
      </c>
    </row>
    <row r="117">
      <c r="A117" s="625" t="inlineStr">
        <is>
          <t>Tray_Pack</t>
        </is>
      </c>
      <c r="B117" s="626" t="n">
        <v>2042</v>
      </c>
      <c r="C117" s="627" t="inlineStr">
        <is>
          <t>61050#2</t>
        </is>
      </c>
      <c r="D117" s="627" t="inlineStr">
        <is>
          <t>FB</t>
        </is>
      </c>
      <c r="E117" s="627" t="inlineStr">
        <is>
          <t>BSB</t>
        </is>
      </c>
      <c r="F117" s="627" t="n"/>
      <c r="G117" s="627" t="n">
        <v>8</v>
      </c>
      <c r="H117" s="627" t="inlineStr">
        <is>
          <t>LT 8XP</t>
        </is>
      </c>
      <c r="I117" s="627" t="inlineStr">
        <is>
          <t>Large</t>
        </is>
      </c>
      <c r="J117" s="628" t="inlineStr">
        <is>
          <t>MS BSC BSHB LT PP BSK</t>
        </is>
      </c>
      <c r="K117" s="629" t="inlineStr">
        <is>
          <t>Fast</t>
        </is>
      </c>
      <c r="L117" s="632" t="inlineStr">
        <is>
          <t>BOX</t>
        </is>
      </c>
      <c r="M117" s="633" t="n">
        <v>0</v>
      </c>
      <c r="N117" s="631" t="inlineStr">
        <is>
          <t>SILVER</t>
        </is>
      </c>
      <c r="O117" s="627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600">
        <f>_xludf.IFNA(_xlfn.XLOOKUP(Table3[[#This Row],[SKU]],'00_Yield_Rates'!$B$2:$B$17,'00_Yield_Rates'!$E$2:$E$17),"")</f>
        <v/>
      </c>
    </row>
    <row r="118">
      <c r="A118" s="625" t="inlineStr">
        <is>
          <t>Tray_Pack</t>
        </is>
      </c>
      <c r="B118" s="626" t="n">
        <v>2043</v>
      </c>
      <c r="C118" s="627" t="inlineStr">
        <is>
          <t>61050#2</t>
        </is>
      </c>
      <c r="D118" s="627" t="inlineStr">
        <is>
          <t>FB</t>
        </is>
      </c>
      <c r="E118" s="627" t="inlineStr">
        <is>
          <t>BSB</t>
        </is>
      </c>
      <c r="F118" s="627" t="n">
        <v>9.27523099454133</v>
      </c>
      <c r="G118" s="627" t="n">
        <v>8</v>
      </c>
      <c r="H118" s="627" t="inlineStr">
        <is>
          <t>LT 8XP</t>
        </is>
      </c>
      <c r="I118" s="627" t="inlineStr">
        <is>
          <t>Large</t>
        </is>
      </c>
      <c r="J118" s="628" t="inlineStr">
        <is>
          <t>MS BSC BSHB AC 8XP PP</t>
        </is>
      </c>
      <c r="K118" s="629" t="inlineStr">
        <is>
          <t>Fast</t>
        </is>
      </c>
      <c r="L118" s="629" t="inlineStr">
        <is>
          <t>BOX</t>
        </is>
      </c>
      <c r="M118" s="630" t="n">
        <v>134.32</v>
      </c>
      <c r="N118" s="631" t="inlineStr">
        <is>
          <t>SILVER</t>
        </is>
      </c>
      <c r="O118" s="627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600">
        <f>_xludf.IFNA(_xlfn.XLOOKUP(Table3[[#This Row],[SKU]],'00_Yield_Rates'!$B$2:$B$17,'00_Yield_Rates'!$E$2:$E$17),"")</f>
        <v/>
      </c>
    </row>
    <row r="119">
      <c r="A119" s="625" t="inlineStr">
        <is>
          <t>Tray_Pack</t>
        </is>
      </c>
      <c r="B119" s="626" t="n">
        <v>2044</v>
      </c>
      <c r="C119" s="627" t="n">
        <v>61104</v>
      </c>
      <c r="D119" s="627" t="inlineStr">
        <is>
          <t>FB</t>
        </is>
      </c>
      <c r="E119" s="627" t="inlineStr">
        <is>
          <t>BSB</t>
        </is>
      </c>
      <c r="F119" s="627" t="n">
        <v>7.43539139662068</v>
      </c>
      <c r="G119" s="627" t="n">
        <v>8</v>
      </c>
      <c r="H119" s="627" t="inlineStr">
        <is>
          <t>LT 8XP</t>
        </is>
      </c>
      <c r="I119" s="627" t="inlineStr">
        <is>
          <t>Large</t>
        </is>
      </c>
      <c r="J119" s="628" t="inlineStr">
        <is>
          <t>MS BSHB CHUNK 8XP PP</t>
        </is>
      </c>
      <c r="K119" s="629" t="inlineStr">
        <is>
          <t>Fast</t>
        </is>
      </c>
      <c r="L119" s="629" t="inlineStr">
        <is>
          <t>BOX</t>
        </is>
      </c>
      <c r="M119" s="630" t="n">
        <v>56.92</v>
      </c>
      <c r="N119" s="631" t="inlineStr">
        <is>
          <t>SILVER</t>
        </is>
      </c>
      <c r="O119" s="627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600">
        <f>_xludf.IFNA(_xlfn.XLOOKUP(Table3[[#This Row],[SKU]],'00_Yield_Rates'!$B$2:$B$17,'00_Yield_Rates'!$E$2:$E$17),"")</f>
        <v/>
      </c>
    </row>
    <row r="120">
      <c r="A120" s="625" t="inlineStr">
        <is>
          <t>Tray_Pack</t>
        </is>
      </c>
      <c r="B120" s="626" t="n">
        <v>2045</v>
      </c>
      <c r="C120" s="627" t="inlineStr">
        <is>
          <t>61072#2</t>
        </is>
      </c>
      <c r="D120" s="627" t="inlineStr">
        <is>
          <t>FB</t>
        </is>
      </c>
      <c r="E120" s="627" t="inlineStr">
        <is>
          <t>Drum</t>
        </is>
      </c>
      <c r="F120" s="627" t="n">
        <v>4.85738989169675</v>
      </c>
      <c r="G120" s="627" t="n">
        <v>8</v>
      </c>
      <c r="H120" s="627" t="inlineStr">
        <is>
          <t>ST 3XP</t>
        </is>
      </c>
      <c r="I120" s="627" t="inlineStr">
        <is>
          <t>Small</t>
        </is>
      </c>
      <c r="J120" s="628" t="inlineStr">
        <is>
          <t>MS BSC DRUM 3XP PP</t>
        </is>
      </c>
      <c r="K120" s="629" t="inlineStr">
        <is>
          <t>Fast</t>
        </is>
      </c>
      <c r="L120" s="629" t="inlineStr">
        <is>
          <t>BOX</t>
        </is>
      </c>
      <c r="M120" s="630" t="n">
        <v>53.8</v>
      </c>
      <c r="N120" s="631" t="inlineStr">
        <is>
          <t>SILVER</t>
        </is>
      </c>
      <c r="O120" s="627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600">
        <f>_xludf.IFNA(_xlfn.XLOOKUP(Table3[[#This Row],[SKU]],'00_Yield_Rates'!$B$2:$B$17,'00_Yield_Rates'!$E$2:$E$17),"")</f>
        <v/>
      </c>
    </row>
    <row r="121">
      <c r="A121" s="625" t="inlineStr">
        <is>
          <t>Tray_Pack</t>
        </is>
      </c>
      <c r="B121" s="626" t="n">
        <v>2046</v>
      </c>
      <c r="C121" s="627" t="n">
        <v>61082</v>
      </c>
      <c r="D121" s="627" t="inlineStr">
        <is>
          <t>FB</t>
        </is>
      </c>
      <c r="E121" s="627" t="inlineStr">
        <is>
          <t>Thigh</t>
        </is>
      </c>
      <c r="F121" s="627" t="n">
        <v>4.99407745706978</v>
      </c>
      <c r="G121" s="627" t="n">
        <v>8</v>
      </c>
      <c r="H121" s="627" t="inlineStr">
        <is>
          <t>ST 3XP</t>
        </is>
      </c>
      <c r="I121" s="627" t="inlineStr">
        <is>
          <t>Small</t>
        </is>
      </c>
      <c r="J121" s="628" t="inlineStr">
        <is>
          <t>MS BSC THIGH 3XP PP</t>
        </is>
      </c>
      <c r="K121" s="632" t="inlineStr">
        <is>
          <t>Fast</t>
        </is>
      </c>
      <c r="L121" s="629" t="inlineStr">
        <is>
          <t>BOX</t>
        </is>
      </c>
      <c r="M121" s="630" t="n">
        <v>37.92</v>
      </c>
      <c r="N121" s="631" t="inlineStr">
        <is>
          <t>SILVER</t>
        </is>
      </c>
      <c r="O121" s="627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600">
        <f>_xludf.IFNA(_xlfn.XLOOKUP(Table3[[#This Row],[SKU]],'00_Yield_Rates'!$B$2:$B$17,'00_Yield_Rates'!$E$2:$E$17),"")</f>
        <v/>
      </c>
    </row>
    <row r="122">
      <c r="A122" s="625" t="inlineStr">
        <is>
          <t>Tray_Pack</t>
        </is>
      </c>
      <c r="B122" s="626" t="n">
        <v>2047</v>
      </c>
      <c r="C122" s="627" t="n">
        <v>61010</v>
      </c>
      <c r="D122" s="627" t="inlineStr">
        <is>
          <t>FB</t>
        </is>
      </c>
      <c r="E122" s="627" t="inlineStr">
        <is>
          <t>Whole Wing-14D</t>
        </is>
      </c>
      <c r="F122" s="627" t="n">
        <v>9.75961193360251</v>
      </c>
      <c r="G122" s="627" t="n">
        <v>6</v>
      </c>
      <c r="H122" s="627" t="inlineStr">
        <is>
          <t>LT 14D</t>
        </is>
      </c>
      <c r="I122" s="627" t="inlineStr">
        <is>
          <t>Large</t>
        </is>
      </c>
      <c r="J122" s="628" t="inlineStr">
        <is>
          <t>MS WING 14D PP</t>
        </is>
      </c>
      <c r="K122" s="629" t="inlineStr">
        <is>
          <t>Fast</t>
        </is>
      </c>
      <c r="L122" s="629" t="inlineStr">
        <is>
          <t>BOX</t>
        </is>
      </c>
      <c r="M122" s="630" t="n">
        <v>35.1</v>
      </c>
      <c r="N122" s="631" t="inlineStr">
        <is>
          <t>SILVER</t>
        </is>
      </c>
      <c r="O122" s="627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600">
        <f>_xludf.IFNA(_xlfn.XLOOKUP(Table3[[#This Row],[SKU]],'00_Yield_Rates'!$B$2:$B$17,'00_Yield_Rates'!$E$2:$E$17),"")</f>
        <v/>
      </c>
    </row>
    <row r="123">
      <c r="A123" s="625" t="inlineStr">
        <is>
          <t>Tray_Pack</t>
        </is>
      </c>
      <c r="B123" s="626" t="n">
        <v>2060</v>
      </c>
      <c r="C123" s="627" t="inlineStr">
        <is>
          <t>61072#2</t>
        </is>
      </c>
      <c r="D123" s="627" t="inlineStr">
        <is>
          <t>METRO</t>
        </is>
      </c>
      <c r="E123" s="627" t="inlineStr">
        <is>
          <t>Drum</t>
        </is>
      </c>
      <c r="F123" s="627" t="n">
        <v>8.0399191303195</v>
      </c>
      <c r="G123" s="627" t="n">
        <v>8</v>
      </c>
      <c r="H123" s="627" t="inlineStr">
        <is>
          <t>LT 8XP</t>
        </is>
      </c>
      <c r="I123" s="627" t="inlineStr">
        <is>
          <t>Large</t>
        </is>
      </c>
      <c r="J123" s="628" t="inlineStr">
        <is>
          <t>MB MET DRUM 8XP</t>
        </is>
      </c>
      <c r="K123" s="632" t="inlineStr">
        <is>
          <t>Fast</t>
        </is>
      </c>
      <c r="L123" s="629" t="inlineStr">
        <is>
          <t>BOX</t>
        </is>
      </c>
      <c r="M123" s="630" t="n">
        <v>44.6</v>
      </c>
      <c r="N123" s="631" t="inlineStr">
        <is>
          <t>SILVER</t>
        </is>
      </c>
      <c r="O123" s="627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600">
        <f>_xludf.IFNA(_xlfn.XLOOKUP(Table3[[#This Row],[SKU]],'00_Yield_Rates'!$B$2:$B$17,'00_Yield_Rates'!$E$2:$E$17),"")</f>
        <v/>
      </c>
    </row>
    <row r="124">
      <c r="A124" s="625" t="inlineStr">
        <is>
          <t>Tray_Pack</t>
        </is>
      </c>
      <c r="B124" s="626" t="n">
        <v>2061</v>
      </c>
      <c r="C124" s="627" t="n">
        <v>61082</v>
      </c>
      <c r="D124" s="627" t="inlineStr">
        <is>
          <t>METRO</t>
        </is>
      </c>
      <c r="E124" s="627" t="inlineStr">
        <is>
          <t>Thigh</t>
        </is>
      </c>
      <c r="F124" s="627" t="n">
        <v>9.96337483550966</v>
      </c>
      <c r="G124" s="627" t="n">
        <v>8</v>
      </c>
      <c r="H124" s="627" t="inlineStr">
        <is>
          <t>LT 8XP</t>
        </is>
      </c>
      <c r="I124" s="627" t="inlineStr">
        <is>
          <t>Large</t>
        </is>
      </c>
      <c r="J124" s="628" t="inlineStr">
        <is>
          <t>MB MET THIGH 8XP</t>
        </is>
      </c>
      <c r="K124" s="632" t="inlineStr">
        <is>
          <t>Fast</t>
        </is>
      </c>
      <c r="L124" s="629" t="inlineStr">
        <is>
          <t>BOX</t>
        </is>
      </c>
      <c r="M124" s="630" t="n">
        <v>52.81</v>
      </c>
      <c r="N124" s="631" t="inlineStr">
        <is>
          <t>SILVER</t>
        </is>
      </c>
      <c r="O124" s="627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600">
        <f>_xludf.IFNA(_xlfn.XLOOKUP(Table3[[#This Row],[SKU]],'00_Yield_Rates'!$B$2:$B$17,'00_Yield_Rates'!$E$2:$E$17),"")</f>
        <v/>
      </c>
    </row>
    <row r="125">
      <c r="A125" s="625" t="inlineStr">
        <is>
          <t>Tray_Pack</t>
        </is>
      </c>
      <c r="B125" s="626" t="n">
        <v>2062</v>
      </c>
      <c r="C125" s="627" t="inlineStr">
        <is>
          <t>61048#2</t>
        </is>
      </c>
      <c r="D125" s="627" t="inlineStr">
        <is>
          <t>METRO</t>
        </is>
      </c>
      <c r="E125" s="627" t="inlineStr">
        <is>
          <t>SplitBreast</t>
        </is>
      </c>
      <c r="F125" s="627" t="n">
        <v>7.83324577861163</v>
      </c>
      <c r="G125" s="627" t="n">
        <v>6</v>
      </c>
      <c r="H125" s="627" t="inlineStr">
        <is>
          <t>LT 8XP</t>
        </is>
      </c>
      <c r="I125" s="627" t="inlineStr">
        <is>
          <t>Large</t>
        </is>
      </c>
      <c r="J125" s="628" t="inlineStr">
        <is>
          <t>MS MET SKLS HB 8XP</t>
        </is>
      </c>
      <c r="K125" s="629" t="inlineStr">
        <is>
          <t>Fast</t>
        </is>
      </c>
      <c r="L125" s="629" t="inlineStr">
        <is>
          <t>BOX</t>
        </is>
      </c>
      <c r="M125" s="630" t="n">
        <v>92.66</v>
      </c>
      <c r="N125" s="631" t="inlineStr">
        <is>
          <t>SILVER</t>
        </is>
      </c>
      <c r="O125" s="627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600">
        <f>_xludf.IFNA(_xlfn.XLOOKUP(Table3[[#This Row],[SKU]],'00_Yield_Rates'!$B$2:$B$17,'00_Yield_Rates'!$E$2:$E$17),"")</f>
        <v/>
      </c>
    </row>
    <row r="126">
      <c r="A126" s="625" t="inlineStr">
        <is>
          <t>Tray_Pack</t>
        </is>
      </c>
      <c r="B126" s="626" t="n">
        <v>2063</v>
      </c>
      <c r="C126" s="627" t="n">
        <v>203891</v>
      </c>
      <c r="D126" s="627" t="inlineStr">
        <is>
          <t>METRO</t>
        </is>
      </c>
      <c r="E126" s="627" t="inlineStr">
        <is>
          <t>Whole Bird-Small</t>
        </is>
      </c>
      <c r="F126" s="627" t="n">
        <v>8.985169144580899</v>
      </c>
      <c r="G126" s="627" t="n">
        <v>6</v>
      </c>
      <c r="H126" s="627" t="inlineStr">
        <is>
          <t>ST 3XP</t>
        </is>
      </c>
      <c r="I126" s="627" t="inlineStr">
        <is>
          <t>Small</t>
        </is>
      </c>
      <c r="J126" s="628" t="inlineStr">
        <is>
          <t>MS MET FRY WOG TI 3XP</t>
        </is>
      </c>
      <c r="K126" s="632" t="inlineStr">
        <is>
          <t>Fast</t>
        </is>
      </c>
      <c r="L126" s="632" t="inlineStr">
        <is>
          <t>BOX</t>
        </is>
      </c>
      <c r="M126" s="633" t="n">
        <v>131.02</v>
      </c>
      <c r="N126" s="631" t="inlineStr">
        <is>
          <t>SILVER</t>
        </is>
      </c>
      <c r="O126" s="627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600">
        <f>_xludf.IFNA(_xlfn.XLOOKUP(Table3[[#This Row],[SKU]],'00_Yield_Rates'!$B$2:$B$17,'00_Yield_Rates'!$E$2:$E$17),"")</f>
        <v/>
      </c>
    </row>
    <row r="127">
      <c r="A127" s="625" t="inlineStr">
        <is>
          <t>Tray_Pack</t>
        </is>
      </c>
      <c r="B127" s="626" t="n">
        <v>2064</v>
      </c>
      <c r="C127" s="627" t="n">
        <v>61061</v>
      </c>
      <c r="D127" s="627" t="inlineStr">
        <is>
          <t>METRO</t>
        </is>
      </c>
      <c r="E127" s="627" t="inlineStr">
        <is>
          <t>BA</t>
        </is>
      </c>
      <c r="F127" s="627" t="n">
        <v>9.92599710354815</v>
      </c>
      <c r="G127" s="627" t="n">
        <v>8</v>
      </c>
      <c r="H127" s="627" t="inlineStr">
        <is>
          <t>LT 8XP</t>
        </is>
      </c>
      <c r="I127" s="627" t="inlineStr">
        <is>
          <t>Large</t>
        </is>
      </c>
      <c r="J127" s="628" t="inlineStr">
        <is>
          <t>MS MET LEG BA 8XP</t>
        </is>
      </c>
      <c r="K127" s="632" t="inlineStr">
        <is>
          <t>Fast</t>
        </is>
      </c>
      <c r="L127" s="629" t="inlineStr">
        <is>
          <t>BOX</t>
        </is>
      </c>
      <c r="M127" s="630" t="n">
        <v>61.57</v>
      </c>
      <c r="N127" s="631" t="inlineStr">
        <is>
          <t>SILVER</t>
        </is>
      </c>
      <c r="O127" s="627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600">
        <f>_xludf.IFNA(_xlfn.XLOOKUP(Table3[[#This Row],[SKU]],'00_Yield_Rates'!$B$2:$B$17,'00_Yield_Rates'!$E$2:$E$17),"")</f>
        <v/>
      </c>
    </row>
    <row r="128">
      <c r="A128" s="625" t="inlineStr">
        <is>
          <t>Tray_Pack</t>
        </is>
      </c>
      <c r="B128" s="626" t="n">
        <v>2065</v>
      </c>
      <c r="C128" s="627" t="n">
        <v>61010</v>
      </c>
      <c r="D128" s="627" t="inlineStr">
        <is>
          <t>METRO</t>
        </is>
      </c>
      <c r="E128" s="627" t="inlineStr">
        <is>
          <t>Whole Wing-Large</t>
        </is>
      </c>
      <c r="F128" s="627" t="n"/>
      <c r="G128" s="627" t="n">
        <v>8</v>
      </c>
      <c r="H128" s="627" t="inlineStr">
        <is>
          <t>LT 8XP</t>
        </is>
      </c>
      <c r="I128" s="627" t="inlineStr">
        <is>
          <t>Large</t>
        </is>
      </c>
      <c r="J128" s="628" t="inlineStr">
        <is>
          <t>PB WING LT</t>
        </is>
      </c>
      <c r="K128" s="629" t="inlineStr">
        <is>
          <t>Fast</t>
        </is>
      </c>
      <c r="L128" s="629" t="inlineStr">
        <is>
          <t>BOX</t>
        </is>
      </c>
      <c r="M128" s="630" t="n">
        <v>26.74</v>
      </c>
      <c r="N128" s="631" t="inlineStr">
        <is>
          <t>SILVER</t>
        </is>
      </c>
      <c r="O128" s="627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600">
        <f>_xludf.IFNA(_xlfn.XLOOKUP(Table3[[#This Row],[SKU]],'00_Yield_Rates'!$B$2:$B$17,'00_Yield_Rates'!$E$2:$E$17),"")</f>
        <v/>
      </c>
    </row>
    <row r="129">
      <c r="A129" s="625" t="inlineStr">
        <is>
          <t>Tray_Pack</t>
        </is>
      </c>
      <c r="B129" s="626" t="n">
        <v>2066</v>
      </c>
      <c r="C129" s="627" t="inlineStr">
        <is>
          <t>61040#2</t>
        </is>
      </c>
      <c r="D129" s="627" t="inlineStr">
        <is>
          <t>METRO</t>
        </is>
      </c>
      <c r="E129" s="627" t="inlineStr">
        <is>
          <t>SplitBreast</t>
        </is>
      </c>
      <c r="F129" s="627" t="n">
        <v>7.60166579223504</v>
      </c>
      <c r="G129" s="627" t="n">
        <v>6</v>
      </c>
      <c r="H129" s="627" t="inlineStr">
        <is>
          <t>LT 8XP</t>
        </is>
      </c>
      <c r="I129" s="627" t="inlineStr">
        <is>
          <t>Large</t>
        </is>
      </c>
      <c r="J129" s="628" t="inlineStr">
        <is>
          <t>MS MET HB 8XP</t>
        </is>
      </c>
      <c r="K129" s="629" t="inlineStr">
        <is>
          <t>Fast</t>
        </is>
      </c>
      <c r="L129" s="629" t="inlineStr">
        <is>
          <t>BOX</t>
        </is>
      </c>
      <c r="M129" s="630" t="n">
        <v>87.06</v>
      </c>
      <c r="N129" s="631" t="inlineStr">
        <is>
          <t>SILVER</t>
        </is>
      </c>
      <c r="O129" s="627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600">
        <f>_xludf.IFNA(_xlfn.XLOOKUP(Table3[[#This Row],[SKU]],'00_Yield_Rates'!$B$2:$B$17,'00_Yield_Rates'!$E$2:$E$17),"")</f>
        <v/>
      </c>
    </row>
    <row r="130">
      <c r="A130" s="625" t="inlineStr">
        <is>
          <t>Tray_Pack</t>
        </is>
      </c>
      <c r="B130" s="626" t="n">
        <v>2067</v>
      </c>
      <c r="C130" s="627" t="inlineStr">
        <is>
          <t>61086#2</t>
        </is>
      </c>
      <c r="D130" s="627" t="inlineStr">
        <is>
          <t>METRO</t>
        </is>
      </c>
      <c r="E130" s="627" t="inlineStr">
        <is>
          <t>ThighMeat</t>
        </is>
      </c>
      <c r="F130" s="627" t="n">
        <v>7.27942028985507</v>
      </c>
      <c r="G130" s="627" t="n">
        <v>8</v>
      </c>
      <c r="H130" s="627" t="inlineStr">
        <is>
          <t>LT 8XP</t>
        </is>
      </c>
      <c r="I130" s="627" t="inlineStr">
        <is>
          <t>Large</t>
        </is>
      </c>
      <c r="J130" s="628" t="inlineStr">
        <is>
          <t>BONELESS SKINLESS THIGH</t>
        </is>
      </c>
      <c r="K130" s="629" t="inlineStr">
        <is>
          <t>Slow</t>
        </is>
      </c>
      <c r="L130" s="629" t="inlineStr">
        <is>
          <t>BOX</t>
        </is>
      </c>
      <c r="M130" s="630" t="n">
        <v>16.82</v>
      </c>
      <c r="N130" s="631" t="inlineStr">
        <is>
          <t>SILVER</t>
        </is>
      </c>
      <c r="O130" s="627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600">
        <f>_xludf.IFNA(_xlfn.XLOOKUP(Table3[[#This Row],[SKU]],'00_Yield_Rates'!$B$2:$B$17,'00_Yield_Rates'!$E$2:$E$17),"")</f>
        <v/>
      </c>
    </row>
    <row r="131">
      <c r="A131" s="625" t="inlineStr">
        <is>
          <t>Tray_Pack</t>
        </is>
      </c>
      <c r="B131" s="626" t="n">
        <v>2068</v>
      </c>
      <c r="C131" s="627" t="inlineStr">
        <is>
          <t>61050#2</t>
        </is>
      </c>
      <c r="D131" s="627" t="inlineStr">
        <is>
          <t>METRO</t>
        </is>
      </c>
      <c r="E131" s="627" t="inlineStr">
        <is>
          <t>BSB</t>
        </is>
      </c>
      <c r="F131" s="627" t="n"/>
      <c r="G131" s="627" t="n">
        <v>12</v>
      </c>
      <c r="H131" s="627" t="inlineStr">
        <is>
          <t>ST 3D</t>
        </is>
      </c>
      <c r="I131" s="627" t="inlineStr">
        <is>
          <t>Small</t>
        </is>
      </c>
      <c r="J131" s="628" t="inlineStr">
        <is>
          <t>MS MET BSHB 3D</t>
        </is>
      </c>
      <c r="K131" s="629" t="inlineStr">
        <is>
          <t>Fast</t>
        </is>
      </c>
      <c r="L131" s="629" t="inlineStr">
        <is>
          <t>BOX</t>
        </is>
      </c>
      <c r="M131" s="630" t="n">
        <v>121.26</v>
      </c>
      <c r="N131" s="631" t="inlineStr">
        <is>
          <t>SILVER</t>
        </is>
      </c>
      <c r="O131" s="627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600">
        <f>_xludf.IFNA(_xlfn.XLOOKUP(Table3[[#This Row],[SKU]],'00_Yield_Rates'!$B$2:$B$17,'00_Yield_Rates'!$E$2:$E$17),"")</f>
        <v/>
      </c>
    </row>
    <row r="132">
      <c r="A132" s="625" t="inlineStr">
        <is>
          <t>Tray_Pack</t>
        </is>
      </c>
      <c r="B132" s="626" t="n">
        <v>2069</v>
      </c>
      <c r="C132" s="627" t="inlineStr">
        <is>
          <t>61040#2</t>
        </is>
      </c>
      <c r="D132" s="627" t="inlineStr">
        <is>
          <t>FB</t>
        </is>
      </c>
      <c r="E132" s="627" t="inlineStr">
        <is>
          <t>SplitBreast</t>
        </is>
      </c>
      <c r="F132" s="627" t="n">
        <v>9.061673469387751</v>
      </c>
      <c r="G132" s="627" t="n">
        <v>12</v>
      </c>
      <c r="H132" s="627" t="inlineStr">
        <is>
          <t>ST 3XP</t>
        </is>
      </c>
      <c r="I132" s="627" t="inlineStr">
        <is>
          <t>Small</t>
        </is>
      </c>
      <c r="J132" s="628" t="inlineStr">
        <is>
          <t>MS BSC HB 3XP PP</t>
        </is>
      </c>
      <c r="K132" s="629" t="inlineStr">
        <is>
          <t>Fast</t>
        </is>
      </c>
      <c r="L132" s="632" t="inlineStr">
        <is>
          <t>BOX</t>
        </is>
      </c>
      <c r="M132" s="633" t="n">
        <v>16.71</v>
      </c>
      <c r="N132" s="631" t="inlineStr">
        <is>
          <t>SILVER</t>
        </is>
      </c>
      <c r="O132" s="627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600">
        <f>_xludf.IFNA(_xlfn.XLOOKUP(Table3[[#This Row],[SKU]],'00_Yield_Rates'!$B$2:$B$17,'00_Yield_Rates'!$E$2:$E$17),"")</f>
        <v/>
      </c>
    </row>
    <row r="133">
      <c r="A133" s="625" t="inlineStr">
        <is>
          <t>Tray_Pack</t>
        </is>
      </c>
      <c r="B133" s="634" t="n">
        <v>2070</v>
      </c>
      <c r="C133" s="627" t="inlineStr">
        <is>
          <t>61048#2</t>
        </is>
      </c>
      <c r="D133" s="627" t="inlineStr">
        <is>
          <t>FB</t>
        </is>
      </c>
      <c r="E133" s="627" t="inlineStr">
        <is>
          <t>SplitBreast</t>
        </is>
      </c>
      <c r="F133" s="630" t="n">
        <v>9.227539160045399</v>
      </c>
      <c r="G133" s="627" t="n">
        <v>12</v>
      </c>
      <c r="H133" s="627" t="inlineStr">
        <is>
          <t>ST 3XP</t>
        </is>
      </c>
      <c r="I133" s="627" t="inlineStr">
        <is>
          <t>Small</t>
        </is>
      </c>
      <c r="J133" s="628" t="inlineStr">
        <is>
          <t>MS BSC SKLS HB 3XP PP</t>
        </is>
      </c>
      <c r="K133" s="629" t="inlineStr">
        <is>
          <t>Fast</t>
        </is>
      </c>
      <c r="L133" s="629" t="inlineStr">
        <is>
          <t>BOX</t>
        </is>
      </c>
      <c r="M133" s="630" t="n">
        <v>116.71</v>
      </c>
      <c r="N133" s="631" t="inlineStr">
        <is>
          <t>SILVER</t>
        </is>
      </c>
      <c r="O133" s="627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600">
        <f>_xludf.IFNA(_xlfn.XLOOKUP(Table3[[#This Row],[SKU]],'00_Yield_Rates'!$B$2:$B$17,'00_Yield_Rates'!$E$2:$E$17),"")</f>
        <v/>
      </c>
    </row>
    <row r="134">
      <c r="A134" s="625" t="inlineStr">
        <is>
          <t>Tray_Pack</t>
        </is>
      </c>
      <c r="B134" s="626" t="n">
        <v>2071</v>
      </c>
      <c r="C134" s="627" t="inlineStr">
        <is>
          <t>61048#2</t>
        </is>
      </c>
      <c r="D134" s="627" t="inlineStr">
        <is>
          <t>FB</t>
        </is>
      </c>
      <c r="E134" s="627" t="inlineStr">
        <is>
          <t>SplitBreast</t>
        </is>
      </c>
      <c r="F134" s="627" t="n">
        <v>8.263403982930299</v>
      </c>
      <c r="G134" s="627" t="n">
        <v>6</v>
      </c>
      <c r="H134" s="627" t="inlineStr">
        <is>
          <t>LT 8XP</t>
        </is>
      </c>
      <c r="I134" s="627" t="inlineStr">
        <is>
          <t>Large</t>
        </is>
      </c>
      <c r="J134" s="628" t="inlineStr">
        <is>
          <t>MS BSC SKLS HB 8XP PP</t>
        </is>
      </c>
      <c r="K134" s="632" t="inlineStr">
        <is>
          <t>Fast</t>
        </is>
      </c>
      <c r="L134" s="629" t="inlineStr">
        <is>
          <t>BOX</t>
        </is>
      </c>
      <c r="M134" s="630" t="n">
        <v>105.01</v>
      </c>
      <c r="N134" s="631" t="inlineStr">
        <is>
          <t>SILVER</t>
        </is>
      </c>
      <c r="O134" s="627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600">
        <f>_xludf.IFNA(_xlfn.XLOOKUP(Table3[[#This Row],[SKU]],'00_Yield_Rates'!$B$2:$B$17,'00_Yield_Rates'!$E$2:$E$17),"")</f>
        <v/>
      </c>
    </row>
    <row r="135">
      <c r="A135" s="625" t="inlineStr">
        <is>
          <t>Tray_Pack</t>
        </is>
      </c>
      <c r="B135" s="634" t="n">
        <v>2072</v>
      </c>
      <c r="C135" s="627" t="inlineStr">
        <is>
          <t>61072#2</t>
        </is>
      </c>
      <c r="D135" s="627" t="inlineStr">
        <is>
          <t>FB</t>
        </is>
      </c>
      <c r="E135" s="627" t="inlineStr">
        <is>
          <t>Drum</t>
        </is>
      </c>
      <c r="F135" s="630" t="n"/>
      <c r="G135" s="627" t="n">
        <v>12</v>
      </c>
      <c r="H135" s="627" t="inlineStr">
        <is>
          <t>ST 3XP</t>
        </is>
      </c>
      <c r="I135" s="627" t="inlineStr">
        <is>
          <t>Small</t>
        </is>
      </c>
      <c r="J135" s="628" t="inlineStr">
        <is>
          <t>MS BSC DRUM 3XP PP</t>
        </is>
      </c>
      <c r="K135" s="629" t="inlineStr">
        <is>
          <t>Fast</t>
        </is>
      </c>
      <c r="L135" s="629" t="inlineStr">
        <is>
          <t>BOX</t>
        </is>
      </c>
      <c r="M135" s="630" t="n">
        <v>63.93</v>
      </c>
      <c r="N135" s="631" t="inlineStr">
        <is>
          <t>SILVER</t>
        </is>
      </c>
      <c r="O135" s="627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600">
        <f>_xludf.IFNA(_xlfn.XLOOKUP(Table3[[#This Row],[SKU]],'00_Yield_Rates'!$B$2:$B$17,'00_Yield_Rates'!$E$2:$E$17),"")</f>
        <v/>
      </c>
    </row>
    <row r="136">
      <c r="A136" s="625" t="inlineStr">
        <is>
          <t>Tray_Pack</t>
        </is>
      </c>
      <c r="B136" s="634" t="n">
        <v>2073</v>
      </c>
      <c r="C136" s="627" t="n">
        <v>61082</v>
      </c>
      <c r="D136" s="627" t="inlineStr">
        <is>
          <t>FB</t>
        </is>
      </c>
      <c r="E136" s="627" t="inlineStr">
        <is>
          <t>Thigh</t>
        </is>
      </c>
      <c r="F136" s="630" t="n"/>
      <c r="G136" s="627" t="n">
        <v>12</v>
      </c>
      <c r="H136" s="627" t="inlineStr">
        <is>
          <t>ST 3XP</t>
        </is>
      </c>
      <c r="I136" s="627" t="inlineStr">
        <is>
          <t>Small</t>
        </is>
      </c>
      <c r="J136" s="628" t="inlineStr">
        <is>
          <t>MS BSC THIGH 3XP PP</t>
        </is>
      </c>
      <c r="K136" s="629" t="inlineStr">
        <is>
          <t>Fast</t>
        </is>
      </c>
      <c r="L136" s="629" t="inlineStr">
        <is>
          <t>BOX</t>
        </is>
      </c>
      <c r="M136" s="630" t="n">
        <v>26.79</v>
      </c>
      <c r="N136" s="631" t="inlineStr">
        <is>
          <t>SILVER</t>
        </is>
      </c>
      <c r="O136" s="627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600">
        <f>_xludf.IFNA(_xlfn.XLOOKUP(Table3[[#This Row],[SKU]],'00_Yield_Rates'!$B$2:$B$17,'00_Yield_Rates'!$E$2:$E$17),"")</f>
        <v/>
      </c>
    </row>
    <row r="137">
      <c r="A137" s="625" t="inlineStr">
        <is>
          <t>Tray_Pack</t>
        </is>
      </c>
      <c r="B137" s="626" t="n">
        <v>2074</v>
      </c>
      <c r="C137" s="627" t="inlineStr">
        <is>
          <t>61086#2</t>
        </is>
      </c>
      <c r="D137" s="627" t="inlineStr">
        <is>
          <t>FB</t>
        </is>
      </c>
      <c r="E137" s="627" t="inlineStr">
        <is>
          <t>ThighMeat</t>
        </is>
      </c>
      <c r="F137" s="627" t="n">
        <v>7.32561597032409</v>
      </c>
      <c r="G137" s="627" t="n">
        <v>12</v>
      </c>
      <c r="H137" s="627" t="inlineStr">
        <is>
          <t>ST 3XP</t>
        </is>
      </c>
      <c r="I137" s="627" t="inlineStr">
        <is>
          <t>Small</t>
        </is>
      </c>
      <c r="J137" s="628" t="inlineStr">
        <is>
          <t>MS BSC BSTHIGH 3XP PP</t>
        </is>
      </c>
      <c r="K137" s="632" t="inlineStr">
        <is>
          <t>Slow</t>
        </is>
      </c>
      <c r="L137" s="629" t="inlineStr">
        <is>
          <t>BOX</t>
        </is>
      </c>
      <c r="M137" s="630" t="n">
        <v>33.61</v>
      </c>
      <c r="N137" s="631" t="inlineStr">
        <is>
          <t>SILVER</t>
        </is>
      </c>
      <c r="O137" s="627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600">
        <f>_xludf.IFNA(_xlfn.XLOOKUP(Table3[[#This Row],[SKU]],'00_Yield_Rates'!$B$2:$B$17,'00_Yield_Rates'!$E$2:$E$17),"")</f>
        <v/>
      </c>
    </row>
    <row r="138">
      <c r="A138" s="625" t="inlineStr">
        <is>
          <t>Tray_Pack</t>
        </is>
      </c>
      <c r="B138" s="626" t="n">
        <v>2075</v>
      </c>
      <c r="C138" s="627" t="inlineStr">
        <is>
          <t>61050#2</t>
        </is>
      </c>
      <c r="D138" s="627" t="inlineStr">
        <is>
          <t>FB</t>
        </is>
      </c>
      <c r="E138" s="627" t="inlineStr">
        <is>
          <t>BSB</t>
        </is>
      </c>
      <c r="F138" s="627" t="n">
        <v>7.82099311701081</v>
      </c>
      <c r="G138" s="635" t="n">
        <v>12</v>
      </c>
      <c r="H138" s="635" t="inlineStr">
        <is>
          <t>ST 3XP</t>
        </is>
      </c>
      <c r="I138" s="635" t="inlineStr">
        <is>
          <t>Small</t>
        </is>
      </c>
      <c r="J138" s="636" t="inlineStr">
        <is>
          <t>MS BSC BSHB 3XP PP</t>
        </is>
      </c>
      <c r="K138" s="629" t="inlineStr">
        <is>
          <t>Fast</t>
        </is>
      </c>
      <c r="L138" s="629" t="inlineStr">
        <is>
          <t>BOX</t>
        </is>
      </c>
      <c r="M138" s="630" t="n">
        <v>113.84</v>
      </c>
      <c r="N138" s="631" t="inlineStr">
        <is>
          <t>SILVER</t>
        </is>
      </c>
      <c r="O138" s="627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600">
        <f>_xludf.IFNA(_xlfn.XLOOKUP(Table3[[#This Row],[SKU]],'00_Yield_Rates'!$B$2:$B$17,'00_Yield_Rates'!$E$2:$E$17),"")</f>
        <v/>
      </c>
    </row>
    <row r="139">
      <c r="A139" s="625" t="inlineStr">
        <is>
          <t>Tray_Pack</t>
        </is>
      </c>
      <c r="B139" s="626" t="n">
        <v>2076</v>
      </c>
      <c r="C139" s="627" t="n">
        <v>61010</v>
      </c>
      <c r="D139" s="627" t="inlineStr">
        <is>
          <t>FB</t>
        </is>
      </c>
      <c r="E139" s="627" t="inlineStr">
        <is>
          <t>Whole Wing-Small</t>
        </is>
      </c>
      <c r="F139" s="627" t="n">
        <v>0</v>
      </c>
      <c r="G139" s="635" t="n">
        <v>12</v>
      </c>
      <c r="H139" s="635" t="inlineStr">
        <is>
          <t>ST 3XP</t>
        </is>
      </c>
      <c r="I139" s="635" t="inlineStr">
        <is>
          <t>Small</t>
        </is>
      </c>
      <c r="J139" s="636" t="inlineStr">
        <is>
          <t>MS BSC WING 3XP PP</t>
        </is>
      </c>
      <c r="K139" s="632" t="inlineStr">
        <is>
          <t>Fast</t>
        </is>
      </c>
      <c r="L139" s="632" t="inlineStr">
        <is>
          <t>BOX</t>
        </is>
      </c>
      <c r="M139" s="633" t="n">
        <v>25.87</v>
      </c>
      <c r="N139" s="631" t="inlineStr">
        <is>
          <t>SILVER</t>
        </is>
      </c>
      <c r="O139" s="627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600">
        <f>_xludf.IFNA(_xlfn.XLOOKUP(Table3[[#This Row],[SKU]],'00_Yield_Rates'!$B$2:$B$17,'00_Yield_Rates'!$E$2:$E$17),"")</f>
        <v/>
      </c>
    </row>
    <row r="140">
      <c r="A140" s="625" t="inlineStr">
        <is>
          <t>Tray_Pack</t>
        </is>
      </c>
      <c r="B140" s="626" t="n">
        <v>2077</v>
      </c>
      <c r="C140" s="627" t="n">
        <v>61061</v>
      </c>
      <c r="D140" s="627" t="inlineStr">
        <is>
          <t>FB</t>
        </is>
      </c>
      <c r="E140" s="627" t="inlineStr">
        <is>
          <t>BA</t>
        </is>
      </c>
      <c r="F140" s="627" t="n">
        <v>9.75158207343412</v>
      </c>
      <c r="G140" s="635" t="n">
        <v>6</v>
      </c>
      <c r="H140" s="635" t="inlineStr">
        <is>
          <t>LT 14D</t>
        </is>
      </c>
      <c r="I140" s="635" t="inlineStr">
        <is>
          <t>Large</t>
        </is>
      </c>
      <c r="J140" s="636" t="inlineStr">
        <is>
          <t>MS BSC LEG BA 14D PP</t>
        </is>
      </c>
      <c r="K140" s="632" t="inlineStr">
        <is>
          <t>Fast</t>
        </is>
      </c>
      <c r="L140" s="632" t="inlineStr">
        <is>
          <t>BOX</t>
        </is>
      </c>
      <c r="M140" s="633" t="n">
        <v>77.92</v>
      </c>
      <c r="N140" s="631" t="inlineStr">
        <is>
          <t>SILVER</t>
        </is>
      </c>
      <c r="O140" s="627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600">
        <f>_xludf.IFNA(_xlfn.XLOOKUP(Table3[[#This Row],[SKU]],'00_Yield_Rates'!$B$2:$B$17,'00_Yield_Rates'!$E$2:$E$17),"")</f>
        <v/>
      </c>
    </row>
    <row r="141">
      <c r="A141" s="625" t="inlineStr">
        <is>
          <t>Tray_Pack</t>
        </is>
      </c>
      <c r="B141" s="626" t="n">
        <v>2078</v>
      </c>
      <c r="C141" s="627" t="n">
        <v>203891</v>
      </c>
      <c r="D141" s="627" t="inlineStr">
        <is>
          <t>FB</t>
        </is>
      </c>
      <c r="E141" s="627" t="inlineStr">
        <is>
          <t>Whole Bird-Small</t>
        </is>
      </c>
      <c r="F141" s="627" t="n">
        <v>8.93916524701873</v>
      </c>
      <c r="G141" s="635" t="n">
        <v>6</v>
      </c>
      <c r="H141" s="635" t="inlineStr">
        <is>
          <t>ST 3XP</t>
        </is>
      </c>
      <c r="I141" s="635" t="inlineStr">
        <is>
          <t>Small</t>
        </is>
      </c>
      <c r="J141" s="636" t="inlineStr">
        <is>
          <t>MS BSC 1.38-1.58 FRY TI 3XP PP</t>
        </is>
      </c>
      <c r="K141" s="629" t="inlineStr">
        <is>
          <t>Fast</t>
        </is>
      </c>
      <c r="L141" s="632" t="inlineStr">
        <is>
          <t>BOX</t>
        </is>
      </c>
      <c r="M141" s="633" t="n">
        <v>160.45</v>
      </c>
      <c r="N141" s="631" t="inlineStr">
        <is>
          <t>SILVER</t>
        </is>
      </c>
      <c r="O141" s="627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600">
        <f>_xludf.IFNA(_xlfn.XLOOKUP(Table3[[#This Row],[SKU]],'00_Yield_Rates'!$B$2:$B$17,'00_Yield_Rates'!$E$2:$E$17),"")</f>
        <v/>
      </c>
    </row>
    <row r="142">
      <c r="A142" s="625" t="inlineStr">
        <is>
          <t>Tray_Pack</t>
        </is>
      </c>
      <c r="B142" s="626" t="n">
        <v>2082</v>
      </c>
      <c r="C142" s="627" t="inlineStr">
        <is>
          <t>61050#2</t>
        </is>
      </c>
      <c r="D142" s="627" t="inlineStr">
        <is>
          <t>FB</t>
        </is>
      </c>
      <c r="E142" s="627" t="inlineStr">
        <is>
          <t>BSB</t>
        </is>
      </c>
      <c r="F142" s="627" t="n">
        <v>8.58003150751332</v>
      </c>
      <c r="G142" s="635" t="n">
        <v>8</v>
      </c>
      <c r="H142" s="635" t="inlineStr">
        <is>
          <t>LT 8XP</t>
        </is>
      </c>
      <c r="I142" s="635" t="inlineStr">
        <is>
          <t>Large</t>
        </is>
      </c>
      <c r="J142" s="636" t="inlineStr">
        <is>
          <t>MS BSC BSHB 8XP PP</t>
        </is>
      </c>
      <c r="K142" s="629" t="inlineStr">
        <is>
          <t>Fast</t>
        </is>
      </c>
      <c r="L142" s="632" t="inlineStr">
        <is>
          <t>BOX</t>
        </is>
      </c>
      <c r="M142" s="633" t="n">
        <v>107.06</v>
      </c>
      <c r="N142" s="631" t="inlineStr">
        <is>
          <t>SILVER</t>
        </is>
      </c>
      <c r="O142" s="627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600">
        <f>_xludf.IFNA(_xlfn.XLOOKUP(Table3[[#This Row],[SKU]],'00_Yield_Rates'!$B$2:$B$17,'00_Yield_Rates'!$E$2:$E$17),"")</f>
        <v/>
      </c>
    </row>
    <row r="143">
      <c r="A143" s="625" t="inlineStr">
        <is>
          <t>Tray_Pack</t>
        </is>
      </c>
      <c r="B143" s="626" t="n">
        <v>2084</v>
      </c>
      <c r="C143" s="627" t="inlineStr">
        <is>
          <t>61050F</t>
        </is>
      </c>
      <c r="D143" s="627" t="inlineStr">
        <is>
          <t>METRO</t>
        </is>
      </c>
      <c r="E143" s="627" t="inlineStr">
        <is>
          <t>BSB</t>
        </is>
      </c>
      <c r="F143" s="627" t="n">
        <v>5.93023960216998</v>
      </c>
      <c r="G143" s="635" t="n">
        <v>8</v>
      </c>
      <c r="H143" s="635" t="inlineStr">
        <is>
          <t>ST 3D</t>
        </is>
      </c>
      <c r="I143" s="635" t="inlineStr">
        <is>
          <t>Small</t>
        </is>
      </c>
      <c r="J143" s="636" t="inlineStr">
        <is>
          <t>MB MET BSHB 3D</t>
        </is>
      </c>
      <c r="K143" s="629" t="inlineStr">
        <is>
          <t>Fast</t>
        </is>
      </c>
      <c r="L143" s="632" t="inlineStr">
        <is>
          <t>BOX</t>
        </is>
      </c>
      <c r="M143" s="633" t="n">
        <v>91.73999999999999</v>
      </c>
      <c r="N143" s="631" t="inlineStr">
        <is>
          <t>PLATINUM</t>
        </is>
      </c>
      <c r="O143" s="627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600">
        <f>_xludf.IFNA(_xlfn.XLOOKUP(Table3[[#This Row],[SKU]],'00_Yield_Rates'!$B$2:$B$17,'00_Yield_Rates'!$E$2:$E$17),"")</f>
        <v/>
      </c>
    </row>
    <row r="144">
      <c r="A144" s="625" t="inlineStr">
        <is>
          <t>Tray_Pack</t>
        </is>
      </c>
      <c r="B144" s="626" t="n">
        <v>2085</v>
      </c>
      <c r="C144" s="627" t="inlineStr">
        <is>
          <t>61086#2</t>
        </is>
      </c>
      <c r="D144" s="627" t="inlineStr">
        <is>
          <t>METRO</t>
        </is>
      </c>
      <c r="E144" s="627" t="inlineStr">
        <is>
          <t>ThighMeat</t>
        </is>
      </c>
      <c r="F144" s="627" t="n">
        <v>4.86388575224178</v>
      </c>
      <c r="G144" s="635" t="n"/>
      <c r="H144" s="635" t="inlineStr">
        <is>
          <t>ST 3D</t>
        </is>
      </c>
      <c r="I144" s="635" t="inlineStr">
        <is>
          <t>Small</t>
        </is>
      </c>
      <c r="J144" s="636" t="inlineStr">
        <is>
          <t>MB MET BSTHIGH 3D</t>
        </is>
      </c>
      <c r="K144" s="632" t="inlineStr">
        <is>
          <t>Slow</t>
        </is>
      </c>
      <c r="L144" s="632" t="inlineStr">
        <is>
          <t>BOX</t>
        </is>
      </c>
      <c r="M144" s="633" t="n">
        <v>37.38</v>
      </c>
      <c r="N144" s="631" t="inlineStr">
        <is>
          <t>SILVER</t>
        </is>
      </c>
      <c r="O144" s="627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600">
        <f>_xludf.IFNA(_xlfn.XLOOKUP(Table3[[#This Row],[SKU]],'00_Yield_Rates'!$B$2:$B$17,'00_Yield_Rates'!$E$2:$E$17),"")</f>
        <v/>
      </c>
    </row>
    <row r="145">
      <c r="A145" s="625" t="inlineStr">
        <is>
          <t>Tray_Pack</t>
        </is>
      </c>
      <c r="B145" s="626" t="n">
        <v>2086</v>
      </c>
      <c r="C145" s="627" t="n">
        <v>61050</v>
      </c>
      <c r="D145" s="627" t="inlineStr">
        <is>
          <t>SOB</t>
        </is>
      </c>
      <c r="E145" s="627" t="inlineStr">
        <is>
          <t>BSB</t>
        </is>
      </c>
      <c r="F145" s="627" t="n"/>
      <c r="G145" s="635" t="n">
        <v>12</v>
      </c>
      <c r="H145" s="635" t="inlineStr">
        <is>
          <t>ST 3XP</t>
        </is>
      </c>
      <c r="I145" s="635" t="inlineStr">
        <is>
          <t>Small</t>
        </is>
      </c>
      <c r="J145" s="636" t="inlineStr">
        <is>
          <t>MS SOB BSHB AC 3XP</t>
        </is>
      </c>
      <c r="K145" s="629" t="inlineStr">
        <is>
          <t>Fast</t>
        </is>
      </c>
      <c r="L145" s="632" t="inlineStr">
        <is>
          <t>BOX</t>
        </is>
      </c>
      <c r="M145" s="633" t="n">
        <v>85.37</v>
      </c>
      <c r="N145" s="631" t="inlineStr">
        <is>
          <t>GOLD</t>
        </is>
      </c>
      <c r="O145" s="627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600">
        <f>_xludf.IFNA(_xlfn.XLOOKUP(Table3[[#This Row],[SKU]],'00_Yield_Rates'!$B$2:$B$17,'00_Yield_Rates'!$E$2:$E$17),"")</f>
        <v/>
      </c>
    </row>
    <row r="146">
      <c r="A146" s="625" t="inlineStr">
        <is>
          <t>Tray_Pack</t>
        </is>
      </c>
      <c r="B146" s="626" t="n">
        <v>2087</v>
      </c>
      <c r="C146" s="627" t="n">
        <v>61050</v>
      </c>
      <c r="D146" s="627" t="inlineStr">
        <is>
          <t>SOB</t>
        </is>
      </c>
      <c r="E146" s="635" t="inlineStr">
        <is>
          <t>BSB</t>
        </is>
      </c>
      <c r="F146" s="627" t="n"/>
      <c r="G146" s="635" t="n">
        <v>8</v>
      </c>
      <c r="H146" s="635" t="inlineStr">
        <is>
          <t>LT 6D</t>
        </is>
      </c>
      <c r="I146" s="635" t="inlineStr">
        <is>
          <t>Small</t>
        </is>
      </c>
      <c r="J146" s="636" t="inlineStr">
        <is>
          <t>MS SOB BSHB AC 6D</t>
        </is>
      </c>
      <c r="K146" s="629" t="inlineStr">
        <is>
          <t>Fast</t>
        </is>
      </c>
      <c r="L146" s="632" t="inlineStr">
        <is>
          <t>BOX</t>
        </is>
      </c>
      <c r="M146" s="633" t="n">
        <v>142.94</v>
      </c>
      <c r="N146" s="631" t="inlineStr">
        <is>
          <t>GOLD</t>
        </is>
      </c>
      <c r="O146" s="627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600">
        <f>_xludf.IFNA(_xlfn.XLOOKUP(Table3[[#This Row],[SKU]],'00_Yield_Rates'!$B$2:$B$17,'00_Yield_Rates'!$E$2:$E$17),"")</f>
        <v/>
      </c>
    </row>
    <row r="147">
      <c r="A147" s="625" t="inlineStr">
        <is>
          <t>Tray_Pack</t>
        </is>
      </c>
      <c r="B147" s="626" t="n">
        <v>2088</v>
      </c>
      <c r="C147" s="627" t="n">
        <v>61054</v>
      </c>
      <c r="D147" s="627" t="inlineStr">
        <is>
          <t>SOB</t>
        </is>
      </c>
      <c r="E147" s="635" t="inlineStr">
        <is>
          <t>Fillet</t>
        </is>
      </c>
      <c r="F147" s="627" t="n"/>
      <c r="G147" s="635" t="n">
        <v>12</v>
      </c>
      <c r="H147" s="635" t="inlineStr">
        <is>
          <t>ST 3XP</t>
        </is>
      </c>
      <c r="I147" s="635" t="inlineStr">
        <is>
          <t>Small</t>
        </is>
      </c>
      <c r="J147" s="636" t="inlineStr">
        <is>
          <t>MS SOB FILLET AC 3XP</t>
        </is>
      </c>
      <c r="K147" s="629" t="inlineStr">
        <is>
          <t>Slow</t>
        </is>
      </c>
      <c r="L147" s="637" t="inlineStr">
        <is>
          <t>BOX</t>
        </is>
      </c>
      <c r="M147" s="638" t="n">
        <v>36.86</v>
      </c>
      <c r="N147" s="631" t="inlineStr">
        <is>
          <t>GOLD</t>
        </is>
      </c>
      <c r="O147" s="627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600">
        <f>_xludf.IFNA(_xlfn.XLOOKUP(Table3[[#This Row],[SKU]],'00_Yield_Rates'!$B$2:$B$17,'00_Yield_Rates'!$E$2:$E$17),"")</f>
        <v/>
      </c>
    </row>
    <row r="148">
      <c r="A148" s="625" t="inlineStr">
        <is>
          <t>Tray_Pack</t>
        </is>
      </c>
      <c r="B148" s="626" t="n">
        <v>2089</v>
      </c>
      <c r="C148" s="627" t="n">
        <v>61040</v>
      </c>
      <c r="D148" s="627" t="inlineStr">
        <is>
          <t>SOB</t>
        </is>
      </c>
      <c r="E148" s="627" t="inlineStr">
        <is>
          <t>SplitBreast</t>
        </is>
      </c>
      <c r="F148" s="627" t="n"/>
      <c r="G148" s="635" t="n">
        <v>12</v>
      </c>
      <c r="H148" s="635" t="inlineStr">
        <is>
          <t>ST 3XP</t>
        </is>
      </c>
      <c r="I148" s="635" t="inlineStr">
        <is>
          <t>Small</t>
        </is>
      </c>
      <c r="J148" s="636" t="inlineStr">
        <is>
          <t>MS SOB HB AC 3XP</t>
        </is>
      </c>
      <c r="K148" s="629" t="inlineStr">
        <is>
          <t>Fast</t>
        </is>
      </c>
      <c r="L148" s="632" t="inlineStr">
        <is>
          <t>BOX</t>
        </is>
      </c>
      <c r="M148" s="633" t="n">
        <v>97.33</v>
      </c>
      <c r="N148" s="631" t="inlineStr">
        <is>
          <t>GOLD</t>
        </is>
      </c>
      <c r="O148" s="627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600">
        <f>_xludf.IFNA(_xlfn.XLOOKUP(Table3[[#This Row],[SKU]],'00_Yield_Rates'!$B$2:$B$17,'00_Yield_Rates'!$E$2:$E$17),"")</f>
        <v/>
      </c>
    </row>
    <row r="149">
      <c r="A149" s="625" t="inlineStr">
        <is>
          <t>Tray_Pack</t>
        </is>
      </c>
      <c r="B149" s="626" t="n">
        <v>2090</v>
      </c>
      <c r="C149" s="627" t="n">
        <v>61040</v>
      </c>
      <c r="D149" s="627" t="inlineStr">
        <is>
          <t>SOB</t>
        </is>
      </c>
      <c r="E149" s="627" t="inlineStr">
        <is>
          <t>SplitBreast</t>
        </is>
      </c>
      <c r="F149" s="627" t="n"/>
      <c r="G149" s="635" t="n">
        <v>8</v>
      </c>
      <c r="H149" s="635" t="inlineStr">
        <is>
          <t>LT 8XP</t>
        </is>
      </c>
      <c r="I149" s="635" t="inlineStr">
        <is>
          <t>Large</t>
        </is>
      </c>
      <c r="J149" s="636" t="inlineStr">
        <is>
          <t>MS SOB HB AC 8XP</t>
        </is>
      </c>
      <c r="K149" s="629" t="inlineStr">
        <is>
          <t>Fast</t>
        </is>
      </c>
      <c r="L149" s="632" t="inlineStr">
        <is>
          <t>BOX</t>
        </is>
      </c>
      <c r="M149" s="633" t="n">
        <v>150.72</v>
      </c>
      <c r="N149" s="631" t="inlineStr">
        <is>
          <t>GOLD</t>
        </is>
      </c>
      <c r="O149" s="627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600">
        <f>_xludf.IFNA(_xlfn.XLOOKUP(Table3[[#This Row],[SKU]],'00_Yield_Rates'!$B$2:$B$17,'00_Yield_Rates'!$E$2:$E$17),"")</f>
        <v/>
      </c>
    </row>
    <row r="150">
      <c r="A150" s="625" t="inlineStr">
        <is>
          <t>Tray_Pack</t>
        </is>
      </c>
      <c r="B150" s="626" t="n">
        <v>2091</v>
      </c>
      <c r="C150" s="627" t="n">
        <v>61061</v>
      </c>
      <c r="D150" s="627" t="inlineStr">
        <is>
          <t>SOB</t>
        </is>
      </c>
      <c r="E150" s="627" t="inlineStr">
        <is>
          <t>BA</t>
        </is>
      </c>
      <c r="F150" s="627" t="n"/>
      <c r="G150" s="627" t="n">
        <v>8</v>
      </c>
      <c r="H150" s="627" t="inlineStr">
        <is>
          <t>LT 8XP</t>
        </is>
      </c>
      <c r="I150" s="627" t="inlineStr">
        <is>
          <t>Large</t>
        </is>
      </c>
      <c r="J150" s="628" t="inlineStr">
        <is>
          <t>MS SOB LEG BA AC 8XP</t>
        </is>
      </c>
      <c r="K150" s="632" t="inlineStr">
        <is>
          <t>Fast</t>
        </is>
      </c>
      <c r="L150" s="629" t="inlineStr">
        <is>
          <t>BOX</t>
        </is>
      </c>
      <c r="M150" s="630" t="n">
        <v>79.64</v>
      </c>
      <c r="N150" s="631" t="inlineStr">
        <is>
          <t>GOLD</t>
        </is>
      </c>
      <c r="O150" s="627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600">
        <f>_xludf.IFNA(_xlfn.XLOOKUP(Table3[[#This Row],[SKU]],'00_Yield_Rates'!$B$2:$B$17,'00_Yield_Rates'!$E$2:$E$17),"")</f>
        <v/>
      </c>
    </row>
    <row r="151">
      <c r="A151" s="625" t="inlineStr">
        <is>
          <t>Tray_Pack</t>
        </is>
      </c>
      <c r="B151" s="626" t="n">
        <v>2092</v>
      </c>
      <c r="C151" s="627" t="n">
        <v>61072</v>
      </c>
      <c r="D151" s="627" t="inlineStr">
        <is>
          <t>SOB</t>
        </is>
      </c>
      <c r="E151" s="627" t="inlineStr">
        <is>
          <t>Drum</t>
        </is>
      </c>
      <c r="F151" s="627" t="n"/>
      <c r="G151" s="627" t="n">
        <v>12</v>
      </c>
      <c r="H151" s="627" t="inlineStr">
        <is>
          <t>ST 3XP</t>
        </is>
      </c>
      <c r="I151" s="627" t="inlineStr">
        <is>
          <t>Small</t>
        </is>
      </c>
      <c r="J151" s="628" t="inlineStr">
        <is>
          <t>MS SOB DRUM AC 3XP</t>
        </is>
      </c>
      <c r="K151" s="629" t="inlineStr">
        <is>
          <t>Fast</t>
        </is>
      </c>
      <c r="L151" s="629" t="inlineStr">
        <is>
          <t>BOX</t>
        </is>
      </c>
      <c r="M151" s="630" t="n">
        <v>87.67</v>
      </c>
      <c r="N151" s="631" t="inlineStr">
        <is>
          <t>GOLD</t>
        </is>
      </c>
      <c r="O151" s="627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600">
        <f>_xludf.IFNA(_xlfn.XLOOKUP(Table3[[#This Row],[SKU]],'00_Yield_Rates'!$B$2:$B$17,'00_Yield_Rates'!$E$2:$E$17),"")</f>
        <v/>
      </c>
    </row>
    <row r="152">
      <c r="A152" s="625" t="inlineStr">
        <is>
          <t>Tray_Pack</t>
        </is>
      </c>
      <c r="B152" s="626" t="n">
        <v>2093</v>
      </c>
      <c r="C152" s="627" t="n">
        <v>61072</v>
      </c>
      <c r="D152" s="627" t="inlineStr">
        <is>
          <t>SOB</t>
        </is>
      </c>
      <c r="E152" s="627" t="inlineStr">
        <is>
          <t>Drum</t>
        </is>
      </c>
      <c r="F152" s="627" t="n"/>
      <c r="G152" s="627" t="n">
        <v>8</v>
      </c>
      <c r="H152" s="627" t="inlineStr">
        <is>
          <t>LT 8XP</t>
        </is>
      </c>
      <c r="I152" s="627" t="inlineStr">
        <is>
          <t>Large</t>
        </is>
      </c>
      <c r="J152" s="628" t="inlineStr">
        <is>
          <t>MS SOB DRUM AC 8XP</t>
        </is>
      </c>
      <c r="K152" s="632" t="inlineStr">
        <is>
          <t>Fast</t>
        </is>
      </c>
      <c r="L152" s="629" t="inlineStr">
        <is>
          <t>BOX</t>
        </is>
      </c>
      <c r="M152" s="630" t="n">
        <v>70.47</v>
      </c>
      <c r="N152" s="631" t="inlineStr">
        <is>
          <t>GOLD</t>
        </is>
      </c>
      <c r="O152" s="627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600">
        <f>_xludf.IFNA(_xlfn.XLOOKUP(Table3[[#This Row],[SKU]],'00_Yield_Rates'!$B$2:$B$17,'00_Yield_Rates'!$E$2:$E$17),"")</f>
        <v/>
      </c>
    </row>
    <row r="153">
      <c r="A153" s="625" t="inlineStr">
        <is>
          <t>Tray_Pack</t>
        </is>
      </c>
      <c r="B153" s="626" t="n">
        <v>2094</v>
      </c>
      <c r="C153" s="627" t="n">
        <v>61077</v>
      </c>
      <c r="D153" s="627" t="inlineStr">
        <is>
          <t>SOB</t>
        </is>
      </c>
      <c r="E153" s="627" t="inlineStr">
        <is>
          <t>Thigh</t>
        </is>
      </c>
      <c r="F153" s="627" t="n"/>
      <c r="G153" s="627" t="n">
        <v>12</v>
      </c>
      <c r="H153" s="627" t="inlineStr">
        <is>
          <t>ST 3XP</t>
        </is>
      </c>
      <c r="I153" s="627" t="inlineStr">
        <is>
          <t>Small</t>
        </is>
      </c>
      <c r="J153" s="628" t="inlineStr">
        <is>
          <t>MS SOB THIGH AC 3XP</t>
        </is>
      </c>
      <c r="K153" s="632" t="inlineStr">
        <is>
          <t>Fast</t>
        </is>
      </c>
      <c r="L153" s="629" t="inlineStr">
        <is>
          <t>BOX</t>
        </is>
      </c>
      <c r="M153" s="630" t="n">
        <v>30.44</v>
      </c>
      <c r="N153" s="631" t="inlineStr">
        <is>
          <t>GOLD</t>
        </is>
      </c>
      <c r="O153" s="627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600">
        <f>_xludf.IFNA(_xlfn.XLOOKUP(Table3[[#This Row],[SKU]],'00_Yield_Rates'!$B$2:$B$17,'00_Yield_Rates'!$E$2:$E$17),"")</f>
        <v/>
      </c>
    </row>
    <row r="154">
      <c r="A154" s="625" t="inlineStr">
        <is>
          <t>Tray_Pack</t>
        </is>
      </c>
      <c r="B154" s="626" t="n">
        <v>2095</v>
      </c>
      <c r="C154" s="627" t="n">
        <v>61077</v>
      </c>
      <c r="D154" s="627" t="inlineStr">
        <is>
          <t>SOB</t>
        </is>
      </c>
      <c r="E154" s="627" t="inlineStr">
        <is>
          <t>Thigh</t>
        </is>
      </c>
      <c r="F154" s="627" t="n"/>
      <c r="G154" s="627" t="n">
        <v>8</v>
      </c>
      <c r="H154" s="627" t="inlineStr">
        <is>
          <t>LT 8XP</t>
        </is>
      </c>
      <c r="I154" s="627" t="inlineStr">
        <is>
          <t>Large</t>
        </is>
      </c>
      <c r="J154" s="628" t="inlineStr">
        <is>
          <t>MS SOB THIGH AC 8XP</t>
        </is>
      </c>
      <c r="K154" s="632" t="inlineStr">
        <is>
          <t>Fast</t>
        </is>
      </c>
      <c r="L154" s="629" t="inlineStr">
        <is>
          <t>BOX</t>
        </is>
      </c>
      <c r="M154" s="630" t="n">
        <v>68.76000000000001</v>
      </c>
      <c r="N154" s="631" t="inlineStr">
        <is>
          <t>GOLD</t>
        </is>
      </c>
      <c r="O154" s="627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600">
        <f>_xludf.IFNA(_xlfn.XLOOKUP(Table3[[#This Row],[SKU]],'00_Yield_Rates'!$B$2:$B$17,'00_Yield_Rates'!$E$2:$E$17),"")</f>
        <v/>
      </c>
    </row>
    <row r="155">
      <c r="A155" s="625" t="inlineStr">
        <is>
          <t>Tray_Pack</t>
        </is>
      </c>
      <c r="B155" s="626" t="n">
        <v>2096</v>
      </c>
      <c r="C155" s="627" t="n">
        <v>61086</v>
      </c>
      <c r="D155" s="627" t="inlineStr">
        <is>
          <t>SOB</t>
        </is>
      </c>
      <c r="E155" s="627" t="inlineStr">
        <is>
          <t>ThighMeat</t>
        </is>
      </c>
      <c r="F155" s="627" t="n"/>
      <c r="G155" s="627" t="n">
        <v>12</v>
      </c>
      <c r="H155" s="627" t="inlineStr">
        <is>
          <t>ST 3XP</t>
        </is>
      </c>
      <c r="I155" s="627" t="inlineStr">
        <is>
          <t>Small</t>
        </is>
      </c>
      <c r="J155" s="628" t="inlineStr">
        <is>
          <t>MS SOB BSTHIGH AC 3XP</t>
        </is>
      </c>
      <c r="K155" s="632" t="inlineStr">
        <is>
          <t>Slow</t>
        </is>
      </c>
      <c r="L155" s="629" t="inlineStr">
        <is>
          <t>BOX</t>
        </is>
      </c>
      <c r="M155" s="630" t="n">
        <v>42.29</v>
      </c>
      <c r="N155" s="631" t="inlineStr">
        <is>
          <t>GOLD</t>
        </is>
      </c>
      <c r="O155" s="627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600">
        <f>_xludf.IFNA(_xlfn.XLOOKUP(Table3[[#This Row],[SKU]],'00_Yield_Rates'!$B$2:$B$17,'00_Yield_Rates'!$E$2:$E$17),"")</f>
        <v/>
      </c>
    </row>
    <row r="156">
      <c r="A156" s="625" t="inlineStr">
        <is>
          <t>Tray_Pack</t>
        </is>
      </c>
      <c r="B156" s="626" t="n">
        <v>2097</v>
      </c>
      <c r="C156" s="627" t="n">
        <v>61086</v>
      </c>
      <c r="D156" s="627" t="inlineStr">
        <is>
          <t>SOB</t>
        </is>
      </c>
      <c r="E156" s="627" t="inlineStr">
        <is>
          <t>ThighMeat</t>
        </is>
      </c>
      <c r="F156" s="627" t="n"/>
      <c r="G156" s="627" t="n">
        <v>8</v>
      </c>
      <c r="H156" s="627" t="inlineStr">
        <is>
          <t>LT 6D</t>
        </is>
      </c>
      <c r="I156" s="627" t="inlineStr">
        <is>
          <t>Large</t>
        </is>
      </c>
      <c r="J156" s="628" t="inlineStr">
        <is>
          <t>MS SOB BSTHIGH AC 6D</t>
        </is>
      </c>
      <c r="K156" s="629" t="inlineStr">
        <is>
          <t>Slow</t>
        </is>
      </c>
      <c r="L156" s="629" t="inlineStr">
        <is>
          <t>BOX</t>
        </is>
      </c>
      <c r="M156" s="630" t="n">
        <v>50.41</v>
      </c>
      <c r="N156" s="631" t="inlineStr">
        <is>
          <t>GOLD</t>
        </is>
      </c>
      <c r="O156" s="627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600">
        <f>_xludf.IFNA(_xlfn.XLOOKUP(Table3[[#This Row],[SKU]],'00_Yield_Rates'!$B$2:$B$17,'00_Yield_Rates'!$E$2:$E$17),"")</f>
        <v/>
      </c>
    </row>
    <row r="157">
      <c r="A157" s="625" t="inlineStr">
        <is>
          <t>Tray_Pack</t>
        </is>
      </c>
      <c r="B157" s="626" t="n">
        <v>2098</v>
      </c>
      <c r="C157" s="627" t="n">
        <v>61014</v>
      </c>
      <c r="D157" s="627" t="inlineStr">
        <is>
          <t>SOB</t>
        </is>
      </c>
      <c r="E157" s="627" t="inlineStr">
        <is>
          <t>SplitWing</t>
        </is>
      </c>
      <c r="F157" s="627" t="n"/>
      <c r="G157" s="627" t="n">
        <v>8</v>
      </c>
      <c r="H157" s="627" t="inlineStr">
        <is>
          <t>LT 8XP</t>
        </is>
      </c>
      <c r="I157" s="627" t="inlineStr">
        <is>
          <t>Small</t>
        </is>
      </c>
      <c r="J157" s="628" t="inlineStr">
        <is>
          <t>MS SOB SPL WING AC 8XP</t>
        </is>
      </c>
      <c r="K157" s="629" t="inlineStr">
        <is>
          <t>Slow</t>
        </is>
      </c>
      <c r="L157" s="629" t="inlineStr">
        <is>
          <t>BOX</t>
        </is>
      </c>
      <c r="M157" s="630" t="n">
        <v>35.95</v>
      </c>
      <c r="N157" s="631" t="inlineStr">
        <is>
          <t>GOLD</t>
        </is>
      </c>
      <c r="O157" s="627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600">
        <f>_xludf.IFNA(_xlfn.XLOOKUP(Table3[[#This Row],[SKU]],'00_Yield_Rates'!$B$2:$B$17,'00_Yield_Rates'!$E$2:$E$17),"")</f>
        <v/>
      </c>
    </row>
    <row r="158">
      <c r="A158" s="625" t="inlineStr">
        <is>
          <t>Tray_Pack</t>
        </is>
      </c>
      <c r="B158" s="634" t="n">
        <v>2099</v>
      </c>
      <c r="C158" s="627" t="n">
        <v>61014</v>
      </c>
      <c r="D158" s="627" t="inlineStr">
        <is>
          <t>SOB</t>
        </is>
      </c>
      <c r="E158" s="627" t="inlineStr">
        <is>
          <t>SplitWing</t>
        </is>
      </c>
      <c r="F158" s="630" t="n"/>
      <c r="G158" s="627" t="n">
        <v>12</v>
      </c>
      <c r="H158" s="627" t="inlineStr">
        <is>
          <t>ST 3XP</t>
        </is>
      </c>
      <c r="I158" s="627" t="inlineStr">
        <is>
          <t>Large</t>
        </is>
      </c>
      <c r="J158" s="628" t="inlineStr">
        <is>
          <t>MS SOB SPL WING AC 3XP</t>
        </is>
      </c>
      <c r="K158" s="629" t="inlineStr">
        <is>
          <t>Slow</t>
        </is>
      </c>
      <c r="L158" s="629" t="inlineStr">
        <is>
          <t>BOX</t>
        </is>
      </c>
      <c r="M158" s="630" t="n">
        <v>40.89</v>
      </c>
      <c r="N158" s="631" t="inlineStr">
        <is>
          <t>GOLD</t>
        </is>
      </c>
      <c r="O158" s="627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600">
        <f>_xludf.IFNA(_xlfn.XLOOKUP(Table3[[#This Row],[SKU]],'00_Yield_Rates'!$B$2:$B$17,'00_Yield_Rates'!$E$2:$E$17),"")</f>
        <v/>
      </c>
    </row>
    <row r="159">
      <c r="A159" s="625" t="inlineStr">
        <is>
          <t>Tray_Pack</t>
        </is>
      </c>
      <c r="B159" s="626" t="n">
        <v>2102</v>
      </c>
      <c r="C159" s="627" t="inlineStr">
        <is>
          <t>61077F</t>
        </is>
      </c>
      <c r="D159" s="627" t="inlineStr">
        <is>
          <t>FB</t>
        </is>
      </c>
      <c r="E159" s="627" t="inlineStr">
        <is>
          <t>Thigh</t>
        </is>
      </c>
      <c r="F159" s="627" t="n"/>
      <c r="G159" s="627" t="n">
        <v>8</v>
      </c>
      <c r="H159" s="627" t="inlineStr">
        <is>
          <t>ST 3D</t>
        </is>
      </c>
      <c r="I159" s="627" t="inlineStr">
        <is>
          <t>Small</t>
        </is>
      </c>
      <c r="J159" s="628" t="inlineStr">
        <is>
          <t>FFTF 3D Thighs 8 Tray</t>
        </is>
      </c>
      <c r="K159" s="632" t="inlineStr">
        <is>
          <t>Fast</t>
        </is>
      </c>
      <c r="L159" s="632" t="inlineStr">
        <is>
          <t>BOX</t>
        </is>
      </c>
      <c r="M159" s="633" t="n">
        <v>56.62</v>
      </c>
      <c r="N159" s="631" t="inlineStr">
        <is>
          <t>PLATINUM</t>
        </is>
      </c>
      <c r="O159" s="627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600">
        <f>_xludf.IFNA(_xlfn.XLOOKUP(Table3[[#This Row],[SKU]],'00_Yield_Rates'!$B$2:$B$17,'00_Yield_Rates'!$E$2:$E$17),"")</f>
        <v/>
      </c>
    </row>
    <row r="160">
      <c r="A160" s="625" t="inlineStr">
        <is>
          <t>Tray_Pack</t>
        </is>
      </c>
      <c r="B160" s="626" t="n">
        <v>2121</v>
      </c>
      <c r="C160" s="627" t="n">
        <v>203021</v>
      </c>
      <c r="D160" s="627" t="inlineStr">
        <is>
          <t>FB</t>
        </is>
      </c>
      <c r="E160" s="627" t="inlineStr">
        <is>
          <t>Whole Bird-Small</t>
        </is>
      </c>
      <c r="F160" s="627" t="n"/>
      <c r="G160" s="635" t="n">
        <v>5</v>
      </c>
      <c r="H160" s="635" t="inlineStr">
        <is>
          <t>ST 3D</t>
        </is>
      </c>
      <c r="I160" s="635" t="inlineStr">
        <is>
          <t>Small</t>
        </is>
      </c>
      <c r="J160" s="636" t="inlineStr">
        <is>
          <t>MS MLF FRY WOG AC TI PET</t>
        </is>
      </c>
      <c r="K160" s="632" t="inlineStr">
        <is>
          <t>Fast</t>
        </is>
      </c>
      <c r="L160" s="632" t="inlineStr">
        <is>
          <t>BOX</t>
        </is>
      </c>
      <c r="M160" s="633" t="n">
        <v>0</v>
      </c>
      <c r="N160" s="631" t="n"/>
      <c r="O160" s="627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600">
        <f>_xludf.IFNA(_xlfn.XLOOKUP(Table3[[#This Row],[SKU]],'00_Yield_Rates'!$B$2:$B$17,'00_Yield_Rates'!$E$2:$E$17),"")</f>
        <v/>
      </c>
    </row>
    <row r="161">
      <c r="A161" s="625" t="inlineStr">
        <is>
          <t>Tray_Pack</t>
        </is>
      </c>
      <c r="B161" s="626" t="n">
        <v>2124</v>
      </c>
      <c r="C161" s="627" t="inlineStr">
        <is>
          <t>61072#2</t>
        </is>
      </c>
      <c r="D161" s="627" t="inlineStr">
        <is>
          <t>FB</t>
        </is>
      </c>
      <c r="E161" s="627" t="inlineStr">
        <is>
          <t>Drum</t>
        </is>
      </c>
      <c r="F161" s="627" t="n">
        <v>10.5477400928239</v>
      </c>
      <c r="G161" s="627" t="n">
        <v>6</v>
      </c>
      <c r="H161" s="627" t="inlineStr">
        <is>
          <t>LT 14D</t>
        </is>
      </c>
      <c r="I161" s="627" t="inlineStr">
        <is>
          <t>Clubpack</t>
        </is>
      </c>
      <c r="J161" s="628" t="inlineStr">
        <is>
          <t>MS BSC DRUM FT PP</t>
        </is>
      </c>
      <c r="K161" s="629" t="inlineStr">
        <is>
          <t>Fast</t>
        </is>
      </c>
      <c r="L161" s="630" t="inlineStr">
        <is>
          <t>BOX</t>
        </is>
      </c>
      <c r="M161" s="630" t="n">
        <v>72.73</v>
      </c>
      <c r="N161" s="631" t="inlineStr">
        <is>
          <t>SILVER</t>
        </is>
      </c>
      <c r="O161" s="627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600">
        <f>_xludf.IFNA(_xlfn.XLOOKUP(Table3[[#This Row],[SKU]],'00_Yield_Rates'!$B$2:$B$17,'00_Yield_Rates'!$E$2:$E$17),"")</f>
        <v/>
      </c>
    </row>
    <row r="162">
      <c r="A162" s="625" t="inlineStr">
        <is>
          <t>Tray_Pack</t>
        </is>
      </c>
      <c r="B162" s="626" t="n">
        <v>2125</v>
      </c>
      <c r="C162" s="627" t="n">
        <v>61082</v>
      </c>
      <c r="D162" s="627" t="inlineStr">
        <is>
          <t>FB</t>
        </is>
      </c>
      <c r="E162" s="627" t="inlineStr">
        <is>
          <t>Thigh</t>
        </is>
      </c>
      <c r="F162" s="627" t="n"/>
      <c r="G162" s="635" t="n">
        <v>6</v>
      </c>
      <c r="H162" s="627" t="inlineStr">
        <is>
          <t>LT 14D</t>
        </is>
      </c>
      <c r="I162" s="635" t="inlineStr">
        <is>
          <t>Clubpack</t>
        </is>
      </c>
      <c r="J162" s="636" t="inlineStr">
        <is>
          <t>MS BSC THIGH FT PP</t>
        </is>
      </c>
      <c r="K162" s="629" t="inlineStr">
        <is>
          <t>Fast</t>
        </is>
      </c>
      <c r="L162" s="632" t="inlineStr">
        <is>
          <t>BOX</t>
        </is>
      </c>
      <c r="M162" s="633" t="n">
        <v>57.23</v>
      </c>
      <c r="N162" s="631" t="inlineStr">
        <is>
          <t>SILVER</t>
        </is>
      </c>
      <c r="O162" s="627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600">
        <f>_xludf.IFNA(_xlfn.XLOOKUP(Table3[[#This Row],[SKU]],'00_Yield_Rates'!$B$2:$B$17,'00_Yield_Rates'!$E$2:$E$17),"")</f>
        <v/>
      </c>
    </row>
    <row r="163">
      <c r="A163" s="625" t="inlineStr">
        <is>
          <t>Tray_Pack</t>
        </is>
      </c>
      <c r="B163" s="626" t="n">
        <v>2237</v>
      </c>
      <c r="C163" s="627" t="inlineStr">
        <is>
          <t>61050#2</t>
        </is>
      </c>
      <c r="D163" s="627" t="inlineStr">
        <is>
          <t>FB</t>
        </is>
      </c>
      <c r="E163" s="627" t="inlineStr">
        <is>
          <t>BSB</t>
        </is>
      </c>
      <c r="F163" s="627" t="n"/>
      <c r="G163" s="635" t="n">
        <v>8</v>
      </c>
      <c r="H163" s="635" t="inlineStr">
        <is>
          <t>LT 8XP</t>
        </is>
      </c>
      <c r="I163" s="635" t="inlineStr">
        <is>
          <t>Large</t>
        </is>
      </c>
      <c r="J163" s="636" t="inlineStr">
        <is>
          <t>METRO BONELESS SKINLESS CHICKEN HALF BREASTS LARGE TRAY</t>
        </is>
      </c>
      <c r="K163" s="629" t="inlineStr">
        <is>
          <t>Fast</t>
        </is>
      </c>
      <c r="L163" s="632" t="inlineStr">
        <is>
          <t>BOX</t>
        </is>
      </c>
      <c r="M163" s="633" t="n">
        <v>134.34</v>
      </c>
      <c r="N163" s="631" t="inlineStr">
        <is>
          <t>SILVER</t>
        </is>
      </c>
      <c r="O163" s="627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600">
        <f>_xludf.IFNA(_xlfn.XLOOKUP(Table3[[#This Row],[SKU]],'00_Yield_Rates'!$B$2:$B$17,'00_Yield_Rates'!$E$2:$E$17),"")</f>
        <v/>
      </c>
    </row>
    <row r="164">
      <c r="A164" s="625" t="inlineStr">
        <is>
          <t>Tray_Pack</t>
        </is>
      </c>
      <c r="B164" s="626" t="n">
        <v>2500</v>
      </c>
      <c r="C164" s="627" t="inlineStr">
        <is>
          <t>61086F</t>
        </is>
      </c>
      <c r="D164" s="627" t="inlineStr">
        <is>
          <t>FB</t>
        </is>
      </c>
      <c r="E164" s="627" t="inlineStr">
        <is>
          <t>ThighMeat</t>
        </is>
      </c>
      <c r="F164" s="627" t="n">
        <v>5.55471316725978</v>
      </c>
      <c r="G164" s="635" t="n">
        <v>8</v>
      </c>
      <c r="H164" s="635" t="inlineStr">
        <is>
          <t>LT 6D</t>
        </is>
      </c>
      <c r="I164" s="635" t="inlineStr">
        <is>
          <t>Small</t>
        </is>
      </c>
      <c r="J164" s="636" t="inlineStr">
        <is>
          <t>MS BSC FFTF BSTHIGH AC 6D PP</t>
        </is>
      </c>
      <c r="K164" s="629" t="inlineStr">
        <is>
          <t>Slow</t>
        </is>
      </c>
      <c r="L164" s="632" t="inlineStr">
        <is>
          <t>BOX</t>
        </is>
      </c>
      <c r="M164" s="633" t="n">
        <v>31.19</v>
      </c>
      <c r="N164" s="631" t="inlineStr">
        <is>
          <t>PLATINUM</t>
        </is>
      </c>
      <c r="O164" s="627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600">
        <f>_xludf.IFNA(_xlfn.XLOOKUP(Table3[[#This Row],[SKU]],'00_Yield_Rates'!$B$2:$B$17,'00_Yield_Rates'!$E$2:$E$17),"")</f>
        <v/>
      </c>
    </row>
    <row r="165">
      <c r="A165" s="625" t="inlineStr">
        <is>
          <t>Tray_Pack</t>
        </is>
      </c>
      <c r="B165" s="626" t="n">
        <v>2501</v>
      </c>
      <c r="C165" s="627" t="inlineStr">
        <is>
          <t>61086F</t>
        </is>
      </c>
      <c r="D165" s="627" t="inlineStr">
        <is>
          <t>FB</t>
        </is>
      </c>
      <c r="E165" s="627" t="inlineStr">
        <is>
          <t>ThighMeat</t>
        </is>
      </c>
      <c r="F165" s="627" t="n"/>
      <c r="G165" s="635" t="n">
        <v>8</v>
      </c>
      <c r="H165" s="635" t="inlineStr">
        <is>
          <t>LT 6D</t>
        </is>
      </c>
      <c r="I165" s="635" t="inlineStr">
        <is>
          <t>Small</t>
        </is>
      </c>
      <c r="J165" s="636" t="inlineStr">
        <is>
          <t>MS FFTF BSTHIGH AC 6D</t>
        </is>
      </c>
      <c r="K165" s="629" t="inlineStr">
        <is>
          <t>Slow</t>
        </is>
      </c>
      <c r="L165" s="632" t="inlineStr">
        <is>
          <t>BOX</t>
        </is>
      </c>
      <c r="M165" s="633" t="n">
        <v>31.19</v>
      </c>
      <c r="N165" s="631" t="inlineStr">
        <is>
          <t>PLATINUM</t>
        </is>
      </c>
      <c r="O165" s="627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600">
        <f>_xludf.IFNA(_xlfn.XLOOKUP(Table3[[#This Row],[SKU]],'00_Yield_Rates'!$B$2:$B$17,'00_Yield_Rates'!$E$2:$E$17),"")</f>
        <v/>
      </c>
    </row>
    <row r="166">
      <c r="A166" s="625" t="inlineStr">
        <is>
          <t>Tray_Pack</t>
        </is>
      </c>
      <c r="B166" s="626" t="n">
        <v>2502</v>
      </c>
      <c r="C166" s="627" t="inlineStr">
        <is>
          <t>61077F</t>
        </is>
      </c>
      <c r="D166" s="627" t="inlineStr">
        <is>
          <t>FB</t>
        </is>
      </c>
      <c r="E166" s="627" t="inlineStr">
        <is>
          <t>Thigh</t>
        </is>
      </c>
      <c r="F166" s="627" t="n">
        <v>6.34339030023094</v>
      </c>
      <c r="G166" s="627" t="n">
        <v>8</v>
      </c>
      <c r="H166" s="627" t="inlineStr">
        <is>
          <t>LT 6D</t>
        </is>
      </c>
      <c r="I166" s="627" t="inlineStr">
        <is>
          <t>Small</t>
        </is>
      </c>
      <c r="J166" s="628" t="inlineStr">
        <is>
          <t>MS BSC FFTF THIGH AC 6D PP</t>
        </is>
      </c>
      <c r="K166" s="632" t="inlineStr">
        <is>
          <t>Fast</t>
        </is>
      </c>
      <c r="L166" s="630" t="inlineStr">
        <is>
          <t>BOX</t>
        </is>
      </c>
      <c r="M166" s="630" t="n">
        <v>50.84</v>
      </c>
      <c r="N166" s="631" t="inlineStr">
        <is>
          <t>PLATINUM</t>
        </is>
      </c>
      <c r="O166" s="627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600">
        <f>_xludf.IFNA(_xlfn.XLOOKUP(Table3[[#This Row],[SKU]],'00_Yield_Rates'!$B$2:$B$17,'00_Yield_Rates'!$E$2:$E$17),"")</f>
        <v/>
      </c>
    </row>
    <row r="167">
      <c r="A167" s="625" t="inlineStr">
        <is>
          <t>Tray_Pack</t>
        </is>
      </c>
      <c r="B167" s="626" t="n">
        <v>2503</v>
      </c>
      <c r="C167" s="627" t="inlineStr">
        <is>
          <t>61077F</t>
        </is>
      </c>
      <c r="D167" s="627" t="inlineStr">
        <is>
          <t>FB</t>
        </is>
      </c>
      <c r="E167" s="627" t="inlineStr">
        <is>
          <t>Thigh</t>
        </is>
      </c>
      <c r="F167" s="627" t="n"/>
      <c r="G167" s="627" t="n">
        <v>8</v>
      </c>
      <c r="H167" s="627" t="inlineStr">
        <is>
          <t>LT 6D</t>
        </is>
      </c>
      <c r="I167" s="627" t="inlineStr">
        <is>
          <t>Small</t>
        </is>
      </c>
      <c r="J167" s="639" t="inlineStr">
        <is>
          <t>MS FFTF THIGH AC 6D PP</t>
        </is>
      </c>
      <c r="K167" s="632" t="inlineStr">
        <is>
          <t>Fast</t>
        </is>
      </c>
      <c r="L167" s="630" t="inlineStr">
        <is>
          <t>BOX</t>
        </is>
      </c>
      <c r="M167" s="630" t="n">
        <v>50.84</v>
      </c>
      <c r="N167" s="631" t="inlineStr">
        <is>
          <t>PLATINUM</t>
        </is>
      </c>
      <c r="O167" s="627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600">
        <f>_xludf.IFNA(_xlfn.XLOOKUP(Table3[[#This Row],[SKU]],'00_Yield_Rates'!$B$2:$B$17,'00_Yield_Rates'!$E$2:$E$17),"")</f>
        <v/>
      </c>
    </row>
    <row r="168">
      <c r="A168" s="625" t="inlineStr">
        <is>
          <t>Tray_Pack</t>
        </is>
      </c>
      <c r="B168" s="626" t="n">
        <v>2504</v>
      </c>
      <c r="C168" s="627" t="inlineStr">
        <is>
          <t>61072F</t>
        </is>
      </c>
      <c r="D168" s="627" t="inlineStr">
        <is>
          <t>FB</t>
        </is>
      </c>
      <c r="E168" s="627" t="inlineStr">
        <is>
          <t>Drum</t>
        </is>
      </c>
      <c r="F168" s="627" t="n">
        <v>6.02746865203761</v>
      </c>
      <c r="G168" s="627" t="n">
        <v>8</v>
      </c>
      <c r="H168" s="627" t="inlineStr">
        <is>
          <t>LT 6D</t>
        </is>
      </c>
      <c r="I168" s="627" t="inlineStr">
        <is>
          <t>Small</t>
        </is>
      </c>
      <c r="J168" s="628" t="inlineStr">
        <is>
          <t>MS BSC FFTF DRUM AC 6D PP</t>
        </is>
      </c>
      <c r="K168" s="632" t="inlineStr">
        <is>
          <t>Fast</t>
        </is>
      </c>
      <c r="L168" s="632" t="inlineStr">
        <is>
          <t>BOX</t>
        </is>
      </c>
      <c r="M168" s="633" t="n">
        <v>51.39</v>
      </c>
      <c r="N168" s="631" t="inlineStr">
        <is>
          <t>PLATINUM</t>
        </is>
      </c>
      <c r="O168" s="627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600">
        <f>_xludf.IFNA(_xlfn.XLOOKUP(Table3[[#This Row],[SKU]],'00_Yield_Rates'!$B$2:$B$17,'00_Yield_Rates'!$E$2:$E$17),"")</f>
        <v/>
      </c>
    </row>
    <row r="169">
      <c r="A169" s="625" t="inlineStr">
        <is>
          <t>Tray_Pack</t>
        </is>
      </c>
      <c r="B169" s="626" t="n">
        <v>2505</v>
      </c>
      <c r="C169" s="627" t="inlineStr">
        <is>
          <t>61072F</t>
        </is>
      </c>
      <c r="D169" s="627" t="inlineStr">
        <is>
          <t>FB</t>
        </is>
      </c>
      <c r="E169" s="627" t="inlineStr">
        <is>
          <t>Drum</t>
        </is>
      </c>
      <c r="F169" s="627" t="n"/>
      <c r="G169" s="627" t="n">
        <v>8</v>
      </c>
      <c r="H169" s="627" t="inlineStr">
        <is>
          <t>LT 6D</t>
        </is>
      </c>
      <c r="I169" s="627" t="inlineStr">
        <is>
          <t>Small</t>
        </is>
      </c>
      <c r="J169" s="628" t="inlineStr">
        <is>
          <t>MS FFTF DRUM AC 6D P BSK</t>
        </is>
      </c>
      <c r="K169" s="632" t="inlineStr">
        <is>
          <t>Fast</t>
        </is>
      </c>
      <c r="L169" s="629" t="inlineStr">
        <is>
          <t>BOX</t>
        </is>
      </c>
      <c r="M169" s="630" t="n">
        <v>51.39</v>
      </c>
      <c r="N169" s="631" t="inlineStr">
        <is>
          <t>PLATINUM</t>
        </is>
      </c>
      <c r="O169" s="627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600">
        <f>_xludf.IFNA(_xlfn.XLOOKUP(Table3[[#This Row],[SKU]],'00_Yield_Rates'!$B$2:$B$17,'00_Yield_Rates'!$E$2:$E$17),"")</f>
        <v/>
      </c>
    </row>
    <row r="170">
      <c r="A170" s="625" t="inlineStr">
        <is>
          <t>Tray_Pack</t>
        </is>
      </c>
      <c r="B170" s="626" t="n">
        <v>2506</v>
      </c>
      <c r="C170" s="627" t="inlineStr">
        <is>
          <t>61014F</t>
        </is>
      </c>
      <c r="D170" s="627" t="inlineStr">
        <is>
          <t>FB</t>
        </is>
      </c>
      <c r="E170" s="627" t="inlineStr">
        <is>
          <t>SplitWing</t>
        </is>
      </c>
      <c r="F170" s="627" t="n">
        <v>6.03528610729023</v>
      </c>
      <c r="G170" s="627" t="n">
        <v>8</v>
      </c>
      <c r="H170" s="627" t="inlineStr">
        <is>
          <t>LT 6D</t>
        </is>
      </c>
      <c r="I170" s="627" t="inlineStr">
        <is>
          <t>Large</t>
        </is>
      </c>
      <c r="J170" s="628" t="inlineStr">
        <is>
          <t>MS FFTF SPL WING AC 6D PP BSK</t>
        </is>
      </c>
      <c r="K170" s="629" t="inlineStr">
        <is>
          <t>Slow</t>
        </is>
      </c>
      <c r="L170" s="629" t="inlineStr">
        <is>
          <t>BOX</t>
        </is>
      </c>
      <c r="M170" s="630" t="n">
        <v>27.07</v>
      </c>
      <c r="N170" s="631" t="inlineStr">
        <is>
          <t>PLATINUM</t>
        </is>
      </c>
      <c r="O170" s="627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600">
        <f>_xludf.IFNA(_xlfn.XLOOKUP(Table3[[#This Row],[SKU]],'00_Yield_Rates'!$B$2:$B$17,'00_Yield_Rates'!$E$2:$E$17),"")</f>
        <v/>
      </c>
    </row>
    <row r="171">
      <c r="A171" s="625" t="inlineStr">
        <is>
          <t>Tray_Pack</t>
        </is>
      </c>
      <c r="B171" s="626" t="n">
        <v>2508</v>
      </c>
      <c r="C171" s="627" t="inlineStr">
        <is>
          <t>61050F</t>
        </is>
      </c>
      <c r="D171" s="627" t="inlineStr">
        <is>
          <t>FB</t>
        </is>
      </c>
      <c r="E171" s="627" t="inlineStr">
        <is>
          <t>BSB</t>
        </is>
      </c>
      <c r="F171" s="627" t="n">
        <v>7.06641917059846</v>
      </c>
      <c r="G171" s="627" t="n">
        <v>8</v>
      </c>
      <c r="H171" s="627" t="inlineStr">
        <is>
          <t>LT 6D</t>
        </is>
      </c>
      <c r="I171" s="627" t="inlineStr">
        <is>
          <t>Small</t>
        </is>
      </c>
      <c r="J171" s="628" t="inlineStr">
        <is>
          <t>MS FFTF BSHB AC 6D PP</t>
        </is>
      </c>
      <c r="K171" s="629" t="inlineStr">
        <is>
          <t>Fast</t>
        </is>
      </c>
      <c r="L171" s="629" t="inlineStr">
        <is>
          <t>BOX</t>
        </is>
      </c>
      <c r="M171" s="630" t="n">
        <v>114</v>
      </c>
      <c r="N171" s="631" t="inlineStr">
        <is>
          <t>PLATINUM</t>
        </is>
      </c>
      <c r="O171" s="627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600">
        <f>_xludf.IFNA(_xlfn.XLOOKUP(Table3[[#This Row],[SKU]],'00_Yield_Rates'!$B$2:$B$17,'00_Yield_Rates'!$E$2:$E$17),"")</f>
        <v/>
      </c>
    </row>
    <row r="172">
      <c r="A172" s="625" t="inlineStr">
        <is>
          <t>Tray_Pack</t>
        </is>
      </c>
      <c r="B172" s="626" t="n">
        <v>2509</v>
      </c>
      <c r="C172" s="627" t="n">
        <v>61050</v>
      </c>
      <c r="D172" s="627" t="inlineStr">
        <is>
          <t>FB</t>
        </is>
      </c>
      <c r="E172" s="627" t="inlineStr">
        <is>
          <t>BSB</t>
        </is>
      </c>
      <c r="F172" s="627" t="n">
        <v>7.63289080512773</v>
      </c>
      <c r="G172" s="627" t="n">
        <v>8</v>
      </c>
      <c r="H172" s="627" t="inlineStr">
        <is>
          <t>LT 6D</t>
        </is>
      </c>
      <c r="I172" s="627" t="inlineStr">
        <is>
          <t>Small</t>
        </is>
      </c>
      <c r="J172" s="628" t="inlineStr">
        <is>
          <t>MS FFTF BSHB AC 6D PP</t>
        </is>
      </c>
      <c r="K172" s="629" t="inlineStr">
        <is>
          <t>Fast</t>
        </is>
      </c>
      <c r="L172" s="629" t="inlineStr">
        <is>
          <t>BOX</t>
        </is>
      </c>
      <c r="M172" s="630" t="n">
        <v>126.19</v>
      </c>
      <c r="N172" s="631" t="inlineStr">
        <is>
          <t>PLATINUM</t>
        </is>
      </c>
      <c r="O172" s="627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600">
        <f>_xludf.IFNA(_xlfn.XLOOKUP(Table3[[#This Row],[SKU]],'00_Yield_Rates'!$B$2:$B$17,'00_Yield_Rates'!$E$2:$E$17),"")</f>
        <v/>
      </c>
    </row>
    <row r="173">
      <c r="A173" s="625" t="inlineStr">
        <is>
          <t>Tray_Pack</t>
        </is>
      </c>
      <c r="B173" s="626" t="n">
        <v>2510</v>
      </c>
      <c r="C173" s="627" t="inlineStr">
        <is>
          <t>61014F</t>
        </is>
      </c>
      <c r="D173" s="627" t="inlineStr">
        <is>
          <t>FB</t>
        </is>
      </c>
      <c r="E173" s="627" t="inlineStr">
        <is>
          <t>SplitWing</t>
        </is>
      </c>
      <c r="F173" s="627" t="n">
        <v>8.21520397378989</v>
      </c>
      <c r="G173" s="627" t="n">
        <v>8</v>
      </c>
      <c r="H173" s="627" t="inlineStr">
        <is>
          <t>LT 8XP</t>
        </is>
      </c>
      <c r="I173" s="627" t="inlineStr">
        <is>
          <t>Large</t>
        </is>
      </c>
      <c r="J173" s="628" t="inlineStr">
        <is>
          <t>MS BSC SPL WING 8XP PP</t>
        </is>
      </c>
      <c r="K173" s="629" t="inlineStr">
        <is>
          <t>Slow</t>
        </is>
      </c>
      <c r="L173" s="629" t="inlineStr">
        <is>
          <t>BOX</t>
        </is>
      </c>
      <c r="M173" s="630" t="n">
        <v>30.7</v>
      </c>
      <c r="N173" s="631" t="inlineStr">
        <is>
          <t>PLATINUM</t>
        </is>
      </c>
      <c r="O173" s="627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600">
        <f>_xludf.IFNA(_xlfn.XLOOKUP(Table3[[#This Row],[SKU]],'00_Yield_Rates'!$B$2:$B$17,'00_Yield_Rates'!$E$2:$E$17),"")</f>
        <v/>
      </c>
    </row>
    <row r="174">
      <c r="A174" s="625" t="inlineStr">
        <is>
          <t>Tray_Pack</t>
        </is>
      </c>
      <c r="B174" s="626" t="n">
        <v>2512</v>
      </c>
      <c r="C174" s="627" t="n">
        <v>61014</v>
      </c>
      <c r="D174" s="627" t="inlineStr">
        <is>
          <t>METRO</t>
        </is>
      </c>
      <c r="E174" s="627" t="inlineStr">
        <is>
          <t>SplitWing</t>
        </is>
      </c>
      <c r="F174" s="627" t="n">
        <v>8.211519930675911</v>
      </c>
      <c r="G174" s="627" t="n">
        <v>8</v>
      </c>
      <c r="H174" s="627" t="inlineStr">
        <is>
          <t>LT 8XP</t>
        </is>
      </c>
      <c r="I174" s="627" t="inlineStr">
        <is>
          <t>Large</t>
        </is>
      </c>
      <c r="J174" s="628" t="inlineStr">
        <is>
          <t>MS BSC SPL WING 8XP</t>
        </is>
      </c>
      <c r="K174" s="629" t="inlineStr">
        <is>
          <t>Slow</t>
        </is>
      </c>
      <c r="L174" s="629" t="inlineStr">
        <is>
          <t>BOX</t>
        </is>
      </c>
      <c r="M174" s="630" t="n">
        <v>31.7</v>
      </c>
      <c r="N174" s="631" t="inlineStr">
        <is>
          <t>PLATINUM</t>
        </is>
      </c>
      <c r="O174" s="627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600">
        <f>_xludf.IFNA(_xlfn.XLOOKUP(Table3[[#This Row],[SKU]],'00_Yield_Rates'!$B$2:$B$17,'00_Yield_Rates'!$E$2:$E$17),"")</f>
        <v/>
      </c>
    </row>
    <row r="175">
      <c r="A175" s="625" t="inlineStr">
        <is>
          <t>Tray_Pack</t>
        </is>
      </c>
      <c r="B175" s="626" t="n">
        <v>7018</v>
      </c>
      <c r="C175" s="627" t="n">
        <v>61010</v>
      </c>
      <c r="D175" s="627" t="inlineStr">
        <is>
          <t>LCL</t>
        </is>
      </c>
      <c r="E175" s="627" t="inlineStr">
        <is>
          <t>Whole Wing-Large</t>
        </is>
      </c>
      <c r="F175" s="627" t="n">
        <v>7.42</v>
      </c>
      <c r="G175" s="627" t="n">
        <v>8</v>
      </c>
      <c r="H175" s="627" t="inlineStr">
        <is>
          <t>PET 8</t>
        </is>
      </c>
      <c r="I175" s="627" t="inlineStr">
        <is>
          <t>Large</t>
        </is>
      </c>
      <c r="J175" s="628" t="inlineStr">
        <is>
          <t>PB WING LT</t>
        </is>
      </c>
      <c r="K175" s="629" t="inlineStr">
        <is>
          <t>Fast</t>
        </is>
      </c>
      <c r="L175" s="629" t="inlineStr">
        <is>
          <t>IFCO</t>
        </is>
      </c>
      <c r="M175" s="630" t="n">
        <v>26.78</v>
      </c>
      <c r="N175" s="631" t="inlineStr">
        <is>
          <t>SILVER</t>
        </is>
      </c>
      <c r="O175" s="627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600">
        <f>_xludf.IFNA(_xlfn.XLOOKUP(Table3[[#This Row],[SKU]],'00_Yield_Rates'!$B$2:$B$17,'00_Yield_Rates'!$E$2:$E$17),"")</f>
        <v/>
      </c>
    </row>
    <row r="176">
      <c r="A176" s="625" t="inlineStr">
        <is>
          <t>Tray_Pack</t>
        </is>
      </c>
      <c r="B176" s="626" t="n">
        <v>7091</v>
      </c>
      <c r="C176" s="627" t="n">
        <v>61061</v>
      </c>
      <c r="D176" s="627" t="inlineStr">
        <is>
          <t>LCL</t>
        </is>
      </c>
      <c r="E176" s="627" t="inlineStr">
        <is>
          <t>BA</t>
        </is>
      </c>
      <c r="F176" s="627" t="n">
        <v>0</v>
      </c>
      <c r="G176" s="627" t="n">
        <v>8</v>
      </c>
      <c r="H176" s="627" t="inlineStr">
        <is>
          <t>PET 8</t>
        </is>
      </c>
      <c r="I176" s="627" t="inlineStr">
        <is>
          <t>Large</t>
        </is>
      </c>
      <c r="J176" s="628" t="inlineStr">
        <is>
          <t>PB LEG BA LT</t>
        </is>
      </c>
      <c r="K176" s="632" t="inlineStr">
        <is>
          <t>Fast</t>
        </is>
      </c>
      <c r="L176" s="629" t="inlineStr">
        <is>
          <t>IFCO</t>
        </is>
      </c>
      <c r="M176" s="630" t="n">
        <v>82.95999999999999</v>
      </c>
      <c r="N176" s="631" t="inlineStr">
        <is>
          <t>SILVER</t>
        </is>
      </c>
      <c r="O176" s="627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600">
        <f>_xludf.IFNA(_xlfn.XLOOKUP(Table3[[#This Row],[SKU]],'00_Yield_Rates'!$B$2:$B$17,'00_Yield_Rates'!$E$2:$E$17),"")</f>
        <v/>
      </c>
    </row>
    <row r="177">
      <c r="A177" s="625" t="inlineStr">
        <is>
          <t>Tray_Pack</t>
        </is>
      </c>
      <c r="B177" s="626" t="n">
        <v>7103</v>
      </c>
      <c r="C177" s="627" t="n">
        <v>203891</v>
      </c>
      <c r="D177" s="627" t="inlineStr">
        <is>
          <t>LCL</t>
        </is>
      </c>
      <c r="E177" s="627" t="inlineStr">
        <is>
          <t>Whole Bird-Small</t>
        </is>
      </c>
      <c r="F177" s="627" t="n"/>
      <c r="G177" s="627" t="n">
        <v>6</v>
      </c>
      <c r="H177" s="627" t="inlineStr">
        <is>
          <t>ST 3XP</t>
        </is>
      </c>
      <c r="I177" s="627" t="inlineStr">
        <is>
          <t>Small</t>
        </is>
      </c>
      <c r="J177" s="628" t="inlineStr">
        <is>
          <t>PB FRY WOG TI ST</t>
        </is>
      </c>
      <c r="K177" s="632" t="inlineStr">
        <is>
          <t>Fast</t>
        </is>
      </c>
      <c r="L177" s="632" t="inlineStr">
        <is>
          <t>IFCO</t>
        </is>
      </c>
      <c r="M177" s="633" t="n">
        <v>131.39</v>
      </c>
      <c r="N177" s="631" t="n"/>
      <c r="O177" s="627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600">
        <f>_xludf.IFNA(_xlfn.XLOOKUP(Table3[[#This Row],[SKU]],'00_Yield_Rates'!$B$2:$B$17,'00_Yield_Rates'!$E$2:$E$17),"")</f>
        <v/>
      </c>
    </row>
    <row r="178">
      <c r="A178" s="625" t="inlineStr">
        <is>
          <t>Tray_Pack</t>
        </is>
      </c>
      <c r="B178" s="626" t="n">
        <v>7104</v>
      </c>
      <c r="C178" s="627" t="n">
        <v>61082</v>
      </c>
      <c r="D178" s="627" t="inlineStr">
        <is>
          <t>LCL</t>
        </is>
      </c>
      <c r="E178" s="627" t="inlineStr">
        <is>
          <t>Thigh</t>
        </is>
      </c>
      <c r="F178" s="627" t="n">
        <v>10.5333333333333</v>
      </c>
      <c r="G178" s="627" t="n">
        <v>8</v>
      </c>
      <c r="H178" s="627" t="inlineStr">
        <is>
          <t>PET 8</t>
        </is>
      </c>
      <c r="I178" s="627" t="inlineStr">
        <is>
          <t>Large</t>
        </is>
      </c>
      <c r="J178" s="628" t="inlineStr">
        <is>
          <t>PB THIGH LT</t>
        </is>
      </c>
      <c r="K178" s="632" t="inlineStr">
        <is>
          <t>Fast</t>
        </is>
      </c>
      <c r="L178" s="632" t="inlineStr">
        <is>
          <t>IFCO</t>
        </is>
      </c>
      <c r="M178" s="633" t="n">
        <v>45.72</v>
      </c>
      <c r="N178" s="631" t="inlineStr">
        <is>
          <t>SILVER</t>
        </is>
      </c>
      <c r="O178" s="627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600">
        <f>_xludf.IFNA(_xlfn.XLOOKUP(Table3[[#This Row],[SKU]],'00_Yield_Rates'!$B$2:$B$17,'00_Yield_Rates'!$E$2:$E$17),"")</f>
        <v/>
      </c>
    </row>
    <row r="179">
      <c r="A179" s="625" t="inlineStr">
        <is>
          <t>Tray_Pack</t>
        </is>
      </c>
      <c r="B179" s="626" t="n">
        <v>7105</v>
      </c>
      <c r="C179" s="627" t="inlineStr">
        <is>
          <t>61050#2</t>
        </is>
      </c>
      <c r="D179" s="627" t="inlineStr">
        <is>
          <t>LCL</t>
        </is>
      </c>
      <c r="E179" s="627" t="inlineStr">
        <is>
          <t>BSB</t>
        </is>
      </c>
      <c r="F179" s="627" t="n">
        <v>9.770440943270749</v>
      </c>
      <c r="G179" s="627" t="n">
        <v>8</v>
      </c>
      <c r="H179" s="627" t="inlineStr">
        <is>
          <t>PET 8</t>
        </is>
      </c>
      <c r="I179" s="627" t="inlineStr">
        <is>
          <t>Large</t>
        </is>
      </c>
      <c r="J179" s="628" t="inlineStr">
        <is>
          <t>MS BSHB PET8 BSK</t>
        </is>
      </c>
      <c r="K179" s="629" t="inlineStr">
        <is>
          <t>Fast</t>
        </is>
      </c>
      <c r="L179" s="629" t="inlineStr">
        <is>
          <t>IFCO</t>
        </is>
      </c>
      <c r="M179" s="630" t="n">
        <v>107.39</v>
      </c>
      <c r="N179" s="631" t="inlineStr">
        <is>
          <t>SILVER</t>
        </is>
      </c>
      <c r="O179" s="627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600">
        <f>_xludf.IFNA(_xlfn.XLOOKUP(Table3[[#This Row],[SKU]],'00_Yield_Rates'!$B$2:$B$17,'00_Yield_Rates'!$E$2:$E$17),"")</f>
        <v/>
      </c>
    </row>
    <row r="180">
      <c r="A180" s="625" t="inlineStr">
        <is>
          <t>Tray_Pack</t>
        </is>
      </c>
      <c r="B180" s="626" t="n">
        <v>7107</v>
      </c>
      <c r="C180" s="627" t="inlineStr">
        <is>
          <t>61048#2</t>
        </is>
      </c>
      <c r="D180" s="627" t="inlineStr">
        <is>
          <t>LCL</t>
        </is>
      </c>
      <c r="E180" s="627" t="inlineStr">
        <is>
          <t>SplitBreast</t>
        </is>
      </c>
      <c r="F180" s="627" t="n">
        <v>10.5304894500172</v>
      </c>
      <c r="G180" s="627" t="n">
        <v>8</v>
      </c>
      <c r="H180" s="627" t="inlineStr">
        <is>
          <t>PET 8</t>
        </is>
      </c>
      <c r="I180" s="627" t="inlineStr">
        <is>
          <t>Large</t>
        </is>
      </c>
      <c r="J180" s="628" t="inlineStr">
        <is>
          <t>PB SKLS HB LT</t>
        </is>
      </c>
      <c r="K180" s="629" t="inlineStr">
        <is>
          <t>Fast</t>
        </is>
      </c>
      <c r="L180" s="629" t="inlineStr">
        <is>
          <t>IFCO</t>
        </is>
      </c>
      <c r="M180" s="630" t="n">
        <v>70.01000000000001</v>
      </c>
      <c r="N180" s="631" t="inlineStr">
        <is>
          <t>SILVER</t>
        </is>
      </c>
      <c r="O180" s="627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600">
        <f>_xludf.IFNA(_xlfn.XLOOKUP(Table3[[#This Row],[SKU]],'00_Yield_Rates'!$B$2:$B$17,'00_Yield_Rates'!$E$2:$E$17),"")</f>
        <v/>
      </c>
    </row>
    <row r="181">
      <c r="A181" s="625" t="inlineStr">
        <is>
          <t>Tray_Pack</t>
        </is>
      </c>
      <c r="B181" s="626" t="n">
        <v>7108</v>
      </c>
      <c r="C181" s="627" t="inlineStr">
        <is>
          <t>61072#2</t>
        </is>
      </c>
      <c r="D181" s="627" t="inlineStr">
        <is>
          <t>LCL</t>
        </is>
      </c>
      <c r="E181" s="627" t="inlineStr">
        <is>
          <t>Drum</t>
        </is>
      </c>
      <c r="F181" s="627" t="n">
        <v>8.258408468008691</v>
      </c>
      <c r="G181" s="627" t="n">
        <v>8</v>
      </c>
      <c r="H181" s="627" t="inlineStr">
        <is>
          <t>PET 8</t>
        </is>
      </c>
      <c r="I181" s="627" t="inlineStr">
        <is>
          <t>Large</t>
        </is>
      </c>
      <c r="J181" s="628" t="inlineStr">
        <is>
          <t>MS DRUM PET8 BSK</t>
        </is>
      </c>
      <c r="K181" s="632" t="inlineStr">
        <is>
          <t>Fast</t>
        </is>
      </c>
      <c r="L181" s="632" t="inlineStr">
        <is>
          <t>IFCO</t>
        </is>
      </c>
      <c r="M181" s="633" t="n">
        <v>67.90000000000001</v>
      </c>
      <c r="N181" s="631" t="inlineStr">
        <is>
          <t>SILVER</t>
        </is>
      </c>
      <c r="O181" s="627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600">
        <f>_xludf.IFNA(_xlfn.XLOOKUP(Table3[[#This Row],[SKU]],'00_Yield_Rates'!$B$2:$B$17,'00_Yield_Rates'!$E$2:$E$17),"")</f>
        <v/>
      </c>
    </row>
    <row r="182">
      <c r="A182" s="625" t="inlineStr">
        <is>
          <t>Tray_Pack</t>
        </is>
      </c>
      <c r="B182" s="626" t="n">
        <v>7109</v>
      </c>
      <c r="C182" s="627" t="inlineStr">
        <is>
          <t>61040#2</t>
        </is>
      </c>
      <c r="D182" s="627" t="inlineStr">
        <is>
          <t>LCL</t>
        </is>
      </c>
      <c r="E182" s="627" t="inlineStr">
        <is>
          <t>SplitBreast</t>
        </is>
      </c>
      <c r="F182" s="627" t="n">
        <v>0</v>
      </c>
      <c r="G182" s="627" t="n">
        <v>8</v>
      </c>
      <c r="H182" s="627" t="inlineStr">
        <is>
          <t>PET 8</t>
        </is>
      </c>
      <c r="I182" s="627" t="inlineStr">
        <is>
          <t>Large</t>
        </is>
      </c>
      <c r="J182" s="628" t="inlineStr">
        <is>
          <t>PB HB LT</t>
        </is>
      </c>
      <c r="K182" s="629" t="inlineStr">
        <is>
          <t>Fast</t>
        </is>
      </c>
      <c r="L182" s="632" t="inlineStr">
        <is>
          <t>IFCO</t>
        </is>
      </c>
      <c r="M182" s="633" t="n">
        <v>96.02</v>
      </c>
      <c r="N182" s="631" t="inlineStr">
        <is>
          <t>SILVER</t>
        </is>
      </c>
      <c r="O182" s="627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600">
        <f>_xludf.IFNA(_xlfn.XLOOKUP(Table3[[#This Row],[SKU]],'00_Yield_Rates'!$B$2:$B$17,'00_Yield_Rates'!$E$2:$E$17),"")</f>
        <v/>
      </c>
    </row>
    <row r="183">
      <c r="A183" s="625" t="inlineStr">
        <is>
          <t>Tray_Pack</t>
        </is>
      </c>
      <c r="B183" s="626" t="n">
        <v>7115</v>
      </c>
      <c r="C183" s="627" t="inlineStr">
        <is>
          <t>61072#2</t>
        </is>
      </c>
      <c r="D183" s="627" t="inlineStr">
        <is>
          <t>LCL</t>
        </is>
      </c>
      <c r="E183" s="627" t="inlineStr">
        <is>
          <t>Drum</t>
        </is>
      </c>
      <c r="F183" s="627" t="n">
        <v>8.07686122357174</v>
      </c>
      <c r="G183" s="627" t="n">
        <v>8</v>
      </c>
      <c r="H183" s="627" t="inlineStr">
        <is>
          <t>PET 8</t>
        </is>
      </c>
      <c r="I183" s="627" t="inlineStr">
        <is>
          <t>Large</t>
        </is>
      </c>
      <c r="J183" s="628" t="inlineStr">
        <is>
          <t>PB DRUM LT PP</t>
        </is>
      </c>
      <c r="K183" s="632" t="inlineStr">
        <is>
          <t>Fast</t>
        </is>
      </c>
      <c r="L183" s="629" t="inlineStr">
        <is>
          <t>IFCO</t>
        </is>
      </c>
      <c r="M183" s="630" t="n">
        <v>67.90000000000001</v>
      </c>
      <c r="N183" s="631" t="inlineStr">
        <is>
          <t>SILVER</t>
        </is>
      </c>
      <c r="O183" s="627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600">
        <f>_xludf.IFNA(_xlfn.XLOOKUP(Table3[[#This Row],[SKU]],'00_Yield_Rates'!$B$2:$B$17,'00_Yield_Rates'!$E$2:$E$17),"")</f>
        <v/>
      </c>
    </row>
    <row r="184">
      <c r="A184" s="625" t="inlineStr">
        <is>
          <t>Tray_Pack</t>
        </is>
      </c>
      <c r="B184" s="626" t="n">
        <v>7116</v>
      </c>
      <c r="C184" s="627" t="n">
        <v>61082</v>
      </c>
      <c r="D184" s="627" t="inlineStr">
        <is>
          <t>LCL</t>
        </is>
      </c>
      <c r="E184" s="627" t="inlineStr">
        <is>
          <t>Thigh</t>
        </is>
      </c>
      <c r="F184" s="627" t="n">
        <v>0</v>
      </c>
      <c r="G184" s="627" t="n">
        <v>8</v>
      </c>
      <c r="H184" s="627" t="inlineStr">
        <is>
          <t>PET 8</t>
        </is>
      </c>
      <c r="I184" s="627" t="inlineStr">
        <is>
          <t>Large</t>
        </is>
      </c>
      <c r="J184" s="628" t="inlineStr">
        <is>
          <t>PB THIGH LT PP</t>
        </is>
      </c>
      <c r="K184" s="632" t="inlineStr">
        <is>
          <t>Fast</t>
        </is>
      </c>
      <c r="L184" s="629" t="inlineStr">
        <is>
          <t>IFCO</t>
        </is>
      </c>
      <c r="M184" s="630" t="n">
        <v>45.72</v>
      </c>
      <c r="N184" s="631" t="inlineStr">
        <is>
          <t>SILVER</t>
        </is>
      </c>
      <c r="O184" s="627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600">
        <f>_xludf.IFNA(_xlfn.XLOOKUP(Table3[[#This Row],[SKU]],'00_Yield_Rates'!$B$2:$B$17,'00_Yield_Rates'!$E$2:$E$17),"")</f>
        <v/>
      </c>
    </row>
    <row r="185">
      <c r="A185" s="625" t="inlineStr">
        <is>
          <t>Tray_Pack</t>
        </is>
      </c>
      <c r="B185" s="626" t="n">
        <v>7117</v>
      </c>
      <c r="C185" s="627" t="inlineStr">
        <is>
          <t>61040#2</t>
        </is>
      </c>
      <c r="D185" s="627" t="inlineStr">
        <is>
          <t>LCL</t>
        </is>
      </c>
      <c r="E185" s="627" t="inlineStr">
        <is>
          <t>SplitBreast</t>
        </is>
      </c>
      <c r="F185" s="627" t="n">
        <v>0</v>
      </c>
      <c r="G185" s="627" t="n">
        <v>8</v>
      </c>
      <c r="H185" s="627" t="inlineStr">
        <is>
          <t>PET 8</t>
        </is>
      </c>
      <c r="I185" s="627" t="inlineStr">
        <is>
          <t>Large</t>
        </is>
      </c>
      <c r="J185" s="628" t="inlineStr">
        <is>
          <t>PB HB LT PP</t>
        </is>
      </c>
      <c r="K185" s="629" t="inlineStr">
        <is>
          <t>Fast</t>
        </is>
      </c>
      <c r="L185" s="629" t="inlineStr">
        <is>
          <t>IFCO</t>
        </is>
      </c>
      <c r="M185" s="630" t="n">
        <v>96.02</v>
      </c>
      <c r="N185" s="631" t="inlineStr">
        <is>
          <t>SILVER</t>
        </is>
      </c>
      <c r="O185" s="627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600">
        <f>_xludf.IFNA(_xlfn.XLOOKUP(Table3[[#This Row],[SKU]],'00_Yield_Rates'!$B$2:$B$17,'00_Yield_Rates'!$E$2:$E$17),"")</f>
        <v/>
      </c>
    </row>
    <row r="186">
      <c r="A186" s="625" t="inlineStr">
        <is>
          <t>Tray_Pack</t>
        </is>
      </c>
      <c r="B186" s="626" t="n">
        <v>7118</v>
      </c>
      <c r="C186" s="627" t="inlineStr">
        <is>
          <t>61048#2</t>
        </is>
      </c>
      <c r="D186" s="627" t="inlineStr">
        <is>
          <t>LCL</t>
        </is>
      </c>
      <c r="E186" s="627" t="inlineStr">
        <is>
          <t>SplitBreast</t>
        </is>
      </c>
      <c r="F186" s="627" t="n">
        <v>0</v>
      </c>
      <c r="G186" s="627" t="n">
        <v>8</v>
      </c>
      <c r="H186" s="627" t="inlineStr">
        <is>
          <t>PET 8</t>
        </is>
      </c>
      <c r="I186" s="627" t="inlineStr">
        <is>
          <t>Large</t>
        </is>
      </c>
      <c r="J186" s="628" t="inlineStr">
        <is>
          <t>PB SKLS HB LT PP</t>
        </is>
      </c>
      <c r="K186" s="629" t="inlineStr">
        <is>
          <t>Fast</t>
        </is>
      </c>
      <c r="L186" s="629" t="inlineStr">
        <is>
          <t>IFCO</t>
        </is>
      </c>
      <c r="M186" s="630" t="n">
        <v>70.01000000000001</v>
      </c>
      <c r="N186" s="631" t="inlineStr">
        <is>
          <t>SILVER</t>
        </is>
      </c>
      <c r="O186" s="627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600">
        <f>_xludf.IFNA(_xlfn.XLOOKUP(Table3[[#This Row],[SKU]],'00_Yield_Rates'!$B$2:$B$17,'00_Yield_Rates'!$E$2:$E$17),"")</f>
        <v/>
      </c>
    </row>
    <row r="187">
      <c r="A187" s="625" t="inlineStr">
        <is>
          <t>Tray_Pack</t>
        </is>
      </c>
      <c r="B187" s="626" t="n">
        <v>7119</v>
      </c>
      <c r="C187" s="627" t="inlineStr">
        <is>
          <t>61048#2</t>
        </is>
      </c>
      <c r="D187" s="627" t="inlineStr">
        <is>
          <t>LCL</t>
        </is>
      </c>
      <c r="E187" s="627" t="inlineStr">
        <is>
          <t>SplitBreast</t>
        </is>
      </c>
      <c r="F187" s="627" t="n">
        <v>0</v>
      </c>
      <c r="G187" s="627" t="n">
        <v>8</v>
      </c>
      <c r="H187" s="627" t="inlineStr">
        <is>
          <t>PET 8</t>
        </is>
      </c>
      <c r="I187" s="627" t="inlineStr">
        <is>
          <t>Large</t>
        </is>
      </c>
      <c r="J187" s="628" t="inlineStr">
        <is>
          <t>PB SKLS HB LT PP</t>
        </is>
      </c>
      <c r="K187" s="629" t="inlineStr">
        <is>
          <t>Fast</t>
        </is>
      </c>
      <c r="L187" s="629" t="inlineStr">
        <is>
          <t>IFCO</t>
        </is>
      </c>
      <c r="M187" s="630" t="n">
        <v>70.01000000000001</v>
      </c>
      <c r="N187" s="631" t="inlineStr">
        <is>
          <t>SILVER</t>
        </is>
      </c>
      <c r="O187" s="627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600">
        <f>_xludf.IFNA(_xlfn.XLOOKUP(Table3[[#This Row],[SKU]],'00_Yield_Rates'!$B$2:$B$17,'00_Yield_Rates'!$E$2:$E$17),"")</f>
        <v/>
      </c>
    </row>
    <row r="188">
      <c r="A188" s="625" t="inlineStr">
        <is>
          <t>Tray_Pack</t>
        </is>
      </c>
      <c r="B188" s="626" t="n">
        <v>7120</v>
      </c>
      <c r="C188" s="627" t="inlineStr">
        <is>
          <t>61086#2</t>
        </is>
      </c>
      <c r="D188" s="627" t="inlineStr">
        <is>
          <t>LCL</t>
        </is>
      </c>
      <c r="E188" s="627" t="inlineStr">
        <is>
          <t>ThighMeat</t>
        </is>
      </c>
      <c r="F188" s="627" t="n">
        <v>8.149062499999999</v>
      </c>
      <c r="G188" s="627" t="n">
        <v>8</v>
      </c>
      <c r="H188" s="627" t="inlineStr">
        <is>
          <t>PET 8</t>
        </is>
      </c>
      <c r="I188" s="627" t="inlineStr">
        <is>
          <t>Large</t>
        </is>
      </c>
      <c r="J188" s="628" t="inlineStr">
        <is>
          <t>PB BSTHIGH LT PP</t>
        </is>
      </c>
      <c r="K188" s="629" t="inlineStr">
        <is>
          <t>Slow</t>
        </is>
      </c>
      <c r="L188" s="629" t="inlineStr">
        <is>
          <t>IFCO</t>
        </is>
      </c>
      <c r="M188" s="630" t="n">
        <v>20.8</v>
      </c>
      <c r="N188" s="631" t="inlineStr">
        <is>
          <t>SILVER</t>
        </is>
      </c>
      <c r="O188" s="627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600">
        <f>_xludf.IFNA(_xlfn.XLOOKUP(Table3[[#This Row],[SKU]],'00_Yield_Rates'!$B$2:$B$17,'00_Yield_Rates'!$E$2:$E$17),"")</f>
        <v/>
      </c>
    </row>
    <row r="189">
      <c r="A189" s="625" t="inlineStr">
        <is>
          <t>Tray_Pack</t>
        </is>
      </c>
      <c r="B189" s="626" t="n">
        <v>7121</v>
      </c>
      <c r="C189" s="627" t="n">
        <v>203041</v>
      </c>
      <c r="D189" s="627" t="inlineStr">
        <is>
          <t>LCL</t>
        </is>
      </c>
      <c r="E189" s="627" t="inlineStr">
        <is>
          <t>SplitBreast</t>
        </is>
      </c>
      <c r="F189" s="627" t="n"/>
      <c r="G189" s="627" t="n">
        <v>8</v>
      </c>
      <c r="H189" s="627" t="inlineStr">
        <is>
          <t>PET 8</t>
        </is>
      </c>
      <c r="I189" s="627" t="inlineStr">
        <is>
          <t>Large</t>
        </is>
      </c>
      <c r="J189" s="628" t="inlineStr">
        <is>
          <t>PB GIB ST PP</t>
        </is>
      </c>
      <c r="K189" s="629" t="inlineStr">
        <is>
          <t>Fast</t>
        </is>
      </c>
      <c r="L189" s="629" t="inlineStr">
        <is>
          <t>IFCO</t>
        </is>
      </c>
      <c r="M189" s="630" t="n">
        <v>0</v>
      </c>
      <c r="N189" s="631" t="inlineStr">
        <is>
          <t>PLATINUM</t>
        </is>
      </c>
      <c r="O189" s="627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600">
        <f>_xludf.IFNA(_xlfn.XLOOKUP(Table3[[#This Row],[SKU]],'00_Yield_Rates'!$B$2:$B$17,'00_Yield_Rates'!$E$2:$E$17),"")</f>
        <v/>
      </c>
    </row>
    <row r="190">
      <c r="A190" s="625" t="inlineStr">
        <is>
          <t>Tray_Pack</t>
        </is>
      </c>
      <c r="B190" s="626" t="n">
        <v>7136</v>
      </c>
      <c r="C190" s="627" t="inlineStr">
        <is>
          <t>61072#2</t>
        </is>
      </c>
      <c r="D190" s="627" t="inlineStr">
        <is>
          <t>LCL</t>
        </is>
      </c>
      <c r="E190" s="627" t="inlineStr">
        <is>
          <t>Drum</t>
        </is>
      </c>
      <c r="F190" s="627" t="n"/>
      <c r="G190" s="627" t="n">
        <v>8</v>
      </c>
      <c r="H190" s="627" t="inlineStr">
        <is>
          <t>PET 8</t>
        </is>
      </c>
      <c r="I190" s="627" t="inlineStr">
        <is>
          <t>Large</t>
        </is>
      </c>
      <c r="J190" s="628" t="inlineStr">
        <is>
          <t>MS DRUM LT PP</t>
        </is>
      </c>
      <c r="K190" s="632" t="inlineStr">
        <is>
          <t>Fast</t>
        </is>
      </c>
      <c r="L190" s="629" t="inlineStr">
        <is>
          <t>IFCO</t>
        </is>
      </c>
      <c r="M190" s="630" t="n">
        <v>54.87</v>
      </c>
      <c r="N190" s="631" t="inlineStr">
        <is>
          <t>SILVER</t>
        </is>
      </c>
      <c r="O190" s="627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600">
        <f>_xludf.IFNA(_xlfn.XLOOKUP(Table3[[#This Row],[SKU]],'00_Yield_Rates'!$B$2:$B$17,'00_Yield_Rates'!$E$2:$E$17),"")</f>
        <v/>
      </c>
    </row>
    <row r="191">
      <c r="A191" s="625" t="inlineStr">
        <is>
          <t>Tray_Pack</t>
        </is>
      </c>
      <c r="B191" s="626" t="n">
        <v>7137</v>
      </c>
      <c r="C191" s="627" t="n">
        <v>61082</v>
      </c>
      <c r="D191" s="627" t="inlineStr">
        <is>
          <t>LCL</t>
        </is>
      </c>
      <c r="E191" s="627" t="inlineStr">
        <is>
          <t>Thigh</t>
        </is>
      </c>
      <c r="F191" s="627" t="n"/>
      <c r="G191" s="627" t="n"/>
      <c r="H191" s="627" t="inlineStr">
        <is>
          <t>PET 8</t>
        </is>
      </c>
      <c r="I191" s="627" t="inlineStr">
        <is>
          <t>Large</t>
        </is>
      </c>
      <c r="J191" s="628" t="inlineStr">
        <is>
          <t>MS THIGH LT PP</t>
        </is>
      </c>
      <c r="K191" s="632" t="inlineStr">
        <is>
          <t>Fast</t>
        </is>
      </c>
      <c r="L191" s="629" t="inlineStr">
        <is>
          <t>IFCO</t>
        </is>
      </c>
      <c r="M191" s="630" t="n">
        <v>34.75</v>
      </c>
      <c r="N191" s="631" t="inlineStr">
        <is>
          <t>SILVER</t>
        </is>
      </c>
      <c r="O191" s="627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600">
        <f>_xludf.IFNA(_xlfn.XLOOKUP(Table3[[#This Row],[SKU]],'00_Yield_Rates'!$B$2:$B$17,'00_Yield_Rates'!$E$2:$E$17),"")</f>
        <v/>
      </c>
    </row>
    <row r="192">
      <c r="A192" s="625" t="inlineStr">
        <is>
          <t>Tray_Pack</t>
        </is>
      </c>
      <c r="B192" s="626" t="n">
        <v>7145</v>
      </c>
      <c r="C192" s="627" t="inlineStr">
        <is>
          <t>61048#2</t>
        </is>
      </c>
      <c r="D192" s="627" t="inlineStr">
        <is>
          <t>LCL</t>
        </is>
      </c>
      <c r="E192" s="627" t="inlineStr">
        <is>
          <t>SplitBreast</t>
        </is>
      </c>
      <c r="F192" s="627" t="n">
        <v>0</v>
      </c>
      <c r="G192" s="627" t="n">
        <v>6</v>
      </c>
      <c r="H192" s="627" t="inlineStr">
        <is>
          <t>LT 14D</t>
        </is>
      </c>
      <c r="I192" s="627" t="inlineStr">
        <is>
          <t>Large</t>
        </is>
      </c>
      <c r="J192" s="628" t="inlineStr">
        <is>
          <t>MS SKLS HB LCP BSK</t>
        </is>
      </c>
      <c r="K192" s="629" t="inlineStr">
        <is>
          <t>Fast</t>
        </is>
      </c>
      <c r="L192" s="629" t="inlineStr">
        <is>
          <t>IFCO</t>
        </is>
      </c>
      <c r="M192" s="630" t="n">
        <v>89.97</v>
      </c>
      <c r="N192" s="631" t="inlineStr">
        <is>
          <t>SILVER</t>
        </is>
      </c>
      <c r="O192" s="627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600">
        <f>_xludf.IFNA(_xlfn.XLOOKUP(Table3[[#This Row],[SKU]],'00_Yield_Rates'!$B$2:$B$17,'00_Yield_Rates'!$E$2:$E$17),"")</f>
        <v/>
      </c>
    </row>
    <row r="193">
      <c r="A193" s="625" t="inlineStr">
        <is>
          <t>Tray_Pack</t>
        </is>
      </c>
      <c r="B193" s="626" t="n">
        <v>7146</v>
      </c>
      <c r="C193" s="627" t="inlineStr">
        <is>
          <t>61050#2</t>
        </is>
      </c>
      <c r="D193" s="627" t="inlineStr">
        <is>
          <t>LCL</t>
        </is>
      </c>
      <c r="E193" s="627" t="inlineStr">
        <is>
          <t>BSB</t>
        </is>
      </c>
      <c r="F193" s="627" t="n">
        <v>7.82892931848032</v>
      </c>
      <c r="G193" s="627" t="n">
        <v>8</v>
      </c>
      <c r="H193" s="627" t="inlineStr">
        <is>
          <t>PET 8</t>
        </is>
      </c>
      <c r="I193" s="627" t="inlineStr">
        <is>
          <t>Large</t>
        </is>
      </c>
      <c r="J193" s="628" t="inlineStr">
        <is>
          <t>MS BSHB LT -1860</t>
        </is>
      </c>
      <c r="K193" s="629" t="inlineStr">
        <is>
          <t>Fast</t>
        </is>
      </c>
      <c r="L193" s="629" t="inlineStr">
        <is>
          <t>IFCO</t>
        </is>
      </c>
      <c r="M193" s="630" t="n">
        <v>92.34999999999999</v>
      </c>
      <c r="N193" s="631" t="inlineStr">
        <is>
          <t>SILVER</t>
        </is>
      </c>
      <c r="O193" s="627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600">
        <f>_xludf.IFNA(_xlfn.XLOOKUP(Table3[[#This Row],[SKU]],'00_Yield_Rates'!$B$2:$B$17,'00_Yield_Rates'!$E$2:$E$17),"")</f>
        <v/>
      </c>
    </row>
    <row r="194">
      <c r="A194" s="625" t="inlineStr">
        <is>
          <t>Tray_Pack</t>
        </is>
      </c>
      <c r="B194" s="626" t="n">
        <v>7149</v>
      </c>
      <c r="C194" s="627" t="inlineStr">
        <is>
          <t>61050#2</t>
        </is>
      </c>
      <c r="D194" s="627" t="inlineStr">
        <is>
          <t>LCL</t>
        </is>
      </c>
      <c r="E194" s="627" t="inlineStr">
        <is>
          <t>BSB</t>
        </is>
      </c>
      <c r="F194" s="627" t="n">
        <v>0</v>
      </c>
      <c r="G194" s="627" t="n">
        <v>8</v>
      </c>
      <c r="H194" s="627" t="inlineStr">
        <is>
          <t>PET 8</t>
        </is>
      </c>
      <c r="I194" s="627" t="inlineStr">
        <is>
          <t>Large</t>
        </is>
      </c>
      <c r="J194" s="628" t="inlineStr">
        <is>
          <t>MS BSHB LT PP</t>
        </is>
      </c>
      <c r="K194" s="629" t="inlineStr">
        <is>
          <t>Fast</t>
        </is>
      </c>
      <c r="L194" s="632" t="inlineStr">
        <is>
          <t>IFCO</t>
        </is>
      </c>
      <c r="M194" s="633" t="n">
        <v>92.34999999999999</v>
      </c>
      <c r="N194" s="631" t="inlineStr">
        <is>
          <t>SILVER</t>
        </is>
      </c>
      <c r="O194" s="627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600">
        <f>_xludf.IFNA(_xlfn.XLOOKUP(Table3[[#This Row],[SKU]],'00_Yield_Rates'!$B$2:$B$17,'00_Yield_Rates'!$E$2:$E$17),"")</f>
        <v/>
      </c>
    </row>
    <row r="195">
      <c r="A195" s="625" t="inlineStr">
        <is>
          <t>Tray_Pack</t>
        </is>
      </c>
      <c r="B195" s="626" t="n">
        <v>7150</v>
      </c>
      <c r="C195" s="627" t="inlineStr">
        <is>
          <t>61050#2</t>
        </is>
      </c>
      <c r="D195" s="627" t="inlineStr">
        <is>
          <t>LCL</t>
        </is>
      </c>
      <c r="E195" s="627" t="inlineStr">
        <is>
          <t>BSB</t>
        </is>
      </c>
      <c r="F195" s="627" t="n">
        <v>10.0947507497312</v>
      </c>
      <c r="G195" s="627" t="n">
        <v>8</v>
      </c>
      <c r="H195" s="627" t="inlineStr">
        <is>
          <t>PET 8</t>
        </is>
      </c>
      <c r="I195" s="627" t="inlineStr">
        <is>
          <t>Large</t>
        </is>
      </c>
      <c r="J195" s="628" t="inlineStr">
        <is>
          <t>MS BSHB LT PP</t>
        </is>
      </c>
      <c r="K195" s="629" t="inlineStr">
        <is>
          <t>Fast</t>
        </is>
      </c>
      <c r="L195" s="632" t="inlineStr">
        <is>
          <t>IFCO</t>
        </is>
      </c>
      <c r="M195" s="633" t="n">
        <v>113.7</v>
      </c>
      <c r="N195" s="631" t="inlineStr">
        <is>
          <t>SILVER</t>
        </is>
      </c>
      <c r="O195" s="627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600">
        <f>_xludf.IFNA(_xlfn.XLOOKUP(Table3[[#This Row],[SKU]],'00_Yield_Rates'!$B$2:$B$17,'00_Yield_Rates'!$E$2:$E$17),"")</f>
        <v/>
      </c>
    </row>
    <row r="196">
      <c r="A196" s="625" t="inlineStr">
        <is>
          <t>Tray_Pack</t>
        </is>
      </c>
      <c r="B196" s="626" t="n">
        <v>7153</v>
      </c>
      <c r="C196" s="627" t="inlineStr">
        <is>
          <t>61048#2</t>
        </is>
      </c>
      <c r="D196" s="627" t="inlineStr">
        <is>
          <t>LCL</t>
        </is>
      </c>
      <c r="E196" s="627" t="inlineStr">
        <is>
          <t>SplitBreast</t>
        </is>
      </c>
      <c r="F196" s="627" t="n">
        <v>0</v>
      </c>
      <c r="G196" s="627" t="n">
        <v>8</v>
      </c>
      <c r="H196" s="627" t="inlineStr">
        <is>
          <t>PET 8</t>
        </is>
      </c>
      <c r="I196" s="627" t="inlineStr">
        <is>
          <t>Large</t>
        </is>
      </c>
      <c r="J196" s="628" t="inlineStr">
        <is>
          <t>MS SKLS HB LT PP</t>
        </is>
      </c>
      <c r="K196" s="629" t="inlineStr">
        <is>
          <t>Fast</t>
        </is>
      </c>
      <c r="L196" s="629" t="inlineStr">
        <is>
          <t>IFCO</t>
        </is>
      </c>
      <c r="M196" s="630" t="n">
        <v>70.01000000000001</v>
      </c>
      <c r="N196" s="631" t="inlineStr">
        <is>
          <t>SILVER</t>
        </is>
      </c>
      <c r="O196" s="627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600">
        <f>_xludf.IFNA(_xlfn.XLOOKUP(Table3[[#This Row],[SKU]],'00_Yield_Rates'!$B$2:$B$17,'00_Yield_Rates'!$E$2:$E$17),"")</f>
        <v/>
      </c>
    </row>
    <row r="197">
      <c r="A197" s="625" t="inlineStr">
        <is>
          <t>Tray_Pack</t>
        </is>
      </c>
      <c r="B197" s="626" t="n">
        <v>7155</v>
      </c>
      <c r="C197" s="627" t="inlineStr">
        <is>
          <t>61050#2</t>
        </is>
      </c>
      <c r="D197" s="627" t="inlineStr">
        <is>
          <t>LCL</t>
        </is>
      </c>
      <c r="E197" s="627" t="inlineStr">
        <is>
          <t>BSB</t>
        </is>
      </c>
      <c r="F197" s="627" t="n">
        <v>0</v>
      </c>
      <c r="G197" s="627" t="n">
        <v>12</v>
      </c>
      <c r="H197" s="627" t="inlineStr">
        <is>
          <t>ST 2HP</t>
        </is>
      </c>
      <c r="I197" s="627" t="inlineStr">
        <is>
          <t>Small</t>
        </is>
      </c>
      <c r="J197" s="628" t="inlineStr">
        <is>
          <t>MS BSHB ST</t>
        </is>
      </c>
      <c r="K197" s="629" t="inlineStr">
        <is>
          <t>Fast</t>
        </is>
      </c>
      <c r="L197" s="629" t="inlineStr">
        <is>
          <t>IFCO</t>
        </is>
      </c>
      <c r="M197" s="630" t="n">
        <v>88.44</v>
      </c>
      <c r="N197" s="631" t="inlineStr">
        <is>
          <t>SILVER</t>
        </is>
      </c>
      <c r="O197" s="627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600">
        <f>_xludf.IFNA(_xlfn.XLOOKUP(Table3[[#This Row],[SKU]],'00_Yield_Rates'!$B$2:$B$17,'00_Yield_Rates'!$E$2:$E$17),"")</f>
        <v/>
      </c>
    </row>
    <row r="198">
      <c r="A198" s="625" t="inlineStr">
        <is>
          <t>Tray_Pack</t>
        </is>
      </c>
      <c r="B198" s="626" t="n">
        <v>7159</v>
      </c>
      <c r="C198" s="627" t="inlineStr">
        <is>
          <t>61050#2</t>
        </is>
      </c>
      <c r="D198" s="627" t="inlineStr">
        <is>
          <t>LCL</t>
        </is>
      </c>
      <c r="E198" s="627" t="inlineStr">
        <is>
          <t>BSB</t>
        </is>
      </c>
      <c r="F198" s="627" t="n"/>
      <c r="G198" s="627" t="n">
        <v>12</v>
      </c>
      <c r="H198" s="627" t="inlineStr">
        <is>
          <t>ST 2HP</t>
        </is>
      </c>
      <c r="I198" s="627" t="inlineStr">
        <is>
          <t>Small</t>
        </is>
      </c>
      <c r="J198" s="628" t="inlineStr">
        <is>
          <t>MS BSHB ST BSK</t>
        </is>
      </c>
      <c r="K198" s="629" t="inlineStr">
        <is>
          <t>Fast</t>
        </is>
      </c>
      <c r="L198" s="629" t="inlineStr">
        <is>
          <t>IFCO</t>
        </is>
      </c>
      <c r="M198" s="630" t="n">
        <v>67.90000000000001</v>
      </c>
      <c r="N198" s="631" t="inlineStr">
        <is>
          <t>SILVER</t>
        </is>
      </c>
      <c r="O198" s="627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600">
        <f>_xludf.IFNA(_xlfn.XLOOKUP(Table3[[#This Row],[SKU]],'00_Yield_Rates'!$B$2:$B$17,'00_Yield_Rates'!$E$2:$E$17),"")</f>
        <v/>
      </c>
    </row>
    <row r="199">
      <c r="A199" s="625" t="inlineStr">
        <is>
          <t>Tray_Pack</t>
        </is>
      </c>
      <c r="B199" s="626" t="n">
        <v>7160</v>
      </c>
      <c r="C199" s="627" t="inlineStr">
        <is>
          <t>61048#2</t>
        </is>
      </c>
      <c r="D199" s="627" t="inlineStr">
        <is>
          <t>LCL</t>
        </is>
      </c>
      <c r="E199" s="627" t="inlineStr">
        <is>
          <t>SplitBreast</t>
        </is>
      </c>
      <c r="F199" s="627" t="n"/>
      <c r="G199" s="627" t="n">
        <v>8</v>
      </c>
      <c r="H199" s="627" t="inlineStr">
        <is>
          <t>PET 8</t>
        </is>
      </c>
      <c r="I199" s="627" t="inlineStr">
        <is>
          <t>Large</t>
        </is>
      </c>
      <c r="J199" s="628" t="inlineStr">
        <is>
          <t>MS SKLS HB LT</t>
        </is>
      </c>
      <c r="K199" s="629" t="inlineStr">
        <is>
          <t>Fast</t>
        </is>
      </c>
      <c r="L199" s="629" t="inlineStr">
        <is>
          <t>IFCO</t>
        </is>
      </c>
      <c r="M199" s="630" t="n">
        <v>45.72</v>
      </c>
      <c r="N199" s="631" t="inlineStr">
        <is>
          <t>SILVER</t>
        </is>
      </c>
      <c r="O199" s="627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600">
        <f>_xludf.IFNA(_xlfn.XLOOKUP(Table3[[#This Row],[SKU]],'00_Yield_Rates'!$B$2:$B$17,'00_Yield_Rates'!$E$2:$E$17),"")</f>
        <v/>
      </c>
    </row>
    <row r="200">
      <c r="A200" s="625" t="inlineStr">
        <is>
          <t>Tray_Pack</t>
        </is>
      </c>
      <c r="B200" s="626" t="n">
        <v>7161</v>
      </c>
      <c r="C200" s="627" t="inlineStr">
        <is>
          <t>61040#2</t>
        </is>
      </c>
      <c r="D200" s="627" t="inlineStr">
        <is>
          <t>LCL</t>
        </is>
      </c>
      <c r="E200" s="627" t="inlineStr">
        <is>
          <t>SplitBreast</t>
        </is>
      </c>
      <c r="F200" s="627" t="n"/>
      <c r="G200" s="627" t="n">
        <v>8</v>
      </c>
      <c r="H200" s="627" t="inlineStr">
        <is>
          <t>PET 8</t>
        </is>
      </c>
      <c r="I200" s="627" t="inlineStr">
        <is>
          <t>Large</t>
        </is>
      </c>
      <c r="J200" s="628" t="inlineStr">
        <is>
          <t>MS HB LT</t>
        </is>
      </c>
      <c r="K200" s="629" t="inlineStr">
        <is>
          <t>Fast</t>
        </is>
      </c>
      <c r="L200" s="629" t="inlineStr">
        <is>
          <t>IFCO</t>
        </is>
      </c>
      <c r="M200" s="630" t="n">
        <v>0</v>
      </c>
      <c r="N200" s="631" t="inlineStr">
        <is>
          <t>SILVER</t>
        </is>
      </c>
      <c r="O200" s="627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600">
        <f>_xludf.IFNA(_xlfn.XLOOKUP(Table3[[#This Row],[SKU]],'00_Yield_Rates'!$B$2:$B$17,'00_Yield_Rates'!$E$2:$E$17),"")</f>
        <v/>
      </c>
    </row>
    <row r="201">
      <c r="A201" s="625" t="inlineStr">
        <is>
          <t>Tray_Pack</t>
        </is>
      </c>
      <c r="B201" s="626" t="n">
        <v>7162</v>
      </c>
      <c r="C201" s="627" t="inlineStr">
        <is>
          <t>61086#2</t>
        </is>
      </c>
      <c r="D201" s="627" t="inlineStr">
        <is>
          <t>LCL</t>
        </is>
      </c>
      <c r="E201" s="627" t="inlineStr">
        <is>
          <t>ThighMeat</t>
        </is>
      </c>
      <c r="F201" s="627" t="n"/>
      <c r="G201" s="627" t="n">
        <v>8</v>
      </c>
      <c r="H201" s="627" t="inlineStr">
        <is>
          <t>PET 8</t>
        </is>
      </c>
      <c r="I201" s="627" t="inlineStr">
        <is>
          <t>Large</t>
        </is>
      </c>
      <c r="J201" s="628" t="inlineStr">
        <is>
          <t>MS BSTHIGH LT</t>
        </is>
      </c>
      <c r="K201" s="629" t="inlineStr">
        <is>
          <t>Slow</t>
        </is>
      </c>
      <c r="L201" s="629" t="inlineStr">
        <is>
          <t>IFCO</t>
        </is>
      </c>
      <c r="M201" s="630" t="n">
        <v>0</v>
      </c>
      <c r="N201" s="631" t="inlineStr">
        <is>
          <t>SILVER</t>
        </is>
      </c>
      <c r="O201" s="627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600">
        <f>_xludf.IFNA(_xlfn.XLOOKUP(Table3[[#This Row],[SKU]],'00_Yield_Rates'!$B$2:$B$17,'00_Yield_Rates'!$E$2:$E$17),"")</f>
        <v/>
      </c>
    </row>
    <row r="202">
      <c r="A202" s="625" t="inlineStr">
        <is>
          <t>Tray_Pack</t>
        </is>
      </c>
      <c r="B202" s="626" t="n">
        <v>7163</v>
      </c>
      <c r="C202" s="627" t="n">
        <v>61082</v>
      </c>
      <c r="D202" s="627" t="inlineStr">
        <is>
          <t>LCL</t>
        </is>
      </c>
      <c r="E202" s="627" t="inlineStr">
        <is>
          <t>Thigh</t>
        </is>
      </c>
      <c r="F202" s="627" t="n"/>
      <c r="G202" s="627" t="n">
        <v>8</v>
      </c>
      <c r="H202" s="627" t="inlineStr">
        <is>
          <t>PET 8</t>
        </is>
      </c>
      <c r="I202" s="627" t="inlineStr">
        <is>
          <t>Large</t>
        </is>
      </c>
      <c r="J202" s="628" t="inlineStr">
        <is>
          <t>MS THIGH LT</t>
        </is>
      </c>
      <c r="K202" s="632" t="inlineStr">
        <is>
          <t>Fast</t>
        </is>
      </c>
      <c r="L202" s="629" t="inlineStr">
        <is>
          <t>IFCO</t>
        </is>
      </c>
      <c r="M202" s="630" t="n">
        <v>0</v>
      </c>
      <c r="N202" s="631" t="inlineStr">
        <is>
          <t>SILVER</t>
        </is>
      </c>
      <c r="O202" s="627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600">
        <f>_xludf.IFNA(_xlfn.XLOOKUP(Table3[[#This Row],[SKU]],'00_Yield_Rates'!$B$2:$B$17,'00_Yield_Rates'!$E$2:$E$17),"")</f>
        <v/>
      </c>
    </row>
    <row r="203">
      <c r="A203" s="625" t="inlineStr">
        <is>
          <t>Tray_Pack</t>
        </is>
      </c>
      <c r="B203" s="626" t="n">
        <v>7164</v>
      </c>
      <c r="C203" s="627" t="inlineStr">
        <is>
          <t>61072#2</t>
        </is>
      </c>
      <c r="D203" s="627" t="inlineStr">
        <is>
          <t>LCL</t>
        </is>
      </c>
      <c r="E203" s="627" t="inlineStr">
        <is>
          <t>Drum</t>
        </is>
      </c>
      <c r="F203" s="627" t="n"/>
      <c r="G203" s="627" t="n">
        <v>8</v>
      </c>
      <c r="H203" s="627" t="inlineStr">
        <is>
          <t>PET 8</t>
        </is>
      </c>
      <c r="I203" s="627" t="inlineStr">
        <is>
          <t>Large</t>
        </is>
      </c>
      <c r="J203" s="628" t="inlineStr">
        <is>
          <t>MS DRUM LT</t>
        </is>
      </c>
      <c r="K203" s="632" t="inlineStr">
        <is>
          <t>Fast</t>
        </is>
      </c>
      <c r="L203" s="629" t="inlineStr">
        <is>
          <t>IFCO</t>
        </is>
      </c>
      <c r="M203" s="630" t="n">
        <v>0</v>
      </c>
      <c r="N203" s="631" t="inlineStr">
        <is>
          <t>SILVER</t>
        </is>
      </c>
      <c r="O203" s="627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600">
        <f>_xludf.IFNA(_xlfn.XLOOKUP(Table3[[#This Row],[SKU]],'00_Yield_Rates'!$B$2:$B$17,'00_Yield_Rates'!$E$2:$E$17),"")</f>
        <v/>
      </c>
    </row>
    <row r="204">
      <c r="A204" s="625" t="inlineStr">
        <is>
          <t>Tray_Pack</t>
        </is>
      </c>
      <c r="B204" s="626" t="n">
        <v>7165</v>
      </c>
      <c r="C204" s="627" t="n">
        <v>61061</v>
      </c>
      <c r="D204" s="627" t="inlineStr">
        <is>
          <t>LCL</t>
        </is>
      </c>
      <c r="E204" s="627" t="inlineStr">
        <is>
          <t>BA</t>
        </is>
      </c>
      <c r="F204" s="627" t="n"/>
      <c r="G204" s="627" t="n">
        <v>8</v>
      </c>
      <c r="H204" s="627" t="inlineStr">
        <is>
          <t>PET 8</t>
        </is>
      </c>
      <c r="I204" s="627" t="inlineStr">
        <is>
          <t>Large</t>
        </is>
      </c>
      <c r="J204" s="628" t="inlineStr">
        <is>
          <t>MS LEG BA LT</t>
        </is>
      </c>
      <c r="K204" s="632" t="inlineStr">
        <is>
          <t>Fast</t>
        </is>
      </c>
      <c r="L204" s="632" t="inlineStr">
        <is>
          <t>IFCO</t>
        </is>
      </c>
      <c r="M204" s="633" t="n">
        <v>0</v>
      </c>
      <c r="N204" s="631" t="inlineStr">
        <is>
          <t>SILVER</t>
        </is>
      </c>
      <c r="O204" s="627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600">
        <f>_xludf.IFNA(_xlfn.XLOOKUP(Table3[[#This Row],[SKU]],'00_Yield_Rates'!$B$2:$B$17,'00_Yield_Rates'!$E$2:$E$17),"")</f>
        <v/>
      </c>
    </row>
    <row r="205">
      <c r="A205" s="625" t="inlineStr">
        <is>
          <t>Tray_Pack</t>
        </is>
      </c>
      <c r="B205" s="626" t="n">
        <v>7166</v>
      </c>
      <c r="C205" s="627" t="n">
        <v>61010</v>
      </c>
      <c r="D205" s="627" t="inlineStr">
        <is>
          <t>LCL</t>
        </is>
      </c>
      <c r="E205" s="627" t="inlineStr">
        <is>
          <t>Whole Wing-Large</t>
        </is>
      </c>
      <c r="F205" s="627" t="n"/>
      <c r="G205" s="627" t="n">
        <v>8</v>
      </c>
      <c r="H205" s="627" t="inlineStr">
        <is>
          <t>PET 8</t>
        </is>
      </c>
      <c r="I205" s="627" t="inlineStr">
        <is>
          <t>Large</t>
        </is>
      </c>
      <c r="J205" s="628" t="inlineStr">
        <is>
          <t>MS WING LT</t>
        </is>
      </c>
      <c r="K205" s="629" t="inlineStr">
        <is>
          <t>Fast</t>
        </is>
      </c>
      <c r="L205" s="629" t="inlineStr">
        <is>
          <t>IFCO</t>
        </is>
      </c>
      <c r="M205" s="630" t="n">
        <v>0</v>
      </c>
      <c r="N205" s="631" t="inlineStr">
        <is>
          <t>SILVER</t>
        </is>
      </c>
      <c r="O205" s="627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600">
        <f>_xludf.IFNA(_xlfn.XLOOKUP(Table3[[#This Row],[SKU]],'00_Yield_Rates'!$B$2:$B$17,'00_Yield_Rates'!$E$2:$E$17),"")</f>
        <v/>
      </c>
    </row>
    <row r="206">
      <c r="A206" s="625" t="inlineStr">
        <is>
          <t>Tray_Pack</t>
        </is>
      </c>
      <c r="B206" s="626" t="n">
        <v>7168</v>
      </c>
      <c r="C206" s="627" t="inlineStr">
        <is>
          <t>61072#2</t>
        </is>
      </c>
      <c r="D206" s="627" t="inlineStr">
        <is>
          <t>LCL</t>
        </is>
      </c>
      <c r="E206" s="627" t="inlineStr">
        <is>
          <t>Drum</t>
        </is>
      </c>
      <c r="F206" s="627" t="n">
        <v>0</v>
      </c>
      <c r="G206" s="627" t="n">
        <v>8</v>
      </c>
      <c r="H206" s="627" t="inlineStr">
        <is>
          <t>PET 8</t>
        </is>
      </c>
      <c r="I206" s="627" t="inlineStr">
        <is>
          <t>Large</t>
        </is>
      </c>
      <c r="J206" s="628" t="inlineStr">
        <is>
          <t>PB DRUM LT PP</t>
        </is>
      </c>
      <c r="K206" s="632" t="inlineStr">
        <is>
          <t>Fast</t>
        </is>
      </c>
      <c r="L206" s="632" t="inlineStr">
        <is>
          <t>IFCO</t>
        </is>
      </c>
      <c r="M206" s="633" t="n">
        <v>42.33</v>
      </c>
      <c r="N206" s="631" t="inlineStr">
        <is>
          <t>SILVER</t>
        </is>
      </c>
      <c r="O206" s="627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600">
        <f>_xludf.IFNA(_xlfn.XLOOKUP(Table3[[#This Row],[SKU]],'00_Yield_Rates'!$B$2:$B$17,'00_Yield_Rates'!$E$2:$E$17),"")</f>
        <v/>
      </c>
    </row>
    <row r="207">
      <c r="A207" s="625" t="inlineStr">
        <is>
          <t>Tray_Pack</t>
        </is>
      </c>
      <c r="B207" s="626" t="n">
        <v>7169</v>
      </c>
      <c r="C207" s="627" t="n">
        <v>61082</v>
      </c>
      <c r="D207" s="627" t="inlineStr">
        <is>
          <t>LCL</t>
        </is>
      </c>
      <c r="E207" s="627" t="inlineStr">
        <is>
          <t>Thigh</t>
        </is>
      </c>
      <c r="F207" s="627" t="n"/>
      <c r="G207" s="627" t="n">
        <v>8</v>
      </c>
      <c r="H207" s="627" t="inlineStr">
        <is>
          <t>PET 8</t>
        </is>
      </c>
      <c r="I207" s="627" t="inlineStr">
        <is>
          <t>Large</t>
        </is>
      </c>
      <c r="J207" s="628" t="inlineStr">
        <is>
          <t>PB THIGH LT PP</t>
        </is>
      </c>
      <c r="K207" s="632" t="inlineStr">
        <is>
          <t>Fast</t>
        </is>
      </c>
      <c r="L207" s="629" t="inlineStr">
        <is>
          <t>IFCO</t>
        </is>
      </c>
      <c r="M207" s="630" t="n">
        <v>45.72</v>
      </c>
      <c r="N207" s="631" t="inlineStr">
        <is>
          <t>SILVER</t>
        </is>
      </c>
      <c r="O207" s="627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600">
        <f>_xludf.IFNA(_xlfn.XLOOKUP(Table3[[#This Row],[SKU]],'00_Yield_Rates'!$B$2:$B$17,'00_Yield_Rates'!$E$2:$E$17),"")</f>
        <v/>
      </c>
    </row>
    <row r="208">
      <c r="A208" s="625" t="inlineStr">
        <is>
          <t>Tray_Pack</t>
        </is>
      </c>
      <c r="B208" s="626" t="n">
        <v>7171</v>
      </c>
      <c r="C208" s="627" t="inlineStr">
        <is>
          <t>61086#2</t>
        </is>
      </c>
      <c r="D208" s="627" t="inlineStr">
        <is>
          <t>LCL</t>
        </is>
      </c>
      <c r="E208" s="627" t="inlineStr">
        <is>
          <t>ThighMeat</t>
        </is>
      </c>
      <c r="F208" s="627" t="n"/>
      <c r="G208" s="627" t="n">
        <v>8</v>
      </c>
      <c r="H208" s="627" t="inlineStr">
        <is>
          <t>PET 8</t>
        </is>
      </c>
      <c r="I208" s="627" t="inlineStr">
        <is>
          <t>Large</t>
        </is>
      </c>
      <c r="J208" s="628" t="inlineStr">
        <is>
          <t>PB BSTHIGH LT PP</t>
        </is>
      </c>
      <c r="K208" s="629" t="inlineStr">
        <is>
          <t>Slow</t>
        </is>
      </c>
      <c r="L208" s="629" t="inlineStr">
        <is>
          <t>IFCO</t>
        </is>
      </c>
      <c r="M208" s="630" t="n">
        <v>0</v>
      </c>
      <c r="N208" s="631" t="inlineStr">
        <is>
          <t>SILVER</t>
        </is>
      </c>
      <c r="O208" s="627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600">
        <f>_xludf.IFNA(_xlfn.XLOOKUP(Table3[[#This Row],[SKU]],'00_Yield_Rates'!$B$2:$B$17,'00_Yield_Rates'!$E$2:$E$17),"")</f>
        <v/>
      </c>
    </row>
    <row r="209">
      <c r="A209" s="625" t="inlineStr">
        <is>
          <t>Tray_Pack</t>
        </is>
      </c>
      <c r="B209" s="626" t="n">
        <v>7173</v>
      </c>
      <c r="C209" s="627" t="inlineStr">
        <is>
          <t>61072#2</t>
        </is>
      </c>
      <c r="D209" s="627" t="inlineStr">
        <is>
          <t>LCL</t>
        </is>
      </c>
      <c r="E209" s="627" t="inlineStr">
        <is>
          <t>Drum</t>
        </is>
      </c>
      <c r="F209" s="627" t="n"/>
      <c r="G209" s="627" t="n">
        <v>6</v>
      </c>
      <c r="H209" s="627" t="inlineStr">
        <is>
          <t>LT 14D</t>
        </is>
      </c>
      <c r="I209" s="627" t="inlineStr">
        <is>
          <t>Clubpack</t>
        </is>
      </c>
      <c r="J209" s="628" t="inlineStr">
        <is>
          <t>MS DRUM LCP</t>
        </is>
      </c>
      <c r="K209" s="629" t="inlineStr">
        <is>
          <t>Fast</t>
        </is>
      </c>
      <c r="L209" s="629" t="inlineStr">
        <is>
          <t>IFCO</t>
        </is>
      </c>
      <c r="M209" s="630" t="n">
        <v>79.25</v>
      </c>
      <c r="N209" s="631" t="inlineStr">
        <is>
          <t>SILVER</t>
        </is>
      </c>
      <c r="O209" s="627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600">
        <f>_xludf.IFNA(_xlfn.XLOOKUP(Table3[[#This Row],[SKU]],'00_Yield_Rates'!$B$2:$B$17,'00_Yield_Rates'!$E$2:$E$17),"")</f>
        <v/>
      </c>
    </row>
    <row r="210">
      <c r="A210" s="625" t="inlineStr">
        <is>
          <t>Tray_Pack</t>
        </is>
      </c>
      <c r="B210" s="626" t="n">
        <v>7178</v>
      </c>
      <c r="C210" s="627" t="n">
        <v>203891</v>
      </c>
      <c r="D210" s="627" t="inlineStr">
        <is>
          <t>LCL</t>
        </is>
      </c>
      <c r="E210" s="627" t="inlineStr">
        <is>
          <t>Whole Bird-Large</t>
        </is>
      </c>
      <c r="F210" s="627" t="n">
        <v>0</v>
      </c>
      <c r="G210" s="627" t="n">
        <v>3</v>
      </c>
      <c r="H210" s="627" t="inlineStr">
        <is>
          <t>PET 9</t>
        </is>
      </c>
      <c r="I210" s="627" t="inlineStr">
        <is>
          <t>Large</t>
        </is>
      </c>
      <c r="J210" s="628" t="inlineStr">
        <is>
          <t>PB 1.1-1.4 FRY WOG TI 2/LT</t>
        </is>
      </c>
      <c r="K210" s="632" t="inlineStr">
        <is>
          <t>Fast</t>
        </is>
      </c>
      <c r="L210" s="629" t="inlineStr">
        <is>
          <t>IFCO</t>
        </is>
      </c>
      <c r="M210" s="630" t="n">
        <v>133.08</v>
      </c>
      <c r="N210" s="631" t="n"/>
      <c r="O210" s="627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600">
        <f>_xludf.IFNA(_xlfn.XLOOKUP(Table3[[#This Row],[SKU]],'00_Yield_Rates'!$B$2:$B$17,'00_Yield_Rates'!$E$2:$E$17),"")</f>
        <v/>
      </c>
    </row>
    <row r="211">
      <c r="A211" s="625" t="inlineStr">
        <is>
          <t>Tray_Pack</t>
        </is>
      </c>
      <c r="B211" s="626" t="n">
        <v>7179</v>
      </c>
      <c r="C211" s="627" t="inlineStr">
        <is>
          <t>61050#2</t>
        </is>
      </c>
      <c r="D211" s="627" t="inlineStr">
        <is>
          <t>LCL</t>
        </is>
      </c>
      <c r="E211" s="627" t="inlineStr">
        <is>
          <t>BSB</t>
        </is>
      </c>
      <c r="F211" s="627" t="n">
        <v>10.0207099518003</v>
      </c>
      <c r="G211" s="627" t="n">
        <v>8</v>
      </c>
      <c r="H211" s="627" t="inlineStr">
        <is>
          <t>PET 8</t>
        </is>
      </c>
      <c r="I211" s="627" t="inlineStr">
        <is>
          <t>Large</t>
        </is>
      </c>
      <c r="J211" s="628" t="inlineStr">
        <is>
          <t>MS BSHB LT PP</t>
        </is>
      </c>
      <c r="K211" s="629" t="inlineStr">
        <is>
          <t>Fast</t>
        </is>
      </c>
      <c r="L211" s="632" t="inlineStr">
        <is>
          <t>IFCO</t>
        </is>
      </c>
      <c r="M211" s="633" t="n">
        <v>113.7</v>
      </c>
      <c r="N211" s="631" t="inlineStr">
        <is>
          <t>SILVER</t>
        </is>
      </c>
      <c r="O211" s="627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600">
        <f>_xludf.IFNA(_xlfn.XLOOKUP(Table3[[#This Row],[SKU]],'00_Yield_Rates'!$B$2:$B$17,'00_Yield_Rates'!$E$2:$E$17),"")</f>
        <v/>
      </c>
    </row>
    <row r="212">
      <c r="A212" s="625" t="inlineStr">
        <is>
          <t>Tray_Pack</t>
        </is>
      </c>
      <c r="B212" s="626" t="n">
        <v>7188</v>
      </c>
      <c r="C212" s="627" t="n">
        <v>61072</v>
      </c>
      <c r="D212" s="627" t="inlineStr">
        <is>
          <t>LCL</t>
        </is>
      </c>
      <c r="E212" s="627" t="inlineStr">
        <is>
          <t>Drum</t>
        </is>
      </c>
      <c r="F212" s="627" t="n">
        <v>0</v>
      </c>
      <c r="G212" s="627" t="n">
        <v>8</v>
      </c>
      <c r="H212" s="627" t="inlineStr">
        <is>
          <t>PET 8</t>
        </is>
      </c>
      <c r="I212" s="627" t="inlineStr">
        <is>
          <t>Large</t>
        </is>
      </c>
      <c r="J212" s="628" t="inlineStr">
        <is>
          <t>PB PC DRUM AC PET 8</t>
        </is>
      </c>
      <c r="K212" s="632" t="inlineStr">
        <is>
          <t>Fast</t>
        </is>
      </c>
      <c r="L212" s="629" t="inlineStr">
        <is>
          <t>IFCO</t>
        </is>
      </c>
      <c r="M212" s="630" t="n">
        <v>52.6</v>
      </c>
      <c r="N212" s="631" t="inlineStr">
        <is>
          <t>PLATINUM</t>
        </is>
      </c>
      <c r="O212" s="627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600">
        <f>_xludf.IFNA(_xlfn.XLOOKUP(Table3[[#This Row],[SKU]],'00_Yield_Rates'!$B$2:$B$17,'00_Yield_Rates'!$E$2:$E$17),"")</f>
        <v/>
      </c>
    </row>
    <row r="213">
      <c r="A213" s="625" t="inlineStr">
        <is>
          <t>Tray_Pack</t>
        </is>
      </c>
      <c r="B213" s="626" t="n">
        <v>7189</v>
      </c>
      <c r="C213" s="627" t="n">
        <v>61077</v>
      </c>
      <c r="D213" s="627" t="inlineStr">
        <is>
          <t>LCL</t>
        </is>
      </c>
      <c r="E213" s="627" t="inlineStr">
        <is>
          <t>Thigh</t>
        </is>
      </c>
      <c r="F213" s="627" t="n">
        <v>0</v>
      </c>
      <c r="G213" s="627" t="n">
        <v>8</v>
      </c>
      <c r="H213" s="627" t="inlineStr">
        <is>
          <t>PET 8</t>
        </is>
      </c>
      <c r="I213" s="627" t="inlineStr">
        <is>
          <t>Large</t>
        </is>
      </c>
      <c r="J213" s="628" t="inlineStr">
        <is>
          <t>PB PC THIGH AC PET 8</t>
        </is>
      </c>
      <c r="K213" s="632" t="inlineStr">
        <is>
          <t>Fast</t>
        </is>
      </c>
      <c r="L213" s="629" t="inlineStr">
        <is>
          <t>IFCO</t>
        </is>
      </c>
      <c r="M213" s="630" t="n">
        <v>60.11</v>
      </c>
      <c r="N213" s="631" t="inlineStr">
        <is>
          <t>PLATINUM</t>
        </is>
      </c>
      <c r="O213" s="627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600">
        <f>_xludf.IFNA(_xlfn.XLOOKUP(Table3[[#This Row],[SKU]],'00_Yield_Rates'!$B$2:$B$17,'00_Yield_Rates'!$E$2:$E$17),"")</f>
        <v/>
      </c>
    </row>
    <row r="214">
      <c r="A214" s="625" t="inlineStr">
        <is>
          <t>Tray_Pack</t>
        </is>
      </c>
      <c r="B214" s="626" t="n">
        <v>7191</v>
      </c>
      <c r="C214" s="627" t="n">
        <v>61061</v>
      </c>
      <c r="D214" s="627" t="inlineStr">
        <is>
          <t>LCL</t>
        </is>
      </c>
      <c r="E214" s="627" t="inlineStr">
        <is>
          <t>BA</t>
        </is>
      </c>
      <c r="F214" s="627" t="n">
        <v>0</v>
      </c>
      <c r="G214" s="627" t="n">
        <v>8</v>
      </c>
      <c r="H214" s="627" t="inlineStr">
        <is>
          <t>PET 8</t>
        </is>
      </c>
      <c r="I214" s="627" t="inlineStr">
        <is>
          <t>Large</t>
        </is>
      </c>
      <c r="J214" s="628" t="inlineStr">
        <is>
          <t>PB LEG BA LT PP</t>
        </is>
      </c>
      <c r="K214" s="632" t="inlineStr">
        <is>
          <t>Fast</t>
        </is>
      </c>
      <c r="L214" s="629" t="inlineStr">
        <is>
          <t>IFCO</t>
        </is>
      </c>
      <c r="M214" s="630" t="n">
        <v>82.95999999999999</v>
      </c>
      <c r="N214" s="631" t="inlineStr">
        <is>
          <t>SILVER</t>
        </is>
      </c>
      <c r="O214" s="627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600">
        <f>_xludf.IFNA(_xlfn.XLOOKUP(Table3[[#This Row],[SKU]],'00_Yield_Rates'!$B$2:$B$17,'00_Yield_Rates'!$E$2:$E$17),"")</f>
        <v/>
      </c>
    </row>
    <row r="215">
      <c r="A215" s="625" t="inlineStr">
        <is>
          <t>Tray_Pack</t>
        </is>
      </c>
      <c r="B215" s="626" t="n">
        <v>7192</v>
      </c>
      <c r="C215" s="627" t="n">
        <v>203152</v>
      </c>
      <c r="D215" s="627" t="inlineStr">
        <is>
          <t>RWA</t>
        </is>
      </c>
      <c r="E215" s="627" t="inlineStr">
        <is>
          <t>Whole Bird-Large</t>
        </is>
      </c>
      <c r="F215" s="627" t="n"/>
      <c r="G215" s="627" t="n">
        <v>4</v>
      </c>
      <c r="H215" s="627" t="inlineStr">
        <is>
          <t>PET 9</t>
        </is>
      </c>
      <c r="I215" s="627" t="inlineStr">
        <is>
          <t>Large</t>
        </is>
      </c>
      <c r="J215" s="628" t="inlineStr">
        <is>
          <t>RWA FRY WOG AC TI 2/LT</t>
        </is>
      </c>
      <c r="K215" s="632" t="inlineStr">
        <is>
          <t>Fast</t>
        </is>
      </c>
      <c r="L215" s="632" t="inlineStr">
        <is>
          <t>IFCO</t>
        </is>
      </c>
      <c r="M215" s="633" t="n">
        <v>288.67</v>
      </c>
      <c r="N215" s="631" t="n"/>
      <c r="O215" s="627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600">
        <f>_xludf.IFNA(_xlfn.XLOOKUP(Table3[[#This Row],[SKU]],'00_Yield_Rates'!$B$2:$B$17,'00_Yield_Rates'!$E$2:$E$17),"")</f>
        <v/>
      </c>
    </row>
    <row r="216">
      <c r="A216" s="625" t="inlineStr">
        <is>
          <t>Tray_Pack</t>
        </is>
      </c>
      <c r="B216" s="626" t="n">
        <v>7193</v>
      </c>
      <c r="C216" s="627" t="inlineStr">
        <is>
          <t>61072#2</t>
        </is>
      </c>
      <c r="D216" s="627" t="inlineStr">
        <is>
          <t>LCL</t>
        </is>
      </c>
      <c r="E216" s="627" t="inlineStr">
        <is>
          <t>Drum</t>
        </is>
      </c>
      <c r="F216" s="627" t="n"/>
      <c r="G216" s="627" t="n">
        <v>6</v>
      </c>
      <c r="H216" s="627" t="inlineStr">
        <is>
          <t>LT 14D</t>
        </is>
      </c>
      <c r="I216" s="627" t="inlineStr">
        <is>
          <t>Large</t>
        </is>
      </c>
      <c r="J216" s="628" t="inlineStr">
        <is>
          <t>MS DRUM LCP</t>
        </is>
      </c>
      <c r="K216" s="629" t="inlineStr">
        <is>
          <t>Fast</t>
        </is>
      </c>
      <c r="L216" s="629" t="inlineStr">
        <is>
          <t>IFCO</t>
        </is>
      </c>
      <c r="M216" s="630" t="n">
        <v>35.31</v>
      </c>
      <c r="N216" s="631" t="inlineStr">
        <is>
          <t>SILVER</t>
        </is>
      </c>
      <c r="O216" s="627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600">
        <f>_xludf.IFNA(_xlfn.XLOOKUP(Table3[[#This Row],[SKU]],'00_Yield_Rates'!$B$2:$B$17,'00_Yield_Rates'!$E$2:$E$17),"")</f>
        <v/>
      </c>
    </row>
    <row r="217">
      <c r="A217" s="625" t="inlineStr">
        <is>
          <t>Tray_Pack</t>
        </is>
      </c>
      <c r="B217" s="626" t="n">
        <v>7229</v>
      </c>
      <c r="C217" s="627" t="n">
        <v>61042</v>
      </c>
      <c r="D217" s="627" t="inlineStr">
        <is>
          <t>RWA</t>
        </is>
      </c>
      <c r="E217" s="627" t="inlineStr">
        <is>
          <t>SplitBreast</t>
        </is>
      </c>
      <c r="F217" s="627" t="n">
        <v>7.96392427226964</v>
      </c>
      <c r="G217" s="635" t="n">
        <v>12</v>
      </c>
      <c r="H217" s="627" t="inlineStr">
        <is>
          <t>PET 3</t>
        </is>
      </c>
      <c r="I217" s="635" t="inlineStr">
        <is>
          <t>Small</t>
        </is>
      </c>
      <c r="J217" s="636" t="inlineStr">
        <is>
          <t>RWA MS MLF HB AC PET 3</t>
        </is>
      </c>
      <c r="K217" s="629" t="inlineStr">
        <is>
          <t>Fast</t>
        </is>
      </c>
      <c r="L217" s="629" t="inlineStr">
        <is>
          <t>IFCO</t>
        </is>
      </c>
      <c r="M217" s="630" t="n">
        <v>95.34</v>
      </c>
      <c r="N217" s="631" t="inlineStr">
        <is>
          <t>PLATINUM</t>
        </is>
      </c>
      <c r="O217" s="627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600">
        <f>_xludf.IFNA(_xlfn.XLOOKUP(Table3[[#This Row],[SKU]],'00_Yield_Rates'!$B$2:$B$17,'00_Yield_Rates'!$E$2:$E$17),"")</f>
        <v/>
      </c>
    </row>
    <row r="218">
      <c r="A218" s="625" t="inlineStr">
        <is>
          <t>Tray_Pack</t>
        </is>
      </c>
      <c r="B218" s="626" t="n">
        <v>7230</v>
      </c>
      <c r="C218" s="627" t="n">
        <v>61049</v>
      </c>
      <c r="D218" s="627" t="inlineStr">
        <is>
          <t>RWA</t>
        </is>
      </c>
      <c r="E218" s="627" t="inlineStr">
        <is>
          <t>SplitBreast</t>
        </is>
      </c>
      <c r="F218" s="627" t="n">
        <v>7.16605734767025</v>
      </c>
      <c r="G218" s="627" t="n">
        <v>12</v>
      </c>
      <c r="H218" s="627" t="inlineStr">
        <is>
          <t>PET 3</t>
        </is>
      </c>
      <c r="I218" s="627" t="inlineStr">
        <is>
          <t>Small</t>
        </is>
      </c>
      <c r="J218" s="628" t="inlineStr">
        <is>
          <t>RWA PB PC BM SKLS HB AC PET 3</t>
        </is>
      </c>
      <c r="K218" s="629" t="inlineStr">
        <is>
          <t>Fast</t>
        </is>
      </c>
      <c r="L218" s="629" t="inlineStr">
        <is>
          <t>IFCO</t>
        </is>
      </c>
      <c r="M218" s="630" t="n">
        <v>79.09999999999999</v>
      </c>
      <c r="N218" s="631" t="inlineStr">
        <is>
          <t>PLATINUM</t>
        </is>
      </c>
      <c r="O218" s="627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600">
        <f>_xludf.IFNA(_xlfn.XLOOKUP(Table3[[#This Row],[SKU]],'00_Yield_Rates'!$B$2:$B$17,'00_Yield_Rates'!$E$2:$E$17),"")</f>
        <v/>
      </c>
    </row>
    <row r="219">
      <c r="A219" s="625" t="inlineStr">
        <is>
          <t>Tray_Pack</t>
        </is>
      </c>
      <c r="B219" s="626" t="n">
        <v>7231</v>
      </c>
      <c r="C219" s="627" t="n">
        <v>61051</v>
      </c>
      <c r="D219" s="627" t="inlineStr">
        <is>
          <t>RWA</t>
        </is>
      </c>
      <c r="E219" s="627" t="inlineStr">
        <is>
          <t>BSB</t>
        </is>
      </c>
      <c r="F219" s="627" t="n">
        <v>6.58263659699303</v>
      </c>
      <c r="G219" s="635" t="n">
        <v>12</v>
      </c>
      <c r="H219" s="635" t="inlineStr">
        <is>
          <t>PET 3</t>
        </is>
      </c>
      <c r="I219" s="635" t="inlineStr">
        <is>
          <t>Small</t>
        </is>
      </c>
      <c r="J219" s="636" t="inlineStr">
        <is>
          <t>RWA BSHB AC PET 3</t>
        </is>
      </c>
      <c r="K219" s="629" t="inlineStr">
        <is>
          <t>Fast</t>
        </is>
      </c>
      <c r="L219" s="629" t="inlineStr">
        <is>
          <t>IFCO</t>
        </is>
      </c>
      <c r="M219" s="630" t="n">
        <v>72.03</v>
      </c>
      <c r="N219" s="631" t="inlineStr">
        <is>
          <t>PLATINUM</t>
        </is>
      </c>
      <c r="O219" s="627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600">
        <f>_xludf.IFNA(_xlfn.XLOOKUP(Table3[[#This Row],[SKU]],'00_Yield_Rates'!$B$2:$B$17,'00_Yield_Rates'!$E$2:$E$17),"")</f>
        <v/>
      </c>
    </row>
    <row r="220">
      <c r="A220" s="625" t="inlineStr">
        <is>
          <t>Tray_Pack</t>
        </is>
      </c>
      <c r="B220" s="626" t="n">
        <v>7232</v>
      </c>
      <c r="C220" s="627" t="n">
        <v>61069</v>
      </c>
      <c r="D220" s="627" t="inlineStr">
        <is>
          <t>RWA</t>
        </is>
      </c>
      <c r="E220" s="635" t="inlineStr">
        <is>
          <t>BSB</t>
        </is>
      </c>
      <c r="F220" s="627" t="n">
        <v>4.36843880550827</v>
      </c>
      <c r="G220" s="635" t="n">
        <v>12</v>
      </c>
      <c r="H220" s="635" t="inlineStr">
        <is>
          <t>PET 3</t>
        </is>
      </c>
      <c r="I220" s="635" t="inlineStr">
        <is>
          <t>Small</t>
        </is>
      </c>
      <c r="J220" s="636" t="inlineStr">
        <is>
          <t>RWA MS MLF BSHB AC PET 3 CUTLET</t>
        </is>
      </c>
      <c r="K220" s="629" t="inlineStr">
        <is>
          <t>Fast</t>
        </is>
      </c>
      <c r="L220" s="632" t="inlineStr">
        <is>
          <t>IFCO</t>
        </is>
      </c>
      <c r="M220" s="633" t="n">
        <v>31.1</v>
      </c>
      <c r="N220" s="631" t="inlineStr">
        <is>
          <t>PLATINUM</t>
        </is>
      </c>
      <c r="O220" s="627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600">
        <f>_xludf.IFNA(_xlfn.XLOOKUP(Table3[[#This Row],[SKU]],'00_Yield_Rates'!$B$2:$B$17,'00_Yield_Rates'!$E$2:$E$17),"")</f>
        <v/>
      </c>
    </row>
    <row r="221">
      <c r="A221" s="625" t="inlineStr">
        <is>
          <t>Tray_Pack</t>
        </is>
      </c>
      <c r="B221" s="626" t="n">
        <v>7233</v>
      </c>
      <c r="C221" s="627" t="n">
        <v>61070</v>
      </c>
      <c r="D221" s="627" t="inlineStr">
        <is>
          <t>RWA</t>
        </is>
      </c>
      <c r="E221" s="627" t="inlineStr">
        <is>
          <t>BSB</t>
        </is>
      </c>
      <c r="F221" s="627" t="n">
        <v>0</v>
      </c>
      <c r="G221" s="635" t="n">
        <v>12</v>
      </c>
      <c r="H221" s="635" t="inlineStr">
        <is>
          <t>PET 3</t>
        </is>
      </c>
      <c r="I221" s="635" t="inlineStr">
        <is>
          <t>Small</t>
        </is>
      </c>
      <c r="J221" s="636" t="inlineStr">
        <is>
          <t>RWA MS MLF BSHB AC PET 3 PET 3RIPS</t>
        </is>
      </c>
      <c r="K221" s="629" t="inlineStr">
        <is>
          <t>Fast</t>
        </is>
      </c>
      <c r="L221" s="632" t="inlineStr">
        <is>
          <t>IFCO</t>
        </is>
      </c>
      <c r="M221" s="633" t="n">
        <v>36.17</v>
      </c>
      <c r="N221" s="631" t="inlineStr">
        <is>
          <t>PLATINUM</t>
        </is>
      </c>
      <c r="O221" s="627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600">
        <f>_xludf.IFNA(_xlfn.XLOOKUP(Table3[[#This Row],[SKU]],'00_Yield_Rates'!$B$2:$B$17,'00_Yield_Rates'!$E$2:$E$17),"")</f>
        <v/>
      </c>
    </row>
    <row r="222">
      <c r="A222" s="625" t="inlineStr">
        <is>
          <t>Tray_Pack</t>
        </is>
      </c>
      <c r="B222" s="626" t="n">
        <v>7234</v>
      </c>
      <c r="C222" s="627" t="n">
        <v>61079</v>
      </c>
      <c r="D222" s="627" t="inlineStr">
        <is>
          <t>RWA</t>
        </is>
      </c>
      <c r="E222" s="627" t="inlineStr">
        <is>
          <t>Thigh</t>
        </is>
      </c>
      <c r="F222" s="627" t="n">
        <v>7.01795931341385</v>
      </c>
      <c r="G222" s="635" t="n">
        <v>12</v>
      </c>
      <c r="H222" s="627" t="inlineStr">
        <is>
          <t>PET 3</t>
        </is>
      </c>
      <c r="I222" s="635" t="inlineStr">
        <is>
          <t>Small</t>
        </is>
      </c>
      <c r="J222" s="636" t="inlineStr">
        <is>
          <t>RWA THIGH AC PET 3</t>
        </is>
      </c>
      <c r="K222" s="632" t="inlineStr">
        <is>
          <t>Fast</t>
        </is>
      </c>
      <c r="L222" s="632" t="inlineStr">
        <is>
          <t>IFCO</t>
        </is>
      </c>
      <c r="M222" s="633" t="n">
        <v>37.58</v>
      </c>
      <c r="N222" s="631" t="inlineStr">
        <is>
          <t>PLATINUM</t>
        </is>
      </c>
      <c r="O222" s="627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600">
        <f>_xludf.IFNA(_xlfn.XLOOKUP(Table3[[#This Row],[SKU]],'00_Yield_Rates'!$B$2:$B$17,'00_Yield_Rates'!$E$2:$E$17),"")</f>
        <v/>
      </c>
    </row>
    <row r="223">
      <c r="A223" s="625" t="inlineStr">
        <is>
          <t>Tray_Pack</t>
        </is>
      </c>
      <c r="B223" s="626" t="n">
        <v>7235</v>
      </c>
      <c r="C223" s="627" t="n">
        <v>61087</v>
      </c>
      <c r="D223" s="627" t="inlineStr">
        <is>
          <t>RWA</t>
        </is>
      </c>
      <c r="E223" s="627" t="inlineStr">
        <is>
          <t>ThighMeat</t>
        </is>
      </c>
      <c r="F223" s="627" t="n">
        <v>6.32246135552913</v>
      </c>
      <c r="G223" s="627" t="n">
        <v>12</v>
      </c>
      <c r="H223" s="627" t="inlineStr">
        <is>
          <t>PET 3</t>
        </is>
      </c>
      <c r="I223" s="627" t="inlineStr">
        <is>
          <t>Small</t>
        </is>
      </c>
      <c r="J223" s="628" t="inlineStr">
        <is>
          <t>RWA BPET 3HIGH AC PET 3</t>
        </is>
      </c>
      <c r="K223" s="632" t="inlineStr">
        <is>
          <t>Slow</t>
        </is>
      </c>
      <c r="L223" s="632" t="inlineStr">
        <is>
          <t>IFCO</t>
        </is>
      </c>
      <c r="M223" s="633" t="n">
        <v>29.8</v>
      </c>
      <c r="N223" s="631" t="inlineStr">
        <is>
          <t>PLATINUM</t>
        </is>
      </c>
      <c r="O223" s="627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600">
        <f>_xludf.IFNA(_xlfn.XLOOKUP(Table3[[#This Row],[SKU]],'00_Yield_Rates'!$B$2:$B$17,'00_Yield_Rates'!$E$2:$E$17),"")</f>
        <v/>
      </c>
    </row>
    <row r="224">
      <c r="A224" s="625" t="inlineStr">
        <is>
          <t>Tray_Pack</t>
        </is>
      </c>
      <c r="B224" s="626" t="n">
        <v>7236</v>
      </c>
      <c r="C224" s="627" t="n">
        <v>61074</v>
      </c>
      <c r="D224" s="627" t="inlineStr">
        <is>
          <t>RWA</t>
        </is>
      </c>
      <c r="E224" s="627" t="inlineStr">
        <is>
          <t>Drum</t>
        </is>
      </c>
      <c r="F224" s="627" t="n">
        <v>6.02131828113619</v>
      </c>
      <c r="G224" s="635" t="n">
        <v>12</v>
      </c>
      <c r="H224" s="635" t="inlineStr">
        <is>
          <t>PET 3</t>
        </is>
      </c>
      <c r="I224" s="635" t="inlineStr">
        <is>
          <t>Small</t>
        </is>
      </c>
      <c r="J224" s="636" t="inlineStr">
        <is>
          <t>RWA DRUM AC PET 3</t>
        </is>
      </c>
      <c r="K224" s="632" t="inlineStr">
        <is>
          <t>Fast</t>
        </is>
      </c>
      <c r="L224" s="632" t="inlineStr">
        <is>
          <t>IFCO</t>
        </is>
      </c>
      <c r="M224" s="633" t="n">
        <v>62.64</v>
      </c>
      <c r="N224" s="631" t="inlineStr">
        <is>
          <t>PLATINUM</t>
        </is>
      </c>
      <c r="O224" s="627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600">
        <f>_xludf.IFNA(_xlfn.XLOOKUP(Table3[[#This Row],[SKU]],'00_Yield_Rates'!$B$2:$B$17,'00_Yield_Rates'!$E$2:$E$17),"")</f>
        <v/>
      </c>
    </row>
    <row r="225">
      <c r="A225" s="625" t="inlineStr">
        <is>
          <t>Tray_Pack</t>
        </is>
      </c>
      <c r="B225" s="626" t="n">
        <v>7237</v>
      </c>
      <c r="C225" s="627" t="n">
        <v>61071</v>
      </c>
      <c r="D225" s="627" t="inlineStr">
        <is>
          <t>RWA</t>
        </is>
      </c>
      <c r="E225" s="627" t="inlineStr">
        <is>
          <t>Drum</t>
        </is>
      </c>
      <c r="F225" s="627" t="n"/>
      <c r="G225" s="635" t="n">
        <v>12</v>
      </c>
      <c r="H225" s="635" t="inlineStr">
        <is>
          <t>ST 2HP</t>
        </is>
      </c>
      <c r="I225" s="635" t="inlineStr">
        <is>
          <t>Small</t>
        </is>
      </c>
      <c r="J225" s="636" t="inlineStr">
        <is>
          <t>RWA SKLS DRUM AC ST</t>
        </is>
      </c>
      <c r="K225" s="632" t="inlineStr">
        <is>
          <t>Fast</t>
        </is>
      </c>
      <c r="L225" s="632" t="inlineStr">
        <is>
          <t>IFCO</t>
        </is>
      </c>
      <c r="M225" s="633" t="n">
        <v>21.13</v>
      </c>
      <c r="N225" s="631" t="inlineStr">
        <is>
          <t>PLATINUM</t>
        </is>
      </c>
      <c r="O225" s="627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600">
        <f>_xludf.IFNA(_xlfn.XLOOKUP(Table3[[#This Row],[SKU]],'00_Yield_Rates'!$B$2:$B$17,'00_Yield_Rates'!$E$2:$E$17),"")</f>
        <v/>
      </c>
    </row>
    <row r="226">
      <c r="A226" s="625" t="inlineStr">
        <is>
          <t>Tray_Pack</t>
        </is>
      </c>
      <c r="B226" s="626" t="n">
        <v>7238</v>
      </c>
      <c r="C226" s="627" t="n">
        <v>61016</v>
      </c>
      <c r="D226" s="627" t="inlineStr">
        <is>
          <t>RWA</t>
        </is>
      </c>
      <c r="E226" s="627" t="inlineStr">
        <is>
          <t>SplitWing</t>
        </is>
      </c>
      <c r="F226" s="627" t="n">
        <v>0</v>
      </c>
      <c r="G226" s="635" t="n">
        <v>12</v>
      </c>
      <c r="H226" s="627" t="inlineStr">
        <is>
          <t>PET 3</t>
        </is>
      </c>
      <c r="I226" s="635" t="inlineStr">
        <is>
          <t>Small</t>
        </is>
      </c>
      <c r="J226" s="636" t="inlineStr">
        <is>
          <t>RWA SPL WING AC PET 3</t>
        </is>
      </c>
      <c r="K226" s="629" t="inlineStr">
        <is>
          <t>Slow</t>
        </is>
      </c>
      <c r="L226" s="629" t="inlineStr">
        <is>
          <t>IFCO</t>
        </is>
      </c>
      <c r="M226" s="630" t="n">
        <v>22.35</v>
      </c>
      <c r="N226" s="631" t="inlineStr">
        <is>
          <t>PLATINUM</t>
        </is>
      </c>
      <c r="O226" s="627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600">
        <f>_xludf.IFNA(_xlfn.XLOOKUP(Table3[[#This Row],[SKU]],'00_Yield_Rates'!$B$2:$B$17,'00_Yield_Rates'!$E$2:$E$17),"")</f>
        <v/>
      </c>
    </row>
    <row r="227">
      <c r="A227" s="625" t="inlineStr">
        <is>
          <t>Tray_Pack</t>
        </is>
      </c>
      <c r="B227" s="626" t="n">
        <v>7239</v>
      </c>
      <c r="C227" s="627" t="n">
        <v>203151</v>
      </c>
      <c r="D227" s="627" t="inlineStr">
        <is>
          <t>RWA</t>
        </is>
      </c>
      <c r="E227" s="627" t="inlineStr">
        <is>
          <t>Whole Bird-Small</t>
        </is>
      </c>
      <c r="F227" s="627" t="n">
        <v>8.782514101531021</v>
      </c>
      <c r="G227" s="635" t="n">
        <v>6</v>
      </c>
      <c r="H227" s="627" t="inlineStr">
        <is>
          <t>PET 3</t>
        </is>
      </c>
      <c r="I227" s="635" t="inlineStr">
        <is>
          <t>Small</t>
        </is>
      </c>
      <c r="J227" s="636" t="inlineStr">
        <is>
          <t>RWA FRY WOG AC TI PET</t>
        </is>
      </c>
      <c r="K227" s="632" t="inlineStr">
        <is>
          <t>Fast</t>
        </is>
      </c>
      <c r="L227" s="632" t="inlineStr">
        <is>
          <t>IFCO</t>
        </is>
      </c>
      <c r="M227" s="633" t="n">
        <v>132.63</v>
      </c>
      <c r="N227" s="631" t="n"/>
      <c r="O227" s="627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600">
        <f>_xludf.IFNA(_xlfn.XLOOKUP(Table3[[#This Row],[SKU]],'00_Yield_Rates'!$B$2:$B$17,'00_Yield_Rates'!$E$2:$E$17),"")</f>
        <v/>
      </c>
    </row>
    <row r="228">
      <c r="A228" s="625" t="inlineStr">
        <is>
          <t>Tray_Pack</t>
        </is>
      </c>
      <c r="B228" s="626" t="n">
        <v>7240</v>
      </c>
      <c r="C228" s="627" t="n">
        <v>61051</v>
      </c>
      <c r="D228" s="627" t="inlineStr">
        <is>
          <t>RWA</t>
        </is>
      </c>
      <c r="E228" s="627" t="inlineStr">
        <is>
          <t>BSB</t>
        </is>
      </c>
      <c r="F228" s="627" t="n">
        <v>8.532409669211191</v>
      </c>
      <c r="G228" s="635" t="n">
        <v>8</v>
      </c>
      <c r="H228" s="627" t="inlineStr">
        <is>
          <t>PET 8</t>
        </is>
      </c>
      <c r="I228" s="635" t="inlineStr">
        <is>
          <t>Large</t>
        </is>
      </c>
      <c r="J228" s="636" t="inlineStr">
        <is>
          <t>RWA BSHB AC PET 8</t>
        </is>
      </c>
      <c r="K228" s="629" t="inlineStr">
        <is>
          <t>Fast</t>
        </is>
      </c>
      <c r="L228" s="629" t="inlineStr">
        <is>
          <t>IFCO</t>
        </is>
      </c>
      <c r="M228" s="630" t="n">
        <v>114.34</v>
      </c>
      <c r="N228" s="631" t="inlineStr">
        <is>
          <t>PLATINUM</t>
        </is>
      </c>
      <c r="O228" s="627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600">
        <f>_xludf.IFNA(_xlfn.XLOOKUP(Table3[[#This Row],[SKU]],'00_Yield_Rates'!$B$2:$B$17,'00_Yield_Rates'!$E$2:$E$17),"")</f>
        <v/>
      </c>
    </row>
    <row r="229">
      <c r="A229" s="625" t="inlineStr">
        <is>
          <t>Tray_Pack</t>
        </is>
      </c>
      <c r="B229" s="626" t="n">
        <v>7241</v>
      </c>
      <c r="C229" s="627" t="n">
        <v>61087</v>
      </c>
      <c r="D229" s="627" t="inlineStr">
        <is>
          <t>RWA</t>
        </is>
      </c>
      <c r="E229" s="627" t="inlineStr">
        <is>
          <t>ThighMeat</t>
        </is>
      </c>
      <c r="F229" s="627" t="n">
        <v>9.67224201152435</v>
      </c>
      <c r="G229" s="635" t="n">
        <v>8</v>
      </c>
      <c r="H229" s="635" t="inlineStr">
        <is>
          <t>PET 8</t>
        </is>
      </c>
      <c r="I229" s="635" t="inlineStr">
        <is>
          <t>Large</t>
        </is>
      </c>
      <c r="J229" s="636" t="inlineStr">
        <is>
          <t>RWA BSTHIGH AC PET 8</t>
        </is>
      </c>
      <c r="K229" s="629" t="inlineStr">
        <is>
          <t>Slow</t>
        </is>
      </c>
      <c r="L229" s="632" t="inlineStr">
        <is>
          <t>IFCO</t>
        </is>
      </c>
      <c r="M229" s="633" t="n">
        <v>22.85</v>
      </c>
      <c r="N229" s="631" t="inlineStr">
        <is>
          <t>PLATINUM</t>
        </is>
      </c>
      <c r="O229" s="627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600">
        <f>_xludf.IFNA(_xlfn.XLOOKUP(Table3[[#This Row],[SKU]],'00_Yield_Rates'!$B$2:$B$17,'00_Yield_Rates'!$E$2:$E$17),"")</f>
        <v/>
      </c>
    </row>
    <row r="230">
      <c r="A230" s="625" t="inlineStr">
        <is>
          <t>Tray_Pack</t>
        </is>
      </c>
      <c r="B230" s="626" t="n">
        <v>7242</v>
      </c>
      <c r="C230" s="627" t="n">
        <v>61016</v>
      </c>
      <c r="D230" s="627" t="inlineStr">
        <is>
          <t>RWA</t>
        </is>
      </c>
      <c r="E230" s="627" t="inlineStr">
        <is>
          <t>SplitWing</t>
        </is>
      </c>
      <c r="F230" s="627" t="n">
        <v>8.33015285511518</v>
      </c>
      <c r="G230" s="635" t="n">
        <v>8</v>
      </c>
      <c r="H230" s="635" t="inlineStr">
        <is>
          <t>PET 8</t>
        </is>
      </c>
      <c r="I230" s="635" t="inlineStr">
        <is>
          <t>Large</t>
        </is>
      </c>
      <c r="J230" s="636" t="inlineStr">
        <is>
          <t>RWA SPL WING AC PET 8</t>
        </is>
      </c>
      <c r="K230" s="629" t="inlineStr">
        <is>
          <t>Slow</t>
        </is>
      </c>
      <c r="L230" s="632" t="inlineStr">
        <is>
          <t>IFCO</t>
        </is>
      </c>
      <c r="M230" s="633" t="n">
        <v>25.17</v>
      </c>
      <c r="N230" s="631" t="inlineStr">
        <is>
          <t>PLATINUM</t>
        </is>
      </c>
      <c r="O230" s="627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600">
        <f>_xludf.IFNA(_xlfn.XLOOKUP(Table3[[#This Row],[SKU]],'00_Yield_Rates'!$B$2:$B$17,'00_Yield_Rates'!$E$2:$E$17),"")</f>
        <v/>
      </c>
    </row>
    <row r="231">
      <c r="A231" s="625" t="inlineStr">
        <is>
          <t>Tray_Pack</t>
        </is>
      </c>
      <c r="B231" s="626" t="n">
        <v>7245</v>
      </c>
      <c r="C231" s="627" t="n">
        <v>61074</v>
      </c>
      <c r="D231" s="627" t="inlineStr">
        <is>
          <t>RWA</t>
        </is>
      </c>
      <c r="E231" s="627" t="inlineStr">
        <is>
          <t>Drum</t>
        </is>
      </c>
      <c r="F231" s="627" t="n"/>
      <c r="G231" s="635" t="n">
        <v>12</v>
      </c>
      <c r="H231" s="635" t="inlineStr">
        <is>
          <t>ST 2HP</t>
        </is>
      </c>
      <c r="I231" s="635" t="inlineStr">
        <is>
          <t>Small</t>
        </is>
      </c>
      <c r="J231" s="636" t="inlineStr">
        <is>
          <t>RWA DRUM AC ST</t>
        </is>
      </c>
      <c r="K231" s="632" t="inlineStr">
        <is>
          <t>Fast</t>
        </is>
      </c>
      <c r="L231" s="632" t="inlineStr">
        <is>
          <t>IFCO</t>
        </is>
      </c>
      <c r="M231" s="633" t="n">
        <v>62.89</v>
      </c>
      <c r="N231" s="631" t="inlineStr">
        <is>
          <t>PLATINUM</t>
        </is>
      </c>
      <c r="O231" s="627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600">
        <f>_xludf.IFNA(_xlfn.XLOOKUP(Table3[[#This Row],[SKU]],'00_Yield_Rates'!$B$2:$B$17,'00_Yield_Rates'!$E$2:$E$17),"")</f>
        <v/>
      </c>
    </row>
    <row r="232">
      <c r="A232" s="625" t="inlineStr">
        <is>
          <t>Tray_Pack</t>
        </is>
      </c>
      <c r="B232" s="626" t="n">
        <v>7246</v>
      </c>
      <c r="C232" s="627" t="n">
        <v>61051</v>
      </c>
      <c r="D232" s="627" t="inlineStr">
        <is>
          <t>RWA</t>
        </is>
      </c>
      <c r="E232" s="627" t="inlineStr">
        <is>
          <t>Drum</t>
        </is>
      </c>
      <c r="F232" s="627" t="n"/>
      <c r="G232" s="635" t="n">
        <v>12</v>
      </c>
      <c r="H232" s="635" t="inlineStr">
        <is>
          <t>ST 2HP</t>
        </is>
      </c>
      <c r="I232" s="635" t="inlineStr">
        <is>
          <t>Small</t>
        </is>
      </c>
      <c r="J232" s="636" t="inlineStr">
        <is>
          <t>RWA DRUM AC ST</t>
        </is>
      </c>
      <c r="K232" s="632" t="inlineStr">
        <is>
          <t>Fast</t>
        </is>
      </c>
      <c r="L232" s="632" t="inlineStr">
        <is>
          <t>IFCO</t>
        </is>
      </c>
      <c r="M232" s="633" t="n">
        <v>79.62</v>
      </c>
      <c r="N232" s="631" t="inlineStr">
        <is>
          <t>PLATINUM</t>
        </is>
      </c>
      <c r="O232" s="627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600">
        <f>_xludf.IFNA(_xlfn.XLOOKUP(Table3[[#This Row],[SKU]],'00_Yield_Rates'!$B$2:$B$17,'00_Yield_Rates'!$E$2:$E$17),"")</f>
        <v/>
      </c>
    </row>
    <row r="233">
      <c r="A233" s="625" t="inlineStr">
        <is>
          <t>Tray_Pack</t>
        </is>
      </c>
      <c r="B233" s="626" t="n">
        <v>7247</v>
      </c>
      <c r="C233" s="627" t="n">
        <v>203151</v>
      </c>
      <c r="D233" s="627" t="inlineStr">
        <is>
          <t>RWA</t>
        </is>
      </c>
      <c r="E233" s="635" t="inlineStr">
        <is>
          <t>Whole Bird-Small</t>
        </is>
      </c>
      <c r="F233" s="627" t="n"/>
      <c r="G233" s="635" t="n">
        <v>6</v>
      </c>
      <c r="H233" s="635" t="inlineStr">
        <is>
          <t>ST 3XP</t>
        </is>
      </c>
      <c r="I233" s="635" t="inlineStr">
        <is>
          <t>Small</t>
        </is>
      </c>
      <c r="J233" s="636" t="inlineStr">
        <is>
          <t>RWA FRY WOG AC TI PET</t>
        </is>
      </c>
      <c r="K233" s="632" t="inlineStr">
        <is>
          <t>Fast</t>
        </is>
      </c>
      <c r="L233" s="632" t="inlineStr">
        <is>
          <t>IFCO</t>
        </is>
      </c>
      <c r="M233" s="633" t="n">
        <v>146.6</v>
      </c>
      <c r="N233" s="631" t="n"/>
      <c r="O233" s="627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600">
        <f>_xludf.IFNA(_xlfn.XLOOKUP(Table3[[#This Row],[SKU]],'00_Yield_Rates'!$B$2:$B$17,'00_Yield_Rates'!$E$2:$E$17),"")</f>
        <v/>
      </c>
    </row>
    <row r="234">
      <c r="A234" s="625" t="inlineStr">
        <is>
          <t>Tray_Pack</t>
        </is>
      </c>
      <c r="B234" s="626" t="n">
        <v>7248</v>
      </c>
      <c r="C234" s="627" t="n">
        <v>61087</v>
      </c>
      <c r="D234" s="627" t="inlineStr">
        <is>
          <t>RWA</t>
        </is>
      </c>
      <c r="E234" s="627" t="inlineStr">
        <is>
          <t>ThighMeat</t>
        </is>
      </c>
      <c r="F234" s="627" t="n"/>
      <c r="G234" s="635" t="n">
        <v>8</v>
      </c>
      <c r="H234" s="635" t="inlineStr">
        <is>
          <t>LT 8XP</t>
        </is>
      </c>
      <c r="I234" s="635" t="inlineStr">
        <is>
          <t>Large</t>
        </is>
      </c>
      <c r="J234" s="636" t="inlineStr">
        <is>
          <t>RWA BSTHIGH AC CLUB</t>
        </is>
      </c>
      <c r="K234" s="629" t="inlineStr">
        <is>
          <t>Slow</t>
        </is>
      </c>
      <c r="L234" s="632" t="inlineStr">
        <is>
          <t>IFCO</t>
        </is>
      </c>
      <c r="M234" s="633" t="n">
        <v>24.54</v>
      </c>
      <c r="N234" s="631" t="inlineStr">
        <is>
          <t>PLATINUM</t>
        </is>
      </c>
      <c r="O234" s="627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600">
        <f>_xludf.IFNA(_xlfn.XLOOKUP(Table3[[#This Row],[SKU]],'00_Yield_Rates'!$B$2:$B$17,'00_Yield_Rates'!$E$2:$E$17),"")</f>
        <v/>
      </c>
    </row>
    <row r="235">
      <c r="A235" s="625" t="inlineStr">
        <is>
          <t>Tray_Pack</t>
        </is>
      </c>
      <c r="B235" s="626" t="n">
        <v>7249</v>
      </c>
      <c r="C235" s="627" t="n">
        <v>61016</v>
      </c>
      <c r="D235" s="627" t="inlineStr">
        <is>
          <t>RWA</t>
        </is>
      </c>
      <c r="E235" s="627" t="inlineStr">
        <is>
          <t>SplitWing</t>
        </is>
      </c>
      <c r="F235" s="627" t="n"/>
      <c r="G235" s="635" t="n">
        <v>8</v>
      </c>
      <c r="H235" s="635" t="inlineStr">
        <is>
          <t>LT 8XP</t>
        </is>
      </c>
      <c r="I235" s="635" t="inlineStr">
        <is>
          <t>Large</t>
        </is>
      </c>
      <c r="J235" s="636" t="inlineStr">
        <is>
          <t>RWA SPL WING AC CLUB</t>
        </is>
      </c>
      <c r="K235" s="629" t="inlineStr">
        <is>
          <t>Slow</t>
        </is>
      </c>
      <c r="L235" s="632" t="inlineStr">
        <is>
          <t>IFCO</t>
        </is>
      </c>
      <c r="M235" s="633" t="n">
        <v>27.03</v>
      </c>
      <c r="N235" s="631" t="inlineStr">
        <is>
          <t>PLATINUM</t>
        </is>
      </c>
      <c r="O235" s="627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600">
        <f>_xludf.IFNA(_xlfn.XLOOKUP(Table3[[#This Row],[SKU]],'00_Yield_Rates'!$B$2:$B$17,'00_Yield_Rates'!$E$2:$E$17),"")</f>
        <v/>
      </c>
    </row>
    <row r="236">
      <c r="A236" s="625" t="inlineStr">
        <is>
          <t>Tray_Pack</t>
        </is>
      </c>
      <c r="B236" s="626" t="n">
        <v>7250</v>
      </c>
      <c r="C236" s="627" t="n">
        <v>61074</v>
      </c>
      <c r="D236" s="627" t="inlineStr">
        <is>
          <t>RWA</t>
        </is>
      </c>
      <c r="E236" s="627" t="inlineStr">
        <is>
          <t>Drum</t>
        </is>
      </c>
      <c r="F236" s="627" t="n">
        <v>8.060272373540849</v>
      </c>
      <c r="G236" s="635" t="n">
        <v>8</v>
      </c>
      <c r="H236" s="635" t="inlineStr">
        <is>
          <t>PET 8</t>
        </is>
      </c>
      <c r="I236" s="635" t="inlineStr">
        <is>
          <t>Large</t>
        </is>
      </c>
      <c r="J236" s="636" t="inlineStr">
        <is>
          <t>MS PC RWA DRUM AC PET 8 PP BSK</t>
        </is>
      </c>
      <c r="K236" s="632" t="inlineStr">
        <is>
          <t>Fast</t>
        </is>
      </c>
      <c r="L236" s="632" t="inlineStr">
        <is>
          <t>IFCO</t>
        </is>
      </c>
      <c r="M236" s="633" t="n">
        <v>48.4</v>
      </c>
      <c r="N236" s="631" t="inlineStr">
        <is>
          <t>PLATINUM</t>
        </is>
      </c>
      <c r="O236" s="627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600">
        <f>_xludf.IFNA(_xlfn.XLOOKUP(Table3[[#This Row],[SKU]],'00_Yield_Rates'!$B$2:$B$17,'00_Yield_Rates'!$E$2:$E$17),"")</f>
        <v/>
      </c>
    </row>
    <row r="237">
      <c r="A237" s="625" t="inlineStr">
        <is>
          <t>Tray_Pack</t>
        </is>
      </c>
      <c r="B237" s="626" t="n">
        <v>7251</v>
      </c>
      <c r="C237" s="627" t="n">
        <v>61079</v>
      </c>
      <c r="D237" s="627" t="inlineStr">
        <is>
          <t>RWA</t>
        </is>
      </c>
      <c r="E237" s="627" t="inlineStr">
        <is>
          <t>Thigh</t>
        </is>
      </c>
      <c r="F237" s="627" t="n">
        <v>9.256619788219719</v>
      </c>
      <c r="G237" s="635" t="n">
        <v>8</v>
      </c>
      <c r="H237" s="635" t="inlineStr">
        <is>
          <t>PET 8</t>
        </is>
      </c>
      <c r="I237" s="635" t="inlineStr">
        <is>
          <t>Large</t>
        </is>
      </c>
      <c r="J237" s="636" t="inlineStr">
        <is>
          <t>MS PC RWA THIGH AC PET 8 PP BSK</t>
        </is>
      </c>
      <c r="K237" s="632" t="inlineStr">
        <is>
          <t>Fast</t>
        </is>
      </c>
      <c r="L237" s="632" t="inlineStr">
        <is>
          <t>IFCO</t>
        </is>
      </c>
      <c r="M237" s="633" t="n">
        <v>55.32</v>
      </c>
      <c r="N237" s="631" t="inlineStr">
        <is>
          <t>PLATINUM</t>
        </is>
      </c>
      <c r="O237" s="627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600">
        <f>_xludf.IFNA(_xlfn.XLOOKUP(Table3[[#This Row],[SKU]],'00_Yield_Rates'!$B$2:$B$17,'00_Yield_Rates'!$E$2:$E$17),"")</f>
        <v/>
      </c>
    </row>
    <row r="238">
      <c r="A238" s="625" t="inlineStr">
        <is>
          <t>Tray_Pack</t>
        </is>
      </c>
      <c r="B238" s="626" t="n">
        <v>7252</v>
      </c>
      <c r="C238" s="627" t="n">
        <v>61051</v>
      </c>
      <c r="D238" s="627" t="inlineStr">
        <is>
          <t>RWA</t>
        </is>
      </c>
      <c r="E238" s="627" t="inlineStr">
        <is>
          <t>BSB</t>
        </is>
      </c>
      <c r="F238" s="627" t="n">
        <v>0</v>
      </c>
      <c r="G238" s="635" t="n">
        <v>8</v>
      </c>
      <c r="H238" s="635" t="inlineStr">
        <is>
          <t>LT 8XP</t>
        </is>
      </c>
      <c r="I238" s="635" t="inlineStr">
        <is>
          <t>Large</t>
        </is>
      </c>
      <c r="J238" s="636" t="inlineStr">
        <is>
          <t>RWA BSHB AC LT</t>
        </is>
      </c>
      <c r="K238" s="629" t="inlineStr">
        <is>
          <t>Fast</t>
        </is>
      </c>
      <c r="L238" s="632" t="inlineStr">
        <is>
          <t>IFCO</t>
        </is>
      </c>
      <c r="M238" s="633" t="n">
        <v>126.38</v>
      </c>
      <c r="N238" s="631" t="inlineStr">
        <is>
          <t>PLATINUM</t>
        </is>
      </c>
      <c r="O238" s="627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600">
        <f>_xludf.IFNA(_xlfn.XLOOKUP(Table3[[#This Row],[SKU]],'00_Yield_Rates'!$B$2:$B$17,'00_Yield_Rates'!$E$2:$E$17),"")</f>
        <v/>
      </c>
    </row>
    <row r="239">
      <c r="A239" s="625" t="inlineStr">
        <is>
          <t>Tray_Pack</t>
        </is>
      </c>
      <c r="B239" s="626" t="n">
        <v>7253</v>
      </c>
      <c r="C239" s="627" t="n">
        <v>61079</v>
      </c>
      <c r="D239" s="627" t="inlineStr">
        <is>
          <t>RWA</t>
        </is>
      </c>
      <c r="E239" s="627" t="inlineStr">
        <is>
          <t>Thigh</t>
        </is>
      </c>
      <c r="F239" s="627" t="n"/>
      <c r="G239" s="635" t="n">
        <v>8</v>
      </c>
      <c r="H239" s="635" t="inlineStr">
        <is>
          <t>LT 8XP</t>
        </is>
      </c>
      <c r="I239" s="635" t="inlineStr">
        <is>
          <t>Large</t>
        </is>
      </c>
      <c r="J239" s="636" t="inlineStr">
        <is>
          <t>MS PC RWA THIGH AC LT PP BSK</t>
        </is>
      </c>
      <c r="K239" s="632" t="inlineStr">
        <is>
          <t>Fast</t>
        </is>
      </c>
      <c r="L239" s="629" t="inlineStr">
        <is>
          <t>IFCO</t>
        </is>
      </c>
      <c r="M239" s="630" t="n">
        <v>58.45</v>
      </c>
      <c r="N239" s="631" t="inlineStr">
        <is>
          <t>PLATINUM</t>
        </is>
      </c>
      <c r="O239" s="627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600">
        <f>_xludf.IFNA(_xlfn.XLOOKUP(Table3[[#This Row],[SKU]],'00_Yield_Rates'!$B$2:$B$17,'00_Yield_Rates'!$E$2:$E$17),"")</f>
        <v/>
      </c>
    </row>
    <row r="240">
      <c r="A240" s="625" t="inlineStr">
        <is>
          <t>Tray_Pack</t>
        </is>
      </c>
      <c r="B240" s="626" t="n">
        <v>7254</v>
      </c>
      <c r="C240" s="627" t="n">
        <v>61074</v>
      </c>
      <c r="D240" s="627" t="inlineStr">
        <is>
          <t>RWA</t>
        </is>
      </c>
      <c r="E240" s="627" t="inlineStr">
        <is>
          <t>Drum</t>
        </is>
      </c>
      <c r="F240" s="627" t="n"/>
      <c r="G240" s="635" t="n">
        <v>8</v>
      </c>
      <c r="H240" s="635" t="inlineStr">
        <is>
          <t>LT 8XP</t>
        </is>
      </c>
      <c r="I240" s="635" t="inlineStr">
        <is>
          <t>Large</t>
        </is>
      </c>
      <c r="J240" s="636" t="inlineStr">
        <is>
          <t>MS PC RWA DRUM AC LT PP BSK</t>
        </is>
      </c>
      <c r="K240" s="632" t="inlineStr">
        <is>
          <t>Fast</t>
        </is>
      </c>
      <c r="L240" s="632" t="inlineStr">
        <is>
          <t>IFCO</t>
        </is>
      </c>
      <c r="M240" s="633" t="n">
        <v>52.69</v>
      </c>
      <c r="N240" s="631" t="inlineStr">
        <is>
          <t>PLATINUM</t>
        </is>
      </c>
      <c r="O240" s="627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600">
        <f>_xludf.IFNA(_xlfn.XLOOKUP(Table3[[#This Row],[SKU]],'00_Yield_Rates'!$B$2:$B$17,'00_Yield_Rates'!$E$2:$E$17),"")</f>
        <v/>
      </c>
    </row>
    <row r="241">
      <c r="A241" s="625" t="inlineStr">
        <is>
          <t>Tray_Pack</t>
        </is>
      </c>
      <c r="B241" s="626" t="n">
        <v>7260</v>
      </c>
      <c r="C241" s="627" t="inlineStr">
        <is>
          <t>61050#2</t>
        </is>
      </c>
      <c r="D241" s="627" t="inlineStr">
        <is>
          <t>LCL</t>
        </is>
      </c>
      <c r="E241" s="627" t="inlineStr">
        <is>
          <t>BSB</t>
        </is>
      </c>
      <c r="F241" s="627" t="n">
        <v>0</v>
      </c>
      <c r="G241" s="635" t="n">
        <v>8</v>
      </c>
      <c r="H241" s="635" t="inlineStr">
        <is>
          <t>PET 8</t>
        </is>
      </c>
      <c r="I241" s="635" t="inlineStr">
        <is>
          <t>Small</t>
        </is>
      </c>
      <c r="J241" s="636" t="inlineStr">
        <is>
          <t>MS LCL BSHB PET8 PP BSK</t>
        </is>
      </c>
      <c r="K241" s="629" t="inlineStr">
        <is>
          <t>Fast</t>
        </is>
      </c>
      <c r="L241" s="632" t="inlineStr">
        <is>
          <t>IFCO</t>
        </is>
      </c>
      <c r="M241" s="633" t="n">
        <v>102.86</v>
      </c>
      <c r="N241" s="631" t="inlineStr">
        <is>
          <t>SILVER</t>
        </is>
      </c>
      <c r="O241" s="627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600">
        <f>_xludf.IFNA(_xlfn.XLOOKUP(Table3[[#This Row],[SKU]],'00_Yield_Rates'!$B$2:$B$17,'00_Yield_Rates'!$E$2:$E$17),"")</f>
        <v/>
      </c>
    </row>
    <row r="242">
      <c r="A242" s="625" t="inlineStr">
        <is>
          <t>Tray_Pack</t>
        </is>
      </c>
      <c r="B242" s="626" t="n">
        <v>7268</v>
      </c>
      <c r="C242" s="627" t="n">
        <v>203136</v>
      </c>
      <c r="D242" s="627" t="inlineStr">
        <is>
          <t>LCL</t>
        </is>
      </c>
      <c r="E242" s="635" t="inlineStr">
        <is>
          <t>Whole Bird-Small</t>
        </is>
      </c>
      <c r="F242" s="627" t="n"/>
      <c r="G242" s="635" t="n">
        <v>6</v>
      </c>
      <c r="H242" s="635" t="inlineStr">
        <is>
          <t>ST 3XP</t>
        </is>
      </c>
      <c r="I242" s="635" t="n"/>
      <c r="J242" s="636" t="inlineStr">
        <is>
          <t>PB PC FRY WOG AC TI ST</t>
        </is>
      </c>
      <c r="K242" s="632" t="inlineStr">
        <is>
          <t>Fast</t>
        </is>
      </c>
      <c r="L242" s="632" t="inlineStr">
        <is>
          <t>IFCO</t>
        </is>
      </c>
      <c r="M242" s="633" t="n">
        <v>137.96</v>
      </c>
      <c r="N242" s="631" t="n"/>
      <c r="O242" s="627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600">
        <f>_xludf.IFNA(_xlfn.XLOOKUP(Table3[[#This Row],[SKU]],'00_Yield_Rates'!$B$2:$B$17,'00_Yield_Rates'!$E$2:$E$17),"")</f>
        <v/>
      </c>
    </row>
    <row r="243">
      <c r="A243" s="625" t="inlineStr">
        <is>
          <t>Tray_Pack</t>
        </is>
      </c>
      <c r="B243" s="634" t="n">
        <v>7269</v>
      </c>
      <c r="C243" s="627" t="n">
        <v>61014</v>
      </c>
      <c r="D243" s="627" t="inlineStr">
        <is>
          <t>LCL</t>
        </is>
      </c>
      <c r="E243" s="627" t="inlineStr">
        <is>
          <t>SplitWing</t>
        </is>
      </c>
      <c r="F243" s="630" t="n"/>
      <c r="G243" s="635" t="n">
        <v>12</v>
      </c>
      <c r="H243" s="635" t="inlineStr">
        <is>
          <t>PET 3</t>
        </is>
      </c>
      <c r="I243" s="635" t="n"/>
      <c r="J243" s="636" t="inlineStr">
        <is>
          <t>PB PC SPLIT WING AC PET 3</t>
        </is>
      </c>
      <c r="K243" s="629" t="inlineStr">
        <is>
          <t>Slow</t>
        </is>
      </c>
      <c r="L243" s="632" t="inlineStr">
        <is>
          <t>IFCO</t>
        </is>
      </c>
      <c r="M243" s="633" t="n">
        <v>26.99</v>
      </c>
      <c r="N243" s="640" t="inlineStr">
        <is>
          <t>PLATINUM</t>
        </is>
      </c>
      <c r="O243" s="627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600">
        <f>_xludf.IFNA(_xlfn.XLOOKUP(Table3[[#This Row],[SKU]],'00_Yield_Rates'!$B$2:$B$17,'00_Yield_Rates'!$E$2:$E$17),"")</f>
        <v/>
      </c>
    </row>
    <row r="244">
      <c r="A244" s="625" t="inlineStr">
        <is>
          <t>Tray_Pack</t>
        </is>
      </c>
      <c r="B244" s="634" t="n">
        <v>7275</v>
      </c>
      <c r="C244" s="627" t="n">
        <v>61048</v>
      </c>
      <c r="D244" s="627" t="inlineStr">
        <is>
          <t>LCL</t>
        </is>
      </c>
      <c r="E244" s="627" t="inlineStr">
        <is>
          <t>SplitBreast</t>
        </is>
      </c>
      <c r="F244" s="630" t="n">
        <v>0</v>
      </c>
      <c r="G244" s="635" t="n">
        <v>8</v>
      </c>
      <c r="H244" s="635" t="inlineStr">
        <is>
          <t>PET 8</t>
        </is>
      </c>
      <c r="I244" s="635" t="inlineStr">
        <is>
          <t>Large</t>
        </is>
      </c>
      <c r="J244" s="636" t="inlineStr">
        <is>
          <t>MS PC BM SKLS HB AC PET 8 BSK</t>
        </is>
      </c>
      <c r="K244" s="629" t="inlineStr">
        <is>
          <t>Fast</t>
        </is>
      </c>
      <c r="L244" s="632" t="inlineStr">
        <is>
          <t>IFCO</t>
        </is>
      </c>
      <c r="M244" s="633" t="n">
        <v>180.03</v>
      </c>
      <c r="N244" s="640" t="inlineStr">
        <is>
          <t>SILVER</t>
        </is>
      </c>
      <c r="O244" s="627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600">
        <f>_xludf.IFNA(_xlfn.XLOOKUP(Table3[[#This Row],[SKU]],'00_Yield_Rates'!$B$2:$B$17,'00_Yield_Rates'!$E$2:$E$17),"")</f>
        <v/>
      </c>
    </row>
    <row r="245">
      <c r="A245" s="625" t="inlineStr">
        <is>
          <t>Tray_Pack</t>
        </is>
      </c>
      <c r="B245" s="634" t="n">
        <v>7278</v>
      </c>
      <c r="C245" s="627" t="inlineStr">
        <is>
          <t>61086#2</t>
        </is>
      </c>
      <c r="D245" s="627" t="inlineStr">
        <is>
          <t>LCL</t>
        </is>
      </c>
      <c r="E245" s="627" t="inlineStr">
        <is>
          <t>ThighMeat</t>
        </is>
      </c>
      <c r="F245" s="630" t="n">
        <v>7.70174545454545</v>
      </c>
      <c r="G245" s="635" t="n">
        <v>8</v>
      </c>
      <c r="H245" s="635" t="inlineStr">
        <is>
          <t>PET 8</t>
        </is>
      </c>
      <c r="I245" s="635" t="n"/>
      <c r="J245" s="636" t="inlineStr">
        <is>
          <t>PB BSTHIGH LT</t>
        </is>
      </c>
      <c r="K245" s="629" t="inlineStr">
        <is>
          <t>Slow</t>
        </is>
      </c>
      <c r="L245" s="632" t="inlineStr">
        <is>
          <t>IFCO</t>
        </is>
      </c>
      <c r="M245" s="633" t="n">
        <v>20.8</v>
      </c>
      <c r="N245" s="640" t="inlineStr">
        <is>
          <t>SILVER</t>
        </is>
      </c>
      <c r="O245" s="627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600">
        <f>_xludf.IFNA(_xlfn.XLOOKUP(Table3[[#This Row],[SKU]],'00_Yield_Rates'!$B$2:$B$17,'00_Yield_Rates'!$E$2:$E$17),"")</f>
        <v/>
      </c>
    </row>
    <row r="246">
      <c r="A246" s="625" t="inlineStr">
        <is>
          <t>Tray_Pack</t>
        </is>
      </c>
      <c r="B246" s="634" t="n">
        <v>7287</v>
      </c>
      <c r="C246" s="627" t="inlineStr">
        <is>
          <t>61014#2</t>
        </is>
      </c>
      <c r="D246" s="627" t="inlineStr">
        <is>
          <t>LCL</t>
        </is>
      </c>
      <c r="E246" s="627" t="inlineStr">
        <is>
          <t>SplitWing</t>
        </is>
      </c>
      <c r="F246" s="630" t="n">
        <v>8.42428653497724</v>
      </c>
      <c r="G246" s="635" t="n">
        <v>8</v>
      </c>
      <c r="H246" s="635" t="inlineStr">
        <is>
          <t>PET 8</t>
        </is>
      </c>
      <c r="I246" s="635" t="n"/>
      <c r="J246" s="636" t="inlineStr">
        <is>
          <t>MS SPL WING PET8 BSK</t>
        </is>
      </c>
      <c r="K246" s="629" t="inlineStr">
        <is>
          <t>Slow</t>
        </is>
      </c>
      <c r="L246" s="629" t="inlineStr">
        <is>
          <t>IFCO</t>
        </is>
      </c>
      <c r="M246" s="630" t="n">
        <v>31.29</v>
      </c>
      <c r="N246" s="640" t="inlineStr">
        <is>
          <t>SILVER</t>
        </is>
      </c>
      <c r="O246" s="627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600">
        <f>_xludf.IFNA(_xlfn.XLOOKUP(Table3[[#This Row],[SKU]],'00_Yield_Rates'!$B$2:$B$17,'00_Yield_Rates'!$E$2:$E$17),"")</f>
        <v/>
      </c>
    </row>
    <row r="247">
      <c r="A247" s="625" t="inlineStr">
        <is>
          <t>Tray_Pack</t>
        </is>
      </c>
      <c r="B247" s="626" t="n">
        <v>7289</v>
      </c>
      <c r="C247" s="627" t="n">
        <v>61014</v>
      </c>
      <c r="D247" s="627" t="inlineStr">
        <is>
          <t>LCL</t>
        </is>
      </c>
      <c r="E247" s="627" t="inlineStr">
        <is>
          <t>SplitWing</t>
        </is>
      </c>
      <c r="F247" s="630" t="n">
        <v>0</v>
      </c>
      <c r="G247" s="635" t="n">
        <v>8</v>
      </c>
      <c r="H247" s="635" t="inlineStr">
        <is>
          <t>PET 8</t>
        </is>
      </c>
      <c r="I247" s="635" t="n"/>
      <c r="J247" s="636" t="inlineStr">
        <is>
          <t>PB PC SPL WING AC PET 8</t>
        </is>
      </c>
      <c r="K247" s="629" t="inlineStr">
        <is>
          <t>Slow</t>
        </is>
      </c>
      <c r="L247" s="632" t="inlineStr">
        <is>
          <t>IFCO</t>
        </is>
      </c>
      <c r="M247" s="633" t="n">
        <v>30.46</v>
      </c>
      <c r="N247" s="631" t="inlineStr">
        <is>
          <t>PLATINUM</t>
        </is>
      </c>
      <c r="O247" s="627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600">
        <f>_xludf.IFNA(_xlfn.XLOOKUP(Table3[[#This Row],[SKU]],'00_Yield_Rates'!$B$2:$B$17,'00_Yield_Rates'!$E$2:$E$17),"")</f>
        <v/>
      </c>
    </row>
    <row r="248">
      <c r="A248" s="625" t="inlineStr">
        <is>
          <t>Tray_Pack</t>
        </is>
      </c>
      <c r="B248" s="626" t="n">
        <v>7300</v>
      </c>
      <c r="C248" s="627" t="n">
        <v>61054</v>
      </c>
      <c r="D248" s="627" t="inlineStr">
        <is>
          <t>LCL</t>
        </is>
      </c>
      <c r="E248" s="635" t="inlineStr">
        <is>
          <t>Fillet</t>
        </is>
      </c>
      <c r="F248" s="630" t="n">
        <v>0</v>
      </c>
      <c r="G248" s="635" t="n">
        <v>12</v>
      </c>
      <c r="H248" s="635" t="inlineStr">
        <is>
          <t>ST 3XP</t>
        </is>
      </c>
      <c r="I248" s="635" t="inlineStr">
        <is>
          <t>Small</t>
        </is>
      </c>
      <c r="J248" s="636" t="inlineStr">
        <is>
          <t>PB FILLET ST BSK</t>
        </is>
      </c>
      <c r="K248" s="629" t="inlineStr">
        <is>
          <t>Slow</t>
        </is>
      </c>
      <c r="L248" s="632" t="inlineStr">
        <is>
          <t>IFCO</t>
        </is>
      </c>
      <c r="M248" s="633" t="n">
        <v>18.96</v>
      </c>
      <c r="N248" s="631" t="inlineStr">
        <is>
          <t>PLATINUM</t>
        </is>
      </c>
      <c r="O248" s="627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600">
        <f>_xludf.IFNA(_xlfn.XLOOKUP(Table3[[#This Row],[SKU]],'00_Yield_Rates'!$B$2:$B$17,'00_Yield_Rates'!$E$2:$E$17),"")</f>
        <v/>
      </c>
    </row>
    <row r="249">
      <c r="A249" s="625" t="inlineStr">
        <is>
          <t>Tray_Pack</t>
        </is>
      </c>
      <c r="B249" s="634" t="n">
        <v>7303</v>
      </c>
      <c r="C249" s="627" t="n">
        <v>61054</v>
      </c>
      <c r="D249" s="627" t="inlineStr">
        <is>
          <t>LCL</t>
        </is>
      </c>
      <c r="E249" s="635" t="inlineStr">
        <is>
          <t>Fillet</t>
        </is>
      </c>
      <c r="F249" s="630" t="n">
        <v>0</v>
      </c>
      <c r="G249" s="635" t="n">
        <v>8</v>
      </c>
      <c r="H249" s="627" t="inlineStr">
        <is>
          <t>PET 8</t>
        </is>
      </c>
      <c r="I249" s="635" t="inlineStr">
        <is>
          <t>Large</t>
        </is>
      </c>
      <c r="J249" s="636" t="inlineStr">
        <is>
          <t>PB FILLET LT PP</t>
        </is>
      </c>
      <c r="K249" s="629" t="inlineStr">
        <is>
          <t>Slow</t>
        </is>
      </c>
      <c r="L249" s="632" t="inlineStr">
        <is>
          <t>IFCO</t>
        </is>
      </c>
      <c r="M249" s="633" t="n">
        <v>36.33</v>
      </c>
      <c r="N249" s="631" t="inlineStr">
        <is>
          <t>PLATINUM</t>
        </is>
      </c>
      <c r="O249" s="627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600">
        <f>_xludf.IFNA(_xlfn.XLOOKUP(Table3[[#This Row],[SKU]],'00_Yield_Rates'!$B$2:$B$17,'00_Yield_Rates'!$E$2:$E$17),"")</f>
        <v/>
      </c>
    </row>
    <row r="250">
      <c r="A250" s="625" t="inlineStr">
        <is>
          <t>Tray_Pack</t>
        </is>
      </c>
      <c r="B250" s="634" t="n">
        <v>7304</v>
      </c>
      <c r="C250" s="627" t="n">
        <v>61054</v>
      </c>
      <c r="D250" s="627" t="inlineStr">
        <is>
          <t>LCL</t>
        </is>
      </c>
      <c r="E250" s="635" t="inlineStr">
        <is>
          <t>Fillet</t>
        </is>
      </c>
      <c r="F250" s="630" t="n">
        <v>0</v>
      </c>
      <c r="G250" s="635" t="n">
        <v>8</v>
      </c>
      <c r="H250" s="635" t="inlineStr">
        <is>
          <t>PET 8</t>
        </is>
      </c>
      <c r="I250" s="635" t="inlineStr">
        <is>
          <t>Large</t>
        </is>
      </c>
      <c r="J250" s="636" t="inlineStr">
        <is>
          <t>PB FILLET LT PP</t>
        </is>
      </c>
      <c r="K250" s="629" t="inlineStr">
        <is>
          <t>Slow</t>
        </is>
      </c>
      <c r="L250" s="632" t="inlineStr">
        <is>
          <t>IFCO</t>
        </is>
      </c>
      <c r="M250" s="633" t="n">
        <v>40.25</v>
      </c>
      <c r="N250" s="640" t="inlineStr">
        <is>
          <t>PLATINUM</t>
        </is>
      </c>
      <c r="O250" s="627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600">
        <f>_xludf.IFNA(_xlfn.XLOOKUP(Table3[[#This Row],[SKU]],'00_Yield_Rates'!$B$2:$B$17,'00_Yield_Rates'!$E$2:$E$17),"")</f>
        <v/>
      </c>
    </row>
    <row r="251">
      <c r="A251" s="625" t="inlineStr">
        <is>
          <t>Tray_Pack</t>
        </is>
      </c>
      <c r="B251" s="634" t="n">
        <v>7310</v>
      </c>
      <c r="C251" s="627" t="n">
        <v>61104</v>
      </c>
      <c r="D251" s="627" t="inlineStr">
        <is>
          <t>LCL</t>
        </is>
      </c>
      <c r="E251" s="635" t="inlineStr">
        <is>
          <t>BSB</t>
        </is>
      </c>
      <c r="F251" s="630" t="n"/>
      <c r="G251" s="635" t="n">
        <v>8</v>
      </c>
      <c r="H251" s="635" t="inlineStr">
        <is>
          <t>LT 8XP</t>
        </is>
      </c>
      <c r="I251" s="635" t="inlineStr">
        <is>
          <t>Large</t>
        </is>
      </c>
      <c r="J251" s="636" t="inlineStr">
        <is>
          <t>MS BSHB CHUNK LT BSK</t>
        </is>
      </c>
      <c r="K251" s="629" t="inlineStr">
        <is>
          <t>Fast</t>
        </is>
      </c>
      <c r="L251" s="632" t="inlineStr">
        <is>
          <t>Industry</t>
        </is>
      </c>
      <c r="M251" s="633" t="n">
        <v>74.01000000000001</v>
      </c>
      <c r="N251" s="640" t="inlineStr">
        <is>
          <t>SILVER</t>
        </is>
      </c>
      <c r="O251" s="627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600">
        <f>_xludf.IFNA(_xlfn.XLOOKUP(Table3[[#This Row],[SKU]],'00_Yield_Rates'!$B$2:$B$17,'00_Yield_Rates'!$E$2:$E$17),"")</f>
        <v/>
      </c>
    </row>
    <row r="252">
      <c r="A252" s="625" t="inlineStr">
        <is>
          <t>Tray_Pack</t>
        </is>
      </c>
      <c r="B252" s="634" t="n">
        <v>7340</v>
      </c>
      <c r="C252" s="627" t="n">
        <v>203891</v>
      </c>
      <c r="D252" s="627" t="inlineStr">
        <is>
          <t>LCL</t>
        </is>
      </c>
      <c r="E252" s="635" t="inlineStr">
        <is>
          <t>Whole Bird-Small</t>
        </is>
      </c>
      <c r="F252" s="630" t="n">
        <v>8.88999999999999</v>
      </c>
      <c r="G252" s="635" t="n">
        <v>6</v>
      </c>
      <c r="H252" s="635" t="inlineStr">
        <is>
          <t>PET 3</t>
        </is>
      </c>
      <c r="I252" s="635" t="inlineStr">
        <is>
          <t>Large</t>
        </is>
      </c>
      <c r="J252" s="636" t="inlineStr">
        <is>
          <t>MS FRY WOG TI PET3 BSK</t>
        </is>
      </c>
      <c r="K252" s="632" t="inlineStr">
        <is>
          <t>Fast</t>
        </is>
      </c>
      <c r="L252" s="632" t="inlineStr">
        <is>
          <t>IFCO</t>
        </is>
      </c>
      <c r="M252" s="633" t="n">
        <v>141.76</v>
      </c>
      <c r="N252" s="640" t="n"/>
      <c r="O252" s="627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600">
        <f>_xludf.IFNA(_xlfn.XLOOKUP(Table3[[#This Row],[SKU]],'00_Yield_Rates'!$B$2:$B$17,'00_Yield_Rates'!$E$2:$E$17),"")</f>
        <v/>
      </c>
    </row>
    <row r="253">
      <c r="A253" s="625" t="inlineStr">
        <is>
          <t>Tray_Pack</t>
        </is>
      </c>
      <c r="B253" s="634" t="n">
        <v>7341</v>
      </c>
      <c r="C253" s="627" t="n">
        <v>203891</v>
      </c>
      <c r="D253" s="627" t="inlineStr">
        <is>
          <t>LCL</t>
        </is>
      </c>
      <c r="E253" s="635" t="inlineStr">
        <is>
          <t>Whole Bird-Small</t>
        </is>
      </c>
      <c r="F253" s="630" t="n"/>
      <c r="G253" s="635" t="n">
        <v>6</v>
      </c>
      <c r="H253" s="635" t="inlineStr">
        <is>
          <t>PET 3</t>
        </is>
      </c>
      <c r="I253" s="635" t="inlineStr">
        <is>
          <t>Small</t>
        </is>
      </c>
      <c r="J253" s="636" t="inlineStr">
        <is>
          <t>MS FRY WOG TI PET3 PP BSK</t>
        </is>
      </c>
      <c r="K253" s="632" t="inlineStr">
        <is>
          <t>Fast</t>
        </is>
      </c>
      <c r="L253" s="629" t="inlineStr">
        <is>
          <t>IFCO</t>
        </is>
      </c>
      <c r="M253" s="630" t="n">
        <v>141.76</v>
      </c>
      <c r="N253" s="640" t="n"/>
      <c r="O253" s="627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600">
        <f>_xludf.IFNA(_xlfn.XLOOKUP(Table3[[#This Row],[SKU]],'00_Yield_Rates'!$B$2:$B$17,'00_Yield_Rates'!$E$2:$E$17),"")</f>
        <v/>
      </c>
    </row>
    <row r="254">
      <c r="A254" s="625" t="inlineStr">
        <is>
          <t>Tray_Pack</t>
        </is>
      </c>
      <c r="B254" s="634" t="n">
        <v>7342</v>
      </c>
      <c r="C254" s="627" t="n">
        <v>61061</v>
      </c>
      <c r="D254" s="627" t="inlineStr">
        <is>
          <t>LCL</t>
        </is>
      </c>
      <c r="E254" s="627" t="inlineStr">
        <is>
          <t>BA</t>
        </is>
      </c>
      <c r="F254" s="630" t="n"/>
      <c r="G254" s="635" t="n">
        <v>8</v>
      </c>
      <c r="H254" s="635" t="inlineStr">
        <is>
          <t>PET 8</t>
        </is>
      </c>
      <c r="I254" s="635" t="inlineStr">
        <is>
          <t>Large</t>
        </is>
      </c>
      <c r="J254" s="636" t="inlineStr">
        <is>
          <t>MS LCL LEG BA PET8 PP BSK</t>
        </is>
      </c>
      <c r="K254" s="632" t="inlineStr">
        <is>
          <t>Fast</t>
        </is>
      </c>
      <c r="L254" s="632" t="inlineStr">
        <is>
          <t>IFCO</t>
        </is>
      </c>
      <c r="M254" s="633" t="n">
        <v>78.31999999999999</v>
      </c>
      <c r="N254" s="640" t="inlineStr">
        <is>
          <t>SILVER</t>
        </is>
      </c>
      <c r="O254" s="627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600">
        <f>_xludf.IFNA(_xlfn.XLOOKUP(Table3[[#This Row],[SKU]],'00_Yield_Rates'!$B$2:$B$17,'00_Yield_Rates'!$E$2:$E$17),"")</f>
        <v/>
      </c>
    </row>
    <row r="255">
      <c r="A255" s="625" t="inlineStr">
        <is>
          <t>Tray_Pack</t>
        </is>
      </c>
      <c r="B255" s="634" t="n">
        <v>7343</v>
      </c>
      <c r="C255" s="627" t="inlineStr">
        <is>
          <t>61050#2</t>
        </is>
      </c>
      <c r="D255" s="627" t="inlineStr">
        <is>
          <t>LCL</t>
        </is>
      </c>
      <c r="E255" s="627" t="inlineStr">
        <is>
          <t>BSB</t>
        </is>
      </c>
      <c r="F255" s="630" t="n"/>
      <c r="G255" s="635" t="n"/>
      <c r="H255" s="635" t="inlineStr">
        <is>
          <t>PET 6</t>
        </is>
      </c>
      <c r="I255" s="635" t="inlineStr">
        <is>
          <t>Small</t>
        </is>
      </c>
      <c r="J255" s="636" t="inlineStr">
        <is>
          <t>MS LCL BSHB PET6 PP BSK</t>
        </is>
      </c>
      <c r="K255" s="629" t="inlineStr">
        <is>
          <t>Fast</t>
        </is>
      </c>
      <c r="L255" s="632" t="inlineStr">
        <is>
          <t>IFCO</t>
        </is>
      </c>
      <c r="M255" s="633" t="n">
        <v>102.9</v>
      </c>
      <c r="N255" s="640" t="inlineStr">
        <is>
          <t>SILVER</t>
        </is>
      </c>
      <c r="O255" s="627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600">
        <f>_xludf.IFNA(_xlfn.XLOOKUP(Table3[[#This Row],[SKU]],'00_Yield_Rates'!$B$2:$B$17,'00_Yield_Rates'!$E$2:$E$17),"")</f>
        <v/>
      </c>
    </row>
    <row r="256">
      <c r="A256" s="625" t="inlineStr">
        <is>
          <t>Tray_Pack</t>
        </is>
      </c>
      <c r="B256" s="634" t="n">
        <v>7378</v>
      </c>
      <c r="C256" s="627" t="n">
        <v>61061</v>
      </c>
      <c r="D256" s="627" t="inlineStr">
        <is>
          <t>LCL</t>
        </is>
      </c>
      <c r="E256" s="627" t="inlineStr">
        <is>
          <t>BA</t>
        </is>
      </c>
      <c r="F256" s="630" t="n">
        <v>0</v>
      </c>
      <c r="G256" s="635" t="n">
        <v>8</v>
      </c>
      <c r="H256" s="635" t="inlineStr">
        <is>
          <t>PET 8</t>
        </is>
      </c>
      <c r="I256" s="635" t="n"/>
      <c r="J256" s="636" t="inlineStr">
        <is>
          <t>PB LEG BA LT</t>
        </is>
      </c>
      <c r="K256" s="632" t="inlineStr">
        <is>
          <t>Fast</t>
        </is>
      </c>
      <c r="L256" s="632" t="inlineStr">
        <is>
          <t>IFCO</t>
        </is>
      </c>
      <c r="M256" s="633" t="n">
        <v>82.95999999999999</v>
      </c>
      <c r="N256" s="640" t="inlineStr">
        <is>
          <t>SILVER</t>
        </is>
      </c>
      <c r="O256" s="627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600">
        <f>_xludf.IFNA(_xlfn.XLOOKUP(Table3[[#This Row],[SKU]],'00_Yield_Rates'!$B$2:$B$17,'00_Yield_Rates'!$E$2:$E$17),"")</f>
        <v/>
      </c>
    </row>
    <row r="257">
      <c r="A257" s="625" t="inlineStr">
        <is>
          <t>Tray_Pack</t>
        </is>
      </c>
      <c r="B257" s="634" t="n">
        <v>7396</v>
      </c>
      <c r="C257" s="627" t="inlineStr">
        <is>
          <t>61072#2</t>
        </is>
      </c>
      <c r="D257" s="627" t="inlineStr">
        <is>
          <t>FB</t>
        </is>
      </c>
      <c r="E257" s="627" t="inlineStr">
        <is>
          <t>Drum</t>
        </is>
      </c>
      <c r="F257" s="630" t="n"/>
      <c r="G257" s="635" t="n">
        <v>12</v>
      </c>
      <c r="H257" s="635" t="inlineStr">
        <is>
          <t>ST 3XP</t>
        </is>
      </c>
      <c r="I257" s="635" t="inlineStr">
        <is>
          <t>Small</t>
        </is>
      </c>
      <c r="J257" s="636" t="inlineStr">
        <is>
          <t>PB BSC DRUM ST PP BSK</t>
        </is>
      </c>
      <c r="K257" s="629" t="inlineStr">
        <is>
          <t>Fast</t>
        </is>
      </c>
      <c r="L257" s="632" t="inlineStr">
        <is>
          <t>Industry</t>
        </is>
      </c>
      <c r="M257" s="633" t="n">
        <v>62.01</v>
      </c>
      <c r="N257" s="640" t="inlineStr">
        <is>
          <t>SILVER</t>
        </is>
      </c>
      <c r="O257" s="627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600">
        <f>_xludf.IFNA(_xlfn.XLOOKUP(Table3[[#This Row],[SKU]],'00_Yield_Rates'!$B$2:$B$17,'00_Yield_Rates'!$E$2:$E$17),"")</f>
        <v/>
      </c>
    </row>
    <row r="258">
      <c r="A258" s="625" t="inlineStr">
        <is>
          <t>Tray_Pack</t>
        </is>
      </c>
      <c r="B258" s="626" t="n">
        <v>7397</v>
      </c>
      <c r="C258" s="627" t="n">
        <v>61082</v>
      </c>
      <c r="D258" s="627" t="inlineStr">
        <is>
          <t>FB</t>
        </is>
      </c>
      <c r="E258" s="627" t="inlineStr">
        <is>
          <t>Thigh</t>
        </is>
      </c>
      <c r="F258" s="630" t="n"/>
      <c r="G258" s="635" t="n">
        <v>12</v>
      </c>
      <c r="H258" s="635" t="inlineStr">
        <is>
          <t>ST 3XP</t>
        </is>
      </c>
      <c r="I258" s="635" t="inlineStr">
        <is>
          <t>Small</t>
        </is>
      </c>
      <c r="J258" s="636" t="inlineStr">
        <is>
          <t>PB BSC THIGH ST PP BSK</t>
        </is>
      </c>
      <c r="K258" s="632" t="inlineStr">
        <is>
          <t>Fast</t>
        </is>
      </c>
      <c r="L258" s="632" t="inlineStr">
        <is>
          <t>Industry</t>
        </is>
      </c>
      <c r="M258" s="633" t="n">
        <v>29.61</v>
      </c>
      <c r="N258" s="631" t="inlineStr">
        <is>
          <t>SILVER</t>
        </is>
      </c>
      <c r="O258" s="627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600">
        <f>_xludf.IFNA(_xlfn.XLOOKUP(Table3[[#This Row],[SKU]],'00_Yield_Rates'!$B$2:$B$17,'00_Yield_Rates'!$E$2:$E$17),"")</f>
        <v/>
      </c>
    </row>
    <row r="259">
      <c r="A259" s="625" t="inlineStr">
        <is>
          <t>Tray_Pack</t>
        </is>
      </c>
      <c r="B259" s="626" t="n">
        <v>7398</v>
      </c>
      <c r="C259" s="627" t="inlineStr">
        <is>
          <t>61050#2</t>
        </is>
      </c>
      <c r="D259" s="627" t="inlineStr">
        <is>
          <t>FB</t>
        </is>
      </c>
      <c r="E259" s="627" t="inlineStr">
        <is>
          <t>BSB</t>
        </is>
      </c>
      <c r="F259" s="630" t="n"/>
      <c r="G259" s="635" t="n">
        <v>8</v>
      </c>
      <c r="H259" s="635" t="inlineStr">
        <is>
          <t>LT 8XP</t>
        </is>
      </c>
      <c r="I259" s="635" t="inlineStr">
        <is>
          <t>Large</t>
        </is>
      </c>
      <c r="J259" s="636" t="inlineStr">
        <is>
          <t>MS BSC BSHB LT PP BSK</t>
        </is>
      </c>
      <c r="K259" s="629" t="inlineStr">
        <is>
          <t>Fast</t>
        </is>
      </c>
      <c r="L259" s="632" t="inlineStr">
        <is>
          <t>BOX</t>
        </is>
      </c>
      <c r="M259" s="633" t="n">
        <v>128.02</v>
      </c>
      <c r="N259" s="631" t="inlineStr">
        <is>
          <t>SILVER</t>
        </is>
      </c>
      <c r="O259" s="627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600">
        <f>_xludf.IFNA(_xlfn.XLOOKUP(Table3[[#This Row],[SKU]],'00_Yield_Rates'!$B$2:$B$17,'00_Yield_Rates'!$E$2:$E$17),"")</f>
        <v/>
      </c>
    </row>
    <row r="260">
      <c r="A260" s="625" t="inlineStr">
        <is>
          <t>Tray_Pack</t>
        </is>
      </c>
      <c r="B260" s="634" t="n">
        <v>7416</v>
      </c>
      <c r="C260" s="627" t="n">
        <v>203891</v>
      </c>
      <c r="D260" s="627" t="inlineStr">
        <is>
          <t>FB</t>
        </is>
      </c>
      <c r="E260" s="635" t="inlineStr">
        <is>
          <t>Whole Bird-Small</t>
        </is>
      </c>
      <c r="F260" s="630" t="n"/>
      <c r="G260" s="635" t="n">
        <v>6</v>
      </c>
      <c r="H260" s="635" t="inlineStr">
        <is>
          <t>ST 3XP</t>
        </is>
      </c>
      <c r="I260" s="635" t="inlineStr">
        <is>
          <t>Small</t>
        </is>
      </c>
      <c r="J260" s="636" t="inlineStr">
        <is>
          <t>MS BSC 1.1-1.31KG FRY WOG TI PP BSK</t>
        </is>
      </c>
      <c r="K260" s="632" t="inlineStr">
        <is>
          <t>Fast</t>
        </is>
      </c>
      <c r="L260" s="632" t="inlineStr">
        <is>
          <t>6.5 BOX</t>
        </is>
      </c>
      <c r="M260" s="633" t="n">
        <v>128.02</v>
      </c>
      <c r="N260" s="631" t="n"/>
      <c r="O260" s="627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600">
        <f>_xludf.IFNA(_xlfn.XLOOKUP(Table3[[#This Row],[SKU]],'00_Yield_Rates'!$B$2:$B$17,'00_Yield_Rates'!$E$2:$E$17),"")</f>
        <v/>
      </c>
    </row>
    <row r="261">
      <c r="A261" s="625" t="inlineStr">
        <is>
          <t>Tray_Pack</t>
        </is>
      </c>
      <c r="B261" s="626" t="n">
        <v>7522</v>
      </c>
      <c r="C261" s="627" t="inlineStr">
        <is>
          <t>61086#2</t>
        </is>
      </c>
      <c r="D261" s="627" t="inlineStr">
        <is>
          <t>FB</t>
        </is>
      </c>
      <c r="E261" s="627" t="inlineStr">
        <is>
          <t>ThighMeat</t>
        </is>
      </c>
      <c r="F261" s="630" t="n"/>
      <c r="G261" s="635" t="n">
        <v>12</v>
      </c>
      <c r="H261" s="635" t="inlineStr">
        <is>
          <t>ST 3XP</t>
        </is>
      </c>
      <c r="I261" s="635" t="inlineStr">
        <is>
          <t>Small</t>
        </is>
      </c>
      <c r="J261" s="636" t="inlineStr">
        <is>
          <t>PB BSC BSTHIGH ST PP BSK</t>
        </is>
      </c>
      <c r="K261" s="629" t="inlineStr">
        <is>
          <t>Slow</t>
        </is>
      </c>
      <c r="L261" s="632" t="inlineStr">
        <is>
          <t>BOX</t>
        </is>
      </c>
      <c r="M261" s="633" t="n">
        <v>29.24</v>
      </c>
      <c r="N261" s="631" t="inlineStr">
        <is>
          <t>SILVER</t>
        </is>
      </c>
      <c r="O261" s="627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600">
        <f>_xludf.IFNA(_xlfn.XLOOKUP(Table3[[#This Row],[SKU]],'00_Yield_Rates'!$B$2:$B$17,'00_Yield_Rates'!$E$2:$E$17),"")</f>
        <v/>
      </c>
    </row>
    <row r="262">
      <c r="A262" s="625" t="inlineStr">
        <is>
          <t>Tray_Pack</t>
        </is>
      </c>
      <c r="B262" s="634" t="n">
        <v>7553</v>
      </c>
      <c r="C262" s="627" t="inlineStr">
        <is>
          <t>61040#2</t>
        </is>
      </c>
      <c r="D262" s="627" t="inlineStr">
        <is>
          <t>FB</t>
        </is>
      </c>
      <c r="E262" s="627" t="inlineStr">
        <is>
          <t>SplitBreast</t>
        </is>
      </c>
      <c r="F262" s="630" t="n"/>
      <c r="G262" s="635" t="n">
        <v>18</v>
      </c>
      <c r="H262" s="635" t="inlineStr">
        <is>
          <t>ST 3XP</t>
        </is>
      </c>
      <c r="I262" s="635" t="inlineStr">
        <is>
          <t>Small</t>
        </is>
      </c>
      <c r="J262" s="636" t="inlineStr">
        <is>
          <t>PB BSC HB ST PP BSK</t>
        </is>
      </c>
      <c r="K262" s="629" t="inlineStr">
        <is>
          <t>Fast</t>
        </is>
      </c>
      <c r="L262" s="632" t="inlineStr">
        <is>
          <t>6.5 BOX</t>
        </is>
      </c>
      <c r="M262" s="633" t="n">
        <v>87.63</v>
      </c>
      <c r="N262" s="640" t="inlineStr">
        <is>
          <t>SILVER</t>
        </is>
      </c>
      <c r="O262" s="627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600">
        <f>_xludf.IFNA(_xlfn.XLOOKUP(Table3[[#This Row],[SKU]],'00_Yield_Rates'!$B$2:$B$17,'00_Yield_Rates'!$E$2:$E$17),"")</f>
        <v/>
      </c>
    </row>
    <row r="263">
      <c r="A263" s="625" t="inlineStr">
        <is>
          <t>Tray_Pack</t>
        </is>
      </c>
      <c r="B263" s="634" t="n">
        <v>7554</v>
      </c>
      <c r="C263" s="627" t="inlineStr">
        <is>
          <t>61048#2</t>
        </is>
      </c>
      <c r="D263" s="627" t="inlineStr">
        <is>
          <t>FB</t>
        </is>
      </c>
      <c r="E263" s="627" t="inlineStr">
        <is>
          <t>SplitBreast</t>
        </is>
      </c>
      <c r="F263" s="630" t="n"/>
      <c r="G263" s="635" t="n">
        <v>18</v>
      </c>
      <c r="H263" s="635" t="inlineStr">
        <is>
          <t>ST 3XP</t>
        </is>
      </c>
      <c r="I263" s="635" t="inlineStr">
        <is>
          <t>Small</t>
        </is>
      </c>
      <c r="J263" s="636" t="inlineStr">
        <is>
          <t>PB BSC SKLS HB ST PP BSK</t>
        </is>
      </c>
      <c r="K263" s="629" t="inlineStr">
        <is>
          <t>Fast</t>
        </is>
      </c>
      <c r="L263" s="632" t="inlineStr">
        <is>
          <t>6.5 BOX</t>
        </is>
      </c>
      <c r="M263" s="633" t="n">
        <v>83.81999999999999</v>
      </c>
      <c r="N263" s="631" t="inlineStr">
        <is>
          <t>SILVER</t>
        </is>
      </c>
      <c r="O263" s="627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600">
        <f>_xludf.IFNA(_xlfn.XLOOKUP(Table3[[#This Row],[SKU]],'00_Yield_Rates'!$B$2:$B$17,'00_Yield_Rates'!$E$2:$E$17),"")</f>
        <v/>
      </c>
    </row>
    <row r="264">
      <c r="A264" s="625" t="inlineStr">
        <is>
          <t>Tray_Pack</t>
        </is>
      </c>
      <c r="B264" s="634" t="n">
        <v>7557</v>
      </c>
      <c r="C264" s="627" t="inlineStr">
        <is>
          <t>61048#2</t>
        </is>
      </c>
      <c r="D264" s="627" t="inlineStr">
        <is>
          <t>FB</t>
        </is>
      </c>
      <c r="E264" s="627" t="inlineStr">
        <is>
          <t>SplitBreast</t>
        </is>
      </c>
      <c r="F264" s="630" t="n"/>
      <c r="G264" s="635" t="n">
        <v>6</v>
      </c>
      <c r="H264" s="635" t="inlineStr">
        <is>
          <t>LT 8XP</t>
        </is>
      </c>
      <c r="I264" s="635" t="inlineStr">
        <is>
          <t>Large</t>
        </is>
      </c>
      <c r="J264" s="636" t="inlineStr">
        <is>
          <t>PB BSC SKLS HB LT PP BSK</t>
        </is>
      </c>
      <c r="K264" s="629" t="inlineStr">
        <is>
          <t>Fast</t>
        </is>
      </c>
      <c r="L264" s="632" t="inlineStr">
        <is>
          <t>BOX</t>
        </is>
      </c>
      <c r="M264" s="633" t="n">
        <v>90.87</v>
      </c>
      <c r="N264" s="631" t="inlineStr">
        <is>
          <t>SILVER</t>
        </is>
      </c>
      <c r="O264" s="627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600">
        <f>_xludf.IFNA(_xlfn.XLOOKUP(Table3[[#This Row],[SKU]],'00_Yield_Rates'!$B$2:$B$17,'00_Yield_Rates'!$E$2:$E$17),"")</f>
        <v/>
      </c>
    </row>
    <row r="265">
      <c r="A265" s="625" t="inlineStr">
        <is>
          <t>Tray_Pack</t>
        </is>
      </c>
      <c r="B265" s="627" t="n">
        <v>7605</v>
      </c>
      <c r="C265" s="627" t="n">
        <v>61055</v>
      </c>
      <c r="D265" s="627" t="inlineStr">
        <is>
          <t>LCL</t>
        </is>
      </c>
      <c r="E265" s="627" t="inlineStr">
        <is>
          <t>BSB</t>
        </is>
      </c>
      <c r="F265" s="627" t="n">
        <v>9.295</v>
      </c>
      <c r="G265" s="627" t="n">
        <v>8</v>
      </c>
      <c r="H265" s="627" t="inlineStr">
        <is>
          <t>PET 8</t>
        </is>
      </c>
      <c r="I265" s="635" t="inlineStr">
        <is>
          <t>Large</t>
        </is>
      </c>
      <c r="J265" s="628" t="inlineStr">
        <is>
          <t>MS BSHB WOF PET8 BSK</t>
        </is>
      </c>
      <c r="K265" s="629" t="inlineStr">
        <is>
          <t>Fast</t>
        </is>
      </c>
      <c r="L265" s="630" t="inlineStr">
        <is>
          <t>IFCO</t>
        </is>
      </c>
      <c r="M265" s="630" t="n">
        <v>135.13</v>
      </c>
      <c r="N265" s="631" t="inlineStr">
        <is>
          <t>PLATINUM</t>
        </is>
      </c>
      <c r="O265" s="627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600">
        <f>_xludf.IFNA(_xlfn.XLOOKUP(Table3[[#This Row],[SKU]],'00_Yield_Rates'!$B$2:$B$17,'00_Yield_Rates'!$E$2:$E$17),"")</f>
        <v/>
      </c>
    </row>
    <row r="266">
      <c r="A266" s="625" t="inlineStr">
        <is>
          <t>Tray_Pack</t>
        </is>
      </c>
      <c r="B266" s="627" t="n">
        <v>7606</v>
      </c>
      <c r="C266" s="627" t="n">
        <v>61055</v>
      </c>
      <c r="D266" s="627" t="inlineStr">
        <is>
          <t>LCL</t>
        </is>
      </c>
      <c r="E266" s="627" t="inlineStr">
        <is>
          <t>BSB</t>
        </is>
      </c>
      <c r="F266" s="627" t="n">
        <v>9.295</v>
      </c>
      <c r="G266" s="627" t="n">
        <v>8</v>
      </c>
      <c r="H266" s="627" t="inlineStr">
        <is>
          <t>PET 8</t>
        </is>
      </c>
      <c r="I266" s="635" t="inlineStr">
        <is>
          <t>Large</t>
        </is>
      </c>
      <c r="J266" s="641" t="inlineStr">
        <is>
          <t>MS BSHB WOF PET8 PP BSK</t>
        </is>
      </c>
      <c r="K266" s="629" t="inlineStr">
        <is>
          <t>Fast</t>
        </is>
      </c>
      <c r="L266" s="630" t="inlineStr">
        <is>
          <t>IFCO</t>
        </is>
      </c>
      <c r="M266" s="630" t="n">
        <v>135.13</v>
      </c>
      <c r="N266" s="631" t="inlineStr">
        <is>
          <t>PLATINUM</t>
        </is>
      </c>
      <c r="O266" s="627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600">
        <f>_xludf.IFNA(_xlfn.XLOOKUP(Table3[[#This Row],[SKU]],'00_Yield_Rates'!$B$2:$B$17,'00_Yield_Rates'!$E$2:$E$17),"")</f>
        <v/>
      </c>
    </row>
    <row r="267">
      <c r="A267" s="625" t="inlineStr">
        <is>
          <t>Tray_Pack</t>
        </is>
      </c>
      <c r="B267" s="627" t="n">
        <v>7607</v>
      </c>
      <c r="C267" s="627" t="n">
        <v>61055</v>
      </c>
      <c r="D267" s="627" t="inlineStr">
        <is>
          <t>LCL</t>
        </is>
      </c>
      <c r="E267" s="627" t="inlineStr">
        <is>
          <t>BSB</t>
        </is>
      </c>
      <c r="F267" s="627" t="n">
        <v>9.295</v>
      </c>
      <c r="G267" s="627" t="n">
        <v>8</v>
      </c>
      <c r="H267" s="627" t="inlineStr">
        <is>
          <t>PET 8</t>
        </is>
      </c>
      <c r="I267" s="635" t="inlineStr">
        <is>
          <t>Large</t>
        </is>
      </c>
      <c r="J267" s="641" t="inlineStr">
        <is>
          <t>MS BSHB WOF PET8 PP BSK</t>
        </is>
      </c>
      <c r="K267" s="629" t="inlineStr">
        <is>
          <t>Fast</t>
        </is>
      </c>
      <c r="L267" s="630" t="inlineStr">
        <is>
          <t>IFCO</t>
        </is>
      </c>
      <c r="M267" s="630" t="n">
        <v>135.13</v>
      </c>
      <c r="N267" s="631" t="inlineStr">
        <is>
          <t>PLATINUM</t>
        </is>
      </c>
      <c r="O267" s="627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600">
        <f>_xludf.IFNA(_xlfn.XLOOKUP(Table3[[#This Row],[SKU]],'00_Yield_Rates'!$B$2:$B$17,'00_Yield_Rates'!$E$2:$E$17),"")</f>
        <v/>
      </c>
    </row>
    <row r="268">
      <c r="A268" s="625" t="inlineStr">
        <is>
          <t>Tray_Pack</t>
        </is>
      </c>
      <c r="B268" s="627" t="n">
        <v>7608</v>
      </c>
      <c r="C268" s="627" t="n">
        <v>61055</v>
      </c>
      <c r="D268" s="627" t="inlineStr">
        <is>
          <t>LCL</t>
        </is>
      </c>
      <c r="E268" s="627" t="inlineStr">
        <is>
          <t>BSB</t>
        </is>
      </c>
      <c r="F268" s="627" t="n">
        <v>9.295</v>
      </c>
      <c r="G268" s="627" t="n">
        <v>8</v>
      </c>
      <c r="H268" s="627" t="inlineStr">
        <is>
          <t>PET 8</t>
        </is>
      </c>
      <c r="I268" s="635" t="inlineStr">
        <is>
          <t>Large</t>
        </is>
      </c>
      <c r="J268" s="641" t="inlineStr">
        <is>
          <t>MS LCL BSHB WOF PET8 PP BSK</t>
        </is>
      </c>
      <c r="K268" s="629" t="inlineStr">
        <is>
          <t>Fast</t>
        </is>
      </c>
      <c r="L268" s="630" t="inlineStr">
        <is>
          <t>IFCO</t>
        </is>
      </c>
      <c r="M268" s="630" t="n">
        <v>91.73</v>
      </c>
      <c r="N268" s="631" t="inlineStr">
        <is>
          <t>PLATINUM</t>
        </is>
      </c>
      <c r="O268" s="627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600">
        <f>_xludf.IFNA(_xlfn.XLOOKUP(Table3[[#This Row],[SKU]],'00_Yield_Rates'!$B$2:$B$17,'00_Yield_Rates'!$E$2:$E$17),"")</f>
        <v/>
      </c>
    </row>
    <row r="269">
      <c r="A269" s="625" t="inlineStr">
        <is>
          <t>Tray_Pack</t>
        </is>
      </c>
      <c r="B269" s="634" t="n">
        <v>7811</v>
      </c>
      <c r="C269" s="627" t="n">
        <v>61050</v>
      </c>
      <c r="D269" s="627" t="inlineStr">
        <is>
          <t>LCL</t>
        </is>
      </c>
      <c r="E269" s="627" t="inlineStr">
        <is>
          <t>BSB</t>
        </is>
      </c>
      <c r="F269" s="630" t="n"/>
      <c r="G269" s="635" t="n">
        <v>12</v>
      </c>
      <c r="H269" s="635" t="inlineStr">
        <is>
          <t>ST 3D</t>
        </is>
      </c>
      <c r="I269" s="635" t="inlineStr">
        <is>
          <t>Small</t>
        </is>
      </c>
      <c r="J269" s="636" t="inlineStr">
        <is>
          <t>MS LCL BSHB AC 3D PP BSK</t>
        </is>
      </c>
      <c r="K269" s="629" t="inlineStr">
        <is>
          <t>Fast</t>
        </is>
      </c>
      <c r="L269" s="632" t="inlineStr">
        <is>
          <t>IFCO</t>
        </is>
      </c>
      <c r="M269" s="633" t="n">
        <v>102.94</v>
      </c>
      <c r="N269" s="631" t="inlineStr">
        <is>
          <t>PLATINUM</t>
        </is>
      </c>
      <c r="O269" s="627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600">
        <f>_xludf.IFNA(_xlfn.XLOOKUP(Table3[[#This Row],[SKU]],'00_Yield_Rates'!$B$2:$B$17,'00_Yield_Rates'!$E$2:$E$17),"")</f>
        <v/>
      </c>
    </row>
    <row r="270">
      <c r="A270" s="625" t="inlineStr">
        <is>
          <t>Tray_Pack</t>
        </is>
      </c>
      <c r="B270" s="626" t="n">
        <v>7812</v>
      </c>
      <c r="C270" s="627" t="n">
        <v>61050</v>
      </c>
      <c r="D270" s="627" t="inlineStr">
        <is>
          <t>LCL</t>
        </is>
      </c>
      <c r="E270" s="627" t="inlineStr">
        <is>
          <t>BSB</t>
        </is>
      </c>
      <c r="F270" s="630" t="n"/>
      <c r="G270" s="635" t="n">
        <v>8</v>
      </c>
      <c r="H270" s="635" t="inlineStr">
        <is>
          <t>LT 6D</t>
        </is>
      </c>
      <c r="I270" s="635" t="inlineStr">
        <is>
          <t>Small</t>
        </is>
      </c>
      <c r="J270" s="636" t="inlineStr">
        <is>
          <t>MS LCL BSHB AC 6D PP BSK</t>
        </is>
      </c>
      <c r="K270" s="629" t="inlineStr">
        <is>
          <t>Fast</t>
        </is>
      </c>
      <c r="L270" s="629" t="inlineStr">
        <is>
          <t>IFCO</t>
        </is>
      </c>
      <c r="M270" s="630" t="n">
        <v>96.16</v>
      </c>
      <c r="N270" s="631" t="inlineStr">
        <is>
          <t>PLATINUM</t>
        </is>
      </c>
      <c r="O270" s="627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600">
        <f>_xludf.IFNA(_xlfn.XLOOKUP(Table3[[#This Row],[SKU]],'00_Yield_Rates'!$B$2:$B$17,'00_Yield_Rates'!$E$2:$E$17),"")</f>
        <v/>
      </c>
    </row>
    <row r="271">
      <c r="A271" s="625" t="inlineStr">
        <is>
          <t>Tray_Pack</t>
        </is>
      </c>
      <c r="B271" s="626" t="n">
        <v>7813</v>
      </c>
      <c r="C271" s="627" t="n">
        <v>61050</v>
      </c>
      <c r="D271" s="627" t="inlineStr">
        <is>
          <t>LCL</t>
        </is>
      </c>
      <c r="E271" s="627" t="inlineStr">
        <is>
          <t>BSB</t>
        </is>
      </c>
      <c r="F271" s="630" t="n"/>
      <c r="G271" s="635" t="n">
        <v>8</v>
      </c>
      <c r="H271" s="635" t="inlineStr">
        <is>
          <t>PET 8</t>
        </is>
      </c>
      <c r="I271" s="635" t="inlineStr">
        <is>
          <t>Large</t>
        </is>
      </c>
      <c r="J271" s="636" t="inlineStr">
        <is>
          <t>MS LCL BSHB AC 8D PP BSK</t>
        </is>
      </c>
      <c r="K271" s="629" t="inlineStr">
        <is>
          <t>Fast</t>
        </is>
      </c>
      <c r="L271" s="629" t="inlineStr">
        <is>
          <t>IFCO</t>
        </is>
      </c>
      <c r="M271" s="630" t="n">
        <v>147.01</v>
      </c>
      <c r="N271" s="631" t="inlineStr">
        <is>
          <t>PLATINUM</t>
        </is>
      </c>
      <c r="O271" s="627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600">
        <f>_xludf.IFNA(_xlfn.XLOOKUP(Table3[[#This Row],[SKU]],'00_Yield_Rates'!$B$2:$B$17,'00_Yield_Rates'!$E$2:$E$17),"")</f>
        <v/>
      </c>
    </row>
    <row r="272">
      <c r="A272" s="625" t="inlineStr">
        <is>
          <t>Tray_Pack</t>
        </is>
      </c>
      <c r="B272" s="626" t="n">
        <v>7814</v>
      </c>
      <c r="C272" s="627" t="n">
        <v>61069</v>
      </c>
      <c r="D272" s="627" t="inlineStr">
        <is>
          <t>LCL</t>
        </is>
      </c>
      <c r="E272" s="635" t="inlineStr">
        <is>
          <t>BSB</t>
        </is>
      </c>
      <c r="F272" s="630" t="n"/>
      <c r="G272" s="635" t="n">
        <v>12</v>
      </c>
      <c r="H272" s="635" t="inlineStr">
        <is>
          <t>ST 3XP</t>
        </is>
      </c>
      <c r="I272" s="635" t="inlineStr">
        <is>
          <t>Small</t>
        </is>
      </c>
      <c r="J272" s="636" t="inlineStr">
        <is>
          <t>MS LCL BTFLYB WOF AC 3XP PP BSK</t>
        </is>
      </c>
      <c r="K272" s="629" t="inlineStr">
        <is>
          <t>Fast</t>
        </is>
      </c>
      <c r="L272" s="629" t="inlineStr">
        <is>
          <t>IFCO</t>
        </is>
      </c>
      <c r="M272" s="630" t="n">
        <v>4.51</v>
      </c>
      <c r="N272" s="631" t="inlineStr">
        <is>
          <t>PLATINUM</t>
        </is>
      </c>
      <c r="O272" s="627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600">
        <f>_xludf.IFNA(_xlfn.XLOOKUP(Table3[[#This Row],[SKU]],'00_Yield_Rates'!$B$2:$B$17,'00_Yield_Rates'!$E$2:$E$17),"")</f>
        <v/>
      </c>
    </row>
    <row r="273">
      <c r="A273" s="625" t="inlineStr">
        <is>
          <t>Tray_Pack</t>
        </is>
      </c>
      <c r="B273" s="626" t="n">
        <v>7815</v>
      </c>
      <c r="C273" s="627" t="n">
        <v>61054</v>
      </c>
      <c r="D273" s="627" t="inlineStr">
        <is>
          <t>LCL</t>
        </is>
      </c>
      <c r="E273" s="635" t="inlineStr">
        <is>
          <t>Fillet</t>
        </is>
      </c>
      <c r="F273" s="630" t="n"/>
      <c r="G273" s="635" t="n">
        <v>12</v>
      </c>
      <c r="H273" s="627" t="inlineStr">
        <is>
          <t>ST 3XP</t>
        </is>
      </c>
      <c r="I273" s="635" t="inlineStr">
        <is>
          <t>SMALL</t>
        </is>
      </c>
      <c r="J273" s="636" t="inlineStr">
        <is>
          <t>MS LCL FILLET AC 3XP PP BSK</t>
        </is>
      </c>
      <c r="K273" s="629" t="inlineStr">
        <is>
          <t>Slow</t>
        </is>
      </c>
      <c r="L273" s="629" t="inlineStr">
        <is>
          <t>IFCO</t>
        </is>
      </c>
      <c r="M273" s="630" t="n">
        <v>16.32</v>
      </c>
      <c r="N273" s="631" t="inlineStr">
        <is>
          <t>PLATINUM</t>
        </is>
      </c>
      <c r="O273" s="627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600">
        <f>_xludf.IFNA(_xlfn.XLOOKUP(Table3[[#This Row],[SKU]],'00_Yield_Rates'!$B$2:$B$17,'00_Yield_Rates'!$E$2:$E$17),"")</f>
        <v/>
      </c>
    </row>
    <row r="274">
      <c r="A274" s="625" t="inlineStr">
        <is>
          <t>Tray_Pack</t>
        </is>
      </c>
      <c r="B274" s="634" t="n">
        <v>7816</v>
      </c>
      <c r="C274" s="627" t="n">
        <v>61086</v>
      </c>
      <c r="D274" s="627" t="inlineStr">
        <is>
          <t>LCL</t>
        </is>
      </c>
      <c r="E274" s="627" t="inlineStr">
        <is>
          <t>ThighMeat</t>
        </is>
      </c>
      <c r="F274" s="630" t="n"/>
      <c r="G274" s="635" t="n">
        <v>8</v>
      </c>
      <c r="H274" s="635" t="inlineStr">
        <is>
          <t>LT 6D</t>
        </is>
      </c>
      <c r="I274" s="635" t="inlineStr">
        <is>
          <t>SMALL</t>
        </is>
      </c>
      <c r="J274" s="636" t="inlineStr">
        <is>
          <t>MS LCL BSTHIGH AC 6D PP BSK</t>
        </is>
      </c>
      <c r="K274" s="629" t="inlineStr">
        <is>
          <t>Slow</t>
        </is>
      </c>
      <c r="L274" s="632" t="inlineStr">
        <is>
          <t>IFCO</t>
        </is>
      </c>
      <c r="M274" s="633" t="n">
        <v>27.66</v>
      </c>
      <c r="N274" s="640" t="inlineStr">
        <is>
          <t>PLATINUM</t>
        </is>
      </c>
      <c r="O274" s="627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600">
        <f>_xludf.IFNA(_xlfn.XLOOKUP(Table3[[#This Row],[SKU]],'00_Yield_Rates'!$B$2:$B$17,'00_Yield_Rates'!$E$2:$E$17),"")</f>
        <v/>
      </c>
    </row>
    <row r="275">
      <c r="A275" s="625" t="inlineStr">
        <is>
          <t>Tray_Pack</t>
        </is>
      </c>
      <c r="B275" s="634" t="n">
        <v>7817</v>
      </c>
      <c r="C275" s="627" t="n">
        <v>61077</v>
      </c>
      <c r="D275" s="627" t="inlineStr">
        <is>
          <t>LCL</t>
        </is>
      </c>
      <c r="E275" s="627" t="inlineStr">
        <is>
          <t>Thigh</t>
        </is>
      </c>
      <c r="F275" s="630" t="n"/>
      <c r="G275" s="627" t="n">
        <v>8</v>
      </c>
      <c r="H275" s="627" t="inlineStr">
        <is>
          <t>LT 6D</t>
        </is>
      </c>
      <c r="I275" s="627" t="inlineStr">
        <is>
          <t>Small</t>
        </is>
      </c>
      <c r="J275" s="628" t="inlineStr">
        <is>
          <t>MS LCL THIGH AC 6D PP BSK</t>
        </is>
      </c>
      <c r="K275" s="632" t="inlineStr">
        <is>
          <t>Fast</t>
        </is>
      </c>
      <c r="L275" s="629" t="inlineStr">
        <is>
          <t>IFCO</t>
        </is>
      </c>
      <c r="M275" s="630" t="n">
        <v>44.44</v>
      </c>
      <c r="N275" s="631" t="inlineStr">
        <is>
          <t>PLATINUM</t>
        </is>
      </c>
      <c r="O275" s="627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600">
        <f>_xludf.IFNA(_xlfn.XLOOKUP(Table3[[#This Row],[SKU]],'00_Yield_Rates'!$B$2:$B$17,'00_Yield_Rates'!$E$2:$E$17),"")</f>
        <v/>
      </c>
    </row>
    <row r="276">
      <c r="A276" s="625" t="inlineStr">
        <is>
          <t>Tray_Pack</t>
        </is>
      </c>
      <c r="B276" s="634" t="n">
        <v>7818</v>
      </c>
      <c r="C276" s="627" t="inlineStr">
        <is>
          <t>61072F</t>
        </is>
      </c>
      <c r="D276" s="627" t="inlineStr">
        <is>
          <t>LCL</t>
        </is>
      </c>
      <c r="E276" s="627" t="inlineStr">
        <is>
          <t>Drum</t>
        </is>
      </c>
      <c r="F276" s="630" t="n"/>
      <c r="G276" s="627" t="n">
        <v>8</v>
      </c>
      <c r="H276" s="627" t="inlineStr">
        <is>
          <t>LT 6D</t>
        </is>
      </c>
      <c r="I276" s="627" t="inlineStr">
        <is>
          <t>Small</t>
        </is>
      </c>
      <c r="J276" s="628" t="inlineStr">
        <is>
          <t>MS LCL DRUM AC 6D PP BSK</t>
        </is>
      </c>
      <c r="K276" s="632" t="inlineStr">
        <is>
          <t>Fast</t>
        </is>
      </c>
      <c r="L276" s="629" t="inlineStr">
        <is>
          <t>IFCO</t>
        </is>
      </c>
      <c r="M276" s="630" t="n">
        <v>44.92</v>
      </c>
      <c r="N276" s="631" t="inlineStr">
        <is>
          <t>PLATINUM</t>
        </is>
      </c>
      <c r="O276" s="627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600">
        <f>_xludf.IFNA(_xlfn.XLOOKUP(Table3[[#This Row],[SKU]],'00_Yield_Rates'!$B$2:$B$17,'00_Yield_Rates'!$E$2:$E$17),"")</f>
        <v/>
      </c>
    </row>
    <row r="277">
      <c r="A277" s="625" t="inlineStr">
        <is>
          <t>Tray_Pack</t>
        </is>
      </c>
      <c r="B277" s="634" t="n">
        <v>7819</v>
      </c>
      <c r="C277" s="627" t="inlineStr">
        <is>
          <t>61014F</t>
        </is>
      </c>
      <c r="D277" s="627" t="inlineStr">
        <is>
          <t>LCL</t>
        </is>
      </c>
      <c r="E277" s="627" t="inlineStr">
        <is>
          <t>SplitWing</t>
        </is>
      </c>
      <c r="F277" s="630" t="n"/>
      <c r="G277" s="635" t="n">
        <v>8</v>
      </c>
      <c r="H277" s="627" t="inlineStr">
        <is>
          <t>LT 6D</t>
        </is>
      </c>
      <c r="I277" s="635" t="inlineStr">
        <is>
          <t>Large</t>
        </is>
      </c>
      <c r="J277" s="636" t="inlineStr">
        <is>
          <t>MS LCL SPL WING AC 6D PP BSK</t>
        </is>
      </c>
      <c r="K277" s="629" t="inlineStr">
        <is>
          <t>Slow</t>
        </is>
      </c>
      <c r="L277" s="632" t="inlineStr">
        <is>
          <t>IFCO</t>
        </is>
      </c>
      <c r="M277" s="633" t="n">
        <v>24.48</v>
      </c>
      <c r="N277" s="631" t="inlineStr">
        <is>
          <t>PLATINUM</t>
        </is>
      </c>
      <c r="O277" s="627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600">
        <f>_xludf.IFNA(_xlfn.XLOOKUP(Table3[[#This Row],[SKU]],'00_Yield_Rates'!$B$2:$B$17,'00_Yield_Rates'!$E$2:$E$17),"")</f>
        <v/>
      </c>
    </row>
    <row r="278">
      <c r="A278" s="625" t="inlineStr">
        <is>
          <t>Tray_Pack</t>
        </is>
      </c>
      <c r="B278" s="634" t="n">
        <v>7821</v>
      </c>
      <c r="C278" s="627" t="n">
        <v>61050</v>
      </c>
      <c r="D278" s="627" t="inlineStr">
        <is>
          <t>LCL</t>
        </is>
      </c>
      <c r="E278" s="627" t="inlineStr">
        <is>
          <t>BSB</t>
        </is>
      </c>
      <c r="F278" s="630" t="n"/>
      <c r="G278" s="635" t="n">
        <v>8</v>
      </c>
      <c r="H278" s="627" t="inlineStr">
        <is>
          <t>PET 8</t>
        </is>
      </c>
      <c r="I278" s="635" t="inlineStr">
        <is>
          <t>Large</t>
        </is>
      </c>
      <c r="J278" s="636" t="inlineStr">
        <is>
          <t>MS LCL BSHB AC 8D PP BSK</t>
        </is>
      </c>
      <c r="K278" s="629" t="inlineStr">
        <is>
          <t>Fast</t>
        </is>
      </c>
      <c r="L278" s="629" t="inlineStr">
        <is>
          <t>IFCO</t>
        </is>
      </c>
      <c r="M278" s="630" t="n">
        <v>111.22</v>
      </c>
      <c r="N278" s="631" t="inlineStr">
        <is>
          <t>PLATINUM</t>
        </is>
      </c>
      <c r="O278" s="627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600">
        <f>_xludf.IFNA(_xlfn.XLOOKUP(Table3[[#This Row],[SKU]],'00_Yield_Rates'!$B$2:$B$17,'00_Yield_Rates'!$E$2:$E$17),"")</f>
        <v/>
      </c>
    </row>
    <row r="279">
      <c r="A279" s="625" t="inlineStr">
        <is>
          <t>Tray_Pack</t>
        </is>
      </c>
      <c r="B279" s="634" t="n">
        <v>7823</v>
      </c>
      <c r="C279" s="627" t="n">
        <v>61077</v>
      </c>
      <c r="D279" s="627" t="inlineStr">
        <is>
          <t>LCL</t>
        </is>
      </c>
      <c r="E279" s="627" t="inlineStr">
        <is>
          <t>Thigh</t>
        </is>
      </c>
      <c r="F279" s="630" t="n">
        <v>6.45129885605338</v>
      </c>
      <c r="G279" s="635" t="n">
        <v>8</v>
      </c>
      <c r="H279" s="635" t="inlineStr">
        <is>
          <t>PET 6</t>
        </is>
      </c>
      <c r="I279" s="635" t="inlineStr">
        <is>
          <t>Small</t>
        </is>
      </c>
      <c r="J279" s="636" t="inlineStr">
        <is>
          <t>MS LCL THIGH AC PET 6 PP BSK</t>
        </is>
      </c>
      <c r="K279" s="632" t="inlineStr">
        <is>
          <t>Fast</t>
        </is>
      </c>
      <c r="L279" s="629" t="inlineStr">
        <is>
          <t>IFCO</t>
        </is>
      </c>
      <c r="M279" s="630" t="n">
        <v>36.84</v>
      </c>
      <c r="N279" s="631" t="inlineStr">
        <is>
          <t>PLATINUM</t>
        </is>
      </c>
      <c r="O279" s="627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600">
        <f>_xludf.IFNA(_xlfn.XLOOKUP(Table3[[#This Row],[SKU]],'00_Yield_Rates'!$B$2:$B$17,'00_Yield_Rates'!$E$2:$E$17),"")</f>
        <v/>
      </c>
    </row>
    <row r="280">
      <c r="A280" s="625" t="inlineStr">
        <is>
          <t>Tray_Pack</t>
        </is>
      </c>
      <c r="B280" s="626" t="n">
        <v>7824</v>
      </c>
      <c r="C280" s="627" t="inlineStr">
        <is>
          <t>61072F</t>
        </is>
      </c>
      <c r="D280" s="627" t="inlineStr">
        <is>
          <t>LCL</t>
        </is>
      </c>
      <c r="E280" s="627" t="inlineStr">
        <is>
          <t>Drum</t>
        </is>
      </c>
      <c r="F280" s="630" t="n">
        <v>6.08890897755611</v>
      </c>
      <c r="G280" s="635" t="n">
        <v>8</v>
      </c>
      <c r="H280" s="635" t="inlineStr">
        <is>
          <t>PET 6</t>
        </is>
      </c>
      <c r="I280" s="635" t="inlineStr">
        <is>
          <t>Small</t>
        </is>
      </c>
      <c r="J280" s="636" t="inlineStr">
        <is>
          <t>MS LCL DRUM AC PET 6 PP BSK</t>
        </is>
      </c>
      <c r="K280" s="632" t="inlineStr">
        <is>
          <t>Fast</t>
        </is>
      </c>
      <c r="L280" s="629" t="inlineStr">
        <is>
          <t>IFCO</t>
        </is>
      </c>
      <c r="M280" s="630" t="n">
        <v>43.35</v>
      </c>
      <c r="N280" s="631" t="inlineStr">
        <is>
          <t>PLATINUM</t>
        </is>
      </c>
      <c r="O280" s="627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600">
        <f>_xludf.IFNA(_xlfn.XLOOKUP(Table3[[#This Row],[SKU]],'00_Yield_Rates'!$B$2:$B$17,'00_Yield_Rates'!$E$2:$E$17),"")</f>
        <v/>
      </c>
    </row>
    <row r="281">
      <c r="A281" s="625" t="inlineStr">
        <is>
          <t>Tray_Pack</t>
        </is>
      </c>
      <c r="B281" s="626" t="n">
        <v>7825</v>
      </c>
      <c r="C281" s="627" t="inlineStr">
        <is>
          <t>61014F</t>
        </is>
      </c>
      <c r="D281" s="627" t="inlineStr">
        <is>
          <t>LCL</t>
        </is>
      </c>
      <c r="E281" s="627" t="inlineStr">
        <is>
          <t>SplitWing</t>
        </is>
      </c>
      <c r="F281" s="630" t="n">
        <v>6.14130255722631</v>
      </c>
      <c r="G281" s="635" t="n">
        <v>8</v>
      </c>
      <c r="H281" s="635" t="inlineStr">
        <is>
          <t>PET 6</t>
        </is>
      </c>
      <c r="I281" s="635" t="inlineStr">
        <is>
          <t>Large</t>
        </is>
      </c>
      <c r="J281" s="636" t="inlineStr">
        <is>
          <t>MS LCL SPL WING AC PET 6 PP BSK</t>
        </is>
      </c>
      <c r="K281" s="629" t="inlineStr">
        <is>
          <t>Slow</t>
        </is>
      </c>
      <c r="L281" s="629" t="inlineStr">
        <is>
          <t>IFCO</t>
        </is>
      </c>
      <c r="M281" s="630" t="n">
        <v>24</v>
      </c>
      <c r="N281" s="631" t="inlineStr">
        <is>
          <t>PLATINUM</t>
        </is>
      </c>
      <c r="O281" s="627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600">
        <f>_xludf.IFNA(_xlfn.XLOOKUP(Table3[[#This Row],[SKU]],'00_Yield_Rates'!$B$2:$B$17,'00_Yield_Rates'!$E$2:$E$17),"")</f>
        <v/>
      </c>
    </row>
    <row r="282">
      <c r="A282" s="625" t="inlineStr">
        <is>
          <t>Tray_Pack</t>
        </is>
      </c>
      <c r="B282" s="626" t="n">
        <v>7826</v>
      </c>
      <c r="C282" s="627" t="inlineStr">
        <is>
          <t>61050F</t>
        </is>
      </c>
      <c r="D282" s="627" t="inlineStr">
        <is>
          <t>LCL</t>
        </is>
      </c>
      <c r="E282" s="627" t="inlineStr">
        <is>
          <t>BSB</t>
        </is>
      </c>
      <c r="F282" s="630" t="n">
        <v>8.272978750763491</v>
      </c>
      <c r="G282" s="635" t="n">
        <v>12</v>
      </c>
      <c r="H282" s="635" t="inlineStr">
        <is>
          <t>PET 3</t>
        </is>
      </c>
      <c r="I282" s="635" t="inlineStr">
        <is>
          <t>Small</t>
        </is>
      </c>
      <c r="J282" s="636" t="inlineStr">
        <is>
          <t>MS LCL BSHB AC PET 3 PP BSK</t>
        </is>
      </c>
      <c r="K282" s="629" t="inlineStr">
        <is>
          <t>Fast</t>
        </is>
      </c>
      <c r="L282" s="629" t="inlineStr">
        <is>
          <t>IFCO</t>
        </is>
      </c>
      <c r="M282" s="630" t="n">
        <v>98.5</v>
      </c>
      <c r="N282" s="631" t="inlineStr">
        <is>
          <t>PLATINUM</t>
        </is>
      </c>
      <c r="O282" s="627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600">
        <f>_xludf.IFNA(_xlfn.XLOOKUP(Table3[[#This Row],[SKU]],'00_Yield_Rates'!$B$2:$B$17,'00_Yield_Rates'!$E$2:$E$17),"")</f>
        <v/>
      </c>
    </row>
    <row r="283">
      <c r="A283" s="625" t="inlineStr">
        <is>
          <t>Tray_Pack</t>
        </is>
      </c>
      <c r="B283" s="626" t="n">
        <v>7827</v>
      </c>
      <c r="C283" s="627" t="n">
        <v>61050</v>
      </c>
      <c r="D283" s="627" t="inlineStr">
        <is>
          <t>LCL</t>
        </is>
      </c>
      <c r="E283" s="627" t="inlineStr">
        <is>
          <t>BSB</t>
        </is>
      </c>
      <c r="F283" s="630" t="n">
        <v>10.9022922768614</v>
      </c>
      <c r="G283" s="635" t="n">
        <v>8</v>
      </c>
      <c r="H283" s="635" t="inlineStr">
        <is>
          <t>PET 8</t>
        </is>
      </c>
      <c r="I283" s="635" t="inlineStr">
        <is>
          <t>Large</t>
        </is>
      </c>
      <c r="J283" s="636" t="inlineStr">
        <is>
          <t>MB LCL BSHB AC PET 8 PP BSK</t>
        </is>
      </c>
      <c r="K283" s="629" t="inlineStr">
        <is>
          <t>Fast</t>
        </is>
      </c>
      <c r="L283" s="629" t="inlineStr">
        <is>
          <t>IFCO</t>
        </is>
      </c>
      <c r="M283" s="630" t="n">
        <v>140.76</v>
      </c>
      <c r="N283" s="631" t="inlineStr">
        <is>
          <t>PLATINUM</t>
        </is>
      </c>
      <c r="O283" s="627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600">
        <f>_xludf.IFNA(_xlfn.XLOOKUP(Table3[[#This Row],[SKU]],'00_Yield_Rates'!$B$2:$B$17,'00_Yield_Rates'!$E$2:$E$17),"")</f>
        <v/>
      </c>
    </row>
    <row r="284">
      <c r="A284" s="625" t="inlineStr">
        <is>
          <t>Tray_Pack</t>
        </is>
      </c>
      <c r="B284" s="626" t="n">
        <v>7828</v>
      </c>
      <c r="C284" s="627" t="n">
        <v>61052</v>
      </c>
      <c r="D284" s="627" t="inlineStr">
        <is>
          <t>LCL</t>
        </is>
      </c>
      <c r="E284" s="635" t="inlineStr">
        <is>
          <t>Fillet</t>
        </is>
      </c>
      <c r="F284" s="630" t="n">
        <v>4.30515132669983</v>
      </c>
      <c r="G284" s="627" t="n">
        <v>12</v>
      </c>
      <c r="H284" s="627" t="inlineStr">
        <is>
          <t>PET 3</t>
        </is>
      </c>
      <c r="I284" s="627" t="inlineStr">
        <is>
          <t>SMALL</t>
        </is>
      </c>
      <c r="J284" s="628" t="inlineStr">
        <is>
          <t>MS LCL BTFLYB WOF AC PET 3 PP BSK</t>
        </is>
      </c>
      <c r="K284" s="629" t="inlineStr">
        <is>
          <t>Slow</t>
        </is>
      </c>
      <c r="L284" s="630" t="inlineStr">
        <is>
          <t>IFCO</t>
        </is>
      </c>
      <c r="M284" s="630" t="n">
        <v>4.54</v>
      </c>
      <c r="N284" s="631" t="inlineStr">
        <is>
          <t>PLATINUM</t>
        </is>
      </c>
      <c r="O284" s="627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600">
        <f>_xludf.IFNA(_xlfn.XLOOKUP(Table3[[#This Row],[SKU]],'00_Yield_Rates'!$B$2:$B$17,'00_Yield_Rates'!$E$2:$E$17),"")</f>
        <v/>
      </c>
    </row>
    <row r="285">
      <c r="A285" s="625" t="inlineStr">
        <is>
          <t>Tray_Pack</t>
        </is>
      </c>
      <c r="B285" s="626" t="n">
        <v>7829</v>
      </c>
      <c r="C285" s="627" t="n">
        <v>61054</v>
      </c>
      <c r="D285" s="627" t="inlineStr">
        <is>
          <t>LCL</t>
        </is>
      </c>
      <c r="E285" s="627" t="inlineStr">
        <is>
          <t>ThighMeat</t>
        </is>
      </c>
      <c r="F285" s="630" t="n">
        <v>4.41599714874069</v>
      </c>
      <c r="G285" s="627" t="n">
        <v>12</v>
      </c>
      <c r="H285" s="627" t="inlineStr">
        <is>
          <t>PET 3</t>
        </is>
      </c>
      <c r="I285" s="627" t="inlineStr">
        <is>
          <t>SMALL</t>
        </is>
      </c>
      <c r="J285" s="628" t="inlineStr">
        <is>
          <t>MS LCL FILLET AC PET 3 PP BSK</t>
        </is>
      </c>
      <c r="K285" s="629" t="inlineStr">
        <is>
          <t>Slow</t>
        </is>
      </c>
      <c r="L285" s="630" t="inlineStr">
        <is>
          <t>IFCO</t>
        </is>
      </c>
      <c r="M285" s="630" t="n">
        <v>14.61</v>
      </c>
      <c r="N285" s="631" t="inlineStr">
        <is>
          <t>PLATINUM</t>
        </is>
      </c>
      <c r="O285" s="627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600">
        <f>_xludf.IFNA(_xlfn.XLOOKUP(Table3[[#This Row],[SKU]],'00_Yield_Rates'!$B$2:$B$17,'00_Yield_Rates'!$E$2:$E$17),"")</f>
        <v/>
      </c>
    </row>
    <row r="286">
      <c r="A286" s="625" t="inlineStr">
        <is>
          <t>Tray_Pack</t>
        </is>
      </c>
      <c r="B286" s="626" t="n">
        <v>7830</v>
      </c>
      <c r="C286" s="627" t="inlineStr">
        <is>
          <t>61086F</t>
        </is>
      </c>
      <c r="D286" s="627" t="inlineStr">
        <is>
          <t>LCL</t>
        </is>
      </c>
      <c r="E286" s="627" t="inlineStr">
        <is>
          <t>ThighMeat</t>
        </is>
      </c>
      <c r="F286" s="630" t="n">
        <v>5.81501629675616</v>
      </c>
      <c r="G286" s="635" t="n">
        <v>8</v>
      </c>
      <c r="H286" s="635" t="inlineStr">
        <is>
          <t>PET 6</t>
        </is>
      </c>
      <c r="I286" s="635" t="inlineStr">
        <is>
          <t>Large</t>
        </is>
      </c>
      <c r="J286" s="636" t="inlineStr">
        <is>
          <t>MS LCL BSTHIGH AC PET6 PP BSK</t>
        </is>
      </c>
      <c r="K286" s="629" t="inlineStr">
        <is>
          <t>Slow</t>
        </is>
      </c>
      <c r="L286" s="632" t="inlineStr">
        <is>
          <t>IFCO</t>
        </is>
      </c>
      <c r="M286" s="633" t="n">
        <v>25.37</v>
      </c>
      <c r="N286" s="631" t="inlineStr">
        <is>
          <t>PLATINUM</t>
        </is>
      </c>
      <c r="O286" s="627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600">
        <f>_xludf.IFNA(_xlfn.XLOOKUP(Table3[[#This Row],[SKU]],'00_Yield_Rates'!$B$2:$B$17,'00_Yield_Rates'!$E$2:$E$17),"")</f>
        <v/>
      </c>
    </row>
    <row r="287">
      <c r="A287" s="625" t="inlineStr">
        <is>
          <t>Tray_Pack</t>
        </is>
      </c>
      <c r="B287" s="626" t="n">
        <v>7831</v>
      </c>
      <c r="C287" s="627" t="inlineStr">
        <is>
          <t>61050F</t>
        </is>
      </c>
      <c r="D287" s="627" t="inlineStr">
        <is>
          <t>LCL</t>
        </is>
      </c>
      <c r="E287" s="627" t="inlineStr">
        <is>
          <t>BSB</t>
        </is>
      </c>
      <c r="F287" s="630" t="n">
        <v>9.37270309130122</v>
      </c>
      <c r="G287" s="635" t="n">
        <v>8</v>
      </c>
      <c r="H287" s="635" t="inlineStr">
        <is>
          <t>PET 8</t>
        </is>
      </c>
      <c r="I287" s="635" t="inlineStr">
        <is>
          <t>Large</t>
        </is>
      </c>
      <c r="J287" s="636" t="inlineStr">
        <is>
          <t>MS LCL BSHB AC PET 8 PP BSK</t>
        </is>
      </c>
      <c r="K287" s="629" t="inlineStr">
        <is>
          <t>Fast</t>
        </is>
      </c>
      <c r="L287" s="632" t="inlineStr">
        <is>
          <t>IFCO</t>
        </is>
      </c>
      <c r="M287" s="633" t="n">
        <v>109.26</v>
      </c>
      <c r="N287" s="631" t="inlineStr">
        <is>
          <t>PLATINUM</t>
        </is>
      </c>
      <c r="O287" s="627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600">
        <f>_xludf.IFNA(_xlfn.XLOOKUP(Table3[[#This Row],[SKU]],'00_Yield_Rates'!$B$2:$B$17,'00_Yield_Rates'!$E$2:$E$17),"")</f>
        <v/>
      </c>
    </row>
    <row r="288">
      <c r="A288" s="625" t="inlineStr">
        <is>
          <t>Tray_Pack</t>
        </is>
      </c>
      <c r="B288" s="626" t="n">
        <v>7833</v>
      </c>
      <c r="C288" s="627" t="n">
        <v>203135</v>
      </c>
      <c r="D288" s="627" t="inlineStr">
        <is>
          <t>LCL</t>
        </is>
      </c>
      <c r="E288" s="635" t="inlineStr">
        <is>
          <t>Whole Bird-Small</t>
        </is>
      </c>
      <c r="F288" s="630" t="n">
        <v>9.83239310477658</v>
      </c>
      <c r="G288" s="635" t="n">
        <v>6</v>
      </c>
      <c r="H288" s="635" t="inlineStr">
        <is>
          <t>PET 3</t>
        </is>
      </c>
      <c r="I288" s="635" t="n"/>
      <c r="J288" s="636" t="inlineStr">
        <is>
          <t>PB PC FRY WOG AC TI PET 3 PP</t>
        </is>
      </c>
      <c r="K288" s="632" t="inlineStr">
        <is>
          <t>Fast</t>
        </is>
      </c>
      <c r="L288" s="629" t="inlineStr">
        <is>
          <t>IFCO</t>
        </is>
      </c>
      <c r="M288" s="630" t="n">
        <v>155.46</v>
      </c>
      <c r="N288" s="631" t="n"/>
      <c r="O288" s="627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600">
        <f>_xludf.IFNA(_xlfn.XLOOKUP(Table3[[#This Row],[SKU]],'00_Yield_Rates'!$B$2:$B$17,'00_Yield_Rates'!$E$2:$E$17),"")</f>
        <v/>
      </c>
    </row>
    <row r="289">
      <c r="A289" s="625" t="inlineStr">
        <is>
          <t>Tray_Pack</t>
        </is>
      </c>
      <c r="B289" s="626" t="n">
        <v>7834</v>
      </c>
      <c r="C289" s="627" t="n">
        <v>203135</v>
      </c>
      <c r="D289" s="627" t="inlineStr">
        <is>
          <t>LCL</t>
        </is>
      </c>
      <c r="E289" s="635" t="inlineStr">
        <is>
          <t>Whole Bird-Small</t>
        </is>
      </c>
      <c r="F289" s="630" t="n">
        <v>9.83239310477658</v>
      </c>
      <c r="G289" s="635" t="n">
        <v>6</v>
      </c>
      <c r="H289" s="635" t="inlineStr">
        <is>
          <t>PET 3</t>
        </is>
      </c>
      <c r="I289" s="635" t="n"/>
      <c r="J289" s="636" t="inlineStr">
        <is>
          <t>PB PC FRY WOG AC TI PET 3 PP</t>
        </is>
      </c>
      <c r="K289" s="632" t="inlineStr">
        <is>
          <t>Fast</t>
        </is>
      </c>
      <c r="L289" s="629" t="inlineStr">
        <is>
          <t>IFCO</t>
        </is>
      </c>
      <c r="M289" s="630" t="n">
        <v>155.46</v>
      </c>
      <c r="N289" s="631" t="n"/>
      <c r="O289" s="627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600">
        <f>_xludf.IFNA(_xlfn.XLOOKUP(Table3[[#This Row],[SKU]],'00_Yield_Rates'!$B$2:$B$17,'00_Yield_Rates'!$E$2:$E$17),"")</f>
        <v/>
      </c>
    </row>
    <row r="290">
      <c r="A290" s="625" t="inlineStr">
        <is>
          <t>Tray_Pack</t>
        </is>
      </c>
      <c r="B290" s="626" t="n">
        <v>7840</v>
      </c>
      <c r="C290" s="627" t="inlineStr">
        <is>
          <t>61050F</t>
        </is>
      </c>
      <c r="D290" s="627" t="inlineStr">
        <is>
          <t>LCL</t>
        </is>
      </c>
      <c r="E290" s="627" t="inlineStr">
        <is>
          <t>BSB</t>
        </is>
      </c>
      <c r="F290" s="630" t="n">
        <v>0</v>
      </c>
      <c r="G290" s="635" t="n">
        <v>8</v>
      </c>
      <c r="H290" s="635" t="inlineStr">
        <is>
          <t>ST 3D</t>
        </is>
      </c>
      <c r="I290" s="635" t="inlineStr">
        <is>
          <t>Small</t>
        </is>
      </c>
      <c r="J290" s="636" t="inlineStr">
        <is>
          <t>MS LCL BSHB AC 3D PP BSK</t>
        </is>
      </c>
      <c r="K290" s="629" t="inlineStr">
        <is>
          <t>Fast</t>
        </is>
      </c>
      <c r="L290" s="629" t="inlineStr">
        <is>
          <t>IFCO</t>
        </is>
      </c>
      <c r="M290" s="630" t="n">
        <v>100.95</v>
      </c>
      <c r="N290" s="631" t="inlineStr">
        <is>
          <t>PLATINUM</t>
        </is>
      </c>
      <c r="O290" s="627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600">
        <f>_xludf.IFNA(_xlfn.XLOOKUP(Table3[[#This Row],[SKU]],'00_Yield_Rates'!$B$2:$B$17,'00_Yield_Rates'!$E$2:$E$17),"")</f>
        <v/>
      </c>
    </row>
    <row r="291">
      <c r="A291" s="625" t="inlineStr">
        <is>
          <t>Tray_Pack</t>
        </is>
      </c>
      <c r="B291" s="626" t="n">
        <v>7841</v>
      </c>
      <c r="C291" s="627" t="inlineStr">
        <is>
          <t>61050F</t>
        </is>
      </c>
      <c r="D291" s="627" t="inlineStr">
        <is>
          <t>LCL</t>
        </is>
      </c>
      <c r="E291" s="627" t="inlineStr">
        <is>
          <t>BSB</t>
        </is>
      </c>
      <c r="F291" s="630" t="n"/>
      <c r="G291" s="627" t="n">
        <v>8</v>
      </c>
      <c r="H291" s="627" t="inlineStr">
        <is>
          <t>LT 6D</t>
        </is>
      </c>
      <c r="I291" s="627" t="inlineStr">
        <is>
          <t>Small</t>
        </is>
      </c>
      <c r="J291" s="628" t="inlineStr">
        <is>
          <t>MS LCL BSHB AC 6D PP BSK</t>
        </is>
      </c>
      <c r="K291" s="629" t="inlineStr">
        <is>
          <t>Fast</t>
        </is>
      </c>
      <c r="L291" s="630" t="inlineStr">
        <is>
          <t>IFCO</t>
        </is>
      </c>
      <c r="M291" s="630" t="n">
        <v>96.16</v>
      </c>
      <c r="N291" s="631" t="inlineStr">
        <is>
          <t>PLATINUM</t>
        </is>
      </c>
      <c r="O291" s="627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600">
        <f>_xludf.IFNA(_xlfn.XLOOKUP(Table3[[#This Row],[SKU]],'00_Yield_Rates'!$B$2:$B$17,'00_Yield_Rates'!$E$2:$E$17),"")</f>
        <v/>
      </c>
    </row>
    <row r="292">
      <c r="A292" s="625" t="inlineStr">
        <is>
          <t>Tray_Pack</t>
        </is>
      </c>
      <c r="B292" s="626" t="n">
        <v>7842</v>
      </c>
      <c r="C292" s="627" t="inlineStr">
        <is>
          <t>61050F</t>
        </is>
      </c>
      <c r="D292" s="627" t="inlineStr">
        <is>
          <t>LCL</t>
        </is>
      </c>
      <c r="E292" s="627" t="inlineStr">
        <is>
          <t>BSB</t>
        </is>
      </c>
      <c r="F292" s="630" t="n"/>
      <c r="G292" s="635" t="n">
        <v>8</v>
      </c>
      <c r="H292" s="635" t="inlineStr">
        <is>
          <t>PET 8</t>
        </is>
      </c>
      <c r="I292" s="635" t="inlineStr">
        <is>
          <t>Large</t>
        </is>
      </c>
      <c r="J292" s="636" t="inlineStr">
        <is>
          <t>MS LCL BSHB AC 8D PP BSK</t>
        </is>
      </c>
      <c r="K292" s="629" t="inlineStr">
        <is>
          <t>Fast</t>
        </is>
      </c>
      <c r="L292" s="629" t="inlineStr">
        <is>
          <t>IFCO</t>
        </is>
      </c>
      <c r="M292" s="630" t="n">
        <v>144.17</v>
      </c>
      <c r="N292" s="631" t="inlineStr">
        <is>
          <t>PLATINUM</t>
        </is>
      </c>
      <c r="O292" s="627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600">
        <f>_xludf.IFNA(_xlfn.XLOOKUP(Table3[[#This Row],[SKU]],'00_Yield_Rates'!$B$2:$B$17,'00_Yield_Rates'!$E$2:$E$17),"")</f>
        <v/>
      </c>
    </row>
    <row r="293">
      <c r="A293" s="625" t="inlineStr">
        <is>
          <t>Tray_Pack</t>
        </is>
      </c>
      <c r="B293" s="626" t="n">
        <v>7843</v>
      </c>
      <c r="C293" s="627" t="inlineStr">
        <is>
          <t>61050#2</t>
        </is>
      </c>
      <c r="D293" s="627" t="inlineStr">
        <is>
          <t>LCL</t>
        </is>
      </c>
      <c r="E293" s="627" t="inlineStr">
        <is>
          <t>BSB</t>
        </is>
      </c>
      <c r="F293" s="630" t="n"/>
      <c r="G293" s="635" t="n">
        <v>8</v>
      </c>
      <c r="H293" s="635" t="inlineStr">
        <is>
          <t>LT 6D</t>
        </is>
      </c>
      <c r="I293" s="635" t="inlineStr">
        <is>
          <t>Small</t>
        </is>
      </c>
      <c r="J293" s="628" t="inlineStr">
        <is>
          <t>MS LCL BSHB 6D PP BSK</t>
        </is>
      </c>
      <c r="K293" s="629" t="inlineStr">
        <is>
          <t>Fast</t>
        </is>
      </c>
      <c r="L293" s="632" t="inlineStr">
        <is>
          <t>IFCO</t>
        </is>
      </c>
      <c r="M293" s="633" t="n">
        <v>106.28</v>
      </c>
      <c r="N293" s="631" t="inlineStr">
        <is>
          <t>SILVER</t>
        </is>
      </c>
      <c r="O293" s="627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600">
        <f>_xludf.IFNA(_xlfn.XLOOKUP(Table3[[#This Row],[SKU]],'00_Yield_Rates'!$B$2:$B$17,'00_Yield_Rates'!$E$2:$E$17),"")</f>
        <v/>
      </c>
    </row>
    <row r="294">
      <c r="A294" s="625" t="inlineStr">
        <is>
          <t>Tray_Pack</t>
        </is>
      </c>
      <c r="B294" s="626" t="n">
        <v>7851</v>
      </c>
      <c r="C294" s="627" t="n">
        <v>61050</v>
      </c>
      <c r="D294" s="627" t="inlineStr">
        <is>
          <t>LCL</t>
        </is>
      </c>
      <c r="E294" s="627" t="inlineStr">
        <is>
          <t>BSB</t>
        </is>
      </c>
      <c r="F294" s="630" t="n">
        <v>5.41799640135478</v>
      </c>
      <c r="G294" s="635" t="n">
        <v>12</v>
      </c>
      <c r="H294" s="635" t="inlineStr">
        <is>
          <t>PET 3</t>
        </is>
      </c>
      <c r="I294" s="635" t="inlineStr">
        <is>
          <t>Small</t>
        </is>
      </c>
      <c r="J294" s="628" t="inlineStr">
        <is>
          <t>MS LCL BSHB AC PET 3 PP BSK</t>
        </is>
      </c>
      <c r="K294" s="629" t="inlineStr">
        <is>
          <t>Fast</t>
        </is>
      </c>
      <c r="L294" s="632" t="inlineStr">
        <is>
          <t>IFCO</t>
        </is>
      </c>
      <c r="M294" s="633" t="n">
        <v>46.88</v>
      </c>
      <c r="N294" s="631" t="inlineStr">
        <is>
          <t>PLATINUM</t>
        </is>
      </c>
      <c r="O294" s="627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600">
        <f>_xludf.IFNA(_xlfn.XLOOKUP(Table3[[#This Row],[SKU]],'00_Yield_Rates'!$B$2:$B$17,'00_Yield_Rates'!$E$2:$E$17),"")</f>
        <v/>
      </c>
    </row>
    <row r="295">
      <c r="A295" s="625" t="inlineStr">
        <is>
          <t>Tray_Pack</t>
        </is>
      </c>
      <c r="B295" s="626" t="n">
        <v>7852</v>
      </c>
      <c r="C295" s="627" t="n">
        <v>61050</v>
      </c>
      <c r="D295" s="627" t="inlineStr">
        <is>
          <t>LCL</t>
        </is>
      </c>
      <c r="E295" s="627" t="inlineStr">
        <is>
          <t>BSB</t>
        </is>
      </c>
      <c r="F295" s="630" t="n">
        <v>7.10968439351647</v>
      </c>
      <c r="G295" s="627" t="n">
        <v>8</v>
      </c>
      <c r="H295" s="627" t="inlineStr">
        <is>
          <t>PET 6</t>
        </is>
      </c>
      <c r="I295" s="627" t="inlineStr">
        <is>
          <t>Large</t>
        </is>
      </c>
      <c r="J295" s="628" t="inlineStr">
        <is>
          <t>MS LCL BSHB AC PET 6 PP BSK</t>
        </is>
      </c>
      <c r="K295" s="629" t="inlineStr">
        <is>
          <t>Fast</t>
        </is>
      </c>
      <c r="L295" s="632" t="inlineStr">
        <is>
          <t>IFCO</t>
        </is>
      </c>
      <c r="M295" s="633" t="n">
        <v>102.6</v>
      </c>
      <c r="N295" s="631" t="inlineStr">
        <is>
          <t>PLATINUM</t>
        </is>
      </c>
      <c r="O295" s="627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600">
        <f>_xludf.IFNA(_xlfn.XLOOKUP(Table3[[#This Row],[SKU]],'00_Yield_Rates'!$B$2:$B$17,'00_Yield_Rates'!$E$2:$E$17),"")</f>
        <v/>
      </c>
    </row>
    <row r="296">
      <c r="A296" s="625" t="inlineStr">
        <is>
          <t>Tray_Pack</t>
        </is>
      </c>
      <c r="B296" s="634" t="n">
        <v>7853</v>
      </c>
      <c r="C296" s="627" t="n">
        <v>61077</v>
      </c>
      <c r="D296" s="627" t="inlineStr">
        <is>
          <t>LCL</t>
        </is>
      </c>
      <c r="E296" s="627" t="inlineStr">
        <is>
          <t>Thigh</t>
        </is>
      </c>
      <c r="F296" s="630" t="n">
        <v>6.45188823435758</v>
      </c>
      <c r="G296" s="627" t="n">
        <v>8</v>
      </c>
      <c r="H296" s="627" t="inlineStr">
        <is>
          <t>PET 6</t>
        </is>
      </c>
      <c r="I296" s="627" t="inlineStr">
        <is>
          <t>Large</t>
        </is>
      </c>
      <c r="J296" s="628" t="inlineStr">
        <is>
          <t>MS LCL THIGH AC PET 6 PP BSK</t>
        </is>
      </c>
      <c r="K296" s="632" t="inlineStr">
        <is>
          <t>Fast</t>
        </is>
      </c>
      <c r="L296" s="629" t="inlineStr">
        <is>
          <t>IFCO</t>
        </is>
      </c>
      <c r="M296" s="630" t="n">
        <v>36.84</v>
      </c>
      <c r="N296" s="631" t="inlineStr">
        <is>
          <t>PLATINUM</t>
        </is>
      </c>
      <c r="O296" s="627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600">
        <f>_xludf.IFNA(_xlfn.XLOOKUP(Table3[[#This Row],[SKU]],'00_Yield_Rates'!$B$2:$B$17,'00_Yield_Rates'!$E$2:$E$17),"")</f>
        <v/>
      </c>
    </row>
    <row r="297">
      <c r="A297" s="625" t="inlineStr">
        <is>
          <t>Tray_Pack</t>
        </is>
      </c>
      <c r="B297" s="634" t="n">
        <v>7854</v>
      </c>
      <c r="C297" s="627" t="inlineStr">
        <is>
          <t>61072F</t>
        </is>
      </c>
      <c r="D297" s="627" t="inlineStr">
        <is>
          <t>LCL</t>
        </is>
      </c>
      <c r="E297" s="627" t="inlineStr">
        <is>
          <t>Drum</t>
        </is>
      </c>
      <c r="F297" s="630" t="n">
        <v>6.1087076211824</v>
      </c>
      <c r="G297" s="627" t="n">
        <v>8</v>
      </c>
      <c r="H297" s="627" t="inlineStr">
        <is>
          <t>PET 6</t>
        </is>
      </c>
      <c r="I297" s="627" t="inlineStr">
        <is>
          <t>Large</t>
        </is>
      </c>
      <c r="J297" s="628" t="inlineStr">
        <is>
          <t>MS LCL DRUM AC PET 6 PP BSK</t>
        </is>
      </c>
      <c r="K297" s="632" t="inlineStr">
        <is>
          <t>Fast</t>
        </is>
      </c>
      <c r="L297" s="629" t="inlineStr">
        <is>
          <t>IFCO</t>
        </is>
      </c>
      <c r="M297" s="630" t="n">
        <v>43.35</v>
      </c>
      <c r="N297" s="631" t="inlineStr">
        <is>
          <t>PLATINUM</t>
        </is>
      </c>
      <c r="O297" s="627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600">
        <f>_xludf.IFNA(_xlfn.XLOOKUP(Table3[[#This Row],[SKU]],'00_Yield_Rates'!$B$2:$B$17,'00_Yield_Rates'!$E$2:$E$17),"")</f>
        <v/>
      </c>
    </row>
    <row r="298">
      <c r="A298" s="625" t="inlineStr">
        <is>
          <t>Tray_Pack</t>
        </is>
      </c>
      <c r="B298" s="634" t="n">
        <v>7855</v>
      </c>
      <c r="C298" s="627" t="inlineStr">
        <is>
          <t>61014F</t>
        </is>
      </c>
      <c r="D298" s="627" t="inlineStr">
        <is>
          <t>LCL</t>
        </is>
      </c>
      <c r="E298" s="627" t="inlineStr">
        <is>
          <t>SplitWing</t>
        </is>
      </c>
      <c r="F298" s="630" t="n">
        <v>6.12743086237931</v>
      </c>
      <c r="G298" s="635" t="n">
        <v>8</v>
      </c>
      <c r="H298" s="627" t="inlineStr">
        <is>
          <t>PET 6</t>
        </is>
      </c>
      <c r="I298" s="635" t="inlineStr">
        <is>
          <t>Large</t>
        </is>
      </c>
      <c r="J298" s="636" t="inlineStr">
        <is>
          <t>MS LCL SPL WING AC PET 6 PP BSK</t>
        </is>
      </c>
      <c r="K298" s="629" t="inlineStr">
        <is>
          <t>Slow</t>
        </is>
      </c>
      <c r="L298" s="632" t="inlineStr">
        <is>
          <t>IFCO</t>
        </is>
      </c>
      <c r="M298" s="633" t="n">
        <v>24</v>
      </c>
      <c r="N298" s="631" t="inlineStr">
        <is>
          <t>PLATINUM</t>
        </is>
      </c>
      <c r="O298" s="627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600">
        <f>_xludf.IFNA(_xlfn.XLOOKUP(Table3[[#This Row],[SKU]],'00_Yield_Rates'!$B$2:$B$17,'00_Yield_Rates'!$E$2:$E$17),"")</f>
        <v/>
      </c>
    </row>
    <row r="299">
      <c r="A299" s="625" t="inlineStr">
        <is>
          <t>Tray_Pack</t>
        </is>
      </c>
      <c r="B299" s="634" t="n">
        <v>7858</v>
      </c>
      <c r="C299" s="627" t="n">
        <v>61052</v>
      </c>
      <c r="D299" s="627" t="inlineStr">
        <is>
          <t>LCL</t>
        </is>
      </c>
      <c r="E299" s="635" t="inlineStr">
        <is>
          <t>BSB</t>
        </is>
      </c>
      <c r="F299" s="630" t="n">
        <v>4.31089758342922</v>
      </c>
      <c r="G299" s="635" t="n">
        <v>12</v>
      </c>
      <c r="H299" s="635" t="inlineStr">
        <is>
          <t>PET 3</t>
        </is>
      </c>
      <c r="I299" s="635" t="inlineStr">
        <is>
          <t>Small</t>
        </is>
      </c>
      <c r="J299" s="636" t="inlineStr">
        <is>
          <t>MS LCL BTFLYB WOF AC PET 3 PP BSK</t>
        </is>
      </c>
      <c r="K299" s="629" t="inlineStr">
        <is>
          <t>Fast</t>
        </is>
      </c>
      <c r="L299" s="629" t="inlineStr">
        <is>
          <t>IFCO</t>
        </is>
      </c>
      <c r="M299" s="630" t="n">
        <v>4.31</v>
      </c>
      <c r="N299" s="631" t="inlineStr">
        <is>
          <t>PLATINUM</t>
        </is>
      </c>
      <c r="O299" s="627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600">
        <f>_xludf.IFNA(_xlfn.XLOOKUP(Table3[[#This Row],[SKU]],'00_Yield_Rates'!$B$2:$B$17,'00_Yield_Rates'!$E$2:$E$17),"")</f>
        <v/>
      </c>
    </row>
    <row r="300">
      <c r="A300" s="625" t="inlineStr">
        <is>
          <t>Tray_Pack</t>
        </is>
      </c>
      <c r="B300" s="634" t="n">
        <v>7859</v>
      </c>
      <c r="C300" s="627" t="n">
        <v>61054</v>
      </c>
      <c r="D300" s="627" t="inlineStr">
        <is>
          <t>LCL</t>
        </is>
      </c>
      <c r="E300" s="635" t="inlineStr">
        <is>
          <t>Fillet</t>
        </is>
      </c>
      <c r="F300" s="630" t="n">
        <v>4.09245544554455</v>
      </c>
      <c r="G300" s="635" t="n">
        <v>12</v>
      </c>
      <c r="H300" s="635" t="inlineStr">
        <is>
          <t>PET 3</t>
        </is>
      </c>
      <c r="I300" s="635" t="inlineStr">
        <is>
          <t>SMALL</t>
        </is>
      </c>
      <c r="J300" s="636" t="inlineStr">
        <is>
          <t>MS LCL FILLET AC PET 3 PP BSK</t>
        </is>
      </c>
      <c r="K300" s="629" t="inlineStr">
        <is>
          <t>Slow</t>
        </is>
      </c>
      <c r="L300" s="629" t="inlineStr">
        <is>
          <t>IFCO</t>
        </is>
      </c>
      <c r="M300" s="630" t="n">
        <v>14.61</v>
      </c>
      <c r="N300" s="631" t="inlineStr">
        <is>
          <t>PLATINUM</t>
        </is>
      </c>
      <c r="O300" s="627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600">
        <f>_xludf.IFNA(_xlfn.XLOOKUP(Table3[[#This Row],[SKU]],'00_Yield_Rates'!$B$2:$B$17,'00_Yield_Rates'!$E$2:$E$17),"")</f>
        <v/>
      </c>
    </row>
    <row r="301">
      <c r="A301" s="625" t="inlineStr">
        <is>
          <t>Tray_Pack</t>
        </is>
      </c>
      <c r="B301" s="634" t="n">
        <v>7860</v>
      </c>
      <c r="C301" s="627" t="n">
        <v>61086</v>
      </c>
      <c r="D301" s="627" t="inlineStr">
        <is>
          <t>LCL</t>
        </is>
      </c>
      <c r="E301" s="627" t="inlineStr">
        <is>
          <t>ThighMeat</t>
        </is>
      </c>
      <c r="F301" s="630" t="n">
        <v>5.7773160073597</v>
      </c>
      <c r="G301" s="635" t="n">
        <v>8</v>
      </c>
      <c r="H301" s="627" t="inlineStr">
        <is>
          <t>PET 6</t>
        </is>
      </c>
      <c r="I301" s="635" t="inlineStr">
        <is>
          <t>Large</t>
        </is>
      </c>
      <c r="J301" s="636" t="inlineStr">
        <is>
          <t>MS LCL BSTHIGH AC PET 6 PP BSK</t>
        </is>
      </c>
      <c r="K301" s="629" t="inlineStr">
        <is>
          <t>Slow</t>
        </is>
      </c>
      <c r="L301" s="632" t="inlineStr">
        <is>
          <t>IFCO</t>
        </is>
      </c>
      <c r="M301" s="633" t="n">
        <v>25.37</v>
      </c>
      <c r="N301" s="631" t="inlineStr">
        <is>
          <t>PLATINUM</t>
        </is>
      </c>
      <c r="O301" s="627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600">
        <f>_xludf.IFNA(_xlfn.XLOOKUP(Table3[[#This Row],[SKU]],'00_Yield_Rates'!$B$2:$B$17,'00_Yield_Rates'!$E$2:$E$17),"")</f>
        <v/>
      </c>
    </row>
    <row r="302">
      <c r="A302" s="625" t="inlineStr">
        <is>
          <t>Tray_Pack</t>
        </is>
      </c>
      <c r="B302" s="634" t="n">
        <v>7862</v>
      </c>
      <c r="C302" s="627" t="inlineStr">
        <is>
          <t>61072#2</t>
        </is>
      </c>
      <c r="D302" s="627" t="inlineStr">
        <is>
          <t>LCL</t>
        </is>
      </c>
      <c r="E302" s="627" t="inlineStr">
        <is>
          <t>Drum</t>
        </is>
      </c>
      <c r="F302" s="630" t="n"/>
      <c r="G302" s="627" t="n">
        <v>8</v>
      </c>
      <c r="H302" s="627" t="inlineStr">
        <is>
          <t>PET 8</t>
        </is>
      </c>
      <c r="I302" s="627" t="inlineStr">
        <is>
          <t>Large</t>
        </is>
      </c>
      <c r="J302" s="628" t="inlineStr">
        <is>
          <t>MS DRUM PET8 BSK</t>
        </is>
      </c>
      <c r="K302" s="632" t="inlineStr">
        <is>
          <t>Fast</t>
        </is>
      </c>
      <c r="L302" s="629" t="inlineStr">
        <is>
          <t>IFCO</t>
        </is>
      </c>
      <c r="M302" s="630" t="n">
        <v>55.11</v>
      </c>
      <c r="N302" s="631" t="inlineStr">
        <is>
          <t>SILVER</t>
        </is>
      </c>
      <c r="O302" s="627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600">
        <f>_xludf.IFNA(_xlfn.XLOOKUP(Table3[[#This Row],[SKU]],'00_Yield_Rates'!$B$2:$B$17,'00_Yield_Rates'!$E$2:$E$17),"")</f>
        <v/>
      </c>
    </row>
    <row r="303">
      <c r="A303" s="625" t="inlineStr">
        <is>
          <t>Tray_Pack</t>
        </is>
      </c>
      <c r="B303" s="634" t="n">
        <v>7863</v>
      </c>
      <c r="C303" s="627" t="inlineStr">
        <is>
          <t>61050#2</t>
        </is>
      </c>
      <c r="D303" s="627" t="inlineStr">
        <is>
          <t>LCL</t>
        </is>
      </c>
      <c r="E303" s="627" t="inlineStr">
        <is>
          <t>BSB</t>
        </is>
      </c>
      <c r="F303" s="630" t="n"/>
      <c r="G303" s="627" t="n">
        <v>8</v>
      </c>
      <c r="H303" s="627" t="inlineStr">
        <is>
          <t>PET 8</t>
        </is>
      </c>
      <c r="I303" s="627" t="inlineStr">
        <is>
          <t>Large</t>
        </is>
      </c>
      <c r="J303" s="628" t="inlineStr">
        <is>
          <t>MS BSHB PET8 BSK</t>
        </is>
      </c>
      <c r="K303" s="632" t="inlineStr">
        <is>
          <t>Fast</t>
        </is>
      </c>
      <c r="L303" s="629" t="inlineStr">
        <is>
          <t>IFCO</t>
        </is>
      </c>
      <c r="M303" s="630" t="n">
        <v>99.75</v>
      </c>
      <c r="N303" s="631" t="inlineStr">
        <is>
          <t>SILVER</t>
        </is>
      </c>
      <c r="O303" s="627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600">
        <f>_xludf.IFNA(_xlfn.XLOOKUP(Table3[[#This Row],[SKU]],'00_Yield_Rates'!$B$2:$B$17,'00_Yield_Rates'!$E$2:$E$17),"")</f>
        <v/>
      </c>
    </row>
    <row r="304">
      <c r="A304" s="625" t="inlineStr">
        <is>
          <t>Tray_Pack</t>
        </is>
      </c>
      <c r="B304" s="634" t="n">
        <v>7864</v>
      </c>
      <c r="C304" s="627" t="n">
        <v>203891</v>
      </c>
      <c r="D304" s="627" t="inlineStr">
        <is>
          <t>LCL</t>
        </is>
      </c>
      <c r="E304" s="627" t="inlineStr">
        <is>
          <t>Whole Bird-Large</t>
        </is>
      </c>
      <c r="F304" s="630" t="n"/>
      <c r="G304" s="627" t="n">
        <v>3</v>
      </c>
      <c r="H304" s="627" t="inlineStr">
        <is>
          <t>PET 9</t>
        </is>
      </c>
      <c r="I304" s="627" t="inlineStr">
        <is>
          <t>Large</t>
        </is>
      </c>
      <c r="J304" s="628" t="inlineStr">
        <is>
          <t>MS 1.3-1.8 FRY WOG TI 2/PET9 BSK</t>
        </is>
      </c>
      <c r="K304" s="632" t="inlineStr">
        <is>
          <t>Fast</t>
        </is>
      </c>
      <c r="L304" s="630" t="inlineStr">
        <is>
          <t>IFCO</t>
        </is>
      </c>
      <c r="M304" s="630" t="n">
        <v>141.76</v>
      </c>
      <c r="N304" s="631" t="inlineStr">
        <is>
          <t>SILVER</t>
        </is>
      </c>
      <c r="O304" s="627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600">
        <f>_xludf.IFNA(_xlfn.XLOOKUP(Table3[[#This Row],[SKU]],'00_Yield_Rates'!$B$2:$B$17,'00_Yield_Rates'!$E$2:$E$17),"")</f>
        <v/>
      </c>
    </row>
    <row r="305">
      <c r="A305" s="625" t="inlineStr">
        <is>
          <t>Tray_Pack</t>
        </is>
      </c>
      <c r="B305" s="642" t="n">
        <v>7865</v>
      </c>
      <c r="C305" s="627" t="n">
        <v>61082</v>
      </c>
      <c r="D305" s="627" t="inlineStr">
        <is>
          <t>LCL</t>
        </is>
      </c>
      <c r="E305" s="627" t="inlineStr">
        <is>
          <t>Thigh</t>
        </is>
      </c>
      <c r="F305" s="630" t="n"/>
      <c r="G305" s="635" t="n">
        <v>8</v>
      </c>
      <c r="H305" s="635" t="inlineStr">
        <is>
          <t>PET 8</t>
        </is>
      </c>
      <c r="I305" s="635" t="inlineStr">
        <is>
          <t>Large</t>
        </is>
      </c>
      <c r="J305" s="636" t="inlineStr">
        <is>
          <t>MS THIGH PET8 BSK</t>
        </is>
      </c>
      <c r="K305" s="632" t="inlineStr">
        <is>
          <t>Fast</t>
        </is>
      </c>
      <c r="L305" s="632" t="inlineStr">
        <is>
          <t>IFCO</t>
        </is>
      </c>
      <c r="M305" s="633" t="n">
        <v>41.37</v>
      </c>
      <c r="N305" s="640" t="inlineStr">
        <is>
          <t>SILVER</t>
        </is>
      </c>
      <c r="O305" s="627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600">
        <f>_xludf.IFNA(_xlfn.XLOOKUP(Table3[[#This Row],[SKU]],'00_Yield_Rates'!$B$2:$B$17,'00_Yield_Rates'!$E$2:$E$17),"")</f>
        <v/>
      </c>
    </row>
    <row r="306">
      <c r="A306" s="625" t="inlineStr">
        <is>
          <t>Tray_Pack</t>
        </is>
      </c>
      <c r="B306" s="642" t="n">
        <v>7866</v>
      </c>
      <c r="C306" s="627" t="n">
        <v>61061</v>
      </c>
      <c r="D306" s="627" t="inlineStr">
        <is>
          <t>LCL</t>
        </is>
      </c>
      <c r="E306" s="627" t="inlineStr">
        <is>
          <t>BA</t>
        </is>
      </c>
      <c r="F306" s="630" t="n"/>
      <c r="G306" s="635" t="n">
        <v>8</v>
      </c>
      <c r="H306" s="635" t="inlineStr">
        <is>
          <t>PET 8</t>
        </is>
      </c>
      <c r="I306" s="635" t="inlineStr">
        <is>
          <t>Large</t>
        </is>
      </c>
      <c r="J306" s="636" t="inlineStr">
        <is>
          <t>MS LEG BA PET8 BSK</t>
        </is>
      </c>
      <c r="K306" s="632" t="inlineStr">
        <is>
          <t>Fast</t>
        </is>
      </c>
      <c r="L306" s="632" t="inlineStr">
        <is>
          <t>IFCO</t>
        </is>
      </c>
      <c r="M306" s="633" t="n">
        <v>69.13</v>
      </c>
      <c r="N306" s="640" t="inlineStr">
        <is>
          <t>SILVER</t>
        </is>
      </c>
      <c r="O306" s="627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600">
        <f>_xludf.IFNA(_xlfn.XLOOKUP(Table3[[#This Row],[SKU]],'00_Yield_Rates'!$B$2:$B$17,'00_Yield_Rates'!$E$2:$E$17),"")</f>
        <v/>
      </c>
    </row>
    <row r="307">
      <c r="A307" s="625" t="inlineStr">
        <is>
          <t>Tray_Pack</t>
        </is>
      </c>
      <c r="B307" s="634" t="n">
        <v>7867</v>
      </c>
      <c r="C307" s="627" t="inlineStr">
        <is>
          <t>61086#2</t>
        </is>
      </c>
      <c r="D307" s="627" t="inlineStr">
        <is>
          <t>LCL</t>
        </is>
      </c>
      <c r="E307" s="627" t="inlineStr">
        <is>
          <t>ThighMeat</t>
        </is>
      </c>
      <c r="F307" s="630" t="n"/>
      <c r="G307" s="627" t="n">
        <v>8</v>
      </c>
      <c r="H307" s="627" t="inlineStr">
        <is>
          <t>PET 8</t>
        </is>
      </c>
      <c r="I307" s="627" t="inlineStr">
        <is>
          <t>Large</t>
        </is>
      </c>
      <c r="J307" s="628" t="inlineStr">
        <is>
          <t>MS BSTHIGH PET8 BSK</t>
        </is>
      </c>
      <c r="K307" s="632" t="inlineStr">
        <is>
          <t>Slow</t>
        </is>
      </c>
      <c r="L307" s="629" t="inlineStr">
        <is>
          <t>IFCO</t>
        </is>
      </c>
      <c r="M307" s="630" t="n">
        <v>16.25</v>
      </c>
      <c r="N307" s="631" t="inlineStr">
        <is>
          <t>SILVER</t>
        </is>
      </c>
      <c r="O307" s="627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600">
        <f>_xludf.IFNA(_xlfn.XLOOKUP(Table3[[#This Row],[SKU]],'00_Yield_Rates'!$B$2:$B$17,'00_Yield_Rates'!$E$2:$E$17),"")</f>
        <v/>
      </c>
    </row>
    <row r="308">
      <c r="A308" s="625" t="inlineStr">
        <is>
          <t>Tray_Pack</t>
        </is>
      </c>
      <c r="B308" s="626" t="n">
        <v>7868</v>
      </c>
      <c r="C308" s="627" t="n">
        <v>61064</v>
      </c>
      <c r="D308" s="627" t="inlineStr">
        <is>
          <t>LCL</t>
        </is>
      </c>
      <c r="E308" s="627" t="inlineStr">
        <is>
          <t>BSB</t>
        </is>
      </c>
      <c r="F308" s="627" t="n">
        <v>3.73</v>
      </c>
      <c r="G308" s="627" t="n">
        <v>8</v>
      </c>
      <c r="H308" s="627" t="inlineStr">
        <is>
          <t>PET 6</t>
        </is>
      </c>
      <c r="I308" s="627" t="inlineStr">
        <is>
          <t>Large</t>
        </is>
      </c>
      <c r="J308" s="628" t="inlineStr">
        <is>
          <t>MS PC BM CUTLET AC PET6 BSK</t>
        </is>
      </c>
      <c r="K308" s="643" t="inlineStr">
        <is>
          <t>Fast</t>
        </is>
      </c>
      <c r="L308" s="643" t="inlineStr">
        <is>
          <t>IFCO</t>
        </is>
      </c>
      <c r="M308" s="630" t="n">
        <v>60.61</v>
      </c>
      <c r="N308" s="631" t="inlineStr">
        <is>
          <t>PLATINUM</t>
        </is>
      </c>
      <c r="O308" s="627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600">
        <f>_xludf.IFNA(_xlfn.XLOOKUP(Table3[[#This Row],[SKU]],'00_Yield_Rates'!$B$2:$B$17,'00_Yield_Rates'!$E$2:$E$17),"")</f>
        <v/>
      </c>
    </row>
    <row r="309">
      <c r="A309" s="625" t="inlineStr">
        <is>
          <t>Tray_Pack</t>
        </is>
      </c>
      <c r="B309" s="626" t="n">
        <v>7869</v>
      </c>
      <c r="C309" s="627" t="n">
        <v>61064</v>
      </c>
      <c r="D309" s="627" t="inlineStr">
        <is>
          <t>LCL</t>
        </is>
      </c>
      <c r="E309" s="627" t="inlineStr">
        <is>
          <t>BSB</t>
        </is>
      </c>
      <c r="F309" s="627" t="n">
        <v>3.73</v>
      </c>
      <c r="G309" s="627" t="n">
        <v>8</v>
      </c>
      <c r="H309" s="627" t="inlineStr">
        <is>
          <t>PET 6</t>
        </is>
      </c>
      <c r="I309" s="627" t="inlineStr">
        <is>
          <t>Large</t>
        </is>
      </c>
      <c r="J309" s="628" t="inlineStr">
        <is>
          <t>MS PC BM CUTLET AC PET6 BSK</t>
        </is>
      </c>
      <c r="K309" s="643" t="inlineStr">
        <is>
          <t>Fast</t>
        </is>
      </c>
      <c r="L309" s="643" t="inlineStr">
        <is>
          <t>IFCO</t>
        </is>
      </c>
      <c r="M309" s="630" t="n">
        <v>60.61</v>
      </c>
      <c r="N309" s="631" t="inlineStr">
        <is>
          <t>PLATINUM</t>
        </is>
      </c>
      <c r="O309" s="627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600">
        <f>_xludf.IFNA(_xlfn.XLOOKUP(Table3[[#This Row],[SKU]],'00_Yield_Rates'!$B$2:$B$17,'00_Yield_Rates'!$E$2:$E$17),"")</f>
        <v/>
      </c>
    </row>
    <row r="310">
      <c r="A310" s="625" t="inlineStr">
        <is>
          <t>Tray_Pack</t>
        </is>
      </c>
      <c r="B310" s="642" t="n">
        <v>7912</v>
      </c>
      <c r="C310" s="627" t="inlineStr">
        <is>
          <t>61040#2</t>
        </is>
      </c>
      <c r="D310" s="627" t="inlineStr">
        <is>
          <t>FB</t>
        </is>
      </c>
      <c r="E310" s="627" t="inlineStr">
        <is>
          <t>SplitBreast</t>
        </is>
      </c>
      <c r="F310" s="630" t="n"/>
      <c r="G310" s="635" t="n">
        <v>8</v>
      </c>
      <c r="H310" s="635" t="inlineStr">
        <is>
          <t>LT 8XP</t>
        </is>
      </c>
      <c r="I310" s="635" t="inlineStr">
        <is>
          <t>Large</t>
        </is>
      </c>
      <c r="J310" s="636" t="inlineStr">
        <is>
          <t>PB BSC HB LT PP BSK</t>
        </is>
      </c>
      <c r="K310" s="629" t="inlineStr">
        <is>
          <t>Fast</t>
        </is>
      </c>
      <c r="L310" s="632" t="inlineStr">
        <is>
          <t>Industry</t>
        </is>
      </c>
      <c r="M310" s="633" t="n">
        <v>58.98</v>
      </c>
      <c r="N310" s="631" t="inlineStr">
        <is>
          <t>SILVER</t>
        </is>
      </c>
      <c r="O310" s="627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600">
        <f>_xludf.IFNA(_xlfn.XLOOKUP(Table3[[#This Row],[SKU]],'00_Yield_Rates'!$B$2:$B$17,'00_Yield_Rates'!$E$2:$E$17),"")</f>
        <v/>
      </c>
    </row>
    <row r="311">
      <c r="A311" s="625" t="inlineStr">
        <is>
          <t>Tray_Pack</t>
        </is>
      </c>
      <c r="B311" s="634" t="n">
        <v>7939</v>
      </c>
      <c r="C311" s="627" t="n">
        <v>61010</v>
      </c>
      <c r="D311" s="627" t="inlineStr">
        <is>
          <t>FB</t>
        </is>
      </c>
      <c r="E311" s="627" t="inlineStr">
        <is>
          <t>Whole Wing-14D</t>
        </is>
      </c>
      <c r="F311" s="630" t="n"/>
      <c r="G311" s="627" t="n">
        <v>6</v>
      </c>
      <c r="H311" s="627" t="inlineStr">
        <is>
          <t>LT 14D</t>
        </is>
      </c>
      <c r="I311" s="627" t="n"/>
      <c r="J311" s="628" t="inlineStr">
        <is>
          <t>MS WING AC GF LCP PP</t>
        </is>
      </c>
      <c r="K311" s="629" t="inlineStr">
        <is>
          <t>Fast</t>
        </is>
      </c>
      <c r="L311" s="629" t="inlineStr">
        <is>
          <t>Industry</t>
        </is>
      </c>
      <c r="M311" s="630" t="n">
        <v>32.77</v>
      </c>
      <c r="N311" s="631" t="inlineStr">
        <is>
          <t>SILVER</t>
        </is>
      </c>
      <c r="O311" s="627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600">
        <f>_xludf.IFNA(_xlfn.XLOOKUP(Table3[[#This Row],[SKU]],'00_Yield_Rates'!$B$2:$B$17,'00_Yield_Rates'!$E$2:$E$17),"")</f>
        <v/>
      </c>
    </row>
    <row r="312">
      <c r="A312" s="625" t="inlineStr">
        <is>
          <t>Tray_Pack</t>
        </is>
      </c>
      <c r="B312" s="634" t="n">
        <v>7976</v>
      </c>
      <c r="C312" s="627" t="n">
        <v>61061</v>
      </c>
      <c r="D312" s="627" t="inlineStr">
        <is>
          <t>FB</t>
        </is>
      </c>
      <c r="E312" s="627" t="inlineStr">
        <is>
          <t>BA</t>
        </is>
      </c>
      <c r="F312" s="630" t="n"/>
      <c r="G312" s="635" t="n">
        <v>6</v>
      </c>
      <c r="H312" s="627" t="inlineStr">
        <is>
          <t>LT 14D</t>
        </is>
      </c>
      <c r="I312" s="635" t="inlineStr">
        <is>
          <t>Clubpack</t>
        </is>
      </c>
      <c r="J312" s="636" t="inlineStr">
        <is>
          <t>PB BSC LEG BA FT PP BSK</t>
        </is>
      </c>
      <c r="K312" s="632" t="inlineStr">
        <is>
          <t>Fast</t>
        </is>
      </c>
      <c r="L312" s="632" t="inlineStr">
        <is>
          <t>BOX</t>
        </is>
      </c>
      <c r="M312" s="633" t="n">
        <v>92.02</v>
      </c>
      <c r="N312" s="631" t="inlineStr">
        <is>
          <t>SILVER</t>
        </is>
      </c>
      <c r="O312" s="627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600">
        <f>_xludf.IFNA(_xlfn.XLOOKUP(Table3[[#This Row],[SKU]],'00_Yield_Rates'!$B$2:$B$17,'00_Yield_Rates'!$E$2:$E$17),"")</f>
        <v/>
      </c>
    </row>
    <row r="313">
      <c r="A313" s="625" t="inlineStr">
        <is>
          <t>Tray_Pack</t>
        </is>
      </c>
      <c r="B313" s="634" t="n">
        <v>7978</v>
      </c>
      <c r="C313" s="627" t="inlineStr">
        <is>
          <t>61050#2</t>
        </is>
      </c>
      <c r="D313" s="627" t="inlineStr">
        <is>
          <t>FB</t>
        </is>
      </c>
      <c r="E313" s="627" t="inlineStr">
        <is>
          <t>BSB</t>
        </is>
      </c>
      <c r="F313" s="630" t="n"/>
      <c r="G313" s="635" t="n">
        <v>18</v>
      </c>
      <c r="H313" s="627" t="inlineStr">
        <is>
          <t>ST 3XP</t>
        </is>
      </c>
      <c r="I313" s="635" t="inlineStr">
        <is>
          <t>Small</t>
        </is>
      </c>
      <c r="J313" s="636" t="inlineStr">
        <is>
          <t>MS BSC BSHB ST PP BSK</t>
        </is>
      </c>
      <c r="K313" s="629" t="inlineStr">
        <is>
          <t>Fast</t>
        </is>
      </c>
      <c r="L313" s="629" t="inlineStr">
        <is>
          <t>6.5 BOX</t>
        </is>
      </c>
      <c r="M313" s="630" t="n">
        <v>88.90000000000001</v>
      </c>
      <c r="N313" s="631" t="inlineStr">
        <is>
          <t>SILVER</t>
        </is>
      </c>
      <c r="O313" s="627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600">
        <f>_xludf.IFNA(_xlfn.XLOOKUP(Table3[[#This Row],[SKU]],'00_Yield_Rates'!$B$2:$B$17,'00_Yield_Rates'!$E$2:$E$17),"")</f>
        <v/>
      </c>
    </row>
    <row r="314">
      <c r="A314" s="625" t="inlineStr">
        <is>
          <t>Tray_Pack</t>
        </is>
      </c>
      <c r="B314" s="634" t="n">
        <v>7979</v>
      </c>
      <c r="C314" s="627" t="inlineStr">
        <is>
          <t>61050#2</t>
        </is>
      </c>
      <c r="D314" s="627" t="inlineStr">
        <is>
          <t>FB</t>
        </is>
      </c>
      <c r="E314" s="627" t="inlineStr">
        <is>
          <t>BSB</t>
        </is>
      </c>
      <c r="F314" s="630" t="n"/>
      <c r="G314" s="627" t="n">
        <v>8</v>
      </c>
      <c r="H314" s="627" t="inlineStr">
        <is>
          <t>LT 8XP</t>
        </is>
      </c>
      <c r="I314" s="635" t="inlineStr">
        <is>
          <t>Large</t>
        </is>
      </c>
      <c r="J314" s="639" t="inlineStr">
        <is>
          <t>MS BSC BSHB LT PP BSK</t>
        </is>
      </c>
      <c r="K314" s="629" t="inlineStr">
        <is>
          <t>Fast</t>
        </is>
      </c>
      <c r="L314" s="629" t="inlineStr">
        <is>
          <t>Industry</t>
        </is>
      </c>
      <c r="M314" s="630" t="n">
        <v>128.02</v>
      </c>
      <c r="N314" s="631" t="inlineStr">
        <is>
          <t>SILVER</t>
        </is>
      </c>
      <c r="O314" s="627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600">
        <f>_xludf.IFNA(_xlfn.XLOOKUP(Table3[[#This Row],[SKU]],'00_Yield_Rates'!$B$2:$B$17,'00_Yield_Rates'!$E$2:$E$17),"")</f>
        <v/>
      </c>
    </row>
    <row r="315">
      <c r="A315" s="625" t="inlineStr">
        <is>
          <t>Tray_Pack</t>
        </is>
      </c>
      <c r="B315" s="634" t="n">
        <v>200168</v>
      </c>
      <c r="C315" s="627" t="n">
        <v>61061</v>
      </c>
      <c r="D315" s="627" t="inlineStr">
        <is>
          <t>FB</t>
        </is>
      </c>
      <c r="E315" s="627" t="inlineStr">
        <is>
          <t>BA</t>
        </is>
      </c>
      <c r="F315" s="630" t="n">
        <v>9.16575975496071</v>
      </c>
      <c r="G315" s="635" t="n">
        <v>8</v>
      </c>
      <c r="H315" s="627" t="inlineStr">
        <is>
          <t>LT 8XP</t>
        </is>
      </c>
      <c r="I315" s="635" t="inlineStr">
        <is>
          <t>Large</t>
        </is>
      </c>
      <c r="J315" s="644" t="inlineStr">
        <is>
          <t>MS ZH LEG BA AC LT</t>
        </is>
      </c>
      <c r="K315" s="632" t="inlineStr">
        <is>
          <t>Fast</t>
        </is>
      </c>
      <c r="L315" s="629" t="inlineStr">
        <is>
          <t>BOX</t>
        </is>
      </c>
      <c r="M315" s="630" t="n">
        <v>89.73999999999999</v>
      </c>
      <c r="N315" s="631" t="inlineStr">
        <is>
          <t>SILVER</t>
        </is>
      </c>
      <c r="O315" s="627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600">
        <f>_xludf.IFNA(_xlfn.XLOOKUP(Table3[[#This Row],[SKU]],'00_Yield_Rates'!$B$2:$B$17,'00_Yield_Rates'!$E$2:$E$17),"")</f>
        <v/>
      </c>
    </row>
    <row r="316">
      <c r="A316" s="625" t="inlineStr">
        <is>
          <t>Tray_Pack</t>
        </is>
      </c>
      <c r="B316" s="634" t="n">
        <v>200703</v>
      </c>
      <c r="C316" s="645" t="inlineStr">
        <is>
          <t>61050F</t>
        </is>
      </c>
      <c r="D316" s="627" t="inlineStr">
        <is>
          <t>FB</t>
        </is>
      </c>
      <c r="E316" s="627" t="inlineStr">
        <is>
          <t>BSB</t>
        </is>
      </c>
      <c r="F316" s="630" t="n">
        <v>3.68397765256422</v>
      </c>
      <c r="G316" s="627" t="n">
        <v>8</v>
      </c>
      <c r="H316" s="627" t="inlineStr">
        <is>
          <t>ST 3D</t>
        </is>
      </c>
      <c r="I316" s="627" t="inlineStr">
        <is>
          <t>Small</t>
        </is>
      </c>
      <c r="J316" s="628" t="inlineStr">
        <is>
          <t>MS ZH BSHB AC ST PP</t>
        </is>
      </c>
      <c r="K316" s="629" t="inlineStr">
        <is>
          <t>Fast</t>
        </is>
      </c>
      <c r="L316" s="629" t="inlineStr">
        <is>
          <t>BOX</t>
        </is>
      </c>
      <c r="M316" s="643" t="n">
        <v>75.65000000000001</v>
      </c>
      <c r="N316" s="631" t="inlineStr">
        <is>
          <t>PLATINUM</t>
        </is>
      </c>
      <c r="O316" s="627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600">
        <f>_xludf.IFNA(_xlfn.XLOOKUP(Table3[[#This Row],[SKU]],'00_Yield_Rates'!$B$2:$B$17,'00_Yield_Rates'!$E$2:$E$17),"")</f>
        <v/>
      </c>
    </row>
    <row r="317">
      <c r="A317" s="625" t="inlineStr">
        <is>
          <t>Tray_Pack</t>
        </is>
      </c>
      <c r="B317" s="634" t="n">
        <v>200704</v>
      </c>
      <c r="C317" s="645" t="n">
        <v>203021</v>
      </c>
      <c r="D317" s="627" t="inlineStr">
        <is>
          <t>FB</t>
        </is>
      </c>
      <c r="E317" s="627" t="inlineStr">
        <is>
          <t>Whole Bird-Small</t>
        </is>
      </c>
      <c r="F317" s="630" t="n">
        <v>8.601964413739161</v>
      </c>
      <c r="G317" s="627" t="n">
        <v>6</v>
      </c>
      <c r="H317" s="627" t="inlineStr">
        <is>
          <t>ST 3XP</t>
        </is>
      </c>
      <c r="I317" s="627" t="inlineStr">
        <is>
          <t>Small</t>
        </is>
      </c>
      <c r="J317" s="628" t="inlineStr">
        <is>
          <t>MS ZH FRY WOG AC TI ST PP</t>
        </is>
      </c>
      <c r="K317" s="632" t="inlineStr">
        <is>
          <t>Fast</t>
        </is>
      </c>
      <c r="L317" s="629" t="inlineStr">
        <is>
          <t>BOX</t>
        </is>
      </c>
      <c r="M317" s="643" t="n">
        <v>130.09</v>
      </c>
      <c r="N317" s="631" t="inlineStr">
        <is>
          <t>PLATINUM</t>
        </is>
      </c>
      <c r="O317" s="627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600">
        <f>_xludf.IFNA(_xlfn.XLOOKUP(Table3[[#This Row],[SKU]],'00_Yield_Rates'!$B$2:$B$17,'00_Yield_Rates'!$E$2:$E$17),"")</f>
        <v/>
      </c>
    </row>
    <row r="318">
      <c r="A318" s="625" t="inlineStr">
        <is>
          <t>Tray_Pack</t>
        </is>
      </c>
      <c r="B318" s="634" t="n">
        <v>200705</v>
      </c>
      <c r="C318" s="645" t="n">
        <v>61072</v>
      </c>
      <c r="D318" s="627" t="inlineStr">
        <is>
          <t>FB</t>
        </is>
      </c>
      <c r="E318" s="627" t="inlineStr">
        <is>
          <t>Drum</t>
        </is>
      </c>
      <c r="F318" s="630" t="n">
        <v>3.84381518404907</v>
      </c>
      <c r="G318" s="627" t="n">
        <v>8</v>
      </c>
      <c r="H318" s="635" t="inlineStr">
        <is>
          <t>ST 3D</t>
        </is>
      </c>
      <c r="I318" s="627" t="inlineStr">
        <is>
          <t>Small</t>
        </is>
      </c>
      <c r="J318" s="628" t="inlineStr">
        <is>
          <t>MS ZH DRUM AC ST PP</t>
        </is>
      </c>
      <c r="K318" s="632" t="inlineStr">
        <is>
          <t>Fast</t>
        </is>
      </c>
      <c r="L318" s="629" t="inlineStr">
        <is>
          <t>BOX</t>
        </is>
      </c>
      <c r="M318" s="643" t="n">
        <v>70.31999999999999</v>
      </c>
      <c r="N318" s="631" t="inlineStr">
        <is>
          <t>PLATINUM</t>
        </is>
      </c>
      <c r="O318" s="627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600">
        <f>_xludf.IFNA(_xlfn.XLOOKUP(Table3[[#This Row],[SKU]],'00_Yield_Rates'!$B$2:$B$17,'00_Yield_Rates'!$E$2:$E$17),"")</f>
        <v/>
      </c>
    </row>
    <row r="319">
      <c r="A319" s="625" t="inlineStr">
        <is>
          <t>Tray_Pack</t>
        </is>
      </c>
      <c r="B319" s="634" t="n">
        <v>200706</v>
      </c>
      <c r="C319" s="645" t="inlineStr">
        <is>
          <t>61086F</t>
        </is>
      </c>
      <c r="D319" s="627" t="inlineStr">
        <is>
          <t>FB</t>
        </is>
      </c>
      <c r="E319" s="627" t="inlineStr">
        <is>
          <t>ThighMeat</t>
        </is>
      </c>
      <c r="F319" s="630" t="n">
        <v>4.13464986498649</v>
      </c>
      <c r="G319" s="627" t="n">
        <v>8</v>
      </c>
      <c r="H319" s="627" t="inlineStr">
        <is>
          <t>ST 3D</t>
        </is>
      </c>
      <c r="I319" s="627" t="inlineStr">
        <is>
          <t>Small</t>
        </is>
      </c>
      <c r="J319" s="628" t="inlineStr">
        <is>
          <t>MS ZH BSTHIGH AC ST PP</t>
        </is>
      </c>
      <c r="K319" s="629" t="inlineStr">
        <is>
          <t>Slow</t>
        </is>
      </c>
      <c r="L319" s="629" t="inlineStr">
        <is>
          <t>BOX</t>
        </is>
      </c>
      <c r="M319" s="643" t="n">
        <v>25.34</v>
      </c>
      <c r="N319" s="631" t="inlineStr">
        <is>
          <t>PLATINUM</t>
        </is>
      </c>
      <c r="O319" s="627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600">
        <f>_xludf.IFNA(_xlfn.XLOOKUP(Table3[[#This Row],[SKU]],'00_Yield_Rates'!$B$2:$B$17,'00_Yield_Rates'!$E$2:$E$17),"")</f>
        <v/>
      </c>
    </row>
    <row r="320">
      <c r="A320" s="625" t="inlineStr">
        <is>
          <t>Tray_Pack</t>
        </is>
      </c>
      <c r="B320" s="634" t="n">
        <v>200707</v>
      </c>
      <c r="C320" s="645" t="n">
        <v>61077</v>
      </c>
      <c r="D320" s="627" t="inlineStr">
        <is>
          <t>FB</t>
        </is>
      </c>
      <c r="E320" s="627" t="inlineStr">
        <is>
          <t>Thigh</t>
        </is>
      </c>
      <c r="F320" s="630" t="n">
        <v>4.26760229720028</v>
      </c>
      <c r="G320" s="627" t="n">
        <v>8</v>
      </c>
      <c r="H320" s="627" t="inlineStr">
        <is>
          <t>ST 3D</t>
        </is>
      </c>
      <c r="I320" s="627" t="inlineStr">
        <is>
          <t>Small</t>
        </is>
      </c>
      <c r="J320" s="628" t="inlineStr">
        <is>
          <t>MS ZH THIGH AC ST PP</t>
        </is>
      </c>
      <c r="K320" s="632" t="inlineStr">
        <is>
          <t>Fast</t>
        </is>
      </c>
      <c r="L320" s="629" t="inlineStr">
        <is>
          <t>BOX</t>
        </is>
      </c>
      <c r="M320" s="643" t="n">
        <v>51.14</v>
      </c>
      <c r="N320" s="631" t="inlineStr">
        <is>
          <t>PLATINUM</t>
        </is>
      </c>
      <c r="O320" s="627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600">
        <f>_xludf.IFNA(_xlfn.XLOOKUP(Table3[[#This Row],[SKU]],'00_Yield_Rates'!$B$2:$B$17,'00_Yield_Rates'!$E$2:$E$17),"")</f>
        <v/>
      </c>
    </row>
    <row r="321">
      <c r="A321" s="625" t="inlineStr">
        <is>
          <t>Tray_Pack</t>
        </is>
      </c>
      <c r="B321" s="634" t="n">
        <v>200708</v>
      </c>
      <c r="C321" s="645" t="n">
        <v>61014</v>
      </c>
      <c r="D321" s="627" t="inlineStr">
        <is>
          <t>FB</t>
        </is>
      </c>
      <c r="E321" s="627" t="inlineStr">
        <is>
          <t>SplitWing</t>
        </is>
      </c>
      <c r="F321" s="630" t="n"/>
      <c r="G321" s="627" t="n">
        <v>8</v>
      </c>
      <c r="H321" s="627" t="inlineStr">
        <is>
          <t>ST 3D</t>
        </is>
      </c>
      <c r="I321" s="627" t="inlineStr">
        <is>
          <t>Small</t>
        </is>
      </c>
      <c r="J321" s="628" t="inlineStr">
        <is>
          <t>MS ZH SPL WING AC ST PP</t>
        </is>
      </c>
      <c r="K321" s="629" t="inlineStr">
        <is>
          <t>Slow</t>
        </is>
      </c>
      <c r="L321" s="629" t="inlineStr">
        <is>
          <t>BOX</t>
        </is>
      </c>
      <c r="M321" s="643" t="n">
        <v>29.13</v>
      </c>
      <c r="N321" s="631" t="inlineStr">
        <is>
          <t>PLATINUM</t>
        </is>
      </c>
      <c r="O321" s="627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600">
        <f>_xludf.IFNA(_xlfn.XLOOKUP(Table3[[#This Row],[SKU]],'00_Yield_Rates'!$B$2:$B$17,'00_Yield_Rates'!$E$2:$E$17),"")</f>
        <v/>
      </c>
    </row>
    <row r="322">
      <c r="A322" s="625" t="inlineStr">
        <is>
          <t>Tray_Pack</t>
        </is>
      </c>
      <c r="B322" s="634" t="n">
        <v>200709</v>
      </c>
      <c r="C322" s="645" t="inlineStr">
        <is>
          <t>61050F</t>
        </is>
      </c>
      <c r="D322" s="627" t="inlineStr">
        <is>
          <t>METRO</t>
        </is>
      </c>
      <c r="E322" s="627" t="inlineStr">
        <is>
          <t>BSB</t>
        </is>
      </c>
      <c r="F322" s="630" t="n">
        <v>3.78437516333037</v>
      </c>
      <c r="G322" s="627" t="n">
        <v>8</v>
      </c>
      <c r="H322" s="627" t="inlineStr">
        <is>
          <t>ST 3D</t>
        </is>
      </c>
      <c r="I322" s="627" t="inlineStr">
        <is>
          <t>Small</t>
        </is>
      </c>
      <c r="J322" s="628" t="inlineStr">
        <is>
          <t>MS ZH BSHB AC ST</t>
        </is>
      </c>
      <c r="K322" s="629" t="inlineStr">
        <is>
          <t>Fast</t>
        </is>
      </c>
      <c r="L322" s="629" t="inlineStr">
        <is>
          <t>BOX</t>
        </is>
      </c>
      <c r="M322" s="643" t="n">
        <v>75.65000000000001</v>
      </c>
      <c r="N322" s="631" t="inlineStr">
        <is>
          <t>PLATINUM</t>
        </is>
      </c>
      <c r="O322" s="627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600">
        <f>_xludf.IFNA(_xlfn.XLOOKUP(Table3[[#This Row],[SKU]],'00_Yield_Rates'!$B$2:$B$17,'00_Yield_Rates'!$E$2:$E$17),"")</f>
        <v/>
      </c>
    </row>
    <row r="323">
      <c r="A323" s="625" t="inlineStr">
        <is>
          <t>Tray_Pack</t>
        </is>
      </c>
      <c r="B323" s="634" t="n">
        <v>200710</v>
      </c>
      <c r="C323" s="645" t="n">
        <v>203021</v>
      </c>
      <c r="D323" s="627" t="inlineStr">
        <is>
          <t>METRO</t>
        </is>
      </c>
      <c r="E323" s="627" t="inlineStr">
        <is>
          <t>Whole Bird-Small</t>
        </is>
      </c>
      <c r="F323" s="630" t="n">
        <v>8.555434281322061</v>
      </c>
      <c r="G323" s="627" t="n">
        <v>6</v>
      </c>
      <c r="H323" s="627" t="inlineStr">
        <is>
          <t>ST 3XP</t>
        </is>
      </c>
      <c r="I323" s="627" t="inlineStr">
        <is>
          <t>Small</t>
        </is>
      </c>
      <c r="J323" s="628" t="inlineStr">
        <is>
          <t>MS ZH FRY WOG AC TI ST</t>
        </is>
      </c>
      <c r="K323" s="632" t="inlineStr">
        <is>
          <t>Fast</t>
        </is>
      </c>
      <c r="L323" s="629" t="inlineStr">
        <is>
          <t>BOX</t>
        </is>
      </c>
      <c r="M323" s="643" t="n">
        <v>130.09</v>
      </c>
      <c r="N323" s="631" t="n"/>
      <c r="O323" s="627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600">
        <f>_xludf.IFNA(_xlfn.XLOOKUP(Table3[[#This Row],[SKU]],'00_Yield_Rates'!$B$2:$B$17,'00_Yield_Rates'!$E$2:$E$17),"")</f>
        <v/>
      </c>
    </row>
    <row r="324">
      <c r="A324" s="625" t="inlineStr">
        <is>
          <t>Tray_Pack</t>
        </is>
      </c>
      <c r="B324" s="634" t="n">
        <v>200711</v>
      </c>
      <c r="C324" s="645" t="n">
        <v>61072</v>
      </c>
      <c r="D324" s="627" t="inlineStr">
        <is>
          <t>METRO</t>
        </is>
      </c>
      <c r="E324" s="627" t="inlineStr">
        <is>
          <t>Drum</t>
        </is>
      </c>
      <c r="F324" s="630" t="n">
        <v>3.88366227596631</v>
      </c>
      <c r="G324" s="627" t="n">
        <v>8</v>
      </c>
      <c r="H324" s="627" t="inlineStr">
        <is>
          <t>ST 3D</t>
        </is>
      </c>
      <c r="I324" s="627" t="inlineStr">
        <is>
          <t>Small</t>
        </is>
      </c>
      <c r="J324" s="628" t="inlineStr">
        <is>
          <t>MS ZH DRUM AC ST</t>
        </is>
      </c>
      <c r="K324" s="632" t="inlineStr">
        <is>
          <t>Fast</t>
        </is>
      </c>
      <c r="L324" s="629" t="inlineStr">
        <is>
          <t>BOX</t>
        </is>
      </c>
      <c r="M324" s="643" t="n">
        <v>70.31999999999999</v>
      </c>
      <c r="N324" s="631" t="inlineStr">
        <is>
          <t>PLATINUM</t>
        </is>
      </c>
      <c r="O324" s="627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600">
        <f>_xludf.IFNA(_xlfn.XLOOKUP(Table3[[#This Row],[SKU]],'00_Yield_Rates'!$B$2:$B$17,'00_Yield_Rates'!$E$2:$E$17),"")</f>
        <v/>
      </c>
    </row>
    <row r="325">
      <c r="A325" s="625" t="inlineStr">
        <is>
          <t>Tray_Pack</t>
        </is>
      </c>
      <c r="B325" s="634" t="n">
        <v>200712</v>
      </c>
      <c r="C325" s="627" t="inlineStr">
        <is>
          <t>61086F</t>
        </is>
      </c>
      <c r="D325" s="627" t="inlineStr">
        <is>
          <t>METRO</t>
        </is>
      </c>
      <c r="E325" s="627" t="inlineStr">
        <is>
          <t>ThighMeat</t>
        </is>
      </c>
      <c r="F325" s="630" t="n">
        <v>4.20831002034588</v>
      </c>
      <c r="G325" s="627" t="n">
        <v>8</v>
      </c>
      <c r="H325" s="627" t="inlineStr">
        <is>
          <t>ST 3D</t>
        </is>
      </c>
      <c r="I325" s="627" t="inlineStr">
        <is>
          <t>Small</t>
        </is>
      </c>
      <c r="J325" s="628" t="inlineStr">
        <is>
          <t>MS ZH BSTHIGH AC ST</t>
        </is>
      </c>
      <c r="K325" s="629" t="inlineStr">
        <is>
          <t>Slow</t>
        </is>
      </c>
      <c r="L325" s="629" t="inlineStr">
        <is>
          <t>BOX</t>
        </is>
      </c>
      <c r="M325" s="643" t="n">
        <v>25.34</v>
      </c>
      <c r="N325" s="631" t="inlineStr">
        <is>
          <t>PLATINUM</t>
        </is>
      </c>
      <c r="O325" s="627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600">
        <f>_xludf.IFNA(_xlfn.XLOOKUP(Table3[[#This Row],[SKU]],'00_Yield_Rates'!$B$2:$B$17,'00_Yield_Rates'!$E$2:$E$17),"")</f>
        <v/>
      </c>
    </row>
    <row r="326">
      <c r="A326" s="625" t="inlineStr">
        <is>
          <t>Tray_Pack</t>
        </is>
      </c>
      <c r="B326" s="634" t="n">
        <v>200713</v>
      </c>
      <c r="C326" s="627" t="n">
        <v>61077</v>
      </c>
      <c r="D326" s="627" t="inlineStr">
        <is>
          <t>METRO</t>
        </is>
      </c>
      <c r="E326" s="627" t="inlineStr">
        <is>
          <t>Thigh</t>
        </is>
      </c>
      <c r="F326" s="630" t="n">
        <v>4.29186909090909</v>
      </c>
      <c r="G326" s="627" t="n">
        <v>8</v>
      </c>
      <c r="H326" s="635" t="inlineStr">
        <is>
          <t>ST 3D</t>
        </is>
      </c>
      <c r="I326" s="627" t="inlineStr">
        <is>
          <t>Small</t>
        </is>
      </c>
      <c r="J326" s="628" t="inlineStr">
        <is>
          <t>MS ZH THIGH AC ST</t>
        </is>
      </c>
      <c r="K326" s="632" t="inlineStr">
        <is>
          <t>Fast</t>
        </is>
      </c>
      <c r="L326" s="629" t="inlineStr">
        <is>
          <t>BOX</t>
        </is>
      </c>
      <c r="M326" s="643" t="n">
        <v>51.14</v>
      </c>
      <c r="N326" s="631" t="inlineStr">
        <is>
          <t>PLATINUM</t>
        </is>
      </c>
      <c r="O326" s="627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600">
        <f>_xludf.IFNA(_xlfn.XLOOKUP(Table3[[#This Row],[SKU]],'00_Yield_Rates'!$B$2:$B$17,'00_Yield_Rates'!$E$2:$E$17),"")</f>
        <v/>
      </c>
    </row>
    <row r="327">
      <c r="A327" s="625" t="inlineStr">
        <is>
          <t>Tray_Pack</t>
        </is>
      </c>
      <c r="B327" s="634" t="n">
        <v>200714</v>
      </c>
      <c r="C327" s="627" t="n">
        <v>61014</v>
      </c>
      <c r="D327" s="627" t="inlineStr">
        <is>
          <t>METRO</t>
        </is>
      </c>
      <c r="E327" s="627" t="inlineStr">
        <is>
          <t>SplitWing</t>
        </is>
      </c>
      <c r="F327" s="630" t="n">
        <v>3.7048650269946</v>
      </c>
      <c r="G327" s="627" t="n">
        <v>8</v>
      </c>
      <c r="H327" s="627" t="inlineStr">
        <is>
          <t>ST 3D</t>
        </is>
      </c>
      <c r="I327" s="627" t="inlineStr">
        <is>
          <t>Small</t>
        </is>
      </c>
      <c r="J327" s="628" t="inlineStr">
        <is>
          <t>MS ZH SPL WING AC ST</t>
        </is>
      </c>
      <c r="K327" s="629" t="inlineStr">
        <is>
          <t>Slow</t>
        </is>
      </c>
      <c r="L327" s="643" t="inlineStr">
        <is>
          <t>BOX</t>
        </is>
      </c>
      <c r="M327" s="643" t="n">
        <v>29.13</v>
      </c>
      <c r="N327" s="631" t="inlineStr">
        <is>
          <t>PLATINUM</t>
        </is>
      </c>
      <c r="O327" s="627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600">
        <f>_xludf.IFNA(_xlfn.XLOOKUP(Table3[[#This Row],[SKU]],'00_Yield_Rates'!$B$2:$B$17,'00_Yield_Rates'!$E$2:$E$17),"")</f>
        <v/>
      </c>
    </row>
    <row r="328">
      <c r="A328" s="625" t="inlineStr">
        <is>
          <t>Tray_Pack</t>
        </is>
      </c>
      <c r="B328" s="634" t="n">
        <v>200715</v>
      </c>
      <c r="C328" s="627" t="inlineStr">
        <is>
          <t>61050F</t>
        </is>
      </c>
      <c r="D328" s="627" t="inlineStr">
        <is>
          <t>FB</t>
        </is>
      </c>
      <c r="E328" s="627" t="inlineStr">
        <is>
          <t>BSB</t>
        </is>
      </c>
      <c r="F328" s="630" t="n">
        <v>8.97766937308665</v>
      </c>
      <c r="G328" s="627" t="n">
        <v>8</v>
      </c>
      <c r="H328" s="627" t="inlineStr">
        <is>
          <t>LT 8XP</t>
        </is>
      </c>
      <c r="I328" s="627" t="inlineStr">
        <is>
          <t>Large</t>
        </is>
      </c>
      <c r="J328" s="628" t="inlineStr">
        <is>
          <t>MS ZH BSHB AC LT PP</t>
        </is>
      </c>
      <c r="K328" s="629" t="inlineStr">
        <is>
          <t>Fast</t>
        </is>
      </c>
      <c r="L328" s="629" t="inlineStr">
        <is>
          <t>BOX</t>
        </is>
      </c>
      <c r="M328" s="643" t="n">
        <v>144.32</v>
      </c>
      <c r="N328" s="631" t="inlineStr">
        <is>
          <t>PLATINUM</t>
        </is>
      </c>
      <c r="O328" s="627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600">
        <f>_xludf.IFNA(_xlfn.XLOOKUP(Table3[[#This Row],[SKU]],'00_Yield_Rates'!$B$2:$B$17,'00_Yield_Rates'!$E$2:$E$17),"")</f>
        <v/>
      </c>
    </row>
    <row r="329">
      <c r="A329" s="625" t="inlineStr">
        <is>
          <t>Tray_Pack</t>
        </is>
      </c>
      <c r="B329" s="626" t="n">
        <v>200716</v>
      </c>
      <c r="C329" s="627" t="n">
        <v>61077</v>
      </c>
      <c r="D329" s="627" t="inlineStr">
        <is>
          <t>FB</t>
        </is>
      </c>
      <c r="E329" s="627" t="inlineStr">
        <is>
          <t>Thigh</t>
        </is>
      </c>
      <c r="F329" s="630" t="n">
        <v>8.553744873731921</v>
      </c>
      <c r="G329" s="627" t="n">
        <v>8</v>
      </c>
      <c r="H329" s="627" t="inlineStr">
        <is>
          <t>LT 8XP</t>
        </is>
      </c>
      <c r="I329" s="627" t="inlineStr">
        <is>
          <t>Large</t>
        </is>
      </c>
      <c r="J329" s="628" t="inlineStr">
        <is>
          <t>MS ZH THIGH AC LT PP</t>
        </is>
      </c>
      <c r="K329" s="632" t="inlineStr">
        <is>
          <t>Fast</t>
        </is>
      </c>
      <c r="L329" s="643" t="inlineStr">
        <is>
          <t>BOX</t>
        </is>
      </c>
      <c r="M329" s="630" t="n">
        <v>72.03</v>
      </c>
      <c r="N329" s="627" t="inlineStr">
        <is>
          <t>PLATINUM</t>
        </is>
      </c>
      <c r="O329" s="627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600">
        <f>_xludf.IFNA(_xlfn.XLOOKUP(Table3[[#This Row],[SKU]],'00_Yield_Rates'!$B$2:$B$17,'00_Yield_Rates'!$E$2:$E$17),"")</f>
        <v/>
      </c>
    </row>
    <row r="330">
      <c r="A330" s="625" t="inlineStr">
        <is>
          <t>Tray_Pack</t>
        </is>
      </c>
      <c r="B330" s="626" t="n">
        <v>200717</v>
      </c>
      <c r="C330" s="627" t="n">
        <v>61072</v>
      </c>
      <c r="D330" s="627" t="inlineStr">
        <is>
          <t>FB</t>
        </is>
      </c>
      <c r="E330" s="627" t="inlineStr">
        <is>
          <t>Drum</t>
        </is>
      </c>
      <c r="F330" s="630" t="n">
        <v>7.79173990802248</v>
      </c>
      <c r="G330" s="627" t="n">
        <v>8</v>
      </c>
      <c r="H330" s="627" t="inlineStr">
        <is>
          <t>LT 8XP</t>
        </is>
      </c>
      <c r="I330" s="627" t="inlineStr">
        <is>
          <t>Large</t>
        </is>
      </c>
      <c r="J330" s="628" t="inlineStr">
        <is>
          <t>MS ZH DRUM AC LT PP</t>
        </is>
      </c>
      <c r="K330" s="632" t="inlineStr">
        <is>
          <t>Fast</t>
        </is>
      </c>
      <c r="L330" s="643" t="inlineStr">
        <is>
          <t>BOX</t>
        </is>
      </c>
      <c r="M330" s="630" t="n">
        <v>58.08</v>
      </c>
      <c r="N330" s="627" t="inlineStr">
        <is>
          <t>PLATINUM</t>
        </is>
      </c>
      <c r="O330" s="627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600">
        <f>_xludf.IFNA(_xlfn.XLOOKUP(Table3[[#This Row],[SKU]],'00_Yield_Rates'!$B$2:$B$17,'00_Yield_Rates'!$E$2:$E$17),"")</f>
        <v/>
      </c>
    </row>
    <row r="331">
      <c r="A331" s="625" t="inlineStr">
        <is>
          <t>Tray_Pack</t>
        </is>
      </c>
      <c r="B331" s="626" t="n">
        <v>200718</v>
      </c>
      <c r="C331" s="627" t="n">
        <v>61050</v>
      </c>
      <c r="D331" s="627" t="inlineStr">
        <is>
          <t>FB</t>
        </is>
      </c>
      <c r="E331" s="627" t="inlineStr">
        <is>
          <t>BSB</t>
        </is>
      </c>
      <c r="F331" s="630" t="n"/>
      <c r="G331" s="627" t="n">
        <v>8</v>
      </c>
      <c r="H331" s="627" t="inlineStr">
        <is>
          <t>LT 8XP</t>
        </is>
      </c>
      <c r="I331" s="627" t="inlineStr">
        <is>
          <t>Large</t>
        </is>
      </c>
      <c r="J331" s="628" t="inlineStr">
        <is>
          <t>MS ZH BSHB AC LT</t>
        </is>
      </c>
      <c r="K331" s="629" t="inlineStr">
        <is>
          <t>Fast</t>
        </is>
      </c>
      <c r="L331" s="643" t="inlineStr">
        <is>
          <t>BOX</t>
        </is>
      </c>
      <c r="M331" s="630" t="n">
        <v>83.42</v>
      </c>
      <c r="N331" s="627" t="inlineStr">
        <is>
          <t>PLATINUM</t>
        </is>
      </c>
      <c r="O331" s="627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600">
        <f>_xludf.IFNA(_xlfn.XLOOKUP(Table3[[#This Row],[SKU]],'00_Yield_Rates'!$B$2:$B$17,'00_Yield_Rates'!$E$2:$E$17),"")</f>
        <v/>
      </c>
    </row>
    <row r="332">
      <c r="A332" s="625" t="inlineStr">
        <is>
          <t>Tray_Pack</t>
        </is>
      </c>
      <c r="B332" s="626" t="n">
        <v>200721</v>
      </c>
      <c r="C332" s="627" t="n">
        <v>61077</v>
      </c>
      <c r="D332" s="627" t="inlineStr">
        <is>
          <t>FB</t>
        </is>
      </c>
      <c r="E332" s="627" t="inlineStr">
        <is>
          <t>Thigh</t>
        </is>
      </c>
      <c r="F332" s="627" t="n"/>
      <c r="G332" s="627" t="n">
        <v>8</v>
      </c>
      <c r="H332" s="627" t="inlineStr">
        <is>
          <t>LT 8XP</t>
        </is>
      </c>
      <c r="I332" s="627" t="inlineStr">
        <is>
          <t>Large</t>
        </is>
      </c>
      <c r="J332" s="628" t="inlineStr">
        <is>
          <t>MS ZH THIGH AC LT</t>
        </is>
      </c>
      <c r="K332" s="632" t="inlineStr">
        <is>
          <t>Fast</t>
        </is>
      </c>
      <c r="L332" s="643" t="inlineStr">
        <is>
          <t>BOX</t>
        </is>
      </c>
      <c r="M332" s="630" t="n">
        <v>65.81</v>
      </c>
      <c r="N332" s="627" t="inlineStr">
        <is>
          <t>PLATINUM</t>
        </is>
      </c>
      <c r="O332" s="627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600">
        <f>_xludf.IFNA(_xlfn.XLOOKUP(Table3[[#This Row],[SKU]],'00_Yield_Rates'!$B$2:$B$17,'00_Yield_Rates'!$E$2:$E$17),"")</f>
        <v/>
      </c>
    </row>
    <row r="333">
      <c r="A333" s="625" t="inlineStr">
        <is>
          <t>Tray_Pack</t>
        </is>
      </c>
      <c r="B333" s="626" t="n">
        <v>200722</v>
      </c>
      <c r="C333" s="627" t="n">
        <v>61072</v>
      </c>
      <c r="D333" s="627" t="inlineStr">
        <is>
          <t>FB</t>
        </is>
      </c>
      <c r="E333" s="627" t="inlineStr">
        <is>
          <t>Drum</t>
        </is>
      </c>
      <c r="F333" s="627" t="n"/>
      <c r="G333" s="627" t="n">
        <v>8</v>
      </c>
      <c r="H333" s="627" t="inlineStr">
        <is>
          <t>LT 8XP</t>
        </is>
      </c>
      <c r="I333" s="627" t="inlineStr">
        <is>
          <t>Large</t>
        </is>
      </c>
      <c r="J333" s="628" t="inlineStr">
        <is>
          <t>MS ZH DRUM AC LT</t>
        </is>
      </c>
      <c r="K333" s="632" t="inlineStr">
        <is>
          <t>Fast</t>
        </is>
      </c>
      <c r="L333" s="643" t="inlineStr">
        <is>
          <t>BOX</t>
        </is>
      </c>
      <c r="M333" s="630" t="n">
        <v>69.39</v>
      </c>
      <c r="N333" s="627" t="inlineStr">
        <is>
          <t>PLATINUM</t>
        </is>
      </c>
      <c r="O333" s="627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600">
        <f>_xludf.IFNA(_xlfn.XLOOKUP(Table3[[#This Row],[SKU]],'00_Yield_Rates'!$B$2:$B$17,'00_Yield_Rates'!$E$2:$E$17),"")</f>
        <v/>
      </c>
    </row>
    <row r="334">
      <c r="A334" s="625" t="inlineStr">
        <is>
          <t>Tray_Pack</t>
        </is>
      </c>
      <c r="B334" s="626" t="n">
        <v>200723</v>
      </c>
      <c r="C334" s="627" t="inlineStr">
        <is>
          <t>61050F</t>
        </is>
      </c>
      <c r="D334" s="627" t="inlineStr">
        <is>
          <t>FB</t>
        </is>
      </c>
      <c r="E334" s="627" t="inlineStr">
        <is>
          <t>BSB</t>
        </is>
      </c>
      <c r="F334" s="627" t="n">
        <v>9.31944086021505</v>
      </c>
      <c r="G334" s="627" t="n">
        <v>8</v>
      </c>
      <c r="H334" s="627" t="inlineStr">
        <is>
          <t>LT 8XP</t>
        </is>
      </c>
      <c r="I334" s="627" t="inlineStr">
        <is>
          <t>Large</t>
        </is>
      </c>
      <c r="J334" s="628" t="inlineStr">
        <is>
          <t>MS ZH BSHB AC LT PP</t>
        </is>
      </c>
      <c r="K334" s="629" t="inlineStr">
        <is>
          <t>Fast</t>
        </is>
      </c>
      <c r="L334" s="643" t="inlineStr">
        <is>
          <t>BOX</t>
        </is>
      </c>
      <c r="M334" s="630" t="n">
        <v>144.32</v>
      </c>
      <c r="N334" s="627" t="inlineStr">
        <is>
          <t>PLATINUM</t>
        </is>
      </c>
      <c r="O334" s="627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600">
        <f>_xludf.IFNA(_xlfn.XLOOKUP(Table3[[#This Row],[SKU]],'00_Yield_Rates'!$B$2:$B$17,'00_Yield_Rates'!$E$2:$E$17),"")</f>
        <v/>
      </c>
    </row>
    <row r="335">
      <c r="A335" s="625" t="inlineStr">
        <is>
          <t>Tray_Pack</t>
        </is>
      </c>
      <c r="B335" s="626" t="n">
        <v>200724</v>
      </c>
      <c r="C335" s="627" t="n">
        <v>61071</v>
      </c>
      <c r="D335" s="627" t="inlineStr">
        <is>
          <t>FB</t>
        </is>
      </c>
      <c r="E335" s="627" t="inlineStr">
        <is>
          <t>Drum</t>
        </is>
      </c>
      <c r="F335" s="630" t="n">
        <v>3.70871594281089</v>
      </c>
      <c r="G335" s="627" t="n">
        <v>8</v>
      </c>
      <c r="H335" s="627" t="inlineStr">
        <is>
          <t>ST 3D</t>
        </is>
      </c>
      <c r="I335" s="627" t="inlineStr">
        <is>
          <t>Small</t>
        </is>
      </c>
      <c r="J335" s="628" t="inlineStr">
        <is>
          <t>MS ZH SKLS DRUM AC 3D PP</t>
        </is>
      </c>
      <c r="K335" s="632" t="inlineStr">
        <is>
          <t>Fast</t>
        </is>
      </c>
      <c r="L335" s="643" t="inlineStr">
        <is>
          <t>BOX</t>
        </is>
      </c>
      <c r="M335" s="630" t="n">
        <v>51.47</v>
      </c>
      <c r="N335" s="627" t="inlineStr">
        <is>
          <t>PLATINUM</t>
        </is>
      </c>
      <c r="O335" s="627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600">
        <f>_xludf.IFNA(_xlfn.XLOOKUP(Table3[[#This Row],[SKU]],'00_Yield_Rates'!$B$2:$B$17,'00_Yield_Rates'!$E$2:$E$17),"")</f>
        <v/>
      </c>
    </row>
    <row r="336">
      <c r="A336" s="625" t="inlineStr">
        <is>
          <t>Tray_Pack</t>
        </is>
      </c>
      <c r="B336" s="626" t="n">
        <v>200725</v>
      </c>
      <c r="C336" s="627" t="n">
        <v>61050</v>
      </c>
      <c r="D336" s="627" t="inlineStr">
        <is>
          <t>METRO</t>
        </is>
      </c>
      <c r="E336" s="627" t="inlineStr">
        <is>
          <t>BSB</t>
        </is>
      </c>
      <c r="F336" s="627" t="n">
        <v>9.31944086021505</v>
      </c>
      <c r="G336" s="627" t="n">
        <v>8</v>
      </c>
      <c r="H336" s="627" t="inlineStr">
        <is>
          <t>LT 8XP</t>
        </is>
      </c>
      <c r="I336" s="627" t="inlineStr">
        <is>
          <t>Large</t>
        </is>
      </c>
      <c r="J336" s="628" t="inlineStr">
        <is>
          <t>MS ZH BSHB AC 8XP</t>
        </is>
      </c>
      <c r="K336" s="643" t="inlineStr">
        <is>
          <t>Fast</t>
        </is>
      </c>
      <c r="L336" s="643" t="inlineStr">
        <is>
          <t>BOX</t>
        </is>
      </c>
      <c r="M336" s="630" t="n">
        <v>107.9</v>
      </c>
      <c r="N336" s="627" t="inlineStr">
        <is>
          <t>PLATINUM</t>
        </is>
      </c>
      <c r="O336" s="627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600">
        <f>_xludf.IFNA(_xlfn.XLOOKUP(Table3[[#This Row],[SKU]],'00_Yield_Rates'!$B$2:$B$17,'00_Yield_Rates'!$E$2:$E$17),"")</f>
        <v/>
      </c>
    </row>
    <row r="337">
      <c r="A337" s="625" t="inlineStr">
        <is>
          <t>Tray_Pack</t>
        </is>
      </c>
      <c r="B337" s="626" t="n">
        <v>200726</v>
      </c>
      <c r="C337" s="627" t="n">
        <v>61077</v>
      </c>
      <c r="D337" s="627" t="inlineStr">
        <is>
          <t>METRO</t>
        </is>
      </c>
      <c r="E337" s="627" t="inlineStr">
        <is>
          <t>Thigh</t>
        </is>
      </c>
      <c r="F337" s="630" t="n">
        <v>8.553744873731921</v>
      </c>
      <c r="G337" s="627" t="n">
        <v>8</v>
      </c>
      <c r="H337" s="627" t="inlineStr">
        <is>
          <t>LT 8XP</t>
        </is>
      </c>
      <c r="I337" s="627" t="inlineStr">
        <is>
          <t>Large</t>
        </is>
      </c>
      <c r="J337" s="628" t="inlineStr">
        <is>
          <t>MS ZH THIGH AC 8XP</t>
        </is>
      </c>
      <c r="K337" s="643" t="inlineStr">
        <is>
          <t>Fast</t>
        </is>
      </c>
      <c r="L337" s="643" t="inlineStr">
        <is>
          <t>BOX</t>
        </is>
      </c>
      <c r="M337" s="630" t="n">
        <v>71.43000000000001</v>
      </c>
      <c r="N337" s="627" t="inlineStr">
        <is>
          <t>PLATINUM</t>
        </is>
      </c>
      <c r="O337" s="627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600">
        <f>_xludf.IFNA(_xlfn.XLOOKUP(Table3[[#This Row],[SKU]],'00_Yield_Rates'!$B$2:$B$17,'00_Yield_Rates'!$E$2:$E$17),"")</f>
        <v/>
      </c>
    </row>
    <row r="338">
      <c r="A338" s="625" t="inlineStr">
        <is>
          <t>Tray_Pack</t>
        </is>
      </c>
      <c r="B338" s="626" t="n">
        <v>200727</v>
      </c>
      <c r="C338" s="627" t="n">
        <v>61072</v>
      </c>
      <c r="D338" s="627" t="inlineStr">
        <is>
          <t>METRO</t>
        </is>
      </c>
      <c r="E338" s="627" t="inlineStr">
        <is>
          <t>Drum</t>
        </is>
      </c>
      <c r="F338" s="627" t="n">
        <v>8.0399191303195</v>
      </c>
      <c r="G338" s="627" t="n">
        <v>8</v>
      </c>
      <c r="H338" s="627" t="inlineStr">
        <is>
          <t>LT 8XP</t>
        </is>
      </c>
      <c r="I338" s="627" t="inlineStr">
        <is>
          <t>Large</t>
        </is>
      </c>
      <c r="J338" s="628" t="inlineStr">
        <is>
          <t>MS ZH DRUM AC 8XP</t>
        </is>
      </c>
      <c r="K338" s="643" t="inlineStr">
        <is>
          <t>Fast</t>
        </is>
      </c>
      <c r="L338" s="643" t="inlineStr">
        <is>
          <t>BOX</t>
        </is>
      </c>
      <c r="M338" s="630" t="n">
        <v>68.64</v>
      </c>
      <c r="N338" s="627" t="inlineStr">
        <is>
          <t>PLATINUM</t>
        </is>
      </c>
      <c r="O338" s="627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600">
        <f>_xludf.IFNA(_xlfn.XLOOKUP(Table3[[#This Row],[SKU]],'00_Yield_Rates'!$B$2:$B$17,'00_Yield_Rates'!$E$2:$E$17),"")</f>
        <v/>
      </c>
    </row>
    <row r="339">
      <c r="A339" s="625" t="inlineStr">
        <is>
          <t>Tray_Pack</t>
        </is>
      </c>
      <c r="B339" s="626" t="n">
        <v>200736</v>
      </c>
      <c r="C339" s="627" t="n">
        <v>61077</v>
      </c>
      <c r="D339" s="627" t="inlineStr">
        <is>
          <t>FB</t>
        </is>
      </c>
      <c r="E339" s="627" t="inlineStr">
        <is>
          <t>Thigh</t>
        </is>
      </c>
      <c r="F339" s="627" t="n"/>
      <c r="G339" s="627" t="n">
        <v>8</v>
      </c>
      <c r="H339" s="635" t="inlineStr">
        <is>
          <t>LT 8XP</t>
        </is>
      </c>
      <c r="I339" s="635" t="inlineStr">
        <is>
          <t>Large</t>
        </is>
      </c>
      <c r="J339" s="628" t="inlineStr">
        <is>
          <t>MS ZH THIGH AC 8D PP</t>
        </is>
      </c>
      <c r="K339" s="632" t="inlineStr">
        <is>
          <t>Fast</t>
        </is>
      </c>
      <c r="L339" s="643" t="inlineStr">
        <is>
          <t>BOX</t>
        </is>
      </c>
      <c r="M339" s="630" t="n">
        <v>72.03</v>
      </c>
      <c r="N339" s="627" t="inlineStr">
        <is>
          <t>PLATINUM</t>
        </is>
      </c>
      <c r="O339" s="627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600">
        <f>_xludf.IFNA(_xlfn.XLOOKUP(Table3[[#This Row],[SKU]],'00_Yield_Rates'!$B$2:$B$17,'00_Yield_Rates'!$E$2:$E$17),"")</f>
        <v/>
      </c>
    </row>
    <row r="340">
      <c r="A340" s="625" t="inlineStr">
        <is>
          <t>Tray_Pack</t>
        </is>
      </c>
      <c r="B340" s="626" t="n">
        <v>200737</v>
      </c>
      <c r="C340" s="627" t="n">
        <v>61072</v>
      </c>
      <c r="D340" s="627" t="inlineStr">
        <is>
          <t>FB</t>
        </is>
      </c>
      <c r="E340" s="627" t="inlineStr">
        <is>
          <t>Drum</t>
        </is>
      </c>
      <c r="F340" s="630" t="n"/>
      <c r="G340" s="627" t="n">
        <v>8</v>
      </c>
      <c r="H340" s="635" t="inlineStr">
        <is>
          <t>LT 8XP</t>
        </is>
      </c>
      <c r="I340" s="627" t="inlineStr">
        <is>
          <t>Large</t>
        </is>
      </c>
      <c r="J340" s="646" t="inlineStr">
        <is>
          <t>MS ZH DRUM AC 8D PP</t>
        </is>
      </c>
      <c r="K340" s="632" t="inlineStr">
        <is>
          <t>Fast</t>
        </is>
      </c>
      <c r="L340" s="643" t="inlineStr">
        <is>
          <t>BOX</t>
        </is>
      </c>
      <c r="M340" s="630" t="n">
        <v>58.08</v>
      </c>
      <c r="N340" s="627" t="inlineStr">
        <is>
          <t>PLATINUM</t>
        </is>
      </c>
      <c r="O340" s="627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600">
        <f>_xludf.IFNA(_xlfn.XLOOKUP(Table3[[#This Row],[SKU]],'00_Yield_Rates'!$B$2:$B$17,'00_Yield_Rates'!$E$2:$E$17),"")</f>
        <v/>
      </c>
    </row>
    <row r="341">
      <c r="A341" s="625" t="inlineStr">
        <is>
          <t>Tray_Pack</t>
        </is>
      </c>
      <c r="B341" s="626" t="n">
        <v>200738</v>
      </c>
      <c r="C341" s="627" t="n">
        <v>203021</v>
      </c>
      <c r="D341" s="627" t="inlineStr">
        <is>
          <t>FB</t>
        </is>
      </c>
      <c r="E341" s="627" t="inlineStr">
        <is>
          <t>Whole Bird-Small</t>
        </is>
      </c>
      <c r="F341" s="627" t="n"/>
      <c r="G341" s="627" t="n">
        <v>6</v>
      </c>
      <c r="H341" s="627" t="inlineStr">
        <is>
          <t>ST 3XP</t>
        </is>
      </c>
      <c r="I341" s="627" t="inlineStr">
        <is>
          <t>Small</t>
        </is>
      </c>
      <c r="J341" s="628" t="inlineStr">
        <is>
          <t>MS ZH FRY WOG AC TI 3XP PP</t>
        </is>
      </c>
      <c r="K341" s="632" t="inlineStr">
        <is>
          <t>Fast</t>
        </is>
      </c>
      <c r="L341" s="643" t="inlineStr">
        <is>
          <t>BOX</t>
        </is>
      </c>
      <c r="M341" s="630" t="n">
        <v>130.09</v>
      </c>
      <c r="N341" s="627" t="inlineStr">
        <is>
          <t>PLATINUM</t>
        </is>
      </c>
      <c r="O341" s="627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600">
        <f>_xludf.IFNA(_xlfn.XLOOKUP(Table3[[#This Row],[SKU]],'00_Yield_Rates'!$B$2:$B$17,'00_Yield_Rates'!$E$2:$E$17),"")</f>
        <v/>
      </c>
    </row>
    <row r="342">
      <c r="A342" s="625" t="inlineStr">
        <is>
          <t>Tray_Pack</t>
        </is>
      </c>
      <c r="B342" s="626" t="n">
        <v>200745</v>
      </c>
      <c r="C342" s="627" t="inlineStr">
        <is>
          <t>61050F</t>
        </is>
      </c>
      <c r="D342" s="627" t="inlineStr">
        <is>
          <t>SHP</t>
        </is>
      </c>
      <c r="E342" s="627" t="inlineStr">
        <is>
          <t>BSB</t>
        </is>
      </c>
      <c r="F342" s="627" t="n">
        <v>3.231666666666667</v>
      </c>
      <c r="G342" s="627" t="n">
        <v>8</v>
      </c>
      <c r="H342" s="627" t="inlineStr">
        <is>
          <t>ST 3D</t>
        </is>
      </c>
      <c r="I342" s="627" t="inlineStr">
        <is>
          <t>Small</t>
        </is>
      </c>
      <c r="J342" s="628" t="inlineStr">
        <is>
          <t>MS HA BSHB AC 3D SHP</t>
        </is>
      </c>
      <c r="K342" s="643" t="inlineStr">
        <is>
          <t>Fast</t>
        </is>
      </c>
      <c r="L342" s="643" t="inlineStr">
        <is>
          <t>BOX</t>
        </is>
      </c>
      <c r="M342" s="630" t="n">
        <v>49.32</v>
      </c>
      <c r="N342" s="627" t="inlineStr">
        <is>
          <t>PLATINUM</t>
        </is>
      </c>
      <c r="O342" s="627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600">
        <f>_xludf.IFNA(_xlfn.XLOOKUP(Table3[[#This Row],[SKU]],'00_Yield_Rates'!$B$2:$B$17,'00_Yield_Rates'!$E$2:$E$17),"")</f>
        <v/>
      </c>
    </row>
    <row r="343">
      <c r="A343" s="625" t="inlineStr">
        <is>
          <t>Tray_Pack</t>
        </is>
      </c>
      <c r="B343" s="626" t="n">
        <v>200746</v>
      </c>
      <c r="C343" s="627" t="n">
        <v>61077</v>
      </c>
      <c r="D343" s="627" t="inlineStr">
        <is>
          <t>SHP</t>
        </is>
      </c>
      <c r="E343" s="627" t="inlineStr">
        <is>
          <t>Thigh</t>
        </is>
      </c>
      <c r="F343" s="627" t="n">
        <v>4.175</v>
      </c>
      <c r="G343" s="627" t="n">
        <v>8</v>
      </c>
      <c r="H343" s="627" t="inlineStr">
        <is>
          <t>ST 3D</t>
        </is>
      </c>
      <c r="I343" s="627" t="inlineStr">
        <is>
          <t>Small</t>
        </is>
      </c>
      <c r="J343" s="628" t="inlineStr">
        <is>
          <t>MS HA THIGH AC 3D SHP</t>
        </is>
      </c>
      <c r="K343" s="643" t="inlineStr">
        <is>
          <t>Fast</t>
        </is>
      </c>
      <c r="L343" s="643" t="inlineStr">
        <is>
          <t>BOX</t>
        </is>
      </c>
      <c r="M343" s="630" t="n">
        <v>41.88</v>
      </c>
      <c r="N343" s="627" t="inlineStr">
        <is>
          <t>PLATINUM</t>
        </is>
      </c>
      <c r="O343" s="627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600">
        <f>_xludf.IFNA(_xlfn.XLOOKUP(Table3[[#This Row],[SKU]],'00_Yield_Rates'!$B$2:$B$17,'00_Yield_Rates'!$E$2:$E$17),"")</f>
        <v/>
      </c>
    </row>
    <row r="344">
      <c r="A344" s="625" t="inlineStr">
        <is>
          <t>Tray_Pack</t>
        </is>
      </c>
      <c r="B344" s="626" t="n">
        <v>200747</v>
      </c>
      <c r="C344" s="627" t="inlineStr">
        <is>
          <t>61086F</t>
        </is>
      </c>
      <c r="D344" s="627" t="inlineStr">
        <is>
          <t>SHP</t>
        </is>
      </c>
      <c r="E344" s="627" t="inlineStr">
        <is>
          <t>ThighMeat</t>
        </is>
      </c>
      <c r="F344" s="627" t="n">
        <v>3.478333333333333</v>
      </c>
      <c r="G344" s="627" t="n">
        <v>8</v>
      </c>
      <c r="H344" s="627" t="inlineStr">
        <is>
          <t>ST 3D</t>
        </is>
      </c>
      <c r="I344" s="627" t="inlineStr">
        <is>
          <t>Small</t>
        </is>
      </c>
      <c r="J344" s="628" t="inlineStr">
        <is>
          <t>MS HA BSTHIGH AC 3D SHP</t>
        </is>
      </c>
      <c r="K344" s="643" t="inlineStr">
        <is>
          <t>Slow</t>
        </is>
      </c>
      <c r="L344" s="643" t="inlineStr">
        <is>
          <t>BOX</t>
        </is>
      </c>
      <c r="M344" s="630" t="n">
        <v>21.95</v>
      </c>
      <c r="N344" s="627" t="inlineStr">
        <is>
          <t>PLATINUM</t>
        </is>
      </c>
      <c r="O344" s="627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600">
        <f>_xludf.IFNA(_xlfn.XLOOKUP(Table3[[#This Row],[SKU]],'00_Yield_Rates'!$B$2:$B$17,'00_Yield_Rates'!$E$2:$E$17),"")</f>
        <v/>
      </c>
    </row>
    <row r="345">
      <c r="A345" s="625" t="inlineStr">
        <is>
          <t>Tray_Pack</t>
        </is>
      </c>
      <c r="B345" s="626" t="n">
        <v>200748</v>
      </c>
      <c r="C345" s="627" t="n">
        <v>61072</v>
      </c>
      <c r="D345" s="627" t="inlineStr">
        <is>
          <t>SHP</t>
        </is>
      </c>
      <c r="E345" s="627" t="inlineStr">
        <is>
          <t>Drum</t>
        </is>
      </c>
      <c r="F345" s="627" t="n">
        <v>3.6075</v>
      </c>
      <c r="G345" s="627" t="n">
        <v>8</v>
      </c>
      <c r="H345" s="627" t="inlineStr">
        <is>
          <t>ST 3D</t>
        </is>
      </c>
      <c r="I345" s="627" t="inlineStr">
        <is>
          <t>Small</t>
        </is>
      </c>
      <c r="J345" s="628" t="inlineStr">
        <is>
          <t>MS HA DRUM AC 3D SHP</t>
        </is>
      </c>
      <c r="K345" s="643" t="inlineStr">
        <is>
          <t>Fast</t>
        </is>
      </c>
      <c r="L345" s="643" t="inlineStr">
        <is>
          <t>BOX</t>
        </is>
      </c>
      <c r="M345" s="630" t="n">
        <v>42.34</v>
      </c>
      <c r="N345" s="627" t="inlineStr">
        <is>
          <t>PLATINUM</t>
        </is>
      </c>
      <c r="O345" s="627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600">
        <f>_xludf.IFNA(_xlfn.XLOOKUP(Table3[[#This Row],[SKU]],'00_Yield_Rates'!$B$2:$B$17,'00_Yield_Rates'!$E$2:$E$17),"")</f>
        <v/>
      </c>
    </row>
    <row r="346">
      <c r="A346" s="625" t="inlineStr">
        <is>
          <t>Tray_Pack</t>
        </is>
      </c>
      <c r="B346" s="626" t="n">
        <v>201851</v>
      </c>
      <c r="C346" s="627" t="n">
        <v>61078</v>
      </c>
      <c r="D346" s="627" t="inlineStr">
        <is>
          <t>COSTCO</t>
        </is>
      </c>
      <c r="E346" s="627" t="inlineStr">
        <is>
          <t>Thigh</t>
        </is>
      </c>
      <c r="F346" s="630" t="n">
        <v>20.3956130232558</v>
      </c>
      <c r="G346" s="627" t="n">
        <v>6</v>
      </c>
      <c r="H346" s="627" t="inlineStr">
        <is>
          <t>LT 14D</t>
        </is>
      </c>
      <c r="I346" s="627" t="inlineStr">
        <is>
          <t>Large</t>
        </is>
      </c>
      <c r="J346" s="628" t="inlineStr">
        <is>
          <t>MB COS HA THIGH AC</t>
        </is>
      </c>
      <c r="K346" s="629" t="inlineStr">
        <is>
          <t>Fast</t>
        </is>
      </c>
      <c r="L346" s="643" t="inlineStr">
        <is>
          <t>Costco</t>
        </is>
      </c>
      <c r="M346" s="630" t="n">
        <v>42.09</v>
      </c>
      <c r="N346" s="627" t="inlineStr">
        <is>
          <t>GOLD</t>
        </is>
      </c>
      <c r="O346" s="627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600">
        <f>_xludf.IFNA(_xlfn.XLOOKUP(Table3[[#This Row],[SKU]],'00_Yield_Rates'!$B$2:$B$17,'00_Yield_Rates'!$E$2:$E$17),"")</f>
        <v/>
      </c>
    </row>
    <row r="347">
      <c r="A347" s="625" t="inlineStr">
        <is>
          <t>Tray_Pack</t>
        </is>
      </c>
      <c r="B347" s="626" t="n">
        <v>201853</v>
      </c>
      <c r="C347" s="627" t="inlineStr">
        <is>
          <t>61050C</t>
        </is>
      </c>
      <c r="D347" s="627" t="inlineStr">
        <is>
          <t>COSTCO</t>
        </is>
      </c>
      <c r="E347" s="627" t="inlineStr">
        <is>
          <t>SplitBreast</t>
        </is>
      </c>
      <c r="F347" s="630" t="n">
        <v>12.9150411673895</v>
      </c>
      <c r="G347" s="627" t="n">
        <v>6</v>
      </c>
      <c r="H347" s="627" t="inlineStr">
        <is>
          <t>LT 14D</t>
        </is>
      </c>
      <c r="I347" s="635" t="inlineStr">
        <is>
          <t>Large</t>
        </is>
      </c>
      <c r="J347" s="646" t="inlineStr">
        <is>
          <t>MB COS HA BSHB AC</t>
        </is>
      </c>
      <c r="K347" s="629" t="inlineStr">
        <is>
          <t>Fast</t>
        </is>
      </c>
      <c r="L347" s="643" t="inlineStr">
        <is>
          <t>Costco</t>
        </is>
      </c>
      <c r="M347" s="630" t="n">
        <v>62.66</v>
      </c>
      <c r="N347" s="627" t="inlineStr">
        <is>
          <t>PLATINUM</t>
        </is>
      </c>
      <c r="O347" s="627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600">
        <f>_xludf.IFNA(_xlfn.XLOOKUP(Table3[[#This Row],[SKU]],'00_Yield_Rates'!$B$2:$B$17,'00_Yield_Rates'!$E$2:$E$17),"")</f>
        <v/>
      </c>
    </row>
    <row r="348">
      <c r="A348" s="625" t="inlineStr">
        <is>
          <t>Tray_Pack</t>
        </is>
      </c>
      <c r="B348" s="626" t="n">
        <v>201854</v>
      </c>
      <c r="C348" s="627" t="inlineStr">
        <is>
          <t>61086C</t>
        </is>
      </c>
      <c r="D348" s="627" t="inlineStr">
        <is>
          <t>COSTCO</t>
        </is>
      </c>
      <c r="E348" s="627" t="inlineStr">
        <is>
          <t>ThighMeat</t>
        </is>
      </c>
      <c r="F348" s="627" t="n">
        <v>11.996411544825</v>
      </c>
      <c r="G348" s="627" t="n">
        <v>6</v>
      </c>
      <c r="H348" s="627" t="inlineStr">
        <is>
          <t>LT 14D</t>
        </is>
      </c>
      <c r="I348" s="627" t="inlineStr">
        <is>
          <t>Large</t>
        </is>
      </c>
      <c r="J348" s="646" t="inlineStr">
        <is>
          <t>MB COS HA BSTHIGH AC</t>
        </is>
      </c>
      <c r="K348" s="629" t="inlineStr">
        <is>
          <t>Slow</t>
        </is>
      </c>
      <c r="L348" s="643" t="inlineStr">
        <is>
          <t>Costco</t>
        </is>
      </c>
      <c r="M348" s="630" t="n">
        <v>22.76</v>
      </c>
      <c r="N348" s="627" t="inlineStr">
        <is>
          <t>GOLD</t>
        </is>
      </c>
      <c r="O348" s="627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600">
        <f>_xludf.IFNA(_xlfn.XLOOKUP(Table3[[#This Row],[SKU]],'00_Yield_Rates'!$B$2:$B$17,'00_Yield_Rates'!$E$2:$E$17),"")</f>
        <v/>
      </c>
    </row>
    <row r="349">
      <c r="A349" s="625" t="inlineStr">
        <is>
          <t>Tray_Pack</t>
        </is>
      </c>
      <c r="B349" s="626" t="n">
        <v>201855</v>
      </c>
      <c r="C349" s="627" t="n">
        <v>61072</v>
      </c>
      <c r="D349" s="627" t="inlineStr">
        <is>
          <t>COSTCO</t>
        </is>
      </c>
      <c r="E349" s="627" t="inlineStr">
        <is>
          <t>Drum</t>
        </is>
      </c>
      <c r="F349" s="627" t="n">
        <v>16.6081959766385</v>
      </c>
      <c r="G349" s="627" t="n">
        <v>6</v>
      </c>
      <c r="H349" s="627" t="inlineStr">
        <is>
          <t>LT 14D</t>
        </is>
      </c>
      <c r="I349" s="627" t="inlineStr">
        <is>
          <t>Large</t>
        </is>
      </c>
      <c r="J349" s="628" t="inlineStr">
        <is>
          <t>MB COS HA DRUMS AC</t>
        </is>
      </c>
      <c r="K349" s="629" t="inlineStr">
        <is>
          <t>Fast</t>
        </is>
      </c>
      <c r="L349" s="643" t="inlineStr">
        <is>
          <t>Costco</t>
        </is>
      </c>
      <c r="M349" s="630" t="n">
        <v>45.6</v>
      </c>
      <c r="N349" s="627" t="inlineStr">
        <is>
          <t>GOLD</t>
        </is>
      </c>
      <c r="O349" s="627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600">
        <f>_xludf.IFNA(_xlfn.XLOOKUP(Table3[[#This Row],[SKU]],'00_Yield_Rates'!$B$2:$B$17,'00_Yield_Rates'!$E$2:$E$17),"")</f>
        <v/>
      </c>
    </row>
    <row r="350">
      <c r="A350" s="625" t="inlineStr">
        <is>
          <t>Tray_Pack</t>
        </is>
      </c>
      <c r="B350" s="634" t="n">
        <v>201856</v>
      </c>
      <c r="C350" s="627" t="n">
        <v>61014</v>
      </c>
      <c r="D350" s="627" t="inlineStr">
        <is>
          <t>COSTCO</t>
        </is>
      </c>
      <c r="E350" s="627" t="inlineStr">
        <is>
          <t>SplitWing</t>
        </is>
      </c>
      <c r="F350" s="630" t="n">
        <v>13.1937557251908</v>
      </c>
      <c r="G350" s="635" t="n">
        <v>6</v>
      </c>
      <c r="H350" s="627" t="inlineStr">
        <is>
          <t>LT 14D</t>
        </is>
      </c>
      <c r="I350" s="635" t="inlineStr">
        <is>
          <t>Large</t>
        </is>
      </c>
      <c r="J350" s="636" t="inlineStr">
        <is>
          <t>MB COS HA SPLIT WING AC</t>
        </is>
      </c>
      <c r="K350" s="629" t="inlineStr">
        <is>
          <t>Slow</t>
        </is>
      </c>
      <c r="L350" s="632" t="inlineStr">
        <is>
          <t>Costco</t>
        </is>
      </c>
      <c r="M350" s="633" t="n">
        <v>28.42</v>
      </c>
      <c r="N350" s="640" t="inlineStr">
        <is>
          <t>GOLD</t>
        </is>
      </c>
      <c r="O350" s="627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600">
        <f>_xludf.IFNA(_xlfn.XLOOKUP(Table3[[#This Row],[SKU]],'00_Yield_Rates'!$B$2:$B$17,'00_Yield_Rates'!$E$2:$E$17),"")</f>
        <v/>
      </c>
    </row>
    <row r="351">
      <c r="A351" s="625" t="inlineStr">
        <is>
          <t>Tray_Pack</t>
        </is>
      </c>
      <c r="B351" s="634" t="n">
        <v>207101</v>
      </c>
      <c r="C351" s="627" t="n">
        <v>61077</v>
      </c>
      <c r="D351" s="627" t="inlineStr">
        <is>
          <t>LCL</t>
        </is>
      </c>
      <c r="E351" s="627" t="inlineStr">
        <is>
          <t>Thigh</t>
        </is>
      </c>
      <c r="F351" s="630" t="n"/>
      <c r="G351" s="635" t="n">
        <v>8</v>
      </c>
      <c r="H351" s="627" t="inlineStr">
        <is>
          <t>LT 8XP</t>
        </is>
      </c>
      <c r="I351" s="635" t="inlineStr">
        <is>
          <t>Clubpack</t>
        </is>
      </c>
      <c r="J351" s="636" t="inlineStr">
        <is>
          <t>MS ZH THIGH AC LT PP BSK</t>
        </is>
      </c>
      <c r="K351" s="632" t="inlineStr">
        <is>
          <t>Fast</t>
        </is>
      </c>
      <c r="L351" s="632" t="inlineStr">
        <is>
          <t>IFCO</t>
        </is>
      </c>
      <c r="M351" s="633" t="n">
        <v>68.58</v>
      </c>
      <c r="N351" s="640" t="inlineStr">
        <is>
          <t>PLATINUM</t>
        </is>
      </c>
      <c r="O351" s="627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600">
        <f>_xludf.IFNA(_xlfn.XLOOKUP(Table3[[#This Row],[SKU]],'00_Yield_Rates'!$B$2:$B$17,'00_Yield_Rates'!$E$2:$E$17),"")</f>
        <v/>
      </c>
    </row>
    <row r="352">
      <c r="A352" s="625" t="inlineStr">
        <is>
          <t>Tray_Pack</t>
        </is>
      </c>
      <c r="B352" s="626" t="n">
        <v>207102</v>
      </c>
      <c r="C352" s="627" t="n">
        <v>61072</v>
      </c>
      <c r="D352" s="627" t="inlineStr">
        <is>
          <t>LCL</t>
        </is>
      </c>
      <c r="E352" s="627" t="inlineStr">
        <is>
          <t>Drum</t>
        </is>
      </c>
      <c r="F352" s="630" t="n"/>
      <c r="G352" s="635" t="n">
        <v>8</v>
      </c>
      <c r="H352" s="627" t="inlineStr">
        <is>
          <t>LT 8XP</t>
        </is>
      </c>
      <c r="I352" s="635" t="inlineStr">
        <is>
          <t>Clubpack</t>
        </is>
      </c>
      <c r="J352" s="636" t="inlineStr">
        <is>
          <t>MS ZH DRUM AC LT PP BSK</t>
        </is>
      </c>
      <c r="K352" s="632" t="inlineStr">
        <is>
          <t>Fast</t>
        </is>
      </c>
      <c r="L352" s="632" t="inlineStr">
        <is>
          <t>IFCO</t>
        </is>
      </c>
      <c r="M352" s="633" t="n">
        <v>67.90000000000001</v>
      </c>
      <c r="N352" s="631" t="inlineStr">
        <is>
          <t>PLATINUM</t>
        </is>
      </c>
      <c r="O352" s="627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600">
        <f>_xludf.IFNA(_xlfn.XLOOKUP(Table3[[#This Row],[SKU]],'00_Yield_Rates'!$B$2:$B$17,'00_Yield_Rates'!$E$2:$E$17),"")</f>
        <v/>
      </c>
    </row>
    <row r="353">
      <c r="A353" s="625" t="inlineStr">
        <is>
          <t>Tray_Pack</t>
        </is>
      </c>
      <c r="B353" s="626" t="n">
        <v>207103</v>
      </c>
      <c r="C353" s="627" t="n">
        <v>203136</v>
      </c>
      <c r="D353" s="627" t="inlineStr">
        <is>
          <t>LCL</t>
        </is>
      </c>
      <c r="E353" s="627" t="inlineStr">
        <is>
          <t>Whole Bird-Small</t>
        </is>
      </c>
      <c r="F353" s="630" t="n"/>
      <c r="G353" s="635" t="n">
        <v>6</v>
      </c>
      <c r="H353" s="627" t="inlineStr">
        <is>
          <t>ST 3XP</t>
        </is>
      </c>
      <c r="I353" s="635" t="inlineStr">
        <is>
          <t>Small</t>
        </is>
      </c>
      <c r="J353" s="636" t="inlineStr">
        <is>
          <t>HALAL MS ZH FRY WOG AC TI ST</t>
        </is>
      </c>
      <c r="K353" s="632" t="inlineStr">
        <is>
          <t>Fast</t>
        </is>
      </c>
      <c r="L353" s="632" t="inlineStr">
        <is>
          <t>IFCO</t>
        </is>
      </c>
      <c r="M353" s="633" t="n">
        <v>133.92</v>
      </c>
      <c r="N353" s="631" t="inlineStr">
        <is>
          <t>PLATINUM</t>
        </is>
      </c>
      <c r="O353" s="627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600">
        <f>_xludf.IFNA(_xlfn.XLOOKUP(Table3[[#This Row],[SKU]],'00_Yield_Rates'!$B$2:$B$17,'00_Yield_Rates'!$E$2:$E$17),"")</f>
        <v/>
      </c>
    </row>
    <row r="354">
      <c r="A354" s="625" t="inlineStr">
        <is>
          <t>Tray_Pack</t>
        </is>
      </c>
      <c r="B354" s="626" t="n">
        <v>207104</v>
      </c>
      <c r="C354" s="627" t="n">
        <v>61050</v>
      </c>
      <c r="D354" s="627" t="inlineStr">
        <is>
          <t>LCL</t>
        </is>
      </c>
      <c r="E354" s="627" t="inlineStr">
        <is>
          <t>BSB</t>
        </is>
      </c>
      <c r="F354" s="630" t="n"/>
      <c r="G354" s="635" t="n">
        <v>8</v>
      </c>
      <c r="H354" s="627" t="inlineStr">
        <is>
          <t>PET 8</t>
        </is>
      </c>
      <c r="I354" s="635" t="inlineStr">
        <is>
          <t>Large</t>
        </is>
      </c>
      <c r="J354" s="636" t="inlineStr">
        <is>
          <t>MS LCL BSHB AC 8D  BSK</t>
        </is>
      </c>
      <c r="K354" s="629" t="inlineStr">
        <is>
          <t>Fast</t>
        </is>
      </c>
      <c r="L354" s="629" t="inlineStr">
        <is>
          <t>BOX</t>
        </is>
      </c>
      <c r="M354" s="630" t="n">
        <v>97.91</v>
      </c>
      <c r="N354" s="631" t="inlineStr">
        <is>
          <t>PLATINUM</t>
        </is>
      </c>
      <c r="O354" s="627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600">
        <f>_xludf.IFNA(_xlfn.XLOOKUP(Table3[[#This Row],[SKU]],'00_Yield_Rates'!$B$2:$B$17,'00_Yield_Rates'!$E$2:$E$17),"")</f>
        <v/>
      </c>
    </row>
    <row r="355">
      <c r="A355" s="625" t="inlineStr">
        <is>
          <t>Tray_Pack</t>
        </is>
      </c>
      <c r="B355" s="626" t="n">
        <v>207127</v>
      </c>
      <c r="C355" s="627" t="n">
        <v>61014</v>
      </c>
      <c r="D355" s="627" t="inlineStr">
        <is>
          <t>LCL</t>
        </is>
      </c>
      <c r="E355" s="627" t="inlineStr">
        <is>
          <t>SplitWing</t>
        </is>
      </c>
      <c r="F355" s="630" t="n"/>
      <c r="G355" s="635" t="n">
        <v>8</v>
      </c>
      <c r="H355" s="627" t="inlineStr">
        <is>
          <t>LT 6D</t>
        </is>
      </c>
      <c r="I355" s="635" t="inlineStr">
        <is>
          <t>Large</t>
        </is>
      </c>
      <c r="J355" s="636" t="inlineStr">
        <is>
          <t>MS ZH LCL SPL WING AC 6D BSK</t>
        </is>
      </c>
      <c r="K355" s="629" t="inlineStr">
        <is>
          <t>Slow</t>
        </is>
      </c>
      <c r="L355" s="629" t="inlineStr">
        <is>
          <t>BOX</t>
        </is>
      </c>
      <c r="M355" s="630" t="n">
        <v>29.34</v>
      </c>
      <c r="N355" s="631" t="inlineStr">
        <is>
          <t>PLATINUM</t>
        </is>
      </c>
      <c r="O355" s="627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600">
        <f>_xludf.IFNA(_xlfn.XLOOKUP(Table3[[#This Row],[SKU]],'00_Yield_Rates'!$B$2:$B$17,'00_Yield_Rates'!$E$2:$E$17),"")</f>
        <v/>
      </c>
    </row>
    <row r="356">
      <c r="A356" s="625" t="inlineStr">
        <is>
          <t>Tray_Pack</t>
        </is>
      </c>
      <c r="B356" s="626" t="n">
        <v>207128</v>
      </c>
      <c r="C356" s="627" t="n">
        <v>203021</v>
      </c>
      <c r="D356" s="627" t="inlineStr">
        <is>
          <t>LCL</t>
        </is>
      </c>
      <c r="E356" s="627" t="inlineStr">
        <is>
          <t>Whole Bird-Small</t>
        </is>
      </c>
      <c r="F356" s="630" t="n"/>
      <c r="G356" s="635" t="n">
        <v>6</v>
      </c>
      <c r="H356" s="627" t="inlineStr">
        <is>
          <t>ST 3XP</t>
        </is>
      </c>
      <c r="I356" s="635" t="inlineStr">
        <is>
          <t>Small</t>
        </is>
      </c>
      <c r="J356" s="636" t="inlineStr">
        <is>
          <t>MS ZH LCL FRY WOG AC TI BSK</t>
        </is>
      </c>
      <c r="K356" s="632" t="inlineStr">
        <is>
          <t>Fast</t>
        </is>
      </c>
      <c r="L356" s="629" t="inlineStr">
        <is>
          <t>BOX</t>
        </is>
      </c>
      <c r="M356" s="630" t="n">
        <v>146.55</v>
      </c>
      <c r="N356" s="631" t="n"/>
      <c r="O356" s="627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600">
        <f>_xludf.IFNA(_xlfn.XLOOKUP(Table3[[#This Row],[SKU]],'00_Yield_Rates'!$B$2:$B$17,'00_Yield_Rates'!$E$2:$E$17),"")</f>
        <v/>
      </c>
    </row>
    <row r="357">
      <c r="A357" s="647" t="inlineStr">
        <is>
          <t>Bagging</t>
        </is>
      </c>
      <c r="B357" s="648" t="n">
        <v>2050</v>
      </c>
      <c r="C357" s="649" t="n"/>
      <c r="D357" s="649" t="n"/>
      <c r="E357" s="649" t="n"/>
      <c r="F357" s="649" t="n"/>
      <c r="G357" s="649" t="n"/>
      <c r="H357" s="649" t="n"/>
      <c r="I357" s="649" t="n"/>
      <c r="J357" s="650" t="inlineStr">
        <is>
          <t>MS BSC LEG BA BG PP 10/BOX</t>
        </is>
      </c>
      <c r="K357" s="651" t="n"/>
      <c r="L357" s="651" t="n"/>
      <c r="M357" s="652" t="n"/>
      <c r="N357" s="649" t="n"/>
      <c r="O357" s="649" t="n"/>
      <c r="P357" s="154" t="n"/>
      <c r="R357" s="175">
        <f>_xlfn.XLOOKUP(Table3[[#This Row],[SKU]],'04_Bagging_Order'!$H$5:$H$25,'04_Bagging_Order'!$K$5:$K$25)</f>
        <v/>
      </c>
      <c r="S357" s="175" t="n"/>
      <c r="T357" s="600">
        <f>_xludf.IFNA(_xlfn.XLOOKUP(Table3[[#This Row],[SKU]],'00_Yield_Rates'!$B$2:$B$17,'00_Yield_Rates'!$E$2:$E$17),"")</f>
        <v/>
      </c>
    </row>
    <row r="358">
      <c r="A358" s="647" t="inlineStr">
        <is>
          <t>Bagging</t>
        </is>
      </c>
      <c r="B358" s="648" t="n">
        <v>2051</v>
      </c>
      <c r="C358" s="649" t="n"/>
      <c r="D358" s="649" t="n"/>
      <c r="E358" s="649" t="n"/>
      <c r="F358" s="649" t="n"/>
      <c r="G358" s="649" t="n"/>
      <c r="H358" s="649" t="n"/>
      <c r="I358" s="649" t="n"/>
      <c r="J358" s="650" t="inlineStr">
        <is>
          <t>MS BSC DRUM BG PP BOX</t>
        </is>
      </c>
      <c r="K358" s="651" t="n"/>
      <c r="L358" s="651" t="n"/>
      <c r="M358" s="652" t="n"/>
      <c r="N358" s="649" t="n"/>
      <c r="O358" s="649" t="n"/>
      <c r="P358" s="154" t="n"/>
      <c r="R358" s="175">
        <f>_xlfn.XLOOKUP(Table3[[#This Row],[SKU]],'04_Bagging_Order'!$H$5:$H$25,'04_Bagging_Order'!$K$5:$K$25)</f>
        <v/>
      </c>
      <c r="S358" s="175" t="n"/>
      <c r="T358" s="600">
        <f>_xludf.IFNA(_xlfn.XLOOKUP(Table3[[#This Row],[SKU]],'00_Yield_Rates'!$B$2:$B$17,'00_Yield_Rates'!$E$2:$E$17),"")</f>
        <v/>
      </c>
    </row>
    <row r="359">
      <c r="A359" s="647" t="inlineStr">
        <is>
          <t>Bagging</t>
        </is>
      </c>
      <c r="B359" s="648" t="n">
        <v>2081</v>
      </c>
      <c r="C359" s="649" t="n"/>
      <c r="D359" s="649" t="n"/>
      <c r="E359" s="649" t="n"/>
      <c r="F359" s="649" t="n"/>
      <c r="G359" s="649" t="n"/>
      <c r="H359" s="649" t="n"/>
      <c r="I359" s="649" t="n"/>
      <c r="J359" s="650" t="inlineStr">
        <is>
          <t>MS WINGS BG PP</t>
        </is>
      </c>
      <c r="K359" s="651" t="n"/>
      <c r="L359" s="651" t="n"/>
      <c r="M359" s="652" t="n"/>
      <c r="N359" s="649" t="n"/>
      <c r="O359" s="649" t="n"/>
      <c r="P359" s="154" t="n"/>
      <c r="R359" s="175">
        <f>_xlfn.XLOOKUP(Table3[[#This Row],[SKU]],'04_Bagging_Order'!$H$5:$H$25,'04_Bagging_Order'!$K$5:$K$25)</f>
        <v/>
      </c>
      <c r="S359" s="175" t="n"/>
      <c r="T359" s="600">
        <f>_xludf.IFNA(_xlfn.XLOOKUP(Table3[[#This Row],[SKU]],'00_Yield_Rates'!$B$2:$B$17,'00_Yield_Rates'!$E$2:$E$17),"")</f>
        <v/>
      </c>
    </row>
    <row r="360">
      <c r="A360" s="647" t="inlineStr">
        <is>
          <t>Bagging</t>
        </is>
      </c>
      <c r="B360" s="648" t="n">
        <v>7113</v>
      </c>
      <c r="C360" s="649" t="n"/>
      <c r="D360" s="649" t="n"/>
      <c r="E360" s="649" t="n"/>
      <c r="F360" s="649" t="n"/>
      <c r="G360" s="649" t="n"/>
      <c r="H360" s="649" t="n"/>
      <c r="I360" s="649" t="n"/>
      <c r="J360" s="650" t="n"/>
      <c r="K360" s="651" t="n"/>
      <c r="L360" s="651" t="n"/>
      <c r="M360" s="652" t="n"/>
      <c r="N360" s="649" t="n"/>
      <c r="O360" s="649" t="n"/>
      <c r="P360" s="154" t="n"/>
      <c r="R360" s="175">
        <f>_xlfn.XLOOKUP(Table3[[#This Row],[SKU]],'04_Bagging_Order'!$H$5:$H$25,'04_Bagging_Order'!$K$5:$K$25)</f>
        <v/>
      </c>
      <c r="S360" s="175" t="n"/>
      <c r="T360" s="600">
        <f>_xludf.IFNA(_xlfn.XLOOKUP(Table3[[#This Row],[SKU]],'00_Yield_Rates'!$B$2:$B$17,'00_Yield_Rates'!$E$2:$E$17),"")</f>
        <v/>
      </c>
    </row>
    <row r="361">
      <c r="A361" s="647" t="inlineStr">
        <is>
          <t>Bagging</t>
        </is>
      </c>
      <c r="B361" s="648" t="n">
        <v>200179</v>
      </c>
      <c r="C361" s="649" t="n"/>
      <c r="D361" s="649" t="n"/>
      <c r="E361" s="649" t="n"/>
      <c r="F361" s="649" t="n"/>
      <c r="G361" s="649" t="n"/>
      <c r="H361" s="649" t="n"/>
      <c r="I361" s="649" t="n"/>
      <c r="J361" s="650" t="inlineStr">
        <is>
          <t>MS ZH LEG BA BG PP</t>
        </is>
      </c>
      <c r="K361" s="651" t="n"/>
      <c r="L361" s="651" t="n"/>
      <c r="M361" s="652" t="n"/>
      <c r="N361" s="649" t="n"/>
      <c r="O361" s="649" t="n"/>
      <c r="P361" s="154" t="n"/>
      <c r="R361" s="175">
        <f>_xlfn.XLOOKUP(Table3[[#This Row],[SKU]],'04_Bagging_Order'!$H$5:$H$25,'04_Bagging_Order'!$K$5:$K$25)</f>
        <v/>
      </c>
      <c r="S361" s="175" t="n"/>
      <c r="T361" s="600">
        <f>_xludf.IFNA(_xlfn.XLOOKUP(Table3[[#This Row],[SKU]],'00_Yield_Rates'!$B$2:$B$17,'00_Yield_Rates'!$E$2:$E$17),"")</f>
        <v/>
      </c>
    </row>
    <row r="362">
      <c r="A362" s="647" t="inlineStr">
        <is>
          <t>Bagging</t>
        </is>
      </c>
      <c r="B362" s="648" t="n">
        <v>200182</v>
      </c>
      <c r="C362" s="649" t="n"/>
      <c r="D362" s="649" t="n"/>
      <c r="E362" s="649" t="n"/>
      <c r="F362" s="649" t="n"/>
      <c r="G362" s="649" t="n"/>
      <c r="H362" s="649" t="n"/>
      <c r="I362" s="649" t="n"/>
      <c r="J362" s="650" t="inlineStr">
        <is>
          <t>MS ZH WINGS BG PP</t>
        </is>
      </c>
      <c r="K362" s="651" t="n"/>
      <c r="L362" s="651" t="n"/>
      <c r="M362" s="652" t="n"/>
      <c r="N362" s="649" t="n"/>
      <c r="O362" s="649" t="n"/>
      <c r="P362" s="154" t="n"/>
      <c r="R362" s="175">
        <f>_xlfn.XLOOKUP(Table3[[#This Row],[SKU]],'04_Bagging_Order'!$H$5:$H$25,'04_Bagging_Order'!$K$5:$K$25)</f>
        <v/>
      </c>
      <c r="S362" s="175" t="n"/>
      <c r="T362" s="600">
        <f>_xludf.IFNA(_xlfn.XLOOKUP(Table3[[#This Row],[SKU]],'00_Yield_Rates'!$B$2:$B$17,'00_Yield_Rates'!$E$2:$E$17),"")</f>
        <v/>
      </c>
    </row>
    <row r="363">
      <c r="A363" s="647" t="inlineStr">
        <is>
          <t>Bagging</t>
        </is>
      </c>
      <c r="B363" s="648" t="n">
        <v>200183</v>
      </c>
      <c r="C363" s="649" t="n"/>
      <c r="D363" s="649" t="n"/>
      <c r="E363" s="649" t="n"/>
      <c r="F363" s="649" t="n"/>
      <c r="G363" s="649" t="n"/>
      <c r="H363" s="649" t="n"/>
      <c r="I363" s="649" t="n"/>
      <c r="J363" s="650" t="inlineStr">
        <is>
          <t>MS ZH LEG BA BG PP</t>
        </is>
      </c>
      <c r="K363" s="651" t="n"/>
      <c r="L363" s="651" t="n"/>
      <c r="M363" s="652" t="n"/>
      <c r="N363" s="649" t="n"/>
      <c r="O363" s="649" t="n"/>
      <c r="P363" s="154" t="n"/>
      <c r="R363" s="175">
        <f>_xlfn.XLOOKUP(Table3[[#This Row],[SKU]],'04_Bagging_Order'!$H$5:$H$25,'04_Bagging_Order'!$K$5:$K$25)</f>
        <v/>
      </c>
      <c r="S363" s="175" t="n"/>
      <c r="T363" s="600">
        <f>_xludf.IFNA(_xlfn.XLOOKUP(Table3[[#This Row],[SKU]],'00_Yield_Rates'!$B$2:$B$17,'00_Yield_Rates'!$E$2:$E$17),"")</f>
        <v/>
      </c>
    </row>
    <row r="364">
      <c r="A364" s="647" t="inlineStr">
        <is>
          <t>Bagging</t>
        </is>
      </c>
      <c r="B364" s="648" t="n">
        <v>200184</v>
      </c>
      <c r="C364" s="649" t="n"/>
      <c r="D364" s="649" t="n"/>
      <c r="E364" s="649" t="n"/>
      <c r="F364" s="649" t="n"/>
      <c r="G364" s="649" t="n"/>
      <c r="H364" s="649" t="n"/>
      <c r="I364" s="649" t="n"/>
      <c r="J364" s="650" t="inlineStr">
        <is>
          <t>MS ZH DRUM BA BG PP</t>
        </is>
      </c>
      <c r="K364" s="651" t="n"/>
      <c r="L364" s="651" t="n"/>
      <c r="M364" s="652" t="n"/>
      <c r="N364" s="649" t="n"/>
      <c r="O364" s="649" t="n"/>
      <c r="P364" s="154" t="n"/>
      <c r="R364" s="175">
        <f>_xlfn.XLOOKUP(Table3[[#This Row],[SKU]],'04_Bagging_Order'!$H$5:$H$25,'04_Bagging_Order'!$K$5:$K$25)</f>
        <v/>
      </c>
      <c r="S364" s="175" t="n"/>
      <c r="T364" s="600">
        <f>_xludf.IFNA(_xlfn.XLOOKUP(Table3[[#This Row],[SKU]],'00_Yield_Rates'!$B$2:$B$17,'00_Yield_Rates'!$E$2:$E$17),"")</f>
        <v/>
      </c>
    </row>
    <row r="365">
      <c r="A365" s="647" t="inlineStr">
        <is>
          <t>Bagging</t>
        </is>
      </c>
      <c r="B365" s="648" t="n">
        <v>2511</v>
      </c>
      <c r="C365" s="649" t="n"/>
      <c r="D365" s="649" t="n"/>
      <c r="E365" s="649" t="n"/>
      <c r="F365" s="649" t="n"/>
      <c r="G365" s="649" t="n"/>
      <c r="H365" s="649" t="n"/>
      <c r="I365" s="649" t="n"/>
      <c r="J365" s="650" t="inlineStr">
        <is>
          <t>MS BSC SPL WING BG PP</t>
        </is>
      </c>
      <c r="K365" s="651" t="n"/>
      <c r="L365" s="651" t="n"/>
      <c r="M365" s="652" t="n"/>
      <c r="N365" s="649" t="n"/>
      <c r="O365" s="649" t="n"/>
      <c r="P365" s="154" t="n"/>
      <c r="R365" s="175">
        <f>_xlfn.XLOOKUP(Table3[[#This Row],[SKU]],'04_Bagging_Order'!$H$5:$H$25,'04_Bagging_Order'!$K$5:$K$25)</f>
        <v/>
      </c>
      <c r="S365" s="175" t="n"/>
      <c r="T365" s="600">
        <f>_xludf.IFNA(_xlfn.XLOOKUP(Table3[[#This Row],[SKU]],'00_Yield_Rates'!$B$2:$B$17,'00_Yield_Rates'!$E$2:$E$17),"")</f>
        <v/>
      </c>
    </row>
    <row r="366">
      <c r="A366" s="647" t="inlineStr">
        <is>
          <t>Bagging</t>
        </is>
      </c>
      <c r="B366" s="648" t="n">
        <v>1077</v>
      </c>
      <c r="C366" s="649" t="n"/>
      <c r="D366" s="649" t="n"/>
      <c r="E366" s="649" t="n"/>
      <c r="F366" s="649" t="n"/>
      <c r="G366" s="649" t="n"/>
      <c r="H366" s="649" t="n"/>
      <c r="I366" s="649" t="n"/>
      <c r="J366" s="650" t="n"/>
      <c r="K366" s="651" t="n"/>
      <c r="L366" s="651" t="n"/>
      <c r="M366" s="652" t="n"/>
      <c r="N366" s="649" t="n"/>
      <c r="O366" s="649" t="n"/>
      <c r="P366" s="154" t="n"/>
      <c r="R366" s="175">
        <f>_xlfn.XLOOKUP(Table3[[#This Row],[SKU]],'04_Bagging_Order'!$H$5:$H$25,'04_Bagging_Order'!$K$5:$K$25)</f>
        <v/>
      </c>
      <c r="S366" s="175" t="n"/>
      <c r="T366" s="600">
        <f>_xludf.IFNA(_xlfn.XLOOKUP(Table3[[#This Row],[SKU]],'00_Yield_Rates'!$B$2:$B$17,'00_Yield_Rates'!$E$2:$E$17),"")</f>
        <v/>
      </c>
    </row>
    <row r="367">
      <c r="A367" s="647" t="inlineStr">
        <is>
          <t>Bagging</t>
        </is>
      </c>
      <c r="B367" s="648" t="n">
        <v>1078</v>
      </c>
      <c r="C367" s="649" t="n"/>
      <c r="D367" s="649" t="n"/>
      <c r="E367" s="649" t="n"/>
      <c r="F367" s="649" t="n"/>
      <c r="G367" s="649" t="n"/>
      <c r="H367" s="649" t="n"/>
      <c r="I367" s="649" t="n"/>
      <c r="J367" s="650" t="n"/>
      <c r="K367" s="651" t="n"/>
      <c r="L367" s="651" t="n"/>
      <c r="M367" s="652" t="n"/>
      <c r="N367" s="649" t="n"/>
      <c r="O367" s="649" t="n"/>
      <c r="P367" s="154" t="n"/>
      <c r="R367" s="175">
        <f>_xlfn.XLOOKUP(Table3[[#This Row],[SKU]],'04_Bagging_Order'!$H$5:$H$25,'04_Bagging_Order'!$K$5:$K$25)</f>
        <v/>
      </c>
      <c r="S367" s="175" t="n"/>
      <c r="T367" s="600">
        <f>_xludf.IFNA(_xlfn.XLOOKUP(Table3[[#This Row],[SKU]],'00_Yield_Rates'!$B$2:$B$17,'00_Yield_Rates'!$E$2:$E$17),"")</f>
        <v/>
      </c>
    </row>
    <row r="368">
      <c r="A368" s="647" t="inlineStr">
        <is>
          <t>Bagging</t>
        </is>
      </c>
      <c r="B368" s="648" t="n">
        <v>1080</v>
      </c>
      <c r="C368" s="649" t="n"/>
      <c r="D368" s="649" t="n"/>
      <c r="E368" s="649" t="n"/>
      <c r="F368" s="649" t="n"/>
      <c r="G368" s="649" t="n"/>
      <c r="H368" s="649" t="n"/>
      <c r="I368" s="649" t="n"/>
      <c r="J368" s="650" t="n"/>
      <c r="K368" s="651" t="n"/>
      <c r="L368" s="651" t="n"/>
      <c r="M368" s="652" t="n"/>
      <c r="N368" s="649" t="n"/>
      <c r="O368" s="649" t="n"/>
      <c r="P368" s="154" t="n"/>
      <c r="R368" s="175">
        <f>_xlfn.XLOOKUP(Table3[[#This Row],[SKU]],'04_Bagging_Order'!$H$5:$H$25,'04_Bagging_Order'!$K$5:$K$25)</f>
        <v/>
      </c>
      <c r="S368" s="175" t="n"/>
      <c r="T368" s="600">
        <f>_xludf.IFNA(_xlfn.XLOOKUP(Table3[[#This Row],[SKU]],'00_Yield_Rates'!$B$2:$B$17,'00_Yield_Rates'!$E$2:$E$17),"")</f>
        <v/>
      </c>
    </row>
    <row r="369">
      <c r="A369" s="647" t="inlineStr">
        <is>
          <t>Bagging</t>
        </is>
      </c>
      <c r="B369" s="648" t="n">
        <v>1574</v>
      </c>
      <c r="C369" s="649" t="n"/>
      <c r="D369" s="649" t="n"/>
      <c r="E369" s="649" t="n"/>
      <c r="F369" s="649" t="n"/>
      <c r="G369" s="649" t="n"/>
      <c r="H369" s="649" t="n"/>
      <c r="I369" s="649" t="n"/>
      <c r="J369" s="650" t="n"/>
      <c r="K369" s="651" t="n"/>
      <c r="L369" s="651" t="n"/>
      <c r="M369" s="652" t="n"/>
      <c r="N369" s="649" t="n"/>
      <c r="O369" s="649" t="n"/>
      <c r="P369" s="154" t="n"/>
      <c r="R369" s="175">
        <f>_xlfn.XLOOKUP(Table3[[#This Row],[SKU]],'04_Bagging_Order'!$H$5:$H$25,'04_Bagging_Order'!$K$5:$K$25)</f>
        <v/>
      </c>
      <c r="S369" s="175" t="n"/>
      <c r="T369" s="600">
        <f>_xludf.IFNA(_xlfn.XLOOKUP(Table3[[#This Row],[SKU]],'00_Yield_Rates'!$B$2:$B$17,'00_Yield_Rates'!$E$2:$E$17),"")</f>
        <v/>
      </c>
    </row>
    <row r="370">
      <c r="A370" s="647" t="inlineStr">
        <is>
          <t>Bagging</t>
        </is>
      </c>
      <c r="B370" s="648" t="n">
        <v>2112</v>
      </c>
      <c r="C370" s="649" t="n"/>
      <c r="D370" s="649" t="n"/>
      <c r="E370" s="649" t="n"/>
      <c r="F370" s="649" t="n"/>
      <c r="G370" s="649" t="n"/>
      <c r="H370" s="649" t="n"/>
      <c r="I370" s="649" t="n"/>
      <c r="J370" s="650" t="inlineStr">
        <is>
          <t>MS BSC LEG BA BG PP 8/BOX</t>
        </is>
      </c>
      <c r="K370" s="651" t="n"/>
      <c r="L370" s="651" t="n"/>
      <c r="M370" s="652" t="n"/>
      <c r="N370" s="649" t="n"/>
      <c r="O370" s="649" t="n"/>
      <c r="P370" s="154" t="n"/>
      <c r="R370" s="175">
        <f>_xlfn.XLOOKUP(Table3[[#This Row],[SKU]],'04_Bagging_Order'!$H$5:$H$25,'04_Bagging_Order'!$K$5:$K$25)</f>
        <v/>
      </c>
      <c r="S370" s="175" t="n"/>
      <c r="T370" s="600">
        <f>_xludf.IFNA(_xlfn.XLOOKUP(Table3[[#This Row],[SKU]],'00_Yield_Rates'!$B$2:$B$17,'00_Yield_Rates'!$E$2:$E$17),"")</f>
        <v/>
      </c>
    </row>
    <row r="371">
      <c r="A371" s="647" t="inlineStr">
        <is>
          <t>Bagging</t>
        </is>
      </c>
      <c r="B371" s="648" t="n">
        <v>2513</v>
      </c>
      <c r="C371" s="649" t="n"/>
      <c r="D371" s="649" t="n"/>
      <c r="E371" s="649" t="n"/>
      <c r="F371" s="649" t="n"/>
      <c r="G371" s="649" t="n"/>
      <c r="H371" s="649" t="n"/>
      <c r="I371" s="649" t="n"/>
      <c r="J371" s="650" t="inlineStr">
        <is>
          <t>MS CUT 4 CHICKEN BAGGED PP</t>
        </is>
      </c>
      <c r="K371" s="651" t="n"/>
      <c r="L371" s="651" t="n"/>
      <c r="M371" s="652" t="n"/>
      <c r="N371" s="649" t="n"/>
      <c r="O371" s="649" t="n"/>
      <c r="P371" s="154" t="n"/>
      <c r="R371" s="175">
        <f>_xlfn.XLOOKUP(Table3[[#This Row],[SKU]],'04_Bagging_Order'!$H$5:$H$25,'04_Bagging_Order'!$K$5:$K$25)</f>
        <v/>
      </c>
      <c r="S371" s="175" t="n"/>
      <c r="T371" s="600">
        <f>_xludf.IFNA(_xlfn.XLOOKUP(Table3[[#This Row],[SKU]],'00_Yield_Rates'!$B$2:$B$17,'00_Yield_Rates'!$E$2:$E$17),"")</f>
        <v/>
      </c>
    </row>
    <row r="372">
      <c r="A372" s="647" t="inlineStr">
        <is>
          <t>Bagging</t>
        </is>
      </c>
      <c r="B372" s="648" t="n">
        <v>7011</v>
      </c>
      <c r="C372" s="649" t="n"/>
      <c r="D372" s="649" t="n"/>
      <c r="E372" s="649" t="n"/>
      <c r="F372" s="649" t="n"/>
      <c r="G372" s="649" t="n"/>
      <c r="H372" s="649" t="n"/>
      <c r="I372" s="649" t="n"/>
      <c r="J372" s="650" t="inlineStr">
        <is>
          <t>MS 1-2 FRY WOG AC BG PP BSK</t>
        </is>
      </c>
      <c r="K372" s="651" t="n"/>
      <c r="L372" s="651" t="n"/>
      <c r="M372" s="652" t="n"/>
      <c r="N372" s="649" t="n"/>
      <c r="O372" s="649" t="n"/>
      <c r="P372" s="154" t="n"/>
      <c r="R372" s="175">
        <f>_xlfn.XLOOKUP(Table3[[#This Row],[SKU]],'04_Bagging_Order'!$H$5:$H$25,'04_Bagging_Order'!$K$5:$K$25)</f>
        <v/>
      </c>
      <c r="S372" s="175" t="n"/>
      <c r="T372" s="600">
        <f>_xludf.IFNA(_xlfn.XLOOKUP(Table3[[#This Row],[SKU]],'00_Yield_Rates'!$B$2:$B$17,'00_Yield_Rates'!$E$2:$E$17),"")</f>
        <v/>
      </c>
    </row>
    <row r="373">
      <c r="A373" s="647" t="inlineStr">
        <is>
          <t>Bagging</t>
        </is>
      </c>
      <c r="B373" s="648" t="n">
        <v>7170</v>
      </c>
      <c r="C373" s="649" t="n"/>
      <c r="D373" s="649" t="n"/>
      <c r="E373" s="649" t="n"/>
      <c r="F373" s="649" t="n"/>
      <c r="G373" s="649" t="n"/>
      <c r="H373" s="649" t="n"/>
      <c r="I373" s="649" t="n"/>
      <c r="J373" s="650" t="n"/>
      <c r="K373" s="651" t="n"/>
      <c r="L373" s="651" t="n"/>
      <c r="M373" s="652" t="n"/>
      <c r="N373" s="649" t="n"/>
      <c r="O373" s="649" t="n"/>
      <c r="P373" s="154" t="n"/>
      <c r="R373" s="175">
        <f>_xlfn.XLOOKUP(Table3[[#This Row],[SKU]],'04_Bagging_Order'!$H$5:$H$25,'04_Bagging_Order'!$K$5:$K$25)</f>
        <v/>
      </c>
      <c r="S373" s="175" t="n"/>
      <c r="T373" s="600">
        <f>_xludf.IFNA(_xlfn.XLOOKUP(Table3[[#This Row],[SKU]],'00_Yield_Rates'!$B$2:$B$17,'00_Yield_Rates'!$E$2:$E$17),"")</f>
        <v/>
      </c>
    </row>
    <row r="374">
      <c r="A374" s="647" t="inlineStr">
        <is>
          <t>Bagging</t>
        </is>
      </c>
      <c r="B374" s="653" t="n">
        <v>7176</v>
      </c>
      <c r="C374" s="654" t="n"/>
      <c r="D374" s="654" t="n"/>
      <c r="E374" s="654" t="n"/>
      <c r="F374" s="654" t="n"/>
      <c r="G374" s="654" t="n"/>
      <c r="H374" s="654" t="n"/>
      <c r="I374" s="654" t="n"/>
      <c r="J374" s="655" t="inlineStr">
        <is>
          <t>MS LEG BA BG PP BSK</t>
        </is>
      </c>
      <c r="K374" s="656" t="n"/>
      <c r="L374" s="656" t="n"/>
      <c r="M374" s="657" t="n"/>
      <c r="N374" s="654" t="n"/>
      <c r="O374" s="654" t="n"/>
      <c r="P374" s="154" t="n"/>
      <c r="R374" s="175">
        <f>_xlfn.XLOOKUP(Table3[[#This Row],[SKU]],'04_Bagging_Order'!$H$5:$H$25,'04_Bagging_Order'!$K$5:$K$25)</f>
        <v/>
      </c>
      <c r="S374" s="175" t="n"/>
      <c r="T374" s="600">
        <f>_xludf.IFNA(_xlfn.XLOOKUP(Table3[[#This Row],[SKU]],'00_Yield_Rates'!$B$2:$B$17,'00_Yield_Rates'!$E$2:$E$17),"")</f>
        <v/>
      </c>
    </row>
    <row r="375">
      <c r="A375" s="658" t="inlineStr">
        <is>
          <t>Extenl</t>
        </is>
      </c>
      <c r="B375" s="659" t="n">
        <v>200157</v>
      </c>
      <c r="C375" s="660" t="n"/>
      <c r="D375" s="660" t="n"/>
      <c r="E375" s="660" t="n"/>
      <c r="F375" s="660" t="n">
        <v>550</v>
      </c>
      <c r="G375" s="660" t="n"/>
      <c r="H375" s="660" t="n"/>
      <c r="I375" s="660" t="n"/>
      <c r="J375" s="661" t="inlineStr">
        <is>
          <t>HA 1.55-1.75 FRY WOG AC GF COMBO</t>
        </is>
      </c>
      <c r="K375" s="662" t="n"/>
      <c r="L375" s="662" t="n"/>
      <c r="M375" s="663" t="n"/>
      <c r="N375" s="660" t="n"/>
      <c r="O375" s="660" t="n"/>
      <c r="P375" s="154" t="n"/>
      <c r="R375" s="303" t="n"/>
      <c r="S375" s="303" t="n"/>
      <c r="T375" s="600">
        <f>_xludf.IFNA(_xlfn.XLOOKUP(Table3[[#This Row],[SKU]],'00_Yield_Rates'!$B$2:$B$17,'00_Yield_Rates'!$E$2:$E$17),"")</f>
        <v/>
      </c>
    </row>
    <row r="376">
      <c r="A376" s="658" t="inlineStr">
        <is>
          <t>Extenl</t>
        </is>
      </c>
      <c r="B376" s="664" t="n">
        <v>203043</v>
      </c>
      <c r="C376" s="665" t="n"/>
      <c r="D376" s="665" t="n"/>
      <c r="E376" s="665" t="n"/>
      <c r="F376" s="665" t="n">
        <v>23</v>
      </c>
      <c r="G376" s="665" t="n"/>
      <c r="H376" s="665" t="n"/>
      <c r="I376" s="665" t="n"/>
      <c r="J376" s="666" t="inlineStr">
        <is>
          <t>HA 1.3-1.5 FRY WOG AC TI GF 16 RET</t>
        </is>
      </c>
      <c r="K376" s="667" t="n"/>
      <c r="L376" s="667" t="n"/>
      <c r="M376" s="668" t="n"/>
      <c r="N376" s="665" t="n"/>
      <c r="O376" s="665" t="n"/>
      <c r="P376" s="154" t="n"/>
      <c r="R376" s="303" t="n"/>
      <c r="S376" s="303" t="n"/>
      <c r="T376" s="600">
        <f>_xludf.IFNA(_xlfn.XLOOKUP(Table3[[#This Row],[SKU]],'00_Yield_Rates'!$B$2:$B$17,'00_Yield_Rates'!$E$2:$E$17),"")</f>
        <v/>
      </c>
    </row>
    <row r="377">
      <c r="A377" s="658" t="inlineStr">
        <is>
          <t>Extenl</t>
        </is>
      </c>
      <c r="B377" s="659" t="n">
        <v>203044</v>
      </c>
      <c r="C377" s="660" t="n"/>
      <c r="D377" s="660" t="n"/>
      <c r="E377" s="660" t="n"/>
      <c r="F377" s="660" t="n"/>
      <c r="G377" s="660" t="n"/>
      <c r="H377" s="660" t="n"/>
      <c r="I377" s="660" t="n"/>
      <c r="J377" s="661" t="n"/>
      <c r="K377" s="662" t="n"/>
      <c r="L377" s="662" t="n"/>
      <c r="M377" s="663" t="n"/>
      <c r="N377" s="660" t="n"/>
      <c r="O377" s="660" t="n"/>
      <c r="P377" s="154" t="n"/>
      <c r="R377" s="303" t="n"/>
      <c r="S377" s="303" t="n"/>
      <c r="T377" s="600">
        <f>_xludf.IFNA(_xlfn.XLOOKUP(Table3[[#This Row],[SKU]],'00_Yield_Rates'!$B$2:$B$17,'00_Yield_Rates'!$E$2:$E$17),"")</f>
        <v/>
      </c>
    </row>
    <row r="378">
      <c r="A378" s="658" t="inlineStr">
        <is>
          <t>Extenl</t>
        </is>
      </c>
      <c r="B378" s="664" t="n">
        <v>203891</v>
      </c>
      <c r="C378" s="665" t="n"/>
      <c r="D378" s="665" t="n"/>
      <c r="E378" s="665" t="n"/>
      <c r="F378" s="665" t="n">
        <v>31</v>
      </c>
      <c r="G378" s="665" t="n"/>
      <c r="H378" s="665" t="n"/>
      <c r="I378" s="665" t="n"/>
      <c r="J378" s="666" t="inlineStr">
        <is>
          <t>HA 1.38 - 1.58 FRY WOG TI RET</t>
        </is>
      </c>
      <c r="K378" s="667" t="n"/>
      <c r="L378" s="667" t="n"/>
      <c r="M378" s="668" t="n"/>
      <c r="N378" s="665" t="n"/>
      <c r="O378" s="665" t="n"/>
      <c r="P378" s="154" t="n"/>
      <c r="R378" s="303" t="n"/>
      <c r="S378" s="303" t="n"/>
      <c r="T378" s="600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T115"/>
  <sheetViews>
    <sheetView workbookViewId="0">
      <selection activeCell="G58" sqref="G58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264"/>
  <sheetViews>
    <sheetView workbookViewId="0">
      <selection activeCell="O24" sqref="O24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>
      <c r="A2" s="118">
        <f>'05_Daily_Orders'!B3</f>
        <v/>
      </c>
      <c r="B2" s="50" t="n">
        <v>0</v>
      </c>
      <c r="C2" s="50" t="n">
        <v>0</v>
      </c>
      <c r="D2" s="119" t="n"/>
      <c r="E2" s="119" t="n"/>
      <c r="F2" t="n">
        <v>0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'05_Daily_Orders'!L3</f>
        <v/>
      </c>
    </row>
    <row r="3">
      <c r="A3" s="118">
        <f>'05_Daily_Orders'!B4</f>
        <v/>
      </c>
      <c r="B3" s="50" t="n">
        <v>0</v>
      </c>
      <c r="C3" s="50" t="n">
        <v>5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'05_Daily_Orders'!L4</f>
        <v/>
      </c>
    </row>
    <row r="4">
      <c r="A4" s="118">
        <f>'05_Daily_Orders'!B5</f>
        <v/>
      </c>
      <c r="B4" s="50" t="n">
        <v>0</v>
      </c>
      <c r="C4" s="50" t="n">
        <v>0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'05_Daily_Orders'!L5</f>
        <v/>
      </c>
    </row>
    <row r="5">
      <c r="A5" s="118">
        <f>'05_Daily_Orders'!B6</f>
        <v/>
      </c>
      <c r="B5" s="50" t="n">
        <v>0</v>
      </c>
      <c r="C5" s="50" t="n">
        <v>9</v>
      </c>
      <c r="D5" s="119" t="n"/>
      <c r="E5" s="119" t="n"/>
      <c r="F5" t="n">
        <v>44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'05_Daily_Orders'!L6</f>
        <v/>
      </c>
    </row>
    <row r="6">
      <c r="A6" s="118">
        <f>'05_Daily_Orders'!B7</f>
        <v/>
      </c>
      <c r="B6" s="50" t="n">
        <v>1</v>
      </c>
      <c r="C6" s="50" t="n">
        <v>0</v>
      </c>
      <c r="D6" s="119" t="n"/>
      <c r="E6" s="119" t="n"/>
      <c r="F6" t="n">
        <v>150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'05_Daily_Orders'!L7</f>
        <v/>
      </c>
    </row>
    <row r="7">
      <c r="A7" s="118">
        <f>'05_Daily_Orders'!B8</f>
        <v/>
      </c>
      <c r="B7" s="50" t="n">
        <v>0</v>
      </c>
      <c r="C7" s="50" t="n">
        <v>0</v>
      </c>
      <c r="D7" s="119" t="n"/>
      <c r="E7" s="119" t="n"/>
      <c r="F7" t="n">
        <v>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'05_Daily_Orders'!L8</f>
        <v/>
      </c>
    </row>
    <row r="8">
      <c r="A8" s="118">
        <f>'05_Daily_Orders'!B9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'05_Daily_Orders'!L9</f>
        <v/>
      </c>
    </row>
    <row r="9">
      <c r="A9" s="118">
        <f>'05_Daily_Orders'!B10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'05_Daily_Orders'!L10</f>
        <v/>
      </c>
    </row>
    <row r="10">
      <c r="A10" s="118">
        <f>'05_Daily_Orders'!B11</f>
        <v/>
      </c>
      <c r="B10" s="50" t="n">
        <v>0</v>
      </c>
      <c r="C10" s="50" t="n">
        <v>12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'05_Daily_Orders'!L11</f>
        <v/>
      </c>
    </row>
    <row r="11">
      <c r="A11" s="118">
        <f>'05_Daily_Orders'!B12</f>
        <v/>
      </c>
      <c r="B11" s="50" t="n">
        <v>49</v>
      </c>
      <c r="C11" s="50" t="n">
        <v>0</v>
      </c>
      <c r="D11" s="119" t="n"/>
      <c r="E11" s="119" t="n"/>
      <c r="F11" t="n">
        <v>78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'05_Daily_Orders'!L12</f>
        <v/>
      </c>
    </row>
    <row r="12">
      <c r="A12" s="118">
        <f>'05_Daily_Orders'!B13</f>
        <v/>
      </c>
      <c r="B12" s="50" t="n">
        <v>0</v>
      </c>
      <c r="C12" s="50" t="n">
        <v>88</v>
      </c>
      <c r="D12" s="119" t="n"/>
      <c r="E12" s="119" t="n"/>
      <c r="F12" t="n">
        <v>125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'05_Daily_Orders'!L13</f>
        <v/>
      </c>
    </row>
    <row r="13">
      <c r="A13" s="118">
        <f>'05_Daily_Orders'!B14</f>
        <v/>
      </c>
      <c r="B13" s="50" t="n">
        <v>0</v>
      </c>
      <c r="C13" s="50" t="n">
        <v>0</v>
      </c>
      <c r="D13" s="119" t="n"/>
      <c r="E13" s="119" t="n"/>
      <c r="F13" t="n">
        <v>0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'05_Daily_Orders'!L14</f>
        <v/>
      </c>
    </row>
    <row r="14">
      <c r="A14" s="118">
        <f>'05_Daily_Orders'!B15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'05_Daily_Orders'!L15</f>
        <v/>
      </c>
    </row>
    <row r="15">
      <c r="A15" s="118">
        <f>'05_Daily_Orders'!B16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'05_Daily_Orders'!L16</f>
        <v/>
      </c>
    </row>
    <row r="16">
      <c r="A16" s="118">
        <f>'05_Daily_Orders'!B17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'05_Daily_Orders'!L17</f>
        <v/>
      </c>
    </row>
    <row r="17">
      <c r="A17" s="118">
        <f>'05_Daily_Orders'!B18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'05_Daily_Orders'!L18</f>
        <v/>
      </c>
    </row>
    <row r="18">
      <c r="A18" s="118">
        <f>'05_Daily_Orders'!B19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'05_Daily_Orders'!L19</f>
        <v/>
      </c>
    </row>
    <row r="19">
      <c r="A19" s="118">
        <f>'05_Daily_Orders'!B20</f>
        <v/>
      </c>
      <c r="B19" s="50" t="n">
        <v>24</v>
      </c>
      <c r="C19" s="50" t="n">
        <v>0</v>
      </c>
      <c r="D19" s="119" t="n"/>
      <c r="E19" s="119" t="n"/>
      <c r="F19" t="n">
        <v>130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'05_Daily_Orders'!L20</f>
        <v/>
      </c>
    </row>
    <row r="20">
      <c r="A20" s="118">
        <f>'05_Daily_Orders'!B21</f>
        <v/>
      </c>
      <c r="B20" s="50" t="n">
        <v>4</v>
      </c>
      <c r="C20" s="50" t="n">
        <v>0</v>
      </c>
      <c r="D20" s="119" t="n"/>
      <c r="E20" s="119" t="n"/>
      <c r="F20" t="n">
        <v>155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'05_Daily_Orders'!L21</f>
        <v/>
      </c>
    </row>
    <row r="21">
      <c r="A21" s="118">
        <f>'05_Daily_Orders'!B22</f>
        <v/>
      </c>
      <c r="B21" s="50" t="n">
        <v>0</v>
      </c>
      <c r="C21" s="50" t="n">
        <v>0</v>
      </c>
      <c r="D21" s="119" t="n"/>
      <c r="E21" s="119" t="n"/>
      <c r="F21" t="n">
        <v>0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'05_Daily_Orders'!L22</f>
        <v/>
      </c>
    </row>
    <row r="22">
      <c r="A22" s="118">
        <f>'05_Daily_Orders'!B23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'05_Daily_Orders'!L23</f>
        <v/>
      </c>
    </row>
    <row r="23">
      <c r="A23" s="118">
        <f>'05_Daily_Orders'!B24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'05_Daily_Orders'!L24</f>
        <v/>
      </c>
    </row>
    <row r="24">
      <c r="A24" s="118">
        <f>'05_Daily_Orders'!B25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'05_Daily_Orders'!L25</f>
        <v/>
      </c>
    </row>
    <row r="25">
      <c r="A25" s="118">
        <f>'05_Daily_Orders'!B26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'05_Daily_Orders'!L26</f>
        <v/>
      </c>
    </row>
    <row r="26">
      <c r="A26" s="118">
        <f>'05_Daily_Orders'!B27</f>
        <v/>
      </c>
      <c r="B26" s="50" t="n">
        <v>30</v>
      </c>
      <c r="C26" s="50" t="n">
        <v>0</v>
      </c>
      <c r="D26" s="119" t="n"/>
      <c r="E26" s="119" t="n"/>
      <c r="F26" t="n">
        <v>345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'05_Daily_Orders'!L27</f>
        <v/>
      </c>
    </row>
    <row r="27">
      <c r="A27" s="118">
        <f>'05_Daily_Orders'!B28</f>
        <v/>
      </c>
      <c r="B27" s="50" t="n">
        <v>41</v>
      </c>
      <c r="C27" s="50" t="n">
        <v>0</v>
      </c>
      <c r="D27" s="119" t="n"/>
      <c r="E27" s="119" t="n"/>
      <c r="F27" t="n">
        <v>120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'05_Daily_Orders'!L28</f>
        <v/>
      </c>
    </row>
    <row r="28">
      <c r="A28" s="118">
        <f>'05_Daily_Orders'!B29</f>
        <v/>
      </c>
      <c r="B28" s="50" t="n">
        <v>56</v>
      </c>
      <c r="C28" s="50" t="n">
        <v>0</v>
      </c>
      <c r="D28" s="119" t="n"/>
      <c r="E28" s="119" t="n"/>
      <c r="F28" t="n">
        <v>78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'05_Daily_Orders'!L29</f>
        <v/>
      </c>
    </row>
    <row r="29">
      <c r="A29" s="118">
        <f>'05_Daily_Orders'!B30</f>
        <v/>
      </c>
      <c r="B29" s="50" t="n">
        <v>88</v>
      </c>
      <c r="C29" s="50" t="n">
        <v>0</v>
      </c>
      <c r="D29" s="119" t="n"/>
      <c r="E29" s="119" t="n"/>
      <c r="F29" t="n">
        <v>137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'05_Daily_Orders'!L30</f>
        <v/>
      </c>
    </row>
    <row r="30">
      <c r="A30" s="118">
        <f>'05_Daily_Orders'!B31</f>
        <v/>
      </c>
      <c r="B30" s="50" t="n">
        <v>0</v>
      </c>
      <c r="C30" s="50" t="n">
        <v>11</v>
      </c>
      <c r="D30" s="119" t="n"/>
      <c r="E30" s="119" t="n"/>
      <c r="F30" t="n">
        <v>44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'05_Daily_Orders'!L31</f>
        <v/>
      </c>
    </row>
    <row r="31">
      <c r="A31" s="118">
        <f>'05_Daily_Orders'!B32</f>
        <v/>
      </c>
      <c r="B31" s="50" t="n">
        <v>0</v>
      </c>
      <c r="C31" s="50" t="n">
        <v>50</v>
      </c>
      <c r="D31" s="119" t="n"/>
      <c r="E31" s="119" t="n"/>
      <c r="F31" t="n">
        <v>80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'05_Daily_Orders'!L32</f>
        <v/>
      </c>
    </row>
    <row r="32">
      <c r="A32" s="118">
        <f>'05_Daily_Orders'!B33</f>
        <v/>
      </c>
      <c r="B32" s="50" t="n">
        <v>0</v>
      </c>
      <c r="C32" s="50" t="n">
        <v>80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'05_Daily_Orders'!L33</f>
        <v/>
      </c>
    </row>
    <row r="33">
      <c r="A33" s="118">
        <f>'05_Daily_Orders'!B34</f>
        <v/>
      </c>
      <c r="B33" s="50" t="n">
        <v>0</v>
      </c>
      <c r="C33" s="50" t="n">
        <v>0</v>
      </c>
      <c r="D33" s="119" t="n"/>
      <c r="E33" s="119" t="n"/>
      <c r="F33" t="n">
        <v>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'05_Daily_Orders'!L34</f>
        <v/>
      </c>
    </row>
    <row r="34">
      <c r="A34" s="118">
        <f>'05_Daily_Orders'!B35</f>
        <v/>
      </c>
      <c r="B34" s="50" t="n">
        <v>0</v>
      </c>
      <c r="C34" s="50" t="n">
        <v>100</v>
      </c>
      <c r="D34" s="119" t="n"/>
      <c r="E34" s="119" t="n"/>
      <c r="F34" t="n">
        <v>200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'05_Daily_Orders'!L35</f>
        <v/>
      </c>
    </row>
    <row r="35">
      <c r="A35" s="118">
        <f>'05_Daily_Orders'!B36</f>
        <v/>
      </c>
      <c r="B35" s="50" t="n">
        <v>0</v>
      </c>
      <c r="C35" s="50" t="n">
        <v>50</v>
      </c>
      <c r="D35" s="119" t="n"/>
      <c r="E35" s="119" t="n"/>
      <c r="F35" t="n">
        <v>100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'05_Daily_Orders'!L36</f>
        <v/>
      </c>
    </row>
    <row r="36">
      <c r="A36" s="118">
        <f>'05_Daily_Orders'!B37</f>
        <v/>
      </c>
      <c r="B36" s="50" t="n">
        <v>0</v>
      </c>
      <c r="C36" s="50" t="n">
        <v>0</v>
      </c>
      <c r="D36" s="119" t="n"/>
      <c r="E36" s="119" t="n"/>
      <c r="F36" t="n">
        <v>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'05_Daily_Orders'!L37</f>
        <v/>
      </c>
    </row>
    <row r="37">
      <c r="A37" s="118">
        <f>'05_Daily_Orders'!B38</f>
        <v/>
      </c>
      <c r="B37" s="50" t="n">
        <v>0</v>
      </c>
      <c r="C37" s="50" t="n">
        <v>80</v>
      </c>
      <c r="D37" s="119" t="n"/>
      <c r="E37" s="119" t="n"/>
      <c r="F37" t="n">
        <v>100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'05_Daily_Orders'!L38</f>
        <v/>
      </c>
    </row>
    <row r="38">
      <c r="A38" s="118">
        <f>'05_Daily_Orders'!B39</f>
        <v/>
      </c>
      <c r="B38" s="50" t="n">
        <v>0</v>
      </c>
      <c r="C38" s="50" t="n">
        <v>0</v>
      </c>
      <c r="D38" s="119" t="n"/>
      <c r="E38" s="119" t="n"/>
      <c r="F38" t="n">
        <v>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'05_Daily_Orders'!L39</f>
        <v/>
      </c>
    </row>
    <row r="39">
      <c r="A39" s="118">
        <f>'05_Daily_Orders'!B40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'05_Daily_Orders'!L40</f>
        <v/>
      </c>
    </row>
    <row r="40">
      <c r="A40" s="118">
        <f>'05_Daily_Orders'!B41</f>
        <v/>
      </c>
      <c r="B40" s="50" t="n">
        <v>0</v>
      </c>
      <c r="C40" s="50" t="n">
        <v>6</v>
      </c>
      <c r="D40" s="119" t="n"/>
      <c r="E40" s="119" t="n"/>
      <c r="F40" t="n">
        <v>44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'05_Daily_Orders'!L41</f>
        <v/>
      </c>
    </row>
    <row r="41">
      <c r="A41" s="118">
        <f>'05_Daily_Orders'!B42</f>
        <v/>
      </c>
      <c r="B41" s="50" t="n">
        <v>0</v>
      </c>
      <c r="C41" s="50" t="n">
        <v>1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'05_Daily_Orders'!L42</f>
        <v/>
      </c>
    </row>
    <row r="42">
      <c r="A42" s="118">
        <f>'05_Daily_Orders'!B43</f>
        <v/>
      </c>
      <c r="B42" s="50" t="n">
        <v>0</v>
      </c>
      <c r="C42" s="50" t="n">
        <v>29</v>
      </c>
      <c r="D42" s="119" t="n"/>
      <c r="E42" s="119" t="n"/>
      <c r="F42" t="n">
        <v>65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'05_Daily_Orders'!L43</f>
        <v/>
      </c>
    </row>
    <row r="43">
      <c r="A43" s="118">
        <f>'05_Daily_Orders'!B44</f>
        <v/>
      </c>
      <c r="B43" s="50" t="n">
        <v>0</v>
      </c>
      <c r="C43" s="50" t="n">
        <v>0</v>
      </c>
      <c r="D43" s="119" t="n"/>
      <c r="E43" s="119" t="n"/>
      <c r="F43" t="n">
        <v>0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'05_Daily_Orders'!L44</f>
        <v/>
      </c>
    </row>
    <row r="44">
      <c r="A44" s="118">
        <f>'05_Daily_Orders'!B45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'05_Daily_Orders'!L45</f>
        <v/>
      </c>
    </row>
    <row r="45">
      <c r="A45" s="118">
        <f>'05_Daily_Orders'!B46</f>
        <v/>
      </c>
      <c r="B45" s="50" t="n">
        <v>1</v>
      </c>
      <c r="C45" s="50" t="n">
        <v>0</v>
      </c>
      <c r="D45" s="119" t="n"/>
      <c r="E45" s="119" t="n"/>
      <c r="F45" t="n">
        <v>110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'05_Daily_Orders'!L46</f>
        <v/>
      </c>
    </row>
    <row r="46">
      <c r="A46" s="118">
        <f>'05_Daily_Orders'!B47</f>
        <v/>
      </c>
      <c r="B46" s="50" t="n">
        <v>65</v>
      </c>
      <c r="C46" s="50" t="n">
        <v>0</v>
      </c>
      <c r="D46" s="119" t="n"/>
      <c r="E46" s="119" t="n"/>
      <c r="F46" t="n">
        <v>282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'05_Daily_Orders'!L47</f>
        <v/>
      </c>
    </row>
    <row r="47">
      <c r="A47" s="118">
        <f>'05_Daily_Orders'!B48</f>
        <v/>
      </c>
      <c r="B47" s="50" t="n">
        <v>0</v>
      </c>
      <c r="C47" s="50" t="n">
        <v>0</v>
      </c>
      <c r="D47" s="119" t="n"/>
      <c r="E47" s="119" t="n"/>
      <c r="F47" t="n">
        <v>0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'05_Daily_Orders'!L48</f>
        <v/>
      </c>
    </row>
    <row r="48">
      <c r="A48" s="118">
        <f>'05_Daily_Orders'!B49</f>
        <v/>
      </c>
      <c r="B48" s="50" t="n">
        <v>2</v>
      </c>
      <c r="C48" s="50" t="n">
        <v>0</v>
      </c>
      <c r="D48" s="119" t="n"/>
      <c r="E48" s="119" t="n"/>
      <c r="F48" t="n">
        <v>25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'05_Daily_Orders'!L49</f>
        <v/>
      </c>
    </row>
    <row r="49">
      <c r="A49" s="118">
        <f>'05_Daily_Orders'!B50</f>
        <v/>
      </c>
      <c r="B49" s="50" t="n">
        <v>0</v>
      </c>
      <c r="C49" s="50" t="n">
        <v>15</v>
      </c>
      <c r="D49" s="119" t="n"/>
      <c r="E49" s="119" t="n"/>
      <c r="F49" t="n">
        <v>185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'05_Daily_Orders'!L50</f>
        <v/>
      </c>
    </row>
    <row r="50">
      <c r="A50" s="118">
        <f>'05_Daily_Orders'!B51</f>
        <v/>
      </c>
      <c r="B50" s="50" t="n">
        <v>0</v>
      </c>
      <c r="C50" s="50" t="n">
        <v>0</v>
      </c>
      <c r="D50" s="119" t="n"/>
      <c r="E50" s="119" t="n"/>
      <c r="F50" t="n">
        <v>0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'05_Daily_Orders'!L51</f>
        <v/>
      </c>
    </row>
    <row r="51">
      <c r="A51" s="118">
        <f>'05_Daily_Orders'!B52</f>
        <v/>
      </c>
      <c r="B51" s="50" t="n">
        <v>0</v>
      </c>
      <c r="C51" s="50" t="n">
        <v>95</v>
      </c>
      <c r="D51" s="119" t="n"/>
      <c r="E51" s="119" t="n"/>
      <c r="F51" t="n">
        <v>120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'05_Daily_Orders'!L52</f>
        <v/>
      </c>
    </row>
    <row r="52">
      <c r="A52" s="118">
        <f>'05_Daily_Orders'!B53</f>
        <v/>
      </c>
      <c r="B52" s="50" t="n">
        <v>0</v>
      </c>
      <c r="C52" s="50" t="n">
        <v>40</v>
      </c>
      <c r="D52" s="119" t="n"/>
      <c r="E52" s="119" t="n"/>
      <c r="F52" t="n">
        <v>40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'05_Daily_Orders'!L53</f>
        <v/>
      </c>
    </row>
    <row r="53">
      <c r="A53" s="118">
        <f>'05_Daily_Orders'!B54</f>
        <v/>
      </c>
      <c r="B53" s="50" t="n">
        <v>0</v>
      </c>
      <c r="C53" s="50" t="n">
        <v>0</v>
      </c>
      <c r="D53" s="119" t="n"/>
      <c r="E53" s="119" t="n"/>
      <c r="F53" t="n">
        <v>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'05_Daily_Orders'!L54</f>
        <v/>
      </c>
    </row>
    <row r="54">
      <c r="A54" s="118">
        <f>'05_Daily_Orders'!B55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'05_Daily_Orders'!L55</f>
        <v/>
      </c>
    </row>
    <row r="55">
      <c r="A55" s="118">
        <f>'05_Daily_Orders'!B56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'05_Daily_Orders'!L56</f>
        <v/>
      </c>
    </row>
    <row r="56">
      <c r="A56" s="118">
        <f>'05_Daily_Orders'!B57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'05_Daily_Orders'!L57</f>
        <v/>
      </c>
    </row>
    <row r="57">
      <c r="A57" s="118">
        <f>'05_Daily_Orders'!B58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'05_Daily_Orders'!L58</f>
        <v/>
      </c>
    </row>
    <row r="58">
      <c r="A58" s="118">
        <f>'05_Daily_Orders'!B59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'05_Daily_Orders'!L59</f>
        <v/>
      </c>
    </row>
    <row r="59">
      <c r="A59" s="118">
        <f>'05_Daily_Orders'!B60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'05_Daily_Orders'!L60</f>
        <v/>
      </c>
    </row>
    <row r="60">
      <c r="A60" s="118">
        <f>'05_Daily_Orders'!B61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'05_Daily_Orders'!L61</f>
        <v/>
      </c>
    </row>
    <row r="61">
      <c r="A61" s="118">
        <f>'05_Daily_Orders'!B62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'05_Daily_Orders'!L62</f>
        <v/>
      </c>
    </row>
    <row r="62">
      <c r="A62" s="118">
        <f>'05_Daily_Orders'!B63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'05_Daily_Orders'!L63</f>
        <v/>
      </c>
    </row>
    <row r="63">
      <c r="A63" s="118">
        <f>'05_Daily_Orders'!B64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'05_Daily_Orders'!L64</f>
        <v/>
      </c>
    </row>
    <row r="64">
      <c r="A64" s="118">
        <f>'05_Daily_Orders'!B65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'05_Daily_Orders'!L65</f>
        <v/>
      </c>
    </row>
    <row r="65">
      <c r="A65" s="118">
        <f>'05_Daily_Orders'!B66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'05_Daily_Orders'!L66</f>
        <v/>
      </c>
    </row>
    <row r="66">
      <c r="A66" s="118">
        <f>'05_Daily_Orders'!B67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'05_Daily_Orders'!L67</f>
        <v/>
      </c>
    </row>
    <row r="67">
      <c r="A67" s="118">
        <f>'05_Daily_Orders'!B68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'05_Daily_Orders'!L68</f>
        <v/>
      </c>
    </row>
    <row r="68">
      <c r="A68" s="118">
        <f>'05_Daily_Orders'!B69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'05_Daily_Orders'!L69</f>
        <v/>
      </c>
    </row>
    <row r="69">
      <c r="A69" s="118">
        <f>'05_Daily_Orders'!B70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'05_Daily_Orders'!L70</f>
        <v/>
      </c>
    </row>
    <row r="70">
      <c r="A70" s="118">
        <f>'05_Daily_Orders'!B71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'05_Daily_Orders'!L71</f>
        <v/>
      </c>
    </row>
    <row r="71">
      <c r="A71" s="118">
        <f>'05_Daily_Orders'!B72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'05_Daily_Orders'!L72</f>
        <v/>
      </c>
    </row>
    <row r="72">
      <c r="A72" s="118">
        <f>'05_Daily_Orders'!B73</f>
        <v/>
      </c>
      <c r="B72" s="50" t="n">
        <v>12</v>
      </c>
      <c r="C72" s="50" t="n">
        <v>0</v>
      </c>
      <c r="D72" s="119" t="n"/>
      <c r="E72" s="119" t="n"/>
      <c r="F72" t="n">
        <v>68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'05_Daily_Orders'!L73</f>
        <v/>
      </c>
    </row>
    <row r="73">
      <c r="A73" s="118">
        <f>'05_Daily_Orders'!B74</f>
        <v/>
      </c>
      <c r="B73" s="50" t="n">
        <v>0</v>
      </c>
      <c r="C73" s="50" t="n">
        <v>0</v>
      </c>
      <c r="D73" s="119" t="n"/>
      <c r="E73" s="119" t="n"/>
      <c r="F73" t="n">
        <v>0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'05_Daily_Orders'!L74</f>
        <v/>
      </c>
    </row>
    <row r="74">
      <c r="A74" s="118">
        <f>'05_Daily_Orders'!B75</f>
        <v/>
      </c>
      <c r="B74" s="50" t="n">
        <v>9</v>
      </c>
      <c r="C74" s="50" t="n">
        <v>0</v>
      </c>
      <c r="D74" s="119" t="n"/>
      <c r="E74" s="119" t="n"/>
      <c r="F74" t="n">
        <v>82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'05_Daily_Orders'!L75</f>
        <v/>
      </c>
    </row>
    <row r="75">
      <c r="A75" s="118">
        <f>'05_Daily_Orders'!B76</f>
        <v/>
      </c>
      <c r="B75" s="50" t="n">
        <v>0</v>
      </c>
      <c r="C75" s="50" t="n">
        <v>0</v>
      </c>
      <c r="D75" s="119" t="n"/>
      <c r="E75" s="119" t="n"/>
      <c r="F75" t="n">
        <v>0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'05_Daily_Orders'!L76</f>
        <v/>
      </c>
    </row>
    <row r="76">
      <c r="A76" s="118">
        <f>'05_Daily_Orders'!B77</f>
        <v/>
      </c>
      <c r="B76" s="50" t="n">
        <v>18</v>
      </c>
      <c r="C76" s="50" t="n">
        <v>0</v>
      </c>
      <c r="D76" s="119" t="n"/>
      <c r="E76" s="119" t="n"/>
      <c r="F76" t="n">
        <v>56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'05_Daily_Orders'!L77</f>
        <v/>
      </c>
    </row>
    <row r="77">
      <c r="A77" s="118">
        <f>'05_Daily_Orders'!B78</f>
        <v/>
      </c>
      <c r="B77" s="50" t="n">
        <v>0</v>
      </c>
      <c r="C77" s="50" t="n">
        <v>0</v>
      </c>
      <c r="D77" s="119" t="n"/>
      <c r="E77" s="119" t="n"/>
      <c r="F77" t="n">
        <v>0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'05_Daily_Orders'!L78</f>
        <v/>
      </c>
    </row>
    <row r="78">
      <c r="A78" s="118">
        <f>'05_Daily_Orders'!B79</f>
        <v/>
      </c>
      <c r="B78" s="50" t="n">
        <v>11</v>
      </c>
      <c r="C78" s="50" t="n">
        <v>0</v>
      </c>
      <c r="D78" s="119" t="n"/>
      <c r="E78" s="119" t="n"/>
      <c r="F78" t="n">
        <v>55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'05_Daily_Orders'!L79</f>
        <v/>
      </c>
    </row>
    <row r="79">
      <c r="A79" s="118">
        <f>'05_Daily_Orders'!B80</f>
        <v/>
      </c>
      <c r="B79" s="50" t="n">
        <v>64</v>
      </c>
      <c r="C79" s="50" t="n">
        <v>0</v>
      </c>
      <c r="D79" s="119" t="n"/>
      <c r="E79" s="119" t="n"/>
      <c r="F79" t="n">
        <v>90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'05_Daily_Orders'!L80</f>
        <v/>
      </c>
    </row>
    <row r="80">
      <c r="A80" s="118">
        <f>'05_Daily_Orders'!B81</f>
        <v/>
      </c>
      <c r="B80" s="50" t="n">
        <v>0</v>
      </c>
      <c r="C80" s="50" t="n">
        <v>0</v>
      </c>
      <c r="D80" s="119" t="n"/>
      <c r="E80" s="119" t="n"/>
      <c r="F80" t="n">
        <v>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'05_Daily_Orders'!L81</f>
        <v/>
      </c>
    </row>
    <row r="81">
      <c r="A81" s="118">
        <f>'05_Daily_Orders'!B82</f>
        <v/>
      </c>
      <c r="B81" s="50" t="n">
        <v>0</v>
      </c>
      <c r="C81" s="50" t="n">
        <v>24</v>
      </c>
      <c r="D81" s="119" t="n"/>
      <c r="E81" s="119" t="n"/>
      <c r="F81" t="n">
        <v>185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'05_Daily_Orders'!L82</f>
        <v/>
      </c>
    </row>
    <row r="82">
      <c r="A82" s="118">
        <f>'05_Daily_Orders'!B83</f>
        <v/>
      </c>
      <c r="B82" s="50" t="n">
        <v>0</v>
      </c>
      <c r="C82" s="50" t="n">
        <v>40</v>
      </c>
      <c r="D82" s="119" t="n"/>
      <c r="E82" s="119" t="n"/>
      <c r="F82" t="n">
        <v>40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'05_Daily_Orders'!L83</f>
        <v/>
      </c>
    </row>
    <row r="83">
      <c r="A83" s="118">
        <f>'05_Daily_Orders'!B84</f>
        <v/>
      </c>
      <c r="B83" s="50" t="n">
        <v>0</v>
      </c>
      <c r="C83" s="50" t="n">
        <v>0</v>
      </c>
      <c r="D83" s="119" t="n"/>
      <c r="E83" s="119" t="n"/>
      <c r="F83" t="n">
        <v>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'05_Daily_Orders'!L84</f>
        <v/>
      </c>
    </row>
    <row r="84">
      <c r="A84" s="118">
        <f>'05_Daily_Orders'!B85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'05_Daily_Orders'!L85</f>
        <v/>
      </c>
    </row>
    <row r="85">
      <c r="A85" s="118">
        <f>'05_Daily_Orders'!B86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'05_Daily_Orders'!L86</f>
        <v/>
      </c>
    </row>
    <row r="86">
      <c r="A86" s="118">
        <f>'05_Daily_Orders'!B87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'05_Daily_Orders'!L87</f>
        <v/>
      </c>
    </row>
    <row r="87">
      <c r="A87" s="118">
        <f>'05_Daily_Orders'!B88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'05_Daily_Orders'!L88</f>
        <v/>
      </c>
    </row>
    <row r="88">
      <c r="A88" s="118">
        <f>'05_Daily_Orders'!B89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'05_Daily_Orders'!L89</f>
        <v/>
      </c>
    </row>
    <row r="89">
      <c r="A89" s="118">
        <f>'05_Daily_Orders'!B90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'05_Daily_Orders'!L90</f>
        <v/>
      </c>
    </row>
    <row r="90">
      <c r="A90" s="118">
        <f>'05_Daily_Orders'!B91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'05_Daily_Orders'!L91</f>
        <v/>
      </c>
    </row>
    <row r="91">
      <c r="A91" s="118">
        <f>'05_Daily_Orders'!B92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'05_Daily_Orders'!L92</f>
        <v/>
      </c>
    </row>
    <row r="92">
      <c r="A92" s="118">
        <f>'05_Daily_Orders'!B93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'05_Daily_Orders'!L93</f>
        <v/>
      </c>
    </row>
    <row r="93">
      <c r="A93" s="118">
        <f>'05_Daily_Orders'!B94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'05_Daily_Orders'!L94</f>
        <v/>
      </c>
    </row>
    <row r="94">
      <c r="A94" s="118">
        <f>'05_Daily_Orders'!B95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'05_Daily_Orders'!L95</f>
        <v/>
      </c>
    </row>
    <row r="95">
      <c r="A95" s="118">
        <f>'05_Daily_Orders'!B96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'05_Daily_Orders'!L96</f>
        <v/>
      </c>
    </row>
    <row r="96">
      <c r="A96" s="118">
        <f>'05_Daily_Orders'!B97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'05_Daily_Orders'!L97</f>
        <v/>
      </c>
    </row>
    <row r="97">
      <c r="A97" s="118">
        <f>'05_Daily_Orders'!B98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'05_Daily_Orders'!L98</f>
        <v/>
      </c>
    </row>
    <row r="98">
      <c r="A98" s="118">
        <f>'05_Daily_Orders'!B99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'05_Daily_Orders'!L99</f>
        <v/>
      </c>
    </row>
    <row r="99">
      <c r="A99" s="118">
        <f>'05_Daily_Orders'!B100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'05_Daily_Orders'!L100</f>
        <v/>
      </c>
    </row>
    <row r="100">
      <c r="A100" s="118">
        <f>'05_Daily_Orders'!B101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'05_Daily_Orders'!L101</f>
        <v/>
      </c>
    </row>
    <row r="101">
      <c r="A101" s="118">
        <f>'05_Daily_Orders'!B102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'05_Daily_Orders'!L102</f>
        <v/>
      </c>
    </row>
    <row r="102">
      <c r="A102" s="118">
        <f>'05_Daily_Orders'!B103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'05_Daily_Orders'!L103</f>
        <v/>
      </c>
    </row>
    <row r="103">
      <c r="A103" s="118">
        <f>'05_Daily_Orders'!B104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'05_Daily_Orders'!L104</f>
        <v/>
      </c>
    </row>
    <row r="104">
      <c r="A104" s="118">
        <f>'05_Daily_Orders'!B105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'05_Daily_Orders'!L105</f>
        <v/>
      </c>
    </row>
    <row r="105">
      <c r="A105" s="118">
        <f>'05_Daily_Orders'!B106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'05_Daily_Orders'!L106</f>
        <v/>
      </c>
    </row>
    <row r="106">
      <c r="A106" s="118">
        <f>'05_Daily_Orders'!B107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'05_Daily_Orders'!L107</f>
        <v/>
      </c>
    </row>
    <row r="107">
      <c r="A107" s="118">
        <f>'05_Daily_Orders'!B108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'05_Daily_Orders'!L108</f>
        <v/>
      </c>
    </row>
    <row r="108">
      <c r="A108" s="118">
        <f>'05_Daily_Orders'!B109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'05_Daily_Orders'!L109</f>
        <v/>
      </c>
    </row>
    <row r="109">
      <c r="A109" s="118">
        <f>'05_Daily_Orders'!B110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'05_Daily_Orders'!L110</f>
        <v/>
      </c>
    </row>
    <row r="110">
      <c r="A110" s="118">
        <f>'05_Daily_Orders'!B111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'05_Daily_Orders'!L111</f>
        <v/>
      </c>
    </row>
    <row r="111">
      <c r="A111" s="118">
        <f>'05_Daily_Orders'!B112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'05_Daily_Orders'!L112</f>
        <v/>
      </c>
    </row>
    <row r="112">
      <c r="A112" s="118">
        <f>'05_Daily_Orders'!B113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'05_Daily_Orders'!L113</f>
        <v/>
      </c>
    </row>
    <row r="113">
      <c r="A113" s="118">
        <f>'05_Daily_Orders'!B114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'05_Daily_Orders'!L114</f>
        <v/>
      </c>
    </row>
    <row r="114">
      <c r="A114" s="118">
        <f>'05_Daily_Orders'!B115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'05_Daily_Orders'!L115</f>
        <v/>
      </c>
    </row>
    <row r="115">
      <c r="A115" s="118">
        <f>'05_Daily_Orders'!B116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'05_Daily_Orders'!L116</f>
        <v/>
      </c>
    </row>
    <row r="116">
      <c r="A116" s="118">
        <f>'05_Daily_Orders'!B117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'05_Daily_Orders'!L117</f>
        <v/>
      </c>
    </row>
    <row r="117">
      <c r="A117" s="118">
        <f>'05_Daily_Orders'!B118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'05_Daily_Orders'!L118</f>
        <v/>
      </c>
    </row>
    <row r="118">
      <c r="A118" s="118">
        <f>'05_Daily_Orders'!B119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'05_Daily_Orders'!L119</f>
        <v/>
      </c>
    </row>
    <row r="119">
      <c r="A119" s="118">
        <f>'05_Daily_Orders'!B120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'05_Daily_Orders'!L120</f>
        <v/>
      </c>
    </row>
    <row r="120">
      <c r="A120" s="118">
        <f>'05_Daily_Orders'!B121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'05_Daily_Orders'!L121</f>
        <v/>
      </c>
    </row>
    <row r="121">
      <c r="A121" s="118">
        <f>'05_Daily_Orders'!B122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'05_Daily_Orders'!L122</f>
        <v/>
      </c>
    </row>
    <row r="122">
      <c r="A122" s="118">
        <f>'05_Daily_Orders'!B123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'05_Daily_Orders'!L123</f>
        <v/>
      </c>
    </row>
    <row r="123">
      <c r="A123" s="118">
        <f>'05_Daily_Orders'!B124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'05_Daily_Orders'!L124</f>
        <v/>
      </c>
    </row>
    <row r="124">
      <c r="A124" s="118">
        <f>'05_Daily_Orders'!B125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'05_Daily_Orders'!L125</f>
        <v/>
      </c>
    </row>
    <row r="125">
      <c r="A125" s="118">
        <f>'05_Daily_Orders'!B126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'05_Daily_Orders'!L126</f>
        <v/>
      </c>
    </row>
    <row r="126">
      <c r="A126" s="118">
        <f>'05_Daily_Orders'!B127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'05_Daily_Orders'!L127</f>
        <v/>
      </c>
    </row>
    <row r="127">
      <c r="A127" s="118">
        <f>'05_Daily_Orders'!B128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'05_Daily_Orders'!L128</f>
        <v/>
      </c>
    </row>
    <row r="128">
      <c r="A128" s="118">
        <f>'05_Daily_Orders'!B129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'05_Daily_Orders'!L129</f>
        <v/>
      </c>
    </row>
    <row r="129">
      <c r="A129" s="118">
        <f>'05_Daily_Orders'!B130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'05_Daily_Orders'!L130</f>
        <v/>
      </c>
    </row>
    <row r="130">
      <c r="A130" s="118">
        <f>'05_Daily_Orders'!B131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'05_Daily_Orders'!L131</f>
        <v/>
      </c>
    </row>
    <row r="131">
      <c r="A131" s="118">
        <f>'05_Daily_Orders'!B132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'05_Daily_Orders'!L132</f>
        <v/>
      </c>
    </row>
    <row r="132">
      <c r="A132" s="118">
        <f>'05_Daily_Orders'!B133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'05_Daily_Orders'!L133</f>
        <v/>
      </c>
    </row>
    <row r="133">
      <c r="A133" s="118">
        <f>'05_Daily_Orders'!B134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'05_Daily_Orders'!L134</f>
        <v/>
      </c>
    </row>
    <row r="134">
      <c r="A134" s="118">
        <f>'05_Daily_Orders'!B135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'05_Daily_Orders'!L135</f>
        <v/>
      </c>
    </row>
    <row r="135">
      <c r="A135" s="118">
        <f>'05_Daily_Orders'!B136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'05_Daily_Orders'!L136</f>
        <v/>
      </c>
    </row>
    <row r="136">
      <c r="A136" s="118">
        <f>'05_Daily_Orders'!B137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'05_Daily_Orders'!L137</f>
        <v/>
      </c>
    </row>
    <row r="137">
      <c r="A137" s="118">
        <f>'05_Daily_Orders'!B138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'05_Daily_Orders'!L138</f>
        <v/>
      </c>
    </row>
    <row r="138">
      <c r="A138" s="118">
        <f>'05_Daily_Orders'!B139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'05_Daily_Orders'!L139</f>
        <v/>
      </c>
    </row>
    <row r="139">
      <c r="A139" s="118">
        <f>'05_Daily_Orders'!B140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'05_Daily_Orders'!L140</f>
        <v/>
      </c>
    </row>
    <row r="140">
      <c r="A140" s="118">
        <f>'05_Daily_Orders'!B141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'05_Daily_Orders'!L141</f>
        <v/>
      </c>
    </row>
    <row r="141">
      <c r="A141" s="118">
        <f>'05_Daily_Orders'!B142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'05_Daily_Orders'!L142</f>
        <v/>
      </c>
    </row>
    <row r="142">
      <c r="A142" s="118">
        <f>'05_Daily_Orders'!B143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'05_Daily_Orders'!L143</f>
        <v/>
      </c>
    </row>
    <row r="143">
      <c r="A143" s="118">
        <f>'05_Daily_Orders'!B144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'05_Daily_Orders'!L144</f>
        <v/>
      </c>
    </row>
    <row r="144">
      <c r="A144" s="118">
        <f>'05_Daily_Orders'!B145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'05_Daily_Orders'!L145</f>
        <v/>
      </c>
    </row>
    <row r="145">
      <c r="A145" s="118">
        <f>'05_Daily_Orders'!B146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'05_Daily_Orders'!L146</f>
        <v/>
      </c>
    </row>
    <row r="146">
      <c r="A146" s="118">
        <f>'05_Daily_Orders'!B147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'05_Daily_Orders'!L147</f>
        <v/>
      </c>
    </row>
    <row r="147">
      <c r="A147" s="118">
        <f>'05_Daily_Orders'!B148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'05_Daily_Orders'!L148</f>
        <v/>
      </c>
    </row>
    <row r="148">
      <c r="A148" s="118">
        <f>'05_Daily_Orders'!B149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'05_Daily_Orders'!L149</f>
        <v/>
      </c>
    </row>
    <row r="149">
      <c r="A149" s="118">
        <f>'05_Daily_Orders'!B150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'05_Daily_Orders'!L150</f>
        <v/>
      </c>
    </row>
    <row r="150">
      <c r="A150" s="118">
        <f>'05_Daily_Orders'!B151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'05_Daily_Orders'!L151</f>
        <v/>
      </c>
    </row>
    <row r="151">
      <c r="A151" s="118">
        <f>'05_Daily_Orders'!B152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'05_Daily_Orders'!L152</f>
        <v/>
      </c>
    </row>
    <row r="152">
      <c r="A152" s="118">
        <f>'05_Daily_Orders'!B153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'05_Daily_Orders'!L153</f>
        <v/>
      </c>
    </row>
    <row r="153">
      <c r="A153" s="118">
        <f>'05_Daily_Orders'!B154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'05_Daily_Orders'!L154</f>
        <v/>
      </c>
    </row>
    <row r="154">
      <c r="A154" s="118">
        <f>'05_Daily_Orders'!B155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'05_Daily_Orders'!L155</f>
        <v/>
      </c>
    </row>
    <row r="155">
      <c r="A155" s="118">
        <f>'05_Daily_Orders'!B156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'05_Daily_Orders'!L156</f>
        <v/>
      </c>
    </row>
    <row r="156">
      <c r="A156" s="118">
        <f>'05_Daily_Orders'!B157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'05_Daily_Orders'!L157</f>
        <v/>
      </c>
    </row>
    <row r="157">
      <c r="A157" s="118">
        <f>'05_Daily_Orders'!B158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'05_Daily_Orders'!L158</f>
        <v/>
      </c>
    </row>
    <row r="158">
      <c r="A158" s="118">
        <f>'05_Daily_Orders'!B159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'05_Daily_Orders'!L159</f>
        <v/>
      </c>
    </row>
    <row r="159">
      <c r="A159" s="118">
        <f>'05_Daily_Orders'!B160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'05_Daily_Orders'!L160</f>
        <v/>
      </c>
    </row>
    <row r="160">
      <c r="A160" s="118">
        <f>'05_Daily_Orders'!B161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'05_Daily_Orders'!L161</f>
        <v/>
      </c>
    </row>
    <row r="161">
      <c r="A161" s="118">
        <f>'05_Daily_Orders'!B162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'05_Daily_Orders'!L162</f>
        <v/>
      </c>
    </row>
    <row r="162">
      <c r="A162" s="118">
        <f>'05_Daily_Orders'!B163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'05_Daily_Orders'!L163</f>
        <v/>
      </c>
    </row>
    <row r="163">
      <c r="A163" s="118">
        <f>'05_Daily_Orders'!B164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'05_Daily_Orders'!L164</f>
        <v/>
      </c>
    </row>
    <row r="164">
      <c r="A164" s="118">
        <f>'05_Daily_Orders'!B165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'05_Daily_Orders'!L165</f>
        <v/>
      </c>
    </row>
    <row r="165">
      <c r="A165" s="118">
        <f>'05_Daily_Orders'!B166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'05_Daily_Orders'!L166</f>
        <v/>
      </c>
    </row>
    <row r="166">
      <c r="A166" s="118">
        <f>'05_Daily_Orders'!B167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'05_Daily_Orders'!L167</f>
        <v/>
      </c>
    </row>
    <row r="167">
      <c r="A167" s="118">
        <f>'05_Daily_Orders'!B168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'05_Daily_Orders'!L168</f>
        <v/>
      </c>
    </row>
    <row r="168">
      <c r="A168" s="118">
        <f>'05_Daily_Orders'!B169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'05_Daily_Orders'!L169</f>
        <v/>
      </c>
    </row>
    <row r="169">
      <c r="A169" s="118">
        <f>'05_Daily_Orders'!B170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'05_Daily_Orders'!L170</f>
        <v/>
      </c>
    </row>
    <row r="170">
      <c r="A170" s="118">
        <f>'05_Daily_Orders'!B171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'05_Daily_Orders'!L171</f>
        <v/>
      </c>
    </row>
    <row r="171">
      <c r="A171" s="118">
        <f>'05_Daily_Orders'!B172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'05_Daily_Orders'!L172</f>
        <v/>
      </c>
    </row>
    <row r="172">
      <c r="A172" s="118">
        <f>'05_Daily_Orders'!B173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'05_Daily_Orders'!L173</f>
        <v/>
      </c>
    </row>
    <row r="173">
      <c r="A173" s="118">
        <f>'05_Daily_Orders'!B174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'05_Daily_Orders'!L174</f>
        <v/>
      </c>
    </row>
    <row r="174">
      <c r="A174" s="118">
        <f>'05_Daily_Orders'!B175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'05_Daily_Orders'!L175</f>
        <v/>
      </c>
    </row>
    <row r="175">
      <c r="A175" s="118">
        <f>'05_Daily_Orders'!B176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'05_Daily_Orders'!L176</f>
        <v/>
      </c>
    </row>
    <row r="176">
      <c r="A176" s="118">
        <f>'05_Daily_Orders'!B177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'05_Daily_Orders'!L177</f>
        <v/>
      </c>
    </row>
    <row r="177">
      <c r="A177" s="118">
        <f>'05_Daily_Orders'!B178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'05_Daily_Orders'!L178</f>
        <v/>
      </c>
    </row>
    <row r="178">
      <c r="A178" s="118">
        <f>'05_Daily_Orders'!B179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'05_Daily_Orders'!L179</f>
        <v/>
      </c>
    </row>
    <row r="179">
      <c r="A179" s="118">
        <f>'05_Daily_Orders'!B180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'05_Daily_Orders'!L180</f>
        <v/>
      </c>
    </row>
    <row r="180">
      <c r="A180" s="118">
        <f>'05_Daily_Orders'!B181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'05_Daily_Orders'!L181</f>
        <v/>
      </c>
    </row>
    <row r="181">
      <c r="A181" s="118">
        <f>'05_Daily_Orders'!B182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'05_Daily_Orders'!L182</f>
        <v/>
      </c>
    </row>
    <row r="182">
      <c r="A182" s="118">
        <f>'05_Daily_Orders'!B183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'05_Daily_Orders'!L183</f>
        <v/>
      </c>
    </row>
    <row r="183">
      <c r="A183" s="118">
        <f>'05_Daily_Orders'!B184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'05_Daily_Orders'!L184</f>
        <v/>
      </c>
    </row>
    <row r="184">
      <c r="A184" s="118">
        <f>'05_Daily_Orders'!B185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'05_Daily_Orders'!L185</f>
        <v/>
      </c>
    </row>
    <row r="185">
      <c r="A185" s="118">
        <f>'05_Daily_Orders'!B186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'05_Daily_Orders'!L186</f>
        <v/>
      </c>
    </row>
    <row r="186">
      <c r="A186" s="118">
        <f>'05_Daily_Orders'!B187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'05_Daily_Orders'!L187</f>
        <v/>
      </c>
    </row>
    <row r="187">
      <c r="A187" s="118">
        <f>'05_Daily_Orders'!B188</f>
        <v/>
      </c>
      <c r="B187" s="50" t="n">
        <v>0</v>
      </c>
      <c r="C187" s="50" t="n">
        <v>131</v>
      </c>
      <c r="D187" s="119" t="n"/>
      <c r="E187" s="119" t="n"/>
      <c r="F187" t="n">
        <v>108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'05_Daily_Orders'!L188</f>
        <v/>
      </c>
    </row>
    <row r="188">
      <c r="A188" s="118">
        <f>'05_Daily_Orders'!B189</f>
        <v/>
      </c>
      <c r="B188" s="50" t="n">
        <v>2</v>
      </c>
      <c r="C188" s="50" t="n">
        <v>0</v>
      </c>
      <c r="D188" s="119" t="n"/>
      <c r="E188" s="119" t="n"/>
      <c r="F188" t="n">
        <v>83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'05_Daily_Orders'!L189</f>
        <v/>
      </c>
    </row>
    <row r="189">
      <c r="A189" s="118">
        <f>'05_Daily_Orders'!B190</f>
        <v/>
      </c>
      <c r="B189" s="50" t="n">
        <v>0</v>
      </c>
      <c r="C189" s="50" t="n">
        <v>0</v>
      </c>
      <c r="D189" s="119" t="n"/>
      <c r="E189" s="119" t="n"/>
      <c r="F189" t="n">
        <v>145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'05_Daily_Orders'!L190</f>
        <v/>
      </c>
    </row>
    <row r="190">
      <c r="A190" s="118">
        <f>'05_Daily_Orders'!B191</f>
        <v/>
      </c>
      <c r="B190" s="50" t="n">
        <v>0</v>
      </c>
      <c r="C190" s="50" t="n">
        <v>9</v>
      </c>
      <c r="D190" s="119" t="n"/>
      <c r="E190" s="119" t="n"/>
      <c r="F190" t="n">
        <v>513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'05_Daily_Orders'!L191</f>
        <v/>
      </c>
    </row>
    <row r="191">
      <c r="A191" s="118">
        <f>'05_Daily_Orders'!B192</f>
        <v/>
      </c>
      <c r="B191" s="50" t="n">
        <v>0</v>
      </c>
      <c r="C191" s="50" t="n">
        <v>76</v>
      </c>
      <c r="D191" s="119" t="n"/>
      <c r="E191" s="119" t="n"/>
      <c r="F191" t="n">
        <v>88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'05_Daily_Orders'!L192</f>
        <v/>
      </c>
    </row>
    <row r="192">
      <c r="A192" s="118">
        <f>'05_Daily_Orders'!B193</f>
        <v/>
      </c>
      <c r="B192" s="50" t="n">
        <v>0</v>
      </c>
      <c r="C192" s="50" t="n">
        <v>0</v>
      </c>
      <c r="D192" s="119" t="n"/>
      <c r="E192" s="119" t="n"/>
      <c r="F192" t="n">
        <v>0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'05_Daily_Orders'!L193</f>
        <v/>
      </c>
    </row>
    <row r="193">
      <c r="A193" s="118">
        <f>'05_Daily_Orders'!B194</f>
        <v/>
      </c>
      <c r="B193" s="50" t="n">
        <v>0</v>
      </c>
      <c r="C193" s="50" t="n">
        <v>40</v>
      </c>
      <c r="D193" s="119" t="n"/>
      <c r="E193" s="119" t="n"/>
      <c r="F193" t="n">
        <v>33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'05_Daily_Orders'!L194</f>
        <v/>
      </c>
    </row>
    <row r="194">
      <c r="A194" s="118">
        <f>'05_Daily_Orders'!B195</f>
        <v/>
      </c>
      <c r="B194" s="50" t="n">
        <v>0</v>
      </c>
      <c r="C194" s="50" t="n">
        <v>5</v>
      </c>
      <c r="D194" s="119" t="n"/>
      <c r="E194" s="119" t="n"/>
      <c r="F194" t="n">
        <v>355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'05_Daily_Orders'!L195</f>
        <v/>
      </c>
    </row>
    <row r="195">
      <c r="A195" s="118">
        <f>'05_Daily_Orders'!B196</f>
        <v/>
      </c>
      <c r="B195" s="50" t="n">
        <v>0</v>
      </c>
      <c r="C195" s="50" t="n">
        <v>310</v>
      </c>
      <c r="D195" s="119" t="n"/>
      <c r="E195" s="119" t="n"/>
      <c r="F195" t="n">
        <v>423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'05_Daily_Orders'!L196</f>
        <v/>
      </c>
    </row>
    <row r="196">
      <c r="A196" s="118">
        <f>'05_Daily_Orders'!B197</f>
        <v/>
      </c>
      <c r="B196" s="50" t="n">
        <v>0</v>
      </c>
      <c r="C196" s="50" t="n">
        <v>0</v>
      </c>
      <c r="D196" s="119" t="n"/>
      <c r="E196" s="119" t="n"/>
      <c r="F196" t="n">
        <v>0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'05_Daily_Orders'!L197</f>
        <v/>
      </c>
    </row>
    <row r="197">
      <c r="A197" s="118">
        <f>'05_Daily_Orders'!B198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'05_Daily_Orders'!L198</f>
        <v/>
      </c>
    </row>
    <row r="198">
      <c r="A198" s="118">
        <f>'05_Daily_Orders'!B199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'05_Daily_Orders'!L199</f>
        <v/>
      </c>
    </row>
    <row r="199">
      <c r="A199" s="118">
        <f>'05_Daily_Orders'!B200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'05_Daily_Orders'!L200</f>
        <v/>
      </c>
    </row>
    <row r="200">
      <c r="A200" s="118">
        <f>'05_Daily_Orders'!B201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'05_Daily_Orders'!L201</f>
        <v/>
      </c>
    </row>
    <row r="201">
      <c r="A201" s="118">
        <f>'05_Daily_Orders'!B202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'05_Daily_Orders'!L202</f>
        <v/>
      </c>
    </row>
    <row r="202">
      <c r="A202" s="118">
        <f>'05_Daily_Orders'!B203</f>
        <v/>
      </c>
      <c r="B202" s="50" t="n">
        <v>0</v>
      </c>
      <c r="C202" s="50" t="n">
        <v>0</v>
      </c>
      <c r="D202" s="119" t="n"/>
      <c r="E202" s="119" t="n"/>
      <c r="F202" t="n">
        <v>144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'05_Daily_Orders'!L203</f>
        <v/>
      </c>
    </row>
    <row r="203">
      <c r="A203" s="118">
        <f>'05_Daily_Orders'!B204</f>
        <v/>
      </c>
      <c r="B203" s="50" t="n">
        <v>4</v>
      </c>
      <c r="C203" s="50" t="n">
        <v>0</v>
      </c>
      <c r="D203" s="119" t="n"/>
      <c r="E203" s="119" t="n"/>
      <c r="F203" t="n">
        <v>327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'05_Daily_Orders'!L204</f>
        <v/>
      </c>
    </row>
    <row r="204">
      <c r="A204" s="118">
        <f>'05_Daily_Orders'!B205</f>
        <v/>
      </c>
      <c r="B204" s="50" t="n">
        <v>0</v>
      </c>
      <c r="C204" s="50" t="n">
        <v>187</v>
      </c>
      <c r="D204" s="119" t="n"/>
      <c r="E204" s="119" t="n"/>
      <c r="F204" t="n">
        <v>182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'05_Daily_Orders'!L205</f>
        <v/>
      </c>
    </row>
    <row r="205">
      <c r="A205" s="118">
        <f>'05_Daily_Orders'!B206</f>
        <v/>
      </c>
      <c r="B205" s="50" t="n">
        <v>0</v>
      </c>
      <c r="C205" s="50" t="n">
        <v>0</v>
      </c>
      <c r="D205" s="119" t="n"/>
      <c r="E205" s="119" t="n"/>
      <c r="F205" t="n">
        <v>127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'05_Daily_Orders'!L206</f>
        <v/>
      </c>
    </row>
    <row r="206">
      <c r="A206" s="118">
        <f>'05_Daily_Orders'!B207</f>
        <v/>
      </c>
      <c r="B206" s="50" t="n">
        <v>0</v>
      </c>
      <c r="C206" s="50" t="n">
        <v>0</v>
      </c>
      <c r="D206" s="119" t="n"/>
      <c r="E206" s="119" t="n"/>
      <c r="F206" t="n">
        <v>109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'05_Daily_Orders'!L207</f>
        <v/>
      </c>
    </row>
    <row r="207">
      <c r="A207" s="118">
        <f>'05_Daily_Orders'!B208</f>
        <v/>
      </c>
      <c r="B207" s="50" t="n">
        <v>0</v>
      </c>
      <c r="C207" s="50" t="n">
        <v>0</v>
      </c>
      <c r="D207" s="119" t="n"/>
      <c r="E207" s="119" t="n"/>
      <c r="F207" t="n">
        <v>0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'05_Daily_Orders'!L208</f>
        <v/>
      </c>
    </row>
    <row r="208">
      <c r="A208" s="118">
        <f>'05_Daily_Orders'!B209</f>
        <v/>
      </c>
      <c r="B208" s="50" t="n">
        <v>0</v>
      </c>
      <c r="C208" s="50" t="n">
        <v>16</v>
      </c>
      <c r="D208" s="119" t="n"/>
      <c r="E208" s="119" t="n"/>
      <c r="F208" t="n">
        <v>14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'05_Daily_Orders'!L209</f>
        <v/>
      </c>
    </row>
    <row r="209">
      <c r="A209" s="118">
        <f>'05_Daily_Orders'!B210</f>
        <v/>
      </c>
      <c r="B209" s="50" t="n">
        <v>0</v>
      </c>
      <c r="C209" s="50" t="n">
        <v>32</v>
      </c>
      <c r="D209" s="119" t="n"/>
      <c r="E209" s="119" t="n"/>
      <c r="F209" t="n">
        <v>226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'05_Daily_Orders'!L210</f>
        <v/>
      </c>
    </row>
    <row r="210">
      <c r="A210" s="118">
        <f>'05_Daily_Orders'!B211</f>
        <v/>
      </c>
      <c r="B210" s="50" t="n">
        <v>0</v>
      </c>
      <c r="C210" s="50" t="n">
        <v>0</v>
      </c>
      <c r="D210" s="119" t="n"/>
      <c r="E210" s="119" t="n"/>
      <c r="F210" t="n">
        <v>0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'05_Daily_Orders'!L211</f>
        <v/>
      </c>
    </row>
    <row r="211">
      <c r="A211" s="118">
        <f>'05_Daily_Orders'!B212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'05_Daily_Orders'!L212</f>
        <v/>
      </c>
    </row>
    <row r="212">
      <c r="A212" s="118">
        <f>'05_Daily_Orders'!B213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'05_Daily_Orders'!L213</f>
        <v/>
      </c>
    </row>
    <row r="213">
      <c r="A213" s="118">
        <f>'05_Daily_Orders'!B214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'05_Daily_Orders'!L214</f>
        <v/>
      </c>
    </row>
    <row r="214">
      <c r="A214" s="118">
        <f>'05_Daily_Orders'!B215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'05_Daily_Orders'!L215</f>
        <v/>
      </c>
    </row>
    <row r="215">
      <c r="A215" s="118">
        <f>'05_Daily_Orders'!B216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'05_Daily_Orders'!L216</f>
        <v/>
      </c>
    </row>
    <row r="216">
      <c r="A216" s="118">
        <f>'05_Daily_Orders'!B217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'05_Daily_Orders'!L217</f>
        <v/>
      </c>
    </row>
    <row r="217">
      <c r="A217" s="118">
        <f>'05_Daily_Orders'!B218</f>
        <v/>
      </c>
      <c r="B217" s="50" t="n">
        <v>0</v>
      </c>
      <c r="C217" s="50" t="n">
        <v>4</v>
      </c>
      <c r="D217" s="119" t="n"/>
      <c r="E217" s="119" t="n"/>
      <c r="F217" t="n">
        <v>37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'05_Daily_Orders'!L218</f>
        <v/>
      </c>
    </row>
    <row r="218">
      <c r="A218" s="118">
        <f>'05_Daily_Orders'!B219</f>
        <v/>
      </c>
      <c r="B218" s="50" t="n">
        <v>0</v>
      </c>
      <c r="C218" s="50" t="n">
        <v>0</v>
      </c>
      <c r="D218" s="119" t="n"/>
      <c r="E218" s="119" t="n"/>
      <c r="F218" t="n">
        <v>0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'05_Daily_Orders'!L219</f>
        <v/>
      </c>
    </row>
    <row r="219">
      <c r="A219" s="118">
        <f>'05_Daily_Orders'!B220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'05_Daily_Orders'!L220</f>
        <v/>
      </c>
    </row>
    <row r="220">
      <c r="A220" s="118">
        <f>'05_Daily_Orders'!B221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'05_Daily_Orders'!L221</f>
        <v/>
      </c>
    </row>
    <row r="221">
      <c r="A221" s="118">
        <f>'05_Daily_Orders'!B222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'05_Daily_Orders'!L222</f>
        <v/>
      </c>
    </row>
    <row r="222">
      <c r="A222" s="118">
        <f>'05_Daily_Orders'!B223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'05_Daily_Orders'!L223</f>
        <v/>
      </c>
    </row>
    <row r="223">
      <c r="A223" s="118">
        <f>'05_Daily_Orders'!B224</f>
        <v/>
      </c>
      <c r="B223" s="50" t="n">
        <v>0</v>
      </c>
      <c r="C223" s="50" t="n">
        <v>10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'05_Daily_Orders'!L224</f>
        <v/>
      </c>
    </row>
    <row r="224">
      <c r="A224" s="118">
        <f>'05_Daily_Orders'!B225</f>
        <v/>
      </c>
      <c r="B224" s="50" t="n">
        <v>57</v>
      </c>
      <c r="C224" s="50" t="n">
        <v>0</v>
      </c>
      <c r="D224" s="119" t="n"/>
      <c r="E224" s="119" t="n"/>
      <c r="F224" t="n">
        <v>98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'05_Daily_Orders'!L225</f>
        <v/>
      </c>
    </row>
    <row r="225">
      <c r="A225" s="118">
        <f>'05_Daily_Orders'!B226</f>
        <v/>
      </c>
      <c r="B225" s="50" t="n">
        <v>0</v>
      </c>
      <c r="C225" s="50" t="n">
        <v>120</v>
      </c>
      <c r="D225" s="119" t="n"/>
      <c r="E225" s="119" t="n"/>
      <c r="F225" t="n">
        <v>130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'05_Daily_Orders'!L226</f>
        <v/>
      </c>
    </row>
    <row r="226">
      <c r="A226" s="118">
        <f>'05_Daily_Orders'!B227</f>
        <v/>
      </c>
      <c r="B226" s="50" t="n">
        <v>33</v>
      </c>
      <c r="C226" s="50" t="n">
        <v>0</v>
      </c>
      <c r="D226" s="119" t="n"/>
      <c r="E226" s="119" t="n"/>
      <c r="F226" t="n">
        <v>35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'05_Daily_Orders'!L227</f>
        <v/>
      </c>
    </row>
    <row r="227">
      <c r="A227" s="118">
        <f>'05_Daily_Orders'!B228</f>
        <v/>
      </c>
      <c r="B227" s="50" t="n">
        <v>42</v>
      </c>
      <c r="C227" s="50" t="n">
        <v>0</v>
      </c>
      <c r="D227" s="119" t="n"/>
      <c r="E227" s="119" t="n"/>
      <c r="F227" t="n">
        <v>60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'05_Daily_Orders'!L228</f>
        <v/>
      </c>
    </row>
    <row r="228">
      <c r="A228" s="118">
        <f>'05_Daily_Orders'!B229</f>
        <v/>
      </c>
      <c r="B228" s="50" t="n">
        <v>24</v>
      </c>
      <c r="C228" s="50" t="n">
        <v>0</v>
      </c>
      <c r="D228" s="119" t="n"/>
      <c r="E228" s="119" t="n"/>
      <c r="F228" t="n">
        <v>29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'05_Daily_Orders'!L229</f>
        <v/>
      </c>
    </row>
    <row r="229">
      <c r="A229" s="118">
        <f>'05_Daily_Orders'!B230</f>
        <v/>
      </c>
      <c r="B229" s="50" t="n">
        <v>0</v>
      </c>
      <c r="C229" s="50" t="n">
        <v>0</v>
      </c>
      <c r="D229" s="119" t="n"/>
      <c r="E229" s="119" t="n"/>
      <c r="F229" t="n">
        <v>0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'05_Daily_Orders'!L230</f>
        <v/>
      </c>
    </row>
    <row r="230">
      <c r="A230" s="118">
        <f>'05_Daily_Orders'!B231</f>
        <v/>
      </c>
      <c r="B230" s="50" t="n">
        <v>0</v>
      </c>
      <c r="C230" s="50" t="n">
        <v>64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'05_Daily_Orders'!L231</f>
        <v/>
      </c>
    </row>
    <row r="231">
      <c r="A231" s="118">
        <f>'05_Daily_Orders'!B232</f>
        <v/>
      </c>
      <c r="B231" s="50" t="n">
        <v>0</v>
      </c>
      <c r="C231" s="50" t="n">
        <v>30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'05_Daily_Orders'!L232</f>
        <v/>
      </c>
    </row>
    <row r="232">
      <c r="A232" s="118">
        <f>'05_Daily_Orders'!B233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'05_Daily_Orders'!L233</f>
        <v/>
      </c>
    </row>
    <row r="233">
      <c r="A233" s="118">
        <f>'05_Daily_Orders'!B234</f>
        <v/>
      </c>
      <c r="B233" s="50" t="n">
        <v>0</v>
      </c>
      <c r="C233" s="50" t="n">
        <v>31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'05_Daily_Orders'!L234</f>
        <v/>
      </c>
    </row>
    <row r="234">
      <c r="A234" s="118">
        <f>'05_Daily_Orders'!B235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'05_Daily_Orders'!L235</f>
        <v/>
      </c>
    </row>
    <row r="235">
      <c r="A235" s="118">
        <f>'05_Daily_Orders'!B236</f>
        <v/>
      </c>
      <c r="B235" s="50" t="n">
        <v>0</v>
      </c>
      <c r="C235" s="50" t="n">
        <v>10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'05_Daily_Orders'!L236</f>
        <v/>
      </c>
    </row>
    <row r="236">
      <c r="A236" s="118">
        <f>'05_Daily_Orders'!B237</f>
        <v/>
      </c>
      <c r="B236" s="50" t="n">
        <v>58</v>
      </c>
      <c r="C236" s="50" t="n">
        <v>0</v>
      </c>
      <c r="D236" s="119" t="n"/>
      <c r="E236" s="119" t="n"/>
      <c r="F236" t="n">
        <v>100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'05_Daily_Orders'!L237</f>
        <v/>
      </c>
    </row>
    <row r="237">
      <c r="A237" s="118">
        <f>'05_Daily_Orders'!B238</f>
        <v/>
      </c>
      <c r="B237" s="50" t="n">
        <v>65</v>
      </c>
      <c r="C237" s="50" t="n">
        <v>0</v>
      </c>
      <c r="D237" s="119" t="n"/>
      <c r="E237" s="119" t="n"/>
      <c r="F237" t="n">
        <v>85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'05_Daily_Orders'!L238</f>
        <v/>
      </c>
    </row>
    <row r="238">
      <c r="A238" s="118">
        <f>'05_Daily_Orders'!B239</f>
        <v/>
      </c>
      <c r="B238" s="50" t="n">
        <v>46</v>
      </c>
      <c r="C238" s="50" t="n">
        <v>0</v>
      </c>
      <c r="D238" s="119" t="n"/>
      <c r="E238" s="119" t="n"/>
      <c r="F238" t="n">
        <v>65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'05_Daily_Orders'!L239</f>
        <v/>
      </c>
    </row>
    <row r="239">
      <c r="A239" s="118">
        <f>'05_Daily_Orders'!B240</f>
        <v/>
      </c>
      <c r="B239" s="50" t="n">
        <v>0</v>
      </c>
      <c r="C239" s="50" t="n">
        <v>0</v>
      </c>
      <c r="D239" s="119" t="n"/>
      <c r="E239" s="119" t="n"/>
      <c r="F239" t="n">
        <v>0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'05_Daily_Orders'!L240</f>
        <v/>
      </c>
    </row>
    <row r="240">
      <c r="A240" s="118">
        <f>'05_Daily_Orders'!B241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'05_Daily_Orders'!L241</f>
        <v/>
      </c>
    </row>
    <row r="241">
      <c r="A241" s="118">
        <f>'05_Daily_Orders'!B242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'05_Daily_Orders'!L242</f>
        <v/>
      </c>
    </row>
    <row r="242">
      <c r="A242" s="118">
        <f>'05_Daily_Orders'!B243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'05_Daily_Orders'!L243</f>
        <v/>
      </c>
    </row>
    <row r="243">
      <c r="A243" s="118">
        <f>'05_Daily_Orders'!B244</f>
        <v/>
      </c>
      <c r="B243" s="50" t="n">
        <v>0</v>
      </c>
      <c r="C243" s="50" t="n">
        <v>6</v>
      </c>
      <c r="D243" s="119" t="n"/>
      <c r="E243" s="119" t="n"/>
      <c r="F243" t="n">
        <v>40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'05_Daily_Orders'!L244</f>
        <v/>
      </c>
    </row>
    <row r="244">
      <c r="A244" s="118">
        <f>'05_Daily_Orders'!B245</f>
        <v/>
      </c>
      <c r="B244" s="50" t="n">
        <v>0</v>
      </c>
      <c r="C244" s="50" t="n">
        <v>0</v>
      </c>
      <c r="D244" s="119" t="n"/>
      <c r="E244" s="119" t="n"/>
      <c r="F244" t="n">
        <v>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'05_Daily_Orders'!L245</f>
        <v/>
      </c>
    </row>
    <row r="245">
      <c r="A245" s="118">
        <f>'05_Daily_Orders'!B246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'05_Daily_Orders'!L246</f>
        <v/>
      </c>
    </row>
    <row r="246">
      <c r="A246" s="118">
        <f>'05_Daily_Orders'!B247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'05_Daily_Orders'!L247</f>
        <v/>
      </c>
    </row>
    <row r="247">
      <c r="A247" s="118">
        <f>'05_Daily_Orders'!B248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'05_Daily_Orders'!L248</f>
        <v/>
      </c>
    </row>
    <row r="248">
      <c r="A248" s="118">
        <f>'05_Daily_Orders'!B249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'05_Daily_Orders'!L249</f>
        <v/>
      </c>
    </row>
    <row r="249">
      <c r="A249" s="118">
        <f>'05_Daily_Orders'!B250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'05_Daily_Orders'!L250</f>
        <v/>
      </c>
    </row>
    <row r="250">
      <c r="A250" s="118">
        <f>'05_Daily_Orders'!B251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'05_Daily_Orders'!L251</f>
        <v/>
      </c>
    </row>
    <row r="251">
      <c r="A251" s="118">
        <f>'05_Daily_Orders'!B252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'05_Daily_Orders'!L252</f>
        <v/>
      </c>
    </row>
    <row r="252">
      <c r="A252" s="118">
        <f>'05_Daily_Orders'!B253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'05_Daily_Orders'!L253</f>
        <v/>
      </c>
    </row>
    <row r="253">
      <c r="A253" s="118">
        <f>'05_Daily_Orders'!B254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'05_Daily_Orders'!L254</f>
        <v/>
      </c>
    </row>
    <row r="254">
      <c r="A254" s="118">
        <f>'05_Daily_Orders'!B255</f>
        <v/>
      </c>
      <c r="B254" s="50" t="n">
        <v>0</v>
      </c>
      <c r="C254" s="50" t="n">
        <v>12</v>
      </c>
      <c r="D254" s="119" t="n"/>
      <c r="E254" s="119" t="n"/>
      <c r="F254" t="n">
        <v>50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'05_Daily_Orders'!L255</f>
        <v/>
      </c>
    </row>
    <row r="255">
      <c r="A255" s="118">
        <f>'05_Daily_Orders'!B256</f>
        <v/>
      </c>
      <c r="B255" s="50" t="n">
        <v>0</v>
      </c>
      <c r="C255" s="50" t="n">
        <v>831</v>
      </c>
      <c r="D255" s="119" t="n"/>
      <c r="E255" s="119" t="n"/>
      <c r="F255" t="n">
        <v>880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'05_Daily_Orders'!L256</f>
        <v/>
      </c>
    </row>
    <row r="256">
      <c r="A256" s="118">
        <f>'05_Daily_Orders'!B257</f>
        <v/>
      </c>
      <c r="B256" s="50" t="n">
        <v>0</v>
      </c>
      <c r="C256" s="50" t="n">
        <v>0</v>
      </c>
      <c r="D256" s="119" t="n"/>
      <c r="E256" s="119" t="n"/>
      <c r="F256" t="n">
        <v>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'05_Daily_Orders'!L257</f>
        <v/>
      </c>
    </row>
    <row r="257">
      <c r="A257" s="118">
        <f>'05_Daily_Orders'!B258</f>
        <v/>
      </c>
      <c r="B257" s="50" t="n">
        <v>0</v>
      </c>
      <c r="C257" s="50" t="n">
        <v>39</v>
      </c>
      <c r="D257" s="119" t="n"/>
      <c r="E257" s="119" t="n"/>
      <c r="F257" t="n">
        <v>40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'05_Daily_Orders'!L258</f>
        <v/>
      </c>
    </row>
    <row r="258">
      <c r="A258" s="118">
        <f>'05_Daily_Orders'!B259</f>
        <v/>
      </c>
      <c r="B258" s="50" t="n">
        <v>0</v>
      </c>
      <c r="C258" s="50" t="n">
        <v>217</v>
      </c>
      <c r="D258" s="119" t="n"/>
      <c r="E258" s="119" t="n"/>
      <c r="F258" t="n">
        <v>300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'05_Daily_Orders'!L259</f>
        <v/>
      </c>
    </row>
    <row r="259">
      <c r="A259" s="118">
        <f>'05_Daily_Orders'!B260</f>
        <v/>
      </c>
      <c r="B259" s="50" t="n">
        <v>0</v>
      </c>
      <c r="C259" s="50" t="n">
        <v>0</v>
      </c>
      <c r="D259" s="119" t="n"/>
      <c r="E259" s="119" t="n"/>
      <c r="F259" t="n">
        <v>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'05_Daily_Orders'!L260</f>
        <v/>
      </c>
    </row>
    <row r="260">
      <c r="A260" s="118">
        <f>'05_Daily_Orders'!B261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'05_Daily_Orders'!L261</f>
        <v/>
      </c>
    </row>
    <row r="261">
      <c r="A261" s="118">
        <f>'05_Daily_Orders'!B262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'05_Daily_Orders'!L262</f>
        <v/>
      </c>
    </row>
    <row r="262">
      <c r="A262" s="118">
        <f>'05_Daily_Orders'!B263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'05_Daily_Orders'!L263</f>
        <v/>
      </c>
    </row>
    <row r="263">
      <c r="A263" s="118">
        <f>'05_Daily_Orders'!B264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'05_Daily_Orders'!L264</f>
        <v/>
      </c>
    </row>
    <row r="264">
      <c r="A264" s="118">
        <f>'05_Daily_Orders'!B265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B1:T43"/>
  <sheetViews>
    <sheetView workbookViewId="0">
      <selection activeCell="J15" sqref="J1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 t="n"/>
      <c r="O5" s="148">
        <f>_xludf.IFNA(_xlfn.XLOOKUP(H5,$B$27:$B$43,$E$27:$E$43),"")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 t="n"/>
      <c r="O6" s="148">
        <f>_xludf.IFNA(_xlfn.XLOOKUP(H6,$B$27:$B$43,$E$27:$E$43),"")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 t="n"/>
      <c r="O7" s="148">
        <f>_xludf.IFNA(_xlfn.XLOOKUP(H7,$B$27:$B$43,$E$27:$E$43),"")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 t="n"/>
      <c r="O8" s="148">
        <f>_xludf.IFNA(_xlfn.XLOOKUP(H8,$B$27:$B$43,$E$27:$E$43),"")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 t="n"/>
      <c r="O9" s="148">
        <f>_xludf.IFNA(_xlfn.XLOOKUP(H9,$B$27:$B$43,$E$27:$E$43),"")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 t="n"/>
      <c r="O10" s="148">
        <f>_xludf.IFNA(_xlfn.XLOOKUP(H10,$B$27:$B$43,$E$27:$E$43),"")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 t="n"/>
      <c r="O11" s="148">
        <f>_xludf.IFNA(_xlfn.XLOOKUP(H11,$B$27:$B$43,$E$27:$E$43),"")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 t="n"/>
      <c r="O12" s="148">
        <f>_xludf.IFNA(_xlfn.XLOOKUP(H12,$B$27:$B$43,$E$27:$E$43),"")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 t="n"/>
      <c r="O13" s="148">
        <f>_xludf.IFNA(_xlfn.XLOOKUP(H13,$B$27:$B$43,$E$27:$E$43),"")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 t="n"/>
      <c r="O14" s="148">
        <f>_xludf.IFNA(_xlfn.XLOOKUP(H14,$B$27:$B$43,$E$27:$E$43),"")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 t="n"/>
      <c r="O15" s="148">
        <f>_xludf.IFNA(_xlfn.XLOOKUP(H15,$B$27:$B$43,$E$27:$E$43),"")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 t="n"/>
      <c r="O16" s="148">
        <f>_xludf.IFNA(_xlfn.XLOOKUP(H16,$B$27:$B$43,$E$27:$E$43),"")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 t="n"/>
      <c r="O17" s="148">
        <f>_xludf.IFNA(_xlfn.XLOOKUP(H17,$B$27:$B$43,$E$27:$E$43),"")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 t="n"/>
      <c r="O18" s="148">
        <f>_xludf.IFNA(_xlfn.XLOOKUP(H18,$B$27:$B$43,$E$27:$E$43),"")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 t="n"/>
      <c r="O19" s="148">
        <f>_xludf.IFNA(_xlfn.XLOOKUP(H19,$B$27:$B$43,$E$27:$E$43),"")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 t="n"/>
      <c r="O20" s="148">
        <f>_xludf.IFNA(_xlfn.XLOOKUP(H20,$B$27:$B$43,$E$27:$E$43),"")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 t="n"/>
      <c r="O21" s="148">
        <f>_xludf.IFNA(_xlfn.XLOOKUP(H21,$B$27:$B$43,$E$27:$E$43),"")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 t="n"/>
      <c r="O22" s="148">
        <f>_xludf.IFNA(_xlfn.XLOOKUP(H22,$B$27:$B$43,$E$27:$E$43),"")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O328"/>
  <sheetViews>
    <sheetView topLeftCell="A57" workbookViewId="0">
      <selection activeCell="K170" sqref="K170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n"/>
    </row>
    <row r="2">
      <c r="A2" s="148">
        <f>'00_SKU_Master'!J94</f>
        <v/>
      </c>
      <c r="B2" s="148">
        <f>'00_SKU_Master'!B94</f>
        <v/>
      </c>
      <c r="C2" s="175">
        <f>_xlfn.XLOOKUP(B3,'02_TrayPack_Order'!$A$2:$A$264,'02_TrayPack_Order'!$C$2:$C$264)</f>
        <v/>
      </c>
      <c r="D2" s="176">
        <f>_xlfn.XLOOKUP(B3,'02_TrayPack_Order'!$A$2:$A$264,'02_TrayPack_Order'!$L$2:$L$264,0)</f>
        <v/>
      </c>
      <c r="E2" s="175">
        <f>SUMIF('13_Progress_Track'!$A$2:$A$108,B3,'13_Progress_Track'!$E$2:$E$108)</f>
        <v/>
      </c>
      <c r="F2" s="175">
        <f>IF(E3&gt;(C3+D3),(E3-(C3+D3)),0)</f>
        <v/>
      </c>
      <c r="G2" s="177">
        <f>IF(F3&gt;0,0,C3+D3-E3)</f>
        <v/>
      </c>
      <c r="H2" s="148">
        <f>_xludf.IFNA(_xlfn.XLOOKUP(B3,'00_SKU_Master'!$B$2:$B$378,'00_SKU_Master'!$C$2:$C$378),"")</f>
        <v/>
      </c>
      <c r="I2" s="148" t="n"/>
      <c r="J2" s="14">
        <f>_xludf.IFNA(_xlfn.XLOOKUP(B3,'00_SKU_Master'!B$2:B$378,'00_SKU_Master'!H$2:H$378,0),"")</f>
        <v/>
      </c>
      <c r="K2" s="14">
        <f>_xludf.IFNA(_xlfn.XLOOKUP(B3,'00_SKU_Master'!B$2:B$378,'00_SKU_Master'!K$2:K$378,0),"")</f>
        <v/>
      </c>
      <c r="L2" s="148">
        <f>_xlfn.XLOOKUP(B3,'00_SKU_Master'!$B$2:$B$378,'00_SKU_Master'!D:D)</f>
        <v/>
      </c>
      <c r="M2" s="148">
        <f>IF((C3-E3)&lt;0,0,C3-E3)</f>
        <v/>
      </c>
    </row>
    <row r="3">
      <c r="A3" s="148">
        <f>'00_SKU_Master'!J95</f>
        <v/>
      </c>
      <c r="B3" s="148">
        <f>'00_SKU_Master'!B95</f>
        <v/>
      </c>
      <c r="C3" s="175">
        <f>_xlfn.XLOOKUP(B4,'02_TrayPack_Order'!$A$2:$A$264,'02_TrayPack_Order'!$C$2:$C$264)</f>
        <v/>
      </c>
      <c r="D3" s="176">
        <f>_xlfn.XLOOKUP(B4,'02_TrayPack_Order'!$A$2:$A$264,'02_TrayPack_Order'!$L$2:$L$264,0)</f>
        <v/>
      </c>
      <c r="E3" s="175">
        <f>SUMIF('13_Progress_Track'!$A$2:$A$108,B4,'13_Progress_Track'!$E$2:$E$108)</f>
        <v/>
      </c>
      <c r="F3" s="175">
        <f>IF(E4&gt;(C4+D4),(E4-(C4+D4)),0)</f>
        <v/>
      </c>
      <c r="G3" s="177">
        <f>IF(F4&gt;0,0,C4+D4-E4)</f>
        <v/>
      </c>
      <c r="H3" s="148">
        <f>_xludf.IFNA(_xlfn.XLOOKUP(B4,'00_SKU_Master'!$B$2:$B$378,'00_SKU_Master'!$C$2:$C$378),"")</f>
        <v/>
      </c>
      <c r="I3" s="148" t="n"/>
      <c r="J3" s="14">
        <f>_xludf.IFNA(_xlfn.XLOOKUP(B4,'00_SKU_Master'!B$2:B$378,'00_SKU_Master'!H$2:H$378,0),"")</f>
        <v/>
      </c>
      <c r="K3" s="14">
        <f>_xludf.IFNA(_xlfn.XLOOKUP(B4,'00_SKU_Master'!B$2:B$378,'00_SKU_Master'!K$2:K$378,0),"")</f>
        <v/>
      </c>
      <c r="L3" s="148">
        <f>_xlfn.XLOOKUP(B4,'00_SKU_Master'!$B$2:$B$378,'00_SKU_Master'!D:D)</f>
        <v/>
      </c>
      <c r="M3" s="148">
        <f>IF((C4-E4)&lt;0,0,C4-E4)</f>
        <v/>
      </c>
    </row>
    <row r="4">
      <c r="A4" s="148">
        <f>'00_SKU_Master'!J96</f>
        <v/>
      </c>
      <c r="B4" s="148">
        <f>'00_SKU_Master'!B96</f>
        <v/>
      </c>
      <c r="C4" s="175">
        <f>_xlfn.XLOOKUP(B5,'02_TrayPack_Order'!$A$2:$A$264,'02_TrayPack_Order'!$C$2:$C$264)</f>
        <v/>
      </c>
      <c r="D4" s="176">
        <f>_xlfn.XLOOKUP(B5,'02_TrayPack_Order'!$A$2:$A$264,'02_TrayPack_Order'!$L$2:$L$264,0)</f>
        <v/>
      </c>
      <c r="E4" s="175">
        <f>SUMIF('13_Progress_Track'!$A$2:$A$108,B5,'13_Progress_Track'!$E$2:$E$108)</f>
        <v/>
      </c>
      <c r="F4" s="175">
        <f>IF(E5&gt;(C5+D5),(E5-(C5+D5)),0)</f>
        <v/>
      </c>
      <c r="G4" s="177">
        <f>IF(F5&gt;0,0,C5+D5-E5)</f>
        <v/>
      </c>
      <c r="H4" s="148">
        <f>_xludf.IFNA(_xlfn.XLOOKUP(B5,'00_SKU_Master'!$B$2:$B$378,'00_SKU_Master'!$C$2:$C$378),"")</f>
        <v/>
      </c>
      <c r="I4" s="148" t="n"/>
      <c r="J4" s="14">
        <f>_xludf.IFNA(_xlfn.XLOOKUP(B5,'00_SKU_Master'!B$2:B$378,'00_SKU_Master'!H$2:H$378,0),"")</f>
        <v/>
      </c>
      <c r="K4" s="14">
        <f>_xludf.IFNA(_xlfn.XLOOKUP(B5,'00_SKU_Master'!B$2:B$378,'00_SKU_Master'!K$2:K$378,0),"")</f>
        <v/>
      </c>
      <c r="L4" s="148">
        <f>_xlfn.XLOOKUP(B5,'00_SKU_Master'!$B$2:$B$378,'00_SKU_Master'!D:D)</f>
        <v/>
      </c>
      <c r="M4" s="148">
        <f>IF((C5-E5)&lt;0,0,C5-E5)</f>
        <v/>
      </c>
    </row>
    <row r="5">
      <c r="A5" s="148">
        <f>'00_SKU_Master'!J97</f>
        <v/>
      </c>
      <c r="B5" s="148">
        <f>'00_SKU_Master'!B97</f>
        <v/>
      </c>
      <c r="C5" s="175">
        <f>_xlfn.XLOOKUP(B6,'02_TrayPack_Order'!$A$2:$A$264,'02_TrayPack_Order'!$C$2:$C$264)</f>
        <v/>
      </c>
      <c r="D5" s="176">
        <f>_xlfn.XLOOKUP(B6,'02_TrayPack_Order'!$A$2:$A$264,'02_TrayPack_Order'!$L$2:$L$264,0)</f>
        <v/>
      </c>
      <c r="E5" s="175">
        <f>SUMIF('13_Progress_Track'!$A$2:$A$108,B6,'13_Progress_Track'!$E$2:$E$108)</f>
        <v/>
      </c>
      <c r="F5" s="175">
        <f>IF(E6&gt;(C6+D6),(E6-(C6+D6)),0)</f>
        <v/>
      </c>
      <c r="G5" s="177">
        <f>IF(F6&gt;0,0,C6+D6-E6)</f>
        <v/>
      </c>
      <c r="H5" s="148">
        <f>_xludf.IFNA(_xlfn.XLOOKUP(B6,'00_SKU_Master'!$B$2:$B$378,'00_SKU_Master'!$C$2:$C$378),"")</f>
        <v/>
      </c>
      <c r="I5" s="148" t="n"/>
      <c r="J5" s="14">
        <f>_xludf.IFNA(_xlfn.XLOOKUP(B6,'00_SKU_Master'!B$2:B$378,'00_SKU_Master'!H$2:H$378,0),"")</f>
        <v/>
      </c>
      <c r="K5" s="14">
        <f>_xludf.IFNA(_xlfn.XLOOKUP(B6,'00_SKU_Master'!B$2:B$378,'00_SKU_Master'!K$2:K$378,0),"")</f>
        <v/>
      </c>
      <c r="L5" s="148">
        <f>_xlfn.XLOOKUP(B6,'00_SKU_Master'!$B$2:$B$378,'00_SKU_Master'!D:D)</f>
        <v/>
      </c>
      <c r="M5" s="148">
        <f>IF((C6-E6)&lt;0,0,C6-E6)</f>
        <v/>
      </c>
    </row>
    <row r="6">
      <c r="A6" s="148">
        <f>'00_SKU_Master'!J98</f>
        <v/>
      </c>
      <c r="B6" s="148">
        <f>'00_SKU_Master'!B98</f>
        <v/>
      </c>
      <c r="C6" s="175">
        <f>_xlfn.XLOOKUP(B7,'02_TrayPack_Order'!$A$2:$A$264,'02_TrayPack_Order'!$C$2:$C$264)</f>
        <v/>
      </c>
      <c r="D6" s="176">
        <f>_xlfn.XLOOKUP(B7,'02_TrayPack_Order'!$A$2:$A$264,'02_TrayPack_Order'!$L$2:$L$264,0)</f>
        <v/>
      </c>
      <c r="E6" s="175">
        <f>SUMIF('13_Progress_Track'!$A$2:$A$108,B7,'13_Progress_Track'!$E$2:$E$108)</f>
        <v/>
      </c>
      <c r="F6" s="175">
        <f>IF(E7&gt;(C7+D7),(E7-(C7+D7)),0)</f>
        <v/>
      </c>
      <c r="G6" s="177">
        <f>IF(F7&gt;0,0,C7+D7-E7)</f>
        <v/>
      </c>
      <c r="H6" s="148">
        <f>_xludf.IFNA(_xlfn.XLOOKUP(B7,'00_SKU_Master'!$B$2:$B$378,'00_SKU_Master'!$C$2:$C$378),"")</f>
        <v/>
      </c>
      <c r="I6" s="148" t="n"/>
      <c r="J6" s="14">
        <f>_xludf.IFNA(_xlfn.XLOOKUP(B7,'00_SKU_Master'!B$2:B$378,'00_SKU_Master'!H$2:H$378,0),"")</f>
        <v/>
      </c>
      <c r="K6" s="14">
        <f>_xludf.IFNA(_xlfn.XLOOKUP(B7,'00_SKU_Master'!B$2:B$378,'00_SKU_Master'!K$2:K$378,0),"")</f>
        <v/>
      </c>
      <c r="L6" s="148">
        <f>_xlfn.XLOOKUP(B7,'00_SKU_Master'!$B$2:$B$378,'00_SKU_Master'!D:D)</f>
        <v/>
      </c>
      <c r="M6" s="148">
        <f>IF((C7-E7)&lt;0,0,C7-E7)</f>
        <v/>
      </c>
    </row>
    <row r="7">
      <c r="A7" s="148">
        <f>'00_SKU_Master'!J99</f>
        <v/>
      </c>
      <c r="B7" s="148">
        <f>'00_SKU_Master'!B99</f>
        <v/>
      </c>
      <c r="C7" s="175">
        <f>_xlfn.XLOOKUP(B8,'02_TrayPack_Order'!$A$2:$A$264,'02_TrayPack_Order'!$C$2:$C$264)</f>
        <v/>
      </c>
      <c r="D7" s="176">
        <f>_xlfn.XLOOKUP(B8,'02_TrayPack_Order'!$A$2:$A$264,'02_TrayPack_Order'!$L$2:$L$264,0)</f>
        <v/>
      </c>
      <c r="E7" s="175">
        <f>SUMIF('13_Progress_Track'!$A$2:$A$108,B8,'13_Progress_Track'!$E$2:$E$108)</f>
        <v/>
      </c>
      <c r="F7" s="175">
        <f>IF(E8&gt;(C8+D8),(E8-(C8+D8)),0)</f>
        <v/>
      </c>
      <c r="G7" s="177">
        <f>IF(F8&gt;0,0,C8+D8-E8)</f>
        <v/>
      </c>
      <c r="H7" s="148">
        <f>_xludf.IFNA(_xlfn.XLOOKUP(B8,'00_SKU_Master'!$B$2:$B$378,'00_SKU_Master'!$C$2:$C$378),"")</f>
        <v/>
      </c>
      <c r="I7" s="148" t="n"/>
      <c r="J7" s="14">
        <f>_xludf.IFNA(_xlfn.XLOOKUP(B8,'00_SKU_Master'!B$2:B$378,'00_SKU_Master'!H$2:H$378,0),"")</f>
        <v/>
      </c>
      <c r="K7" s="14">
        <f>_xludf.IFNA(_xlfn.XLOOKUP(B8,'00_SKU_Master'!B$2:B$378,'00_SKU_Master'!K$2:K$378,0),"")</f>
        <v/>
      </c>
      <c r="L7" s="148">
        <f>_xlfn.XLOOKUP(B8,'00_SKU_Master'!$B$2:$B$378,'00_SKU_Master'!D:D)</f>
        <v/>
      </c>
      <c r="M7" s="148">
        <f>IF((C8-E8)&lt;0,0,C8-E8)</f>
        <v/>
      </c>
    </row>
    <row r="8">
      <c r="A8" s="148">
        <f>'00_SKU_Master'!J100</f>
        <v/>
      </c>
      <c r="B8" s="148">
        <f>'00_SKU_Master'!B100</f>
        <v/>
      </c>
      <c r="C8" s="175">
        <f>_xlfn.XLOOKUP(B9,'02_TrayPack_Order'!$A$2:$A$264,'02_TrayPack_Order'!$C$2:$C$264)</f>
        <v/>
      </c>
      <c r="D8" s="176">
        <f>_xlfn.XLOOKUP(B9,'02_TrayPack_Order'!$A$2:$A$264,'02_TrayPack_Order'!$L$2:$L$264,0)</f>
        <v/>
      </c>
      <c r="E8" s="175">
        <f>SUMIF('13_Progress_Track'!$A$2:$A$108,B9,'13_Progress_Track'!$E$2:$E$108)</f>
        <v/>
      </c>
      <c r="F8" s="175">
        <f>IF(E9&gt;(C9+D9),(E9-(C9+D9)),0)</f>
        <v/>
      </c>
      <c r="G8" s="177">
        <f>IF(F9&gt;0,0,C9+D9-E9)</f>
        <v/>
      </c>
      <c r="H8" s="148">
        <f>_xludf.IFNA(_xlfn.XLOOKUP(B9,'00_SKU_Master'!$B$2:$B$378,'00_SKU_Master'!$C$2:$C$378),"")</f>
        <v/>
      </c>
      <c r="I8" s="148" t="n"/>
      <c r="J8" s="14">
        <f>_xludf.IFNA(_xlfn.XLOOKUP(B9,'00_SKU_Master'!B$2:B$378,'00_SKU_Master'!H$2:H$378,0),"")</f>
        <v/>
      </c>
      <c r="K8" s="14">
        <f>_xludf.IFNA(_xlfn.XLOOKUP(B9,'00_SKU_Master'!B$2:B$378,'00_SKU_Master'!K$2:K$378,0),"")</f>
        <v/>
      </c>
      <c r="L8" s="148">
        <f>_xlfn.XLOOKUP(B9,'00_SKU_Master'!$B$2:$B$378,'00_SKU_Master'!D:D)</f>
        <v/>
      </c>
      <c r="M8" s="148">
        <f>IF((C9-E9)&lt;0,0,C9-E9)</f>
        <v/>
      </c>
    </row>
    <row r="9">
      <c r="A9" s="148">
        <f>'00_SKU_Master'!J101</f>
        <v/>
      </c>
      <c r="B9" s="148">
        <f>'00_SKU_Master'!B101</f>
        <v/>
      </c>
      <c r="C9" s="175">
        <f>_xlfn.XLOOKUP(B10,'02_TrayPack_Order'!$A$2:$A$264,'02_TrayPack_Order'!$C$2:$C$264)</f>
        <v/>
      </c>
      <c r="D9" s="176">
        <f>_xlfn.XLOOKUP(B10,'02_TrayPack_Order'!$A$2:$A$264,'02_TrayPack_Order'!$L$2:$L$264,0)</f>
        <v/>
      </c>
      <c r="E9" s="175">
        <f>SUMIF('13_Progress_Track'!$A$2:$A$108,B10,'13_Progress_Track'!$E$2:$E$108)</f>
        <v/>
      </c>
      <c r="F9" s="175">
        <f>IF(E10&gt;(C10+D10),(E10-(C10+D10)),0)</f>
        <v/>
      </c>
      <c r="G9" s="177">
        <f>IF(F10&gt;0,0,C10+D10-E10)</f>
        <v/>
      </c>
      <c r="H9" s="148">
        <f>_xludf.IFNA(_xlfn.XLOOKUP(B10,'00_SKU_Master'!$B$2:$B$378,'00_SKU_Master'!$C$2:$C$378),"")</f>
        <v/>
      </c>
      <c r="I9" s="148" t="n"/>
      <c r="J9" s="14">
        <f>_xludf.IFNA(_xlfn.XLOOKUP(B10,'00_SKU_Master'!B$2:B$378,'00_SKU_Master'!H$2:H$378,0),"")</f>
        <v/>
      </c>
      <c r="K9" s="14">
        <f>_xludf.IFNA(_xlfn.XLOOKUP(B10,'00_SKU_Master'!B$2:B$378,'00_SKU_Master'!K$2:K$378,0),"")</f>
        <v/>
      </c>
      <c r="L9" s="148">
        <f>_xlfn.XLOOKUP(B10,'00_SKU_Master'!$B$2:$B$378,'00_SKU_Master'!D:D)</f>
        <v/>
      </c>
      <c r="M9" s="148">
        <f>IF((C10-E10)&lt;0,0,C10-E10)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_xlfn.XLOOKUP(B11,'02_TrayPack_Order'!$A$2:$A$264,'02_TrayPack_Order'!$C$2:$C$264)</f>
        <v/>
      </c>
      <c r="D10" s="176">
        <f>_xlfn.XLOOKUP(B11,'02_TrayPack_Order'!$A$2:$A$264,'02_TrayPack_Order'!$L$2:$L$264,0)</f>
        <v/>
      </c>
      <c r="E10" s="175">
        <f>SUMIF('13_Progress_Track'!$A$2:$A$108,B11,'13_Progress_Track'!$E$2:$E$108)</f>
        <v/>
      </c>
      <c r="F10" s="175">
        <f>IF(E11&gt;(C11+D11),(E11-(C11+D11)),0)</f>
        <v/>
      </c>
      <c r="G10" s="177">
        <f>IF(F11&gt;0,0,C11+D11-E11)</f>
        <v/>
      </c>
      <c r="H10" s="148">
        <f>_xludf.IFNA(_xlfn.XLOOKUP(B11,'00_SKU_Master'!$B$2:$B$378,'00_SKU_Master'!$C$2:$C$378),"")</f>
        <v/>
      </c>
      <c r="I10" s="148" t="n"/>
      <c r="J10" s="14">
        <f>_xludf.IFNA(_xlfn.XLOOKUP(B11,'00_SKU_Master'!B$2:B$378,'00_SKU_Master'!H$2:H$378,0),"")</f>
        <v/>
      </c>
      <c r="K10" s="14">
        <f>_xludf.IFNA(_xlfn.XLOOKUP(B11,'00_SKU_Master'!B$2:B$378,'00_SKU_Master'!K$2:K$378,0),"")</f>
        <v/>
      </c>
      <c r="L10" s="148">
        <f>_xlfn.XLOOKUP(B11,'00_SKU_Master'!$B$2:$B$378,'00_SKU_Master'!D:D)</f>
        <v/>
      </c>
      <c r="M10" s="148">
        <f>IF((C11-E11)&lt;0,0,C11-E11)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_xlfn.XLOOKUP(B12,'02_TrayPack_Order'!$A$2:$A$264,'02_TrayPack_Order'!$C$2:$C$264)</f>
        <v/>
      </c>
      <c r="D11" s="176">
        <f>_xlfn.XLOOKUP(B12,'02_TrayPack_Order'!$A$2:$A$264,'02_TrayPack_Order'!$L$2:$L$264,0)</f>
        <v/>
      </c>
      <c r="E11" s="175">
        <f>SUMIF('13_Progress_Track'!$A$2:$A$108,B12,'13_Progress_Track'!$E$2:$E$108)</f>
        <v/>
      </c>
      <c r="F11" s="175">
        <f>IF(E12&gt;(C12+D12),(E12-(C12+D12)),0)</f>
        <v/>
      </c>
      <c r="G11" s="177">
        <f>IF(F12&gt;0,0,C12+D12-E12)</f>
        <v/>
      </c>
      <c r="H11" s="148">
        <f>_xludf.IFNA(_xlfn.XLOOKUP(B12,'00_SKU_Master'!$B$2:$B$378,'00_SKU_Master'!$C$2:$C$378),"")</f>
        <v/>
      </c>
      <c r="I11" s="148" t="n"/>
      <c r="J11" s="14">
        <f>_xlfn.SINGLE(_xlfn.IFNA(_xlfn.XLOOKUP(B12,'00_SKU_Master'!B$2:B$378,'00_SKU_Master'!H$2:H$378,0),""))</f>
        <v/>
      </c>
      <c r="K11" s="14">
        <f>_xludf.IFNA(_xlfn.XLOOKUP(B12,'00_SKU_Master'!B$2:B$378,'00_SKU_Master'!K$2:K$378,0),"")</f>
        <v/>
      </c>
      <c r="L11" s="148">
        <f>_xlfn.XLOOKUP(B12,'00_SKU_Master'!$B$2:$B$378,'00_SKU_Master'!D:D)</f>
        <v/>
      </c>
      <c r="M11" s="148">
        <f>IF((C12-E12)&lt;0,0,C12-E12)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_xlfn.XLOOKUP(B13,'02_TrayPack_Order'!$A$2:$A$264,'02_TrayPack_Order'!$C$2:$C$264)</f>
        <v/>
      </c>
      <c r="D12" s="176">
        <f>_xlfn.XLOOKUP(B13,'02_TrayPack_Order'!$A$2:$A$264,'02_TrayPack_Order'!$L$2:$L$264,0)</f>
        <v/>
      </c>
      <c r="E12" s="175">
        <f>SUMIF('13_Progress_Track'!$A$2:$A$108,B13,'13_Progress_Track'!$E$2:$E$108)</f>
        <v/>
      </c>
      <c r="F12" s="175">
        <f>IF(E13&gt;(C13+D13),(E13-(C13+D13)),0)</f>
        <v/>
      </c>
      <c r="G12" s="177">
        <f>IF(F13&gt;0,0,C13+D13-E13)</f>
        <v/>
      </c>
      <c r="H12" s="148">
        <f>_xludf.IFNA(_xlfn.XLOOKUP(B13,'00_SKU_Master'!$B$2:$B$378,'00_SKU_Master'!$C$2:$C$378),"")</f>
        <v/>
      </c>
      <c r="I12" s="148" t="n"/>
      <c r="J12" s="14">
        <f>_xludf.IFNA(_xlfn.XLOOKUP(B13,'00_SKU_Master'!B$2:B$378,'00_SKU_Master'!H$2:H$378,0),"")</f>
        <v/>
      </c>
      <c r="K12" s="14">
        <f>_xludf.IFNA(_xlfn.XLOOKUP(B13,'00_SKU_Master'!B$2:B$378,'00_SKU_Master'!K$2:K$378,0),"")</f>
        <v/>
      </c>
      <c r="L12" s="148">
        <f>_xlfn.XLOOKUP(B13,'00_SKU_Master'!$B$2:$B$378,'00_SKU_Master'!D:D)</f>
        <v/>
      </c>
      <c r="M12" s="148">
        <f>IF((C13-E13)&lt;0,0,C13-E13)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_xlfn.XLOOKUP(B14,'02_TrayPack_Order'!$A$2:$A$264,'02_TrayPack_Order'!$C$2:$C$264)</f>
        <v/>
      </c>
      <c r="D13" s="176">
        <f>_xlfn.XLOOKUP(B14,'02_TrayPack_Order'!$A$2:$A$264,'02_TrayPack_Order'!$L$2:$L$264,0)</f>
        <v/>
      </c>
      <c r="E13" s="175">
        <f>SUMIF('13_Progress_Track'!$A$2:$A$108,B14,'13_Progress_Track'!$E$2:$E$108)</f>
        <v/>
      </c>
      <c r="F13" s="175">
        <f>IF(E14&gt;(C14+D14),(E14-(C14+D14)),0)</f>
        <v/>
      </c>
      <c r="G13" s="177">
        <f>IF(F14&gt;0,0,C14+D14-E14)</f>
        <v/>
      </c>
      <c r="H13" s="148">
        <f>_xludf.IFNA(_xlfn.XLOOKUP(B14,'00_SKU_Master'!$B$2:$B$378,'00_SKU_Master'!$C$2:$C$378),"")</f>
        <v/>
      </c>
      <c r="I13" s="148" t="n"/>
      <c r="J13" s="14">
        <f>_xludf.IFNA(_xlfn.XLOOKUP(B14,'00_SKU_Master'!B$2:B$378,'00_SKU_Master'!H$2:H$378,0),"")</f>
        <v/>
      </c>
      <c r="K13" s="14">
        <f>_xludf.IFNA(_xlfn.XLOOKUP(B14,'00_SKU_Master'!B$2:B$378,'00_SKU_Master'!K$2:K$378,0),"")</f>
        <v/>
      </c>
      <c r="L13" s="148">
        <f>_xlfn.XLOOKUP(B14,'00_SKU_Master'!$B$2:$B$378,'00_SKU_Master'!D:D)</f>
        <v/>
      </c>
      <c r="M13" s="148">
        <f>IF((C14-E14)&lt;0,0,C14-E14)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_xlfn.XLOOKUP(B15,'02_TrayPack_Order'!$A$2:$A$264,'02_TrayPack_Order'!$C$2:$C$264)</f>
        <v/>
      </c>
      <c r="D14" s="176">
        <f>_xlfn.XLOOKUP(B15,'02_TrayPack_Order'!$A$2:$A$264,'02_TrayPack_Order'!$L$2:$L$264,0)</f>
        <v/>
      </c>
      <c r="E14" s="175">
        <f>SUMIF('13_Progress_Track'!$A$2:$A$108,B15,'13_Progress_Track'!$E$2:$E$108)</f>
        <v/>
      </c>
      <c r="F14" s="175">
        <f>IF(E15&gt;(C15+D15),(E15-(C15+D15)),0)</f>
        <v/>
      </c>
      <c r="G14" s="177">
        <f>IF(F15&gt;0,0,C15+D15-E15)</f>
        <v/>
      </c>
      <c r="H14" s="148">
        <f>_xludf.IFNA(_xlfn.XLOOKUP(B15,'00_SKU_Master'!$B$2:$B$378,'00_SKU_Master'!$C$2:$C$378),"")</f>
        <v/>
      </c>
      <c r="I14" s="148" t="n"/>
      <c r="J14" s="14">
        <f>_xludf.IFNA(_xlfn.XLOOKUP(B15,'00_SKU_Master'!B$2:B$378,'00_SKU_Master'!H$2:H$378,0),"")</f>
        <v/>
      </c>
      <c r="K14" s="14">
        <f>_xludf.IFNA(_xlfn.XLOOKUP(B15,'00_SKU_Master'!B$2:B$378,'00_SKU_Master'!K$2:K$378,0),"")</f>
        <v/>
      </c>
      <c r="L14" s="148">
        <f>_xlfn.XLOOKUP(B15,'00_SKU_Master'!$B$2:$B$378,'00_SKU_Master'!D:D)</f>
        <v/>
      </c>
      <c r="M14" s="148">
        <f>IF((C15-E15)&lt;0,0,C15-E15)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_xlfn.XLOOKUP(B16,'02_TrayPack_Order'!$A$2:$A$264,'02_TrayPack_Order'!$C$2:$C$264)</f>
        <v/>
      </c>
      <c r="D15" s="176">
        <f>_xlfn.XLOOKUP(B16,'02_TrayPack_Order'!$A$2:$A$264,'02_TrayPack_Order'!$L$2:$L$264,0)</f>
        <v/>
      </c>
      <c r="E15" s="175">
        <f>SUMIF('13_Progress_Track'!$A$2:$A$108,B16,'13_Progress_Track'!$E$2:$E$108)</f>
        <v/>
      </c>
      <c r="F15" s="175">
        <f>IF(E16&gt;(C16+D16),(E16-(C16+D16)),0)</f>
        <v/>
      </c>
      <c r="G15" s="177">
        <f>IF(F16&gt;0,0,C16+D16-E16)</f>
        <v/>
      </c>
      <c r="H15" s="148">
        <f>_xludf.IFNA(_xlfn.XLOOKUP(B16,'00_SKU_Master'!$B$2:$B$378,'00_SKU_Master'!$C$2:$C$378),"")</f>
        <v/>
      </c>
      <c r="I15" s="148" t="n"/>
      <c r="J15" s="14">
        <f>_xludf.IFNA(_xlfn.XLOOKUP(B16,'00_SKU_Master'!B$2:B$378,'00_SKU_Master'!H$2:H$378,0),"")</f>
        <v/>
      </c>
      <c r="K15" s="14">
        <f>_xludf.IFNA(_xlfn.XLOOKUP(B16,'00_SKU_Master'!B$2:B$378,'00_SKU_Master'!K$2:K$378,0),"")</f>
        <v/>
      </c>
      <c r="L15" s="148">
        <f>_xlfn.XLOOKUP(B16,'00_SKU_Master'!$B$2:$B$378,'00_SKU_Master'!D:D)</f>
        <v/>
      </c>
      <c r="M15" s="148">
        <f>IF((C16-E16)&lt;0,0,C16-E16)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_xlfn.XLOOKUP(B17,'02_TrayPack_Order'!$A$2:$A$264,'02_TrayPack_Order'!$C$2:$C$264)</f>
        <v/>
      </c>
      <c r="D16" s="176">
        <f>_xlfn.XLOOKUP(B17,'02_TrayPack_Order'!$A$2:$A$264,'02_TrayPack_Order'!$L$2:$L$264,0)</f>
        <v/>
      </c>
      <c r="E16" s="175">
        <f>SUMIF('13_Progress_Track'!$A$2:$A$108,B17,'13_Progress_Track'!$E$2:$E$108)</f>
        <v/>
      </c>
      <c r="F16" s="175">
        <f>IF(E17&gt;(C17+D17),(E17-(C17+D17)),0)</f>
        <v/>
      </c>
      <c r="G16" s="177">
        <f>IF(F17&gt;0,0,C17+D17-E17)</f>
        <v/>
      </c>
      <c r="H16" s="148">
        <f>_xludf.IFNA(_xlfn.XLOOKUP(B17,'00_SKU_Master'!$B$2:$B$378,'00_SKU_Master'!$C$2:$C$378),"")</f>
        <v/>
      </c>
      <c r="I16" s="148" t="n"/>
      <c r="J16" s="14">
        <f>_xludf.IFNA(_xlfn.XLOOKUP(B17,'00_SKU_Master'!B$2:B$378,'00_SKU_Master'!H$2:H$378,0),"")</f>
        <v/>
      </c>
      <c r="K16" s="14">
        <f>_xludf.IFNA(_xlfn.XLOOKUP(B17,'00_SKU_Master'!B$2:B$378,'00_SKU_Master'!K$2:K$378,0),"")</f>
        <v/>
      </c>
      <c r="L16" s="148">
        <f>_xlfn.XLOOKUP(B17,'00_SKU_Master'!$B$2:$B$378,'00_SKU_Master'!D:D)</f>
        <v/>
      </c>
      <c r="M16" s="148">
        <f>IF((C17-E17)&lt;0,0,C17-E17)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_xlfn.XLOOKUP(B18,'02_TrayPack_Order'!$A$2:$A$264,'02_TrayPack_Order'!$C$2:$C$264)</f>
        <v/>
      </c>
      <c r="D17" s="176">
        <f>_xlfn.XLOOKUP(B18,'02_TrayPack_Order'!$A$2:$A$264,'02_TrayPack_Order'!$L$2:$L$264,0)</f>
        <v/>
      </c>
      <c r="E17" s="175">
        <f>SUMIF('13_Progress_Track'!$A$2:$A$108,B18,'13_Progress_Track'!$E$2:$E$108)</f>
        <v/>
      </c>
      <c r="F17" s="175">
        <f>IF(E18&gt;(C18+D18),(E18-(C18+D18)),0)</f>
        <v/>
      </c>
      <c r="G17" s="177">
        <f>IF(F18&gt;0,0,C18+D18-E18)</f>
        <v/>
      </c>
      <c r="H17" s="148">
        <f>_xludf.IFNA(_xlfn.XLOOKUP(B18,'00_SKU_Master'!$B$2:$B$378,'00_SKU_Master'!$C$2:$C$378),"")</f>
        <v/>
      </c>
      <c r="I17" s="148" t="n"/>
      <c r="J17" s="14">
        <f>_xludf.IFNA(_xlfn.XLOOKUP(B18,'00_SKU_Master'!B$2:B$378,'00_SKU_Master'!H$2:H$378,0),"")</f>
        <v/>
      </c>
      <c r="K17" s="14">
        <f>_xludf.IFNA(_xlfn.XLOOKUP(B18,'00_SKU_Master'!B$2:B$378,'00_SKU_Master'!K$2:K$378,0),"")</f>
        <v/>
      </c>
      <c r="L17" s="148">
        <f>_xlfn.XLOOKUP(B18,'00_SKU_Master'!$B$2:$B$378,'00_SKU_Master'!D:D)</f>
        <v/>
      </c>
      <c r="M17" s="148">
        <f>IF((C18-E18)&lt;0,0,C18-E18)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_xlfn.XLOOKUP(B19,'02_TrayPack_Order'!$A$2:$A$264,'02_TrayPack_Order'!$C$2:$C$264)</f>
        <v/>
      </c>
      <c r="D18" s="176">
        <f>_xlfn.XLOOKUP(B19,'02_TrayPack_Order'!$A$2:$A$264,'02_TrayPack_Order'!$L$2:$L$264,0)</f>
        <v/>
      </c>
      <c r="E18" s="175">
        <f>SUMIF('13_Progress_Track'!$A$2:$A$108,B19,'13_Progress_Track'!$E$2:$E$108)</f>
        <v/>
      </c>
      <c r="F18" s="175">
        <f>IF(E19&gt;(C19+D19),(E19-(C19+D19)),0)</f>
        <v/>
      </c>
      <c r="G18" s="177">
        <f>IF(F19&gt;0,0,C19+D19-E19)</f>
        <v/>
      </c>
      <c r="H18" s="148">
        <f>_xludf.IFNA(_xlfn.XLOOKUP(B19,'00_SKU_Master'!$B$2:$B$378,'00_SKU_Master'!$C$2:$C$378),"")</f>
        <v/>
      </c>
      <c r="I18" s="148" t="n"/>
      <c r="J18" s="14">
        <f>_xludf.IFNA(_xlfn.XLOOKUP(B19,'00_SKU_Master'!B$2:B$378,'00_SKU_Master'!H$2:H$378,0),"")</f>
        <v/>
      </c>
      <c r="K18" s="14">
        <f>_xludf.IFNA(_xlfn.XLOOKUP(B19,'00_SKU_Master'!B$2:B$378,'00_SKU_Master'!K$2:K$378,0),"")</f>
        <v/>
      </c>
      <c r="L18" s="148">
        <f>_xlfn.XLOOKUP(B19,'00_SKU_Master'!$B$2:$B$378,'00_SKU_Master'!D:D)</f>
        <v/>
      </c>
      <c r="M18" s="148">
        <f>IF((C19-E19)&lt;0,0,C19-E19)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_xlfn.XLOOKUP(B20,'02_TrayPack_Order'!$A$2:$A$264,'02_TrayPack_Order'!$C$2:$C$264)</f>
        <v/>
      </c>
      <c r="D19" s="176">
        <f>_xlfn.XLOOKUP(B20,'02_TrayPack_Order'!$A$2:$A$264,'02_TrayPack_Order'!$L$2:$L$264,0)</f>
        <v/>
      </c>
      <c r="E19" s="175">
        <f>SUMIF('13_Progress_Track'!$A$2:$A$108,B20,'13_Progress_Track'!$E$2:$E$108)</f>
        <v/>
      </c>
      <c r="F19" s="175">
        <f>IF(E20&gt;(C20+D20),(E20-(C20+D20)),0)</f>
        <v/>
      </c>
      <c r="G19" s="177">
        <f>IF(F20&gt;0,0,C20+D20-E20)</f>
        <v/>
      </c>
      <c r="H19" s="148">
        <f>_xludf.IFNA(_xlfn.XLOOKUP(B20,'00_SKU_Master'!$B$2:$B$378,'00_SKU_Master'!$C$2:$C$378),"")</f>
        <v/>
      </c>
      <c r="I19" s="148" t="n"/>
      <c r="J19" s="14">
        <f>_xludf.IFNA(_xlfn.XLOOKUP(B20,'00_SKU_Master'!B$2:B$378,'00_SKU_Master'!H$2:H$378,0),"")</f>
        <v/>
      </c>
      <c r="K19" s="14">
        <f>_xludf.IFNA(_xlfn.XLOOKUP(B20,'00_SKU_Master'!B$2:B$378,'00_SKU_Master'!K$2:K$378,0),"")</f>
        <v/>
      </c>
      <c r="L19" s="148">
        <f>_xlfn.XLOOKUP(B20,'00_SKU_Master'!$B$2:$B$378,'00_SKU_Master'!D:D)</f>
        <v/>
      </c>
      <c r="M19" s="148">
        <f>IF((C20-E20)&lt;0,0,C20-E20)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_xlfn.XLOOKUP(B21,'02_TrayPack_Order'!$A$2:$A$264,'02_TrayPack_Order'!$C$2:$C$264)</f>
        <v/>
      </c>
      <c r="D20" s="176">
        <f>_xlfn.XLOOKUP(B21,'02_TrayPack_Order'!$A$2:$A$264,'02_TrayPack_Order'!$L$2:$L$264,0)</f>
        <v/>
      </c>
      <c r="E20" s="175">
        <f>SUMIF('13_Progress_Track'!$A$2:$A$108,B21,'13_Progress_Track'!$E$2:$E$108)</f>
        <v/>
      </c>
      <c r="F20" s="175">
        <f>IF(E21&gt;(C21+D21),(E21-(C21+D21)),0)</f>
        <v/>
      </c>
      <c r="G20" s="177">
        <f>IF(F21&gt;0,0,C21+D21-E21)</f>
        <v/>
      </c>
      <c r="H20" s="148">
        <f>_xludf.IFNA(_xlfn.XLOOKUP(B21,'00_SKU_Master'!$B$2:$B$378,'00_SKU_Master'!$C$2:$C$378),"")</f>
        <v/>
      </c>
      <c r="I20" s="148" t="n"/>
      <c r="J20" s="14">
        <f>_xludf.IFNA(_xlfn.XLOOKUP(B21,'00_SKU_Master'!B$2:B$378,'00_SKU_Master'!H$2:H$378,0),"")</f>
        <v/>
      </c>
      <c r="K20" s="14">
        <f>_xludf.IFNA(_xlfn.XLOOKUP(B21,'00_SKU_Master'!B$2:B$378,'00_SKU_Master'!K$2:K$378,0),"")</f>
        <v/>
      </c>
      <c r="L20" s="148">
        <f>_xlfn.XLOOKUP(B21,'00_SKU_Master'!$B$2:$B$378,'00_SKU_Master'!D:D)</f>
        <v/>
      </c>
      <c r="M20" s="148">
        <f>IF((C21-E21)&lt;0,0,C21-E21)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_xlfn.XLOOKUP(B22,'02_TrayPack_Order'!$A$2:$A$264,'02_TrayPack_Order'!$C$2:$C$264)</f>
        <v/>
      </c>
      <c r="D21" s="176">
        <f>_xlfn.XLOOKUP(B22,'02_TrayPack_Order'!$A$2:$A$264,'02_TrayPack_Order'!$L$2:$L$264,0)</f>
        <v/>
      </c>
      <c r="E21" s="175">
        <f>SUMIF('13_Progress_Track'!$A$2:$A$108,B22,'13_Progress_Track'!$E$2:$E$108)</f>
        <v/>
      </c>
      <c r="F21" s="175">
        <f>IF(E22&gt;(C22+D22),(E22-(C22+D22)),0)</f>
        <v/>
      </c>
      <c r="G21" s="177">
        <f>IF(F22&gt;0,0,C22+D22-E22)</f>
        <v/>
      </c>
      <c r="H21" s="148">
        <f>_xludf.IFNA(_xlfn.XLOOKUP(B22,'00_SKU_Master'!$B$2:$B$378,'00_SKU_Master'!$C$2:$C$378),"")</f>
        <v/>
      </c>
      <c r="I21" s="148" t="n"/>
      <c r="J21" s="14">
        <f>_xludf.IFNA(_xlfn.XLOOKUP(B22,'00_SKU_Master'!B$2:B$378,'00_SKU_Master'!H$2:H$378,0),"")</f>
        <v/>
      </c>
      <c r="K21" s="14">
        <f>_xludf.IFNA(_xlfn.XLOOKUP(B22,'00_SKU_Master'!B$2:B$378,'00_SKU_Master'!K$2:K$378,0),"")</f>
        <v/>
      </c>
      <c r="L21" s="148">
        <f>_xlfn.XLOOKUP(B22,'00_SKU_Master'!$B$2:$B$378,'00_SKU_Master'!D:D)</f>
        <v/>
      </c>
      <c r="M21" s="148">
        <f>IF((C22-E22)&lt;0,0,C22-E22)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_xlfn.XLOOKUP(B23,'02_TrayPack_Order'!$A$2:$A$264,'02_TrayPack_Order'!$C$2:$C$264)</f>
        <v/>
      </c>
      <c r="D22" s="176">
        <f>_xlfn.XLOOKUP(B23,'02_TrayPack_Order'!$A$2:$A$264,'02_TrayPack_Order'!$L$2:$L$264,0)</f>
        <v/>
      </c>
      <c r="E22" s="175">
        <f>SUMIF('13_Progress_Track'!$A$2:$A$108,B23,'13_Progress_Track'!$E$2:$E$108)</f>
        <v/>
      </c>
      <c r="F22" s="175">
        <f>IF(E23&gt;(C23+D23),(E23-(C23+D23)),0)</f>
        <v/>
      </c>
      <c r="G22" s="177">
        <f>IF(F23&gt;0,0,C23+D23-E23)</f>
        <v/>
      </c>
      <c r="H22" s="148">
        <f>_xludf.IFNA(_xlfn.XLOOKUP(B23,'00_SKU_Master'!$B$2:$B$378,'00_SKU_Master'!$C$2:$C$378),"")</f>
        <v/>
      </c>
      <c r="I22" s="148" t="n"/>
      <c r="J22" s="14">
        <f>_xludf.IFNA(_xlfn.XLOOKUP(B23,'00_SKU_Master'!B$2:B$378,'00_SKU_Master'!H$2:H$378,0),"")</f>
        <v/>
      </c>
      <c r="K22" s="14">
        <f>_xludf.IFNA(_xlfn.XLOOKUP(B23,'00_SKU_Master'!B$2:B$378,'00_SKU_Master'!K$2:K$378,0),"")</f>
        <v/>
      </c>
      <c r="L22" s="148">
        <f>_xlfn.XLOOKUP(B23,'00_SKU_Master'!$B$2:$B$378,'00_SKU_Master'!D:D)</f>
        <v/>
      </c>
      <c r="M22" s="148">
        <f>IF((C23-E23)&lt;0,0,C23-E23)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_xlfn.XLOOKUP(B24,'02_TrayPack_Order'!$A$2:$A$264,'02_TrayPack_Order'!$C$2:$C$264)</f>
        <v/>
      </c>
      <c r="D23" s="176">
        <f>_xlfn.XLOOKUP(B24,'02_TrayPack_Order'!$A$2:$A$264,'02_TrayPack_Order'!$L$2:$L$264,0)</f>
        <v/>
      </c>
      <c r="E23" s="175">
        <f>SUMIF('13_Progress_Track'!$A$2:$A$108,B24,'13_Progress_Track'!$E$2:$E$108)</f>
        <v/>
      </c>
      <c r="F23" s="175">
        <f>IF(E24&gt;(C24+D24),(E24-(C24+D24)),0)</f>
        <v/>
      </c>
      <c r="G23" s="177">
        <f>IF(F24&gt;0,0,C24+D24-E24)</f>
        <v/>
      </c>
      <c r="H23" s="148">
        <f>_xludf.IFNA(_xlfn.XLOOKUP(B24,'00_SKU_Master'!$B$2:$B$378,'00_SKU_Master'!$C$2:$C$378),"")</f>
        <v/>
      </c>
      <c r="I23" s="148" t="n"/>
      <c r="J23" s="14">
        <f>_xludf.IFNA(_xlfn.XLOOKUP(B24,'00_SKU_Master'!B$2:B$378,'00_SKU_Master'!H$2:H$378,0),"")</f>
        <v/>
      </c>
      <c r="K23" s="14">
        <f>_xludf.IFNA(_xlfn.XLOOKUP(B24,'00_SKU_Master'!B$2:B$378,'00_SKU_Master'!K$2:K$378,0),"")</f>
        <v/>
      </c>
      <c r="L23" s="148">
        <f>_xlfn.XLOOKUP(B24,'00_SKU_Master'!$B$2:$B$378,'00_SKU_Master'!D:D)</f>
        <v/>
      </c>
      <c r="M23" s="148">
        <f>IF((C24-E24)&lt;0,0,C24-E24)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_xlfn.XLOOKUP(B25,'02_TrayPack_Order'!$A$2:$A$264,'02_TrayPack_Order'!$C$2:$C$264)</f>
        <v/>
      </c>
      <c r="D24" s="176">
        <f>_xlfn.XLOOKUP(B25,'02_TrayPack_Order'!$A$2:$A$264,'02_TrayPack_Order'!$L$2:$L$264,0)</f>
        <v/>
      </c>
      <c r="E24" s="175">
        <f>SUMIF('13_Progress_Track'!$A$2:$A$108,B25,'13_Progress_Track'!$E$2:$E$108)</f>
        <v/>
      </c>
      <c r="F24" s="175">
        <f>IF(E25&gt;(C25+D25),(E25-(C25+D25)),0)</f>
        <v/>
      </c>
      <c r="G24" s="177">
        <f>IF(F25&gt;0,0,C25+D25-E25)</f>
        <v/>
      </c>
      <c r="H24" s="148">
        <f>_xludf.IFNA(_xlfn.XLOOKUP(B25,'00_SKU_Master'!$B$2:$B$378,'00_SKU_Master'!$C$2:$C$378),"")</f>
        <v/>
      </c>
      <c r="I24" s="148" t="n"/>
      <c r="J24" s="14">
        <f>_xludf.IFNA(_xlfn.XLOOKUP(B25,'00_SKU_Master'!B$2:B$378,'00_SKU_Master'!H$2:H$378,0),"")</f>
        <v/>
      </c>
      <c r="K24" s="14">
        <f>_xludf.IFNA(_xlfn.XLOOKUP(B25,'00_SKU_Master'!B$2:B$378,'00_SKU_Master'!K$2:K$378,0),"")</f>
        <v/>
      </c>
      <c r="L24" s="148">
        <f>_xlfn.XLOOKUP(B25,'00_SKU_Master'!$B$2:$B$378,'00_SKU_Master'!D:D)</f>
        <v/>
      </c>
      <c r="M24" s="148">
        <f>IF((C25-E25)&lt;0,0,C25-E25)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_xlfn.XLOOKUP(B26,'02_TrayPack_Order'!$A$2:$A$264,'02_TrayPack_Order'!$C$2:$C$264)</f>
        <v/>
      </c>
      <c r="D25" s="176">
        <f>_xlfn.XLOOKUP(B26,'02_TrayPack_Order'!$A$2:$A$264,'02_TrayPack_Order'!$L$2:$L$264,0)</f>
        <v/>
      </c>
      <c r="E25" s="175">
        <f>SUMIF('13_Progress_Track'!$A$2:$A$108,B26,'13_Progress_Track'!$E$2:$E$108)</f>
        <v/>
      </c>
      <c r="F25" s="175">
        <f>IF(E26&gt;(C26+D26),(E26-(C26+D26)),0)</f>
        <v/>
      </c>
      <c r="G25" s="177">
        <f>IF(F26&gt;0,0,C26+D26-E26)</f>
        <v/>
      </c>
      <c r="H25" s="148">
        <f>_xludf.IFNA(_xlfn.XLOOKUP(B26,'00_SKU_Master'!$B$2:$B$378,'00_SKU_Master'!$C$2:$C$378),"")</f>
        <v/>
      </c>
      <c r="I25" s="148" t="n"/>
      <c r="J25" s="14">
        <f>_xludf.IFNA(_xlfn.XLOOKUP(B26,'00_SKU_Master'!B$2:B$378,'00_SKU_Master'!H$2:H$378,0),"")</f>
        <v/>
      </c>
      <c r="K25" s="14">
        <f>_xludf.IFNA(_xlfn.XLOOKUP(B26,'00_SKU_Master'!B$2:B$378,'00_SKU_Master'!K$2:K$378,0),"")</f>
        <v/>
      </c>
      <c r="L25" s="148">
        <f>_xlfn.XLOOKUP(B26,'00_SKU_Master'!$B$2:$B$378,'00_SKU_Master'!D:D)</f>
        <v/>
      </c>
      <c r="M25" s="148">
        <f>IF((C26-E26)&lt;0,0,C26-E26)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_xlfn.XLOOKUP(B27,'02_TrayPack_Order'!$A$2:$A$264,'02_TrayPack_Order'!$C$2:$C$264)</f>
        <v/>
      </c>
      <c r="D26" s="176">
        <f>_xlfn.XLOOKUP(B27,'02_TrayPack_Order'!$A$2:$A$264,'02_TrayPack_Order'!$L$2:$L$264,0)</f>
        <v/>
      </c>
      <c r="E26" s="175">
        <f>SUMIF('13_Progress_Track'!$A$2:$A$108,B27,'13_Progress_Track'!$E$2:$E$108)</f>
        <v/>
      </c>
      <c r="F26" s="175">
        <f>IF(E27&gt;(C27+D27),(E27-(C27+D27)),0)</f>
        <v/>
      </c>
      <c r="G26" s="177">
        <f>IF(F27&gt;0,0,C27+D27-E27)</f>
        <v/>
      </c>
      <c r="H26" s="148">
        <f>_xludf.IFNA(_xlfn.XLOOKUP(B27,'00_SKU_Master'!$B$2:$B$378,'00_SKU_Master'!$C$2:$C$378),"")</f>
        <v/>
      </c>
      <c r="I26" s="148" t="n"/>
      <c r="J26" s="14">
        <f>_xludf.IFNA(_xlfn.XLOOKUP(B27,'00_SKU_Master'!B$2:B$378,'00_SKU_Master'!H$2:H$378,0),"")</f>
        <v/>
      </c>
      <c r="K26" s="14">
        <f>_xludf.IFNA(_xlfn.XLOOKUP(B27,'00_SKU_Master'!B$2:B$378,'00_SKU_Master'!K$2:K$378,0),"")</f>
        <v/>
      </c>
      <c r="L26" s="148">
        <f>_xlfn.XLOOKUP(B27,'00_SKU_Master'!$B$2:$B$378,'00_SKU_Master'!D:D)</f>
        <v/>
      </c>
      <c r="M26" s="148">
        <f>IF((C27-E27)&lt;0,0,C27-E27)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_xlfn.XLOOKUP(B28,'02_TrayPack_Order'!$A$2:$A$264,'02_TrayPack_Order'!$C$2:$C$264)</f>
        <v/>
      </c>
      <c r="D27" s="176">
        <f>_xlfn.XLOOKUP(B28,'02_TrayPack_Order'!$A$2:$A$264,'02_TrayPack_Order'!$L$2:$L$264,0)</f>
        <v/>
      </c>
      <c r="E27" s="175">
        <f>SUMIF('13_Progress_Track'!$A$2:$A$108,B28,'13_Progress_Track'!$E$2:$E$108)</f>
        <v/>
      </c>
      <c r="F27" s="175">
        <f>IF(E28&gt;(C28+D28),(E28-(C28+D28)),0)</f>
        <v/>
      </c>
      <c r="G27" s="177">
        <f>IF(F28&gt;0,0,C28+D28-E28)</f>
        <v/>
      </c>
      <c r="H27" s="148">
        <f>_xludf.IFNA(_xlfn.XLOOKUP(B28,'00_SKU_Master'!$B$2:$B$378,'00_SKU_Master'!$C$2:$C$378),"")</f>
        <v/>
      </c>
      <c r="I27" s="148" t="n"/>
      <c r="J27" s="14">
        <f>_xludf.IFNA(_xlfn.XLOOKUP(B28,'00_SKU_Master'!B$2:B$378,'00_SKU_Master'!H$2:H$378,0),"")</f>
        <v/>
      </c>
      <c r="K27" s="14">
        <f>_xludf.IFNA(_xlfn.XLOOKUP(B28,'00_SKU_Master'!B$2:B$378,'00_SKU_Master'!K$2:K$378,0),"")</f>
        <v/>
      </c>
      <c r="L27" s="148">
        <f>_xlfn.XLOOKUP(B28,'00_SKU_Master'!$B$2:$B$378,'00_SKU_Master'!D:D)</f>
        <v/>
      </c>
      <c r="M27" s="148">
        <f>IF((C28-E28)&lt;0,0,C28-E28)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_xlfn.XLOOKUP(B29,'02_TrayPack_Order'!$A$2:$A$264,'02_TrayPack_Order'!$C$2:$C$264)</f>
        <v/>
      </c>
      <c r="D28" s="176">
        <f>_xlfn.XLOOKUP(B29,'02_TrayPack_Order'!$A$2:$A$264,'02_TrayPack_Order'!$L$2:$L$264,0)</f>
        <v/>
      </c>
      <c r="E28" s="175">
        <f>SUMIF('13_Progress_Track'!$A$2:$A$108,B29,'13_Progress_Track'!$E$2:$E$108)</f>
        <v/>
      </c>
      <c r="F28" s="175">
        <f>IF(E29&gt;(C29+D29),(E29-(C29+D29)),0)</f>
        <v/>
      </c>
      <c r="G28" s="177">
        <f>IF(F29&gt;0,0,C29+D29-E29)</f>
        <v/>
      </c>
      <c r="H28" s="148">
        <f>_xludf.IFNA(_xlfn.XLOOKUP(B29,'00_SKU_Master'!$B$2:$B$378,'00_SKU_Master'!$C$2:$C$378),"")</f>
        <v/>
      </c>
      <c r="I28" s="148" t="n"/>
      <c r="J28" s="14">
        <f>_xludf.IFNA(_xlfn.XLOOKUP(B29,'00_SKU_Master'!B$2:B$378,'00_SKU_Master'!H$2:H$378,0),"")</f>
        <v/>
      </c>
      <c r="K28" s="14">
        <f>_xludf.IFNA(_xlfn.XLOOKUP(B29,'00_SKU_Master'!B$2:B$378,'00_SKU_Master'!K$2:K$378,0),"")</f>
        <v/>
      </c>
      <c r="L28" s="148">
        <f>_xlfn.XLOOKUP(B29,'00_SKU_Master'!$B$2:$B$378,'00_SKU_Master'!D:D)</f>
        <v/>
      </c>
      <c r="M28" s="148">
        <f>IF((C29-E29)&lt;0,0,C29-E29)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_xlfn.XLOOKUP(B30,'02_TrayPack_Order'!$A$2:$A$264,'02_TrayPack_Order'!$C$2:$C$264)</f>
        <v/>
      </c>
      <c r="D29" s="176">
        <f>_xlfn.XLOOKUP(B30,'02_TrayPack_Order'!$A$2:$A$264,'02_TrayPack_Order'!$L$2:$L$264,0)</f>
        <v/>
      </c>
      <c r="E29" s="175">
        <f>SUMIF('13_Progress_Track'!$A$2:$A$108,B30,'13_Progress_Track'!$E$2:$E$108)</f>
        <v/>
      </c>
      <c r="F29" s="175">
        <f>IF(E30&gt;(C30+D30),(E30-(C30+D30)),0)</f>
        <v/>
      </c>
      <c r="G29" s="177">
        <f>IF(F30&gt;0,0,C30+D30-E30)</f>
        <v/>
      </c>
      <c r="H29" s="148">
        <f>_xludf.IFNA(_xlfn.XLOOKUP(B30,'00_SKU_Master'!$B$2:$B$378,'00_SKU_Master'!$C$2:$C$378),"")</f>
        <v/>
      </c>
      <c r="I29" s="148" t="n"/>
      <c r="J29" s="14">
        <f>_xludf.IFNA(_xlfn.XLOOKUP(B30,'00_SKU_Master'!B$2:B$378,'00_SKU_Master'!H$2:H$378,0),"")</f>
        <v/>
      </c>
      <c r="K29" s="14">
        <f>_xludf.IFNA(_xlfn.XLOOKUP(B30,'00_SKU_Master'!B$2:B$378,'00_SKU_Master'!K$2:K$378,0),"")</f>
        <v/>
      </c>
      <c r="L29" s="148">
        <f>_xlfn.XLOOKUP(B30,'00_SKU_Master'!$B$2:$B$378,'00_SKU_Master'!D:D)</f>
        <v/>
      </c>
      <c r="M29" s="148">
        <f>IF((C30-E30)&lt;0,0,C30-E30)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_xlfn.XLOOKUP(B31,'02_TrayPack_Order'!$A$2:$A$264,'02_TrayPack_Order'!$C$2:$C$264)</f>
        <v/>
      </c>
      <c r="D30" s="176">
        <f>_xlfn.XLOOKUP(B31,'02_TrayPack_Order'!$A$2:$A$264,'02_TrayPack_Order'!$L$2:$L$264,0)</f>
        <v/>
      </c>
      <c r="E30" s="175">
        <f>SUMIF('13_Progress_Track'!$A$2:$A$108,B31,'13_Progress_Track'!$E$2:$E$108)</f>
        <v/>
      </c>
      <c r="F30" s="175">
        <f>IF(E31&gt;(C31+D31),(E31-(C31+D31)),0)</f>
        <v/>
      </c>
      <c r="G30" s="177">
        <f>IF(F31&gt;0,0,C31+D31-E31)</f>
        <v/>
      </c>
      <c r="H30" s="148">
        <f>_xludf.IFNA(_xlfn.XLOOKUP(B31,'00_SKU_Master'!$B$2:$B$378,'00_SKU_Master'!$C$2:$C$378),"")</f>
        <v/>
      </c>
      <c r="I30" s="148" t="n"/>
      <c r="J30" s="14">
        <f>_xludf.IFNA(_xlfn.XLOOKUP(B31,'00_SKU_Master'!B$2:B$378,'00_SKU_Master'!H$2:H$378,0),"")</f>
        <v/>
      </c>
      <c r="K30" s="14">
        <f>_xludf.IFNA(_xlfn.XLOOKUP(B31,'00_SKU_Master'!B$2:B$378,'00_SKU_Master'!K$2:K$378,0),"")</f>
        <v/>
      </c>
      <c r="L30" s="148">
        <f>_xlfn.XLOOKUP(B31,'00_SKU_Master'!$B$2:$B$378,'00_SKU_Master'!D:D)</f>
        <v/>
      </c>
      <c r="M30" s="148">
        <f>IF((C31-E31)&lt;0,0,C31-E31)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_xlfn.XLOOKUP(B32,'02_TrayPack_Order'!$A$2:$A$264,'02_TrayPack_Order'!$C$2:$C$264)</f>
        <v/>
      </c>
      <c r="D31" s="176">
        <f>_xlfn.XLOOKUP(B32,'02_TrayPack_Order'!$A$2:$A$264,'02_TrayPack_Order'!$L$2:$L$264,0)</f>
        <v/>
      </c>
      <c r="E31" s="175">
        <f>SUMIF('13_Progress_Track'!$A$2:$A$108,B32,'13_Progress_Track'!$E$2:$E$108)</f>
        <v/>
      </c>
      <c r="F31" s="175">
        <f>IF(E32&gt;(C32+D32),(E32-(C32+D32)),0)</f>
        <v/>
      </c>
      <c r="G31" s="177">
        <f>IF(F32&gt;0,0,C32+D32-E32)</f>
        <v/>
      </c>
      <c r="H31" s="148">
        <f>_xludf.IFNA(_xlfn.XLOOKUP(B32,'00_SKU_Master'!$B$2:$B$378,'00_SKU_Master'!$C$2:$C$378),"")</f>
        <v/>
      </c>
      <c r="I31" s="148" t="n"/>
      <c r="J31" s="14">
        <f>_xludf.IFNA(_xlfn.XLOOKUP(B32,'00_SKU_Master'!B$2:B$378,'00_SKU_Master'!H$2:H$378,0),"")</f>
        <v/>
      </c>
      <c r="K31" s="14">
        <f>_xludf.IFNA(_xlfn.XLOOKUP(B32,'00_SKU_Master'!B$2:B$378,'00_SKU_Master'!K$2:K$378,0),"")</f>
        <v/>
      </c>
      <c r="L31" s="148">
        <f>_xlfn.XLOOKUP(B32,'00_SKU_Master'!$B$2:$B$378,'00_SKU_Master'!D:D)</f>
        <v/>
      </c>
      <c r="M31" s="148">
        <f>IF((C32-E32)&lt;0,0,C32-E32)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_xlfn.XLOOKUP(B33,'02_TrayPack_Order'!$A$2:$A$264,'02_TrayPack_Order'!$C$2:$C$264)</f>
        <v/>
      </c>
      <c r="D32" s="176">
        <f>_xlfn.XLOOKUP(B33,'02_TrayPack_Order'!$A$2:$A$264,'02_TrayPack_Order'!$L$2:$L$264,0)</f>
        <v/>
      </c>
      <c r="E32" s="175">
        <f>SUMIF('13_Progress_Track'!$A$2:$A$108,B33,'13_Progress_Track'!$E$2:$E$108)</f>
        <v/>
      </c>
      <c r="F32" s="175">
        <f>IF(E33&gt;(C33+D33),(E33-(C33+D33)),0)</f>
        <v/>
      </c>
      <c r="G32" s="177">
        <f>IF(F33&gt;0,0,C33+D33-E33)</f>
        <v/>
      </c>
      <c r="H32" s="148">
        <f>_xludf.IFNA(_xlfn.XLOOKUP(B33,'00_SKU_Master'!$B$2:$B$378,'00_SKU_Master'!$C$2:$C$378),"")</f>
        <v/>
      </c>
      <c r="I32" s="148" t="n"/>
      <c r="J32" s="14">
        <f>_xludf.IFNA(_xlfn.XLOOKUP(B33,'00_SKU_Master'!B$2:B$378,'00_SKU_Master'!H$2:H$378,0),"")</f>
        <v/>
      </c>
      <c r="K32" s="14">
        <f>_xludf.IFNA(_xlfn.XLOOKUP(B33,'00_SKU_Master'!B$2:B$378,'00_SKU_Master'!K$2:K$378,0),"")</f>
        <v/>
      </c>
      <c r="L32" s="148">
        <f>_xlfn.XLOOKUP(B33,'00_SKU_Master'!$B$2:$B$378,'00_SKU_Master'!D:D)</f>
        <v/>
      </c>
      <c r="M32" s="148">
        <f>IF((C33-E33)&lt;0,0,C33-E33)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_xlfn.XLOOKUP(B34,'02_TrayPack_Order'!$A$2:$A$264,'02_TrayPack_Order'!$C$2:$C$264)</f>
        <v/>
      </c>
      <c r="D33" s="176">
        <f>_xlfn.XLOOKUP(B34,'02_TrayPack_Order'!$A$2:$A$264,'02_TrayPack_Order'!$L$2:$L$264,0)</f>
        <v/>
      </c>
      <c r="E33" s="175">
        <f>SUMIF('13_Progress_Track'!$A$2:$A$108,B34,'13_Progress_Track'!$E$2:$E$108)</f>
        <v/>
      </c>
      <c r="F33" s="175">
        <f>IF(E34&gt;(C34+D34),(E34-(C34+D34)),0)</f>
        <v/>
      </c>
      <c r="G33" s="177">
        <f>IF(F34&gt;0,0,C34+D34-E34)</f>
        <v/>
      </c>
      <c r="H33" s="148">
        <f>_xludf.IFNA(_xlfn.XLOOKUP(B34,'00_SKU_Master'!$B$2:$B$378,'00_SKU_Master'!$C$2:$C$378),"")</f>
        <v/>
      </c>
      <c r="I33" s="148" t="n"/>
      <c r="J33" s="14">
        <f>_xludf.IFNA(_xlfn.XLOOKUP(B34,'00_SKU_Master'!B$2:B$378,'00_SKU_Master'!H$2:H$378,0),"")</f>
        <v/>
      </c>
      <c r="K33" s="14">
        <f>_xludf.IFNA(_xlfn.XLOOKUP(B34,'00_SKU_Master'!B$2:B$378,'00_SKU_Master'!K$2:K$378,0),"")</f>
        <v/>
      </c>
      <c r="L33" s="148">
        <f>_xlfn.XLOOKUP(B34,'00_SKU_Master'!$B$2:$B$378,'00_SKU_Master'!D:D)</f>
        <v/>
      </c>
      <c r="M33" s="148">
        <f>IF((C34-E34)&lt;0,0,C34-E34)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_xlfn.XLOOKUP(B35,'02_TrayPack_Order'!$A$2:$A$264,'02_TrayPack_Order'!$C$2:$C$264)</f>
        <v/>
      </c>
      <c r="D34" s="176">
        <f>_xlfn.XLOOKUP(B35,'02_TrayPack_Order'!$A$2:$A$264,'02_TrayPack_Order'!$L$2:$L$264,0)</f>
        <v/>
      </c>
      <c r="E34" s="175">
        <f>SUMIF('13_Progress_Track'!$A$2:$A$108,B35,'13_Progress_Track'!$E$2:$E$108)</f>
        <v/>
      </c>
      <c r="F34" s="175">
        <f>IF(E35&gt;(C35+D35),(E35-(C35+D35)),0)</f>
        <v/>
      </c>
      <c r="G34" s="177">
        <f>IF(F35&gt;0,0,C35+D35-E35)</f>
        <v/>
      </c>
      <c r="H34" s="148">
        <f>_xludf.IFNA(_xlfn.XLOOKUP(B35,'00_SKU_Master'!$B$2:$B$378,'00_SKU_Master'!$C$2:$C$378),"")</f>
        <v/>
      </c>
      <c r="I34" s="148" t="n"/>
      <c r="J34" s="14">
        <f>_xludf.IFNA(_xlfn.XLOOKUP(B35,'00_SKU_Master'!B$2:B$378,'00_SKU_Master'!H$2:H$378,0),"")</f>
        <v/>
      </c>
      <c r="K34" s="14">
        <f>_xludf.IFNA(_xlfn.XLOOKUP(B35,'00_SKU_Master'!B$2:B$378,'00_SKU_Master'!K$2:K$378,0),"")</f>
        <v/>
      </c>
      <c r="L34" s="148">
        <f>_xlfn.XLOOKUP(B35,'00_SKU_Master'!$B$2:$B$378,'00_SKU_Master'!D:D)</f>
        <v/>
      </c>
      <c r="M34" s="148">
        <f>IF((C35-E35)&lt;0,0,C35-E35)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_xlfn.XLOOKUP(B36,'02_TrayPack_Order'!$A$2:$A$264,'02_TrayPack_Order'!$C$2:$C$264)</f>
        <v/>
      </c>
      <c r="D35" s="176">
        <f>_xlfn.XLOOKUP(B36,'02_TrayPack_Order'!$A$2:$A$264,'02_TrayPack_Order'!$L$2:$L$264,0)</f>
        <v/>
      </c>
      <c r="E35" s="175">
        <f>SUMIF('13_Progress_Track'!$A$2:$A$108,B36,'13_Progress_Track'!$E$2:$E$108)</f>
        <v/>
      </c>
      <c r="F35" s="175">
        <f>IF(E36&gt;(C36+D36),(E36-(C36+D36)),0)</f>
        <v/>
      </c>
      <c r="G35" s="177">
        <f>IF(F36&gt;0,0,C36+D36-E36)</f>
        <v/>
      </c>
      <c r="H35" s="148">
        <f>_xludf.IFNA(_xlfn.XLOOKUP(B36,'00_SKU_Master'!$B$2:$B$378,'00_SKU_Master'!$C$2:$C$378),"")</f>
        <v/>
      </c>
      <c r="I35" s="148" t="n"/>
      <c r="J35" s="14">
        <f>_xludf.IFNA(_xlfn.XLOOKUP(B36,'00_SKU_Master'!B$2:B$378,'00_SKU_Master'!H$2:H$378,0),"")</f>
        <v/>
      </c>
      <c r="K35" s="14">
        <f>_xludf.IFNA(_xlfn.XLOOKUP(B36,'00_SKU_Master'!B$2:B$378,'00_SKU_Master'!K$2:K$378,0),"")</f>
        <v/>
      </c>
      <c r="L35" s="148">
        <f>_xlfn.XLOOKUP(B36,'00_SKU_Master'!$B$2:$B$378,'00_SKU_Master'!D:D)</f>
        <v/>
      </c>
      <c r="M35" s="148">
        <f>IF((C36-E36)&lt;0,0,C36-E36)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_xlfn.XLOOKUP(B37,'02_TrayPack_Order'!$A$2:$A$264,'02_TrayPack_Order'!$C$2:$C$264)</f>
        <v/>
      </c>
      <c r="D36" s="176">
        <f>_xlfn.XLOOKUP(B37,'02_TrayPack_Order'!$A$2:$A$264,'02_TrayPack_Order'!$L$2:$L$264,0)</f>
        <v/>
      </c>
      <c r="E36" s="175">
        <f>SUMIF('13_Progress_Track'!$A$2:$A$108,B37,'13_Progress_Track'!$E$2:$E$108)</f>
        <v/>
      </c>
      <c r="F36" s="175">
        <f>IF(E37&gt;(C37+D37),(E37-(C37+D37)),0)</f>
        <v/>
      </c>
      <c r="G36" s="177">
        <f>IF(F37&gt;0,0,C37+D37-E37)</f>
        <v/>
      </c>
      <c r="H36" s="148">
        <f>_xludf.IFNA(_xlfn.XLOOKUP(B37,'00_SKU_Master'!$B$2:$B$378,'00_SKU_Master'!$C$2:$C$378),"")</f>
        <v/>
      </c>
      <c r="I36" s="148" t="n"/>
      <c r="J36" s="14">
        <f>_xludf.IFNA(_xlfn.XLOOKUP(B37,'00_SKU_Master'!B$2:B$378,'00_SKU_Master'!H$2:H$378,0),"")</f>
        <v/>
      </c>
      <c r="K36" s="14">
        <f>_xludf.IFNA(_xlfn.XLOOKUP(B37,'00_SKU_Master'!B$2:B$378,'00_SKU_Master'!K$2:K$378,0),"")</f>
        <v/>
      </c>
      <c r="L36" s="148">
        <f>_xlfn.XLOOKUP(B37,'00_SKU_Master'!$B$2:$B$378,'00_SKU_Master'!D:D)</f>
        <v/>
      </c>
      <c r="M36" s="148">
        <f>IF((C37-E37)&lt;0,0,C37-E37)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_xlfn.XLOOKUP(B38,'02_TrayPack_Order'!$A$2:$A$264,'02_TrayPack_Order'!$C$2:$C$264)</f>
        <v/>
      </c>
      <c r="D37" s="176">
        <f>_xlfn.XLOOKUP(B38,'02_TrayPack_Order'!$A$2:$A$264,'02_TrayPack_Order'!$L$2:$L$264,0)</f>
        <v/>
      </c>
      <c r="E37" s="175">
        <f>SUMIF('13_Progress_Track'!$A$2:$A$108,B38,'13_Progress_Track'!$E$2:$E$108)</f>
        <v/>
      </c>
      <c r="F37" s="175">
        <f>IF(E38&gt;(C38+D38),(E38-(C38+D38)),0)</f>
        <v/>
      </c>
      <c r="G37" s="177">
        <f>IF(F38&gt;0,0,C38+D38-E38)</f>
        <v/>
      </c>
      <c r="H37" s="148">
        <f>_xludf.IFNA(_xlfn.XLOOKUP(B38,'00_SKU_Master'!$B$2:$B$378,'00_SKU_Master'!$C$2:$C$378),"")</f>
        <v/>
      </c>
      <c r="I37" s="148" t="n"/>
      <c r="J37" s="14">
        <f>_xludf.IFNA(_xlfn.XLOOKUP(B38,'00_SKU_Master'!B$2:B$378,'00_SKU_Master'!H$2:H$378,0),"")</f>
        <v/>
      </c>
      <c r="K37" s="14">
        <f>_xludf.IFNA(_xlfn.XLOOKUP(B38,'00_SKU_Master'!B$2:B$378,'00_SKU_Master'!K$2:K$378,0),"")</f>
        <v/>
      </c>
      <c r="L37" s="148">
        <f>_xlfn.XLOOKUP(B38,'00_SKU_Master'!$B$2:$B$378,'00_SKU_Master'!D:D)</f>
        <v/>
      </c>
      <c r="M37" s="148">
        <f>IF((C38-E38)&lt;0,0,C38-E38)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_xlfn.XLOOKUP(B39,'02_TrayPack_Order'!$A$2:$A$264,'02_TrayPack_Order'!$C$2:$C$264)</f>
        <v/>
      </c>
      <c r="D38" s="176">
        <f>_xlfn.XLOOKUP(B39,'02_TrayPack_Order'!$A$2:$A$264,'02_TrayPack_Order'!$L$2:$L$264,0)</f>
        <v/>
      </c>
      <c r="E38" s="175">
        <f>SUMIF('13_Progress_Track'!$A$2:$A$108,B39,'13_Progress_Track'!$E$2:$E$108)</f>
        <v/>
      </c>
      <c r="F38" s="175">
        <f>IF(E39&gt;(C39+D39),(E39-(C39+D39)),0)</f>
        <v/>
      </c>
      <c r="G38" s="177">
        <f>IF(F39&gt;0,0,C39+D39-E39)</f>
        <v/>
      </c>
      <c r="H38" s="148">
        <f>_xludf.IFNA(_xlfn.XLOOKUP(B39,'00_SKU_Master'!$B$2:$B$378,'00_SKU_Master'!$C$2:$C$378),"")</f>
        <v/>
      </c>
      <c r="I38" s="148" t="n"/>
      <c r="J38" s="14">
        <f>_xludf.IFNA(_xlfn.XLOOKUP(B39,'00_SKU_Master'!B$2:B$378,'00_SKU_Master'!H$2:H$378,0),"")</f>
        <v/>
      </c>
      <c r="K38" s="14">
        <f>_xludf.IFNA(_xlfn.XLOOKUP(B39,'00_SKU_Master'!B$2:B$378,'00_SKU_Master'!K$2:K$378,0),"")</f>
        <v/>
      </c>
      <c r="L38" s="148">
        <f>_xlfn.XLOOKUP(B39,'00_SKU_Master'!$B$2:$B$378,'00_SKU_Master'!D:D)</f>
        <v/>
      </c>
      <c r="M38" s="148">
        <f>IF((C39-E39)&lt;0,0,C39-E39)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_xlfn.XLOOKUP(B40,'02_TrayPack_Order'!$A$2:$A$264,'02_TrayPack_Order'!$C$2:$C$264)</f>
        <v/>
      </c>
      <c r="D39" s="176">
        <f>_xlfn.XLOOKUP(B40,'02_TrayPack_Order'!$A$2:$A$264,'02_TrayPack_Order'!$L$2:$L$264,0)</f>
        <v/>
      </c>
      <c r="E39" s="175">
        <f>SUMIF('13_Progress_Track'!$A$2:$A$108,B40,'13_Progress_Track'!$E$2:$E$108)</f>
        <v/>
      </c>
      <c r="F39" s="175">
        <f>IF(E40&gt;(C40+D40),(E40-(C40+D40)),0)</f>
        <v/>
      </c>
      <c r="G39" s="177">
        <f>IF(F40&gt;0,0,C40+D40-E40)</f>
        <v/>
      </c>
      <c r="H39" s="148">
        <f>_xludf.IFNA(_xlfn.XLOOKUP(B40,'00_SKU_Master'!$B$2:$B$378,'00_SKU_Master'!$C$2:$C$378),"")</f>
        <v/>
      </c>
      <c r="I39" s="148" t="n"/>
      <c r="J39" s="14">
        <f>_xludf.IFNA(_xlfn.XLOOKUP(B40,'00_SKU_Master'!B$2:B$378,'00_SKU_Master'!H$2:H$378,0),"")</f>
        <v/>
      </c>
      <c r="K39" s="14">
        <f>_xludf.IFNA(_xlfn.XLOOKUP(B40,'00_SKU_Master'!B$2:B$378,'00_SKU_Master'!K$2:K$378,0),"")</f>
        <v/>
      </c>
      <c r="L39" s="148">
        <f>_xlfn.XLOOKUP(B40,'00_SKU_Master'!$B$2:$B$378,'00_SKU_Master'!D:D)</f>
        <v/>
      </c>
      <c r="M39" s="148">
        <f>IF((C40-E40)&lt;0,0,C40-E40)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_xlfn.XLOOKUP(B41,'02_TrayPack_Order'!$A$2:$A$264,'02_TrayPack_Order'!$C$2:$C$264)</f>
        <v/>
      </c>
      <c r="D40" s="176">
        <f>_xlfn.XLOOKUP(B41,'02_TrayPack_Order'!$A$2:$A$264,'02_TrayPack_Order'!$L$2:$L$264,0)</f>
        <v/>
      </c>
      <c r="E40" s="175">
        <f>SUMIF('13_Progress_Track'!$A$2:$A$108,B41,'13_Progress_Track'!$E$2:$E$108)</f>
        <v/>
      </c>
      <c r="F40" s="175">
        <f>IF(E41&gt;(C41+D41),(E41-(C41+D41)),0)</f>
        <v/>
      </c>
      <c r="G40" s="177">
        <f>IF(F41&gt;0,0,C41+D41-E41)</f>
        <v/>
      </c>
      <c r="H40" s="148">
        <f>_xludf.IFNA(_xlfn.XLOOKUP(B41,'00_SKU_Master'!$B$2:$B$378,'00_SKU_Master'!$C$2:$C$378),"")</f>
        <v/>
      </c>
      <c r="I40" s="148" t="n"/>
      <c r="J40" s="14">
        <f>_xludf.IFNA(_xlfn.XLOOKUP(B41,'00_SKU_Master'!B$2:B$378,'00_SKU_Master'!H$2:H$378,0),"")</f>
        <v/>
      </c>
      <c r="K40" s="14">
        <f>_xludf.IFNA(_xlfn.XLOOKUP(B41,'00_SKU_Master'!B$2:B$378,'00_SKU_Master'!K$2:K$378,0),"")</f>
        <v/>
      </c>
      <c r="L40" s="148">
        <f>_xlfn.XLOOKUP(B41,'00_SKU_Master'!$B$2:$B$378,'00_SKU_Master'!D:D)</f>
        <v/>
      </c>
      <c r="M40" s="148">
        <f>IF((C41-E41)&lt;0,0,C41-E41)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_xlfn.XLOOKUP(B42,'02_TrayPack_Order'!$A$2:$A$264,'02_TrayPack_Order'!$C$2:$C$264)</f>
        <v/>
      </c>
      <c r="D41" s="176">
        <f>_xlfn.XLOOKUP(B42,'02_TrayPack_Order'!$A$2:$A$264,'02_TrayPack_Order'!$L$2:$L$264,0)</f>
        <v/>
      </c>
      <c r="E41" s="175">
        <f>SUMIF('13_Progress_Track'!$A$2:$A$108,B42,'13_Progress_Track'!$E$2:$E$108)</f>
        <v/>
      </c>
      <c r="F41" s="175">
        <f>IF(E42&gt;(C42+D42),(E42-(C42+D42)),0)</f>
        <v/>
      </c>
      <c r="G41" s="177">
        <f>IF(F42&gt;0,0,C42+D42-E42)</f>
        <v/>
      </c>
      <c r="H41" s="148">
        <f>_xludf.IFNA(_xlfn.XLOOKUP(B42,'00_SKU_Master'!$B$2:$B$378,'00_SKU_Master'!$C$2:$C$378),"")</f>
        <v/>
      </c>
      <c r="I41" s="148" t="n"/>
      <c r="J41" s="14">
        <f>_xludf.IFNA(_xlfn.XLOOKUP(B42,'00_SKU_Master'!B$2:B$378,'00_SKU_Master'!H$2:H$378,0),"")</f>
        <v/>
      </c>
      <c r="K41" s="14">
        <f>_xludf.IFNA(_xlfn.XLOOKUP(B42,'00_SKU_Master'!B$2:B$378,'00_SKU_Master'!K$2:K$378,0),"")</f>
        <v/>
      </c>
      <c r="L41" s="148">
        <f>_xlfn.XLOOKUP(B42,'00_SKU_Master'!$B$2:$B$378,'00_SKU_Master'!D:D)</f>
        <v/>
      </c>
      <c r="M41" s="148">
        <f>IF((C42-E42)&lt;0,0,C42-E42)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_xlfn.XLOOKUP(B43,'02_TrayPack_Order'!$A$2:$A$264,'02_TrayPack_Order'!$C$2:$C$264)</f>
        <v/>
      </c>
      <c r="D42" s="176">
        <f>_xlfn.XLOOKUP(B43,'02_TrayPack_Order'!$A$2:$A$264,'02_TrayPack_Order'!$L$2:$L$264,0)</f>
        <v/>
      </c>
      <c r="E42" s="175">
        <f>SUMIF('13_Progress_Track'!$A$2:$A$108,B43,'13_Progress_Track'!$E$2:$E$108)</f>
        <v/>
      </c>
      <c r="F42" s="175">
        <f>IF(E43&gt;(C43+D43),(E43-(C43+D43)),0)</f>
        <v/>
      </c>
      <c r="G42" s="177">
        <f>IF(F43&gt;0,0,C43+D43-E43)</f>
        <v/>
      </c>
      <c r="H42" s="148">
        <f>_xludf.IFNA(_xlfn.XLOOKUP(B43,'00_SKU_Master'!$B$2:$B$378,'00_SKU_Master'!$C$2:$C$378),"")</f>
        <v/>
      </c>
      <c r="I42" s="148" t="n"/>
      <c r="J42" s="14">
        <f>_xludf.IFNA(_xlfn.XLOOKUP(B43,'00_SKU_Master'!B$2:B$378,'00_SKU_Master'!H$2:H$378,0),"")</f>
        <v/>
      </c>
      <c r="K42" s="14">
        <f>_xludf.IFNA(_xlfn.XLOOKUP(B43,'00_SKU_Master'!B$2:B$378,'00_SKU_Master'!K$2:K$378,0),"")</f>
        <v/>
      </c>
      <c r="L42" s="148">
        <f>_xlfn.XLOOKUP(B43,'00_SKU_Master'!$B$2:$B$378,'00_SKU_Master'!D:D)</f>
        <v/>
      </c>
      <c r="M42" s="148">
        <f>IF((C43-E43)&lt;0,0,C43-E43)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_xlfn.XLOOKUP(B44,'02_TrayPack_Order'!$A$2:$A$264,'02_TrayPack_Order'!$C$2:$C$264)</f>
        <v/>
      </c>
      <c r="D43" s="176">
        <f>_xlfn.XLOOKUP(B44,'02_TrayPack_Order'!$A$2:$A$264,'02_TrayPack_Order'!$L$2:$L$264,0)</f>
        <v/>
      </c>
      <c r="E43" s="175">
        <f>SUMIF('13_Progress_Track'!$A$2:$A$108,B44,'13_Progress_Track'!$E$2:$E$108)</f>
        <v/>
      </c>
      <c r="F43" s="175">
        <f>IF(E44&gt;(C44+D44),(E44-(C44+D44)),0)</f>
        <v/>
      </c>
      <c r="G43" s="177">
        <f>IF(F44&gt;0,0,C44+D44-E44)</f>
        <v/>
      </c>
      <c r="H43" s="148">
        <f>_xludf.IFNA(_xlfn.XLOOKUP(B44,'00_SKU_Master'!$B$2:$B$378,'00_SKU_Master'!$C$2:$C$378),"")</f>
        <v/>
      </c>
      <c r="I43" s="148" t="n"/>
      <c r="J43" s="14">
        <f>_xludf.IFNA(_xlfn.XLOOKUP(B44,'00_SKU_Master'!B$2:B$378,'00_SKU_Master'!H$2:H$378,0),"")</f>
        <v/>
      </c>
      <c r="K43" s="14">
        <f>_xludf.IFNA(_xlfn.XLOOKUP(B44,'00_SKU_Master'!B$2:B$378,'00_SKU_Master'!K$2:K$378,0),"")</f>
        <v/>
      </c>
      <c r="L43" s="148">
        <f>_xlfn.XLOOKUP(B44,'00_SKU_Master'!$B$2:$B$378,'00_SKU_Master'!D:D)</f>
        <v/>
      </c>
      <c r="M43" s="148">
        <f>IF((C44-E44)&lt;0,0,C44-E44)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_xlfn.XLOOKUP(B45,'02_TrayPack_Order'!$A$2:$A$264,'02_TrayPack_Order'!$C$2:$C$264)</f>
        <v/>
      </c>
      <c r="D44" s="176">
        <f>_xlfn.XLOOKUP(B45,'02_TrayPack_Order'!$A$2:$A$264,'02_TrayPack_Order'!$L$2:$L$264,0)</f>
        <v/>
      </c>
      <c r="E44" s="175">
        <f>SUMIF('13_Progress_Track'!$A$2:$A$108,B45,'13_Progress_Track'!$E$2:$E$108)</f>
        <v/>
      </c>
      <c r="F44" s="175">
        <f>IF(E45&gt;(C45+D45),(E45-(C45+D45)),0)</f>
        <v/>
      </c>
      <c r="G44" s="177">
        <f>IF(F45&gt;0,0,C45+D45-E45)</f>
        <v/>
      </c>
      <c r="H44" s="148">
        <f>_xludf.IFNA(_xlfn.XLOOKUP(B45,'00_SKU_Master'!$B$2:$B$378,'00_SKU_Master'!$C$2:$C$378),"")</f>
        <v/>
      </c>
      <c r="I44" s="148" t="n"/>
      <c r="J44" s="14">
        <f>_xludf.IFNA(_xlfn.XLOOKUP(B45,'00_SKU_Master'!B$2:B$378,'00_SKU_Master'!H$2:H$378,0),"")</f>
        <v/>
      </c>
      <c r="K44" s="14">
        <f>_xludf.IFNA(_xlfn.XLOOKUP(B45,'00_SKU_Master'!B$2:B$378,'00_SKU_Master'!K$2:K$378,0),"")</f>
        <v/>
      </c>
      <c r="L44" s="148">
        <f>_xlfn.XLOOKUP(B45,'00_SKU_Master'!$B$2:$B$378,'00_SKU_Master'!D:D)</f>
        <v/>
      </c>
      <c r="M44" s="148">
        <f>IF((C45-E45)&lt;0,0,C45-E45)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_xlfn.XLOOKUP(B46,'02_TrayPack_Order'!$A$2:$A$264,'02_TrayPack_Order'!$C$2:$C$264)</f>
        <v/>
      </c>
      <c r="D45" s="176">
        <f>_xlfn.XLOOKUP(B46,'02_TrayPack_Order'!$A$2:$A$264,'02_TrayPack_Order'!$L$2:$L$264,0)</f>
        <v/>
      </c>
      <c r="E45" s="175">
        <f>SUMIF('13_Progress_Track'!$A$2:$A$108,B46,'13_Progress_Track'!$E$2:$E$108)</f>
        <v/>
      </c>
      <c r="F45" s="175">
        <f>IF(E46&gt;(C46+D46),(E46-(C46+D46)),0)</f>
        <v/>
      </c>
      <c r="G45" s="177">
        <f>IF(F46&gt;0,0,C46+D46-E46)</f>
        <v/>
      </c>
      <c r="H45" s="148">
        <f>_xludf.IFNA(_xlfn.XLOOKUP(B46,'00_SKU_Master'!$B$2:$B$378,'00_SKU_Master'!$C$2:$C$378),"")</f>
        <v/>
      </c>
      <c r="I45" s="148" t="n"/>
      <c r="J45" s="14">
        <f>_xludf.IFNA(_xlfn.XLOOKUP(B46,'00_SKU_Master'!B$2:B$378,'00_SKU_Master'!H$2:H$378,0),"")</f>
        <v/>
      </c>
      <c r="K45" s="14">
        <f>_xludf.IFNA(_xlfn.XLOOKUP(B46,'00_SKU_Master'!B$2:B$378,'00_SKU_Master'!K$2:K$378,0),"")</f>
        <v/>
      </c>
      <c r="L45" s="148">
        <f>_xlfn.XLOOKUP(B46,'00_SKU_Master'!$B$2:$B$378,'00_SKU_Master'!D:D)</f>
        <v/>
      </c>
      <c r="M45" s="148">
        <f>IF((C46-E46)&lt;0,0,C46-E46)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_xlfn.XLOOKUP(B47,'02_TrayPack_Order'!$A$2:$A$264,'02_TrayPack_Order'!$C$2:$C$264)</f>
        <v/>
      </c>
      <c r="D46" s="176">
        <f>_xlfn.XLOOKUP(B47,'02_TrayPack_Order'!$A$2:$A$264,'02_TrayPack_Order'!$L$2:$L$264,0)</f>
        <v/>
      </c>
      <c r="E46" s="175">
        <f>SUMIF('13_Progress_Track'!$A$2:$A$108,B47,'13_Progress_Track'!$E$2:$E$108)</f>
        <v/>
      </c>
      <c r="F46" s="175">
        <f>IF(E47&gt;(C47+D47),(E47-(C47+D47)),0)</f>
        <v/>
      </c>
      <c r="G46" s="177">
        <f>IF(F47&gt;0,0,C47+D47-E47)</f>
        <v/>
      </c>
      <c r="H46" s="148">
        <f>_xludf.IFNA(_xlfn.XLOOKUP(B47,'00_SKU_Master'!$B$2:$B$378,'00_SKU_Master'!$C$2:$C$378),"")</f>
        <v/>
      </c>
      <c r="I46" s="148" t="n"/>
      <c r="J46" s="14">
        <f>_xludf.IFNA(_xlfn.XLOOKUP(B47,'00_SKU_Master'!B$2:B$378,'00_SKU_Master'!H$2:H$378,0),"")</f>
        <v/>
      </c>
      <c r="K46" s="14">
        <f>_xludf.IFNA(_xlfn.XLOOKUP(B47,'00_SKU_Master'!B$2:B$378,'00_SKU_Master'!K$2:K$378,0),"")</f>
        <v/>
      </c>
      <c r="L46" s="148">
        <f>_xlfn.XLOOKUP(B47,'00_SKU_Master'!$B$2:$B$378,'00_SKU_Master'!D:D)</f>
        <v/>
      </c>
      <c r="M46" s="148">
        <f>IF((C47-E47)&lt;0,0,C47-E47)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_xlfn.XLOOKUP(B48,'02_TrayPack_Order'!$A$2:$A$264,'02_TrayPack_Order'!$C$2:$C$264)</f>
        <v/>
      </c>
      <c r="D47" s="176">
        <f>_xlfn.XLOOKUP(B48,'02_TrayPack_Order'!$A$2:$A$264,'02_TrayPack_Order'!$L$2:$L$264,0)</f>
        <v/>
      </c>
      <c r="E47" s="175">
        <f>SUMIF('13_Progress_Track'!$A$2:$A$108,B48,'13_Progress_Track'!$E$2:$E$108)</f>
        <v/>
      </c>
      <c r="F47" s="175">
        <f>IF(E48&gt;(C48+D48),(E48-(C48+D48)),0)</f>
        <v/>
      </c>
      <c r="G47" s="177">
        <f>IF(F48&gt;0,0,C48+D48-E48)</f>
        <v/>
      </c>
      <c r="H47" s="148">
        <f>_xludf.IFNA(_xlfn.XLOOKUP(B48,'00_SKU_Master'!$B$2:$B$378,'00_SKU_Master'!$C$2:$C$378),"")</f>
        <v/>
      </c>
      <c r="I47" s="148" t="n"/>
      <c r="J47" s="14">
        <f>_xludf.IFNA(_xlfn.XLOOKUP(B48,'00_SKU_Master'!B$2:B$378,'00_SKU_Master'!H$2:H$378,0),"")</f>
        <v/>
      </c>
      <c r="K47" s="14">
        <f>_xludf.IFNA(_xlfn.XLOOKUP(B48,'00_SKU_Master'!B$2:B$378,'00_SKU_Master'!K$2:K$378,0),"")</f>
        <v/>
      </c>
      <c r="L47" s="148">
        <f>_xlfn.XLOOKUP(B48,'00_SKU_Master'!$B$2:$B$378,'00_SKU_Master'!D:D)</f>
        <v/>
      </c>
      <c r="M47" s="148">
        <f>IF((C48-E48)&lt;0,0,C48-E48)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_xlfn.XLOOKUP(B49,'02_TrayPack_Order'!$A$2:$A$264,'02_TrayPack_Order'!$C$2:$C$264)</f>
        <v/>
      </c>
      <c r="D48" s="176">
        <f>_xlfn.XLOOKUP(B49,'02_TrayPack_Order'!$A$2:$A$264,'02_TrayPack_Order'!$L$2:$L$264,0)</f>
        <v/>
      </c>
      <c r="E48" s="175">
        <f>SUMIF('13_Progress_Track'!$A$2:$A$108,B49,'13_Progress_Track'!$E$2:$E$108)</f>
        <v/>
      </c>
      <c r="F48" s="175">
        <f>IF(E49&gt;(C49+D49),(E49-(C49+D49)),0)</f>
        <v/>
      </c>
      <c r="G48" s="177">
        <f>IF(F49&gt;0,0,C49+D49-E49)</f>
        <v/>
      </c>
      <c r="H48" s="148">
        <f>_xludf.IFNA(_xlfn.XLOOKUP(B49,'00_SKU_Master'!$B$2:$B$378,'00_SKU_Master'!$C$2:$C$378),"")</f>
        <v/>
      </c>
      <c r="I48" s="148" t="n"/>
      <c r="J48" s="14">
        <f>_xludf.IFNA(_xlfn.XLOOKUP(B49,'00_SKU_Master'!B$2:B$378,'00_SKU_Master'!H$2:H$378,0),"")</f>
        <v/>
      </c>
      <c r="K48" s="14">
        <f>_xludf.IFNA(_xlfn.XLOOKUP(B49,'00_SKU_Master'!B$2:B$378,'00_SKU_Master'!K$2:K$378,0),"")</f>
        <v/>
      </c>
      <c r="L48" s="148">
        <f>_xlfn.XLOOKUP(B49,'00_SKU_Master'!$B$2:$B$378,'00_SKU_Master'!D:D)</f>
        <v/>
      </c>
      <c r="M48" s="148">
        <f>IF((C49-E49)&lt;0,0,C49-E49)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_xlfn.XLOOKUP(B50,'02_TrayPack_Order'!$A$2:$A$264,'02_TrayPack_Order'!$C$2:$C$264)</f>
        <v/>
      </c>
      <c r="D49" s="176">
        <f>_xlfn.XLOOKUP(B50,'02_TrayPack_Order'!$A$2:$A$264,'02_TrayPack_Order'!$L$2:$L$264,0)</f>
        <v/>
      </c>
      <c r="E49" s="175">
        <f>SUMIF('13_Progress_Track'!$A$2:$A$108,B50,'13_Progress_Track'!$E$2:$E$108)</f>
        <v/>
      </c>
      <c r="F49" s="175">
        <f>IF(E50&gt;(C50+D50),(E50-(C50+D50)),0)</f>
        <v/>
      </c>
      <c r="G49" s="177">
        <f>IF(F50&gt;0,0,C50+D50-E50)</f>
        <v/>
      </c>
      <c r="H49" s="148">
        <f>_xludf.IFNA(_xlfn.XLOOKUP(B50,'00_SKU_Master'!$B$2:$B$378,'00_SKU_Master'!$C$2:$C$378),"")</f>
        <v/>
      </c>
      <c r="I49" s="148" t="n"/>
      <c r="J49" s="14">
        <f>_xludf.IFNA(_xlfn.XLOOKUP(B50,'00_SKU_Master'!B$2:B$378,'00_SKU_Master'!H$2:H$378,0),"")</f>
        <v/>
      </c>
      <c r="K49" s="14">
        <f>_xludf.IFNA(_xlfn.XLOOKUP(B50,'00_SKU_Master'!B$2:B$378,'00_SKU_Master'!K$2:K$378,0),"")</f>
        <v/>
      </c>
      <c r="L49" s="148">
        <f>_xlfn.XLOOKUP(B50,'00_SKU_Master'!$B$2:$B$378,'00_SKU_Master'!D:D)</f>
        <v/>
      </c>
      <c r="M49" s="148">
        <f>IF((C50-E50)&lt;0,0,C50-E50)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_xlfn.XLOOKUP(B51,'02_TrayPack_Order'!$A$2:$A$264,'02_TrayPack_Order'!$C$2:$C$264)</f>
        <v/>
      </c>
      <c r="D50" s="176">
        <f>_xlfn.XLOOKUP(B51,'02_TrayPack_Order'!$A$2:$A$264,'02_TrayPack_Order'!$L$2:$L$264,0)</f>
        <v/>
      </c>
      <c r="E50" s="175">
        <f>SUMIF('13_Progress_Track'!$A$2:$A$108,B51,'13_Progress_Track'!$E$2:$E$108)</f>
        <v/>
      </c>
      <c r="F50" s="175">
        <f>IF(E51&gt;(C51+D51),(E51-(C51+D51)),0)</f>
        <v/>
      </c>
      <c r="G50" s="177">
        <f>IF(F51&gt;0,0,C51+D51-E51)</f>
        <v/>
      </c>
      <c r="H50" s="148">
        <f>_xludf.IFNA(_xlfn.XLOOKUP(B51,'00_SKU_Master'!$B$2:$B$378,'00_SKU_Master'!$C$2:$C$378),"")</f>
        <v/>
      </c>
      <c r="I50" s="148" t="n"/>
      <c r="J50" s="14">
        <f>_xludf.IFNA(_xlfn.XLOOKUP(B51,'00_SKU_Master'!B$2:B$378,'00_SKU_Master'!H$2:H$378,0),"")</f>
        <v/>
      </c>
      <c r="K50" s="14">
        <f>_xludf.IFNA(_xlfn.XLOOKUP(B51,'00_SKU_Master'!B$2:B$378,'00_SKU_Master'!K$2:K$378,0),"")</f>
        <v/>
      </c>
      <c r="L50" s="148">
        <f>_xlfn.XLOOKUP(B51,'00_SKU_Master'!$B$2:$B$378,'00_SKU_Master'!D:D)</f>
        <v/>
      </c>
      <c r="M50" s="148">
        <f>IF((C51-E51)&lt;0,0,C51-E51)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_xlfn.XLOOKUP(B52,'02_TrayPack_Order'!$A$2:$A$264,'02_TrayPack_Order'!$C$2:$C$264)</f>
        <v/>
      </c>
      <c r="D51" s="176">
        <f>_xlfn.XLOOKUP(B52,'02_TrayPack_Order'!$A$2:$A$264,'02_TrayPack_Order'!$L$2:$L$264,0)</f>
        <v/>
      </c>
      <c r="E51" s="175">
        <f>SUMIF('13_Progress_Track'!$A$2:$A$108,B52,'13_Progress_Track'!$E$2:$E$108)</f>
        <v/>
      </c>
      <c r="F51" s="175">
        <f>IF(E52&gt;(C52+D52),(E52-(C52+D52)),0)</f>
        <v/>
      </c>
      <c r="G51" s="177">
        <f>IF(F52&gt;0,0,C52+D52-E52)</f>
        <v/>
      </c>
      <c r="H51" s="148">
        <f>_xludf.IFNA(_xlfn.XLOOKUP(B52,'00_SKU_Master'!$B$2:$B$378,'00_SKU_Master'!$C$2:$C$378),"")</f>
        <v/>
      </c>
      <c r="I51" s="148" t="n"/>
      <c r="J51" s="14">
        <f>_xludf.IFNA(_xlfn.XLOOKUP(B52,'00_SKU_Master'!B$2:B$378,'00_SKU_Master'!H$2:H$378,0),"")</f>
        <v/>
      </c>
      <c r="K51" s="14">
        <f>_xludf.IFNA(_xlfn.XLOOKUP(B52,'00_SKU_Master'!B$2:B$378,'00_SKU_Master'!K$2:K$378,0),"")</f>
        <v/>
      </c>
      <c r="L51" s="148">
        <f>_xlfn.XLOOKUP(B52,'00_SKU_Master'!$B$2:$B$378,'00_SKU_Master'!D:D)</f>
        <v/>
      </c>
      <c r="M51" s="148">
        <f>IF((C52-E52)&lt;0,0,C52-E52)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_xlfn.XLOOKUP(B53,'02_TrayPack_Order'!$A$2:$A$264,'02_TrayPack_Order'!$C$2:$C$264)</f>
        <v/>
      </c>
      <c r="D52" s="176">
        <f>_xlfn.XLOOKUP(B53,'02_TrayPack_Order'!$A$2:$A$264,'02_TrayPack_Order'!$L$2:$L$264,0)</f>
        <v/>
      </c>
      <c r="E52" s="175">
        <f>SUMIF('13_Progress_Track'!$A$2:$A$108,B53,'13_Progress_Track'!$E$2:$E$108)</f>
        <v/>
      </c>
      <c r="F52" s="175">
        <f>IF(E53&gt;(C53+D53),(E53-(C53+D53)),0)</f>
        <v/>
      </c>
      <c r="G52" s="177">
        <f>IF(F53&gt;0,0,C53+D53-E53)</f>
        <v/>
      </c>
      <c r="H52" s="148">
        <f>_xludf.IFNA(_xlfn.XLOOKUP(B53,'00_SKU_Master'!$B$2:$B$378,'00_SKU_Master'!$C$2:$C$378),"")</f>
        <v/>
      </c>
      <c r="I52" s="148" t="n"/>
      <c r="J52" s="14">
        <f>_xludf.IFNA(_xlfn.XLOOKUP(B53,'00_SKU_Master'!B$2:B$378,'00_SKU_Master'!H$2:H$378,0),"")</f>
        <v/>
      </c>
      <c r="K52" s="14">
        <f>_xludf.IFNA(_xlfn.XLOOKUP(B53,'00_SKU_Master'!B$2:B$378,'00_SKU_Master'!K$2:K$378,0),"")</f>
        <v/>
      </c>
      <c r="L52" s="148">
        <f>_xlfn.XLOOKUP(B53,'00_SKU_Master'!$B$2:$B$378,'00_SKU_Master'!D:D)</f>
        <v/>
      </c>
      <c r="M52" s="148">
        <f>IF((C53-E53)&lt;0,0,C53-E53)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_xlfn.XLOOKUP(B54,'02_TrayPack_Order'!$A$2:$A$264,'02_TrayPack_Order'!$C$2:$C$264)</f>
        <v/>
      </c>
      <c r="D53" s="176">
        <f>_xlfn.XLOOKUP(B54,'02_TrayPack_Order'!$A$2:$A$264,'02_TrayPack_Order'!$L$2:$L$264,0)</f>
        <v/>
      </c>
      <c r="E53" s="175">
        <f>SUMIF('13_Progress_Track'!$A$2:$A$108,B54,'13_Progress_Track'!$E$2:$E$108)</f>
        <v/>
      </c>
      <c r="F53" s="175">
        <f>IF(E54&gt;(C54+D54),(E54-(C54+D54)),0)</f>
        <v/>
      </c>
      <c r="G53" s="177">
        <f>IF(F54&gt;0,0,C54+D54-E54)</f>
        <v/>
      </c>
      <c r="H53" s="148">
        <f>_xludf.IFNA(_xlfn.XLOOKUP(B54,'00_SKU_Master'!$B$2:$B$378,'00_SKU_Master'!$C$2:$C$378),"")</f>
        <v/>
      </c>
      <c r="I53" s="148" t="n"/>
      <c r="J53" s="14">
        <f>_xludf.IFNA(_xlfn.XLOOKUP(B54,'00_SKU_Master'!B$2:B$378,'00_SKU_Master'!H$2:H$378,0),"")</f>
        <v/>
      </c>
      <c r="K53" s="14">
        <f>_xludf.IFNA(_xlfn.XLOOKUP(B54,'00_SKU_Master'!B$2:B$378,'00_SKU_Master'!K$2:K$378,0),"")</f>
        <v/>
      </c>
      <c r="L53" s="148">
        <f>_xlfn.XLOOKUP(B54,'00_SKU_Master'!$B$2:$B$378,'00_SKU_Master'!D:D)</f>
        <v/>
      </c>
      <c r="M53" s="148">
        <f>IF((C54-E54)&lt;0,0,C54-E54)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_xlfn.XLOOKUP(B55,'02_TrayPack_Order'!$A$2:$A$264,'02_TrayPack_Order'!$C$2:$C$264)</f>
        <v/>
      </c>
      <c r="D54" s="176">
        <f>_xlfn.XLOOKUP(B55,'02_TrayPack_Order'!$A$2:$A$264,'02_TrayPack_Order'!$L$2:$L$264,0)</f>
        <v/>
      </c>
      <c r="E54" s="175">
        <f>SUMIF('13_Progress_Track'!$A$2:$A$108,B55,'13_Progress_Track'!$E$2:$E$108)</f>
        <v/>
      </c>
      <c r="F54" s="175">
        <f>IF(E55&gt;(C55+D55),(E55-(C55+D55)),0)</f>
        <v/>
      </c>
      <c r="G54" s="177">
        <f>IF(F55&gt;0,0,C55+D55-E55)</f>
        <v/>
      </c>
      <c r="H54" s="148">
        <f>_xludf.IFNA(_xlfn.XLOOKUP(B55,'00_SKU_Master'!$B$2:$B$378,'00_SKU_Master'!$C$2:$C$378),"")</f>
        <v/>
      </c>
      <c r="I54" s="148" t="n"/>
      <c r="J54" s="14">
        <f>_xludf.IFNA(_xlfn.XLOOKUP(B55,'00_SKU_Master'!B$2:B$378,'00_SKU_Master'!H$2:H$378,0),"")</f>
        <v/>
      </c>
      <c r="K54" s="14">
        <f>_xludf.IFNA(_xlfn.XLOOKUP(B55,'00_SKU_Master'!B$2:B$378,'00_SKU_Master'!K$2:K$378,0),"")</f>
        <v/>
      </c>
      <c r="L54" s="148">
        <f>_xlfn.XLOOKUP(B55,'00_SKU_Master'!$B$2:$B$378,'00_SKU_Master'!D:D)</f>
        <v/>
      </c>
      <c r="M54" s="148">
        <f>IF((C55-E55)&lt;0,0,C55-E55)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_xlfn.XLOOKUP(B56,'02_TrayPack_Order'!$A$2:$A$264,'02_TrayPack_Order'!$C$2:$C$264)</f>
        <v/>
      </c>
      <c r="D55" s="176">
        <f>_xlfn.XLOOKUP(B56,'02_TrayPack_Order'!$A$2:$A$264,'02_TrayPack_Order'!$L$2:$L$264,0)</f>
        <v/>
      </c>
      <c r="E55" s="175">
        <f>SUMIF('13_Progress_Track'!$A$2:$A$108,B56,'13_Progress_Track'!$E$2:$E$108)</f>
        <v/>
      </c>
      <c r="F55" s="175">
        <f>IF(E56&gt;(C56+D56),(E56-(C56+D56)),0)</f>
        <v/>
      </c>
      <c r="G55" s="177">
        <f>IF(F56&gt;0,0,C56+D56-E56)</f>
        <v/>
      </c>
      <c r="H55" s="148">
        <f>_xludf.IFNA(_xlfn.XLOOKUP(B56,'00_SKU_Master'!$B$2:$B$378,'00_SKU_Master'!$C$2:$C$378),"")</f>
        <v/>
      </c>
      <c r="I55" s="148" t="n"/>
      <c r="J55" s="14">
        <f>_xludf.IFNA(_xlfn.XLOOKUP(B56,'00_SKU_Master'!B$2:B$378,'00_SKU_Master'!H$2:H$378,0),"")</f>
        <v/>
      </c>
      <c r="K55" s="14">
        <f>_xludf.IFNA(_xlfn.XLOOKUP(B56,'00_SKU_Master'!B$2:B$378,'00_SKU_Master'!K$2:K$378,0),"")</f>
        <v/>
      </c>
      <c r="L55" s="148">
        <f>_xlfn.XLOOKUP(B56,'00_SKU_Master'!$B$2:$B$378,'00_SKU_Master'!D:D)</f>
        <v/>
      </c>
      <c r="M55" s="148">
        <f>IF((C56-E56)&lt;0,0,C56-E56)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_xlfn.XLOOKUP(B57,'02_TrayPack_Order'!$A$2:$A$264,'02_TrayPack_Order'!$C$2:$C$264)</f>
        <v/>
      </c>
      <c r="D56" s="176">
        <f>_xlfn.XLOOKUP(B57,'02_TrayPack_Order'!$A$2:$A$264,'02_TrayPack_Order'!$L$2:$L$264,0)</f>
        <v/>
      </c>
      <c r="E56" s="175">
        <f>SUMIF('13_Progress_Track'!$A$2:$A$108,B57,'13_Progress_Track'!$E$2:$E$108)</f>
        <v/>
      </c>
      <c r="F56" s="175">
        <f>IF(E57&gt;(C57+D57),(E57-(C57+D57)),0)</f>
        <v/>
      </c>
      <c r="G56" s="177">
        <f>IF(F57&gt;0,0,C57+D57-E57)</f>
        <v/>
      </c>
      <c r="H56" s="148">
        <f>_xludf.IFNA(_xlfn.XLOOKUP(B57,'00_SKU_Master'!$B$2:$B$378,'00_SKU_Master'!$C$2:$C$378),"")</f>
        <v/>
      </c>
      <c r="I56" s="148" t="n"/>
      <c r="J56" s="14">
        <f>_xludf.IFNA(_xlfn.XLOOKUP(B57,'00_SKU_Master'!B$2:B$378,'00_SKU_Master'!H$2:H$378,0),"")</f>
        <v/>
      </c>
      <c r="K56" s="14">
        <f>_xludf.IFNA(_xlfn.XLOOKUP(B57,'00_SKU_Master'!B$2:B$378,'00_SKU_Master'!K$2:K$378,0),"")</f>
        <v/>
      </c>
      <c r="L56" s="148">
        <f>_xlfn.XLOOKUP(B57,'00_SKU_Master'!$B$2:$B$378,'00_SKU_Master'!D:D)</f>
        <v/>
      </c>
      <c r="M56" s="148">
        <f>IF((C57-E57)&lt;0,0,C57-E57)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_xlfn.XLOOKUP(B58,'02_TrayPack_Order'!$A$2:$A$264,'02_TrayPack_Order'!$C$2:$C$264)</f>
        <v/>
      </c>
      <c r="D57" s="176">
        <f>_xlfn.XLOOKUP(B58,'02_TrayPack_Order'!$A$2:$A$264,'02_TrayPack_Order'!$L$2:$L$264,0)</f>
        <v/>
      </c>
      <c r="E57" s="175">
        <f>SUMIF('13_Progress_Track'!$A$2:$A$108,B58,'13_Progress_Track'!$E$2:$E$108)</f>
        <v/>
      </c>
      <c r="F57" s="175">
        <f>IF(E58&gt;(C58+D58),(E58-(C58+D58)),0)</f>
        <v/>
      </c>
      <c r="G57" s="177">
        <f>IF(F58&gt;0,0,C58+D58-E58)</f>
        <v/>
      </c>
      <c r="H57" s="148">
        <f>_xludf.IFNA(_xlfn.XLOOKUP(B58,'00_SKU_Master'!$B$2:$B$378,'00_SKU_Master'!$C$2:$C$378),"")</f>
        <v/>
      </c>
      <c r="I57" s="148" t="n"/>
      <c r="J57" s="14">
        <f>_xludf.IFNA(_xlfn.XLOOKUP(B58,'00_SKU_Master'!B$2:B$378,'00_SKU_Master'!H$2:H$378,0),"")</f>
        <v/>
      </c>
      <c r="K57" s="14">
        <f>_xludf.IFNA(_xlfn.XLOOKUP(B58,'00_SKU_Master'!B$2:B$378,'00_SKU_Master'!K$2:K$378,0),"")</f>
        <v/>
      </c>
      <c r="L57" s="148">
        <f>_xlfn.XLOOKUP(B58,'00_SKU_Master'!$B$2:$B$378,'00_SKU_Master'!D:D)</f>
        <v/>
      </c>
      <c r="M57" s="148">
        <f>IF((C58-E58)&lt;0,0,C58-E58)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_xlfn.XLOOKUP(B59,'02_TrayPack_Order'!$A$2:$A$264,'02_TrayPack_Order'!$C$2:$C$264)</f>
        <v/>
      </c>
      <c r="D58" s="176">
        <f>_xlfn.XLOOKUP(B59,'02_TrayPack_Order'!$A$2:$A$264,'02_TrayPack_Order'!$L$2:$L$264,0)</f>
        <v/>
      </c>
      <c r="E58" s="175">
        <f>SUMIF('13_Progress_Track'!$A$2:$A$108,B59,'13_Progress_Track'!$E$2:$E$108)</f>
        <v/>
      </c>
      <c r="F58" s="175">
        <f>IF(E59&gt;(C59+D59),(E59-(C59+D59)),0)</f>
        <v/>
      </c>
      <c r="G58" s="177">
        <f>IF(F59&gt;0,0,C59+D59-E59)</f>
        <v/>
      </c>
      <c r="H58" s="148">
        <f>_xludf.IFNA(_xlfn.XLOOKUP(B59,'00_SKU_Master'!$B$2:$B$378,'00_SKU_Master'!$C$2:$C$378),"")</f>
        <v/>
      </c>
      <c r="I58" s="148" t="n"/>
      <c r="J58" s="14">
        <f>_xludf.IFNA(_xlfn.XLOOKUP(B59,'00_SKU_Master'!B$2:B$378,'00_SKU_Master'!H$2:H$378,0),"")</f>
        <v/>
      </c>
      <c r="K58" s="14">
        <f>_xludf.IFNA(_xlfn.XLOOKUP(B59,'00_SKU_Master'!B$2:B$378,'00_SKU_Master'!K$2:K$378,0),"")</f>
        <v/>
      </c>
      <c r="L58" s="148">
        <f>_xlfn.XLOOKUP(B59,'00_SKU_Master'!$B$2:$B$378,'00_SKU_Master'!D:D)</f>
        <v/>
      </c>
      <c r="M58" s="148">
        <f>IF((C59-E59)&lt;0,0,C59-E59)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_xlfn.XLOOKUP(B60,'02_TrayPack_Order'!$A$2:$A$264,'02_TrayPack_Order'!$C$2:$C$264)</f>
        <v/>
      </c>
      <c r="D59" s="176">
        <f>_xlfn.XLOOKUP(B60,'02_TrayPack_Order'!$A$2:$A$264,'02_TrayPack_Order'!$L$2:$L$264,0)</f>
        <v/>
      </c>
      <c r="E59" s="175">
        <f>SUMIF('13_Progress_Track'!$A$2:$A$108,B60,'13_Progress_Track'!$E$2:$E$108)</f>
        <v/>
      </c>
      <c r="F59" s="175">
        <f>IF(E60&gt;(C60+D60),(E60-(C60+D60)),0)</f>
        <v/>
      </c>
      <c r="G59" s="177">
        <f>IF(F60&gt;0,0,C60+D60-E60)</f>
        <v/>
      </c>
      <c r="H59" s="148">
        <f>_xludf.IFNA(_xlfn.XLOOKUP(B60,'00_SKU_Master'!$B$2:$B$378,'00_SKU_Master'!$C$2:$C$378),"")</f>
        <v/>
      </c>
      <c r="I59" s="148" t="n"/>
      <c r="J59" s="14">
        <f>_xludf.IFNA(_xlfn.XLOOKUP(B60,'00_SKU_Master'!B$2:B$378,'00_SKU_Master'!H$2:H$378,0),"")</f>
        <v/>
      </c>
      <c r="K59" s="14">
        <f>_xludf.IFNA(_xlfn.XLOOKUP(B60,'00_SKU_Master'!B$2:B$378,'00_SKU_Master'!K$2:K$378,0),"")</f>
        <v/>
      </c>
      <c r="L59" s="148">
        <f>_xlfn.XLOOKUP(B60,'00_SKU_Master'!$B$2:$B$378,'00_SKU_Master'!D:D)</f>
        <v/>
      </c>
      <c r="M59" s="148">
        <f>IF((C60-E60)&lt;0,0,C60-E60)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_xlfn.XLOOKUP(B61,'02_TrayPack_Order'!$A$2:$A$264,'02_TrayPack_Order'!$C$2:$C$264)</f>
        <v/>
      </c>
      <c r="D60" s="176">
        <f>_xlfn.XLOOKUP(B61,'02_TrayPack_Order'!$A$2:$A$264,'02_TrayPack_Order'!$L$2:$L$264,0)</f>
        <v/>
      </c>
      <c r="E60" s="175">
        <f>SUMIF('13_Progress_Track'!$A$2:$A$108,B61,'13_Progress_Track'!$E$2:$E$108)</f>
        <v/>
      </c>
      <c r="F60" s="175">
        <f>IF(E61&gt;(C61+D61),(E61-(C61+D61)),0)</f>
        <v/>
      </c>
      <c r="G60" s="177">
        <f>IF(F61&gt;0,0,C61+D61-E61)</f>
        <v/>
      </c>
      <c r="H60" s="148">
        <f>_xludf.IFNA(_xlfn.XLOOKUP(B61,'00_SKU_Master'!$B$2:$B$378,'00_SKU_Master'!$C$2:$C$378),"")</f>
        <v/>
      </c>
      <c r="I60" s="148" t="n"/>
      <c r="J60" s="14">
        <f>_xludf.IFNA(_xlfn.XLOOKUP(B61,'00_SKU_Master'!B$2:B$378,'00_SKU_Master'!H$2:H$378,0),"")</f>
        <v/>
      </c>
      <c r="K60" s="14">
        <f>_xludf.IFNA(_xlfn.XLOOKUP(B61,'00_SKU_Master'!B$2:B$378,'00_SKU_Master'!K$2:K$378,0),"")</f>
        <v/>
      </c>
      <c r="L60" s="148">
        <f>_xlfn.XLOOKUP(B61,'00_SKU_Master'!$B$2:$B$378,'00_SKU_Master'!D:D)</f>
        <v/>
      </c>
      <c r="M60" s="148">
        <f>IF((C61-E61)&lt;0,0,C61-E61)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_xlfn.XLOOKUP(B62,'02_TrayPack_Order'!$A$2:$A$264,'02_TrayPack_Order'!$C$2:$C$264)</f>
        <v/>
      </c>
      <c r="D61" s="176">
        <f>_xlfn.XLOOKUP(B62,'02_TrayPack_Order'!$A$2:$A$264,'02_TrayPack_Order'!$L$2:$L$264,0)</f>
        <v/>
      </c>
      <c r="E61" s="175">
        <f>SUMIF('13_Progress_Track'!$A$2:$A$108,B62,'13_Progress_Track'!$E$2:$E$108)</f>
        <v/>
      </c>
      <c r="F61" s="175">
        <f>IF(E62&gt;(C62+D62),(E62-(C62+D62)),0)</f>
        <v/>
      </c>
      <c r="G61" s="177">
        <f>IF(F62&gt;0,0,C62+D62-E62)</f>
        <v/>
      </c>
      <c r="H61" s="148">
        <f>_xludf.IFNA(_xlfn.XLOOKUP(B62,'00_SKU_Master'!$B$2:$B$378,'00_SKU_Master'!$C$2:$C$378),"")</f>
        <v/>
      </c>
      <c r="I61" s="148" t="n"/>
      <c r="J61" s="14">
        <f>_xludf.IFNA(_xlfn.XLOOKUP(B62,'00_SKU_Master'!B$2:B$378,'00_SKU_Master'!H$2:H$378,0),"")</f>
        <v/>
      </c>
      <c r="K61" s="14">
        <f>_xludf.IFNA(_xlfn.XLOOKUP(B62,'00_SKU_Master'!B$2:B$378,'00_SKU_Master'!K$2:K$378,0),"")</f>
        <v/>
      </c>
      <c r="L61" s="148">
        <f>_xlfn.XLOOKUP(B62,'00_SKU_Master'!$B$2:$B$378,'00_SKU_Master'!D:D)</f>
        <v/>
      </c>
      <c r="M61" s="148">
        <f>IF((C62-E62)&lt;0,0,C62-E62)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_xlfn.XLOOKUP(B63,'02_TrayPack_Order'!$A$2:$A$264,'02_TrayPack_Order'!$C$2:$C$264)</f>
        <v/>
      </c>
      <c r="D62" s="176">
        <f>_xlfn.XLOOKUP(B63,'02_TrayPack_Order'!$A$2:$A$264,'02_TrayPack_Order'!$L$2:$L$264,0)</f>
        <v/>
      </c>
      <c r="E62" s="175">
        <f>SUMIF('13_Progress_Track'!$A$2:$A$108,B63,'13_Progress_Track'!$E$2:$E$108)</f>
        <v/>
      </c>
      <c r="F62" s="175">
        <f>IF(E63&gt;(C63+D63),(E63-(C63+D63)),0)</f>
        <v/>
      </c>
      <c r="G62" s="177">
        <f>IF(F63&gt;0,0,C63+D63-E63)</f>
        <v/>
      </c>
      <c r="H62" s="148">
        <f>_xludf.IFNA(_xlfn.XLOOKUP(B63,'00_SKU_Master'!$B$2:$B$378,'00_SKU_Master'!$C$2:$C$378),"")</f>
        <v/>
      </c>
      <c r="I62" s="148" t="n"/>
      <c r="J62" s="14">
        <f>_xludf.IFNA(_xlfn.XLOOKUP(B63,'00_SKU_Master'!B$2:B$378,'00_SKU_Master'!H$2:H$378,0),"")</f>
        <v/>
      </c>
      <c r="K62" s="14">
        <f>_xludf.IFNA(_xlfn.XLOOKUP(B63,'00_SKU_Master'!B$2:B$378,'00_SKU_Master'!K$2:K$378,0),"")</f>
        <v/>
      </c>
      <c r="L62" s="148">
        <f>_xlfn.XLOOKUP(B63,'00_SKU_Master'!$B$2:$B$378,'00_SKU_Master'!D:D)</f>
        <v/>
      </c>
      <c r="M62" s="148">
        <f>IF((C63-E63)&lt;0,0,C63-E63)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_xlfn.XLOOKUP(B64,'02_TrayPack_Order'!$A$2:$A$264,'02_TrayPack_Order'!$C$2:$C$264)</f>
        <v/>
      </c>
      <c r="D63" s="176">
        <f>_xlfn.XLOOKUP(B64,'02_TrayPack_Order'!$A$2:$A$264,'02_TrayPack_Order'!$L$2:$L$264,0)</f>
        <v/>
      </c>
      <c r="E63" s="175">
        <f>SUMIF('13_Progress_Track'!$A$2:$A$108,B64,'13_Progress_Track'!$E$2:$E$108)</f>
        <v/>
      </c>
      <c r="F63" s="175">
        <f>IF(E64&gt;(C64+D64),(E64-(C64+D64)),0)</f>
        <v/>
      </c>
      <c r="G63" s="177">
        <f>IF(F64&gt;0,0,C64+D64-E64)</f>
        <v/>
      </c>
      <c r="H63" s="148">
        <f>_xludf.IFNA(_xlfn.XLOOKUP(B64,'00_SKU_Master'!$B$2:$B$378,'00_SKU_Master'!$C$2:$C$378),"")</f>
        <v/>
      </c>
      <c r="I63" s="148" t="n"/>
      <c r="J63" s="14">
        <f>_xludf.IFNA(_xlfn.XLOOKUP(B64,'00_SKU_Master'!B$2:B$378,'00_SKU_Master'!H$2:H$378,0),"")</f>
        <v/>
      </c>
      <c r="K63" s="14">
        <f>_xludf.IFNA(_xlfn.XLOOKUP(B64,'00_SKU_Master'!B$2:B$378,'00_SKU_Master'!K$2:K$378,0),"")</f>
        <v/>
      </c>
      <c r="L63" s="148">
        <f>_xlfn.XLOOKUP(B64,'00_SKU_Master'!$B$2:$B$378,'00_SKU_Master'!D:D)</f>
        <v/>
      </c>
      <c r="M63" s="148">
        <f>IF((C64-E64)&lt;0,0,C64-E64)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_xlfn.XLOOKUP(B65,'02_TrayPack_Order'!$A$2:$A$264,'02_TrayPack_Order'!$C$2:$C$264)</f>
        <v/>
      </c>
      <c r="D64" s="176">
        <f>_xlfn.XLOOKUP(B65,'02_TrayPack_Order'!$A$2:$A$264,'02_TrayPack_Order'!$L$2:$L$264,0)</f>
        <v/>
      </c>
      <c r="E64" s="175">
        <f>SUMIF('13_Progress_Track'!$A$2:$A$108,B65,'13_Progress_Track'!$E$2:$E$108)</f>
        <v/>
      </c>
      <c r="F64" s="175">
        <f>IF(E65&gt;(C65+D65),(E65-(C65+D65)),0)</f>
        <v/>
      </c>
      <c r="G64" s="177">
        <f>IF(F65&gt;0,0,C65+D65-E65)</f>
        <v/>
      </c>
      <c r="H64" s="148">
        <f>_xludf.IFNA(_xlfn.XLOOKUP(B65,'00_SKU_Master'!$B$2:$B$378,'00_SKU_Master'!$C$2:$C$378),"")</f>
        <v/>
      </c>
      <c r="I64" s="148" t="n"/>
      <c r="J64" s="14">
        <f>_xludf.IFNA(_xlfn.XLOOKUP(B65,'00_SKU_Master'!B$2:B$378,'00_SKU_Master'!H$2:H$378,0),"")</f>
        <v/>
      </c>
      <c r="K64" s="14">
        <f>_xludf.IFNA(_xlfn.XLOOKUP(B65,'00_SKU_Master'!B$2:B$378,'00_SKU_Master'!K$2:K$378,0),"")</f>
        <v/>
      </c>
      <c r="L64" s="148">
        <f>_xlfn.XLOOKUP(B65,'00_SKU_Master'!$B$2:$B$378,'00_SKU_Master'!D:D)</f>
        <v/>
      </c>
      <c r="M64" s="148">
        <f>IF((C65-E65)&lt;0,0,C65-E65)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_xlfn.XLOOKUP(B66,'02_TrayPack_Order'!$A$2:$A$264,'02_TrayPack_Order'!$C$2:$C$264)</f>
        <v/>
      </c>
      <c r="D65" s="176">
        <f>_xlfn.XLOOKUP(B66,'02_TrayPack_Order'!$A$2:$A$264,'02_TrayPack_Order'!$L$2:$L$264,0)</f>
        <v/>
      </c>
      <c r="E65" s="175">
        <f>SUMIF('13_Progress_Track'!$A$2:$A$108,B66,'13_Progress_Track'!$E$2:$E$108)</f>
        <v/>
      </c>
      <c r="F65" s="175">
        <f>IF(E66&gt;(C66+D66),(E66-(C66+D66)),0)</f>
        <v/>
      </c>
      <c r="G65" s="177">
        <f>IF(F66&gt;0,0,C66+D66-E66)</f>
        <v/>
      </c>
      <c r="H65" s="148">
        <f>_xludf.IFNA(_xlfn.XLOOKUP(B66,'00_SKU_Master'!$B$2:$B$378,'00_SKU_Master'!$C$2:$C$378),"")</f>
        <v/>
      </c>
      <c r="I65" s="148" t="n"/>
      <c r="J65" s="14">
        <f>_xludf.IFNA(_xlfn.XLOOKUP(B66,'00_SKU_Master'!B$2:B$378,'00_SKU_Master'!H$2:H$378,0),"")</f>
        <v/>
      </c>
      <c r="K65" s="14">
        <f>_xludf.IFNA(_xlfn.XLOOKUP(B66,'00_SKU_Master'!B$2:B$378,'00_SKU_Master'!K$2:K$378,0),"")</f>
        <v/>
      </c>
      <c r="L65" s="148">
        <f>_xlfn.XLOOKUP(B66,'00_SKU_Master'!$B$2:$B$378,'00_SKU_Master'!D:D)</f>
        <v/>
      </c>
      <c r="M65" s="148">
        <f>IF((C66-E66)&lt;0,0,C66-E66)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_xlfn.XLOOKUP(B67,'02_TrayPack_Order'!$A$2:$A$264,'02_TrayPack_Order'!$C$2:$C$264)</f>
        <v/>
      </c>
      <c r="D66" s="176">
        <f>_xlfn.XLOOKUP(B67,'02_TrayPack_Order'!$A$2:$A$264,'02_TrayPack_Order'!$L$2:$L$264,0)</f>
        <v/>
      </c>
      <c r="E66" s="175">
        <f>SUMIF('13_Progress_Track'!$A$2:$A$108,B67,'13_Progress_Track'!$E$2:$E$108)</f>
        <v/>
      </c>
      <c r="F66" s="175">
        <f>IF(E67&gt;(C67+D67),(E67-(C67+D67)),0)</f>
        <v/>
      </c>
      <c r="G66" s="177">
        <f>IF(F67&gt;0,0,C67+D67-E67)</f>
        <v/>
      </c>
      <c r="H66" s="148">
        <f>_xludf.IFNA(_xlfn.XLOOKUP(B67,'00_SKU_Master'!$B$2:$B$378,'00_SKU_Master'!$C$2:$C$378),"")</f>
        <v/>
      </c>
      <c r="I66" s="148" t="n"/>
      <c r="J66" s="14">
        <f>_xludf.IFNA(_xlfn.XLOOKUP(B67,'00_SKU_Master'!B$2:B$378,'00_SKU_Master'!H$2:H$378,0),"")</f>
        <v/>
      </c>
      <c r="K66" s="14">
        <f>_xludf.IFNA(_xlfn.XLOOKUP(B67,'00_SKU_Master'!B$2:B$378,'00_SKU_Master'!K$2:K$378,0),"")</f>
        <v/>
      </c>
      <c r="L66" s="148">
        <f>_xlfn.XLOOKUP(B67,'00_SKU_Master'!$B$2:$B$378,'00_SKU_Master'!D:D)</f>
        <v/>
      </c>
      <c r="M66" s="148">
        <f>IF((C67-E67)&lt;0,0,C67-E67)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_xlfn.XLOOKUP(B68,'02_TrayPack_Order'!$A$2:$A$264,'02_TrayPack_Order'!$C$2:$C$264)</f>
        <v/>
      </c>
      <c r="D67" s="176">
        <f>_xlfn.XLOOKUP(B68,'02_TrayPack_Order'!$A$2:$A$264,'02_TrayPack_Order'!$L$2:$L$264,0)</f>
        <v/>
      </c>
      <c r="E67" s="175">
        <f>SUMIF('13_Progress_Track'!$A$2:$A$108,B68,'13_Progress_Track'!$E$2:$E$108)</f>
        <v/>
      </c>
      <c r="F67" s="175">
        <f>IF(E68&gt;(C68+D68),(E68-(C68+D68)),0)</f>
        <v/>
      </c>
      <c r="G67" s="177">
        <f>IF(F68&gt;0,0,C68+D68-E68)</f>
        <v/>
      </c>
      <c r="H67" s="148">
        <f>_xludf.IFNA(_xlfn.XLOOKUP(B68,'00_SKU_Master'!$B$2:$B$378,'00_SKU_Master'!$C$2:$C$378),"")</f>
        <v/>
      </c>
      <c r="I67" s="148" t="n"/>
      <c r="J67" s="14">
        <f>_xludf.IFNA(_xlfn.XLOOKUP(B68,'00_SKU_Master'!B$2:B$378,'00_SKU_Master'!H$2:H$378,0),"")</f>
        <v/>
      </c>
      <c r="K67" s="14">
        <f>_xludf.IFNA(_xlfn.XLOOKUP(B68,'00_SKU_Master'!B$2:B$378,'00_SKU_Master'!K$2:K$378,0),"")</f>
        <v/>
      </c>
      <c r="L67" s="148">
        <f>_xlfn.XLOOKUP(B68,'00_SKU_Master'!$B$2:$B$378,'00_SKU_Master'!D:D)</f>
        <v/>
      </c>
      <c r="M67" s="148">
        <f>IF((C68-E68)&lt;0,0,C68-E68)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_xlfn.XLOOKUP(B69,'02_TrayPack_Order'!$A$2:$A$264,'02_TrayPack_Order'!$C$2:$C$264)</f>
        <v/>
      </c>
      <c r="D68" s="176">
        <f>_xlfn.XLOOKUP(B69,'02_TrayPack_Order'!$A$2:$A$264,'02_TrayPack_Order'!$L$2:$L$264,0)</f>
        <v/>
      </c>
      <c r="E68" s="175">
        <f>SUMIF('13_Progress_Track'!$A$2:$A$108,B69,'13_Progress_Track'!$E$2:$E$108)</f>
        <v/>
      </c>
      <c r="F68" s="175">
        <f>IF(E69&gt;(C69+D69),(E69-(C69+D69)),0)</f>
        <v/>
      </c>
      <c r="G68" s="177">
        <f>IF(F69&gt;0,0,C69+D69-E69)</f>
        <v/>
      </c>
      <c r="H68" s="148">
        <f>_xludf.IFNA(_xlfn.XLOOKUP(B69,'00_SKU_Master'!$B$2:$B$378,'00_SKU_Master'!$C$2:$C$378),"")</f>
        <v/>
      </c>
      <c r="I68" s="148" t="n"/>
      <c r="J68" s="14">
        <f>_xludf.IFNA(_xlfn.XLOOKUP(B69,'00_SKU_Master'!B$2:B$378,'00_SKU_Master'!H$2:H$378,0),"")</f>
        <v/>
      </c>
      <c r="K68" s="14">
        <f>_xludf.IFNA(_xlfn.XLOOKUP(B69,'00_SKU_Master'!B$2:B$378,'00_SKU_Master'!K$2:K$378,0),"")</f>
        <v/>
      </c>
      <c r="L68" s="148">
        <f>_xlfn.XLOOKUP(B69,'00_SKU_Master'!$B$2:$B$378,'00_SKU_Master'!D:D)</f>
        <v/>
      </c>
      <c r="M68" s="148">
        <f>IF((C69-E69)&lt;0,0,C69-E69)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_xlfn.XLOOKUP(B70,'02_TrayPack_Order'!$A$2:$A$264,'02_TrayPack_Order'!$C$2:$C$264)</f>
        <v/>
      </c>
      <c r="D69" s="176">
        <f>_xlfn.XLOOKUP(B70,'02_TrayPack_Order'!$A$2:$A$264,'02_TrayPack_Order'!$L$2:$L$264,0)</f>
        <v/>
      </c>
      <c r="E69" s="175">
        <f>SUMIF('13_Progress_Track'!$A$2:$A$108,B70,'13_Progress_Track'!$E$2:$E$108)</f>
        <v/>
      </c>
      <c r="F69" s="175">
        <f>IF(E70&gt;(C70+D70),(E70-(C70+D70)),0)</f>
        <v/>
      </c>
      <c r="G69" s="177">
        <f>IF(F70&gt;0,0,C70+D70-E70)</f>
        <v/>
      </c>
      <c r="H69" s="148">
        <f>_xludf.IFNA(_xlfn.XLOOKUP(B70,'00_SKU_Master'!$B$2:$B$378,'00_SKU_Master'!$C$2:$C$378),"")</f>
        <v/>
      </c>
      <c r="I69" s="148" t="n"/>
      <c r="J69" s="14">
        <f>_xludf.IFNA(_xlfn.XLOOKUP(B70,'00_SKU_Master'!B$2:B$378,'00_SKU_Master'!H$2:H$378,0),"")</f>
        <v/>
      </c>
      <c r="K69" s="14">
        <f>_xludf.IFNA(_xlfn.XLOOKUP(B70,'00_SKU_Master'!B$2:B$378,'00_SKU_Master'!K$2:K$378,0),"")</f>
        <v/>
      </c>
      <c r="L69" s="148">
        <f>_xlfn.XLOOKUP(B70,'00_SKU_Master'!$B$2:$B$378,'00_SKU_Master'!D:D)</f>
        <v/>
      </c>
      <c r="M69" s="148">
        <f>IF((C70-E70)&lt;0,0,C70-E70)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_xlfn.XLOOKUP(B71,'02_TrayPack_Order'!$A$2:$A$264,'02_TrayPack_Order'!$C$2:$C$264)</f>
        <v/>
      </c>
      <c r="D70" s="176">
        <f>_xlfn.XLOOKUP(B71,'02_TrayPack_Order'!$A$2:$A$264,'02_TrayPack_Order'!$L$2:$L$264,0)</f>
        <v/>
      </c>
      <c r="E70" s="175">
        <f>SUMIF('13_Progress_Track'!$A$2:$A$108,B71,'13_Progress_Track'!$E$2:$E$108)</f>
        <v/>
      </c>
      <c r="F70" s="175">
        <f>IF(E71&gt;(C71+D71),(E71-(C71+D71)),0)</f>
        <v/>
      </c>
      <c r="G70" s="177">
        <f>IF(F71&gt;0,0,C71+D71-E71)</f>
        <v/>
      </c>
      <c r="H70" s="148">
        <f>_xludf.IFNA(_xlfn.XLOOKUP(B71,'00_SKU_Master'!$B$2:$B$378,'00_SKU_Master'!$C$2:$C$378),"")</f>
        <v/>
      </c>
      <c r="I70" s="148" t="n"/>
      <c r="J70" s="14">
        <f>_xludf.IFNA(_xlfn.XLOOKUP(B71,'00_SKU_Master'!B$2:B$378,'00_SKU_Master'!H$2:H$378,0),"")</f>
        <v/>
      </c>
      <c r="K70" s="14">
        <f>_xludf.IFNA(_xlfn.XLOOKUP(B71,'00_SKU_Master'!B$2:B$378,'00_SKU_Master'!K$2:K$378,0),"")</f>
        <v/>
      </c>
      <c r="L70" s="148">
        <f>_xlfn.XLOOKUP(B71,'00_SKU_Master'!$B$2:$B$378,'00_SKU_Master'!D:D)</f>
        <v/>
      </c>
      <c r="M70" s="148">
        <f>IF((C71-E71)&lt;0,0,C71-E71)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_xlfn.XLOOKUP(B72,'02_TrayPack_Order'!$A$2:$A$264,'02_TrayPack_Order'!$C$2:$C$264)</f>
        <v/>
      </c>
      <c r="D71" s="176">
        <f>_xlfn.XLOOKUP(B72,'02_TrayPack_Order'!$A$2:$A$264,'02_TrayPack_Order'!$L$2:$L$264,0)</f>
        <v/>
      </c>
      <c r="E71" s="175">
        <f>SUMIF('13_Progress_Track'!$A$2:$A$108,B72,'13_Progress_Track'!$E$2:$E$108)</f>
        <v/>
      </c>
      <c r="F71" s="175">
        <f>IF(E72&gt;(C72+D72),(E72-(C72+D72)),0)</f>
        <v/>
      </c>
      <c r="G71" s="177">
        <f>IF(F72&gt;0,0,C72+D72-E72)</f>
        <v/>
      </c>
      <c r="H71" s="148">
        <f>_xludf.IFNA(_xlfn.XLOOKUP(B72,'00_SKU_Master'!$B$2:$B$378,'00_SKU_Master'!$C$2:$C$378),"")</f>
        <v/>
      </c>
      <c r="I71" s="148" t="n"/>
      <c r="J71" s="14">
        <f>_xludf.IFNA(_xlfn.XLOOKUP(B72,'00_SKU_Master'!B$2:B$378,'00_SKU_Master'!H$2:H$378,0),"")</f>
        <v/>
      </c>
      <c r="K71" s="14">
        <f>_xludf.IFNA(_xlfn.XLOOKUP(B72,'00_SKU_Master'!B$2:B$378,'00_SKU_Master'!K$2:K$378,0),"")</f>
        <v/>
      </c>
      <c r="L71" s="148">
        <f>_xlfn.XLOOKUP(B72,'00_SKU_Master'!$B$2:$B$378,'00_SKU_Master'!D:D)</f>
        <v/>
      </c>
      <c r="M71" s="148">
        <f>IF((C72-E72)&lt;0,0,C72-E72)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_xlfn.XLOOKUP(B73,'02_TrayPack_Order'!$A$2:$A$264,'02_TrayPack_Order'!$C$2:$C$264)</f>
        <v/>
      </c>
      <c r="D72" s="176">
        <f>_xlfn.XLOOKUP(B73,'02_TrayPack_Order'!$A$2:$A$264,'02_TrayPack_Order'!$L$2:$L$264,0)</f>
        <v/>
      </c>
      <c r="E72" s="175">
        <f>SUMIF('13_Progress_Track'!$A$2:$A$108,B73,'13_Progress_Track'!$E$2:$E$108)</f>
        <v/>
      </c>
      <c r="F72" s="175">
        <f>IF(E73&gt;(C73+D73),(E73-(C73+D73)),0)</f>
        <v/>
      </c>
      <c r="G72" s="177">
        <f>IF(F73&gt;0,0,C73+D73-E73)</f>
        <v/>
      </c>
      <c r="H72" s="148">
        <f>_xludf.IFNA(_xlfn.XLOOKUP(B73,'00_SKU_Master'!$B$2:$B$378,'00_SKU_Master'!$C$2:$C$378),"")</f>
        <v/>
      </c>
      <c r="I72" s="148" t="n"/>
      <c r="J72" s="14">
        <f>_xludf.IFNA(_xlfn.XLOOKUP(B73,'00_SKU_Master'!B$2:B$378,'00_SKU_Master'!H$2:H$378,0),"")</f>
        <v/>
      </c>
      <c r="K72" s="14">
        <f>_xludf.IFNA(_xlfn.XLOOKUP(B73,'00_SKU_Master'!B$2:B$378,'00_SKU_Master'!K$2:K$378,0),"")</f>
        <v/>
      </c>
      <c r="L72" s="148">
        <f>_xlfn.XLOOKUP(B73,'00_SKU_Master'!$B$2:$B$378,'00_SKU_Master'!D:D)</f>
        <v/>
      </c>
      <c r="M72" s="148">
        <f>IF((C73-E73)&lt;0,0,C73-E73)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_xlfn.XLOOKUP(B74,'02_TrayPack_Order'!$A$2:$A$264,'02_TrayPack_Order'!$C$2:$C$264)</f>
        <v/>
      </c>
      <c r="D73" s="176">
        <f>_xlfn.XLOOKUP(B74,'02_TrayPack_Order'!$A$2:$A$264,'02_TrayPack_Order'!$L$2:$L$264,0)</f>
        <v/>
      </c>
      <c r="E73" s="175">
        <f>SUMIF('13_Progress_Track'!$A$2:$A$108,B74,'13_Progress_Track'!$E$2:$E$108)</f>
        <v/>
      </c>
      <c r="F73" s="175">
        <f>IF(E74&gt;(C74+D74),(E74-(C74+D74)),0)</f>
        <v/>
      </c>
      <c r="G73" s="177">
        <f>IF(F74&gt;0,0,C74+D74-E74)</f>
        <v/>
      </c>
      <c r="H73" s="148">
        <f>_xludf.IFNA(_xlfn.XLOOKUP(B74,'00_SKU_Master'!$B$2:$B$378,'00_SKU_Master'!$C$2:$C$378),"")</f>
        <v/>
      </c>
      <c r="I73" s="148" t="n"/>
      <c r="J73" s="14">
        <f>_xludf.IFNA(_xlfn.XLOOKUP(B74,'00_SKU_Master'!B$2:B$378,'00_SKU_Master'!H$2:H$378,0),"")</f>
        <v/>
      </c>
      <c r="K73" s="14">
        <f>_xludf.IFNA(_xlfn.XLOOKUP(B74,'00_SKU_Master'!B$2:B$378,'00_SKU_Master'!K$2:K$378,0),"")</f>
        <v/>
      </c>
      <c r="L73" s="148">
        <f>_xlfn.XLOOKUP(B74,'00_SKU_Master'!$B$2:$B$378,'00_SKU_Master'!D:D)</f>
        <v/>
      </c>
      <c r="M73" s="148">
        <f>IF((C74-E74)&lt;0,0,C74-E74)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_xlfn.XLOOKUP(B75,'02_TrayPack_Order'!$A$2:$A$264,'02_TrayPack_Order'!$C$2:$C$264)</f>
        <v/>
      </c>
      <c r="D74" s="176">
        <f>_xlfn.XLOOKUP(B75,'02_TrayPack_Order'!$A$2:$A$264,'02_TrayPack_Order'!$L$2:$L$264,0)</f>
        <v/>
      </c>
      <c r="E74" s="175">
        <f>SUMIF('13_Progress_Track'!$A$2:$A$108,B75,'13_Progress_Track'!$E$2:$E$108)</f>
        <v/>
      </c>
      <c r="F74" s="175">
        <f>IF(E75&gt;(C75+D75),(E75-(C75+D75)),0)</f>
        <v/>
      </c>
      <c r="G74" s="177">
        <f>IF(F75&gt;0,0,C75+D75-E75)</f>
        <v/>
      </c>
      <c r="H74" s="148">
        <f>_xludf.IFNA(_xlfn.XLOOKUP(B75,'00_SKU_Master'!$B$2:$B$378,'00_SKU_Master'!$C$2:$C$378),"")</f>
        <v/>
      </c>
      <c r="I74" s="148" t="n"/>
      <c r="J74" s="14">
        <f>_xludf.IFNA(_xlfn.XLOOKUP(B75,'00_SKU_Master'!B$2:B$378,'00_SKU_Master'!H$2:H$378,0),"")</f>
        <v/>
      </c>
      <c r="K74" s="14">
        <f>_xludf.IFNA(_xlfn.XLOOKUP(B75,'00_SKU_Master'!B$2:B$378,'00_SKU_Master'!K$2:K$378,0),"")</f>
        <v/>
      </c>
      <c r="L74" s="148">
        <f>_xlfn.XLOOKUP(B75,'00_SKU_Master'!$B$2:$B$378,'00_SKU_Master'!D:D)</f>
        <v/>
      </c>
      <c r="M74" s="148">
        <f>IF((C75-E75)&lt;0,0,C75-E75)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_xlfn.XLOOKUP(B76,'02_TrayPack_Order'!$A$2:$A$264,'02_TrayPack_Order'!$C$2:$C$264)</f>
        <v/>
      </c>
      <c r="D75" s="176">
        <f>_xlfn.XLOOKUP(B76,'02_TrayPack_Order'!$A$2:$A$264,'02_TrayPack_Order'!$L$2:$L$264,0)</f>
        <v/>
      </c>
      <c r="E75" s="175">
        <f>SUMIF('13_Progress_Track'!$A$2:$A$108,B76,'13_Progress_Track'!$E$2:$E$108)</f>
        <v/>
      </c>
      <c r="F75" s="175">
        <f>IF(E76&gt;(C76+D76),(E76-(C76+D76)),0)</f>
        <v/>
      </c>
      <c r="G75" s="177">
        <f>IF(F76&gt;0,0,C76+D76-E76)</f>
        <v/>
      </c>
      <c r="H75" s="148">
        <f>_xludf.IFNA(_xlfn.XLOOKUP(B76,'00_SKU_Master'!$B$2:$B$378,'00_SKU_Master'!$C$2:$C$378),"")</f>
        <v/>
      </c>
      <c r="I75" s="148" t="n"/>
      <c r="J75" s="14">
        <f>_xludf.IFNA(_xlfn.XLOOKUP(B76,'00_SKU_Master'!B$2:B$378,'00_SKU_Master'!H$2:H$378,0),"")</f>
        <v/>
      </c>
      <c r="K75" s="14">
        <f>_xludf.IFNA(_xlfn.XLOOKUP(B76,'00_SKU_Master'!B$2:B$378,'00_SKU_Master'!K$2:K$378,0),"")</f>
        <v/>
      </c>
      <c r="L75" s="148">
        <f>_xlfn.XLOOKUP(B76,'00_SKU_Master'!$B$2:$B$378,'00_SKU_Master'!D:D)</f>
        <v/>
      </c>
      <c r="M75" s="148">
        <f>IF((C76-E76)&lt;0,0,C76-E76)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_xlfn.XLOOKUP(B77,'02_TrayPack_Order'!$A$2:$A$264,'02_TrayPack_Order'!$C$2:$C$264)</f>
        <v/>
      </c>
      <c r="D76" s="176">
        <f>_xlfn.XLOOKUP(B77,'02_TrayPack_Order'!$A$2:$A$264,'02_TrayPack_Order'!$L$2:$L$264,0)</f>
        <v/>
      </c>
      <c r="E76" s="175">
        <f>SUMIF('13_Progress_Track'!$A$2:$A$108,B77,'13_Progress_Track'!$E$2:$E$108)</f>
        <v/>
      </c>
      <c r="F76" s="175">
        <f>IF(E77&gt;(C77+D77),(E77-(C77+D77)),0)</f>
        <v/>
      </c>
      <c r="G76" s="177">
        <f>IF(F77&gt;0,0,C77+D77-E77)</f>
        <v/>
      </c>
      <c r="H76" s="148">
        <f>_xludf.IFNA(_xlfn.XLOOKUP(B77,'00_SKU_Master'!$B$2:$B$378,'00_SKU_Master'!$C$2:$C$378),"")</f>
        <v/>
      </c>
      <c r="I76" s="148" t="n"/>
      <c r="J76" s="14">
        <f>_xludf.IFNA(_xlfn.XLOOKUP(B77,'00_SKU_Master'!B$2:B$378,'00_SKU_Master'!H$2:H$378,0),"")</f>
        <v/>
      </c>
      <c r="K76" s="14">
        <f>_xludf.IFNA(_xlfn.XLOOKUP(B77,'00_SKU_Master'!B$2:B$378,'00_SKU_Master'!K$2:K$378,0),"")</f>
        <v/>
      </c>
      <c r="L76" s="148">
        <f>_xlfn.XLOOKUP(B77,'00_SKU_Master'!$B$2:$B$378,'00_SKU_Master'!D:D)</f>
        <v/>
      </c>
      <c r="M76" s="148">
        <f>IF((C77-E77)&lt;0,0,C77-E77)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_xlfn.XLOOKUP(B78,'02_TrayPack_Order'!$A$2:$A$264,'02_TrayPack_Order'!$C$2:$C$264)</f>
        <v/>
      </c>
      <c r="D77" s="176">
        <f>_xlfn.XLOOKUP(B78,'02_TrayPack_Order'!$A$2:$A$264,'02_TrayPack_Order'!$L$2:$L$264,0)</f>
        <v/>
      </c>
      <c r="E77" s="175">
        <f>SUMIF('13_Progress_Track'!$A$2:$A$108,B78,'13_Progress_Track'!$E$2:$E$108)</f>
        <v/>
      </c>
      <c r="F77" s="175">
        <f>IF(E78&gt;(C78+D78),(E78-(C78+D78)),0)</f>
        <v/>
      </c>
      <c r="G77" s="177">
        <f>IF(F78&gt;0,0,C78+D78-E78)</f>
        <v/>
      </c>
      <c r="H77" s="148">
        <f>_xludf.IFNA(_xlfn.XLOOKUP(B78,'00_SKU_Master'!$B$2:$B$378,'00_SKU_Master'!$C$2:$C$378),"")</f>
        <v/>
      </c>
      <c r="I77" s="148" t="n"/>
      <c r="J77" s="14">
        <f>_xludf.IFNA(_xlfn.XLOOKUP(B78,'00_SKU_Master'!B$2:B$378,'00_SKU_Master'!H$2:H$378,0),"")</f>
        <v/>
      </c>
      <c r="K77" s="14">
        <f>_xludf.IFNA(_xlfn.XLOOKUP(B78,'00_SKU_Master'!B$2:B$378,'00_SKU_Master'!K$2:K$378,0),"")</f>
        <v/>
      </c>
      <c r="L77" s="148">
        <f>_xlfn.XLOOKUP(B78,'00_SKU_Master'!$B$2:$B$378,'00_SKU_Master'!D:D)</f>
        <v/>
      </c>
      <c r="M77" s="148">
        <f>IF((C78-E78)&lt;0,0,C78-E78)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_xlfn.XLOOKUP(B79,'02_TrayPack_Order'!$A$2:$A$264,'02_TrayPack_Order'!$C$2:$C$264)</f>
        <v/>
      </c>
      <c r="D78" s="176">
        <f>_xlfn.XLOOKUP(B79,'02_TrayPack_Order'!$A$2:$A$264,'02_TrayPack_Order'!$L$2:$L$264,0)</f>
        <v/>
      </c>
      <c r="E78" s="175">
        <f>SUMIF('13_Progress_Track'!$A$2:$A$108,B79,'13_Progress_Track'!$E$2:$E$108)</f>
        <v/>
      </c>
      <c r="F78" s="175">
        <f>IF(E79&gt;(C79+D79),(E79-(C79+D79)),0)</f>
        <v/>
      </c>
      <c r="G78" s="177">
        <f>IF(F79&gt;0,0,C79+D79-E79)</f>
        <v/>
      </c>
      <c r="H78" s="148">
        <f>_xludf.IFNA(_xlfn.XLOOKUP(B79,'00_SKU_Master'!$B$2:$B$378,'00_SKU_Master'!$C$2:$C$378),"")</f>
        <v/>
      </c>
      <c r="I78" s="148" t="n"/>
      <c r="J78" s="14">
        <f>_xludf.IFNA(_xlfn.XLOOKUP(B79,'00_SKU_Master'!B$2:B$378,'00_SKU_Master'!H$2:H$378,0),"")</f>
        <v/>
      </c>
      <c r="K78" s="14">
        <f>_xludf.IFNA(_xlfn.XLOOKUP(B79,'00_SKU_Master'!B$2:B$378,'00_SKU_Master'!K$2:K$378,0),"")</f>
        <v/>
      </c>
      <c r="L78" s="148">
        <f>_xlfn.XLOOKUP(B79,'00_SKU_Master'!$B$2:$B$378,'00_SKU_Master'!D:D)</f>
        <v/>
      </c>
      <c r="M78" s="148">
        <f>IF((C79-E79)&lt;0,0,C79-E79)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_xlfn.XLOOKUP(B80,'02_TrayPack_Order'!$A$2:$A$264,'02_TrayPack_Order'!$C$2:$C$264)</f>
        <v/>
      </c>
      <c r="D79" s="176">
        <f>_xlfn.XLOOKUP(B80,'02_TrayPack_Order'!$A$2:$A$264,'02_TrayPack_Order'!$L$2:$L$264,0)</f>
        <v/>
      </c>
      <c r="E79" s="175">
        <f>SUMIF('13_Progress_Track'!$A$2:$A$108,B80,'13_Progress_Track'!$E$2:$E$108)</f>
        <v/>
      </c>
      <c r="F79" s="175">
        <f>IF(E80&gt;(C80+D80),(E80-(C80+D80)),0)</f>
        <v/>
      </c>
      <c r="G79" s="177">
        <f>IF(F80&gt;0,0,C80+D80-E80)</f>
        <v/>
      </c>
      <c r="H79" s="148">
        <f>_xludf.IFNA(_xlfn.XLOOKUP(B80,'00_SKU_Master'!$B$2:$B$378,'00_SKU_Master'!$C$2:$C$378),"")</f>
        <v/>
      </c>
      <c r="I79" s="148" t="n"/>
      <c r="J79" s="14">
        <f>_xludf.IFNA(_xlfn.XLOOKUP(B80,'00_SKU_Master'!B$2:B$378,'00_SKU_Master'!H$2:H$378,0),"")</f>
        <v/>
      </c>
      <c r="K79" s="14">
        <f>_xludf.IFNA(_xlfn.XLOOKUP(B80,'00_SKU_Master'!B$2:B$378,'00_SKU_Master'!K$2:K$378,0),"")</f>
        <v/>
      </c>
      <c r="L79" s="148">
        <f>_xlfn.XLOOKUP(B80,'00_SKU_Master'!$B$2:$B$378,'00_SKU_Master'!D:D)</f>
        <v/>
      </c>
      <c r="M79" s="148">
        <f>IF((C80-E80)&lt;0,0,C80-E80)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_xlfn.XLOOKUP(B81,'02_TrayPack_Order'!$A$2:$A$264,'02_TrayPack_Order'!$C$2:$C$264)</f>
        <v/>
      </c>
      <c r="D80" s="176">
        <f>_xlfn.XLOOKUP(B81,'02_TrayPack_Order'!$A$2:$A$264,'02_TrayPack_Order'!$L$2:$L$264,0)</f>
        <v/>
      </c>
      <c r="E80" s="175">
        <f>SUMIF('13_Progress_Track'!$A$2:$A$108,B81,'13_Progress_Track'!$E$2:$E$108)</f>
        <v/>
      </c>
      <c r="F80" s="175">
        <f>IF(E81&gt;(C81+D81),(E81-(C81+D81)),0)</f>
        <v/>
      </c>
      <c r="G80" s="177">
        <f>IF(F81&gt;0,0,C81+D81-E81)</f>
        <v/>
      </c>
      <c r="H80" s="148">
        <f>_xludf.IFNA(_xlfn.XLOOKUP(B81,'00_SKU_Master'!$B$2:$B$378,'00_SKU_Master'!$C$2:$C$378),"")</f>
        <v/>
      </c>
      <c r="I80" s="148" t="n"/>
      <c r="J80" s="14">
        <f>_xludf.IFNA(_xlfn.XLOOKUP(B81,'00_SKU_Master'!B$2:B$378,'00_SKU_Master'!H$2:H$378,0),"")</f>
        <v/>
      </c>
      <c r="K80" s="14">
        <f>_xludf.IFNA(_xlfn.XLOOKUP(B81,'00_SKU_Master'!B$2:B$378,'00_SKU_Master'!K$2:K$378,0),"")</f>
        <v/>
      </c>
      <c r="L80" s="148">
        <f>_xlfn.XLOOKUP(B81,'00_SKU_Master'!$B$2:$B$378,'00_SKU_Master'!D:D)</f>
        <v/>
      </c>
      <c r="M80" s="148">
        <f>IF((C81-E81)&lt;0,0,C81-E81)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_xlfn.XLOOKUP(B82,'02_TrayPack_Order'!$A$2:$A$264,'02_TrayPack_Order'!$C$2:$C$264)</f>
        <v/>
      </c>
      <c r="D81" s="176">
        <f>_xlfn.XLOOKUP(B82,'02_TrayPack_Order'!$A$2:$A$264,'02_TrayPack_Order'!$L$2:$L$264,0)</f>
        <v/>
      </c>
      <c r="E81" s="175">
        <f>SUMIF('13_Progress_Track'!$A$2:$A$108,B82,'13_Progress_Track'!$E$2:$E$108)</f>
        <v/>
      </c>
      <c r="F81" s="175">
        <f>IF(E82&gt;(C82+D82),(E82-(C82+D82)),0)</f>
        <v/>
      </c>
      <c r="G81" s="177">
        <f>IF(F82&gt;0,0,C82+D82-E82)</f>
        <v/>
      </c>
      <c r="H81" s="148">
        <f>_xludf.IFNA(_xlfn.XLOOKUP(B82,'00_SKU_Master'!$B$2:$B$378,'00_SKU_Master'!$C$2:$C$378),"")</f>
        <v/>
      </c>
      <c r="I81" s="148" t="n"/>
      <c r="J81" s="14">
        <f>_xludf.IFNA(_xlfn.XLOOKUP(B82,'00_SKU_Master'!B$2:B$378,'00_SKU_Master'!H$2:H$378,0),"")</f>
        <v/>
      </c>
      <c r="K81" s="14">
        <f>_xludf.IFNA(_xlfn.XLOOKUP(B82,'00_SKU_Master'!B$2:B$378,'00_SKU_Master'!K$2:K$378,0),"")</f>
        <v/>
      </c>
      <c r="L81" s="148">
        <f>_xlfn.XLOOKUP(B82,'00_SKU_Master'!$B$2:$B$378,'00_SKU_Master'!D:D)</f>
        <v/>
      </c>
      <c r="M81" s="148">
        <f>IF((C82-E82)&lt;0,0,C82-E82)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_xlfn.XLOOKUP(B83,'02_TrayPack_Order'!$A$2:$A$264,'02_TrayPack_Order'!$C$2:$C$264)</f>
        <v/>
      </c>
      <c r="D82" s="176">
        <f>_xlfn.XLOOKUP(B83,'02_TrayPack_Order'!$A$2:$A$264,'02_TrayPack_Order'!$L$2:$L$264,0)</f>
        <v/>
      </c>
      <c r="E82" s="175">
        <f>SUMIF('13_Progress_Track'!$A$2:$A$108,B83,'13_Progress_Track'!$E$2:$E$108)</f>
        <v/>
      </c>
      <c r="F82" s="175">
        <f>IF(E83&gt;(C83+D83),(E83-(C83+D83)),0)</f>
        <v/>
      </c>
      <c r="G82" s="177">
        <f>IF(F83&gt;0,0,C83+D83-E83)</f>
        <v/>
      </c>
      <c r="H82" s="148">
        <f>_xludf.IFNA(_xlfn.XLOOKUP(B83,'00_SKU_Master'!$B$2:$B$378,'00_SKU_Master'!$C$2:$C$378),"")</f>
        <v/>
      </c>
      <c r="I82" s="148" t="n"/>
      <c r="J82" s="14">
        <f>_xludf.IFNA(_xlfn.XLOOKUP(B83,'00_SKU_Master'!B$2:B$378,'00_SKU_Master'!H$2:H$378,0),"")</f>
        <v/>
      </c>
      <c r="K82" s="14">
        <f>_xludf.IFNA(_xlfn.XLOOKUP(B83,'00_SKU_Master'!B$2:B$378,'00_SKU_Master'!K$2:K$378,0),"")</f>
        <v/>
      </c>
      <c r="L82" s="148">
        <f>_xlfn.XLOOKUP(B83,'00_SKU_Master'!$B$2:$B$378,'00_SKU_Master'!D:D)</f>
        <v/>
      </c>
      <c r="M82" s="148">
        <f>IF((C83-E83)&lt;0,0,C83-E83)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_xlfn.XLOOKUP(B84,'02_TrayPack_Order'!$A$2:$A$264,'02_TrayPack_Order'!$C$2:$C$264)</f>
        <v/>
      </c>
      <c r="D83" s="176">
        <f>_xlfn.XLOOKUP(B84,'02_TrayPack_Order'!$A$2:$A$264,'02_TrayPack_Order'!$L$2:$L$264,0)</f>
        <v/>
      </c>
      <c r="E83" s="175">
        <f>SUMIF('13_Progress_Track'!$A$2:$A$108,B84,'13_Progress_Track'!$E$2:$E$108)</f>
        <v/>
      </c>
      <c r="F83" s="175">
        <f>IF(E84&gt;(C84+D84),(E84-(C84+D84)),0)</f>
        <v/>
      </c>
      <c r="G83" s="177">
        <f>IF(F84&gt;0,0,C84+D84-E84)</f>
        <v/>
      </c>
      <c r="H83" s="148">
        <f>_xludf.IFNA(_xlfn.XLOOKUP(B84,'00_SKU_Master'!$B$2:$B$378,'00_SKU_Master'!$C$2:$C$378),"")</f>
        <v/>
      </c>
      <c r="I83" s="148" t="n"/>
      <c r="J83" s="14">
        <f>_xludf.IFNA(_xlfn.XLOOKUP(B84,'00_SKU_Master'!B$2:B$378,'00_SKU_Master'!H$2:H$378,0),"")</f>
        <v/>
      </c>
      <c r="K83" s="14">
        <f>_xludf.IFNA(_xlfn.XLOOKUP(B84,'00_SKU_Master'!B$2:B$378,'00_SKU_Master'!K$2:K$378,0),"")</f>
        <v/>
      </c>
      <c r="L83" s="148">
        <f>_xlfn.XLOOKUP(B84,'00_SKU_Master'!$B$2:$B$378,'00_SKU_Master'!D:D)</f>
        <v/>
      </c>
      <c r="M83" s="148">
        <f>IF((C84-E84)&lt;0,0,C84-E84)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_xlfn.XLOOKUP(B85,'02_TrayPack_Order'!$A$2:$A$264,'02_TrayPack_Order'!$C$2:$C$264)</f>
        <v/>
      </c>
      <c r="D84" s="176">
        <f>_xlfn.XLOOKUP(B85,'02_TrayPack_Order'!$A$2:$A$264,'02_TrayPack_Order'!$L$2:$L$264,0)</f>
        <v/>
      </c>
      <c r="E84" s="175">
        <f>SUMIF('13_Progress_Track'!$A$2:$A$108,B85,'13_Progress_Track'!$E$2:$E$108)</f>
        <v/>
      </c>
      <c r="F84" s="175">
        <f>IF(E85&gt;(C85+D85),(E85-(C85+D85)),0)</f>
        <v/>
      </c>
      <c r="G84" s="177">
        <f>IF(F85&gt;0,0,C85+D85-E85)</f>
        <v/>
      </c>
      <c r="H84" s="148">
        <f>_xludf.IFNA(_xlfn.XLOOKUP(B85,'00_SKU_Master'!$B$2:$B$378,'00_SKU_Master'!$C$2:$C$378),"")</f>
        <v/>
      </c>
      <c r="I84" s="148" t="n"/>
      <c r="J84" s="14">
        <f>_xludf.IFNA(_xlfn.XLOOKUP(B85,'00_SKU_Master'!B$2:B$378,'00_SKU_Master'!H$2:H$378,0),"")</f>
        <v/>
      </c>
      <c r="K84" s="14">
        <f>_xludf.IFNA(_xlfn.XLOOKUP(B85,'00_SKU_Master'!B$2:B$378,'00_SKU_Master'!K$2:K$378,0),"")</f>
        <v/>
      </c>
      <c r="L84" s="148">
        <f>_xlfn.XLOOKUP(B85,'00_SKU_Master'!$B$2:$B$378,'00_SKU_Master'!D:D)</f>
        <v/>
      </c>
      <c r="M84" s="148">
        <f>IF((C85-E85)&lt;0,0,C85-E85)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_xlfn.XLOOKUP(B86,'02_TrayPack_Order'!$A$2:$A$264,'02_TrayPack_Order'!$C$2:$C$264)</f>
        <v/>
      </c>
      <c r="D85" s="176">
        <f>_xlfn.XLOOKUP(B86,'02_TrayPack_Order'!$A$2:$A$264,'02_TrayPack_Order'!$L$2:$L$264,0)</f>
        <v/>
      </c>
      <c r="E85" s="175">
        <f>SUMIF('13_Progress_Track'!$A$2:$A$108,B86,'13_Progress_Track'!$E$2:$E$108)</f>
        <v/>
      </c>
      <c r="F85" s="175">
        <f>IF(E86&gt;(C86+D86),(E86-(C86+D86)),0)</f>
        <v/>
      </c>
      <c r="G85" s="177">
        <f>IF(F86&gt;0,0,C86+D86-E86)</f>
        <v/>
      </c>
      <c r="H85" s="148">
        <f>_xludf.IFNA(_xlfn.XLOOKUP(B86,'00_SKU_Master'!$B$2:$B$378,'00_SKU_Master'!$C$2:$C$378),"")</f>
        <v/>
      </c>
      <c r="I85" s="148" t="n"/>
      <c r="J85" s="14">
        <f>_xludf.IFNA(_xlfn.XLOOKUP(B86,'00_SKU_Master'!B$2:B$378,'00_SKU_Master'!H$2:H$378,0),"")</f>
        <v/>
      </c>
      <c r="K85" s="14">
        <f>_xludf.IFNA(_xlfn.XLOOKUP(B86,'00_SKU_Master'!B$2:B$378,'00_SKU_Master'!K$2:K$378,0),"")</f>
        <v/>
      </c>
      <c r="L85" s="148">
        <f>_xlfn.XLOOKUP(B86,'00_SKU_Master'!$B$2:$B$378,'00_SKU_Master'!D:D)</f>
        <v/>
      </c>
      <c r="M85" s="148">
        <f>IF((C86-E86)&lt;0,0,C86-E86)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_xlfn.XLOOKUP(B87,'02_TrayPack_Order'!$A$2:$A$264,'02_TrayPack_Order'!$C$2:$C$264)</f>
        <v/>
      </c>
      <c r="D86" s="176">
        <f>_xlfn.XLOOKUP(B87,'02_TrayPack_Order'!$A$2:$A$264,'02_TrayPack_Order'!$L$2:$L$264,0)</f>
        <v/>
      </c>
      <c r="E86" s="175">
        <f>SUMIF('13_Progress_Track'!$A$2:$A$108,B87,'13_Progress_Track'!$E$2:$E$108)</f>
        <v/>
      </c>
      <c r="F86" s="175">
        <f>IF(E87&gt;(C87+D87),(E87-(C87+D87)),0)</f>
        <v/>
      </c>
      <c r="G86" s="177">
        <f>IF(F87&gt;0,0,C87+D87-E87)</f>
        <v/>
      </c>
      <c r="H86" s="148">
        <f>_xludf.IFNA(_xlfn.XLOOKUP(B87,'00_SKU_Master'!$B$2:$B$378,'00_SKU_Master'!$C$2:$C$378),"")</f>
        <v/>
      </c>
      <c r="I86" s="148" t="n"/>
      <c r="J86" s="14">
        <f>_xludf.IFNA(_xlfn.XLOOKUP(B87,'00_SKU_Master'!B$2:B$378,'00_SKU_Master'!H$2:H$378,0),"")</f>
        <v/>
      </c>
      <c r="K86" s="14">
        <f>_xludf.IFNA(_xlfn.XLOOKUP(B87,'00_SKU_Master'!B$2:B$378,'00_SKU_Master'!K$2:K$378,0),"")</f>
        <v/>
      </c>
      <c r="L86" s="148">
        <f>_xlfn.XLOOKUP(B87,'00_SKU_Master'!$B$2:$B$378,'00_SKU_Master'!D:D)</f>
        <v/>
      </c>
      <c r="M86" s="148">
        <f>IF((C87-E87)&lt;0,0,C87-E87)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_xlfn.XLOOKUP(B88,'02_TrayPack_Order'!$A$2:$A$264,'02_TrayPack_Order'!$C$2:$C$264)</f>
        <v/>
      </c>
      <c r="D87" s="176">
        <f>_xlfn.XLOOKUP(B88,'02_TrayPack_Order'!$A$2:$A$264,'02_TrayPack_Order'!$L$2:$L$264,0)</f>
        <v/>
      </c>
      <c r="E87" s="175">
        <f>SUMIF('13_Progress_Track'!$A$2:$A$108,B88,'13_Progress_Track'!$E$2:$E$108)</f>
        <v/>
      </c>
      <c r="F87" s="175">
        <f>IF(E88&gt;(C88+D88),(E88-(C88+D88)),0)</f>
        <v/>
      </c>
      <c r="G87" s="177">
        <f>IF(F88&gt;0,0,C88+D88-E88)</f>
        <v/>
      </c>
      <c r="H87" s="148">
        <f>_xludf.IFNA(_xlfn.XLOOKUP(B88,'00_SKU_Master'!$B$2:$B$378,'00_SKU_Master'!$C$2:$C$378),"")</f>
        <v/>
      </c>
      <c r="I87" s="148" t="n"/>
      <c r="J87" s="14">
        <f>_xludf.IFNA(_xlfn.XLOOKUP(B88,'00_SKU_Master'!B$2:B$378,'00_SKU_Master'!H$2:H$378,0),"")</f>
        <v/>
      </c>
      <c r="K87" s="14">
        <f>_xludf.IFNA(_xlfn.XLOOKUP(B88,'00_SKU_Master'!B$2:B$378,'00_SKU_Master'!K$2:K$378,0),"")</f>
        <v/>
      </c>
      <c r="L87" s="148">
        <f>_xlfn.XLOOKUP(B88,'00_SKU_Master'!$B$2:$B$378,'00_SKU_Master'!D:D)</f>
        <v/>
      </c>
      <c r="M87" s="148">
        <f>IF((C88-E88)&lt;0,0,C88-E88)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_xlfn.XLOOKUP(B89,'02_TrayPack_Order'!$A$2:$A$264,'02_TrayPack_Order'!$C$2:$C$264)</f>
        <v/>
      </c>
      <c r="D88" s="176">
        <f>_xlfn.XLOOKUP(B89,'02_TrayPack_Order'!$A$2:$A$264,'02_TrayPack_Order'!$L$2:$L$264,0)</f>
        <v/>
      </c>
      <c r="E88" s="175">
        <f>SUMIF('13_Progress_Track'!$A$2:$A$108,B89,'13_Progress_Track'!$E$2:$E$108)</f>
        <v/>
      </c>
      <c r="F88" s="175">
        <f>IF(E89&gt;(C89+D89),(E89-(C89+D89)),0)</f>
        <v/>
      </c>
      <c r="G88" s="177">
        <f>IF(F89&gt;0,0,C89+D89-E89)</f>
        <v/>
      </c>
      <c r="H88" s="148">
        <f>_xludf.IFNA(_xlfn.XLOOKUP(B89,'00_SKU_Master'!$B$2:$B$378,'00_SKU_Master'!$C$2:$C$378),"")</f>
        <v/>
      </c>
      <c r="I88" s="148" t="n"/>
      <c r="J88" s="14">
        <f>_xludf.IFNA(_xlfn.XLOOKUP(B89,'00_SKU_Master'!B$2:B$378,'00_SKU_Master'!H$2:H$378,0),"")</f>
        <v/>
      </c>
      <c r="K88" s="14">
        <f>_xludf.IFNA(_xlfn.XLOOKUP(B89,'00_SKU_Master'!B$2:B$378,'00_SKU_Master'!K$2:K$378,0),"")</f>
        <v/>
      </c>
      <c r="L88" s="148">
        <f>_xlfn.XLOOKUP(B89,'00_SKU_Master'!$B$2:$B$378,'00_SKU_Master'!D:D)</f>
        <v/>
      </c>
      <c r="M88" s="148">
        <f>IF((C89-E89)&lt;0,0,C89-E89)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_xlfn.XLOOKUP(B90,'02_TrayPack_Order'!$A$2:$A$264,'02_TrayPack_Order'!$C$2:$C$264)</f>
        <v/>
      </c>
      <c r="D89" s="176">
        <f>_xlfn.XLOOKUP(B90,'02_TrayPack_Order'!$A$2:$A$264,'02_TrayPack_Order'!$L$2:$L$264,0)</f>
        <v/>
      </c>
      <c r="E89" s="175">
        <f>SUMIF('13_Progress_Track'!$A$2:$A$108,B90,'13_Progress_Track'!$E$2:$E$108)</f>
        <v/>
      </c>
      <c r="F89" s="175">
        <f>IF(E90&gt;(C90+D90),(E90-(C90+D90)),0)</f>
        <v/>
      </c>
      <c r="G89" s="177">
        <f>IF(F90&gt;0,0,C90+D90-E90)</f>
        <v/>
      </c>
      <c r="H89" s="148">
        <f>_xludf.IFNA(_xlfn.XLOOKUP(B90,'00_SKU_Master'!$B$2:$B$378,'00_SKU_Master'!$C$2:$C$378),"")</f>
        <v/>
      </c>
      <c r="I89" s="148" t="n"/>
      <c r="J89" s="14">
        <f>_xludf.IFNA(_xlfn.XLOOKUP(B90,'00_SKU_Master'!B$2:B$378,'00_SKU_Master'!H$2:H$378,0),"")</f>
        <v/>
      </c>
      <c r="K89" s="14">
        <f>_xludf.IFNA(_xlfn.XLOOKUP(B90,'00_SKU_Master'!B$2:B$378,'00_SKU_Master'!K$2:K$378,0),"")</f>
        <v/>
      </c>
      <c r="L89" s="148">
        <f>_xlfn.XLOOKUP(B90,'00_SKU_Master'!$B$2:$B$378,'00_SKU_Master'!D:D)</f>
        <v/>
      </c>
      <c r="M89" s="148">
        <f>IF((C90-E90)&lt;0,0,C90-E90)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_xlfn.XLOOKUP(B91,'02_TrayPack_Order'!$A$2:$A$264,'02_TrayPack_Order'!$C$2:$C$264)</f>
        <v/>
      </c>
      <c r="D90" s="176">
        <f>_xlfn.XLOOKUP(B91,'02_TrayPack_Order'!$A$2:$A$264,'02_TrayPack_Order'!$L$2:$L$264,0)</f>
        <v/>
      </c>
      <c r="E90" s="175">
        <f>SUMIF('13_Progress_Track'!$A$2:$A$108,B91,'13_Progress_Track'!$E$2:$E$108)</f>
        <v/>
      </c>
      <c r="F90" s="175">
        <f>IF(E91&gt;(C91+D91),(E91-(C91+D91)),0)</f>
        <v/>
      </c>
      <c r="G90" s="177">
        <f>IF(F91&gt;0,0,C91+D91-E91)</f>
        <v/>
      </c>
      <c r="H90" s="148">
        <f>_xludf.IFNA(_xlfn.XLOOKUP(B91,'00_SKU_Master'!$B$2:$B$378,'00_SKU_Master'!$C$2:$C$378),"")</f>
        <v/>
      </c>
      <c r="I90" s="148" t="n"/>
      <c r="J90" s="14">
        <f>_xludf.IFNA(_xlfn.XLOOKUP(B91,'00_SKU_Master'!B$2:B$378,'00_SKU_Master'!H$2:H$378,0),"")</f>
        <v/>
      </c>
      <c r="K90" s="14">
        <f>_xludf.IFNA(_xlfn.XLOOKUP(B91,'00_SKU_Master'!B$2:B$378,'00_SKU_Master'!K$2:K$378,0),"")</f>
        <v/>
      </c>
      <c r="L90" s="148">
        <f>_xlfn.XLOOKUP(B91,'00_SKU_Master'!$B$2:$B$378,'00_SKU_Master'!D:D)</f>
        <v/>
      </c>
      <c r="M90" s="148">
        <f>IF((C91-E91)&lt;0,0,C91-E91)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_xlfn.XLOOKUP(B92,'02_TrayPack_Order'!$A$2:$A$264,'02_TrayPack_Order'!$C$2:$C$264)</f>
        <v/>
      </c>
      <c r="D91" s="176">
        <f>_xlfn.XLOOKUP(B92,'02_TrayPack_Order'!$A$2:$A$264,'02_TrayPack_Order'!$L$2:$L$264,0)</f>
        <v/>
      </c>
      <c r="E91" s="175">
        <f>SUMIF('13_Progress_Track'!$A$2:$A$108,B92,'13_Progress_Track'!$E$2:$E$108)</f>
        <v/>
      </c>
      <c r="F91" s="175">
        <f>IF(E92&gt;(C92+D92),(E92-(C92+D92)),0)</f>
        <v/>
      </c>
      <c r="G91" s="177">
        <f>IF(F92&gt;0,0,C92+D92-E92)</f>
        <v/>
      </c>
      <c r="H91" s="148">
        <f>_xludf.IFNA(_xlfn.XLOOKUP(B92,'00_SKU_Master'!$B$2:$B$378,'00_SKU_Master'!$C$2:$C$378),"")</f>
        <v/>
      </c>
      <c r="I91" s="148" t="n"/>
      <c r="J91" s="14">
        <f>_xludf.IFNA(_xlfn.XLOOKUP(B92,'00_SKU_Master'!B$2:B$378,'00_SKU_Master'!H$2:H$378,0),"")</f>
        <v/>
      </c>
      <c r="K91" s="14">
        <f>_xludf.IFNA(_xlfn.XLOOKUP(B92,'00_SKU_Master'!B$2:B$378,'00_SKU_Master'!K$2:K$378,0),"")</f>
        <v/>
      </c>
      <c r="L91" s="148">
        <f>_xlfn.XLOOKUP(B92,'00_SKU_Master'!$B$2:$B$378,'00_SKU_Master'!D:D)</f>
        <v/>
      </c>
      <c r="M91" s="148">
        <f>IF((C92-E92)&lt;0,0,C92-E92)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_xlfn.XLOOKUP(B93,'02_TrayPack_Order'!$A$2:$A$264,'02_TrayPack_Order'!$C$2:$C$264)</f>
        <v/>
      </c>
      <c r="D92" s="176">
        <f>_xlfn.XLOOKUP(B93,'02_TrayPack_Order'!$A$2:$A$264,'02_TrayPack_Order'!$L$2:$L$264,0)</f>
        <v/>
      </c>
      <c r="E92" s="175">
        <f>SUMIF('13_Progress_Track'!$A$2:$A$108,B93,'13_Progress_Track'!$E$2:$E$108)</f>
        <v/>
      </c>
      <c r="F92" s="175">
        <f>IF(E93&gt;(C93+D93),(E93-(C93+D93)),0)</f>
        <v/>
      </c>
      <c r="G92" s="177">
        <f>IF(F93&gt;0,0,C93+D93-E93)</f>
        <v/>
      </c>
      <c r="H92" s="148">
        <f>_xludf.IFNA(_xlfn.XLOOKUP(B93,'00_SKU_Master'!$B$2:$B$378,'00_SKU_Master'!$C$2:$C$378),"")</f>
        <v/>
      </c>
      <c r="I92" s="148" t="n"/>
      <c r="J92" s="14">
        <f>_xludf.IFNA(_xlfn.XLOOKUP(B93,'00_SKU_Master'!B$2:B$378,'00_SKU_Master'!H$2:H$378,0),"")</f>
        <v/>
      </c>
      <c r="K92" s="14">
        <f>_xludf.IFNA(_xlfn.XLOOKUP(B93,'00_SKU_Master'!B$2:B$378,'00_SKU_Master'!K$2:K$378,0),"")</f>
        <v/>
      </c>
      <c r="L92" s="148">
        <f>_xlfn.XLOOKUP(B93,'00_SKU_Master'!$B$2:$B$378,'00_SKU_Master'!D:D)</f>
        <v/>
      </c>
      <c r="M92" s="148">
        <f>IF((C93-E93)&lt;0,0,C93-E93)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_xlfn.XLOOKUP(B94,'02_TrayPack_Order'!$A$2:$A$264,'02_TrayPack_Order'!$C$2:$C$264)</f>
        <v/>
      </c>
      <c r="D93" s="176">
        <f>_xlfn.XLOOKUP(B94,'02_TrayPack_Order'!$A$2:$A$264,'02_TrayPack_Order'!$L$2:$L$264,0)</f>
        <v/>
      </c>
      <c r="E93" s="175">
        <f>SUMIF('13_Progress_Track'!$A$2:$A$108,B94,'13_Progress_Track'!$E$2:$E$108)</f>
        <v/>
      </c>
      <c r="F93" s="175">
        <f>IF(E94&gt;(C94+D94),(E94-(C94+D94)),0)</f>
        <v/>
      </c>
      <c r="G93" s="177">
        <f>IF(F94&gt;0,0,C94+D94-E94)</f>
        <v/>
      </c>
      <c r="H93" s="148">
        <f>_xludf.IFNA(_xlfn.XLOOKUP(B94,'00_SKU_Master'!$B$2:$B$378,'00_SKU_Master'!$C$2:$C$378),"")</f>
        <v/>
      </c>
      <c r="I93" s="148" t="n"/>
      <c r="J93" s="14">
        <f>_xludf.IFNA(_xlfn.XLOOKUP(B94,'00_SKU_Master'!B$2:B$378,'00_SKU_Master'!H$2:H$378,0),"")</f>
        <v/>
      </c>
      <c r="K93" s="14">
        <f>_xludf.IFNA(_xlfn.XLOOKUP(B94,'00_SKU_Master'!B$2:B$378,'00_SKU_Master'!K$2:K$378,0),"")</f>
        <v/>
      </c>
      <c r="L93" s="148">
        <f>_xlfn.XLOOKUP(B94,'00_SKU_Master'!$B$2:$B$378,'00_SKU_Master'!D:D)</f>
        <v/>
      </c>
      <c r="M93" s="148">
        <f>IF((C94-E94)&lt;0,0,C94-E94)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_xlfn.XLOOKUP(B95,'02_TrayPack_Order'!$A$2:$A$264,'02_TrayPack_Order'!$C$2:$C$264)</f>
        <v/>
      </c>
      <c r="D94" s="176">
        <f>_xlfn.XLOOKUP(B95,'02_TrayPack_Order'!$A$2:$A$264,'02_TrayPack_Order'!$L$2:$L$264,0)</f>
        <v/>
      </c>
      <c r="E94" s="175">
        <f>SUMIF('13_Progress_Track'!$A$2:$A$108,B95,'13_Progress_Track'!$E$2:$E$108)</f>
        <v/>
      </c>
      <c r="F94" s="175">
        <f>IF(E95&gt;(C95+D95),(E95-(C95+D95)),0)</f>
        <v/>
      </c>
      <c r="G94" s="177">
        <f>IF(F95&gt;0,0,C95+D95-E95)</f>
        <v/>
      </c>
      <c r="H94" s="148">
        <f>_xludf.IFNA(_xlfn.XLOOKUP(B95,'00_SKU_Master'!$B$2:$B$378,'00_SKU_Master'!$C$2:$C$378),"")</f>
        <v/>
      </c>
      <c r="I94" s="148" t="n"/>
      <c r="J94" s="14">
        <f>_xludf.IFNA(_xlfn.XLOOKUP(B95,'00_SKU_Master'!B$2:B$378,'00_SKU_Master'!H$2:H$378,0),"")</f>
        <v/>
      </c>
      <c r="K94" s="14">
        <f>_xludf.IFNA(_xlfn.XLOOKUP(B95,'00_SKU_Master'!B$2:B$378,'00_SKU_Master'!K$2:K$378,0),"")</f>
        <v/>
      </c>
      <c r="L94" s="148">
        <f>_xlfn.XLOOKUP(B95,'00_SKU_Master'!$B$2:$B$378,'00_SKU_Master'!D:D)</f>
        <v/>
      </c>
      <c r="M94" s="148">
        <f>IF((C95-E95)&lt;0,0,C95-E95)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_xlfn.XLOOKUP(B96,'02_TrayPack_Order'!$A$2:$A$264,'02_TrayPack_Order'!$C$2:$C$264)</f>
        <v/>
      </c>
      <c r="D95" s="176">
        <f>_xlfn.XLOOKUP(B96,'02_TrayPack_Order'!$A$2:$A$264,'02_TrayPack_Order'!$L$2:$L$264,0)</f>
        <v/>
      </c>
      <c r="E95" s="175">
        <f>SUMIF('13_Progress_Track'!$A$2:$A$108,B96,'13_Progress_Track'!$E$2:$E$108)</f>
        <v/>
      </c>
      <c r="F95" s="175">
        <f>IF(E96&gt;(C96+D96),(E96-(C96+D96)),0)</f>
        <v/>
      </c>
      <c r="G95" s="177">
        <f>IF(F96&gt;0,0,C96+D96-E96)</f>
        <v/>
      </c>
      <c r="H95" s="148">
        <f>_xludf.IFNA(_xlfn.XLOOKUP(B96,'00_SKU_Master'!$B$2:$B$378,'00_SKU_Master'!$C$2:$C$378),"")</f>
        <v/>
      </c>
      <c r="I95" s="148" t="n"/>
      <c r="J95" s="14">
        <f>_xludf.IFNA(_xlfn.XLOOKUP(B96,'00_SKU_Master'!B$2:B$378,'00_SKU_Master'!H$2:H$378,0),"")</f>
        <v/>
      </c>
      <c r="K95" s="14">
        <f>_xludf.IFNA(_xlfn.XLOOKUP(B96,'00_SKU_Master'!B$2:B$378,'00_SKU_Master'!K$2:K$378,0),"")</f>
        <v/>
      </c>
      <c r="L95" s="148">
        <f>_xlfn.XLOOKUP(B96,'00_SKU_Master'!$B$2:$B$378,'00_SKU_Master'!D:D)</f>
        <v/>
      </c>
      <c r="M95" s="148">
        <f>IF((C96-E96)&lt;0,0,C96-E96)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_xlfn.XLOOKUP(B97,'02_TrayPack_Order'!$A$2:$A$264,'02_TrayPack_Order'!$C$2:$C$264)</f>
        <v/>
      </c>
      <c r="D96" s="176">
        <f>_xlfn.XLOOKUP(B97,'02_TrayPack_Order'!$A$2:$A$264,'02_TrayPack_Order'!$L$2:$L$264,0)</f>
        <v/>
      </c>
      <c r="E96" s="175">
        <f>SUMIF('13_Progress_Track'!$A$2:$A$108,B97,'13_Progress_Track'!$E$2:$E$108)</f>
        <v/>
      </c>
      <c r="F96" s="175">
        <f>IF(E97&gt;(C97+D97),(E97-(C97+D97)),0)</f>
        <v/>
      </c>
      <c r="G96" s="177">
        <f>IF(F97&gt;0,0,C97+D97-E97)</f>
        <v/>
      </c>
      <c r="H96" s="148">
        <f>_xludf.IFNA(_xlfn.XLOOKUP(B97,'00_SKU_Master'!$B$2:$B$378,'00_SKU_Master'!$C$2:$C$378),"")</f>
        <v/>
      </c>
      <c r="I96" s="148" t="n"/>
      <c r="J96" s="14">
        <f>_xludf.IFNA(_xlfn.XLOOKUP(B97,'00_SKU_Master'!B$2:B$378,'00_SKU_Master'!H$2:H$378,0),"")</f>
        <v/>
      </c>
      <c r="K96" s="14">
        <f>_xludf.IFNA(_xlfn.XLOOKUP(B97,'00_SKU_Master'!B$2:B$378,'00_SKU_Master'!K$2:K$378,0),"")</f>
        <v/>
      </c>
      <c r="L96" s="148">
        <f>_xlfn.XLOOKUP(B97,'00_SKU_Master'!$B$2:$B$378,'00_SKU_Master'!D:D)</f>
        <v/>
      </c>
      <c r="M96" s="148">
        <f>IF((C97-E97)&lt;0,0,C97-E97)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_xlfn.XLOOKUP(B98,'02_TrayPack_Order'!$A$2:$A$264,'02_TrayPack_Order'!$C$2:$C$264)</f>
        <v/>
      </c>
      <c r="D97" s="176">
        <f>_xlfn.XLOOKUP(B98,'02_TrayPack_Order'!$A$2:$A$264,'02_TrayPack_Order'!$L$2:$L$264,0)</f>
        <v/>
      </c>
      <c r="E97" s="175">
        <f>SUMIF('13_Progress_Track'!$A$2:$A$108,B98,'13_Progress_Track'!$E$2:$E$108)</f>
        <v/>
      </c>
      <c r="F97" s="175">
        <f>IF(E98&gt;(C98+D98),(E98-(C98+D98)),0)</f>
        <v/>
      </c>
      <c r="G97" s="177">
        <f>IF(F98&gt;0,0,C98+D98-E98)</f>
        <v/>
      </c>
      <c r="H97" s="148">
        <f>_xludf.IFNA(_xlfn.XLOOKUP(B98,'00_SKU_Master'!$B$2:$B$378,'00_SKU_Master'!$C$2:$C$378),"")</f>
        <v/>
      </c>
      <c r="I97" s="148" t="n"/>
      <c r="J97" s="14">
        <f>_xludf.IFNA(_xlfn.XLOOKUP(B98,'00_SKU_Master'!B$2:B$378,'00_SKU_Master'!H$2:H$378,0),"")</f>
        <v/>
      </c>
      <c r="K97" s="14">
        <f>_xludf.IFNA(_xlfn.XLOOKUP(B98,'00_SKU_Master'!B$2:B$378,'00_SKU_Master'!K$2:K$378,0),"")</f>
        <v/>
      </c>
      <c r="L97" s="148">
        <f>_xlfn.XLOOKUP(B98,'00_SKU_Master'!$B$2:$B$378,'00_SKU_Master'!D:D)</f>
        <v/>
      </c>
      <c r="M97" s="148">
        <f>IF((C98-E98)&lt;0,0,C98-E98)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_xlfn.XLOOKUP(B99,'02_TrayPack_Order'!$A$2:$A$264,'02_TrayPack_Order'!$C$2:$C$264)</f>
        <v/>
      </c>
      <c r="D98" s="176">
        <f>_xlfn.XLOOKUP(B99,'02_TrayPack_Order'!$A$2:$A$264,'02_TrayPack_Order'!$L$2:$L$264,0)</f>
        <v/>
      </c>
      <c r="E98" s="175">
        <f>SUMIF('13_Progress_Track'!$A$2:$A$108,B99,'13_Progress_Track'!$E$2:$E$108)</f>
        <v/>
      </c>
      <c r="F98" s="175">
        <f>IF(E99&gt;(C99+D99),(E99-(C99+D99)),0)</f>
        <v/>
      </c>
      <c r="G98" s="177">
        <f>IF(F99&gt;0,0,C99+D99-E99)</f>
        <v/>
      </c>
      <c r="H98" s="148">
        <f>_xludf.IFNA(_xlfn.XLOOKUP(B99,'00_SKU_Master'!$B$2:$B$378,'00_SKU_Master'!$C$2:$C$378),"")</f>
        <v/>
      </c>
      <c r="I98" s="148" t="n"/>
      <c r="J98" s="14">
        <f>_xludf.IFNA(_xlfn.XLOOKUP(B99,'00_SKU_Master'!B$2:B$378,'00_SKU_Master'!H$2:H$378,0),"")</f>
        <v/>
      </c>
      <c r="K98" s="14">
        <f>_xludf.IFNA(_xlfn.XLOOKUP(B99,'00_SKU_Master'!B$2:B$378,'00_SKU_Master'!K$2:K$378,0),"")</f>
        <v/>
      </c>
      <c r="L98" s="148">
        <f>_xlfn.XLOOKUP(B99,'00_SKU_Master'!$B$2:$B$378,'00_SKU_Master'!D:D)</f>
        <v/>
      </c>
      <c r="M98" s="148">
        <f>IF((C99-E99)&lt;0,0,C99-E99)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_xlfn.XLOOKUP(B100,'02_TrayPack_Order'!$A$2:$A$264,'02_TrayPack_Order'!$C$2:$C$264)</f>
        <v/>
      </c>
      <c r="D99" s="176">
        <f>_xlfn.XLOOKUP(B100,'02_TrayPack_Order'!$A$2:$A$264,'02_TrayPack_Order'!$L$2:$L$264,0)</f>
        <v/>
      </c>
      <c r="E99" s="175">
        <f>SUMIF('13_Progress_Track'!$A$2:$A$108,B100,'13_Progress_Track'!$E$2:$E$108)</f>
        <v/>
      </c>
      <c r="F99" s="175">
        <f>IF(E100&gt;(C100+D100),(E100-(C100+D100)),0)</f>
        <v/>
      </c>
      <c r="G99" s="177">
        <f>IF(F100&gt;0,0,C100+D100-E100)</f>
        <v/>
      </c>
      <c r="H99" s="148">
        <f>_xludf.IFNA(_xlfn.XLOOKUP(B100,'00_SKU_Master'!$B$2:$B$378,'00_SKU_Master'!$C$2:$C$378),"")</f>
        <v/>
      </c>
      <c r="I99" s="148" t="n"/>
      <c r="J99" s="14">
        <f>_xludf.IFNA(_xlfn.XLOOKUP(B100,'00_SKU_Master'!B$2:B$378,'00_SKU_Master'!H$2:H$378,0),"")</f>
        <v/>
      </c>
      <c r="K99" s="14">
        <f>_xludf.IFNA(_xlfn.XLOOKUP(B100,'00_SKU_Master'!B$2:B$378,'00_SKU_Master'!K$2:K$378,0),"")</f>
        <v/>
      </c>
      <c r="L99" s="148">
        <f>_xlfn.XLOOKUP(B100,'00_SKU_Master'!$B$2:$B$378,'00_SKU_Master'!D:D)</f>
        <v/>
      </c>
      <c r="M99" s="148">
        <f>IF((C100-E100)&lt;0,0,C100-E100)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_xlfn.XLOOKUP(B101,'02_TrayPack_Order'!$A$2:$A$264,'02_TrayPack_Order'!$C$2:$C$264)</f>
        <v/>
      </c>
      <c r="D100" s="176">
        <f>_xlfn.XLOOKUP(B101,'02_TrayPack_Order'!$A$2:$A$264,'02_TrayPack_Order'!$L$2:$L$264,0)</f>
        <v/>
      </c>
      <c r="E100" s="175">
        <f>SUMIF('13_Progress_Track'!$A$2:$A$108,B101,'13_Progress_Track'!$E$2:$E$108)</f>
        <v/>
      </c>
      <c r="F100" s="175">
        <f>IF(E101&gt;(C101+D101),(E101-(C101+D101)),0)</f>
        <v/>
      </c>
      <c r="G100" s="177">
        <f>IF(F101&gt;0,0,C101+D101-E101)</f>
        <v/>
      </c>
      <c r="H100" s="148">
        <f>_xludf.IFNA(_xlfn.XLOOKUP(B101,'00_SKU_Master'!$B$2:$B$378,'00_SKU_Master'!$C$2:$C$378),"")</f>
        <v/>
      </c>
      <c r="I100" s="148" t="n"/>
      <c r="J100" s="14">
        <f>_xludf.IFNA(_xlfn.XLOOKUP(B101,'00_SKU_Master'!B$2:B$378,'00_SKU_Master'!H$2:H$378,0),"")</f>
        <v/>
      </c>
      <c r="K100" s="14">
        <f>_xludf.IFNA(_xlfn.XLOOKUP(B101,'00_SKU_Master'!B$2:B$378,'00_SKU_Master'!K$2:K$378,0),"")</f>
        <v/>
      </c>
      <c r="L100" s="148">
        <f>_xlfn.XLOOKUP(B101,'00_SKU_Master'!$B$2:$B$378,'00_SKU_Master'!D:D)</f>
        <v/>
      </c>
      <c r="M100" s="148">
        <f>IF((C101-E101)&lt;0,0,C101-E101)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_xlfn.XLOOKUP(B102,'02_TrayPack_Order'!$A$2:$A$264,'02_TrayPack_Order'!$C$2:$C$264)</f>
        <v/>
      </c>
      <c r="D101" s="176">
        <f>_xlfn.XLOOKUP(B102,'02_TrayPack_Order'!$A$2:$A$264,'02_TrayPack_Order'!$L$2:$L$264,0)</f>
        <v/>
      </c>
      <c r="E101" s="175">
        <f>SUMIF('13_Progress_Track'!$A$2:$A$108,B102,'13_Progress_Track'!$E$2:$E$108)</f>
        <v/>
      </c>
      <c r="F101" s="175">
        <f>IF(E102&gt;(C102+D102),(E102-(C102+D102)),0)</f>
        <v/>
      </c>
      <c r="G101" s="177">
        <f>IF(F102&gt;0,0,C102+D102-E102)</f>
        <v/>
      </c>
      <c r="H101" s="148">
        <f>_xludf.IFNA(_xlfn.XLOOKUP(B102,'00_SKU_Master'!$B$2:$B$378,'00_SKU_Master'!$C$2:$C$378),"")</f>
        <v/>
      </c>
      <c r="I101" s="148" t="n"/>
      <c r="J101" s="14">
        <f>_xludf.IFNA(_xlfn.XLOOKUP(B102,'00_SKU_Master'!B$2:B$378,'00_SKU_Master'!H$2:H$378,0),"")</f>
        <v/>
      </c>
      <c r="K101" s="14">
        <f>_xludf.IFNA(_xlfn.XLOOKUP(B102,'00_SKU_Master'!B$2:B$378,'00_SKU_Master'!K$2:K$378,0),"")</f>
        <v/>
      </c>
      <c r="L101" s="148">
        <f>_xlfn.XLOOKUP(B102,'00_SKU_Master'!$B$2:$B$378,'00_SKU_Master'!D:D)</f>
        <v/>
      </c>
      <c r="M101" s="148">
        <f>IF((C102-E102)&lt;0,0,C102-E102)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_xlfn.XLOOKUP(B103,'02_TrayPack_Order'!$A$2:$A$264,'02_TrayPack_Order'!$C$2:$C$264)</f>
        <v/>
      </c>
      <c r="D102" s="176">
        <f>_xlfn.XLOOKUP(B103,'02_TrayPack_Order'!$A$2:$A$264,'02_TrayPack_Order'!$L$2:$L$264,0)</f>
        <v/>
      </c>
      <c r="E102" s="175">
        <f>SUMIF('13_Progress_Track'!$A$2:$A$108,B103,'13_Progress_Track'!$E$2:$E$108)</f>
        <v/>
      </c>
      <c r="F102" s="175">
        <f>IF(E103&gt;(C103+D103),(E103-(C103+D103)),0)</f>
        <v/>
      </c>
      <c r="G102" s="177">
        <f>IF(F103&gt;0,0,C103+D103-E103)</f>
        <v/>
      </c>
      <c r="H102" s="148">
        <f>_xludf.IFNA(_xlfn.XLOOKUP(B103,'00_SKU_Master'!$B$2:$B$378,'00_SKU_Master'!$C$2:$C$378),"")</f>
        <v/>
      </c>
      <c r="I102" s="148" t="n"/>
      <c r="J102" s="14">
        <f>_xludf.IFNA(_xlfn.XLOOKUP(B103,'00_SKU_Master'!B$2:B$378,'00_SKU_Master'!H$2:H$378,0),"")</f>
        <v/>
      </c>
      <c r="K102" s="14">
        <f>_xludf.IFNA(_xlfn.XLOOKUP(B103,'00_SKU_Master'!B$2:B$378,'00_SKU_Master'!K$2:K$378,0),"")</f>
        <v/>
      </c>
      <c r="L102" s="148">
        <f>_xlfn.XLOOKUP(B103,'00_SKU_Master'!$B$2:$B$378,'00_SKU_Master'!D:D)</f>
        <v/>
      </c>
      <c r="M102" s="148">
        <f>IF((C103-E103)&lt;0,0,C103-E103)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_xlfn.XLOOKUP(B104,'02_TrayPack_Order'!$A$2:$A$264,'02_TrayPack_Order'!$C$2:$C$264)</f>
        <v/>
      </c>
      <c r="D103" s="176">
        <f>_xlfn.XLOOKUP(B104,'02_TrayPack_Order'!$A$2:$A$264,'02_TrayPack_Order'!$L$2:$L$264,0)</f>
        <v/>
      </c>
      <c r="E103" s="175">
        <f>SUMIF('13_Progress_Track'!$A$2:$A$108,B104,'13_Progress_Track'!$E$2:$E$108)</f>
        <v/>
      </c>
      <c r="F103" s="175">
        <f>IF(E104&gt;(C104+D104),(E104-(C104+D104)),0)</f>
        <v/>
      </c>
      <c r="G103" s="177">
        <f>IF(F104&gt;0,0,C104+D104-E104)</f>
        <v/>
      </c>
      <c r="H103" s="148">
        <f>_xludf.IFNA(_xlfn.XLOOKUP(B104,'00_SKU_Master'!$B$2:$B$378,'00_SKU_Master'!$C$2:$C$378),"")</f>
        <v/>
      </c>
      <c r="I103" s="148" t="n"/>
      <c r="J103" s="14">
        <f>_xludf.IFNA(_xlfn.XLOOKUP(B104,'00_SKU_Master'!B$2:B$378,'00_SKU_Master'!H$2:H$378,0),"")</f>
        <v/>
      </c>
      <c r="K103" s="14">
        <f>_xludf.IFNA(_xlfn.XLOOKUP(B104,'00_SKU_Master'!B$2:B$378,'00_SKU_Master'!K$2:K$378,0),"")</f>
        <v/>
      </c>
      <c r="L103" s="148">
        <f>_xlfn.XLOOKUP(B104,'00_SKU_Master'!$B$2:$B$378,'00_SKU_Master'!D:D)</f>
        <v/>
      </c>
      <c r="M103" s="148">
        <f>IF((C104-E104)&lt;0,0,C104-E104)</f>
        <v/>
      </c>
      <c r="N103" s="178" t="n"/>
    </row>
    <row r="104">
      <c r="A104" s="148">
        <f>'00_SKU_Master'!J196</f>
        <v/>
      </c>
      <c r="B104" s="148">
        <f>'00_SKU_Master'!B196</f>
        <v/>
      </c>
      <c r="C104" s="175">
        <f>_xlfn.XLOOKUP(B105,'02_TrayPack_Order'!$A$2:$A$264,'02_TrayPack_Order'!$C$2:$C$264)</f>
        <v/>
      </c>
      <c r="D104" s="176">
        <f>_xlfn.XLOOKUP(B105,'02_TrayPack_Order'!$A$2:$A$264,'02_TrayPack_Order'!$L$2:$L$264,0)</f>
        <v/>
      </c>
      <c r="E104" s="175">
        <f>SUMIF('13_Progress_Track'!$A$2:$A$108,B105,'13_Progress_Track'!$E$2:$E$108)</f>
        <v/>
      </c>
      <c r="F104" s="175">
        <f>IF(E105&gt;(C105+D105),(E105-(C105+D105)),0)</f>
        <v/>
      </c>
      <c r="G104" s="177">
        <f>IF(F105&gt;0,0,C105+D105-E105)</f>
        <v/>
      </c>
      <c r="H104" s="148">
        <f>_xludf.IFNA(_xlfn.XLOOKUP(B105,'00_SKU_Master'!$B$2:$B$378,'00_SKU_Master'!$C$2:$C$378),"")</f>
        <v/>
      </c>
      <c r="I104" s="148" t="n"/>
      <c r="J104" s="14">
        <f>_xludf.IFNA(_xlfn.XLOOKUP(B105,'00_SKU_Master'!B$2:B$378,'00_SKU_Master'!H$2:H$378,0),"")</f>
        <v/>
      </c>
      <c r="K104" s="14">
        <f>_xludf.IFNA(_xlfn.XLOOKUP(B105,'00_SKU_Master'!B$2:B$378,'00_SKU_Master'!K$2:K$378,0),"")</f>
        <v/>
      </c>
      <c r="L104" s="148">
        <f>_xlfn.XLOOKUP(B105,'00_SKU_Master'!$B$2:$B$378,'00_SKU_Master'!D:D)</f>
        <v/>
      </c>
      <c r="M104" s="148">
        <f>IF((C105-E105)&lt;0,0,C105-E105)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_xlfn.XLOOKUP(B106,'02_TrayPack_Order'!$A$2:$A$264,'02_TrayPack_Order'!$C$2:$C$264)</f>
        <v/>
      </c>
      <c r="D105" s="176">
        <f>_xlfn.XLOOKUP(B106,'02_TrayPack_Order'!$A$2:$A$264,'02_TrayPack_Order'!$L$2:$L$264,0)</f>
        <v/>
      </c>
      <c r="E105" s="175">
        <f>SUMIF('13_Progress_Track'!$A$2:$A$108,B106,'13_Progress_Track'!$E$2:$E$108)</f>
        <v/>
      </c>
      <c r="F105" s="175">
        <f>IF(E106&gt;(C106+D106),(E106-(C106+D106)),0)</f>
        <v/>
      </c>
      <c r="G105" s="177">
        <f>IF(F106&gt;0,0,C106+D106-E106)</f>
        <v/>
      </c>
      <c r="H105" s="148">
        <f>_xludf.IFNA(_xlfn.XLOOKUP(B106,'00_SKU_Master'!$B$2:$B$378,'00_SKU_Master'!$C$2:$C$378),"")</f>
        <v/>
      </c>
      <c r="I105" s="148" t="n"/>
      <c r="J105" s="14">
        <f>_xludf.IFNA(_xlfn.XLOOKUP(B106,'00_SKU_Master'!B$2:B$378,'00_SKU_Master'!H$2:H$378,0),"")</f>
        <v/>
      </c>
      <c r="K105" s="14">
        <f>_xludf.IFNA(_xlfn.XLOOKUP(B106,'00_SKU_Master'!B$2:B$378,'00_SKU_Master'!K$2:K$378,0),"")</f>
        <v/>
      </c>
      <c r="L105" s="148">
        <f>_xlfn.XLOOKUP(B106,'00_SKU_Master'!$B$2:$B$378,'00_SKU_Master'!D:D)</f>
        <v/>
      </c>
      <c r="M105" s="148">
        <f>IF((C106-E106)&lt;0,0,C106-E106)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_xlfn.XLOOKUP(B107,'02_TrayPack_Order'!$A$2:$A$264,'02_TrayPack_Order'!$C$2:$C$264)</f>
        <v/>
      </c>
      <c r="D106" s="176">
        <f>_xlfn.XLOOKUP(B107,'02_TrayPack_Order'!$A$2:$A$264,'02_TrayPack_Order'!$L$2:$L$264,0)</f>
        <v/>
      </c>
      <c r="E106" s="175">
        <f>SUMIF('13_Progress_Track'!$A$2:$A$108,B107,'13_Progress_Track'!$E$2:$E$108)</f>
        <v/>
      </c>
      <c r="F106" s="175">
        <f>IF(E107&gt;(C107+D107),(E107-(C107+D107)),0)</f>
        <v/>
      </c>
      <c r="G106" s="177">
        <f>IF(F107&gt;0,0,C107+D107-E107)</f>
        <v/>
      </c>
      <c r="H106" s="148">
        <f>_xludf.IFNA(_xlfn.XLOOKUP(B107,'00_SKU_Master'!$B$2:$B$378,'00_SKU_Master'!$C$2:$C$378),"")</f>
        <v/>
      </c>
      <c r="I106" s="148" t="n"/>
      <c r="J106" s="14">
        <f>_xludf.IFNA(_xlfn.XLOOKUP(B107,'00_SKU_Master'!B$2:B$378,'00_SKU_Master'!H$2:H$378,0),"")</f>
        <v/>
      </c>
      <c r="K106" s="14">
        <f>_xludf.IFNA(_xlfn.XLOOKUP(B107,'00_SKU_Master'!B$2:B$378,'00_SKU_Master'!K$2:K$378,0),"")</f>
        <v/>
      </c>
      <c r="L106" s="148">
        <f>_xlfn.XLOOKUP(B107,'00_SKU_Master'!$B$2:$B$378,'00_SKU_Master'!D:D)</f>
        <v/>
      </c>
      <c r="M106" s="148">
        <f>IF((C107-E107)&lt;0,0,C107-E107)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_xlfn.XLOOKUP(B108,'02_TrayPack_Order'!$A$2:$A$264,'02_TrayPack_Order'!$C$2:$C$264)</f>
        <v/>
      </c>
      <c r="D107" s="176">
        <f>_xlfn.XLOOKUP(B108,'02_TrayPack_Order'!$A$2:$A$264,'02_TrayPack_Order'!$L$2:$L$264,0)</f>
        <v/>
      </c>
      <c r="E107" s="175">
        <f>SUMIF('13_Progress_Track'!$A$2:$A$108,B108,'13_Progress_Track'!$E$2:$E$108)</f>
        <v/>
      </c>
      <c r="F107" s="175">
        <f>IF(E108&gt;(C108+D108),(E108-(C108+D108)),0)</f>
        <v/>
      </c>
      <c r="G107" s="177">
        <f>IF(F108&gt;0,0,C108+D108-E108)</f>
        <v/>
      </c>
      <c r="H107" s="148">
        <f>_xludf.IFNA(_xlfn.XLOOKUP(B108,'00_SKU_Master'!$B$2:$B$378,'00_SKU_Master'!$C$2:$C$378),"")</f>
        <v/>
      </c>
      <c r="I107" s="148" t="n"/>
      <c r="J107" s="14">
        <f>_xludf.IFNA(_xlfn.XLOOKUP(B108,'00_SKU_Master'!B$2:B$378,'00_SKU_Master'!H$2:H$378,0),"")</f>
        <v/>
      </c>
      <c r="K107" s="14">
        <f>_xludf.IFNA(_xlfn.XLOOKUP(B108,'00_SKU_Master'!B$2:B$378,'00_SKU_Master'!K$2:K$378,0),"")</f>
        <v/>
      </c>
      <c r="L107" s="148">
        <f>_xlfn.XLOOKUP(B108,'00_SKU_Master'!$B$2:$B$378,'00_SKU_Master'!D:D)</f>
        <v/>
      </c>
      <c r="M107" s="148">
        <f>IF((C108-E108)&lt;0,0,C108-E108)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_xlfn.XLOOKUP(B109,'02_TrayPack_Order'!$A$2:$A$264,'02_TrayPack_Order'!$C$2:$C$264)</f>
        <v/>
      </c>
      <c r="D108" s="176">
        <f>_xlfn.XLOOKUP(B109,'02_TrayPack_Order'!$A$2:$A$264,'02_TrayPack_Order'!$L$2:$L$264,0)</f>
        <v/>
      </c>
      <c r="E108" s="175">
        <f>SUMIF('13_Progress_Track'!$A$2:$A$108,B109,'13_Progress_Track'!$E$2:$E$108)</f>
        <v/>
      </c>
      <c r="F108" s="175">
        <f>IF(E109&gt;(C109+D109),(E109-(C109+D109)),0)</f>
        <v/>
      </c>
      <c r="G108" s="177">
        <f>IF(F109&gt;0,0,C109+D109-E109)</f>
        <v/>
      </c>
      <c r="H108" s="148">
        <f>_xludf.IFNA(_xlfn.XLOOKUP(B109,'00_SKU_Master'!$B$2:$B$378,'00_SKU_Master'!$C$2:$C$378),"")</f>
        <v/>
      </c>
      <c r="I108" s="148" t="n"/>
      <c r="J108" s="14">
        <f>_xludf.IFNA(_xlfn.XLOOKUP(B109,'00_SKU_Master'!B$2:B$378,'00_SKU_Master'!H$2:H$378,0),"")</f>
        <v/>
      </c>
      <c r="K108" s="14">
        <f>_xludf.IFNA(_xlfn.XLOOKUP(B109,'00_SKU_Master'!B$2:B$378,'00_SKU_Master'!K$2:K$378,0),"")</f>
        <v/>
      </c>
      <c r="L108" s="148">
        <f>_xlfn.XLOOKUP(B109,'00_SKU_Master'!$B$2:$B$378,'00_SKU_Master'!D:D)</f>
        <v/>
      </c>
      <c r="M108" s="148">
        <f>IF((C109-E109)&lt;0,0,C109-E109)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_xlfn.XLOOKUP(B110,'02_TrayPack_Order'!$A$2:$A$264,'02_TrayPack_Order'!$C$2:$C$264)</f>
        <v/>
      </c>
      <c r="D109" s="176">
        <f>_xlfn.XLOOKUP(B110,'02_TrayPack_Order'!$A$2:$A$264,'02_TrayPack_Order'!$L$2:$L$264,0)</f>
        <v/>
      </c>
      <c r="E109" s="175">
        <f>SUMIF('13_Progress_Track'!$A$2:$A$108,B110,'13_Progress_Track'!$E$2:$E$108)</f>
        <v/>
      </c>
      <c r="F109" s="175">
        <f>IF(E110&gt;(C110+D110),(E110-(C110+D110)),0)</f>
        <v/>
      </c>
      <c r="G109" s="177">
        <f>IF(F110&gt;0,0,C110+D110-E110)</f>
        <v/>
      </c>
      <c r="H109" s="148">
        <f>_xludf.IFNA(_xlfn.XLOOKUP(B110,'00_SKU_Master'!$B$2:$B$378,'00_SKU_Master'!$C$2:$C$378),"")</f>
        <v/>
      </c>
      <c r="I109" s="148" t="n"/>
      <c r="J109" s="14">
        <f>_xludf.IFNA(_xlfn.XLOOKUP(B110,'00_SKU_Master'!B$2:B$378,'00_SKU_Master'!H$2:H$378,0),"")</f>
        <v/>
      </c>
      <c r="K109" s="14">
        <f>_xludf.IFNA(_xlfn.XLOOKUP(B110,'00_SKU_Master'!B$2:B$378,'00_SKU_Master'!K$2:K$378,0),"")</f>
        <v/>
      </c>
      <c r="L109" s="148">
        <f>_xlfn.XLOOKUP(B110,'00_SKU_Master'!$B$2:$B$378,'00_SKU_Master'!D:D)</f>
        <v/>
      </c>
      <c r="M109" s="148">
        <f>IF((C110-E110)&lt;0,0,C110-E110)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_xlfn.XLOOKUP(B111,'02_TrayPack_Order'!$A$2:$A$264,'02_TrayPack_Order'!$C$2:$C$264)</f>
        <v/>
      </c>
      <c r="D110" s="176">
        <f>_xlfn.XLOOKUP(B111,'02_TrayPack_Order'!$A$2:$A$264,'02_TrayPack_Order'!$L$2:$L$264,0)</f>
        <v/>
      </c>
      <c r="E110" s="175">
        <f>SUMIF('13_Progress_Track'!$A$2:$A$108,B111,'13_Progress_Track'!$E$2:$E$108)</f>
        <v/>
      </c>
      <c r="F110" s="175">
        <f>IF(E111&gt;(C111+D111),(E111-(C111+D111)),0)</f>
        <v/>
      </c>
      <c r="G110" s="177">
        <f>IF(F111&gt;0,0,C111+D111-E111)</f>
        <v/>
      </c>
      <c r="H110" s="148">
        <f>_xludf.IFNA(_xlfn.XLOOKUP(B111,'00_SKU_Master'!$B$2:$B$378,'00_SKU_Master'!$C$2:$C$378),"")</f>
        <v/>
      </c>
      <c r="I110" s="148" t="n"/>
      <c r="J110" s="14">
        <f>_xludf.IFNA(_xlfn.XLOOKUP(B111,'00_SKU_Master'!B$2:B$378,'00_SKU_Master'!H$2:H$378,0),"")</f>
        <v/>
      </c>
      <c r="K110" s="14">
        <f>_xludf.IFNA(_xlfn.XLOOKUP(B111,'00_SKU_Master'!B$2:B$378,'00_SKU_Master'!K$2:K$378,0),"")</f>
        <v/>
      </c>
      <c r="L110" s="148">
        <f>_xlfn.XLOOKUP(B111,'00_SKU_Master'!$B$2:$B$378,'00_SKU_Master'!D:D)</f>
        <v/>
      </c>
      <c r="M110" s="148">
        <f>IF((C111-E111)&lt;0,0,C111-E111)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_xlfn.XLOOKUP(B112,'02_TrayPack_Order'!$A$2:$A$264,'02_TrayPack_Order'!$C$2:$C$264)</f>
        <v/>
      </c>
      <c r="D111" s="176">
        <f>_xlfn.XLOOKUP(B112,'02_TrayPack_Order'!$A$2:$A$264,'02_TrayPack_Order'!$L$2:$L$264,0)</f>
        <v/>
      </c>
      <c r="E111" s="175">
        <f>SUMIF('13_Progress_Track'!$A$2:$A$108,B112,'13_Progress_Track'!$E$2:$E$108)</f>
        <v/>
      </c>
      <c r="F111" s="175">
        <f>IF(E112&gt;(C112+D112),(E112-(C112+D112)),0)</f>
        <v/>
      </c>
      <c r="G111" s="177">
        <f>IF(F112&gt;0,0,C112+D112-E112)</f>
        <v/>
      </c>
      <c r="H111" s="148">
        <f>_xludf.IFNA(_xlfn.XLOOKUP(B112,'00_SKU_Master'!$B$2:$B$378,'00_SKU_Master'!$C$2:$C$378),"")</f>
        <v/>
      </c>
      <c r="I111" s="148" t="n"/>
      <c r="J111" s="14">
        <f>_xludf.IFNA(_xlfn.XLOOKUP(B112,'00_SKU_Master'!B$2:B$378,'00_SKU_Master'!H$2:H$378,0),"")</f>
        <v/>
      </c>
      <c r="K111" s="14">
        <f>_xludf.IFNA(_xlfn.XLOOKUP(B112,'00_SKU_Master'!B$2:B$378,'00_SKU_Master'!K$2:K$378,0),"")</f>
        <v/>
      </c>
      <c r="L111" s="148">
        <f>_xlfn.XLOOKUP(B112,'00_SKU_Master'!$B$2:$B$378,'00_SKU_Master'!D:D)</f>
        <v/>
      </c>
      <c r="M111" s="148">
        <f>IF((C112-E112)&lt;0,0,C112-E112)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_xlfn.XLOOKUP(B113,'02_TrayPack_Order'!$A$2:$A$264,'02_TrayPack_Order'!$C$2:$C$264)</f>
        <v/>
      </c>
      <c r="D112" s="176">
        <f>_xlfn.XLOOKUP(B113,'02_TrayPack_Order'!$A$2:$A$264,'02_TrayPack_Order'!$L$2:$L$264,0)</f>
        <v/>
      </c>
      <c r="E112" s="175">
        <f>SUMIF('13_Progress_Track'!$A$2:$A$108,B113,'13_Progress_Track'!$E$2:$E$108)</f>
        <v/>
      </c>
      <c r="F112" s="175">
        <f>IF(E113&gt;(C113+D113),(E113-(C113+D113)),0)</f>
        <v/>
      </c>
      <c r="G112" s="177">
        <f>IF(F113&gt;0,0,C113+D113-E113)</f>
        <v/>
      </c>
      <c r="H112" s="148">
        <f>_xludf.IFNA(_xlfn.XLOOKUP(B113,'00_SKU_Master'!$B$2:$B$378,'00_SKU_Master'!$C$2:$C$378),"")</f>
        <v/>
      </c>
      <c r="I112" s="148" t="n"/>
      <c r="J112" s="14">
        <f>_xludf.IFNA(_xlfn.XLOOKUP(B113,'00_SKU_Master'!B$2:B$378,'00_SKU_Master'!H$2:H$378,0),"")</f>
        <v/>
      </c>
      <c r="K112" s="14">
        <f>_xludf.IFNA(_xlfn.XLOOKUP(B113,'00_SKU_Master'!B$2:B$378,'00_SKU_Master'!K$2:K$378,0),"")</f>
        <v/>
      </c>
      <c r="L112" s="148">
        <f>_xlfn.XLOOKUP(B113,'00_SKU_Master'!$B$2:$B$378,'00_SKU_Master'!D:D)</f>
        <v/>
      </c>
      <c r="M112" s="148">
        <f>IF((C113-E113)&lt;0,0,C113-E113)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_xlfn.XLOOKUP(B114,'02_TrayPack_Order'!$A$2:$A$264,'02_TrayPack_Order'!$C$2:$C$264)</f>
        <v/>
      </c>
      <c r="D113" s="176">
        <f>_xlfn.XLOOKUP(B114,'02_TrayPack_Order'!$A$2:$A$264,'02_TrayPack_Order'!$L$2:$L$264,0)</f>
        <v/>
      </c>
      <c r="E113" s="175">
        <f>SUMIF('13_Progress_Track'!$A$2:$A$108,B114,'13_Progress_Track'!$E$2:$E$108)</f>
        <v/>
      </c>
      <c r="F113" s="175">
        <f>IF(E114&gt;(C114+D114),(E114-(C114+D114)),0)</f>
        <v/>
      </c>
      <c r="G113" s="177">
        <f>IF(F114&gt;0,0,C114+D114-E114)</f>
        <v/>
      </c>
      <c r="H113" s="148">
        <f>_xludf.IFNA(_xlfn.XLOOKUP(B114,'00_SKU_Master'!$B$2:$B$378,'00_SKU_Master'!$C$2:$C$378),"")</f>
        <v/>
      </c>
      <c r="I113" s="148" t="n"/>
      <c r="J113" s="14">
        <f>_xludf.IFNA(_xlfn.XLOOKUP(B114,'00_SKU_Master'!B$2:B$378,'00_SKU_Master'!H$2:H$378,0),"")</f>
        <v/>
      </c>
      <c r="K113" s="14">
        <f>_xludf.IFNA(_xlfn.XLOOKUP(B114,'00_SKU_Master'!B$2:B$378,'00_SKU_Master'!K$2:K$378,0),"")</f>
        <v/>
      </c>
      <c r="L113" s="148">
        <f>_xlfn.XLOOKUP(B114,'00_SKU_Master'!$B$2:$B$378,'00_SKU_Master'!D:D)</f>
        <v/>
      </c>
      <c r="M113" s="148">
        <f>IF((C114-E114)&lt;0,0,C114-E114)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_xlfn.XLOOKUP(B115,'02_TrayPack_Order'!$A$2:$A$264,'02_TrayPack_Order'!$C$2:$C$264)</f>
        <v/>
      </c>
      <c r="D114" s="176">
        <f>_xlfn.XLOOKUP(B115,'02_TrayPack_Order'!$A$2:$A$264,'02_TrayPack_Order'!$L$2:$L$264,0)</f>
        <v/>
      </c>
      <c r="E114" s="175">
        <f>SUMIF('13_Progress_Track'!$A$2:$A$108,B115,'13_Progress_Track'!$E$2:$E$108)</f>
        <v/>
      </c>
      <c r="F114" s="175">
        <f>IF(E115&gt;(C115+D115),(E115-(C115+D115)),0)</f>
        <v/>
      </c>
      <c r="G114" s="177">
        <f>IF(F115&gt;0,0,C115+D115-E115)</f>
        <v/>
      </c>
      <c r="H114" s="148">
        <f>_xludf.IFNA(_xlfn.XLOOKUP(B115,'00_SKU_Master'!$B$2:$B$378,'00_SKU_Master'!$C$2:$C$378),"")</f>
        <v/>
      </c>
      <c r="I114" s="148" t="n"/>
      <c r="J114" s="14">
        <f>_xludf.IFNA(_xlfn.XLOOKUP(B115,'00_SKU_Master'!B$2:B$378,'00_SKU_Master'!H$2:H$378,0),"")</f>
        <v/>
      </c>
      <c r="K114" s="14">
        <f>_xludf.IFNA(_xlfn.XLOOKUP(B115,'00_SKU_Master'!B$2:B$378,'00_SKU_Master'!K$2:K$378,0),"")</f>
        <v/>
      </c>
      <c r="L114" s="148">
        <f>_xlfn.XLOOKUP(B115,'00_SKU_Master'!$B$2:$B$378,'00_SKU_Master'!D:D)</f>
        <v/>
      </c>
      <c r="M114" s="148">
        <f>IF((C115-E115)&lt;0,0,C115-E115)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_xlfn.XLOOKUP(B116,'02_TrayPack_Order'!$A$2:$A$264,'02_TrayPack_Order'!$C$2:$C$264)</f>
        <v/>
      </c>
      <c r="D115" s="176">
        <f>_xlfn.XLOOKUP(B116,'02_TrayPack_Order'!$A$2:$A$264,'02_TrayPack_Order'!$L$2:$L$264,0)</f>
        <v/>
      </c>
      <c r="E115" s="175">
        <f>SUMIF('13_Progress_Track'!$A$2:$A$108,B116,'13_Progress_Track'!$E$2:$E$108)</f>
        <v/>
      </c>
      <c r="F115" s="175">
        <f>IF(E116&gt;(C116+D116),(E116-(C116+D116)),0)</f>
        <v/>
      </c>
      <c r="G115" s="177">
        <f>IF(F116&gt;0,0,C116+D116-E116)</f>
        <v/>
      </c>
      <c r="H115" s="148">
        <f>_xludf.IFNA(_xlfn.XLOOKUP(B116,'00_SKU_Master'!$B$2:$B$378,'00_SKU_Master'!$C$2:$C$378),"")</f>
        <v/>
      </c>
      <c r="I115" s="148" t="n"/>
      <c r="J115" s="14">
        <f>_xludf.IFNA(_xlfn.XLOOKUP(B116,'00_SKU_Master'!B$2:B$378,'00_SKU_Master'!H$2:H$378,0),"")</f>
        <v/>
      </c>
      <c r="K115" s="14">
        <f>_xludf.IFNA(_xlfn.XLOOKUP(B116,'00_SKU_Master'!B$2:B$378,'00_SKU_Master'!K$2:K$378,0),"")</f>
        <v/>
      </c>
      <c r="L115" s="148">
        <f>_xlfn.XLOOKUP(B116,'00_SKU_Master'!$B$2:$B$378,'00_SKU_Master'!D:D)</f>
        <v/>
      </c>
      <c r="M115" s="148">
        <f>IF((C116-E116)&lt;0,0,C116-E116)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_xlfn.XLOOKUP(B117,'02_TrayPack_Order'!$A$2:$A$264,'02_TrayPack_Order'!$C$2:$C$264)</f>
        <v/>
      </c>
      <c r="D116" s="176">
        <f>_xlfn.XLOOKUP(B117,'02_TrayPack_Order'!$A$2:$A$264,'02_TrayPack_Order'!$L$2:$L$264,0)</f>
        <v/>
      </c>
      <c r="E116" s="175">
        <f>SUMIF('13_Progress_Track'!$A$2:$A$108,B117,'13_Progress_Track'!$E$2:$E$108)</f>
        <v/>
      </c>
      <c r="F116" s="175">
        <f>IF(E117&gt;(C117+D117),(E117-(C117+D117)),0)</f>
        <v/>
      </c>
      <c r="G116" s="177">
        <f>IF(F117&gt;0,0,C117+D117-E117)</f>
        <v/>
      </c>
      <c r="H116" s="148">
        <f>_xludf.IFNA(_xlfn.XLOOKUP(B117,'00_SKU_Master'!$B$2:$B$378,'00_SKU_Master'!$C$2:$C$378),"")</f>
        <v/>
      </c>
      <c r="I116" s="148" t="n"/>
      <c r="J116" s="14">
        <f>_xludf.IFNA(_xlfn.XLOOKUP(B117,'00_SKU_Master'!B$2:B$378,'00_SKU_Master'!H$2:H$378,0),"")</f>
        <v/>
      </c>
      <c r="K116" s="14">
        <f>_xludf.IFNA(_xlfn.XLOOKUP(B117,'00_SKU_Master'!B$2:B$378,'00_SKU_Master'!K$2:K$378,0),"")</f>
        <v/>
      </c>
      <c r="L116" s="148">
        <f>_xlfn.XLOOKUP(B117,'00_SKU_Master'!$B$2:$B$378,'00_SKU_Master'!D:D)</f>
        <v/>
      </c>
      <c r="M116" s="148">
        <f>IF((C117-E117)&lt;0,0,C117-E117)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_xlfn.XLOOKUP(B118,'02_TrayPack_Order'!$A$2:$A$264,'02_TrayPack_Order'!$C$2:$C$264)</f>
        <v/>
      </c>
      <c r="D117" s="176">
        <f>_xlfn.XLOOKUP(B118,'02_TrayPack_Order'!$A$2:$A$264,'02_TrayPack_Order'!$L$2:$L$264,0)</f>
        <v/>
      </c>
      <c r="E117" s="175">
        <f>SUMIF('13_Progress_Track'!$A$2:$A$108,B118,'13_Progress_Track'!$E$2:$E$108)</f>
        <v/>
      </c>
      <c r="F117" s="175">
        <f>IF(E118&gt;(C118+D118),(E118-(C118+D118)),0)</f>
        <v/>
      </c>
      <c r="G117" s="177">
        <f>IF(F118&gt;0,0,C118+D118-E118)</f>
        <v/>
      </c>
      <c r="H117" s="148">
        <f>_xludf.IFNA(_xlfn.XLOOKUP(B118,'00_SKU_Master'!$B$2:$B$378,'00_SKU_Master'!$C$2:$C$378),"")</f>
        <v/>
      </c>
      <c r="I117" s="148" t="n"/>
      <c r="J117" s="14">
        <f>_xludf.IFNA(_xlfn.XLOOKUP(B118,'00_SKU_Master'!B$2:B$378,'00_SKU_Master'!H$2:H$378,0),"")</f>
        <v/>
      </c>
      <c r="K117" s="14">
        <f>_xludf.IFNA(_xlfn.XLOOKUP(B118,'00_SKU_Master'!B$2:B$378,'00_SKU_Master'!K$2:K$378,0),"")</f>
        <v/>
      </c>
      <c r="L117" s="148">
        <f>_xlfn.XLOOKUP(B118,'00_SKU_Master'!$B$2:$B$378,'00_SKU_Master'!D:D)</f>
        <v/>
      </c>
      <c r="M117" s="148">
        <f>IF((C118-E118)&lt;0,0,C118-E118)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_xlfn.XLOOKUP(B119,'02_TrayPack_Order'!$A$2:$A$264,'02_TrayPack_Order'!$C$2:$C$264)</f>
        <v/>
      </c>
      <c r="D118" s="176">
        <f>_xlfn.XLOOKUP(B119,'02_TrayPack_Order'!$A$2:$A$264,'02_TrayPack_Order'!$L$2:$L$264,0)</f>
        <v/>
      </c>
      <c r="E118" s="175">
        <f>SUMIF('13_Progress_Track'!$A$2:$A$108,B119,'13_Progress_Track'!$E$2:$E$108)</f>
        <v/>
      </c>
      <c r="F118" s="175">
        <f>IF(E119&gt;(C119+D119),(E119-(C119+D119)),0)</f>
        <v/>
      </c>
      <c r="G118" s="177">
        <f>IF(F119&gt;0,0,C119+D119-E119)</f>
        <v/>
      </c>
      <c r="H118" s="148">
        <f>_xludf.IFNA(_xlfn.XLOOKUP(B119,'00_SKU_Master'!$B$2:$B$378,'00_SKU_Master'!$C$2:$C$378),"")</f>
        <v/>
      </c>
      <c r="I118" s="148" t="n"/>
      <c r="J118" s="14">
        <f>_xludf.IFNA(_xlfn.XLOOKUP(B119,'00_SKU_Master'!B$2:B$378,'00_SKU_Master'!H$2:H$378,0),"")</f>
        <v/>
      </c>
      <c r="K118" s="14">
        <f>_xludf.IFNA(_xlfn.XLOOKUP(B119,'00_SKU_Master'!B$2:B$378,'00_SKU_Master'!K$2:K$378,0),"")</f>
        <v/>
      </c>
      <c r="L118" s="148">
        <f>_xlfn.XLOOKUP(B119,'00_SKU_Master'!$B$2:$B$378,'00_SKU_Master'!D:D)</f>
        <v/>
      </c>
      <c r="M118" s="148">
        <f>IF((C119-E119)&lt;0,0,C119-E119)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_xlfn.XLOOKUP(B120,'02_TrayPack_Order'!$A$2:$A$264,'02_TrayPack_Order'!$C$2:$C$264)</f>
        <v/>
      </c>
      <c r="D119" s="176">
        <f>_xlfn.XLOOKUP(B120,'02_TrayPack_Order'!$A$2:$A$264,'02_TrayPack_Order'!$L$2:$L$264,0)</f>
        <v/>
      </c>
      <c r="E119" s="175">
        <f>SUMIF('13_Progress_Track'!$A$2:$A$108,B120,'13_Progress_Track'!$E$2:$E$108)</f>
        <v/>
      </c>
      <c r="F119" s="175">
        <f>IF(E120&gt;(C120+D120),(E120-(C120+D120)),0)</f>
        <v/>
      </c>
      <c r="G119" s="177">
        <f>IF(F120&gt;0,0,C120+D120-E120)</f>
        <v/>
      </c>
      <c r="H119" s="148">
        <f>_xludf.IFNA(_xlfn.XLOOKUP(B120,'00_SKU_Master'!$B$2:$B$378,'00_SKU_Master'!$C$2:$C$378),"")</f>
        <v/>
      </c>
      <c r="I119" s="148" t="n"/>
      <c r="J119" s="14">
        <f>_xludf.IFNA(_xlfn.XLOOKUP(B120,'00_SKU_Master'!B$2:B$378,'00_SKU_Master'!H$2:H$378,0),"")</f>
        <v/>
      </c>
      <c r="K119" s="14">
        <f>_xludf.IFNA(_xlfn.XLOOKUP(B120,'00_SKU_Master'!B$2:B$378,'00_SKU_Master'!K$2:K$378,0),"")</f>
        <v/>
      </c>
      <c r="L119" s="148">
        <f>_xlfn.XLOOKUP(B120,'00_SKU_Master'!$B$2:$B$378,'00_SKU_Master'!D:D)</f>
        <v/>
      </c>
      <c r="M119" s="148">
        <f>IF((C120-E120)&lt;0,0,C120-E120)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_xlfn.XLOOKUP(B121,'02_TrayPack_Order'!$A$2:$A$264,'02_TrayPack_Order'!$C$2:$C$264)</f>
        <v/>
      </c>
      <c r="D120" s="176">
        <f>_xlfn.XLOOKUP(B121,'02_TrayPack_Order'!$A$2:$A$264,'02_TrayPack_Order'!$L$2:$L$264,0)</f>
        <v/>
      </c>
      <c r="E120" s="175">
        <f>SUMIF('13_Progress_Track'!$A$2:$A$108,B121,'13_Progress_Track'!$E$2:$E$108)</f>
        <v/>
      </c>
      <c r="F120" s="175">
        <f>IF(E121&gt;(C121+D121),(E121-(C121+D121)),0)</f>
        <v/>
      </c>
      <c r="G120" s="177">
        <f>IF(F121&gt;0,0,C121+D121-E121)</f>
        <v/>
      </c>
      <c r="H120" s="148">
        <f>_xludf.IFNA(_xlfn.XLOOKUP(B121,'00_SKU_Master'!$B$2:$B$378,'00_SKU_Master'!$C$2:$C$378),"")</f>
        <v/>
      </c>
      <c r="I120" s="148" t="n"/>
      <c r="J120" s="14">
        <f>_xludf.IFNA(_xlfn.XLOOKUP(B121,'00_SKU_Master'!B$2:B$378,'00_SKU_Master'!H$2:H$378,0),"")</f>
        <v/>
      </c>
      <c r="K120" s="14">
        <f>_xludf.IFNA(_xlfn.XLOOKUP(B121,'00_SKU_Master'!B$2:B$378,'00_SKU_Master'!K$2:K$378,0),"")</f>
        <v/>
      </c>
      <c r="L120" s="148">
        <f>_xlfn.XLOOKUP(B121,'00_SKU_Master'!$B$2:$B$378,'00_SKU_Master'!D:D)</f>
        <v/>
      </c>
      <c r="M120" s="148">
        <f>IF((C121-E121)&lt;0,0,C121-E121)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_xlfn.XLOOKUP(B122,'02_TrayPack_Order'!$A$2:$A$264,'02_TrayPack_Order'!$C$2:$C$264)</f>
        <v/>
      </c>
      <c r="D121" s="176">
        <f>_xlfn.XLOOKUP(B122,'02_TrayPack_Order'!$A$2:$A$264,'02_TrayPack_Order'!$L$2:$L$264,0)</f>
        <v/>
      </c>
      <c r="E121" s="175">
        <f>SUMIF('13_Progress_Track'!$A$2:$A$108,B122,'13_Progress_Track'!$E$2:$E$108)</f>
        <v/>
      </c>
      <c r="F121" s="175">
        <f>IF(E122&gt;(C122+D122),(E122-(C122+D122)),0)</f>
        <v/>
      </c>
      <c r="G121" s="177">
        <f>IF(F122&gt;0,0,C122+D122-E122)</f>
        <v/>
      </c>
      <c r="H121" s="148">
        <f>_xludf.IFNA(_xlfn.XLOOKUP(B122,'00_SKU_Master'!$B$2:$B$378,'00_SKU_Master'!$C$2:$C$378),"")</f>
        <v/>
      </c>
      <c r="I121" s="148" t="n"/>
      <c r="J121" s="14">
        <f>_xludf.IFNA(_xlfn.XLOOKUP(B122,'00_SKU_Master'!B$2:B$378,'00_SKU_Master'!H$2:H$378,0),"")</f>
        <v/>
      </c>
      <c r="K121" s="14">
        <f>_xludf.IFNA(_xlfn.XLOOKUP(B122,'00_SKU_Master'!B$2:B$378,'00_SKU_Master'!K$2:K$378,0),"")</f>
        <v/>
      </c>
      <c r="L121" s="148">
        <f>_xlfn.XLOOKUP(B122,'00_SKU_Master'!$B$2:$B$378,'00_SKU_Master'!D:D)</f>
        <v/>
      </c>
      <c r="M121" s="148">
        <f>IF((C122-E122)&lt;0,0,C122-E122)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_xlfn.XLOOKUP(B123,'02_TrayPack_Order'!$A$2:$A$264,'02_TrayPack_Order'!$C$2:$C$264)</f>
        <v/>
      </c>
      <c r="D122" s="176">
        <f>_xlfn.XLOOKUP(B123,'02_TrayPack_Order'!$A$2:$A$264,'02_TrayPack_Order'!$L$2:$L$264,0)</f>
        <v/>
      </c>
      <c r="E122" s="175">
        <f>SUMIF('13_Progress_Track'!$A$2:$A$108,B123,'13_Progress_Track'!$E$2:$E$108)</f>
        <v/>
      </c>
      <c r="F122" s="175">
        <f>IF(E123&gt;(C123+D123),(E123-(C123+D123)),0)</f>
        <v/>
      </c>
      <c r="G122" s="177">
        <f>IF(F123&gt;0,0,C123+D123-E123)</f>
        <v/>
      </c>
      <c r="H122" s="148">
        <f>_xludf.IFNA(_xlfn.XLOOKUP(B123,'00_SKU_Master'!$B$2:$B$378,'00_SKU_Master'!$C$2:$C$378),"")</f>
        <v/>
      </c>
      <c r="I122" s="148" t="n"/>
      <c r="J122" s="14">
        <f>_xludf.IFNA(_xlfn.XLOOKUP(B123,'00_SKU_Master'!B$2:B$378,'00_SKU_Master'!H$2:H$378,0),"")</f>
        <v/>
      </c>
      <c r="K122" s="14">
        <f>_xludf.IFNA(_xlfn.XLOOKUP(B123,'00_SKU_Master'!B$2:B$378,'00_SKU_Master'!K$2:K$378,0),"")</f>
        <v/>
      </c>
      <c r="L122" s="148">
        <f>_xlfn.XLOOKUP(B123,'00_SKU_Master'!$B$2:$B$378,'00_SKU_Master'!D:D)</f>
        <v/>
      </c>
      <c r="M122" s="148">
        <f>IF((C123-E123)&lt;0,0,C123-E123)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_xlfn.XLOOKUP(B124,'02_TrayPack_Order'!$A$2:$A$264,'02_TrayPack_Order'!$C$2:$C$264)</f>
        <v/>
      </c>
      <c r="D123" s="176">
        <f>_xlfn.XLOOKUP(B124,'02_TrayPack_Order'!$A$2:$A$264,'02_TrayPack_Order'!$L$2:$L$264,0)</f>
        <v/>
      </c>
      <c r="E123" s="175">
        <f>SUMIF('13_Progress_Track'!$A$2:$A$108,B124,'13_Progress_Track'!$E$2:$E$108)</f>
        <v/>
      </c>
      <c r="F123" s="175">
        <f>IF(E124&gt;(C124+D124),(E124-(C124+D124)),0)</f>
        <v/>
      </c>
      <c r="G123" s="177">
        <f>IF(F124&gt;0,0,C124+D124-E124)</f>
        <v/>
      </c>
      <c r="H123" s="148">
        <f>_xludf.IFNA(_xlfn.XLOOKUP(B124,'00_SKU_Master'!$B$2:$B$378,'00_SKU_Master'!$C$2:$C$378),"")</f>
        <v/>
      </c>
      <c r="I123" s="148" t="n"/>
      <c r="J123" s="14">
        <f>_xludf.IFNA(_xlfn.XLOOKUP(B124,'00_SKU_Master'!B$2:B$378,'00_SKU_Master'!H$2:H$378,0),"")</f>
        <v/>
      </c>
      <c r="K123" s="14">
        <f>_xludf.IFNA(_xlfn.XLOOKUP(B124,'00_SKU_Master'!B$2:B$378,'00_SKU_Master'!K$2:K$378,0),"")</f>
        <v/>
      </c>
      <c r="L123" s="148">
        <f>_xlfn.XLOOKUP(B124,'00_SKU_Master'!$B$2:$B$378,'00_SKU_Master'!D:D)</f>
        <v/>
      </c>
      <c r="M123" s="148">
        <f>IF((C124-E124)&lt;0,0,C124-E124)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_xlfn.XLOOKUP(B125,'02_TrayPack_Order'!$A$2:$A$264,'02_TrayPack_Order'!$C$2:$C$264)</f>
        <v/>
      </c>
      <c r="D124" s="176">
        <f>_xlfn.XLOOKUP(B125,'02_TrayPack_Order'!$A$2:$A$264,'02_TrayPack_Order'!$L$2:$L$264,0)</f>
        <v/>
      </c>
      <c r="E124" s="175">
        <f>SUMIF('13_Progress_Track'!$A$2:$A$108,B125,'13_Progress_Track'!$E$2:$E$108)</f>
        <v/>
      </c>
      <c r="F124" s="175">
        <f>IF(E125&gt;(C125+D125),(E125-(C125+D125)),0)</f>
        <v/>
      </c>
      <c r="G124" s="177">
        <f>IF(F125&gt;0,0,C125+D125-E125)</f>
        <v/>
      </c>
      <c r="H124" s="148">
        <f>_xludf.IFNA(_xlfn.XLOOKUP(B125,'00_SKU_Master'!$B$2:$B$378,'00_SKU_Master'!$C$2:$C$378),"")</f>
        <v/>
      </c>
      <c r="I124" s="148" t="n"/>
      <c r="J124" s="14">
        <f>_xludf.IFNA(_xlfn.XLOOKUP(B125,'00_SKU_Master'!B$2:B$378,'00_SKU_Master'!H$2:H$378,0),"")</f>
        <v/>
      </c>
      <c r="K124" s="14">
        <f>_xludf.IFNA(_xlfn.XLOOKUP(B125,'00_SKU_Master'!B$2:B$378,'00_SKU_Master'!K$2:K$378,0),"")</f>
        <v/>
      </c>
      <c r="L124" s="148">
        <f>_xlfn.XLOOKUP(B125,'00_SKU_Master'!$B$2:$B$378,'00_SKU_Master'!D:D)</f>
        <v/>
      </c>
      <c r="M124" s="148">
        <f>IF((C125-E125)&lt;0,0,C125-E125)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_xlfn.XLOOKUP(B126,'02_TrayPack_Order'!$A$2:$A$264,'02_TrayPack_Order'!$C$2:$C$264)</f>
        <v/>
      </c>
      <c r="D125" s="176">
        <f>_xlfn.XLOOKUP(B126,'02_TrayPack_Order'!$A$2:$A$264,'02_TrayPack_Order'!$L$2:$L$264,0)</f>
        <v/>
      </c>
      <c r="E125" s="175">
        <f>SUMIF('13_Progress_Track'!$A$2:$A$108,B126,'13_Progress_Track'!$E$2:$E$108)</f>
        <v/>
      </c>
      <c r="F125" s="175">
        <f>IF(E126&gt;(C126+D126),(E126-(C126+D126)),0)</f>
        <v/>
      </c>
      <c r="G125" s="177">
        <f>IF(F126&gt;0,0,C126+D126-E126)</f>
        <v/>
      </c>
      <c r="H125" s="148">
        <f>_xludf.IFNA(_xlfn.XLOOKUP(B126,'00_SKU_Master'!$B$2:$B$378,'00_SKU_Master'!$C$2:$C$378),"")</f>
        <v/>
      </c>
      <c r="I125" s="148" t="n"/>
      <c r="J125" s="14">
        <f>_xludf.IFNA(_xlfn.XLOOKUP(B126,'00_SKU_Master'!B$2:B$378,'00_SKU_Master'!H$2:H$378,0),"")</f>
        <v/>
      </c>
      <c r="K125" s="14">
        <f>_xludf.IFNA(_xlfn.XLOOKUP(B126,'00_SKU_Master'!B$2:B$378,'00_SKU_Master'!K$2:K$378,0),"")</f>
        <v/>
      </c>
      <c r="L125" s="148">
        <f>_xlfn.XLOOKUP(B126,'00_SKU_Master'!$B$2:$B$378,'00_SKU_Master'!D:D)</f>
        <v/>
      </c>
      <c r="M125" s="148">
        <f>IF((C126-E126)&lt;0,0,C126-E126)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_xlfn.XLOOKUP(B127,'02_TrayPack_Order'!$A$2:$A$264,'02_TrayPack_Order'!$C$2:$C$264)</f>
        <v/>
      </c>
      <c r="D126" s="176">
        <f>_xlfn.XLOOKUP(B127,'02_TrayPack_Order'!$A$2:$A$264,'02_TrayPack_Order'!$L$2:$L$264,0)</f>
        <v/>
      </c>
      <c r="E126" s="175">
        <f>SUMIF('13_Progress_Track'!$A$2:$A$108,B127,'13_Progress_Track'!$E$2:$E$108)</f>
        <v/>
      </c>
      <c r="F126" s="175">
        <f>IF(E127&gt;(C127+D127),(E127-(C127+D127)),0)</f>
        <v/>
      </c>
      <c r="G126" s="177">
        <f>IF(F127&gt;0,0,C127+D127-E127)</f>
        <v/>
      </c>
      <c r="H126" s="148">
        <f>_xludf.IFNA(_xlfn.XLOOKUP(B127,'00_SKU_Master'!$B$2:$B$378,'00_SKU_Master'!$C$2:$C$378),"")</f>
        <v/>
      </c>
      <c r="I126" s="148" t="n"/>
      <c r="J126" s="14">
        <f>_xludf.IFNA(_xlfn.XLOOKUP(B127,'00_SKU_Master'!B$2:B$378,'00_SKU_Master'!H$2:H$378,0),"")</f>
        <v/>
      </c>
      <c r="K126" s="14">
        <f>_xludf.IFNA(_xlfn.XLOOKUP(B127,'00_SKU_Master'!B$2:B$378,'00_SKU_Master'!K$2:K$378,0),"")</f>
        <v/>
      </c>
      <c r="L126" s="148">
        <f>_xlfn.XLOOKUP(B127,'00_SKU_Master'!$B$2:$B$378,'00_SKU_Master'!D:D)</f>
        <v/>
      </c>
      <c r="M126" s="148">
        <f>IF((C127-E127)&lt;0,0,C127-E127)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_xlfn.XLOOKUP(B128,'02_TrayPack_Order'!$A$2:$A$264,'02_TrayPack_Order'!$C$2:$C$264)</f>
        <v/>
      </c>
      <c r="D127" s="176">
        <f>_xlfn.XLOOKUP(B128,'02_TrayPack_Order'!$A$2:$A$264,'02_TrayPack_Order'!$L$2:$L$264,0)</f>
        <v/>
      </c>
      <c r="E127" s="175">
        <f>SUMIF('13_Progress_Track'!$A$2:$A$108,B128,'13_Progress_Track'!$E$2:$E$108)</f>
        <v/>
      </c>
      <c r="F127" s="175">
        <f>IF(E128&gt;(C128+D128),(E128-(C128+D128)),0)</f>
        <v/>
      </c>
      <c r="G127" s="177">
        <f>IF(F128&gt;0,0,C128+D128-E128)</f>
        <v/>
      </c>
      <c r="H127" s="148">
        <f>_xludf.IFNA(_xlfn.XLOOKUP(B128,'00_SKU_Master'!$B$2:$B$378,'00_SKU_Master'!$C$2:$C$378),"")</f>
        <v/>
      </c>
      <c r="I127" s="148" t="n"/>
      <c r="J127" s="14">
        <f>_xludf.IFNA(_xlfn.XLOOKUP(B128,'00_SKU_Master'!B$2:B$378,'00_SKU_Master'!H$2:H$378,0),"")</f>
        <v/>
      </c>
      <c r="K127" s="14">
        <f>_xludf.IFNA(_xlfn.XLOOKUP(B128,'00_SKU_Master'!B$2:B$378,'00_SKU_Master'!K$2:K$378,0),"")</f>
        <v/>
      </c>
      <c r="L127" s="148">
        <f>_xlfn.XLOOKUP(B128,'00_SKU_Master'!$B$2:$B$378,'00_SKU_Master'!D:D)</f>
        <v/>
      </c>
      <c r="M127" s="148">
        <f>IF((C128-E128)&lt;0,0,C128-E128)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_xlfn.XLOOKUP(B129,'02_TrayPack_Order'!$A$2:$A$264,'02_TrayPack_Order'!$C$2:$C$264)</f>
        <v/>
      </c>
      <c r="D128" s="176">
        <f>_xlfn.XLOOKUP(B129,'02_TrayPack_Order'!$A$2:$A$264,'02_TrayPack_Order'!$L$2:$L$264,0)</f>
        <v/>
      </c>
      <c r="E128" s="175">
        <f>SUMIF('13_Progress_Track'!$A$2:$A$108,B129,'13_Progress_Track'!$E$2:$E$108)</f>
        <v/>
      </c>
      <c r="F128" s="175">
        <f>IF(E129&gt;(C129+D129),(E129-(C129+D129)),0)</f>
        <v/>
      </c>
      <c r="G128" s="177">
        <f>IF(F129&gt;0,0,C129+D129-E129)</f>
        <v/>
      </c>
      <c r="H128" s="148">
        <f>_xludf.IFNA(_xlfn.XLOOKUP(B129,'00_SKU_Master'!$B$2:$B$378,'00_SKU_Master'!$C$2:$C$378),"")</f>
        <v/>
      </c>
      <c r="I128" s="148" t="n"/>
      <c r="J128" s="14">
        <f>_xludf.IFNA(_xlfn.XLOOKUP(B129,'00_SKU_Master'!B$2:B$378,'00_SKU_Master'!H$2:H$378,0),"")</f>
        <v/>
      </c>
      <c r="K128" s="14">
        <f>_xludf.IFNA(_xlfn.XLOOKUP(B129,'00_SKU_Master'!B$2:B$378,'00_SKU_Master'!K$2:K$378,0),"")</f>
        <v/>
      </c>
      <c r="L128" s="148">
        <f>_xlfn.XLOOKUP(B129,'00_SKU_Master'!$B$2:$B$378,'00_SKU_Master'!D:D)</f>
        <v/>
      </c>
      <c r="M128" s="148">
        <f>IF((C129-E129)&lt;0,0,C129-E129)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_xlfn.XLOOKUP(B130,'02_TrayPack_Order'!$A$2:$A$264,'02_TrayPack_Order'!$C$2:$C$264)</f>
        <v/>
      </c>
      <c r="D129" s="176">
        <f>_xlfn.XLOOKUP(B130,'02_TrayPack_Order'!$A$2:$A$264,'02_TrayPack_Order'!$L$2:$L$264,0)</f>
        <v/>
      </c>
      <c r="E129" s="175">
        <f>SUMIF('13_Progress_Track'!$A$2:$A$108,B130,'13_Progress_Track'!$E$2:$E$108)</f>
        <v/>
      </c>
      <c r="F129" s="175">
        <f>IF(E130&gt;(C130+D130),(E130-(C130+D130)),0)</f>
        <v/>
      </c>
      <c r="G129" s="177">
        <f>IF(F130&gt;0,0,C130+D130-E130)</f>
        <v/>
      </c>
      <c r="H129" s="148">
        <f>_xludf.IFNA(_xlfn.XLOOKUP(B130,'00_SKU_Master'!$B$2:$B$378,'00_SKU_Master'!$C$2:$C$378),"")</f>
        <v/>
      </c>
      <c r="I129" s="148" t="n"/>
      <c r="J129" s="14">
        <f>_xludf.IFNA(_xlfn.XLOOKUP(B130,'00_SKU_Master'!B$2:B$378,'00_SKU_Master'!H$2:H$378,0),"")</f>
        <v/>
      </c>
      <c r="K129" s="14">
        <f>_xludf.IFNA(_xlfn.XLOOKUP(B130,'00_SKU_Master'!B$2:B$378,'00_SKU_Master'!K$2:K$378,0),"")</f>
        <v/>
      </c>
      <c r="L129" s="148">
        <f>_xlfn.XLOOKUP(B130,'00_SKU_Master'!$B$2:$B$378,'00_SKU_Master'!D:D)</f>
        <v/>
      </c>
      <c r="M129" s="148">
        <f>IF((C130-E130)&lt;0,0,C130-E130)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_xlfn.XLOOKUP(B131,'02_TrayPack_Order'!$A$2:$A$264,'02_TrayPack_Order'!$C$2:$C$264)</f>
        <v/>
      </c>
      <c r="D130" s="176">
        <f>_xlfn.XLOOKUP(B131,'02_TrayPack_Order'!$A$2:$A$264,'02_TrayPack_Order'!$L$2:$L$264,0)</f>
        <v/>
      </c>
      <c r="E130" s="175">
        <f>SUMIF('13_Progress_Track'!$A$2:$A$108,B131,'13_Progress_Track'!$E$2:$E$108)</f>
        <v/>
      </c>
      <c r="F130" s="175">
        <f>IF(E131&gt;(C131+D131),(E131-(C131+D131)),0)</f>
        <v/>
      </c>
      <c r="G130" s="177">
        <f>IF(F131&gt;0,0,C131+D131-E131)</f>
        <v/>
      </c>
      <c r="H130" s="148">
        <f>_xludf.IFNA(_xlfn.XLOOKUP(B131,'00_SKU_Master'!$B$2:$B$378,'00_SKU_Master'!$C$2:$C$378),"")</f>
        <v/>
      </c>
      <c r="I130" s="148" t="n"/>
      <c r="J130" s="14">
        <f>_xludf.IFNA(_xlfn.XLOOKUP(B131,'00_SKU_Master'!B$2:B$378,'00_SKU_Master'!H$2:H$378,0),"")</f>
        <v/>
      </c>
      <c r="K130" s="14">
        <f>_xludf.IFNA(_xlfn.XLOOKUP(B131,'00_SKU_Master'!B$2:B$378,'00_SKU_Master'!K$2:K$378,0),"")</f>
        <v/>
      </c>
      <c r="L130" s="148">
        <f>_xlfn.XLOOKUP(B131,'00_SKU_Master'!$B$2:$B$378,'00_SKU_Master'!D:D)</f>
        <v/>
      </c>
      <c r="M130" s="148">
        <f>IF((C131-E131)&lt;0,0,C131-E131)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_xlfn.XLOOKUP(B132,'02_TrayPack_Order'!$A$2:$A$264,'02_TrayPack_Order'!$C$2:$C$264)</f>
        <v/>
      </c>
      <c r="D131" s="176">
        <f>_xlfn.XLOOKUP(B132,'02_TrayPack_Order'!$A$2:$A$264,'02_TrayPack_Order'!$L$2:$L$264,0)</f>
        <v/>
      </c>
      <c r="E131" s="175">
        <f>SUMIF('13_Progress_Track'!$A$2:$A$108,B132,'13_Progress_Track'!$E$2:$E$108)</f>
        <v/>
      </c>
      <c r="F131" s="175">
        <f>IF(E132&gt;(C132+D132),(E132-(C132+D132)),0)</f>
        <v/>
      </c>
      <c r="G131" s="177">
        <f>IF(F132&gt;0,0,C132+D132-E132)</f>
        <v/>
      </c>
      <c r="H131" s="148">
        <f>_xludf.IFNA(_xlfn.XLOOKUP(B132,'00_SKU_Master'!$B$2:$B$378,'00_SKU_Master'!$C$2:$C$378),"")</f>
        <v/>
      </c>
      <c r="I131" s="148" t="n"/>
      <c r="J131" s="14">
        <f>_xludf.IFNA(_xlfn.XLOOKUP(B132,'00_SKU_Master'!B$2:B$378,'00_SKU_Master'!H$2:H$378,0),"")</f>
        <v/>
      </c>
      <c r="K131" s="14">
        <f>_xludf.IFNA(_xlfn.XLOOKUP(B132,'00_SKU_Master'!B$2:B$378,'00_SKU_Master'!K$2:K$378,0),"")</f>
        <v/>
      </c>
      <c r="L131" s="148">
        <f>_xlfn.XLOOKUP(B132,'00_SKU_Master'!$B$2:$B$378,'00_SKU_Master'!D:D)</f>
        <v/>
      </c>
      <c r="M131" s="148">
        <f>IF((C132-E132)&lt;0,0,C132-E132)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_xlfn.XLOOKUP(B133,'02_TrayPack_Order'!$A$2:$A$264,'02_TrayPack_Order'!$C$2:$C$264)</f>
        <v/>
      </c>
      <c r="D132" s="176">
        <f>_xlfn.XLOOKUP(B133,'02_TrayPack_Order'!$A$2:$A$264,'02_TrayPack_Order'!$L$2:$L$264,0)</f>
        <v/>
      </c>
      <c r="E132" s="175">
        <f>SUMIF('13_Progress_Track'!$A$2:$A$108,B133,'13_Progress_Track'!$E$2:$E$108)</f>
        <v/>
      </c>
      <c r="F132" s="175">
        <f>IF(E133&gt;(C133+D133),(E133-(C133+D133)),0)</f>
        <v/>
      </c>
      <c r="G132" s="177">
        <f>IF(F133&gt;0,0,C133+D133-E133)</f>
        <v/>
      </c>
      <c r="H132" s="148">
        <f>_xludf.IFNA(_xlfn.XLOOKUP(B133,'00_SKU_Master'!$B$2:$B$378,'00_SKU_Master'!$C$2:$C$378),"")</f>
        <v/>
      </c>
      <c r="I132" s="148" t="n"/>
      <c r="J132" s="14">
        <f>_xludf.IFNA(_xlfn.XLOOKUP(B133,'00_SKU_Master'!B$2:B$378,'00_SKU_Master'!H$2:H$378,0),"")</f>
        <v/>
      </c>
      <c r="K132" s="14">
        <f>_xludf.IFNA(_xlfn.XLOOKUP(B133,'00_SKU_Master'!B$2:B$378,'00_SKU_Master'!K$2:K$378,0),"")</f>
        <v/>
      </c>
      <c r="L132" s="148">
        <f>_xlfn.XLOOKUP(B133,'00_SKU_Master'!$B$2:$B$378,'00_SKU_Master'!D:D)</f>
        <v/>
      </c>
      <c r="M132" s="148">
        <f>IF((C133-E133)&lt;0,0,C133-E133)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_xlfn.XLOOKUP(B134,'02_TrayPack_Order'!$A$2:$A$264,'02_TrayPack_Order'!$C$2:$C$264)</f>
        <v/>
      </c>
      <c r="D133" s="176">
        <f>_xlfn.XLOOKUP(B134,'02_TrayPack_Order'!$A$2:$A$264,'02_TrayPack_Order'!$L$2:$L$264,0)</f>
        <v/>
      </c>
      <c r="E133" s="175">
        <f>SUMIF('13_Progress_Track'!$A$2:$A$108,B134,'13_Progress_Track'!$E$2:$E$108)</f>
        <v/>
      </c>
      <c r="F133" s="175">
        <f>IF(E134&gt;(C134+D134),(E134-(C134+D134)),0)</f>
        <v/>
      </c>
      <c r="G133" s="177">
        <f>IF(F134&gt;0,0,C134+D134-E134)</f>
        <v/>
      </c>
      <c r="H133" s="148">
        <f>_xludf.IFNA(_xlfn.XLOOKUP(B134,'00_SKU_Master'!$B$2:$B$378,'00_SKU_Master'!$C$2:$C$378),"")</f>
        <v/>
      </c>
      <c r="I133" s="148" t="n"/>
      <c r="J133" s="14">
        <f>_xludf.IFNA(_xlfn.XLOOKUP(B134,'00_SKU_Master'!B$2:B$378,'00_SKU_Master'!H$2:H$378,0),"")</f>
        <v/>
      </c>
      <c r="K133" s="14">
        <f>_xludf.IFNA(_xlfn.XLOOKUP(B134,'00_SKU_Master'!B$2:B$378,'00_SKU_Master'!K$2:K$378,0),"")</f>
        <v/>
      </c>
      <c r="L133" s="148">
        <f>_xlfn.XLOOKUP(B134,'00_SKU_Master'!$B$2:$B$378,'00_SKU_Master'!D:D)</f>
        <v/>
      </c>
      <c r="M133" s="148">
        <f>IF((C134-E134)&lt;0,0,C134-E134)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_xlfn.XLOOKUP(B135,'02_TrayPack_Order'!$A$2:$A$264,'02_TrayPack_Order'!$C$2:$C$264)</f>
        <v/>
      </c>
      <c r="D134" s="176">
        <f>_xlfn.XLOOKUP(B135,'02_TrayPack_Order'!$A$2:$A$264,'02_TrayPack_Order'!$L$2:$L$264,0)</f>
        <v/>
      </c>
      <c r="E134" s="175">
        <f>SUMIF('13_Progress_Track'!$A$2:$A$108,B135,'13_Progress_Track'!$E$2:$E$108)</f>
        <v/>
      </c>
      <c r="F134" s="175">
        <f>IF(E135&gt;(C135+D135),(E135-(C135+D135)),0)</f>
        <v/>
      </c>
      <c r="G134" s="177">
        <f>IF(F135&gt;0,0,C135+D135-E135)</f>
        <v/>
      </c>
      <c r="H134" s="148">
        <f>_xludf.IFNA(_xlfn.XLOOKUP(B135,'00_SKU_Master'!$B$2:$B$378,'00_SKU_Master'!$C$2:$C$378),"")</f>
        <v/>
      </c>
      <c r="I134" s="148" t="n"/>
      <c r="J134" s="14">
        <f>_xludf.IFNA(_xlfn.XLOOKUP(B135,'00_SKU_Master'!B$2:B$378,'00_SKU_Master'!H$2:H$378,0),"")</f>
        <v/>
      </c>
      <c r="K134" s="14">
        <f>_xludf.IFNA(_xlfn.XLOOKUP(B135,'00_SKU_Master'!B$2:B$378,'00_SKU_Master'!K$2:K$378,0),"")</f>
        <v/>
      </c>
      <c r="L134" s="148">
        <f>_xlfn.XLOOKUP(B135,'00_SKU_Master'!$B$2:$B$378,'00_SKU_Master'!D:D)</f>
        <v/>
      </c>
      <c r="M134" s="148">
        <f>IF((C135-E135)&lt;0,0,C135-E135)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_xlfn.XLOOKUP(B136,'02_TrayPack_Order'!$A$2:$A$264,'02_TrayPack_Order'!$C$2:$C$264)</f>
        <v/>
      </c>
      <c r="D135" s="176">
        <f>_xlfn.XLOOKUP(B136,'02_TrayPack_Order'!$A$2:$A$264,'02_TrayPack_Order'!$L$2:$L$264,0)</f>
        <v/>
      </c>
      <c r="E135" s="175">
        <f>SUMIF('13_Progress_Track'!$A$2:$A$108,B136,'13_Progress_Track'!$E$2:$E$108)</f>
        <v/>
      </c>
      <c r="F135" s="175">
        <f>IF(E136&gt;(C136+D136),(E136-(C136+D136)),0)</f>
        <v/>
      </c>
      <c r="G135" s="177">
        <f>IF(F136&gt;0,0,C136+D136-E136)</f>
        <v/>
      </c>
      <c r="H135" s="148">
        <f>_xludf.IFNA(_xlfn.XLOOKUP(B136,'00_SKU_Master'!$B$2:$B$378,'00_SKU_Master'!$C$2:$C$378),"")</f>
        <v/>
      </c>
      <c r="I135" s="148" t="n"/>
      <c r="J135" s="14">
        <f>_xludf.IFNA(_xlfn.XLOOKUP(B136,'00_SKU_Master'!B$2:B$378,'00_SKU_Master'!H$2:H$378,0),"")</f>
        <v/>
      </c>
      <c r="K135" s="14">
        <f>_xludf.IFNA(_xlfn.XLOOKUP(B136,'00_SKU_Master'!B$2:B$378,'00_SKU_Master'!K$2:K$378,0),"")</f>
        <v/>
      </c>
      <c r="L135" s="148">
        <f>_xlfn.XLOOKUP(B136,'00_SKU_Master'!$B$2:$B$378,'00_SKU_Master'!D:D)</f>
        <v/>
      </c>
      <c r="M135" s="148">
        <f>IF((C136-E136)&lt;0,0,C136-E136)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_xlfn.XLOOKUP(B137,'02_TrayPack_Order'!$A$2:$A$264,'02_TrayPack_Order'!$C$2:$C$264)</f>
        <v/>
      </c>
      <c r="D136" s="176">
        <f>_xlfn.XLOOKUP(B137,'02_TrayPack_Order'!$A$2:$A$264,'02_TrayPack_Order'!$L$2:$L$264,0)</f>
        <v/>
      </c>
      <c r="E136" s="175">
        <f>SUMIF('13_Progress_Track'!$A$2:$A$108,B137,'13_Progress_Track'!$E$2:$E$108)</f>
        <v/>
      </c>
      <c r="F136" s="175">
        <f>IF(E137&gt;(C137+D137),(E137-(C137+D137)),0)</f>
        <v/>
      </c>
      <c r="G136" s="177">
        <f>IF(F137&gt;0,0,C137+D137-E137)</f>
        <v/>
      </c>
      <c r="H136" s="148">
        <f>_xludf.IFNA(_xlfn.XLOOKUP(B137,'00_SKU_Master'!$B$2:$B$378,'00_SKU_Master'!$C$2:$C$378),"")</f>
        <v/>
      </c>
      <c r="I136" s="148" t="n"/>
      <c r="J136" s="14">
        <f>_xludf.IFNA(_xlfn.XLOOKUP(B137,'00_SKU_Master'!B$2:B$378,'00_SKU_Master'!H$2:H$378,0),"")</f>
        <v/>
      </c>
      <c r="K136" s="14">
        <f>_xludf.IFNA(_xlfn.XLOOKUP(B137,'00_SKU_Master'!B$2:B$378,'00_SKU_Master'!K$2:K$378,0),"")</f>
        <v/>
      </c>
      <c r="L136" s="148">
        <f>_xlfn.XLOOKUP(B137,'00_SKU_Master'!$B$2:$B$378,'00_SKU_Master'!D:D)</f>
        <v/>
      </c>
      <c r="M136" s="148">
        <f>IF((C137-E137)&lt;0,0,C137-E137)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_xlfn.XLOOKUP(B138,'02_TrayPack_Order'!$A$2:$A$264,'02_TrayPack_Order'!$C$2:$C$264)</f>
        <v/>
      </c>
      <c r="D137" s="176">
        <f>_xlfn.XLOOKUP(B138,'02_TrayPack_Order'!$A$2:$A$264,'02_TrayPack_Order'!$L$2:$L$264,0)</f>
        <v/>
      </c>
      <c r="E137" s="175">
        <f>SUMIF('13_Progress_Track'!$A$2:$A$108,B138,'13_Progress_Track'!$E$2:$E$108)</f>
        <v/>
      </c>
      <c r="F137" s="175">
        <f>IF(E138&gt;(C138+D138),(E138-(C138+D138)),0)</f>
        <v/>
      </c>
      <c r="G137" s="177">
        <f>IF(F138&gt;0,0,C138+D138-E138)</f>
        <v/>
      </c>
      <c r="H137" s="148">
        <f>_xludf.IFNA(_xlfn.XLOOKUP(B138,'00_SKU_Master'!$B$2:$B$378,'00_SKU_Master'!$C$2:$C$378),"")</f>
        <v/>
      </c>
      <c r="I137" s="148" t="n"/>
      <c r="J137" s="14">
        <f>_xludf.IFNA(_xlfn.XLOOKUP(B138,'00_SKU_Master'!B$2:B$378,'00_SKU_Master'!H$2:H$378,0),"")</f>
        <v/>
      </c>
      <c r="K137" s="14">
        <f>_xludf.IFNA(_xlfn.XLOOKUP(B138,'00_SKU_Master'!B$2:B$378,'00_SKU_Master'!K$2:K$378,0),"")</f>
        <v/>
      </c>
      <c r="L137" s="148">
        <f>_xlfn.XLOOKUP(B138,'00_SKU_Master'!$B$2:$B$378,'00_SKU_Master'!D:D)</f>
        <v/>
      </c>
      <c r="M137" s="148">
        <f>IF((C138-E138)&lt;0,0,C138-E138)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_xlfn.XLOOKUP(B139,'02_TrayPack_Order'!$A$2:$A$264,'02_TrayPack_Order'!$C$2:$C$264)</f>
        <v/>
      </c>
      <c r="D138" s="176">
        <f>_xlfn.XLOOKUP(B139,'02_TrayPack_Order'!$A$2:$A$264,'02_TrayPack_Order'!$L$2:$L$264,0)</f>
        <v/>
      </c>
      <c r="E138" s="175">
        <f>SUMIF('13_Progress_Track'!$A$2:$A$108,B139,'13_Progress_Track'!$E$2:$E$108)</f>
        <v/>
      </c>
      <c r="F138" s="175">
        <f>IF(E139&gt;(C139+D139),(E139-(C139+D139)),0)</f>
        <v/>
      </c>
      <c r="G138" s="177">
        <f>IF(F139&gt;0,0,C139+D139-E139)</f>
        <v/>
      </c>
      <c r="H138" s="148">
        <f>_xludf.IFNA(_xlfn.XLOOKUP(B139,'00_SKU_Master'!$B$2:$B$378,'00_SKU_Master'!$C$2:$C$378),"")</f>
        <v/>
      </c>
      <c r="I138" s="148" t="n"/>
      <c r="J138" s="14">
        <f>_xludf.IFNA(_xlfn.XLOOKUP(B139,'00_SKU_Master'!B$2:B$378,'00_SKU_Master'!H$2:H$378,0),"")</f>
        <v/>
      </c>
      <c r="K138" s="14">
        <f>_xludf.IFNA(_xlfn.XLOOKUP(B139,'00_SKU_Master'!B$2:B$378,'00_SKU_Master'!K$2:K$378,0),"")</f>
        <v/>
      </c>
      <c r="L138" s="148">
        <f>_xlfn.XLOOKUP(B139,'00_SKU_Master'!$B$2:$B$378,'00_SKU_Master'!D:D)</f>
        <v/>
      </c>
      <c r="M138" s="148">
        <f>IF((C139-E139)&lt;0,0,C139-E139)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_xlfn.XLOOKUP(B140,'02_TrayPack_Order'!$A$2:$A$264,'02_TrayPack_Order'!$C$2:$C$264)</f>
        <v/>
      </c>
      <c r="D139" s="176">
        <f>_xlfn.XLOOKUP(B140,'02_TrayPack_Order'!$A$2:$A$264,'02_TrayPack_Order'!$L$2:$L$264,0)</f>
        <v/>
      </c>
      <c r="E139" s="175">
        <f>SUMIF('13_Progress_Track'!$A$2:$A$108,B140,'13_Progress_Track'!$E$2:$E$108)</f>
        <v/>
      </c>
      <c r="F139" s="175">
        <f>IF(E140&gt;(C140+D140),(E140-(C140+D140)),0)</f>
        <v/>
      </c>
      <c r="G139" s="177">
        <f>IF(F140&gt;0,0,C140+D140-E140)</f>
        <v/>
      </c>
      <c r="H139" s="148">
        <f>_xludf.IFNA(_xlfn.XLOOKUP(B140,'00_SKU_Master'!$B$2:$B$378,'00_SKU_Master'!$C$2:$C$378),"")</f>
        <v/>
      </c>
      <c r="I139" s="148" t="n"/>
      <c r="J139" s="14">
        <f>_xludf.IFNA(_xlfn.XLOOKUP(B140,'00_SKU_Master'!B$2:B$378,'00_SKU_Master'!H$2:H$378,0),"")</f>
        <v/>
      </c>
      <c r="K139" s="14">
        <f>_xludf.IFNA(_xlfn.XLOOKUP(B140,'00_SKU_Master'!B$2:B$378,'00_SKU_Master'!K$2:K$378,0),"")</f>
        <v/>
      </c>
      <c r="L139" s="148">
        <f>_xlfn.XLOOKUP(B140,'00_SKU_Master'!$B$2:$B$378,'00_SKU_Master'!D:D)</f>
        <v/>
      </c>
      <c r="M139" s="148">
        <f>IF((C140-E140)&lt;0,0,C140-E140)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_xlfn.XLOOKUP(B141,'02_TrayPack_Order'!$A$2:$A$264,'02_TrayPack_Order'!$C$2:$C$264)</f>
        <v/>
      </c>
      <c r="D140" s="176">
        <f>_xlfn.XLOOKUP(B141,'02_TrayPack_Order'!$A$2:$A$264,'02_TrayPack_Order'!$L$2:$L$264,0)</f>
        <v/>
      </c>
      <c r="E140" s="175">
        <f>SUMIF('13_Progress_Track'!$A$2:$A$108,B141,'13_Progress_Track'!$E$2:$E$108)</f>
        <v/>
      </c>
      <c r="F140" s="175">
        <f>IF(E141&gt;(C141+D141),(E141-(C141+D141)),0)</f>
        <v/>
      </c>
      <c r="G140" s="177">
        <f>IF(F141&gt;0,0,C141+D141-E141)</f>
        <v/>
      </c>
      <c r="H140" s="148">
        <f>_xludf.IFNA(_xlfn.XLOOKUP(B141,'00_SKU_Master'!$B$2:$B$378,'00_SKU_Master'!$C$2:$C$378),"")</f>
        <v/>
      </c>
      <c r="I140" s="148" t="n"/>
      <c r="J140" s="14">
        <f>_xludf.IFNA(_xlfn.XLOOKUP(B141,'00_SKU_Master'!B$2:B$378,'00_SKU_Master'!H$2:H$378,0),"")</f>
        <v/>
      </c>
      <c r="K140" s="14">
        <f>_xludf.IFNA(_xlfn.XLOOKUP(B141,'00_SKU_Master'!B$2:B$378,'00_SKU_Master'!K$2:K$378,0),"")</f>
        <v/>
      </c>
      <c r="L140" s="148">
        <f>_xlfn.XLOOKUP(B141,'00_SKU_Master'!$B$2:$B$378,'00_SKU_Master'!D:D)</f>
        <v/>
      </c>
      <c r="M140" s="148">
        <f>IF((C141-E141)&lt;0,0,C141-E141)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_xlfn.XLOOKUP(B142,'02_TrayPack_Order'!$A$2:$A$264,'02_TrayPack_Order'!$C$2:$C$264)</f>
        <v/>
      </c>
      <c r="D141" s="176">
        <f>_xlfn.XLOOKUP(B142,'02_TrayPack_Order'!$A$2:$A$264,'02_TrayPack_Order'!$L$2:$L$264,0)</f>
        <v/>
      </c>
      <c r="E141" s="175">
        <f>SUMIF('13_Progress_Track'!$A$2:$A$108,B142,'13_Progress_Track'!$E$2:$E$108)</f>
        <v/>
      </c>
      <c r="F141" s="175">
        <f>IF(E142&gt;(C142+D142),(E142-(C142+D142)),0)</f>
        <v/>
      </c>
      <c r="G141" s="177">
        <f>IF(F142&gt;0,0,C142+D142-E142)</f>
        <v/>
      </c>
      <c r="H141" s="148">
        <f>_xludf.IFNA(_xlfn.XLOOKUP(B142,'00_SKU_Master'!$B$2:$B$378,'00_SKU_Master'!$C$2:$C$378),"")</f>
        <v/>
      </c>
      <c r="I141" s="148" t="n"/>
      <c r="J141" s="14">
        <f>_xludf.IFNA(_xlfn.XLOOKUP(B142,'00_SKU_Master'!B$2:B$378,'00_SKU_Master'!H$2:H$378,0),"")</f>
        <v/>
      </c>
      <c r="K141" s="14">
        <f>_xludf.IFNA(_xlfn.XLOOKUP(B142,'00_SKU_Master'!B$2:B$378,'00_SKU_Master'!K$2:K$378,0),"")</f>
        <v/>
      </c>
      <c r="L141" s="148">
        <f>_xlfn.XLOOKUP(B142,'00_SKU_Master'!$B$2:$B$378,'00_SKU_Master'!D:D)</f>
        <v/>
      </c>
      <c r="M141" s="148">
        <f>IF((C142-E142)&lt;0,0,C142-E142)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_xlfn.XLOOKUP(B143,'02_TrayPack_Order'!$A$2:$A$264,'02_TrayPack_Order'!$C$2:$C$264)</f>
        <v/>
      </c>
      <c r="D142" s="176">
        <f>_xlfn.XLOOKUP(B143,'02_TrayPack_Order'!$A$2:$A$264,'02_TrayPack_Order'!$L$2:$L$264,0)</f>
        <v/>
      </c>
      <c r="E142" s="175">
        <f>SUMIF('13_Progress_Track'!$A$2:$A$108,B143,'13_Progress_Track'!$E$2:$E$108)</f>
        <v/>
      </c>
      <c r="F142" s="175">
        <f>IF(E143&gt;(C143+D143),(E143-(C143+D143)),0)</f>
        <v/>
      </c>
      <c r="G142" s="177">
        <f>IF(F143&gt;0,0,C143+D143-E143)</f>
        <v/>
      </c>
      <c r="H142" s="148">
        <f>_xludf.IFNA(_xlfn.XLOOKUP(B143,'00_SKU_Master'!$B$2:$B$378,'00_SKU_Master'!$C$2:$C$378),"")</f>
        <v/>
      </c>
      <c r="I142" s="148" t="n"/>
      <c r="J142" s="14">
        <f>_xludf.IFNA(_xlfn.XLOOKUP(B143,'00_SKU_Master'!B$2:B$378,'00_SKU_Master'!H$2:H$378,0),"")</f>
        <v/>
      </c>
      <c r="K142" s="14">
        <f>_xludf.IFNA(_xlfn.XLOOKUP(B143,'00_SKU_Master'!B$2:B$378,'00_SKU_Master'!K$2:K$378,0),"")</f>
        <v/>
      </c>
      <c r="L142" s="148">
        <f>_xlfn.XLOOKUP(B143,'00_SKU_Master'!$B$2:$B$378,'00_SKU_Master'!D:D)</f>
        <v/>
      </c>
      <c r="M142" s="148">
        <f>IF((C143-E143)&lt;0,0,C143-E143)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_xlfn.XLOOKUP(B144,'02_TrayPack_Order'!$A$2:$A$264,'02_TrayPack_Order'!$C$2:$C$264)</f>
        <v/>
      </c>
      <c r="D143" s="176">
        <f>_xlfn.XLOOKUP(B144,'02_TrayPack_Order'!$A$2:$A$264,'02_TrayPack_Order'!$L$2:$L$264,0)</f>
        <v/>
      </c>
      <c r="E143" s="175">
        <f>SUMIF('13_Progress_Track'!$A$2:$A$108,B144,'13_Progress_Track'!$E$2:$E$108)</f>
        <v/>
      </c>
      <c r="F143" s="175">
        <f>IF(E144&gt;(C144+D144),(E144-(C144+D144)),0)</f>
        <v/>
      </c>
      <c r="G143" s="177">
        <f>IF(F144&gt;0,0,C144+D144-E144)</f>
        <v/>
      </c>
      <c r="H143" s="148">
        <f>_xludf.IFNA(_xlfn.XLOOKUP(B144,'00_SKU_Master'!$B$2:$B$378,'00_SKU_Master'!$C$2:$C$378),"")</f>
        <v/>
      </c>
      <c r="I143" s="148" t="n"/>
      <c r="J143" s="14">
        <f>_xludf.IFNA(_xlfn.XLOOKUP(B144,'00_SKU_Master'!B$2:B$378,'00_SKU_Master'!H$2:H$378,0),"")</f>
        <v/>
      </c>
      <c r="K143" s="14">
        <f>_xludf.IFNA(_xlfn.XLOOKUP(B144,'00_SKU_Master'!B$2:B$378,'00_SKU_Master'!K$2:K$378,0),"")</f>
        <v/>
      </c>
      <c r="L143" s="148">
        <f>_xlfn.XLOOKUP(B144,'00_SKU_Master'!$B$2:$B$378,'00_SKU_Master'!D:D)</f>
        <v/>
      </c>
      <c r="M143" s="148">
        <f>IF((C144-E144)&lt;0,0,C144-E144)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_xlfn.XLOOKUP(B145,'02_TrayPack_Order'!$A$2:$A$264,'02_TrayPack_Order'!$C$2:$C$264)</f>
        <v/>
      </c>
      <c r="D144" s="176">
        <f>_xlfn.XLOOKUP(B145,'02_TrayPack_Order'!$A$2:$A$264,'02_TrayPack_Order'!$L$2:$L$264,0)</f>
        <v/>
      </c>
      <c r="E144" s="175">
        <f>SUMIF('13_Progress_Track'!$A$2:$A$108,B145,'13_Progress_Track'!$E$2:$E$108)</f>
        <v/>
      </c>
      <c r="F144" s="175">
        <f>IF(E145&gt;(C145+D145),(E145-(C145+D145)),0)</f>
        <v/>
      </c>
      <c r="G144" s="177">
        <f>IF(F145&gt;0,0,C145+D145-E145)</f>
        <v/>
      </c>
      <c r="H144" s="148">
        <f>_xludf.IFNA(_xlfn.XLOOKUP(B145,'00_SKU_Master'!$B$2:$B$378,'00_SKU_Master'!$C$2:$C$378),"")</f>
        <v/>
      </c>
      <c r="I144" s="148" t="n"/>
      <c r="J144" s="14">
        <f>_xludf.IFNA(_xlfn.XLOOKUP(B145,'00_SKU_Master'!B$2:B$378,'00_SKU_Master'!H$2:H$378,0),"")</f>
        <v/>
      </c>
      <c r="K144" s="14">
        <f>_xludf.IFNA(_xlfn.XLOOKUP(B145,'00_SKU_Master'!B$2:B$378,'00_SKU_Master'!K$2:K$378,0),"")</f>
        <v/>
      </c>
      <c r="L144" s="148">
        <f>_xlfn.XLOOKUP(B145,'00_SKU_Master'!$B$2:$B$378,'00_SKU_Master'!D:D)</f>
        <v/>
      </c>
      <c r="M144" s="148">
        <f>IF((C145-E145)&lt;0,0,C145-E145)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_xlfn.XLOOKUP(B146,'02_TrayPack_Order'!$A$2:$A$264,'02_TrayPack_Order'!$C$2:$C$264)</f>
        <v/>
      </c>
      <c r="D145" s="176">
        <f>_xlfn.XLOOKUP(B146,'02_TrayPack_Order'!$A$2:$A$264,'02_TrayPack_Order'!$L$2:$L$264,0)</f>
        <v/>
      </c>
      <c r="E145" s="175">
        <f>SUMIF('13_Progress_Track'!$A$2:$A$108,B146,'13_Progress_Track'!$E$2:$E$108)</f>
        <v/>
      </c>
      <c r="F145" s="175">
        <f>IF(E146&gt;(C146+D146),(E146-(C146+D146)),0)</f>
        <v/>
      </c>
      <c r="G145" s="177">
        <f>IF(F146&gt;0,0,C146+D146-E146)</f>
        <v/>
      </c>
      <c r="H145" s="148">
        <f>_xludf.IFNA(_xlfn.XLOOKUP(B146,'00_SKU_Master'!$B$2:$B$378,'00_SKU_Master'!$C$2:$C$378),"")</f>
        <v/>
      </c>
      <c r="I145" s="148" t="n"/>
      <c r="J145" s="14">
        <f>_xludf.IFNA(_xlfn.XLOOKUP(B146,'00_SKU_Master'!B$2:B$378,'00_SKU_Master'!H$2:H$378,0),"")</f>
        <v/>
      </c>
      <c r="K145" s="14">
        <f>_xludf.IFNA(_xlfn.XLOOKUP(B146,'00_SKU_Master'!B$2:B$378,'00_SKU_Master'!K$2:K$378,0),"")</f>
        <v/>
      </c>
      <c r="L145" s="148">
        <f>_xlfn.XLOOKUP(B146,'00_SKU_Master'!$B$2:$B$378,'00_SKU_Master'!D:D)</f>
        <v/>
      </c>
      <c r="M145" s="148">
        <f>IF((C146-E146)&lt;0,0,C146-E146)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_xlfn.XLOOKUP(B147,'02_TrayPack_Order'!$A$2:$A$264,'02_TrayPack_Order'!$C$2:$C$264)</f>
        <v/>
      </c>
      <c r="D146" s="176">
        <f>_xlfn.XLOOKUP(B147,'02_TrayPack_Order'!$A$2:$A$264,'02_TrayPack_Order'!$L$2:$L$264,0)</f>
        <v/>
      </c>
      <c r="E146" s="175">
        <f>SUMIF('13_Progress_Track'!$A$2:$A$108,B147,'13_Progress_Track'!$E$2:$E$108)</f>
        <v/>
      </c>
      <c r="F146" s="175">
        <f>IF(E147&gt;(C147+D147),(E147-(C147+D147)),0)</f>
        <v/>
      </c>
      <c r="G146" s="177">
        <f>IF(F147&gt;0,0,C147+D147-E147)</f>
        <v/>
      </c>
      <c r="H146" s="148">
        <f>_xludf.IFNA(_xlfn.XLOOKUP(B147,'00_SKU_Master'!$B$2:$B$378,'00_SKU_Master'!$C$2:$C$378),"")</f>
        <v/>
      </c>
      <c r="I146" s="148" t="n"/>
      <c r="J146" s="14">
        <f>_xludf.IFNA(_xlfn.XLOOKUP(B147,'00_SKU_Master'!B$2:B$378,'00_SKU_Master'!H$2:H$378,0),"")</f>
        <v/>
      </c>
      <c r="K146" s="14">
        <f>_xludf.IFNA(_xlfn.XLOOKUP(B147,'00_SKU_Master'!B$2:B$378,'00_SKU_Master'!K$2:K$378,0),"")</f>
        <v/>
      </c>
      <c r="L146" s="148">
        <f>_xlfn.XLOOKUP(B147,'00_SKU_Master'!$B$2:$B$378,'00_SKU_Master'!D:D)</f>
        <v/>
      </c>
      <c r="M146" s="148">
        <f>IF((C147-E147)&lt;0,0,C147-E147)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_xlfn.XLOOKUP(B148,'02_TrayPack_Order'!$A$2:$A$264,'02_TrayPack_Order'!$C$2:$C$264)</f>
        <v/>
      </c>
      <c r="D147" s="176">
        <f>_xlfn.XLOOKUP(B148,'02_TrayPack_Order'!$A$2:$A$264,'02_TrayPack_Order'!$L$2:$L$264,0)</f>
        <v/>
      </c>
      <c r="E147" s="175">
        <f>SUMIF('13_Progress_Track'!$A$2:$A$108,B148,'13_Progress_Track'!$E$2:$E$108)</f>
        <v/>
      </c>
      <c r="F147" s="175">
        <f>IF(E148&gt;(C148+D148),(E148-(C148+D148)),0)</f>
        <v/>
      </c>
      <c r="G147" s="177">
        <f>IF(F148&gt;0,0,C148+D148-E148)</f>
        <v/>
      </c>
      <c r="H147" s="148">
        <f>_xludf.IFNA(_xlfn.XLOOKUP(B148,'00_SKU_Master'!$B$2:$B$378,'00_SKU_Master'!$C$2:$C$378),"")</f>
        <v/>
      </c>
      <c r="I147" s="148" t="n"/>
      <c r="J147" s="14">
        <f>_xludf.IFNA(_xlfn.XLOOKUP(B148,'00_SKU_Master'!B$2:B$378,'00_SKU_Master'!H$2:H$378,0),"")</f>
        <v/>
      </c>
      <c r="K147" s="14">
        <f>_xludf.IFNA(_xlfn.XLOOKUP(B148,'00_SKU_Master'!B$2:B$378,'00_SKU_Master'!K$2:K$378,0),"")</f>
        <v/>
      </c>
      <c r="L147" s="148">
        <f>_xlfn.XLOOKUP(B148,'00_SKU_Master'!$B$2:$B$378,'00_SKU_Master'!D:D)</f>
        <v/>
      </c>
      <c r="M147" s="148">
        <f>IF((C148-E148)&lt;0,0,C148-E148)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_xlfn.XLOOKUP(B149,'02_TrayPack_Order'!$A$2:$A$264,'02_TrayPack_Order'!$C$2:$C$264)</f>
        <v/>
      </c>
      <c r="D148" s="176">
        <f>_xlfn.XLOOKUP(B149,'02_TrayPack_Order'!$A$2:$A$264,'02_TrayPack_Order'!$L$2:$L$264,0)</f>
        <v/>
      </c>
      <c r="E148" s="175">
        <f>SUMIF('13_Progress_Track'!$A$2:$A$108,B149,'13_Progress_Track'!$E$2:$E$108)</f>
        <v/>
      </c>
      <c r="F148" s="175">
        <f>IF(E149&gt;(C149+D149),(E149-(C149+D149)),0)</f>
        <v/>
      </c>
      <c r="G148" s="177">
        <f>IF(F149&gt;0,0,C149+D149-E149)</f>
        <v/>
      </c>
      <c r="H148" s="148">
        <f>_xludf.IFNA(_xlfn.XLOOKUP(B149,'00_SKU_Master'!$B$2:$B$378,'00_SKU_Master'!$C$2:$C$378),"")</f>
        <v/>
      </c>
      <c r="I148" s="148" t="n"/>
      <c r="J148" s="14">
        <f>_xludf.IFNA(_xlfn.XLOOKUP(B149,'00_SKU_Master'!B$2:B$378,'00_SKU_Master'!H$2:H$378,0),"")</f>
        <v/>
      </c>
      <c r="K148" s="14">
        <f>_xludf.IFNA(_xlfn.XLOOKUP(B149,'00_SKU_Master'!B$2:B$378,'00_SKU_Master'!K$2:K$378,0),"")</f>
        <v/>
      </c>
      <c r="L148" s="148">
        <f>_xlfn.XLOOKUP(B149,'00_SKU_Master'!$B$2:$B$378,'00_SKU_Master'!D:D)</f>
        <v/>
      </c>
      <c r="M148" s="148">
        <f>IF((C149-E149)&lt;0,0,C149-E149)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_xlfn.XLOOKUP(B150,'02_TrayPack_Order'!$A$2:$A$264,'02_TrayPack_Order'!$C$2:$C$264)</f>
        <v/>
      </c>
      <c r="D149" s="176">
        <f>_xlfn.XLOOKUP(B150,'02_TrayPack_Order'!$A$2:$A$264,'02_TrayPack_Order'!$L$2:$L$264,0)</f>
        <v/>
      </c>
      <c r="E149" s="175">
        <f>SUMIF('13_Progress_Track'!$A$2:$A$108,B150,'13_Progress_Track'!$E$2:$E$108)</f>
        <v/>
      </c>
      <c r="F149" s="175">
        <f>IF(E150&gt;(C150+D150),(E150-(C150+D150)),0)</f>
        <v/>
      </c>
      <c r="G149" s="177">
        <f>IF(F150&gt;0,0,C150+D150-E150)</f>
        <v/>
      </c>
      <c r="H149" s="148">
        <f>_xludf.IFNA(_xlfn.XLOOKUP(B150,'00_SKU_Master'!$B$2:$B$378,'00_SKU_Master'!$C$2:$C$378),"")</f>
        <v/>
      </c>
      <c r="I149" s="148" t="n"/>
      <c r="J149" s="14">
        <f>_xludf.IFNA(_xlfn.XLOOKUP(B150,'00_SKU_Master'!B$2:B$378,'00_SKU_Master'!H$2:H$378,0),"")</f>
        <v/>
      </c>
      <c r="K149" s="14">
        <f>_xludf.IFNA(_xlfn.XLOOKUP(B150,'00_SKU_Master'!B$2:B$378,'00_SKU_Master'!K$2:K$378,0),"")</f>
        <v/>
      </c>
      <c r="L149" s="148">
        <f>_xlfn.XLOOKUP(B150,'00_SKU_Master'!$B$2:$B$378,'00_SKU_Master'!D:D)</f>
        <v/>
      </c>
      <c r="M149" s="148">
        <f>IF((C150-E150)&lt;0,0,C150-E150)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_xlfn.XLOOKUP(B151,'02_TrayPack_Order'!$A$2:$A$264,'02_TrayPack_Order'!$C$2:$C$264)</f>
        <v/>
      </c>
      <c r="D150" s="176">
        <f>_xlfn.XLOOKUP(B151,'02_TrayPack_Order'!$A$2:$A$264,'02_TrayPack_Order'!$L$2:$L$264,0)</f>
        <v/>
      </c>
      <c r="E150" s="175">
        <f>SUMIF('13_Progress_Track'!$A$2:$A$108,B151,'13_Progress_Track'!$E$2:$E$108)</f>
        <v/>
      </c>
      <c r="F150" s="175">
        <f>IF(E151&gt;(C151+D151),(E151-(C151+D151)),0)</f>
        <v/>
      </c>
      <c r="G150" s="177">
        <f>IF(F151&gt;0,0,C151+D151-E151)</f>
        <v/>
      </c>
      <c r="H150" s="148">
        <f>_xludf.IFNA(_xlfn.XLOOKUP(B151,'00_SKU_Master'!$B$2:$B$378,'00_SKU_Master'!$C$2:$C$378),"")</f>
        <v/>
      </c>
      <c r="I150" s="148" t="n"/>
      <c r="J150" s="14">
        <f>_xludf.IFNA(_xlfn.XLOOKUP(B151,'00_SKU_Master'!B$2:B$378,'00_SKU_Master'!H$2:H$378,0),"")</f>
        <v/>
      </c>
      <c r="K150" s="14">
        <f>_xludf.IFNA(_xlfn.XLOOKUP(B151,'00_SKU_Master'!B$2:B$378,'00_SKU_Master'!K$2:K$378,0),"")</f>
        <v/>
      </c>
      <c r="L150" s="148">
        <f>_xlfn.XLOOKUP(B151,'00_SKU_Master'!$B$2:$B$378,'00_SKU_Master'!D:D)</f>
        <v/>
      </c>
      <c r="M150" s="148">
        <f>IF((C151-E151)&lt;0,0,C151-E151)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_xlfn.XLOOKUP(B152,'02_TrayPack_Order'!$A$2:$A$264,'02_TrayPack_Order'!$C$2:$C$264)</f>
        <v/>
      </c>
      <c r="D151" s="176">
        <f>_xlfn.XLOOKUP(B152,'02_TrayPack_Order'!$A$2:$A$264,'02_TrayPack_Order'!$L$2:$L$264,0)</f>
        <v/>
      </c>
      <c r="E151" s="175">
        <f>SUMIF('13_Progress_Track'!$A$2:$A$108,B152,'13_Progress_Track'!$E$2:$E$108)</f>
        <v/>
      </c>
      <c r="F151" s="175">
        <f>IF(E152&gt;(C152+D152),(E152-(C152+D152)),0)</f>
        <v/>
      </c>
      <c r="G151" s="177">
        <f>IF(F152&gt;0,0,C152+D152-E152)</f>
        <v/>
      </c>
      <c r="H151" s="148">
        <f>_xludf.IFNA(_xlfn.XLOOKUP(B152,'00_SKU_Master'!$B$2:$B$378,'00_SKU_Master'!$C$2:$C$378),"")</f>
        <v/>
      </c>
      <c r="I151" s="148" t="n"/>
      <c r="J151" s="14">
        <f>_xludf.IFNA(_xlfn.XLOOKUP(B152,'00_SKU_Master'!B$2:B$378,'00_SKU_Master'!H$2:H$378,0),"")</f>
        <v/>
      </c>
      <c r="K151" s="14">
        <f>_xludf.IFNA(_xlfn.XLOOKUP(B152,'00_SKU_Master'!B$2:B$378,'00_SKU_Master'!K$2:K$378,0),"")</f>
        <v/>
      </c>
      <c r="L151" s="148">
        <f>_xlfn.XLOOKUP(B152,'00_SKU_Master'!$B$2:$B$378,'00_SKU_Master'!D:D)</f>
        <v/>
      </c>
      <c r="M151" s="148">
        <f>IF((C152-E152)&lt;0,0,C152-E152)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_xlfn.XLOOKUP(B153,'02_TrayPack_Order'!$A$2:$A$264,'02_TrayPack_Order'!$C$2:$C$264)</f>
        <v/>
      </c>
      <c r="D152" s="176">
        <f>_xlfn.XLOOKUP(B153,'02_TrayPack_Order'!$A$2:$A$264,'02_TrayPack_Order'!$L$2:$L$264,0)</f>
        <v/>
      </c>
      <c r="E152" s="175">
        <f>SUMIF('13_Progress_Track'!$A$2:$A$108,B153,'13_Progress_Track'!$E$2:$E$108)</f>
        <v/>
      </c>
      <c r="F152" s="175">
        <f>IF(E153&gt;(C153+D153),(E153-(C153+D153)),0)</f>
        <v/>
      </c>
      <c r="G152" s="177">
        <f>IF(F153&gt;0,0,C153+D153-E153)</f>
        <v/>
      </c>
      <c r="H152" s="148">
        <f>_xludf.IFNA(_xlfn.XLOOKUP(B153,'00_SKU_Master'!$B$2:$B$378,'00_SKU_Master'!$C$2:$C$378),"")</f>
        <v/>
      </c>
      <c r="I152" s="148" t="n"/>
      <c r="J152" s="14">
        <f>_xludf.IFNA(_xlfn.XLOOKUP(B153,'00_SKU_Master'!B$2:B$378,'00_SKU_Master'!H$2:H$378,0),"")</f>
        <v/>
      </c>
      <c r="K152" s="14">
        <f>_xludf.IFNA(_xlfn.XLOOKUP(B153,'00_SKU_Master'!B$2:B$378,'00_SKU_Master'!K$2:K$378,0),"")</f>
        <v/>
      </c>
      <c r="L152" s="148">
        <f>_xlfn.XLOOKUP(B153,'00_SKU_Master'!$B$2:$B$378,'00_SKU_Master'!D:D)</f>
        <v/>
      </c>
      <c r="M152" s="148">
        <f>IF((C153-E153)&lt;0,0,C153-E153)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_xlfn.XLOOKUP(B154,'02_TrayPack_Order'!$A$2:$A$264,'02_TrayPack_Order'!$C$2:$C$264)</f>
        <v/>
      </c>
      <c r="D153" s="176">
        <f>_xlfn.XLOOKUP(B154,'02_TrayPack_Order'!$A$2:$A$264,'02_TrayPack_Order'!$L$2:$L$264,0)</f>
        <v/>
      </c>
      <c r="E153" s="175">
        <f>SUMIF('13_Progress_Track'!$A$2:$A$108,B154,'13_Progress_Track'!$E$2:$E$108)</f>
        <v/>
      </c>
      <c r="F153" s="175">
        <f>IF(E154&gt;(C154+D154),(E154-(C154+D154)),0)</f>
        <v/>
      </c>
      <c r="G153" s="177">
        <f>IF(F154&gt;0,0,C154+D154-E154)</f>
        <v/>
      </c>
      <c r="H153" s="148">
        <f>_xludf.IFNA(_xlfn.XLOOKUP(B154,'00_SKU_Master'!$B$2:$B$378,'00_SKU_Master'!$C$2:$C$378),"")</f>
        <v/>
      </c>
      <c r="I153" s="148" t="n"/>
      <c r="J153" s="14">
        <f>_xludf.IFNA(_xlfn.XLOOKUP(B154,'00_SKU_Master'!B$2:B$378,'00_SKU_Master'!H$2:H$378,0),"")</f>
        <v/>
      </c>
      <c r="K153" s="14">
        <f>_xludf.IFNA(_xlfn.XLOOKUP(B154,'00_SKU_Master'!B$2:B$378,'00_SKU_Master'!K$2:K$378,0),"")</f>
        <v/>
      </c>
      <c r="L153" s="148">
        <f>_xlfn.XLOOKUP(B154,'00_SKU_Master'!$B$2:$B$378,'00_SKU_Master'!D:D)</f>
        <v/>
      </c>
      <c r="M153" s="148">
        <f>IF((C154-E154)&lt;0,0,C154-E154)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_xlfn.XLOOKUP(B155,'02_TrayPack_Order'!$A$2:$A$264,'02_TrayPack_Order'!$C$2:$C$264)</f>
        <v/>
      </c>
      <c r="D154" s="176">
        <f>_xlfn.XLOOKUP(B155,'02_TrayPack_Order'!$A$2:$A$264,'02_TrayPack_Order'!$L$2:$L$264,0)</f>
        <v/>
      </c>
      <c r="E154" s="175">
        <f>SUMIF('13_Progress_Track'!$A$2:$A$108,B155,'13_Progress_Track'!$E$2:$E$108)</f>
        <v/>
      </c>
      <c r="F154" s="175">
        <f>IF(E155&gt;(C155+D155),(E155-(C155+D155)),0)</f>
        <v/>
      </c>
      <c r="G154" s="177">
        <f>IF(F155&gt;0,0,C155+D155-E155)</f>
        <v/>
      </c>
      <c r="H154" s="148">
        <f>_xludf.IFNA(_xlfn.XLOOKUP(B155,'00_SKU_Master'!$B$2:$B$378,'00_SKU_Master'!$C$2:$C$378),"")</f>
        <v/>
      </c>
      <c r="I154" s="148" t="n"/>
      <c r="J154" s="14">
        <f>_xludf.IFNA(_xlfn.XLOOKUP(B155,'00_SKU_Master'!B$2:B$378,'00_SKU_Master'!H$2:H$378,0),"")</f>
        <v/>
      </c>
      <c r="K154" s="14">
        <f>_xludf.IFNA(_xlfn.XLOOKUP(B155,'00_SKU_Master'!B$2:B$378,'00_SKU_Master'!K$2:K$378,0),"")</f>
        <v/>
      </c>
      <c r="L154" s="148">
        <f>_xlfn.XLOOKUP(B155,'00_SKU_Master'!$B$2:$B$378,'00_SKU_Master'!D:D)</f>
        <v/>
      </c>
      <c r="M154" s="148">
        <f>IF((C155-E155)&lt;0,0,C155-E155)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_xlfn.XLOOKUP(B156,'02_TrayPack_Order'!$A$2:$A$264,'02_TrayPack_Order'!$C$2:$C$264)</f>
        <v/>
      </c>
      <c r="D155" s="176">
        <f>_xlfn.XLOOKUP(B156,'02_TrayPack_Order'!$A$2:$A$264,'02_TrayPack_Order'!$L$2:$L$264,0)</f>
        <v/>
      </c>
      <c r="E155" s="175">
        <f>SUMIF('13_Progress_Track'!$A$2:$A$108,B156,'13_Progress_Track'!$E$2:$E$108)</f>
        <v/>
      </c>
      <c r="F155" s="175">
        <f>IF(E156&gt;(C156+D156),(E156-(C156+D156)),0)</f>
        <v/>
      </c>
      <c r="G155" s="177">
        <f>IF(F156&gt;0,0,C156+D156-E156)</f>
        <v/>
      </c>
      <c r="H155" s="148">
        <f>_xludf.IFNA(_xlfn.XLOOKUP(B156,'00_SKU_Master'!$B$2:$B$378,'00_SKU_Master'!$C$2:$C$378),"")</f>
        <v/>
      </c>
      <c r="I155" s="148" t="n"/>
      <c r="J155" s="14">
        <f>_xludf.IFNA(_xlfn.XLOOKUP(B156,'00_SKU_Master'!B$2:B$378,'00_SKU_Master'!H$2:H$378,0),"")</f>
        <v/>
      </c>
      <c r="K155" s="14">
        <f>_xludf.IFNA(_xlfn.XLOOKUP(B156,'00_SKU_Master'!B$2:B$378,'00_SKU_Master'!K$2:K$378,0),"")</f>
        <v/>
      </c>
      <c r="L155" s="148">
        <f>_xlfn.XLOOKUP(B156,'00_SKU_Master'!$B$2:$B$378,'00_SKU_Master'!D:D)</f>
        <v/>
      </c>
      <c r="M155" s="148">
        <f>IF((C156-E156)&lt;0,0,C156-E156)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_xlfn.XLOOKUP(B157,'02_TrayPack_Order'!$A$2:$A$264,'02_TrayPack_Order'!$C$2:$C$264)</f>
        <v/>
      </c>
      <c r="D156" s="176">
        <f>_xlfn.XLOOKUP(B157,'02_TrayPack_Order'!$A$2:$A$264,'02_TrayPack_Order'!$L$2:$L$264,0)</f>
        <v/>
      </c>
      <c r="E156" s="175">
        <f>SUMIF('13_Progress_Track'!$A$2:$A$108,B157,'13_Progress_Track'!$E$2:$E$108)</f>
        <v/>
      </c>
      <c r="F156" s="175">
        <f>IF(E157&gt;(C157+D157),(E157-(C157+D157)),0)</f>
        <v/>
      </c>
      <c r="G156" s="177">
        <f>IF(F157&gt;0,0,C157+D157-E157)</f>
        <v/>
      </c>
      <c r="H156" s="148">
        <f>_xludf.IFNA(_xlfn.XLOOKUP(B157,'00_SKU_Master'!$B$2:$B$378,'00_SKU_Master'!$C$2:$C$378),"")</f>
        <v/>
      </c>
      <c r="I156" s="148" t="n"/>
      <c r="J156" s="14">
        <f>_xludf.IFNA(_xlfn.XLOOKUP(B157,'00_SKU_Master'!B$2:B$378,'00_SKU_Master'!H$2:H$378,0),"")</f>
        <v/>
      </c>
      <c r="K156" s="14">
        <f>_xludf.IFNA(_xlfn.XLOOKUP(B157,'00_SKU_Master'!B$2:B$378,'00_SKU_Master'!K$2:K$378,0),"")</f>
        <v/>
      </c>
      <c r="L156" s="148">
        <f>_xlfn.XLOOKUP(B157,'00_SKU_Master'!$B$2:$B$378,'00_SKU_Master'!D:D)</f>
        <v/>
      </c>
      <c r="M156" s="148">
        <f>IF((C157-E157)&lt;0,0,C157-E157)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_xlfn.XLOOKUP(B158,'02_TrayPack_Order'!$A$2:$A$264,'02_TrayPack_Order'!$C$2:$C$264)</f>
        <v/>
      </c>
      <c r="D157" s="176">
        <f>_xlfn.XLOOKUP(B158,'02_TrayPack_Order'!$A$2:$A$264,'02_TrayPack_Order'!$L$2:$L$264,0)</f>
        <v/>
      </c>
      <c r="E157" s="175">
        <f>SUMIF('13_Progress_Track'!$A$2:$A$108,B158,'13_Progress_Track'!$E$2:$E$108)</f>
        <v/>
      </c>
      <c r="F157" s="175">
        <f>IF(E158&gt;(C158+D158),(E158-(C158+D158)),0)</f>
        <v/>
      </c>
      <c r="G157" s="177">
        <f>IF(F158&gt;0,0,C158+D158-E158)</f>
        <v/>
      </c>
      <c r="H157" s="148">
        <f>_xludf.IFNA(_xlfn.XLOOKUP(B158,'00_SKU_Master'!$B$2:$B$378,'00_SKU_Master'!$C$2:$C$378),"")</f>
        <v/>
      </c>
      <c r="I157" s="148" t="n"/>
      <c r="J157" s="14">
        <f>_xludf.IFNA(_xlfn.XLOOKUP(B158,'00_SKU_Master'!B$2:B$378,'00_SKU_Master'!H$2:H$378,0),"")</f>
        <v/>
      </c>
      <c r="K157" s="14">
        <f>_xludf.IFNA(_xlfn.XLOOKUP(B158,'00_SKU_Master'!B$2:B$378,'00_SKU_Master'!K$2:K$378,0),"")</f>
        <v/>
      </c>
      <c r="L157" s="148">
        <f>_xlfn.XLOOKUP(B158,'00_SKU_Master'!$B$2:$B$378,'00_SKU_Master'!D:D)</f>
        <v/>
      </c>
      <c r="M157" s="148">
        <f>IF((C158-E158)&lt;0,0,C158-E158)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_xlfn.XLOOKUP(B159,'02_TrayPack_Order'!$A$2:$A$264,'02_TrayPack_Order'!$C$2:$C$264)</f>
        <v/>
      </c>
      <c r="D158" s="176">
        <f>_xlfn.XLOOKUP(B159,'02_TrayPack_Order'!$A$2:$A$264,'02_TrayPack_Order'!$L$2:$L$264,0)</f>
        <v/>
      </c>
      <c r="E158" s="175">
        <f>SUMIF('13_Progress_Track'!$A$2:$A$108,B159,'13_Progress_Track'!$E$2:$E$108)</f>
        <v/>
      </c>
      <c r="F158" s="175">
        <f>IF(E159&gt;(C159+D159),(E159-(C159+D159)),0)</f>
        <v/>
      </c>
      <c r="G158" s="177">
        <f>IF(F159&gt;0,0,C159+D159-E159)</f>
        <v/>
      </c>
      <c r="H158" s="148">
        <f>_xludf.IFNA(_xlfn.XLOOKUP(B159,'00_SKU_Master'!$B$2:$B$378,'00_SKU_Master'!$C$2:$C$378),"")</f>
        <v/>
      </c>
      <c r="I158" s="148" t="n"/>
      <c r="J158" s="14">
        <f>_xludf.IFNA(_xlfn.XLOOKUP(B159,'00_SKU_Master'!B$2:B$378,'00_SKU_Master'!H$2:H$378,0),"")</f>
        <v/>
      </c>
      <c r="K158" s="14">
        <f>_xludf.IFNA(_xlfn.XLOOKUP(B159,'00_SKU_Master'!B$2:B$378,'00_SKU_Master'!K$2:K$378,0),"")</f>
        <v/>
      </c>
      <c r="L158" s="148">
        <f>_xlfn.XLOOKUP(B159,'00_SKU_Master'!$B$2:$B$378,'00_SKU_Master'!D:D)</f>
        <v/>
      </c>
      <c r="M158" s="148">
        <f>IF((C159-E159)&lt;0,0,C159-E159)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_xlfn.XLOOKUP(B160,'02_TrayPack_Order'!$A$2:$A$264,'02_TrayPack_Order'!$C$2:$C$264)</f>
        <v/>
      </c>
      <c r="D159" s="176">
        <f>_xlfn.XLOOKUP(B160,'02_TrayPack_Order'!$A$2:$A$264,'02_TrayPack_Order'!$L$2:$L$264,0)</f>
        <v/>
      </c>
      <c r="E159" s="175">
        <f>SUMIF('13_Progress_Track'!$A$2:$A$108,B160,'13_Progress_Track'!$E$2:$E$108)</f>
        <v/>
      </c>
      <c r="F159" s="175">
        <f>IF(E160&gt;(C160+D160),(E160-(C160+D160)),0)</f>
        <v/>
      </c>
      <c r="G159" s="177">
        <f>IF(F160&gt;0,0,C160+D160-E160)</f>
        <v/>
      </c>
      <c r="H159" s="148">
        <f>_xludf.IFNA(_xlfn.XLOOKUP(B160,'00_SKU_Master'!$B$2:$B$378,'00_SKU_Master'!$C$2:$C$378),"")</f>
        <v/>
      </c>
      <c r="I159" s="148" t="n"/>
      <c r="J159" s="14">
        <f>_xludf.IFNA(_xlfn.XLOOKUP(B160,'00_SKU_Master'!B$2:B$378,'00_SKU_Master'!H$2:H$378,0),"")</f>
        <v/>
      </c>
      <c r="K159" s="14">
        <f>_xludf.IFNA(_xlfn.XLOOKUP(B160,'00_SKU_Master'!B$2:B$378,'00_SKU_Master'!K$2:K$378,0),"")</f>
        <v/>
      </c>
      <c r="L159" s="148">
        <f>_xlfn.XLOOKUP(B160,'00_SKU_Master'!$B$2:$B$378,'00_SKU_Master'!D:D)</f>
        <v/>
      </c>
      <c r="M159" s="148">
        <f>IF((C160-E160)&lt;0,0,C160-E160)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_xlfn.XLOOKUP(B161,'02_TrayPack_Order'!$A$2:$A$264,'02_TrayPack_Order'!$C$2:$C$264)</f>
        <v/>
      </c>
      <c r="D160" s="176">
        <f>_xlfn.XLOOKUP(B161,'02_TrayPack_Order'!$A$2:$A$264,'02_TrayPack_Order'!$L$2:$L$264,0)</f>
        <v/>
      </c>
      <c r="E160" s="175">
        <f>SUMIF('13_Progress_Track'!$A$2:$A$108,B161,'13_Progress_Track'!$E$2:$E$108)</f>
        <v/>
      </c>
      <c r="F160" s="175">
        <f>IF(E161&gt;(C161+D161),(E161-(C161+D161)),0)</f>
        <v/>
      </c>
      <c r="G160" s="177">
        <f>IF(F161&gt;0,0,C161+D161-E161)</f>
        <v/>
      </c>
      <c r="H160" s="148">
        <f>_xludf.IFNA(_xlfn.XLOOKUP(B161,'00_SKU_Master'!$B$2:$B$378,'00_SKU_Master'!$C$2:$C$378),"")</f>
        <v/>
      </c>
      <c r="I160" s="148" t="n"/>
      <c r="J160" s="14">
        <f>_xludf.IFNA(_xlfn.XLOOKUP(B161,'00_SKU_Master'!B$2:B$378,'00_SKU_Master'!H$2:H$378,0),"")</f>
        <v/>
      </c>
      <c r="K160" s="14">
        <f>_xludf.IFNA(_xlfn.XLOOKUP(B161,'00_SKU_Master'!B$2:B$378,'00_SKU_Master'!K$2:K$378,0),"")</f>
        <v/>
      </c>
      <c r="L160" s="148">
        <f>_xlfn.XLOOKUP(B161,'00_SKU_Master'!$B$2:$B$378,'00_SKU_Master'!D:D)</f>
        <v/>
      </c>
      <c r="M160" s="148">
        <f>IF((C161-E161)&lt;0,0,C161-E161)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_xlfn.XLOOKUP(B162,'02_TrayPack_Order'!$A$2:$A$264,'02_TrayPack_Order'!$C$2:$C$264)</f>
        <v/>
      </c>
      <c r="D161" s="176">
        <f>_xlfn.XLOOKUP(B162,'02_TrayPack_Order'!$A$2:$A$264,'02_TrayPack_Order'!$L$2:$L$264,0)</f>
        <v/>
      </c>
      <c r="E161" s="175">
        <f>SUMIF('13_Progress_Track'!$A$2:$A$108,B162,'13_Progress_Track'!$E$2:$E$108)</f>
        <v/>
      </c>
      <c r="F161" s="175">
        <f>IF(E162&gt;(C162+D162),(E162-(C162+D162)),0)</f>
        <v/>
      </c>
      <c r="G161" s="177">
        <f>IF(F162&gt;0,0,C162+D162-E162)</f>
        <v/>
      </c>
      <c r="H161" s="148">
        <f>_xludf.IFNA(_xlfn.XLOOKUP(B162,'00_SKU_Master'!$B$2:$B$378,'00_SKU_Master'!$C$2:$C$378),"")</f>
        <v/>
      </c>
      <c r="I161" s="148" t="n"/>
      <c r="J161" s="14">
        <f>_xludf.IFNA(_xlfn.XLOOKUP(B162,'00_SKU_Master'!B$2:B$378,'00_SKU_Master'!H$2:H$378,0),"")</f>
        <v/>
      </c>
      <c r="K161" s="14">
        <f>_xludf.IFNA(_xlfn.XLOOKUP(B162,'00_SKU_Master'!B$2:B$378,'00_SKU_Master'!K$2:K$378,0),"")</f>
        <v/>
      </c>
      <c r="L161" s="148">
        <f>_xlfn.XLOOKUP(B162,'00_SKU_Master'!$B$2:$B$378,'00_SKU_Master'!D:D)</f>
        <v/>
      </c>
      <c r="M161" s="148">
        <f>IF((C162-E162)&lt;0,0,C162-E162)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_xlfn.XLOOKUP(B163,'02_TrayPack_Order'!$A$2:$A$264,'02_TrayPack_Order'!$C$2:$C$264)</f>
        <v/>
      </c>
      <c r="D162" s="176">
        <f>_xlfn.XLOOKUP(B163,'02_TrayPack_Order'!$A$2:$A$264,'02_TrayPack_Order'!$L$2:$L$264,0)</f>
        <v/>
      </c>
      <c r="E162" s="175">
        <f>SUMIF('13_Progress_Track'!$A$2:$A$108,B163,'13_Progress_Track'!$E$2:$E$108)</f>
        <v/>
      </c>
      <c r="F162" s="175">
        <f>IF(E163&gt;(C163+D163),(E163-(C163+D163)),0)</f>
        <v/>
      </c>
      <c r="G162" s="177">
        <f>IF(F163&gt;0,0,C163+D163-E163)</f>
        <v/>
      </c>
      <c r="H162" s="148">
        <f>_xludf.IFNA(_xlfn.XLOOKUP(B163,'00_SKU_Master'!$B$2:$B$378,'00_SKU_Master'!$C$2:$C$378),"")</f>
        <v/>
      </c>
      <c r="I162" s="148" t="n"/>
      <c r="J162" s="14">
        <f>_xludf.IFNA(_xlfn.XLOOKUP(B163,'00_SKU_Master'!B$2:B$378,'00_SKU_Master'!H$2:H$378,0),"")</f>
        <v/>
      </c>
      <c r="K162" s="14">
        <f>_xludf.IFNA(_xlfn.XLOOKUP(B163,'00_SKU_Master'!B$2:B$378,'00_SKU_Master'!K$2:K$378,0),"")</f>
        <v/>
      </c>
      <c r="L162" s="148">
        <f>_xlfn.XLOOKUP(B163,'00_SKU_Master'!$B$2:$B$378,'00_SKU_Master'!D:D)</f>
        <v/>
      </c>
      <c r="M162" s="148">
        <f>IF((C163-E163)&lt;0,0,C163-E163)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_xlfn.XLOOKUP(B164,'02_TrayPack_Order'!$A$2:$A$264,'02_TrayPack_Order'!$C$2:$C$264)</f>
        <v/>
      </c>
      <c r="D163" s="176">
        <f>_xlfn.XLOOKUP(B164,'02_TrayPack_Order'!$A$2:$A$264,'02_TrayPack_Order'!$L$2:$L$264,0)</f>
        <v/>
      </c>
      <c r="E163" s="175">
        <f>SUMIF('13_Progress_Track'!$A$2:$A$108,B164,'13_Progress_Track'!$E$2:$E$108)</f>
        <v/>
      </c>
      <c r="F163" s="175">
        <f>IF(E164&gt;(C164+D164),(E164-(C164+D164)),0)</f>
        <v/>
      </c>
      <c r="G163" s="177">
        <f>IF(F164&gt;0,0,C164+D164-E164)</f>
        <v/>
      </c>
      <c r="H163" s="148">
        <f>_xludf.IFNA(_xlfn.XLOOKUP(B164,'00_SKU_Master'!$B$2:$B$378,'00_SKU_Master'!$C$2:$C$378),"")</f>
        <v/>
      </c>
      <c r="I163" s="148" t="n"/>
      <c r="J163" s="14">
        <f>_xludf.IFNA(_xlfn.XLOOKUP(B164,'00_SKU_Master'!B$2:B$378,'00_SKU_Master'!H$2:H$378,0),"")</f>
        <v/>
      </c>
      <c r="K163" s="14">
        <f>_xludf.IFNA(_xlfn.XLOOKUP(B164,'00_SKU_Master'!B$2:B$378,'00_SKU_Master'!K$2:K$378,0),"")</f>
        <v/>
      </c>
      <c r="L163" s="148">
        <f>_xlfn.XLOOKUP(B164,'00_SKU_Master'!$B$2:$B$378,'00_SKU_Master'!D:D)</f>
        <v/>
      </c>
      <c r="M163" s="148">
        <f>IF((C164-E164)&lt;0,0,C164-E164)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_xlfn.XLOOKUP(B165,'02_TrayPack_Order'!$A$2:$A$264,'02_TrayPack_Order'!$C$2:$C$264)</f>
        <v/>
      </c>
      <c r="D164" s="176">
        <f>_xlfn.XLOOKUP(B165,'02_TrayPack_Order'!$A$2:$A$264,'02_TrayPack_Order'!$L$2:$L$264,0)</f>
        <v/>
      </c>
      <c r="E164" s="175">
        <f>SUMIF('13_Progress_Track'!$A$2:$A$108,B165,'13_Progress_Track'!$E$2:$E$108)</f>
        <v/>
      </c>
      <c r="F164" s="175">
        <f>IF(E165&gt;(C165+D165),(E165-(C165+D165)),0)</f>
        <v/>
      </c>
      <c r="G164" s="177">
        <f>IF(F165&gt;0,0,C165+D165-E165)</f>
        <v/>
      </c>
      <c r="H164" s="148">
        <f>_xludf.IFNA(_xlfn.XLOOKUP(B165,'00_SKU_Master'!$B$2:$B$378,'00_SKU_Master'!$C$2:$C$378),"")</f>
        <v/>
      </c>
      <c r="I164" s="148" t="n"/>
      <c r="J164" s="14">
        <f>_xludf.IFNA(_xlfn.XLOOKUP(B165,'00_SKU_Master'!B$2:B$378,'00_SKU_Master'!H$2:H$378,0),"")</f>
        <v/>
      </c>
      <c r="K164" s="14">
        <f>_xludf.IFNA(_xlfn.XLOOKUP(B165,'00_SKU_Master'!B$2:B$378,'00_SKU_Master'!K$2:K$378,0),"")</f>
        <v/>
      </c>
      <c r="L164" s="148">
        <f>_xlfn.XLOOKUP(B165,'00_SKU_Master'!$B$2:$B$378,'00_SKU_Master'!D:D)</f>
        <v/>
      </c>
      <c r="M164" s="148">
        <f>IF((C165-E165)&lt;0,0,C165-E165)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_xlfn.XLOOKUP(B166,'02_TrayPack_Order'!$A$2:$A$264,'02_TrayPack_Order'!$C$2:$C$264)</f>
        <v/>
      </c>
      <c r="D165" s="176">
        <f>_xlfn.XLOOKUP(B166,'02_TrayPack_Order'!$A$2:$A$264,'02_TrayPack_Order'!$L$2:$L$264,0)</f>
        <v/>
      </c>
      <c r="E165" s="175">
        <f>SUMIF('13_Progress_Track'!$A$2:$A$108,B166,'13_Progress_Track'!$E$2:$E$108)</f>
        <v/>
      </c>
      <c r="F165" s="175">
        <f>IF(E166&gt;(C166+D166),(E166-(C166+D166)),0)</f>
        <v/>
      </c>
      <c r="G165" s="177">
        <f>IF(F166&gt;0,0,C166+D166-E166)</f>
        <v/>
      </c>
      <c r="H165" s="148">
        <f>_xludf.IFNA(_xlfn.XLOOKUP(B166,'00_SKU_Master'!$B$2:$B$378,'00_SKU_Master'!$C$2:$C$378),"")</f>
        <v/>
      </c>
      <c r="I165" s="148" t="n"/>
      <c r="J165" s="14">
        <f>_xludf.IFNA(_xlfn.XLOOKUP(B166,'00_SKU_Master'!B$2:B$378,'00_SKU_Master'!H$2:H$378,0),"")</f>
        <v/>
      </c>
      <c r="K165" s="14">
        <f>_xludf.IFNA(_xlfn.XLOOKUP(B166,'00_SKU_Master'!B$2:B$378,'00_SKU_Master'!K$2:K$378,0),"")</f>
        <v/>
      </c>
      <c r="L165" s="148">
        <f>_xlfn.XLOOKUP(B166,'00_SKU_Master'!$B$2:$B$378,'00_SKU_Master'!D:D)</f>
        <v/>
      </c>
      <c r="M165" s="148">
        <f>IF((C166-E166)&lt;0,0,C166-E166)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_xlfn.XLOOKUP(B167,'02_TrayPack_Order'!$A$2:$A$264,'02_TrayPack_Order'!$C$2:$C$264)</f>
        <v/>
      </c>
      <c r="D166" s="176">
        <f>_xlfn.XLOOKUP(B167,'02_TrayPack_Order'!$A$2:$A$264,'02_TrayPack_Order'!$L$2:$L$264,0)</f>
        <v/>
      </c>
      <c r="E166" s="175">
        <f>SUMIF('13_Progress_Track'!$A$2:$A$108,B167,'13_Progress_Track'!$E$2:$E$108)</f>
        <v/>
      </c>
      <c r="F166" s="175">
        <f>IF(E167&gt;(C167+D167),(E167-(C167+D167)),0)</f>
        <v/>
      </c>
      <c r="G166" s="177">
        <f>IF(F167&gt;0,0,C167+D167-E167)</f>
        <v/>
      </c>
      <c r="H166" s="148">
        <f>_xludf.IFNA(_xlfn.XLOOKUP(B167,'00_SKU_Master'!$B$2:$B$378,'00_SKU_Master'!$C$2:$C$378),"")</f>
        <v/>
      </c>
      <c r="I166" s="148" t="n"/>
      <c r="J166" s="14">
        <f>_xludf.IFNA(_xlfn.XLOOKUP(B167,'00_SKU_Master'!B$2:B$378,'00_SKU_Master'!H$2:H$378,0),"")</f>
        <v/>
      </c>
      <c r="K166" s="14">
        <f>_xludf.IFNA(_xlfn.XLOOKUP(B167,'00_SKU_Master'!B$2:B$378,'00_SKU_Master'!K$2:K$378,0),"")</f>
        <v/>
      </c>
      <c r="L166" s="148">
        <f>_xlfn.XLOOKUP(B167,'00_SKU_Master'!$B$2:$B$378,'00_SKU_Master'!D:D)</f>
        <v/>
      </c>
      <c r="M166" s="148">
        <f>IF((C167-E167)&lt;0,0,C167-E167)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_xlfn.XLOOKUP(B168,'02_TrayPack_Order'!$A$2:$A$264,'02_TrayPack_Order'!$C$2:$C$264)</f>
        <v/>
      </c>
      <c r="D167" s="176">
        <f>_xlfn.XLOOKUP(B168,'02_TrayPack_Order'!$A$2:$A$264,'02_TrayPack_Order'!$L$2:$L$264,0)</f>
        <v/>
      </c>
      <c r="E167" s="175">
        <f>SUMIF('13_Progress_Track'!$A$2:$A$108,B168,'13_Progress_Track'!$E$2:$E$108)</f>
        <v/>
      </c>
      <c r="F167" s="175">
        <f>IF(E168&gt;(C168+D168),(E168-(C168+D168)),0)</f>
        <v/>
      </c>
      <c r="G167" s="177">
        <f>IF(F168&gt;0,0,C168+D168-E168)</f>
        <v/>
      </c>
      <c r="H167" s="148">
        <f>_xludf.IFNA(_xlfn.XLOOKUP(B168,'00_SKU_Master'!$B$2:$B$378,'00_SKU_Master'!$C$2:$C$378),"")</f>
        <v/>
      </c>
      <c r="I167" s="148" t="n"/>
      <c r="J167" s="14">
        <f>_xludf.IFNA(_xlfn.XLOOKUP(B168,'00_SKU_Master'!B$2:B$378,'00_SKU_Master'!H$2:H$378,0),"")</f>
        <v/>
      </c>
      <c r="K167" s="14">
        <f>_xludf.IFNA(_xlfn.XLOOKUP(B168,'00_SKU_Master'!B$2:B$378,'00_SKU_Master'!K$2:K$378,0),"")</f>
        <v/>
      </c>
      <c r="L167" s="148">
        <f>_xlfn.XLOOKUP(B168,'00_SKU_Master'!$B$2:$B$378,'00_SKU_Master'!D:D)</f>
        <v/>
      </c>
      <c r="M167" s="148">
        <f>IF((C168-E168)&lt;0,0,C168-E168)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_xlfn.XLOOKUP(B169,'02_TrayPack_Order'!$A$2:$A$264,'02_TrayPack_Order'!$C$2:$C$264)</f>
        <v/>
      </c>
      <c r="D168" s="176">
        <f>_xlfn.XLOOKUP(B169,'02_TrayPack_Order'!$A$2:$A$264,'02_TrayPack_Order'!$L$2:$L$264,0)</f>
        <v/>
      </c>
      <c r="E168" s="175">
        <f>SUMIF('13_Progress_Track'!$A$2:$A$108,B169,'13_Progress_Track'!$E$2:$E$108)</f>
        <v/>
      </c>
      <c r="F168" s="175">
        <f>IF(E169&gt;(C169+D169),(E169-(C169+D169)),0)</f>
        <v/>
      </c>
      <c r="G168" s="177">
        <f>IF(F169&gt;0,0,C169+D169-E169)</f>
        <v/>
      </c>
      <c r="H168" s="148">
        <f>_xludf.IFNA(_xlfn.XLOOKUP(B169,'00_SKU_Master'!$B$2:$B$378,'00_SKU_Master'!$C$2:$C$378),"")</f>
        <v/>
      </c>
      <c r="I168" s="148" t="n"/>
      <c r="J168" s="14">
        <f>_xludf.IFNA(_xlfn.XLOOKUP(B169,'00_SKU_Master'!B$2:B$378,'00_SKU_Master'!H$2:H$378,0),"")</f>
        <v/>
      </c>
      <c r="K168" s="14">
        <f>_xludf.IFNA(_xlfn.XLOOKUP(B169,'00_SKU_Master'!B$2:B$378,'00_SKU_Master'!K$2:K$378,0),"")</f>
        <v/>
      </c>
      <c r="L168" s="148">
        <f>_xlfn.XLOOKUP(B169,'00_SKU_Master'!$B$2:$B$378,'00_SKU_Master'!D:D)</f>
        <v/>
      </c>
      <c r="M168" s="148">
        <f>IF((C169-E169)&lt;0,0,C169-E169)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_xlfn.XLOOKUP(B170,'02_TrayPack_Order'!$A$2:$A$264,'02_TrayPack_Order'!$C$2:$C$264)</f>
        <v/>
      </c>
      <c r="D169" s="176">
        <f>_xlfn.XLOOKUP(B170,'02_TrayPack_Order'!$A$2:$A$264,'02_TrayPack_Order'!$L$2:$L$264,0)</f>
        <v/>
      </c>
      <c r="E169" s="175">
        <f>SUMIF('13_Progress_Track'!$A$2:$A$108,B170,'13_Progress_Track'!$E$2:$E$108)</f>
        <v/>
      </c>
      <c r="F169" s="175">
        <f>IF(E170&gt;(C170+D170),(E170-(C170+D170)),0)</f>
        <v/>
      </c>
      <c r="G169" s="177">
        <f>IF(F170&gt;0,0,C170+D170-E170)</f>
        <v/>
      </c>
      <c r="H169" s="148">
        <f>_xludf.IFNA(_xlfn.XLOOKUP(B170,'00_SKU_Master'!$B$2:$B$378,'00_SKU_Master'!$C$2:$C$378),"")</f>
        <v/>
      </c>
      <c r="I169" s="148" t="n"/>
      <c r="J169" s="14">
        <f>_xludf.IFNA(_xlfn.XLOOKUP(B170,'00_SKU_Master'!B$2:B$378,'00_SKU_Master'!H$2:H$378,0),"")</f>
        <v/>
      </c>
      <c r="K169" s="14">
        <f>_xludf.IFNA(_xlfn.XLOOKUP(B170,'00_SKU_Master'!B$2:B$378,'00_SKU_Master'!K$2:K$378,0),"")</f>
        <v/>
      </c>
      <c r="L169" s="148">
        <f>_xlfn.XLOOKUP(B170,'00_SKU_Master'!$B$2:$B$378,'00_SKU_Master'!D:D)</f>
        <v/>
      </c>
      <c r="M169" s="148">
        <f>IF((C170-E170)&lt;0,0,C170-E170)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_xlfn.XLOOKUP(B171,'02_TrayPack_Order'!$A$2:$A$264,'02_TrayPack_Order'!$C$2:$C$264)</f>
        <v/>
      </c>
      <c r="D170" s="176">
        <f>_xlfn.XLOOKUP(B171,'02_TrayPack_Order'!$A$2:$A$264,'02_TrayPack_Order'!$L$2:$L$264,0)</f>
        <v/>
      </c>
      <c r="E170" s="175">
        <f>SUMIF('13_Progress_Track'!$A$2:$A$108,B171,'13_Progress_Track'!$E$2:$E$108)</f>
        <v/>
      </c>
      <c r="F170" s="175">
        <f>IF(E171&gt;(C171+D171),(E171-(C171+D171)),0)</f>
        <v/>
      </c>
      <c r="G170" s="177">
        <f>IF(F171&gt;0,0,C171+D171-E171)</f>
        <v/>
      </c>
      <c r="H170" s="148">
        <f>_xludf.IFNA(_xlfn.XLOOKUP(B171,'00_SKU_Master'!$B$2:$B$378,'00_SKU_Master'!$C$2:$C$378),"")</f>
        <v/>
      </c>
      <c r="I170" s="148" t="n"/>
      <c r="J170" s="14">
        <f>_xludf.IFNA(_xlfn.XLOOKUP(B171,'00_SKU_Master'!B$2:B$378,'00_SKU_Master'!H$2:H$378,0),"")</f>
        <v/>
      </c>
      <c r="K170" s="14">
        <f>_xludf.IFNA(_xlfn.XLOOKUP(B171,'00_SKU_Master'!B$2:B$378,'00_SKU_Master'!K$2:K$378,0),"")</f>
        <v/>
      </c>
      <c r="L170" s="148">
        <f>_xlfn.XLOOKUP(B171,'00_SKU_Master'!$B$2:$B$378,'00_SKU_Master'!D:D)</f>
        <v/>
      </c>
      <c r="M170" s="148">
        <f>IF((C171-E171)&lt;0,0,C171-E171)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_xlfn.XLOOKUP(B172,'02_TrayPack_Order'!$A$2:$A$264,'02_TrayPack_Order'!$C$2:$C$264)</f>
        <v/>
      </c>
      <c r="D171" s="176">
        <f>_xlfn.XLOOKUP(B172,'02_TrayPack_Order'!$A$2:$A$264,'02_TrayPack_Order'!$L$2:$L$264,0)</f>
        <v/>
      </c>
      <c r="E171" s="175">
        <f>SUMIF('13_Progress_Track'!$A$2:$A$108,B172,'13_Progress_Track'!$E$2:$E$108)</f>
        <v/>
      </c>
      <c r="F171" s="175">
        <f>IF(E172&gt;(C172+D172),(E172-(C172+D172)),0)</f>
        <v/>
      </c>
      <c r="G171" s="177">
        <f>IF(F172&gt;0,0,C172+D172-E172)</f>
        <v/>
      </c>
      <c r="H171" s="148">
        <f>_xludf.IFNA(_xlfn.XLOOKUP(B172,'00_SKU_Master'!$B$2:$B$378,'00_SKU_Master'!$C$2:$C$378),"")</f>
        <v/>
      </c>
      <c r="I171" s="148" t="n"/>
      <c r="J171" s="14">
        <f>_xludf.IFNA(_xlfn.XLOOKUP(B172,'00_SKU_Master'!B$2:B$378,'00_SKU_Master'!H$2:H$378,0),"")</f>
        <v/>
      </c>
      <c r="K171" s="14">
        <f>_xludf.IFNA(_xlfn.XLOOKUP(B172,'00_SKU_Master'!B$2:B$378,'00_SKU_Master'!K$2:K$378,0),"")</f>
        <v/>
      </c>
      <c r="L171" s="148">
        <f>_xlfn.XLOOKUP(B172,'00_SKU_Master'!$B$2:$B$378,'00_SKU_Master'!D:D)</f>
        <v/>
      </c>
      <c r="M171" s="148">
        <f>IF((C172-E172)&lt;0,0,C172-E172)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_xlfn.XLOOKUP(B173,'02_TrayPack_Order'!$A$2:$A$264,'02_TrayPack_Order'!$C$2:$C$264)</f>
        <v/>
      </c>
      <c r="D172" s="176">
        <f>_xlfn.XLOOKUP(B173,'02_TrayPack_Order'!$A$2:$A$264,'02_TrayPack_Order'!$L$2:$L$264,0)</f>
        <v/>
      </c>
      <c r="E172" s="175">
        <f>SUMIF('13_Progress_Track'!$A$2:$A$108,B173,'13_Progress_Track'!$E$2:$E$108)</f>
        <v/>
      </c>
      <c r="F172" s="175">
        <f>IF(E173&gt;(C173+D173),(E173-(C173+D173)),0)</f>
        <v/>
      </c>
      <c r="G172" s="177">
        <f>IF(F173&gt;0,0,C173+D173-E173)</f>
        <v/>
      </c>
      <c r="H172" s="148">
        <f>_xludf.IFNA(_xlfn.XLOOKUP(B173,'00_SKU_Master'!$B$2:$B$378,'00_SKU_Master'!$C$2:$C$378),"")</f>
        <v/>
      </c>
      <c r="I172" s="148" t="n"/>
      <c r="J172" s="14">
        <f>_xludf.IFNA(_xlfn.XLOOKUP(B173,'00_SKU_Master'!B$2:B$378,'00_SKU_Master'!H$2:H$378,0),"")</f>
        <v/>
      </c>
      <c r="K172" s="14">
        <f>_xludf.IFNA(_xlfn.XLOOKUP(B173,'00_SKU_Master'!B$2:B$378,'00_SKU_Master'!K$2:K$378,0),"")</f>
        <v/>
      </c>
      <c r="L172" s="148">
        <f>_xlfn.XLOOKUP(B173,'00_SKU_Master'!$B$2:$B$378,'00_SKU_Master'!D:D)</f>
        <v/>
      </c>
      <c r="M172" s="148">
        <f>IF((C173-E173)&lt;0,0,C173-E173)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_xlfn.XLOOKUP(B174,'02_TrayPack_Order'!$A$2:$A$264,'02_TrayPack_Order'!$C$2:$C$264)</f>
        <v/>
      </c>
      <c r="D173" s="176">
        <f>_xlfn.XLOOKUP(B174,'02_TrayPack_Order'!$A$2:$A$264,'02_TrayPack_Order'!$L$2:$L$264,0)</f>
        <v/>
      </c>
      <c r="E173" s="175">
        <f>SUMIF('13_Progress_Track'!$A$2:$A$108,B174,'13_Progress_Track'!$E$2:$E$108)</f>
        <v/>
      </c>
      <c r="F173" s="175">
        <f>IF(E174&gt;(C174+D174),(E174-(C174+D174)),0)</f>
        <v/>
      </c>
      <c r="G173" s="177">
        <f>IF(F174&gt;0,0,C174+D174-E174)</f>
        <v/>
      </c>
      <c r="H173" s="148">
        <f>_xludf.IFNA(_xlfn.XLOOKUP(B174,'00_SKU_Master'!$B$2:$B$378,'00_SKU_Master'!$C$2:$C$378),"")</f>
        <v/>
      </c>
      <c r="I173" s="148" t="n"/>
      <c r="J173" s="14">
        <f>_xludf.IFNA(_xlfn.XLOOKUP(B174,'00_SKU_Master'!B$2:B$378,'00_SKU_Master'!H$2:H$378,0),"")</f>
        <v/>
      </c>
      <c r="K173" s="14">
        <f>_xludf.IFNA(_xlfn.XLOOKUP(B174,'00_SKU_Master'!B$2:B$378,'00_SKU_Master'!K$2:K$378,0),"")</f>
        <v/>
      </c>
      <c r="L173" s="148">
        <f>_xlfn.XLOOKUP(B174,'00_SKU_Master'!$B$2:$B$378,'00_SKU_Master'!D:D)</f>
        <v/>
      </c>
      <c r="M173" s="148">
        <f>IF((C174-E174)&lt;0,0,C174-E174)</f>
        <v/>
      </c>
      <c r="N173" s="178" t="n"/>
    </row>
    <row r="174">
      <c r="A174" s="148">
        <f>'00_SKU_Master'!J266</f>
        <v/>
      </c>
      <c r="B174" s="148">
        <f>'00_SKU_Master'!B266</f>
        <v/>
      </c>
      <c r="C174" s="175">
        <f>_xlfn.XLOOKUP(B175,'02_TrayPack_Order'!$A$2:$A$264,'02_TrayPack_Order'!$C$2:$C$264)</f>
        <v/>
      </c>
      <c r="D174" s="176">
        <f>_xlfn.XLOOKUP(B175,'02_TrayPack_Order'!$A$2:$A$264,'02_TrayPack_Order'!$L$2:$L$264,0)</f>
        <v/>
      </c>
      <c r="E174" s="175">
        <f>SUMIF('13_Progress_Track'!$A$2:$A$108,B175,'13_Progress_Track'!$E$2:$E$108)</f>
        <v/>
      </c>
      <c r="F174" s="175">
        <f>IF(E175&gt;(C175+D175),(E175-(C175+D175)),0)</f>
        <v/>
      </c>
      <c r="G174" s="177">
        <f>IF(F175&gt;0,0,C175+D175-E175)</f>
        <v/>
      </c>
      <c r="H174" s="148">
        <f>_xludf.IFNA(_xlfn.XLOOKUP(B175,'00_SKU_Master'!$B$2:$B$378,'00_SKU_Master'!$C$2:$C$378),"")</f>
        <v/>
      </c>
      <c r="I174" s="148" t="n"/>
      <c r="J174" s="14">
        <f>_xludf.IFNA(_xlfn.XLOOKUP(B175,'00_SKU_Master'!B$2:B$378,'00_SKU_Master'!H$2:H$378,0),"")</f>
        <v/>
      </c>
      <c r="K174" s="14">
        <f>_xludf.IFNA(_xlfn.XLOOKUP(B175,'00_SKU_Master'!B$2:B$378,'00_SKU_Master'!K$2:K$378,0),"")</f>
        <v/>
      </c>
      <c r="L174" s="148">
        <f>_xlfn.XLOOKUP(B175,'00_SKU_Master'!$B$2:$B$378,'00_SKU_Master'!D:D)</f>
        <v/>
      </c>
      <c r="M174" s="148">
        <f>IF((C175-E175)&lt;0,0,C175-E175)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_xlfn.XLOOKUP(B176,'02_TrayPack_Order'!$A$2:$A$264,'02_TrayPack_Order'!$C$2:$C$264)</f>
        <v/>
      </c>
      <c r="D175" s="176">
        <f>_xlfn.XLOOKUP(B176,'02_TrayPack_Order'!$A$2:$A$264,'02_TrayPack_Order'!$L$2:$L$264,0)</f>
        <v/>
      </c>
      <c r="E175" s="175">
        <f>SUMIF('13_Progress_Track'!$A$2:$A$108,B176,'13_Progress_Track'!$E$2:$E$108)</f>
        <v/>
      </c>
      <c r="F175" s="175">
        <f>IF(E176&gt;(C176+D176),(E176-(C176+D176)),0)</f>
        <v/>
      </c>
      <c r="G175" s="177">
        <f>IF(F176&gt;0,0,C176+D176-E176)</f>
        <v/>
      </c>
      <c r="H175" s="148">
        <f>_xludf.IFNA(_xlfn.XLOOKUP(B176,'00_SKU_Master'!$B$2:$B$378,'00_SKU_Master'!$C$2:$C$378),"")</f>
        <v/>
      </c>
      <c r="I175" s="148" t="n"/>
      <c r="J175" s="14">
        <f>_xludf.IFNA(_xlfn.XLOOKUP(B176,'00_SKU_Master'!B$2:B$378,'00_SKU_Master'!H$2:H$378,0),"")</f>
        <v/>
      </c>
      <c r="K175" s="14">
        <f>_xludf.IFNA(_xlfn.XLOOKUP(B176,'00_SKU_Master'!B$2:B$378,'00_SKU_Master'!K$2:K$378,0),"")</f>
        <v/>
      </c>
      <c r="L175" s="148">
        <f>_xlfn.XLOOKUP(B176,'00_SKU_Master'!$B$2:$B$378,'00_SKU_Master'!D:D)</f>
        <v/>
      </c>
      <c r="M175" s="148">
        <f>IF((C176-E176)&lt;0,0,C176-E176)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_xlfn.XLOOKUP(B177,'02_TrayPack_Order'!$A$2:$A$264,'02_TrayPack_Order'!$C$2:$C$264)</f>
        <v/>
      </c>
      <c r="D176" s="176">
        <f>_xlfn.XLOOKUP(B177,'02_TrayPack_Order'!$A$2:$A$264,'02_TrayPack_Order'!$L$2:$L$264,0)</f>
        <v/>
      </c>
      <c r="E176" s="175">
        <f>SUMIF('13_Progress_Track'!$A$2:$A$108,B177,'13_Progress_Track'!$E$2:$E$108)</f>
        <v/>
      </c>
      <c r="F176" s="175">
        <f>IF(E177&gt;(C177+D177),(E177-(C177+D177)),0)</f>
        <v/>
      </c>
      <c r="G176" s="177">
        <f>IF(F177&gt;0,0,C177+D177-E177)</f>
        <v/>
      </c>
      <c r="H176" s="148">
        <f>_xludf.IFNA(_xlfn.XLOOKUP(B177,'00_SKU_Master'!$B$2:$B$378,'00_SKU_Master'!$C$2:$C$378),"")</f>
        <v/>
      </c>
      <c r="I176" s="148" t="n"/>
      <c r="J176" s="14">
        <f>_xludf.IFNA(_xlfn.XLOOKUP(B177,'00_SKU_Master'!B$2:B$378,'00_SKU_Master'!H$2:H$378,0),"")</f>
        <v/>
      </c>
      <c r="K176" s="14">
        <f>_xludf.IFNA(_xlfn.XLOOKUP(B177,'00_SKU_Master'!B$2:B$378,'00_SKU_Master'!K$2:K$378,0),"")</f>
        <v/>
      </c>
      <c r="L176" s="148">
        <f>_xlfn.XLOOKUP(B177,'00_SKU_Master'!$B$2:$B$378,'00_SKU_Master'!D:D)</f>
        <v/>
      </c>
      <c r="M176" s="148">
        <f>IF((C177-E177)&lt;0,0,C177-E177)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_xlfn.XLOOKUP(B178,'02_TrayPack_Order'!$A$2:$A$264,'02_TrayPack_Order'!$C$2:$C$264)</f>
        <v/>
      </c>
      <c r="D177" s="176">
        <f>_xlfn.XLOOKUP(B178,'02_TrayPack_Order'!$A$2:$A$264,'02_TrayPack_Order'!$L$2:$L$264,0)</f>
        <v/>
      </c>
      <c r="E177" s="175">
        <f>SUMIF('13_Progress_Track'!$A$2:$A$108,B178,'13_Progress_Track'!$E$2:$E$108)</f>
        <v/>
      </c>
      <c r="F177" s="175">
        <f>IF(E178&gt;(C178+D178),(E178-(C178+D178)),0)</f>
        <v/>
      </c>
      <c r="G177" s="177">
        <f>IF(F178&gt;0,0,C178+D178-E178)</f>
        <v/>
      </c>
      <c r="H177" s="148">
        <f>_xludf.IFNA(_xlfn.XLOOKUP(B178,'00_SKU_Master'!$B$2:$B$378,'00_SKU_Master'!$C$2:$C$378),"")</f>
        <v/>
      </c>
      <c r="I177" s="148" t="n"/>
      <c r="J177" s="14">
        <f>_xludf.IFNA(_xlfn.XLOOKUP(B178,'00_SKU_Master'!B$2:B$378,'00_SKU_Master'!H$2:H$378,0),"")</f>
        <v/>
      </c>
      <c r="K177" s="14">
        <f>_xludf.IFNA(_xlfn.XLOOKUP(B178,'00_SKU_Master'!B$2:B$378,'00_SKU_Master'!K$2:K$378,0),"")</f>
        <v/>
      </c>
      <c r="L177" s="148">
        <f>_xlfn.XLOOKUP(B178,'00_SKU_Master'!$B$2:$B$378,'00_SKU_Master'!D:D)</f>
        <v/>
      </c>
      <c r="M177" s="148">
        <f>IF((C178-E178)&lt;0,0,C178-E178)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_xlfn.XLOOKUP(B179,'02_TrayPack_Order'!$A$2:$A$264,'02_TrayPack_Order'!$C$2:$C$264)</f>
        <v/>
      </c>
      <c r="D178" s="176">
        <f>_xlfn.XLOOKUP(B179,'02_TrayPack_Order'!$A$2:$A$264,'02_TrayPack_Order'!$L$2:$L$264,0)</f>
        <v/>
      </c>
      <c r="E178" s="175">
        <f>SUMIF('13_Progress_Track'!$A$2:$A$108,B179,'13_Progress_Track'!$E$2:$E$108)</f>
        <v/>
      </c>
      <c r="F178" s="175">
        <f>IF(E179&gt;(C179+D179),(E179-(C179+D179)),0)</f>
        <v/>
      </c>
      <c r="G178" s="177">
        <f>IF(F179&gt;0,0,C179+D179-E179)</f>
        <v/>
      </c>
      <c r="H178" s="148">
        <f>_xludf.IFNA(_xlfn.XLOOKUP(B179,'00_SKU_Master'!$B$2:$B$378,'00_SKU_Master'!$C$2:$C$378),"")</f>
        <v/>
      </c>
      <c r="I178" s="148" t="n"/>
      <c r="J178" s="14">
        <f>_xludf.IFNA(_xlfn.XLOOKUP(B179,'00_SKU_Master'!B$2:B$378,'00_SKU_Master'!H$2:H$378,0),"")</f>
        <v/>
      </c>
      <c r="K178" s="14">
        <f>_xludf.IFNA(_xlfn.XLOOKUP(B179,'00_SKU_Master'!B$2:B$378,'00_SKU_Master'!K$2:K$378,0),"")</f>
        <v/>
      </c>
      <c r="L178" s="148">
        <f>_xlfn.XLOOKUP(B179,'00_SKU_Master'!$B$2:$B$378,'00_SKU_Master'!D:D)</f>
        <v/>
      </c>
      <c r="M178" s="148">
        <f>IF((C179-E179)&lt;0,0,C179-E179)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_xlfn.XLOOKUP(B180,'02_TrayPack_Order'!$A$2:$A$264,'02_TrayPack_Order'!$C$2:$C$264)</f>
        <v/>
      </c>
      <c r="D179" s="176">
        <f>_xlfn.XLOOKUP(B180,'02_TrayPack_Order'!$A$2:$A$264,'02_TrayPack_Order'!$L$2:$L$264,0)</f>
        <v/>
      </c>
      <c r="E179" s="175">
        <f>SUMIF('13_Progress_Track'!$A$2:$A$108,B180,'13_Progress_Track'!$E$2:$E$108)</f>
        <v/>
      </c>
      <c r="F179" s="175">
        <f>IF(E180&gt;(C180+D180),(E180-(C180+D180)),0)</f>
        <v/>
      </c>
      <c r="G179" s="177">
        <f>IF(F180&gt;0,0,C180+D180-E180)</f>
        <v/>
      </c>
      <c r="H179" s="148">
        <f>_xludf.IFNA(_xlfn.XLOOKUP(B180,'00_SKU_Master'!$B$2:$B$378,'00_SKU_Master'!$C$2:$C$378),"")</f>
        <v/>
      </c>
      <c r="I179" s="148" t="n"/>
      <c r="J179" s="14">
        <f>_xludf.IFNA(_xlfn.XLOOKUP(B180,'00_SKU_Master'!B$2:B$378,'00_SKU_Master'!H$2:H$378,0),"")</f>
        <v/>
      </c>
      <c r="K179" s="14">
        <f>_xludf.IFNA(_xlfn.XLOOKUP(B180,'00_SKU_Master'!B$2:B$378,'00_SKU_Master'!K$2:K$378,0),"")</f>
        <v/>
      </c>
      <c r="L179" s="148">
        <f>_xlfn.XLOOKUP(B180,'00_SKU_Master'!$B$2:$B$378,'00_SKU_Master'!D:D)</f>
        <v/>
      </c>
      <c r="M179" s="148">
        <f>IF((C180-E180)&lt;0,0,C180-E180)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_xlfn.XLOOKUP(B181,'02_TrayPack_Order'!$A$2:$A$264,'02_TrayPack_Order'!$C$2:$C$264)</f>
        <v/>
      </c>
      <c r="D180" s="176">
        <f>_xlfn.XLOOKUP(B181,'02_TrayPack_Order'!$A$2:$A$264,'02_TrayPack_Order'!$L$2:$L$264,0)</f>
        <v/>
      </c>
      <c r="E180" s="175">
        <f>SUMIF('13_Progress_Track'!$A$2:$A$108,B181,'13_Progress_Track'!$E$2:$E$108)</f>
        <v/>
      </c>
      <c r="F180" s="175">
        <f>IF(E181&gt;(C181+D181),(E181-(C181+D181)),0)</f>
        <v/>
      </c>
      <c r="G180" s="177">
        <f>IF(F181&gt;0,0,C181+D181-E181)</f>
        <v/>
      </c>
      <c r="H180" s="148">
        <f>_xludf.IFNA(_xlfn.XLOOKUP(B181,'00_SKU_Master'!$B$2:$B$378,'00_SKU_Master'!$C$2:$C$378),"")</f>
        <v/>
      </c>
      <c r="I180" s="148" t="n"/>
      <c r="J180" s="14">
        <f>_xludf.IFNA(_xlfn.XLOOKUP(B181,'00_SKU_Master'!B$2:B$378,'00_SKU_Master'!H$2:H$378,0),"")</f>
        <v/>
      </c>
      <c r="K180" s="14">
        <f>_xludf.IFNA(_xlfn.XLOOKUP(B181,'00_SKU_Master'!B$2:B$378,'00_SKU_Master'!K$2:K$378,0),"")</f>
        <v/>
      </c>
      <c r="L180" s="148">
        <f>_xlfn.XLOOKUP(B181,'00_SKU_Master'!$B$2:$B$378,'00_SKU_Master'!D:D)</f>
        <v/>
      </c>
      <c r="M180" s="148">
        <f>IF((C181-E181)&lt;0,0,C181-E181)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_xlfn.XLOOKUP(B182,'02_TrayPack_Order'!$A$2:$A$264,'02_TrayPack_Order'!$C$2:$C$264)</f>
        <v/>
      </c>
      <c r="D181" s="176">
        <f>_xlfn.XLOOKUP(B182,'02_TrayPack_Order'!$A$2:$A$264,'02_TrayPack_Order'!$L$2:$L$264,0)</f>
        <v/>
      </c>
      <c r="E181" s="175">
        <f>SUMIF('13_Progress_Track'!$A$2:$A$108,B182,'13_Progress_Track'!$E$2:$E$108)</f>
        <v/>
      </c>
      <c r="F181" s="175">
        <f>IF(E182&gt;(C182+D182),(E182-(C182+D182)),0)</f>
        <v/>
      </c>
      <c r="G181" s="177">
        <f>IF(F182&gt;0,0,C182+D182-E182)</f>
        <v/>
      </c>
      <c r="H181" s="148">
        <f>_xludf.IFNA(_xlfn.XLOOKUP(B182,'00_SKU_Master'!$B$2:$B$378,'00_SKU_Master'!$C$2:$C$378),"")</f>
        <v/>
      </c>
      <c r="I181" s="148" t="n"/>
      <c r="J181" s="14">
        <f>_xludf.IFNA(_xlfn.XLOOKUP(B182,'00_SKU_Master'!B$2:B$378,'00_SKU_Master'!H$2:H$378,0),"")</f>
        <v/>
      </c>
      <c r="K181" s="14">
        <f>_xludf.IFNA(_xlfn.XLOOKUP(B182,'00_SKU_Master'!B$2:B$378,'00_SKU_Master'!K$2:K$378,0),"")</f>
        <v/>
      </c>
      <c r="L181" s="148">
        <f>_xlfn.XLOOKUP(B182,'00_SKU_Master'!$B$2:$B$378,'00_SKU_Master'!D:D)</f>
        <v/>
      </c>
      <c r="M181" s="148">
        <f>IF((C182-E182)&lt;0,0,C182-E182)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_xlfn.XLOOKUP(B183,'02_TrayPack_Order'!$A$2:$A$264,'02_TrayPack_Order'!$C$2:$C$264)</f>
        <v/>
      </c>
      <c r="D182" s="176">
        <f>_xlfn.XLOOKUP(B183,'02_TrayPack_Order'!$A$2:$A$264,'02_TrayPack_Order'!$L$2:$L$264,0)</f>
        <v/>
      </c>
      <c r="E182" s="175">
        <f>SUMIF('13_Progress_Track'!$A$2:$A$108,B183,'13_Progress_Track'!$E$2:$E$108)</f>
        <v/>
      </c>
      <c r="F182" s="175">
        <f>IF(E183&gt;(C183+D183),(E183-(C183+D183)),0)</f>
        <v/>
      </c>
      <c r="G182" s="177">
        <f>IF(F183&gt;0,0,C183+D183-E183)</f>
        <v/>
      </c>
      <c r="H182" s="148">
        <f>_xludf.IFNA(_xlfn.XLOOKUP(B183,'00_SKU_Master'!$B$2:$B$378,'00_SKU_Master'!$C$2:$C$378),"")</f>
        <v/>
      </c>
      <c r="I182" s="148" t="n"/>
      <c r="J182" s="14">
        <f>_xludf.IFNA(_xlfn.XLOOKUP(B183,'00_SKU_Master'!B$2:B$378,'00_SKU_Master'!H$2:H$378,0),"")</f>
        <v/>
      </c>
      <c r="K182" s="14">
        <f>_xludf.IFNA(_xlfn.XLOOKUP(B183,'00_SKU_Master'!B$2:B$378,'00_SKU_Master'!K$2:K$378,0),"")</f>
        <v/>
      </c>
      <c r="L182" s="148">
        <f>_xlfn.XLOOKUP(B183,'00_SKU_Master'!$B$2:$B$378,'00_SKU_Master'!D:D)</f>
        <v/>
      </c>
      <c r="M182" s="148">
        <f>IF((C183-E183)&lt;0,0,C183-E183)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_xlfn.XLOOKUP(B184,'02_TrayPack_Order'!$A$2:$A$264,'02_TrayPack_Order'!$C$2:$C$264)</f>
        <v/>
      </c>
      <c r="D183" s="176">
        <f>_xlfn.XLOOKUP(B184,'02_TrayPack_Order'!$A$2:$A$264,'02_TrayPack_Order'!$L$2:$L$264,0)</f>
        <v/>
      </c>
      <c r="E183" s="175">
        <f>SUMIF('13_Progress_Track'!$A$2:$A$108,B184,'13_Progress_Track'!$E$2:$E$108)</f>
        <v/>
      </c>
      <c r="F183" s="175">
        <f>IF(E184&gt;(C184+D184),(E184-(C184+D184)),0)</f>
        <v/>
      </c>
      <c r="G183" s="177">
        <f>IF(F184&gt;0,0,C184+D184-E184)</f>
        <v/>
      </c>
      <c r="H183" s="148">
        <f>_xludf.IFNA(_xlfn.XLOOKUP(B184,'00_SKU_Master'!$B$2:$B$378,'00_SKU_Master'!$C$2:$C$378),"")</f>
        <v/>
      </c>
      <c r="I183" s="148" t="n"/>
      <c r="J183" s="14">
        <f>_xludf.IFNA(_xlfn.XLOOKUP(B184,'00_SKU_Master'!B$2:B$378,'00_SKU_Master'!H$2:H$378,0),"")</f>
        <v/>
      </c>
      <c r="K183" s="14">
        <f>_xludf.IFNA(_xlfn.XLOOKUP(B184,'00_SKU_Master'!B$2:B$378,'00_SKU_Master'!K$2:K$378,0),"")</f>
        <v/>
      </c>
      <c r="L183" s="148">
        <f>_xlfn.XLOOKUP(B184,'00_SKU_Master'!$B$2:$B$378,'00_SKU_Master'!D:D)</f>
        <v/>
      </c>
      <c r="M183" s="148">
        <f>IF((C184-E184)&lt;0,0,C184-E184)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_xlfn.XLOOKUP(B185,'02_TrayPack_Order'!$A$2:$A$264,'02_TrayPack_Order'!$C$2:$C$264)</f>
        <v/>
      </c>
      <c r="D184" s="176">
        <f>_xlfn.XLOOKUP(B185,'02_TrayPack_Order'!$A$2:$A$264,'02_TrayPack_Order'!$L$2:$L$264,0)</f>
        <v/>
      </c>
      <c r="E184" s="175">
        <f>SUMIF('13_Progress_Track'!$A$2:$A$108,B185,'13_Progress_Track'!$E$2:$E$108)</f>
        <v/>
      </c>
      <c r="F184" s="175">
        <f>IF(E185&gt;(C185+D185),(E185-(C185+D185)),0)</f>
        <v/>
      </c>
      <c r="G184" s="177">
        <f>IF(F185&gt;0,0,C185+D185-E185)</f>
        <v/>
      </c>
      <c r="H184" s="148">
        <f>_xludf.IFNA(_xlfn.XLOOKUP(B185,'00_SKU_Master'!$B$2:$B$378,'00_SKU_Master'!$C$2:$C$378),"")</f>
        <v/>
      </c>
      <c r="I184" s="148" t="n"/>
      <c r="J184" s="14">
        <f>_xludf.IFNA(_xlfn.XLOOKUP(B185,'00_SKU_Master'!B$2:B$378,'00_SKU_Master'!H$2:H$378,0),"")</f>
        <v/>
      </c>
      <c r="K184" s="14">
        <f>_xludf.IFNA(_xlfn.XLOOKUP(B185,'00_SKU_Master'!B$2:B$378,'00_SKU_Master'!K$2:K$378,0),"")</f>
        <v/>
      </c>
      <c r="L184" s="148">
        <f>_xlfn.XLOOKUP(B185,'00_SKU_Master'!$B$2:$B$378,'00_SKU_Master'!D:D)</f>
        <v/>
      </c>
      <c r="M184" s="148">
        <f>IF((C185-E185)&lt;0,0,C185-E185)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_xlfn.XLOOKUP(B186,'02_TrayPack_Order'!$A$2:$A$264,'02_TrayPack_Order'!$C$2:$C$264)</f>
        <v/>
      </c>
      <c r="D185" s="176">
        <f>_xlfn.XLOOKUP(B186,'02_TrayPack_Order'!$A$2:$A$264,'02_TrayPack_Order'!$L$2:$L$264,0)</f>
        <v/>
      </c>
      <c r="E185" s="175">
        <f>SUMIF('13_Progress_Track'!$A$2:$A$108,B186,'13_Progress_Track'!$E$2:$E$108)</f>
        <v/>
      </c>
      <c r="F185" s="175">
        <f>IF(E186&gt;(C186+D186),(E186-(C186+D186)),0)</f>
        <v/>
      </c>
      <c r="G185" s="177">
        <f>IF(F186&gt;0,0,C186+D186-E186)</f>
        <v/>
      </c>
      <c r="H185" s="148">
        <f>_xludf.IFNA(_xlfn.XLOOKUP(B186,'00_SKU_Master'!$B$2:$B$378,'00_SKU_Master'!$C$2:$C$378),"")</f>
        <v/>
      </c>
      <c r="I185" s="148" t="n"/>
      <c r="J185" s="14">
        <f>_xludf.IFNA(_xlfn.XLOOKUP(B186,'00_SKU_Master'!B$2:B$378,'00_SKU_Master'!H$2:H$378,0),"")</f>
        <v/>
      </c>
      <c r="K185" s="14">
        <f>_xludf.IFNA(_xlfn.XLOOKUP(B186,'00_SKU_Master'!B$2:B$378,'00_SKU_Master'!K$2:K$378,0),"")</f>
        <v/>
      </c>
      <c r="L185" s="148">
        <f>_xlfn.XLOOKUP(B186,'00_SKU_Master'!$B$2:$B$378,'00_SKU_Master'!D:D)</f>
        <v/>
      </c>
      <c r="M185" s="148">
        <f>IF((C186-E186)&lt;0,0,C186-E186)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_xlfn.XLOOKUP(B187,'02_TrayPack_Order'!$A$2:$A$264,'02_TrayPack_Order'!$C$2:$C$264)</f>
        <v/>
      </c>
      <c r="D186" s="176">
        <f>_xlfn.XLOOKUP(B187,'02_TrayPack_Order'!$A$2:$A$264,'02_TrayPack_Order'!$L$2:$L$264,0)</f>
        <v/>
      </c>
      <c r="E186" s="175">
        <f>SUMIF('13_Progress_Track'!$A$2:$A$108,B187,'13_Progress_Track'!$E$2:$E$108)</f>
        <v/>
      </c>
      <c r="F186" s="175">
        <f>IF(E187&gt;(C187+D187),(E187-(C187+D187)),0)</f>
        <v/>
      </c>
      <c r="G186" s="177">
        <f>IF(F187&gt;0,0,C187+D187-E187)</f>
        <v/>
      </c>
      <c r="H186" s="148">
        <f>_xludf.IFNA(_xlfn.XLOOKUP(B187,'00_SKU_Master'!$B$2:$B$378,'00_SKU_Master'!$C$2:$C$378),"")</f>
        <v/>
      </c>
      <c r="I186" s="148" t="n"/>
      <c r="J186" s="14">
        <f>_xludf.IFNA(_xlfn.XLOOKUP(B187,'00_SKU_Master'!B$2:B$378,'00_SKU_Master'!H$2:H$378,0),"")</f>
        <v/>
      </c>
      <c r="K186" s="14">
        <f>_xludf.IFNA(_xlfn.XLOOKUP(B187,'00_SKU_Master'!B$2:B$378,'00_SKU_Master'!K$2:K$378,0),"")</f>
        <v/>
      </c>
      <c r="L186" s="148">
        <f>_xlfn.XLOOKUP(B187,'00_SKU_Master'!$B$2:$B$378,'00_SKU_Master'!D:D)</f>
        <v/>
      </c>
      <c r="M186" s="148">
        <f>IF((C187-E187)&lt;0,0,C187-E187)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_xlfn.XLOOKUP(B188,'02_TrayPack_Order'!$A$2:$A$264,'02_TrayPack_Order'!$C$2:$C$264)</f>
        <v/>
      </c>
      <c r="D187" s="176">
        <f>_xlfn.XLOOKUP(B188,'02_TrayPack_Order'!$A$2:$A$264,'02_TrayPack_Order'!$L$2:$L$264,0)</f>
        <v/>
      </c>
      <c r="E187" s="175">
        <f>SUMIF('13_Progress_Track'!$A$2:$A$108,B188,'13_Progress_Track'!$E$2:$E$108)</f>
        <v/>
      </c>
      <c r="F187" s="175">
        <f>IF(E188&gt;(C188+D188),(E188-(C188+D188)),0)</f>
        <v/>
      </c>
      <c r="G187" s="177">
        <f>IF(F188&gt;0,0,C188+D188-E188)</f>
        <v/>
      </c>
      <c r="H187" s="148">
        <f>_xludf.IFNA(_xlfn.XLOOKUP(B188,'00_SKU_Master'!$B$2:$B$378,'00_SKU_Master'!$C$2:$C$378),"")</f>
        <v/>
      </c>
      <c r="I187" s="148" t="n"/>
      <c r="J187" s="14">
        <f>_xludf.IFNA(_xlfn.XLOOKUP(B188,'00_SKU_Master'!B$2:B$378,'00_SKU_Master'!H$2:H$378,0),"")</f>
        <v/>
      </c>
      <c r="K187" s="14">
        <f>_xludf.IFNA(_xlfn.XLOOKUP(B188,'00_SKU_Master'!B$2:B$378,'00_SKU_Master'!K$2:K$378,0),"")</f>
        <v/>
      </c>
      <c r="L187" s="148">
        <f>_xlfn.XLOOKUP(B188,'00_SKU_Master'!$B$2:$B$378,'00_SKU_Master'!D:D)</f>
        <v/>
      </c>
      <c r="M187" s="148">
        <f>IF((C188-E188)&lt;0,0,C188-E188)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_xlfn.XLOOKUP(B189,'02_TrayPack_Order'!$A$2:$A$264,'02_TrayPack_Order'!$C$2:$C$264)</f>
        <v/>
      </c>
      <c r="D188" s="176">
        <f>_xlfn.XLOOKUP(B189,'02_TrayPack_Order'!$A$2:$A$264,'02_TrayPack_Order'!$L$2:$L$264,0)</f>
        <v/>
      </c>
      <c r="E188" s="175">
        <f>SUMIF('13_Progress_Track'!$A$2:$A$108,B189,'13_Progress_Track'!$E$2:$E$108)</f>
        <v/>
      </c>
      <c r="F188" s="175">
        <f>IF(E189&gt;(C189+D189),(E189-(C189+D189)),0)</f>
        <v/>
      </c>
      <c r="G188" s="177">
        <f>IF(F189&gt;0,0,C189+D189-E189)</f>
        <v/>
      </c>
      <c r="H188" s="148">
        <f>_xludf.IFNA(_xlfn.XLOOKUP(B189,'00_SKU_Master'!$B$2:$B$378,'00_SKU_Master'!$C$2:$C$378),"")</f>
        <v/>
      </c>
      <c r="I188" s="148" t="n"/>
      <c r="J188" s="14">
        <f>_xludf.IFNA(_xlfn.XLOOKUP(B189,'00_SKU_Master'!B$2:B$378,'00_SKU_Master'!H$2:H$378,0),"")</f>
        <v/>
      </c>
      <c r="K188" s="14">
        <f>_xludf.IFNA(_xlfn.XLOOKUP(B189,'00_SKU_Master'!B$2:B$378,'00_SKU_Master'!K$2:K$378,0),"")</f>
        <v/>
      </c>
      <c r="L188" s="148">
        <f>_xlfn.XLOOKUP(B189,'00_SKU_Master'!$B$2:$B$378,'00_SKU_Master'!D:D)</f>
        <v/>
      </c>
      <c r="M188" s="148">
        <f>IF((C189-E189)&lt;0,0,C189-E189)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_xlfn.XLOOKUP(B190,'02_TrayPack_Order'!$A$2:$A$264,'02_TrayPack_Order'!$C$2:$C$264)</f>
        <v/>
      </c>
      <c r="D189" s="176">
        <f>_xlfn.XLOOKUP(B190,'02_TrayPack_Order'!$A$2:$A$264,'02_TrayPack_Order'!$L$2:$L$264,0)</f>
        <v/>
      </c>
      <c r="E189" s="175">
        <f>SUMIF('13_Progress_Track'!$A$2:$A$108,B190,'13_Progress_Track'!$E$2:$E$108)</f>
        <v/>
      </c>
      <c r="F189" s="175">
        <f>IF(E190&gt;(C190+D190),(E190-(C190+D190)),0)</f>
        <v/>
      </c>
      <c r="G189" s="177">
        <f>IF(F190&gt;0,0,C190+D190-E190)</f>
        <v/>
      </c>
      <c r="H189" s="148">
        <f>_xludf.IFNA(_xlfn.XLOOKUP(B190,'00_SKU_Master'!$B$2:$B$378,'00_SKU_Master'!$C$2:$C$378),"")</f>
        <v/>
      </c>
      <c r="I189" s="148" t="n"/>
      <c r="J189" s="14">
        <f>_xludf.IFNA(_xlfn.XLOOKUP(B190,'00_SKU_Master'!B$2:B$378,'00_SKU_Master'!H$2:H$378,0),"")</f>
        <v/>
      </c>
      <c r="K189" s="14">
        <f>_xludf.IFNA(_xlfn.XLOOKUP(B190,'00_SKU_Master'!B$2:B$378,'00_SKU_Master'!K$2:K$378,0),"")</f>
        <v/>
      </c>
      <c r="L189" s="148">
        <f>_xlfn.XLOOKUP(B190,'00_SKU_Master'!$B$2:$B$378,'00_SKU_Master'!D:D)</f>
        <v/>
      </c>
      <c r="M189" s="148">
        <f>IF((C190-E190)&lt;0,0,C190-E190)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_xlfn.XLOOKUP(B191,'02_TrayPack_Order'!$A$2:$A$264,'02_TrayPack_Order'!$C$2:$C$264)</f>
        <v/>
      </c>
      <c r="D190" s="176">
        <f>_xlfn.XLOOKUP(B191,'02_TrayPack_Order'!$A$2:$A$264,'02_TrayPack_Order'!$L$2:$L$264,0)</f>
        <v/>
      </c>
      <c r="E190" s="175">
        <f>SUMIF('13_Progress_Track'!$A$2:$A$108,B191,'13_Progress_Track'!$E$2:$E$108)</f>
        <v/>
      </c>
      <c r="F190" s="175">
        <f>IF(E191&gt;(C191+D191),(E191-(C191+D191)),0)</f>
        <v/>
      </c>
      <c r="G190" s="177">
        <f>IF(F191&gt;0,0,C191+D191-E191)</f>
        <v/>
      </c>
      <c r="H190" s="148">
        <f>_xludf.IFNA(_xlfn.XLOOKUP(B191,'00_SKU_Master'!$B$2:$B$378,'00_SKU_Master'!$C$2:$C$378),"")</f>
        <v/>
      </c>
      <c r="I190" s="148" t="n"/>
      <c r="J190" s="14">
        <f>_xludf.IFNA(_xlfn.XLOOKUP(B191,'00_SKU_Master'!B$2:B$378,'00_SKU_Master'!H$2:H$378,0),"")</f>
        <v/>
      </c>
      <c r="K190" s="14">
        <f>_xludf.IFNA(_xlfn.XLOOKUP(B191,'00_SKU_Master'!B$2:B$378,'00_SKU_Master'!K$2:K$378,0),"")</f>
        <v/>
      </c>
      <c r="L190" s="148">
        <f>_xlfn.XLOOKUP(B191,'00_SKU_Master'!$B$2:$B$378,'00_SKU_Master'!D:D)</f>
        <v/>
      </c>
      <c r="M190" s="148">
        <f>IF((C191-E191)&lt;0,0,C191-E191)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_xlfn.XLOOKUP(B192,'02_TrayPack_Order'!$A$2:$A$264,'02_TrayPack_Order'!$C$2:$C$264)</f>
        <v/>
      </c>
      <c r="D191" s="176">
        <f>_xlfn.XLOOKUP(B192,'02_TrayPack_Order'!$A$2:$A$264,'02_TrayPack_Order'!$L$2:$L$264,0)</f>
        <v/>
      </c>
      <c r="E191" s="175">
        <f>SUMIF('13_Progress_Track'!$A$2:$A$108,B192,'13_Progress_Track'!$E$2:$E$108)</f>
        <v/>
      </c>
      <c r="F191" s="175">
        <f>IF(E192&gt;(C192+D192),(E192-(C192+D192)),0)</f>
        <v/>
      </c>
      <c r="G191" s="177">
        <f>IF(F192&gt;0,0,C192+D192-E192)</f>
        <v/>
      </c>
      <c r="H191" s="148">
        <f>_xludf.IFNA(_xlfn.XLOOKUP(B192,'00_SKU_Master'!$B$2:$B$378,'00_SKU_Master'!$C$2:$C$378),"")</f>
        <v/>
      </c>
      <c r="I191" s="148" t="n"/>
      <c r="J191" s="14">
        <f>_xludf.IFNA(_xlfn.XLOOKUP(B192,'00_SKU_Master'!B$2:B$378,'00_SKU_Master'!H$2:H$378,0),"")</f>
        <v/>
      </c>
      <c r="K191" s="14">
        <f>_xludf.IFNA(_xlfn.XLOOKUP(B192,'00_SKU_Master'!B$2:B$378,'00_SKU_Master'!K$2:K$378,0),"")</f>
        <v/>
      </c>
      <c r="L191" s="148">
        <f>_xlfn.XLOOKUP(B192,'00_SKU_Master'!$B$2:$B$378,'00_SKU_Master'!D:D)</f>
        <v/>
      </c>
      <c r="M191" s="148">
        <f>IF((C192-E192)&lt;0,0,C192-E192)</f>
        <v/>
      </c>
      <c r="O191" s="178" t="n"/>
    </row>
    <row r="192">
      <c r="A192" s="148">
        <f>'00_SKU_Master'!J284</f>
        <v/>
      </c>
      <c r="B192" s="148">
        <f>'00_SKU_Master'!B284</f>
        <v/>
      </c>
      <c r="C192" s="175">
        <f>_xlfn.XLOOKUP(B193,'02_TrayPack_Order'!$A$2:$A$264,'02_TrayPack_Order'!$C$2:$C$264)</f>
        <v/>
      </c>
      <c r="D192" s="176">
        <f>_xlfn.XLOOKUP(B193,'02_TrayPack_Order'!$A$2:$A$264,'02_TrayPack_Order'!$L$2:$L$264,0)</f>
        <v/>
      </c>
      <c r="E192" s="175">
        <f>SUMIF('13_Progress_Track'!$A$2:$A$108,B193,'13_Progress_Track'!$E$2:$E$108)</f>
        <v/>
      </c>
      <c r="F192" s="175">
        <f>IF(E193&gt;(C193+D193),(E193-(C193+D193)),0)</f>
        <v/>
      </c>
      <c r="G192" s="177">
        <f>IF(F193&gt;0,0,C193+D193-E193)</f>
        <v/>
      </c>
      <c r="H192" s="148">
        <f>_xludf.IFNA(_xlfn.XLOOKUP(B193,'00_SKU_Master'!$B$2:$B$378,'00_SKU_Master'!$C$2:$C$378),"")</f>
        <v/>
      </c>
      <c r="I192" s="148" t="n"/>
      <c r="J192" s="14">
        <f>_xludf.IFNA(_xlfn.XLOOKUP(B193,'00_SKU_Master'!B$2:B$378,'00_SKU_Master'!H$2:H$378,0),"")</f>
        <v/>
      </c>
      <c r="K192" s="14">
        <f>_xludf.IFNA(_xlfn.XLOOKUP(B193,'00_SKU_Master'!B$2:B$378,'00_SKU_Master'!K$2:K$378,0),"")</f>
        <v/>
      </c>
      <c r="L192" s="148">
        <f>_xlfn.XLOOKUP(B193,'00_SKU_Master'!$B$2:$B$378,'00_SKU_Master'!D:D)</f>
        <v/>
      </c>
      <c r="M192" s="148">
        <f>IF((C193-E193)&lt;0,0,C193-E193)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_xlfn.XLOOKUP(B194,'02_TrayPack_Order'!$A$2:$A$264,'02_TrayPack_Order'!$C$2:$C$264)</f>
        <v/>
      </c>
      <c r="D193" s="176">
        <f>_xlfn.XLOOKUP(B194,'02_TrayPack_Order'!$A$2:$A$264,'02_TrayPack_Order'!$L$2:$L$264,0)</f>
        <v/>
      </c>
      <c r="E193" s="175">
        <f>SUMIF('13_Progress_Track'!$A$2:$A$108,B194,'13_Progress_Track'!$E$2:$E$108)</f>
        <v/>
      </c>
      <c r="F193" s="175">
        <f>IF(E194&gt;(C194+D194),(E194-(C194+D194)),0)</f>
        <v/>
      </c>
      <c r="G193" s="177">
        <f>IF(F194&gt;0,0,C194+D194-E194)</f>
        <v/>
      </c>
      <c r="H193" s="148">
        <f>_xludf.IFNA(_xlfn.XLOOKUP(B194,'00_SKU_Master'!$B$2:$B$378,'00_SKU_Master'!$C$2:$C$378),"")</f>
        <v/>
      </c>
      <c r="I193" s="148" t="n"/>
      <c r="J193" s="14">
        <f>_xludf.IFNA(_xlfn.XLOOKUP(B194,'00_SKU_Master'!B$2:B$378,'00_SKU_Master'!H$2:H$378,0),"")</f>
        <v/>
      </c>
      <c r="K193" s="14">
        <f>_xludf.IFNA(_xlfn.XLOOKUP(B194,'00_SKU_Master'!B$2:B$378,'00_SKU_Master'!K$2:K$378,0),"")</f>
        <v/>
      </c>
      <c r="L193" s="148">
        <f>_xlfn.XLOOKUP(B194,'00_SKU_Master'!$B$2:$B$378,'00_SKU_Master'!D:D)</f>
        <v/>
      </c>
      <c r="M193" s="148">
        <f>IF((C194-E194)&lt;0,0,C194-E194)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_xlfn.XLOOKUP(B195,'02_TrayPack_Order'!$A$2:$A$264,'02_TrayPack_Order'!$C$2:$C$264)</f>
        <v/>
      </c>
      <c r="D194" s="176">
        <f>_xlfn.XLOOKUP(B195,'02_TrayPack_Order'!$A$2:$A$264,'02_TrayPack_Order'!$L$2:$L$264,0)</f>
        <v/>
      </c>
      <c r="E194" s="175">
        <f>SUMIF('13_Progress_Track'!$A$2:$A$108,B195,'13_Progress_Track'!$E$2:$E$108)</f>
        <v/>
      </c>
      <c r="F194" s="175">
        <f>IF(E195&gt;(C195+D195),(E195-(C195+D195)),0)</f>
        <v/>
      </c>
      <c r="G194" s="177">
        <f>IF(F195&gt;0,0,C195+D195-E195)</f>
        <v/>
      </c>
      <c r="H194" s="148">
        <f>_xludf.IFNA(_xlfn.XLOOKUP(B195,'00_SKU_Master'!$B$2:$B$378,'00_SKU_Master'!$C$2:$C$378),"")</f>
        <v/>
      </c>
      <c r="I194" s="148" t="n"/>
      <c r="J194" s="14">
        <f>_xludf.IFNA(_xlfn.XLOOKUP(B195,'00_SKU_Master'!B$2:B$378,'00_SKU_Master'!H$2:H$378,0),"")</f>
        <v/>
      </c>
      <c r="K194" s="14">
        <f>_xludf.IFNA(_xlfn.XLOOKUP(B195,'00_SKU_Master'!B$2:B$378,'00_SKU_Master'!K$2:K$378,0),"")</f>
        <v/>
      </c>
      <c r="L194" s="148">
        <f>_xlfn.XLOOKUP(B195,'00_SKU_Master'!$B$2:$B$378,'00_SKU_Master'!D:D)</f>
        <v/>
      </c>
      <c r="M194" s="148">
        <f>IF((C195-E195)&lt;0,0,C195-E195)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_xlfn.XLOOKUP(B196,'02_TrayPack_Order'!$A$2:$A$264,'02_TrayPack_Order'!$C$2:$C$264)</f>
        <v/>
      </c>
      <c r="D195" s="176">
        <f>_xlfn.XLOOKUP(B196,'02_TrayPack_Order'!$A$2:$A$264,'02_TrayPack_Order'!$L$2:$L$264,0)</f>
        <v/>
      </c>
      <c r="E195" s="175">
        <f>SUMIF('13_Progress_Track'!$A$2:$A$108,B196,'13_Progress_Track'!$E$2:$E$108)</f>
        <v/>
      </c>
      <c r="F195" s="175">
        <f>IF(E196&gt;(C196+D196),(E196-(C196+D196)),0)</f>
        <v/>
      </c>
      <c r="G195" s="177">
        <f>IF(F196&gt;0,0,C196+D196-E196)</f>
        <v/>
      </c>
      <c r="H195" s="148">
        <f>_xludf.IFNA(_xlfn.XLOOKUP(B196,'00_SKU_Master'!$B$2:$B$378,'00_SKU_Master'!$C$2:$C$378),"")</f>
        <v/>
      </c>
      <c r="I195" s="148" t="n"/>
      <c r="J195" s="14">
        <f>_xludf.IFNA(_xlfn.XLOOKUP(B196,'00_SKU_Master'!B$2:B$378,'00_SKU_Master'!H$2:H$378,0),"")</f>
        <v/>
      </c>
      <c r="K195" s="14">
        <f>_xludf.IFNA(_xlfn.XLOOKUP(B196,'00_SKU_Master'!B$2:B$378,'00_SKU_Master'!K$2:K$378,0),"")</f>
        <v/>
      </c>
      <c r="L195" s="148">
        <f>_xlfn.XLOOKUP(B196,'00_SKU_Master'!$B$2:$B$378,'00_SKU_Master'!D:D)</f>
        <v/>
      </c>
      <c r="M195" s="148">
        <f>IF((C196-E196)&lt;0,0,C196-E196)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_xlfn.XLOOKUP(B197,'02_TrayPack_Order'!$A$2:$A$264,'02_TrayPack_Order'!$C$2:$C$264)</f>
        <v/>
      </c>
      <c r="D196" s="176">
        <f>_xlfn.XLOOKUP(B197,'02_TrayPack_Order'!$A$2:$A$264,'02_TrayPack_Order'!$L$2:$L$264,0)</f>
        <v/>
      </c>
      <c r="E196" s="175">
        <f>SUMIF('13_Progress_Track'!$A$2:$A$108,B197,'13_Progress_Track'!$E$2:$E$108)</f>
        <v/>
      </c>
      <c r="F196" s="175">
        <f>IF(E197&gt;(C197+D197),(E197-(C197+D197)),0)</f>
        <v/>
      </c>
      <c r="G196" s="177">
        <f>IF(F197&gt;0,0,C197+D197-E197)</f>
        <v/>
      </c>
      <c r="H196" s="148">
        <f>_xludf.IFNA(_xlfn.XLOOKUP(B197,'00_SKU_Master'!$B$2:$B$378,'00_SKU_Master'!$C$2:$C$378),"")</f>
        <v/>
      </c>
      <c r="I196" s="148" t="n"/>
      <c r="J196" s="14">
        <f>_xludf.IFNA(_xlfn.XLOOKUP(B197,'00_SKU_Master'!B$2:B$378,'00_SKU_Master'!H$2:H$378,0),"")</f>
        <v/>
      </c>
      <c r="K196" s="14">
        <f>_xludf.IFNA(_xlfn.XLOOKUP(B197,'00_SKU_Master'!B$2:B$378,'00_SKU_Master'!K$2:K$378,0),"")</f>
        <v/>
      </c>
      <c r="L196" s="148">
        <f>_xlfn.XLOOKUP(B197,'00_SKU_Master'!$B$2:$B$378,'00_SKU_Master'!D:D)</f>
        <v/>
      </c>
      <c r="M196" s="148">
        <f>IF((C197-E197)&lt;0,0,C197-E197)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_xlfn.XLOOKUP(B198,'02_TrayPack_Order'!$A$2:$A$264,'02_TrayPack_Order'!$C$2:$C$264)</f>
        <v/>
      </c>
      <c r="D197" s="176">
        <f>_xlfn.XLOOKUP(B198,'02_TrayPack_Order'!$A$2:$A$264,'02_TrayPack_Order'!$L$2:$L$264,0)</f>
        <v/>
      </c>
      <c r="E197" s="175">
        <f>SUMIF('13_Progress_Track'!$A$2:$A$108,B198,'13_Progress_Track'!$E$2:$E$108)</f>
        <v/>
      </c>
      <c r="F197" s="175">
        <f>IF(E198&gt;(C198+D198),(E198-(C198+D198)),0)</f>
        <v/>
      </c>
      <c r="G197" s="177">
        <f>IF(F198&gt;0,0,C198+D198-E198)</f>
        <v/>
      </c>
      <c r="H197" s="148">
        <f>_xludf.IFNA(_xlfn.XLOOKUP(B198,'00_SKU_Master'!$B$2:$B$378,'00_SKU_Master'!$C$2:$C$378),"")</f>
        <v/>
      </c>
      <c r="I197" s="148" t="n"/>
      <c r="J197" s="14">
        <f>_xludf.IFNA(_xlfn.XLOOKUP(B198,'00_SKU_Master'!B$2:B$378,'00_SKU_Master'!H$2:H$378,0),"")</f>
        <v/>
      </c>
      <c r="K197" s="14">
        <f>_xludf.IFNA(_xlfn.XLOOKUP(B198,'00_SKU_Master'!B$2:B$378,'00_SKU_Master'!K$2:K$378,0),"")</f>
        <v/>
      </c>
      <c r="L197" s="148">
        <f>_xlfn.XLOOKUP(B198,'00_SKU_Master'!$B$2:$B$378,'00_SKU_Master'!D:D)</f>
        <v/>
      </c>
      <c r="M197" s="148">
        <f>IF((C198-E198)&lt;0,0,C198-E198)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_xlfn.XLOOKUP(B199,'02_TrayPack_Order'!$A$2:$A$264,'02_TrayPack_Order'!$C$2:$C$264)</f>
        <v/>
      </c>
      <c r="D198" s="176">
        <f>_xlfn.XLOOKUP(B199,'02_TrayPack_Order'!$A$2:$A$264,'02_TrayPack_Order'!$L$2:$L$264,0)</f>
        <v/>
      </c>
      <c r="E198" s="175">
        <f>SUMIF('13_Progress_Track'!$A$2:$A$108,B199,'13_Progress_Track'!$E$2:$E$108)</f>
        <v/>
      </c>
      <c r="F198" s="175">
        <f>IF(E199&gt;(C199+D199),(E199-(C199+D199)),0)</f>
        <v/>
      </c>
      <c r="G198" s="177">
        <f>IF(F199&gt;0,0,C199+D199-E199)</f>
        <v/>
      </c>
      <c r="H198" s="148">
        <f>_xludf.IFNA(_xlfn.XLOOKUP(B199,'00_SKU_Master'!$B$2:$B$378,'00_SKU_Master'!$C$2:$C$378),"")</f>
        <v/>
      </c>
      <c r="I198" s="148" t="n"/>
      <c r="J198" s="14">
        <f>_xludf.IFNA(_xlfn.XLOOKUP(B199,'00_SKU_Master'!B$2:B$378,'00_SKU_Master'!H$2:H$378,0),"")</f>
        <v/>
      </c>
      <c r="K198" s="14">
        <f>_xludf.IFNA(_xlfn.XLOOKUP(B199,'00_SKU_Master'!B$2:B$378,'00_SKU_Master'!K$2:K$378,0),"")</f>
        <v/>
      </c>
      <c r="L198" s="148">
        <f>_xlfn.XLOOKUP(B199,'00_SKU_Master'!$B$2:$B$378,'00_SKU_Master'!D:D)</f>
        <v/>
      </c>
      <c r="M198" s="148">
        <f>IF((C199-E199)&lt;0,0,C199-E199)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_xlfn.XLOOKUP(B200,'02_TrayPack_Order'!$A$2:$A$264,'02_TrayPack_Order'!$C$2:$C$264)</f>
        <v/>
      </c>
      <c r="D199" s="176">
        <f>_xlfn.XLOOKUP(B200,'02_TrayPack_Order'!$A$2:$A$264,'02_TrayPack_Order'!$L$2:$L$264,0)</f>
        <v/>
      </c>
      <c r="E199" s="175">
        <f>SUMIF('13_Progress_Track'!$A$2:$A$108,B200,'13_Progress_Track'!$E$2:$E$108)</f>
        <v/>
      </c>
      <c r="F199" s="175">
        <f>IF(E200&gt;(C200+D200),(E200-(C200+D200)),0)</f>
        <v/>
      </c>
      <c r="G199" s="177">
        <f>IF(F200&gt;0,0,C200+D200-E200)</f>
        <v/>
      </c>
      <c r="H199" s="148">
        <f>_xludf.IFNA(_xlfn.XLOOKUP(B200,'00_SKU_Master'!$B$2:$B$378,'00_SKU_Master'!$C$2:$C$378),"")</f>
        <v/>
      </c>
      <c r="I199" s="148" t="n"/>
      <c r="J199" s="14">
        <f>_xludf.IFNA(_xlfn.XLOOKUP(B200,'00_SKU_Master'!B$2:B$378,'00_SKU_Master'!H$2:H$378,0),"")</f>
        <v/>
      </c>
      <c r="K199" s="14">
        <f>_xludf.IFNA(_xlfn.XLOOKUP(B200,'00_SKU_Master'!B$2:B$378,'00_SKU_Master'!K$2:K$378,0),"")</f>
        <v/>
      </c>
      <c r="L199" s="148">
        <f>_xlfn.XLOOKUP(B200,'00_SKU_Master'!$B$2:$B$378,'00_SKU_Master'!D:D)</f>
        <v/>
      </c>
      <c r="M199" s="148">
        <f>IF((C200-E200)&lt;0,0,C200-E200)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_xlfn.XLOOKUP(B201,'02_TrayPack_Order'!$A$2:$A$264,'02_TrayPack_Order'!$C$2:$C$264)</f>
        <v/>
      </c>
      <c r="D200" s="176">
        <f>_xlfn.XLOOKUP(B201,'02_TrayPack_Order'!$A$2:$A$264,'02_TrayPack_Order'!$L$2:$L$264,0)</f>
        <v/>
      </c>
      <c r="E200" s="175">
        <f>SUMIF('13_Progress_Track'!$A$2:$A$108,B201,'13_Progress_Track'!$E$2:$E$108)</f>
        <v/>
      </c>
      <c r="F200" s="175">
        <f>IF(E201&gt;(C201+D201),(E201-(C201+D201)),0)</f>
        <v/>
      </c>
      <c r="G200" s="177">
        <f>IF(F201&gt;0,0,C201+D201-E201)</f>
        <v/>
      </c>
      <c r="H200" s="148">
        <f>_xludf.IFNA(_xlfn.XLOOKUP(B201,'00_SKU_Master'!$B$2:$B$378,'00_SKU_Master'!$C$2:$C$378),"")</f>
        <v/>
      </c>
      <c r="I200" s="148" t="n"/>
      <c r="J200" s="14">
        <f>_xludf.IFNA(_xlfn.XLOOKUP(B201,'00_SKU_Master'!B$2:B$378,'00_SKU_Master'!H$2:H$378,0),"")</f>
        <v/>
      </c>
      <c r="K200" s="14">
        <f>_xludf.IFNA(_xlfn.XLOOKUP(B201,'00_SKU_Master'!B$2:B$378,'00_SKU_Master'!K$2:K$378,0),"")</f>
        <v/>
      </c>
      <c r="L200" s="148">
        <f>_xlfn.XLOOKUP(B201,'00_SKU_Master'!$B$2:$B$378,'00_SKU_Master'!D:D)</f>
        <v/>
      </c>
      <c r="M200" s="148">
        <f>IF((C201-E201)&lt;0,0,C201-E201)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_xlfn.XLOOKUP(B202,'02_TrayPack_Order'!$A$2:$A$264,'02_TrayPack_Order'!$C$2:$C$264)</f>
        <v/>
      </c>
      <c r="D201" s="176">
        <f>_xlfn.XLOOKUP(B202,'02_TrayPack_Order'!$A$2:$A$264,'02_TrayPack_Order'!$L$2:$L$264,0)</f>
        <v/>
      </c>
      <c r="E201" s="175">
        <f>SUMIF('13_Progress_Track'!$A$2:$A$108,B202,'13_Progress_Track'!$E$2:$E$108)</f>
        <v/>
      </c>
      <c r="F201" s="175">
        <f>IF(E202&gt;(C202+D202),(E202-(C202+D202)),0)</f>
        <v/>
      </c>
      <c r="G201" s="177">
        <f>IF(F202&gt;0,0,C202+D202-E202)</f>
        <v/>
      </c>
      <c r="H201" s="148">
        <f>_xludf.IFNA(_xlfn.XLOOKUP(B202,'00_SKU_Master'!$B$2:$B$378,'00_SKU_Master'!$C$2:$C$378),"")</f>
        <v/>
      </c>
      <c r="I201" s="148" t="n"/>
      <c r="J201" s="14">
        <f>_xludf.IFNA(_xlfn.XLOOKUP(B202,'00_SKU_Master'!B$2:B$378,'00_SKU_Master'!H$2:H$378,0),"")</f>
        <v/>
      </c>
      <c r="K201" s="14">
        <f>_xludf.IFNA(_xlfn.XLOOKUP(B202,'00_SKU_Master'!B$2:B$378,'00_SKU_Master'!K$2:K$378,0),"")</f>
        <v/>
      </c>
      <c r="L201" s="148">
        <f>_xlfn.XLOOKUP(B202,'00_SKU_Master'!$B$2:$B$378,'00_SKU_Master'!D:D)</f>
        <v/>
      </c>
      <c r="M201" s="148">
        <f>IF((C202-E202)&lt;0,0,C202-E202)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_xlfn.XLOOKUP(B203,'02_TrayPack_Order'!$A$2:$A$264,'02_TrayPack_Order'!$C$2:$C$264)</f>
        <v/>
      </c>
      <c r="D202" s="176">
        <f>_xlfn.XLOOKUP(B203,'02_TrayPack_Order'!$A$2:$A$264,'02_TrayPack_Order'!$L$2:$L$264,0)</f>
        <v/>
      </c>
      <c r="E202" s="175">
        <f>SUMIF('13_Progress_Track'!$A$2:$A$108,B203,'13_Progress_Track'!$E$2:$E$108)</f>
        <v/>
      </c>
      <c r="F202" s="175">
        <f>IF(E203&gt;(C203+D203),(E203-(C203+D203)),0)</f>
        <v/>
      </c>
      <c r="G202" s="177">
        <f>IF(F203&gt;0,0,C203+D203-E203)</f>
        <v/>
      </c>
      <c r="H202" s="148">
        <f>_xludf.IFNA(_xlfn.XLOOKUP(B203,'00_SKU_Master'!$B$2:$B$378,'00_SKU_Master'!$C$2:$C$378),"")</f>
        <v/>
      </c>
      <c r="I202" s="148" t="n"/>
      <c r="J202" s="14">
        <f>_xludf.IFNA(_xlfn.XLOOKUP(B203,'00_SKU_Master'!B$2:B$378,'00_SKU_Master'!H$2:H$378,0),"")</f>
        <v/>
      </c>
      <c r="K202" s="14">
        <f>_xludf.IFNA(_xlfn.XLOOKUP(B203,'00_SKU_Master'!B$2:B$378,'00_SKU_Master'!K$2:K$378,0),"")</f>
        <v/>
      </c>
      <c r="L202" s="148">
        <f>_xlfn.XLOOKUP(B203,'00_SKU_Master'!$B$2:$B$378,'00_SKU_Master'!D:D)</f>
        <v/>
      </c>
      <c r="M202" s="148">
        <f>IF((C203-E203)&lt;0,0,C203-E203)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_xlfn.XLOOKUP(B204,'02_TrayPack_Order'!$A$2:$A$264,'02_TrayPack_Order'!$C$2:$C$264)</f>
        <v/>
      </c>
      <c r="D203" s="176">
        <f>_xlfn.XLOOKUP(B204,'02_TrayPack_Order'!$A$2:$A$264,'02_TrayPack_Order'!$L$2:$L$264,0)</f>
        <v/>
      </c>
      <c r="E203" s="175">
        <f>SUMIF('13_Progress_Track'!$A$2:$A$108,B204,'13_Progress_Track'!$E$2:$E$108)</f>
        <v/>
      </c>
      <c r="F203" s="175">
        <f>IF(E204&gt;(C204+D204),(E204-(C204+D204)),0)</f>
        <v/>
      </c>
      <c r="G203" s="177">
        <f>IF(F204&gt;0,0,C204+D204-E204)</f>
        <v/>
      </c>
      <c r="H203" s="148">
        <f>_xludf.IFNA(_xlfn.XLOOKUP(B204,'00_SKU_Master'!$B$2:$B$378,'00_SKU_Master'!$C$2:$C$378),"")</f>
        <v/>
      </c>
      <c r="I203" s="148" t="n"/>
      <c r="J203" s="14">
        <f>_xludf.IFNA(_xlfn.XLOOKUP(B204,'00_SKU_Master'!B$2:B$378,'00_SKU_Master'!H$2:H$378,0),"")</f>
        <v/>
      </c>
      <c r="K203" s="14">
        <f>_xludf.IFNA(_xlfn.XLOOKUP(B204,'00_SKU_Master'!B$2:B$378,'00_SKU_Master'!K$2:K$378,0),"")</f>
        <v/>
      </c>
      <c r="L203" s="148">
        <f>_xlfn.XLOOKUP(B204,'00_SKU_Master'!$B$2:$B$378,'00_SKU_Master'!D:D)</f>
        <v/>
      </c>
      <c r="M203" s="148">
        <f>IF((C204-E204)&lt;0,0,C204-E204)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_xlfn.XLOOKUP(B205,'02_TrayPack_Order'!$A$2:$A$264,'02_TrayPack_Order'!$C$2:$C$264)</f>
        <v/>
      </c>
      <c r="D204" s="176">
        <f>_xlfn.XLOOKUP(B205,'02_TrayPack_Order'!$A$2:$A$264,'02_TrayPack_Order'!$L$2:$L$264,0)</f>
        <v/>
      </c>
      <c r="E204" s="175">
        <f>SUMIF('13_Progress_Track'!$A$2:$A$108,B205,'13_Progress_Track'!$E$2:$E$108)</f>
        <v/>
      </c>
      <c r="F204" s="175">
        <f>IF(E205&gt;(C205+D205),(E205-(C205+D205)),0)</f>
        <v/>
      </c>
      <c r="G204" s="177">
        <f>IF(F205&gt;0,0,C205+D205-E205)</f>
        <v/>
      </c>
      <c r="H204" s="148">
        <f>_xludf.IFNA(_xlfn.XLOOKUP(B205,'00_SKU_Master'!$B$2:$B$378,'00_SKU_Master'!$C$2:$C$378),"")</f>
        <v/>
      </c>
      <c r="I204" s="148" t="n"/>
      <c r="J204" s="14">
        <f>_xludf.IFNA(_xlfn.XLOOKUP(B205,'00_SKU_Master'!B$2:B$378,'00_SKU_Master'!H$2:H$378,0),"")</f>
        <v/>
      </c>
      <c r="K204" s="14">
        <f>_xludf.IFNA(_xlfn.XLOOKUP(B205,'00_SKU_Master'!B$2:B$378,'00_SKU_Master'!K$2:K$378,0),"")</f>
        <v/>
      </c>
      <c r="L204" s="148">
        <f>_xlfn.XLOOKUP(B205,'00_SKU_Master'!$B$2:$B$378,'00_SKU_Master'!D:D)</f>
        <v/>
      </c>
      <c r="M204" s="148">
        <f>IF((C205-E205)&lt;0,0,C205-E205)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_xlfn.XLOOKUP(B206,'02_TrayPack_Order'!$A$2:$A$264,'02_TrayPack_Order'!$C$2:$C$264)</f>
        <v/>
      </c>
      <c r="D205" s="176">
        <f>_xlfn.XLOOKUP(B206,'02_TrayPack_Order'!$A$2:$A$264,'02_TrayPack_Order'!$L$2:$L$264,0)</f>
        <v/>
      </c>
      <c r="E205" s="175">
        <f>SUMIF('13_Progress_Track'!$A$2:$A$108,B206,'13_Progress_Track'!$E$2:$E$108)</f>
        <v/>
      </c>
      <c r="F205" s="175">
        <f>IF(E206&gt;(C206+D206),(E206-(C206+D206)),0)</f>
        <v/>
      </c>
      <c r="G205" s="177">
        <f>IF(F206&gt;0,0,C206+D206-E206)</f>
        <v/>
      </c>
      <c r="H205" s="148">
        <f>_xludf.IFNA(_xlfn.XLOOKUP(B206,'00_SKU_Master'!$B$2:$B$378,'00_SKU_Master'!$C$2:$C$378),"")</f>
        <v/>
      </c>
      <c r="I205" s="148" t="n"/>
      <c r="J205" s="14">
        <f>_xludf.IFNA(_xlfn.XLOOKUP(B206,'00_SKU_Master'!B$2:B$378,'00_SKU_Master'!H$2:H$378,0),"")</f>
        <v/>
      </c>
      <c r="K205" s="14">
        <f>_xludf.IFNA(_xlfn.XLOOKUP(B206,'00_SKU_Master'!B$2:B$378,'00_SKU_Master'!K$2:K$378,0),"")</f>
        <v/>
      </c>
      <c r="L205" s="148">
        <f>_xlfn.XLOOKUP(B206,'00_SKU_Master'!$B$2:$B$378,'00_SKU_Master'!D:D)</f>
        <v/>
      </c>
      <c r="M205" s="148">
        <f>IF((C206-E206)&lt;0,0,C206-E206)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_xlfn.XLOOKUP(B207,'02_TrayPack_Order'!$A$2:$A$264,'02_TrayPack_Order'!$C$2:$C$264)</f>
        <v/>
      </c>
      <c r="D206" s="176">
        <f>_xlfn.XLOOKUP(B207,'02_TrayPack_Order'!$A$2:$A$264,'02_TrayPack_Order'!$L$2:$L$264,0)</f>
        <v/>
      </c>
      <c r="E206" s="175">
        <f>SUMIF('13_Progress_Track'!$A$2:$A$108,B207,'13_Progress_Track'!$E$2:$E$108)</f>
        <v/>
      </c>
      <c r="F206" s="175">
        <f>IF(E207&gt;(C207+D207),(E207-(C207+D207)),0)</f>
        <v/>
      </c>
      <c r="G206" s="177">
        <f>IF(F207&gt;0,0,C207+D207-E207)</f>
        <v/>
      </c>
      <c r="H206" s="148">
        <f>_xludf.IFNA(_xlfn.XLOOKUP(B207,'00_SKU_Master'!$B$2:$B$378,'00_SKU_Master'!$C$2:$C$378),"")</f>
        <v/>
      </c>
      <c r="I206" s="148" t="n"/>
      <c r="J206" s="14">
        <f>_xludf.IFNA(_xlfn.XLOOKUP(B207,'00_SKU_Master'!B$2:B$378,'00_SKU_Master'!H$2:H$378,0),"")</f>
        <v/>
      </c>
      <c r="K206" s="14">
        <f>_xludf.IFNA(_xlfn.XLOOKUP(B207,'00_SKU_Master'!B$2:B$378,'00_SKU_Master'!K$2:K$378,0),"")</f>
        <v/>
      </c>
      <c r="L206" s="148">
        <f>_xlfn.XLOOKUP(B207,'00_SKU_Master'!$B$2:$B$378,'00_SKU_Master'!D:D)</f>
        <v/>
      </c>
      <c r="M206" s="148">
        <f>IF((C207-E207)&lt;0,0,C207-E207)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_xlfn.XLOOKUP(B208,'02_TrayPack_Order'!$A$2:$A$264,'02_TrayPack_Order'!$C$2:$C$264)</f>
        <v/>
      </c>
      <c r="D207" s="176">
        <f>_xlfn.XLOOKUP(B208,'02_TrayPack_Order'!$A$2:$A$264,'02_TrayPack_Order'!$L$2:$L$264,0)</f>
        <v/>
      </c>
      <c r="E207" s="175">
        <f>SUMIF('13_Progress_Track'!$A$2:$A$108,B208,'13_Progress_Track'!$E$2:$E$108)</f>
        <v/>
      </c>
      <c r="F207" s="175">
        <f>IF(E208&gt;(C208+D208),(E208-(C208+D208)),0)</f>
        <v/>
      </c>
      <c r="G207" s="177">
        <f>IF(F208&gt;0,0,C208+D208-E208)</f>
        <v/>
      </c>
      <c r="H207" s="148">
        <f>_xludf.IFNA(_xlfn.XLOOKUP(B208,'00_SKU_Master'!$B$2:$B$378,'00_SKU_Master'!$C$2:$C$378),"")</f>
        <v/>
      </c>
      <c r="I207" s="148" t="n"/>
      <c r="J207" s="14">
        <f>_xludf.IFNA(_xlfn.XLOOKUP(B208,'00_SKU_Master'!B$2:B$378,'00_SKU_Master'!H$2:H$378,0),"")</f>
        <v/>
      </c>
      <c r="K207" s="14">
        <f>_xludf.IFNA(_xlfn.XLOOKUP(B208,'00_SKU_Master'!B$2:B$378,'00_SKU_Master'!K$2:K$378,0),"")</f>
        <v/>
      </c>
      <c r="L207" s="148">
        <f>_xlfn.XLOOKUP(B208,'00_SKU_Master'!$B$2:$B$378,'00_SKU_Master'!D:D)</f>
        <v/>
      </c>
      <c r="M207" s="148">
        <f>IF((C208-E208)&lt;0,0,C208-E208)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_xlfn.XLOOKUP(B209,'02_TrayPack_Order'!$A$2:$A$264,'02_TrayPack_Order'!$C$2:$C$264)</f>
        <v/>
      </c>
      <c r="D208" s="176">
        <f>_xlfn.XLOOKUP(B209,'02_TrayPack_Order'!$A$2:$A$264,'02_TrayPack_Order'!$L$2:$L$264,0)</f>
        <v/>
      </c>
      <c r="E208" s="175">
        <f>SUMIF('13_Progress_Track'!$A$2:$A$108,B209,'13_Progress_Track'!$E$2:$E$108)</f>
        <v/>
      </c>
      <c r="F208" s="175">
        <f>IF(E209&gt;(C209+D209),(E209-(C209+D209)),0)</f>
        <v/>
      </c>
      <c r="G208" s="177">
        <f>IF(F209&gt;0,0,C209+D209-E209)</f>
        <v/>
      </c>
      <c r="H208" s="148">
        <f>_xludf.IFNA(_xlfn.XLOOKUP(B209,'00_SKU_Master'!$B$2:$B$378,'00_SKU_Master'!$C$2:$C$378),"")</f>
        <v/>
      </c>
      <c r="I208" s="148" t="n"/>
      <c r="J208" s="14">
        <f>_xludf.IFNA(_xlfn.XLOOKUP(B209,'00_SKU_Master'!B$2:B$378,'00_SKU_Master'!H$2:H$378,0),"")</f>
        <v/>
      </c>
      <c r="K208" s="14">
        <f>_xludf.IFNA(_xlfn.XLOOKUP(B209,'00_SKU_Master'!B$2:B$378,'00_SKU_Master'!K$2:K$378,0),"")</f>
        <v/>
      </c>
      <c r="L208" s="148">
        <f>_xlfn.XLOOKUP(B209,'00_SKU_Master'!$B$2:$B$378,'00_SKU_Master'!D:D)</f>
        <v/>
      </c>
      <c r="M208" s="148">
        <f>IF((C209-E209)&lt;0,0,C209-E209)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_xlfn.XLOOKUP(B210,'02_TrayPack_Order'!$A$2:$A$264,'02_TrayPack_Order'!$C$2:$C$264)</f>
        <v/>
      </c>
      <c r="D209" s="176">
        <f>_xlfn.XLOOKUP(B210,'02_TrayPack_Order'!$A$2:$A$264,'02_TrayPack_Order'!$L$2:$L$264,0)</f>
        <v/>
      </c>
      <c r="E209" s="175">
        <f>SUMIF('13_Progress_Track'!$A$2:$A$108,B210,'13_Progress_Track'!$E$2:$E$108)</f>
        <v/>
      </c>
      <c r="F209" s="175">
        <f>IF(E210&gt;(C210+D210),(E210-(C210+D210)),0)</f>
        <v/>
      </c>
      <c r="G209" s="177">
        <f>IF(F210&gt;0,0,C210+D210-E210)</f>
        <v/>
      </c>
      <c r="H209" s="148">
        <f>_xludf.IFNA(_xlfn.XLOOKUP(B210,'00_SKU_Master'!$B$2:$B$378,'00_SKU_Master'!$C$2:$C$378),"")</f>
        <v/>
      </c>
      <c r="I209" s="148" t="n"/>
      <c r="J209" s="14">
        <f>_xludf.IFNA(_xlfn.XLOOKUP(B210,'00_SKU_Master'!B$2:B$378,'00_SKU_Master'!H$2:H$378,0),"")</f>
        <v/>
      </c>
      <c r="K209" s="14">
        <f>_xludf.IFNA(_xlfn.XLOOKUP(B210,'00_SKU_Master'!B$2:B$378,'00_SKU_Master'!K$2:K$378,0),"")</f>
        <v/>
      </c>
      <c r="L209" s="148">
        <f>_xlfn.XLOOKUP(B210,'00_SKU_Master'!$B$2:$B$378,'00_SKU_Master'!D:D)</f>
        <v/>
      </c>
      <c r="M209" s="148">
        <f>IF((C210-E210)&lt;0,0,C210-E210)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_xlfn.XLOOKUP(B211,'02_TrayPack_Order'!$A$2:$A$264,'02_TrayPack_Order'!$C$2:$C$264)</f>
        <v/>
      </c>
      <c r="D210" s="176">
        <f>_xlfn.XLOOKUP(B211,'02_TrayPack_Order'!$A$2:$A$264,'02_TrayPack_Order'!$L$2:$L$264,0)</f>
        <v/>
      </c>
      <c r="E210" s="175">
        <f>SUMIF('13_Progress_Track'!$A$2:$A$108,B211,'13_Progress_Track'!$E$2:$E$108)</f>
        <v/>
      </c>
      <c r="F210" s="175">
        <f>IF(E211&gt;(C211+D211),(E211-(C211+D211)),0)</f>
        <v/>
      </c>
      <c r="G210" s="177">
        <f>IF(F211&gt;0,0,C211+D211-E211)</f>
        <v/>
      </c>
      <c r="H210" s="148">
        <f>_xludf.IFNA(_xlfn.XLOOKUP(B211,'00_SKU_Master'!$B$2:$B$378,'00_SKU_Master'!$C$2:$C$378),"")</f>
        <v/>
      </c>
      <c r="I210" s="148" t="n"/>
      <c r="J210" s="14">
        <f>_xludf.IFNA(_xlfn.XLOOKUP(B211,'00_SKU_Master'!B$2:B$378,'00_SKU_Master'!H$2:H$378,0),"")</f>
        <v/>
      </c>
      <c r="K210" s="14">
        <f>_xludf.IFNA(_xlfn.XLOOKUP(B211,'00_SKU_Master'!B$2:B$378,'00_SKU_Master'!K$2:K$378,0),"")</f>
        <v/>
      </c>
      <c r="L210" s="148">
        <f>_xlfn.XLOOKUP(B211,'00_SKU_Master'!$B$2:$B$378,'00_SKU_Master'!D:D)</f>
        <v/>
      </c>
      <c r="M210" s="148">
        <f>IF((C211-E211)&lt;0,0,C211-E211)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_xlfn.XLOOKUP(B212,'02_TrayPack_Order'!$A$2:$A$264,'02_TrayPack_Order'!$C$2:$C$264)</f>
        <v/>
      </c>
      <c r="D211" s="176">
        <f>_xlfn.XLOOKUP(B212,'02_TrayPack_Order'!$A$2:$A$264,'02_TrayPack_Order'!$L$2:$L$264,0)</f>
        <v/>
      </c>
      <c r="E211" s="175">
        <f>SUMIF('13_Progress_Track'!$A$2:$A$108,B212,'13_Progress_Track'!$E$2:$E$108)</f>
        <v/>
      </c>
      <c r="F211" s="175">
        <f>IF(E212&gt;(C212+D212),(E212-(C212+D212)),0)</f>
        <v/>
      </c>
      <c r="G211" s="177">
        <f>IF(F212&gt;0,0,C212+D212-E212)</f>
        <v/>
      </c>
      <c r="H211" s="148">
        <f>_xludf.IFNA(_xlfn.XLOOKUP(B212,'00_SKU_Master'!$B$2:$B$378,'00_SKU_Master'!$C$2:$C$378),"")</f>
        <v/>
      </c>
      <c r="I211" s="148" t="n"/>
      <c r="J211" s="14">
        <f>_xludf.IFNA(_xlfn.XLOOKUP(B212,'00_SKU_Master'!B$2:B$378,'00_SKU_Master'!H$2:H$378,0),"")</f>
        <v/>
      </c>
      <c r="K211" s="14">
        <f>_xludf.IFNA(_xlfn.XLOOKUP(B212,'00_SKU_Master'!B$2:B$378,'00_SKU_Master'!K$2:K$378,0),"")</f>
        <v/>
      </c>
      <c r="L211" s="148">
        <f>_xlfn.XLOOKUP(B212,'00_SKU_Master'!$B$2:$B$378,'00_SKU_Master'!D:D)</f>
        <v/>
      </c>
      <c r="M211" s="148">
        <f>IF((C212-E212)&lt;0,0,C212-E212)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_xlfn.XLOOKUP(B213,'02_TrayPack_Order'!$A$2:$A$264,'02_TrayPack_Order'!$C$2:$C$264)</f>
        <v/>
      </c>
      <c r="D212" s="176">
        <f>_xlfn.XLOOKUP(B213,'02_TrayPack_Order'!$A$2:$A$264,'02_TrayPack_Order'!$L$2:$L$264,0)</f>
        <v/>
      </c>
      <c r="E212" s="175">
        <f>SUMIF('13_Progress_Track'!$A$2:$A$108,B213,'13_Progress_Track'!$E$2:$E$108)</f>
        <v/>
      </c>
      <c r="F212" s="175">
        <f>IF(E213&gt;(C213+D213),(E213-(C213+D213)),0)</f>
        <v/>
      </c>
      <c r="G212" s="177">
        <f>IF(F213&gt;0,0,C213+D213-E213)</f>
        <v/>
      </c>
      <c r="H212" s="148">
        <f>_xludf.IFNA(_xlfn.XLOOKUP(B213,'00_SKU_Master'!$B$2:$B$378,'00_SKU_Master'!$C$2:$C$378),"")</f>
        <v/>
      </c>
      <c r="I212" s="148" t="n"/>
      <c r="J212" s="14">
        <f>_xludf.IFNA(_xlfn.XLOOKUP(B213,'00_SKU_Master'!B$2:B$378,'00_SKU_Master'!H$2:H$378,0),"")</f>
        <v/>
      </c>
      <c r="K212" s="14">
        <f>_xludf.IFNA(_xlfn.XLOOKUP(B213,'00_SKU_Master'!B$2:B$378,'00_SKU_Master'!K$2:K$378,0),"")</f>
        <v/>
      </c>
      <c r="L212" s="148">
        <f>_xlfn.XLOOKUP(B213,'00_SKU_Master'!$B$2:$B$378,'00_SKU_Master'!D:D)</f>
        <v/>
      </c>
      <c r="M212" s="148">
        <f>IF((C213-E213)&lt;0,0,C213-E213)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_xlfn.XLOOKUP(B214,'02_TrayPack_Order'!$A$2:$A$264,'02_TrayPack_Order'!$C$2:$C$264)</f>
        <v/>
      </c>
      <c r="D213" s="176">
        <f>_xlfn.XLOOKUP(B214,'02_TrayPack_Order'!$A$2:$A$264,'02_TrayPack_Order'!$L$2:$L$264,0)</f>
        <v/>
      </c>
      <c r="E213" s="175">
        <f>SUMIF('13_Progress_Track'!$A$2:$A$108,B214,'13_Progress_Track'!$E$2:$E$108)</f>
        <v/>
      </c>
      <c r="F213" s="175">
        <f>IF(E214&gt;(C214+D214),(E214-(C214+D214)),0)</f>
        <v/>
      </c>
      <c r="G213" s="177">
        <f>IF(F214&gt;0,0,C214+D214-E214)</f>
        <v/>
      </c>
      <c r="H213" s="148">
        <f>_xludf.IFNA(_xlfn.XLOOKUP(B214,'00_SKU_Master'!$B$2:$B$378,'00_SKU_Master'!$C$2:$C$378),"")</f>
        <v/>
      </c>
      <c r="I213" s="148" t="n"/>
      <c r="J213" s="14">
        <f>_xludf.IFNA(_xlfn.XLOOKUP(B214,'00_SKU_Master'!B$2:B$378,'00_SKU_Master'!H$2:H$378,0),"")</f>
        <v/>
      </c>
      <c r="K213" s="14">
        <f>_xludf.IFNA(_xlfn.XLOOKUP(B214,'00_SKU_Master'!B$2:B$378,'00_SKU_Master'!K$2:K$378,0),"")</f>
        <v/>
      </c>
      <c r="L213" s="148">
        <f>_xlfn.XLOOKUP(B214,'00_SKU_Master'!$B$2:$B$378,'00_SKU_Master'!D:D)</f>
        <v/>
      </c>
      <c r="M213" s="148">
        <f>IF((C214-E214)&lt;0,0,C214-E214)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_xlfn.XLOOKUP(B215,'02_TrayPack_Order'!$A$2:$A$264,'02_TrayPack_Order'!$C$2:$C$264)</f>
        <v/>
      </c>
      <c r="D214" s="176">
        <f>_xlfn.XLOOKUP(B215,'02_TrayPack_Order'!$A$2:$A$264,'02_TrayPack_Order'!$L$2:$L$264,0)</f>
        <v/>
      </c>
      <c r="E214" s="175">
        <f>SUMIF('13_Progress_Track'!$A$2:$A$108,B215,'13_Progress_Track'!$E$2:$E$108)</f>
        <v/>
      </c>
      <c r="F214" s="175">
        <f>IF(E215&gt;(C215+D215),(E215-(C215+D215)),0)</f>
        <v/>
      </c>
      <c r="G214" s="177">
        <f>IF(F215&gt;0,0,C215+D215-E215)</f>
        <v/>
      </c>
      <c r="H214" s="148">
        <f>_xludf.IFNA(_xlfn.XLOOKUP(B215,'00_SKU_Master'!$B$2:$B$378,'00_SKU_Master'!$C$2:$C$378),"")</f>
        <v/>
      </c>
      <c r="I214" s="148" t="n"/>
      <c r="J214" s="14">
        <f>_xludf.IFNA(_xlfn.XLOOKUP(B215,'00_SKU_Master'!B$2:B$378,'00_SKU_Master'!H$2:H$378,0),"")</f>
        <v/>
      </c>
      <c r="K214" s="14">
        <f>_xludf.IFNA(_xlfn.XLOOKUP(B215,'00_SKU_Master'!B$2:B$378,'00_SKU_Master'!K$2:K$378,0),"")</f>
        <v/>
      </c>
      <c r="L214" s="148">
        <f>_xlfn.XLOOKUP(B215,'00_SKU_Master'!$B$2:$B$378,'00_SKU_Master'!D:D)</f>
        <v/>
      </c>
      <c r="M214" s="148">
        <f>IF((C215-E215)&lt;0,0,C215-E215)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_xlfn.XLOOKUP(B216,'02_TrayPack_Order'!$A$2:$A$264,'02_TrayPack_Order'!$C$2:$C$264)</f>
        <v/>
      </c>
      <c r="D215" s="176">
        <f>_xlfn.XLOOKUP(B216,'02_TrayPack_Order'!$A$2:$A$264,'02_TrayPack_Order'!$L$2:$L$264,0)</f>
        <v/>
      </c>
      <c r="E215" s="175">
        <f>SUMIF('13_Progress_Track'!$A$2:$A$108,B216,'13_Progress_Track'!$E$2:$E$108)</f>
        <v/>
      </c>
      <c r="F215" s="175">
        <f>IF(E216&gt;(C216+D216),(E216-(C216+D216)),0)</f>
        <v/>
      </c>
      <c r="G215" s="177">
        <f>IF(F216&gt;0,0,C216+D216-E216)</f>
        <v/>
      </c>
      <c r="H215" s="148">
        <f>_xludf.IFNA(_xlfn.XLOOKUP(B216,'00_SKU_Master'!$B$2:$B$378,'00_SKU_Master'!$C$2:$C$378),"")</f>
        <v/>
      </c>
      <c r="I215" s="148" t="n"/>
      <c r="J215" s="14">
        <f>_xludf.IFNA(_xlfn.XLOOKUP(B216,'00_SKU_Master'!B$2:B$378,'00_SKU_Master'!H$2:H$378,0),"")</f>
        <v/>
      </c>
      <c r="K215" s="14">
        <f>_xludf.IFNA(_xlfn.XLOOKUP(B216,'00_SKU_Master'!B$2:B$378,'00_SKU_Master'!K$2:K$378,0),"")</f>
        <v/>
      </c>
      <c r="L215" s="148">
        <f>_xlfn.XLOOKUP(B216,'00_SKU_Master'!$B$2:$B$378,'00_SKU_Master'!D:D)</f>
        <v/>
      </c>
      <c r="M215" s="148">
        <f>IF((C216-E216)&lt;0,0,C216-E216)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_xlfn.XLOOKUP(B217,'02_TrayPack_Order'!$A$2:$A$264,'02_TrayPack_Order'!$C$2:$C$264)</f>
        <v/>
      </c>
      <c r="D216" s="176">
        <f>_xlfn.XLOOKUP(B217,'02_TrayPack_Order'!$A$2:$A$264,'02_TrayPack_Order'!$L$2:$L$264,0)</f>
        <v/>
      </c>
      <c r="E216" s="175">
        <f>SUMIF('13_Progress_Track'!$A$2:$A$108,B217,'13_Progress_Track'!$E$2:$E$108)</f>
        <v/>
      </c>
      <c r="F216" s="175">
        <f>IF(E217&gt;(C217+D217),(E217-(C217+D217)),0)</f>
        <v/>
      </c>
      <c r="G216" s="177">
        <f>IF(F217&gt;0,0,C217+D217-E217)</f>
        <v/>
      </c>
      <c r="H216" s="148">
        <f>_xludf.IFNA(_xlfn.XLOOKUP(B217,'00_SKU_Master'!$B$2:$B$378,'00_SKU_Master'!$C$2:$C$378),"")</f>
        <v/>
      </c>
      <c r="I216" s="148" t="n"/>
      <c r="J216" s="14">
        <f>_xludf.IFNA(_xlfn.XLOOKUP(B217,'00_SKU_Master'!B$2:B$378,'00_SKU_Master'!H$2:H$378,0),"")</f>
        <v/>
      </c>
      <c r="K216" s="14">
        <f>_xludf.IFNA(_xlfn.XLOOKUP(B217,'00_SKU_Master'!B$2:B$378,'00_SKU_Master'!K$2:K$378,0),"")</f>
        <v/>
      </c>
      <c r="L216" s="148">
        <f>_xlfn.XLOOKUP(B217,'00_SKU_Master'!$B$2:$B$378,'00_SKU_Master'!D:D)</f>
        <v/>
      </c>
      <c r="M216" s="148">
        <f>IF((C217-E217)&lt;0,0,C217-E217)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_xlfn.XLOOKUP(B218,'02_TrayPack_Order'!$A$2:$A$264,'02_TrayPack_Order'!$C$2:$C$264)</f>
        <v/>
      </c>
      <c r="D217" s="176">
        <f>_xlfn.XLOOKUP(B218,'02_TrayPack_Order'!$A$2:$A$264,'02_TrayPack_Order'!$L$2:$L$264,0)</f>
        <v/>
      </c>
      <c r="E217" s="175">
        <f>SUMIF('13_Progress_Track'!$A$2:$A$108,B218,'13_Progress_Track'!$E$2:$E$108)</f>
        <v/>
      </c>
      <c r="F217" s="175">
        <f>IF(E218&gt;(C218+D218),(E218-(C218+D218)),0)</f>
        <v/>
      </c>
      <c r="G217" s="177">
        <f>IF(F218&gt;0,0,C218+D218-E218)</f>
        <v/>
      </c>
      <c r="H217" s="148">
        <f>_xludf.IFNA(_xlfn.XLOOKUP(B218,'00_SKU_Master'!$B$2:$B$378,'00_SKU_Master'!$C$2:$C$378),"")</f>
        <v/>
      </c>
      <c r="I217" s="148" t="n"/>
      <c r="J217" s="14">
        <f>_xludf.IFNA(_xlfn.XLOOKUP(B218,'00_SKU_Master'!B$2:B$378,'00_SKU_Master'!H$2:H$378,0),"")</f>
        <v/>
      </c>
      <c r="K217" s="14">
        <f>_xludf.IFNA(_xlfn.XLOOKUP(B218,'00_SKU_Master'!B$2:B$378,'00_SKU_Master'!K$2:K$378,0),"")</f>
        <v/>
      </c>
      <c r="L217" s="148">
        <f>_xlfn.XLOOKUP(B218,'00_SKU_Master'!$B$2:$B$378,'00_SKU_Master'!D:D)</f>
        <v/>
      </c>
      <c r="M217" s="148">
        <f>IF((C218-E218)&lt;0,0,C218-E218)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_xlfn.XLOOKUP(B219,'02_TrayPack_Order'!$A$2:$A$264,'02_TrayPack_Order'!$C$2:$C$264)</f>
        <v/>
      </c>
      <c r="D218" s="176">
        <f>_xlfn.XLOOKUP(B219,'02_TrayPack_Order'!$A$2:$A$264,'02_TrayPack_Order'!$L$2:$L$264,0)</f>
        <v/>
      </c>
      <c r="E218" s="175">
        <f>SUMIF('13_Progress_Track'!$A$2:$A$108,B219,'13_Progress_Track'!$E$2:$E$108)</f>
        <v/>
      </c>
      <c r="F218" s="175">
        <f>IF(E219&gt;(C219+D219),(E219-(C219+D219)),0)</f>
        <v/>
      </c>
      <c r="G218" s="177">
        <f>IF(F219&gt;0,0,C219+D219-E219)</f>
        <v/>
      </c>
      <c r="H218" s="148">
        <f>_xludf.IFNA(_xlfn.XLOOKUP(B219,'00_SKU_Master'!$B$2:$B$378,'00_SKU_Master'!$C$2:$C$378),"")</f>
        <v/>
      </c>
      <c r="I218" s="148" t="n"/>
      <c r="J218" s="14">
        <f>_xludf.IFNA(_xlfn.XLOOKUP(B219,'00_SKU_Master'!B$2:B$378,'00_SKU_Master'!H$2:H$378,0),"")</f>
        <v/>
      </c>
      <c r="K218" s="14">
        <f>_xludf.IFNA(_xlfn.XLOOKUP(B219,'00_SKU_Master'!B$2:B$378,'00_SKU_Master'!K$2:K$378,0),"")</f>
        <v/>
      </c>
      <c r="L218" s="148">
        <f>_xlfn.XLOOKUP(B219,'00_SKU_Master'!$B$2:$B$378,'00_SKU_Master'!D:D)</f>
        <v/>
      </c>
      <c r="M218" s="148">
        <f>IF((C219-E219)&lt;0,0,C219-E219)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_xlfn.XLOOKUP(B220,'02_TrayPack_Order'!$A$2:$A$264,'02_TrayPack_Order'!$C$2:$C$264)</f>
        <v/>
      </c>
      <c r="D219" s="176">
        <f>_xlfn.XLOOKUP(B220,'02_TrayPack_Order'!$A$2:$A$264,'02_TrayPack_Order'!$L$2:$L$264,0)</f>
        <v/>
      </c>
      <c r="E219" s="175">
        <f>SUMIF('13_Progress_Track'!$A$2:$A$108,B220,'13_Progress_Track'!$E$2:$E$108)</f>
        <v/>
      </c>
      <c r="F219" s="175">
        <f>IF(E220&gt;(C220+D220),(E220-(C220+D220)),0)</f>
        <v/>
      </c>
      <c r="G219" s="177">
        <f>IF(F220&gt;0,0,C220+D220-E220)</f>
        <v/>
      </c>
      <c r="H219" s="148">
        <f>_xludf.IFNA(_xlfn.XLOOKUP(B220,'00_SKU_Master'!$B$2:$B$378,'00_SKU_Master'!$C$2:$C$378),"")</f>
        <v/>
      </c>
      <c r="I219" s="148" t="n"/>
      <c r="J219" s="14">
        <f>_xludf.IFNA(_xlfn.XLOOKUP(B220,'00_SKU_Master'!B$2:B$378,'00_SKU_Master'!H$2:H$378,0),"")</f>
        <v/>
      </c>
      <c r="K219" s="14">
        <f>_xludf.IFNA(_xlfn.XLOOKUP(B220,'00_SKU_Master'!B$2:B$378,'00_SKU_Master'!K$2:K$378,0),"")</f>
        <v/>
      </c>
      <c r="L219" s="148">
        <f>_xlfn.XLOOKUP(B220,'00_SKU_Master'!$B$2:$B$378,'00_SKU_Master'!D:D)</f>
        <v/>
      </c>
      <c r="M219" s="148">
        <f>IF((C220-E220)&lt;0,0,C220-E220)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_xlfn.XLOOKUP(B221,'02_TrayPack_Order'!$A$2:$A$264,'02_TrayPack_Order'!$C$2:$C$264)</f>
        <v/>
      </c>
      <c r="D220" s="176">
        <f>_xlfn.XLOOKUP(B221,'02_TrayPack_Order'!$A$2:$A$264,'02_TrayPack_Order'!$L$2:$L$264,0)</f>
        <v/>
      </c>
      <c r="E220" s="175">
        <f>SUMIF('13_Progress_Track'!$A$2:$A$108,B221,'13_Progress_Track'!$E$2:$E$108)</f>
        <v/>
      </c>
      <c r="F220" s="175">
        <f>IF(E221&gt;(C221+D221),(E221-(C221+D221)),0)</f>
        <v/>
      </c>
      <c r="G220" s="177">
        <f>IF(F221&gt;0,0,C221+D221-E221)</f>
        <v/>
      </c>
      <c r="H220" s="148">
        <f>_xludf.IFNA(_xlfn.XLOOKUP(B221,'00_SKU_Master'!$B$2:$B$378,'00_SKU_Master'!$C$2:$C$378),"")</f>
        <v/>
      </c>
      <c r="I220" s="148" t="n"/>
      <c r="J220" s="14">
        <f>_xludf.IFNA(_xlfn.XLOOKUP(B221,'00_SKU_Master'!B$2:B$378,'00_SKU_Master'!H$2:H$378,0),"")</f>
        <v/>
      </c>
      <c r="K220" s="14">
        <f>_xludf.IFNA(_xlfn.XLOOKUP(B221,'00_SKU_Master'!B$2:B$378,'00_SKU_Master'!K$2:K$378,0),"")</f>
        <v/>
      </c>
      <c r="L220" s="148">
        <f>_xlfn.XLOOKUP(B221,'00_SKU_Master'!$B$2:$B$378,'00_SKU_Master'!D:D)</f>
        <v/>
      </c>
      <c r="M220" s="148">
        <f>IF((C221-E221)&lt;0,0,C221-E221)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_xlfn.XLOOKUP(B222,'02_TrayPack_Order'!$A$2:$A$264,'02_TrayPack_Order'!$C$2:$C$264)</f>
        <v/>
      </c>
      <c r="D221" s="176">
        <f>_xlfn.XLOOKUP(B222,'02_TrayPack_Order'!$A$2:$A$264,'02_TrayPack_Order'!$L$2:$L$264,0)</f>
        <v/>
      </c>
      <c r="E221" s="175">
        <f>SUMIF('13_Progress_Track'!$A$2:$A$108,B222,'13_Progress_Track'!$E$2:$E$108)</f>
        <v/>
      </c>
      <c r="F221" s="175">
        <f>IF(E222&gt;(C222+D222),(E222-(C222+D222)),0)</f>
        <v/>
      </c>
      <c r="G221" s="177">
        <f>IF(F222&gt;0,0,C222+D222-E222)</f>
        <v/>
      </c>
      <c r="H221" s="148">
        <f>_xludf.IFNA(_xlfn.XLOOKUP(B222,'00_SKU_Master'!$B$2:$B$378,'00_SKU_Master'!$C$2:$C$378),"")</f>
        <v/>
      </c>
      <c r="I221" s="148" t="n"/>
      <c r="J221" s="14">
        <f>_xludf.IFNA(_xlfn.XLOOKUP(B222,'00_SKU_Master'!B$2:B$378,'00_SKU_Master'!H$2:H$378,0),"")</f>
        <v/>
      </c>
      <c r="K221" s="14">
        <f>_xludf.IFNA(_xlfn.XLOOKUP(B222,'00_SKU_Master'!B$2:B$378,'00_SKU_Master'!K$2:K$378,0),"")</f>
        <v/>
      </c>
      <c r="L221" s="148">
        <f>_xlfn.XLOOKUP(B222,'00_SKU_Master'!$B$2:$B$378,'00_SKU_Master'!D:D)</f>
        <v/>
      </c>
      <c r="M221" s="148">
        <f>IF((C222-E222)&lt;0,0,C222-E222)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_xlfn.XLOOKUP(B223,'02_TrayPack_Order'!$A$2:$A$264,'02_TrayPack_Order'!$C$2:$C$264)</f>
        <v/>
      </c>
      <c r="D222" s="176">
        <f>_xlfn.XLOOKUP(B223,'02_TrayPack_Order'!$A$2:$A$264,'02_TrayPack_Order'!$L$2:$L$264,0)</f>
        <v/>
      </c>
      <c r="E222" s="175">
        <f>SUMIF('13_Progress_Track'!$A$2:$A$108,B223,'13_Progress_Track'!$E$2:$E$108)</f>
        <v/>
      </c>
      <c r="F222" s="175">
        <f>IF(E223&gt;(C223+D223),(E223-(C223+D223)),0)</f>
        <v/>
      </c>
      <c r="G222" s="177">
        <f>IF(F223&gt;0,0,C223+D223-E223)</f>
        <v/>
      </c>
      <c r="H222" s="148">
        <f>_xludf.IFNA(_xlfn.XLOOKUP(B223,'00_SKU_Master'!$B$2:$B$378,'00_SKU_Master'!$C$2:$C$378),"")</f>
        <v/>
      </c>
      <c r="I222" s="148" t="n"/>
      <c r="J222" s="14">
        <f>_xludf.IFNA(_xlfn.XLOOKUP(B223,'00_SKU_Master'!B$2:B$378,'00_SKU_Master'!H$2:H$378,0),"")</f>
        <v/>
      </c>
      <c r="K222" s="14">
        <f>_xludf.IFNA(_xlfn.XLOOKUP(B223,'00_SKU_Master'!B$2:B$378,'00_SKU_Master'!K$2:K$378,0),"")</f>
        <v/>
      </c>
      <c r="L222" s="148">
        <f>_xlfn.XLOOKUP(B223,'00_SKU_Master'!$B$2:$B$378,'00_SKU_Master'!D:D)</f>
        <v/>
      </c>
      <c r="M222" s="148">
        <f>IF((C223-E223)&lt;0,0,C223-E223)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_xlfn.XLOOKUP(B224,'02_TrayPack_Order'!$A$2:$A$264,'02_TrayPack_Order'!$C$2:$C$264)</f>
        <v/>
      </c>
      <c r="D223" s="176">
        <f>_xlfn.XLOOKUP(B224,'02_TrayPack_Order'!$A$2:$A$264,'02_TrayPack_Order'!$L$2:$L$264,0)</f>
        <v/>
      </c>
      <c r="E223" s="175">
        <f>SUMIF('13_Progress_Track'!$A$2:$A$108,B224,'13_Progress_Track'!$E$2:$E$108)</f>
        <v/>
      </c>
      <c r="F223" s="175">
        <f>IF(E224&gt;(C224+D224),(E224-(C224+D224)),0)</f>
        <v/>
      </c>
      <c r="G223" s="177">
        <f>IF(F224&gt;0,0,C224+D224-E224)</f>
        <v/>
      </c>
      <c r="H223" s="148">
        <f>_xludf.IFNA(_xlfn.XLOOKUP(B224,'00_SKU_Master'!$B$2:$B$378,'00_SKU_Master'!$C$2:$C$378),"")</f>
        <v/>
      </c>
      <c r="I223" s="148" t="n"/>
      <c r="J223" s="14">
        <f>_xludf.IFNA(_xlfn.XLOOKUP(B224,'00_SKU_Master'!B$2:B$378,'00_SKU_Master'!H$2:H$378,0),"")</f>
        <v/>
      </c>
      <c r="K223" s="14">
        <f>_xludf.IFNA(_xlfn.XLOOKUP(B224,'00_SKU_Master'!B$2:B$378,'00_SKU_Master'!K$2:K$378,0),"")</f>
        <v/>
      </c>
      <c r="L223" s="148">
        <f>_xlfn.XLOOKUP(B224,'00_SKU_Master'!$B$2:$B$378,'00_SKU_Master'!D:D)</f>
        <v/>
      </c>
      <c r="M223" s="148">
        <f>IF((C224-E224)&lt;0,0,C224-E224)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_xlfn.XLOOKUP(B225,'02_TrayPack_Order'!$A$2:$A$264,'02_TrayPack_Order'!$C$2:$C$264)</f>
        <v/>
      </c>
      <c r="D224" s="176">
        <f>_xlfn.XLOOKUP(B225,'02_TrayPack_Order'!$A$2:$A$264,'02_TrayPack_Order'!$L$2:$L$264,0)</f>
        <v/>
      </c>
      <c r="E224" s="175">
        <f>SUMIF('13_Progress_Track'!$A$2:$A$108,B225,'13_Progress_Track'!$E$2:$E$108)</f>
        <v/>
      </c>
      <c r="F224" s="175">
        <f>IF(E225&gt;(C225+D225),(E225-(C225+D225)),0)</f>
        <v/>
      </c>
      <c r="G224" s="177">
        <f>IF(F225&gt;0,0,C225+D225-E225)</f>
        <v/>
      </c>
      <c r="H224" s="148">
        <f>_xludf.IFNA(_xlfn.XLOOKUP(B225,'00_SKU_Master'!$B$2:$B$378,'00_SKU_Master'!$C$2:$C$378),"")</f>
        <v/>
      </c>
      <c r="I224" s="148" t="n"/>
      <c r="J224" s="14">
        <f>_xludf.IFNA(_xlfn.XLOOKUP(B225,'00_SKU_Master'!B$2:B$378,'00_SKU_Master'!H$2:H$378,0),"")</f>
        <v/>
      </c>
      <c r="K224" s="14">
        <f>_xludf.IFNA(_xlfn.XLOOKUP(B225,'00_SKU_Master'!B$2:B$378,'00_SKU_Master'!K$2:K$378,0),"")</f>
        <v/>
      </c>
      <c r="L224" s="148">
        <f>_xlfn.XLOOKUP(B225,'00_SKU_Master'!$B$2:$B$378,'00_SKU_Master'!D:D)</f>
        <v/>
      </c>
      <c r="M224" s="148">
        <f>IF((C225-E225)&lt;0,0,C225-E225)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_xlfn.XLOOKUP(B226,'02_TrayPack_Order'!$A$2:$A$264,'02_TrayPack_Order'!$C$2:$C$264)</f>
        <v/>
      </c>
      <c r="D225" s="176">
        <f>_xlfn.XLOOKUP(B226,'02_TrayPack_Order'!$A$2:$A$264,'02_TrayPack_Order'!$L$2:$L$264,0)</f>
        <v/>
      </c>
      <c r="E225" s="175">
        <f>SUMIF('13_Progress_Track'!$A$2:$A$108,B226,'13_Progress_Track'!$E$2:$E$108)</f>
        <v/>
      </c>
      <c r="F225" s="175">
        <f>IF(E226&gt;(C226+D226),(E226-(C226+D226)),0)</f>
        <v/>
      </c>
      <c r="G225" s="177">
        <f>IF(F226&gt;0,0,C226+D226-E226)</f>
        <v/>
      </c>
      <c r="H225" s="148">
        <f>_xludf.IFNA(_xlfn.XLOOKUP(B226,'00_SKU_Master'!$B$2:$B$378,'00_SKU_Master'!$C$2:$C$378),"")</f>
        <v/>
      </c>
      <c r="I225" s="148" t="n"/>
      <c r="J225" s="14">
        <f>_xludf.IFNA(_xlfn.XLOOKUP(B226,'00_SKU_Master'!B$2:B$378,'00_SKU_Master'!H$2:H$378,0),"")</f>
        <v/>
      </c>
      <c r="K225" s="14">
        <f>_xludf.IFNA(_xlfn.XLOOKUP(B226,'00_SKU_Master'!B$2:B$378,'00_SKU_Master'!K$2:K$378,0),"")</f>
        <v/>
      </c>
      <c r="L225" s="148">
        <f>_xlfn.XLOOKUP(B226,'00_SKU_Master'!$B$2:$B$378,'00_SKU_Master'!D:D)</f>
        <v/>
      </c>
      <c r="M225" s="148">
        <f>IF((C226-E226)&lt;0,0,C226-E226)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_xlfn.XLOOKUP(B227,'02_TrayPack_Order'!$A$2:$A$264,'02_TrayPack_Order'!$C$2:$C$264)</f>
        <v/>
      </c>
      <c r="D226" s="176">
        <f>_xlfn.XLOOKUP(B227,'02_TrayPack_Order'!$A$2:$A$264,'02_TrayPack_Order'!$L$2:$L$264,0)</f>
        <v/>
      </c>
      <c r="E226" s="175">
        <f>SUMIF('13_Progress_Track'!$A$2:$A$108,B227,'13_Progress_Track'!$E$2:$E$108)</f>
        <v/>
      </c>
      <c r="F226" s="175">
        <f>IF(E227&gt;(C227+D227),(E227-(C227+D227)),0)</f>
        <v/>
      </c>
      <c r="G226" s="177">
        <f>IF(F227&gt;0,0,C227+D227-E227)</f>
        <v/>
      </c>
      <c r="H226" s="148">
        <f>_xludf.IFNA(_xlfn.XLOOKUP(B227,'00_SKU_Master'!$B$2:$B$378,'00_SKU_Master'!$C$2:$C$378),"")</f>
        <v/>
      </c>
      <c r="I226" s="148" t="n"/>
      <c r="J226" s="14">
        <f>_xludf.IFNA(_xlfn.XLOOKUP(B227,'00_SKU_Master'!B$2:B$378,'00_SKU_Master'!H$2:H$378,0),"")</f>
        <v/>
      </c>
      <c r="K226" s="14">
        <f>_xludf.IFNA(_xlfn.XLOOKUP(B227,'00_SKU_Master'!B$2:B$378,'00_SKU_Master'!K$2:K$378,0),"")</f>
        <v/>
      </c>
      <c r="L226" s="148">
        <f>_xlfn.XLOOKUP(B227,'00_SKU_Master'!$B$2:$B$378,'00_SKU_Master'!D:D)</f>
        <v/>
      </c>
      <c r="M226" s="148">
        <f>IF((C227-E227)&lt;0,0,C227-E227)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_xlfn.XLOOKUP(B228,'02_TrayPack_Order'!$A$2:$A$264,'02_TrayPack_Order'!$C$2:$C$264)</f>
        <v/>
      </c>
      <c r="D227" s="176">
        <f>_xlfn.XLOOKUP(B228,'02_TrayPack_Order'!$A$2:$A$264,'02_TrayPack_Order'!$L$2:$L$264,0)</f>
        <v/>
      </c>
      <c r="E227" s="175">
        <f>SUMIF('13_Progress_Track'!$A$2:$A$108,B228,'13_Progress_Track'!$E$2:$E$108)</f>
        <v/>
      </c>
      <c r="F227" s="175">
        <f>IF(E228&gt;(C228+D228),(E228-(C228+D228)),0)</f>
        <v/>
      </c>
      <c r="G227" s="177">
        <f>IF(F228&gt;0,0,C228+D228-E228)</f>
        <v/>
      </c>
      <c r="H227" s="148">
        <f>_xludf.IFNA(_xlfn.XLOOKUP(B228,'00_SKU_Master'!$B$2:$B$378,'00_SKU_Master'!$C$2:$C$378),"")</f>
        <v/>
      </c>
      <c r="I227" s="148" t="n"/>
      <c r="J227" s="14">
        <f>_xludf.IFNA(_xlfn.XLOOKUP(B228,'00_SKU_Master'!B$2:B$378,'00_SKU_Master'!H$2:H$378,0),"")</f>
        <v/>
      </c>
      <c r="K227" s="14">
        <f>_xludf.IFNA(_xlfn.XLOOKUP(B228,'00_SKU_Master'!B$2:B$378,'00_SKU_Master'!K$2:K$378,0),"")</f>
        <v/>
      </c>
      <c r="L227" s="148">
        <f>_xlfn.XLOOKUP(B228,'00_SKU_Master'!$B$2:$B$378,'00_SKU_Master'!D:D)</f>
        <v/>
      </c>
      <c r="M227" s="148">
        <f>IF((C228-E228)&lt;0,0,C228-E228)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_xlfn.XLOOKUP(B229,'02_TrayPack_Order'!$A$2:$A$264,'02_TrayPack_Order'!$C$2:$C$264)</f>
        <v/>
      </c>
      <c r="D228" s="176">
        <f>_xlfn.XLOOKUP(B229,'02_TrayPack_Order'!$A$2:$A$264,'02_TrayPack_Order'!$L$2:$L$264,0)</f>
        <v/>
      </c>
      <c r="E228" s="175">
        <f>SUMIF('13_Progress_Track'!$A$2:$A$108,B229,'13_Progress_Track'!$E$2:$E$108)</f>
        <v/>
      </c>
      <c r="F228" s="175">
        <f>IF(E229&gt;(C229+D229),(E229-(C229+D229)),0)</f>
        <v/>
      </c>
      <c r="G228" s="177">
        <f>IF(F229&gt;0,0,C229+D229-E229)</f>
        <v/>
      </c>
      <c r="H228" s="148">
        <f>_xludf.IFNA(_xlfn.XLOOKUP(B229,'00_SKU_Master'!$B$2:$B$378,'00_SKU_Master'!$C$2:$C$378),"")</f>
        <v/>
      </c>
      <c r="I228" s="148" t="n"/>
      <c r="J228" s="14">
        <f>_xludf.IFNA(_xlfn.XLOOKUP(B229,'00_SKU_Master'!B$2:B$378,'00_SKU_Master'!H$2:H$378,0),"")</f>
        <v/>
      </c>
      <c r="K228" s="14">
        <f>_xludf.IFNA(_xlfn.XLOOKUP(B229,'00_SKU_Master'!B$2:B$378,'00_SKU_Master'!K$2:K$378,0),"")</f>
        <v/>
      </c>
      <c r="L228" s="148">
        <f>_xlfn.XLOOKUP(B229,'00_SKU_Master'!$B$2:$B$378,'00_SKU_Master'!D:D)</f>
        <v/>
      </c>
      <c r="M228" s="148">
        <f>IF((C229-E229)&lt;0,0,C229-E229)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_xlfn.XLOOKUP(B230,'02_TrayPack_Order'!$A$2:$A$264,'02_TrayPack_Order'!$C$2:$C$264)</f>
        <v/>
      </c>
      <c r="D229" s="176">
        <f>_xlfn.XLOOKUP(B230,'02_TrayPack_Order'!$A$2:$A$264,'02_TrayPack_Order'!$L$2:$L$264,0)</f>
        <v/>
      </c>
      <c r="E229" s="175">
        <f>SUMIF('13_Progress_Track'!$A$2:$A$108,B230,'13_Progress_Track'!$E$2:$E$108)</f>
        <v/>
      </c>
      <c r="F229" s="175">
        <f>IF(E230&gt;(C230+D230),(E230-(C230+D230)),0)</f>
        <v/>
      </c>
      <c r="G229" s="177">
        <f>IF(F230&gt;0,0,C230+D230-E230)</f>
        <v/>
      </c>
      <c r="H229" s="148">
        <f>_xludf.IFNA(_xlfn.XLOOKUP(B230,'00_SKU_Master'!$B$2:$B$378,'00_SKU_Master'!$C$2:$C$378),"")</f>
        <v/>
      </c>
      <c r="I229" s="148" t="n"/>
      <c r="J229" s="14">
        <f>_xludf.IFNA(_xlfn.XLOOKUP(B230,'00_SKU_Master'!B$2:B$378,'00_SKU_Master'!H$2:H$378,0),"")</f>
        <v/>
      </c>
      <c r="K229" s="14">
        <f>_xludf.IFNA(_xlfn.XLOOKUP(B230,'00_SKU_Master'!B$2:B$378,'00_SKU_Master'!K$2:K$378,0),"")</f>
        <v/>
      </c>
      <c r="L229" s="148">
        <f>_xlfn.XLOOKUP(B230,'00_SKU_Master'!$B$2:$B$378,'00_SKU_Master'!D:D)</f>
        <v/>
      </c>
      <c r="M229" s="148">
        <f>IF((C230-E230)&lt;0,0,C230-E230)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_xlfn.XLOOKUP(B231,'02_TrayPack_Order'!$A$2:$A$264,'02_TrayPack_Order'!$C$2:$C$264)</f>
        <v/>
      </c>
      <c r="D230" s="176">
        <f>_xlfn.XLOOKUP(B231,'02_TrayPack_Order'!$A$2:$A$264,'02_TrayPack_Order'!$L$2:$L$264,0)</f>
        <v/>
      </c>
      <c r="E230" s="175">
        <f>SUMIF('13_Progress_Track'!$A$2:$A$108,B231,'13_Progress_Track'!$E$2:$E$108)</f>
        <v/>
      </c>
      <c r="F230" s="175">
        <f>IF(E231&gt;(C231+D231),(E231-(C231+D231)),0)</f>
        <v/>
      </c>
      <c r="G230" s="177">
        <f>IF(F231&gt;0,0,C231+D231-E231)</f>
        <v/>
      </c>
      <c r="H230" s="148">
        <f>_xludf.IFNA(_xlfn.XLOOKUP(B231,'00_SKU_Master'!$B$2:$B$378,'00_SKU_Master'!$C$2:$C$378),"")</f>
        <v/>
      </c>
      <c r="I230" s="148" t="n"/>
      <c r="J230" s="14">
        <f>_xludf.IFNA(_xlfn.XLOOKUP(B231,'00_SKU_Master'!B$2:B$378,'00_SKU_Master'!H$2:H$378,0),"")</f>
        <v/>
      </c>
      <c r="K230" s="14">
        <f>_xludf.IFNA(_xlfn.XLOOKUP(B231,'00_SKU_Master'!B$2:B$378,'00_SKU_Master'!K$2:K$378,0),"")</f>
        <v/>
      </c>
      <c r="L230" s="148">
        <f>_xlfn.XLOOKUP(B231,'00_SKU_Master'!$B$2:$B$378,'00_SKU_Master'!D:D)</f>
        <v/>
      </c>
      <c r="M230" s="148">
        <f>IF((C231-E231)&lt;0,0,C231-E231)</f>
        <v/>
      </c>
      <c r="O230" s="178" t="n"/>
    </row>
    <row r="231">
      <c r="A231" s="148">
        <f>'00_SKU_Master'!J323</f>
        <v/>
      </c>
      <c r="B231" s="148">
        <f>'00_SKU_Master'!B323</f>
        <v/>
      </c>
      <c r="C231" s="175">
        <f>_xlfn.XLOOKUP(B232,'02_TrayPack_Order'!$A$2:$A$264,'02_TrayPack_Order'!$C$2:$C$264)</f>
        <v/>
      </c>
      <c r="D231" s="176">
        <f>_xlfn.XLOOKUP(B232,'02_TrayPack_Order'!$A$2:$A$264,'02_TrayPack_Order'!$L$2:$L$264,0)</f>
        <v/>
      </c>
      <c r="E231" s="175">
        <f>SUMIF('13_Progress_Track'!$A$2:$A$108,B232,'13_Progress_Track'!$E$2:$E$108)</f>
        <v/>
      </c>
      <c r="F231" s="175">
        <f>IF(E232&gt;(C232+D232),(E232-(C232+D232)),0)</f>
        <v/>
      </c>
      <c r="G231" s="177">
        <f>IF(F232&gt;0,0,C232+D232-E232)</f>
        <v/>
      </c>
      <c r="H231" s="148">
        <f>_xludf.IFNA(_xlfn.XLOOKUP(B232,'00_SKU_Master'!$B$2:$B$378,'00_SKU_Master'!$C$2:$C$378),"")</f>
        <v/>
      </c>
      <c r="I231" s="148" t="n"/>
      <c r="J231" s="14">
        <f>_xludf.IFNA(_xlfn.XLOOKUP(B232,'00_SKU_Master'!B$2:B$378,'00_SKU_Master'!H$2:H$378,0),"")</f>
        <v/>
      </c>
      <c r="K231" s="14">
        <f>_xludf.IFNA(_xlfn.XLOOKUP(B232,'00_SKU_Master'!B$2:B$378,'00_SKU_Master'!K$2:K$378,0),"")</f>
        <v/>
      </c>
      <c r="L231" s="148">
        <f>_xlfn.XLOOKUP(B232,'00_SKU_Master'!$B$2:$B$378,'00_SKU_Master'!D:D)</f>
        <v/>
      </c>
      <c r="M231" s="148">
        <f>IF((C232-E232)&lt;0,0,C232-E232)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_xlfn.XLOOKUP(B233,'02_TrayPack_Order'!$A$2:$A$264,'02_TrayPack_Order'!$C$2:$C$264)</f>
        <v/>
      </c>
      <c r="D232" s="176">
        <f>_xlfn.XLOOKUP(B233,'02_TrayPack_Order'!$A$2:$A$264,'02_TrayPack_Order'!$L$2:$L$264,0)</f>
        <v/>
      </c>
      <c r="E232" s="175">
        <f>SUMIF('13_Progress_Track'!$A$2:$A$108,B233,'13_Progress_Track'!$E$2:$E$108)</f>
        <v/>
      </c>
      <c r="F232" s="175">
        <f>IF(E233&gt;(C233+D233),(E233-(C233+D233)),0)</f>
        <v/>
      </c>
      <c r="G232" s="177">
        <f>IF(F233&gt;0,0,C233+D233-E233)</f>
        <v/>
      </c>
      <c r="H232" s="148">
        <f>_xludf.IFNA(_xlfn.XLOOKUP(B233,'00_SKU_Master'!$B$2:$B$378,'00_SKU_Master'!$C$2:$C$378),"")</f>
        <v/>
      </c>
      <c r="I232" s="148" t="n"/>
      <c r="J232" s="14">
        <f>_xludf.IFNA(_xlfn.XLOOKUP(B233,'00_SKU_Master'!B$2:B$378,'00_SKU_Master'!H$2:H$378,0),"")</f>
        <v/>
      </c>
      <c r="K232" s="14">
        <f>_xludf.IFNA(_xlfn.XLOOKUP(B233,'00_SKU_Master'!B$2:B$378,'00_SKU_Master'!K$2:K$378,0),"")</f>
        <v/>
      </c>
      <c r="L232" s="148">
        <f>_xlfn.XLOOKUP(B233,'00_SKU_Master'!$B$2:$B$378,'00_SKU_Master'!D:D)</f>
        <v/>
      </c>
      <c r="M232" s="148">
        <f>IF((C233-E233)&lt;0,0,C233-E233)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_xlfn.XLOOKUP(B234,'02_TrayPack_Order'!$A$2:$A$264,'02_TrayPack_Order'!$C$2:$C$264)</f>
        <v/>
      </c>
      <c r="D233" s="176">
        <f>_xlfn.XLOOKUP(B234,'02_TrayPack_Order'!$A$2:$A$264,'02_TrayPack_Order'!$L$2:$L$264,0)</f>
        <v/>
      </c>
      <c r="E233" s="175">
        <f>SUMIF('13_Progress_Track'!$A$2:$A$108,B234,'13_Progress_Track'!$E$2:$E$108)</f>
        <v/>
      </c>
      <c r="F233" s="175">
        <f>IF(E234&gt;(C234+D234),(E234-(C234+D234)),0)</f>
        <v/>
      </c>
      <c r="G233" s="177">
        <f>IF(F234&gt;0,0,C234+D234-E234)</f>
        <v/>
      </c>
      <c r="H233" s="148">
        <f>_xludf.IFNA(_xlfn.XLOOKUP(B234,'00_SKU_Master'!$B$2:$B$378,'00_SKU_Master'!$C$2:$C$378),"")</f>
        <v/>
      </c>
      <c r="I233" s="148" t="n"/>
      <c r="J233" s="14">
        <f>_xludf.IFNA(_xlfn.XLOOKUP(B234,'00_SKU_Master'!B$2:B$378,'00_SKU_Master'!H$2:H$378,0),"")</f>
        <v/>
      </c>
      <c r="K233" s="14">
        <f>_xludf.IFNA(_xlfn.XLOOKUP(B234,'00_SKU_Master'!B$2:B$378,'00_SKU_Master'!K$2:K$378,0),"")</f>
        <v/>
      </c>
      <c r="L233" s="148">
        <f>_xlfn.XLOOKUP(B234,'00_SKU_Master'!$B$2:$B$378,'00_SKU_Master'!D:D)</f>
        <v/>
      </c>
      <c r="M233" s="148">
        <f>IF((C234-E234)&lt;0,0,C234-E234)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_xlfn.XLOOKUP(B235,'02_TrayPack_Order'!$A$2:$A$264,'02_TrayPack_Order'!$C$2:$C$264)</f>
        <v/>
      </c>
      <c r="D234" s="176">
        <f>_xlfn.XLOOKUP(B235,'02_TrayPack_Order'!$A$2:$A$264,'02_TrayPack_Order'!$L$2:$L$264,0)</f>
        <v/>
      </c>
      <c r="E234" s="175">
        <f>SUMIF('13_Progress_Track'!$A$2:$A$108,B235,'13_Progress_Track'!$E$2:$E$108)</f>
        <v/>
      </c>
      <c r="F234" s="175">
        <f>IF(E235&gt;(C235+D235),(E235-(C235+D235)),0)</f>
        <v/>
      </c>
      <c r="G234" s="177">
        <f>IF(F235&gt;0,0,C235+D235-E235)</f>
        <v/>
      </c>
      <c r="H234" s="148">
        <f>_xludf.IFNA(_xlfn.XLOOKUP(B235,'00_SKU_Master'!$B$2:$B$378,'00_SKU_Master'!$C$2:$C$378),"")</f>
        <v/>
      </c>
      <c r="I234" s="148" t="n"/>
      <c r="J234" s="14">
        <f>_xludf.IFNA(_xlfn.XLOOKUP(B235,'00_SKU_Master'!B$2:B$378,'00_SKU_Master'!H$2:H$378,0),"")</f>
        <v/>
      </c>
      <c r="K234" s="14">
        <f>_xludf.IFNA(_xlfn.XLOOKUP(B235,'00_SKU_Master'!B$2:B$378,'00_SKU_Master'!K$2:K$378,0),"")</f>
        <v/>
      </c>
      <c r="L234" s="148">
        <f>_xlfn.XLOOKUP(B235,'00_SKU_Master'!$B$2:$B$378,'00_SKU_Master'!D:D)</f>
        <v/>
      </c>
      <c r="M234" s="148">
        <f>IF((C235-E235)&lt;0,0,C235-E235)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_xlfn.XLOOKUP(B236,'02_TrayPack_Order'!$A$2:$A$264,'02_TrayPack_Order'!$C$2:$C$264)</f>
        <v/>
      </c>
      <c r="D235" s="176">
        <f>_xlfn.XLOOKUP(B236,'02_TrayPack_Order'!$A$2:$A$264,'02_TrayPack_Order'!$L$2:$L$264,0)</f>
        <v/>
      </c>
      <c r="E235" s="175">
        <f>SUMIF('13_Progress_Track'!$A$2:$A$108,B236,'13_Progress_Track'!$E$2:$E$108)</f>
        <v/>
      </c>
      <c r="F235" s="175">
        <f>IF(E236&gt;(C236+D236),(E236-(C236+D236)),0)</f>
        <v/>
      </c>
      <c r="G235" s="177">
        <f>IF(F236&gt;0,0,C236+D236-E236)</f>
        <v/>
      </c>
      <c r="H235" s="148">
        <f>_xludf.IFNA(_xlfn.XLOOKUP(B236,'00_SKU_Master'!$B$2:$B$378,'00_SKU_Master'!$C$2:$C$378),"")</f>
        <v/>
      </c>
      <c r="I235" s="148" t="n"/>
      <c r="J235" s="14">
        <f>_xludf.IFNA(_xlfn.XLOOKUP(B236,'00_SKU_Master'!B$2:B$378,'00_SKU_Master'!H$2:H$378,0),"")</f>
        <v/>
      </c>
      <c r="K235" s="14">
        <f>_xludf.IFNA(_xlfn.XLOOKUP(B236,'00_SKU_Master'!B$2:B$378,'00_SKU_Master'!K$2:K$378,0),"")</f>
        <v/>
      </c>
      <c r="L235" s="148">
        <f>_xlfn.XLOOKUP(B236,'00_SKU_Master'!$B$2:$B$378,'00_SKU_Master'!D:D)</f>
        <v/>
      </c>
      <c r="M235" s="148">
        <f>IF((C236-E236)&lt;0,0,C236-E236)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_xlfn.XLOOKUP(B237,'02_TrayPack_Order'!$A$2:$A$264,'02_TrayPack_Order'!$C$2:$C$264)</f>
        <v/>
      </c>
      <c r="D236" s="176">
        <f>_xlfn.XLOOKUP(B237,'02_TrayPack_Order'!$A$2:$A$264,'02_TrayPack_Order'!$L$2:$L$264,0)</f>
        <v/>
      </c>
      <c r="E236" s="175">
        <f>SUMIF('13_Progress_Track'!$A$2:$A$108,B237,'13_Progress_Track'!$E$2:$E$108)</f>
        <v/>
      </c>
      <c r="F236" s="175">
        <f>IF(E237&gt;(C237+D237),(E237-(C237+D237)),0)</f>
        <v/>
      </c>
      <c r="G236" s="177">
        <f>IF(F237&gt;0,0,C237+D237-E237)</f>
        <v/>
      </c>
      <c r="H236" s="148">
        <f>_xludf.IFNA(_xlfn.XLOOKUP(B237,'00_SKU_Master'!$B$2:$B$378,'00_SKU_Master'!$C$2:$C$378),"")</f>
        <v/>
      </c>
      <c r="I236" s="148" t="n"/>
      <c r="J236" s="14">
        <f>_xludf.IFNA(_xlfn.XLOOKUP(B237,'00_SKU_Master'!B$2:B$378,'00_SKU_Master'!H$2:H$378,0),"")</f>
        <v/>
      </c>
      <c r="K236" s="14">
        <f>_xludf.IFNA(_xlfn.XLOOKUP(B237,'00_SKU_Master'!B$2:B$378,'00_SKU_Master'!K$2:K$378,0),"")</f>
        <v/>
      </c>
      <c r="L236" s="148">
        <f>_xlfn.XLOOKUP(B237,'00_SKU_Master'!$B$2:$B$378,'00_SKU_Master'!D:D)</f>
        <v/>
      </c>
      <c r="M236" s="148">
        <f>IF((C237-E237)&lt;0,0,C237-E237)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_xlfn.XLOOKUP(B238,'02_TrayPack_Order'!$A$2:$A$264,'02_TrayPack_Order'!$C$2:$C$264)</f>
        <v/>
      </c>
      <c r="D237" s="176">
        <f>_xlfn.XLOOKUP(B238,'02_TrayPack_Order'!$A$2:$A$264,'02_TrayPack_Order'!$L$2:$L$264,0)</f>
        <v/>
      </c>
      <c r="E237" s="175">
        <f>SUMIF('13_Progress_Track'!$A$2:$A$108,B238,'13_Progress_Track'!$E$2:$E$108)</f>
        <v/>
      </c>
      <c r="F237" s="175">
        <f>IF(E238&gt;(C238+D238),(E238-(C238+D238)),0)</f>
        <v/>
      </c>
      <c r="G237" s="177">
        <f>IF(F238&gt;0,0,C238+D238-E238)</f>
        <v/>
      </c>
      <c r="H237" s="148">
        <f>_xludf.IFNA(_xlfn.XLOOKUP(B238,'00_SKU_Master'!$B$2:$B$378,'00_SKU_Master'!$C$2:$C$378),"")</f>
        <v/>
      </c>
      <c r="I237" s="148" t="n"/>
      <c r="J237" s="14">
        <f>_xludf.IFNA(_xlfn.XLOOKUP(B238,'00_SKU_Master'!B$2:B$378,'00_SKU_Master'!H$2:H$378,0),"")</f>
        <v/>
      </c>
      <c r="K237" s="14">
        <f>_xludf.IFNA(_xlfn.XLOOKUP(B238,'00_SKU_Master'!B$2:B$378,'00_SKU_Master'!K$2:K$378,0),"")</f>
        <v/>
      </c>
      <c r="L237" s="148">
        <f>_xlfn.XLOOKUP(B238,'00_SKU_Master'!$B$2:$B$378,'00_SKU_Master'!D:D)</f>
        <v/>
      </c>
      <c r="M237" s="148">
        <f>IF((C238-E238)&lt;0,0,C238-E238)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_xlfn.XLOOKUP(B239,'02_TrayPack_Order'!$A$2:$A$264,'02_TrayPack_Order'!$C$2:$C$264)</f>
        <v/>
      </c>
      <c r="D238" s="176">
        <f>_xlfn.XLOOKUP(B239,'02_TrayPack_Order'!$A$2:$A$264,'02_TrayPack_Order'!$L$2:$L$264,0)</f>
        <v/>
      </c>
      <c r="E238" s="175">
        <f>SUMIF('13_Progress_Track'!$A$2:$A$108,B239,'13_Progress_Track'!$E$2:$E$108)</f>
        <v/>
      </c>
      <c r="F238" s="175">
        <f>IF(E239&gt;(C239+D239),(E239-(C239+D239)),0)</f>
        <v/>
      </c>
      <c r="G238" s="177">
        <f>IF(F239&gt;0,0,C239+D239-E239)</f>
        <v/>
      </c>
      <c r="H238" s="148">
        <f>_xludf.IFNA(_xlfn.XLOOKUP(B239,'00_SKU_Master'!$B$2:$B$378,'00_SKU_Master'!$C$2:$C$378),"")</f>
        <v/>
      </c>
      <c r="I238" s="148" t="n"/>
      <c r="J238" s="14">
        <f>_xludf.IFNA(_xlfn.XLOOKUP(B239,'00_SKU_Master'!B$2:B$378,'00_SKU_Master'!H$2:H$378,0),"")</f>
        <v/>
      </c>
      <c r="K238" s="14">
        <f>_xludf.IFNA(_xlfn.XLOOKUP(B239,'00_SKU_Master'!B$2:B$378,'00_SKU_Master'!K$2:K$378,0),"")</f>
        <v/>
      </c>
      <c r="L238" s="148">
        <f>_xlfn.XLOOKUP(B239,'00_SKU_Master'!$B$2:$B$378,'00_SKU_Master'!D:D)</f>
        <v/>
      </c>
      <c r="M238" s="148">
        <f>IF((C239-E239)&lt;0,0,C239-E239)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_xlfn.XLOOKUP(B240,'02_TrayPack_Order'!$A$2:$A$264,'02_TrayPack_Order'!$C$2:$C$264)</f>
        <v/>
      </c>
      <c r="D239" s="176">
        <f>_xlfn.XLOOKUP(B240,'02_TrayPack_Order'!$A$2:$A$264,'02_TrayPack_Order'!$L$2:$L$264,0)</f>
        <v/>
      </c>
      <c r="E239" s="175">
        <f>SUMIF('13_Progress_Track'!$A$2:$A$108,B240,'13_Progress_Track'!$E$2:$E$108)</f>
        <v/>
      </c>
      <c r="F239" s="175">
        <f>IF(E240&gt;(C240+D240),(E240-(C240+D240)),0)</f>
        <v/>
      </c>
      <c r="G239" s="177">
        <f>IF(F240&gt;0,0,C240+D240-E240)</f>
        <v/>
      </c>
      <c r="H239" s="148">
        <f>_xludf.IFNA(_xlfn.XLOOKUP(B240,'00_SKU_Master'!$B$2:$B$378,'00_SKU_Master'!$C$2:$C$378),"")</f>
        <v/>
      </c>
      <c r="I239" s="148" t="n"/>
      <c r="J239" s="14">
        <f>_xludf.IFNA(_xlfn.XLOOKUP(B240,'00_SKU_Master'!B$2:B$378,'00_SKU_Master'!H$2:H$378,0),"")</f>
        <v/>
      </c>
      <c r="K239" s="14">
        <f>_xludf.IFNA(_xlfn.XLOOKUP(B240,'00_SKU_Master'!B$2:B$378,'00_SKU_Master'!K$2:K$378,0),"")</f>
        <v/>
      </c>
      <c r="L239" s="148">
        <f>_xlfn.XLOOKUP(B240,'00_SKU_Master'!$B$2:$B$378,'00_SKU_Master'!D:D)</f>
        <v/>
      </c>
      <c r="M239" s="148">
        <f>IF((C240-E240)&lt;0,0,C240-E240)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_xlfn.XLOOKUP(B241,'02_TrayPack_Order'!$A$2:$A$264,'02_TrayPack_Order'!$C$2:$C$264)</f>
        <v/>
      </c>
      <c r="D240" s="176">
        <f>_xlfn.XLOOKUP(B241,'02_TrayPack_Order'!$A$2:$A$264,'02_TrayPack_Order'!$L$2:$L$264,0)</f>
        <v/>
      </c>
      <c r="E240" s="175">
        <f>SUMIF('13_Progress_Track'!$A$2:$A$108,B241,'13_Progress_Track'!$E$2:$E$108)</f>
        <v/>
      </c>
      <c r="F240" s="175">
        <f>IF(E241&gt;(C241+D241),(E241-(C241+D241)),0)</f>
        <v/>
      </c>
      <c r="G240" s="177">
        <f>IF(F241&gt;0,0,C241+D241-E241)</f>
        <v/>
      </c>
      <c r="H240" s="148">
        <f>_xludf.IFNA(_xlfn.XLOOKUP(B241,'00_SKU_Master'!$B$2:$B$378,'00_SKU_Master'!$C$2:$C$378),"")</f>
        <v/>
      </c>
      <c r="I240" s="148" t="n"/>
      <c r="J240" s="14">
        <f>_xludf.IFNA(_xlfn.XLOOKUP(B241,'00_SKU_Master'!B$2:B$378,'00_SKU_Master'!H$2:H$378,0),"")</f>
        <v/>
      </c>
      <c r="K240" s="14">
        <f>_xludf.IFNA(_xlfn.XLOOKUP(B241,'00_SKU_Master'!B$2:B$378,'00_SKU_Master'!K$2:K$378,0),"")</f>
        <v/>
      </c>
      <c r="L240" s="148">
        <f>_xlfn.XLOOKUP(B241,'00_SKU_Master'!$B$2:$B$378,'00_SKU_Master'!D:D)</f>
        <v/>
      </c>
      <c r="M240" s="148">
        <f>IF((C241-E241)&lt;0,0,C241-E241)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_xlfn.XLOOKUP(B242,'02_TrayPack_Order'!$A$2:$A$264,'02_TrayPack_Order'!$C$2:$C$264)</f>
        <v/>
      </c>
      <c r="D241" s="176">
        <f>_xlfn.XLOOKUP(B242,'02_TrayPack_Order'!$A$2:$A$264,'02_TrayPack_Order'!$L$2:$L$264,0)</f>
        <v/>
      </c>
      <c r="E241" s="175">
        <f>SUMIF('13_Progress_Track'!$A$2:$A$108,B242,'13_Progress_Track'!$E$2:$E$108)</f>
        <v/>
      </c>
      <c r="F241" s="175">
        <f>IF(E242&gt;(C242+D242),(E242-(C242+D242)),0)</f>
        <v/>
      </c>
      <c r="G241" s="177">
        <f>IF(F242&gt;0,0,C242+D242-E242)</f>
        <v/>
      </c>
      <c r="H241" s="148">
        <f>_xludf.IFNA(_xlfn.XLOOKUP(B242,'00_SKU_Master'!$B$2:$B$378,'00_SKU_Master'!$C$2:$C$378),"")</f>
        <v/>
      </c>
      <c r="I241" s="148" t="n"/>
      <c r="J241" s="14">
        <f>_xludf.IFNA(_xlfn.XLOOKUP(B242,'00_SKU_Master'!B$2:B$378,'00_SKU_Master'!H$2:H$378,0),"")</f>
        <v/>
      </c>
      <c r="K241" s="14">
        <f>_xludf.IFNA(_xlfn.XLOOKUP(B242,'00_SKU_Master'!B$2:B$378,'00_SKU_Master'!K$2:K$378,0),"")</f>
        <v/>
      </c>
      <c r="L241" s="148">
        <f>_xlfn.XLOOKUP(B242,'00_SKU_Master'!$B$2:$B$378,'00_SKU_Master'!D:D)</f>
        <v/>
      </c>
      <c r="M241" s="148">
        <f>IF((C242-E242)&lt;0,0,C242-E242)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_xlfn.XLOOKUP(B243,'02_TrayPack_Order'!$A$2:$A$264,'02_TrayPack_Order'!$C$2:$C$264)</f>
        <v/>
      </c>
      <c r="D242" s="176">
        <f>_xlfn.XLOOKUP(B243,'02_TrayPack_Order'!$A$2:$A$264,'02_TrayPack_Order'!$L$2:$L$264,0)</f>
        <v/>
      </c>
      <c r="E242" s="175">
        <f>SUMIF('13_Progress_Track'!$A$2:$A$108,B243,'13_Progress_Track'!$E$2:$E$108)</f>
        <v/>
      </c>
      <c r="F242" s="175">
        <f>IF(E243&gt;(C243+D243),(E243-(C243+D243)),0)</f>
        <v/>
      </c>
      <c r="G242" s="177">
        <f>IF(F243&gt;0,0,C243+D243-E243)</f>
        <v/>
      </c>
      <c r="H242" s="148">
        <f>_xludf.IFNA(_xlfn.XLOOKUP(B243,'00_SKU_Master'!$B$2:$B$378,'00_SKU_Master'!$C$2:$C$378),"")</f>
        <v/>
      </c>
      <c r="I242" s="148" t="n"/>
      <c r="J242" s="14">
        <f>_xludf.IFNA(_xlfn.XLOOKUP(B243,'00_SKU_Master'!B$2:B$378,'00_SKU_Master'!H$2:H$378,0),"")</f>
        <v/>
      </c>
      <c r="K242" s="14">
        <f>_xludf.IFNA(_xlfn.XLOOKUP(B243,'00_SKU_Master'!B$2:B$378,'00_SKU_Master'!K$2:K$378,0),"")</f>
        <v/>
      </c>
      <c r="L242" s="148">
        <f>_xlfn.XLOOKUP(B243,'00_SKU_Master'!$B$2:$B$378,'00_SKU_Master'!D:D)</f>
        <v/>
      </c>
      <c r="M242" s="148">
        <f>IF((C243-E243)&lt;0,0,C243-E243)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_xlfn.XLOOKUP(B244,'02_TrayPack_Order'!$A$2:$A$264,'02_TrayPack_Order'!$C$2:$C$264)</f>
        <v/>
      </c>
      <c r="D243" s="176">
        <f>_xlfn.XLOOKUP(B244,'02_TrayPack_Order'!$A$2:$A$264,'02_TrayPack_Order'!$L$2:$L$264,0)</f>
        <v/>
      </c>
      <c r="E243" s="175">
        <f>SUMIF('13_Progress_Track'!$A$2:$A$108,B244,'13_Progress_Track'!$E$2:$E$108)</f>
        <v/>
      </c>
      <c r="F243" s="175">
        <f>IF(E244&gt;(C244+D244),(E244-(C244+D244)),0)</f>
        <v/>
      </c>
      <c r="G243" s="177">
        <f>IF(F244&gt;0,0,C244+D244-E244)</f>
        <v/>
      </c>
      <c r="H243" s="148">
        <f>_xludf.IFNA(_xlfn.XLOOKUP(B244,'00_SKU_Master'!$B$2:$B$378,'00_SKU_Master'!$C$2:$C$378),"")</f>
        <v/>
      </c>
      <c r="I243" s="179" t="n"/>
      <c r="J243" s="14">
        <f>_xludf.IFNA(_xlfn.XLOOKUP(B244,'00_SKU_Master'!B$2:B$378,'00_SKU_Master'!H$2:H$378,0),"")</f>
        <v/>
      </c>
      <c r="K243" s="14">
        <f>_xludf.IFNA(_xlfn.XLOOKUP(B244,'00_SKU_Master'!B$2:B$378,'00_SKU_Master'!K$2:K$378,0),"")</f>
        <v/>
      </c>
      <c r="L243" s="148">
        <f>_xlfn.XLOOKUP(B244,'00_SKU_Master'!$B$2:$B$378,'00_SKU_Master'!D:D)</f>
        <v/>
      </c>
      <c r="M243" s="148">
        <f>IF((C244-E244)&lt;0,0,C244-E244)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_xlfn.XLOOKUP(B245,'02_TrayPack_Order'!$A$2:$A$264,'02_TrayPack_Order'!$C$2:$C$264)</f>
        <v/>
      </c>
      <c r="D244" s="176">
        <f>_xlfn.XLOOKUP(B245,'02_TrayPack_Order'!$A$2:$A$264,'02_TrayPack_Order'!$L$2:$L$264,0)</f>
        <v/>
      </c>
      <c r="E244" s="175">
        <f>SUMIF('13_Progress_Track'!$A$2:$A$108,B245,'13_Progress_Track'!$E$2:$E$108)</f>
        <v/>
      </c>
      <c r="F244" s="175">
        <f>IF(E245&gt;(C245+D245),(E245-(C245+D245)),0)</f>
        <v/>
      </c>
      <c r="G244" s="177">
        <f>IF(F245&gt;0,0,C245+D245-E245)</f>
        <v/>
      </c>
      <c r="H244" s="148">
        <f>_xludf.IFNA(_xlfn.XLOOKUP(B245,'00_SKU_Master'!$B$2:$B$378,'00_SKU_Master'!$C$2:$C$378),"")</f>
        <v/>
      </c>
      <c r="I244" s="179" t="n"/>
      <c r="J244" s="14">
        <f>_xludf.IFNA(_xlfn.XLOOKUP(B245,'00_SKU_Master'!B$2:B$378,'00_SKU_Master'!H$2:H$378,0),"")</f>
        <v/>
      </c>
      <c r="K244" s="14">
        <f>_xludf.IFNA(_xlfn.XLOOKUP(B245,'00_SKU_Master'!B$2:B$378,'00_SKU_Master'!K$2:K$378,0),"")</f>
        <v/>
      </c>
      <c r="L244" s="148">
        <f>_xlfn.XLOOKUP(B245,'00_SKU_Master'!$B$2:$B$378,'00_SKU_Master'!D:D)</f>
        <v/>
      </c>
      <c r="M244" s="148">
        <f>IF((C245-E245)&lt;0,0,C245-E245)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_xlfn.XLOOKUP(B246,'02_TrayPack_Order'!$A$2:$A$264,'02_TrayPack_Order'!$C$2:$C$264)</f>
        <v/>
      </c>
      <c r="D245" s="176">
        <f>_xlfn.XLOOKUP(B246,'02_TrayPack_Order'!$A$2:$A$264,'02_TrayPack_Order'!$L$2:$L$264,0)</f>
        <v/>
      </c>
      <c r="E245" s="175">
        <f>SUMIF('13_Progress_Track'!$A$2:$A$108,B246,'13_Progress_Track'!$E$2:$E$108)</f>
        <v/>
      </c>
      <c r="F245" s="175">
        <f>IF(E246&gt;(C246+D246),(E246-(C246+D246)),0)</f>
        <v/>
      </c>
      <c r="G245" s="177">
        <f>IF(F246&gt;0,0,C246+D246-E246)</f>
        <v/>
      </c>
      <c r="H245" s="148">
        <f>_xludf.IFNA(_xlfn.XLOOKUP(B246,'00_SKU_Master'!$B$2:$B$378,'00_SKU_Master'!$C$2:$C$378),"")</f>
        <v/>
      </c>
      <c r="I245" s="179" t="n"/>
      <c r="J245" s="14">
        <f>_xludf.IFNA(_xlfn.XLOOKUP(B246,'00_SKU_Master'!B$2:B$378,'00_SKU_Master'!H$2:H$378,0),"")</f>
        <v/>
      </c>
      <c r="K245" s="14">
        <f>_xludf.IFNA(_xlfn.XLOOKUP(B246,'00_SKU_Master'!B$2:B$378,'00_SKU_Master'!K$2:K$378,0),"")</f>
        <v/>
      </c>
      <c r="L245" s="148">
        <f>_xlfn.XLOOKUP(B246,'00_SKU_Master'!$B$2:$B$378,'00_SKU_Master'!D:D)</f>
        <v/>
      </c>
      <c r="M245" s="148">
        <f>IF((C246-E246)&lt;0,0,C246-E246)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_xlfn.XLOOKUP(B247,'02_TrayPack_Order'!$A$2:$A$264,'02_TrayPack_Order'!$C$2:$C$264)</f>
        <v/>
      </c>
      <c r="D246" s="176">
        <f>_xlfn.XLOOKUP(B247,'02_TrayPack_Order'!$A$2:$A$264,'02_TrayPack_Order'!$L$2:$L$264,0)</f>
        <v/>
      </c>
      <c r="E246" s="175">
        <f>SUMIF('13_Progress_Track'!$A$2:$A$108,B247,'13_Progress_Track'!$E$2:$E$108)</f>
        <v/>
      </c>
      <c r="F246" s="175">
        <f>IF(E247&gt;(C247+D247),(E247-(C247+D247)),0)</f>
        <v/>
      </c>
      <c r="G246" s="177">
        <f>IF(F247&gt;0,0,C247+D247-E247)</f>
        <v/>
      </c>
      <c r="H246" s="148">
        <f>_xludf.IFNA(_xlfn.XLOOKUP(B247,'00_SKU_Master'!$B$2:$B$378,'00_SKU_Master'!$C$2:$C$378),"")</f>
        <v/>
      </c>
      <c r="I246" s="179" t="n"/>
      <c r="J246" s="14">
        <f>_xludf.IFNA(_xlfn.XLOOKUP(B247,'00_SKU_Master'!B$2:B$378,'00_SKU_Master'!H$2:H$378,0),"")</f>
        <v/>
      </c>
      <c r="K246" s="14">
        <f>_xludf.IFNA(_xlfn.XLOOKUP(B247,'00_SKU_Master'!B$2:B$378,'00_SKU_Master'!K$2:K$378,0),"")</f>
        <v/>
      </c>
      <c r="L246" s="148">
        <f>_xlfn.XLOOKUP(B247,'00_SKU_Master'!$B$2:$B$378,'00_SKU_Master'!D:D)</f>
        <v/>
      </c>
      <c r="M246" s="148">
        <f>IF((C247-E247)&lt;0,0,C247-E247)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_xlfn.XLOOKUP(B248,'02_TrayPack_Order'!$A$2:$A$264,'02_TrayPack_Order'!$C$2:$C$264)</f>
        <v/>
      </c>
      <c r="D247" s="176">
        <f>_xlfn.XLOOKUP(B248,'02_TrayPack_Order'!$A$2:$A$264,'02_TrayPack_Order'!$L$2:$L$264,0)</f>
        <v/>
      </c>
      <c r="E247" s="175">
        <f>SUMIF('13_Progress_Track'!$A$2:$A$108,B248,'13_Progress_Track'!$E$2:$E$108)</f>
        <v/>
      </c>
      <c r="F247" s="175">
        <f>IF(E248&gt;(C248+D248),(E248-(C248+D248)),0)</f>
        <v/>
      </c>
      <c r="G247" s="177">
        <f>IF(F248&gt;0,0,C248+D248-E248)</f>
        <v/>
      </c>
      <c r="H247" s="148">
        <f>_xludf.IFNA(_xlfn.XLOOKUP(B248,'00_SKU_Master'!$B$2:$B$378,'00_SKU_Master'!$C$2:$C$378),"")</f>
        <v/>
      </c>
      <c r="I247" s="179" t="n"/>
      <c r="J247" s="14">
        <f>_xludf.IFNA(_xlfn.XLOOKUP(B248,'00_SKU_Master'!B$2:B$378,'00_SKU_Master'!H$2:H$378,0),"")</f>
        <v/>
      </c>
      <c r="K247" s="14">
        <f>_xludf.IFNA(_xlfn.XLOOKUP(B248,'00_SKU_Master'!B$2:B$378,'00_SKU_Master'!K$2:K$378,0),"")</f>
        <v/>
      </c>
      <c r="L247" s="148">
        <f>_xlfn.XLOOKUP(B248,'00_SKU_Master'!$B$2:$B$378,'00_SKU_Master'!D:D)</f>
        <v/>
      </c>
      <c r="M247" s="148">
        <f>IF((C248-E248)&lt;0,0,C248-E248)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_xlfn.XLOOKUP(B249,'02_TrayPack_Order'!$A$2:$A$264,'02_TrayPack_Order'!$C$2:$C$264)</f>
        <v/>
      </c>
      <c r="D248" s="176">
        <f>_xlfn.XLOOKUP(B249,'02_TrayPack_Order'!$A$2:$A$264,'02_TrayPack_Order'!$L$2:$L$264,0)</f>
        <v/>
      </c>
      <c r="E248" s="175">
        <f>SUMIF('13_Progress_Track'!$A$2:$A$108,B249,'13_Progress_Track'!$E$2:$E$108)</f>
        <v/>
      </c>
      <c r="F248" s="175">
        <f>IF(E249&gt;(C249+D249),(E249-(C249+D249)),0)</f>
        <v/>
      </c>
      <c r="G248" s="177">
        <f>IF(F249&gt;0,0,C249+D249-E249)</f>
        <v/>
      </c>
      <c r="H248" s="148">
        <f>_xludf.IFNA(_xlfn.XLOOKUP(B249,'00_SKU_Master'!$B$2:$B$378,'00_SKU_Master'!$C$2:$C$378),"")</f>
        <v/>
      </c>
      <c r="I248" s="179" t="n"/>
      <c r="J248" s="14">
        <f>_xludf.IFNA(_xlfn.XLOOKUP(B249,'00_SKU_Master'!B$2:B$378,'00_SKU_Master'!H$2:H$378,0),"")</f>
        <v/>
      </c>
      <c r="K248" s="14">
        <f>_xludf.IFNA(_xlfn.XLOOKUP(B249,'00_SKU_Master'!B$2:B$378,'00_SKU_Master'!K$2:K$378,0),"")</f>
        <v/>
      </c>
      <c r="L248" s="148">
        <f>_xlfn.XLOOKUP(B249,'00_SKU_Master'!$B$2:$B$378,'00_SKU_Master'!D:D)</f>
        <v/>
      </c>
      <c r="M248" s="148">
        <f>IF((C249-E249)&lt;0,0,C249-E249)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_xlfn.XLOOKUP(B250,'02_TrayPack_Order'!$A$2:$A$264,'02_TrayPack_Order'!$C$2:$C$264)</f>
        <v/>
      </c>
      <c r="D249" s="176">
        <f>_xlfn.XLOOKUP(B250,'02_TrayPack_Order'!$A$2:$A$264,'02_TrayPack_Order'!$L$2:$L$264,0)</f>
        <v/>
      </c>
      <c r="E249" s="175">
        <f>SUMIF('13_Progress_Track'!$A$2:$A$108,B250,'13_Progress_Track'!$E$2:$E$108)</f>
        <v/>
      </c>
      <c r="F249" s="175">
        <f>IF(E250&gt;(C250+D250),(E250-(C250+D250)),0)</f>
        <v/>
      </c>
      <c r="G249" s="177">
        <f>IF(F250&gt;0,0,C250+D250-E250)</f>
        <v/>
      </c>
      <c r="H249" s="148">
        <f>_xludf.IFNA(_xlfn.XLOOKUP(B250,'00_SKU_Master'!$B$2:$B$378,'00_SKU_Master'!$C$2:$C$378),"")</f>
        <v/>
      </c>
      <c r="I249" s="179" t="n"/>
      <c r="J249" s="14">
        <f>_xludf.IFNA(_xlfn.XLOOKUP(B250,'00_SKU_Master'!B$2:B$378,'00_SKU_Master'!H$2:H$378,0),"")</f>
        <v/>
      </c>
      <c r="K249" s="14">
        <f>_xludf.IFNA(_xlfn.XLOOKUP(B250,'00_SKU_Master'!B$2:B$378,'00_SKU_Master'!K$2:K$378,0),"")</f>
        <v/>
      </c>
      <c r="L249" s="148">
        <f>_xlfn.XLOOKUP(B250,'00_SKU_Master'!$B$2:$B$378,'00_SKU_Master'!D:D)</f>
        <v/>
      </c>
      <c r="M249" s="148">
        <f>IF((C250-E250)&lt;0,0,C250-E250)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_xlfn.XLOOKUP(B251,'02_TrayPack_Order'!$A$2:$A$264,'02_TrayPack_Order'!$C$2:$C$264)</f>
        <v/>
      </c>
      <c r="D250" s="176">
        <f>_xlfn.XLOOKUP(B251,'02_TrayPack_Order'!$A$2:$A$264,'02_TrayPack_Order'!$L$2:$L$264,0)</f>
        <v/>
      </c>
      <c r="E250" s="175">
        <f>SUMIF('13_Progress_Track'!$A$2:$A$108,B251,'13_Progress_Track'!$E$2:$E$108)</f>
        <v/>
      </c>
      <c r="F250" s="175">
        <f>IF(E251&gt;(C251+D251),(E251-(C251+D251)),0)</f>
        <v/>
      </c>
      <c r="G250" s="177">
        <f>IF(F251&gt;0,0,C251+D251-E251)</f>
        <v/>
      </c>
      <c r="H250" s="148">
        <f>_xludf.IFNA(_xlfn.XLOOKUP(B251,'00_SKU_Master'!$B$2:$B$378,'00_SKU_Master'!$C$2:$C$378),"")</f>
        <v/>
      </c>
      <c r="I250" s="179" t="n"/>
      <c r="J250" s="14">
        <f>_xludf.IFNA(_xlfn.XLOOKUP(B251,'00_SKU_Master'!B$2:B$378,'00_SKU_Master'!H$2:H$378,0),"")</f>
        <v/>
      </c>
      <c r="K250" s="14">
        <f>_xludf.IFNA(_xlfn.XLOOKUP(B251,'00_SKU_Master'!B$2:B$378,'00_SKU_Master'!K$2:K$378,0),"")</f>
        <v/>
      </c>
      <c r="L250" s="148">
        <f>_xlfn.XLOOKUP(B251,'00_SKU_Master'!$B$2:$B$378,'00_SKU_Master'!D:D)</f>
        <v/>
      </c>
      <c r="M250" s="148">
        <f>IF((C251-E251)&lt;0,0,C251-E251)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_xlfn.XLOOKUP(B252,'02_TrayPack_Order'!$A$2:$A$264,'02_TrayPack_Order'!$C$2:$C$264)</f>
        <v/>
      </c>
      <c r="D251" s="176">
        <f>_xlfn.XLOOKUP(B252,'02_TrayPack_Order'!$A$2:$A$264,'02_TrayPack_Order'!$L$2:$L$264,0)</f>
        <v/>
      </c>
      <c r="E251" s="175">
        <f>SUMIF('13_Progress_Track'!$A$2:$A$108,B252,'13_Progress_Track'!$E$2:$E$108)</f>
        <v/>
      </c>
      <c r="F251" s="175">
        <f>IF(E252&gt;(C252+D252),(E252-(C252+D252)),0)</f>
        <v/>
      </c>
      <c r="G251" s="177">
        <f>IF(F252&gt;0,0,C252+D252-E252)</f>
        <v/>
      </c>
      <c r="H251" s="148">
        <f>_xludf.IFNA(_xlfn.XLOOKUP(B252,'00_SKU_Master'!$B$2:$B$378,'00_SKU_Master'!$C$2:$C$378),"")</f>
        <v/>
      </c>
      <c r="I251" s="179" t="n"/>
      <c r="J251" s="14">
        <f>_xludf.IFNA(_xlfn.XLOOKUP(B252,'00_SKU_Master'!B$2:B$378,'00_SKU_Master'!H$2:H$378,0),"")</f>
        <v/>
      </c>
      <c r="K251" s="14">
        <f>_xludf.IFNA(_xlfn.XLOOKUP(B252,'00_SKU_Master'!B$2:B$378,'00_SKU_Master'!K$2:K$378,0),"")</f>
        <v/>
      </c>
      <c r="L251" s="148">
        <f>_xlfn.XLOOKUP(B252,'00_SKU_Master'!$B$2:$B$378,'00_SKU_Master'!D:D)</f>
        <v/>
      </c>
      <c r="M251" s="148">
        <f>IF((C252-E252)&lt;0,0,C252-E252)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_xlfn.XLOOKUP(B253,'02_TrayPack_Order'!$A$2:$A$264,'02_TrayPack_Order'!$C$2:$C$264)</f>
        <v/>
      </c>
      <c r="D252" s="176">
        <f>_xlfn.XLOOKUP(B253,'02_TrayPack_Order'!$A$2:$A$264,'02_TrayPack_Order'!$L$2:$L$264,0)</f>
        <v/>
      </c>
      <c r="E252" s="175">
        <f>SUMIF('13_Progress_Track'!$A$2:$A$108,B253,'13_Progress_Track'!$E$2:$E$108)</f>
        <v/>
      </c>
      <c r="F252" s="175">
        <f>IF(E253&gt;(C253+D253),(E253-(C253+D253)),0)</f>
        <v/>
      </c>
      <c r="G252" s="177">
        <f>IF(F253&gt;0,0,C253+D253-E253)</f>
        <v/>
      </c>
      <c r="H252" s="148">
        <f>_xludf.IFNA(_xlfn.XLOOKUP(B253,'00_SKU_Master'!$B$2:$B$378,'00_SKU_Master'!$C$2:$C$378),"")</f>
        <v/>
      </c>
      <c r="I252" s="179" t="n"/>
      <c r="J252" s="14">
        <f>_xludf.IFNA(_xlfn.XLOOKUP(B253,'00_SKU_Master'!B$2:B$378,'00_SKU_Master'!H$2:H$378,0),"")</f>
        <v/>
      </c>
      <c r="K252" s="14">
        <f>_xludf.IFNA(_xlfn.XLOOKUP(B253,'00_SKU_Master'!B$2:B$378,'00_SKU_Master'!K$2:K$378,0),"")</f>
        <v/>
      </c>
      <c r="L252" s="148">
        <f>_xlfn.XLOOKUP(B253,'00_SKU_Master'!$B$2:$B$378,'00_SKU_Master'!D:D)</f>
        <v/>
      </c>
      <c r="M252" s="148">
        <f>IF((C253-E253)&lt;0,0,C253-E253)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_xlfn.XLOOKUP(B254,'02_TrayPack_Order'!$A$2:$A$264,'02_TrayPack_Order'!$C$2:$C$264)</f>
        <v/>
      </c>
      <c r="D253" s="176">
        <f>_xlfn.XLOOKUP(B254,'02_TrayPack_Order'!$A$2:$A$264,'02_TrayPack_Order'!$L$2:$L$264,0)</f>
        <v/>
      </c>
      <c r="E253" s="175">
        <f>SUMIF('13_Progress_Track'!$A$2:$A$108,B254,'13_Progress_Track'!$E$2:$E$108)</f>
        <v/>
      </c>
      <c r="F253" s="175">
        <f>IF(E254&gt;(C254+D254),(E254-(C254+D254)),0)</f>
        <v/>
      </c>
      <c r="G253" s="177">
        <f>IF(F254&gt;0,0,C254+D254-E254)</f>
        <v/>
      </c>
      <c r="H253" s="148">
        <f>_xludf.IFNA(_xlfn.XLOOKUP(B254,'00_SKU_Master'!$B$2:$B$378,'00_SKU_Master'!$C$2:$C$378),"")</f>
        <v/>
      </c>
      <c r="I253" s="179" t="n"/>
      <c r="J253" s="14">
        <f>_xludf.IFNA(_xlfn.XLOOKUP(B254,'00_SKU_Master'!B$2:B$378,'00_SKU_Master'!H$2:H$378,0),"")</f>
        <v/>
      </c>
      <c r="K253" s="14">
        <f>_xludf.IFNA(_xlfn.XLOOKUP(B254,'00_SKU_Master'!B$2:B$378,'00_SKU_Master'!K$2:K$378,0),"")</f>
        <v/>
      </c>
      <c r="L253" s="148">
        <f>_xlfn.XLOOKUP(B254,'00_SKU_Master'!$B$2:$B$378,'00_SKU_Master'!D:D)</f>
        <v/>
      </c>
      <c r="M253" s="148">
        <f>IF((C254-E254)&lt;0,0,C254-E254)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_xlfn.XLOOKUP(B255,'02_TrayPack_Order'!$A$2:$A$264,'02_TrayPack_Order'!$C$2:$C$264)</f>
        <v/>
      </c>
      <c r="D254" s="176">
        <f>_xlfn.XLOOKUP(B255,'02_TrayPack_Order'!$A$2:$A$264,'02_TrayPack_Order'!$L$2:$L$264,0)</f>
        <v/>
      </c>
      <c r="E254" s="175">
        <f>SUMIF('13_Progress_Track'!$A$2:$A$108,B255,'13_Progress_Track'!$E$2:$E$108)</f>
        <v/>
      </c>
      <c r="F254" s="175">
        <f>IF(E255&gt;(C255+D255),(E255-(C255+D255)),0)</f>
        <v/>
      </c>
      <c r="G254" s="177">
        <f>IF(F255&gt;0,0,C255+D255-E255)</f>
        <v/>
      </c>
      <c r="H254" s="148">
        <f>_xludf.IFNA(_xlfn.XLOOKUP(B255,'00_SKU_Master'!$B$2:$B$378,'00_SKU_Master'!$C$2:$C$378),"")</f>
        <v/>
      </c>
      <c r="I254" s="179" t="n"/>
      <c r="J254" s="14">
        <f>_xludf.IFNA(_xlfn.XLOOKUP(B255,'00_SKU_Master'!B$2:B$378,'00_SKU_Master'!H$2:H$378,0),"")</f>
        <v/>
      </c>
      <c r="K254" s="14">
        <f>_xludf.IFNA(_xlfn.XLOOKUP(B255,'00_SKU_Master'!B$2:B$378,'00_SKU_Master'!K$2:K$378,0),"")</f>
        <v/>
      </c>
      <c r="L254" s="148">
        <f>_xlfn.XLOOKUP(B255,'00_SKU_Master'!$B$2:$B$378,'00_SKU_Master'!D:D)</f>
        <v/>
      </c>
      <c r="M254" s="148">
        <f>IF((C255-E255)&lt;0,0,C255-E255)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_xlfn.XLOOKUP(B256,'02_TrayPack_Order'!$A$2:$A$264,'02_TrayPack_Order'!$C$2:$C$264)</f>
        <v/>
      </c>
      <c r="D255" s="176">
        <f>_xlfn.XLOOKUP(B256,'02_TrayPack_Order'!$A$2:$A$264,'02_TrayPack_Order'!$L$2:$L$264,0)</f>
        <v/>
      </c>
      <c r="E255" s="175">
        <f>SUMIF('13_Progress_Track'!$A$2:$A$108,B256,'13_Progress_Track'!$E$2:$E$108)</f>
        <v/>
      </c>
      <c r="F255" s="175">
        <f>IF(E256&gt;(C256+D256),(E256-(C256+D256)),0)</f>
        <v/>
      </c>
      <c r="G255" s="177">
        <f>IF(F256&gt;0,0,C256+D256-E256)</f>
        <v/>
      </c>
      <c r="H255" s="148">
        <f>_xludf.IFNA(_xlfn.XLOOKUP(B256,'00_SKU_Master'!$B$2:$B$378,'00_SKU_Master'!$C$2:$C$378),"")</f>
        <v/>
      </c>
      <c r="I255" s="179" t="n"/>
      <c r="J255" s="14">
        <f>_xludf.IFNA(_xlfn.XLOOKUP(B256,'00_SKU_Master'!B$2:B$378,'00_SKU_Master'!H$2:H$378,0),"")</f>
        <v/>
      </c>
      <c r="K255" s="14">
        <f>_xludf.IFNA(_xlfn.XLOOKUP(B256,'00_SKU_Master'!B$2:B$378,'00_SKU_Master'!K$2:K$378,0),"")</f>
        <v/>
      </c>
      <c r="L255" s="148">
        <f>_xlfn.XLOOKUP(B256,'00_SKU_Master'!$B$2:$B$378,'00_SKU_Master'!D:D)</f>
        <v/>
      </c>
      <c r="M255" s="148">
        <f>IF((C256-E256)&lt;0,0,C256-E256)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_xlfn.XLOOKUP(B257,'02_TrayPack_Order'!$A$2:$A$264,'02_TrayPack_Order'!$C$2:$C$264)</f>
        <v/>
      </c>
      <c r="D256" s="176">
        <f>_xlfn.XLOOKUP(B257,'02_TrayPack_Order'!$A$2:$A$264,'02_TrayPack_Order'!$L$2:$L$264,0)</f>
        <v/>
      </c>
      <c r="E256" s="175">
        <f>SUMIF('13_Progress_Track'!$A$2:$A$108,B257,'13_Progress_Track'!$E$2:$E$108)</f>
        <v/>
      </c>
      <c r="F256" s="175">
        <f>IF(E257&gt;(C257+D257),(E257-(C257+D257)),0)</f>
        <v/>
      </c>
      <c r="G256" s="177">
        <f>IF(F257&gt;0,0,C257+D257-E257)</f>
        <v/>
      </c>
      <c r="H256" s="148">
        <f>_xludf.IFNA(_xlfn.XLOOKUP(B257,'00_SKU_Master'!$B$2:$B$378,'00_SKU_Master'!$C$2:$C$378),"")</f>
        <v/>
      </c>
      <c r="I256" s="179" t="n"/>
      <c r="J256" s="14">
        <f>_xludf.IFNA(_xlfn.XLOOKUP(B257,'00_SKU_Master'!B$2:B$378,'00_SKU_Master'!H$2:H$378,0),"")</f>
        <v/>
      </c>
      <c r="K256" s="14">
        <f>_xludf.IFNA(_xlfn.XLOOKUP(B257,'00_SKU_Master'!B$2:B$378,'00_SKU_Master'!K$2:K$378,0),"")</f>
        <v/>
      </c>
      <c r="L256" s="148">
        <f>_xlfn.XLOOKUP(B257,'00_SKU_Master'!$B$2:$B$378,'00_SKU_Master'!D:D)</f>
        <v/>
      </c>
      <c r="M256" s="148">
        <f>IF((C257-E257)&lt;0,0,C257-E257)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_xlfn.XLOOKUP(B258,'02_TrayPack_Order'!$A$2:$A$264,'02_TrayPack_Order'!$C$2:$C$264)</f>
        <v/>
      </c>
      <c r="D257" s="176">
        <f>_xlfn.XLOOKUP(B258,'02_TrayPack_Order'!$A$2:$A$264,'02_TrayPack_Order'!$L$2:$L$264,0)</f>
        <v/>
      </c>
      <c r="E257" s="175">
        <f>SUMIF('13_Progress_Track'!$A$2:$A$108,B258,'13_Progress_Track'!$E$2:$E$108)</f>
        <v/>
      </c>
      <c r="F257" s="175">
        <f>IF(E258&gt;(C258+D258),(E258-(C258+D258)),0)</f>
        <v/>
      </c>
      <c r="G257" s="177">
        <f>IF(F258&gt;0,0,C258+D258-E258)</f>
        <v/>
      </c>
      <c r="H257" s="148">
        <f>_xludf.IFNA(_xlfn.XLOOKUP(B258,'00_SKU_Master'!$B$2:$B$378,'00_SKU_Master'!$C$2:$C$378),"")</f>
        <v/>
      </c>
      <c r="I257" s="179" t="n"/>
      <c r="J257" s="14">
        <f>_xludf.IFNA(_xlfn.XLOOKUP(B258,'00_SKU_Master'!B$2:B$378,'00_SKU_Master'!H$2:H$378,0),"")</f>
        <v/>
      </c>
      <c r="K257" s="14">
        <f>_xludf.IFNA(_xlfn.XLOOKUP(B258,'00_SKU_Master'!B$2:B$378,'00_SKU_Master'!K$2:K$378,0),"")</f>
        <v/>
      </c>
      <c r="L257" s="148">
        <f>_xlfn.XLOOKUP(B258,'00_SKU_Master'!$B$2:$B$378,'00_SKU_Master'!D:D)</f>
        <v/>
      </c>
      <c r="M257" s="148">
        <f>IF((C258-E258)&lt;0,0,C258-E258)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_xlfn.XLOOKUP(B259,'02_TrayPack_Order'!$A$2:$A$264,'02_TrayPack_Order'!$C$2:$C$264)</f>
        <v/>
      </c>
      <c r="D258" s="176">
        <f>_xlfn.XLOOKUP(B259,'02_TrayPack_Order'!$A$2:$A$264,'02_TrayPack_Order'!$L$2:$L$264,0)</f>
        <v/>
      </c>
      <c r="E258" s="175">
        <f>SUMIF('13_Progress_Track'!$A$2:$A$108,B259,'13_Progress_Track'!$E$2:$E$108)</f>
        <v/>
      </c>
      <c r="F258" s="175">
        <f>IF(E259&gt;(C259+D259),(E259-(C259+D259)),0)</f>
        <v/>
      </c>
      <c r="G258" s="177">
        <f>IF(F259&gt;0,0,C259+D259-E259)</f>
        <v/>
      </c>
      <c r="H258" s="148">
        <f>_xludf.IFNA(_xlfn.XLOOKUP(B259,'00_SKU_Master'!$B$2:$B$378,'00_SKU_Master'!$C$2:$C$378),"")</f>
        <v/>
      </c>
      <c r="I258" s="179" t="n"/>
      <c r="J258" s="14">
        <f>_xludf.IFNA(_xlfn.XLOOKUP(B259,'00_SKU_Master'!B$2:B$378,'00_SKU_Master'!H$2:H$378,0),"")</f>
        <v/>
      </c>
      <c r="K258" s="14">
        <f>_xludf.IFNA(_xlfn.XLOOKUP(B259,'00_SKU_Master'!B$2:B$378,'00_SKU_Master'!K$2:K$378,0),"")</f>
        <v/>
      </c>
      <c r="L258" s="148">
        <f>_xlfn.XLOOKUP(B259,'00_SKU_Master'!$B$2:$B$378,'00_SKU_Master'!D:D)</f>
        <v/>
      </c>
      <c r="M258" s="148">
        <f>IF((C259-E259)&lt;0,0,C259-E259)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_xlfn.XLOOKUP(B260,'02_TrayPack_Order'!$A$2:$A$264,'02_TrayPack_Order'!$C$2:$C$264)</f>
        <v/>
      </c>
      <c r="D259" s="176">
        <f>_xlfn.XLOOKUP(B260,'02_TrayPack_Order'!$A$2:$A$264,'02_TrayPack_Order'!$L$2:$L$264,0)</f>
        <v/>
      </c>
      <c r="E259" s="175">
        <f>SUMIF('13_Progress_Track'!$A$2:$A$108,B260,'13_Progress_Track'!$E$2:$E$108)</f>
        <v/>
      </c>
      <c r="F259" s="175">
        <f>IF(E260&gt;(C260+D260),(E260-(C260+D260)),0)</f>
        <v/>
      </c>
      <c r="G259" s="177">
        <f>IF(F260&gt;0,0,C260+D260-E260)</f>
        <v/>
      </c>
      <c r="H259" s="148">
        <f>_xludf.IFNA(_xlfn.XLOOKUP(B260,'00_SKU_Master'!$B$2:$B$378,'00_SKU_Master'!$C$2:$C$378),"")</f>
        <v/>
      </c>
      <c r="I259" s="179" t="n"/>
      <c r="J259" s="14">
        <f>_xludf.IFNA(_xlfn.XLOOKUP(B260,'00_SKU_Master'!B$2:B$378,'00_SKU_Master'!H$2:H$378,0),"")</f>
        <v/>
      </c>
      <c r="K259" s="14">
        <f>_xludf.IFNA(_xlfn.XLOOKUP(B260,'00_SKU_Master'!B$2:B$378,'00_SKU_Master'!K$2:K$378,0),"")</f>
        <v/>
      </c>
      <c r="L259" s="148">
        <f>_xlfn.XLOOKUP(B260,'00_SKU_Master'!$B$2:$B$378,'00_SKU_Master'!D:D)</f>
        <v/>
      </c>
      <c r="M259" s="148">
        <f>IF((C260-E260)&lt;0,0,C260-E260)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_xlfn.XLOOKUP(B261,'02_TrayPack_Order'!$A$2:$A$264,'02_TrayPack_Order'!$C$2:$C$264)</f>
        <v/>
      </c>
      <c r="D260" s="176">
        <f>_xlfn.XLOOKUP(B261,'02_TrayPack_Order'!$A$2:$A$264,'02_TrayPack_Order'!$L$2:$L$264,0)</f>
        <v/>
      </c>
      <c r="E260" s="175">
        <f>SUMIF('13_Progress_Track'!$A$2:$A$108,B261,'13_Progress_Track'!$E$2:$E$108)</f>
        <v/>
      </c>
      <c r="F260" s="175">
        <f>IF(E261&gt;(C261+D261),(E261-(C261+D261)),0)</f>
        <v/>
      </c>
      <c r="G260" s="177">
        <f>IF(F261&gt;0,0,C261+D261-E261)</f>
        <v/>
      </c>
      <c r="H260" s="148">
        <f>_xludf.IFNA(_xlfn.XLOOKUP(B261,'00_SKU_Master'!$B$2:$B$378,'00_SKU_Master'!$C$2:$C$378),"")</f>
        <v/>
      </c>
      <c r="I260" s="179" t="n"/>
      <c r="J260" s="14">
        <f>_xludf.IFNA(_xlfn.XLOOKUP(B261,'00_SKU_Master'!B$2:B$378,'00_SKU_Master'!H$2:H$378,0),"")</f>
        <v/>
      </c>
      <c r="K260" s="14">
        <f>_xludf.IFNA(_xlfn.XLOOKUP(B261,'00_SKU_Master'!B$2:B$378,'00_SKU_Master'!K$2:K$378,0),"")</f>
        <v/>
      </c>
      <c r="L260" s="148">
        <f>_xlfn.XLOOKUP(B261,'00_SKU_Master'!$B$2:$B$378,'00_SKU_Master'!D:D)</f>
        <v/>
      </c>
      <c r="M260" s="148">
        <f>IF((C261-E261)&lt;0,0,C261-E261)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_xlfn.XLOOKUP(B262,'02_TrayPack_Order'!$A$2:$A$264,'02_TrayPack_Order'!$C$2:$C$264)</f>
        <v/>
      </c>
      <c r="D261" s="176">
        <f>_xlfn.XLOOKUP(B262,'02_TrayPack_Order'!$A$2:$A$264,'02_TrayPack_Order'!$L$2:$L$264,0)</f>
        <v/>
      </c>
      <c r="E261" s="175">
        <f>SUMIF('13_Progress_Track'!$A$2:$A$108,B262,'13_Progress_Track'!$E$2:$E$108)</f>
        <v/>
      </c>
      <c r="F261" s="175">
        <f>IF(E262&gt;(C262+D262),(E262-(C262+D262)),0)</f>
        <v/>
      </c>
      <c r="G261" s="177">
        <f>IF(F262&gt;0,0,C262+D262-E262)</f>
        <v/>
      </c>
      <c r="H261" s="148">
        <f>_xludf.IFNA(_xlfn.XLOOKUP(B262,'00_SKU_Master'!$B$2:$B$378,'00_SKU_Master'!$C$2:$C$378),"")</f>
        <v/>
      </c>
      <c r="I261" s="179" t="n"/>
      <c r="J261" s="14">
        <f>_xludf.IFNA(_xlfn.XLOOKUP(B262,'00_SKU_Master'!B$2:B$378,'00_SKU_Master'!H$2:H$378,0),"")</f>
        <v/>
      </c>
      <c r="K261" s="14">
        <f>_xludf.IFNA(_xlfn.XLOOKUP(B262,'00_SKU_Master'!B$2:B$378,'00_SKU_Master'!K$2:K$378,0),"")</f>
        <v/>
      </c>
      <c r="L261" s="148">
        <f>_xlfn.XLOOKUP(B262,'00_SKU_Master'!$B$2:$B$378,'00_SKU_Master'!D:D)</f>
        <v/>
      </c>
      <c r="M261" s="148">
        <f>IF((C262-E262)&lt;0,0,C262-E262)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_xlfn.XLOOKUP(B263,'02_TrayPack_Order'!$A$2:$A$264,'02_TrayPack_Order'!$C$2:$C$264)</f>
        <v/>
      </c>
      <c r="D262" s="176">
        <f>_xlfn.XLOOKUP(B263,'02_TrayPack_Order'!$A$2:$A$264,'02_TrayPack_Order'!$L$2:$L$264,0)</f>
        <v/>
      </c>
      <c r="E262" s="175">
        <f>SUMIF('13_Progress_Track'!$A$2:$A$108,B263,'13_Progress_Track'!$E$2:$E$108)</f>
        <v/>
      </c>
      <c r="F262" s="175">
        <f>IF(E263&gt;(C263+D263),(E263-(C263+D263)),0)</f>
        <v/>
      </c>
      <c r="G262" s="177">
        <f>IF(F263&gt;0,0,C263+D263-E263)</f>
        <v/>
      </c>
      <c r="H262" s="148">
        <f>_xludf.IFNA(_xlfn.XLOOKUP(B263,'00_SKU_Master'!$B$2:$B$378,'00_SKU_Master'!$C$2:$C$378),"")</f>
        <v/>
      </c>
      <c r="I262" s="179" t="n"/>
      <c r="J262" s="14">
        <f>_xludf.IFNA(_xlfn.XLOOKUP(B263,'00_SKU_Master'!B$2:B$378,'00_SKU_Master'!H$2:H$378,0),"")</f>
        <v/>
      </c>
      <c r="K262" s="14">
        <f>_xludf.IFNA(_xlfn.XLOOKUP(B263,'00_SKU_Master'!B$2:B$378,'00_SKU_Master'!K$2:K$378,0),"")</f>
        <v/>
      </c>
      <c r="L262" s="148">
        <f>_xlfn.XLOOKUP(B263,'00_SKU_Master'!$B$2:$B$378,'00_SKU_Master'!D:D)</f>
        <v/>
      </c>
      <c r="M262" s="148">
        <f>IF((C263-E263)&lt;0,0,C263-E263)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_xlfn.XLOOKUP(B264,'02_TrayPack_Order'!$A$2:$A$264,'02_TrayPack_Order'!$C$2:$C$264)</f>
        <v/>
      </c>
      <c r="D263" s="176">
        <f>_xlfn.XLOOKUP(B264,'02_TrayPack_Order'!$A$2:$A$264,'02_TrayPack_Order'!$L$2:$L$264,0)</f>
        <v/>
      </c>
      <c r="E263" s="175">
        <f>SUMIF('13_Progress_Track'!$A$2:$A$108,B264,'13_Progress_Track'!$E$2:$E$108)</f>
        <v/>
      </c>
      <c r="F263" s="175">
        <f>IF(E264&gt;(C264+D264),(E264-(C264+D264)),0)</f>
        <v/>
      </c>
      <c r="G263" s="177">
        <f>IF(F264&gt;0,0,C264+D264-E264)</f>
        <v/>
      </c>
      <c r="H263" s="148">
        <f>_xludf.IFNA(_xlfn.XLOOKUP(B264,'00_SKU_Master'!$B$2:$B$378,'00_SKU_Master'!$C$2:$C$378),"")</f>
        <v/>
      </c>
      <c r="I263" s="179" t="n"/>
      <c r="J263" s="14">
        <f>_xludf.IFNA(_xlfn.XLOOKUP(B264,'00_SKU_Master'!B$2:B$378,'00_SKU_Master'!H$2:H$378,0),"")</f>
        <v/>
      </c>
      <c r="K263" s="14">
        <f>_xludf.IFNA(_xlfn.XLOOKUP(B264,'00_SKU_Master'!B$2:B$378,'00_SKU_Master'!K$2:K$378,0),"")</f>
        <v/>
      </c>
      <c r="L263" s="148">
        <f>_xlfn.XLOOKUP(B264,'00_SKU_Master'!$B$2:$B$378,'00_SKU_Master'!D:D)</f>
        <v/>
      </c>
      <c r="M263" s="148">
        <f>IF((C264-E264)&lt;0,0,C264-E264)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_xlfn.XLOOKUP(B265,'02_TrayPack_Order'!$A$2:$A$264,'02_TrayPack_Order'!$C$2:$C$264)</f>
        <v/>
      </c>
      <c r="D264" s="176">
        <f>_xlfn.XLOOKUP(B265,'02_TrayPack_Order'!$A$2:$A$264,'02_TrayPack_Order'!$L$2:$L$264,0)</f>
        <v/>
      </c>
      <c r="E264" s="175">
        <f>SUMIF('13_Progress_Track'!$A$2:$A$108,B265,'13_Progress_Track'!$E$2:$E$108)</f>
        <v/>
      </c>
      <c r="F264" s="175">
        <f>IF(E265&gt;(C265+D265),(E265-(C265+D265)),0)</f>
        <v/>
      </c>
      <c r="G264" s="177">
        <f>IF(F265&gt;0,0,C265+D265-E265)</f>
        <v/>
      </c>
      <c r="H264" s="148">
        <f>_xludf.IFNA(_xlfn.XLOOKUP(B265,'00_SKU_Master'!$B$2:$B$378,'00_SKU_Master'!$C$2:$C$378),"")</f>
        <v/>
      </c>
      <c r="I264" s="179" t="n"/>
      <c r="J264" s="14">
        <f>_xludf.IFNA(_xlfn.XLOOKUP(B265,'00_SKU_Master'!B$2:B$378,'00_SKU_Master'!H$2:H$378,0),"")</f>
        <v/>
      </c>
      <c r="K264" s="14">
        <f>_xludf.IFNA(_xlfn.XLOOKUP(B265,'00_SKU_Master'!B$2:B$378,'00_SKU_Master'!K$2:K$378,0),"")</f>
        <v/>
      </c>
      <c r="L264" s="148">
        <f>_xlfn.XLOOKUP(B265,'00_SKU_Master'!$B$2:$B$378,'00_SKU_Master'!D:D)</f>
        <v/>
      </c>
      <c r="M264" s="148">
        <f>IF((C265-E265)&lt;0,0,C265-E265)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</row>
    <row r="267">
      <c r="B267" s="50" t="n"/>
      <c r="C267" s="178" t="n"/>
      <c r="F267" s="154" t="n"/>
      <c r="G267" s="191" t="n"/>
      <c r="L267" s="155" t="n"/>
    </row>
    <row r="268">
      <c r="C268" s="178" t="n"/>
    </row>
    <row r="269">
      <c r="C269" s="178" t="n"/>
    </row>
    <row r="270">
      <c r="C270" s="178" t="n"/>
    </row>
    <row r="271">
      <c r="C271" s="178" t="n"/>
    </row>
    <row r="272">
      <c r="C272" s="178" t="n"/>
    </row>
    <row r="273">
      <c r="C273" s="178" t="n"/>
    </row>
    <row r="274">
      <c r="C274" s="178" t="n"/>
    </row>
    <row r="275">
      <c r="C275" s="178" t="n"/>
    </row>
    <row r="276">
      <c r="C276" s="178" t="n"/>
    </row>
    <row r="277">
      <c r="C277" s="178" t="n"/>
    </row>
    <row r="278">
      <c r="C278" s="178" t="n"/>
    </row>
    <row r="279">
      <c r="C279" s="178" t="n"/>
    </row>
    <row r="280">
      <c r="C280" s="178" t="n"/>
    </row>
    <row r="281">
      <c r="C281" s="178" t="n"/>
    </row>
    <row r="282">
      <c r="C282" s="178" t="n"/>
    </row>
    <row r="283">
      <c r="C283" s="178" t="n"/>
    </row>
    <row r="284">
      <c r="C284" s="178" t="n"/>
    </row>
    <row r="285">
      <c r="C285" s="178" t="n"/>
    </row>
    <row r="286">
      <c r="C286" s="178" t="n"/>
    </row>
    <row r="287">
      <c r="C287" s="178" t="n"/>
    </row>
    <row r="288">
      <c r="C288" s="178" t="n"/>
    </row>
    <row r="289">
      <c r="C289" s="178" t="n"/>
    </row>
    <row r="290">
      <c r="C290" s="178" t="n"/>
    </row>
    <row r="291">
      <c r="C291" s="178" t="n"/>
    </row>
    <row r="292">
      <c r="C292" s="178" t="n"/>
    </row>
    <row r="293">
      <c r="C293" s="178" t="n"/>
    </row>
    <row r="294">
      <c r="C294" s="178" t="n"/>
    </row>
    <row r="295">
      <c r="C295" s="178" t="n"/>
    </row>
    <row r="296">
      <c r="C296" s="178" t="n"/>
    </row>
    <row r="297">
      <c r="C297" s="178" t="n"/>
    </row>
    <row r="298">
      <c r="C298" s="178" t="n"/>
    </row>
    <row r="299">
      <c r="C299" s="178" t="n"/>
    </row>
    <row r="300">
      <c r="C300" s="178" t="n"/>
    </row>
    <row r="301">
      <c r="C301" s="178" t="n"/>
    </row>
    <row r="302">
      <c r="C302" s="178" t="n"/>
    </row>
    <row r="303">
      <c r="C303" s="178" t="n"/>
    </row>
    <row r="304">
      <c r="C304" s="178" t="n"/>
    </row>
    <row r="305">
      <c r="C305" s="178" t="n"/>
    </row>
    <row r="306">
      <c r="C306" s="178" t="n"/>
    </row>
    <row r="307">
      <c r="C307" s="178" t="n"/>
    </row>
    <row r="308">
      <c r="C308" s="178" t="n"/>
    </row>
    <row r="309">
      <c r="C309" s="178" t="n"/>
    </row>
    <row r="310">
      <c r="C310" s="178" t="n"/>
    </row>
    <row r="311">
      <c r="C311" s="178" t="n"/>
    </row>
    <row r="312">
      <c r="C312" s="178" t="n"/>
    </row>
    <row r="313">
      <c r="C313" s="178" t="n"/>
    </row>
    <row r="314">
      <c r="C314" s="178" t="n"/>
    </row>
    <row r="315">
      <c r="C315" s="178" t="n"/>
    </row>
    <row r="316">
      <c r="C316" s="178" t="n"/>
    </row>
    <row r="317">
      <c r="C317" s="178" t="n"/>
    </row>
    <row r="318">
      <c r="C318" s="178" t="n"/>
    </row>
    <row r="319">
      <c r="C319" s="178" t="n"/>
    </row>
    <row r="320">
      <c r="C320" s="178" t="n"/>
    </row>
    <row r="321">
      <c r="C321" s="178" t="n"/>
    </row>
    <row r="322">
      <c r="C322" s="178" t="n"/>
    </row>
    <row r="323">
      <c r="C323" s="178" t="n"/>
    </row>
    <row r="324">
      <c r="C324" s="178" t="n"/>
    </row>
    <row r="325">
      <c r="C325" s="178" t="n"/>
    </row>
    <row r="326">
      <c r="C326" s="178" t="n"/>
    </row>
    <row r="327">
      <c r="C327" s="178" t="n"/>
    </row>
    <row r="328">
      <c r="C328" s="1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SUMIF('02_TrayPack_Order'!M4:M256,C3,'02_TrayPack_Order'!T4:T256)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SUMIF('02_TrayPack_Order'!M5:M257,C4,'02_TrayPack_Order'!T5:T257)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SUMIF('02_TrayPack_Order'!M6:M258,C5,'02_TrayPack_Order'!T6:T258)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SUMIF('02_TrayPack_Order'!M7:M259,C6,'02_TrayPack_Order'!T7:T259)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SUMIF('02_TrayPack_Order'!M8:M260,C7,'02_TrayPack_Order'!T8:T260)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SUMIF('02_TrayPack_Order'!M9:M261,C8,'02_TrayPack_Order'!T9:T261)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SUMIF('02_TrayPack_Order'!M10:M262,C9,'02_TrayPack_Order'!T10:T262)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SUMIF('02_TrayPack_Order'!M11:M263,C10,'02_TrayPack_Order'!T11:T263)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SUMIF('02_TrayPack_Order'!M12:M264,C11,'02_TrayPack_Order'!T12:T264)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SUMIF('02_TrayPack_Order'!M13:M265,C12,'02_TrayPack_Order'!T13:T265)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SUMIF('02_TrayPack_Order'!M14:M266,C13,'02_TrayPack_Order'!T14:T266)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SUMIF('02_TrayPack_Order'!M15:M267,C14,'02_TrayPack_Order'!T15:T267)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SUMIF('02_TrayPack_Order'!M16:M268,C15,'02_TrayPack_Order'!T16:T268)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SUMIF('02_TrayPack_Order'!M17:M269,C16,'02_TrayPack_Order'!T17:T269)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SUMIF('02_TrayPack_Order'!M18:M270,C17,'02_TrayPack_Order'!T18:T270)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SUMIF('02_TrayPack_Order'!M19:M271,C18,'02_TrayPack_Order'!T19:T271)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SUMIF('02_TrayPack_Order'!M20:M272,C19,'02_TrayPack_Order'!T20:T272)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SUMIF('02_TrayPack_Order'!M21:M273,C20,'02_TrayPack_Order'!T21:T273)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SUMIF('02_TrayPack_Order'!M22:M274,C21,'02_TrayPack_Order'!T22:T274)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SUMIF('02_TrayPack_Order'!M23:M275,C22,'02_TrayPack_Order'!T23:T275)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SUMIF('02_TrayPack_Order'!M24:M276,C23,'02_TrayPack_Order'!T24:T276)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SUMIF('02_TrayPack_Order'!M25:M277,C24,'02_TrayPack_Order'!T25:T277)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SUMIF('02_TrayPack_Order'!M26:M278,C25,'02_TrayPack_Order'!T26:T278)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SUMIF('02_TrayPack_Order'!M27:M279,C26,'02_TrayPack_Order'!T27:T279)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SUMIF('02_TrayPack_Order'!M28:M280,C27,'02_TrayPack_Order'!T28:T280)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SUMIF('02_TrayPack_Order'!M29:M281,C28,'02_TrayPack_Order'!T29:T281)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SUMIF('02_TrayPack_Order'!M30:M282,C29,'02_TrayPack_Order'!T30:T282)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SUMIF('02_TrayPack_Order'!M31:M283,C30,'02_TrayPack_Order'!T31:T283)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SUMIF('02_TrayPack_Order'!M32:M284,C31,'02_TrayPack_Order'!T32:T284)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SUMIF('02_TrayPack_Order'!M33:M285,C32,'02_TrayPack_Order'!T33:T285)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SUMIF('02_TrayPack_Order'!M34:M286,C33,'02_TrayPack_Order'!T34:T286)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SUMIF('02_TrayPack_Order'!M35:M287,C34,'02_TrayPack_Order'!T35:T287)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SUMIF('02_TrayPack_Order'!M36:M288,C35,'02_TrayPack_Order'!T36:T288)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SUMIF('02_TrayPack_Order'!M37:M289,C36,'02_TrayPack_Order'!T37:T289)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SUMIF('02_TrayPack_Order'!M38:M290,C37,'02_TrayPack_Order'!T38:T290)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SUMIF('02_TrayPack_Order'!M39:M291,C38,'02_TrayPack_Order'!T39:T291)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SUMIF('02_TrayPack_Order'!M40:M292,C39,'02_TrayPack_Order'!T40:T292)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SUMIF('02_TrayPack_Order'!M41:M293,C40,'02_TrayPack_Order'!T41:T293)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SUMIF('02_TrayPack_Order'!M42:M294,C41,'02_TrayPack_Order'!T42:T294)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SUMIF('02_TrayPack_Order'!M43:M295,C42,'02_TrayPack_Order'!T43:T295)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SUMIF('02_TrayPack_Order'!M44:M296,C43,'02_TrayPack_Order'!T44:T296)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B2:X568"/>
  <sheetViews>
    <sheetView tabSelected="1"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</cols>
  <sheetData>
    <row r="2" ht="35" customHeight="1">
      <c r="B2" s="669" t="inlineStr">
        <is>
          <t>Cut up</t>
        </is>
      </c>
      <c r="C2" s="681" t="n"/>
      <c r="D2" s="682" t="n"/>
      <c r="E2" s="669" t="inlineStr">
        <is>
          <t>Tray pack</t>
        </is>
      </c>
      <c r="F2" s="681" t="n"/>
      <c r="G2" s="682" t="n"/>
      <c r="H2" s="669" t="inlineStr">
        <is>
          <t>Bagging</t>
        </is>
      </c>
      <c r="I2" s="681" t="n"/>
      <c r="J2" s="682" t="n"/>
      <c r="K2" s="402" t="n"/>
      <c r="L2" s="670" t="inlineStr">
        <is>
          <t>Total Request</t>
        </is>
      </c>
      <c r="M2" s="670" t="inlineStr">
        <is>
          <t>IN</t>
        </is>
      </c>
      <c r="N2" s="403" t="n"/>
    </row>
    <row r="3" ht="25" customHeight="1">
      <c r="B3" s="671" t="inlineStr">
        <is>
          <t>Relese</t>
        </is>
      </c>
      <c r="C3" s="672" t="n">
        <v>0.2652777777777778</v>
      </c>
      <c r="D3" s="671" t="n"/>
      <c r="E3" s="671" t="inlineStr">
        <is>
          <t>Relese</t>
        </is>
      </c>
      <c r="F3" s="672" t="n">
        <v>0.2611111111111111</v>
      </c>
      <c r="G3" s="671" t="n"/>
      <c r="H3" s="671" t="n"/>
      <c r="I3" s="671" t="n"/>
      <c r="J3" s="671" t="n"/>
      <c r="K3" s="671" t="inlineStr">
        <is>
          <t>(001730) Cut Crew Am</t>
        </is>
      </c>
      <c r="L3" s="671" t="n">
        <v>52</v>
      </c>
      <c r="M3" s="671" t="n">
        <v>46</v>
      </c>
      <c r="N3" s="15" t="n"/>
    </row>
    <row r="4">
      <c r="B4" s="673" t="inlineStr">
        <is>
          <t>Strat</t>
        </is>
      </c>
      <c r="C4" s="674" t="n">
        <v>0.2715277777777778</v>
      </c>
      <c r="D4" s="673" t="n"/>
      <c r="E4" s="675" t="inlineStr">
        <is>
          <t>Strat</t>
        </is>
      </c>
      <c r="F4" s="676" t="n">
        <v>0.2708333333333333</v>
      </c>
      <c r="G4" s="675" t="n"/>
      <c r="H4" s="673" t="n"/>
      <c r="I4" s="673" t="n"/>
      <c r="J4" s="673" t="n"/>
      <c r="K4" s="677" t="inlineStr">
        <is>
          <t>(001733) Cone Line Am</t>
        </is>
      </c>
      <c r="L4" s="678" t="n">
        <v>70</v>
      </c>
      <c r="M4" s="678" t="n">
        <v>60</v>
      </c>
      <c r="N4" s="15" t="n"/>
    </row>
    <row r="5">
      <c r="B5" s="673" t="inlineStr">
        <is>
          <t>Employees</t>
        </is>
      </c>
      <c r="C5" s="673">
        <f>SUM(M3,M4,M7)</f>
        <v/>
      </c>
      <c r="D5" s="673" t="n"/>
      <c r="E5" s="675" t="inlineStr">
        <is>
          <t>Employees</t>
        </is>
      </c>
      <c r="F5" s="675">
        <f>SUM(M5,M8)</f>
        <v/>
      </c>
      <c r="G5" s="675" t="n"/>
      <c r="H5" s="673" t="inlineStr">
        <is>
          <t>Employees</t>
        </is>
      </c>
      <c r="I5" s="673">
        <f>M6</f>
        <v/>
      </c>
      <c r="J5" s="673" t="n"/>
      <c r="K5" s="677" t="inlineStr">
        <is>
          <t>(001740) Tray Pack Am</t>
        </is>
      </c>
      <c r="L5" s="678" t="n">
        <v>122</v>
      </c>
      <c r="M5" s="678" t="n">
        <v>91</v>
      </c>
      <c r="N5" s="15" t="n"/>
    </row>
    <row r="6">
      <c r="B6" s="673" t="n"/>
      <c r="C6" s="679" t="n"/>
      <c r="D6" s="673" t="n"/>
      <c r="E6" s="675" t="n"/>
      <c r="F6" s="675" t="n"/>
      <c r="G6" s="675" t="n"/>
      <c r="H6" s="673" t="n"/>
      <c r="I6" s="673" t="n"/>
      <c r="J6" s="673" t="n"/>
      <c r="K6" s="677" t="inlineStr">
        <is>
          <t>(001743) Bagging</t>
        </is>
      </c>
      <c r="L6" s="678" t="n">
        <v>5</v>
      </c>
      <c r="M6" s="678" t="n">
        <v>4</v>
      </c>
      <c r="N6" s="15" t="n"/>
    </row>
    <row r="7">
      <c r="B7" s="673" t="inlineStr">
        <is>
          <t>Cages</t>
        </is>
      </c>
      <c r="C7" s="679">
        <f>'01_Cages_Plan'!F7</f>
        <v/>
      </c>
      <c r="D7" s="673" t="n"/>
      <c r="E7" s="675" t="inlineStr">
        <is>
          <t>Total Cases</t>
        </is>
      </c>
      <c r="F7" s="680">
        <f>'02_TrayPack_Order'!C2</f>
        <v/>
      </c>
      <c r="G7" s="675" t="n"/>
      <c r="H7" s="673" t="inlineStr">
        <is>
          <t>Total Cases</t>
        </is>
      </c>
      <c r="I7" s="679">
        <f>'04_Bagging_Order'!I3</f>
        <v/>
      </c>
      <c r="J7" s="673" t="n"/>
      <c r="K7" s="677" t="inlineStr">
        <is>
          <t>(001745) Thigh Deboning Crew</t>
        </is>
      </c>
      <c r="L7" s="678" t="n">
        <v>57</v>
      </c>
      <c r="M7" s="678" t="n">
        <v>49</v>
      </c>
      <c r="N7" s="15" t="n"/>
    </row>
    <row r="8">
      <c r="B8" s="673" t="inlineStr">
        <is>
          <t>Total Bulk Pack</t>
        </is>
      </c>
      <c r="C8" s="679">
        <f>SUM('03_BulkPack_Order'!C25:C70)</f>
        <v/>
      </c>
      <c r="D8" s="673" t="n"/>
      <c r="E8" s="675" t="inlineStr">
        <is>
          <t>Produced</t>
        </is>
      </c>
      <c r="F8" s="680">
        <f>'05_Daily_Orders'!E1</f>
        <v/>
      </c>
      <c r="G8" s="675" t="n"/>
      <c r="H8" s="673" t="inlineStr">
        <is>
          <t>Produced</t>
        </is>
      </c>
      <c r="I8" s="679">
        <f>'04_Bagging_Order'!J3</f>
        <v/>
      </c>
      <c r="J8" s="673" t="n"/>
      <c r="K8" s="677" t="inlineStr">
        <is>
          <t>(001775) Order Picking</t>
        </is>
      </c>
      <c r="L8" s="678" t="n">
        <v>5</v>
      </c>
      <c r="M8" s="677" t="n"/>
      <c r="N8" s="15" t="n"/>
    </row>
    <row r="9">
      <c r="B9" s="673" t="inlineStr">
        <is>
          <t>Produced</t>
        </is>
      </c>
      <c r="C9" s="673">
        <f>SUM('03_BulkPack_Order'!G26:G64)</f>
        <v/>
      </c>
      <c r="D9" s="673" t="n"/>
      <c r="E9" s="675" t="inlineStr">
        <is>
          <t>FB</t>
        </is>
      </c>
      <c r="F9" s="675">
        <f>SUMIF('05_Daily_Orders'!$L$3:$L$300,E9,'05_Daily_Orders'!$G$3:$G$300)</f>
        <v/>
      </c>
      <c r="G9" s="675" t="n"/>
      <c r="H9" s="673" t="inlineStr">
        <is>
          <t>Remaining</t>
        </is>
      </c>
      <c r="I9" s="679">
        <f>'04_Bagging_Order'!K3</f>
        <v/>
      </c>
      <c r="J9" s="673" t="n"/>
      <c r="K9" s="677" t="inlineStr">
        <is>
          <t>Haveaniceday456!</t>
        </is>
      </c>
      <c r="L9" s="677" t="n"/>
      <c r="M9" s="677" t="n"/>
    </row>
    <row r="10">
      <c r="B10" s="673" t="inlineStr">
        <is>
          <t>Remaining</t>
        </is>
      </c>
      <c r="C10" s="673">
        <f>SUMIF('03_BulkPack_Order'!H25:H70,"&gt;0")</f>
        <v/>
      </c>
      <c r="D10" s="673" t="n"/>
      <c r="E10" s="675" t="inlineStr">
        <is>
          <t>LCL</t>
        </is>
      </c>
      <c r="F10" s="675">
        <f>SUMIF('05_Daily_Orders'!$L$3:$L$300,E10,'05_Daily_Orders'!$G$3:$G$300)</f>
        <v/>
      </c>
      <c r="G10" s="675" t="n"/>
      <c r="H10" s="673" t="n"/>
      <c r="I10" s="673" t="n"/>
      <c r="J10" s="673" t="n"/>
      <c r="K10" s="677" t="n"/>
      <c r="L10" s="677" t="n"/>
      <c r="M10" s="677" t="n"/>
    </row>
    <row r="11">
      <c r="B11" s="673" t="inlineStr">
        <is>
          <t>Bird Cut</t>
        </is>
      </c>
      <c r="C11" s="673" t="n"/>
      <c r="D11" s="673" t="n"/>
      <c r="E11" s="675" t="inlineStr">
        <is>
          <t>METRO</t>
        </is>
      </c>
      <c r="F11" s="675">
        <f>SUMIF('05_Daily_Orders'!$L$3:$L$300,E11,'05_Daily_Orders'!$G$3:$G$300)</f>
        <v/>
      </c>
      <c r="G11" s="675" t="n"/>
      <c r="H11" s="673" t="n"/>
      <c r="I11" s="673" t="n"/>
      <c r="J11" s="673" t="n"/>
      <c r="K11" s="677" t="n"/>
      <c r="L11" s="677" t="n"/>
      <c r="M11" s="677" t="n"/>
    </row>
    <row r="12">
      <c r="B12" s="673" t="n"/>
      <c r="C12" s="673" t="n"/>
      <c r="D12" s="673" t="n"/>
      <c r="E12" s="675" t="inlineStr">
        <is>
          <t>COSTCO</t>
        </is>
      </c>
      <c r="F12" s="675">
        <f>SUMIF('05_Daily_Orders'!$L$3:$L$300,E12,'05_Daily_Orders'!$G$3:$G$300)</f>
        <v/>
      </c>
      <c r="G12" s="675" t="n"/>
      <c r="H12" s="673" t="n"/>
      <c r="I12" s="673" t="n"/>
      <c r="J12" s="673" t="n"/>
      <c r="K12" s="677" t="n"/>
      <c r="L12" s="677" t="n"/>
      <c r="M12" s="677" t="n"/>
    </row>
    <row r="13">
      <c r="B13" s="673" t="n"/>
      <c r="C13" s="673" t="n"/>
      <c r="D13" s="673" t="n"/>
      <c r="E13" s="675" t="inlineStr">
        <is>
          <t>SHP</t>
        </is>
      </c>
      <c r="F13" s="675">
        <f>SUMIF('05_Daily_Orders'!$L$3:$L$300,E13,'05_Daily_Orders'!$G$3:$G$300)</f>
        <v/>
      </c>
      <c r="G13" s="675" t="n"/>
      <c r="H13" s="673" t="n"/>
      <c r="I13" s="673" t="n"/>
      <c r="J13" s="673" t="n"/>
      <c r="K13" s="677" t="n"/>
      <c r="L13" s="677" t="n"/>
      <c r="M13" s="677" t="n"/>
    </row>
    <row r="14">
      <c r="B14" s="673" t="n"/>
      <c r="C14" s="673" t="n"/>
      <c r="D14" s="673" t="n"/>
      <c r="E14" s="675" t="n"/>
      <c r="F14" s="680" t="n"/>
      <c r="G14" s="675" t="n"/>
      <c r="H14" s="673" t="n"/>
      <c r="I14" s="679" t="n"/>
      <c r="J14" s="673" t="n"/>
      <c r="K14" s="677" t="n"/>
      <c r="L14" s="677" t="n"/>
      <c r="M14" s="677" t="n"/>
    </row>
    <row r="15">
      <c r="B15" s="673" t="n"/>
      <c r="C15" s="673" t="n"/>
      <c r="D15" s="673" t="n"/>
      <c r="E15" s="675" t="n"/>
      <c r="F15" s="675" t="n"/>
      <c r="G15" s="675" t="n"/>
      <c r="H15" s="673" t="n"/>
      <c r="I15" s="673" t="n"/>
      <c r="J15" s="673" t="n"/>
      <c r="K15" s="677" t="n"/>
      <c r="L15" s="677" t="n"/>
      <c r="M15" s="677" t="n"/>
    </row>
    <row r="16">
      <c r="B16" s="673" t="inlineStr">
        <is>
          <t>BPM</t>
        </is>
      </c>
      <c r="C16" s="679">
        <f>C11/((VALUE(NOW()-TODAY())-0.270833333333333)*24*60)</f>
        <v/>
      </c>
      <c r="D16" s="673" t="n"/>
      <c r="E16" s="675" t="inlineStr">
        <is>
          <t>Cases/H</t>
        </is>
      </c>
      <c r="F16" s="680">
        <f>F8/((VALUE(NOW()-TODAY())-0.270833333333333)*24)</f>
        <v/>
      </c>
      <c r="G16" s="675" t="n"/>
      <c r="H16" s="673" t="inlineStr">
        <is>
          <t>Cases/H</t>
        </is>
      </c>
      <c r="I16" s="679">
        <f>I8/((VALUE(NOW()-TODAY())-0.291666666666667)*24)</f>
        <v/>
      </c>
      <c r="J16" s="673" t="n"/>
      <c r="K16" s="677" t="n"/>
      <c r="L16" s="677" t="n"/>
      <c r="M16" s="677" t="n"/>
    </row>
    <row r="17">
      <c r="B17" s="673" t="n"/>
      <c r="C17" s="673" t="n"/>
      <c r="D17" s="673" t="n"/>
      <c r="E17" s="675" t="n"/>
      <c r="F17" s="675" t="n"/>
      <c r="G17" s="675" t="n"/>
      <c r="H17" s="673" t="n"/>
      <c r="I17" s="673" t="n"/>
      <c r="J17" s="673" t="n"/>
      <c r="K17" s="677" t="n"/>
      <c r="L17" s="677" t="n"/>
      <c r="M17" s="677" t="n"/>
    </row>
    <row r="18">
      <c r="B18" s="673" t="n"/>
      <c r="C18" s="673" t="n"/>
      <c r="D18" s="673" t="n"/>
      <c r="E18" s="675" t="n"/>
      <c r="F18" s="675" t="n"/>
      <c r="G18" s="675" t="n"/>
      <c r="H18" s="673" t="n"/>
      <c r="I18" s="673" t="n"/>
      <c r="J18" s="673" t="n"/>
      <c r="K18" s="677" t="n"/>
      <c r="L18" s="677" t="n"/>
      <c r="M18" s="677" t="n"/>
    </row>
    <row r="19">
      <c r="B19" s="673" t="n"/>
      <c r="C19" s="673" t="n"/>
      <c r="D19" s="673" t="n"/>
      <c r="E19" s="675" t="n"/>
      <c r="F19" s="675" t="n"/>
      <c r="G19" s="675" t="n"/>
      <c r="H19" s="673" t="n"/>
      <c r="I19" s="673" t="n"/>
      <c r="J19" s="673" t="n"/>
      <c r="K19" s="677" t="n"/>
      <c r="L19" s="677" t="n"/>
      <c r="M19" s="677" t="n"/>
    </row>
    <row r="20">
      <c r="B20" s="673" t="n"/>
      <c r="C20" s="673" t="n"/>
      <c r="D20" s="673" t="n"/>
      <c r="E20" s="675" t="n"/>
      <c r="F20" s="675" t="n"/>
      <c r="G20" s="675" t="n"/>
      <c r="H20" s="673" t="n"/>
      <c r="I20" s="673" t="n"/>
      <c r="J20" s="673" t="n"/>
      <c r="K20" s="677" t="n"/>
      <c r="L20" s="677" t="n"/>
      <c r="M20" s="677" t="n"/>
    </row>
    <row r="21">
      <c r="B21" s="673" t="n"/>
      <c r="C21" s="673" t="n"/>
      <c r="D21" s="673" t="n"/>
      <c r="E21" s="675" t="n"/>
      <c r="F21" s="675" t="n"/>
      <c r="G21" s="675" t="n"/>
      <c r="H21" s="673" t="n"/>
      <c r="I21" s="673" t="n"/>
      <c r="J21" s="673" t="n"/>
      <c r="K21" s="677" t="n"/>
      <c r="L21" s="677" t="n"/>
      <c r="M21" s="677" t="n"/>
    </row>
    <row r="22">
      <c r="B22" s="673" t="n"/>
      <c r="C22" s="673" t="n"/>
      <c r="D22" s="673" t="n"/>
      <c r="E22" s="675" t="n"/>
      <c r="F22" s="675" t="n"/>
      <c r="G22" s="675" t="n"/>
      <c r="H22" s="673" t="n"/>
      <c r="I22" s="673" t="n"/>
      <c r="J22" s="673" t="n"/>
      <c r="K22" s="677" t="n"/>
      <c r="L22" s="677" t="n"/>
      <c r="M22" s="677" t="n"/>
    </row>
    <row r="23">
      <c r="B23" s="673" t="n"/>
      <c r="C23" s="673" t="n"/>
      <c r="D23" s="673" t="n"/>
      <c r="E23" s="675" t="n"/>
      <c r="F23" s="675" t="n"/>
      <c r="G23" s="675" t="n"/>
      <c r="H23" s="673" t="n"/>
      <c r="I23" s="673" t="n"/>
      <c r="J23" s="673" t="n"/>
      <c r="K23" s="677" t="n"/>
      <c r="L23" s="677" t="n"/>
      <c r="M23" s="677" t="n"/>
    </row>
    <row r="24">
      <c r="B24" s="673" t="n"/>
      <c r="C24" s="673" t="n"/>
      <c r="D24" s="673" t="n"/>
      <c r="E24" s="675" t="n"/>
      <c r="F24" s="675" t="n"/>
      <c r="G24" s="675" t="n"/>
      <c r="H24" s="673" t="n"/>
      <c r="I24" s="673" t="n"/>
      <c r="J24" s="673" t="n"/>
      <c r="K24" s="677" t="n"/>
      <c r="L24" s="677" t="n"/>
      <c r="M24" s="677" t="n"/>
    </row>
    <row r="25">
      <c r="B25" s="673" t="n"/>
      <c r="C25" s="673" t="n"/>
      <c r="D25" s="673" t="n"/>
      <c r="E25" s="675" t="n"/>
      <c r="F25" s="675" t="n"/>
      <c r="G25" s="675" t="n"/>
      <c r="H25" s="673" t="n"/>
      <c r="I25" s="673" t="n"/>
      <c r="J25" s="673" t="n"/>
      <c r="K25" s="677" t="n"/>
      <c r="L25" s="677" t="n"/>
      <c r="M25" s="677" t="n"/>
    </row>
    <row r="26">
      <c r="B26" s="673" t="n"/>
      <c r="C26" s="673" t="n"/>
      <c r="D26" s="673" t="n"/>
      <c r="E26" s="675" t="n"/>
      <c r="F26" s="675" t="n"/>
      <c r="G26" s="675" t="n"/>
      <c r="H26" s="673" t="n"/>
      <c r="I26" s="673" t="n"/>
      <c r="J26" s="673" t="n"/>
      <c r="K26" s="677" t="n"/>
      <c r="L26" s="677" t="n"/>
      <c r="M26" s="677" t="n"/>
    </row>
    <row r="27">
      <c r="B27" s="673" t="n"/>
      <c r="C27" s="673" t="n"/>
      <c r="D27" s="673" t="n"/>
      <c r="E27" s="675" t="n"/>
      <c r="F27" s="675" t="n"/>
      <c r="G27" s="675" t="n"/>
      <c r="H27" s="673" t="n"/>
      <c r="I27" s="673" t="n"/>
      <c r="J27" s="673" t="n"/>
      <c r="K27" s="677" t="n"/>
      <c r="L27" s="677" t="n"/>
      <c r="M27" s="677" t="n"/>
    </row>
    <row r="28">
      <c r="B28" s="673" t="n"/>
      <c r="C28" s="673" t="n"/>
      <c r="D28" s="673" t="n"/>
      <c r="E28" s="675" t="n"/>
      <c r="F28" s="675" t="n"/>
      <c r="G28" s="675" t="n"/>
      <c r="H28" s="673" t="n"/>
      <c r="I28" s="673" t="n"/>
      <c r="J28" s="673" t="n"/>
      <c r="K28" s="677" t="n"/>
      <c r="L28" s="677" t="n"/>
      <c r="M28" s="677" t="n"/>
    </row>
    <row r="29">
      <c r="B29" s="673" t="n"/>
      <c r="C29" s="673" t="n"/>
      <c r="D29" s="673" t="n"/>
      <c r="E29" s="675" t="n"/>
      <c r="F29" s="675" t="n"/>
      <c r="G29" s="675" t="n"/>
      <c r="H29" s="673" t="n"/>
      <c r="I29" s="673" t="n"/>
      <c r="J29" s="673" t="n"/>
      <c r="K29" s="677" t="n"/>
      <c r="L29" s="677" t="n"/>
      <c r="M29" s="677" t="n"/>
    </row>
    <row r="30">
      <c r="B30" s="673" t="n"/>
      <c r="C30" s="673" t="n"/>
      <c r="D30" s="673" t="n"/>
      <c r="E30" s="675" t="n"/>
      <c r="F30" s="675" t="n"/>
      <c r="G30" s="675" t="n"/>
      <c r="H30" s="673" t="n"/>
      <c r="I30" s="673" t="n"/>
      <c r="J30" s="673" t="n"/>
      <c r="K30" s="677" t="n"/>
      <c r="L30" s="677" t="n"/>
      <c r="M30" s="677" t="n"/>
    </row>
    <row r="31">
      <c r="B31" s="673" t="n"/>
      <c r="C31" s="673" t="n"/>
      <c r="D31" s="673" t="n"/>
      <c r="E31" s="675" t="n"/>
      <c r="F31" s="675" t="n"/>
      <c r="G31" s="675" t="n"/>
      <c r="H31" s="673" t="n"/>
      <c r="I31" s="673" t="n"/>
      <c r="J31" s="673" t="n"/>
      <c r="K31" s="677" t="n"/>
      <c r="L31" s="677" t="n"/>
      <c r="M31" s="677" t="n"/>
    </row>
    <row r="32">
      <c r="B32" s="673" t="n"/>
      <c r="C32" s="673" t="n"/>
      <c r="D32" s="673" t="n"/>
      <c r="E32" s="675" t="n"/>
      <c r="F32" s="675" t="n"/>
      <c r="G32" s="675" t="n"/>
      <c r="H32" s="673" t="n"/>
      <c r="I32" s="673" t="n"/>
      <c r="J32" s="673" t="n"/>
      <c r="K32" s="677" t="n"/>
      <c r="L32" s="677" t="n"/>
      <c r="M32" s="677" t="n"/>
    </row>
    <row r="33">
      <c r="B33" s="673" t="n"/>
      <c r="C33" s="673" t="n"/>
      <c r="D33" s="673" t="n"/>
      <c r="E33" s="675" t="n"/>
      <c r="F33" s="675" t="n"/>
      <c r="G33" s="675" t="n"/>
      <c r="H33" s="673" t="n"/>
      <c r="I33" s="673" t="n"/>
      <c r="J33" s="673" t="n"/>
      <c r="K33" s="677" t="n"/>
      <c r="L33" s="677" t="n"/>
      <c r="M33" s="677" t="n"/>
    </row>
    <row r="34">
      <c r="B34" s="673" t="n"/>
      <c r="C34" s="673" t="n"/>
      <c r="D34" s="673" t="n"/>
      <c r="E34" s="675" t="n"/>
      <c r="F34" s="675" t="n"/>
      <c r="G34" s="675" t="n"/>
      <c r="H34" s="673" t="n"/>
      <c r="I34" s="673" t="n"/>
      <c r="J34" s="673" t="n"/>
      <c r="K34" s="677" t="n"/>
      <c r="L34" s="677" t="n"/>
      <c r="M34" s="677" t="n"/>
    </row>
    <row r="35">
      <c r="B35" s="673" t="n"/>
      <c r="C35" s="673" t="n"/>
      <c r="D35" s="673" t="n"/>
      <c r="E35" s="675" t="n"/>
      <c r="F35" s="675" t="n"/>
      <c r="G35" s="675" t="n"/>
      <c r="H35" s="673" t="n"/>
      <c r="I35" s="673" t="n"/>
      <c r="J35" s="673" t="n"/>
      <c r="K35" s="677" t="n"/>
      <c r="L35" s="677" t="n"/>
      <c r="M35" s="677" t="n"/>
    </row>
    <row r="36">
      <c r="B36" s="673" t="n"/>
      <c r="C36" s="673" t="n"/>
      <c r="D36" s="673" t="n"/>
      <c r="E36" s="675" t="n"/>
      <c r="F36" s="675" t="n"/>
      <c r="G36" s="675" t="n"/>
      <c r="H36" s="673" t="n"/>
      <c r="I36" s="673" t="n"/>
      <c r="J36" s="673" t="n"/>
      <c r="K36" s="677" t="n"/>
      <c r="L36" s="677" t="n"/>
      <c r="M36" s="677" t="n"/>
    </row>
    <row r="37">
      <c r="B37" s="673" t="n"/>
      <c r="C37" s="673" t="n"/>
      <c r="D37" s="673" t="n"/>
      <c r="E37" s="675" t="n"/>
      <c r="F37" s="675" t="n"/>
      <c r="G37" s="675" t="n"/>
      <c r="H37" s="673" t="n"/>
      <c r="I37" s="673" t="n"/>
      <c r="J37" s="673" t="n"/>
      <c r="K37" s="677" t="n"/>
      <c r="L37" s="677" t="n"/>
      <c r="M37" s="677" t="n"/>
    </row>
    <row r="38">
      <c r="B38" s="673" t="n"/>
      <c r="C38" s="673" t="n"/>
      <c r="D38" s="673" t="n"/>
      <c r="E38" s="675" t="n"/>
      <c r="F38" s="675" t="n"/>
      <c r="G38" s="675" t="n"/>
      <c r="H38" s="673" t="n"/>
      <c r="I38" s="673" t="n"/>
      <c r="J38" s="673" t="n"/>
      <c r="K38" s="677" t="n"/>
      <c r="L38" s="677" t="n"/>
      <c r="M38" s="677" t="n"/>
    </row>
    <row r="39">
      <c r="B39" s="673" t="n"/>
      <c r="C39" s="673" t="n"/>
      <c r="D39" s="673" t="n"/>
      <c r="E39" s="675" t="n"/>
      <c r="F39" s="675" t="n"/>
      <c r="G39" s="675" t="n"/>
      <c r="H39" s="673" t="n"/>
      <c r="I39" s="673" t="n"/>
      <c r="J39" s="673" t="n"/>
      <c r="K39" s="677" t="n"/>
      <c r="L39" s="677" t="n"/>
      <c r="M39" s="677" t="n"/>
    </row>
    <row r="40">
      <c r="B40" s="673" t="n"/>
      <c r="C40" s="673" t="n"/>
      <c r="D40" s="673" t="n"/>
      <c r="E40" s="675" t="n"/>
      <c r="F40" s="675" t="n"/>
      <c r="G40" s="675" t="n"/>
      <c r="H40" s="673" t="n"/>
      <c r="I40" s="673" t="n"/>
      <c r="J40" s="673" t="n"/>
      <c r="K40" s="677" t="n"/>
      <c r="L40" s="677" t="n"/>
      <c r="M40" s="677" t="n"/>
    </row>
    <row r="41">
      <c r="B41" s="673" t="n"/>
      <c r="C41" s="673" t="n"/>
      <c r="D41" s="673" t="n"/>
      <c r="E41" s="675" t="n"/>
      <c r="F41" s="675" t="n"/>
      <c r="G41" s="675" t="n"/>
      <c r="H41" s="673" t="n"/>
      <c r="I41" s="673" t="n"/>
      <c r="J41" s="673" t="n"/>
      <c r="K41" s="677" t="n"/>
      <c r="L41" s="677" t="n"/>
      <c r="M41" s="677" t="n"/>
    </row>
    <row r="42">
      <c r="B42" s="673" t="n"/>
      <c r="C42" s="673" t="n"/>
      <c r="D42" s="673" t="n"/>
      <c r="E42" s="675" t="n"/>
      <c r="F42" s="675" t="n"/>
      <c r="G42" s="675" t="n"/>
      <c r="H42" s="673" t="n"/>
      <c r="I42" s="673" t="n"/>
      <c r="J42" s="673" t="n"/>
      <c r="K42" s="677" t="n"/>
      <c r="L42" s="677" t="n"/>
      <c r="M42" s="677" t="n"/>
    </row>
    <row r="43">
      <c r="B43" s="673" t="n"/>
      <c r="C43" s="673" t="n"/>
      <c r="D43" s="673" t="n"/>
      <c r="E43" s="675" t="n"/>
      <c r="F43" s="675" t="n"/>
      <c r="G43" s="675" t="n"/>
      <c r="H43" s="673" t="n"/>
      <c r="I43" s="673" t="n"/>
      <c r="J43" s="673" t="n"/>
      <c r="K43" s="677" t="n"/>
      <c r="L43" s="677" t="n"/>
      <c r="M43" s="677" t="n"/>
    </row>
    <row r="44">
      <c r="B44" s="673" t="n"/>
      <c r="C44" s="673" t="n"/>
      <c r="D44" s="673" t="n"/>
      <c r="E44" s="675" t="n"/>
      <c r="F44" s="675" t="n"/>
      <c r="G44" s="675" t="n"/>
      <c r="H44" s="673" t="n"/>
      <c r="I44" s="673" t="n"/>
      <c r="J44" s="673" t="n"/>
      <c r="K44" s="677" t="n"/>
      <c r="L44" s="677" t="n"/>
      <c r="M44" s="677" t="n"/>
    </row>
    <row r="45">
      <c r="B45" s="673" t="n"/>
      <c r="C45" s="673" t="n"/>
      <c r="D45" s="673" t="n"/>
      <c r="E45" s="675" t="n"/>
      <c r="F45" s="675" t="n"/>
      <c r="G45" s="675" t="n"/>
      <c r="H45" s="673" t="n"/>
      <c r="I45" s="673" t="n"/>
      <c r="J45" s="673" t="n"/>
      <c r="K45" s="677" t="n"/>
      <c r="L45" s="677" t="n"/>
      <c r="M45" s="677" t="n"/>
    </row>
    <row r="46">
      <c r="B46" s="673" t="n"/>
      <c r="C46" s="673" t="n"/>
      <c r="D46" s="673" t="n"/>
      <c r="E46" s="675" t="n"/>
      <c r="F46" s="675" t="n"/>
      <c r="G46" s="675" t="n"/>
      <c r="H46" s="673" t="n"/>
      <c r="I46" s="673" t="n"/>
      <c r="J46" s="673" t="n"/>
      <c r="K46" s="677" t="n"/>
      <c r="L46" s="677" t="n"/>
      <c r="M46" s="677" t="n"/>
    </row>
    <row r="47">
      <c r="B47" s="673" t="n"/>
      <c r="C47" s="673" t="n"/>
      <c r="D47" s="673" t="n"/>
      <c r="E47" s="675" t="n"/>
      <c r="F47" s="675" t="n"/>
      <c r="G47" s="675" t="n"/>
      <c r="H47" s="673" t="n"/>
      <c r="I47" s="673" t="n"/>
      <c r="J47" s="673" t="n"/>
      <c r="K47" s="677" t="n"/>
      <c r="L47" s="677" t="n"/>
      <c r="M47" s="677" t="n"/>
    </row>
    <row r="48">
      <c r="B48" s="673" t="n"/>
      <c r="C48" s="673" t="n"/>
      <c r="D48" s="673" t="n"/>
      <c r="E48" s="675" t="n"/>
      <c r="F48" s="675" t="n"/>
      <c r="G48" s="675" t="n"/>
      <c r="H48" s="673" t="n"/>
      <c r="I48" s="673" t="n"/>
      <c r="J48" s="673" t="n"/>
      <c r="K48" s="677" t="n"/>
      <c r="L48" s="677" t="n"/>
      <c r="M48" s="677" t="n"/>
    </row>
    <row r="49">
      <c r="B49" s="673" t="n"/>
      <c r="C49" s="673" t="n"/>
      <c r="D49" s="673" t="n"/>
      <c r="E49" s="675" t="n"/>
      <c r="F49" s="675" t="n"/>
      <c r="G49" s="675" t="n"/>
      <c r="H49" s="673" t="n"/>
      <c r="I49" s="673" t="n"/>
      <c r="J49" s="673" t="n"/>
      <c r="K49" s="677" t="n"/>
      <c r="L49" s="677" t="n"/>
      <c r="M49" s="677" t="n"/>
    </row>
    <row r="50">
      <c r="B50" s="673" t="n"/>
      <c r="C50" s="673" t="n"/>
      <c r="D50" s="673" t="n"/>
      <c r="E50" s="675" t="n"/>
      <c r="F50" s="675" t="n"/>
      <c r="G50" s="675" t="n"/>
      <c r="H50" s="673" t="n"/>
      <c r="I50" s="673" t="n"/>
      <c r="J50" s="673" t="n"/>
      <c r="K50" s="677" t="n"/>
      <c r="L50" s="677" t="n"/>
      <c r="M50" s="677" t="n"/>
    </row>
    <row r="51">
      <c r="B51" s="673" t="n"/>
      <c r="C51" s="673" t="n"/>
      <c r="D51" s="673" t="n"/>
      <c r="E51" s="675" t="n"/>
      <c r="F51" s="675" t="n"/>
      <c r="G51" s="675" t="n"/>
      <c r="H51" s="673" t="n"/>
      <c r="I51" s="673" t="n"/>
      <c r="J51" s="673" t="n"/>
      <c r="K51" s="677" t="n"/>
      <c r="L51" s="677" t="n"/>
      <c r="M51" s="677" t="n"/>
    </row>
    <row r="52">
      <c r="B52" s="673" t="n"/>
      <c r="C52" s="673" t="n"/>
      <c r="D52" s="673" t="n"/>
      <c r="E52" s="675" t="n"/>
      <c r="F52" s="675" t="n"/>
      <c r="G52" s="675" t="n"/>
      <c r="H52" s="673" t="n"/>
      <c r="I52" s="673" t="n"/>
      <c r="J52" s="673" t="n"/>
      <c r="K52" s="677" t="n"/>
      <c r="L52" s="677" t="n"/>
      <c r="M52" s="677" t="n"/>
    </row>
    <row r="53">
      <c r="B53" s="673" t="n"/>
      <c r="C53" s="673" t="n"/>
      <c r="D53" s="673" t="n"/>
      <c r="E53" s="675" t="n"/>
      <c r="F53" s="675" t="n"/>
      <c r="G53" s="675" t="n"/>
      <c r="H53" s="673" t="n"/>
      <c r="I53" s="673" t="n"/>
      <c r="J53" s="673" t="n"/>
      <c r="K53" s="677" t="n"/>
      <c r="L53" s="677" t="n"/>
      <c r="M53" s="677" t="n"/>
    </row>
    <row r="54">
      <c r="B54" s="673" t="n"/>
      <c r="C54" s="673" t="n"/>
      <c r="D54" s="673" t="n"/>
      <c r="E54" s="675" t="n"/>
      <c r="F54" s="675" t="n"/>
      <c r="G54" s="675" t="n"/>
      <c r="H54" s="673" t="n"/>
      <c r="I54" s="673" t="n"/>
      <c r="J54" s="673" t="n"/>
      <c r="K54" s="677" t="n"/>
      <c r="L54" s="677" t="n"/>
      <c r="M54" s="677" t="n"/>
    </row>
    <row r="55">
      <c r="B55" s="673" t="n"/>
      <c r="C55" s="673" t="n"/>
      <c r="D55" s="673" t="n"/>
      <c r="E55" s="675" t="n"/>
      <c r="F55" s="675" t="n"/>
      <c r="G55" s="675" t="n"/>
      <c r="H55" s="673" t="n"/>
      <c r="I55" s="673" t="n"/>
      <c r="J55" s="673" t="n"/>
      <c r="K55" s="677" t="n"/>
      <c r="L55" s="677" t="n"/>
      <c r="M55" s="677" t="n"/>
    </row>
    <row r="56">
      <c r="B56" s="673" t="n"/>
      <c r="C56" s="673" t="n"/>
      <c r="D56" s="673" t="n"/>
      <c r="E56" s="675" t="n"/>
      <c r="F56" s="675" t="n"/>
      <c r="G56" s="675" t="n"/>
      <c r="H56" s="673" t="n"/>
      <c r="I56" s="673" t="n"/>
      <c r="J56" s="673" t="n"/>
      <c r="K56" s="677" t="n"/>
      <c r="L56" s="677" t="n"/>
      <c r="M56" s="677" t="n"/>
    </row>
    <row r="57">
      <c r="B57" s="673" t="n"/>
      <c r="C57" s="673" t="n"/>
      <c r="D57" s="673" t="n"/>
      <c r="E57" s="675" t="n"/>
      <c r="F57" s="675" t="n"/>
      <c r="G57" s="675" t="n"/>
      <c r="H57" s="673" t="n"/>
      <c r="I57" s="673" t="n"/>
      <c r="J57" s="673" t="n"/>
      <c r="K57" s="677" t="n"/>
      <c r="L57" s="677" t="n"/>
      <c r="M57" s="677" t="n"/>
    </row>
    <row r="58">
      <c r="B58" s="673" t="n"/>
      <c r="C58" s="673" t="n"/>
      <c r="D58" s="673" t="n"/>
      <c r="E58" s="675" t="n"/>
      <c r="F58" s="675" t="n"/>
      <c r="G58" s="675" t="n"/>
      <c r="H58" s="673" t="n"/>
      <c r="I58" s="673" t="n"/>
      <c r="J58" s="673" t="n"/>
      <c r="K58" s="677" t="n"/>
      <c r="L58" s="677" t="n"/>
      <c r="M58" s="677" t="n"/>
    </row>
    <row r="59">
      <c r="B59" s="673" t="n"/>
      <c r="C59" s="673" t="n"/>
      <c r="D59" s="673" t="n"/>
      <c r="E59" s="675" t="n"/>
      <c r="F59" s="675" t="n"/>
      <c r="G59" s="675" t="n"/>
      <c r="H59" s="673" t="n"/>
      <c r="I59" s="673" t="n"/>
      <c r="J59" s="673" t="n"/>
      <c r="K59" s="677" t="n"/>
      <c r="L59" s="677" t="n"/>
      <c r="M59" s="677" t="n"/>
    </row>
    <row r="60">
      <c r="B60" s="673" t="n"/>
      <c r="C60" s="673" t="n"/>
      <c r="D60" s="673" t="n"/>
      <c r="E60" s="675" t="n"/>
      <c r="F60" s="675" t="n"/>
      <c r="G60" s="675" t="n"/>
      <c r="H60" s="673" t="n"/>
      <c r="I60" s="673" t="n"/>
      <c r="J60" s="673" t="n"/>
      <c r="K60" s="677" t="n"/>
      <c r="L60" s="677" t="n"/>
      <c r="M60" s="677" t="n"/>
    </row>
    <row r="61">
      <c r="B61" s="673" t="n"/>
      <c r="C61" s="673" t="n"/>
      <c r="D61" s="673" t="n"/>
      <c r="E61" s="675" t="n"/>
      <c r="F61" s="675" t="n"/>
      <c r="G61" s="675" t="n"/>
      <c r="H61" s="673" t="n"/>
      <c r="I61" s="673" t="n"/>
      <c r="J61" s="673" t="n"/>
      <c r="K61" s="677" t="n"/>
      <c r="L61" s="677" t="n"/>
      <c r="M61" s="677" t="n"/>
    </row>
    <row r="62">
      <c r="B62" s="673" t="n"/>
      <c r="C62" s="673" t="n"/>
      <c r="D62" s="673" t="n"/>
      <c r="E62" s="675" t="n"/>
      <c r="F62" s="675" t="n"/>
      <c r="G62" s="675" t="n"/>
      <c r="H62" s="673" t="n"/>
      <c r="I62" s="673" t="n"/>
      <c r="J62" s="673" t="n"/>
      <c r="K62" s="677" t="n"/>
      <c r="L62" s="677" t="n"/>
      <c r="M62" s="677" t="n"/>
    </row>
    <row r="63">
      <c r="B63" s="673" t="n"/>
      <c r="C63" s="673" t="n"/>
      <c r="D63" s="673" t="n"/>
      <c r="E63" s="675" t="n"/>
      <c r="F63" s="675" t="n"/>
      <c r="G63" s="675" t="n"/>
      <c r="H63" s="673" t="n"/>
      <c r="I63" s="673" t="n"/>
      <c r="J63" s="673" t="n"/>
      <c r="K63" s="677" t="n"/>
      <c r="L63" s="677" t="n"/>
      <c r="M63" s="677" t="n"/>
    </row>
    <row r="64">
      <c r="B64" s="673" t="n"/>
      <c r="C64" s="673" t="n"/>
      <c r="D64" s="673" t="n"/>
      <c r="E64" s="675" t="n"/>
      <c r="F64" s="675" t="n"/>
      <c r="G64" s="675" t="n"/>
      <c r="H64" s="673" t="n"/>
      <c r="I64" s="673" t="n"/>
      <c r="J64" s="673" t="n"/>
      <c r="K64" s="677" t="n"/>
      <c r="L64" s="677" t="n"/>
      <c r="M64" s="677" t="n"/>
    </row>
    <row r="65">
      <c r="B65" s="673" t="n"/>
      <c r="C65" s="673" t="n"/>
      <c r="D65" s="673" t="n"/>
      <c r="E65" s="675" t="n"/>
      <c r="F65" s="675" t="n"/>
      <c r="G65" s="675" t="n"/>
      <c r="H65" s="673" t="n"/>
      <c r="I65" s="673" t="n"/>
      <c r="J65" s="673" t="n"/>
      <c r="K65" s="677" t="n"/>
      <c r="L65" s="677" t="n"/>
      <c r="M65" s="677" t="n"/>
    </row>
    <row r="66">
      <c r="B66" s="673" t="n"/>
      <c r="C66" s="673" t="n"/>
      <c r="D66" s="673" t="n"/>
      <c r="E66" s="675" t="n"/>
      <c r="F66" s="675" t="n"/>
      <c r="G66" s="675" t="n"/>
      <c r="H66" s="673" t="n"/>
      <c r="I66" s="673" t="n"/>
      <c r="J66" s="673" t="n"/>
      <c r="K66" s="677" t="n"/>
      <c r="L66" s="677" t="n"/>
      <c r="M66" s="677" t="n"/>
    </row>
    <row r="67">
      <c r="B67" s="673" t="n"/>
      <c r="C67" s="673" t="n"/>
      <c r="D67" s="673" t="n"/>
      <c r="E67" s="675" t="n"/>
      <c r="F67" s="675" t="n"/>
      <c r="G67" s="675" t="n"/>
      <c r="H67" s="673" t="n"/>
      <c r="I67" s="673" t="n"/>
      <c r="J67" s="673" t="n"/>
      <c r="K67" s="677" t="n"/>
      <c r="L67" s="677" t="n"/>
      <c r="M67" s="677" t="n"/>
    </row>
    <row r="68">
      <c r="B68" s="673" t="n"/>
      <c r="C68" s="673" t="n"/>
      <c r="D68" s="673" t="n"/>
      <c r="E68" s="675" t="n"/>
      <c r="F68" s="675" t="n"/>
      <c r="G68" s="675" t="n"/>
      <c r="H68" s="673" t="n"/>
      <c r="I68" s="673" t="n"/>
      <c r="J68" s="673" t="n"/>
      <c r="K68" s="677" t="n"/>
      <c r="L68" s="677" t="n"/>
      <c r="M68" s="677" t="n"/>
    </row>
    <row r="69">
      <c r="B69" s="673" t="n"/>
      <c r="C69" s="673" t="n"/>
      <c r="D69" s="673" t="n"/>
      <c r="E69" s="675" t="n"/>
      <c r="F69" s="675" t="n"/>
      <c r="G69" s="675" t="n"/>
      <c r="H69" s="673" t="n"/>
      <c r="I69" s="673" t="n"/>
      <c r="J69" s="673" t="n"/>
      <c r="K69" s="677" t="n"/>
      <c r="L69" s="677" t="n"/>
      <c r="M69" s="677" t="n"/>
    </row>
    <row r="70">
      <c r="B70" s="673" t="n"/>
      <c r="C70" s="673" t="n"/>
      <c r="D70" s="673" t="n"/>
      <c r="E70" s="675" t="n"/>
      <c r="F70" s="675" t="n"/>
      <c r="G70" s="675" t="n"/>
      <c r="H70" s="673" t="n"/>
      <c r="I70" s="673" t="n"/>
      <c r="J70" s="673" t="n"/>
      <c r="K70" s="677" t="n"/>
      <c r="L70" s="677" t="n"/>
      <c r="M70" s="677" t="n"/>
    </row>
    <row r="71">
      <c r="B71" s="673" t="n"/>
      <c r="C71" s="673" t="n"/>
      <c r="D71" s="673" t="n"/>
      <c r="E71" s="675" t="n"/>
      <c r="F71" s="675" t="n"/>
      <c r="G71" s="675" t="n"/>
      <c r="H71" s="673" t="n"/>
      <c r="I71" s="673" t="n"/>
      <c r="J71" s="673" t="n"/>
      <c r="K71" s="677" t="n"/>
      <c r="L71" s="677" t="n"/>
      <c r="M71" s="677" t="n"/>
    </row>
    <row r="72">
      <c r="B72" s="673" t="n"/>
      <c r="C72" s="673" t="n"/>
      <c r="D72" s="673" t="n"/>
      <c r="E72" s="675" t="n"/>
      <c r="F72" s="675" t="n"/>
      <c r="G72" s="675" t="n"/>
      <c r="H72" s="673" t="n"/>
      <c r="I72" s="673" t="n"/>
      <c r="J72" s="673" t="n"/>
      <c r="K72" s="677" t="n"/>
      <c r="L72" s="677" t="n"/>
      <c r="M72" s="677" t="n"/>
    </row>
    <row r="73">
      <c r="B73" s="673" t="n"/>
      <c r="C73" s="673" t="n"/>
      <c r="D73" s="673" t="n"/>
      <c r="E73" s="675" t="n"/>
      <c r="F73" s="675" t="n"/>
      <c r="G73" s="675" t="n"/>
      <c r="H73" s="673" t="n"/>
      <c r="I73" s="673" t="n"/>
      <c r="J73" s="673" t="n"/>
      <c r="K73" s="677" t="n"/>
      <c r="L73" s="677" t="n"/>
      <c r="M73" s="677" t="n"/>
    </row>
    <row r="74">
      <c r="B74" s="673" t="n"/>
      <c r="C74" s="673" t="n"/>
      <c r="D74" s="673" t="n"/>
      <c r="E74" s="675" t="n"/>
      <c r="F74" s="675" t="n"/>
      <c r="G74" s="675" t="n"/>
      <c r="H74" s="673" t="n"/>
      <c r="I74" s="673" t="n"/>
      <c r="J74" s="673" t="n"/>
      <c r="K74" s="677" t="n"/>
      <c r="L74" s="677" t="n"/>
      <c r="M74" s="677" t="n"/>
    </row>
    <row r="75">
      <c r="B75" s="673" t="n"/>
      <c r="C75" s="673" t="n"/>
      <c r="D75" s="673" t="n"/>
      <c r="E75" s="675" t="n"/>
      <c r="F75" s="675" t="n"/>
      <c r="G75" s="675" t="n"/>
      <c r="H75" s="673" t="n"/>
      <c r="I75" s="673" t="n"/>
      <c r="J75" s="673" t="n"/>
      <c r="K75" s="677" t="n"/>
      <c r="L75" s="677" t="n"/>
      <c r="M75" s="677" t="n"/>
    </row>
    <row r="76">
      <c r="B76" s="673" t="n"/>
      <c r="C76" s="673" t="n"/>
      <c r="D76" s="673" t="n"/>
      <c r="E76" s="675" t="n"/>
      <c r="F76" s="675" t="n"/>
      <c r="G76" s="675" t="n"/>
      <c r="H76" s="673" t="n"/>
      <c r="I76" s="673" t="n"/>
      <c r="J76" s="673" t="n"/>
      <c r="K76" s="677" t="n"/>
      <c r="L76" s="677" t="n"/>
      <c r="M76" s="677" t="n"/>
    </row>
    <row r="77">
      <c r="B77" s="673" t="n"/>
      <c r="C77" s="673" t="n"/>
      <c r="D77" s="673" t="n"/>
      <c r="E77" s="675" t="n"/>
      <c r="F77" s="675" t="n"/>
      <c r="G77" s="675" t="n"/>
      <c r="H77" s="673" t="n"/>
      <c r="I77" s="673" t="n"/>
      <c r="J77" s="673" t="n"/>
      <c r="K77" s="677" t="n"/>
      <c r="L77" s="677" t="n"/>
      <c r="M77" s="677" t="n"/>
    </row>
    <row r="78">
      <c r="B78" s="673" t="n"/>
      <c r="C78" s="673" t="n"/>
      <c r="D78" s="673" t="n"/>
      <c r="E78" s="675" t="n"/>
      <c r="F78" s="675" t="n"/>
      <c r="G78" s="675" t="n"/>
      <c r="H78" s="673" t="n"/>
      <c r="I78" s="673" t="n"/>
      <c r="J78" s="673" t="n"/>
      <c r="K78" s="677" t="n"/>
      <c r="L78" s="677" t="n"/>
      <c r="M78" s="677" t="n"/>
    </row>
    <row r="79">
      <c r="B79" s="673" t="n"/>
      <c r="C79" s="673" t="n"/>
      <c r="D79" s="673" t="n"/>
      <c r="E79" s="675" t="n"/>
      <c r="F79" s="675" t="n"/>
      <c r="G79" s="675" t="n"/>
      <c r="H79" s="673" t="n"/>
      <c r="I79" s="673" t="n"/>
      <c r="J79" s="673" t="n"/>
      <c r="K79" s="677" t="n"/>
      <c r="L79" s="677" t="n"/>
      <c r="M79" s="677" t="n"/>
    </row>
    <row r="80">
      <c r="B80" s="673" t="n"/>
      <c r="C80" s="673" t="n"/>
      <c r="D80" s="673" t="n"/>
      <c r="E80" s="675" t="n"/>
      <c r="F80" s="675" t="n"/>
      <c r="G80" s="675" t="n"/>
      <c r="H80" s="673" t="n"/>
      <c r="I80" s="673" t="n"/>
      <c r="J80" s="673" t="n"/>
      <c r="K80" s="677" t="n"/>
      <c r="L80" s="677" t="n"/>
      <c r="M80" s="677" t="n"/>
    </row>
    <row r="81">
      <c r="B81" s="673" t="n"/>
      <c r="C81" s="673" t="n"/>
      <c r="D81" s="673" t="n"/>
      <c r="E81" s="675" t="n"/>
      <c r="F81" s="675" t="n"/>
      <c r="G81" s="675" t="n"/>
      <c r="H81" s="673" t="n"/>
      <c r="I81" s="673" t="n"/>
      <c r="J81" s="673" t="n"/>
      <c r="K81" s="677" t="n"/>
      <c r="L81" s="677" t="n"/>
      <c r="M81" s="677" t="n"/>
    </row>
    <row r="82">
      <c r="B82" s="673" t="n"/>
      <c r="C82" s="673" t="n"/>
      <c r="D82" s="673" t="n"/>
      <c r="E82" s="675" t="n"/>
      <c r="F82" s="675" t="n"/>
      <c r="G82" s="675" t="n"/>
      <c r="H82" s="673" t="n"/>
      <c r="I82" s="673" t="n"/>
      <c r="J82" s="673" t="n"/>
      <c r="K82" s="677" t="n"/>
      <c r="L82" s="677" t="n"/>
      <c r="M82" s="677" t="n"/>
    </row>
    <row r="83">
      <c r="B83" s="673" t="n"/>
      <c r="C83" s="673" t="n"/>
      <c r="D83" s="673" t="n"/>
      <c r="E83" s="675" t="n"/>
      <c r="F83" s="675" t="n"/>
      <c r="G83" s="675" t="n"/>
      <c r="H83" s="673" t="n"/>
      <c r="I83" s="673" t="n"/>
      <c r="J83" s="673" t="n"/>
      <c r="K83" s="677" t="n"/>
      <c r="L83" s="677" t="n"/>
      <c r="M83" s="677" t="n"/>
    </row>
    <row r="84">
      <c r="B84" s="673" t="n"/>
      <c r="C84" s="673" t="n"/>
      <c r="D84" s="673" t="n"/>
      <c r="E84" s="675" t="n"/>
      <c r="F84" s="675" t="n"/>
      <c r="G84" s="675" t="n"/>
      <c r="H84" s="673" t="n"/>
      <c r="I84" s="673" t="n"/>
      <c r="J84" s="673" t="n"/>
      <c r="K84" s="677" t="n"/>
      <c r="L84" s="677" t="n"/>
      <c r="M84" s="677" t="n"/>
    </row>
    <row r="85">
      <c r="B85" s="673" t="n"/>
      <c r="C85" s="673" t="n"/>
      <c r="D85" s="673" t="n"/>
      <c r="E85" s="675" t="n"/>
      <c r="F85" s="675" t="n"/>
      <c r="G85" s="675" t="n"/>
      <c r="H85" s="673" t="n"/>
      <c r="I85" s="673" t="n"/>
      <c r="J85" s="673" t="n"/>
      <c r="K85" s="677" t="n"/>
      <c r="L85" s="677" t="n"/>
      <c r="M85" s="677" t="n"/>
    </row>
    <row r="86">
      <c r="B86" s="673" t="n"/>
      <c r="C86" s="673" t="n"/>
      <c r="D86" s="673" t="n"/>
      <c r="E86" s="675" t="n"/>
      <c r="F86" s="675" t="n"/>
      <c r="G86" s="675" t="n"/>
      <c r="H86" s="673" t="n"/>
      <c r="I86" s="673" t="n"/>
      <c r="J86" s="673" t="n"/>
      <c r="K86" s="677" t="n"/>
      <c r="L86" s="677" t="n"/>
      <c r="M86" s="677" t="n"/>
    </row>
    <row r="87">
      <c r="B87" s="673" t="n"/>
      <c r="C87" s="673" t="n"/>
      <c r="D87" s="673" t="n"/>
      <c r="E87" s="675" t="n"/>
      <c r="F87" s="675" t="n"/>
      <c r="G87" s="675" t="n"/>
      <c r="H87" s="673" t="n"/>
      <c r="I87" s="673" t="n"/>
      <c r="J87" s="673" t="n"/>
      <c r="K87" s="677" t="n"/>
      <c r="L87" s="677" t="n"/>
      <c r="M87" s="677" t="n"/>
    </row>
    <row r="88">
      <c r="B88" s="673" t="n"/>
      <c r="C88" s="673" t="n"/>
      <c r="D88" s="673" t="n"/>
      <c r="E88" s="675" t="n"/>
      <c r="F88" s="675" t="n"/>
      <c r="G88" s="675" t="n"/>
      <c r="H88" s="673" t="n"/>
      <c r="I88" s="673" t="n"/>
      <c r="J88" s="673" t="n"/>
      <c r="K88" s="677" t="n"/>
      <c r="L88" s="677" t="n"/>
      <c r="M88" s="677" t="n"/>
    </row>
    <row r="89">
      <c r="B89" s="673" t="n"/>
      <c r="C89" s="673" t="n"/>
      <c r="D89" s="673" t="n"/>
      <c r="E89" s="675" t="n"/>
      <c r="F89" s="675" t="n"/>
      <c r="G89" s="675" t="n"/>
      <c r="H89" s="673" t="n"/>
      <c r="I89" s="673" t="n"/>
      <c r="J89" s="673" t="n"/>
      <c r="K89" s="677" t="n"/>
      <c r="L89" s="677" t="n"/>
      <c r="M89" s="677" t="n"/>
    </row>
    <row r="90">
      <c r="B90" s="673" t="n"/>
      <c r="C90" s="673" t="n"/>
      <c r="D90" s="673" t="n"/>
      <c r="E90" s="675" t="n"/>
      <c r="F90" s="675" t="n"/>
      <c r="G90" s="675" t="n"/>
      <c r="H90" s="673" t="n"/>
      <c r="I90" s="673" t="n"/>
      <c r="J90" s="673" t="n"/>
      <c r="K90" s="677" t="n"/>
      <c r="L90" s="677" t="n"/>
      <c r="M90" s="677" t="n"/>
    </row>
    <row r="91">
      <c r="B91" s="673" t="n"/>
      <c r="C91" s="673" t="n"/>
      <c r="D91" s="673" t="n"/>
      <c r="E91" s="675" t="n"/>
      <c r="F91" s="675" t="n"/>
      <c r="G91" s="675" t="n"/>
      <c r="H91" s="673" t="n"/>
      <c r="I91" s="673" t="n"/>
      <c r="J91" s="673" t="n"/>
      <c r="K91" s="677" t="n"/>
      <c r="L91" s="677" t="n"/>
      <c r="M91" s="677" t="n"/>
    </row>
    <row r="92">
      <c r="B92" s="673" t="n"/>
      <c r="C92" s="673" t="n"/>
      <c r="D92" s="673" t="n"/>
      <c r="E92" s="675" t="n"/>
      <c r="F92" s="675" t="n"/>
      <c r="G92" s="675" t="n"/>
      <c r="H92" s="673" t="n"/>
      <c r="I92" s="673" t="n"/>
      <c r="J92" s="673" t="n"/>
      <c r="K92" s="677" t="n"/>
      <c r="L92" s="677" t="n"/>
      <c r="M92" s="677" t="n"/>
    </row>
    <row r="93">
      <c r="B93" s="673" t="n"/>
      <c r="C93" s="673" t="n"/>
      <c r="D93" s="673" t="n"/>
      <c r="E93" s="675" t="n"/>
      <c r="F93" s="675" t="n"/>
      <c r="G93" s="675" t="n"/>
      <c r="H93" s="673" t="n"/>
      <c r="I93" s="673" t="n"/>
      <c r="J93" s="673" t="n"/>
      <c r="K93" s="677" t="n"/>
      <c r="L93" s="677" t="n"/>
      <c r="M93" s="677" t="n"/>
    </row>
    <row r="94">
      <c r="B94" s="673" t="n"/>
      <c r="C94" s="673" t="n"/>
      <c r="D94" s="673" t="n"/>
      <c r="E94" s="675" t="n"/>
      <c r="F94" s="675" t="n"/>
      <c r="G94" s="675" t="n"/>
      <c r="H94" s="673" t="n"/>
      <c r="I94" s="673" t="n"/>
      <c r="J94" s="673" t="n"/>
      <c r="K94" s="677" t="n"/>
      <c r="L94" s="677" t="n"/>
      <c r="M94" s="677" t="n"/>
    </row>
    <row r="95">
      <c r="B95" s="673" t="n"/>
      <c r="C95" s="673" t="n"/>
      <c r="D95" s="673" t="n"/>
      <c r="E95" s="675" t="n"/>
      <c r="F95" s="675" t="n"/>
      <c r="G95" s="675" t="n"/>
      <c r="H95" s="673" t="n"/>
      <c r="I95" s="673" t="n"/>
      <c r="J95" s="673" t="n"/>
      <c r="K95" s="677" t="n"/>
      <c r="L95" s="677" t="n"/>
      <c r="M95" s="677" t="n"/>
    </row>
    <row r="96">
      <c r="B96" s="673" t="n"/>
      <c r="C96" s="673" t="n"/>
      <c r="D96" s="673" t="n"/>
      <c r="E96" s="675" t="n"/>
      <c r="F96" s="675" t="n"/>
      <c r="G96" s="675" t="n"/>
      <c r="H96" s="673" t="n"/>
      <c r="I96" s="673" t="n"/>
      <c r="J96" s="673" t="n"/>
      <c r="K96" s="677" t="n"/>
      <c r="L96" s="677" t="n"/>
      <c r="M96" s="677" t="n"/>
    </row>
    <row r="97">
      <c r="B97" s="673" t="n"/>
      <c r="C97" s="673" t="n"/>
      <c r="D97" s="673" t="n"/>
      <c r="E97" s="675" t="n"/>
      <c r="F97" s="675" t="n"/>
      <c r="G97" s="675" t="n"/>
      <c r="H97" s="673" t="n"/>
      <c r="I97" s="673" t="n"/>
      <c r="J97" s="673" t="n"/>
      <c r="K97" s="677" t="n"/>
      <c r="L97" s="677" t="n"/>
      <c r="M97" s="677" t="n"/>
    </row>
    <row r="98">
      <c r="B98" s="673" t="n"/>
      <c r="C98" s="673" t="n"/>
      <c r="D98" s="673" t="n"/>
      <c r="E98" s="675" t="n"/>
      <c r="F98" s="675" t="n"/>
      <c r="G98" s="675" t="n"/>
      <c r="H98" s="673" t="n"/>
      <c r="I98" s="673" t="n"/>
      <c r="J98" s="673" t="n"/>
      <c r="K98" s="677" t="n"/>
      <c r="L98" s="677" t="n"/>
      <c r="M98" s="677" t="n"/>
    </row>
    <row r="99">
      <c r="B99" s="673" t="n"/>
      <c r="C99" s="673" t="n"/>
      <c r="D99" s="673" t="n"/>
      <c r="E99" s="675" t="n"/>
      <c r="F99" s="675" t="n"/>
      <c r="G99" s="675" t="n"/>
      <c r="H99" s="673" t="n"/>
      <c r="I99" s="673" t="n"/>
      <c r="J99" s="673" t="n"/>
      <c r="K99" s="677" t="n"/>
      <c r="L99" s="677" t="n"/>
      <c r="M99" s="677" t="n"/>
    </row>
    <row r="100">
      <c r="B100" s="673" t="n"/>
      <c r="C100" s="673" t="n"/>
      <c r="D100" s="673" t="n"/>
      <c r="E100" s="675" t="n"/>
      <c r="F100" s="675" t="n"/>
      <c r="G100" s="675" t="n"/>
      <c r="H100" s="673" t="n"/>
      <c r="I100" s="673" t="n"/>
      <c r="J100" s="673" t="n"/>
      <c r="K100" s="677" t="n"/>
      <c r="L100" s="677" t="n"/>
      <c r="M100" s="677" t="n"/>
    </row>
    <row r="101">
      <c r="B101" s="673" t="n"/>
      <c r="C101" s="673" t="n"/>
      <c r="D101" s="673" t="n"/>
      <c r="E101" s="675" t="n"/>
      <c r="F101" s="675" t="n"/>
      <c r="G101" s="675" t="n"/>
      <c r="H101" s="673" t="n"/>
      <c r="I101" s="673" t="n"/>
      <c r="J101" s="673" t="n"/>
      <c r="K101" s="677" t="n"/>
      <c r="L101" s="677" t="n"/>
      <c r="M101" s="677" t="n"/>
    </row>
    <row r="102">
      <c r="B102" s="673" t="n"/>
      <c r="C102" s="673" t="n"/>
      <c r="D102" s="673" t="n"/>
      <c r="E102" s="675" t="n"/>
      <c r="F102" s="675" t="n"/>
      <c r="G102" s="675" t="n"/>
      <c r="H102" s="673" t="n"/>
      <c r="I102" s="673" t="n"/>
      <c r="J102" s="673" t="n"/>
      <c r="K102" s="677" t="n"/>
      <c r="L102" s="677" t="n"/>
      <c r="M102" s="677" t="n"/>
    </row>
    <row r="103">
      <c r="B103" s="673" t="n"/>
      <c r="C103" s="673" t="n"/>
      <c r="D103" s="673" t="n"/>
      <c r="E103" s="675" t="n"/>
      <c r="F103" s="675" t="n"/>
      <c r="G103" s="675" t="n"/>
      <c r="H103" s="673" t="n"/>
      <c r="I103" s="673" t="n"/>
      <c r="J103" s="673" t="n"/>
      <c r="K103" s="677" t="n"/>
      <c r="L103" s="677" t="n"/>
      <c r="M103" s="677" t="n"/>
    </row>
    <row r="104">
      <c r="B104" s="673" t="n"/>
      <c r="C104" s="673" t="n"/>
      <c r="D104" s="673" t="n"/>
      <c r="E104" s="675" t="n"/>
      <c r="F104" s="675" t="n"/>
      <c r="G104" s="675" t="n"/>
      <c r="H104" s="673" t="n"/>
      <c r="I104" s="673" t="n"/>
      <c r="J104" s="673" t="n"/>
      <c r="K104" s="677" t="n"/>
      <c r="L104" s="677" t="n"/>
      <c r="M104" s="677" t="n"/>
    </row>
    <row r="105">
      <c r="B105" s="673" t="n"/>
      <c r="C105" s="673" t="n"/>
      <c r="D105" s="673" t="n"/>
      <c r="E105" s="675" t="n"/>
      <c r="F105" s="675" t="n"/>
      <c r="G105" s="675" t="n"/>
      <c r="H105" s="673" t="n"/>
      <c r="I105" s="673" t="n"/>
      <c r="J105" s="673" t="n"/>
      <c r="K105" s="677" t="n"/>
      <c r="L105" s="677" t="n"/>
      <c r="M105" s="677" t="n"/>
    </row>
    <row r="106">
      <c r="B106" s="673" t="n"/>
      <c r="C106" s="673" t="n"/>
      <c r="D106" s="673" t="n"/>
      <c r="E106" s="675" t="n"/>
      <c r="F106" s="675" t="n"/>
      <c r="G106" s="675" t="n"/>
      <c r="H106" s="673" t="n"/>
      <c r="I106" s="673" t="n"/>
      <c r="J106" s="673" t="n"/>
      <c r="K106" s="677" t="n"/>
      <c r="L106" s="677" t="n"/>
      <c r="M106" s="677" t="n"/>
    </row>
    <row r="107">
      <c r="B107" s="673" t="n"/>
      <c r="C107" s="673" t="n"/>
      <c r="D107" s="673" t="n"/>
      <c r="E107" s="675" t="n"/>
      <c r="F107" s="675" t="n"/>
      <c r="G107" s="675" t="n"/>
      <c r="H107" s="673" t="n"/>
      <c r="I107" s="673" t="n"/>
      <c r="J107" s="673" t="n"/>
      <c r="K107" s="677" t="n"/>
      <c r="L107" s="677" t="n"/>
      <c r="M107" s="677" t="n"/>
    </row>
    <row r="108">
      <c r="B108" s="673" t="n"/>
      <c r="C108" s="673" t="n"/>
      <c r="D108" s="673" t="n"/>
      <c r="E108" s="675" t="n"/>
      <c r="F108" s="675" t="n"/>
      <c r="G108" s="675" t="n"/>
      <c r="H108" s="673" t="n"/>
      <c r="I108" s="673" t="n"/>
      <c r="J108" s="673" t="n"/>
      <c r="K108" s="677" t="n"/>
      <c r="L108" s="677" t="n"/>
      <c r="M108" s="677" t="n"/>
    </row>
    <row r="109">
      <c r="B109" s="673" t="n"/>
      <c r="C109" s="673" t="n"/>
      <c r="D109" s="673" t="n"/>
      <c r="E109" s="675" t="n"/>
      <c r="F109" s="675" t="n"/>
      <c r="G109" s="675" t="n"/>
      <c r="H109" s="673" t="n"/>
      <c r="I109" s="673" t="n"/>
      <c r="J109" s="673" t="n"/>
      <c r="K109" s="677" t="n"/>
      <c r="L109" s="677" t="n"/>
      <c r="M109" s="677" t="n"/>
    </row>
    <row r="110">
      <c r="B110" s="673" t="n"/>
      <c r="C110" s="673" t="n"/>
      <c r="D110" s="673" t="n"/>
      <c r="E110" s="675" t="n"/>
      <c r="F110" s="675" t="n"/>
      <c r="G110" s="675" t="n"/>
      <c r="H110" s="673" t="n"/>
      <c r="I110" s="673" t="n"/>
      <c r="J110" s="673" t="n"/>
      <c r="K110" s="677" t="n"/>
      <c r="L110" s="677" t="n"/>
      <c r="M110" s="677" t="n"/>
    </row>
    <row r="111">
      <c r="B111" s="673" t="n"/>
      <c r="C111" s="673" t="n"/>
      <c r="D111" s="673" t="n"/>
      <c r="E111" s="675" t="n"/>
      <c r="F111" s="675" t="n"/>
      <c r="G111" s="675" t="n"/>
      <c r="H111" s="673" t="n"/>
      <c r="I111" s="673" t="n"/>
      <c r="J111" s="673" t="n"/>
      <c r="K111" s="677" t="n"/>
      <c r="L111" s="677" t="n"/>
      <c r="M111" s="677" t="n"/>
    </row>
    <row r="112">
      <c r="B112" s="673" t="n"/>
      <c r="C112" s="673" t="n"/>
      <c r="D112" s="673" t="n"/>
      <c r="E112" s="675" t="n"/>
      <c r="F112" s="675" t="n"/>
      <c r="G112" s="675" t="n"/>
      <c r="H112" s="673" t="n"/>
      <c r="I112" s="673" t="n"/>
      <c r="J112" s="673" t="n"/>
      <c r="K112" s="677" t="n"/>
      <c r="L112" s="677" t="n"/>
      <c r="M112" s="677" t="n"/>
    </row>
    <row r="113">
      <c r="B113" s="673" t="n"/>
      <c r="C113" s="673" t="n"/>
      <c r="D113" s="673" t="n"/>
      <c r="E113" s="675" t="n"/>
      <c r="F113" s="675" t="n"/>
      <c r="G113" s="675" t="n"/>
      <c r="H113" s="673" t="n"/>
      <c r="I113" s="673" t="n"/>
      <c r="J113" s="673" t="n"/>
      <c r="K113" s="677" t="n"/>
      <c r="L113" s="677" t="n"/>
      <c r="M113" s="677" t="n"/>
    </row>
    <row r="114">
      <c r="B114" s="673" t="n"/>
      <c r="C114" s="673" t="n"/>
      <c r="D114" s="673" t="n"/>
      <c r="E114" s="675" t="n"/>
      <c r="F114" s="675" t="n"/>
      <c r="G114" s="675" t="n"/>
      <c r="H114" s="673" t="n"/>
      <c r="I114" s="673" t="n"/>
      <c r="J114" s="673" t="n"/>
      <c r="K114" s="677" t="n"/>
      <c r="L114" s="677" t="n"/>
      <c r="M114" s="677" t="n"/>
    </row>
    <row r="115">
      <c r="B115" s="673" t="n"/>
      <c r="C115" s="673" t="n"/>
      <c r="D115" s="673" t="n"/>
      <c r="E115" s="675" t="n"/>
      <c r="F115" s="675" t="n"/>
      <c r="G115" s="675" t="n"/>
      <c r="H115" s="673" t="n"/>
      <c r="I115" s="673" t="n"/>
      <c r="J115" s="673" t="n"/>
      <c r="K115" s="677" t="n"/>
      <c r="L115" s="677" t="n"/>
      <c r="M115" s="677" t="n"/>
    </row>
    <row r="116">
      <c r="B116" s="673" t="n"/>
      <c r="C116" s="673" t="n"/>
      <c r="D116" s="673" t="n"/>
      <c r="E116" s="675" t="n"/>
      <c r="F116" s="675" t="n"/>
      <c r="G116" s="675" t="n"/>
      <c r="H116" s="673" t="n"/>
      <c r="I116" s="673" t="n"/>
      <c r="J116" s="673" t="n"/>
      <c r="K116" s="677" t="n"/>
      <c r="L116" s="677" t="n"/>
      <c r="M116" s="677" t="n"/>
    </row>
    <row r="117">
      <c r="B117" s="673" t="n"/>
      <c r="C117" s="673" t="n"/>
      <c r="D117" s="673" t="n"/>
      <c r="E117" s="675" t="n"/>
      <c r="F117" s="675" t="n"/>
      <c r="G117" s="675" t="n"/>
      <c r="H117" s="673" t="n"/>
      <c r="I117" s="673" t="n"/>
      <c r="J117" s="673" t="n"/>
      <c r="K117" s="677" t="n"/>
      <c r="L117" s="677" t="n"/>
      <c r="M117" s="677" t="n"/>
    </row>
    <row r="118">
      <c r="B118" s="673" t="n"/>
      <c r="C118" s="673" t="n"/>
      <c r="D118" s="673" t="n"/>
      <c r="E118" s="675" t="n"/>
      <c r="F118" s="675" t="n"/>
      <c r="G118" s="675" t="n"/>
      <c r="H118" s="673" t="n"/>
      <c r="I118" s="673" t="n"/>
      <c r="J118" s="673" t="n"/>
      <c r="K118" s="677" t="n"/>
      <c r="L118" s="677" t="n"/>
      <c r="M118" s="677" t="n"/>
    </row>
    <row r="119">
      <c r="B119" s="673" t="n"/>
      <c r="C119" s="673" t="n"/>
      <c r="D119" s="673" t="n"/>
      <c r="E119" s="675" t="n"/>
      <c r="F119" s="675" t="n"/>
      <c r="G119" s="675" t="n"/>
      <c r="H119" s="673" t="n"/>
      <c r="I119" s="673" t="n"/>
      <c r="J119" s="673" t="n"/>
      <c r="K119" s="677" t="n"/>
      <c r="L119" s="677" t="n"/>
      <c r="M119" s="677" t="n"/>
    </row>
    <row r="120">
      <c r="B120" s="673" t="n"/>
      <c r="C120" s="673" t="n"/>
      <c r="D120" s="673" t="n"/>
      <c r="E120" s="675" t="n"/>
      <c r="F120" s="675" t="n"/>
      <c r="G120" s="675" t="n"/>
      <c r="H120" s="673" t="n"/>
      <c r="I120" s="673" t="n"/>
      <c r="J120" s="673" t="n"/>
      <c r="K120" s="677" t="n"/>
      <c r="L120" s="677" t="n"/>
      <c r="M120" s="677" t="n"/>
    </row>
    <row r="121">
      <c r="B121" s="673" t="n"/>
      <c r="C121" s="673" t="n"/>
      <c r="D121" s="673" t="n"/>
      <c r="E121" s="675" t="n"/>
      <c r="F121" s="675" t="n"/>
      <c r="G121" s="675" t="n"/>
      <c r="H121" s="673" t="n"/>
      <c r="I121" s="673" t="n"/>
      <c r="J121" s="673" t="n"/>
      <c r="K121" s="677" t="n"/>
      <c r="L121" s="677" t="n"/>
      <c r="M121" s="677" t="n"/>
    </row>
    <row r="122">
      <c r="B122" s="673" t="n"/>
      <c r="C122" s="673" t="n"/>
      <c r="D122" s="673" t="n"/>
      <c r="E122" s="675" t="n"/>
      <c r="F122" s="675" t="n"/>
      <c r="G122" s="675" t="n"/>
      <c r="H122" s="673" t="n"/>
      <c r="I122" s="673" t="n"/>
      <c r="J122" s="673" t="n"/>
      <c r="K122" s="677" t="n"/>
      <c r="L122" s="677" t="n"/>
      <c r="M122" s="677" t="n"/>
    </row>
    <row r="123">
      <c r="B123" s="673" t="n"/>
      <c r="C123" s="673" t="n"/>
      <c r="D123" s="673" t="n"/>
      <c r="E123" s="675" t="n"/>
      <c r="F123" s="675" t="n"/>
      <c r="G123" s="675" t="n"/>
      <c r="H123" s="673" t="n"/>
      <c r="I123" s="673" t="n"/>
      <c r="J123" s="673" t="n"/>
      <c r="K123" s="677" t="n"/>
      <c r="L123" s="677" t="n"/>
      <c r="M123" s="677" t="n"/>
    </row>
    <row r="124">
      <c r="B124" s="673" t="n"/>
      <c r="C124" s="673" t="n"/>
      <c r="D124" s="673" t="n"/>
      <c r="E124" s="675" t="n"/>
      <c r="F124" s="675" t="n"/>
      <c r="G124" s="675" t="n"/>
      <c r="H124" s="673" t="n"/>
      <c r="I124" s="673" t="n"/>
      <c r="J124" s="673" t="n"/>
      <c r="K124" s="677" t="n"/>
      <c r="L124" s="677" t="n"/>
      <c r="M124" s="677" t="n"/>
    </row>
    <row r="125">
      <c r="B125" s="673" t="n"/>
      <c r="C125" s="673" t="n"/>
      <c r="D125" s="673" t="n"/>
      <c r="E125" s="675" t="n"/>
      <c r="F125" s="675" t="n"/>
      <c r="G125" s="675" t="n"/>
      <c r="H125" s="673" t="n"/>
      <c r="I125" s="673" t="n"/>
      <c r="J125" s="673" t="n"/>
      <c r="K125" s="677" t="n"/>
      <c r="L125" s="677" t="n"/>
      <c r="M125" s="677" t="n"/>
    </row>
    <row r="126">
      <c r="B126" s="673" t="n"/>
      <c r="C126" s="673" t="n"/>
      <c r="D126" s="673" t="n"/>
      <c r="E126" s="675" t="n"/>
      <c r="F126" s="675" t="n"/>
      <c r="G126" s="675" t="n"/>
      <c r="H126" s="673" t="n"/>
      <c r="I126" s="673" t="n"/>
      <c r="J126" s="673" t="n"/>
      <c r="K126" s="677" t="n"/>
      <c r="L126" s="677" t="n"/>
      <c r="M126" s="677" t="n"/>
    </row>
    <row r="127">
      <c r="B127" s="673" t="n"/>
      <c r="C127" s="673" t="n"/>
      <c r="D127" s="673" t="n"/>
      <c r="E127" s="675" t="n"/>
      <c r="F127" s="675" t="n"/>
      <c r="G127" s="675" t="n"/>
      <c r="H127" s="673" t="n"/>
      <c r="I127" s="673" t="n"/>
      <c r="J127" s="673" t="n"/>
      <c r="K127" s="677" t="n"/>
      <c r="L127" s="677" t="n"/>
      <c r="M127" s="677" t="n"/>
    </row>
    <row r="128">
      <c r="B128" s="673" t="n"/>
      <c r="C128" s="673" t="n"/>
      <c r="D128" s="673" t="n"/>
      <c r="E128" s="675" t="n"/>
      <c r="F128" s="675" t="n"/>
      <c r="G128" s="675" t="n"/>
      <c r="H128" s="673" t="n"/>
      <c r="I128" s="673" t="n"/>
      <c r="J128" s="673" t="n"/>
      <c r="K128" s="677" t="n"/>
      <c r="L128" s="677" t="n"/>
      <c r="M128" s="677" t="n"/>
    </row>
    <row r="129">
      <c r="B129" s="673" t="n"/>
      <c r="C129" s="673" t="n"/>
      <c r="D129" s="673" t="n"/>
      <c r="E129" s="675" t="n"/>
      <c r="F129" s="675" t="n"/>
      <c r="G129" s="675" t="n"/>
      <c r="H129" s="673" t="n"/>
      <c r="I129" s="673" t="n"/>
      <c r="J129" s="673" t="n"/>
      <c r="K129" s="677" t="n"/>
      <c r="L129" s="677" t="n"/>
      <c r="M129" s="677" t="n"/>
    </row>
    <row r="130">
      <c r="B130" s="673" t="n"/>
      <c r="C130" s="673" t="n"/>
      <c r="D130" s="673" t="n"/>
      <c r="E130" s="675" t="n"/>
      <c r="F130" s="675" t="n"/>
      <c r="G130" s="675" t="n"/>
      <c r="H130" s="673" t="n"/>
      <c r="I130" s="673" t="n"/>
      <c r="J130" s="673" t="n"/>
      <c r="K130" s="677" t="n"/>
      <c r="L130" s="677" t="n"/>
      <c r="M130" s="677" t="n"/>
    </row>
    <row r="131">
      <c r="B131" s="673" t="n"/>
      <c r="C131" s="673" t="n"/>
      <c r="D131" s="673" t="n"/>
      <c r="E131" s="675" t="n"/>
      <c r="F131" s="675" t="n"/>
      <c r="G131" s="675" t="n"/>
      <c r="H131" s="673" t="n"/>
      <c r="I131" s="673" t="n"/>
      <c r="J131" s="673" t="n"/>
      <c r="K131" s="677" t="n"/>
      <c r="L131" s="677" t="n"/>
      <c r="M131" s="677" t="n"/>
    </row>
    <row r="132">
      <c r="B132" s="673" t="n"/>
      <c r="C132" s="673" t="n"/>
      <c r="D132" s="673" t="n"/>
      <c r="E132" s="675" t="n"/>
      <c r="F132" s="675" t="n"/>
      <c r="G132" s="675" t="n"/>
      <c r="H132" s="673" t="n"/>
      <c r="I132" s="673" t="n"/>
      <c r="J132" s="673" t="n"/>
      <c r="K132" s="677" t="n"/>
      <c r="L132" s="677" t="n"/>
      <c r="M132" s="677" t="n"/>
    </row>
    <row r="133">
      <c r="B133" s="673" t="n"/>
      <c r="C133" s="673" t="n"/>
      <c r="D133" s="673" t="n"/>
      <c r="E133" s="675" t="n"/>
      <c r="F133" s="675" t="n"/>
      <c r="G133" s="675" t="n"/>
      <c r="H133" s="673" t="n"/>
      <c r="I133" s="673" t="n"/>
      <c r="J133" s="673" t="n"/>
      <c r="K133" s="677" t="n"/>
      <c r="L133" s="677" t="n"/>
      <c r="M133" s="677" t="n"/>
    </row>
    <row r="134">
      <c r="B134" s="673" t="n"/>
      <c r="C134" s="673" t="n"/>
      <c r="D134" s="673" t="n"/>
      <c r="E134" s="675" t="n"/>
      <c r="F134" s="675" t="n"/>
      <c r="G134" s="675" t="n"/>
      <c r="H134" s="673" t="n"/>
      <c r="I134" s="673" t="n"/>
      <c r="J134" s="673" t="n"/>
      <c r="K134" s="677" t="n"/>
      <c r="L134" s="677" t="n"/>
      <c r="M134" s="677" t="n"/>
    </row>
    <row r="135">
      <c r="B135" s="673" t="n"/>
      <c r="C135" s="673" t="n"/>
      <c r="D135" s="673" t="n"/>
      <c r="E135" s="675" t="n"/>
      <c r="F135" s="675" t="n"/>
      <c r="G135" s="675" t="n"/>
      <c r="H135" s="673" t="n"/>
      <c r="I135" s="673" t="n"/>
      <c r="J135" s="673" t="n"/>
      <c r="K135" s="677" t="n"/>
      <c r="L135" s="677" t="n"/>
      <c r="M135" s="677" t="n"/>
    </row>
    <row r="136">
      <c r="B136" s="673" t="n"/>
      <c r="C136" s="673" t="n"/>
      <c r="D136" s="673" t="n"/>
      <c r="E136" s="675" t="n"/>
      <c r="F136" s="675" t="n"/>
      <c r="G136" s="675" t="n"/>
      <c r="H136" s="673" t="n"/>
      <c r="I136" s="673" t="n"/>
      <c r="J136" s="673" t="n"/>
      <c r="K136" s="677" t="n"/>
      <c r="L136" s="677" t="n"/>
      <c r="M136" s="677" t="n"/>
    </row>
    <row r="137">
      <c r="B137" s="673" t="n"/>
      <c r="C137" s="673" t="n"/>
      <c r="D137" s="673" t="n"/>
      <c r="E137" s="675" t="n"/>
      <c r="F137" s="675" t="n"/>
      <c r="G137" s="675" t="n"/>
      <c r="H137" s="673" t="n"/>
      <c r="I137" s="673" t="n"/>
      <c r="J137" s="673" t="n"/>
      <c r="K137" s="677" t="n"/>
      <c r="L137" s="677" t="n"/>
      <c r="M137" s="677" t="n"/>
    </row>
    <row r="138">
      <c r="B138" s="673" t="n"/>
      <c r="C138" s="673" t="n"/>
      <c r="D138" s="673" t="n"/>
      <c r="E138" s="675" t="n"/>
      <c r="F138" s="675" t="n"/>
      <c r="G138" s="675" t="n"/>
      <c r="H138" s="673" t="n"/>
      <c r="I138" s="673" t="n"/>
      <c r="J138" s="673" t="n"/>
      <c r="K138" s="677" t="n"/>
      <c r="L138" s="677" t="n"/>
      <c r="M138" s="677" t="n"/>
    </row>
    <row r="139">
      <c r="B139" s="673" t="n"/>
      <c r="C139" s="673" t="n"/>
      <c r="D139" s="673" t="n"/>
      <c r="E139" s="675" t="n"/>
      <c r="F139" s="675" t="n"/>
      <c r="G139" s="675" t="n"/>
      <c r="H139" s="673" t="n"/>
      <c r="I139" s="673" t="n"/>
      <c r="J139" s="673" t="n"/>
      <c r="K139" s="677" t="n"/>
      <c r="L139" s="677" t="n"/>
      <c r="M139" s="677" t="n"/>
    </row>
    <row r="140">
      <c r="B140" s="673" t="n"/>
      <c r="C140" s="673" t="n"/>
      <c r="D140" s="673" t="n"/>
      <c r="E140" s="675" t="n"/>
      <c r="F140" s="675" t="n"/>
      <c r="G140" s="675" t="n"/>
      <c r="H140" s="673" t="n"/>
      <c r="I140" s="673" t="n"/>
      <c r="J140" s="673" t="n"/>
      <c r="K140" s="677" t="n"/>
      <c r="L140" s="677" t="n"/>
      <c r="M140" s="677" t="n"/>
    </row>
    <row r="141">
      <c r="B141" s="673" t="n"/>
      <c r="C141" s="673" t="n"/>
      <c r="D141" s="673" t="n"/>
      <c r="E141" s="675" t="n"/>
      <c r="F141" s="675" t="n"/>
      <c r="G141" s="675" t="n"/>
      <c r="H141" s="673" t="n"/>
      <c r="I141" s="673" t="n"/>
      <c r="J141" s="673" t="n"/>
      <c r="K141" s="677" t="n"/>
      <c r="L141" s="677" t="n"/>
      <c r="M141" s="677" t="n"/>
    </row>
    <row r="142">
      <c r="B142" s="673" t="n"/>
      <c r="C142" s="673" t="n"/>
      <c r="D142" s="673" t="n"/>
      <c r="E142" s="675" t="n"/>
      <c r="F142" s="675" t="n"/>
      <c r="G142" s="675" t="n"/>
      <c r="H142" s="673" t="n"/>
      <c r="I142" s="673" t="n"/>
      <c r="J142" s="673" t="n"/>
      <c r="K142" s="677" t="n"/>
      <c r="L142" s="677" t="n"/>
      <c r="M142" s="677" t="n"/>
    </row>
    <row r="143">
      <c r="B143" s="673" t="n"/>
      <c r="C143" s="673" t="n"/>
      <c r="D143" s="673" t="n"/>
      <c r="E143" s="675" t="n"/>
      <c r="F143" s="675" t="n"/>
      <c r="G143" s="675" t="n"/>
      <c r="H143" s="673" t="n"/>
      <c r="I143" s="673" t="n"/>
      <c r="J143" s="673" t="n"/>
      <c r="K143" s="677" t="n"/>
      <c r="L143" s="677" t="n"/>
      <c r="M143" s="677" t="n"/>
    </row>
    <row r="144">
      <c r="B144" s="673" t="n"/>
      <c r="C144" s="673" t="n"/>
      <c r="D144" s="673" t="n"/>
      <c r="E144" s="675" t="n"/>
      <c r="F144" s="675" t="n"/>
      <c r="G144" s="675" t="n"/>
      <c r="H144" s="673" t="n"/>
      <c r="I144" s="673" t="n"/>
      <c r="J144" s="673" t="n"/>
      <c r="K144" s="677" t="n"/>
      <c r="L144" s="677" t="n"/>
      <c r="M144" s="677" t="n"/>
    </row>
    <row r="145">
      <c r="B145" s="673" t="n"/>
      <c r="C145" s="673" t="n"/>
      <c r="D145" s="673" t="n"/>
      <c r="E145" s="675" t="n"/>
      <c r="F145" s="675" t="n"/>
      <c r="G145" s="675" t="n"/>
      <c r="H145" s="673" t="n"/>
      <c r="I145" s="673" t="n"/>
      <c r="J145" s="673" t="n"/>
      <c r="K145" s="677" t="n"/>
      <c r="L145" s="677" t="n"/>
      <c r="M145" s="677" t="n"/>
    </row>
    <row r="146">
      <c r="B146" s="673" t="n"/>
      <c r="C146" s="673" t="n"/>
      <c r="D146" s="673" t="n"/>
      <c r="E146" s="675" t="n"/>
      <c r="F146" s="675" t="n"/>
      <c r="G146" s="675" t="n"/>
      <c r="H146" s="673" t="n"/>
      <c r="I146" s="673" t="n"/>
      <c r="J146" s="673" t="n"/>
      <c r="K146" s="677" t="n"/>
      <c r="L146" s="677" t="n"/>
      <c r="M146" s="677" t="n"/>
    </row>
    <row r="147">
      <c r="B147" s="673" t="n"/>
      <c r="C147" s="673" t="n"/>
      <c r="D147" s="673" t="n"/>
      <c r="E147" s="675" t="n"/>
      <c r="F147" s="675" t="n"/>
      <c r="G147" s="675" t="n"/>
      <c r="H147" s="673" t="n"/>
      <c r="I147" s="673" t="n"/>
      <c r="J147" s="673" t="n"/>
      <c r="K147" s="677" t="n"/>
      <c r="L147" s="677" t="n"/>
      <c r="M147" s="677" t="n"/>
    </row>
    <row r="148">
      <c r="B148" s="673" t="n"/>
      <c r="C148" s="673" t="n"/>
      <c r="D148" s="673" t="n"/>
      <c r="E148" s="675" t="n"/>
      <c r="F148" s="675" t="n"/>
      <c r="G148" s="675" t="n"/>
      <c r="H148" s="673" t="n"/>
      <c r="I148" s="673" t="n"/>
      <c r="J148" s="673" t="n"/>
      <c r="K148" s="677" t="n"/>
      <c r="L148" s="677" t="n"/>
      <c r="M148" s="677" t="n"/>
    </row>
    <row r="149">
      <c r="B149" s="673" t="n"/>
      <c r="C149" s="673" t="n"/>
      <c r="D149" s="673" t="n"/>
      <c r="E149" s="675" t="n"/>
      <c r="F149" s="675" t="n"/>
      <c r="G149" s="675" t="n"/>
      <c r="H149" s="673" t="n"/>
      <c r="I149" s="673" t="n"/>
      <c r="J149" s="673" t="n"/>
      <c r="K149" s="677" t="n"/>
      <c r="L149" s="677" t="n"/>
      <c r="M149" s="677" t="n"/>
    </row>
    <row r="150">
      <c r="B150" s="673" t="n"/>
      <c r="C150" s="673" t="n"/>
      <c r="D150" s="673" t="n"/>
      <c r="E150" s="675" t="n"/>
      <c r="F150" s="675" t="n"/>
      <c r="G150" s="675" t="n"/>
      <c r="H150" s="673" t="n"/>
      <c r="I150" s="673" t="n"/>
      <c r="J150" s="673" t="n"/>
      <c r="K150" s="677" t="n"/>
      <c r="L150" s="677" t="n"/>
      <c r="M150" s="677" t="n"/>
    </row>
    <row r="151">
      <c r="B151" s="673" t="n"/>
      <c r="C151" s="673" t="n"/>
      <c r="D151" s="673" t="n"/>
      <c r="E151" s="675" t="n"/>
      <c r="F151" s="675" t="n"/>
      <c r="G151" s="675" t="n"/>
      <c r="H151" s="673" t="n"/>
      <c r="I151" s="673" t="n"/>
      <c r="J151" s="673" t="n"/>
      <c r="K151" s="677" t="n"/>
      <c r="L151" s="677" t="n"/>
      <c r="M151" s="677" t="n"/>
    </row>
    <row r="152">
      <c r="B152" s="673" t="n"/>
      <c r="C152" s="673" t="n"/>
      <c r="D152" s="673" t="n"/>
      <c r="E152" s="675" t="n"/>
      <c r="F152" s="675" t="n"/>
      <c r="G152" s="675" t="n"/>
      <c r="H152" s="673" t="n"/>
      <c r="I152" s="673" t="n"/>
      <c r="J152" s="673" t="n"/>
      <c r="K152" s="677" t="n"/>
      <c r="L152" s="677" t="n"/>
      <c r="M152" s="677" t="n"/>
    </row>
    <row r="153">
      <c r="B153" s="673" t="n"/>
      <c r="C153" s="673" t="n"/>
      <c r="D153" s="673" t="n"/>
      <c r="E153" s="675" t="n"/>
      <c r="F153" s="675" t="n"/>
      <c r="G153" s="675" t="n"/>
      <c r="H153" s="673" t="n"/>
      <c r="I153" s="673" t="n"/>
      <c r="J153" s="673" t="n"/>
      <c r="K153" s="677" t="n"/>
      <c r="L153" s="677" t="n"/>
      <c r="M153" s="677" t="n"/>
    </row>
    <row r="154">
      <c r="B154" s="673" t="n"/>
      <c r="C154" s="673" t="n"/>
      <c r="D154" s="673" t="n"/>
      <c r="E154" s="675" t="n"/>
      <c r="F154" s="675" t="n"/>
      <c r="G154" s="675" t="n"/>
      <c r="H154" s="673" t="n"/>
      <c r="I154" s="673" t="n"/>
      <c r="J154" s="673" t="n"/>
      <c r="K154" s="677" t="n"/>
      <c r="L154" s="677" t="n"/>
      <c r="M154" s="677" t="n"/>
    </row>
    <row r="155">
      <c r="B155" s="673" t="n"/>
      <c r="C155" s="673" t="n"/>
      <c r="D155" s="673" t="n"/>
      <c r="E155" s="675" t="n"/>
      <c r="F155" s="675" t="n"/>
      <c r="G155" s="675" t="n"/>
      <c r="H155" s="673" t="n"/>
      <c r="I155" s="673" t="n"/>
      <c r="J155" s="673" t="n"/>
      <c r="K155" s="677" t="n"/>
      <c r="L155" s="677" t="n"/>
      <c r="M155" s="677" t="n"/>
    </row>
    <row r="156">
      <c r="B156" s="673" t="n"/>
      <c r="C156" s="673" t="n"/>
      <c r="D156" s="673" t="n"/>
      <c r="E156" s="675" t="n"/>
      <c r="F156" s="675" t="n"/>
      <c r="G156" s="675" t="n"/>
      <c r="H156" s="673" t="n"/>
      <c r="I156" s="673" t="n"/>
      <c r="J156" s="673" t="n"/>
      <c r="K156" s="677" t="n"/>
      <c r="L156" s="677" t="n"/>
      <c r="M156" s="677" t="n"/>
    </row>
    <row r="157">
      <c r="B157" s="673" t="n"/>
      <c r="C157" s="673" t="n"/>
      <c r="D157" s="673" t="n"/>
      <c r="E157" s="675" t="n"/>
      <c r="F157" s="675" t="n"/>
      <c r="G157" s="675" t="n"/>
      <c r="H157" s="673" t="n"/>
      <c r="I157" s="673" t="n"/>
      <c r="J157" s="673" t="n"/>
      <c r="K157" s="677" t="n"/>
      <c r="L157" s="677" t="n"/>
      <c r="M157" s="677" t="n"/>
    </row>
    <row r="158">
      <c r="B158" s="673" t="n"/>
      <c r="C158" s="673" t="n"/>
      <c r="D158" s="673" t="n"/>
      <c r="E158" s="675" t="n"/>
      <c r="F158" s="675" t="n"/>
      <c r="G158" s="675" t="n"/>
      <c r="H158" s="673" t="n"/>
      <c r="I158" s="673" t="n"/>
      <c r="J158" s="673" t="n"/>
      <c r="K158" s="677" t="n"/>
      <c r="L158" s="677" t="n"/>
      <c r="M158" s="677" t="n"/>
    </row>
    <row r="159">
      <c r="B159" s="673" t="n"/>
      <c r="C159" s="673" t="n"/>
      <c r="D159" s="673" t="n"/>
      <c r="E159" s="675" t="n"/>
      <c r="F159" s="675" t="n"/>
      <c r="G159" s="675" t="n"/>
      <c r="H159" s="673" t="n"/>
      <c r="I159" s="673" t="n"/>
      <c r="J159" s="673" t="n"/>
      <c r="K159" s="677" t="n"/>
      <c r="L159" s="677" t="n"/>
      <c r="M159" s="677" t="n"/>
    </row>
    <row r="160">
      <c r="B160" s="673" t="n"/>
      <c r="C160" s="673" t="n"/>
      <c r="D160" s="673" t="n"/>
      <c r="E160" s="675" t="n"/>
      <c r="F160" s="675" t="n"/>
      <c r="G160" s="675" t="n"/>
      <c r="H160" s="673" t="n"/>
      <c r="I160" s="673" t="n"/>
      <c r="J160" s="673" t="n"/>
      <c r="K160" s="677" t="n"/>
      <c r="L160" s="677" t="n"/>
      <c r="M160" s="677" t="n"/>
    </row>
    <row r="161">
      <c r="B161" s="673" t="n"/>
      <c r="C161" s="673" t="n"/>
      <c r="D161" s="673" t="n"/>
      <c r="E161" s="675" t="n"/>
      <c r="F161" s="675" t="n"/>
      <c r="G161" s="675" t="n"/>
      <c r="H161" s="673" t="n"/>
      <c r="I161" s="673" t="n"/>
      <c r="J161" s="673" t="n"/>
      <c r="K161" s="677" t="n"/>
      <c r="L161" s="677" t="n"/>
      <c r="M161" s="677" t="n"/>
    </row>
    <row r="162">
      <c r="B162" s="673" t="n"/>
      <c r="C162" s="673" t="n"/>
      <c r="D162" s="673" t="n"/>
      <c r="E162" s="675" t="n"/>
      <c r="F162" s="675" t="n"/>
      <c r="G162" s="675" t="n"/>
      <c r="H162" s="673" t="n"/>
      <c r="I162" s="673" t="n"/>
      <c r="J162" s="673" t="n"/>
      <c r="K162" s="677" t="n"/>
      <c r="L162" s="677" t="n"/>
      <c r="M162" s="677" t="n"/>
    </row>
    <row r="163">
      <c r="B163" s="673" t="n"/>
      <c r="C163" s="673" t="n"/>
      <c r="D163" s="673" t="n"/>
      <c r="E163" s="675" t="n"/>
      <c r="F163" s="675" t="n"/>
      <c r="G163" s="675" t="n"/>
      <c r="H163" s="673" t="n"/>
      <c r="I163" s="673" t="n"/>
      <c r="J163" s="673" t="n"/>
      <c r="K163" s="677" t="n"/>
      <c r="L163" s="677" t="n"/>
      <c r="M163" s="677" t="n"/>
    </row>
    <row r="164">
      <c r="B164" s="673" t="n"/>
      <c r="C164" s="673" t="n"/>
      <c r="D164" s="673" t="n"/>
      <c r="E164" s="675" t="n"/>
      <c r="F164" s="675" t="n"/>
      <c r="G164" s="675" t="n"/>
      <c r="H164" s="673" t="n"/>
      <c r="I164" s="673" t="n"/>
      <c r="J164" s="673" t="n"/>
      <c r="K164" s="677" t="n"/>
      <c r="L164" s="677" t="n"/>
      <c r="M164" s="677" t="n"/>
    </row>
    <row r="165">
      <c r="B165" s="673" t="n"/>
      <c r="C165" s="673" t="n"/>
      <c r="D165" s="673" t="n"/>
      <c r="E165" s="675" t="n"/>
      <c r="F165" s="675" t="n"/>
      <c r="G165" s="675" t="n"/>
      <c r="H165" s="673" t="n"/>
      <c r="I165" s="673" t="n"/>
      <c r="J165" s="673" t="n"/>
      <c r="K165" s="677" t="n"/>
      <c r="L165" s="677" t="n"/>
      <c r="M165" s="677" t="n"/>
    </row>
    <row r="166">
      <c r="B166" s="673" t="n"/>
      <c r="C166" s="673" t="n"/>
      <c r="D166" s="673" t="n"/>
      <c r="E166" s="675" t="n"/>
      <c r="F166" s="675" t="n"/>
      <c r="G166" s="675" t="n"/>
      <c r="H166" s="673" t="n"/>
      <c r="I166" s="673" t="n"/>
      <c r="J166" s="673" t="n"/>
      <c r="K166" s="677" t="n"/>
      <c r="L166" s="677" t="n"/>
      <c r="M166" s="677" t="n"/>
    </row>
    <row r="167">
      <c r="B167" s="673" t="n"/>
      <c r="C167" s="673" t="n"/>
      <c r="D167" s="673" t="n"/>
      <c r="E167" s="675" t="n"/>
      <c r="F167" s="675" t="n"/>
      <c r="G167" s="675" t="n"/>
      <c r="H167" s="673" t="n"/>
      <c r="I167" s="673" t="n"/>
      <c r="J167" s="673" t="n"/>
      <c r="K167" s="677" t="n"/>
      <c r="L167" s="677" t="n"/>
      <c r="M167" s="677" t="n"/>
    </row>
    <row r="168">
      <c r="B168" s="673" t="n"/>
      <c r="C168" s="673" t="n"/>
      <c r="D168" s="673" t="n"/>
      <c r="E168" s="675" t="n"/>
      <c r="F168" s="675" t="n"/>
      <c r="G168" s="675" t="n"/>
      <c r="H168" s="673" t="n"/>
      <c r="I168" s="673" t="n"/>
      <c r="J168" s="673" t="n"/>
      <c r="K168" s="677" t="n"/>
      <c r="L168" s="677" t="n"/>
      <c r="M168" s="677" t="n"/>
    </row>
    <row r="169">
      <c r="B169" s="673" t="n"/>
      <c r="C169" s="673" t="n"/>
      <c r="D169" s="673" t="n"/>
      <c r="E169" s="675" t="n"/>
      <c r="F169" s="675" t="n"/>
      <c r="G169" s="675" t="n"/>
      <c r="H169" s="673" t="n"/>
      <c r="I169" s="673" t="n"/>
      <c r="J169" s="673" t="n"/>
      <c r="K169" s="677" t="n"/>
      <c r="L169" s="677" t="n"/>
      <c r="M169" s="677" t="n"/>
    </row>
    <row r="170">
      <c r="B170" s="673" t="n"/>
      <c r="C170" s="673" t="n"/>
      <c r="D170" s="673" t="n"/>
      <c r="E170" s="675" t="n"/>
      <c r="F170" s="675" t="n"/>
      <c r="G170" s="675" t="n"/>
      <c r="H170" s="673" t="n"/>
      <c r="I170" s="673" t="n"/>
      <c r="J170" s="673" t="n"/>
      <c r="K170" s="677" t="n"/>
      <c r="L170" s="677" t="n"/>
      <c r="M170" s="677" t="n"/>
    </row>
    <row r="171">
      <c r="B171" s="673" t="n"/>
      <c r="C171" s="673" t="n"/>
      <c r="D171" s="673" t="n"/>
      <c r="E171" s="675" t="n"/>
      <c r="F171" s="675" t="n"/>
      <c r="G171" s="675" t="n"/>
      <c r="H171" s="673" t="n"/>
      <c r="I171" s="673" t="n"/>
      <c r="J171" s="673" t="n"/>
      <c r="K171" s="677" t="n"/>
      <c r="L171" s="677" t="n"/>
      <c r="M171" s="677" t="n"/>
    </row>
    <row r="172">
      <c r="B172" s="673" t="n"/>
      <c r="C172" s="673" t="n"/>
      <c r="D172" s="673" t="n"/>
      <c r="E172" s="675" t="n"/>
      <c r="F172" s="675" t="n"/>
      <c r="G172" s="675" t="n"/>
      <c r="H172" s="673" t="n"/>
      <c r="I172" s="673" t="n"/>
      <c r="J172" s="673" t="n"/>
      <c r="K172" s="677" t="n"/>
      <c r="L172" s="677" t="n"/>
      <c r="M172" s="677" t="n"/>
    </row>
    <row r="173">
      <c r="B173" s="673" t="n"/>
      <c r="C173" s="673" t="n"/>
      <c r="D173" s="673" t="n"/>
      <c r="E173" s="675" t="n"/>
      <c r="F173" s="675" t="n"/>
      <c r="G173" s="675" t="n"/>
      <c r="H173" s="673" t="n"/>
      <c r="I173" s="673" t="n"/>
      <c r="J173" s="673" t="n"/>
      <c r="K173" s="677" t="n"/>
      <c r="L173" s="677" t="n"/>
      <c r="M173" s="677" t="n"/>
    </row>
    <row r="174">
      <c r="B174" s="673" t="n"/>
      <c r="C174" s="673" t="n"/>
      <c r="D174" s="673" t="n"/>
      <c r="E174" s="675" t="n"/>
      <c r="F174" s="675" t="n"/>
      <c r="G174" s="675" t="n"/>
      <c r="H174" s="673" t="n"/>
      <c r="I174" s="673" t="n"/>
      <c r="J174" s="673" t="n"/>
      <c r="K174" s="677" t="n"/>
      <c r="L174" s="677" t="n"/>
      <c r="M174" s="677" t="n"/>
    </row>
    <row r="175">
      <c r="B175" s="673" t="n"/>
      <c r="C175" s="673" t="n"/>
      <c r="D175" s="673" t="n"/>
      <c r="E175" s="675" t="n"/>
      <c r="F175" s="675" t="n"/>
      <c r="G175" s="675" t="n"/>
      <c r="H175" s="673" t="n"/>
      <c r="I175" s="673" t="n"/>
      <c r="J175" s="673" t="n"/>
      <c r="K175" s="677" t="n"/>
      <c r="L175" s="677" t="n"/>
      <c r="M175" s="677" t="n"/>
    </row>
    <row r="176">
      <c r="B176" s="673" t="n"/>
      <c r="C176" s="673" t="n"/>
      <c r="D176" s="673" t="n"/>
      <c r="E176" s="675" t="n"/>
      <c r="F176" s="675" t="n"/>
      <c r="G176" s="675" t="n"/>
      <c r="H176" s="673" t="n"/>
      <c r="I176" s="673" t="n"/>
      <c r="J176" s="673" t="n"/>
      <c r="K176" s="677" t="n"/>
      <c r="L176" s="677" t="n"/>
      <c r="M176" s="677" t="n"/>
    </row>
    <row r="177">
      <c r="B177" s="673" t="n"/>
      <c r="C177" s="673" t="n"/>
      <c r="D177" s="673" t="n"/>
      <c r="E177" s="675" t="n"/>
      <c r="F177" s="675" t="n"/>
      <c r="G177" s="675" t="n"/>
      <c r="H177" s="673" t="n"/>
      <c r="I177" s="673" t="n"/>
      <c r="J177" s="673" t="n"/>
      <c r="K177" s="677" t="n"/>
      <c r="L177" s="677" t="n"/>
      <c r="M177" s="677" t="n"/>
    </row>
    <row r="178">
      <c r="B178" s="673" t="n"/>
      <c r="C178" s="673" t="n"/>
      <c r="D178" s="673" t="n"/>
      <c r="E178" s="675" t="n"/>
      <c r="F178" s="675" t="n"/>
      <c r="G178" s="675" t="n"/>
      <c r="H178" s="673" t="n"/>
      <c r="I178" s="673" t="n"/>
      <c r="J178" s="673" t="n"/>
      <c r="K178" s="677" t="n"/>
      <c r="L178" s="677" t="n"/>
      <c r="M178" s="677" t="n"/>
    </row>
    <row r="179">
      <c r="B179" s="673" t="n"/>
      <c r="C179" s="673" t="n"/>
      <c r="D179" s="673" t="n"/>
      <c r="E179" s="675" t="n"/>
      <c r="F179" s="675" t="n"/>
      <c r="G179" s="675" t="n"/>
      <c r="H179" s="673" t="n"/>
      <c r="I179" s="673" t="n"/>
      <c r="J179" s="673" t="n"/>
      <c r="K179" s="677" t="n"/>
      <c r="L179" s="677" t="n"/>
      <c r="M179" s="677" t="n"/>
    </row>
    <row r="180">
      <c r="B180" s="673" t="n"/>
      <c r="C180" s="673" t="n"/>
      <c r="D180" s="673" t="n"/>
      <c r="E180" s="675" t="n"/>
      <c r="F180" s="675" t="n"/>
      <c r="G180" s="675" t="n"/>
      <c r="H180" s="673" t="n"/>
      <c r="I180" s="673" t="n"/>
      <c r="J180" s="673" t="n"/>
      <c r="K180" s="677" t="n"/>
      <c r="L180" s="677" t="n"/>
      <c r="M180" s="677" t="n"/>
    </row>
    <row r="181">
      <c r="B181" s="673" t="n"/>
      <c r="C181" s="673" t="n"/>
      <c r="D181" s="673" t="n"/>
      <c r="E181" s="675" t="n"/>
      <c r="F181" s="675" t="n"/>
      <c r="G181" s="675" t="n"/>
      <c r="H181" s="673" t="n"/>
      <c r="I181" s="673" t="n"/>
      <c r="J181" s="673" t="n"/>
      <c r="K181" s="677" t="n"/>
      <c r="L181" s="677" t="n"/>
      <c r="M181" s="677" t="n"/>
    </row>
    <row r="182">
      <c r="B182" s="673" t="n"/>
      <c r="C182" s="673" t="n"/>
      <c r="D182" s="673" t="n"/>
      <c r="E182" s="675" t="n"/>
      <c r="F182" s="675" t="n"/>
      <c r="G182" s="675" t="n"/>
      <c r="H182" s="673" t="n"/>
      <c r="I182" s="673" t="n"/>
      <c r="J182" s="673" t="n"/>
      <c r="K182" s="677" t="n"/>
      <c r="L182" s="677" t="n"/>
      <c r="M182" s="677" t="n"/>
    </row>
    <row r="183">
      <c r="B183" s="673" t="n"/>
      <c r="C183" s="673" t="n"/>
      <c r="D183" s="673" t="n"/>
      <c r="E183" s="675" t="n"/>
      <c r="F183" s="675" t="n"/>
      <c r="G183" s="675" t="n"/>
      <c r="H183" s="673" t="n"/>
      <c r="I183" s="673" t="n"/>
      <c r="J183" s="673" t="n"/>
      <c r="K183" s="677" t="n"/>
      <c r="L183" s="677" t="n"/>
      <c r="M183" s="677" t="n"/>
    </row>
    <row r="184">
      <c r="B184" s="673" t="n"/>
      <c r="C184" s="673" t="n"/>
      <c r="D184" s="673" t="n"/>
      <c r="E184" s="675" t="n"/>
      <c r="F184" s="675" t="n"/>
      <c r="G184" s="675" t="n"/>
      <c r="H184" s="673" t="n"/>
      <c r="I184" s="673" t="n"/>
      <c r="J184" s="673" t="n"/>
      <c r="K184" s="677" t="n"/>
      <c r="L184" s="677" t="n"/>
      <c r="M184" s="677" t="n"/>
    </row>
    <row r="185">
      <c r="B185" s="673" t="n"/>
      <c r="C185" s="673" t="n"/>
      <c r="D185" s="673" t="n"/>
      <c r="E185" s="675" t="n"/>
      <c r="F185" s="675" t="n"/>
      <c r="G185" s="675" t="n"/>
      <c r="H185" s="673" t="n"/>
      <c r="I185" s="673" t="n"/>
      <c r="J185" s="673" t="n"/>
      <c r="K185" s="677" t="n"/>
      <c r="L185" s="677" t="n"/>
      <c r="M185" s="677" t="n"/>
    </row>
    <row r="186">
      <c r="B186" s="673" t="n"/>
      <c r="C186" s="673" t="n"/>
      <c r="D186" s="673" t="n"/>
      <c r="E186" s="675" t="n"/>
      <c r="F186" s="675" t="n"/>
      <c r="G186" s="675" t="n"/>
      <c r="H186" s="673" t="n"/>
      <c r="I186" s="673" t="n"/>
      <c r="J186" s="673" t="n"/>
      <c r="K186" s="677" t="n"/>
      <c r="L186" s="677" t="n"/>
      <c r="M186" s="677" t="n"/>
    </row>
    <row r="187">
      <c r="B187" s="673" t="n"/>
      <c r="C187" s="673" t="n"/>
      <c r="D187" s="673" t="n"/>
      <c r="E187" s="675" t="n"/>
      <c r="F187" s="675" t="n"/>
      <c r="G187" s="675" t="n"/>
      <c r="H187" s="673" t="n"/>
      <c r="I187" s="673" t="n"/>
      <c r="J187" s="673" t="n"/>
      <c r="K187" s="677" t="n"/>
      <c r="L187" s="677" t="n"/>
      <c r="M187" s="677" t="n"/>
    </row>
    <row r="188">
      <c r="B188" s="673" t="n"/>
      <c r="C188" s="673" t="n"/>
      <c r="D188" s="673" t="n"/>
      <c r="E188" s="675" t="n"/>
      <c r="F188" s="675" t="n"/>
      <c r="G188" s="675" t="n"/>
      <c r="H188" s="673" t="n"/>
      <c r="I188" s="673" t="n"/>
      <c r="J188" s="673" t="n"/>
      <c r="K188" s="677" t="n"/>
      <c r="L188" s="677" t="n"/>
      <c r="M188" s="677" t="n"/>
    </row>
    <row r="189">
      <c r="B189" s="673" t="n"/>
      <c r="C189" s="673" t="n"/>
      <c r="D189" s="673" t="n"/>
      <c r="E189" s="675" t="n"/>
      <c r="F189" s="675" t="n"/>
      <c r="G189" s="675" t="n"/>
      <c r="H189" s="673" t="n"/>
      <c r="I189" s="673" t="n"/>
      <c r="J189" s="673" t="n"/>
      <c r="K189" s="677" t="n"/>
      <c r="L189" s="677" t="n"/>
      <c r="M189" s="677" t="n"/>
    </row>
    <row r="190">
      <c r="B190" s="673" t="n"/>
      <c r="C190" s="673" t="n"/>
      <c r="D190" s="673" t="n"/>
      <c r="E190" s="675" t="n"/>
      <c r="F190" s="675" t="n"/>
      <c r="G190" s="675" t="n"/>
      <c r="H190" s="673" t="n"/>
      <c r="I190" s="673" t="n"/>
      <c r="J190" s="673" t="n"/>
      <c r="K190" s="677" t="n"/>
      <c r="L190" s="677" t="n"/>
      <c r="M190" s="677" t="n"/>
    </row>
    <row r="191">
      <c r="B191" s="673" t="n"/>
      <c r="C191" s="673" t="n"/>
      <c r="D191" s="673" t="n"/>
      <c r="E191" s="675" t="n"/>
      <c r="F191" s="675" t="n"/>
      <c r="G191" s="675" t="n"/>
      <c r="H191" s="673" t="n"/>
      <c r="I191" s="673" t="n"/>
      <c r="J191" s="673" t="n"/>
      <c r="K191" s="677" t="n"/>
      <c r="L191" s="677" t="n"/>
      <c r="M191" s="677" t="n"/>
    </row>
    <row r="192">
      <c r="B192" s="673" t="n"/>
      <c r="C192" s="673" t="n"/>
      <c r="D192" s="673" t="n"/>
      <c r="E192" s="675" t="n"/>
      <c r="F192" s="675" t="n"/>
      <c r="G192" s="675" t="n"/>
      <c r="H192" s="673" t="n"/>
      <c r="I192" s="673" t="n"/>
      <c r="J192" s="673" t="n"/>
      <c r="K192" s="677" t="n"/>
      <c r="L192" s="677" t="n"/>
      <c r="M192" s="677" t="n"/>
    </row>
    <row r="193">
      <c r="B193" s="673" t="n"/>
      <c r="C193" s="673" t="n"/>
      <c r="D193" s="673" t="n"/>
      <c r="E193" s="675" t="n"/>
      <c r="F193" s="675" t="n"/>
      <c r="G193" s="675" t="n"/>
      <c r="H193" s="673" t="n"/>
      <c r="I193" s="673" t="n"/>
      <c r="J193" s="673" t="n"/>
      <c r="K193" s="677" t="n"/>
      <c r="L193" s="677" t="n"/>
      <c r="M193" s="677" t="n"/>
    </row>
    <row r="194">
      <c r="B194" s="673" t="n"/>
      <c r="C194" s="673" t="n"/>
      <c r="D194" s="673" t="n"/>
      <c r="E194" s="675" t="n"/>
      <c r="F194" s="675" t="n"/>
      <c r="G194" s="675" t="n"/>
      <c r="H194" s="673" t="n"/>
      <c r="I194" s="673" t="n"/>
      <c r="J194" s="673" t="n"/>
      <c r="K194" s="677" t="n"/>
      <c r="L194" s="677" t="n"/>
      <c r="M194" s="677" t="n"/>
    </row>
    <row r="195">
      <c r="B195" s="673" t="n"/>
      <c r="C195" s="673" t="n"/>
      <c r="D195" s="673" t="n"/>
      <c r="E195" s="675" t="n"/>
      <c r="F195" s="675" t="n"/>
      <c r="G195" s="675" t="n"/>
      <c r="H195" s="673" t="n"/>
      <c r="I195" s="673" t="n"/>
      <c r="J195" s="673" t="n"/>
      <c r="K195" s="677" t="n"/>
      <c r="L195" s="677" t="n"/>
      <c r="M195" s="677" t="n"/>
    </row>
    <row r="196">
      <c r="B196" s="673" t="n"/>
      <c r="C196" s="673" t="n"/>
      <c r="D196" s="673" t="n"/>
      <c r="E196" s="675" t="n"/>
      <c r="F196" s="675" t="n"/>
      <c r="G196" s="675" t="n"/>
      <c r="H196" s="673" t="n"/>
      <c r="I196" s="673" t="n"/>
      <c r="J196" s="673" t="n"/>
      <c r="K196" s="677" t="n"/>
      <c r="L196" s="677" t="n"/>
      <c r="M196" s="677" t="n"/>
    </row>
    <row r="197">
      <c r="B197" s="673" t="n"/>
      <c r="C197" s="673" t="n"/>
      <c r="D197" s="673" t="n"/>
      <c r="E197" s="675" t="n"/>
      <c r="F197" s="675" t="n"/>
      <c r="G197" s="675" t="n"/>
      <c r="H197" s="673" t="n"/>
      <c r="I197" s="673" t="n"/>
      <c r="J197" s="673" t="n"/>
      <c r="K197" s="677" t="n"/>
      <c r="L197" s="677" t="n"/>
      <c r="M197" s="677" t="n"/>
    </row>
    <row r="198">
      <c r="B198" s="673" t="n"/>
      <c r="C198" s="673" t="n"/>
      <c r="D198" s="673" t="n"/>
      <c r="E198" s="675" t="n"/>
      <c r="F198" s="675" t="n"/>
      <c r="G198" s="675" t="n"/>
      <c r="H198" s="673" t="n"/>
      <c r="I198" s="673" t="n"/>
      <c r="J198" s="673" t="n"/>
      <c r="K198" s="677" t="n"/>
      <c r="L198" s="677" t="n"/>
      <c r="M198" s="677" t="n"/>
    </row>
    <row r="199">
      <c r="B199" s="673" t="n"/>
      <c r="C199" s="673" t="n"/>
      <c r="D199" s="673" t="n"/>
      <c r="E199" s="675" t="n"/>
      <c r="F199" s="675" t="n"/>
      <c r="G199" s="675" t="n"/>
      <c r="H199" s="673" t="n"/>
      <c r="I199" s="673" t="n"/>
      <c r="J199" s="673" t="n"/>
      <c r="K199" s="677" t="n"/>
      <c r="L199" s="677" t="n"/>
      <c r="M199" s="677" t="n"/>
    </row>
    <row r="200">
      <c r="B200" s="673" t="n"/>
      <c r="C200" s="673" t="n"/>
      <c r="D200" s="673" t="n"/>
      <c r="E200" s="675" t="n"/>
      <c r="F200" s="675" t="n"/>
      <c r="G200" s="675" t="n"/>
      <c r="H200" s="673" t="n"/>
      <c r="I200" s="673" t="n"/>
      <c r="J200" s="673" t="n"/>
      <c r="K200" s="677" t="n"/>
      <c r="L200" s="677" t="n"/>
      <c r="M200" s="677" t="n"/>
    </row>
    <row r="201">
      <c r="B201" s="673" t="n"/>
      <c r="C201" s="673" t="n"/>
      <c r="D201" s="673" t="n"/>
      <c r="E201" s="675" t="n"/>
      <c r="F201" s="675" t="n"/>
      <c r="G201" s="675" t="n"/>
      <c r="H201" s="673" t="n"/>
      <c r="I201" s="673" t="n"/>
      <c r="J201" s="673" t="n"/>
      <c r="K201" s="677" t="n"/>
      <c r="L201" s="677" t="n"/>
      <c r="M201" s="677" t="n"/>
    </row>
    <row r="202">
      <c r="B202" s="673" t="n"/>
      <c r="C202" s="673" t="n"/>
      <c r="D202" s="673" t="n"/>
      <c r="E202" s="675" t="n"/>
      <c r="F202" s="675" t="n"/>
      <c r="G202" s="675" t="n"/>
      <c r="H202" s="673" t="n"/>
      <c r="I202" s="673" t="n"/>
      <c r="J202" s="673" t="n"/>
      <c r="K202" s="677" t="n"/>
      <c r="L202" s="677" t="n"/>
      <c r="M202" s="677" t="n"/>
    </row>
    <row r="203">
      <c r="B203" s="673" t="n"/>
      <c r="C203" s="673" t="n"/>
      <c r="D203" s="673" t="n"/>
      <c r="E203" s="675" t="n"/>
      <c r="F203" s="675" t="n"/>
      <c r="G203" s="675" t="n"/>
      <c r="H203" s="673" t="n"/>
      <c r="I203" s="673" t="n"/>
      <c r="J203" s="673" t="n"/>
      <c r="K203" s="677" t="n"/>
      <c r="L203" s="677" t="n"/>
      <c r="M203" s="677" t="n"/>
    </row>
    <row r="204">
      <c r="B204" s="673" t="n"/>
      <c r="C204" s="673" t="n"/>
      <c r="D204" s="673" t="n"/>
      <c r="E204" s="675" t="n"/>
      <c r="F204" s="675" t="n"/>
      <c r="G204" s="675" t="n"/>
      <c r="H204" s="673" t="n"/>
      <c r="I204" s="673" t="n"/>
      <c r="J204" s="673" t="n"/>
      <c r="K204" s="677" t="n"/>
      <c r="L204" s="677" t="n"/>
      <c r="M204" s="677" t="n"/>
    </row>
    <row r="205">
      <c r="B205" s="673" t="n"/>
      <c r="C205" s="673" t="n"/>
      <c r="D205" s="673" t="n"/>
      <c r="E205" s="675" t="n"/>
      <c r="F205" s="675" t="n"/>
      <c r="G205" s="675" t="n"/>
      <c r="H205" s="673" t="n"/>
      <c r="I205" s="673" t="n"/>
      <c r="J205" s="673" t="n"/>
      <c r="K205" s="677" t="n"/>
      <c r="L205" s="677" t="n"/>
      <c r="M205" s="677" t="n"/>
    </row>
    <row r="206">
      <c r="B206" s="673" t="n"/>
      <c r="C206" s="673" t="n"/>
      <c r="D206" s="673" t="n"/>
      <c r="E206" s="675" t="n"/>
      <c r="F206" s="675" t="n"/>
      <c r="G206" s="675" t="n"/>
      <c r="H206" s="673" t="n"/>
      <c r="I206" s="673" t="n"/>
      <c r="J206" s="673" t="n"/>
      <c r="K206" s="677" t="n"/>
      <c r="L206" s="677" t="n"/>
      <c r="M206" s="677" t="n"/>
    </row>
    <row r="207">
      <c r="B207" s="673" t="n"/>
      <c r="C207" s="673" t="n"/>
      <c r="D207" s="673" t="n"/>
      <c r="E207" s="675" t="n"/>
      <c r="F207" s="675" t="n"/>
      <c r="G207" s="675" t="n"/>
      <c r="H207" s="673" t="n"/>
      <c r="I207" s="673" t="n"/>
      <c r="J207" s="673" t="n"/>
      <c r="K207" s="677" t="n"/>
      <c r="L207" s="677" t="n"/>
      <c r="M207" s="677" t="n"/>
    </row>
    <row r="208">
      <c r="B208" s="673" t="n"/>
      <c r="C208" s="673" t="n"/>
      <c r="D208" s="673" t="n"/>
      <c r="E208" s="675" t="n"/>
      <c r="F208" s="675" t="n"/>
      <c r="G208" s="675" t="n"/>
      <c r="H208" s="673" t="n"/>
      <c r="I208" s="673" t="n"/>
      <c r="J208" s="673" t="n"/>
      <c r="K208" s="677" t="n"/>
      <c r="L208" s="677" t="n"/>
      <c r="M208" s="677" t="n"/>
    </row>
    <row r="209">
      <c r="B209" s="673" t="n"/>
      <c r="C209" s="673" t="n"/>
      <c r="D209" s="673" t="n"/>
      <c r="E209" s="675" t="n"/>
      <c r="F209" s="675" t="n"/>
      <c r="G209" s="675" t="n"/>
      <c r="H209" s="673" t="n"/>
      <c r="I209" s="673" t="n"/>
      <c r="J209" s="673" t="n"/>
      <c r="K209" s="677" t="n"/>
      <c r="L209" s="677" t="n"/>
      <c r="M209" s="677" t="n"/>
    </row>
    <row r="210">
      <c r="B210" s="673" t="n"/>
      <c r="C210" s="673" t="n"/>
      <c r="D210" s="673" t="n"/>
      <c r="E210" s="675" t="n"/>
      <c r="F210" s="675" t="n"/>
      <c r="G210" s="675" t="n"/>
      <c r="H210" s="673" t="n"/>
      <c r="I210" s="673" t="n"/>
      <c r="J210" s="673" t="n"/>
      <c r="K210" s="677" t="n"/>
      <c r="L210" s="677" t="n"/>
      <c r="M210" s="677" t="n"/>
    </row>
    <row r="211">
      <c r="B211" s="673" t="n"/>
      <c r="C211" s="673" t="n"/>
      <c r="D211" s="673" t="n"/>
      <c r="E211" s="675" t="n"/>
      <c r="F211" s="675" t="n"/>
      <c r="G211" s="675" t="n"/>
      <c r="H211" s="673" t="n"/>
      <c r="I211" s="673" t="n"/>
      <c r="J211" s="673" t="n"/>
      <c r="K211" s="677" t="n"/>
      <c r="L211" s="677" t="n"/>
      <c r="M211" s="677" t="n"/>
    </row>
    <row r="212">
      <c r="B212" s="673" t="n"/>
      <c r="C212" s="673" t="n"/>
      <c r="D212" s="673" t="n"/>
      <c r="E212" s="675" t="n"/>
      <c r="F212" s="675" t="n"/>
      <c r="G212" s="675" t="n"/>
      <c r="H212" s="673" t="n"/>
      <c r="I212" s="673" t="n"/>
      <c r="J212" s="673" t="n"/>
      <c r="K212" s="677" t="n"/>
      <c r="L212" s="677" t="n"/>
      <c r="M212" s="677" t="n"/>
    </row>
    <row r="213">
      <c r="B213" s="673" t="n"/>
      <c r="C213" s="673" t="n"/>
      <c r="D213" s="673" t="n"/>
      <c r="E213" s="675" t="n"/>
      <c r="F213" s="675" t="n"/>
      <c r="G213" s="675" t="n"/>
      <c r="H213" s="673" t="n"/>
      <c r="I213" s="673" t="n"/>
      <c r="J213" s="673" t="n"/>
      <c r="K213" s="677" t="n"/>
      <c r="L213" s="677" t="n"/>
      <c r="M213" s="677" t="n"/>
    </row>
    <row r="214">
      <c r="B214" s="673" t="n"/>
      <c r="C214" s="673" t="n"/>
      <c r="D214" s="673" t="n"/>
      <c r="E214" s="675" t="n"/>
      <c r="F214" s="675" t="n"/>
      <c r="G214" s="675" t="n"/>
      <c r="H214" s="673" t="n"/>
      <c r="I214" s="673" t="n"/>
      <c r="J214" s="673" t="n"/>
      <c r="K214" s="677" t="n"/>
      <c r="L214" s="677" t="n"/>
      <c r="M214" s="677" t="n"/>
    </row>
    <row r="215">
      <c r="B215" s="673" t="n"/>
      <c r="C215" s="673" t="n"/>
      <c r="D215" s="673" t="n"/>
      <c r="E215" s="675" t="n"/>
      <c r="F215" s="675" t="n"/>
      <c r="G215" s="675" t="n"/>
      <c r="H215" s="673" t="n"/>
      <c r="I215" s="673" t="n"/>
      <c r="J215" s="673" t="n"/>
      <c r="K215" s="677" t="n"/>
      <c r="L215" s="677" t="n"/>
      <c r="M215" s="677" t="n"/>
    </row>
    <row r="216">
      <c r="B216" s="673" t="n"/>
      <c r="C216" s="673" t="n"/>
      <c r="D216" s="673" t="n"/>
      <c r="E216" s="675" t="n"/>
      <c r="F216" s="675" t="n"/>
      <c r="G216" s="675" t="n"/>
      <c r="H216" s="673" t="n"/>
      <c r="I216" s="673" t="n"/>
      <c r="J216" s="673" t="n"/>
      <c r="K216" s="677" t="n"/>
      <c r="L216" s="677" t="n"/>
      <c r="M216" s="677" t="n"/>
    </row>
    <row r="217">
      <c r="B217" s="673" t="n"/>
      <c r="C217" s="673" t="n"/>
      <c r="D217" s="673" t="n"/>
      <c r="E217" s="675" t="n"/>
      <c r="F217" s="675" t="n"/>
      <c r="G217" s="675" t="n"/>
      <c r="H217" s="673" t="n"/>
      <c r="I217" s="673" t="n"/>
      <c r="J217" s="673" t="n"/>
      <c r="K217" s="677" t="n"/>
      <c r="L217" s="677" t="n"/>
      <c r="M217" s="677" t="n"/>
    </row>
    <row r="218">
      <c r="B218" s="673" t="n"/>
      <c r="C218" s="673" t="n"/>
      <c r="D218" s="673" t="n"/>
      <c r="E218" s="675" t="n"/>
      <c r="F218" s="675" t="n"/>
      <c r="G218" s="675" t="n"/>
      <c r="H218" s="673" t="n"/>
      <c r="I218" s="673" t="n"/>
      <c r="J218" s="673" t="n"/>
      <c r="K218" s="677" t="n"/>
      <c r="L218" s="677" t="n"/>
      <c r="M218" s="677" t="n"/>
    </row>
    <row r="219">
      <c r="B219" s="673" t="n"/>
      <c r="C219" s="673" t="n"/>
      <c r="D219" s="673" t="n"/>
      <c r="E219" s="675" t="n"/>
      <c r="F219" s="675" t="n"/>
      <c r="G219" s="675" t="n"/>
      <c r="H219" s="673" t="n"/>
      <c r="I219" s="673" t="n"/>
      <c r="J219" s="673" t="n"/>
      <c r="K219" s="677" t="n"/>
      <c r="L219" s="677" t="n"/>
      <c r="M219" s="677" t="n"/>
    </row>
    <row r="220">
      <c r="B220" s="673" t="n"/>
      <c r="C220" s="673" t="n"/>
      <c r="D220" s="673" t="n"/>
      <c r="E220" s="675" t="n"/>
      <c r="F220" s="675" t="n"/>
      <c r="G220" s="675" t="n"/>
      <c r="H220" s="673" t="n"/>
      <c r="I220" s="673" t="n"/>
      <c r="J220" s="673" t="n"/>
      <c r="K220" s="677" t="n"/>
      <c r="L220" s="677" t="n"/>
      <c r="M220" s="677" t="n"/>
    </row>
    <row r="221">
      <c r="B221" s="673" t="n"/>
      <c r="C221" s="673" t="n"/>
      <c r="D221" s="673" t="n"/>
      <c r="E221" s="675" t="n"/>
      <c r="F221" s="675" t="n"/>
      <c r="G221" s="675" t="n"/>
      <c r="H221" s="673" t="n"/>
      <c r="I221" s="673" t="n"/>
      <c r="J221" s="673" t="n"/>
      <c r="K221" s="677" t="n"/>
      <c r="L221" s="677" t="n"/>
      <c r="M221" s="677" t="n"/>
    </row>
    <row r="222">
      <c r="B222" s="673" t="n"/>
      <c r="C222" s="673" t="n"/>
      <c r="D222" s="673" t="n"/>
      <c r="E222" s="675" t="n"/>
      <c r="F222" s="675" t="n"/>
      <c r="G222" s="675" t="n"/>
      <c r="H222" s="673" t="n"/>
      <c r="I222" s="673" t="n"/>
      <c r="J222" s="673" t="n"/>
      <c r="K222" s="677" t="n"/>
      <c r="L222" s="677" t="n"/>
      <c r="M222" s="677" t="n"/>
    </row>
    <row r="223">
      <c r="B223" s="673" t="n"/>
      <c r="C223" s="673" t="n"/>
      <c r="D223" s="673" t="n"/>
      <c r="E223" s="675" t="n"/>
      <c r="F223" s="675" t="n"/>
      <c r="G223" s="675" t="n"/>
      <c r="H223" s="673" t="n"/>
      <c r="I223" s="673" t="n"/>
      <c r="J223" s="673" t="n"/>
      <c r="K223" s="677" t="n"/>
      <c r="L223" s="677" t="n"/>
      <c r="M223" s="677" t="n"/>
    </row>
    <row r="224">
      <c r="B224" s="673" t="n"/>
      <c r="C224" s="673" t="n"/>
      <c r="D224" s="673" t="n"/>
      <c r="E224" s="675" t="n"/>
      <c r="F224" s="675" t="n"/>
      <c r="G224" s="675" t="n"/>
      <c r="H224" s="673" t="n"/>
      <c r="I224" s="673" t="n"/>
      <c r="J224" s="673" t="n"/>
      <c r="K224" s="677" t="n"/>
      <c r="L224" s="677" t="n"/>
      <c r="M224" s="677" t="n"/>
    </row>
    <row r="225">
      <c r="B225" s="673" t="n"/>
      <c r="C225" s="673" t="n"/>
      <c r="D225" s="673" t="n"/>
      <c r="E225" s="675" t="n"/>
      <c r="F225" s="675" t="n"/>
      <c r="G225" s="675" t="n"/>
      <c r="H225" s="673" t="n"/>
      <c r="I225" s="673" t="n"/>
      <c r="J225" s="673" t="n"/>
      <c r="K225" s="677" t="n"/>
      <c r="L225" s="677" t="n"/>
      <c r="M225" s="677" t="n"/>
    </row>
    <row r="226">
      <c r="B226" s="673" t="n"/>
      <c r="C226" s="673" t="n"/>
      <c r="D226" s="673" t="n"/>
      <c r="E226" s="675" t="n"/>
      <c r="F226" s="675" t="n"/>
      <c r="G226" s="675" t="n"/>
      <c r="H226" s="673" t="n"/>
      <c r="I226" s="673" t="n"/>
      <c r="J226" s="673" t="n"/>
      <c r="K226" s="677" t="n"/>
      <c r="L226" s="677" t="n"/>
      <c r="M226" s="677" t="n"/>
    </row>
    <row r="227">
      <c r="B227" s="673" t="n"/>
      <c r="C227" s="673" t="n"/>
      <c r="D227" s="673" t="n"/>
      <c r="E227" s="675" t="n"/>
      <c r="F227" s="675" t="n"/>
      <c r="G227" s="675" t="n"/>
      <c r="H227" s="673" t="n"/>
      <c r="I227" s="673" t="n"/>
      <c r="J227" s="673" t="n"/>
      <c r="K227" s="677" t="n"/>
      <c r="L227" s="677" t="n"/>
      <c r="M227" s="677" t="n"/>
    </row>
    <row r="228">
      <c r="B228" s="673" t="n"/>
      <c r="C228" s="673" t="n"/>
      <c r="D228" s="673" t="n"/>
      <c r="E228" s="675" t="n"/>
      <c r="F228" s="675" t="n"/>
      <c r="G228" s="675" t="n"/>
      <c r="H228" s="673" t="n"/>
      <c r="I228" s="673" t="n"/>
      <c r="J228" s="673" t="n"/>
      <c r="K228" s="677" t="n"/>
      <c r="L228" s="677" t="n"/>
      <c r="M228" s="677" t="n"/>
    </row>
    <row r="229">
      <c r="B229" s="673" t="n"/>
      <c r="C229" s="673" t="n"/>
      <c r="D229" s="673" t="n"/>
      <c r="E229" s="675" t="n"/>
      <c r="F229" s="675" t="n"/>
      <c r="G229" s="675" t="n"/>
      <c r="H229" s="673" t="n"/>
      <c r="I229" s="673" t="n"/>
      <c r="J229" s="673" t="n"/>
      <c r="K229" s="677" t="n"/>
      <c r="L229" s="677" t="n"/>
      <c r="M229" s="677" t="n"/>
    </row>
    <row r="230">
      <c r="B230" s="673" t="n"/>
      <c r="C230" s="673" t="n"/>
      <c r="D230" s="673" t="n"/>
      <c r="E230" s="675" t="n"/>
      <c r="F230" s="675" t="n"/>
      <c r="G230" s="675" t="n"/>
      <c r="H230" s="673" t="n"/>
      <c r="I230" s="673" t="n"/>
      <c r="J230" s="673" t="n"/>
      <c r="K230" s="677" t="n"/>
      <c r="L230" s="677" t="n"/>
      <c r="M230" s="677" t="n"/>
    </row>
    <row r="231">
      <c r="B231" s="673" t="n"/>
      <c r="C231" s="673" t="n"/>
      <c r="D231" s="673" t="n"/>
      <c r="E231" s="675" t="n"/>
      <c r="F231" s="675" t="n"/>
      <c r="G231" s="675" t="n"/>
      <c r="H231" s="673" t="n"/>
      <c r="I231" s="673" t="n"/>
      <c r="J231" s="673" t="n"/>
      <c r="K231" s="677" t="n"/>
      <c r="L231" s="677" t="n"/>
      <c r="M231" s="677" t="n"/>
    </row>
    <row r="232">
      <c r="B232" s="673" t="n"/>
      <c r="C232" s="673" t="n"/>
      <c r="D232" s="673" t="n"/>
      <c r="E232" s="675" t="n"/>
      <c r="F232" s="675" t="n"/>
      <c r="G232" s="675" t="n"/>
      <c r="H232" s="673" t="n"/>
      <c r="I232" s="673" t="n"/>
      <c r="J232" s="673" t="n"/>
      <c r="K232" s="677" t="n"/>
      <c r="L232" s="677" t="n"/>
      <c r="M232" s="677" t="n"/>
    </row>
    <row r="233">
      <c r="B233" s="673" t="n"/>
      <c r="C233" s="673" t="n"/>
      <c r="D233" s="673" t="n"/>
      <c r="E233" s="675" t="n"/>
      <c r="F233" s="675" t="n"/>
      <c r="G233" s="675" t="n"/>
      <c r="H233" s="673" t="n"/>
      <c r="I233" s="673" t="n"/>
      <c r="J233" s="673" t="n"/>
      <c r="K233" s="677" t="n"/>
      <c r="L233" s="677" t="n"/>
      <c r="M233" s="677" t="n"/>
    </row>
    <row r="234">
      <c r="B234" s="673" t="n"/>
      <c r="C234" s="673" t="n"/>
      <c r="D234" s="673" t="n"/>
      <c r="E234" s="675" t="n"/>
      <c r="F234" s="675" t="n"/>
      <c r="G234" s="675" t="n"/>
      <c r="H234" s="673" t="n"/>
      <c r="I234" s="673" t="n"/>
      <c r="J234" s="673" t="n"/>
      <c r="K234" s="677" t="n"/>
      <c r="L234" s="677" t="n"/>
      <c r="M234" s="677" t="n"/>
    </row>
    <row r="235">
      <c r="B235" s="673" t="n"/>
      <c r="C235" s="673" t="n"/>
      <c r="D235" s="673" t="n"/>
      <c r="E235" s="675" t="n"/>
      <c r="F235" s="675" t="n"/>
      <c r="G235" s="675" t="n"/>
      <c r="H235" s="673" t="n"/>
      <c r="I235" s="673" t="n"/>
      <c r="J235" s="673" t="n"/>
      <c r="K235" s="677" t="n"/>
      <c r="L235" s="677" t="n"/>
      <c r="M235" s="677" t="n"/>
    </row>
    <row r="236">
      <c r="B236" s="673" t="n"/>
      <c r="C236" s="673" t="n"/>
      <c r="D236" s="673" t="n"/>
      <c r="E236" s="675" t="n"/>
      <c r="F236" s="675" t="n"/>
      <c r="G236" s="675" t="n"/>
      <c r="H236" s="673" t="n"/>
      <c r="I236" s="673" t="n"/>
      <c r="J236" s="673" t="n"/>
      <c r="K236" s="677" t="n"/>
      <c r="L236" s="677" t="n"/>
      <c r="M236" s="677" t="n"/>
    </row>
    <row r="237">
      <c r="B237" s="673" t="n"/>
      <c r="C237" s="673" t="n"/>
      <c r="D237" s="673" t="n"/>
      <c r="E237" s="675" t="n"/>
      <c r="F237" s="675" t="n"/>
      <c r="G237" s="675" t="n"/>
      <c r="H237" s="673" t="n"/>
      <c r="I237" s="673" t="n"/>
      <c r="J237" s="673" t="n"/>
      <c r="K237" s="677" t="n"/>
      <c r="L237" s="677" t="n"/>
      <c r="M237" s="677" t="n"/>
    </row>
    <row r="238">
      <c r="B238" s="673" t="n"/>
      <c r="C238" s="673" t="n"/>
      <c r="D238" s="673" t="n"/>
      <c r="E238" s="675" t="n"/>
      <c r="F238" s="675" t="n"/>
      <c r="G238" s="675" t="n"/>
      <c r="H238" s="673" t="n"/>
      <c r="I238" s="673" t="n"/>
      <c r="J238" s="673" t="n"/>
      <c r="K238" s="677" t="n"/>
      <c r="L238" s="677" t="n"/>
      <c r="M238" s="677" t="n"/>
    </row>
    <row r="239">
      <c r="B239" s="673" t="n"/>
      <c r="C239" s="673" t="n"/>
      <c r="D239" s="673" t="n"/>
      <c r="E239" s="675" t="n"/>
      <c r="F239" s="675" t="n"/>
      <c r="G239" s="675" t="n"/>
      <c r="H239" s="673" t="n"/>
      <c r="I239" s="673" t="n"/>
      <c r="J239" s="673" t="n"/>
      <c r="K239" s="677" t="n"/>
      <c r="L239" s="677" t="n"/>
      <c r="M239" s="677" t="n"/>
    </row>
    <row r="240">
      <c r="B240" s="673" t="n"/>
      <c r="C240" s="673" t="n"/>
      <c r="D240" s="673" t="n"/>
      <c r="E240" s="675" t="n"/>
      <c r="F240" s="675" t="n"/>
      <c r="G240" s="675" t="n"/>
      <c r="H240" s="673" t="n"/>
      <c r="I240" s="673" t="n"/>
      <c r="J240" s="673" t="n"/>
      <c r="K240" s="677" t="n"/>
      <c r="L240" s="677" t="n"/>
      <c r="M240" s="677" t="n"/>
    </row>
    <row r="241">
      <c r="B241" s="673" t="n"/>
      <c r="C241" s="673" t="n"/>
      <c r="D241" s="673" t="n"/>
      <c r="E241" s="675" t="n"/>
      <c r="F241" s="675" t="n"/>
      <c r="G241" s="675" t="n"/>
      <c r="H241" s="673" t="n"/>
      <c r="I241" s="673" t="n"/>
      <c r="J241" s="673" t="n"/>
      <c r="K241" s="677" t="n"/>
      <c r="L241" s="677" t="n"/>
      <c r="M241" s="677" t="n"/>
    </row>
    <row r="242">
      <c r="B242" s="673" t="n"/>
      <c r="C242" s="673" t="n"/>
      <c r="D242" s="673" t="n"/>
      <c r="E242" s="675" t="n"/>
      <c r="F242" s="675" t="n"/>
      <c r="G242" s="675" t="n"/>
      <c r="H242" s="673" t="n"/>
      <c r="I242" s="673" t="n"/>
      <c r="J242" s="673" t="n"/>
      <c r="K242" s="677" t="n"/>
      <c r="L242" s="677" t="n"/>
      <c r="M242" s="677" t="n"/>
    </row>
    <row r="243">
      <c r="B243" s="673" t="n"/>
      <c r="C243" s="673" t="n"/>
      <c r="D243" s="673" t="n"/>
      <c r="E243" s="675" t="n"/>
      <c r="F243" s="675" t="n"/>
      <c r="G243" s="675" t="n"/>
      <c r="H243" s="673" t="n"/>
      <c r="I243" s="673" t="n"/>
      <c r="J243" s="673" t="n"/>
      <c r="K243" s="677" t="n"/>
      <c r="L243" s="677" t="n"/>
      <c r="M243" s="677" t="n"/>
    </row>
    <row r="244">
      <c r="B244" s="673" t="n"/>
      <c r="C244" s="673" t="n"/>
      <c r="D244" s="673" t="n"/>
      <c r="E244" s="675" t="n"/>
      <c r="F244" s="675" t="n"/>
      <c r="G244" s="675" t="n"/>
      <c r="H244" s="673" t="n"/>
      <c r="I244" s="673" t="n"/>
      <c r="J244" s="673" t="n"/>
      <c r="K244" s="677" t="n"/>
      <c r="L244" s="677" t="n"/>
      <c r="M244" s="677" t="n"/>
    </row>
    <row r="245">
      <c r="B245" s="673" t="n"/>
      <c r="C245" s="673" t="n"/>
      <c r="D245" s="673" t="n"/>
      <c r="E245" s="675" t="n"/>
      <c r="F245" s="675" t="n"/>
      <c r="G245" s="675" t="n"/>
      <c r="H245" s="673" t="n"/>
      <c r="I245" s="673" t="n"/>
      <c r="J245" s="673" t="n"/>
      <c r="K245" s="677" t="n"/>
      <c r="L245" s="677" t="n"/>
      <c r="M245" s="677" t="n"/>
    </row>
    <row r="246">
      <c r="B246" s="673" t="n"/>
      <c r="C246" s="673" t="n"/>
      <c r="D246" s="673" t="n"/>
      <c r="E246" s="675" t="n"/>
      <c r="F246" s="675" t="n"/>
      <c r="G246" s="675" t="n"/>
      <c r="H246" s="673" t="n"/>
      <c r="I246" s="673" t="n"/>
      <c r="J246" s="673" t="n"/>
      <c r="K246" s="677" t="n"/>
      <c r="L246" s="677" t="n"/>
      <c r="M246" s="677" t="n"/>
    </row>
    <row r="247">
      <c r="B247" s="673" t="n"/>
      <c r="C247" s="673" t="n"/>
      <c r="D247" s="673" t="n"/>
      <c r="E247" s="675" t="n"/>
      <c r="F247" s="675" t="n"/>
      <c r="G247" s="675" t="n"/>
      <c r="H247" s="673" t="n"/>
      <c r="I247" s="673" t="n"/>
      <c r="J247" s="673" t="n"/>
      <c r="K247" s="677" t="n"/>
      <c r="L247" s="677" t="n"/>
      <c r="M247" s="677" t="n"/>
    </row>
    <row r="248">
      <c r="B248" s="673" t="n"/>
      <c r="C248" s="673" t="n"/>
      <c r="D248" s="673" t="n"/>
      <c r="E248" s="675" t="n"/>
      <c r="F248" s="675" t="n"/>
      <c r="G248" s="675" t="n"/>
      <c r="H248" s="673" t="n"/>
      <c r="I248" s="673" t="n"/>
      <c r="J248" s="673" t="n"/>
      <c r="K248" s="677" t="n"/>
      <c r="L248" s="677" t="n"/>
      <c r="M248" s="677" t="n"/>
    </row>
    <row r="249">
      <c r="B249" s="673" t="n"/>
      <c r="C249" s="673" t="n"/>
      <c r="D249" s="673" t="n"/>
      <c r="E249" s="675" t="n"/>
      <c r="F249" s="675" t="n"/>
      <c r="G249" s="675" t="n"/>
      <c r="H249" s="673" t="n"/>
      <c r="I249" s="673" t="n"/>
      <c r="J249" s="673" t="n"/>
      <c r="K249" s="677" t="n"/>
      <c r="L249" s="677" t="n"/>
      <c r="M249" s="677" t="n"/>
    </row>
    <row r="250">
      <c r="B250" s="673" t="n"/>
      <c r="C250" s="673" t="n"/>
      <c r="D250" s="673" t="n"/>
      <c r="E250" s="675" t="n"/>
      <c r="F250" s="675" t="n"/>
      <c r="G250" s="675" t="n"/>
      <c r="H250" s="673" t="n"/>
      <c r="I250" s="673" t="n"/>
      <c r="J250" s="673" t="n"/>
      <c r="K250" s="677" t="n"/>
      <c r="L250" s="677" t="n"/>
      <c r="M250" s="677" t="n"/>
    </row>
    <row r="251">
      <c r="B251" s="673" t="n"/>
      <c r="C251" s="673" t="n"/>
      <c r="D251" s="673" t="n"/>
      <c r="E251" s="675" t="n"/>
      <c r="F251" s="675" t="n"/>
      <c r="G251" s="675" t="n"/>
      <c r="H251" s="673" t="n"/>
      <c r="I251" s="673" t="n"/>
      <c r="J251" s="673" t="n"/>
      <c r="K251" s="677" t="n"/>
      <c r="L251" s="677" t="n"/>
      <c r="M251" s="677" t="n"/>
    </row>
    <row r="252">
      <c r="B252" s="673" t="n"/>
      <c r="C252" s="673" t="n"/>
      <c r="D252" s="673" t="n"/>
      <c r="E252" s="675" t="n"/>
      <c r="F252" s="675" t="n"/>
      <c r="G252" s="675" t="n"/>
      <c r="H252" s="673" t="n"/>
      <c r="I252" s="673" t="n"/>
      <c r="J252" s="673" t="n"/>
      <c r="K252" s="677" t="n"/>
      <c r="L252" s="677" t="n"/>
      <c r="M252" s="677" t="n"/>
    </row>
    <row r="253">
      <c r="B253" s="673" t="n"/>
      <c r="C253" s="673" t="n"/>
      <c r="D253" s="673" t="n"/>
      <c r="E253" s="675" t="n"/>
      <c r="F253" s="675" t="n"/>
      <c r="G253" s="675" t="n"/>
      <c r="H253" s="673" t="n"/>
      <c r="I253" s="673" t="n"/>
      <c r="J253" s="673" t="n"/>
      <c r="K253" s="677" t="n"/>
      <c r="L253" s="677" t="n"/>
      <c r="M253" s="677" t="n"/>
    </row>
    <row r="254">
      <c r="B254" s="673" t="n"/>
      <c r="C254" s="673" t="n"/>
      <c r="D254" s="673" t="n"/>
      <c r="E254" s="675" t="n"/>
      <c r="F254" s="675" t="n"/>
      <c r="G254" s="675" t="n"/>
      <c r="H254" s="673" t="n"/>
      <c r="I254" s="673" t="n"/>
      <c r="J254" s="673" t="n"/>
      <c r="K254" s="677" t="n"/>
      <c r="L254" s="677" t="n"/>
      <c r="M254" s="677" t="n"/>
    </row>
    <row r="255">
      <c r="B255" s="673" t="n"/>
      <c r="C255" s="673" t="n"/>
      <c r="D255" s="673" t="n"/>
      <c r="E255" s="675" t="n"/>
      <c r="F255" s="675" t="n"/>
      <c r="G255" s="675" t="n"/>
      <c r="H255" s="673" t="n"/>
      <c r="I255" s="673" t="n"/>
      <c r="J255" s="673" t="n"/>
      <c r="K255" s="677" t="n"/>
      <c r="L255" s="677" t="n"/>
      <c r="M255" s="677" t="n"/>
    </row>
    <row r="256">
      <c r="B256" s="673" t="n"/>
      <c r="C256" s="673" t="n"/>
      <c r="D256" s="673" t="n"/>
      <c r="E256" s="675" t="n"/>
      <c r="F256" s="675" t="n"/>
      <c r="G256" s="675" t="n"/>
      <c r="H256" s="673" t="n"/>
      <c r="I256" s="673" t="n"/>
      <c r="J256" s="673" t="n"/>
      <c r="K256" s="677" t="n"/>
      <c r="L256" s="677" t="n"/>
      <c r="M256" s="677" t="n"/>
    </row>
    <row r="257">
      <c r="B257" s="673" t="n"/>
      <c r="C257" s="673" t="n"/>
      <c r="D257" s="673" t="n"/>
      <c r="E257" s="675" t="n"/>
      <c r="F257" s="675" t="n"/>
      <c r="G257" s="675" t="n"/>
      <c r="H257" s="673" t="n"/>
      <c r="I257" s="673" t="n"/>
      <c r="J257" s="673" t="n"/>
      <c r="K257" s="677" t="n"/>
      <c r="L257" s="677" t="n"/>
      <c r="M257" s="677" t="n"/>
    </row>
    <row r="258">
      <c r="B258" s="673" t="n"/>
      <c r="C258" s="673" t="n"/>
      <c r="D258" s="673" t="n"/>
      <c r="E258" s="675" t="n"/>
      <c r="F258" s="675" t="n"/>
      <c r="G258" s="675" t="n"/>
      <c r="H258" s="673" t="n"/>
      <c r="I258" s="673" t="n"/>
      <c r="J258" s="673" t="n"/>
      <c r="K258" s="677" t="n"/>
      <c r="L258" s="677" t="n"/>
      <c r="M258" s="677" t="n"/>
    </row>
    <row r="259">
      <c r="B259" s="673" t="n"/>
      <c r="C259" s="673" t="n"/>
      <c r="D259" s="673" t="n"/>
      <c r="E259" s="675" t="n"/>
      <c r="F259" s="675" t="n"/>
      <c r="G259" s="675" t="n"/>
      <c r="H259" s="673" t="n"/>
      <c r="I259" s="673" t="n"/>
      <c r="J259" s="673" t="n"/>
      <c r="K259" s="677" t="n"/>
      <c r="L259" s="677" t="n"/>
      <c r="M259" s="677" t="n"/>
    </row>
    <row r="260">
      <c r="B260" s="673" t="n"/>
      <c r="C260" s="673" t="n"/>
      <c r="D260" s="673" t="n"/>
      <c r="E260" s="675" t="n"/>
      <c r="F260" s="675" t="n"/>
      <c r="G260" s="675" t="n"/>
      <c r="H260" s="673" t="n"/>
      <c r="I260" s="673" t="n"/>
      <c r="J260" s="673" t="n"/>
      <c r="K260" s="677" t="n"/>
      <c r="L260" s="677" t="n"/>
      <c r="M260" s="677" t="n"/>
    </row>
    <row r="261">
      <c r="B261" s="673" t="n"/>
      <c r="C261" s="673" t="n"/>
      <c r="D261" s="673" t="n"/>
      <c r="E261" s="675" t="n"/>
      <c r="F261" s="675" t="n"/>
      <c r="G261" s="675" t="n"/>
      <c r="H261" s="673" t="n"/>
      <c r="I261" s="673" t="n"/>
      <c r="J261" s="673" t="n"/>
      <c r="K261" s="677" t="n"/>
      <c r="L261" s="677" t="n"/>
      <c r="M261" s="677" t="n"/>
    </row>
    <row r="262">
      <c r="B262" s="673" t="n"/>
      <c r="C262" s="673" t="n"/>
      <c r="D262" s="673" t="n"/>
      <c r="E262" s="675" t="n"/>
      <c r="F262" s="675" t="n"/>
      <c r="G262" s="675" t="n"/>
      <c r="H262" s="673" t="n"/>
      <c r="I262" s="673" t="n"/>
      <c r="J262" s="673" t="n"/>
      <c r="K262" s="677" t="n"/>
      <c r="L262" s="677" t="n"/>
      <c r="M262" s="677" t="n"/>
    </row>
    <row r="263">
      <c r="B263" s="673" t="n"/>
      <c r="C263" s="673" t="n"/>
      <c r="D263" s="673" t="n"/>
      <c r="E263" s="675" t="n"/>
      <c r="F263" s="675" t="n"/>
      <c r="G263" s="675" t="n"/>
      <c r="H263" s="673" t="n"/>
      <c r="I263" s="673" t="n"/>
      <c r="J263" s="673" t="n"/>
      <c r="K263" s="677" t="n"/>
      <c r="L263" s="677" t="n"/>
      <c r="M263" s="677" t="n"/>
    </row>
    <row r="264">
      <c r="B264" s="673" t="n"/>
      <c r="C264" s="673" t="n"/>
      <c r="D264" s="673" t="n"/>
      <c r="E264" s="675" t="n"/>
      <c r="F264" s="675" t="n"/>
      <c r="G264" s="675" t="n"/>
      <c r="H264" s="673" t="n"/>
      <c r="I264" s="673" t="n"/>
      <c r="J264" s="673" t="n"/>
      <c r="K264" s="677" t="n"/>
      <c r="L264" s="677" t="n"/>
      <c r="M264" s="677" t="n"/>
    </row>
    <row r="265">
      <c r="B265" s="673" t="n"/>
      <c r="C265" s="673" t="n"/>
      <c r="D265" s="673" t="n"/>
      <c r="E265" s="675" t="n"/>
      <c r="F265" s="675" t="n"/>
      <c r="G265" s="675" t="n"/>
      <c r="H265" s="673" t="n"/>
      <c r="I265" s="673" t="n"/>
      <c r="J265" s="673" t="n"/>
      <c r="K265" s="677" t="n"/>
      <c r="L265" s="677" t="n"/>
      <c r="M265" s="677" t="n"/>
    </row>
    <row r="266">
      <c r="B266" s="673" t="n"/>
      <c r="C266" s="673" t="n"/>
      <c r="D266" s="673" t="n"/>
      <c r="E266" s="675" t="n"/>
      <c r="F266" s="675" t="n"/>
      <c r="G266" s="675" t="n"/>
      <c r="H266" s="673" t="n"/>
      <c r="I266" s="673" t="n"/>
      <c r="J266" s="673" t="n"/>
      <c r="K266" s="677" t="n"/>
      <c r="L266" s="677" t="n"/>
      <c r="M266" s="677" t="n"/>
    </row>
    <row r="267">
      <c r="B267" s="673" t="n"/>
      <c r="C267" s="673" t="n"/>
      <c r="D267" s="673" t="n"/>
      <c r="E267" s="675" t="n"/>
      <c r="F267" s="675" t="n"/>
      <c r="G267" s="675" t="n"/>
      <c r="H267" s="673" t="n"/>
      <c r="I267" s="673" t="n"/>
      <c r="J267" s="673" t="n"/>
      <c r="K267" s="677" t="n"/>
      <c r="L267" s="677" t="n"/>
      <c r="M267" s="677" t="n"/>
    </row>
    <row r="268">
      <c r="B268" s="673" t="n"/>
      <c r="C268" s="673" t="n"/>
      <c r="D268" s="673" t="n"/>
      <c r="E268" s="675" t="n"/>
      <c r="F268" s="675" t="n"/>
      <c r="G268" s="675" t="n"/>
      <c r="H268" s="673" t="n"/>
      <c r="I268" s="673" t="n"/>
      <c r="J268" s="673" t="n"/>
      <c r="K268" s="677" t="n"/>
      <c r="L268" s="677" t="n"/>
      <c r="M268" s="677" t="n"/>
    </row>
    <row r="269">
      <c r="B269" s="673" t="n"/>
      <c r="C269" s="673" t="n"/>
      <c r="D269" s="673" t="n"/>
      <c r="E269" s="675" t="n"/>
      <c r="F269" s="675" t="n"/>
      <c r="G269" s="675" t="n"/>
      <c r="H269" s="673" t="n"/>
      <c r="I269" s="673" t="n"/>
      <c r="J269" s="673" t="n"/>
      <c r="K269" s="677" t="n"/>
      <c r="L269" s="677" t="n"/>
      <c r="M269" s="677" t="n"/>
    </row>
    <row r="270">
      <c r="B270" s="673" t="n"/>
      <c r="C270" s="673" t="n"/>
      <c r="D270" s="673" t="n"/>
      <c r="E270" s="675" t="n"/>
      <c r="F270" s="675" t="n"/>
      <c r="G270" s="675" t="n"/>
      <c r="H270" s="673" t="n"/>
      <c r="I270" s="673" t="n"/>
      <c r="J270" s="673" t="n"/>
      <c r="K270" s="677" t="n"/>
      <c r="L270" s="677" t="n"/>
      <c r="M270" s="677" t="n"/>
    </row>
    <row r="271">
      <c r="B271" s="673" t="n"/>
      <c r="C271" s="673" t="n"/>
      <c r="D271" s="673" t="n"/>
      <c r="E271" s="675" t="n"/>
      <c r="F271" s="675" t="n"/>
      <c r="G271" s="675" t="n"/>
      <c r="H271" s="673" t="n"/>
      <c r="I271" s="673" t="n"/>
      <c r="J271" s="673" t="n"/>
      <c r="K271" s="677" t="n"/>
      <c r="L271" s="677" t="n"/>
      <c r="M271" s="677" t="n"/>
    </row>
    <row r="272">
      <c r="B272" s="673" t="n"/>
      <c r="C272" s="673" t="n"/>
      <c r="D272" s="673" t="n"/>
      <c r="E272" s="675" t="n"/>
      <c r="F272" s="675" t="n"/>
      <c r="G272" s="675" t="n"/>
      <c r="H272" s="673" t="n"/>
      <c r="I272" s="673" t="n"/>
      <c r="J272" s="673" t="n"/>
      <c r="K272" s="677" t="n"/>
      <c r="L272" s="677" t="n"/>
      <c r="M272" s="677" t="n"/>
    </row>
    <row r="273">
      <c r="B273" s="673" t="n"/>
      <c r="C273" s="673" t="n"/>
      <c r="D273" s="673" t="n"/>
      <c r="E273" s="675" t="n"/>
      <c r="F273" s="675" t="n"/>
      <c r="G273" s="675" t="n"/>
      <c r="H273" s="673" t="n"/>
      <c r="I273" s="673" t="n"/>
      <c r="J273" s="673" t="n"/>
      <c r="K273" s="677" t="n"/>
      <c r="L273" s="677" t="n"/>
      <c r="M273" s="677" t="n"/>
    </row>
    <row r="274">
      <c r="B274" s="673" t="n"/>
      <c r="C274" s="673" t="n"/>
      <c r="D274" s="673" t="n"/>
      <c r="E274" s="675" t="n"/>
      <c r="F274" s="675" t="n"/>
      <c r="G274" s="675" t="n"/>
      <c r="H274" s="673" t="n"/>
      <c r="I274" s="673" t="n"/>
      <c r="J274" s="673" t="n"/>
      <c r="K274" s="677" t="n"/>
      <c r="L274" s="677" t="n"/>
      <c r="M274" s="677" t="n"/>
    </row>
    <row r="275">
      <c r="B275" s="673" t="n"/>
      <c r="C275" s="673" t="n"/>
      <c r="D275" s="673" t="n"/>
      <c r="E275" s="675" t="n"/>
      <c r="F275" s="675" t="n"/>
      <c r="G275" s="675" t="n"/>
      <c r="H275" s="673" t="n"/>
      <c r="I275" s="673" t="n"/>
      <c r="J275" s="673" t="n"/>
      <c r="K275" s="677" t="n"/>
      <c r="L275" s="677" t="n"/>
      <c r="M275" s="677" t="n"/>
    </row>
    <row r="276">
      <c r="B276" s="673" t="n"/>
      <c r="C276" s="673" t="n"/>
      <c r="D276" s="673" t="n"/>
      <c r="E276" s="675" t="n"/>
      <c r="F276" s="675" t="n"/>
      <c r="G276" s="675" t="n"/>
      <c r="H276" s="673" t="n"/>
      <c r="I276" s="673" t="n"/>
      <c r="J276" s="673" t="n"/>
      <c r="K276" s="677" t="n"/>
      <c r="L276" s="677" t="n"/>
      <c r="M276" s="677" t="n"/>
    </row>
    <row r="277">
      <c r="B277" s="673" t="n"/>
      <c r="C277" s="673" t="n"/>
      <c r="D277" s="673" t="n"/>
      <c r="E277" s="675" t="n"/>
      <c r="F277" s="675" t="n"/>
      <c r="G277" s="675" t="n"/>
      <c r="H277" s="673" t="n"/>
      <c r="I277" s="673" t="n"/>
      <c r="J277" s="673" t="n"/>
      <c r="K277" s="677" t="n"/>
      <c r="L277" s="677" t="n"/>
      <c r="M277" s="677" t="n"/>
    </row>
    <row r="278">
      <c r="B278" s="673" t="n"/>
      <c r="C278" s="673" t="n"/>
      <c r="D278" s="673" t="n"/>
      <c r="E278" s="675" t="n"/>
      <c r="F278" s="675" t="n"/>
      <c r="G278" s="675" t="n"/>
      <c r="H278" s="673" t="n"/>
      <c r="I278" s="673" t="n"/>
      <c r="J278" s="673" t="n"/>
      <c r="K278" s="677" t="n"/>
      <c r="L278" s="677" t="n"/>
      <c r="M278" s="677" t="n"/>
    </row>
    <row r="279">
      <c r="B279" s="673" t="n"/>
      <c r="C279" s="673" t="n"/>
      <c r="D279" s="673" t="n"/>
      <c r="E279" s="675" t="n"/>
      <c r="F279" s="675" t="n"/>
      <c r="G279" s="675" t="n"/>
      <c r="H279" s="673" t="n"/>
      <c r="I279" s="673" t="n"/>
      <c r="J279" s="673" t="n"/>
      <c r="K279" s="677" t="n"/>
      <c r="L279" s="677" t="n"/>
      <c r="M279" s="677" t="n"/>
    </row>
    <row r="280">
      <c r="B280" s="673" t="n"/>
      <c r="C280" s="673" t="n"/>
      <c r="D280" s="673" t="n"/>
      <c r="E280" s="675" t="n"/>
      <c r="F280" s="675" t="n"/>
      <c r="G280" s="675" t="n"/>
      <c r="H280" s="673" t="n"/>
      <c r="I280" s="673" t="n"/>
      <c r="J280" s="673" t="n"/>
      <c r="K280" s="677" t="n"/>
      <c r="L280" s="677" t="n"/>
      <c r="M280" s="677" t="n"/>
    </row>
    <row r="281">
      <c r="B281" s="673" t="n"/>
      <c r="C281" s="673" t="n"/>
      <c r="D281" s="673" t="n"/>
      <c r="E281" s="675" t="n"/>
      <c r="F281" s="675" t="n"/>
      <c r="G281" s="675" t="n"/>
      <c r="H281" s="673" t="n"/>
      <c r="I281" s="673" t="n"/>
      <c r="J281" s="673" t="n"/>
      <c r="K281" s="677" t="n"/>
      <c r="L281" s="677" t="n"/>
      <c r="M281" s="677" t="n"/>
    </row>
    <row r="282">
      <c r="B282" s="673" t="n"/>
      <c r="C282" s="673" t="n"/>
      <c r="D282" s="673" t="n"/>
      <c r="E282" s="675" t="n"/>
      <c r="F282" s="675" t="n"/>
      <c r="G282" s="675" t="n"/>
      <c r="H282" s="673" t="n"/>
      <c r="I282" s="673" t="n"/>
      <c r="J282" s="673" t="n"/>
      <c r="K282" s="677" t="n"/>
      <c r="L282" s="677" t="n"/>
      <c r="M282" s="677" t="n"/>
    </row>
    <row r="283">
      <c r="B283" s="673" t="n"/>
      <c r="C283" s="673" t="n"/>
      <c r="D283" s="673" t="n"/>
      <c r="E283" s="675" t="n"/>
      <c r="F283" s="675" t="n"/>
      <c r="G283" s="675" t="n"/>
      <c r="H283" s="673" t="n"/>
      <c r="I283" s="673" t="n"/>
      <c r="J283" s="673" t="n"/>
      <c r="K283" s="677" t="n"/>
      <c r="L283" s="677" t="n"/>
      <c r="M283" s="677" t="n"/>
    </row>
    <row r="284">
      <c r="B284" s="673" t="n"/>
      <c r="C284" s="673" t="n"/>
      <c r="D284" s="673" t="n"/>
      <c r="E284" s="675" t="n"/>
      <c r="F284" s="675" t="n"/>
      <c r="G284" s="675" t="n"/>
      <c r="H284" s="673" t="n"/>
      <c r="I284" s="673" t="n"/>
      <c r="J284" s="673" t="n"/>
      <c r="K284" s="677" t="n"/>
      <c r="L284" s="677" t="n"/>
      <c r="M284" s="677" t="n"/>
    </row>
    <row r="285">
      <c r="B285" s="673" t="n"/>
      <c r="C285" s="673" t="n"/>
      <c r="D285" s="673" t="n"/>
      <c r="E285" s="675" t="n"/>
      <c r="F285" s="675" t="n"/>
      <c r="G285" s="675" t="n"/>
      <c r="H285" s="673" t="n"/>
      <c r="I285" s="673" t="n"/>
      <c r="J285" s="673" t="n"/>
      <c r="K285" s="677" t="n"/>
      <c r="L285" s="677" t="n"/>
      <c r="M285" s="677" t="n"/>
    </row>
    <row r="286">
      <c r="B286" s="673" t="n"/>
      <c r="C286" s="673" t="n"/>
      <c r="D286" s="673" t="n"/>
      <c r="E286" s="675" t="n"/>
      <c r="F286" s="675" t="n"/>
      <c r="G286" s="675" t="n"/>
      <c r="H286" s="673" t="n"/>
      <c r="I286" s="673" t="n"/>
      <c r="J286" s="673" t="n"/>
      <c r="K286" s="677" t="n"/>
      <c r="L286" s="677" t="n"/>
      <c r="M286" s="677" t="n"/>
    </row>
    <row r="287">
      <c r="B287" s="673" t="n"/>
      <c r="C287" s="673" t="n"/>
      <c r="D287" s="673" t="n"/>
      <c r="E287" s="675" t="n"/>
      <c r="F287" s="675" t="n"/>
      <c r="G287" s="675" t="n"/>
      <c r="H287" s="673" t="n"/>
      <c r="I287" s="673" t="n"/>
      <c r="J287" s="673" t="n"/>
      <c r="K287" s="677" t="n"/>
      <c r="L287" s="677" t="n"/>
      <c r="M287" s="677" t="n"/>
    </row>
    <row r="288">
      <c r="B288" s="673" t="n"/>
      <c r="C288" s="673" t="n"/>
      <c r="D288" s="673" t="n"/>
      <c r="E288" s="675" t="n"/>
      <c r="F288" s="675" t="n"/>
      <c r="G288" s="675" t="n"/>
      <c r="H288" s="673" t="n"/>
      <c r="I288" s="673" t="n"/>
      <c r="J288" s="673" t="n"/>
      <c r="K288" s="677" t="n"/>
      <c r="L288" s="677" t="n"/>
      <c r="M288" s="677" t="n"/>
    </row>
    <row r="289">
      <c r="B289" s="673" t="n"/>
      <c r="C289" s="673" t="n"/>
      <c r="D289" s="673" t="n"/>
      <c r="E289" s="675" t="n"/>
      <c r="F289" s="675" t="n"/>
      <c r="G289" s="675" t="n"/>
      <c r="H289" s="673" t="n"/>
      <c r="I289" s="673" t="n"/>
      <c r="J289" s="673" t="n"/>
      <c r="K289" s="677" t="n"/>
      <c r="L289" s="677" t="n"/>
      <c r="M289" s="677" t="n"/>
    </row>
    <row r="290">
      <c r="B290" s="673" t="n"/>
      <c r="C290" s="673" t="n"/>
      <c r="D290" s="673" t="n"/>
      <c r="E290" s="675" t="n"/>
      <c r="F290" s="675" t="n"/>
      <c r="G290" s="675" t="n"/>
      <c r="H290" s="673" t="n"/>
      <c r="I290" s="673" t="n"/>
      <c r="J290" s="673" t="n"/>
      <c r="K290" s="677" t="n"/>
      <c r="L290" s="677" t="n"/>
      <c r="M290" s="677" t="n"/>
    </row>
    <row r="291">
      <c r="B291" s="673" t="n"/>
      <c r="C291" s="673" t="n"/>
      <c r="D291" s="673" t="n"/>
      <c r="E291" s="675" t="n"/>
      <c r="F291" s="675" t="n"/>
      <c r="G291" s="675" t="n"/>
      <c r="H291" s="673" t="n"/>
      <c r="I291" s="673" t="n"/>
      <c r="J291" s="673" t="n"/>
      <c r="K291" s="677" t="n"/>
      <c r="L291" s="677" t="n"/>
      <c r="M291" s="677" t="n"/>
    </row>
    <row r="292">
      <c r="B292" s="673" t="n"/>
      <c r="C292" s="673" t="n"/>
      <c r="D292" s="673" t="n"/>
      <c r="E292" s="675" t="n"/>
      <c r="F292" s="675" t="n"/>
      <c r="G292" s="675" t="n"/>
      <c r="H292" s="673" t="n"/>
      <c r="I292" s="673" t="n"/>
      <c r="J292" s="673" t="n"/>
      <c r="K292" s="677" t="n"/>
      <c r="L292" s="677" t="n"/>
      <c r="M292" s="677" t="n"/>
    </row>
    <row r="293">
      <c r="B293" s="673" t="n"/>
      <c r="C293" s="673" t="n"/>
      <c r="D293" s="673" t="n"/>
      <c r="E293" s="675" t="n"/>
      <c r="F293" s="675" t="n"/>
      <c r="G293" s="675" t="n"/>
      <c r="H293" s="673" t="n"/>
      <c r="I293" s="673" t="n"/>
      <c r="J293" s="673" t="n"/>
      <c r="K293" s="677" t="n"/>
      <c r="L293" s="677" t="n"/>
      <c r="M293" s="677" t="n"/>
    </row>
    <row r="294">
      <c r="B294" s="673" t="n"/>
      <c r="C294" s="673" t="n"/>
      <c r="D294" s="673" t="n"/>
      <c r="E294" s="675" t="n"/>
      <c r="F294" s="675" t="n"/>
      <c r="G294" s="675" t="n"/>
      <c r="H294" s="673" t="n"/>
      <c r="I294" s="673" t="n"/>
      <c r="J294" s="673" t="n"/>
      <c r="K294" s="677" t="n"/>
      <c r="L294" s="677" t="n"/>
      <c r="M294" s="677" t="n"/>
    </row>
    <row r="295">
      <c r="B295" s="673" t="n"/>
      <c r="C295" s="673" t="n"/>
      <c r="D295" s="673" t="n"/>
      <c r="E295" s="675" t="n"/>
      <c r="F295" s="675" t="n"/>
      <c r="G295" s="675" t="n"/>
      <c r="H295" s="673" t="n"/>
      <c r="I295" s="673" t="n"/>
      <c r="J295" s="673" t="n"/>
      <c r="K295" s="677" t="n"/>
      <c r="L295" s="677" t="n"/>
      <c r="M295" s="677" t="n"/>
    </row>
    <row r="296">
      <c r="B296" s="673" t="n"/>
      <c r="C296" s="673" t="n"/>
      <c r="D296" s="673" t="n"/>
      <c r="E296" s="675" t="n"/>
      <c r="F296" s="675" t="n"/>
      <c r="G296" s="675" t="n"/>
      <c r="H296" s="673" t="n"/>
      <c r="I296" s="673" t="n"/>
      <c r="J296" s="673" t="n"/>
      <c r="K296" s="677" t="n"/>
      <c r="L296" s="677" t="n"/>
      <c r="M296" s="677" t="n"/>
    </row>
    <row r="297">
      <c r="B297" s="673" t="n"/>
      <c r="C297" s="673" t="n"/>
      <c r="D297" s="673" t="n"/>
      <c r="E297" s="675" t="n"/>
      <c r="F297" s="675" t="n"/>
      <c r="G297" s="675" t="n"/>
      <c r="H297" s="673" t="n"/>
      <c r="I297" s="673" t="n"/>
      <c r="J297" s="673" t="n"/>
      <c r="K297" s="677" t="n"/>
      <c r="L297" s="677" t="n"/>
      <c r="M297" s="677" t="n"/>
    </row>
    <row r="298">
      <c r="B298" s="673" t="n"/>
      <c r="C298" s="673" t="n"/>
      <c r="D298" s="673" t="n"/>
      <c r="E298" s="675" t="n"/>
      <c r="F298" s="675" t="n"/>
      <c r="G298" s="675" t="n"/>
      <c r="H298" s="673" t="n"/>
      <c r="I298" s="673" t="n"/>
      <c r="J298" s="673" t="n"/>
      <c r="K298" s="677" t="n"/>
      <c r="L298" s="677" t="n"/>
      <c r="M298" s="677" t="n"/>
    </row>
    <row r="299">
      <c r="B299" s="673" t="n"/>
      <c r="C299" s="673" t="n"/>
      <c r="D299" s="673" t="n"/>
      <c r="E299" s="675" t="n"/>
      <c r="F299" s="675" t="n"/>
      <c r="G299" s="675" t="n"/>
      <c r="H299" s="673" t="n"/>
      <c r="I299" s="673" t="n"/>
      <c r="J299" s="673" t="n"/>
      <c r="K299" s="677" t="n"/>
      <c r="L299" s="677" t="n"/>
      <c r="M299" s="677" t="n"/>
    </row>
    <row r="300">
      <c r="B300" s="673" t="n"/>
      <c r="C300" s="673" t="n"/>
      <c r="D300" s="673" t="n"/>
      <c r="E300" s="675" t="n"/>
      <c r="F300" s="675" t="n"/>
      <c r="G300" s="675" t="n"/>
      <c r="H300" s="673" t="n"/>
      <c r="I300" s="673" t="n"/>
      <c r="J300" s="673" t="n"/>
      <c r="K300" s="677" t="n"/>
      <c r="L300" s="677" t="n"/>
      <c r="M300" s="677" t="n"/>
    </row>
    <row r="301">
      <c r="B301" s="673" t="n"/>
      <c r="C301" s="673" t="n"/>
      <c r="D301" s="673" t="n"/>
      <c r="E301" s="675" t="n"/>
      <c r="F301" s="675" t="n"/>
      <c r="G301" s="675" t="n"/>
      <c r="H301" s="673" t="n"/>
      <c r="I301" s="673" t="n"/>
      <c r="J301" s="673" t="n"/>
      <c r="K301" s="677" t="n"/>
      <c r="L301" s="677" t="n"/>
      <c r="M301" s="677" t="n"/>
    </row>
    <row r="302">
      <c r="B302" s="673" t="n"/>
      <c r="C302" s="673" t="n"/>
      <c r="D302" s="673" t="n"/>
      <c r="E302" s="675" t="n"/>
      <c r="F302" s="675" t="n"/>
      <c r="G302" s="675" t="n"/>
      <c r="H302" s="673" t="n"/>
      <c r="I302" s="673" t="n"/>
      <c r="J302" s="673" t="n"/>
      <c r="K302" s="677" t="n"/>
      <c r="L302" s="677" t="n"/>
      <c r="M302" s="67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73" t="n"/>
      <c r="C303" s="673" t="n"/>
      <c r="D303" s="673" t="n"/>
      <c r="E303" s="675" t="n"/>
      <c r="F303" s="675" t="n"/>
      <c r="G303" s="675" t="n"/>
      <c r="H303" s="673" t="n"/>
      <c r="I303" s="673" t="n"/>
      <c r="J303" s="673" t="n"/>
      <c r="K303" s="677" t="n"/>
      <c r="L303" s="677" t="n"/>
      <c r="M303" s="67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73" t="n"/>
      <c r="C304" s="673" t="n"/>
      <c r="D304" s="673" t="n"/>
      <c r="E304" s="675" t="n"/>
      <c r="F304" s="675" t="n"/>
      <c r="G304" s="675" t="n"/>
      <c r="H304" s="673" t="n"/>
      <c r="I304" s="673" t="n"/>
      <c r="J304" s="673" t="n"/>
      <c r="K304" s="677" t="n"/>
      <c r="L304" s="677" t="n"/>
      <c r="M304" s="67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73" t="n"/>
      <c r="C305" s="673" t="n"/>
      <c r="D305" s="673" t="n"/>
      <c r="E305" s="675" t="n"/>
      <c r="F305" s="675" t="n"/>
      <c r="G305" s="675" t="n"/>
      <c r="H305" s="673" t="n"/>
      <c r="I305" s="673" t="n"/>
      <c r="J305" s="673" t="n"/>
      <c r="K305" s="677" t="n"/>
      <c r="L305" s="677" t="n"/>
      <c r="M305" s="67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73" t="n"/>
      <c r="C306" s="673" t="n"/>
      <c r="D306" s="673" t="n"/>
      <c r="E306" s="675" t="n"/>
      <c r="F306" s="675" t="n"/>
      <c r="G306" s="675" t="n"/>
      <c r="H306" s="673" t="n"/>
      <c r="I306" s="673" t="n"/>
      <c r="J306" s="673" t="n"/>
      <c r="K306" s="677" t="n"/>
      <c r="L306" s="677" t="n"/>
      <c r="M306" s="67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73" t="n"/>
      <c r="C307" s="673" t="n"/>
      <c r="D307" s="673" t="n"/>
      <c r="E307" s="675" t="n"/>
      <c r="F307" s="675" t="n"/>
      <c r="G307" s="675" t="n"/>
      <c r="H307" s="673" t="n"/>
      <c r="I307" s="673" t="n"/>
      <c r="J307" s="673" t="n"/>
      <c r="K307" s="677" t="n"/>
      <c r="L307" s="677" t="n"/>
      <c r="M307" s="67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73" t="n"/>
      <c r="C308" s="673" t="n"/>
      <c r="D308" s="673" t="n"/>
      <c r="E308" s="675" t="n"/>
      <c r="F308" s="675" t="n"/>
      <c r="G308" s="675" t="n"/>
      <c r="H308" s="673" t="n"/>
      <c r="I308" s="673" t="n"/>
      <c r="J308" s="673" t="n"/>
      <c r="K308" s="677" t="n"/>
      <c r="L308" s="677" t="n"/>
      <c r="M308" s="67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73" t="n"/>
      <c r="C309" s="673" t="n"/>
      <c r="D309" s="673" t="n"/>
      <c r="E309" s="675" t="n"/>
      <c r="F309" s="675" t="n"/>
      <c r="G309" s="675" t="n"/>
      <c r="H309" s="673" t="n"/>
      <c r="I309" s="673" t="n"/>
      <c r="J309" s="673" t="n"/>
      <c r="K309" s="677" t="n"/>
      <c r="L309" s="677" t="n"/>
      <c r="M309" s="67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73" t="n"/>
      <c r="C310" s="673" t="n"/>
      <c r="D310" s="673" t="n"/>
      <c r="E310" s="675" t="n"/>
      <c r="F310" s="675" t="n"/>
      <c r="G310" s="675" t="n"/>
      <c r="H310" s="673" t="n"/>
      <c r="I310" s="673" t="n"/>
      <c r="J310" s="673" t="n"/>
      <c r="K310" s="677" t="n"/>
      <c r="L310" s="677" t="n"/>
      <c r="M310" s="67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73" t="n"/>
      <c r="C311" s="673" t="n"/>
      <c r="D311" s="673" t="n"/>
      <c r="E311" s="675" t="n"/>
      <c r="F311" s="675" t="n"/>
      <c r="G311" s="675" t="n"/>
      <c r="H311" s="673" t="n"/>
      <c r="I311" s="673" t="n"/>
      <c r="J311" s="673" t="n"/>
      <c r="K311" s="677" t="n"/>
      <c r="L311" s="677" t="n"/>
      <c r="M311" s="67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73" t="n"/>
      <c r="C312" s="673" t="n"/>
      <c r="D312" s="673" t="n"/>
      <c r="E312" s="675" t="n"/>
      <c r="F312" s="675" t="n"/>
      <c r="G312" s="675" t="n"/>
      <c r="H312" s="673" t="n"/>
      <c r="I312" s="673" t="n"/>
      <c r="J312" s="673" t="n"/>
      <c r="K312" s="677" t="n"/>
      <c r="L312" s="677" t="n"/>
      <c r="M312" s="67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73" t="n"/>
      <c r="C313" s="673" t="n"/>
      <c r="D313" s="673" t="n"/>
      <c r="E313" s="675" t="n"/>
      <c r="F313" s="675" t="n"/>
      <c r="G313" s="675" t="n"/>
      <c r="H313" s="673" t="n"/>
      <c r="I313" s="673" t="n"/>
      <c r="J313" s="673" t="n"/>
      <c r="K313" s="677" t="n"/>
      <c r="L313" s="677" t="n"/>
      <c r="M313" s="67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73" t="n"/>
      <c r="C314" s="673" t="n"/>
      <c r="D314" s="673" t="n"/>
      <c r="E314" s="675" t="n"/>
      <c r="F314" s="675" t="n"/>
      <c r="G314" s="675" t="n"/>
      <c r="H314" s="673" t="n"/>
      <c r="I314" s="673" t="n"/>
      <c r="J314" s="673" t="n"/>
      <c r="K314" s="677" t="n"/>
      <c r="L314" s="677" t="n"/>
      <c r="M314" s="67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73" t="n"/>
      <c r="C315" s="673" t="n"/>
      <c r="D315" s="673" t="n"/>
      <c r="E315" s="675" t="n"/>
      <c r="F315" s="675" t="n"/>
      <c r="G315" s="675" t="n"/>
      <c r="H315" s="673" t="n"/>
      <c r="I315" s="673" t="n"/>
      <c r="J315" s="673" t="n"/>
      <c r="K315" s="677" t="n"/>
      <c r="L315" s="677" t="n"/>
      <c r="M315" s="67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73" t="n"/>
      <c r="C316" s="673" t="n"/>
      <c r="D316" s="673" t="n"/>
      <c r="E316" s="675" t="n"/>
      <c r="F316" s="675" t="n"/>
      <c r="G316" s="675" t="n"/>
      <c r="H316" s="673" t="n"/>
      <c r="I316" s="673" t="n"/>
      <c r="J316" s="673" t="n"/>
      <c r="K316" s="677" t="n"/>
      <c r="L316" s="677" t="n"/>
      <c r="M316" s="67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73" t="n"/>
      <c r="C317" s="673" t="n"/>
      <c r="D317" s="673" t="n"/>
      <c r="E317" s="675" t="n"/>
      <c r="F317" s="675" t="n"/>
      <c r="G317" s="675" t="n"/>
      <c r="H317" s="673" t="n"/>
      <c r="I317" s="673" t="n"/>
      <c r="J317" s="673" t="n"/>
      <c r="K317" s="677" t="n"/>
      <c r="L317" s="677" t="n"/>
      <c r="M317" s="67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73" t="n"/>
      <c r="C318" s="673" t="n"/>
      <c r="D318" s="673" t="n"/>
      <c r="E318" s="675" t="n"/>
      <c r="F318" s="675" t="n"/>
      <c r="G318" s="675" t="n"/>
      <c r="H318" s="673" t="n"/>
      <c r="I318" s="673" t="n"/>
      <c r="J318" s="673" t="n"/>
      <c r="K318" s="677" t="n"/>
      <c r="L318" s="677" t="n"/>
      <c r="M318" s="67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73" t="n"/>
      <c r="C319" s="673" t="n"/>
      <c r="D319" s="673" t="n"/>
      <c r="E319" s="675" t="n"/>
      <c r="F319" s="675" t="n"/>
      <c r="G319" s="675" t="n"/>
      <c r="H319" s="673" t="n"/>
      <c r="I319" s="673" t="n"/>
      <c r="J319" s="673" t="n"/>
      <c r="K319" s="677" t="n"/>
      <c r="L319" s="677" t="n"/>
      <c r="M319" s="67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73" t="n"/>
      <c r="C320" s="673" t="n"/>
      <c r="D320" s="673" t="n"/>
      <c r="E320" s="675" t="n"/>
      <c r="F320" s="675" t="n"/>
      <c r="G320" s="675" t="n"/>
      <c r="H320" s="673" t="n"/>
      <c r="I320" s="673" t="n"/>
      <c r="J320" s="673" t="n"/>
      <c r="K320" s="677" t="n"/>
      <c r="L320" s="677" t="n"/>
      <c r="M320" s="67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73" t="n"/>
      <c r="C321" s="673" t="n"/>
      <c r="D321" s="673" t="n"/>
      <c r="E321" s="675" t="n"/>
      <c r="F321" s="675" t="n"/>
      <c r="G321" s="675" t="n"/>
      <c r="H321" s="673" t="n"/>
      <c r="I321" s="673" t="n"/>
      <c r="J321" s="673" t="n"/>
      <c r="K321" s="677" t="n"/>
      <c r="L321" s="677" t="n"/>
      <c r="M321" s="67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73" t="n"/>
      <c r="C322" s="673" t="n"/>
      <c r="D322" s="673" t="n"/>
      <c r="E322" s="675" t="n"/>
      <c r="F322" s="675" t="n"/>
      <c r="G322" s="675" t="n"/>
      <c r="H322" s="673" t="n"/>
      <c r="I322" s="673" t="n"/>
      <c r="J322" s="673" t="n"/>
      <c r="K322" s="677" t="n"/>
      <c r="L322" s="677" t="n"/>
      <c r="M322" s="67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73" t="n"/>
      <c r="C323" s="673" t="n"/>
      <c r="D323" s="673" t="n"/>
      <c r="E323" s="675" t="n"/>
      <c r="F323" s="675" t="n"/>
      <c r="G323" s="675" t="n"/>
      <c r="H323" s="673" t="n"/>
      <c r="I323" s="673" t="n"/>
      <c r="J323" s="673" t="n"/>
      <c r="K323" s="677" t="n"/>
      <c r="L323" s="677" t="n"/>
      <c r="M323" s="67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73" t="n"/>
      <c r="C324" s="673" t="n"/>
      <c r="D324" s="673" t="n"/>
      <c r="E324" s="675" t="n"/>
      <c r="F324" s="675" t="n"/>
      <c r="G324" s="675" t="n"/>
      <c r="H324" s="673" t="n"/>
      <c r="I324" s="673" t="n"/>
      <c r="J324" s="673" t="n"/>
      <c r="K324" s="677" t="n"/>
      <c r="L324" s="677" t="n"/>
      <c r="M324" s="67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73" t="n"/>
      <c r="C325" s="673" t="n"/>
      <c r="D325" s="673" t="n"/>
      <c r="E325" s="675" t="n"/>
      <c r="F325" s="675" t="n"/>
      <c r="G325" s="675" t="n"/>
      <c r="H325" s="673" t="n"/>
      <c r="I325" s="673" t="n"/>
      <c r="J325" s="673" t="n"/>
      <c r="K325" s="677" t="n"/>
      <c r="L325" s="677" t="n"/>
      <c r="M325" s="67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73" t="n"/>
      <c r="C326" s="673" t="n"/>
      <c r="D326" s="673" t="n"/>
      <c r="E326" s="675" t="n"/>
      <c r="F326" s="675" t="n"/>
      <c r="G326" s="675" t="n"/>
      <c r="H326" s="673" t="n"/>
      <c r="I326" s="673" t="n"/>
      <c r="J326" s="673" t="n"/>
      <c r="K326" s="677" t="n"/>
      <c r="L326" s="677" t="n"/>
      <c r="M326" s="67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73" t="n"/>
      <c r="C327" s="673" t="n"/>
      <c r="D327" s="673" t="n"/>
      <c r="E327" s="675" t="n"/>
      <c r="F327" s="675" t="n"/>
      <c r="G327" s="675" t="n"/>
      <c r="H327" s="673" t="n"/>
      <c r="I327" s="673" t="n"/>
      <c r="J327" s="673" t="n"/>
      <c r="K327" s="677" t="n"/>
      <c r="L327" s="677" t="n"/>
      <c r="M327" s="67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73" t="n"/>
      <c r="C328" s="673" t="n"/>
      <c r="D328" s="673" t="n"/>
      <c r="E328" s="675" t="n"/>
      <c r="F328" s="675" t="n"/>
      <c r="G328" s="675" t="n"/>
      <c r="H328" s="673" t="n"/>
      <c r="I328" s="673" t="n"/>
      <c r="J328" s="673" t="n"/>
      <c r="K328" s="677" t="n"/>
      <c r="L328" s="677" t="n"/>
      <c r="M328" s="67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73" t="n"/>
      <c r="C329" s="673" t="n"/>
      <c r="D329" s="673" t="n"/>
      <c r="E329" s="675" t="n"/>
      <c r="F329" s="675" t="n"/>
      <c r="G329" s="675" t="n"/>
      <c r="H329" s="673" t="n"/>
      <c r="I329" s="673" t="n"/>
      <c r="J329" s="673" t="n"/>
      <c r="K329" s="677" t="n"/>
      <c r="L329" s="677" t="n"/>
      <c r="M329" s="67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73" t="n"/>
      <c r="C330" s="673" t="n"/>
      <c r="D330" s="673" t="n"/>
      <c r="E330" s="675" t="n"/>
      <c r="F330" s="675" t="n"/>
      <c r="G330" s="675" t="n"/>
      <c r="H330" s="673" t="n"/>
      <c r="I330" s="673" t="n"/>
      <c r="J330" s="673" t="n"/>
      <c r="K330" s="677" t="n"/>
      <c r="L330" s="677" t="n"/>
      <c r="M330" s="67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73" t="n"/>
      <c r="C331" s="673" t="n"/>
      <c r="D331" s="673" t="n"/>
      <c r="E331" s="675" t="n"/>
      <c r="F331" s="675" t="n"/>
      <c r="G331" s="675" t="n"/>
      <c r="H331" s="673" t="n"/>
      <c r="I331" s="673" t="n"/>
      <c r="J331" s="673" t="n"/>
      <c r="K331" s="677" t="n"/>
      <c r="L331" s="677" t="n"/>
      <c r="M331" s="67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73" t="n"/>
      <c r="C332" s="673" t="n"/>
      <c r="D332" s="673" t="n"/>
      <c r="E332" s="675" t="n"/>
      <c r="F332" s="675" t="n"/>
      <c r="G332" s="675" t="n"/>
      <c r="H332" s="673" t="n"/>
      <c r="I332" s="673" t="n"/>
      <c r="J332" s="673" t="n"/>
      <c r="K332" s="677" t="n"/>
      <c r="L332" s="677" t="n"/>
      <c r="M332" s="67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73" t="n"/>
      <c r="C333" s="673" t="n"/>
      <c r="D333" s="673" t="n"/>
      <c r="E333" s="675" t="n"/>
      <c r="F333" s="675" t="n"/>
      <c r="G333" s="675" t="n"/>
      <c r="H333" s="673" t="n"/>
      <c r="I333" s="673" t="n"/>
      <c r="J333" s="673" t="n"/>
      <c r="K333" s="677" t="n"/>
      <c r="L333" s="677" t="n"/>
      <c r="M333" s="67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73" t="n"/>
      <c r="C334" s="673" t="n"/>
      <c r="D334" s="673" t="n"/>
      <c r="E334" s="675" t="n"/>
      <c r="F334" s="675" t="n"/>
      <c r="G334" s="675" t="n"/>
      <c r="H334" s="673" t="n"/>
      <c r="I334" s="673" t="n"/>
      <c r="J334" s="673" t="n"/>
      <c r="K334" s="677" t="n"/>
      <c r="L334" s="677" t="n"/>
      <c r="M334" s="67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73" t="n"/>
      <c r="C335" s="673" t="n"/>
      <c r="D335" s="673" t="n"/>
      <c r="E335" s="675" t="n"/>
      <c r="F335" s="675" t="n"/>
      <c r="G335" s="675" t="n"/>
      <c r="H335" s="673" t="n"/>
      <c r="I335" s="673" t="n"/>
      <c r="J335" s="673" t="n"/>
      <c r="K335" s="677" t="n"/>
      <c r="L335" s="677" t="n"/>
      <c r="M335" s="67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73" t="n"/>
      <c r="C336" s="673" t="n"/>
      <c r="D336" s="673" t="n"/>
      <c r="E336" s="675" t="n"/>
      <c r="F336" s="675" t="n"/>
      <c r="G336" s="675" t="n"/>
      <c r="H336" s="673" t="n"/>
      <c r="I336" s="673" t="n"/>
      <c r="J336" s="673" t="n"/>
      <c r="K336" s="677" t="n"/>
      <c r="L336" s="677" t="n"/>
      <c r="M336" s="67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73" t="n"/>
      <c r="C337" s="673" t="n"/>
      <c r="D337" s="673" t="n"/>
      <c r="E337" s="675" t="n"/>
      <c r="F337" s="675" t="n"/>
      <c r="G337" s="675" t="n"/>
      <c r="H337" s="673" t="n"/>
      <c r="I337" s="673" t="n"/>
      <c r="J337" s="673" t="n"/>
      <c r="K337" s="677" t="n"/>
      <c r="L337" s="677" t="n"/>
      <c r="M337" s="67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73" t="n"/>
      <c r="C338" s="673" t="n"/>
      <c r="D338" s="673" t="n"/>
      <c r="E338" s="675" t="n"/>
      <c r="F338" s="675" t="n"/>
      <c r="G338" s="675" t="n"/>
      <c r="H338" s="673" t="n"/>
      <c r="I338" s="673" t="n"/>
      <c r="J338" s="673" t="n"/>
      <c r="K338" s="677" t="n"/>
      <c r="L338" s="677" t="n"/>
      <c r="M338" s="67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73" t="n"/>
      <c r="C339" s="673" t="n"/>
      <c r="D339" s="673" t="n"/>
      <c r="E339" s="675" t="n"/>
      <c r="F339" s="675" t="n"/>
      <c r="G339" s="675" t="n"/>
      <c r="H339" s="673" t="n"/>
      <c r="I339" s="673" t="n"/>
      <c r="J339" s="673" t="n"/>
      <c r="K339" s="677" t="n"/>
      <c r="L339" s="677" t="n"/>
      <c r="M339" s="67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73" t="n"/>
      <c r="C340" s="673" t="n"/>
      <c r="D340" s="673" t="n"/>
      <c r="E340" s="675" t="n"/>
      <c r="F340" s="675" t="n"/>
      <c r="G340" s="675" t="n"/>
      <c r="H340" s="673" t="n"/>
      <c r="I340" s="673" t="n"/>
      <c r="J340" s="673" t="n"/>
      <c r="K340" s="677" t="n"/>
      <c r="L340" s="677" t="n"/>
      <c r="M340" s="67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73" t="n"/>
      <c r="C341" s="673" t="n"/>
      <c r="D341" s="673" t="n"/>
      <c r="E341" s="675" t="n"/>
      <c r="F341" s="675" t="n"/>
      <c r="G341" s="675" t="n"/>
      <c r="H341" s="673" t="n"/>
      <c r="I341" s="673" t="n"/>
      <c r="J341" s="673" t="n"/>
      <c r="K341" s="677" t="n"/>
      <c r="L341" s="677" t="n"/>
      <c r="M341" s="67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73" t="n"/>
      <c r="C342" s="673" t="n"/>
      <c r="D342" s="673" t="n"/>
      <c r="E342" s="675" t="n"/>
      <c r="F342" s="675" t="n"/>
      <c r="G342" s="675" t="n"/>
      <c r="H342" s="673" t="n"/>
      <c r="I342" s="673" t="n"/>
      <c r="J342" s="673" t="n"/>
      <c r="K342" s="677" t="n"/>
      <c r="L342" s="677" t="n"/>
      <c r="M342" s="67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73" t="n"/>
      <c r="C343" s="673" t="n"/>
      <c r="D343" s="673" t="n"/>
      <c r="E343" s="675" t="n"/>
      <c r="F343" s="675" t="n"/>
      <c r="G343" s="675" t="n"/>
      <c r="H343" s="673" t="n"/>
      <c r="I343" s="673" t="n"/>
      <c r="J343" s="673" t="n"/>
      <c r="K343" s="677" t="n"/>
      <c r="L343" s="677" t="n"/>
      <c r="M343" s="67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73" t="n"/>
      <c r="C344" s="673" t="n"/>
      <c r="D344" s="673" t="n"/>
      <c r="E344" s="675" t="n"/>
      <c r="F344" s="675" t="n"/>
      <c r="G344" s="675" t="n"/>
      <c r="H344" s="673" t="n"/>
      <c r="I344" s="673" t="n"/>
      <c r="J344" s="673" t="n"/>
      <c r="K344" s="677" t="n"/>
      <c r="L344" s="677" t="n"/>
      <c r="M344" s="67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73" t="n"/>
      <c r="C345" s="673" t="n"/>
      <c r="D345" s="673" t="n"/>
      <c r="E345" s="675" t="n"/>
      <c r="F345" s="675" t="n"/>
      <c r="G345" s="675" t="n"/>
      <c r="H345" s="673" t="n"/>
      <c r="I345" s="673" t="n"/>
      <c r="J345" s="673" t="n"/>
      <c r="K345" s="677" t="n"/>
      <c r="L345" s="677" t="n"/>
      <c r="M345" s="67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73" t="n"/>
      <c r="C346" s="673" t="n"/>
      <c r="D346" s="673" t="n"/>
      <c r="E346" s="675" t="n"/>
      <c r="F346" s="675" t="n"/>
      <c r="G346" s="675" t="n"/>
      <c r="H346" s="673" t="n"/>
      <c r="I346" s="673" t="n"/>
      <c r="J346" s="673" t="n"/>
      <c r="K346" s="677" t="n"/>
      <c r="L346" s="677" t="n"/>
      <c r="M346" s="67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73" t="n"/>
      <c r="C347" s="673" t="n"/>
      <c r="D347" s="673" t="n"/>
      <c r="E347" s="675" t="n"/>
      <c r="F347" s="675" t="n"/>
      <c r="G347" s="675" t="n"/>
      <c r="H347" s="673" t="n"/>
      <c r="I347" s="673" t="n"/>
      <c r="J347" s="673" t="n"/>
      <c r="K347" s="677" t="n"/>
      <c r="L347" s="677" t="n"/>
      <c r="M347" s="67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73" t="n"/>
      <c r="C348" s="673" t="n"/>
      <c r="D348" s="673" t="n"/>
      <c r="E348" s="675" t="n"/>
      <c r="F348" s="675" t="n"/>
      <c r="G348" s="675" t="n"/>
      <c r="H348" s="673" t="n"/>
      <c r="I348" s="673" t="n"/>
      <c r="J348" s="673" t="n"/>
      <c r="K348" s="677" t="n"/>
      <c r="L348" s="677" t="n"/>
      <c r="M348" s="67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73" t="n"/>
      <c r="C349" s="673" t="n"/>
      <c r="D349" s="673" t="n"/>
      <c r="E349" s="675" t="n"/>
      <c r="F349" s="675" t="n"/>
      <c r="G349" s="675" t="n"/>
      <c r="H349" s="673" t="n"/>
      <c r="I349" s="673" t="n"/>
      <c r="J349" s="673" t="n"/>
      <c r="K349" s="677" t="n"/>
      <c r="L349" s="677" t="n"/>
      <c r="M349" s="67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73" t="n"/>
      <c r="C350" s="673" t="n"/>
      <c r="D350" s="673" t="n"/>
      <c r="E350" s="675" t="n"/>
      <c r="F350" s="675" t="n"/>
      <c r="G350" s="675" t="n"/>
      <c r="H350" s="673" t="n"/>
      <c r="I350" s="673" t="n"/>
      <c r="J350" s="673" t="n"/>
      <c r="K350" s="677" t="n"/>
      <c r="L350" s="677" t="n"/>
      <c r="M350" s="67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73" t="n"/>
      <c r="C351" s="673" t="n"/>
      <c r="D351" s="673" t="n"/>
      <c r="E351" s="675" t="n"/>
      <c r="F351" s="675" t="n"/>
      <c r="G351" s="675" t="n"/>
      <c r="H351" s="673" t="n"/>
      <c r="I351" s="673" t="n"/>
      <c r="J351" s="673" t="n"/>
      <c r="K351" s="677" t="n"/>
      <c r="L351" s="677" t="n"/>
      <c r="M351" s="67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73" t="n"/>
      <c r="C352" s="673" t="n"/>
      <c r="D352" s="673" t="n"/>
      <c r="E352" s="675" t="n"/>
      <c r="F352" s="675" t="n"/>
      <c r="G352" s="675" t="n"/>
      <c r="H352" s="673" t="n"/>
      <c r="I352" s="673" t="n"/>
      <c r="J352" s="673" t="n"/>
      <c r="K352" s="677" t="n"/>
      <c r="L352" s="677" t="n"/>
      <c r="M352" s="67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73" t="n"/>
      <c r="C353" s="673" t="n"/>
      <c r="D353" s="673" t="n"/>
      <c r="E353" s="675" t="n"/>
      <c r="F353" s="675" t="n"/>
      <c r="G353" s="675" t="n"/>
      <c r="H353" s="673" t="n"/>
      <c r="I353" s="673" t="n"/>
      <c r="J353" s="673" t="n"/>
      <c r="K353" s="677" t="n"/>
      <c r="L353" s="677" t="n"/>
      <c r="M353" s="67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73" t="n"/>
      <c r="C354" s="673" t="n"/>
      <c r="D354" s="673" t="n"/>
      <c r="E354" s="675" t="n"/>
      <c r="F354" s="675" t="n"/>
      <c r="G354" s="675" t="n"/>
      <c r="H354" s="673" t="n"/>
      <c r="I354" s="673" t="n"/>
      <c r="J354" s="673" t="n"/>
      <c r="K354" s="677" t="n"/>
      <c r="L354" s="677" t="n"/>
      <c r="M354" s="67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73" t="n"/>
      <c r="C355" s="673" t="n"/>
      <c r="D355" s="673" t="n"/>
      <c r="E355" s="675" t="n"/>
      <c r="F355" s="675" t="n"/>
      <c r="G355" s="675" t="n"/>
      <c r="H355" s="673" t="n"/>
      <c r="I355" s="673" t="n"/>
      <c r="J355" s="673" t="n"/>
      <c r="K355" s="677" t="n"/>
      <c r="L355" s="677" t="n"/>
      <c r="M355" s="67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73" t="n"/>
      <c r="C356" s="673" t="n"/>
      <c r="D356" s="673" t="n"/>
      <c r="E356" s="675" t="n"/>
      <c r="F356" s="675" t="n"/>
      <c r="G356" s="675" t="n"/>
      <c r="H356" s="673" t="n"/>
      <c r="I356" s="673" t="n"/>
      <c r="J356" s="673" t="n"/>
      <c r="K356" s="677" t="n"/>
      <c r="L356" s="677" t="n"/>
      <c r="M356" s="67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73" t="n"/>
      <c r="C357" s="673" t="n"/>
      <c r="D357" s="673" t="n"/>
      <c r="E357" s="675" t="n"/>
      <c r="F357" s="675" t="n"/>
      <c r="G357" s="675" t="n"/>
      <c r="H357" s="673" t="n"/>
      <c r="I357" s="673" t="n"/>
      <c r="J357" s="673" t="n"/>
      <c r="K357" s="677" t="n"/>
      <c r="L357" s="677" t="n"/>
      <c r="M357" s="67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73" t="n"/>
      <c r="C358" s="673" t="n"/>
      <c r="D358" s="673" t="n"/>
      <c r="E358" s="675" t="n"/>
      <c r="F358" s="675" t="n"/>
      <c r="G358" s="675" t="n"/>
      <c r="H358" s="673" t="n"/>
      <c r="I358" s="673" t="n"/>
      <c r="J358" s="673" t="n"/>
      <c r="K358" s="677" t="n"/>
      <c r="L358" s="677" t="n"/>
      <c r="M358" s="67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73" t="n"/>
      <c r="C359" s="673" t="n"/>
      <c r="D359" s="673" t="n"/>
      <c r="E359" s="675" t="n"/>
      <c r="F359" s="675" t="n"/>
      <c r="G359" s="675" t="n"/>
      <c r="H359" s="673" t="n"/>
      <c r="I359" s="673" t="n"/>
      <c r="J359" s="673" t="n"/>
      <c r="K359" s="677" t="n"/>
      <c r="L359" s="677" t="n"/>
      <c r="M359" s="67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73" t="n"/>
      <c r="C360" s="673" t="n"/>
      <c r="D360" s="673" t="n"/>
      <c r="E360" s="675" t="n"/>
      <c r="F360" s="675" t="n"/>
      <c r="G360" s="675" t="n"/>
      <c r="H360" s="673" t="n"/>
      <c r="I360" s="673" t="n"/>
      <c r="J360" s="673" t="n"/>
      <c r="K360" s="677" t="n"/>
      <c r="L360" s="677" t="n"/>
      <c r="M360" s="67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73" t="n"/>
      <c r="C361" s="673" t="n"/>
      <c r="D361" s="673" t="n"/>
      <c r="E361" s="675" t="n"/>
      <c r="F361" s="675" t="n"/>
      <c r="G361" s="675" t="n"/>
      <c r="H361" s="673" t="n"/>
      <c r="I361" s="673" t="n"/>
      <c r="J361" s="673" t="n"/>
      <c r="K361" s="677" t="n"/>
      <c r="L361" s="677" t="n"/>
      <c r="M361" s="67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73" t="n"/>
      <c r="C362" s="673" t="n"/>
      <c r="D362" s="673" t="n"/>
      <c r="E362" s="675" t="n"/>
      <c r="F362" s="675" t="n"/>
      <c r="G362" s="675" t="n"/>
      <c r="H362" s="673" t="n"/>
      <c r="I362" s="673" t="n"/>
      <c r="J362" s="673" t="n"/>
      <c r="K362" s="677" t="n"/>
      <c r="L362" s="677" t="n"/>
      <c r="M362" s="67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73" t="n"/>
      <c r="C363" s="673" t="n"/>
      <c r="D363" s="673" t="n"/>
      <c r="E363" s="675" t="n"/>
      <c r="F363" s="675" t="n"/>
      <c r="G363" s="675" t="n"/>
      <c r="H363" s="673" t="n"/>
      <c r="I363" s="673" t="n"/>
      <c r="J363" s="673" t="n"/>
      <c r="K363" s="677" t="n"/>
      <c r="L363" s="677" t="n"/>
      <c r="M363" s="67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73" t="n"/>
      <c r="C364" s="673" t="n"/>
      <c r="D364" s="673" t="n"/>
      <c r="E364" s="675" t="n"/>
      <c r="F364" s="675" t="n"/>
      <c r="G364" s="675" t="n"/>
      <c r="H364" s="673" t="n"/>
      <c r="I364" s="673" t="n"/>
      <c r="J364" s="673" t="n"/>
      <c r="K364" s="677" t="n"/>
      <c r="L364" s="677" t="n"/>
      <c r="M364" s="67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73" t="n"/>
      <c r="C365" s="673" t="n"/>
      <c r="D365" s="673" t="n"/>
      <c r="E365" s="675" t="n"/>
      <c r="F365" s="675" t="n"/>
      <c r="G365" s="675" t="n"/>
      <c r="H365" s="673" t="n"/>
      <c r="I365" s="673" t="n"/>
      <c r="J365" s="673" t="n"/>
      <c r="K365" s="677" t="n"/>
      <c r="L365" s="677" t="n"/>
      <c r="M365" s="67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73" t="n"/>
      <c r="C366" s="673" t="n"/>
      <c r="D366" s="673" t="n"/>
      <c r="E366" s="675" t="n"/>
      <c r="F366" s="675" t="n"/>
      <c r="G366" s="675" t="n"/>
      <c r="H366" s="673" t="n"/>
      <c r="I366" s="673" t="n"/>
      <c r="J366" s="673" t="n"/>
      <c r="K366" s="677" t="n"/>
      <c r="L366" s="677" t="n"/>
      <c r="M366" s="67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73" t="n"/>
      <c r="C367" s="673" t="n"/>
      <c r="D367" s="673" t="n"/>
      <c r="E367" s="675" t="n"/>
      <c r="F367" s="675" t="n"/>
      <c r="G367" s="675" t="n"/>
      <c r="H367" s="673" t="n"/>
      <c r="I367" s="673" t="n"/>
      <c r="J367" s="673" t="n"/>
      <c r="K367" s="677" t="n"/>
      <c r="L367" s="677" t="n"/>
      <c r="M367" s="67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73" t="n"/>
      <c r="C368" s="673" t="n"/>
      <c r="D368" s="673" t="n"/>
      <c r="E368" s="675" t="n"/>
      <c r="F368" s="675" t="n"/>
      <c r="G368" s="675" t="n"/>
      <c r="H368" s="673" t="n"/>
      <c r="I368" s="673" t="n"/>
      <c r="J368" s="673" t="n"/>
      <c r="K368" s="677" t="n"/>
      <c r="L368" s="677" t="n"/>
      <c r="M368" s="67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73" t="n"/>
      <c r="C369" s="673" t="n"/>
      <c r="D369" s="673" t="n"/>
      <c r="E369" s="675" t="n"/>
      <c r="F369" s="675" t="n"/>
      <c r="G369" s="675" t="n"/>
      <c r="H369" s="673" t="n"/>
      <c r="I369" s="673" t="n"/>
      <c r="J369" s="673" t="n"/>
      <c r="K369" s="677" t="n"/>
      <c r="L369" s="677" t="n"/>
      <c r="M369" s="67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73" t="n"/>
      <c r="C370" s="673" t="n"/>
      <c r="D370" s="673" t="n"/>
      <c r="E370" s="675" t="n"/>
      <c r="F370" s="675" t="n"/>
      <c r="G370" s="675" t="n"/>
      <c r="H370" s="673" t="n"/>
      <c r="I370" s="673" t="n"/>
      <c r="J370" s="673" t="n"/>
      <c r="K370" s="677" t="n"/>
      <c r="L370" s="677" t="n"/>
      <c r="M370" s="67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73" t="n"/>
      <c r="C371" s="673" t="n"/>
      <c r="D371" s="673" t="n"/>
      <c r="E371" s="675" t="n"/>
      <c r="F371" s="675" t="n"/>
      <c r="G371" s="675" t="n"/>
      <c r="H371" s="673" t="n"/>
      <c r="I371" s="673" t="n"/>
      <c r="J371" s="673" t="n"/>
      <c r="K371" s="677" t="n"/>
      <c r="L371" s="677" t="n"/>
      <c r="M371" s="67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73" t="n"/>
      <c r="C372" s="673" t="n"/>
      <c r="D372" s="673" t="n"/>
      <c r="E372" s="675" t="n"/>
      <c r="F372" s="675" t="n"/>
      <c r="G372" s="675" t="n"/>
      <c r="H372" s="673" t="n"/>
      <c r="I372" s="673" t="n"/>
      <c r="J372" s="673" t="n"/>
      <c r="K372" s="677" t="n"/>
      <c r="L372" s="677" t="n"/>
      <c r="M372" s="67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73" t="n"/>
      <c r="C373" s="673" t="n"/>
      <c r="D373" s="673" t="n"/>
      <c r="E373" s="675" t="n"/>
      <c r="F373" s="675" t="n"/>
      <c r="G373" s="675" t="n"/>
      <c r="H373" s="673" t="n"/>
      <c r="I373" s="673" t="n"/>
      <c r="J373" s="673" t="n"/>
      <c r="K373" s="677" t="n"/>
      <c r="L373" s="677" t="n"/>
      <c r="M373" s="67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73" t="n"/>
      <c r="C374" s="673" t="n"/>
      <c r="D374" s="673" t="n"/>
      <c r="E374" s="675" t="n"/>
      <c r="F374" s="675" t="n"/>
      <c r="G374" s="675" t="n"/>
      <c r="H374" s="673" t="n"/>
      <c r="I374" s="673" t="n"/>
      <c r="J374" s="673" t="n"/>
      <c r="K374" s="677" t="n"/>
      <c r="L374" s="677" t="n"/>
      <c r="M374" s="67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73" t="n"/>
      <c r="C375" s="673" t="n"/>
      <c r="D375" s="673" t="n"/>
      <c r="E375" s="675" t="n"/>
      <c r="F375" s="675" t="n"/>
      <c r="G375" s="675" t="n"/>
      <c r="H375" s="673" t="n"/>
      <c r="I375" s="673" t="n"/>
      <c r="J375" s="673" t="n"/>
      <c r="K375" s="677" t="n"/>
      <c r="L375" s="677" t="n"/>
      <c r="M375" s="67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73" t="n"/>
      <c r="C376" s="673" t="n"/>
      <c r="D376" s="673" t="n"/>
      <c r="E376" s="675" t="n"/>
      <c r="F376" s="675" t="n"/>
      <c r="G376" s="675" t="n"/>
      <c r="H376" s="673" t="n"/>
      <c r="I376" s="673" t="n"/>
      <c r="J376" s="673" t="n"/>
      <c r="K376" s="677" t="n"/>
      <c r="L376" s="677" t="n"/>
      <c r="M376" s="67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73" t="n"/>
      <c r="C377" s="673" t="n"/>
      <c r="D377" s="673" t="n"/>
      <c r="E377" s="675" t="n"/>
      <c r="F377" s="675" t="n"/>
      <c r="G377" s="675" t="n"/>
      <c r="H377" s="673" t="n"/>
      <c r="I377" s="673" t="n"/>
      <c r="J377" s="673" t="n"/>
      <c r="K377" s="677" t="n"/>
      <c r="L377" s="677" t="n"/>
      <c r="M377" s="67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73" t="n"/>
      <c r="C378" s="673" t="n"/>
      <c r="D378" s="673" t="n"/>
      <c r="E378" s="675" t="n"/>
      <c r="F378" s="675" t="n"/>
      <c r="G378" s="675" t="n"/>
      <c r="H378" s="673" t="n"/>
      <c r="I378" s="673" t="n"/>
      <c r="J378" s="673" t="n"/>
      <c r="K378" s="677" t="n"/>
      <c r="L378" s="677" t="n"/>
      <c r="M378" s="67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73" t="n"/>
      <c r="C379" s="673" t="n"/>
      <c r="D379" s="673" t="n"/>
      <c r="E379" s="675" t="n"/>
      <c r="F379" s="675" t="n"/>
      <c r="G379" s="675" t="n"/>
      <c r="H379" s="673" t="n"/>
      <c r="I379" s="673" t="n"/>
      <c r="J379" s="673" t="n"/>
      <c r="K379" s="677" t="n"/>
      <c r="L379" s="677" t="n"/>
      <c r="M379" s="67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73" t="n"/>
      <c r="C380" s="673" t="n"/>
      <c r="D380" s="673" t="n"/>
      <c r="E380" s="675" t="n"/>
      <c r="F380" s="675" t="n"/>
      <c r="G380" s="675" t="n"/>
      <c r="H380" s="673" t="n"/>
      <c r="I380" s="673" t="n"/>
      <c r="J380" s="673" t="n"/>
      <c r="K380" s="677" t="n"/>
      <c r="L380" s="677" t="n"/>
      <c r="M380" s="67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73" t="n"/>
      <c r="C381" s="673" t="n"/>
      <c r="D381" s="673" t="n"/>
      <c r="E381" s="675" t="n"/>
      <c r="F381" s="675" t="n"/>
      <c r="G381" s="675" t="n"/>
      <c r="H381" s="673" t="n"/>
      <c r="I381" s="673" t="n"/>
      <c r="J381" s="673" t="n"/>
      <c r="K381" s="677" t="n"/>
      <c r="L381" s="677" t="n"/>
      <c r="M381" s="67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73" t="n"/>
      <c r="C382" s="673" t="n"/>
      <c r="D382" s="673" t="n"/>
      <c r="E382" s="675" t="n"/>
      <c r="F382" s="675" t="n"/>
      <c r="G382" s="675" t="n"/>
      <c r="H382" s="673" t="n"/>
      <c r="I382" s="673" t="n"/>
      <c r="J382" s="673" t="n"/>
      <c r="K382" s="677" t="n"/>
      <c r="L382" s="677" t="n"/>
      <c r="M382" s="67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73" t="n"/>
      <c r="C383" s="673" t="n"/>
      <c r="D383" s="673" t="n"/>
      <c r="E383" s="675" t="n"/>
      <c r="F383" s="675" t="n"/>
      <c r="G383" s="675" t="n"/>
      <c r="H383" s="673" t="n"/>
      <c r="I383" s="673" t="n"/>
      <c r="J383" s="673" t="n"/>
      <c r="K383" s="677" t="n"/>
      <c r="L383" s="677" t="n"/>
      <c r="M383" s="67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73" t="n"/>
      <c r="C384" s="673" t="n"/>
      <c r="D384" s="673" t="n"/>
      <c r="E384" s="675" t="n"/>
      <c r="F384" s="675" t="n"/>
      <c r="G384" s="675" t="n"/>
      <c r="H384" s="673" t="n"/>
      <c r="I384" s="673" t="n"/>
      <c r="J384" s="673" t="n"/>
      <c r="K384" s="677" t="n"/>
      <c r="L384" s="677" t="n"/>
      <c r="M384" s="67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73" t="n"/>
      <c r="C385" s="673" t="n"/>
      <c r="D385" s="673" t="n"/>
      <c r="E385" s="675" t="n"/>
      <c r="F385" s="675" t="n"/>
      <c r="G385" s="675" t="n"/>
      <c r="H385" s="673" t="n"/>
      <c r="I385" s="673" t="n"/>
      <c r="J385" s="673" t="n"/>
      <c r="K385" s="677" t="n"/>
      <c r="L385" s="677" t="n"/>
      <c r="M385" s="67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73" t="n"/>
      <c r="C386" s="673" t="n"/>
      <c r="D386" s="673" t="n"/>
      <c r="E386" s="675" t="n"/>
      <c r="F386" s="675" t="n"/>
      <c r="G386" s="675" t="n"/>
      <c r="H386" s="673" t="n"/>
      <c r="I386" s="673" t="n"/>
      <c r="J386" s="673" t="n"/>
      <c r="K386" s="677" t="n"/>
      <c r="L386" s="677" t="n"/>
      <c r="M386" s="67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73" t="n"/>
      <c r="C387" s="673" t="n"/>
      <c r="D387" s="673" t="n"/>
      <c r="E387" s="675" t="n"/>
      <c r="F387" s="675" t="n"/>
      <c r="G387" s="675" t="n"/>
      <c r="H387" s="673" t="n"/>
      <c r="I387" s="673" t="n"/>
      <c r="J387" s="673" t="n"/>
      <c r="K387" s="677" t="n"/>
      <c r="L387" s="677" t="n"/>
      <c r="M387" s="67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73" t="n"/>
      <c r="C388" s="673" t="n"/>
      <c r="D388" s="673" t="n"/>
      <c r="E388" s="675" t="n"/>
      <c r="F388" s="675" t="n"/>
      <c r="G388" s="675" t="n"/>
      <c r="H388" s="673" t="n"/>
      <c r="I388" s="673" t="n"/>
      <c r="J388" s="673" t="n"/>
      <c r="K388" s="677" t="n"/>
      <c r="L388" s="677" t="n"/>
      <c r="M388" s="67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73" t="n"/>
      <c r="C389" s="673" t="n"/>
      <c r="D389" s="673" t="n"/>
      <c r="E389" s="675" t="n"/>
      <c r="F389" s="675" t="n"/>
      <c r="G389" s="675" t="n"/>
      <c r="H389" s="673" t="n"/>
      <c r="I389" s="673" t="n"/>
      <c r="J389" s="673" t="n"/>
      <c r="K389" s="677" t="n"/>
      <c r="L389" s="677" t="n"/>
      <c r="M389" s="67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73" t="n"/>
      <c r="C390" s="673" t="n"/>
      <c r="D390" s="673" t="n"/>
      <c r="E390" s="675" t="n"/>
      <c r="F390" s="675" t="n"/>
      <c r="G390" s="675" t="n"/>
      <c r="H390" s="673" t="n"/>
      <c r="I390" s="673" t="n"/>
      <c r="J390" s="673" t="n"/>
      <c r="K390" s="677" t="n"/>
      <c r="L390" s="677" t="n"/>
      <c r="M390" s="67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73" t="n"/>
      <c r="C391" s="673" t="n"/>
      <c r="D391" s="673" t="n"/>
      <c r="E391" s="675" t="n"/>
      <c r="F391" s="675" t="n"/>
      <c r="G391" s="675" t="n"/>
      <c r="H391" s="673" t="n"/>
      <c r="I391" s="673" t="n"/>
      <c r="J391" s="673" t="n"/>
      <c r="K391" s="677" t="n"/>
      <c r="L391" s="677" t="n"/>
      <c r="M391" s="67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73" t="n"/>
      <c r="C392" s="673" t="n"/>
      <c r="D392" s="673" t="n"/>
      <c r="E392" s="675" t="n"/>
      <c r="F392" s="675" t="n"/>
      <c r="G392" s="675" t="n"/>
      <c r="H392" s="673" t="n"/>
      <c r="I392" s="673" t="n"/>
      <c r="J392" s="673" t="n"/>
      <c r="K392" s="677" t="n"/>
      <c r="L392" s="677" t="n"/>
      <c r="M392" s="67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73" t="n"/>
      <c r="C393" s="673" t="n"/>
      <c r="D393" s="673" t="n"/>
      <c r="E393" s="675" t="n"/>
      <c r="F393" s="675" t="n"/>
      <c r="G393" s="675" t="n"/>
      <c r="H393" s="673" t="n"/>
      <c r="I393" s="673" t="n"/>
      <c r="J393" s="673" t="n"/>
      <c r="K393" s="677" t="n"/>
      <c r="L393" s="677" t="n"/>
      <c r="M393" s="67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73" t="n"/>
      <c r="C394" s="673" t="n"/>
      <c r="D394" s="673" t="n"/>
      <c r="E394" s="675" t="n"/>
      <c r="F394" s="675" t="n"/>
      <c r="G394" s="675" t="n"/>
      <c r="H394" s="673" t="n"/>
      <c r="I394" s="673" t="n"/>
      <c r="J394" s="673" t="n"/>
      <c r="K394" s="677" t="n"/>
      <c r="L394" s="677" t="n"/>
      <c r="M394" s="67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73" t="n"/>
      <c r="C395" s="673" t="n"/>
      <c r="D395" s="673" t="n"/>
      <c r="E395" s="675" t="n"/>
      <c r="F395" s="675" t="n"/>
      <c r="G395" s="675" t="n"/>
      <c r="H395" s="673" t="n"/>
      <c r="I395" s="673" t="n"/>
      <c r="J395" s="673" t="n"/>
      <c r="K395" s="677" t="n"/>
      <c r="L395" s="677" t="n"/>
      <c r="M395" s="67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73" t="n"/>
      <c r="C396" s="673" t="n"/>
      <c r="D396" s="673" t="n"/>
      <c r="E396" s="675" t="n"/>
      <c r="F396" s="675" t="n"/>
      <c r="G396" s="675" t="n"/>
      <c r="H396" s="673" t="n"/>
      <c r="I396" s="673" t="n"/>
      <c r="J396" s="673" t="n"/>
      <c r="K396" s="677" t="n"/>
      <c r="L396" s="677" t="n"/>
      <c r="M396" s="67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73" t="n"/>
      <c r="C397" s="673" t="n"/>
      <c r="D397" s="673" t="n"/>
      <c r="E397" s="675" t="n"/>
      <c r="F397" s="675" t="n"/>
      <c r="G397" s="675" t="n"/>
      <c r="H397" s="673" t="n"/>
      <c r="I397" s="673" t="n"/>
      <c r="J397" s="673" t="n"/>
      <c r="K397" s="677" t="n"/>
      <c r="L397" s="677" t="n"/>
      <c r="M397" s="67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73" t="n"/>
      <c r="C398" s="673" t="n"/>
      <c r="D398" s="673" t="n"/>
      <c r="E398" s="675" t="n"/>
      <c r="F398" s="675" t="n"/>
      <c r="G398" s="675" t="n"/>
      <c r="H398" s="673" t="n"/>
      <c r="I398" s="673" t="n"/>
      <c r="J398" s="673" t="n"/>
      <c r="K398" s="677" t="n"/>
      <c r="L398" s="677" t="n"/>
      <c r="M398" s="67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73" t="n"/>
      <c r="C399" s="673" t="n"/>
      <c r="D399" s="673" t="n"/>
      <c r="E399" s="675" t="n"/>
      <c r="F399" s="675" t="n"/>
      <c r="G399" s="675" t="n"/>
      <c r="H399" s="673" t="n"/>
      <c r="I399" s="673" t="n"/>
      <c r="J399" s="673" t="n"/>
      <c r="K399" s="677" t="n"/>
      <c r="L399" s="677" t="n"/>
      <c r="M399" s="67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73" t="n"/>
      <c r="C400" s="673" t="n"/>
      <c r="D400" s="673" t="n"/>
      <c r="E400" s="675" t="n"/>
      <c r="F400" s="675" t="n"/>
      <c r="G400" s="675" t="n"/>
      <c r="H400" s="673" t="n"/>
      <c r="I400" s="673" t="n"/>
      <c r="J400" s="673" t="n"/>
      <c r="K400" s="677" t="n"/>
      <c r="L400" s="677" t="n"/>
      <c r="M400" s="67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73" t="n"/>
      <c r="C401" s="673" t="n"/>
      <c r="D401" s="673" t="n"/>
      <c r="E401" s="675" t="n"/>
      <c r="F401" s="675" t="n"/>
      <c r="G401" s="675" t="n"/>
      <c r="H401" s="673" t="n"/>
      <c r="I401" s="673" t="n"/>
      <c r="J401" s="673" t="n"/>
      <c r="K401" s="677" t="n"/>
      <c r="L401" s="677" t="n"/>
      <c r="M401" s="67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73" t="n"/>
      <c r="C402" s="673" t="n"/>
      <c r="D402" s="673" t="n"/>
      <c r="E402" s="675" t="n"/>
      <c r="F402" s="675" t="n"/>
      <c r="G402" s="675" t="n"/>
      <c r="H402" s="673" t="n"/>
      <c r="I402" s="673" t="n"/>
      <c r="J402" s="673" t="n"/>
      <c r="K402" s="677" t="n"/>
      <c r="L402" s="677" t="n"/>
      <c r="M402" s="67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73" t="n"/>
      <c r="C403" s="673" t="n"/>
      <c r="D403" s="673" t="n"/>
      <c r="E403" s="675" t="n"/>
      <c r="F403" s="675" t="n"/>
      <c r="G403" s="675" t="n"/>
      <c r="H403" s="673" t="n"/>
      <c r="I403" s="673" t="n"/>
      <c r="J403" s="673" t="n"/>
      <c r="K403" s="677" t="n"/>
      <c r="L403" s="677" t="n"/>
      <c r="M403" s="67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73" t="n"/>
      <c r="C404" s="673" t="n"/>
      <c r="D404" s="673" t="n"/>
      <c r="E404" s="675" t="n"/>
      <c r="F404" s="675" t="n"/>
      <c r="G404" s="675" t="n"/>
      <c r="H404" s="673" t="n"/>
      <c r="I404" s="673" t="n"/>
      <c r="J404" s="673" t="n"/>
      <c r="K404" s="677" t="n"/>
      <c r="L404" s="677" t="n"/>
      <c r="M404" s="67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73" t="n"/>
      <c r="C405" s="673" t="n"/>
      <c r="D405" s="673" t="n"/>
      <c r="E405" s="675" t="n"/>
      <c r="F405" s="675" t="n"/>
      <c r="G405" s="675" t="n"/>
      <c r="H405" s="673" t="n"/>
      <c r="I405" s="673" t="n"/>
      <c r="J405" s="673" t="n"/>
      <c r="K405" s="677" t="n"/>
      <c r="L405" s="677" t="n"/>
      <c r="M405" s="67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73" t="n"/>
      <c r="C406" s="673" t="n"/>
      <c r="D406" s="673" t="n"/>
      <c r="E406" s="675" t="n"/>
      <c r="F406" s="675" t="n"/>
      <c r="G406" s="675" t="n"/>
      <c r="H406" s="673" t="n"/>
      <c r="I406" s="673" t="n"/>
      <c r="J406" s="673" t="n"/>
      <c r="K406" s="677" t="n"/>
      <c r="L406" s="677" t="n"/>
      <c r="M406" s="67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73" t="n"/>
      <c r="C407" s="673" t="n"/>
      <c r="D407" s="673" t="n"/>
      <c r="E407" s="675" t="n"/>
      <c r="F407" s="675" t="n"/>
      <c r="G407" s="675" t="n"/>
      <c r="H407" s="673" t="n"/>
      <c r="I407" s="673" t="n"/>
      <c r="J407" s="673" t="n"/>
      <c r="K407" s="677" t="n"/>
      <c r="L407" s="677" t="n"/>
      <c r="M407" s="67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73" t="n"/>
      <c r="C408" s="673" t="n"/>
      <c r="D408" s="673" t="n"/>
      <c r="E408" s="675" t="n"/>
      <c r="F408" s="675" t="n"/>
      <c r="G408" s="675" t="n"/>
      <c r="H408" s="673" t="n"/>
      <c r="I408" s="673" t="n"/>
      <c r="J408" s="673" t="n"/>
      <c r="K408" s="677" t="n"/>
      <c r="L408" s="677" t="n"/>
      <c r="M408" s="67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73" t="n"/>
      <c r="C409" s="673" t="n"/>
      <c r="D409" s="673" t="n"/>
      <c r="E409" s="675" t="n"/>
      <c r="F409" s="675" t="n"/>
      <c r="G409" s="675" t="n"/>
      <c r="H409" s="673" t="n"/>
      <c r="I409" s="673" t="n"/>
      <c r="J409" s="673" t="n"/>
      <c r="K409" s="677" t="n"/>
      <c r="L409" s="677" t="n"/>
      <c r="M409" s="67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73" t="n"/>
      <c r="C410" s="673" t="n"/>
      <c r="D410" s="673" t="n"/>
      <c r="E410" s="675" t="n"/>
      <c r="F410" s="675" t="n"/>
      <c r="G410" s="675" t="n"/>
      <c r="H410" s="673" t="n"/>
      <c r="I410" s="673" t="n"/>
      <c r="J410" s="673" t="n"/>
      <c r="K410" s="677" t="n"/>
      <c r="L410" s="677" t="n"/>
      <c r="M410" s="67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73" t="n"/>
      <c r="C411" s="673" t="n"/>
      <c r="D411" s="673" t="n"/>
      <c r="E411" s="675" t="n"/>
      <c r="F411" s="675" t="n"/>
      <c r="G411" s="675" t="n"/>
      <c r="H411" s="673" t="n"/>
      <c r="I411" s="673" t="n"/>
      <c r="J411" s="673" t="n"/>
      <c r="K411" s="677" t="n"/>
      <c r="L411" s="677" t="n"/>
      <c r="M411" s="67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73" t="n"/>
      <c r="C412" s="673" t="n"/>
      <c r="D412" s="673" t="n"/>
      <c r="E412" s="675" t="n"/>
      <c r="F412" s="675" t="n"/>
      <c r="G412" s="675" t="n"/>
      <c r="H412" s="673" t="n"/>
      <c r="I412" s="673" t="n"/>
      <c r="J412" s="673" t="n"/>
      <c r="K412" s="677" t="n"/>
      <c r="L412" s="677" t="n"/>
      <c r="M412" s="67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73" t="n"/>
      <c r="C413" s="673" t="n"/>
      <c r="D413" s="673" t="n"/>
      <c r="E413" s="675" t="n"/>
      <c r="F413" s="675" t="n"/>
      <c r="G413" s="675" t="n"/>
      <c r="H413" s="673" t="n"/>
      <c r="I413" s="673" t="n"/>
      <c r="J413" s="673" t="n"/>
      <c r="K413" s="677" t="n"/>
      <c r="L413" s="677" t="n"/>
      <c r="M413" s="67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73" t="n"/>
      <c r="C414" s="673" t="n"/>
      <c r="D414" s="673" t="n"/>
      <c r="E414" s="675" t="n"/>
      <c r="F414" s="675" t="n"/>
      <c r="G414" s="675" t="n"/>
      <c r="H414" s="673" t="n"/>
      <c r="I414" s="673" t="n"/>
      <c r="J414" s="673" t="n"/>
      <c r="K414" s="677" t="n"/>
      <c r="L414" s="677" t="n"/>
      <c r="M414" s="67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73" t="n"/>
      <c r="C415" s="673" t="n"/>
      <c r="D415" s="673" t="n"/>
      <c r="E415" s="675" t="n"/>
      <c r="F415" s="675" t="n"/>
      <c r="G415" s="675" t="n"/>
      <c r="H415" s="673" t="n"/>
      <c r="I415" s="673" t="n"/>
      <c r="J415" s="673" t="n"/>
      <c r="K415" s="677" t="n"/>
      <c r="L415" s="677" t="n"/>
      <c r="M415" s="67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73" t="n"/>
      <c r="C416" s="673" t="n"/>
      <c r="D416" s="673" t="n"/>
      <c r="E416" s="675" t="n"/>
      <c r="F416" s="675" t="n"/>
      <c r="G416" s="675" t="n"/>
      <c r="H416" s="673" t="n"/>
      <c r="I416" s="673" t="n"/>
      <c r="J416" s="673" t="n"/>
      <c r="K416" s="677" t="n"/>
      <c r="L416" s="677" t="n"/>
      <c r="M416" s="67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73" t="n"/>
      <c r="C417" s="673" t="n"/>
      <c r="D417" s="673" t="n"/>
      <c r="E417" s="675" t="n"/>
      <c r="F417" s="675" t="n"/>
      <c r="G417" s="675" t="n"/>
      <c r="H417" s="673" t="n"/>
      <c r="I417" s="673" t="n"/>
      <c r="J417" s="673" t="n"/>
      <c r="K417" s="677" t="n"/>
      <c r="L417" s="677" t="n"/>
      <c r="M417" s="67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73" t="n"/>
      <c r="C418" s="673" t="n"/>
      <c r="D418" s="673" t="n"/>
      <c r="E418" s="675" t="n"/>
      <c r="F418" s="675" t="n"/>
      <c r="G418" s="675" t="n"/>
      <c r="H418" s="673" t="n"/>
      <c r="I418" s="673" t="n"/>
      <c r="J418" s="673" t="n"/>
      <c r="K418" s="677" t="n"/>
      <c r="L418" s="677" t="n"/>
      <c r="M418" s="67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73" t="n"/>
      <c r="C419" s="673" t="n"/>
      <c r="D419" s="673" t="n"/>
      <c r="E419" s="675" t="n"/>
      <c r="F419" s="675" t="n"/>
      <c r="G419" s="675" t="n"/>
      <c r="H419" s="673" t="n"/>
      <c r="I419" s="673" t="n"/>
      <c r="J419" s="673" t="n"/>
      <c r="K419" s="677" t="n"/>
      <c r="L419" s="677" t="n"/>
      <c r="M419" s="67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73" t="n"/>
      <c r="C420" s="673" t="n"/>
      <c r="D420" s="673" t="n"/>
      <c r="E420" s="675" t="n"/>
      <c r="F420" s="675" t="n"/>
      <c r="G420" s="675" t="n"/>
      <c r="H420" s="673" t="n"/>
      <c r="I420" s="673" t="n"/>
      <c r="J420" s="673" t="n"/>
      <c r="K420" s="677" t="n"/>
      <c r="L420" s="677" t="n"/>
      <c r="M420" s="67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73" t="n"/>
      <c r="C421" s="673" t="n"/>
      <c r="D421" s="673" t="n"/>
      <c r="E421" s="675" t="n"/>
      <c r="F421" s="675" t="n"/>
      <c r="G421" s="675" t="n"/>
      <c r="H421" s="673" t="n"/>
      <c r="I421" s="673" t="n"/>
      <c r="J421" s="673" t="n"/>
      <c r="K421" s="677" t="n"/>
      <c r="L421" s="677" t="n"/>
      <c r="M421" s="67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73" t="n"/>
      <c r="C422" s="673" t="n"/>
      <c r="D422" s="673" t="n"/>
      <c r="E422" s="675" t="n"/>
      <c r="F422" s="675" t="n"/>
      <c r="G422" s="675" t="n"/>
      <c r="H422" s="673" t="n"/>
      <c r="I422" s="673" t="n"/>
      <c r="J422" s="673" t="n"/>
      <c r="K422" s="677" t="n"/>
      <c r="L422" s="677" t="n"/>
      <c r="M422" s="67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73" t="n"/>
      <c r="C423" s="673" t="n"/>
      <c r="D423" s="673" t="n"/>
      <c r="E423" s="675" t="n"/>
      <c r="F423" s="675" t="n"/>
      <c r="G423" s="675" t="n"/>
      <c r="H423" s="673" t="n"/>
      <c r="I423" s="673" t="n"/>
      <c r="J423" s="673" t="n"/>
      <c r="K423" s="677" t="n"/>
      <c r="L423" s="677" t="n"/>
      <c r="M423" s="67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73" t="n"/>
      <c r="C424" s="673" t="n"/>
      <c r="D424" s="673" t="n"/>
      <c r="E424" s="675" t="n"/>
      <c r="F424" s="675" t="n"/>
      <c r="G424" s="675" t="n"/>
      <c r="H424" s="673" t="n"/>
      <c r="I424" s="673" t="n"/>
      <c r="J424" s="673" t="n"/>
      <c r="K424" s="677" t="n"/>
      <c r="L424" s="677" t="n"/>
      <c r="M424" s="67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73" t="n"/>
      <c r="C425" s="673" t="n"/>
      <c r="D425" s="673" t="n"/>
      <c r="E425" s="675" t="n"/>
      <c r="F425" s="675" t="n"/>
      <c r="G425" s="675" t="n"/>
      <c r="H425" s="673" t="n"/>
      <c r="I425" s="673" t="n"/>
      <c r="J425" s="673" t="n"/>
      <c r="K425" s="677" t="n"/>
      <c r="L425" s="677" t="n"/>
      <c r="M425" s="67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73" t="n"/>
      <c r="C426" s="673" t="n"/>
      <c r="D426" s="673" t="n"/>
      <c r="E426" s="675" t="n"/>
      <c r="F426" s="675" t="n"/>
      <c r="G426" s="675" t="n"/>
      <c r="H426" s="673" t="n"/>
      <c r="I426" s="673" t="n"/>
      <c r="J426" s="673" t="n"/>
      <c r="K426" s="677" t="n"/>
      <c r="L426" s="677" t="n"/>
      <c r="M426" s="67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73" t="n"/>
      <c r="C427" s="673" t="n"/>
      <c r="D427" s="673" t="n"/>
      <c r="E427" s="675" t="n"/>
      <c r="F427" s="675" t="n"/>
      <c r="G427" s="675" t="n"/>
      <c r="H427" s="673" t="n"/>
      <c r="I427" s="673" t="n"/>
      <c r="J427" s="673" t="n"/>
      <c r="K427" s="677" t="n"/>
      <c r="L427" s="677" t="n"/>
      <c r="M427" s="67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73" t="n"/>
      <c r="C428" s="673" t="n"/>
      <c r="D428" s="673" t="n"/>
      <c r="E428" s="675" t="n"/>
      <c r="F428" s="675" t="n"/>
      <c r="G428" s="675" t="n"/>
      <c r="H428" s="673" t="n"/>
      <c r="I428" s="673" t="n"/>
      <c r="J428" s="673" t="n"/>
      <c r="K428" s="677" t="n"/>
      <c r="L428" s="677" t="n"/>
      <c r="M428" s="67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73" t="n"/>
      <c r="C429" s="673" t="n"/>
      <c r="D429" s="673" t="n"/>
      <c r="E429" s="675" t="n"/>
      <c r="F429" s="675" t="n"/>
      <c r="G429" s="675" t="n"/>
      <c r="H429" s="673" t="n"/>
      <c r="I429" s="673" t="n"/>
      <c r="J429" s="673" t="n"/>
      <c r="K429" s="677" t="n"/>
      <c r="L429" s="677" t="n"/>
      <c r="M429" s="67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73" t="n"/>
      <c r="C430" s="673" t="n"/>
      <c r="D430" s="673" t="n"/>
      <c r="E430" s="675" t="n"/>
      <c r="F430" s="675" t="n"/>
      <c r="G430" s="675" t="n"/>
      <c r="H430" s="673" t="n"/>
      <c r="I430" s="673" t="n"/>
      <c r="J430" s="673" t="n"/>
      <c r="K430" s="677" t="n"/>
      <c r="L430" s="677" t="n"/>
      <c r="M430" s="67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73" t="n"/>
      <c r="C431" s="673" t="n"/>
      <c r="D431" s="673" t="n"/>
      <c r="E431" s="675" t="n"/>
      <c r="F431" s="675" t="n"/>
      <c r="G431" s="675" t="n"/>
      <c r="H431" s="673" t="n"/>
      <c r="I431" s="673" t="n"/>
      <c r="J431" s="673" t="n"/>
      <c r="K431" s="677" t="n"/>
      <c r="L431" s="677" t="n"/>
      <c r="M431" s="67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73" t="n"/>
      <c r="C432" s="673" t="n"/>
      <c r="D432" s="673" t="n"/>
      <c r="E432" s="675" t="n"/>
      <c r="F432" s="675" t="n"/>
      <c r="G432" s="675" t="n"/>
      <c r="H432" s="673" t="n"/>
      <c r="I432" s="673" t="n"/>
      <c r="J432" s="673" t="n"/>
      <c r="K432" s="677" t="n"/>
      <c r="L432" s="677" t="n"/>
      <c r="M432" s="67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73" t="n"/>
      <c r="C433" s="673" t="n"/>
      <c r="D433" s="673" t="n"/>
      <c r="E433" s="675" t="n"/>
      <c r="F433" s="675" t="n"/>
      <c r="G433" s="675" t="n"/>
      <c r="H433" s="673" t="n"/>
      <c r="I433" s="673" t="n"/>
      <c r="J433" s="673" t="n"/>
      <c r="K433" s="677" t="n"/>
      <c r="L433" s="677" t="n"/>
      <c r="M433" s="67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73" t="n"/>
      <c r="C434" s="673" t="n"/>
      <c r="D434" s="673" t="n"/>
      <c r="E434" s="675" t="n"/>
      <c r="F434" s="675" t="n"/>
      <c r="G434" s="675" t="n"/>
      <c r="H434" s="673" t="n"/>
      <c r="I434" s="673" t="n"/>
      <c r="J434" s="673" t="n"/>
      <c r="K434" s="677" t="n"/>
      <c r="L434" s="677" t="n"/>
      <c r="M434" s="67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73" t="n"/>
      <c r="C435" s="673" t="n"/>
      <c r="D435" s="673" t="n"/>
      <c r="E435" s="675" t="n"/>
      <c r="F435" s="675" t="n"/>
      <c r="G435" s="675" t="n"/>
      <c r="H435" s="673" t="n"/>
      <c r="I435" s="673" t="n"/>
      <c r="J435" s="673" t="n"/>
      <c r="K435" s="677" t="n"/>
      <c r="L435" s="677" t="n"/>
      <c r="M435" s="67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73" t="n"/>
      <c r="C436" s="673" t="n"/>
      <c r="D436" s="673" t="n"/>
      <c r="E436" s="675" t="n"/>
      <c r="F436" s="675" t="n"/>
      <c r="G436" s="675" t="n"/>
      <c r="H436" s="673" t="n"/>
      <c r="I436" s="673" t="n"/>
      <c r="J436" s="673" t="n"/>
      <c r="K436" s="677" t="n"/>
      <c r="L436" s="677" t="n"/>
      <c r="M436" s="67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73" t="n"/>
      <c r="C437" s="673" t="n"/>
      <c r="D437" s="673" t="n"/>
      <c r="E437" s="675" t="n"/>
      <c r="F437" s="675" t="n"/>
      <c r="G437" s="675" t="n"/>
      <c r="H437" s="673" t="n"/>
      <c r="I437" s="673" t="n"/>
      <c r="J437" s="673" t="n"/>
      <c r="K437" s="677" t="n"/>
      <c r="L437" s="677" t="n"/>
      <c r="M437" s="67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73" t="n"/>
      <c r="C438" s="673" t="n"/>
      <c r="D438" s="673" t="n"/>
      <c r="E438" s="675" t="n"/>
      <c r="F438" s="675" t="n"/>
      <c r="G438" s="675" t="n"/>
      <c r="H438" s="673" t="n"/>
      <c r="I438" s="673" t="n"/>
      <c r="J438" s="673" t="n"/>
      <c r="K438" s="677" t="n"/>
      <c r="L438" s="677" t="n"/>
      <c r="M438" s="67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73" t="n"/>
      <c r="C439" s="673" t="n"/>
      <c r="D439" s="673" t="n"/>
      <c r="E439" s="675" t="n"/>
      <c r="F439" s="675" t="n"/>
      <c r="G439" s="675" t="n"/>
      <c r="H439" s="673" t="n"/>
      <c r="I439" s="673" t="n"/>
      <c r="J439" s="673" t="n"/>
      <c r="K439" s="677" t="n"/>
      <c r="L439" s="677" t="n"/>
      <c r="M439" s="67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73" t="n"/>
      <c r="C440" s="673" t="n"/>
      <c r="D440" s="673" t="n"/>
      <c r="E440" s="675" t="n"/>
      <c r="F440" s="675" t="n"/>
      <c r="G440" s="675" t="n"/>
      <c r="H440" s="673" t="n"/>
      <c r="I440" s="673" t="n"/>
      <c r="J440" s="673" t="n"/>
      <c r="K440" s="677" t="n"/>
      <c r="L440" s="677" t="n"/>
      <c r="M440" s="67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73" t="n"/>
      <c r="C441" s="673" t="n"/>
      <c r="D441" s="673" t="n"/>
      <c r="E441" s="675" t="n"/>
      <c r="F441" s="675" t="n"/>
      <c r="G441" s="675" t="n"/>
      <c r="H441" s="673" t="n"/>
      <c r="I441" s="673" t="n"/>
      <c r="J441" s="673" t="n"/>
      <c r="K441" s="677" t="n"/>
      <c r="L441" s="677" t="n"/>
      <c r="M441" s="67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73" t="n"/>
      <c r="C442" s="673" t="n"/>
      <c r="D442" s="673" t="n"/>
      <c r="E442" s="675" t="n"/>
      <c r="F442" s="675" t="n"/>
      <c r="G442" s="675" t="n"/>
      <c r="H442" s="673" t="n"/>
      <c r="I442" s="673" t="n"/>
      <c r="J442" s="673" t="n"/>
      <c r="K442" s="677" t="n"/>
      <c r="L442" s="677" t="n"/>
      <c r="M442" s="67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73" t="n"/>
      <c r="C443" s="673" t="n"/>
      <c r="D443" s="673" t="n"/>
      <c r="E443" s="675" t="n"/>
      <c r="F443" s="675" t="n"/>
      <c r="G443" s="675" t="n"/>
      <c r="H443" s="673" t="n"/>
      <c r="I443" s="673" t="n"/>
      <c r="J443" s="673" t="n"/>
      <c r="K443" s="677" t="n"/>
      <c r="L443" s="677" t="n"/>
      <c r="M443" s="67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73" t="n"/>
      <c r="C444" s="673" t="n"/>
      <c r="D444" s="673" t="n"/>
      <c r="E444" s="675" t="n"/>
      <c r="F444" s="675" t="n"/>
      <c r="G444" s="675" t="n"/>
      <c r="H444" s="673" t="n"/>
      <c r="I444" s="673" t="n"/>
      <c r="J444" s="673" t="n"/>
      <c r="K444" s="677" t="n"/>
      <c r="L444" s="677" t="n"/>
      <c r="M444" s="67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73" t="n"/>
      <c r="C445" s="673" t="n"/>
      <c r="D445" s="673" t="n"/>
      <c r="E445" s="675" t="n"/>
      <c r="F445" s="675" t="n"/>
      <c r="G445" s="675" t="n"/>
      <c r="H445" s="673" t="n"/>
      <c r="I445" s="673" t="n"/>
      <c r="J445" s="673" t="n"/>
      <c r="K445" s="677" t="n"/>
      <c r="L445" s="677" t="n"/>
      <c r="M445" s="67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73" t="n"/>
      <c r="C446" s="673" t="n"/>
      <c r="D446" s="673" t="n"/>
      <c r="E446" s="675" t="n"/>
      <c r="F446" s="675" t="n"/>
      <c r="G446" s="675" t="n"/>
      <c r="H446" s="673" t="n"/>
      <c r="I446" s="673" t="n"/>
      <c r="J446" s="673" t="n"/>
      <c r="K446" s="677" t="n"/>
      <c r="L446" s="677" t="n"/>
      <c r="M446" s="67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73" t="n"/>
      <c r="C447" s="673" t="n"/>
      <c r="D447" s="673" t="n"/>
      <c r="E447" s="675" t="n"/>
      <c r="F447" s="675" t="n"/>
      <c r="G447" s="675" t="n"/>
      <c r="H447" s="673" t="n"/>
      <c r="I447" s="673" t="n"/>
      <c r="J447" s="673" t="n"/>
      <c r="K447" s="677" t="n"/>
      <c r="L447" s="677" t="n"/>
      <c r="M447" s="67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73" t="n"/>
      <c r="C448" s="673" t="n"/>
      <c r="D448" s="673" t="n"/>
      <c r="E448" s="675" t="n"/>
      <c r="F448" s="675" t="n"/>
      <c r="G448" s="675" t="n"/>
      <c r="H448" s="673" t="n"/>
      <c r="I448" s="673" t="n"/>
      <c r="J448" s="673" t="n"/>
      <c r="K448" s="677" t="n"/>
      <c r="L448" s="677" t="n"/>
      <c r="M448" s="67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73" t="n"/>
      <c r="C449" s="673" t="n"/>
      <c r="D449" s="673" t="n"/>
      <c r="E449" s="675" t="n"/>
      <c r="F449" s="675" t="n"/>
      <c r="G449" s="675" t="n"/>
      <c r="H449" s="673" t="n"/>
      <c r="I449" s="673" t="n"/>
      <c r="J449" s="673" t="n"/>
      <c r="K449" s="677" t="n"/>
      <c r="L449" s="677" t="n"/>
      <c r="M449" s="67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73" t="n"/>
      <c r="C450" s="673" t="n"/>
      <c r="D450" s="673" t="n"/>
      <c r="E450" s="675" t="n"/>
      <c r="F450" s="675" t="n"/>
      <c r="G450" s="675" t="n"/>
      <c r="H450" s="673" t="n"/>
      <c r="I450" s="673" t="n"/>
      <c r="J450" s="673" t="n"/>
      <c r="K450" s="677" t="n"/>
      <c r="L450" s="677" t="n"/>
      <c r="M450" s="67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73" t="n"/>
      <c r="C451" s="673" t="n"/>
      <c r="D451" s="673" t="n"/>
      <c r="E451" s="675" t="n"/>
      <c r="F451" s="675" t="n"/>
      <c r="G451" s="675" t="n"/>
      <c r="H451" s="673" t="n"/>
      <c r="I451" s="673" t="n"/>
      <c r="J451" s="673" t="n"/>
      <c r="K451" s="677" t="n"/>
      <c r="L451" s="677" t="n"/>
      <c r="M451" s="67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73" t="n"/>
      <c r="C452" s="673" t="n"/>
      <c r="D452" s="673" t="n"/>
      <c r="E452" s="675" t="n"/>
      <c r="F452" s="675" t="n"/>
      <c r="G452" s="675" t="n"/>
      <c r="H452" s="673" t="n"/>
      <c r="I452" s="673" t="n"/>
      <c r="J452" s="673" t="n"/>
      <c r="K452" s="677" t="n"/>
      <c r="L452" s="677" t="n"/>
      <c r="M452" s="67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73" t="n"/>
      <c r="C453" s="673" t="n"/>
      <c r="D453" s="673" t="n"/>
      <c r="E453" s="675" t="n"/>
      <c r="F453" s="675" t="n"/>
      <c r="G453" s="675" t="n"/>
      <c r="H453" s="673" t="n"/>
      <c r="I453" s="673" t="n"/>
      <c r="J453" s="673" t="n"/>
      <c r="K453" s="677" t="n"/>
      <c r="L453" s="677" t="n"/>
      <c r="M453" s="67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73" t="n"/>
      <c r="C454" s="673" t="n"/>
      <c r="D454" s="673" t="n"/>
      <c r="E454" s="675" t="n"/>
      <c r="F454" s="675" t="n"/>
      <c r="G454" s="675" t="n"/>
      <c r="H454" s="673" t="n"/>
      <c r="I454" s="673" t="n"/>
      <c r="J454" s="673" t="n"/>
      <c r="K454" s="677" t="n"/>
      <c r="L454" s="677" t="n"/>
      <c r="M454" s="67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73" t="n"/>
      <c r="C455" s="673" t="n"/>
      <c r="D455" s="673" t="n"/>
      <c r="E455" s="675" t="n"/>
      <c r="F455" s="675" t="n"/>
      <c r="G455" s="675" t="n"/>
      <c r="H455" s="673" t="n"/>
      <c r="I455" s="673" t="n"/>
      <c r="J455" s="673" t="n"/>
      <c r="K455" s="677" t="n"/>
      <c r="L455" s="677" t="n"/>
      <c r="M455" s="67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73" t="n"/>
      <c r="C456" s="673" t="n"/>
      <c r="D456" s="673" t="n"/>
      <c r="E456" s="675" t="n"/>
      <c r="F456" s="675" t="n"/>
      <c r="G456" s="675" t="n"/>
      <c r="H456" s="673" t="n"/>
      <c r="I456" s="673" t="n"/>
      <c r="J456" s="673" t="n"/>
      <c r="K456" s="677" t="n"/>
      <c r="L456" s="677" t="n"/>
      <c r="M456" s="67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73" t="n"/>
      <c r="C457" s="673" t="n"/>
      <c r="D457" s="673" t="n"/>
      <c r="E457" s="675" t="n"/>
      <c r="F457" s="675" t="n"/>
      <c r="G457" s="675" t="n"/>
      <c r="H457" s="673" t="n"/>
      <c r="I457" s="673" t="n"/>
      <c r="J457" s="673" t="n"/>
      <c r="K457" s="677" t="n"/>
      <c r="L457" s="677" t="n"/>
      <c r="M457" s="67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73" t="n"/>
      <c r="C458" s="673" t="n"/>
      <c r="D458" s="673" t="n"/>
      <c r="E458" s="675" t="n"/>
      <c r="F458" s="675" t="n"/>
      <c r="G458" s="675" t="n"/>
      <c r="H458" s="673" t="n"/>
      <c r="I458" s="673" t="n"/>
      <c r="J458" s="673" t="n"/>
      <c r="K458" s="677" t="n"/>
      <c r="L458" s="677" t="n"/>
      <c r="M458" s="67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73" t="n"/>
      <c r="C459" s="673" t="n"/>
      <c r="D459" s="673" t="n"/>
      <c r="E459" s="675" t="n"/>
      <c r="F459" s="675" t="n"/>
      <c r="G459" s="675" t="n"/>
      <c r="H459" s="673" t="n"/>
      <c r="I459" s="673" t="n"/>
      <c r="J459" s="673" t="n"/>
      <c r="K459" s="677" t="n"/>
      <c r="L459" s="677" t="n"/>
      <c r="M459" s="67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73" t="n"/>
      <c r="C460" s="673" t="n"/>
      <c r="D460" s="673" t="n"/>
      <c r="E460" s="675" t="n"/>
      <c r="F460" s="675" t="n"/>
      <c r="G460" s="675" t="n"/>
      <c r="H460" s="673" t="n"/>
      <c r="I460" s="673" t="n"/>
      <c r="J460" s="673" t="n"/>
      <c r="K460" s="677" t="n"/>
      <c r="L460" s="677" t="n"/>
      <c r="M460" s="67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73" t="n"/>
      <c r="C461" s="673" t="n"/>
      <c r="D461" s="673" t="n"/>
      <c r="E461" s="675" t="n"/>
      <c r="F461" s="675" t="n"/>
      <c r="G461" s="675" t="n"/>
      <c r="H461" s="673" t="n"/>
      <c r="I461" s="673" t="n"/>
      <c r="J461" s="673" t="n"/>
      <c r="K461" s="677" t="n"/>
      <c r="L461" s="677" t="n"/>
      <c r="M461" s="67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73" t="n"/>
      <c r="C462" s="673" t="n"/>
      <c r="D462" s="673" t="n"/>
      <c r="E462" s="675" t="n"/>
      <c r="F462" s="675" t="n"/>
      <c r="G462" s="675" t="n"/>
      <c r="H462" s="673" t="n"/>
      <c r="I462" s="673" t="n"/>
      <c r="J462" s="673" t="n"/>
      <c r="K462" s="677" t="n"/>
      <c r="L462" s="677" t="n"/>
      <c r="M462" s="67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73" t="n"/>
      <c r="C463" s="673" t="n"/>
      <c r="D463" s="673" t="n"/>
      <c r="E463" s="675" t="n"/>
      <c r="F463" s="675" t="n"/>
      <c r="G463" s="675" t="n"/>
      <c r="H463" s="673" t="n"/>
      <c r="I463" s="673" t="n"/>
      <c r="J463" s="673" t="n"/>
      <c r="K463" s="677" t="n"/>
      <c r="L463" s="677" t="n"/>
      <c r="M463" s="67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73" t="n"/>
      <c r="C464" s="673" t="n"/>
      <c r="D464" s="673" t="n"/>
      <c r="E464" s="675" t="n"/>
      <c r="F464" s="675" t="n"/>
      <c r="G464" s="675" t="n"/>
      <c r="H464" s="673" t="n"/>
      <c r="I464" s="673" t="n"/>
      <c r="J464" s="673" t="n"/>
      <c r="K464" s="677" t="n"/>
      <c r="L464" s="677" t="n"/>
      <c r="M464" s="67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73" t="n"/>
      <c r="C465" s="673" t="n"/>
      <c r="D465" s="673" t="n"/>
      <c r="E465" s="675" t="n"/>
      <c r="F465" s="675" t="n"/>
      <c r="G465" s="675" t="n"/>
      <c r="H465" s="673" t="n"/>
      <c r="I465" s="673" t="n"/>
      <c r="J465" s="673" t="n"/>
      <c r="K465" s="677" t="n"/>
      <c r="L465" s="677" t="n"/>
      <c r="M465" s="67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73" t="n"/>
      <c r="C466" s="673" t="n"/>
      <c r="D466" s="673" t="n"/>
      <c r="E466" s="675" t="n"/>
      <c r="F466" s="675" t="n"/>
      <c r="G466" s="675" t="n"/>
      <c r="H466" s="673" t="n"/>
      <c r="I466" s="673" t="n"/>
      <c r="J466" s="673" t="n"/>
      <c r="K466" s="677" t="n"/>
      <c r="L466" s="677" t="n"/>
      <c r="M466" s="67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73" t="n"/>
      <c r="C467" s="673" t="n"/>
      <c r="D467" s="673" t="n"/>
      <c r="E467" s="675" t="n"/>
      <c r="F467" s="675" t="n"/>
      <c r="G467" s="675" t="n"/>
      <c r="H467" s="673" t="n"/>
      <c r="I467" s="673" t="n"/>
      <c r="J467" s="673" t="n"/>
      <c r="K467" s="677" t="n"/>
      <c r="L467" s="677" t="n"/>
      <c r="M467" s="67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73" t="n"/>
      <c r="C468" s="673" t="n"/>
      <c r="D468" s="673" t="n"/>
      <c r="E468" s="675" t="n"/>
      <c r="F468" s="675" t="n"/>
      <c r="G468" s="675" t="n"/>
      <c r="H468" s="673" t="n"/>
      <c r="I468" s="673" t="n"/>
      <c r="J468" s="673" t="n"/>
      <c r="K468" s="677" t="n"/>
      <c r="L468" s="677" t="n"/>
      <c r="M468" s="67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73" t="n"/>
      <c r="C469" s="673" t="n"/>
      <c r="D469" s="673" t="n"/>
      <c r="E469" s="675" t="n"/>
      <c r="F469" s="675" t="n"/>
      <c r="G469" s="675" t="n"/>
      <c r="H469" s="673" t="n"/>
      <c r="I469" s="673" t="n"/>
      <c r="J469" s="673" t="n"/>
      <c r="K469" s="677" t="n"/>
      <c r="L469" s="677" t="n"/>
      <c r="M469" s="67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73" t="n"/>
      <c r="C470" s="673" t="n"/>
      <c r="D470" s="673" t="n"/>
      <c r="E470" s="675" t="n"/>
      <c r="F470" s="675" t="n"/>
      <c r="G470" s="675" t="n"/>
      <c r="H470" s="673" t="n"/>
      <c r="I470" s="673" t="n"/>
      <c r="J470" s="673" t="n"/>
      <c r="K470" s="677" t="n"/>
      <c r="L470" s="677" t="n"/>
      <c r="M470" s="67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73" t="n"/>
      <c r="C471" s="673" t="n"/>
      <c r="D471" s="673" t="n"/>
      <c r="E471" s="675" t="n"/>
      <c r="F471" s="675" t="n"/>
      <c r="G471" s="675" t="n"/>
      <c r="H471" s="673" t="n"/>
      <c r="I471" s="673" t="n"/>
      <c r="J471" s="673" t="n"/>
      <c r="K471" s="677" t="n"/>
      <c r="L471" s="677" t="n"/>
      <c r="M471" s="67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73" t="n"/>
      <c r="C472" s="673" t="n"/>
      <c r="D472" s="673" t="n"/>
      <c r="E472" s="675" t="n"/>
      <c r="F472" s="675" t="n"/>
      <c r="G472" s="675" t="n"/>
      <c r="H472" s="673" t="n"/>
      <c r="I472" s="673" t="n"/>
      <c r="J472" s="673" t="n"/>
      <c r="K472" s="677" t="n"/>
      <c r="L472" s="677" t="n"/>
      <c r="M472" s="67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73" t="n"/>
      <c r="C473" s="673" t="n"/>
      <c r="D473" s="673" t="n"/>
      <c r="E473" s="675" t="n"/>
      <c r="F473" s="675" t="n"/>
      <c r="G473" s="675" t="n"/>
      <c r="H473" s="673" t="n"/>
      <c r="I473" s="673" t="n"/>
      <c r="J473" s="673" t="n"/>
      <c r="K473" s="677" t="n"/>
      <c r="L473" s="677" t="n"/>
      <c r="M473" s="67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73" t="n"/>
      <c r="C474" s="673" t="n"/>
      <c r="D474" s="673" t="n"/>
      <c r="E474" s="675" t="n"/>
      <c r="F474" s="675" t="n"/>
      <c r="G474" s="675" t="n"/>
      <c r="H474" s="673" t="n"/>
      <c r="I474" s="673" t="n"/>
      <c r="J474" s="673" t="n"/>
      <c r="K474" s="677" t="n"/>
      <c r="L474" s="677" t="n"/>
      <c r="M474" s="67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73" t="n"/>
      <c r="C475" s="673" t="n"/>
      <c r="D475" s="673" t="n"/>
      <c r="E475" s="675" t="n"/>
      <c r="F475" s="675" t="n"/>
      <c r="G475" s="675" t="n"/>
      <c r="H475" s="673" t="n"/>
      <c r="I475" s="673" t="n"/>
      <c r="J475" s="673" t="n"/>
      <c r="K475" s="677" t="n"/>
      <c r="L475" s="677" t="n"/>
      <c r="M475" s="67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73" t="n"/>
      <c r="C476" s="673" t="n"/>
      <c r="D476" s="673" t="n"/>
      <c r="E476" s="675" t="n"/>
      <c r="F476" s="675" t="n"/>
      <c r="G476" s="675" t="n"/>
      <c r="H476" s="673" t="n"/>
      <c r="I476" s="673" t="n"/>
      <c r="J476" s="673" t="n"/>
      <c r="K476" s="677" t="n"/>
      <c r="L476" s="677" t="n"/>
      <c r="M476" s="67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73" t="n"/>
      <c r="C477" s="673" t="n"/>
      <c r="D477" s="673" t="n"/>
      <c r="E477" s="675" t="n"/>
      <c r="F477" s="675" t="n"/>
      <c r="G477" s="675" t="n"/>
      <c r="H477" s="673" t="n"/>
      <c r="I477" s="673" t="n"/>
      <c r="J477" s="673" t="n"/>
      <c r="K477" s="677" t="n"/>
      <c r="L477" s="677" t="n"/>
      <c r="M477" s="67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73" t="n"/>
      <c r="C478" s="673" t="n"/>
      <c r="D478" s="673" t="n"/>
      <c r="E478" s="675" t="n"/>
      <c r="F478" s="675" t="n"/>
      <c r="G478" s="675" t="n"/>
      <c r="H478" s="673" t="n"/>
      <c r="I478" s="673" t="n"/>
      <c r="J478" s="673" t="n"/>
      <c r="K478" s="677" t="n"/>
      <c r="L478" s="677" t="n"/>
      <c r="M478" s="67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73" t="n"/>
      <c r="C479" s="673" t="n"/>
      <c r="D479" s="673" t="n"/>
      <c r="E479" s="675" t="n"/>
      <c r="F479" s="675" t="n"/>
      <c r="G479" s="675" t="n"/>
      <c r="H479" s="673" t="n"/>
      <c r="I479" s="673" t="n"/>
      <c r="J479" s="673" t="n"/>
      <c r="K479" s="677" t="n"/>
      <c r="L479" s="677" t="n"/>
      <c r="M479" s="67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73" t="n"/>
      <c r="C480" s="673" t="n"/>
      <c r="D480" s="673" t="n"/>
      <c r="E480" s="675" t="n"/>
      <c r="F480" s="675" t="n"/>
      <c r="G480" s="675" t="n"/>
      <c r="H480" s="673" t="n"/>
      <c r="I480" s="673" t="n"/>
      <c r="J480" s="673" t="n"/>
      <c r="K480" s="677" t="n"/>
      <c r="L480" s="677" t="n"/>
      <c r="M480" s="67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73" t="n"/>
      <c r="C481" s="673" t="n"/>
      <c r="D481" s="673" t="n"/>
      <c r="E481" s="675" t="n"/>
      <c r="F481" s="675" t="n"/>
      <c r="G481" s="675" t="n"/>
      <c r="H481" s="673" t="n"/>
      <c r="I481" s="673" t="n"/>
      <c r="J481" s="673" t="n"/>
      <c r="K481" s="677" t="n"/>
      <c r="L481" s="677" t="n"/>
      <c r="M481" s="67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73" t="n"/>
      <c r="C482" s="673" t="n"/>
      <c r="D482" s="673" t="n"/>
      <c r="E482" s="675" t="n"/>
      <c r="F482" s="675" t="n"/>
      <c r="G482" s="675" t="n"/>
      <c r="H482" s="673" t="n"/>
      <c r="I482" s="673" t="n"/>
      <c r="J482" s="673" t="n"/>
      <c r="K482" s="677" t="n"/>
      <c r="L482" s="677" t="n"/>
      <c r="M482" s="67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73" t="n"/>
      <c r="C483" s="673" t="n"/>
      <c r="D483" s="673" t="n"/>
      <c r="E483" s="675" t="n"/>
      <c r="F483" s="675" t="n"/>
      <c r="G483" s="675" t="n"/>
      <c r="H483" s="673" t="n"/>
      <c r="I483" s="673" t="n"/>
      <c r="J483" s="673" t="n"/>
      <c r="K483" s="677" t="n"/>
      <c r="L483" s="677" t="n"/>
      <c r="M483" s="67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73" t="n"/>
      <c r="C484" s="673" t="n"/>
      <c r="D484" s="673" t="n"/>
      <c r="E484" s="675" t="n"/>
      <c r="F484" s="675" t="n"/>
      <c r="G484" s="675" t="n"/>
      <c r="H484" s="673" t="n"/>
      <c r="I484" s="673" t="n"/>
      <c r="J484" s="673" t="n"/>
      <c r="K484" s="677" t="n"/>
      <c r="L484" s="677" t="n"/>
      <c r="M484" s="67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73" t="n"/>
      <c r="C485" s="673" t="n"/>
      <c r="D485" s="673" t="n"/>
      <c r="E485" s="675" t="n"/>
      <c r="F485" s="675" t="n"/>
      <c r="G485" s="675" t="n"/>
      <c r="H485" s="673" t="n"/>
      <c r="I485" s="673" t="n"/>
      <c r="J485" s="673" t="n"/>
      <c r="K485" s="677" t="n"/>
      <c r="L485" s="677" t="n"/>
      <c r="M485" s="67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73" t="n"/>
      <c r="C486" s="673" t="n"/>
      <c r="D486" s="673" t="n"/>
      <c r="E486" s="675" t="n"/>
      <c r="F486" s="675" t="n"/>
      <c r="G486" s="675" t="n"/>
      <c r="H486" s="673" t="n"/>
      <c r="I486" s="673" t="n"/>
      <c r="J486" s="673" t="n"/>
      <c r="K486" s="677" t="n"/>
      <c r="L486" s="677" t="n"/>
      <c r="M486" s="67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73" t="n"/>
      <c r="C487" s="673" t="n"/>
      <c r="D487" s="673" t="n"/>
      <c r="E487" s="675" t="n"/>
      <c r="F487" s="675" t="n"/>
      <c r="G487" s="675" t="n"/>
      <c r="H487" s="673" t="n"/>
      <c r="I487" s="673" t="n"/>
      <c r="J487" s="673" t="n"/>
      <c r="K487" s="677" t="n"/>
      <c r="L487" s="677" t="n"/>
      <c r="M487" s="67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73" t="n"/>
      <c r="C488" s="673" t="n"/>
      <c r="D488" s="673" t="n"/>
      <c r="E488" s="675" t="n"/>
      <c r="F488" s="675" t="n"/>
      <c r="G488" s="675" t="n"/>
      <c r="H488" s="673" t="n"/>
      <c r="I488" s="673" t="n"/>
      <c r="J488" s="673" t="n"/>
      <c r="K488" s="677" t="n"/>
      <c r="L488" s="677" t="n"/>
      <c r="M488" s="67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73" t="n"/>
      <c r="C489" s="673" t="n"/>
      <c r="D489" s="673" t="n"/>
      <c r="E489" s="675" t="n"/>
      <c r="F489" s="675" t="n"/>
      <c r="G489" s="675" t="n"/>
      <c r="H489" s="673" t="n"/>
      <c r="I489" s="673" t="n"/>
      <c r="J489" s="673" t="n"/>
      <c r="K489" s="677" t="n"/>
      <c r="L489" s="677" t="n"/>
      <c r="M489" s="67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73" t="n"/>
      <c r="C490" s="673" t="n"/>
      <c r="D490" s="673" t="n"/>
      <c r="E490" s="675" t="n"/>
      <c r="F490" s="675" t="n"/>
      <c r="G490" s="675" t="n"/>
      <c r="H490" s="673" t="n"/>
      <c r="I490" s="673" t="n"/>
      <c r="J490" s="673" t="n"/>
      <c r="K490" s="677" t="n"/>
      <c r="L490" s="677" t="n"/>
      <c r="M490" s="67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73" t="n"/>
      <c r="C491" s="673" t="n"/>
      <c r="D491" s="673" t="n"/>
      <c r="E491" s="675" t="n"/>
      <c r="F491" s="675" t="n"/>
      <c r="G491" s="675" t="n"/>
      <c r="H491" s="673" t="n"/>
      <c r="I491" s="673" t="n"/>
      <c r="J491" s="673" t="n"/>
      <c r="K491" s="677" t="n"/>
      <c r="L491" s="677" t="n"/>
      <c r="M491" s="67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73" t="n"/>
      <c r="C492" s="673" t="n"/>
      <c r="D492" s="673" t="n"/>
      <c r="E492" s="675" t="n"/>
      <c r="F492" s="675" t="n"/>
      <c r="G492" s="675" t="n"/>
      <c r="H492" s="673" t="n"/>
      <c r="I492" s="673" t="n"/>
      <c r="J492" s="673" t="n"/>
      <c r="K492" s="677" t="n"/>
      <c r="L492" s="677" t="n"/>
      <c r="M492" s="67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73" t="n"/>
      <c r="C493" s="673" t="n"/>
      <c r="D493" s="673" t="n"/>
      <c r="E493" s="675" t="n"/>
      <c r="F493" s="675" t="n"/>
      <c r="G493" s="675" t="n"/>
      <c r="H493" s="673" t="n"/>
      <c r="I493" s="673" t="n"/>
      <c r="J493" s="673" t="n"/>
      <c r="K493" s="677" t="n"/>
      <c r="L493" s="677" t="n"/>
      <c r="M493" s="67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73" t="n"/>
      <c r="C494" s="673" t="n"/>
      <c r="D494" s="673" t="n"/>
      <c r="E494" s="675" t="n"/>
      <c r="F494" s="675" t="n"/>
      <c r="G494" s="675" t="n"/>
      <c r="H494" s="673" t="n"/>
      <c r="I494" s="673" t="n"/>
      <c r="J494" s="673" t="n"/>
      <c r="K494" s="677" t="n"/>
      <c r="L494" s="677" t="n"/>
      <c r="M494" s="67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73" t="n"/>
      <c r="C495" s="673" t="n"/>
      <c r="D495" s="673" t="n"/>
      <c r="E495" s="675" t="n"/>
      <c r="F495" s="675" t="n"/>
      <c r="G495" s="675" t="n"/>
      <c r="H495" s="673" t="n"/>
      <c r="I495" s="673" t="n"/>
      <c r="J495" s="673" t="n"/>
      <c r="K495" s="677" t="n"/>
      <c r="L495" s="677" t="n"/>
      <c r="M495" s="67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73" t="n"/>
      <c r="C496" s="673" t="n"/>
      <c r="D496" s="673" t="n"/>
      <c r="E496" s="675" t="n"/>
      <c r="F496" s="675" t="n"/>
      <c r="G496" s="675" t="n"/>
      <c r="H496" s="673" t="n"/>
      <c r="I496" s="673" t="n"/>
      <c r="J496" s="673" t="n"/>
      <c r="K496" s="677" t="n"/>
      <c r="L496" s="677" t="n"/>
      <c r="M496" s="67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73" t="n"/>
      <c r="C497" s="673" t="n"/>
      <c r="D497" s="673" t="n"/>
      <c r="E497" s="675" t="n"/>
      <c r="F497" s="675" t="n"/>
      <c r="G497" s="675" t="n"/>
      <c r="H497" s="673" t="n"/>
      <c r="I497" s="673" t="n"/>
      <c r="J497" s="673" t="n"/>
      <c r="K497" s="677" t="n"/>
      <c r="L497" s="677" t="n"/>
      <c r="M497" s="67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73" t="n"/>
      <c r="C498" s="673" t="n"/>
      <c r="D498" s="673" t="n"/>
      <c r="E498" s="675" t="n"/>
      <c r="F498" s="675" t="n"/>
      <c r="G498" s="675" t="n"/>
      <c r="H498" s="673" t="n"/>
      <c r="I498" s="673" t="n"/>
      <c r="J498" s="673" t="n"/>
      <c r="K498" s="677" t="n"/>
      <c r="L498" s="677" t="n"/>
      <c r="M498" s="67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73" t="n"/>
      <c r="C499" s="673" t="n"/>
      <c r="D499" s="673" t="n"/>
      <c r="E499" s="675" t="n"/>
      <c r="F499" s="675" t="n"/>
      <c r="G499" s="675" t="n"/>
      <c r="H499" s="673" t="n"/>
      <c r="I499" s="673" t="n"/>
      <c r="J499" s="673" t="n"/>
      <c r="K499" s="677" t="n"/>
      <c r="L499" s="677" t="n"/>
      <c r="M499" s="67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73" t="n"/>
      <c r="C500" s="673" t="n"/>
      <c r="D500" s="673" t="n"/>
      <c r="E500" s="675" t="n"/>
      <c r="F500" s="675" t="n"/>
      <c r="G500" s="675" t="n"/>
      <c r="H500" s="673" t="n"/>
      <c r="I500" s="673" t="n"/>
      <c r="J500" s="673" t="n"/>
      <c r="K500" s="677" t="n"/>
      <c r="L500" s="677" t="n"/>
      <c r="M500" s="67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73" t="n"/>
      <c r="C501" s="673" t="n"/>
      <c r="D501" s="673" t="n"/>
      <c r="E501" s="675" t="n"/>
      <c r="F501" s="675" t="n"/>
      <c r="G501" s="675" t="n"/>
      <c r="H501" s="673" t="n"/>
      <c r="I501" s="673" t="n"/>
      <c r="J501" s="673" t="n"/>
      <c r="K501" s="677" t="n"/>
      <c r="L501" s="677" t="n"/>
      <c r="M501" s="67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73" t="n"/>
      <c r="C502" s="673" t="n"/>
      <c r="D502" s="673" t="n"/>
      <c r="E502" s="675" t="n"/>
      <c r="F502" s="675" t="n"/>
      <c r="G502" s="675" t="n"/>
      <c r="H502" s="673" t="n"/>
      <c r="I502" s="673" t="n"/>
      <c r="J502" s="673" t="n"/>
      <c r="K502" s="677" t="n"/>
      <c r="L502" s="677" t="n"/>
      <c r="M502" s="67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73" t="n"/>
      <c r="C503" s="673" t="n"/>
      <c r="D503" s="673" t="n"/>
      <c r="E503" s="675" t="n"/>
      <c r="F503" s="675" t="n"/>
      <c r="G503" s="675" t="n"/>
      <c r="H503" s="673" t="n"/>
      <c r="I503" s="673" t="n"/>
      <c r="J503" s="673" t="n"/>
      <c r="K503" s="677" t="n"/>
      <c r="L503" s="677" t="n"/>
      <c r="M503" s="67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73" t="n"/>
      <c r="C504" s="673" t="n"/>
      <c r="D504" s="673" t="n"/>
      <c r="E504" s="675" t="n"/>
      <c r="F504" s="675" t="n"/>
      <c r="G504" s="675" t="n"/>
      <c r="H504" s="673" t="n"/>
      <c r="I504" s="673" t="n"/>
      <c r="J504" s="673" t="n"/>
      <c r="K504" s="677" t="n"/>
      <c r="L504" s="677" t="n"/>
      <c r="M504" s="67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73" t="n"/>
      <c r="C505" s="673" t="n"/>
      <c r="D505" s="673" t="n"/>
      <c r="E505" s="675" t="n"/>
      <c r="F505" s="675" t="n"/>
      <c r="G505" s="675" t="n"/>
      <c r="H505" s="673" t="n"/>
      <c r="I505" s="673" t="n"/>
      <c r="J505" s="673" t="n"/>
      <c r="K505" s="677" t="n"/>
      <c r="L505" s="677" t="n"/>
      <c r="M505" s="67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73" t="n"/>
      <c r="C506" s="673" t="n"/>
      <c r="D506" s="673" t="n"/>
      <c r="E506" s="675" t="n"/>
      <c r="F506" s="675" t="n"/>
      <c r="G506" s="675" t="n"/>
      <c r="H506" s="673" t="n"/>
      <c r="I506" s="673" t="n"/>
      <c r="J506" s="673" t="n"/>
      <c r="K506" s="677" t="n"/>
      <c r="L506" s="677" t="n"/>
      <c r="M506" s="67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73" t="n"/>
      <c r="C507" s="673" t="n"/>
      <c r="D507" s="673" t="n"/>
      <c r="E507" s="675" t="n"/>
      <c r="F507" s="675" t="n"/>
      <c r="G507" s="675" t="n"/>
      <c r="H507" s="673" t="n"/>
      <c r="I507" s="673" t="n"/>
      <c r="J507" s="673" t="n"/>
      <c r="K507" s="677" t="n"/>
      <c r="L507" s="677" t="n"/>
      <c r="M507" s="67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73" t="n"/>
      <c r="C508" s="673" t="n"/>
      <c r="D508" s="673" t="n"/>
      <c r="E508" s="675" t="n"/>
      <c r="F508" s="675" t="n"/>
      <c r="G508" s="675" t="n"/>
      <c r="H508" s="673" t="n"/>
      <c r="I508" s="673" t="n"/>
      <c r="J508" s="673" t="n"/>
      <c r="K508" s="677" t="n"/>
      <c r="L508" s="677" t="n"/>
      <c r="M508" s="67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73" t="n"/>
      <c r="C509" s="673" t="n"/>
      <c r="D509" s="673" t="n"/>
      <c r="E509" s="675" t="n"/>
      <c r="F509" s="675" t="n"/>
      <c r="G509" s="675" t="n"/>
      <c r="H509" s="673" t="n"/>
      <c r="I509" s="673" t="n"/>
      <c r="J509" s="673" t="n"/>
      <c r="K509" s="677" t="n"/>
      <c r="L509" s="677" t="n"/>
      <c r="M509" s="67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73" t="n"/>
      <c r="C510" s="673" t="n"/>
      <c r="D510" s="673" t="n"/>
      <c r="E510" s="675" t="n"/>
      <c r="F510" s="675" t="n"/>
      <c r="G510" s="675" t="n"/>
      <c r="H510" s="673" t="n"/>
      <c r="I510" s="673" t="n"/>
      <c r="J510" s="673" t="n"/>
      <c r="K510" s="677" t="n"/>
      <c r="L510" s="677" t="n"/>
      <c r="M510" s="67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73" t="n"/>
      <c r="C511" s="673" t="n"/>
      <c r="D511" s="673" t="n"/>
      <c r="E511" s="675" t="n"/>
      <c r="F511" s="675" t="n"/>
      <c r="G511" s="675" t="n"/>
      <c r="H511" s="673" t="n"/>
      <c r="I511" s="673" t="n"/>
      <c r="J511" s="673" t="n"/>
      <c r="K511" s="677" t="n"/>
      <c r="L511" s="677" t="n"/>
      <c r="M511" s="67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73" t="n"/>
      <c r="C512" s="673" t="n"/>
      <c r="D512" s="673" t="n"/>
      <c r="E512" s="675" t="n"/>
      <c r="F512" s="675" t="n"/>
      <c r="G512" s="675" t="n"/>
      <c r="H512" s="673" t="n"/>
      <c r="I512" s="673" t="n"/>
      <c r="J512" s="673" t="n"/>
      <c r="K512" s="677" t="n"/>
      <c r="L512" s="677" t="n"/>
      <c r="M512" s="67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73" t="n"/>
      <c r="C513" s="673" t="n"/>
      <c r="D513" s="673" t="n"/>
      <c r="E513" s="675" t="n"/>
      <c r="F513" s="675" t="n"/>
      <c r="G513" s="675" t="n"/>
      <c r="H513" s="673" t="n"/>
      <c r="I513" s="673" t="n"/>
      <c r="J513" s="673" t="n"/>
      <c r="K513" s="677" t="n"/>
      <c r="L513" s="677" t="n"/>
      <c r="M513" s="67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73" t="n"/>
      <c r="C514" s="673" t="n"/>
      <c r="D514" s="673" t="n"/>
      <c r="E514" s="675" t="n"/>
      <c r="F514" s="675" t="n"/>
      <c r="G514" s="675" t="n"/>
      <c r="H514" s="673" t="n"/>
      <c r="I514" s="673" t="n"/>
      <c r="J514" s="673" t="n"/>
      <c r="K514" s="677" t="n"/>
      <c r="L514" s="677" t="n"/>
      <c r="M514" s="67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73" t="n"/>
      <c r="C515" s="673" t="n"/>
      <c r="D515" s="673" t="n"/>
      <c r="E515" s="675" t="n"/>
      <c r="F515" s="675" t="n"/>
      <c r="G515" s="675" t="n"/>
      <c r="H515" s="673" t="n"/>
      <c r="I515" s="673" t="n"/>
      <c r="J515" s="673" t="n"/>
      <c r="K515" s="677" t="n"/>
      <c r="L515" s="677" t="n"/>
      <c r="M515" s="67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73" t="n"/>
      <c r="C516" s="673" t="n"/>
      <c r="D516" s="673" t="n"/>
      <c r="E516" s="675" t="n"/>
      <c r="F516" s="675" t="n"/>
      <c r="G516" s="675" t="n"/>
      <c r="H516" s="673" t="n"/>
      <c r="I516" s="673" t="n"/>
      <c r="J516" s="673" t="n"/>
      <c r="K516" s="677" t="n"/>
      <c r="L516" s="677" t="n"/>
      <c r="M516" s="67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73" t="n"/>
      <c r="C517" s="673" t="n"/>
      <c r="D517" s="673" t="n"/>
      <c r="E517" s="675" t="n"/>
      <c r="F517" s="675" t="n"/>
      <c r="G517" s="675" t="n"/>
      <c r="H517" s="673" t="n"/>
      <c r="I517" s="673" t="n"/>
      <c r="J517" s="673" t="n"/>
      <c r="K517" s="677" t="n"/>
      <c r="L517" s="677" t="n"/>
      <c r="M517" s="67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73" t="n"/>
      <c r="C518" s="673" t="n"/>
      <c r="D518" s="673" t="n"/>
      <c r="E518" s="675" t="n"/>
      <c r="F518" s="675" t="n"/>
      <c r="G518" s="675" t="n"/>
      <c r="H518" s="673" t="n"/>
      <c r="I518" s="673" t="n"/>
      <c r="J518" s="673" t="n"/>
      <c r="K518" s="677" t="n"/>
      <c r="L518" s="677" t="n"/>
      <c r="M518" s="67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73" t="n"/>
      <c r="C519" s="673" t="n"/>
      <c r="D519" s="673" t="n"/>
      <c r="E519" s="675" t="n"/>
      <c r="F519" s="675" t="n"/>
      <c r="G519" s="675" t="n"/>
      <c r="H519" s="673" t="n"/>
      <c r="I519" s="673" t="n"/>
      <c r="J519" s="673" t="n"/>
      <c r="K519" s="677" t="n"/>
      <c r="L519" s="677" t="n"/>
      <c r="M519" s="67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73" t="n"/>
      <c r="C520" s="673" t="n"/>
      <c r="D520" s="673" t="n"/>
      <c r="E520" s="675" t="n"/>
      <c r="F520" s="675" t="n"/>
      <c r="G520" s="675" t="n"/>
      <c r="H520" s="673" t="n"/>
      <c r="I520" s="673" t="n"/>
      <c r="J520" s="673" t="n"/>
      <c r="K520" s="677" t="n"/>
      <c r="L520" s="677" t="n"/>
      <c r="M520" s="67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73" t="n"/>
      <c r="C521" s="673" t="n"/>
      <c r="D521" s="673" t="n"/>
      <c r="E521" s="675" t="n"/>
      <c r="F521" s="675" t="n"/>
      <c r="G521" s="675" t="n"/>
      <c r="H521" s="673" t="n"/>
      <c r="I521" s="673" t="n"/>
      <c r="J521" s="673" t="n"/>
      <c r="K521" s="677" t="n"/>
      <c r="L521" s="677" t="n"/>
      <c r="M521" s="67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73" t="n"/>
      <c r="C522" s="673" t="n"/>
      <c r="D522" s="673" t="n"/>
      <c r="E522" s="675" t="n"/>
      <c r="F522" s="675" t="n"/>
      <c r="G522" s="675" t="n"/>
      <c r="H522" s="673" t="n"/>
      <c r="I522" s="673" t="n"/>
      <c r="J522" s="673" t="n"/>
      <c r="K522" s="677" t="n"/>
      <c r="L522" s="677" t="n"/>
      <c r="M522" s="67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73" t="n"/>
      <c r="C523" s="673" t="n"/>
      <c r="D523" s="673" t="n"/>
      <c r="E523" s="675" t="n"/>
      <c r="F523" s="675" t="n"/>
      <c r="G523" s="675" t="n"/>
      <c r="H523" s="673" t="n"/>
      <c r="I523" s="673" t="n"/>
      <c r="J523" s="673" t="n"/>
      <c r="K523" s="677" t="n"/>
      <c r="L523" s="677" t="n"/>
      <c r="M523" s="67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73" t="n"/>
      <c r="C524" s="673" t="n"/>
      <c r="D524" s="673" t="n"/>
      <c r="E524" s="675" t="n"/>
      <c r="F524" s="675" t="n"/>
      <c r="G524" s="675" t="n"/>
      <c r="H524" s="673" t="n"/>
      <c r="I524" s="673" t="n"/>
      <c r="J524" s="673" t="n"/>
      <c r="K524" s="677" t="n"/>
      <c r="L524" s="677" t="n"/>
      <c r="M524" s="67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73" t="n"/>
      <c r="C525" s="673" t="n"/>
      <c r="D525" s="673" t="n"/>
      <c r="E525" s="675" t="n"/>
      <c r="F525" s="675" t="n"/>
      <c r="G525" s="675" t="n"/>
      <c r="H525" s="673" t="n"/>
      <c r="I525" s="673" t="n"/>
      <c r="J525" s="673" t="n"/>
      <c r="K525" s="677" t="n"/>
      <c r="L525" s="677" t="n"/>
      <c r="M525" s="67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73" t="n"/>
      <c r="C526" s="673" t="n"/>
      <c r="D526" s="673" t="n"/>
      <c r="E526" s="675" t="n"/>
      <c r="F526" s="675" t="n"/>
      <c r="G526" s="675" t="n"/>
      <c r="H526" s="673" t="n"/>
      <c r="I526" s="673" t="n"/>
      <c r="J526" s="673" t="n"/>
      <c r="K526" s="677" t="n"/>
      <c r="L526" s="677" t="n"/>
      <c r="M526" s="67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73" t="n"/>
      <c r="C527" s="673" t="n"/>
      <c r="D527" s="673" t="n"/>
      <c r="E527" s="675" t="n"/>
      <c r="F527" s="675" t="n"/>
      <c r="G527" s="675" t="n"/>
      <c r="H527" s="673" t="n"/>
      <c r="I527" s="673" t="n"/>
      <c r="J527" s="673" t="n"/>
      <c r="K527" s="677" t="n"/>
      <c r="L527" s="677" t="n"/>
      <c r="M527" s="67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73" t="n"/>
      <c r="C528" s="673" t="n"/>
      <c r="D528" s="673" t="n"/>
      <c r="E528" s="675" t="n"/>
      <c r="F528" s="675" t="n"/>
      <c r="G528" s="675" t="n"/>
      <c r="H528" s="673" t="n"/>
      <c r="I528" s="673" t="n"/>
      <c r="J528" s="673" t="n"/>
      <c r="K528" s="677" t="n"/>
      <c r="L528" s="677" t="n"/>
      <c r="M528" s="67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73" t="n"/>
      <c r="C529" s="673" t="n"/>
      <c r="D529" s="673" t="n"/>
      <c r="E529" s="675" t="n"/>
      <c r="F529" s="675" t="n"/>
      <c r="G529" s="675" t="n"/>
      <c r="H529" s="673" t="n"/>
      <c r="I529" s="673" t="n"/>
      <c r="J529" s="673" t="n"/>
      <c r="K529" s="677" t="n"/>
      <c r="L529" s="677" t="n"/>
      <c r="M529" s="67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73" t="n"/>
      <c r="C530" s="673" t="n"/>
      <c r="D530" s="673" t="n"/>
      <c r="E530" s="675" t="n"/>
      <c r="F530" s="675" t="n"/>
      <c r="G530" s="675" t="n"/>
      <c r="H530" s="673" t="n"/>
      <c r="I530" s="673" t="n"/>
      <c r="J530" s="673" t="n"/>
      <c r="K530" s="677" t="n"/>
      <c r="L530" s="677" t="n"/>
      <c r="M530" s="67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73" t="n"/>
      <c r="C531" s="673" t="n"/>
      <c r="D531" s="673" t="n"/>
      <c r="E531" s="675" t="n"/>
      <c r="F531" s="675" t="n"/>
      <c r="G531" s="675" t="n"/>
      <c r="H531" s="673" t="n"/>
      <c r="I531" s="673" t="n"/>
      <c r="J531" s="673" t="n"/>
      <c r="K531" s="677" t="n"/>
      <c r="L531" s="677" t="n"/>
      <c r="M531" s="67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73" t="n"/>
      <c r="C532" s="673" t="n"/>
      <c r="D532" s="673" t="n"/>
      <c r="E532" s="675" t="n"/>
      <c r="F532" s="675" t="n"/>
      <c r="G532" s="675" t="n"/>
      <c r="H532" s="673" t="n"/>
      <c r="I532" s="673" t="n"/>
      <c r="J532" s="673" t="n"/>
      <c r="K532" s="677" t="n"/>
      <c r="L532" s="677" t="n"/>
      <c r="M532" s="67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73" t="n"/>
      <c r="C533" s="673" t="n"/>
      <c r="D533" s="673" t="n"/>
      <c r="E533" s="675" t="n"/>
      <c r="F533" s="675" t="n"/>
      <c r="G533" s="675" t="n"/>
      <c r="H533" s="673" t="n"/>
      <c r="I533" s="673" t="n"/>
      <c r="J533" s="673" t="n"/>
      <c r="K533" s="677" t="n"/>
      <c r="L533" s="677" t="n"/>
      <c r="M533" s="67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73" t="n"/>
      <c r="C534" s="673" t="n"/>
      <c r="D534" s="673" t="n"/>
      <c r="E534" s="675" t="n"/>
      <c r="F534" s="675" t="n"/>
      <c r="G534" s="675" t="n"/>
      <c r="H534" s="673" t="n"/>
      <c r="I534" s="673" t="n"/>
      <c r="J534" s="673" t="n"/>
      <c r="K534" s="677" t="n"/>
      <c r="L534" s="677" t="n"/>
      <c r="M534" s="67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73" t="n"/>
      <c r="C535" s="673" t="n"/>
      <c r="D535" s="673" t="n"/>
      <c r="E535" s="675" t="n"/>
      <c r="F535" s="675" t="n"/>
      <c r="G535" s="675" t="n"/>
      <c r="H535" s="673" t="n"/>
      <c r="I535" s="673" t="n"/>
      <c r="J535" s="673" t="n"/>
      <c r="K535" s="677" t="n"/>
      <c r="L535" s="677" t="n"/>
      <c r="M535" s="67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73" t="n"/>
      <c r="C536" s="673" t="n"/>
      <c r="D536" s="673" t="n"/>
      <c r="E536" s="675" t="n"/>
      <c r="F536" s="675" t="n"/>
      <c r="G536" s="675" t="n"/>
      <c r="H536" s="673" t="n"/>
      <c r="I536" s="673" t="n"/>
      <c r="J536" s="673" t="n"/>
      <c r="K536" s="677" t="n"/>
      <c r="L536" s="677" t="n"/>
      <c r="M536" s="67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73" t="n"/>
      <c r="C537" s="673" t="n"/>
      <c r="D537" s="673" t="n"/>
      <c r="E537" s="675" t="n"/>
      <c r="F537" s="675" t="n"/>
      <c r="G537" s="675" t="n"/>
      <c r="H537" s="673" t="n"/>
      <c r="I537" s="673" t="n"/>
      <c r="J537" s="673" t="n"/>
      <c r="K537" s="677" t="n"/>
      <c r="L537" s="677" t="n"/>
      <c r="M537" s="67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73" t="n"/>
      <c r="C538" s="673" t="n"/>
      <c r="D538" s="673" t="n"/>
      <c r="E538" s="675" t="n"/>
      <c r="F538" s="675" t="n"/>
      <c r="G538" s="675" t="n"/>
      <c r="H538" s="673" t="n"/>
      <c r="I538" s="673" t="n"/>
      <c r="J538" s="673" t="n"/>
      <c r="K538" s="677" t="n"/>
      <c r="L538" s="677" t="n"/>
      <c r="M538" s="67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73" t="n"/>
      <c r="C539" s="673" t="n"/>
      <c r="D539" s="673" t="n"/>
      <c r="E539" s="675" t="n"/>
      <c r="F539" s="675" t="n"/>
      <c r="G539" s="675" t="n"/>
      <c r="H539" s="673" t="n"/>
      <c r="I539" s="673" t="n"/>
      <c r="J539" s="673" t="n"/>
      <c r="K539" s="677" t="n"/>
      <c r="L539" s="677" t="n"/>
      <c r="M539" s="67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73" t="n"/>
      <c r="C540" s="673" t="n"/>
      <c r="D540" s="673" t="n"/>
      <c r="E540" s="675" t="n"/>
      <c r="F540" s="675" t="n"/>
      <c r="G540" s="675" t="n"/>
      <c r="H540" s="673" t="n"/>
      <c r="I540" s="673" t="n"/>
      <c r="J540" s="673" t="n"/>
      <c r="K540" s="677" t="n"/>
      <c r="L540" s="677" t="n"/>
      <c r="M540" s="67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73" t="n"/>
      <c r="C541" s="673" t="n"/>
      <c r="D541" s="673" t="n"/>
      <c r="E541" s="675" t="n"/>
      <c r="F541" s="675" t="n"/>
      <c r="G541" s="675" t="n"/>
      <c r="H541" s="673" t="n"/>
      <c r="I541" s="673" t="n"/>
      <c r="J541" s="673" t="n"/>
      <c r="K541" s="677" t="n"/>
      <c r="L541" s="677" t="n"/>
      <c r="M541" s="67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73" t="n"/>
      <c r="C542" s="673" t="n"/>
      <c r="D542" s="673" t="n"/>
      <c r="E542" s="675" t="n"/>
      <c r="F542" s="675" t="n"/>
      <c r="G542" s="675" t="n"/>
      <c r="H542" s="673" t="n"/>
      <c r="I542" s="673" t="n"/>
      <c r="J542" s="673" t="n"/>
      <c r="K542" s="677" t="n"/>
      <c r="L542" s="677" t="n"/>
      <c r="M542" s="67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73" t="n"/>
      <c r="C543" s="673" t="n"/>
      <c r="D543" s="673" t="n"/>
      <c r="E543" s="675" t="n"/>
      <c r="F543" s="675" t="n"/>
      <c r="G543" s="675" t="n"/>
      <c r="H543" s="673" t="n"/>
      <c r="I543" s="673" t="n"/>
      <c r="J543" s="673" t="n"/>
      <c r="K543" s="677" t="n"/>
      <c r="L543" s="677" t="n"/>
      <c r="M543" s="67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73" t="n"/>
      <c r="C544" s="673" t="n"/>
      <c r="D544" s="673" t="n"/>
      <c r="E544" s="675" t="n"/>
      <c r="F544" s="675" t="n"/>
      <c r="G544" s="675" t="n"/>
      <c r="H544" s="673" t="n"/>
      <c r="I544" s="673" t="n"/>
      <c r="J544" s="673" t="n"/>
      <c r="K544" s="677" t="n"/>
      <c r="L544" s="677" t="n"/>
      <c r="M544" s="67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73" t="n"/>
      <c r="C545" s="673" t="n"/>
      <c r="D545" s="673" t="n"/>
      <c r="E545" s="675" t="n"/>
      <c r="F545" s="675" t="n"/>
      <c r="G545" s="675" t="n"/>
      <c r="H545" s="673" t="n"/>
      <c r="I545" s="673" t="n"/>
      <c r="J545" s="673" t="n"/>
      <c r="K545" s="677" t="n"/>
      <c r="L545" s="677" t="n"/>
      <c r="M545" s="67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73" t="n"/>
      <c r="C546" s="673" t="n"/>
      <c r="D546" s="673" t="n"/>
      <c r="E546" s="675" t="n"/>
      <c r="F546" s="675" t="n"/>
      <c r="G546" s="675" t="n"/>
      <c r="H546" s="673" t="n"/>
      <c r="I546" s="673" t="n"/>
      <c r="J546" s="673" t="n"/>
      <c r="K546" s="677" t="n"/>
      <c r="L546" s="677" t="n"/>
      <c r="M546" s="67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73" t="n"/>
      <c r="C547" s="673" t="n"/>
      <c r="D547" s="673" t="n"/>
      <c r="E547" s="675" t="n"/>
      <c r="F547" s="675" t="n"/>
      <c r="G547" s="675" t="n"/>
      <c r="H547" s="673" t="n"/>
      <c r="I547" s="673" t="n"/>
      <c r="J547" s="673" t="n"/>
      <c r="K547" s="677" t="n"/>
      <c r="L547" s="677" t="n"/>
      <c r="M547" s="67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73" t="n"/>
      <c r="C548" s="673" t="n"/>
      <c r="D548" s="673" t="n"/>
      <c r="E548" s="675" t="n"/>
      <c r="F548" s="675" t="n"/>
      <c r="G548" s="675" t="n"/>
      <c r="H548" s="673" t="n"/>
      <c r="I548" s="673" t="n"/>
      <c r="J548" s="673" t="n"/>
      <c r="K548" s="677" t="n"/>
      <c r="L548" s="677" t="n"/>
      <c r="M548" s="67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73" t="n"/>
      <c r="C549" s="673" t="n"/>
      <c r="D549" s="673" t="n"/>
      <c r="E549" s="675" t="n"/>
      <c r="F549" s="675" t="n"/>
      <c r="G549" s="675" t="n"/>
      <c r="H549" s="673" t="n"/>
      <c r="I549" s="673" t="n"/>
      <c r="J549" s="673" t="n"/>
      <c r="K549" s="677" t="n"/>
      <c r="L549" s="677" t="n"/>
      <c r="M549" s="67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73" t="n"/>
      <c r="C550" s="673" t="n"/>
      <c r="D550" s="673" t="n"/>
      <c r="E550" s="675" t="n"/>
      <c r="F550" s="675" t="n"/>
      <c r="G550" s="675" t="n"/>
      <c r="H550" s="673" t="n"/>
      <c r="I550" s="673" t="n"/>
      <c r="J550" s="673" t="n"/>
      <c r="K550" s="677" t="n"/>
      <c r="L550" s="677" t="n"/>
      <c r="M550" s="67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73" t="n"/>
      <c r="C551" s="673" t="n"/>
      <c r="D551" s="673" t="n"/>
      <c r="E551" s="675" t="n"/>
      <c r="F551" s="675" t="n"/>
      <c r="G551" s="675" t="n"/>
      <c r="H551" s="673" t="n"/>
      <c r="I551" s="673" t="n"/>
      <c r="J551" s="673" t="n"/>
      <c r="K551" s="677" t="n"/>
      <c r="L551" s="677" t="n"/>
      <c r="M551" s="67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73" t="n"/>
      <c r="C552" s="673" t="n"/>
      <c r="D552" s="673" t="n"/>
      <c r="E552" s="675" t="n"/>
      <c r="F552" s="675" t="n"/>
      <c r="G552" s="675" t="n"/>
      <c r="H552" s="673" t="n"/>
      <c r="I552" s="673" t="n"/>
      <c r="J552" s="673" t="n"/>
      <c r="K552" s="677" t="n"/>
      <c r="L552" s="677" t="n"/>
      <c r="M552" s="67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73" t="n"/>
      <c r="C553" s="673" t="n"/>
      <c r="D553" s="673" t="n"/>
      <c r="E553" s="675" t="n"/>
      <c r="F553" s="675" t="n"/>
      <c r="G553" s="675" t="n"/>
      <c r="H553" s="673" t="n"/>
      <c r="I553" s="673" t="n"/>
      <c r="J553" s="673" t="n"/>
      <c r="K553" s="677" t="n"/>
      <c r="L553" s="677" t="n"/>
      <c r="M553" s="67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73" t="n"/>
      <c r="C554" s="673" t="n"/>
      <c r="D554" s="673" t="n"/>
      <c r="E554" s="675" t="n"/>
      <c r="F554" s="675" t="n"/>
      <c r="G554" s="675" t="n"/>
      <c r="H554" s="673" t="n"/>
      <c r="I554" s="673" t="n"/>
      <c r="J554" s="673" t="n"/>
      <c r="K554" s="677" t="n"/>
      <c r="L554" s="677" t="n"/>
      <c r="M554" s="67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73" t="n"/>
      <c r="C555" s="673" t="n"/>
      <c r="D555" s="673" t="n"/>
      <c r="E555" s="675" t="n"/>
      <c r="F555" s="675" t="n"/>
      <c r="G555" s="675" t="n"/>
      <c r="H555" s="673" t="n"/>
      <c r="I555" s="673" t="n"/>
      <c r="J555" s="673" t="n"/>
      <c r="K555" s="677" t="n"/>
      <c r="L555" s="677" t="n"/>
      <c r="M555" s="67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73" t="n"/>
      <c r="C556" s="673" t="n"/>
      <c r="D556" s="673" t="n"/>
      <c r="E556" s="675" t="n"/>
      <c r="F556" s="675" t="n"/>
      <c r="G556" s="675" t="n"/>
      <c r="H556" s="673" t="n"/>
      <c r="I556" s="673" t="n"/>
      <c r="J556" s="673" t="n"/>
      <c r="K556" s="677" t="n"/>
      <c r="L556" s="677" t="n"/>
      <c r="M556" s="67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73" t="n"/>
      <c r="C557" s="673" t="n"/>
      <c r="D557" s="673" t="n"/>
      <c r="E557" s="675" t="n"/>
      <c r="F557" s="675" t="n"/>
      <c r="G557" s="675" t="n"/>
      <c r="H557" s="673" t="n"/>
      <c r="I557" s="673" t="n"/>
      <c r="J557" s="673" t="n"/>
      <c r="K557" s="677" t="n"/>
      <c r="L557" s="677" t="n"/>
      <c r="M557" s="67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73" t="n"/>
      <c r="C558" s="673" t="n"/>
      <c r="D558" s="673" t="n"/>
      <c r="E558" s="675" t="n"/>
      <c r="F558" s="675" t="n"/>
      <c r="G558" s="675" t="n"/>
      <c r="H558" s="673" t="n"/>
      <c r="I558" s="673" t="n"/>
      <c r="J558" s="673" t="n"/>
      <c r="K558" s="677" t="n"/>
      <c r="L558" s="677" t="n"/>
      <c r="M558" s="67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73" t="n"/>
      <c r="C559" s="673" t="n"/>
      <c r="D559" s="673" t="n"/>
      <c r="E559" s="675" t="n"/>
      <c r="F559" s="675" t="n"/>
      <c r="G559" s="675" t="n"/>
      <c r="H559" s="673" t="n"/>
      <c r="I559" s="673" t="n"/>
      <c r="J559" s="673" t="n"/>
      <c r="K559" s="677" t="n"/>
      <c r="L559" s="677" t="n"/>
      <c r="M559" s="67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73" t="n"/>
      <c r="C560" s="673" t="n"/>
      <c r="D560" s="673" t="n"/>
      <c r="E560" s="675" t="n"/>
      <c r="F560" s="675" t="n"/>
      <c r="G560" s="675" t="n"/>
      <c r="H560" s="673" t="n"/>
      <c r="I560" s="673" t="n"/>
      <c r="J560" s="673" t="n"/>
      <c r="K560" s="677" t="n"/>
      <c r="L560" s="677" t="n"/>
      <c r="M560" s="67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73" t="n"/>
      <c r="C561" s="673" t="n"/>
      <c r="D561" s="673" t="n"/>
      <c r="E561" s="675" t="n"/>
      <c r="F561" s="675" t="n"/>
      <c r="G561" s="675" t="n"/>
      <c r="H561" s="673" t="n"/>
      <c r="I561" s="673" t="n"/>
      <c r="J561" s="673" t="n"/>
      <c r="K561" s="677" t="n"/>
      <c r="L561" s="677" t="n"/>
      <c r="M561" s="67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73" t="n"/>
      <c r="C562" s="673" t="n"/>
      <c r="D562" s="673" t="n"/>
      <c r="E562" s="675" t="n"/>
      <c r="F562" s="675" t="n"/>
      <c r="G562" s="675" t="n"/>
      <c r="H562" s="673" t="n"/>
      <c r="I562" s="673" t="n"/>
      <c r="J562" s="673" t="n"/>
      <c r="K562" s="677" t="n"/>
      <c r="L562" s="677" t="n"/>
      <c r="M562" s="67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73" t="n"/>
      <c r="C563" s="673" t="n"/>
      <c r="D563" s="673" t="n"/>
      <c r="E563" s="675" t="n"/>
      <c r="F563" s="675" t="n"/>
      <c r="G563" s="675" t="n"/>
      <c r="H563" s="673" t="n"/>
      <c r="I563" s="673" t="n"/>
      <c r="J563" s="673" t="n"/>
      <c r="K563" s="677" t="n"/>
      <c r="L563" s="677" t="n"/>
      <c r="M563" s="67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73" t="n"/>
      <c r="C564" s="673" t="n"/>
      <c r="D564" s="673" t="n"/>
      <c r="E564" s="675" t="n"/>
      <c r="F564" s="675" t="n"/>
      <c r="G564" s="675" t="n"/>
      <c r="H564" s="673" t="n"/>
      <c r="I564" s="673" t="n"/>
      <c r="J564" s="673" t="n"/>
      <c r="K564" s="677" t="n"/>
      <c r="L564" s="677" t="n"/>
      <c r="M564" s="67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73" t="n"/>
      <c r="C565" s="673" t="n"/>
      <c r="D565" s="673" t="n"/>
      <c r="E565" s="675" t="n"/>
      <c r="F565" s="675" t="n"/>
      <c r="G565" s="675" t="n"/>
      <c r="H565" s="673" t="n"/>
      <c r="I565" s="673" t="n"/>
      <c r="J565" s="673" t="n"/>
      <c r="K565" s="677" t="n"/>
      <c r="L565" s="677" t="n"/>
      <c r="M565" s="67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73" t="n"/>
      <c r="C566" s="673" t="n"/>
      <c r="D566" s="673" t="n"/>
      <c r="E566" s="675" t="n"/>
      <c r="F566" s="675" t="n"/>
      <c r="G566" s="675" t="n"/>
      <c r="H566" s="673" t="n"/>
      <c r="I566" s="673" t="n"/>
      <c r="J566" s="673" t="n"/>
      <c r="K566" s="677" t="n"/>
      <c r="L566" s="677" t="n"/>
      <c r="M566" s="67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73" t="n"/>
      <c r="C567" s="673" t="n"/>
      <c r="D567" s="673" t="n"/>
      <c r="E567" s="675" t="n"/>
      <c r="F567" s="675" t="n"/>
      <c r="G567" s="675" t="n"/>
      <c r="H567" s="673" t="n"/>
      <c r="I567" s="673" t="n"/>
      <c r="J567" s="673" t="n"/>
      <c r="K567" s="677" t="n"/>
      <c r="L567" s="677" t="n"/>
      <c r="M567" s="67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73" t="n"/>
      <c r="C568" s="673" t="n"/>
      <c r="D568" s="673" t="n"/>
      <c r="E568" s="675" t="n"/>
      <c r="F568" s="675" t="n"/>
      <c r="G568" s="675" t="n"/>
      <c r="H568" s="673" t="n"/>
      <c r="I568" s="673" t="n"/>
      <c r="J568" s="673" t="n"/>
      <c r="K568" s="677" t="n"/>
      <c r="L568" s="677" t="n"/>
      <c r="M568" s="67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20" t="inlineStr">
        <is>
          <t>Code</t>
        </is>
      </c>
      <c r="B1" s="420" t="inlineStr">
        <is>
          <t>Description</t>
        </is>
      </c>
      <c r="C1" s="420" t="inlineStr">
        <is>
          <t>Planned</t>
        </is>
      </c>
      <c r="D1" s="420" t="inlineStr">
        <is>
          <t>Require</t>
        </is>
      </c>
      <c r="E1" s="420" t="inlineStr">
        <is>
          <t>Produced</t>
        </is>
      </c>
      <c r="F1" s="420" t="inlineStr">
        <is>
          <t>Diff</t>
        </is>
      </c>
      <c r="G1" s="420" t="inlineStr">
        <is>
          <t>Net WT</t>
        </is>
      </c>
      <c r="H1" s="420" t="inlineStr">
        <is>
          <t>Gross WT</t>
        </is>
      </c>
      <c r="I1" s="420" t="inlineStr">
        <is>
          <t>% Tare</t>
        </is>
      </c>
      <c r="J1" s="420" t="inlineStr">
        <is>
          <t>Under</t>
        </is>
      </c>
      <c r="K1" s="420" t="inlineStr">
        <is>
          <t>Over</t>
        </is>
      </c>
      <c r="L1" s="420" t="inlineStr">
        <is>
          <t>At Time</t>
        </is>
      </c>
    </row>
    <row r="2">
      <c r="G2" s="167" t="n"/>
      <c r="H2" s="167" t="n"/>
      <c r="L2" s="421" t="n"/>
    </row>
    <row r="3">
      <c r="G3" s="167" t="n"/>
      <c r="H3" s="167" t="n"/>
      <c r="L3" s="421" t="n"/>
    </row>
    <row r="4">
      <c r="G4" s="167" t="n"/>
      <c r="H4" s="167" t="n"/>
      <c r="L4" s="421" t="n"/>
    </row>
    <row r="5">
      <c r="G5" s="167" t="n"/>
      <c r="H5" s="167" t="n"/>
      <c r="L5" s="421" t="n"/>
    </row>
    <row r="6">
      <c r="G6" s="167" t="n"/>
      <c r="H6" s="167" t="n"/>
      <c r="L6" s="421" t="n"/>
    </row>
    <row r="7">
      <c r="G7" s="167" t="n"/>
      <c r="H7" s="167" t="n"/>
      <c r="L7" s="421" t="n"/>
    </row>
    <row r="8">
      <c r="G8" s="167" t="n"/>
      <c r="H8" s="167" t="n"/>
      <c r="L8" s="421" t="n"/>
    </row>
    <row r="9">
      <c r="G9" s="167" t="n"/>
      <c r="H9" s="167" t="n"/>
      <c r="L9" s="421" t="n"/>
      <c r="N9" s="167" t="n"/>
    </row>
    <row r="10">
      <c r="G10" s="167" t="n"/>
      <c r="H10" s="167" t="n"/>
      <c r="L10" s="421" t="n"/>
    </row>
    <row r="11">
      <c r="G11" s="167" t="n"/>
      <c r="H11" s="167" t="n"/>
      <c r="L11" s="421" t="n"/>
    </row>
    <row r="12">
      <c r="G12" s="167" t="n"/>
      <c r="H12" s="167" t="n"/>
      <c r="L12" s="421" t="n"/>
    </row>
    <row r="13">
      <c r="G13" s="167" t="n"/>
      <c r="H13" s="167" t="n"/>
      <c r="L13" s="421" t="n"/>
    </row>
    <row r="14">
      <c r="G14" s="167" t="n"/>
      <c r="H14" s="167" t="n"/>
      <c r="L14" s="421" t="n"/>
    </row>
    <row r="15">
      <c r="G15" s="167" t="n"/>
      <c r="H15" s="167" t="n"/>
      <c r="L15" s="421" t="n"/>
    </row>
    <row r="16">
      <c r="G16" s="167" t="n"/>
      <c r="H16" s="167" t="n"/>
      <c r="L16" s="421" t="n"/>
    </row>
    <row r="17">
      <c r="G17" s="167" t="n"/>
      <c r="H17" s="167" t="n"/>
      <c r="L17" s="421" t="n"/>
    </row>
    <row r="18">
      <c r="G18" s="167" t="n"/>
      <c r="H18" s="167" t="n"/>
      <c r="L18" s="421" t="n"/>
    </row>
    <row r="19">
      <c r="G19" s="167" t="n"/>
      <c r="H19" s="167" t="n"/>
      <c r="L19" s="421" t="n"/>
    </row>
    <row r="20">
      <c r="G20" s="167" t="n"/>
      <c r="H20" s="167" t="n"/>
      <c r="L20" s="421" t="n"/>
    </row>
    <row r="21">
      <c r="G21" s="167" t="n"/>
      <c r="H21" s="167" t="n"/>
      <c r="L21" s="421" t="n"/>
    </row>
    <row r="22">
      <c r="G22" s="167" t="n"/>
      <c r="H22" s="167" t="n"/>
      <c r="L22" s="421" t="n"/>
    </row>
    <row r="23">
      <c r="G23" s="167" t="n"/>
      <c r="H23" s="167" t="n"/>
      <c r="L23" s="421" t="n"/>
    </row>
    <row r="24">
      <c r="G24" s="167" t="n"/>
      <c r="H24" s="167" t="n"/>
      <c r="L24" s="421" t="n"/>
    </row>
    <row r="25">
      <c r="G25" s="167" t="n"/>
      <c r="H25" s="167" t="n"/>
      <c r="L25" s="421" t="n"/>
    </row>
    <row r="26">
      <c r="G26" s="167" t="n"/>
      <c r="H26" s="167" t="n"/>
      <c r="L26" s="421" t="n"/>
    </row>
    <row r="27">
      <c r="G27" s="167" t="n"/>
      <c r="H27" s="167" t="n"/>
      <c r="L27" s="421" t="n"/>
    </row>
    <row r="28">
      <c r="G28" s="167" t="n"/>
      <c r="H28" s="167" t="n"/>
      <c r="L28" s="421" t="n"/>
    </row>
    <row r="29">
      <c r="G29" s="167" t="n"/>
      <c r="H29" s="167" t="n"/>
      <c r="L29" s="421" t="n"/>
    </row>
    <row r="30">
      <c r="G30" s="167" t="n"/>
      <c r="H30" s="167" t="n"/>
      <c r="L30" s="421" t="n"/>
    </row>
    <row r="31">
      <c r="G31" s="167" t="n"/>
      <c r="H31" s="167" t="n"/>
      <c r="L31" s="421" t="n"/>
    </row>
    <row r="32">
      <c r="G32" s="167" t="n"/>
      <c r="H32" s="167" t="n"/>
      <c r="L32" s="421" t="n"/>
    </row>
    <row r="33">
      <c r="G33" s="167" t="n"/>
      <c r="H33" s="167" t="n"/>
      <c r="L33" s="421" t="n"/>
    </row>
    <row r="34">
      <c r="G34" s="167" t="n"/>
      <c r="H34" s="167" t="n"/>
      <c r="L34" s="421" t="n"/>
    </row>
    <row r="35">
      <c r="G35" s="167" t="n"/>
      <c r="H35" s="167" t="n"/>
      <c r="L35" s="421" t="n"/>
    </row>
    <row r="36">
      <c r="G36" s="167" t="n"/>
      <c r="H36" s="167" t="n"/>
      <c r="L36" s="421" t="n"/>
    </row>
    <row r="37">
      <c r="G37" s="167" t="n"/>
      <c r="H37" s="167" t="n"/>
      <c r="L37" s="421" t="n"/>
    </row>
    <row r="38">
      <c r="G38" s="167" t="n"/>
      <c r="H38" s="167" t="n"/>
      <c r="L38" s="421" t="n"/>
    </row>
    <row r="39">
      <c r="G39" s="167" t="n"/>
      <c r="H39" s="167" t="n"/>
      <c r="L39" s="421" t="n"/>
    </row>
    <row r="40">
      <c r="G40" s="167" t="n"/>
      <c r="H40" s="167" t="n"/>
      <c r="L40" s="421" t="n"/>
    </row>
    <row r="41">
      <c r="G41" s="167" t="n"/>
      <c r="H41" s="167" t="n"/>
      <c r="L41" s="421" t="n"/>
    </row>
    <row r="42">
      <c r="G42" s="167" t="n"/>
      <c r="H42" s="167" t="n"/>
      <c r="L42" s="421" t="n"/>
    </row>
    <row r="43">
      <c r="G43" s="167" t="n"/>
      <c r="H43" s="167" t="n"/>
      <c r="L43" s="421" t="n"/>
    </row>
    <row r="44">
      <c r="G44" s="167" t="n"/>
      <c r="H44" s="167" t="n"/>
      <c r="L44" s="421" t="n"/>
    </row>
    <row r="45">
      <c r="G45" s="167" t="n"/>
      <c r="H45" s="167" t="n"/>
      <c r="L45" s="421" t="n"/>
    </row>
    <row r="46">
      <c r="G46" s="167" t="n"/>
      <c r="H46" s="167" t="n"/>
      <c r="L46" s="421" t="n"/>
    </row>
    <row r="47">
      <c r="G47" s="167" t="n"/>
      <c r="H47" s="167" t="n"/>
      <c r="L47" s="421" t="n"/>
    </row>
    <row r="48">
      <c r="G48" s="167" t="n"/>
      <c r="H48" s="167" t="n"/>
      <c r="L48" s="421" t="n"/>
    </row>
    <row r="49">
      <c r="G49" s="167" t="n"/>
      <c r="H49" s="167" t="n"/>
      <c r="L49" s="421" t="n"/>
    </row>
    <row r="50">
      <c r="G50" s="167" t="n"/>
      <c r="H50" s="167" t="n"/>
      <c r="L50" s="421" t="n"/>
    </row>
    <row r="51">
      <c r="G51" s="167" t="n"/>
      <c r="H51" s="167" t="n"/>
      <c r="L51" s="421" t="n"/>
    </row>
    <row r="52">
      <c r="G52" s="167" t="n"/>
      <c r="H52" s="167" t="n"/>
      <c r="L52" s="421" t="n"/>
    </row>
    <row r="53">
      <c r="G53" s="167" t="n"/>
      <c r="H53" s="167" t="n"/>
      <c r="L53" s="421" t="n"/>
    </row>
    <row r="54">
      <c r="G54" s="167" t="n"/>
      <c r="H54" s="167" t="n"/>
      <c r="L54" s="421" t="n"/>
    </row>
    <row r="55">
      <c r="G55" s="167" t="n"/>
      <c r="H55" s="167" t="n"/>
      <c r="L55" s="421" t="n"/>
    </row>
    <row r="56">
      <c r="G56" s="167" t="n"/>
      <c r="H56" s="167" t="n"/>
      <c r="L56" s="421" t="n"/>
    </row>
    <row r="57">
      <c r="G57" s="167" t="n"/>
      <c r="H57" s="167" t="n"/>
      <c r="L57" s="421" t="n"/>
    </row>
    <row r="58">
      <c r="G58" s="167" t="n"/>
      <c r="H58" s="167" t="n"/>
      <c r="L58" s="421" t="n"/>
    </row>
    <row r="59">
      <c r="G59" s="167" t="n"/>
      <c r="H59" s="167" t="n"/>
      <c r="L59" s="421" t="n"/>
    </row>
    <row r="60">
      <c r="G60" s="167" t="n"/>
      <c r="H60" s="167" t="n"/>
      <c r="L60" s="421" t="n"/>
    </row>
    <row r="61">
      <c r="G61" s="167" t="n"/>
      <c r="H61" s="167" t="n"/>
      <c r="L61" s="421" t="n"/>
    </row>
    <row r="62">
      <c r="G62" s="167" t="n"/>
      <c r="H62" s="167" t="n"/>
      <c r="L62" s="421" t="n"/>
    </row>
    <row r="63">
      <c r="G63" s="167" t="n"/>
      <c r="H63" s="167" t="n"/>
      <c r="L63" s="421" t="n"/>
    </row>
    <row r="64">
      <c r="G64" s="167" t="n"/>
      <c r="H64" s="167" t="n"/>
      <c r="L64" s="421" t="n"/>
    </row>
    <row r="65">
      <c r="G65" s="167" t="n"/>
      <c r="H65" s="167" t="n"/>
      <c r="L65" s="421" t="n"/>
    </row>
    <row r="66">
      <c r="G66" s="167" t="n"/>
      <c r="H66" s="167" t="n"/>
      <c r="L66" s="421" t="n"/>
    </row>
    <row r="67">
      <c r="G67" s="167" t="n"/>
      <c r="H67" s="167" t="n"/>
      <c r="L67" s="421" t="n"/>
    </row>
    <row r="68">
      <c r="G68" s="167" t="n"/>
      <c r="H68" s="167" t="n"/>
      <c r="L68" s="421" t="n"/>
    </row>
    <row r="69">
      <c r="G69" s="167" t="n"/>
      <c r="H69" s="167" t="n"/>
      <c r="L69" s="421" t="n"/>
    </row>
    <row r="70">
      <c r="G70" s="167" t="n"/>
      <c r="H70" s="167" t="n"/>
      <c r="L70" s="421" t="n"/>
    </row>
    <row r="71">
      <c r="G71" s="167" t="n"/>
      <c r="H71" s="167" t="n"/>
      <c r="L71" s="421" t="n"/>
    </row>
    <row r="72">
      <c r="G72" s="167" t="n"/>
      <c r="H72" s="167" t="n"/>
      <c r="L72" s="421" t="n"/>
    </row>
    <row r="73">
      <c r="G73" s="167" t="n"/>
      <c r="H73" s="167" t="n"/>
      <c r="L73" s="421" t="n"/>
    </row>
    <row r="74">
      <c r="G74" s="167" t="n"/>
      <c r="H74" s="167" t="n"/>
      <c r="L74" s="421" t="n"/>
    </row>
    <row r="75">
      <c r="G75" s="167" t="n"/>
      <c r="H75" s="167" t="n"/>
      <c r="L75" s="421" t="n"/>
    </row>
    <row r="76">
      <c r="G76" s="167" t="n"/>
      <c r="H76" s="167" t="n"/>
      <c r="L76" s="421" t="n"/>
    </row>
    <row r="77">
      <c r="G77" s="167" t="n"/>
      <c r="H77" s="167" t="n"/>
      <c r="L77" s="421" t="n"/>
    </row>
    <row r="78">
      <c r="G78" s="167" t="n"/>
      <c r="H78" s="167" t="n"/>
      <c r="L78" s="421" t="n"/>
    </row>
    <row r="79">
      <c r="G79" s="167" t="n"/>
      <c r="H79" s="167" t="n"/>
      <c r="L79" s="421" t="n"/>
    </row>
    <row r="80">
      <c r="G80" s="167" t="n"/>
      <c r="H80" s="167" t="n"/>
      <c r="L80" s="421" t="n"/>
    </row>
    <row r="81">
      <c r="G81" s="167" t="n"/>
      <c r="H81" s="167" t="n"/>
      <c r="L81" s="421" t="n"/>
    </row>
    <row r="82">
      <c r="G82" s="167" t="n"/>
      <c r="H82" s="167" t="n"/>
      <c r="L82" s="421" t="n"/>
    </row>
    <row r="83">
      <c r="G83" s="167" t="n"/>
      <c r="H83" s="167" t="n"/>
      <c r="L83" s="421" t="n"/>
    </row>
    <row r="84">
      <c r="G84" s="167" t="n"/>
      <c r="H84" s="167" t="n"/>
      <c r="L84" s="421" t="n"/>
    </row>
    <row r="85">
      <c r="G85" s="167" t="n"/>
      <c r="H85" s="167" t="n"/>
      <c r="L85" s="421" t="n"/>
    </row>
    <row r="86">
      <c r="G86" s="167" t="n"/>
      <c r="H86" s="167" t="n"/>
      <c r="L86" s="421" t="n"/>
    </row>
    <row r="87">
      <c r="G87" s="167" t="n"/>
      <c r="H87" s="167" t="n"/>
      <c r="L87" s="421" t="n"/>
    </row>
    <row r="88">
      <c r="G88" s="167" t="n"/>
      <c r="H88" s="167" t="n"/>
      <c r="L88" s="421" t="n"/>
    </row>
    <row r="89">
      <c r="G89" s="167" t="n"/>
      <c r="H89" s="167" t="n"/>
      <c r="L89" s="421" t="n"/>
    </row>
    <row r="90">
      <c r="G90" s="167" t="n"/>
      <c r="H90" s="167" t="n"/>
      <c r="L90" s="421" t="n"/>
    </row>
    <row r="91">
      <c r="G91" s="167" t="n"/>
      <c r="H91" s="167" t="n"/>
      <c r="L91" s="421" t="n"/>
    </row>
    <row r="92">
      <c r="G92" s="167" t="n"/>
      <c r="H92" s="167" t="n"/>
      <c r="L92" s="421" t="n"/>
    </row>
    <row r="93">
      <c r="G93" s="167" t="n"/>
      <c r="H93" s="167" t="n"/>
      <c r="L93" s="421" t="n"/>
    </row>
    <row r="94">
      <c r="G94" s="167" t="n"/>
      <c r="H94" s="167" t="n"/>
      <c r="L94" s="421" t="n"/>
    </row>
    <row r="95">
      <c r="G95" s="167" t="n"/>
      <c r="H95" s="167" t="n"/>
      <c r="L95" s="421" t="n"/>
    </row>
    <row r="96">
      <c r="G96" s="167" t="n"/>
      <c r="H96" s="167" t="n"/>
      <c r="L96" s="421" t="n"/>
    </row>
    <row r="97">
      <c r="G97" s="167" t="n"/>
      <c r="H97" s="167" t="n"/>
      <c r="L97" s="421" t="n"/>
    </row>
    <row r="98">
      <c r="G98" s="167" t="n"/>
      <c r="H98" s="167" t="n"/>
      <c r="L98" s="421" t="n"/>
    </row>
    <row r="99">
      <c r="G99" s="167" t="n"/>
      <c r="H99" s="167" t="n"/>
      <c r="L99" s="421" t="n"/>
    </row>
    <row r="100">
      <c r="G100" s="167" t="n"/>
      <c r="H100" s="167" t="n"/>
      <c r="L100" s="421" t="n"/>
    </row>
    <row r="101">
      <c r="G101" s="167" t="n"/>
      <c r="H101" s="167" t="n"/>
      <c r="L101" s="421" t="n"/>
    </row>
    <row r="102">
      <c r="G102" s="167" t="n"/>
      <c r="H102" s="167" t="n"/>
      <c r="L102" s="421" t="n"/>
    </row>
    <row r="103">
      <c r="G103" s="167" t="n"/>
      <c r="H103" s="167" t="n"/>
      <c r="L103" s="421" t="n"/>
    </row>
    <row r="104">
      <c r="G104" s="167" t="n"/>
      <c r="H104" s="167" t="n"/>
      <c r="L104" s="421" t="n"/>
    </row>
    <row r="105">
      <c r="G105" s="167" t="n"/>
      <c r="H105" s="167" t="n"/>
      <c r="L105" s="421" t="n"/>
    </row>
    <row r="106">
      <c r="G106" s="167" t="n"/>
      <c r="H106" s="167" t="n"/>
      <c r="L106" s="421" t="n"/>
    </row>
    <row r="107">
      <c r="G107" s="167" t="n"/>
      <c r="H107" s="167" t="n"/>
      <c r="L107" s="421" t="n"/>
    </row>
    <row r="108">
      <c r="G108" s="167" t="n"/>
      <c r="H108" s="167" t="n"/>
      <c r="L108" s="42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22" t="inlineStr">
        <is>
          <t>Tray Pack and Bagging Production Weekly Focus</t>
        </is>
      </c>
      <c r="F1" s="423" t="n"/>
      <c r="G1" s="423" t="n"/>
      <c r="H1" s="423" t="n"/>
      <c r="I1" s="423" t="n"/>
      <c r="J1" s="423" t="n"/>
      <c r="K1" s="423" t="n"/>
      <c r="L1" s="423" t="n"/>
      <c r="M1" s="423" t="n"/>
      <c r="N1" s="423" t="n"/>
      <c r="O1" s="423" t="n"/>
      <c r="P1" s="423" t="n"/>
    </row>
    <row r="3" ht="31" customHeight="1">
      <c r="C3" s="50" t="n"/>
      <c r="D3" s="50" t="n"/>
      <c r="E3" s="424">
        <f>"Week "&amp;WEEKNUM(F3)</f>
        <v/>
      </c>
      <c r="F3" s="425">
        <f>TODAY()</f>
        <v/>
      </c>
      <c r="G3" s="426" t="inlineStr">
        <is>
          <t>Monday</t>
        </is>
      </c>
      <c r="H3" s="426" t="inlineStr">
        <is>
          <t>Tuesday</t>
        </is>
      </c>
      <c r="I3" s="426" t="inlineStr">
        <is>
          <t>Wednesday</t>
        </is>
      </c>
      <c r="J3" s="426" t="inlineStr">
        <is>
          <t>Thursday</t>
        </is>
      </c>
      <c r="K3" s="426" t="inlineStr">
        <is>
          <t>Friday</t>
        </is>
      </c>
      <c r="L3" s="426" t="inlineStr">
        <is>
          <t>Saturday</t>
        </is>
      </c>
      <c r="M3" s="427" t="inlineStr">
        <is>
          <t>Sunday</t>
        </is>
      </c>
      <c r="N3" s="428" t="n"/>
      <c r="O3" s="429" t="inlineStr">
        <is>
          <t>AVG</t>
        </is>
      </c>
      <c r="P3" s="430" t="inlineStr">
        <is>
          <t>Total</t>
        </is>
      </c>
      <c r="R3" s="431" t="inlineStr">
        <is>
          <t>Ahead next week</t>
        </is>
      </c>
    </row>
    <row r="4" ht="15.5" customHeight="1">
      <c r="C4" s="50" t="n"/>
      <c r="D4" s="50" t="n"/>
      <c r="E4" s="432" t="inlineStr">
        <is>
          <t>Cases Reqeust</t>
        </is>
      </c>
      <c r="F4" s="395" t="n"/>
      <c r="G4" s="433">
        <f>'15_5Day_Forecast'!Y2</f>
        <v/>
      </c>
      <c r="H4" s="433">
        <f>'15_5Day_Forecast'!Z2</f>
        <v/>
      </c>
      <c r="I4" s="433">
        <f>'15_5Day_Forecast'!AA2</f>
        <v/>
      </c>
      <c r="J4" s="433">
        <f>'15_5Day_Forecast'!AB2</f>
        <v/>
      </c>
      <c r="K4" s="433">
        <f>'15_5Day_Forecast'!AC2</f>
        <v/>
      </c>
      <c r="L4" s="433">
        <f>'15_5Day_Forecast'!AD2</f>
        <v/>
      </c>
      <c r="M4" s="434">
        <f>'15_5Day_Forecast'!AE2</f>
        <v/>
      </c>
      <c r="O4" s="435">
        <f>SUM(G4:M4)/$C$5</f>
        <v/>
      </c>
      <c r="P4" s="436">
        <f>SUM(G4:M4)</f>
        <v/>
      </c>
      <c r="R4" s="437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38" t="inlineStr">
        <is>
          <t>Day left for the week</t>
        </is>
      </c>
      <c r="C5" s="439" t="n">
        <v>2</v>
      </c>
      <c r="D5" s="50" t="n"/>
      <c r="E5" s="440" t="inlineStr">
        <is>
          <t>Fast Product Hrs Request</t>
        </is>
      </c>
      <c r="F5" s="395" t="n"/>
      <c r="G5" s="441">
        <f>SUMIF('15_5Day_Forecast'!$L$4:$L$274,"fast",'15_5Day_Forecast'!$N$4:$N$274)</f>
        <v/>
      </c>
      <c r="H5" s="441">
        <f>SUMIF('15_5Day_Forecast'!$L$4:$L$274,"fast",'15_5Day_Forecast'!$O$4:$O$274)</f>
        <v/>
      </c>
      <c r="I5" s="441">
        <f>SUMIF('15_5Day_Forecast'!$L$4:$L$274,"fast",'15_5Day_Forecast'!$P$4:$P$274)</f>
        <v/>
      </c>
      <c r="J5" s="441">
        <f>SUMIF('15_5Day_Forecast'!$L$4:$L$274,"fast",'15_5Day_Forecast'!$Q$4:$Q$274)</f>
        <v/>
      </c>
      <c r="K5" s="441">
        <f>SUMIF('15_5Day_Forecast'!$L$4:$L$274,"fast",'15_5Day_Forecast'!$R$4:$R$274)</f>
        <v/>
      </c>
      <c r="L5" s="441">
        <f>SUMIF('15_5Day_Forecast'!$L$4:$L$274,"fast",'15_5Day_Forecast'!$S$4:$S$274)</f>
        <v/>
      </c>
      <c r="M5" s="442">
        <f>SUMIF('15_5Day_Forecast'!$L$4:$L$274,"fast",'15_5Day_Forecast'!$T$4:$T$274)</f>
        <v/>
      </c>
      <c r="O5" s="443">
        <f>SUM(G5:M5)/$C$5</f>
        <v/>
      </c>
      <c r="P5" s="444">
        <f>SUM(G5:M5)</f>
        <v/>
      </c>
      <c r="R5" s="445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46" t="inlineStr">
        <is>
          <t>Work Hours</t>
        </is>
      </c>
      <c r="C6" s="447" t="n">
        <v>8</v>
      </c>
      <c r="D6" s="50" t="n"/>
      <c r="E6" s="448" t="inlineStr">
        <is>
          <t>Line Request</t>
        </is>
      </c>
      <c r="F6" s="395" t="n"/>
      <c r="G6" s="449">
        <f>G5/C22/C6</f>
        <v/>
      </c>
      <c r="H6" s="449">
        <f>H5/C22/C6</f>
        <v/>
      </c>
      <c r="I6" s="449">
        <f>I5/C22/C6</f>
        <v/>
      </c>
      <c r="J6" s="449">
        <f>J5/C22/C6</f>
        <v/>
      </c>
      <c r="K6" s="449">
        <f>K5/C22/C6</f>
        <v/>
      </c>
      <c r="L6" s="449">
        <f>L5/C22/C6</f>
        <v/>
      </c>
      <c r="M6" s="450">
        <f>M5/C22/C6</f>
        <v/>
      </c>
      <c r="O6" s="451">
        <f>SUM(G6:M6)/$C$5</f>
        <v/>
      </c>
      <c r="P6" s="436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46" t="n"/>
      <c r="C7" s="452" t="n"/>
      <c r="D7" s="44" t="n"/>
      <c r="E7" s="453" t="inlineStr">
        <is>
          <t>% of the Fast Hours</t>
        </is>
      </c>
      <c r="F7" s="395" t="n"/>
      <c r="G7" s="454">
        <f>IFERROR(G5/'15_5Day_Forecast'!N2,"")</f>
        <v/>
      </c>
      <c r="H7" s="454">
        <f>IFERROR(H5/'15_5Day_Forecast'!O2,"")</f>
        <v/>
      </c>
      <c r="I7" s="454">
        <f>IFERROR(I5/'15_5Day_Forecast'!P2,"")</f>
        <v/>
      </c>
      <c r="J7" s="454">
        <f>IFERROR(J5/'15_5Day_Forecast'!Q2,"")</f>
        <v/>
      </c>
      <c r="K7" s="454">
        <f>IFERROR(K5/'15_5Day_Forecast'!R2,"")</f>
        <v/>
      </c>
      <c r="L7" s="454">
        <f>IFERROR(L5/'15_5Day_Forecast'!S2,"")</f>
        <v/>
      </c>
      <c r="M7" s="454">
        <f>IFERROR(M5/'15_5Day_Forecast'!T2,"")</f>
        <v/>
      </c>
      <c r="O7" s="451" t="n"/>
      <c r="P7" s="455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46" t="inlineStr">
        <is>
          <t>Total Man hours request</t>
        </is>
      </c>
      <c r="C8" s="456">
        <f>SUM('15_5Day_Forecast'!N2:T2)</f>
        <v/>
      </c>
      <c r="D8" s="50" t="n"/>
      <c r="E8" s="457" t="inlineStr">
        <is>
          <t>Normal Product Hrs Request</t>
        </is>
      </c>
      <c r="F8" s="395" t="n"/>
      <c r="G8" s="458">
        <f>SUMIF('15_5Day_Forecast'!$L$4:$L$274,"Normal",'15_5Day_Forecast'!$N$4:$N$274)</f>
        <v/>
      </c>
      <c r="H8" s="458">
        <f>SUMIF('15_5Day_Forecast'!$L$4:$L$274,"Normal",'15_5Day_Forecast'!$O$4:$O$274)</f>
        <v/>
      </c>
      <c r="I8" s="458">
        <f>SUMIF('15_5Day_Forecast'!$L$4:$L$274,"Normal",'15_5Day_Forecast'!$P$4:$P$274)</f>
        <v/>
      </c>
      <c r="J8" s="458">
        <f>SUMIF('15_5Day_Forecast'!$L$4:$L$274,"Normal",'15_5Day_Forecast'!$Q$4:$Q$274)</f>
        <v/>
      </c>
      <c r="K8" s="458">
        <f>SUMIF('15_5Day_Forecast'!$L$4:$L$274,"Normal",'15_5Day_Forecast'!$R$4:$R$274)</f>
        <v/>
      </c>
      <c r="L8" s="458">
        <f>SUMIF('15_5Day_Forecast'!$L$4:$L$274,"Normal",'15_5Day_Forecast'!$S$4:$S$274)</f>
        <v/>
      </c>
      <c r="M8" s="459">
        <f>SUMIF('15_5Day_Forecast'!$L$4:$L$274,"Normal",'15_5Day_Forecast'!$T$4:$T$274)</f>
        <v/>
      </c>
      <c r="O8" s="443">
        <f>SUM(G8:M8)/C5</f>
        <v/>
      </c>
      <c r="P8" s="444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60" t="inlineStr">
        <is>
          <t>LABOUR EFFICIENCY</t>
        </is>
      </c>
      <c r="C9" s="461" t="n">
        <v>1</v>
      </c>
      <c r="D9" s="44" t="n"/>
      <c r="E9" s="462" t="inlineStr">
        <is>
          <t>Line Request</t>
        </is>
      </c>
      <c r="F9" s="395" t="n"/>
      <c r="G9" s="463">
        <f>G8/C6/C23</f>
        <v/>
      </c>
      <c r="H9" s="463">
        <f>H8/C6/C23</f>
        <v/>
      </c>
      <c r="I9" s="463">
        <f>I8/C6/C23</f>
        <v/>
      </c>
      <c r="J9" s="463">
        <f>J8/C6/C23</f>
        <v/>
      </c>
      <c r="K9" s="463">
        <f>K8/C6/C23</f>
        <v/>
      </c>
      <c r="L9" s="463">
        <f>L8/C6/C23</f>
        <v/>
      </c>
      <c r="M9" s="464">
        <f>M8/C6/C23</f>
        <v/>
      </c>
      <c r="O9" s="451">
        <f>SUM(G9:M9)/C5</f>
        <v/>
      </c>
      <c r="P9" s="436">
        <f>SUM(G9:M9)</f>
        <v/>
      </c>
      <c r="T9" s="15" t="inlineStr">
        <is>
          <t>Bagging Industry</t>
        </is>
      </c>
      <c r="U9" s="15" t="n">
        <v>1000</v>
      </c>
    </row>
    <row r="10">
      <c r="B10" s="446" t="n"/>
      <c r="C10" s="447" t="n"/>
      <c r="D10" s="50" t="n"/>
      <c r="E10" s="465" t="inlineStr">
        <is>
          <t>% of the Normal Hours</t>
        </is>
      </c>
      <c r="F10" s="395" t="n"/>
      <c r="G10" s="466">
        <f>IFERROR(G8/'15_5Day_Forecast'!N2,"")</f>
        <v/>
      </c>
      <c r="H10" s="466">
        <f>IFERROR(H8/'15_5Day_Forecast'!O2,"")</f>
        <v/>
      </c>
      <c r="I10" s="466">
        <f>IFERROR(I8/'15_5Day_Forecast'!P2,"")</f>
        <v/>
      </c>
      <c r="J10" s="466">
        <f>IFERROR(J8/'15_5Day_Forecast'!Q2,"")</f>
        <v/>
      </c>
      <c r="K10" s="466">
        <f>IFERROR(K8/'15_5Day_Forecast'!R2,"")</f>
        <v/>
      </c>
      <c r="L10" s="466">
        <f>IFERROR(L8/'15_5Day_Forecast'!S2,"")</f>
        <v/>
      </c>
      <c r="M10" s="466">
        <f>IFERROR(M8/'15_5Day_Forecast'!T2,"")</f>
        <v/>
      </c>
      <c r="O10" s="451" t="n"/>
      <c r="P10" s="455">
        <f>IFERROR(P8/'15_5Day_Forecast'!U2,"")</f>
        <v/>
      </c>
    </row>
    <row r="11">
      <c r="B11" s="446" t="n"/>
      <c r="C11" s="452" t="n"/>
      <c r="D11" s="44" t="n"/>
      <c r="E11" s="467" t="inlineStr">
        <is>
          <t>Slow Product Hrs Request</t>
        </is>
      </c>
      <c r="F11" s="395" t="n"/>
      <c r="G11" s="468">
        <f>SUMIF('15_5Day_Forecast'!$L$4:$L$274,"slow",'15_5Day_Forecast'!$N$4:$N$274)</f>
        <v/>
      </c>
      <c r="H11" s="468">
        <f>SUMIF('15_5Day_Forecast'!$L$4:$L$274,"slow",'15_5Day_Forecast'!$O$4:$O$274)</f>
        <v/>
      </c>
      <c r="I11" s="468">
        <f>SUMIF('15_5Day_Forecast'!$L$4:$L$274,"slow",'15_5Day_Forecast'!$P$4:$P$274)</f>
        <v/>
      </c>
      <c r="J11" s="468">
        <f>SUMIF('15_5Day_Forecast'!$L$4:$L$274,"slow",'15_5Day_Forecast'!$Q$4:$Q$274)</f>
        <v/>
      </c>
      <c r="K11" s="468">
        <f>SUMIF('15_5Day_Forecast'!$L$4:$L$274,"slow",'15_5Day_Forecast'!$R$4:$R$274)</f>
        <v/>
      </c>
      <c r="L11" s="468">
        <f>SUMIF('15_5Day_Forecast'!$L$4:$L$274,"slow",'15_5Day_Forecast'!$S$4:$S$274)</f>
        <v/>
      </c>
      <c r="M11" s="469">
        <f>SUMIF('15_5Day_Forecast'!$L$4:$L$274,"slow",'15_5Day_Forecast'!$T$4:$T$274)</f>
        <v/>
      </c>
      <c r="O11" s="443">
        <f>SUM(G11:M11)/C5</f>
        <v/>
      </c>
      <c r="P11" s="444">
        <f>SUM(G11:M11)</f>
        <v/>
      </c>
    </row>
    <row r="12">
      <c r="B12" s="446" t="n"/>
      <c r="C12" s="447" t="n"/>
      <c r="D12" s="50" t="n"/>
      <c r="E12" s="465" t="inlineStr">
        <is>
          <t>Line Request</t>
        </is>
      </c>
      <c r="F12" s="395" t="n"/>
      <c r="G12" s="470">
        <f>G11/C6/C24</f>
        <v/>
      </c>
      <c r="H12" s="470">
        <f>H11/C6/C24</f>
        <v/>
      </c>
      <c r="I12" s="470">
        <f>I11/C6/C24</f>
        <v/>
      </c>
      <c r="J12" s="470">
        <f>J11/C6/C24</f>
        <v/>
      </c>
      <c r="K12" s="470">
        <f>K11/C6/C24</f>
        <v/>
      </c>
      <c r="L12" s="470">
        <f>L11/C6/C24</f>
        <v/>
      </c>
      <c r="M12" s="471">
        <f>M11/C6/C24</f>
        <v/>
      </c>
      <c r="O12" s="451">
        <f>SUM(G12:M12)/C5</f>
        <v/>
      </c>
      <c r="P12" s="436">
        <f>SUM(G12:M12)</f>
        <v/>
      </c>
    </row>
    <row r="13">
      <c r="B13" s="446" t="n"/>
      <c r="C13" s="447" t="n"/>
      <c r="D13" s="50" t="n"/>
      <c r="E13" s="465" t="inlineStr">
        <is>
          <t>% of the Slow Hours</t>
        </is>
      </c>
      <c r="F13" s="395" t="n"/>
      <c r="G13" s="472">
        <f>IFERROR(G11/'15_5Day_Forecast'!N2,"")</f>
        <v/>
      </c>
      <c r="H13" s="472">
        <f>IFERROR(H11/'15_5Day_Forecast'!O2,"")</f>
        <v/>
      </c>
      <c r="I13" s="472">
        <f>IFERROR(I11/'15_5Day_Forecast'!P2,"")</f>
        <v/>
      </c>
      <c r="J13" s="472">
        <f>IFERROR(J11/'15_5Day_Forecast'!Q2,"")</f>
        <v/>
      </c>
      <c r="K13" s="472">
        <f>IFERROR(K11/'15_5Day_Forecast'!R2,"")</f>
        <v/>
      </c>
      <c r="L13" s="472">
        <f>IFERROR(L11/'15_5Day_Forecast'!S2,"")</f>
        <v/>
      </c>
      <c r="M13" s="472">
        <f>IFERROR(M11/'15_5Day_Forecast'!T2,"")</f>
        <v/>
      </c>
      <c r="O13" s="451" t="n"/>
      <c r="P13" s="455">
        <f>IFERROR(P11/'15_5Day_Forecast'!U2,"")</f>
        <v/>
      </c>
      <c r="S13">
        <f>O4/2</f>
        <v/>
      </c>
    </row>
    <row r="14">
      <c r="B14" s="446" t="n"/>
      <c r="C14" s="447" t="n"/>
      <c r="D14" s="50" t="n"/>
      <c r="E14" s="473" t="inlineStr">
        <is>
          <t>Ees Req</t>
        </is>
      </c>
      <c r="F14" s="474" t="n"/>
      <c r="G14" s="475">
        <f>SUM(G5,G8,G11)/C6</f>
        <v/>
      </c>
      <c r="H14" s="475">
        <f>SUM(H5,H8,H11)/C6</f>
        <v/>
      </c>
      <c r="I14" s="475">
        <f>SUM(I5,I8,I11)/C6</f>
        <v/>
      </c>
      <c r="J14" s="475">
        <f>SUM(J5,J8,J11)/C6</f>
        <v/>
      </c>
      <c r="K14" s="475">
        <f>SUM(K5,K8,K11)/C6</f>
        <v/>
      </c>
      <c r="L14" s="475">
        <f>SUM(L5,L8,L11)/C6</f>
        <v/>
      </c>
      <c r="M14" s="476">
        <f>SUM(M5,M8,M11)/C6</f>
        <v/>
      </c>
      <c r="O14" s="477" t="inlineStr">
        <is>
          <t>Hours</t>
        </is>
      </c>
      <c r="P14" s="478">
        <f>SUM(P5,P8,P11)</f>
        <v/>
      </c>
    </row>
    <row r="15" ht="15.5" customHeight="1">
      <c r="B15" s="446" t="n"/>
      <c r="C15" s="447" t="n"/>
      <c r="D15" s="50" t="n"/>
      <c r="G15" s="33" t="n"/>
      <c r="H15" s="479" t="n"/>
      <c r="I15" s="480" t="n"/>
      <c r="J15" s="480" t="n"/>
      <c r="K15" s="50" t="n"/>
      <c r="O15" s="33" t="n"/>
      <c r="P15" s="33" t="n"/>
    </row>
    <row r="16" ht="15.5" customHeight="1">
      <c r="B16" s="446" t="n"/>
      <c r="C16" s="447" t="n"/>
      <c r="D16" s="50" t="n"/>
      <c r="E16" s="481" t="inlineStr">
        <is>
          <t>PLAN</t>
        </is>
      </c>
      <c r="F16" s="482" t="inlineStr">
        <is>
          <t>Case Req /day</t>
        </is>
      </c>
      <c r="G16" s="483" t="n"/>
      <c r="H16" s="483" t="n"/>
      <c r="I16" s="483" t="n"/>
      <c r="J16" s="483" t="n"/>
      <c r="K16" s="483" t="n"/>
      <c r="L16" s="484" t="n"/>
      <c r="M16" s="485" t="n"/>
      <c r="O16" s="486">
        <f>IFERROR(AVERAGE(G16:K16),"")</f>
        <v/>
      </c>
      <c r="P16" s="439">
        <f>SUM(G16:K16)</f>
        <v/>
      </c>
      <c r="R16" s="15" t="inlineStr">
        <is>
          <t>Plan A</t>
        </is>
      </c>
      <c r="S16" s="487" t="inlineStr">
        <is>
          <t>Monday</t>
        </is>
      </c>
      <c r="T16" s="487" t="inlineStr">
        <is>
          <t>Tuesday</t>
        </is>
      </c>
      <c r="U16" s="487" t="inlineStr">
        <is>
          <t>Wednesday</t>
        </is>
      </c>
      <c r="V16" s="487" t="inlineStr">
        <is>
          <t>Thursday</t>
        </is>
      </c>
      <c r="W16" s="487" t="inlineStr">
        <is>
          <t>Friday</t>
        </is>
      </c>
      <c r="X16" s="488" t="n"/>
      <c r="Y16" s="15" t="inlineStr">
        <is>
          <t>Plan A</t>
        </is>
      </c>
      <c r="Z16" s="487" t="inlineStr">
        <is>
          <t>Monday</t>
        </is>
      </c>
      <c r="AA16" s="487" t="inlineStr">
        <is>
          <t>Tuesday</t>
        </is>
      </c>
      <c r="AB16" s="487" t="inlineStr">
        <is>
          <t>Wednesday</t>
        </is>
      </c>
      <c r="AC16" s="487" t="inlineStr">
        <is>
          <t>Thursday</t>
        </is>
      </c>
      <c r="AD16" s="487" t="inlineStr">
        <is>
          <t>Friday</t>
        </is>
      </c>
    </row>
    <row r="17">
      <c r="B17" s="446" t="n"/>
      <c r="C17" s="447" t="n"/>
      <c r="D17" s="50" t="n"/>
      <c r="E17" s="489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90" t="n"/>
      <c r="M17" s="491" t="n"/>
      <c r="O17" s="492" t="n"/>
      <c r="P17" s="493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46" t="n"/>
      <c r="C18" s="447" t="n"/>
      <c r="D18" s="50" t="n"/>
      <c r="E18" s="494" t="n"/>
      <c r="F18" s="495" t="inlineStr">
        <is>
          <t>KGs per man Hour</t>
        </is>
      </c>
      <c r="G18" s="496">
        <f>IFERROR(G17/SUM(G5,G8,G11),"")</f>
        <v/>
      </c>
      <c r="H18" s="496">
        <f>IFERROR(H17/SUM(H5,H8,H11),"")</f>
        <v/>
      </c>
      <c r="I18" s="496">
        <f>IFERROR(I17/SUM(I5,I8,I11),"")</f>
        <v/>
      </c>
      <c r="J18" s="496">
        <f>IFERROR(J17/SUM(J5,J8,J11),"")</f>
        <v/>
      </c>
      <c r="K18" s="497">
        <f>IFERROR(K17/SUM(K5:M5,,K11:M11,K8:M8),"")</f>
        <v/>
      </c>
      <c r="L18" s="498" t="n"/>
      <c r="M18" s="499" t="n"/>
      <c r="O18" s="477">
        <f>IFERROR(AVERAGE(G18:K18),"")</f>
        <v/>
      </c>
      <c r="P18" s="478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46" t="n"/>
      <c r="C19" s="447" t="n"/>
      <c r="D19" s="50" t="n"/>
      <c r="F19" s="500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501" t="n"/>
      <c r="C20" s="502" t="n"/>
      <c r="D20" s="44" t="n"/>
      <c r="E20" s="503" t="inlineStr">
        <is>
          <t>LIVE</t>
        </is>
      </c>
      <c r="F20" s="504" t="inlineStr">
        <is>
          <t>EEs Req /shift</t>
        </is>
      </c>
      <c r="G20" s="505">
        <f>SUM(G5,G8,G11)/C6/2</f>
        <v/>
      </c>
      <c r="H20" s="506">
        <f>(SUM(H5,H8,H11))/C6/2</f>
        <v/>
      </c>
      <c r="I20" s="506">
        <f>(SUM(I5,I8,I11))/C6/2</f>
        <v/>
      </c>
      <c r="J20" s="506">
        <f>(SUM(J5,J8,J11))/C6/2</f>
        <v/>
      </c>
      <c r="K20" s="506">
        <f>(SUM(K5:M5,K8:M8,K11:M11))/C6/2</f>
        <v/>
      </c>
      <c r="L20" s="507" t="n"/>
      <c r="M20" s="508" t="n"/>
      <c r="O20" s="509">
        <f>SUM(G20:K20)/C5</f>
        <v/>
      </c>
      <c r="P20" s="510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511" t="n"/>
      <c r="F21" s="512" t="inlineStr">
        <is>
          <t>Line Req/shift</t>
        </is>
      </c>
      <c r="G21" s="513">
        <f>SUM(G6,G9,G12)/2</f>
        <v/>
      </c>
      <c r="H21" s="497">
        <f>SUM(H6,H9,H12)/2</f>
        <v/>
      </c>
      <c r="I21" s="497">
        <f>SUM(I6,I9,I12)/2</f>
        <v/>
      </c>
      <c r="J21" s="497">
        <f>SUM(J6,J9,J12)/2</f>
        <v/>
      </c>
      <c r="K21" s="497">
        <f>SUM(K6:M6,K9:M9,K12:M12)/2</f>
        <v/>
      </c>
      <c r="L21" s="514" t="n"/>
      <c r="M21" s="515" t="n"/>
      <c r="O21" s="516">
        <f>P21/C5</f>
        <v/>
      </c>
      <c r="P21" s="478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38" t="inlineStr">
        <is>
          <t>Fast Line Worker</t>
        </is>
      </c>
      <c r="C22" s="517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19">
        <f>W21-P4</f>
        <v/>
      </c>
    </row>
    <row r="23">
      <c r="B23" s="446" t="inlineStr">
        <is>
          <t>Normal Line Worker</t>
        </is>
      </c>
      <c r="C23" s="518" t="n">
        <v>13</v>
      </c>
      <c r="D23" s="44" t="n"/>
      <c r="E23" s="519" t="inlineStr">
        <is>
          <t>Change Over at Order</t>
        </is>
      </c>
      <c r="F23" s="520" t="n"/>
      <c r="G23" s="521">
        <f>COUNTIF('15_5Day_Forecast'!Y4:Y244,"&gt;0")</f>
        <v/>
      </c>
      <c r="H23" s="521">
        <f>COUNTIF('15_5Day_Forecast'!Z4:Z244,"&gt;0")</f>
        <v/>
      </c>
      <c r="I23" s="521">
        <f>COUNTIF('15_5Day_Forecast'!AA4:AA244,"&gt;0")</f>
        <v/>
      </c>
      <c r="J23" s="521">
        <f>COUNTIF('15_5Day_Forecast'!AB4:AB244,"&gt;0")</f>
        <v/>
      </c>
      <c r="K23" s="521">
        <f>COUNTIF('15_5Day_Forecast'!AC4:AC244,"&gt;0")</f>
        <v/>
      </c>
      <c r="L23" s="521">
        <f>COUNTIF('15_5Day_Forecast'!AD4:AD244,"&gt;0")</f>
        <v/>
      </c>
      <c r="M23" s="522">
        <f>COUNTIF('15_5Day_Forecast'!AE4:AE244,"&gt;0")</f>
        <v/>
      </c>
      <c r="O23" s="523" t="n"/>
      <c r="P23" s="420" t="n"/>
      <c r="W23" s="524" t="n"/>
    </row>
    <row r="24">
      <c r="B24" s="501" t="inlineStr">
        <is>
          <t>Slow Line worker</t>
        </is>
      </c>
      <c r="C24" s="525" t="n">
        <v>19</v>
      </c>
      <c r="D24" s="44" t="n"/>
      <c r="E24" s="526" t="inlineStr">
        <is>
          <t>Change Over AM Shift</t>
        </is>
      </c>
      <c r="F24" s="527" t="n"/>
      <c r="G24" s="528" t="n"/>
      <c r="H24" s="346" t="n"/>
      <c r="I24" s="346" t="n"/>
      <c r="J24" s="346" t="n"/>
      <c r="K24" s="346" t="n"/>
      <c r="L24" s="217" t="n"/>
      <c r="M24" s="529" t="n"/>
      <c r="O24" s="523" t="n"/>
      <c r="P24" s="420" t="n"/>
    </row>
    <row r="25">
      <c r="B25" s="50" t="n"/>
      <c r="C25" s="44" t="n"/>
      <c r="D25" s="44" t="n"/>
      <c r="E25" s="530" t="inlineStr">
        <is>
          <t>Change Over PM Shift</t>
        </is>
      </c>
      <c r="F25" s="531" t="n"/>
      <c r="G25" s="532" t="n"/>
      <c r="H25" s="533" t="n"/>
      <c r="I25" s="533" t="n"/>
      <c r="J25" s="534" t="n"/>
      <c r="K25" s="534" t="n"/>
      <c r="L25" s="535" t="n"/>
      <c r="M25" s="536" t="n"/>
      <c r="O25" s="523" t="n"/>
      <c r="P25" s="420" t="n"/>
    </row>
    <row r="26">
      <c r="B26" s="50" t="n"/>
      <c r="C26" s="44" t="n"/>
      <c r="D26" s="44" t="n"/>
      <c r="E26" s="537" t="n"/>
      <c r="F26" s="538" t="n"/>
      <c r="G26" s="538" t="n"/>
      <c r="H26" s="538" t="n"/>
      <c r="I26" s="538" t="n"/>
      <c r="J26" s="539" t="n"/>
      <c r="K26" s="539" t="n"/>
      <c r="L26" s="540" t="n"/>
      <c r="M26" s="540" t="n"/>
      <c r="O26" s="523" t="n"/>
      <c r="P26" s="420" t="n"/>
    </row>
    <row r="27" ht="15.5" customHeight="1">
      <c r="B27" s="50" t="n"/>
      <c r="C27" s="44" t="n"/>
      <c r="D27" s="44" t="n"/>
      <c r="E27" s="541" t="inlineStr">
        <is>
          <t>FB</t>
        </is>
      </c>
      <c r="F27" s="542" t="inlineStr">
        <is>
          <t xml:space="preserve"> Cases Request</t>
        </is>
      </c>
      <c r="G27" s="543">
        <f>SUMIF('15_5Day_Forecast'!$W$4:$W$270,[1]Plan!E27,'15_5Day_Forecast'!$Y$4:$Y$270)</f>
        <v/>
      </c>
      <c r="H27" s="543">
        <f>SUMIF('15_5Day_Forecast'!$W$4:$W$270,[1]Plan!E27,'15_5Day_Forecast'!$Z$4:$Z$270)</f>
        <v/>
      </c>
      <c r="I27" s="544">
        <f>SUMIF('15_5Day_Forecast'!$W$4:$W$270,[1]Plan!E27,'15_5Day_Forecast'!$AA$4:$AA$270)</f>
        <v/>
      </c>
      <c r="J27" s="545">
        <f>SUMIF('15_5Day_Forecast'!$W$4:$W$270,[1]Plan!E27,'15_5Day_Forecast'!$AB$4:$AB$270)</f>
        <v/>
      </c>
      <c r="K27" s="545">
        <f>SUMIF('15_5Day_Forecast'!$W$4:$W$270,[1]Plan!E27,'15_5Day_Forecast'!$AC$4:$AC$270)</f>
        <v/>
      </c>
      <c r="L27" s="545">
        <f>SUMIF('15_5Day_Forecast'!$W$4:$W$270,[1]Plan!E27,'15_5Day_Forecast'!$AD$4:$AD$270)</f>
        <v/>
      </c>
      <c r="M27" s="546">
        <f>SUMIF('15_5Day_Forecast'!$W$4:$W$270,[1]Plan!E27,'15_5Day_Forecast'!$AE$4:$AE$270)</f>
        <v/>
      </c>
      <c r="O27" s="547" t="inlineStr">
        <is>
          <t>Total:</t>
        </is>
      </c>
      <c r="P27" s="439">
        <f>SUM(G27:M27)</f>
        <v/>
      </c>
      <c r="R27" s="15" t="inlineStr">
        <is>
          <t>Plan B</t>
        </is>
      </c>
      <c r="S27" s="487" t="inlineStr">
        <is>
          <t>Monday</t>
        </is>
      </c>
      <c r="T27" s="487" t="inlineStr">
        <is>
          <t>Tuesday</t>
        </is>
      </c>
      <c r="U27" s="487" t="inlineStr">
        <is>
          <t>Wednesday</t>
        </is>
      </c>
      <c r="V27" s="487" t="inlineStr">
        <is>
          <t>Thursday</t>
        </is>
      </c>
      <c r="W27" s="487" t="inlineStr">
        <is>
          <t>Friday</t>
        </is>
      </c>
    </row>
    <row r="28">
      <c r="B28" s="50" t="n"/>
      <c r="C28" s="44" t="n"/>
      <c r="D28" s="44" t="n"/>
      <c r="E28" s="548" t="inlineStr">
        <is>
          <t>LCL</t>
        </is>
      </c>
      <c r="F28" s="549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50">
        <f>SUMIF('15_5Day_Forecast'!$W$4:$W$270,[1]Plan!E28,'15_5Day_Forecast'!$AA$4:$AA$270)</f>
        <v/>
      </c>
      <c r="J28" s="550">
        <f>SUMIF('15_5Day_Forecast'!$W$4:$W$270,[1]Plan!E28,'15_5Day_Forecast'!$AB$4:$AB$270)</f>
        <v/>
      </c>
      <c r="K28" s="550">
        <f>SUMIF('15_5Day_Forecast'!$W$4:$W$270,[1]Plan!E28,'15_5Day_Forecast'!$AC$4:$AC$270)</f>
        <v/>
      </c>
      <c r="L28" s="550">
        <f>SUMIF('15_5Day_Forecast'!$W$4:$W$270,[1]Plan!E28,'15_5Day_Forecast'!$AD$4:$AD$270)</f>
        <v/>
      </c>
      <c r="M28" s="551">
        <f>SUMIF('15_5Day_Forecast'!$W$4:$W$270,[1]Plan!E28,'15_5Day_Forecast'!$AE$4:$AE$270)</f>
        <v/>
      </c>
      <c r="O28" s="552" t="n"/>
      <c r="P28" s="447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48" t="inlineStr">
        <is>
          <t>SHP</t>
        </is>
      </c>
      <c r="F29" s="549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50">
        <f>SUMIF('15_5Day_Forecast'!$W$4:$W$270,[1]Plan!E29,'15_5Day_Forecast'!$AA$4:$AA$270)</f>
        <v/>
      </c>
      <c r="J29" s="550">
        <f>SUMIF('15_5Day_Forecast'!$W$4:$W$270,[1]Plan!E29,'15_5Day_Forecast'!$AB$4:$AB$270)</f>
        <v/>
      </c>
      <c r="K29" s="550">
        <f>SUMIF('15_5Day_Forecast'!$W$4:$W$270,[1]Plan!E29,'15_5Day_Forecast'!$AC$4:$AC$270)</f>
        <v/>
      </c>
      <c r="L29" s="550">
        <f>SUMIF('15_5Day_Forecast'!$W$4:$W$270,[1]Plan!E29,'15_5Day_Forecast'!$AD$4:$AD$270)</f>
        <v/>
      </c>
      <c r="M29" s="551">
        <f>SUMIF('15_5Day_Forecast'!$W$4:$W$270,[1]Plan!E29,'15_5Day_Forecast'!$AE$4:$AE$270)</f>
        <v/>
      </c>
      <c r="O29" s="552" t="n"/>
      <c r="P29" s="447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53" t="inlineStr">
        <is>
          <t>Costco</t>
        </is>
      </c>
      <c r="F30" s="554" t="inlineStr">
        <is>
          <t xml:space="preserve"> Cases Request</t>
        </is>
      </c>
      <c r="G30" s="533">
        <f>SUMIF('15_5Day_Forecast'!$W$4:$W$270,[1]Plan!E30,'15_5Day_Forecast'!$Y$4:$Y$270)</f>
        <v/>
      </c>
      <c r="H30" s="533">
        <f>SUMIF('15_5Day_Forecast'!$W$4:$W$270,[1]Plan!E30,'15_5Day_Forecast'!$Z$4:$Z$270)</f>
        <v/>
      </c>
      <c r="I30" s="534">
        <f>SUMIF('15_5Day_Forecast'!$W$4:$W$270,[1]Plan!E30,'15_5Day_Forecast'!$AA$4:$AA$270)</f>
        <v/>
      </c>
      <c r="J30" s="534">
        <f>SUMIF('15_5Day_Forecast'!$W$4:$W$270,[1]Plan!E30,'15_5Day_Forecast'!$AB$4:$AB$270)</f>
        <v/>
      </c>
      <c r="K30" s="534">
        <f>SUMIF('15_5Day_Forecast'!$W$4:$W$270,[1]Plan!E30,'15_5Day_Forecast'!$AC$4:$AC$270)</f>
        <v/>
      </c>
      <c r="L30" s="534">
        <f>SUMIF('15_5Day_Forecast'!$W$4:$W$270,[1]Plan!E30,'15_5Day_Forecast'!$AD$4:$AD$270)</f>
        <v/>
      </c>
      <c r="M30" s="555">
        <f>SUMIF('15_5Day_Forecast'!$W$4:$W$270,[1]Plan!E30,'15_5Day_Forecast'!$AE$4:$AE$270)</f>
        <v/>
      </c>
      <c r="O30" s="556" t="n"/>
      <c r="P30" s="557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58" t="n"/>
      <c r="F31" s="558" t="n"/>
      <c r="G31" s="559" t="n"/>
      <c r="H31" s="559" t="n"/>
      <c r="I31" s="560" t="n"/>
      <c r="J31" s="560" t="n"/>
      <c r="K31" s="560" t="n"/>
      <c r="L31" s="560" t="n"/>
      <c r="M31" s="560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61" t="n"/>
      <c r="F32" s="562" t="n"/>
      <c r="G32" s="507" t="n"/>
      <c r="H32" s="563" t="inlineStr">
        <is>
          <t>AM Worker Full hours</t>
        </is>
      </c>
      <c r="I32" s="563" t="inlineStr">
        <is>
          <t>AM OT</t>
        </is>
      </c>
      <c r="J32" s="563" t="inlineStr">
        <is>
          <t>AM hours</t>
        </is>
      </c>
      <c r="K32" s="564" t="inlineStr">
        <is>
          <t>PM Worker Full hours</t>
        </is>
      </c>
      <c r="L32" s="564" t="inlineStr">
        <is>
          <t>PM OT</t>
        </is>
      </c>
      <c r="M32" s="565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66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52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19">
        <f>W32-P4</f>
        <v/>
      </c>
    </row>
    <row r="34">
      <c r="E34" s="567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52">
        <f>K34*$F$33+L34*$F$34</f>
        <v/>
      </c>
    </row>
    <row r="35">
      <c r="E35" s="566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52">
        <f>K35*$F$33+L35*$F$34</f>
        <v/>
      </c>
    </row>
    <row r="36" ht="15.5" customHeight="1">
      <c r="E36" s="566" t="inlineStr">
        <is>
          <t>Hrs Req</t>
        </is>
      </c>
      <c r="F36" s="568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52">
        <f>K36*$F$33+L36*$F$34</f>
        <v/>
      </c>
      <c r="R36" s="15" t="inlineStr">
        <is>
          <t>Plan C</t>
        </is>
      </c>
      <c r="S36" s="487" t="inlineStr">
        <is>
          <t>Monday</t>
        </is>
      </c>
      <c r="T36" s="487" t="inlineStr">
        <is>
          <t>Tuesday</t>
        </is>
      </c>
      <c r="U36" s="487" t="inlineStr">
        <is>
          <t>Wednesday</t>
        </is>
      </c>
      <c r="V36" s="487" t="inlineStr">
        <is>
          <t>Thursday</t>
        </is>
      </c>
      <c r="W36" s="487" t="inlineStr">
        <is>
          <t>Friday</t>
        </is>
      </c>
    </row>
    <row r="37">
      <c r="E37" s="569" t="inlineStr">
        <is>
          <t>Total Hrs</t>
        </is>
      </c>
      <c r="F37" s="570">
        <f>SUM(J33:J37,M33:M37)</f>
        <v/>
      </c>
      <c r="G37" s="571" t="inlineStr">
        <is>
          <t>Friday</t>
        </is>
      </c>
      <c r="H37" s="571" t="n"/>
      <c r="I37" s="571" t="n"/>
      <c r="J37" s="572">
        <f>H37*$F$33+I37*$F$34</f>
        <v/>
      </c>
      <c r="K37" s="571" t="n"/>
      <c r="L37" s="571" t="n"/>
      <c r="M37" s="502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73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74" t="inlineStr">
        <is>
          <t>Bagging</t>
        </is>
      </c>
      <c r="F39" s="397" t="n"/>
      <c r="G39" s="426" t="inlineStr">
        <is>
          <t>Monday</t>
        </is>
      </c>
      <c r="H39" s="426" t="inlineStr">
        <is>
          <t>Tuesday</t>
        </is>
      </c>
      <c r="I39" s="426" t="inlineStr">
        <is>
          <t>Wednesday</t>
        </is>
      </c>
      <c r="J39" s="426" t="inlineStr">
        <is>
          <t>Thursday</t>
        </is>
      </c>
      <c r="K39" s="426" t="inlineStr">
        <is>
          <t>Friday</t>
        </is>
      </c>
      <c r="L39" s="426" t="inlineStr">
        <is>
          <t>Saturday</t>
        </is>
      </c>
      <c r="M39" s="430" t="inlineStr">
        <is>
          <t>Sunday</t>
        </is>
      </c>
      <c r="O39" s="429" t="inlineStr">
        <is>
          <t>AVG</t>
        </is>
      </c>
      <c r="P39" s="430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75" t="n"/>
      <c r="F40" s="576" t="n"/>
      <c r="G40" s="577">
        <f>'15_5Day_Forecast'!AI2</f>
        <v/>
      </c>
      <c r="H40" s="577">
        <f>'15_5Day_Forecast'!AJ2</f>
        <v/>
      </c>
      <c r="I40" s="577">
        <f>'15_5Day_Forecast'!AK2</f>
        <v/>
      </c>
      <c r="J40" s="577">
        <f>'15_5Day_Forecast'!AL2</f>
        <v/>
      </c>
      <c r="K40" s="577">
        <f>'15_5Day_Forecast'!AM2</f>
        <v/>
      </c>
      <c r="L40" s="577">
        <f>'15_5Day_Forecast'!AN2</f>
        <v/>
      </c>
      <c r="M40" s="577">
        <f>'15_5Day_Forecast'!AO2</f>
        <v/>
      </c>
      <c r="O40" s="477">
        <f>SUM(G40:M40)/C5</f>
        <v/>
      </c>
      <c r="P40" s="502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19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78" t="inlineStr">
        <is>
          <t>SKU</t>
        </is>
      </c>
      <c r="D1" s="579" t="inlineStr">
        <is>
          <t>Monday</t>
        </is>
      </c>
      <c r="E1" s="579" t="inlineStr">
        <is>
          <t>Tuesday</t>
        </is>
      </c>
      <c r="F1" s="579" t="inlineStr">
        <is>
          <t>Wednesday</t>
        </is>
      </c>
      <c r="G1" s="579" t="inlineStr">
        <is>
          <t>Thursday</t>
        </is>
      </c>
      <c r="H1" s="579" t="inlineStr">
        <is>
          <t>Friday</t>
        </is>
      </c>
      <c r="I1" s="579" t="inlineStr">
        <is>
          <t>Saturday</t>
        </is>
      </c>
      <c r="J1" s="579" t="inlineStr">
        <is>
          <t>Sunday</t>
        </is>
      </c>
      <c r="K1" s="578" t="inlineStr">
        <is>
          <t>Total</t>
        </is>
      </c>
      <c r="L1" s="580" t="inlineStr">
        <is>
          <t>Speed</t>
        </is>
      </c>
      <c r="M1" s="581" t="inlineStr">
        <is>
          <t>SKU</t>
        </is>
      </c>
      <c r="N1" s="582" t="inlineStr">
        <is>
          <t>Monday</t>
        </is>
      </c>
      <c r="O1" s="582" t="inlineStr">
        <is>
          <t>Tuesday</t>
        </is>
      </c>
      <c r="P1" s="582" t="inlineStr">
        <is>
          <t>Wednesday</t>
        </is>
      </c>
      <c r="Q1" s="582" t="inlineStr">
        <is>
          <t>Thursday</t>
        </is>
      </c>
      <c r="R1" s="582" t="inlineStr">
        <is>
          <t>Friday</t>
        </is>
      </c>
      <c r="S1" s="582" t="inlineStr">
        <is>
          <t>Saturday</t>
        </is>
      </c>
      <c r="T1" s="582" t="inlineStr">
        <is>
          <t>Sunday</t>
        </is>
      </c>
      <c r="U1" s="581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83" t="inlineStr">
        <is>
          <t>DAY</t>
        </is>
      </c>
      <c r="AI1" s="584" t="inlineStr">
        <is>
          <t>Monday</t>
        </is>
      </c>
      <c r="AJ1" s="584" t="inlineStr">
        <is>
          <t>Tuesday</t>
        </is>
      </c>
      <c r="AK1" s="584" t="inlineStr">
        <is>
          <t>Wednesday</t>
        </is>
      </c>
      <c r="AL1" s="584" t="inlineStr">
        <is>
          <t>Thursday</t>
        </is>
      </c>
      <c r="AM1" s="584" t="inlineStr">
        <is>
          <t>Friday</t>
        </is>
      </c>
      <c r="AN1" s="584" t="inlineStr">
        <is>
          <t>Saturday</t>
        </is>
      </c>
      <c r="AO1" s="584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85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86">
        <f>_xludf.IFNA(_xlfn.XLOOKUP(C4,'00_SKU_Master'!$B$2:$B$378,'00_SKU_Master'!$F$2:$F$378,0)*Y4,"")</f>
        <v/>
      </c>
      <c r="E2" s="586">
        <f>_xludf.IFNA(_xlfn.XLOOKUP(C4,'00_SKU_Master'!$B$2:$B$378,'00_SKU_Master'!$F$2:$F$378,0)*Z4,"")</f>
        <v/>
      </c>
      <c r="F2" s="586">
        <f>_xludf.IFNA(_xlfn.XLOOKUP(C4,'00_SKU_Master'!$B$2:$B$378,'00_SKU_Master'!$F$2:$F$378,0)*AA4,"")</f>
        <v/>
      </c>
      <c r="G2" s="586">
        <f>_xludf.IFNA(_xlfn.XLOOKUP(C4,'00_SKU_Master'!$B$2:$B$378,'00_SKU_Master'!$F$2:$F$378,0)*AB4,"")</f>
        <v/>
      </c>
      <c r="H2" s="586">
        <f>_xludf.IFNA(_xlfn.XLOOKUP(C4,'00_SKU_Master'!$B$2:$B$378,'00_SKU_Master'!$F$2:$F$378,0)*AC4,"")</f>
        <v/>
      </c>
      <c r="I2" s="586">
        <f>_xludf.IFNA(_xlfn.XLOOKUP(C4,'00_SKU_Master'!$B$2:$B$378,'00_SKU_Master'!$F$2:$F$378,0)*AD4,"")</f>
        <v/>
      </c>
      <c r="J2" s="586">
        <f>_xludf.IFNA(_xlfn.XLOOKUP(C4,'00_SKU_Master'!$B$2:$B$378,'00_SKU_Master'!$F$2:$F$378,0)*AE4,"")</f>
        <v/>
      </c>
      <c r="K2" s="587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88" t="n"/>
      <c r="Z2" s="589" t="n"/>
      <c r="AA2" s="589" t="n"/>
      <c r="AB2" s="589" t="n"/>
      <c r="AC2" s="589" t="n">
        <v>0</v>
      </c>
      <c r="AD2" s="589" t="n">
        <v>0</v>
      </c>
      <c r="AE2" s="589" t="n">
        <v>0</v>
      </c>
      <c r="AF2" s="587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86">
        <f>_xludf.IFNA(_xlfn.XLOOKUP(C5,'00_SKU_Master'!$B$2:$B$378,'00_SKU_Master'!$F$2:$F$378,0)*Y5,"")</f>
        <v/>
      </c>
      <c r="E3" s="586">
        <f>_xludf.IFNA(_xlfn.XLOOKUP(C5,'00_SKU_Master'!$B$2:$B$378,'00_SKU_Master'!$F$2:$F$378,0)*Z5,"")</f>
        <v/>
      </c>
      <c r="F3" s="586">
        <f>_xludf.IFNA(_xlfn.XLOOKUP(C5,'00_SKU_Master'!$B$2:$B$378,'00_SKU_Master'!$F$2:$F$378,0)*AA5,"")</f>
        <v/>
      </c>
      <c r="G3" s="586">
        <f>_xludf.IFNA(_xlfn.XLOOKUP(C5,'00_SKU_Master'!$B$2:$B$378,'00_SKU_Master'!$F$2:$F$378,0)*AB5,"")</f>
        <v/>
      </c>
      <c r="H3" s="586">
        <f>_xludf.IFNA(_xlfn.XLOOKUP(C5,'00_SKU_Master'!$B$2:$B$378,'00_SKU_Master'!$F$2:$F$378,0)*AC5,"")</f>
        <v/>
      </c>
      <c r="I3" s="586">
        <f>_xludf.IFNA(_xlfn.XLOOKUP(C5,'00_SKU_Master'!$B$2:$B$378,'00_SKU_Master'!$F$2:$F$378,0)*AD5,"")</f>
        <v/>
      </c>
      <c r="J3" s="586">
        <f>_xludf.IFNA(_xlfn.XLOOKUP(C5,'00_SKU_Master'!$B$2:$B$378,'00_SKU_Master'!$F$2:$F$378,0)*AE5,"")</f>
        <v/>
      </c>
      <c r="K3" s="587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88" t="n"/>
      <c r="Z3" s="589" t="n"/>
      <c r="AA3" s="589" t="n"/>
      <c r="AB3" s="589" t="n"/>
      <c r="AC3" s="589" t="n">
        <v>5</v>
      </c>
      <c r="AD3" s="589" t="n">
        <v>0</v>
      </c>
      <c r="AE3" s="589" t="n">
        <v>12</v>
      </c>
      <c r="AF3" s="587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86">
        <f>_xludf.IFNA(_xlfn.XLOOKUP(C6,'00_SKU_Master'!$B$2:$B$378,'00_SKU_Master'!$F$2:$F$378,0)*Y6,"")</f>
        <v/>
      </c>
      <c r="E4" s="586">
        <f>_xludf.IFNA(_xlfn.XLOOKUP(C6,'00_SKU_Master'!$B$2:$B$378,'00_SKU_Master'!$F$2:$F$378,0)*Z6,"")</f>
        <v/>
      </c>
      <c r="F4" s="586">
        <f>_xludf.IFNA(_xlfn.XLOOKUP(C6,'00_SKU_Master'!$B$2:$B$378,'00_SKU_Master'!$F$2:$F$378,0)*AA6,"")</f>
        <v/>
      </c>
      <c r="G4" s="586">
        <f>_xludf.IFNA(_xlfn.XLOOKUP(C6,'00_SKU_Master'!$B$2:$B$378,'00_SKU_Master'!$F$2:$F$378,0)*AB6,"")</f>
        <v/>
      </c>
      <c r="H4" s="586">
        <f>_xludf.IFNA(_xlfn.XLOOKUP(C6,'00_SKU_Master'!$B$2:$B$378,'00_SKU_Master'!$F$2:$F$378,0)*AC6,"")</f>
        <v/>
      </c>
      <c r="I4" s="586">
        <f>_xludf.IFNA(_xlfn.XLOOKUP(C6,'00_SKU_Master'!$B$2:$B$378,'00_SKU_Master'!$F$2:$F$378,0)*AD6,"")</f>
        <v/>
      </c>
      <c r="J4" s="586">
        <f>_xludf.IFNA(_xlfn.XLOOKUP(C6,'00_SKU_Master'!$B$2:$B$378,'00_SKU_Master'!$F$2:$F$378,0)*AE6,"")</f>
        <v/>
      </c>
      <c r="K4" s="587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88" t="n"/>
      <c r="Z4" s="589" t="n"/>
      <c r="AA4" s="589" t="n"/>
      <c r="AB4" s="589" t="n"/>
      <c r="AC4" s="589" t="n">
        <v>0</v>
      </c>
      <c r="AD4" s="589" t="n">
        <v>0</v>
      </c>
      <c r="AE4" s="589" t="n">
        <v>0</v>
      </c>
      <c r="AF4" s="587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86">
        <f>_xludf.IFNA(_xlfn.XLOOKUP(C7,'00_SKU_Master'!$B$2:$B$378,'00_SKU_Master'!$F$2:$F$378,0)*Y7,"")</f>
        <v/>
      </c>
      <c r="E5" s="586">
        <f>_xludf.IFNA(_xlfn.XLOOKUP(C7,'00_SKU_Master'!$B$2:$B$378,'00_SKU_Master'!$F$2:$F$378,0)*Z7,"")</f>
        <v/>
      </c>
      <c r="F5" s="586">
        <f>_xludf.IFNA(_xlfn.XLOOKUP(C7,'00_SKU_Master'!$B$2:$B$378,'00_SKU_Master'!$F$2:$F$378,0)*AA7,"")</f>
        <v/>
      </c>
      <c r="G5" s="586">
        <f>_xludf.IFNA(_xlfn.XLOOKUP(C7,'00_SKU_Master'!$B$2:$B$378,'00_SKU_Master'!$F$2:$F$378,0)*AB7,"")</f>
        <v/>
      </c>
      <c r="H5" s="586">
        <f>_xludf.IFNA(_xlfn.XLOOKUP(C7,'00_SKU_Master'!$B$2:$B$378,'00_SKU_Master'!$F$2:$F$378,0)*AC7,"")</f>
        <v/>
      </c>
      <c r="I5" s="586">
        <f>_xludf.IFNA(_xlfn.XLOOKUP(C7,'00_SKU_Master'!$B$2:$B$378,'00_SKU_Master'!$F$2:$F$378,0)*AD7,"")</f>
        <v/>
      </c>
      <c r="J5" s="586">
        <f>_xludf.IFNA(_xlfn.XLOOKUP(C7,'00_SKU_Master'!$B$2:$B$378,'00_SKU_Master'!$F$2:$F$378,0)*AE7,"")</f>
        <v/>
      </c>
      <c r="K5" s="587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88" t="n"/>
      <c r="Z5" s="589" t="n"/>
      <c r="AA5" s="589" t="n"/>
      <c r="AB5" s="589" t="n"/>
      <c r="AC5" s="589" t="n">
        <v>53</v>
      </c>
      <c r="AD5" s="589" t="n">
        <v>0</v>
      </c>
      <c r="AE5" s="589" t="n">
        <v>44</v>
      </c>
      <c r="AF5" s="587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86">
        <f>_xludf.IFNA(_xlfn.XLOOKUP(C8,'00_SKU_Master'!$B$2:$B$378,'00_SKU_Master'!$F$2:$F$378,0)*Y8,"")</f>
        <v/>
      </c>
      <c r="E6" s="586">
        <f>_xludf.IFNA(_xlfn.XLOOKUP(C8,'00_SKU_Master'!$B$2:$B$378,'00_SKU_Master'!$F$2:$F$378,0)*Z8,"")</f>
        <v/>
      </c>
      <c r="F6" s="586">
        <f>_xludf.IFNA(_xlfn.XLOOKUP(C8,'00_SKU_Master'!$B$2:$B$378,'00_SKU_Master'!$F$2:$F$378,0)*AA8,"")</f>
        <v/>
      </c>
      <c r="G6" s="586">
        <f>_xludf.IFNA(_xlfn.XLOOKUP(C8,'00_SKU_Master'!$B$2:$B$378,'00_SKU_Master'!$F$2:$F$378,0)*AB8,"")</f>
        <v/>
      </c>
      <c r="H6" s="586">
        <f>_xludf.IFNA(_xlfn.XLOOKUP(C8,'00_SKU_Master'!$B$2:$B$378,'00_SKU_Master'!$F$2:$F$378,0)*AC8,"")</f>
        <v/>
      </c>
      <c r="I6" s="586">
        <f>_xludf.IFNA(_xlfn.XLOOKUP(C8,'00_SKU_Master'!$B$2:$B$378,'00_SKU_Master'!$F$2:$F$378,0)*AD8,"")</f>
        <v/>
      </c>
      <c r="J6" s="586">
        <f>_xludf.IFNA(_xlfn.XLOOKUP(C8,'00_SKU_Master'!$B$2:$B$378,'00_SKU_Master'!$F$2:$F$378,0)*AE8,"")</f>
        <v/>
      </c>
      <c r="K6" s="587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88" t="n"/>
      <c r="Z6" s="589" t="n"/>
      <c r="AA6" s="589" t="n"/>
      <c r="AB6" s="589" t="n"/>
      <c r="AC6" s="589" t="n">
        <v>149</v>
      </c>
      <c r="AD6" s="589" t="n">
        <v>0</v>
      </c>
      <c r="AE6" s="589" t="n">
        <v>136</v>
      </c>
      <c r="AF6" s="587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86">
        <f>_xludf.IFNA(_xlfn.XLOOKUP(C9,'00_SKU_Master'!$B$2:$B$378,'00_SKU_Master'!$F$2:$F$378,0)*Y9,"")</f>
        <v/>
      </c>
      <c r="E7" s="586">
        <f>_xludf.IFNA(_xlfn.XLOOKUP(C9,'00_SKU_Master'!$B$2:$B$378,'00_SKU_Master'!$F$2:$F$378,0)*Z9,"")</f>
        <v/>
      </c>
      <c r="F7" s="586">
        <f>_xludf.IFNA(_xlfn.XLOOKUP(C9,'00_SKU_Master'!$B$2:$B$378,'00_SKU_Master'!$F$2:$F$378,0)*AA9,"")</f>
        <v/>
      </c>
      <c r="G7" s="586">
        <f>_xludf.IFNA(_xlfn.XLOOKUP(C9,'00_SKU_Master'!$B$2:$B$378,'00_SKU_Master'!$F$2:$F$378,0)*AB9,"")</f>
        <v/>
      </c>
      <c r="H7" s="586">
        <f>_xludf.IFNA(_xlfn.XLOOKUP(C9,'00_SKU_Master'!$B$2:$B$378,'00_SKU_Master'!$F$2:$F$378,0)*AC9,"")</f>
        <v/>
      </c>
      <c r="I7" s="586">
        <f>_xludf.IFNA(_xlfn.XLOOKUP(C9,'00_SKU_Master'!$B$2:$B$378,'00_SKU_Master'!$F$2:$F$378,0)*AD9,"")</f>
        <v/>
      </c>
      <c r="J7" s="586">
        <f>_xludf.IFNA(_xlfn.XLOOKUP(C9,'00_SKU_Master'!$B$2:$B$378,'00_SKU_Master'!$F$2:$F$378,0)*AE9,"")</f>
        <v/>
      </c>
      <c r="K7" s="587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88" t="n"/>
      <c r="Z7" s="589" t="n"/>
      <c r="AA7" s="589" t="n"/>
      <c r="AB7" s="589" t="n"/>
      <c r="AC7" s="589" t="n">
        <v>0</v>
      </c>
      <c r="AD7" s="589" t="n">
        <v>0</v>
      </c>
      <c r="AE7" s="589" t="n">
        <v>0</v>
      </c>
      <c r="AF7" s="587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86">
        <f>_xludf.IFNA(_xlfn.XLOOKUP(C10,'00_SKU_Master'!$B$2:$B$378,'00_SKU_Master'!$F$2:$F$378,0)*Y10,"")</f>
        <v/>
      </c>
      <c r="E8" s="586">
        <f>_xludf.IFNA(_xlfn.XLOOKUP(C10,'00_SKU_Master'!$B$2:$B$378,'00_SKU_Master'!$F$2:$F$378,0)*Z10,"")</f>
        <v/>
      </c>
      <c r="F8" s="586">
        <f>_xludf.IFNA(_xlfn.XLOOKUP(C10,'00_SKU_Master'!$B$2:$B$378,'00_SKU_Master'!$F$2:$F$378,0)*AA10,"")</f>
        <v/>
      </c>
      <c r="G8" s="586">
        <f>_xludf.IFNA(_xlfn.XLOOKUP(C10,'00_SKU_Master'!$B$2:$B$378,'00_SKU_Master'!$F$2:$F$378,0)*AB10,"")</f>
        <v/>
      </c>
      <c r="H8" s="586">
        <f>_xludf.IFNA(_xlfn.XLOOKUP(C10,'00_SKU_Master'!$B$2:$B$378,'00_SKU_Master'!$F$2:$F$378,0)*AC10,"")</f>
        <v/>
      </c>
      <c r="I8" s="586">
        <f>_xludf.IFNA(_xlfn.XLOOKUP(C10,'00_SKU_Master'!$B$2:$B$378,'00_SKU_Master'!$F$2:$F$378,0)*AD10,"")</f>
        <v/>
      </c>
      <c r="J8" s="586">
        <f>_xludf.IFNA(_xlfn.XLOOKUP(C10,'00_SKU_Master'!$B$2:$B$378,'00_SKU_Master'!$F$2:$F$378,0)*AE10,"")</f>
        <v/>
      </c>
      <c r="K8" s="587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88" t="n"/>
      <c r="Z8" s="589" t="n"/>
      <c r="AA8" s="589" t="n"/>
      <c r="AB8" s="589" t="n"/>
      <c r="AC8" s="589" t="n">
        <v>0</v>
      </c>
      <c r="AD8" s="589" t="n">
        <v>0</v>
      </c>
      <c r="AE8" s="589" t="n">
        <v>0</v>
      </c>
      <c r="AF8" s="587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86">
        <f>_xludf.IFNA(_xlfn.XLOOKUP(C11,'00_SKU_Master'!$B$2:$B$378,'00_SKU_Master'!$F$2:$F$378,0)*Y11,"")</f>
        <v/>
      </c>
      <c r="E9" s="586">
        <f>_xludf.IFNA(_xlfn.XLOOKUP(C11,'00_SKU_Master'!$B$2:$B$378,'00_SKU_Master'!$F$2:$F$378,0)*Z11,"")</f>
        <v/>
      </c>
      <c r="F9" s="586">
        <f>_xludf.IFNA(_xlfn.XLOOKUP(C11,'00_SKU_Master'!$B$2:$B$378,'00_SKU_Master'!$F$2:$F$378,0)*AA11,"")</f>
        <v/>
      </c>
      <c r="G9" s="586">
        <f>_xludf.IFNA(_xlfn.XLOOKUP(C11,'00_SKU_Master'!$B$2:$B$378,'00_SKU_Master'!$F$2:$F$378,0)*AB11,"")</f>
        <v/>
      </c>
      <c r="H9" s="586">
        <f>_xludf.IFNA(_xlfn.XLOOKUP(C11,'00_SKU_Master'!$B$2:$B$378,'00_SKU_Master'!$F$2:$F$378,0)*AC11,"")</f>
        <v/>
      </c>
      <c r="I9" s="586">
        <f>_xludf.IFNA(_xlfn.XLOOKUP(C11,'00_SKU_Master'!$B$2:$B$378,'00_SKU_Master'!$F$2:$F$378,0)*AD11,"")</f>
        <v/>
      </c>
      <c r="J9" s="586">
        <f>_xludf.IFNA(_xlfn.XLOOKUP(C11,'00_SKU_Master'!$B$2:$B$378,'00_SKU_Master'!$F$2:$F$378,0)*AE11,"")</f>
        <v/>
      </c>
      <c r="K9" s="587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88" t="n"/>
      <c r="Z9" s="589" t="n"/>
      <c r="AA9" s="589" t="n"/>
      <c r="AB9" s="589" t="n"/>
      <c r="AC9" s="589" t="n">
        <v>0</v>
      </c>
      <c r="AD9" s="589" t="n">
        <v>0</v>
      </c>
      <c r="AE9" s="589" t="n">
        <v>0</v>
      </c>
      <c r="AF9" s="587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86">
        <f>_xludf.IFNA(_xlfn.XLOOKUP(C12,'00_SKU_Master'!$B$2:$B$378,'00_SKU_Master'!$F$2:$F$378,0)*Y12,"")</f>
        <v/>
      </c>
      <c r="E10" s="586">
        <f>_xludf.IFNA(_xlfn.XLOOKUP(C12,'00_SKU_Master'!$B$2:$B$378,'00_SKU_Master'!$F$2:$F$378,0)*Z12,"")</f>
        <v/>
      </c>
      <c r="F10" s="586">
        <f>_xludf.IFNA(_xlfn.XLOOKUP(C12,'00_SKU_Master'!$B$2:$B$378,'00_SKU_Master'!$F$2:$F$378,0)*AA12,"")</f>
        <v/>
      </c>
      <c r="G10" s="586">
        <f>_xludf.IFNA(_xlfn.XLOOKUP(C12,'00_SKU_Master'!$B$2:$B$378,'00_SKU_Master'!$F$2:$F$378,0)*AB12,"")</f>
        <v/>
      </c>
      <c r="H10" s="586">
        <f>_xludf.IFNA(_xlfn.XLOOKUP(C12,'00_SKU_Master'!$B$2:$B$378,'00_SKU_Master'!$F$2:$F$378,0)*AC12,"")</f>
        <v/>
      </c>
      <c r="I10" s="586">
        <f>_xludf.IFNA(_xlfn.XLOOKUP(C12,'00_SKU_Master'!$B$2:$B$378,'00_SKU_Master'!$F$2:$F$378,0)*AD12,"")</f>
        <v/>
      </c>
      <c r="J10" s="586">
        <f>_xludf.IFNA(_xlfn.XLOOKUP(C12,'00_SKU_Master'!$B$2:$B$378,'00_SKU_Master'!$F$2:$F$378,0)*AE12,"")</f>
        <v/>
      </c>
      <c r="K10" s="587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88" t="n"/>
      <c r="Z10" s="589" t="n"/>
      <c r="AA10" s="589" t="n"/>
      <c r="AB10" s="589" t="n"/>
      <c r="AC10" s="589" t="n">
        <v>12</v>
      </c>
      <c r="AD10" s="589" t="n">
        <v>0</v>
      </c>
      <c r="AE10" s="589" t="n">
        <v>25</v>
      </c>
      <c r="AF10" s="587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86">
        <f>_xludf.IFNA(_xlfn.XLOOKUP(C13,'00_SKU_Master'!$B$2:$B$378,'00_SKU_Master'!$F$2:$F$378,0)*Y13,"")</f>
        <v/>
      </c>
      <c r="E11" s="586">
        <f>_xludf.IFNA(_xlfn.XLOOKUP(C13,'00_SKU_Master'!$B$2:$B$378,'00_SKU_Master'!$F$2:$F$378,0)*Z13,"")</f>
        <v/>
      </c>
      <c r="F11" s="586">
        <f>_xludf.IFNA(_xlfn.XLOOKUP(C13,'00_SKU_Master'!$B$2:$B$378,'00_SKU_Master'!$F$2:$F$378,0)*AA13,"")</f>
        <v/>
      </c>
      <c r="G11" s="586">
        <f>_xludf.IFNA(_xlfn.XLOOKUP(C13,'00_SKU_Master'!$B$2:$B$378,'00_SKU_Master'!$F$2:$F$378,0)*AB13,"")</f>
        <v/>
      </c>
      <c r="H11" s="586">
        <f>_xludf.IFNA(_xlfn.XLOOKUP(C13,'00_SKU_Master'!$B$2:$B$378,'00_SKU_Master'!$F$2:$F$378,0)*AC13,"")</f>
        <v/>
      </c>
      <c r="I11" s="586">
        <f>_xludf.IFNA(_xlfn.XLOOKUP(C13,'00_SKU_Master'!$B$2:$B$378,'00_SKU_Master'!$F$2:$F$378,0)*AD13,"")</f>
        <v/>
      </c>
      <c r="J11" s="586">
        <f>_xludf.IFNA(_xlfn.XLOOKUP(C13,'00_SKU_Master'!$B$2:$B$378,'00_SKU_Master'!$F$2:$F$378,0)*AE13,"")</f>
        <v/>
      </c>
      <c r="K11" s="587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88" t="n"/>
      <c r="Z11" s="589" t="n"/>
      <c r="AA11" s="589" t="n"/>
      <c r="AB11" s="589" t="n"/>
      <c r="AC11" s="589" t="n">
        <v>29</v>
      </c>
      <c r="AD11" s="589" t="n">
        <v>0</v>
      </c>
      <c r="AE11" s="589" t="n">
        <v>82</v>
      </c>
      <c r="AF11" s="587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86">
        <f>_xludf.IFNA(_xlfn.XLOOKUP(C14,'00_SKU_Master'!$B$2:$B$378,'00_SKU_Master'!$F$2:$F$378,0)*Y14,"")</f>
        <v/>
      </c>
      <c r="E12" s="586">
        <f>_xludf.IFNA(_xlfn.XLOOKUP(C14,'00_SKU_Master'!$B$2:$B$378,'00_SKU_Master'!$F$2:$F$378,0)*Z14,"")</f>
        <v/>
      </c>
      <c r="F12" s="586">
        <f>_xludf.IFNA(_xlfn.XLOOKUP(C14,'00_SKU_Master'!$B$2:$B$378,'00_SKU_Master'!$F$2:$F$378,0)*AA14,"")</f>
        <v/>
      </c>
      <c r="G12" s="586">
        <f>_xludf.IFNA(_xlfn.XLOOKUP(C14,'00_SKU_Master'!$B$2:$B$378,'00_SKU_Master'!$F$2:$F$378,0)*AB14,"")</f>
        <v/>
      </c>
      <c r="H12" s="586">
        <f>_xludf.IFNA(_xlfn.XLOOKUP(C14,'00_SKU_Master'!$B$2:$B$378,'00_SKU_Master'!$F$2:$F$378,0)*AC14,"")</f>
        <v/>
      </c>
      <c r="I12" s="586">
        <f>_xludf.IFNA(_xlfn.XLOOKUP(C14,'00_SKU_Master'!$B$2:$B$378,'00_SKU_Master'!$F$2:$F$378,0)*AD14,"")</f>
        <v/>
      </c>
      <c r="J12" s="586">
        <f>_xludf.IFNA(_xlfn.XLOOKUP(C14,'00_SKU_Master'!$B$2:$B$378,'00_SKU_Master'!$F$2:$F$378,0)*AE14,"")</f>
        <v/>
      </c>
      <c r="K12" s="587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88" t="n"/>
      <c r="Z12" s="589" t="n"/>
      <c r="AA12" s="589" t="n"/>
      <c r="AB12" s="589" t="n"/>
      <c r="AC12" s="589" t="n">
        <v>213</v>
      </c>
      <c r="AD12" s="589" t="n">
        <v>0</v>
      </c>
      <c r="AE12" s="589" t="n">
        <v>117</v>
      </c>
      <c r="AF12" s="587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86">
        <f>_xludf.IFNA(_xlfn.XLOOKUP(C15,'00_SKU_Master'!$B$2:$B$378,'00_SKU_Master'!$F$2:$F$378,0)*Y15,"")</f>
        <v/>
      </c>
      <c r="E13" s="586">
        <f>_xludf.IFNA(_xlfn.XLOOKUP(C15,'00_SKU_Master'!$B$2:$B$378,'00_SKU_Master'!$F$2:$F$378,0)*Z15,"")</f>
        <v/>
      </c>
      <c r="F13" s="586">
        <f>_xludf.IFNA(_xlfn.XLOOKUP(C15,'00_SKU_Master'!$B$2:$B$378,'00_SKU_Master'!$F$2:$F$378,0)*AA15,"")</f>
        <v/>
      </c>
      <c r="G13" s="586">
        <f>_xludf.IFNA(_xlfn.XLOOKUP(C15,'00_SKU_Master'!$B$2:$B$378,'00_SKU_Master'!$F$2:$F$378,0)*AB15,"")</f>
        <v/>
      </c>
      <c r="H13" s="586">
        <f>_xludf.IFNA(_xlfn.XLOOKUP(C15,'00_SKU_Master'!$B$2:$B$378,'00_SKU_Master'!$F$2:$F$378,0)*AC15,"")</f>
        <v/>
      </c>
      <c r="I13" s="586">
        <f>_xludf.IFNA(_xlfn.XLOOKUP(C15,'00_SKU_Master'!$B$2:$B$378,'00_SKU_Master'!$F$2:$F$378,0)*AD15,"")</f>
        <v/>
      </c>
      <c r="J13" s="586">
        <f>_xludf.IFNA(_xlfn.XLOOKUP(C15,'00_SKU_Master'!$B$2:$B$378,'00_SKU_Master'!$F$2:$F$378,0)*AE15,"")</f>
        <v/>
      </c>
      <c r="K13" s="587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88" t="n"/>
      <c r="Z13" s="589" t="n"/>
      <c r="AA13" s="589" t="n"/>
      <c r="AB13" s="589" t="n"/>
      <c r="AC13" s="589" t="n">
        <v>0</v>
      </c>
      <c r="AD13" s="589" t="n">
        <v>0</v>
      </c>
      <c r="AE13" s="589" t="n">
        <v>0</v>
      </c>
      <c r="AF13" s="587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86">
        <f>_xludf.IFNA(_xlfn.XLOOKUP(C16,'00_SKU_Master'!$B$2:$B$378,'00_SKU_Master'!$F$2:$F$378,0)*Y16,"")</f>
        <v/>
      </c>
      <c r="E14" s="586">
        <f>_xludf.IFNA(_xlfn.XLOOKUP(C16,'00_SKU_Master'!$B$2:$B$378,'00_SKU_Master'!$F$2:$F$378,0)*Z16,"")</f>
        <v/>
      </c>
      <c r="F14" s="586">
        <f>_xludf.IFNA(_xlfn.XLOOKUP(C16,'00_SKU_Master'!$B$2:$B$378,'00_SKU_Master'!$F$2:$F$378,0)*AA16,"")</f>
        <v/>
      </c>
      <c r="G14" s="586">
        <f>_xludf.IFNA(_xlfn.XLOOKUP(C16,'00_SKU_Master'!$B$2:$B$378,'00_SKU_Master'!$F$2:$F$378,0)*AB16,"")</f>
        <v/>
      </c>
      <c r="H14" s="586">
        <f>_xludf.IFNA(_xlfn.XLOOKUP(C16,'00_SKU_Master'!$B$2:$B$378,'00_SKU_Master'!$F$2:$F$378,0)*AC16,"")</f>
        <v/>
      </c>
      <c r="I14" s="586">
        <f>_xludf.IFNA(_xlfn.XLOOKUP(C16,'00_SKU_Master'!$B$2:$B$378,'00_SKU_Master'!$F$2:$F$378,0)*AD16,"")</f>
        <v/>
      </c>
      <c r="J14" s="586">
        <f>_xludf.IFNA(_xlfn.XLOOKUP(C16,'00_SKU_Master'!$B$2:$B$378,'00_SKU_Master'!$F$2:$F$378,0)*AE16,"")</f>
        <v/>
      </c>
      <c r="K14" s="587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88" t="n"/>
      <c r="Z14" s="589" t="n"/>
      <c r="AA14" s="589" t="n"/>
      <c r="AB14" s="589" t="n"/>
      <c r="AC14" s="589" t="n">
        <v>0</v>
      </c>
      <c r="AD14" s="589" t="n">
        <v>0</v>
      </c>
      <c r="AE14" s="589" t="n">
        <v>0</v>
      </c>
      <c r="AF14" s="587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86">
        <f>_xludf.IFNA(_xlfn.XLOOKUP(C17,'00_SKU_Master'!$B$2:$B$378,'00_SKU_Master'!$F$2:$F$378,0)*Y17,"")</f>
        <v/>
      </c>
      <c r="E15" s="586">
        <f>_xludf.IFNA(_xlfn.XLOOKUP(C17,'00_SKU_Master'!$B$2:$B$378,'00_SKU_Master'!$F$2:$F$378,0)*Z17,"")</f>
        <v/>
      </c>
      <c r="F15" s="586">
        <f>_xludf.IFNA(_xlfn.XLOOKUP(C17,'00_SKU_Master'!$B$2:$B$378,'00_SKU_Master'!$F$2:$F$378,0)*AA17,"")</f>
        <v/>
      </c>
      <c r="G15" s="586">
        <f>_xludf.IFNA(_xlfn.XLOOKUP(C17,'00_SKU_Master'!$B$2:$B$378,'00_SKU_Master'!$F$2:$F$378,0)*AB17,"")</f>
        <v/>
      </c>
      <c r="H15" s="586">
        <f>_xludf.IFNA(_xlfn.XLOOKUP(C17,'00_SKU_Master'!$B$2:$B$378,'00_SKU_Master'!$F$2:$F$378,0)*AC17,"")</f>
        <v/>
      </c>
      <c r="I15" s="586">
        <f>_xludf.IFNA(_xlfn.XLOOKUP(C17,'00_SKU_Master'!$B$2:$B$378,'00_SKU_Master'!$F$2:$F$378,0)*AD17,"")</f>
        <v/>
      </c>
      <c r="J15" s="586">
        <f>_xludf.IFNA(_xlfn.XLOOKUP(C17,'00_SKU_Master'!$B$2:$B$378,'00_SKU_Master'!$F$2:$F$378,0)*AE17,"")</f>
        <v/>
      </c>
      <c r="K15" s="587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88" t="n"/>
      <c r="Z15" s="589" t="n"/>
      <c r="AA15" s="589" t="n"/>
      <c r="AB15" s="589" t="n"/>
      <c r="AC15" s="589" t="n">
        <v>0</v>
      </c>
      <c r="AD15" s="589" t="n">
        <v>0</v>
      </c>
      <c r="AE15" s="589" t="n">
        <v>0</v>
      </c>
      <c r="AF15" s="587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86">
        <f>_xludf.IFNA(_xlfn.XLOOKUP(C18,'00_SKU_Master'!$B$2:$B$378,'00_SKU_Master'!$F$2:$F$378,0)*Y18,"")</f>
        <v/>
      </c>
      <c r="E16" s="586">
        <f>_xludf.IFNA(_xlfn.XLOOKUP(C18,'00_SKU_Master'!$B$2:$B$378,'00_SKU_Master'!$F$2:$F$378,0)*Z18,"")</f>
        <v/>
      </c>
      <c r="F16" s="586">
        <f>_xludf.IFNA(_xlfn.XLOOKUP(C18,'00_SKU_Master'!$B$2:$B$378,'00_SKU_Master'!$F$2:$F$378,0)*AA18,"")</f>
        <v/>
      </c>
      <c r="G16" s="586">
        <f>_xludf.IFNA(_xlfn.XLOOKUP(C18,'00_SKU_Master'!$B$2:$B$378,'00_SKU_Master'!$F$2:$F$378,0)*AB18,"")</f>
        <v/>
      </c>
      <c r="H16" s="586">
        <f>_xludf.IFNA(_xlfn.XLOOKUP(C18,'00_SKU_Master'!$B$2:$B$378,'00_SKU_Master'!$F$2:$F$378,0)*AC18,"")</f>
        <v/>
      </c>
      <c r="I16" s="586">
        <f>_xludf.IFNA(_xlfn.XLOOKUP(C18,'00_SKU_Master'!$B$2:$B$378,'00_SKU_Master'!$F$2:$F$378,0)*AD18,"")</f>
        <v/>
      </c>
      <c r="J16" s="586">
        <f>_xludf.IFNA(_xlfn.XLOOKUP(C18,'00_SKU_Master'!$B$2:$B$378,'00_SKU_Master'!$F$2:$F$378,0)*AE18,"")</f>
        <v/>
      </c>
      <c r="K16" s="587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88" t="n"/>
      <c r="Z16" s="589" t="n"/>
      <c r="AA16" s="589" t="n"/>
      <c r="AB16" s="589" t="n"/>
      <c r="AC16" s="589" t="n">
        <v>0</v>
      </c>
      <c r="AD16" s="589" t="n">
        <v>0</v>
      </c>
      <c r="AE16" s="589" t="n">
        <v>0</v>
      </c>
      <c r="AF16" s="587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86">
        <f>_xludf.IFNA(_xlfn.XLOOKUP(C19,'00_SKU_Master'!$B$2:$B$378,'00_SKU_Master'!$F$2:$F$378,0)*Y19,"")</f>
        <v/>
      </c>
      <c r="E17" s="586">
        <f>_xludf.IFNA(_xlfn.XLOOKUP(C19,'00_SKU_Master'!$B$2:$B$378,'00_SKU_Master'!$F$2:$F$378,0)*Z19,"")</f>
        <v/>
      </c>
      <c r="F17" s="586">
        <f>_xludf.IFNA(_xlfn.XLOOKUP(C19,'00_SKU_Master'!$B$2:$B$378,'00_SKU_Master'!$F$2:$F$378,0)*AA19,"")</f>
        <v/>
      </c>
      <c r="G17" s="586">
        <f>_xludf.IFNA(_xlfn.XLOOKUP(C19,'00_SKU_Master'!$B$2:$B$378,'00_SKU_Master'!$F$2:$F$378,0)*AB19,"")</f>
        <v/>
      </c>
      <c r="H17" s="586">
        <f>_xludf.IFNA(_xlfn.XLOOKUP(C19,'00_SKU_Master'!$B$2:$B$378,'00_SKU_Master'!$F$2:$F$378,0)*AC19,"")</f>
        <v/>
      </c>
      <c r="I17" s="586">
        <f>_xludf.IFNA(_xlfn.XLOOKUP(C19,'00_SKU_Master'!$B$2:$B$378,'00_SKU_Master'!$F$2:$F$378,0)*AD19,"")</f>
        <v/>
      </c>
      <c r="J17" s="586">
        <f>_xludf.IFNA(_xlfn.XLOOKUP(C19,'00_SKU_Master'!$B$2:$B$378,'00_SKU_Master'!$F$2:$F$378,0)*AE19,"")</f>
        <v/>
      </c>
      <c r="K17" s="587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88" t="n"/>
      <c r="Z17" s="589" t="n"/>
      <c r="AA17" s="589" t="n"/>
      <c r="AB17" s="589" t="n"/>
      <c r="AC17" s="589" t="n">
        <v>0</v>
      </c>
      <c r="AD17" s="589" t="n">
        <v>0</v>
      </c>
      <c r="AE17" s="589" t="n">
        <v>0</v>
      </c>
      <c r="AF17" s="587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86">
        <f>_xludf.IFNA(_xlfn.XLOOKUP(C20,'00_SKU_Master'!$B$2:$B$378,'00_SKU_Master'!$F$2:$F$378,0)*Y20,"")</f>
        <v/>
      </c>
      <c r="E18" s="586">
        <f>_xludf.IFNA(_xlfn.XLOOKUP(C20,'00_SKU_Master'!$B$2:$B$378,'00_SKU_Master'!$F$2:$F$378,0)*Z20,"")</f>
        <v/>
      </c>
      <c r="F18" s="586">
        <f>_xludf.IFNA(_xlfn.XLOOKUP(C20,'00_SKU_Master'!$B$2:$B$378,'00_SKU_Master'!$F$2:$F$378,0)*AA20,"")</f>
        <v/>
      </c>
      <c r="G18" s="586">
        <f>_xludf.IFNA(_xlfn.XLOOKUP(C20,'00_SKU_Master'!$B$2:$B$378,'00_SKU_Master'!$F$2:$F$378,0)*AB20,"")</f>
        <v/>
      </c>
      <c r="H18" s="586">
        <f>_xludf.IFNA(_xlfn.XLOOKUP(C20,'00_SKU_Master'!$B$2:$B$378,'00_SKU_Master'!$F$2:$F$378,0)*AC20,"")</f>
        <v/>
      </c>
      <c r="I18" s="586">
        <f>_xludf.IFNA(_xlfn.XLOOKUP(C20,'00_SKU_Master'!$B$2:$B$378,'00_SKU_Master'!$F$2:$F$378,0)*AD20,"")</f>
        <v/>
      </c>
      <c r="J18" s="586">
        <f>_xludf.IFNA(_xlfn.XLOOKUP(C20,'00_SKU_Master'!$B$2:$B$378,'00_SKU_Master'!$F$2:$F$378,0)*AE20,"")</f>
        <v/>
      </c>
      <c r="K18" s="587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88" t="n"/>
      <c r="Z18" s="589" t="n"/>
      <c r="AA18" s="589" t="n"/>
      <c r="AB18" s="589" t="n"/>
      <c r="AC18" s="589" t="n">
        <v>0</v>
      </c>
      <c r="AD18" s="589" t="n">
        <v>0</v>
      </c>
      <c r="AE18" s="589" t="n">
        <v>0</v>
      </c>
      <c r="AF18" s="587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86">
        <f>_xludf.IFNA(_xlfn.XLOOKUP(C21,'00_SKU_Master'!$B$2:$B$378,'00_SKU_Master'!$F$2:$F$378,0)*Y21,"")</f>
        <v/>
      </c>
      <c r="E19" s="586">
        <f>_xludf.IFNA(_xlfn.XLOOKUP(C21,'00_SKU_Master'!$B$2:$B$378,'00_SKU_Master'!$F$2:$F$378,0)*Z21,"")</f>
        <v/>
      </c>
      <c r="F19" s="586">
        <f>_xludf.IFNA(_xlfn.XLOOKUP(C21,'00_SKU_Master'!$B$2:$B$378,'00_SKU_Master'!$F$2:$F$378,0)*AA21,"")</f>
        <v/>
      </c>
      <c r="G19" s="586">
        <f>_xludf.IFNA(_xlfn.XLOOKUP(C21,'00_SKU_Master'!$B$2:$B$378,'00_SKU_Master'!$F$2:$F$378,0)*AB21,"")</f>
        <v/>
      </c>
      <c r="H19" s="586">
        <f>_xludf.IFNA(_xlfn.XLOOKUP(C21,'00_SKU_Master'!$B$2:$B$378,'00_SKU_Master'!$F$2:$F$378,0)*AC21,"")</f>
        <v/>
      </c>
      <c r="I19" s="586">
        <f>_xludf.IFNA(_xlfn.XLOOKUP(C21,'00_SKU_Master'!$B$2:$B$378,'00_SKU_Master'!$F$2:$F$378,0)*AD21,"")</f>
        <v/>
      </c>
      <c r="J19" s="586">
        <f>_xludf.IFNA(_xlfn.XLOOKUP(C21,'00_SKU_Master'!$B$2:$B$378,'00_SKU_Master'!$F$2:$F$378,0)*AE21,"")</f>
        <v/>
      </c>
      <c r="K19" s="587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88" t="n"/>
      <c r="Z19" s="589" t="n"/>
      <c r="AA19" s="589" t="n"/>
      <c r="AB19" s="589" t="n"/>
      <c r="AC19" s="589" t="n">
        <v>106</v>
      </c>
      <c r="AD19" s="589" t="n">
        <v>0</v>
      </c>
      <c r="AE19" s="589" t="n">
        <v>115</v>
      </c>
      <c r="AF19" s="587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86">
        <f>_xludf.IFNA(_xlfn.XLOOKUP(C22,'00_SKU_Master'!$B$2:$B$378,'00_SKU_Master'!$F$2:$F$378,0)*Y22,"")</f>
        <v/>
      </c>
      <c r="E20" s="586">
        <f>_xludf.IFNA(_xlfn.XLOOKUP(C22,'00_SKU_Master'!$B$2:$B$378,'00_SKU_Master'!$F$2:$F$378,0)*Z22,"")</f>
        <v/>
      </c>
      <c r="F20" s="586">
        <f>_xludf.IFNA(_xlfn.XLOOKUP(C22,'00_SKU_Master'!$B$2:$B$378,'00_SKU_Master'!$F$2:$F$378,0)*AA22,"")</f>
        <v/>
      </c>
      <c r="G20" s="586">
        <f>_xludf.IFNA(_xlfn.XLOOKUP(C22,'00_SKU_Master'!$B$2:$B$378,'00_SKU_Master'!$F$2:$F$378,0)*AB22,"")</f>
        <v/>
      </c>
      <c r="H20" s="586">
        <f>_xludf.IFNA(_xlfn.XLOOKUP(C22,'00_SKU_Master'!$B$2:$B$378,'00_SKU_Master'!$F$2:$F$378,0)*AC22,"")</f>
        <v/>
      </c>
      <c r="I20" s="586">
        <f>_xludf.IFNA(_xlfn.XLOOKUP(C22,'00_SKU_Master'!$B$2:$B$378,'00_SKU_Master'!$F$2:$F$378,0)*AD22,"")</f>
        <v/>
      </c>
      <c r="J20" s="586">
        <f>_xludf.IFNA(_xlfn.XLOOKUP(C22,'00_SKU_Master'!$B$2:$B$378,'00_SKU_Master'!$F$2:$F$378,0)*AE22,"")</f>
        <v/>
      </c>
      <c r="K20" s="587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88" t="n"/>
      <c r="Z20" s="589" t="n"/>
      <c r="AA20" s="589" t="n"/>
      <c r="AB20" s="589" t="n"/>
      <c r="AC20" s="589" t="n">
        <v>151</v>
      </c>
      <c r="AD20" s="589" t="n">
        <v>0</v>
      </c>
      <c r="AE20" s="589" t="n">
        <v>128</v>
      </c>
      <c r="AF20" s="587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86">
        <f>_xludf.IFNA(_xlfn.XLOOKUP(C23,'00_SKU_Master'!$B$2:$B$378,'00_SKU_Master'!$F$2:$F$378,0)*Y23,"")</f>
        <v/>
      </c>
      <c r="E21" s="586">
        <f>_xludf.IFNA(_xlfn.XLOOKUP(C23,'00_SKU_Master'!$B$2:$B$378,'00_SKU_Master'!$F$2:$F$378,0)*Z23,"")</f>
        <v/>
      </c>
      <c r="F21" s="586">
        <f>_xludf.IFNA(_xlfn.XLOOKUP(C23,'00_SKU_Master'!$B$2:$B$378,'00_SKU_Master'!$F$2:$F$378,0)*AA23,"")</f>
        <v/>
      </c>
      <c r="G21" s="586">
        <f>_xludf.IFNA(_xlfn.XLOOKUP(C23,'00_SKU_Master'!$B$2:$B$378,'00_SKU_Master'!$F$2:$F$378,0)*AB23,"")</f>
        <v/>
      </c>
      <c r="H21" s="586">
        <f>_xludf.IFNA(_xlfn.XLOOKUP(C23,'00_SKU_Master'!$B$2:$B$378,'00_SKU_Master'!$F$2:$F$378,0)*AC23,"")</f>
        <v/>
      </c>
      <c r="I21" s="586">
        <f>_xludf.IFNA(_xlfn.XLOOKUP(C23,'00_SKU_Master'!$B$2:$B$378,'00_SKU_Master'!$F$2:$F$378,0)*AD23,"")</f>
        <v/>
      </c>
      <c r="J21" s="586">
        <f>_xludf.IFNA(_xlfn.XLOOKUP(C23,'00_SKU_Master'!$B$2:$B$378,'00_SKU_Master'!$F$2:$F$378,0)*AE23,"")</f>
        <v/>
      </c>
      <c r="K21" s="587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88" t="n"/>
      <c r="Z21" s="589" t="n"/>
      <c r="AA21" s="589" t="n"/>
      <c r="AB21" s="589" t="n"/>
      <c r="AC21" s="589" t="n">
        <v>0</v>
      </c>
      <c r="AD21" s="589" t="n">
        <v>0</v>
      </c>
      <c r="AE21" s="589" t="n">
        <v>78</v>
      </c>
      <c r="AF21" s="587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86">
        <f>_xludf.IFNA(_xlfn.XLOOKUP(C24,'00_SKU_Master'!$B$2:$B$378,'00_SKU_Master'!$F$2:$F$378,0)*Y24,"")</f>
        <v/>
      </c>
      <c r="E22" s="586">
        <f>_xludf.IFNA(_xlfn.XLOOKUP(C24,'00_SKU_Master'!$B$2:$B$378,'00_SKU_Master'!$F$2:$F$378,0)*Z24,"")</f>
        <v/>
      </c>
      <c r="F22" s="586">
        <f>_xludf.IFNA(_xlfn.XLOOKUP(C24,'00_SKU_Master'!$B$2:$B$378,'00_SKU_Master'!$F$2:$F$378,0)*AA24,"")</f>
        <v/>
      </c>
      <c r="G22" s="586">
        <f>_xludf.IFNA(_xlfn.XLOOKUP(C24,'00_SKU_Master'!$B$2:$B$378,'00_SKU_Master'!$F$2:$F$378,0)*AB24,"")</f>
        <v/>
      </c>
      <c r="H22" s="586">
        <f>_xludf.IFNA(_xlfn.XLOOKUP(C24,'00_SKU_Master'!$B$2:$B$378,'00_SKU_Master'!$F$2:$F$378,0)*AC24,"")</f>
        <v/>
      </c>
      <c r="I22" s="586">
        <f>_xludf.IFNA(_xlfn.XLOOKUP(C24,'00_SKU_Master'!$B$2:$B$378,'00_SKU_Master'!$F$2:$F$378,0)*AD24,"")</f>
        <v/>
      </c>
      <c r="J22" s="586">
        <f>_xludf.IFNA(_xlfn.XLOOKUP(C24,'00_SKU_Master'!$B$2:$B$378,'00_SKU_Master'!$F$2:$F$378,0)*AE24,"")</f>
        <v/>
      </c>
      <c r="K22" s="587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88" t="n"/>
      <c r="Z22" s="589" t="n"/>
      <c r="AA22" s="589" t="n"/>
      <c r="AB22" s="589" t="n"/>
      <c r="AC22" s="589" t="n">
        <v>0</v>
      </c>
      <c r="AD22" s="589" t="n">
        <v>0</v>
      </c>
      <c r="AE22" s="589" t="n">
        <v>0</v>
      </c>
      <c r="AF22" s="587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86">
        <f>_xludf.IFNA(_xlfn.XLOOKUP(C25,'00_SKU_Master'!$B$2:$B$378,'00_SKU_Master'!$F$2:$F$378,0)*Y25,"")</f>
        <v/>
      </c>
      <c r="E23" s="586">
        <f>_xludf.IFNA(_xlfn.XLOOKUP(C25,'00_SKU_Master'!$B$2:$B$378,'00_SKU_Master'!$F$2:$F$378,0)*Z25,"")</f>
        <v/>
      </c>
      <c r="F23" s="586">
        <f>_xludf.IFNA(_xlfn.XLOOKUP(C25,'00_SKU_Master'!$B$2:$B$378,'00_SKU_Master'!$F$2:$F$378,0)*AA25,"")</f>
        <v/>
      </c>
      <c r="G23" s="586">
        <f>_xludf.IFNA(_xlfn.XLOOKUP(C25,'00_SKU_Master'!$B$2:$B$378,'00_SKU_Master'!$F$2:$F$378,0)*AB25,"")</f>
        <v/>
      </c>
      <c r="H23" s="586">
        <f>_xludf.IFNA(_xlfn.XLOOKUP(C25,'00_SKU_Master'!$B$2:$B$378,'00_SKU_Master'!$F$2:$F$378,0)*AC25,"")</f>
        <v/>
      </c>
      <c r="I23" s="586">
        <f>_xludf.IFNA(_xlfn.XLOOKUP(C25,'00_SKU_Master'!$B$2:$B$378,'00_SKU_Master'!$F$2:$F$378,0)*AD25,"")</f>
        <v/>
      </c>
      <c r="J23" s="586">
        <f>_xludf.IFNA(_xlfn.XLOOKUP(C25,'00_SKU_Master'!$B$2:$B$378,'00_SKU_Master'!$F$2:$F$378,0)*AE25,"")</f>
        <v/>
      </c>
      <c r="K23" s="587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88" t="n"/>
      <c r="Z23" s="589" t="n"/>
      <c r="AA23" s="589" t="n"/>
      <c r="AB23" s="589" t="n"/>
      <c r="AC23" s="589" t="n">
        <v>0</v>
      </c>
      <c r="AD23" s="589" t="n">
        <v>0</v>
      </c>
      <c r="AE23" s="589" t="n">
        <v>0</v>
      </c>
      <c r="AF23" s="587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86">
        <f>_xludf.IFNA(_xlfn.XLOOKUP(C26,'00_SKU_Master'!$B$2:$B$378,'00_SKU_Master'!$F$2:$F$378,0)*Y26,"")</f>
        <v/>
      </c>
      <c r="E24" s="586">
        <f>_xludf.IFNA(_xlfn.XLOOKUP(C26,'00_SKU_Master'!$B$2:$B$378,'00_SKU_Master'!$F$2:$F$378,0)*Z26,"")</f>
        <v/>
      </c>
      <c r="F24" s="586">
        <f>_xludf.IFNA(_xlfn.XLOOKUP(C26,'00_SKU_Master'!$B$2:$B$378,'00_SKU_Master'!$F$2:$F$378,0)*AA26,"")</f>
        <v/>
      </c>
      <c r="G24" s="586">
        <f>_xludf.IFNA(_xlfn.XLOOKUP(C26,'00_SKU_Master'!$B$2:$B$378,'00_SKU_Master'!$F$2:$F$378,0)*AB26,"")</f>
        <v/>
      </c>
      <c r="H24" s="586">
        <f>_xludf.IFNA(_xlfn.XLOOKUP(C26,'00_SKU_Master'!$B$2:$B$378,'00_SKU_Master'!$F$2:$F$378,0)*AC26,"")</f>
        <v/>
      </c>
      <c r="I24" s="586">
        <f>_xludf.IFNA(_xlfn.XLOOKUP(C26,'00_SKU_Master'!$B$2:$B$378,'00_SKU_Master'!$F$2:$F$378,0)*AD26,"")</f>
        <v/>
      </c>
      <c r="J24" s="586">
        <f>_xludf.IFNA(_xlfn.XLOOKUP(C26,'00_SKU_Master'!$B$2:$B$378,'00_SKU_Master'!$F$2:$F$378,0)*AE26,"")</f>
        <v/>
      </c>
      <c r="K24" s="587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88" t="n"/>
      <c r="Z24" s="589" t="n"/>
      <c r="AA24" s="589" t="n"/>
      <c r="AB24" s="589" t="n"/>
      <c r="AC24" s="589" t="n">
        <v>0</v>
      </c>
      <c r="AD24" s="589" t="n">
        <v>0</v>
      </c>
      <c r="AE24" s="589" t="n">
        <v>0</v>
      </c>
      <c r="AF24" s="587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86">
        <f>_xludf.IFNA(_xlfn.XLOOKUP(C27,'00_SKU_Master'!$B$2:$B$378,'00_SKU_Master'!$F$2:$F$378,0)*Y27,"")</f>
        <v/>
      </c>
      <c r="E25" s="586">
        <f>_xludf.IFNA(_xlfn.XLOOKUP(C27,'00_SKU_Master'!$B$2:$B$378,'00_SKU_Master'!$F$2:$F$378,0)*Z27,"")</f>
        <v/>
      </c>
      <c r="F25" s="586">
        <f>_xludf.IFNA(_xlfn.XLOOKUP(C27,'00_SKU_Master'!$B$2:$B$378,'00_SKU_Master'!$F$2:$F$378,0)*AA27,"")</f>
        <v/>
      </c>
      <c r="G25" s="586">
        <f>_xludf.IFNA(_xlfn.XLOOKUP(C27,'00_SKU_Master'!$B$2:$B$378,'00_SKU_Master'!$F$2:$F$378,0)*AB27,"")</f>
        <v/>
      </c>
      <c r="H25" s="586">
        <f>_xludf.IFNA(_xlfn.XLOOKUP(C27,'00_SKU_Master'!$B$2:$B$378,'00_SKU_Master'!$F$2:$F$378,0)*AC27,"")</f>
        <v/>
      </c>
      <c r="I25" s="586">
        <f>_xludf.IFNA(_xlfn.XLOOKUP(C27,'00_SKU_Master'!$B$2:$B$378,'00_SKU_Master'!$F$2:$F$378,0)*AD27,"")</f>
        <v/>
      </c>
      <c r="J25" s="586">
        <f>_xludf.IFNA(_xlfn.XLOOKUP(C27,'00_SKU_Master'!$B$2:$B$378,'00_SKU_Master'!$F$2:$F$378,0)*AE27,"")</f>
        <v/>
      </c>
      <c r="K25" s="587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88" t="n"/>
      <c r="Z25" s="589" t="n"/>
      <c r="AA25" s="589" t="n"/>
      <c r="AB25" s="589" t="n"/>
      <c r="AC25" s="589" t="n">
        <v>0</v>
      </c>
      <c r="AD25" s="589" t="n">
        <v>0</v>
      </c>
      <c r="AE25" s="589" t="n">
        <v>0</v>
      </c>
      <c r="AF25" s="587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86">
        <f>_xludf.IFNA(_xlfn.XLOOKUP(C28,'00_SKU_Master'!$B$2:$B$378,'00_SKU_Master'!$F$2:$F$378,0)*Y28,"")</f>
        <v/>
      </c>
      <c r="E26" s="586">
        <f>_xludf.IFNA(_xlfn.XLOOKUP(C28,'00_SKU_Master'!$B$2:$B$378,'00_SKU_Master'!$F$2:$F$378,0)*Z28,"")</f>
        <v/>
      </c>
      <c r="F26" s="586">
        <f>_xludf.IFNA(_xlfn.XLOOKUP(C28,'00_SKU_Master'!$B$2:$B$378,'00_SKU_Master'!$F$2:$F$378,0)*AA28,"")</f>
        <v/>
      </c>
      <c r="G26" s="586">
        <f>_xludf.IFNA(_xlfn.XLOOKUP(C28,'00_SKU_Master'!$B$2:$B$378,'00_SKU_Master'!$F$2:$F$378,0)*AB28,"")</f>
        <v/>
      </c>
      <c r="H26" s="586">
        <f>_xludf.IFNA(_xlfn.XLOOKUP(C28,'00_SKU_Master'!$B$2:$B$378,'00_SKU_Master'!$F$2:$F$378,0)*AC28,"")</f>
        <v/>
      </c>
      <c r="I26" s="586">
        <f>_xludf.IFNA(_xlfn.XLOOKUP(C28,'00_SKU_Master'!$B$2:$B$378,'00_SKU_Master'!$F$2:$F$378,0)*AD28,"")</f>
        <v/>
      </c>
      <c r="J26" s="586">
        <f>_xludf.IFNA(_xlfn.XLOOKUP(C28,'00_SKU_Master'!$B$2:$B$378,'00_SKU_Master'!$F$2:$F$378,0)*AE28,"")</f>
        <v/>
      </c>
      <c r="K26" s="587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88" t="n"/>
      <c r="Z26" s="589" t="n"/>
      <c r="AA26" s="589" t="n"/>
      <c r="AB26" s="589" t="n"/>
      <c r="AC26" s="589" t="n">
        <v>315</v>
      </c>
      <c r="AD26" s="589" t="n">
        <v>0</v>
      </c>
      <c r="AE26" s="589" t="n">
        <v>320</v>
      </c>
      <c r="AF26" s="587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86">
        <f>_xludf.IFNA(_xlfn.XLOOKUP(C29,'00_SKU_Master'!$B$2:$B$378,'00_SKU_Master'!$F$2:$F$378,0)*Y29,"")</f>
        <v/>
      </c>
      <c r="E27" s="586">
        <f>_xludf.IFNA(_xlfn.XLOOKUP(C29,'00_SKU_Master'!$B$2:$B$378,'00_SKU_Master'!$F$2:$F$378,0)*Z29,"")</f>
        <v/>
      </c>
      <c r="F27" s="586">
        <f>_xludf.IFNA(_xlfn.XLOOKUP(C29,'00_SKU_Master'!$B$2:$B$378,'00_SKU_Master'!$F$2:$F$378,0)*AA29,"")</f>
        <v/>
      </c>
      <c r="G27" s="586">
        <f>_xludf.IFNA(_xlfn.XLOOKUP(C29,'00_SKU_Master'!$B$2:$B$378,'00_SKU_Master'!$F$2:$F$378,0)*AB29,"")</f>
        <v/>
      </c>
      <c r="H27" s="586">
        <f>_xludf.IFNA(_xlfn.XLOOKUP(C29,'00_SKU_Master'!$B$2:$B$378,'00_SKU_Master'!$F$2:$F$378,0)*AC29,"")</f>
        <v/>
      </c>
      <c r="I27" s="586">
        <f>_xludf.IFNA(_xlfn.XLOOKUP(C29,'00_SKU_Master'!$B$2:$B$378,'00_SKU_Master'!$F$2:$F$378,0)*AD29,"")</f>
        <v/>
      </c>
      <c r="J27" s="586">
        <f>_xludf.IFNA(_xlfn.XLOOKUP(C29,'00_SKU_Master'!$B$2:$B$378,'00_SKU_Master'!$F$2:$F$378,0)*AE29,"")</f>
        <v/>
      </c>
      <c r="K27" s="587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88" t="n"/>
      <c r="Z27" s="589" t="n"/>
      <c r="AA27" s="589" t="n"/>
      <c r="AB27" s="589" t="n"/>
      <c r="AC27" s="589" t="n">
        <v>79</v>
      </c>
      <c r="AD27" s="589" t="n">
        <v>0</v>
      </c>
      <c r="AE27" s="589" t="n">
        <v>115</v>
      </c>
      <c r="AF27" s="587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86">
        <f>_xludf.IFNA(_xlfn.XLOOKUP(C30,'00_SKU_Master'!$B$2:$B$378,'00_SKU_Master'!$F$2:$F$378,0)*Y30,"")</f>
        <v/>
      </c>
      <c r="E28" s="586">
        <f>_xludf.IFNA(_xlfn.XLOOKUP(C30,'00_SKU_Master'!$B$2:$B$378,'00_SKU_Master'!$F$2:$F$378,0)*Z30,"")</f>
        <v/>
      </c>
      <c r="F28" s="586">
        <f>_xludf.IFNA(_xlfn.XLOOKUP(C30,'00_SKU_Master'!$B$2:$B$378,'00_SKU_Master'!$F$2:$F$378,0)*AA30,"")</f>
        <v/>
      </c>
      <c r="G28" s="586">
        <f>_xludf.IFNA(_xlfn.XLOOKUP(C30,'00_SKU_Master'!$B$2:$B$378,'00_SKU_Master'!$F$2:$F$378,0)*AB30,"")</f>
        <v/>
      </c>
      <c r="H28" s="586">
        <f>_xludf.IFNA(_xlfn.XLOOKUP(C30,'00_SKU_Master'!$B$2:$B$378,'00_SKU_Master'!$F$2:$F$378,0)*AC30,"")</f>
        <v/>
      </c>
      <c r="I28" s="586">
        <f>_xludf.IFNA(_xlfn.XLOOKUP(C30,'00_SKU_Master'!$B$2:$B$378,'00_SKU_Master'!$F$2:$F$378,0)*AD30,"")</f>
        <v/>
      </c>
      <c r="J28" s="586">
        <f>_xludf.IFNA(_xlfn.XLOOKUP(C30,'00_SKU_Master'!$B$2:$B$378,'00_SKU_Master'!$F$2:$F$378,0)*AE30,"")</f>
        <v/>
      </c>
      <c r="K28" s="587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88" t="n"/>
      <c r="Z28" s="589" t="n"/>
      <c r="AA28" s="589" t="n"/>
      <c r="AB28" s="589" t="n"/>
      <c r="AC28" s="589" t="n">
        <v>22</v>
      </c>
      <c r="AD28" s="589" t="n">
        <v>0</v>
      </c>
      <c r="AE28" s="589" t="n">
        <v>98</v>
      </c>
      <c r="AF28" s="587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86">
        <f>_xludf.IFNA(_xlfn.XLOOKUP(C31,'00_SKU_Master'!$B$2:$B$378,'00_SKU_Master'!$F$2:$F$378,0)*Y31,"")</f>
        <v/>
      </c>
      <c r="E29" s="586">
        <f>_xludf.IFNA(_xlfn.XLOOKUP(C31,'00_SKU_Master'!$B$2:$B$378,'00_SKU_Master'!$F$2:$F$378,0)*Z31,"")</f>
        <v/>
      </c>
      <c r="F29" s="586">
        <f>_xludf.IFNA(_xlfn.XLOOKUP(C31,'00_SKU_Master'!$B$2:$B$378,'00_SKU_Master'!$F$2:$F$378,0)*AA31,"")</f>
        <v/>
      </c>
      <c r="G29" s="586">
        <f>_xludf.IFNA(_xlfn.XLOOKUP(C31,'00_SKU_Master'!$B$2:$B$378,'00_SKU_Master'!$F$2:$F$378,0)*AB31,"")</f>
        <v/>
      </c>
      <c r="H29" s="586">
        <f>_xludf.IFNA(_xlfn.XLOOKUP(C31,'00_SKU_Master'!$B$2:$B$378,'00_SKU_Master'!$F$2:$F$378,0)*AC31,"")</f>
        <v/>
      </c>
      <c r="I29" s="586">
        <f>_xludf.IFNA(_xlfn.XLOOKUP(C31,'00_SKU_Master'!$B$2:$B$378,'00_SKU_Master'!$F$2:$F$378,0)*AD31,"")</f>
        <v/>
      </c>
      <c r="J29" s="586">
        <f>_xludf.IFNA(_xlfn.XLOOKUP(C31,'00_SKU_Master'!$B$2:$B$378,'00_SKU_Master'!$F$2:$F$378,0)*AE31,"")</f>
        <v/>
      </c>
      <c r="K29" s="587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88" t="n"/>
      <c r="Z29" s="589" t="n"/>
      <c r="AA29" s="589" t="n"/>
      <c r="AB29" s="589" t="n"/>
      <c r="AC29" s="589" t="n">
        <v>49</v>
      </c>
      <c r="AD29" s="589" t="n">
        <v>0</v>
      </c>
      <c r="AE29" s="589" t="n">
        <v>148</v>
      </c>
      <c r="AF29" s="587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86">
        <f>_xludf.IFNA(_xlfn.XLOOKUP(C32,'00_SKU_Master'!$B$2:$B$378,'00_SKU_Master'!$F$2:$F$378,0)*Y32,"")</f>
        <v/>
      </c>
      <c r="E30" s="586">
        <f>_xludf.IFNA(_xlfn.XLOOKUP(C32,'00_SKU_Master'!$B$2:$B$378,'00_SKU_Master'!$F$2:$F$378,0)*Z32,"")</f>
        <v/>
      </c>
      <c r="F30" s="586">
        <f>_xludf.IFNA(_xlfn.XLOOKUP(C32,'00_SKU_Master'!$B$2:$B$378,'00_SKU_Master'!$F$2:$F$378,0)*AA32,"")</f>
        <v/>
      </c>
      <c r="G30" s="586">
        <f>_xludf.IFNA(_xlfn.XLOOKUP(C32,'00_SKU_Master'!$B$2:$B$378,'00_SKU_Master'!$F$2:$F$378,0)*AB32,"")</f>
        <v/>
      </c>
      <c r="H30" s="586">
        <f>_xludf.IFNA(_xlfn.XLOOKUP(C32,'00_SKU_Master'!$B$2:$B$378,'00_SKU_Master'!$F$2:$F$378,0)*AC32,"")</f>
        <v/>
      </c>
      <c r="I30" s="586">
        <f>_xludf.IFNA(_xlfn.XLOOKUP(C32,'00_SKU_Master'!$B$2:$B$378,'00_SKU_Master'!$F$2:$F$378,0)*AD32,"")</f>
        <v/>
      </c>
      <c r="J30" s="586">
        <f>_xludf.IFNA(_xlfn.XLOOKUP(C32,'00_SKU_Master'!$B$2:$B$378,'00_SKU_Master'!$F$2:$F$378,0)*AE32,"")</f>
        <v/>
      </c>
      <c r="K30" s="587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88" t="n"/>
      <c r="Z30" s="589" t="n"/>
      <c r="AA30" s="589" t="n"/>
      <c r="AB30" s="589" t="n"/>
      <c r="AC30" s="589" t="n">
        <v>55</v>
      </c>
      <c r="AD30" s="589" t="n">
        <v>0</v>
      </c>
      <c r="AE30" s="589" t="n">
        <v>31</v>
      </c>
      <c r="AF30" s="587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86">
        <f>_xludf.IFNA(_xlfn.XLOOKUP(C33,'00_SKU_Master'!$B$2:$B$378,'00_SKU_Master'!$F$2:$F$378,0)*Y33,"")</f>
        <v/>
      </c>
      <c r="E31" s="586">
        <f>_xludf.IFNA(_xlfn.XLOOKUP(C33,'00_SKU_Master'!$B$2:$B$378,'00_SKU_Master'!$F$2:$F$378,0)*Z33,"")</f>
        <v/>
      </c>
      <c r="F31" s="586">
        <f>_xludf.IFNA(_xlfn.XLOOKUP(C33,'00_SKU_Master'!$B$2:$B$378,'00_SKU_Master'!$F$2:$F$378,0)*AA33,"")</f>
        <v/>
      </c>
      <c r="G31" s="586">
        <f>_xludf.IFNA(_xlfn.XLOOKUP(C33,'00_SKU_Master'!$B$2:$B$378,'00_SKU_Master'!$F$2:$F$378,0)*AB33,"")</f>
        <v/>
      </c>
      <c r="H31" s="586">
        <f>_xludf.IFNA(_xlfn.XLOOKUP(C33,'00_SKU_Master'!$B$2:$B$378,'00_SKU_Master'!$F$2:$F$378,0)*AC33,"")</f>
        <v/>
      </c>
      <c r="I31" s="586">
        <f>_xludf.IFNA(_xlfn.XLOOKUP(C33,'00_SKU_Master'!$B$2:$B$378,'00_SKU_Master'!$F$2:$F$378,0)*AD33,"")</f>
        <v/>
      </c>
      <c r="J31" s="586">
        <f>_xludf.IFNA(_xlfn.XLOOKUP(C33,'00_SKU_Master'!$B$2:$B$378,'00_SKU_Master'!$F$2:$F$378,0)*AE33,"")</f>
        <v/>
      </c>
      <c r="K31" s="587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88" t="n"/>
      <c r="Z31" s="589" t="n"/>
      <c r="AA31" s="589" t="n"/>
      <c r="AB31" s="589" t="n"/>
      <c r="AC31" s="589" t="n">
        <v>130</v>
      </c>
      <c r="AD31" s="589" t="n">
        <v>0</v>
      </c>
      <c r="AE31" s="589" t="n">
        <v>0</v>
      </c>
      <c r="AF31" s="587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86">
        <f>_xludf.IFNA(_xlfn.XLOOKUP(C34,'00_SKU_Master'!$B$2:$B$378,'00_SKU_Master'!$F$2:$F$378,0)*Y34,"")</f>
        <v/>
      </c>
      <c r="E32" s="586">
        <f>_xludf.IFNA(_xlfn.XLOOKUP(C34,'00_SKU_Master'!$B$2:$B$378,'00_SKU_Master'!$F$2:$F$378,0)*Z34,"")</f>
        <v/>
      </c>
      <c r="F32" s="586">
        <f>_xludf.IFNA(_xlfn.XLOOKUP(C34,'00_SKU_Master'!$B$2:$B$378,'00_SKU_Master'!$F$2:$F$378,0)*AA34,"")</f>
        <v/>
      </c>
      <c r="G32" s="586">
        <f>_xludf.IFNA(_xlfn.XLOOKUP(C34,'00_SKU_Master'!$B$2:$B$378,'00_SKU_Master'!$F$2:$F$378,0)*AB34,"")</f>
        <v/>
      </c>
      <c r="H32" s="586">
        <f>_xludf.IFNA(_xlfn.XLOOKUP(C34,'00_SKU_Master'!$B$2:$B$378,'00_SKU_Master'!$F$2:$F$378,0)*AC34,"")</f>
        <v/>
      </c>
      <c r="I32" s="586">
        <f>_xludf.IFNA(_xlfn.XLOOKUP(C34,'00_SKU_Master'!$B$2:$B$378,'00_SKU_Master'!$F$2:$F$378,0)*AD34,"")</f>
        <v/>
      </c>
      <c r="J32" s="586">
        <f>_xludf.IFNA(_xlfn.XLOOKUP(C34,'00_SKU_Master'!$B$2:$B$378,'00_SKU_Master'!$F$2:$F$378,0)*AE34,"")</f>
        <v/>
      </c>
      <c r="K32" s="587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88" t="n"/>
      <c r="Z32" s="589" t="n"/>
      <c r="AA32" s="589" t="n"/>
      <c r="AB32" s="589" t="n"/>
      <c r="AC32" s="589" t="n">
        <v>160</v>
      </c>
      <c r="AD32" s="589" t="n">
        <v>0</v>
      </c>
      <c r="AE32" s="589" t="n">
        <v>0</v>
      </c>
      <c r="AF32" s="587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86">
        <f>_xludf.IFNA(_xlfn.XLOOKUP(C35,'00_SKU_Master'!$B$2:$B$378,'00_SKU_Master'!$F$2:$F$378,0)*Y35,"")</f>
        <v/>
      </c>
      <c r="E33" s="586">
        <f>_xludf.IFNA(_xlfn.XLOOKUP(C35,'00_SKU_Master'!$B$2:$B$378,'00_SKU_Master'!$F$2:$F$378,0)*Z35,"")</f>
        <v/>
      </c>
      <c r="F33" s="586">
        <f>_xludf.IFNA(_xlfn.XLOOKUP(C35,'00_SKU_Master'!$B$2:$B$378,'00_SKU_Master'!$F$2:$F$378,0)*AA35,"")</f>
        <v/>
      </c>
      <c r="G33" s="586">
        <f>_xludf.IFNA(_xlfn.XLOOKUP(C35,'00_SKU_Master'!$B$2:$B$378,'00_SKU_Master'!$F$2:$F$378,0)*AB35,"")</f>
        <v/>
      </c>
      <c r="H33" s="586">
        <f>_xludf.IFNA(_xlfn.XLOOKUP(C35,'00_SKU_Master'!$B$2:$B$378,'00_SKU_Master'!$F$2:$F$378,0)*AC35,"")</f>
        <v/>
      </c>
      <c r="I33" s="586">
        <f>_xludf.IFNA(_xlfn.XLOOKUP(C35,'00_SKU_Master'!$B$2:$B$378,'00_SKU_Master'!$F$2:$F$378,0)*AD35,"")</f>
        <v/>
      </c>
      <c r="J33" s="586">
        <f>_xludf.IFNA(_xlfn.XLOOKUP(C35,'00_SKU_Master'!$B$2:$B$378,'00_SKU_Master'!$F$2:$F$378,0)*AE35,"")</f>
        <v/>
      </c>
      <c r="K33" s="587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88" t="n"/>
      <c r="Z33" s="589" t="n"/>
      <c r="AA33" s="589" t="n"/>
      <c r="AB33" s="589" t="n"/>
      <c r="AC33" s="589" t="n">
        <v>0</v>
      </c>
      <c r="AD33" s="589" t="n">
        <v>0</v>
      </c>
      <c r="AE33" s="589" t="n">
        <v>0</v>
      </c>
      <c r="AF33" s="587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86">
        <f>_xludf.IFNA(_xlfn.XLOOKUP(C36,'00_SKU_Master'!$B$2:$B$378,'00_SKU_Master'!$F$2:$F$378,0)*Y36,"")</f>
        <v/>
      </c>
      <c r="E34" s="586">
        <f>_xludf.IFNA(_xlfn.XLOOKUP(C36,'00_SKU_Master'!$B$2:$B$378,'00_SKU_Master'!$F$2:$F$378,0)*Z36,"")</f>
        <v/>
      </c>
      <c r="F34" s="586">
        <f>_xludf.IFNA(_xlfn.XLOOKUP(C36,'00_SKU_Master'!$B$2:$B$378,'00_SKU_Master'!$F$2:$F$378,0)*AA36,"")</f>
        <v/>
      </c>
      <c r="G34" s="586">
        <f>_xludf.IFNA(_xlfn.XLOOKUP(C36,'00_SKU_Master'!$B$2:$B$378,'00_SKU_Master'!$F$2:$F$378,0)*AB36,"")</f>
        <v/>
      </c>
      <c r="H34" s="586">
        <f>_xludf.IFNA(_xlfn.XLOOKUP(C36,'00_SKU_Master'!$B$2:$B$378,'00_SKU_Master'!$F$2:$F$378,0)*AC36,"")</f>
        <v/>
      </c>
      <c r="I34" s="586">
        <f>_xludf.IFNA(_xlfn.XLOOKUP(C36,'00_SKU_Master'!$B$2:$B$378,'00_SKU_Master'!$F$2:$F$378,0)*AD36,"")</f>
        <v/>
      </c>
      <c r="J34" s="586">
        <f>_xludf.IFNA(_xlfn.XLOOKUP(C36,'00_SKU_Master'!$B$2:$B$378,'00_SKU_Master'!$F$2:$F$378,0)*AE36,"")</f>
        <v/>
      </c>
      <c r="K34" s="587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88" t="n"/>
      <c r="Z34" s="589" t="n"/>
      <c r="AA34" s="589" t="n"/>
      <c r="AB34" s="589" t="n"/>
      <c r="AC34" s="589" t="n">
        <v>300</v>
      </c>
      <c r="AD34" s="589" t="n">
        <v>0</v>
      </c>
      <c r="AE34" s="589" t="n">
        <v>0</v>
      </c>
      <c r="AF34" s="587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86">
        <f>_xludf.IFNA(_xlfn.XLOOKUP(C37,'00_SKU_Master'!$B$2:$B$378,'00_SKU_Master'!$F$2:$F$378,0)*Y37,"")</f>
        <v/>
      </c>
      <c r="E35" s="586">
        <f>_xludf.IFNA(_xlfn.XLOOKUP(C37,'00_SKU_Master'!$B$2:$B$378,'00_SKU_Master'!$F$2:$F$378,0)*Z37,"")</f>
        <v/>
      </c>
      <c r="F35" s="586">
        <f>_xludf.IFNA(_xlfn.XLOOKUP(C37,'00_SKU_Master'!$B$2:$B$378,'00_SKU_Master'!$F$2:$F$378,0)*AA37,"")</f>
        <v/>
      </c>
      <c r="G35" s="586">
        <f>_xludf.IFNA(_xlfn.XLOOKUP(C37,'00_SKU_Master'!$B$2:$B$378,'00_SKU_Master'!$F$2:$F$378,0)*AB37,"")</f>
        <v/>
      </c>
      <c r="H35" s="586">
        <f>_xludf.IFNA(_xlfn.XLOOKUP(C37,'00_SKU_Master'!$B$2:$B$378,'00_SKU_Master'!$F$2:$F$378,0)*AC37,"")</f>
        <v/>
      </c>
      <c r="I35" s="586">
        <f>_xludf.IFNA(_xlfn.XLOOKUP(C37,'00_SKU_Master'!$B$2:$B$378,'00_SKU_Master'!$F$2:$F$378,0)*AD37,"")</f>
        <v/>
      </c>
      <c r="J35" s="586">
        <f>_xludf.IFNA(_xlfn.XLOOKUP(C37,'00_SKU_Master'!$B$2:$B$378,'00_SKU_Master'!$F$2:$F$378,0)*AE37,"")</f>
        <v/>
      </c>
      <c r="K35" s="587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88" t="n"/>
      <c r="Z35" s="589" t="n"/>
      <c r="AA35" s="589" t="n"/>
      <c r="AB35" s="589" t="n"/>
      <c r="AC35" s="589" t="n">
        <v>150</v>
      </c>
      <c r="AD35" s="589" t="n">
        <v>0</v>
      </c>
      <c r="AE35" s="589" t="n">
        <v>0</v>
      </c>
      <c r="AF35" s="587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86">
        <f>_xludf.IFNA(_xlfn.XLOOKUP(C38,'00_SKU_Master'!$B$2:$B$378,'00_SKU_Master'!$F$2:$F$378,0)*Y38,"")</f>
        <v/>
      </c>
      <c r="E36" s="586">
        <f>_xludf.IFNA(_xlfn.XLOOKUP(C38,'00_SKU_Master'!$B$2:$B$378,'00_SKU_Master'!$F$2:$F$378,0)*Z38,"")</f>
        <v/>
      </c>
      <c r="F36" s="586">
        <f>_xludf.IFNA(_xlfn.XLOOKUP(C38,'00_SKU_Master'!$B$2:$B$378,'00_SKU_Master'!$F$2:$F$378,0)*AA38,"")</f>
        <v/>
      </c>
      <c r="G36" s="586">
        <f>_xludf.IFNA(_xlfn.XLOOKUP(C38,'00_SKU_Master'!$B$2:$B$378,'00_SKU_Master'!$F$2:$F$378,0)*AB38,"")</f>
        <v/>
      </c>
      <c r="H36" s="586">
        <f>_xludf.IFNA(_xlfn.XLOOKUP(C38,'00_SKU_Master'!$B$2:$B$378,'00_SKU_Master'!$F$2:$F$378,0)*AC38,"")</f>
        <v/>
      </c>
      <c r="I36" s="586">
        <f>_xludf.IFNA(_xlfn.XLOOKUP(C38,'00_SKU_Master'!$B$2:$B$378,'00_SKU_Master'!$F$2:$F$378,0)*AD38,"")</f>
        <v/>
      </c>
      <c r="J36" s="586">
        <f>_xludf.IFNA(_xlfn.XLOOKUP(C38,'00_SKU_Master'!$B$2:$B$378,'00_SKU_Master'!$F$2:$F$378,0)*AE38,"")</f>
        <v/>
      </c>
      <c r="K36" s="587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88" t="n"/>
      <c r="Z36" s="589" t="n"/>
      <c r="AA36" s="589" t="n"/>
      <c r="AB36" s="589" t="n"/>
      <c r="AC36" s="589" t="n">
        <v>0</v>
      </c>
      <c r="AD36" s="589" t="n">
        <v>0</v>
      </c>
      <c r="AE36" s="589" t="n">
        <v>0</v>
      </c>
      <c r="AF36" s="587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86">
        <f>_xludf.IFNA(_xlfn.XLOOKUP(C39,'00_SKU_Master'!$B$2:$B$378,'00_SKU_Master'!$F$2:$F$378,0)*Y39,"")</f>
        <v/>
      </c>
      <c r="E37" s="586">
        <f>_xludf.IFNA(_xlfn.XLOOKUP(C39,'00_SKU_Master'!$B$2:$B$378,'00_SKU_Master'!$F$2:$F$378,0)*Z39,"")</f>
        <v/>
      </c>
      <c r="F37" s="586">
        <f>_xludf.IFNA(_xlfn.XLOOKUP(C39,'00_SKU_Master'!$B$2:$B$378,'00_SKU_Master'!$F$2:$F$378,0)*AA39,"")</f>
        <v/>
      </c>
      <c r="G37" s="586">
        <f>_xludf.IFNA(_xlfn.XLOOKUP(C39,'00_SKU_Master'!$B$2:$B$378,'00_SKU_Master'!$F$2:$F$378,0)*AB39,"")</f>
        <v/>
      </c>
      <c r="H37" s="586">
        <f>_xludf.IFNA(_xlfn.XLOOKUP(C39,'00_SKU_Master'!$B$2:$B$378,'00_SKU_Master'!$F$2:$F$378,0)*AC39,"")</f>
        <v/>
      </c>
      <c r="I37" s="586">
        <f>_xludf.IFNA(_xlfn.XLOOKUP(C39,'00_SKU_Master'!$B$2:$B$378,'00_SKU_Master'!$F$2:$F$378,0)*AD39,"")</f>
        <v/>
      </c>
      <c r="J37" s="586">
        <f>_xludf.IFNA(_xlfn.XLOOKUP(C39,'00_SKU_Master'!$B$2:$B$378,'00_SKU_Master'!$F$2:$F$378,0)*AE39,"")</f>
        <v/>
      </c>
      <c r="K37" s="587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88" t="n"/>
      <c r="Z37" s="589" t="n"/>
      <c r="AA37" s="589" t="n"/>
      <c r="AB37" s="589" t="n"/>
      <c r="AC37" s="589" t="n">
        <v>180</v>
      </c>
      <c r="AD37" s="589" t="n">
        <v>0</v>
      </c>
      <c r="AE37" s="589" t="n">
        <v>0</v>
      </c>
      <c r="AF37" s="587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86">
        <f>_xludf.IFNA(_xlfn.XLOOKUP(C40,'00_SKU_Master'!$B$2:$B$378,'00_SKU_Master'!$F$2:$F$378,0)*Y40,"")</f>
        <v/>
      </c>
      <c r="E38" s="586">
        <f>_xludf.IFNA(_xlfn.XLOOKUP(C40,'00_SKU_Master'!$B$2:$B$378,'00_SKU_Master'!$F$2:$F$378,0)*Z40,"")</f>
        <v/>
      </c>
      <c r="F38" s="586">
        <f>_xludf.IFNA(_xlfn.XLOOKUP(C40,'00_SKU_Master'!$B$2:$B$378,'00_SKU_Master'!$F$2:$F$378,0)*AA40,"")</f>
        <v/>
      </c>
      <c r="G38" s="586">
        <f>_xludf.IFNA(_xlfn.XLOOKUP(C40,'00_SKU_Master'!$B$2:$B$378,'00_SKU_Master'!$F$2:$F$378,0)*AB40,"")</f>
        <v/>
      </c>
      <c r="H38" s="586">
        <f>_xludf.IFNA(_xlfn.XLOOKUP(C40,'00_SKU_Master'!$B$2:$B$378,'00_SKU_Master'!$F$2:$F$378,0)*AC40,"")</f>
        <v/>
      </c>
      <c r="I38" s="586">
        <f>_xludf.IFNA(_xlfn.XLOOKUP(C40,'00_SKU_Master'!$B$2:$B$378,'00_SKU_Master'!$F$2:$F$378,0)*AD40,"")</f>
        <v/>
      </c>
      <c r="J38" s="586">
        <f>_xludf.IFNA(_xlfn.XLOOKUP(C40,'00_SKU_Master'!$B$2:$B$378,'00_SKU_Master'!$F$2:$F$378,0)*AE40,"")</f>
        <v/>
      </c>
      <c r="K38" s="587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88" t="n"/>
      <c r="Z38" s="589" t="n"/>
      <c r="AA38" s="589" t="n"/>
      <c r="AB38" s="589" t="n"/>
      <c r="AC38" s="589" t="n">
        <v>0</v>
      </c>
      <c r="AD38" s="589" t="n">
        <v>0</v>
      </c>
      <c r="AE38" s="589" t="n">
        <v>0</v>
      </c>
      <c r="AF38" s="587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86">
        <f>_xludf.IFNA(_xlfn.XLOOKUP(C41,'00_SKU_Master'!$B$2:$B$378,'00_SKU_Master'!$F$2:$F$378,0)*Y41,"")</f>
        <v/>
      </c>
      <c r="E39" s="586">
        <f>_xludf.IFNA(_xlfn.XLOOKUP(C41,'00_SKU_Master'!$B$2:$B$378,'00_SKU_Master'!$F$2:$F$378,0)*Z41,"")</f>
        <v/>
      </c>
      <c r="F39" s="586">
        <f>_xludf.IFNA(_xlfn.XLOOKUP(C41,'00_SKU_Master'!$B$2:$B$378,'00_SKU_Master'!$F$2:$F$378,0)*AA41,"")</f>
        <v/>
      </c>
      <c r="G39" s="586">
        <f>_xludf.IFNA(_xlfn.XLOOKUP(C41,'00_SKU_Master'!$B$2:$B$378,'00_SKU_Master'!$F$2:$F$378,0)*AB41,"")</f>
        <v/>
      </c>
      <c r="H39" s="586">
        <f>_xludf.IFNA(_xlfn.XLOOKUP(C41,'00_SKU_Master'!$B$2:$B$378,'00_SKU_Master'!$F$2:$F$378,0)*AC41,"")</f>
        <v/>
      </c>
      <c r="I39" s="586">
        <f>_xludf.IFNA(_xlfn.XLOOKUP(C41,'00_SKU_Master'!$B$2:$B$378,'00_SKU_Master'!$F$2:$F$378,0)*AD41,"")</f>
        <v/>
      </c>
      <c r="J39" s="586">
        <f>_xludf.IFNA(_xlfn.XLOOKUP(C41,'00_SKU_Master'!$B$2:$B$378,'00_SKU_Master'!$F$2:$F$378,0)*AE41,"")</f>
        <v/>
      </c>
      <c r="K39" s="587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88" t="n"/>
      <c r="Z39" s="589" t="n"/>
      <c r="AA39" s="589" t="n"/>
      <c r="AB39" s="589" t="n"/>
      <c r="AC39" s="589" t="n">
        <v>0</v>
      </c>
      <c r="AD39" s="589" t="n">
        <v>0</v>
      </c>
      <c r="AE39" s="589" t="n">
        <v>0</v>
      </c>
      <c r="AF39" s="587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86">
        <f>_xludf.IFNA(_xlfn.XLOOKUP(C42,'00_SKU_Master'!$B$2:$B$378,'00_SKU_Master'!$F$2:$F$378,0)*Y42,"")</f>
        <v/>
      </c>
      <c r="E40" s="586">
        <f>_xludf.IFNA(_xlfn.XLOOKUP(C42,'00_SKU_Master'!$B$2:$B$378,'00_SKU_Master'!$F$2:$F$378,0)*Z42,"")</f>
        <v/>
      </c>
      <c r="F40" s="586">
        <f>_xludf.IFNA(_xlfn.XLOOKUP(C42,'00_SKU_Master'!$B$2:$B$378,'00_SKU_Master'!$F$2:$F$378,0)*AA42,"")</f>
        <v/>
      </c>
      <c r="G40" s="586">
        <f>_xludf.IFNA(_xlfn.XLOOKUP(C42,'00_SKU_Master'!$B$2:$B$378,'00_SKU_Master'!$F$2:$F$378,0)*AB42,"")</f>
        <v/>
      </c>
      <c r="H40" s="586">
        <f>_xludf.IFNA(_xlfn.XLOOKUP(C42,'00_SKU_Master'!$B$2:$B$378,'00_SKU_Master'!$F$2:$F$378,0)*AC42,"")</f>
        <v/>
      </c>
      <c r="I40" s="586">
        <f>_xludf.IFNA(_xlfn.XLOOKUP(C42,'00_SKU_Master'!$B$2:$B$378,'00_SKU_Master'!$F$2:$F$378,0)*AD42,"")</f>
        <v/>
      </c>
      <c r="J40" s="586">
        <f>_xludf.IFNA(_xlfn.XLOOKUP(C42,'00_SKU_Master'!$B$2:$B$378,'00_SKU_Master'!$F$2:$F$378,0)*AE42,"")</f>
        <v/>
      </c>
      <c r="K40" s="587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88" t="n"/>
      <c r="Z40" s="588" t="n"/>
      <c r="AA40" s="588" t="n"/>
      <c r="AB40" s="588" t="n"/>
      <c r="AC40" s="588" t="n">
        <v>50</v>
      </c>
      <c r="AD40" s="588" t="n">
        <v>0</v>
      </c>
      <c r="AE40" s="588" t="n">
        <v>45</v>
      </c>
      <c r="AF40" s="587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86">
        <f>_xludf.IFNA(_xlfn.XLOOKUP(C43,'00_SKU_Master'!$B$2:$B$378,'00_SKU_Master'!$F$2:$F$378,0)*Y43,"")</f>
        <v/>
      </c>
      <c r="E41" s="586">
        <f>_xludf.IFNA(_xlfn.XLOOKUP(C43,'00_SKU_Master'!$B$2:$B$378,'00_SKU_Master'!$F$2:$F$378,0)*Z43,"")</f>
        <v/>
      </c>
      <c r="F41" s="586">
        <f>_xludf.IFNA(_xlfn.XLOOKUP(C43,'00_SKU_Master'!$B$2:$B$378,'00_SKU_Master'!$F$2:$F$378,0)*AA43,"")</f>
        <v/>
      </c>
      <c r="G41" s="586">
        <f>_xludf.IFNA(_xlfn.XLOOKUP(C43,'00_SKU_Master'!$B$2:$B$378,'00_SKU_Master'!$F$2:$F$378,0)*AB43,"")</f>
        <v/>
      </c>
      <c r="H41" s="586">
        <f>_xludf.IFNA(_xlfn.XLOOKUP(C43,'00_SKU_Master'!$B$2:$B$378,'00_SKU_Master'!$F$2:$F$378,0)*AC43,"")</f>
        <v/>
      </c>
      <c r="I41" s="586">
        <f>_xludf.IFNA(_xlfn.XLOOKUP(C43,'00_SKU_Master'!$B$2:$B$378,'00_SKU_Master'!$F$2:$F$378,0)*AD43,"")</f>
        <v/>
      </c>
      <c r="J41" s="586">
        <f>_xludf.IFNA(_xlfn.XLOOKUP(C43,'00_SKU_Master'!$B$2:$B$378,'00_SKU_Master'!$F$2:$F$378,0)*AE43,"")</f>
        <v/>
      </c>
      <c r="K41" s="587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88" t="n"/>
      <c r="Z41" s="589" t="n"/>
      <c r="AA41" s="589" t="n"/>
      <c r="AB41" s="589" t="n"/>
      <c r="AC41" s="589" t="n">
        <v>45</v>
      </c>
      <c r="AD41" s="589" t="n">
        <v>0</v>
      </c>
      <c r="AE41" s="589" t="n">
        <v>40</v>
      </c>
      <c r="AF41" s="587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86">
        <f>_xludf.IFNA(_xlfn.XLOOKUP(C44,'00_SKU_Master'!$B$2:$B$378,'00_SKU_Master'!$F$2:$F$378,0)*Y44,"")</f>
        <v/>
      </c>
      <c r="E42" s="586">
        <f>_xludf.IFNA(_xlfn.XLOOKUP(C44,'00_SKU_Master'!$B$2:$B$378,'00_SKU_Master'!$F$2:$F$378,0)*Z44,"")</f>
        <v/>
      </c>
      <c r="F42" s="586">
        <f>_xludf.IFNA(_xlfn.XLOOKUP(C44,'00_SKU_Master'!$B$2:$B$378,'00_SKU_Master'!$F$2:$F$378,0)*AA44,"")</f>
        <v/>
      </c>
      <c r="G42" s="586">
        <f>_xludf.IFNA(_xlfn.XLOOKUP(C44,'00_SKU_Master'!$B$2:$B$378,'00_SKU_Master'!$F$2:$F$378,0)*AB44,"")</f>
        <v/>
      </c>
      <c r="H42" s="586">
        <f>_xludf.IFNA(_xlfn.XLOOKUP(C44,'00_SKU_Master'!$B$2:$B$378,'00_SKU_Master'!$F$2:$F$378,0)*AC44,"")</f>
        <v/>
      </c>
      <c r="I42" s="586">
        <f>_xludf.IFNA(_xlfn.XLOOKUP(C44,'00_SKU_Master'!$B$2:$B$378,'00_SKU_Master'!$F$2:$F$378,0)*AD44,"")</f>
        <v/>
      </c>
      <c r="J42" s="586">
        <f>_xludf.IFNA(_xlfn.XLOOKUP(C44,'00_SKU_Master'!$B$2:$B$378,'00_SKU_Master'!$F$2:$F$378,0)*AE44,"")</f>
        <v/>
      </c>
      <c r="K42" s="587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88" t="n"/>
      <c r="Z42" s="589" t="n"/>
      <c r="AA42" s="589" t="n"/>
      <c r="AB42" s="589" t="n"/>
      <c r="AC42" s="589" t="n">
        <v>94</v>
      </c>
      <c r="AD42" s="589" t="n">
        <v>0</v>
      </c>
      <c r="AE42" s="589" t="n">
        <v>67</v>
      </c>
      <c r="AF42" s="587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86">
        <f>_xludf.IFNA(_xlfn.XLOOKUP(C45,'00_SKU_Master'!$B$2:$B$378,'00_SKU_Master'!$F$2:$F$378,0)*Y45,"")</f>
        <v/>
      </c>
      <c r="E43" s="586">
        <f>_xludf.IFNA(_xlfn.XLOOKUP(C45,'00_SKU_Master'!$B$2:$B$378,'00_SKU_Master'!$F$2:$F$378,0)*Z45,"")</f>
        <v/>
      </c>
      <c r="F43" s="586">
        <f>_xludf.IFNA(_xlfn.XLOOKUP(C45,'00_SKU_Master'!$B$2:$B$378,'00_SKU_Master'!$F$2:$F$378,0)*AA45,"")</f>
        <v/>
      </c>
      <c r="G43" s="586">
        <f>_xludf.IFNA(_xlfn.XLOOKUP(C45,'00_SKU_Master'!$B$2:$B$378,'00_SKU_Master'!$F$2:$F$378,0)*AB45,"")</f>
        <v/>
      </c>
      <c r="H43" s="586">
        <f>_xludf.IFNA(_xlfn.XLOOKUP(C45,'00_SKU_Master'!$B$2:$B$378,'00_SKU_Master'!$F$2:$F$378,0)*AC45,"")</f>
        <v/>
      </c>
      <c r="I43" s="586">
        <f>_xludf.IFNA(_xlfn.XLOOKUP(C45,'00_SKU_Master'!$B$2:$B$378,'00_SKU_Master'!$F$2:$F$378,0)*AD45,"")</f>
        <v/>
      </c>
      <c r="J43" s="586">
        <f>_xludf.IFNA(_xlfn.XLOOKUP(C45,'00_SKU_Master'!$B$2:$B$378,'00_SKU_Master'!$F$2:$F$378,0)*AE45,"")</f>
        <v/>
      </c>
      <c r="K43" s="587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88" t="n"/>
      <c r="Z43" s="589" t="n"/>
      <c r="AA43" s="589" t="n"/>
      <c r="AB43" s="589" t="n"/>
      <c r="AC43" s="589" t="n">
        <v>0</v>
      </c>
      <c r="AD43" s="589" t="n">
        <v>0</v>
      </c>
      <c r="AE43" s="589" t="n">
        <v>0</v>
      </c>
      <c r="AF43" s="587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86">
        <f>_xludf.IFNA(_xlfn.XLOOKUP(C46,'00_SKU_Master'!$B$2:$B$378,'00_SKU_Master'!$F$2:$F$378,0)*Y46,"")</f>
        <v/>
      </c>
      <c r="E44" s="586">
        <f>_xludf.IFNA(_xlfn.XLOOKUP(C46,'00_SKU_Master'!$B$2:$B$378,'00_SKU_Master'!$F$2:$F$378,0)*Z46,"")</f>
        <v/>
      </c>
      <c r="F44" s="586">
        <f>_xludf.IFNA(_xlfn.XLOOKUP(C46,'00_SKU_Master'!$B$2:$B$378,'00_SKU_Master'!$F$2:$F$378,0)*AA46,"")</f>
        <v/>
      </c>
      <c r="G44" s="586">
        <f>_xludf.IFNA(_xlfn.XLOOKUP(C46,'00_SKU_Master'!$B$2:$B$378,'00_SKU_Master'!$F$2:$F$378,0)*AB46,"")</f>
        <v/>
      </c>
      <c r="H44" s="586">
        <f>_xludf.IFNA(_xlfn.XLOOKUP(C46,'00_SKU_Master'!$B$2:$B$378,'00_SKU_Master'!$F$2:$F$378,0)*AC46,"")</f>
        <v/>
      </c>
      <c r="I44" s="586">
        <f>_xludf.IFNA(_xlfn.XLOOKUP(C46,'00_SKU_Master'!$B$2:$B$378,'00_SKU_Master'!$F$2:$F$378,0)*AD46,"")</f>
        <v/>
      </c>
      <c r="J44" s="586">
        <f>_xludf.IFNA(_xlfn.XLOOKUP(C46,'00_SKU_Master'!$B$2:$B$378,'00_SKU_Master'!$F$2:$F$378,0)*AE46,"")</f>
        <v/>
      </c>
      <c r="K44" s="587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88" t="n"/>
      <c r="Z44" s="589" t="n"/>
      <c r="AA44" s="589" t="n"/>
      <c r="AB44" s="589" t="n"/>
      <c r="AC44" s="589" t="n">
        <v>0</v>
      </c>
      <c r="AD44" s="589" t="n">
        <v>0</v>
      </c>
      <c r="AE44" s="589" t="n">
        <v>0</v>
      </c>
      <c r="AF44" s="587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86">
        <f>_xludf.IFNA(_xlfn.XLOOKUP(C47,'00_SKU_Master'!$B$2:$B$378,'00_SKU_Master'!$F$2:$F$378,0)*Y47,"")</f>
        <v/>
      </c>
      <c r="E45" s="586">
        <f>_xludf.IFNA(_xlfn.XLOOKUP(C47,'00_SKU_Master'!$B$2:$B$378,'00_SKU_Master'!$F$2:$F$378,0)*Z47,"")</f>
        <v/>
      </c>
      <c r="F45" s="586">
        <f>_xludf.IFNA(_xlfn.XLOOKUP(C47,'00_SKU_Master'!$B$2:$B$378,'00_SKU_Master'!$F$2:$F$378,0)*AA47,"")</f>
        <v/>
      </c>
      <c r="G45" s="586">
        <f>_xludf.IFNA(_xlfn.XLOOKUP(C47,'00_SKU_Master'!$B$2:$B$378,'00_SKU_Master'!$F$2:$F$378,0)*AB47,"")</f>
        <v/>
      </c>
      <c r="H45" s="586">
        <f>_xludf.IFNA(_xlfn.XLOOKUP(C47,'00_SKU_Master'!$B$2:$B$378,'00_SKU_Master'!$F$2:$F$378,0)*AC47,"")</f>
        <v/>
      </c>
      <c r="I45" s="586">
        <f>_xludf.IFNA(_xlfn.XLOOKUP(C47,'00_SKU_Master'!$B$2:$B$378,'00_SKU_Master'!$F$2:$F$378,0)*AD47,"")</f>
        <v/>
      </c>
      <c r="J45" s="586">
        <f>_xludf.IFNA(_xlfn.XLOOKUP(C47,'00_SKU_Master'!$B$2:$B$378,'00_SKU_Master'!$F$2:$F$378,0)*AE47,"")</f>
        <v/>
      </c>
      <c r="K45" s="587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88" t="n"/>
      <c r="Z45" s="589" t="n"/>
      <c r="AA45" s="589" t="n"/>
      <c r="AB45" s="589" t="n"/>
      <c r="AC45" s="589" t="n">
        <v>109</v>
      </c>
      <c r="AD45" s="589" t="n">
        <v>0</v>
      </c>
      <c r="AE45" s="589" t="n">
        <v>100</v>
      </c>
      <c r="AF45" s="587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86">
        <f>_xludf.IFNA(_xlfn.XLOOKUP(C48,'00_SKU_Master'!$B$2:$B$378,'00_SKU_Master'!$F$2:$F$378,0)*Y48,"")</f>
        <v/>
      </c>
      <c r="E46" s="586">
        <f>_xludf.IFNA(_xlfn.XLOOKUP(C48,'00_SKU_Master'!$B$2:$B$378,'00_SKU_Master'!$F$2:$F$378,0)*Z48,"")</f>
        <v/>
      </c>
      <c r="F46" s="586">
        <f>_xludf.IFNA(_xlfn.XLOOKUP(C48,'00_SKU_Master'!$B$2:$B$378,'00_SKU_Master'!$F$2:$F$378,0)*AA48,"")</f>
        <v/>
      </c>
      <c r="G46" s="586">
        <f>_xludf.IFNA(_xlfn.XLOOKUP(C48,'00_SKU_Master'!$B$2:$B$378,'00_SKU_Master'!$F$2:$F$378,0)*AB48,"")</f>
        <v/>
      </c>
      <c r="H46" s="586">
        <f>_xludf.IFNA(_xlfn.XLOOKUP(C48,'00_SKU_Master'!$B$2:$B$378,'00_SKU_Master'!$F$2:$F$378,0)*AC48,"")</f>
        <v/>
      </c>
      <c r="I46" s="586">
        <f>_xludf.IFNA(_xlfn.XLOOKUP(C48,'00_SKU_Master'!$B$2:$B$378,'00_SKU_Master'!$F$2:$F$378,0)*AD48,"")</f>
        <v/>
      </c>
      <c r="J46" s="586">
        <f>_xludf.IFNA(_xlfn.XLOOKUP(C48,'00_SKU_Master'!$B$2:$B$378,'00_SKU_Master'!$F$2:$F$378,0)*AE48,"")</f>
        <v/>
      </c>
      <c r="K46" s="587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88" t="n"/>
      <c r="Z46" s="589" t="n"/>
      <c r="AA46" s="589" t="n"/>
      <c r="AB46" s="589" t="n"/>
      <c r="AC46" s="589" t="n">
        <v>217</v>
      </c>
      <c r="AD46" s="589" t="n">
        <v>0</v>
      </c>
      <c r="AE46" s="589" t="n">
        <v>275</v>
      </c>
      <c r="AF46" s="587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86">
        <f>_xludf.IFNA(_xlfn.XLOOKUP(C49,'00_SKU_Master'!$B$2:$B$378,'00_SKU_Master'!$F$2:$F$378,0)*Y49,"")</f>
        <v/>
      </c>
      <c r="E47" s="586">
        <f>_xludf.IFNA(_xlfn.XLOOKUP(C49,'00_SKU_Master'!$B$2:$B$378,'00_SKU_Master'!$F$2:$F$378,0)*Z49,"")</f>
        <v/>
      </c>
      <c r="F47" s="586">
        <f>_xludf.IFNA(_xlfn.XLOOKUP(C49,'00_SKU_Master'!$B$2:$B$378,'00_SKU_Master'!$F$2:$F$378,0)*AA49,"")</f>
        <v/>
      </c>
      <c r="G47" s="586">
        <f>_xludf.IFNA(_xlfn.XLOOKUP(C49,'00_SKU_Master'!$B$2:$B$378,'00_SKU_Master'!$F$2:$F$378,0)*AB49,"")</f>
        <v/>
      </c>
      <c r="H47" s="586">
        <f>_xludf.IFNA(_xlfn.XLOOKUP(C49,'00_SKU_Master'!$B$2:$B$378,'00_SKU_Master'!$F$2:$F$378,0)*AC49,"")</f>
        <v/>
      </c>
      <c r="I47" s="586">
        <f>_xludf.IFNA(_xlfn.XLOOKUP(C49,'00_SKU_Master'!$B$2:$B$378,'00_SKU_Master'!$F$2:$F$378,0)*AD49,"")</f>
        <v/>
      </c>
      <c r="J47" s="586">
        <f>_xludf.IFNA(_xlfn.XLOOKUP(C49,'00_SKU_Master'!$B$2:$B$378,'00_SKU_Master'!$F$2:$F$378,0)*AE49,"")</f>
        <v/>
      </c>
      <c r="K47" s="587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88" t="n"/>
      <c r="Z47" s="589" t="n"/>
      <c r="AA47" s="589" t="n"/>
      <c r="AB47" s="589" t="n"/>
      <c r="AC47" s="589" t="n">
        <v>0</v>
      </c>
      <c r="AD47" s="589" t="n">
        <v>0</v>
      </c>
      <c r="AE47" s="589" t="n">
        <v>0</v>
      </c>
      <c r="AF47" s="587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86">
        <f>_xludf.IFNA(_xlfn.XLOOKUP(C50,'00_SKU_Master'!$B$2:$B$378,'00_SKU_Master'!$F$2:$F$378,0)*Y50,"")</f>
        <v/>
      </c>
      <c r="E48" s="586">
        <f>_xludf.IFNA(_xlfn.XLOOKUP(C50,'00_SKU_Master'!$B$2:$B$378,'00_SKU_Master'!$F$2:$F$378,0)*Z50,"")</f>
        <v/>
      </c>
      <c r="F48" s="586">
        <f>_xludf.IFNA(_xlfn.XLOOKUP(C50,'00_SKU_Master'!$B$2:$B$378,'00_SKU_Master'!$F$2:$F$378,0)*AA50,"")</f>
        <v/>
      </c>
      <c r="G48" s="586">
        <f>_xludf.IFNA(_xlfn.XLOOKUP(C50,'00_SKU_Master'!$B$2:$B$378,'00_SKU_Master'!$F$2:$F$378,0)*AB50,"")</f>
        <v/>
      </c>
      <c r="H48" s="586">
        <f>_xludf.IFNA(_xlfn.XLOOKUP(C50,'00_SKU_Master'!$B$2:$B$378,'00_SKU_Master'!$F$2:$F$378,0)*AC50,"")</f>
        <v/>
      </c>
      <c r="I48" s="586">
        <f>_xludf.IFNA(_xlfn.XLOOKUP(C50,'00_SKU_Master'!$B$2:$B$378,'00_SKU_Master'!$F$2:$F$378,0)*AD50,"")</f>
        <v/>
      </c>
      <c r="J48" s="586">
        <f>_xludf.IFNA(_xlfn.XLOOKUP(C50,'00_SKU_Master'!$B$2:$B$378,'00_SKU_Master'!$F$2:$F$378,0)*AE50,"")</f>
        <v/>
      </c>
      <c r="K48" s="587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88" t="n"/>
      <c r="Z48" s="589" t="n"/>
      <c r="AA48" s="589" t="n"/>
      <c r="AB48" s="589" t="n"/>
      <c r="AC48" s="589" t="n">
        <v>23</v>
      </c>
      <c r="AD48" s="589" t="n">
        <v>0</v>
      </c>
      <c r="AE48" s="589" t="n">
        <v>20</v>
      </c>
      <c r="AF48" s="587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86">
        <f>_xludf.IFNA(_xlfn.XLOOKUP(C51,'00_SKU_Master'!$B$2:$B$378,'00_SKU_Master'!$F$2:$F$378,0)*Y51,"")</f>
        <v/>
      </c>
      <c r="E49" s="586">
        <f>_xludf.IFNA(_xlfn.XLOOKUP(C51,'00_SKU_Master'!$B$2:$B$378,'00_SKU_Master'!$F$2:$F$378,0)*Z51,"")</f>
        <v/>
      </c>
      <c r="F49" s="586">
        <f>_xludf.IFNA(_xlfn.XLOOKUP(C51,'00_SKU_Master'!$B$2:$B$378,'00_SKU_Master'!$F$2:$F$378,0)*AA51,"")</f>
        <v/>
      </c>
      <c r="G49" s="586">
        <f>_xludf.IFNA(_xlfn.XLOOKUP(C51,'00_SKU_Master'!$B$2:$B$378,'00_SKU_Master'!$F$2:$F$378,0)*AB51,"")</f>
        <v/>
      </c>
      <c r="H49" s="586">
        <f>_xludf.IFNA(_xlfn.XLOOKUP(C51,'00_SKU_Master'!$B$2:$B$378,'00_SKU_Master'!$F$2:$F$378,0)*AC51,"")</f>
        <v/>
      </c>
      <c r="I49" s="586">
        <f>_xludf.IFNA(_xlfn.XLOOKUP(C51,'00_SKU_Master'!$B$2:$B$378,'00_SKU_Master'!$F$2:$F$378,0)*AD51,"")</f>
        <v/>
      </c>
      <c r="J49" s="586">
        <f>_xludf.IFNA(_xlfn.XLOOKUP(C51,'00_SKU_Master'!$B$2:$B$378,'00_SKU_Master'!$F$2:$F$378,0)*AE51,"")</f>
        <v/>
      </c>
      <c r="K49" s="587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88" t="n"/>
      <c r="Z49" s="589" t="n"/>
      <c r="AA49" s="589" t="n"/>
      <c r="AB49" s="589" t="n"/>
      <c r="AC49" s="589" t="n">
        <v>200</v>
      </c>
      <c r="AD49" s="589" t="n">
        <v>0</v>
      </c>
      <c r="AE49" s="589" t="n">
        <v>152</v>
      </c>
      <c r="AF49" s="587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86">
        <f>_xludf.IFNA(_xlfn.XLOOKUP(C52,'00_SKU_Master'!$B$2:$B$378,'00_SKU_Master'!$F$2:$F$378,0)*Y52,"")</f>
        <v/>
      </c>
      <c r="E50" s="586">
        <f>_xludf.IFNA(_xlfn.XLOOKUP(C52,'00_SKU_Master'!$B$2:$B$378,'00_SKU_Master'!$F$2:$F$378,0)*Z52,"")</f>
        <v/>
      </c>
      <c r="F50" s="586">
        <f>_xludf.IFNA(_xlfn.XLOOKUP(C52,'00_SKU_Master'!$B$2:$B$378,'00_SKU_Master'!$F$2:$F$378,0)*AA52,"")</f>
        <v/>
      </c>
      <c r="G50" s="586">
        <f>_xludf.IFNA(_xlfn.XLOOKUP(C52,'00_SKU_Master'!$B$2:$B$378,'00_SKU_Master'!$F$2:$F$378,0)*AB52,"")</f>
        <v/>
      </c>
      <c r="H50" s="586">
        <f>_xludf.IFNA(_xlfn.XLOOKUP(C52,'00_SKU_Master'!$B$2:$B$378,'00_SKU_Master'!$F$2:$F$378,0)*AC52,"")</f>
        <v/>
      </c>
      <c r="I50" s="586">
        <f>_xludf.IFNA(_xlfn.XLOOKUP(C52,'00_SKU_Master'!$B$2:$B$378,'00_SKU_Master'!$F$2:$F$378,0)*AD52,"")</f>
        <v/>
      </c>
      <c r="J50" s="586">
        <f>_xludf.IFNA(_xlfn.XLOOKUP(C52,'00_SKU_Master'!$B$2:$B$378,'00_SKU_Master'!$F$2:$F$378,0)*AE52,"")</f>
        <v/>
      </c>
      <c r="K50" s="587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88" t="n"/>
      <c r="Z50" s="589" t="n"/>
      <c r="AA50" s="589" t="n"/>
      <c r="AB50" s="589" t="n"/>
      <c r="AC50" s="589" t="n">
        <v>0</v>
      </c>
      <c r="AD50" s="589" t="n">
        <v>0</v>
      </c>
      <c r="AE50" s="589" t="n">
        <v>0</v>
      </c>
      <c r="AF50" s="587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86">
        <f>_xludf.IFNA(_xlfn.XLOOKUP(C53,'00_SKU_Master'!$B$2:$B$378,'00_SKU_Master'!$F$2:$F$378,0)*Y53,"")</f>
        <v/>
      </c>
      <c r="E51" s="586">
        <f>_xludf.IFNA(_xlfn.XLOOKUP(C53,'00_SKU_Master'!$B$2:$B$378,'00_SKU_Master'!$F$2:$F$378,0)*Z53,"")</f>
        <v/>
      </c>
      <c r="F51" s="586">
        <f>_xludf.IFNA(_xlfn.XLOOKUP(C53,'00_SKU_Master'!$B$2:$B$378,'00_SKU_Master'!$F$2:$F$378,0)*AA53,"")</f>
        <v/>
      </c>
      <c r="G51" s="586">
        <f>_xludf.IFNA(_xlfn.XLOOKUP(C53,'00_SKU_Master'!$B$2:$B$378,'00_SKU_Master'!$F$2:$F$378,0)*AB53,"")</f>
        <v/>
      </c>
      <c r="H51" s="586">
        <f>_xludf.IFNA(_xlfn.XLOOKUP(C53,'00_SKU_Master'!$B$2:$B$378,'00_SKU_Master'!$F$2:$F$378,0)*AC53,"")</f>
        <v/>
      </c>
      <c r="I51" s="586">
        <f>_xludf.IFNA(_xlfn.XLOOKUP(C53,'00_SKU_Master'!$B$2:$B$378,'00_SKU_Master'!$F$2:$F$378,0)*AD53,"")</f>
        <v/>
      </c>
      <c r="J51" s="586">
        <f>_xludf.IFNA(_xlfn.XLOOKUP(C53,'00_SKU_Master'!$B$2:$B$378,'00_SKU_Master'!$F$2:$F$378,0)*AE53,"")</f>
        <v/>
      </c>
      <c r="K51" s="587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88" t="n"/>
      <c r="Z51" s="589" t="n"/>
      <c r="AA51" s="589" t="n"/>
      <c r="AB51" s="589" t="n"/>
      <c r="AC51" s="589" t="n">
        <v>215</v>
      </c>
      <c r="AD51" s="589" t="n">
        <v>0</v>
      </c>
      <c r="AE51" s="589" t="n">
        <v>0</v>
      </c>
      <c r="AF51" s="587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86">
        <f>_xludf.IFNA(_xlfn.XLOOKUP(C54,'00_SKU_Master'!$B$2:$B$378,'00_SKU_Master'!$F$2:$F$378,0)*Y54,"")</f>
        <v/>
      </c>
      <c r="E52" s="586">
        <f>_xludf.IFNA(_xlfn.XLOOKUP(C54,'00_SKU_Master'!$B$2:$B$378,'00_SKU_Master'!$F$2:$F$378,0)*Z54,"")</f>
        <v/>
      </c>
      <c r="F52" s="586">
        <f>_xludf.IFNA(_xlfn.XLOOKUP(C54,'00_SKU_Master'!$B$2:$B$378,'00_SKU_Master'!$F$2:$F$378,0)*AA54,"")</f>
        <v/>
      </c>
      <c r="G52" s="586">
        <f>_xludf.IFNA(_xlfn.XLOOKUP(C54,'00_SKU_Master'!$B$2:$B$378,'00_SKU_Master'!$F$2:$F$378,0)*AB54,"")</f>
        <v/>
      </c>
      <c r="H52" s="586">
        <f>_xludf.IFNA(_xlfn.XLOOKUP(C54,'00_SKU_Master'!$B$2:$B$378,'00_SKU_Master'!$F$2:$F$378,0)*AC54,"")</f>
        <v/>
      </c>
      <c r="I52" s="586">
        <f>_xludf.IFNA(_xlfn.XLOOKUP(C54,'00_SKU_Master'!$B$2:$B$378,'00_SKU_Master'!$F$2:$F$378,0)*AD54,"")</f>
        <v/>
      </c>
      <c r="J52" s="586">
        <f>_xludf.IFNA(_xlfn.XLOOKUP(C54,'00_SKU_Master'!$B$2:$B$378,'00_SKU_Master'!$F$2:$F$378,0)*AE54,"")</f>
        <v/>
      </c>
      <c r="K52" s="587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88" t="n"/>
      <c r="Z52" s="589" t="n"/>
      <c r="AA52" s="589" t="n"/>
      <c r="AB52" s="589" t="n"/>
      <c r="AC52" s="589" t="n">
        <v>80</v>
      </c>
      <c r="AD52" s="589" t="n">
        <v>0</v>
      </c>
      <c r="AE52" s="589" t="n">
        <v>0</v>
      </c>
      <c r="AF52" s="587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86">
        <f>_xludf.IFNA(_xlfn.XLOOKUP(C55,'00_SKU_Master'!$B$2:$B$378,'00_SKU_Master'!$F$2:$F$378,0)*Y55,"")</f>
        <v/>
      </c>
      <c r="E53" s="586">
        <f>_xludf.IFNA(_xlfn.XLOOKUP(C55,'00_SKU_Master'!$B$2:$B$378,'00_SKU_Master'!$F$2:$F$378,0)*Z55,"")</f>
        <v/>
      </c>
      <c r="F53" s="586">
        <f>_xludf.IFNA(_xlfn.XLOOKUP(C55,'00_SKU_Master'!$B$2:$B$378,'00_SKU_Master'!$F$2:$F$378,0)*AA55,"")</f>
        <v/>
      </c>
      <c r="G53" s="586">
        <f>_xludf.IFNA(_xlfn.XLOOKUP(C55,'00_SKU_Master'!$B$2:$B$378,'00_SKU_Master'!$F$2:$F$378,0)*AB55,"")</f>
        <v/>
      </c>
      <c r="H53" s="586">
        <f>_xludf.IFNA(_xlfn.XLOOKUP(C55,'00_SKU_Master'!$B$2:$B$378,'00_SKU_Master'!$F$2:$F$378,0)*AC55,"")</f>
        <v/>
      </c>
      <c r="I53" s="586">
        <f>_xludf.IFNA(_xlfn.XLOOKUP(C55,'00_SKU_Master'!$B$2:$B$378,'00_SKU_Master'!$F$2:$F$378,0)*AD55,"")</f>
        <v/>
      </c>
      <c r="J53" s="586">
        <f>_xludf.IFNA(_xlfn.XLOOKUP(C55,'00_SKU_Master'!$B$2:$B$378,'00_SKU_Master'!$F$2:$F$378,0)*AE55,"")</f>
        <v/>
      </c>
      <c r="K53" s="587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88" t="n"/>
      <c r="Z53" s="589" t="n"/>
      <c r="AA53" s="588" t="n"/>
      <c r="AB53" s="589" t="n"/>
      <c r="AC53" s="588" t="n">
        <v>0</v>
      </c>
      <c r="AD53" s="589" t="n">
        <v>0</v>
      </c>
      <c r="AE53" s="588" t="n">
        <v>0</v>
      </c>
      <c r="AF53" s="587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86">
        <f>_xludf.IFNA(_xlfn.XLOOKUP(C56,'00_SKU_Master'!$B$2:$B$378,'00_SKU_Master'!$F$2:$F$378,0)*Y56,"")</f>
        <v/>
      </c>
      <c r="E54" s="586">
        <f>_xludf.IFNA(_xlfn.XLOOKUP(C56,'00_SKU_Master'!$B$2:$B$378,'00_SKU_Master'!$F$2:$F$378,0)*Z56,"")</f>
        <v/>
      </c>
      <c r="F54" s="586">
        <f>_xludf.IFNA(_xlfn.XLOOKUP(C56,'00_SKU_Master'!$B$2:$B$378,'00_SKU_Master'!$F$2:$F$378,0)*AA56,"")</f>
        <v/>
      </c>
      <c r="G54" s="586">
        <f>_xludf.IFNA(_xlfn.XLOOKUP(C56,'00_SKU_Master'!$B$2:$B$378,'00_SKU_Master'!$F$2:$F$378,0)*AB56,"")</f>
        <v/>
      </c>
      <c r="H54" s="586">
        <f>_xludf.IFNA(_xlfn.XLOOKUP(C56,'00_SKU_Master'!$B$2:$B$378,'00_SKU_Master'!$F$2:$F$378,0)*AC56,"")</f>
        <v/>
      </c>
      <c r="I54" s="586">
        <f>_xludf.IFNA(_xlfn.XLOOKUP(C56,'00_SKU_Master'!$B$2:$B$378,'00_SKU_Master'!$F$2:$F$378,0)*AD56,"")</f>
        <v/>
      </c>
      <c r="J54" s="586">
        <f>_xludf.IFNA(_xlfn.XLOOKUP(C56,'00_SKU_Master'!$B$2:$B$378,'00_SKU_Master'!$F$2:$F$378,0)*AE56,"")</f>
        <v/>
      </c>
      <c r="K54" s="587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88" t="n"/>
      <c r="Z54" s="589" t="n"/>
      <c r="AA54" s="588" t="n"/>
      <c r="AB54" s="589" t="n"/>
      <c r="AC54" s="588" t="n">
        <v>0</v>
      </c>
      <c r="AD54" s="589" t="n">
        <v>0</v>
      </c>
      <c r="AE54" s="588" t="n">
        <v>0</v>
      </c>
      <c r="AF54" s="587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86">
        <f>_xludf.IFNA(_xlfn.XLOOKUP(C57,'00_SKU_Master'!$B$2:$B$378,'00_SKU_Master'!$F$2:$F$378,0)*Y57,"")</f>
        <v/>
      </c>
      <c r="E55" s="586">
        <f>_xludf.IFNA(_xlfn.XLOOKUP(C57,'00_SKU_Master'!$B$2:$B$378,'00_SKU_Master'!$F$2:$F$378,0)*Z57,"")</f>
        <v/>
      </c>
      <c r="F55" s="586">
        <f>_xludf.IFNA(_xlfn.XLOOKUP(C57,'00_SKU_Master'!$B$2:$B$378,'00_SKU_Master'!$F$2:$F$378,0)*AA57,"")</f>
        <v/>
      </c>
      <c r="G55" s="586">
        <f>_xludf.IFNA(_xlfn.XLOOKUP(C57,'00_SKU_Master'!$B$2:$B$378,'00_SKU_Master'!$F$2:$F$378,0)*AB57,"")</f>
        <v/>
      </c>
      <c r="H55" s="586">
        <f>_xludf.IFNA(_xlfn.XLOOKUP(C57,'00_SKU_Master'!$B$2:$B$378,'00_SKU_Master'!$F$2:$F$378,0)*AC57,"")</f>
        <v/>
      </c>
      <c r="I55" s="586">
        <f>_xludf.IFNA(_xlfn.XLOOKUP(C57,'00_SKU_Master'!$B$2:$B$378,'00_SKU_Master'!$F$2:$F$378,0)*AD57,"")</f>
        <v/>
      </c>
      <c r="J55" s="586">
        <f>_xludf.IFNA(_xlfn.XLOOKUP(C57,'00_SKU_Master'!$B$2:$B$378,'00_SKU_Master'!$F$2:$F$378,0)*AE57,"")</f>
        <v/>
      </c>
      <c r="K55" s="587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88" t="n"/>
      <c r="Z55" s="589" t="n"/>
      <c r="AA55" s="588" t="n"/>
      <c r="AB55" s="589" t="n"/>
      <c r="AC55" s="588" t="n">
        <v>0</v>
      </c>
      <c r="AD55" s="589" t="n">
        <v>0</v>
      </c>
      <c r="AE55" s="588" t="n">
        <v>0</v>
      </c>
      <c r="AF55" s="587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86">
        <f>_xludf.IFNA(_xlfn.XLOOKUP(C58,'00_SKU_Master'!$B$2:$B$378,'00_SKU_Master'!$F$2:$F$378,0)*Y58,"")</f>
        <v/>
      </c>
      <c r="E56" s="586">
        <f>_xludf.IFNA(_xlfn.XLOOKUP(C58,'00_SKU_Master'!$B$2:$B$378,'00_SKU_Master'!$F$2:$F$378,0)*Z58,"")</f>
        <v/>
      </c>
      <c r="F56" s="586">
        <f>_xludf.IFNA(_xlfn.XLOOKUP(C58,'00_SKU_Master'!$B$2:$B$378,'00_SKU_Master'!$F$2:$F$378,0)*AA58,"")</f>
        <v/>
      </c>
      <c r="G56" s="586">
        <f>_xludf.IFNA(_xlfn.XLOOKUP(C58,'00_SKU_Master'!$B$2:$B$378,'00_SKU_Master'!$F$2:$F$378,0)*AB58,"")</f>
        <v/>
      </c>
      <c r="H56" s="586">
        <f>_xludf.IFNA(_xlfn.XLOOKUP(C58,'00_SKU_Master'!$B$2:$B$378,'00_SKU_Master'!$F$2:$F$378,0)*AC58,"")</f>
        <v/>
      </c>
      <c r="I56" s="586">
        <f>_xludf.IFNA(_xlfn.XLOOKUP(C58,'00_SKU_Master'!$B$2:$B$378,'00_SKU_Master'!$F$2:$F$378,0)*AD58,"")</f>
        <v/>
      </c>
      <c r="J56" s="586">
        <f>_xludf.IFNA(_xlfn.XLOOKUP(C58,'00_SKU_Master'!$B$2:$B$378,'00_SKU_Master'!$F$2:$F$378,0)*AE58,"")</f>
        <v/>
      </c>
      <c r="K56" s="587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88" t="n"/>
      <c r="Z56" s="589" t="n"/>
      <c r="AA56" s="588" t="n"/>
      <c r="AB56" s="589" t="n"/>
      <c r="AC56" s="588" t="n">
        <v>0</v>
      </c>
      <c r="AD56" s="589" t="n">
        <v>0</v>
      </c>
      <c r="AE56" s="588" t="n">
        <v>0</v>
      </c>
      <c r="AF56" s="587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86">
        <f>_xludf.IFNA(_xlfn.XLOOKUP(C59,'00_SKU_Master'!$B$2:$B$378,'00_SKU_Master'!$F$2:$F$378,0)*Y59,"")</f>
        <v/>
      </c>
      <c r="E57" s="586">
        <f>_xludf.IFNA(_xlfn.XLOOKUP(C59,'00_SKU_Master'!$B$2:$B$378,'00_SKU_Master'!$F$2:$F$378,0)*Z59,"")</f>
        <v/>
      </c>
      <c r="F57" s="586">
        <f>_xludf.IFNA(_xlfn.XLOOKUP(C59,'00_SKU_Master'!$B$2:$B$378,'00_SKU_Master'!$F$2:$F$378,0)*AA59,"")</f>
        <v/>
      </c>
      <c r="G57" s="586">
        <f>_xludf.IFNA(_xlfn.XLOOKUP(C59,'00_SKU_Master'!$B$2:$B$378,'00_SKU_Master'!$F$2:$F$378,0)*AB59,"")</f>
        <v/>
      </c>
      <c r="H57" s="586">
        <f>_xludf.IFNA(_xlfn.XLOOKUP(C59,'00_SKU_Master'!$B$2:$B$378,'00_SKU_Master'!$F$2:$F$378,0)*AC59,"")</f>
        <v/>
      </c>
      <c r="I57" s="586">
        <f>_xludf.IFNA(_xlfn.XLOOKUP(C59,'00_SKU_Master'!$B$2:$B$378,'00_SKU_Master'!$F$2:$F$378,0)*AD59,"")</f>
        <v/>
      </c>
      <c r="J57" s="586">
        <f>_xludf.IFNA(_xlfn.XLOOKUP(C59,'00_SKU_Master'!$B$2:$B$378,'00_SKU_Master'!$F$2:$F$378,0)*AE59,"")</f>
        <v/>
      </c>
      <c r="K57" s="587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88" t="n"/>
      <c r="Z57" s="589" t="n"/>
      <c r="AA57" s="588" t="n"/>
      <c r="AB57" s="589" t="n"/>
      <c r="AC57" s="588" t="n">
        <v>0</v>
      </c>
      <c r="AD57" s="589" t="n">
        <v>0</v>
      </c>
      <c r="AE57" s="588" t="n">
        <v>0</v>
      </c>
      <c r="AF57" s="587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86">
        <f>_xludf.IFNA(_xlfn.XLOOKUP(C60,'00_SKU_Master'!$B$2:$B$378,'00_SKU_Master'!$F$2:$F$378,0)*Y60,"")</f>
        <v/>
      </c>
      <c r="E58" s="586">
        <f>_xludf.IFNA(_xlfn.XLOOKUP(C60,'00_SKU_Master'!$B$2:$B$378,'00_SKU_Master'!$F$2:$F$378,0)*Z60,"")</f>
        <v/>
      </c>
      <c r="F58" s="586">
        <f>_xludf.IFNA(_xlfn.XLOOKUP(C60,'00_SKU_Master'!$B$2:$B$378,'00_SKU_Master'!$F$2:$F$378,0)*AA60,"")</f>
        <v/>
      </c>
      <c r="G58" s="586">
        <f>_xludf.IFNA(_xlfn.XLOOKUP(C60,'00_SKU_Master'!$B$2:$B$378,'00_SKU_Master'!$F$2:$F$378,0)*AB60,"")</f>
        <v/>
      </c>
      <c r="H58" s="586">
        <f>_xludf.IFNA(_xlfn.XLOOKUP(C60,'00_SKU_Master'!$B$2:$B$378,'00_SKU_Master'!$F$2:$F$378,0)*AC60,"")</f>
        <v/>
      </c>
      <c r="I58" s="586">
        <f>_xludf.IFNA(_xlfn.XLOOKUP(C60,'00_SKU_Master'!$B$2:$B$378,'00_SKU_Master'!$F$2:$F$378,0)*AD60,"")</f>
        <v/>
      </c>
      <c r="J58" s="586">
        <f>_xludf.IFNA(_xlfn.XLOOKUP(C60,'00_SKU_Master'!$B$2:$B$378,'00_SKU_Master'!$F$2:$F$378,0)*AE60,"")</f>
        <v/>
      </c>
      <c r="K58" s="587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88" t="n"/>
      <c r="Z58" s="589" t="n"/>
      <c r="AA58" s="588" t="n"/>
      <c r="AB58" s="589" t="n"/>
      <c r="AC58" s="588" t="n">
        <v>0</v>
      </c>
      <c r="AD58" s="589" t="n">
        <v>0</v>
      </c>
      <c r="AE58" s="588" t="n">
        <v>0</v>
      </c>
      <c r="AF58" s="587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86">
        <f>_xludf.IFNA(_xlfn.XLOOKUP(C61,'00_SKU_Master'!$B$2:$B$378,'00_SKU_Master'!$F$2:$F$378,0)*Y61,"")</f>
        <v/>
      </c>
      <c r="E59" s="586">
        <f>_xludf.IFNA(_xlfn.XLOOKUP(C61,'00_SKU_Master'!$B$2:$B$378,'00_SKU_Master'!$F$2:$F$378,0)*Z61,"")</f>
        <v/>
      </c>
      <c r="F59" s="586">
        <f>_xludf.IFNA(_xlfn.XLOOKUP(C61,'00_SKU_Master'!$B$2:$B$378,'00_SKU_Master'!$F$2:$F$378,0)*AA61,"")</f>
        <v/>
      </c>
      <c r="G59" s="586">
        <f>_xludf.IFNA(_xlfn.XLOOKUP(C61,'00_SKU_Master'!$B$2:$B$378,'00_SKU_Master'!$F$2:$F$378,0)*AB61,"")</f>
        <v/>
      </c>
      <c r="H59" s="586">
        <f>_xludf.IFNA(_xlfn.XLOOKUP(C61,'00_SKU_Master'!$B$2:$B$378,'00_SKU_Master'!$F$2:$F$378,0)*AC61,"")</f>
        <v/>
      </c>
      <c r="I59" s="586">
        <f>_xludf.IFNA(_xlfn.XLOOKUP(C61,'00_SKU_Master'!$B$2:$B$378,'00_SKU_Master'!$F$2:$F$378,0)*AD61,"")</f>
        <v/>
      </c>
      <c r="J59" s="586">
        <f>_xludf.IFNA(_xlfn.XLOOKUP(C61,'00_SKU_Master'!$B$2:$B$378,'00_SKU_Master'!$F$2:$F$378,0)*AE61,"")</f>
        <v/>
      </c>
      <c r="K59" s="587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88" t="n"/>
      <c r="Z59" s="589" t="n"/>
      <c r="AA59" s="588" t="n"/>
      <c r="AB59" s="589" t="n"/>
      <c r="AC59" s="588" t="n">
        <v>0</v>
      </c>
      <c r="AD59" s="589" t="n">
        <v>0</v>
      </c>
      <c r="AE59" s="588" t="n">
        <v>0</v>
      </c>
      <c r="AF59" s="587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86">
        <f>_xludf.IFNA(_xlfn.XLOOKUP(C62,'00_SKU_Master'!$B$2:$B$378,'00_SKU_Master'!$F$2:$F$378,0)*Y62,"")</f>
        <v/>
      </c>
      <c r="E60" s="586">
        <f>_xludf.IFNA(_xlfn.XLOOKUP(C62,'00_SKU_Master'!$B$2:$B$378,'00_SKU_Master'!$F$2:$F$378,0)*Z62,"")</f>
        <v/>
      </c>
      <c r="F60" s="586">
        <f>_xludf.IFNA(_xlfn.XLOOKUP(C62,'00_SKU_Master'!$B$2:$B$378,'00_SKU_Master'!$F$2:$F$378,0)*AA62,"")</f>
        <v/>
      </c>
      <c r="G60" s="586">
        <f>_xludf.IFNA(_xlfn.XLOOKUP(C62,'00_SKU_Master'!$B$2:$B$378,'00_SKU_Master'!$F$2:$F$378,0)*AB62,"")</f>
        <v/>
      </c>
      <c r="H60" s="586">
        <f>_xludf.IFNA(_xlfn.XLOOKUP(C62,'00_SKU_Master'!$B$2:$B$378,'00_SKU_Master'!$F$2:$F$378,0)*AC62,"")</f>
        <v/>
      </c>
      <c r="I60" s="586">
        <f>_xludf.IFNA(_xlfn.XLOOKUP(C62,'00_SKU_Master'!$B$2:$B$378,'00_SKU_Master'!$F$2:$F$378,0)*AD62,"")</f>
        <v/>
      </c>
      <c r="J60" s="586">
        <f>_xludf.IFNA(_xlfn.XLOOKUP(C62,'00_SKU_Master'!$B$2:$B$378,'00_SKU_Master'!$F$2:$F$378,0)*AE62,"")</f>
        <v/>
      </c>
      <c r="K60" s="587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88" t="n"/>
      <c r="Z60" s="589" t="n"/>
      <c r="AA60" s="588" t="n"/>
      <c r="AB60" s="589" t="n"/>
      <c r="AC60" s="588" t="n">
        <v>0</v>
      </c>
      <c r="AD60" s="589" t="n">
        <v>0</v>
      </c>
      <c r="AE60" s="588" t="n">
        <v>0</v>
      </c>
      <c r="AF60" s="587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86">
        <f>_xludf.IFNA(_xlfn.XLOOKUP(C63,'00_SKU_Master'!$B$2:$B$378,'00_SKU_Master'!$F$2:$F$378,0)*Y63,"")</f>
        <v/>
      </c>
      <c r="E61" s="586">
        <f>_xludf.IFNA(_xlfn.XLOOKUP(C63,'00_SKU_Master'!$B$2:$B$378,'00_SKU_Master'!$F$2:$F$378,0)*Z63,"")</f>
        <v/>
      </c>
      <c r="F61" s="586">
        <f>_xludf.IFNA(_xlfn.XLOOKUP(C63,'00_SKU_Master'!$B$2:$B$378,'00_SKU_Master'!$F$2:$F$378,0)*AA63,"")</f>
        <v/>
      </c>
      <c r="G61" s="586">
        <f>_xludf.IFNA(_xlfn.XLOOKUP(C63,'00_SKU_Master'!$B$2:$B$378,'00_SKU_Master'!$F$2:$F$378,0)*AB63,"")</f>
        <v/>
      </c>
      <c r="H61" s="586">
        <f>_xludf.IFNA(_xlfn.XLOOKUP(C63,'00_SKU_Master'!$B$2:$B$378,'00_SKU_Master'!$F$2:$F$378,0)*AC63,"")</f>
        <v/>
      </c>
      <c r="I61" s="586">
        <f>_xludf.IFNA(_xlfn.XLOOKUP(C63,'00_SKU_Master'!$B$2:$B$378,'00_SKU_Master'!$F$2:$F$378,0)*AD63,"")</f>
        <v/>
      </c>
      <c r="J61" s="586">
        <f>_xludf.IFNA(_xlfn.XLOOKUP(C63,'00_SKU_Master'!$B$2:$B$378,'00_SKU_Master'!$F$2:$F$378,0)*AE63,"")</f>
        <v/>
      </c>
      <c r="K61" s="587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88" t="n"/>
      <c r="Z61" s="589" t="n"/>
      <c r="AA61" s="588" t="n"/>
      <c r="AB61" s="589" t="n"/>
      <c r="AC61" s="588" t="n">
        <v>0</v>
      </c>
      <c r="AD61" s="589" t="n">
        <v>0</v>
      </c>
      <c r="AE61" s="588" t="n">
        <v>0</v>
      </c>
      <c r="AF61" s="587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86">
        <f>_xludf.IFNA(_xlfn.XLOOKUP(C64,'00_SKU_Master'!$B$2:$B$378,'00_SKU_Master'!$F$2:$F$378,0)*Y64,"")</f>
        <v/>
      </c>
      <c r="E62" s="586">
        <f>_xludf.IFNA(_xlfn.XLOOKUP(C64,'00_SKU_Master'!$B$2:$B$378,'00_SKU_Master'!$F$2:$F$378,0)*Z64,"")</f>
        <v/>
      </c>
      <c r="F62" s="586">
        <f>_xludf.IFNA(_xlfn.XLOOKUP(C64,'00_SKU_Master'!$B$2:$B$378,'00_SKU_Master'!$F$2:$F$378,0)*AA64,"")</f>
        <v/>
      </c>
      <c r="G62" s="586">
        <f>_xludf.IFNA(_xlfn.XLOOKUP(C64,'00_SKU_Master'!$B$2:$B$378,'00_SKU_Master'!$F$2:$F$378,0)*AB64,"")</f>
        <v/>
      </c>
      <c r="H62" s="586">
        <f>_xludf.IFNA(_xlfn.XLOOKUP(C64,'00_SKU_Master'!$B$2:$B$378,'00_SKU_Master'!$F$2:$F$378,0)*AC64,"")</f>
        <v/>
      </c>
      <c r="I62" s="586">
        <f>_xludf.IFNA(_xlfn.XLOOKUP(C64,'00_SKU_Master'!$B$2:$B$378,'00_SKU_Master'!$F$2:$F$378,0)*AD64,"")</f>
        <v/>
      </c>
      <c r="J62" s="586">
        <f>_xludf.IFNA(_xlfn.XLOOKUP(C64,'00_SKU_Master'!$B$2:$B$378,'00_SKU_Master'!$F$2:$F$378,0)*AE64,"")</f>
        <v/>
      </c>
      <c r="K62" s="587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88" t="n"/>
      <c r="Z62" s="589" t="n"/>
      <c r="AA62" s="588" t="n"/>
      <c r="AB62" s="589" t="n"/>
      <c r="AC62" s="588" t="n">
        <v>0</v>
      </c>
      <c r="AD62" s="589" t="n">
        <v>0</v>
      </c>
      <c r="AE62" s="588" t="n">
        <v>0</v>
      </c>
      <c r="AF62" s="587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86">
        <f>_xludf.IFNA(_xlfn.XLOOKUP(C65,'00_SKU_Master'!$B$2:$B$378,'00_SKU_Master'!$F$2:$F$378,0)*Y65,"")</f>
        <v/>
      </c>
      <c r="E63" s="586">
        <f>_xludf.IFNA(_xlfn.XLOOKUP(C65,'00_SKU_Master'!$B$2:$B$378,'00_SKU_Master'!$F$2:$F$378,0)*Z65,"")</f>
        <v/>
      </c>
      <c r="F63" s="586">
        <f>_xludf.IFNA(_xlfn.XLOOKUP(C65,'00_SKU_Master'!$B$2:$B$378,'00_SKU_Master'!$F$2:$F$378,0)*AA65,"")</f>
        <v/>
      </c>
      <c r="G63" s="586">
        <f>_xludf.IFNA(_xlfn.XLOOKUP(C65,'00_SKU_Master'!$B$2:$B$378,'00_SKU_Master'!$F$2:$F$378,0)*AB65,"")</f>
        <v/>
      </c>
      <c r="H63" s="586">
        <f>_xludf.IFNA(_xlfn.XLOOKUP(C65,'00_SKU_Master'!$B$2:$B$378,'00_SKU_Master'!$F$2:$F$378,0)*AC65,"")</f>
        <v/>
      </c>
      <c r="I63" s="586">
        <f>_xludf.IFNA(_xlfn.XLOOKUP(C65,'00_SKU_Master'!$B$2:$B$378,'00_SKU_Master'!$F$2:$F$378,0)*AD65,"")</f>
        <v/>
      </c>
      <c r="J63" s="586">
        <f>_xludf.IFNA(_xlfn.XLOOKUP(C65,'00_SKU_Master'!$B$2:$B$378,'00_SKU_Master'!$F$2:$F$378,0)*AE65,"")</f>
        <v/>
      </c>
      <c r="K63" s="587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88" t="n"/>
      <c r="Z63" s="589" t="n"/>
      <c r="AA63" s="588" t="n"/>
      <c r="AB63" s="589" t="n"/>
      <c r="AC63" s="588" t="n">
        <v>0</v>
      </c>
      <c r="AD63" s="589" t="n">
        <v>0</v>
      </c>
      <c r="AE63" s="588" t="n">
        <v>0</v>
      </c>
      <c r="AF63" s="587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86">
        <f>_xludf.IFNA(_xlfn.XLOOKUP(C66,'00_SKU_Master'!$B$2:$B$378,'00_SKU_Master'!$F$2:$F$378,0)*Y66,"")</f>
        <v/>
      </c>
      <c r="E64" s="586">
        <f>_xludf.IFNA(_xlfn.XLOOKUP(C66,'00_SKU_Master'!$B$2:$B$378,'00_SKU_Master'!$F$2:$F$378,0)*Z66,"")</f>
        <v/>
      </c>
      <c r="F64" s="586">
        <f>_xludf.IFNA(_xlfn.XLOOKUP(C66,'00_SKU_Master'!$B$2:$B$378,'00_SKU_Master'!$F$2:$F$378,0)*AA66,"")</f>
        <v/>
      </c>
      <c r="G64" s="586">
        <f>_xludf.IFNA(_xlfn.XLOOKUP(C66,'00_SKU_Master'!$B$2:$B$378,'00_SKU_Master'!$F$2:$F$378,0)*AB66,"")</f>
        <v/>
      </c>
      <c r="H64" s="586">
        <f>_xludf.IFNA(_xlfn.XLOOKUP(C66,'00_SKU_Master'!$B$2:$B$378,'00_SKU_Master'!$F$2:$F$378,0)*AC66,"")</f>
        <v/>
      </c>
      <c r="I64" s="586">
        <f>_xludf.IFNA(_xlfn.XLOOKUP(C66,'00_SKU_Master'!$B$2:$B$378,'00_SKU_Master'!$F$2:$F$378,0)*AD66,"")</f>
        <v/>
      </c>
      <c r="J64" s="586">
        <f>_xludf.IFNA(_xlfn.XLOOKUP(C66,'00_SKU_Master'!$B$2:$B$378,'00_SKU_Master'!$F$2:$F$378,0)*AE66,"")</f>
        <v/>
      </c>
      <c r="K64" s="587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88" t="n"/>
      <c r="Z64" s="589" t="n"/>
      <c r="AA64" s="588" t="n"/>
      <c r="AB64" s="589" t="n"/>
      <c r="AC64" s="588" t="n">
        <v>0</v>
      </c>
      <c r="AD64" s="589" t="n">
        <v>0</v>
      </c>
      <c r="AE64" s="588" t="n">
        <v>0</v>
      </c>
      <c r="AF64" s="587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86">
        <f>_xludf.IFNA(_xlfn.XLOOKUP(C67,'00_SKU_Master'!$B$2:$B$378,'00_SKU_Master'!$F$2:$F$378,0)*Y67,"")</f>
        <v/>
      </c>
      <c r="E65" s="586">
        <f>_xludf.IFNA(_xlfn.XLOOKUP(C67,'00_SKU_Master'!$B$2:$B$378,'00_SKU_Master'!$F$2:$F$378,0)*Z67,"")</f>
        <v/>
      </c>
      <c r="F65" s="586">
        <f>_xludf.IFNA(_xlfn.XLOOKUP(C67,'00_SKU_Master'!$B$2:$B$378,'00_SKU_Master'!$F$2:$F$378,0)*AA67,"")</f>
        <v/>
      </c>
      <c r="G65" s="586">
        <f>_xludf.IFNA(_xlfn.XLOOKUP(C67,'00_SKU_Master'!$B$2:$B$378,'00_SKU_Master'!$F$2:$F$378,0)*AB67,"")</f>
        <v/>
      </c>
      <c r="H65" s="586">
        <f>_xludf.IFNA(_xlfn.XLOOKUP(C67,'00_SKU_Master'!$B$2:$B$378,'00_SKU_Master'!$F$2:$F$378,0)*AC67,"")</f>
        <v/>
      </c>
      <c r="I65" s="586">
        <f>_xludf.IFNA(_xlfn.XLOOKUP(C67,'00_SKU_Master'!$B$2:$B$378,'00_SKU_Master'!$F$2:$F$378,0)*AD67,"")</f>
        <v/>
      </c>
      <c r="J65" s="586">
        <f>_xludf.IFNA(_xlfn.XLOOKUP(C67,'00_SKU_Master'!$B$2:$B$378,'00_SKU_Master'!$F$2:$F$378,0)*AE67,"")</f>
        <v/>
      </c>
      <c r="K65" s="587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88" t="n"/>
      <c r="Z65" s="589" t="n"/>
      <c r="AA65" s="588" t="n"/>
      <c r="AB65" s="589" t="n"/>
      <c r="AC65" s="588" t="n">
        <v>0</v>
      </c>
      <c r="AD65" s="589" t="n">
        <v>0</v>
      </c>
      <c r="AE65" s="588" t="n">
        <v>0</v>
      </c>
      <c r="AF65" s="587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86">
        <f>_xludf.IFNA(_xlfn.XLOOKUP(C68,'00_SKU_Master'!$B$2:$B$378,'00_SKU_Master'!$F$2:$F$378,0)*Y68,"")</f>
        <v/>
      </c>
      <c r="E66" s="586">
        <f>_xludf.IFNA(_xlfn.XLOOKUP(C68,'00_SKU_Master'!$B$2:$B$378,'00_SKU_Master'!$F$2:$F$378,0)*Z68,"")</f>
        <v/>
      </c>
      <c r="F66" s="586">
        <f>_xludf.IFNA(_xlfn.XLOOKUP(C68,'00_SKU_Master'!$B$2:$B$378,'00_SKU_Master'!$F$2:$F$378,0)*AA68,"")</f>
        <v/>
      </c>
      <c r="G66" s="586">
        <f>_xludf.IFNA(_xlfn.XLOOKUP(C68,'00_SKU_Master'!$B$2:$B$378,'00_SKU_Master'!$F$2:$F$378,0)*AB68,"")</f>
        <v/>
      </c>
      <c r="H66" s="586">
        <f>_xludf.IFNA(_xlfn.XLOOKUP(C68,'00_SKU_Master'!$B$2:$B$378,'00_SKU_Master'!$F$2:$F$378,0)*AC68,"")</f>
        <v/>
      </c>
      <c r="I66" s="586">
        <f>_xludf.IFNA(_xlfn.XLOOKUP(C68,'00_SKU_Master'!$B$2:$B$378,'00_SKU_Master'!$F$2:$F$378,0)*AD68,"")</f>
        <v/>
      </c>
      <c r="J66" s="586">
        <f>_xludf.IFNA(_xlfn.XLOOKUP(C68,'00_SKU_Master'!$B$2:$B$378,'00_SKU_Master'!$F$2:$F$378,0)*AE68,"")</f>
        <v/>
      </c>
      <c r="K66" s="587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88" t="n"/>
      <c r="Z66" s="589" t="n"/>
      <c r="AA66" s="588" t="n"/>
      <c r="AB66" s="589" t="n"/>
      <c r="AC66" s="588" t="n">
        <v>0</v>
      </c>
      <c r="AD66" s="589" t="n">
        <v>0</v>
      </c>
      <c r="AE66" s="588" t="n">
        <v>0</v>
      </c>
      <c r="AF66" s="587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86">
        <f>_xludf.IFNA(_xlfn.XLOOKUP(C69,'00_SKU_Master'!$B$2:$B$378,'00_SKU_Master'!$F$2:$F$378,0)*Y69,"")</f>
        <v/>
      </c>
      <c r="E67" s="586">
        <f>_xludf.IFNA(_xlfn.XLOOKUP(C69,'00_SKU_Master'!$B$2:$B$378,'00_SKU_Master'!$F$2:$F$378,0)*Z69,"")</f>
        <v/>
      </c>
      <c r="F67" s="586">
        <f>_xludf.IFNA(_xlfn.XLOOKUP(C69,'00_SKU_Master'!$B$2:$B$378,'00_SKU_Master'!$F$2:$F$378,0)*AA69,"")</f>
        <v/>
      </c>
      <c r="G67" s="586">
        <f>_xludf.IFNA(_xlfn.XLOOKUP(C69,'00_SKU_Master'!$B$2:$B$378,'00_SKU_Master'!$F$2:$F$378,0)*AB69,"")</f>
        <v/>
      </c>
      <c r="H67" s="586">
        <f>_xludf.IFNA(_xlfn.XLOOKUP(C69,'00_SKU_Master'!$B$2:$B$378,'00_SKU_Master'!$F$2:$F$378,0)*AC69,"")</f>
        <v/>
      </c>
      <c r="I67" s="586">
        <f>_xludf.IFNA(_xlfn.XLOOKUP(C69,'00_SKU_Master'!$B$2:$B$378,'00_SKU_Master'!$F$2:$F$378,0)*AD69,"")</f>
        <v/>
      </c>
      <c r="J67" s="586">
        <f>_xludf.IFNA(_xlfn.XLOOKUP(C69,'00_SKU_Master'!$B$2:$B$378,'00_SKU_Master'!$F$2:$F$378,0)*AE69,"")</f>
        <v/>
      </c>
      <c r="K67" s="587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88" t="n"/>
      <c r="Z67" s="589" t="n"/>
      <c r="AA67" s="589" t="n"/>
      <c r="AB67" s="589" t="n"/>
      <c r="AC67" s="589" t="n">
        <v>0</v>
      </c>
      <c r="AD67" s="589" t="n">
        <v>0</v>
      </c>
      <c r="AE67" s="589" t="n">
        <v>0</v>
      </c>
      <c r="AF67" s="587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86">
        <f>_xludf.IFNA(_xlfn.XLOOKUP(C70,'00_SKU_Master'!$B$2:$B$378,'00_SKU_Master'!$F$2:$F$378,0)*Y70,"")</f>
        <v/>
      </c>
      <c r="E68" s="586">
        <f>_xludf.IFNA(_xlfn.XLOOKUP(C70,'00_SKU_Master'!$B$2:$B$378,'00_SKU_Master'!$F$2:$F$378,0)*Z70,"")</f>
        <v/>
      </c>
      <c r="F68" s="586">
        <f>_xludf.IFNA(_xlfn.XLOOKUP(C70,'00_SKU_Master'!$B$2:$B$378,'00_SKU_Master'!$F$2:$F$378,0)*AA70,"")</f>
        <v/>
      </c>
      <c r="G68" s="586">
        <f>_xludf.IFNA(_xlfn.XLOOKUP(C70,'00_SKU_Master'!$B$2:$B$378,'00_SKU_Master'!$F$2:$F$378,0)*AB70,"")</f>
        <v/>
      </c>
      <c r="H68" s="586">
        <f>_xludf.IFNA(_xlfn.XLOOKUP(C70,'00_SKU_Master'!$B$2:$B$378,'00_SKU_Master'!$F$2:$F$378,0)*AC70,"")</f>
        <v/>
      </c>
      <c r="I68" s="586">
        <f>_xludf.IFNA(_xlfn.XLOOKUP(C70,'00_SKU_Master'!$B$2:$B$378,'00_SKU_Master'!$F$2:$F$378,0)*AD70,"")</f>
        <v/>
      </c>
      <c r="J68" s="586">
        <f>_xludf.IFNA(_xlfn.XLOOKUP(C70,'00_SKU_Master'!$B$2:$B$378,'00_SKU_Master'!$F$2:$F$378,0)*AE70,"")</f>
        <v/>
      </c>
      <c r="K68" s="587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88" t="n"/>
      <c r="Z68" s="589" t="n"/>
      <c r="AA68" s="589" t="n"/>
      <c r="AB68" s="589" t="n"/>
      <c r="AC68" s="589" t="n">
        <v>0</v>
      </c>
      <c r="AD68" s="589" t="n">
        <v>0</v>
      </c>
      <c r="AE68" s="589" t="n">
        <v>0</v>
      </c>
      <c r="AF68" s="587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86">
        <f>_xludf.IFNA(_xlfn.XLOOKUP(C71,'00_SKU_Master'!$B$2:$B$378,'00_SKU_Master'!$F$2:$F$378,0)*Y71,"")</f>
        <v/>
      </c>
      <c r="E69" s="586">
        <f>_xludf.IFNA(_xlfn.XLOOKUP(C71,'00_SKU_Master'!$B$2:$B$378,'00_SKU_Master'!$F$2:$F$378,0)*Z71,"")</f>
        <v/>
      </c>
      <c r="F69" s="586">
        <f>_xludf.IFNA(_xlfn.XLOOKUP(C71,'00_SKU_Master'!$B$2:$B$378,'00_SKU_Master'!$F$2:$F$378,0)*AA71,"")</f>
        <v/>
      </c>
      <c r="G69" s="586">
        <f>_xludf.IFNA(_xlfn.XLOOKUP(C71,'00_SKU_Master'!$B$2:$B$378,'00_SKU_Master'!$F$2:$F$378,0)*AB71,"")</f>
        <v/>
      </c>
      <c r="H69" s="586">
        <f>_xludf.IFNA(_xlfn.XLOOKUP(C71,'00_SKU_Master'!$B$2:$B$378,'00_SKU_Master'!$F$2:$F$378,0)*AC71,"")</f>
        <v/>
      </c>
      <c r="I69" s="586">
        <f>_xludf.IFNA(_xlfn.XLOOKUP(C71,'00_SKU_Master'!$B$2:$B$378,'00_SKU_Master'!$F$2:$F$378,0)*AD71,"")</f>
        <v/>
      </c>
      <c r="J69" s="586">
        <f>_xludf.IFNA(_xlfn.XLOOKUP(C71,'00_SKU_Master'!$B$2:$B$378,'00_SKU_Master'!$F$2:$F$378,0)*AE71,"")</f>
        <v/>
      </c>
      <c r="K69" s="587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88" t="n"/>
      <c r="Z69" s="589" t="n"/>
      <c r="AA69" s="589" t="n"/>
      <c r="AB69" s="589" t="n"/>
      <c r="AC69" s="589" t="n">
        <v>0</v>
      </c>
      <c r="AD69" s="589" t="n">
        <v>0</v>
      </c>
      <c r="AE69" s="589" t="n">
        <v>0</v>
      </c>
      <c r="AF69" s="587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86">
        <f>_xludf.IFNA(_xlfn.XLOOKUP(C72,'00_SKU_Master'!$B$2:$B$378,'00_SKU_Master'!$F$2:$F$378,0)*Y72,"")</f>
        <v/>
      </c>
      <c r="E70" s="586">
        <f>_xludf.IFNA(_xlfn.XLOOKUP(C72,'00_SKU_Master'!$B$2:$B$378,'00_SKU_Master'!$F$2:$F$378,0)*Z72,"")</f>
        <v/>
      </c>
      <c r="F70" s="586">
        <f>_xludf.IFNA(_xlfn.XLOOKUP(C72,'00_SKU_Master'!$B$2:$B$378,'00_SKU_Master'!$F$2:$F$378,0)*AA72,"")</f>
        <v/>
      </c>
      <c r="G70" s="586">
        <f>_xludf.IFNA(_xlfn.XLOOKUP(C72,'00_SKU_Master'!$B$2:$B$378,'00_SKU_Master'!$F$2:$F$378,0)*AB72,"")</f>
        <v/>
      </c>
      <c r="H70" s="586">
        <f>_xludf.IFNA(_xlfn.XLOOKUP(C72,'00_SKU_Master'!$B$2:$B$378,'00_SKU_Master'!$F$2:$F$378,0)*AC72,"")</f>
        <v/>
      </c>
      <c r="I70" s="586">
        <f>_xludf.IFNA(_xlfn.XLOOKUP(C72,'00_SKU_Master'!$B$2:$B$378,'00_SKU_Master'!$F$2:$F$378,0)*AD72,"")</f>
        <v/>
      </c>
      <c r="J70" s="586">
        <f>_xludf.IFNA(_xlfn.XLOOKUP(C72,'00_SKU_Master'!$B$2:$B$378,'00_SKU_Master'!$F$2:$F$378,0)*AE72,"")</f>
        <v/>
      </c>
      <c r="K70" s="587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88" t="n"/>
      <c r="Z70" s="589" t="n"/>
      <c r="AA70" s="589" t="n"/>
      <c r="AB70" s="589" t="n"/>
      <c r="AC70" s="589" t="n">
        <v>0</v>
      </c>
      <c r="AD70" s="589" t="n">
        <v>0</v>
      </c>
      <c r="AE70" s="589" t="n">
        <v>0</v>
      </c>
      <c r="AF70" s="587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86">
        <f>_xludf.IFNA(_xlfn.XLOOKUP(C73,'00_SKU_Master'!$B$2:$B$378,'00_SKU_Master'!$F$2:$F$378,0)*Y73,"")</f>
        <v/>
      </c>
      <c r="E71" s="586">
        <f>_xludf.IFNA(_xlfn.XLOOKUP(C73,'00_SKU_Master'!$B$2:$B$378,'00_SKU_Master'!$F$2:$F$378,0)*Z73,"")</f>
        <v/>
      </c>
      <c r="F71" s="586">
        <f>_xludf.IFNA(_xlfn.XLOOKUP(C73,'00_SKU_Master'!$B$2:$B$378,'00_SKU_Master'!$F$2:$F$378,0)*AA73,"")</f>
        <v/>
      </c>
      <c r="G71" s="586">
        <f>_xludf.IFNA(_xlfn.XLOOKUP(C73,'00_SKU_Master'!$B$2:$B$378,'00_SKU_Master'!$F$2:$F$378,0)*AB73,"")</f>
        <v/>
      </c>
      <c r="H71" s="586">
        <f>_xludf.IFNA(_xlfn.XLOOKUP(C73,'00_SKU_Master'!$B$2:$B$378,'00_SKU_Master'!$F$2:$F$378,0)*AC73,"")</f>
        <v/>
      </c>
      <c r="I71" s="586">
        <f>_xludf.IFNA(_xlfn.XLOOKUP(C73,'00_SKU_Master'!$B$2:$B$378,'00_SKU_Master'!$F$2:$F$378,0)*AD73,"")</f>
        <v/>
      </c>
      <c r="J71" s="586">
        <f>_xludf.IFNA(_xlfn.XLOOKUP(C73,'00_SKU_Master'!$B$2:$B$378,'00_SKU_Master'!$F$2:$F$378,0)*AE73,"")</f>
        <v/>
      </c>
      <c r="K71" s="587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88" t="n"/>
      <c r="Z71" s="589" t="n"/>
      <c r="AA71" s="589" t="n"/>
      <c r="AB71" s="589" t="n"/>
      <c r="AC71" s="589" t="n">
        <v>0</v>
      </c>
      <c r="AD71" s="589" t="n">
        <v>0</v>
      </c>
      <c r="AE71" s="589" t="n">
        <v>0</v>
      </c>
      <c r="AF71" s="587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86">
        <f>_xludf.IFNA(_xlfn.XLOOKUP(C74,'00_SKU_Master'!$B$2:$B$378,'00_SKU_Master'!$F$2:$F$378,0)*Y74,"")</f>
        <v/>
      </c>
      <c r="E72" s="586">
        <f>_xludf.IFNA(_xlfn.XLOOKUP(C74,'00_SKU_Master'!$B$2:$B$378,'00_SKU_Master'!$F$2:$F$378,0)*Z74,"")</f>
        <v/>
      </c>
      <c r="F72" s="586">
        <f>_xludf.IFNA(_xlfn.XLOOKUP(C74,'00_SKU_Master'!$B$2:$B$378,'00_SKU_Master'!$F$2:$F$378,0)*AA74,"")</f>
        <v/>
      </c>
      <c r="G72" s="586">
        <f>_xludf.IFNA(_xlfn.XLOOKUP(C74,'00_SKU_Master'!$B$2:$B$378,'00_SKU_Master'!$F$2:$F$378,0)*AB74,"")</f>
        <v/>
      </c>
      <c r="H72" s="586">
        <f>_xludf.IFNA(_xlfn.XLOOKUP(C74,'00_SKU_Master'!$B$2:$B$378,'00_SKU_Master'!$F$2:$F$378,0)*AC74,"")</f>
        <v/>
      </c>
      <c r="I72" s="586">
        <f>_xludf.IFNA(_xlfn.XLOOKUP(C74,'00_SKU_Master'!$B$2:$B$378,'00_SKU_Master'!$F$2:$F$378,0)*AD74,"")</f>
        <v/>
      </c>
      <c r="J72" s="586">
        <f>_xludf.IFNA(_xlfn.XLOOKUP(C74,'00_SKU_Master'!$B$2:$B$378,'00_SKU_Master'!$F$2:$F$378,0)*AE74,"")</f>
        <v/>
      </c>
      <c r="K72" s="587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88" t="n"/>
      <c r="Z72" s="589" t="n"/>
      <c r="AA72" s="589" t="n"/>
      <c r="AB72" s="589" t="n"/>
      <c r="AC72" s="589" t="n">
        <v>56</v>
      </c>
      <c r="AD72" s="589" t="n">
        <v>0</v>
      </c>
      <c r="AE72" s="589" t="n">
        <v>63</v>
      </c>
      <c r="AF72" s="587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86">
        <f>_xludf.IFNA(_xlfn.XLOOKUP(C75,'00_SKU_Master'!$B$2:$B$378,'00_SKU_Master'!$F$2:$F$378,0)*Y75,"")</f>
        <v/>
      </c>
      <c r="E73" s="586">
        <f>_xludf.IFNA(_xlfn.XLOOKUP(C75,'00_SKU_Master'!$B$2:$B$378,'00_SKU_Master'!$F$2:$F$378,0)*Z75,"")</f>
        <v/>
      </c>
      <c r="F73" s="586">
        <f>_xludf.IFNA(_xlfn.XLOOKUP(C75,'00_SKU_Master'!$B$2:$B$378,'00_SKU_Master'!$F$2:$F$378,0)*AA75,"")</f>
        <v/>
      </c>
      <c r="G73" s="586">
        <f>_xludf.IFNA(_xlfn.XLOOKUP(C75,'00_SKU_Master'!$B$2:$B$378,'00_SKU_Master'!$F$2:$F$378,0)*AB75,"")</f>
        <v/>
      </c>
      <c r="H73" s="586">
        <f>_xludf.IFNA(_xlfn.XLOOKUP(C75,'00_SKU_Master'!$B$2:$B$378,'00_SKU_Master'!$F$2:$F$378,0)*AC75,"")</f>
        <v/>
      </c>
      <c r="I73" s="586">
        <f>_xludf.IFNA(_xlfn.XLOOKUP(C75,'00_SKU_Master'!$B$2:$B$378,'00_SKU_Master'!$F$2:$F$378,0)*AD75,"")</f>
        <v/>
      </c>
      <c r="J73" s="586">
        <f>_xludf.IFNA(_xlfn.XLOOKUP(C75,'00_SKU_Master'!$B$2:$B$378,'00_SKU_Master'!$F$2:$F$378,0)*AE75,"")</f>
        <v/>
      </c>
      <c r="K73" s="587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88" t="n"/>
      <c r="Z73" s="589" t="n"/>
      <c r="AA73" s="589" t="n"/>
      <c r="AB73" s="589" t="n"/>
      <c r="AC73" s="589" t="n">
        <v>0</v>
      </c>
      <c r="AD73" s="589" t="n">
        <v>0</v>
      </c>
      <c r="AE73" s="589" t="n">
        <v>0</v>
      </c>
      <c r="AF73" s="587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86">
        <f>_xludf.IFNA(_xlfn.XLOOKUP(C76,'00_SKU_Master'!$B$2:$B$378,'00_SKU_Master'!$F$2:$F$378,0)*Y76,"")</f>
        <v/>
      </c>
      <c r="E74" s="586">
        <f>_xludf.IFNA(_xlfn.XLOOKUP(C76,'00_SKU_Master'!$B$2:$B$378,'00_SKU_Master'!$F$2:$F$378,0)*Z76,"")</f>
        <v/>
      </c>
      <c r="F74" s="586">
        <f>_xludf.IFNA(_xlfn.XLOOKUP(C76,'00_SKU_Master'!$B$2:$B$378,'00_SKU_Master'!$F$2:$F$378,0)*AA76,"")</f>
        <v/>
      </c>
      <c r="G74" s="586">
        <f>_xludf.IFNA(_xlfn.XLOOKUP(C76,'00_SKU_Master'!$B$2:$B$378,'00_SKU_Master'!$F$2:$F$378,0)*AB76,"")</f>
        <v/>
      </c>
      <c r="H74" s="586">
        <f>_xludf.IFNA(_xlfn.XLOOKUP(C76,'00_SKU_Master'!$B$2:$B$378,'00_SKU_Master'!$F$2:$F$378,0)*AC76,"")</f>
        <v/>
      </c>
      <c r="I74" s="586">
        <f>_xludf.IFNA(_xlfn.XLOOKUP(C76,'00_SKU_Master'!$B$2:$B$378,'00_SKU_Master'!$F$2:$F$378,0)*AD76,"")</f>
        <v/>
      </c>
      <c r="J74" s="586">
        <f>_xludf.IFNA(_xlfn.XLOOKUP(C76,'00_SKU_Master'!$B$2:$B$378,'00_SKU_Master'!$F$2:$F$378,0)*AE76,"")</f>
        <v/>
      </c>
      <c r="K74" s="587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88" t="n"/>
      <c r="Z74" s="589" t="n"/>
      <c r="AA74" s="589" t="n"/>
      <c r="AB74" s="589" t="n"/>
      <c r="AC74" s="589" t="n">
        <v>73</v>
      </c>
      <c r="AD74" s="589" t="n">
        <v>0</v>
      </c>
      <c r="AE74" s="589" t="n">
        <v>76</v>
      </c>
      <c r="AF74" s="587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86">
        <f>_xludf.IFNA(_xlfn.XLOOKUP(C77,'00_SKU_Master'!$B$2:$B$378,'00_SKU_Master'!$F$2:$F$378,0)*Y77,"")</f>
        <v/>
      </c>
      <c r="E75" s="586">
        <f>_xludf.IFNA(_xlfn.XLOOKUP(C77,'00_SKU_Master'!$B$2:$B$378,'00_SKU_Master'!$F$2:$F$378,0)*Z77,"")</f>
        <v/>
      </c>
      <c r="F75" s="586">
        <f>_xludf.IFNA(_xlfn.XLOOKUP(C77,'00_SKU_Master'!$B$2:$B$378,'00_SKU_Master'!$F$2:$F$378,0)*AA77,"")</f>
        <v/>
      </c>
      <c r="G75" s="586">
        <f>_xludf.IFNA(_xlfn.XLOOKUP(C77,'00_SKU_Master'!$B$2:$B$378,'00_SKU_Master'!$F$2:$F$378,0)*AB77,"")</f>
        <v/>
      </c>
      <c r="H75" s="586">
        <f>_xludf.IFNA(_xlfn.XLOOKUP(C77,'00_SKU_Master'!$B$2:$B$378,'00_SKU_Master'!$F$2:$F$378,0)*AC77,"")</f>
        <v/>
      </c>
      <c r="I75" s="586">
        <f>_xludf.IFNA(_xlfn.XLOOKUP(C77,'00_SKU_Master'!$B$2:$B$378,'00_SKU_Master'!$F$2:$F$378,0)*AD77,"")</f>
        <v/>
      </c>
      <c r="J75" s="586">
        <f>_xludf.IFNA(_xlfn.XLOOKUP(C77,'00_SKU_Master'!$B$2:$B$378,'00_SKU_Master'!$F$2:$F$378,0)*AE77,"")</f>
        <v/>
      </c>
      <c r="K75" s="587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88" t="n"/>
      <c r="Z75" s="589" t="n"/>
      <c r="AA75" s="589" t="n"/>
      <c r="AB75" s="589" t="n"/>
      <c r="AC75" s="589" t="n">
        <v>0</v>
      </c>
      <c r="AD75" s="589" t="n">
        <v>0</v>
      </c>
      <c r="AE75" s="589" t="n">
        <v>0</v>
      </c>
      <c r="AF75" s="587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86">
        <f>_xludf.IFNA(_xlfn.XLOOKUP(C78,'00_SKU_Master'!$B$2:$B$378,'00_SKU_Master'!$F$2:$F$378,0)*Y78,"")</f>
        <v/>
      </c>
      <c r="E76" s="586">
        <f>_xludf.IFNA(_xlfn.XLOOKUP(C78,'00_SKU_Master'!$B$2:$B$378,'00_SKU_Master'!$F$2:$F$378,0)*Z78,"")</f>
        <v/>
      </c>
      <c r="F76" s="586">
        <f>_xludf.IFNA(_xlfn.XLOOKUP(C78,'00_SKU_Master'!$B$2:$B$378,'00_SKU_Master'!$F$2:$F$378,0)*AA78,"")</f>
        <v/>
      </c>
      <c r="G76" s="586">
        <f>_xludf.IFNA(_xlfn.XLOOKUP(C78,'00_SKU_Master'!$B$2:$B$378,'00_SKU_Master'!$F$2:$F$378,0)*AB78,"")</f>
        <v/>
      </c>
      <c r="H76" s="586">
        <f>_xludf.IFNA(_xlfn.XLOOKUP(C78,'00_SKU_Master'!$B$2:$B$378,'00_SKU_Master'!$F$2:$F$378,0)*AC78,"")</f>
        <v/>
      </c>
      <c r="I76" s="586">
        <f>_xludf.IFNA(_xlfn.XLOOKUP(C78,'00_SKU_Master'!$B$2:$B$378,'00_SKU_Master'!$F$2:$F$378,0)*AD78,"")</f>
        <v/>
      </c>
      <c r="J76" s="586">
        <f>_xludf.IFNA(_xlfn.XLOOKUP(C78,'00_SKU_Master'!$B$2:$B$378,'00_SKU_Master'!$F$2:$F$378,0)*AE78,"")</f>
        <v/>
      </c>
      <c r="K76" s="587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88" t="n"/>
      <c r="Z76" s="589" t="n"/>
      <c r="AA76" s="589" t="n"/>
      <c r="AB76" s="589" t="n"/>
      <c r="AC76" s="589" t="n">
        <v>38</v>
      </c>
      <c r="AD76" s="589" t="n">
        <v>0</v>
      </c>
      <c r="AE76" s="589" t="n">
        <v>80</v>
      </c>
      <c r="AF76" s="587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86">
        <f>_xludf.IFNA(_xlfn.XLOOKUP(C79,'00_SKU_Master'!$B$2:$B$378,'00_SKU_Master'!$F$2:$F$378,0)*Y79,"")</f>
        <v/>
      </c>
      <c r="E77" s="586">
        <f>_xludf.IFNA(_xlfn.XLOOKUP(C79,'00_SKU_Master'!$B$2:$B$378,'00_SKU_Master'!$F$2:$F$378,0)*Z79,"")</f>
        <v/>
      </c>
      <c r="F77" s="586">
        <f>_xludf.IFNA(_xlfn.XLOOKUP(C79,'00_SKU_Master'!$B$2:$B$378,'00_SKU_Master'!$F$2:$F$378,0)*AA79,"")</f>
        <v/>
      </c>
      <c r="G77" s="586">
        <f>_xludf.IFNA(_xlfn.XLOOKUP(C79,'00_SKU_Master'!$B$2:$B$378,'00_SKU_Master'!$F$2:$F$378,0)*AB79,"")</f>
        <v/>
      </c>
      <c r="H77" s="586">
        <f>_xludf.IFNA(_xlfn.XLOOKUP(C79,'00_SKU_Master'!$B$2:$B$378,'00_SKU_Master'!$F$2:$F$378,0)*AC79,"")</f>
        <v/>
      </c>
      <c r="I77" s="586">
        <f>_xludf.IFNA(_xlfn.XLOOKUP(C79,'00_SKU_Master'!$B$2:$B$378,'00_SKU_Master'!$F$2:$F$378,0)*AD79,"")</f>
        <v/>
      </c>
      <c r="J77" s="586">
        <f>_xludf.IFNA(_xlfn.XLOOKUP(C79,'00_SKU_Master'!$B$2:$B$378,'00_SKU_Master'!$F$2:$F$378,0)*AE79,"")</f>
        <v/>
      </c>
      <c r="K77" s="587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88" t="n"/>
      <c r="Z77" s="589" t="n"/>
      <c r="AA77" s="589" t="n"/>
      <c r="AB77" s="589" t="n"/>
      <c r="AC77" s="589" t="n">
        <v>0</v>
      </c>
      <c r="AD77" s="589" t="n">
        <v>0</v>
      </c>
      <c r="AE77" s="589" t="n">
        <v>0</v>
      </c>
      <c r="AF77" s="587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86">
        <f>_xludf.IFNA(_xlfn.XLOOKUP(C80,'00_SKU_Master'!$B$2:$B$378,'00_SKU_Master'!$F$2:$F$378,0)*Y80,"")</f>
        <v/>
      </c>
      <c r="E78" s="586">
        <f>_xludf.IFNA(_xlfn.XLOOKUP(C80,'00_SKU_Master'!$B$2:$B$378,'00_SKU_Master'!$F$2:$F$378,0)*Z80,"")</f>
        <v/>
      </c>
      <c r="F78" s="586">
        <f>_xludf.IFNA(_xlfn.XLOOKUP(C80,'00_SKU_Master'!$B$2:$B$378,'00_SKU_Master'!$F$2:$F$378,0)*AA80,"")</f>
        <v/>
      </c>
      <c r="G78" s="586">
        <f>_xludf.IFNA(_xlfn.XLOOKUP(C80,'00_SKU_Master'!$B$2:$B$378,'00_SKU_Master'!$F$2:$F$378,0)*AB80,"")</f>
        <v/>
      </c>
      <c r="H78" s="586">
        <f>_xludf.IFNA(_xlfn.XLOOKUP(C80,'00_SKU_Master'!$B$2:$B$378,'00_SKU_Master'!$F$2:$F$378,0)*AC80,"")</f>
        <v/>
      </c>
      <c r="I78" s="586">
        <f>_xludf.IFNA(_xlfn.XLOOKUP(C80,'00_SKU_Master'!$B$2:$B$378,'00_SKU_Master'!$F$2:$F$378,0)*AD80,"")</f>
        <v/>
      </c>
      <c r="J78" s="586">
        <f>_xludf.IFNA(_xlfn.XLOOKUP(C80,'00_SKU_Master'!$B$2:$B$378,'00_SKU_Master'!$F$2:$F$378,0)*AE80,"")</f>
        <v/>
      </c>
      <c r="K78" s="587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88" t="n"/>
      <c r="Z78" s="589" t="n"/>
      <c r="AA78" s="589" t="n"/>
      <c r="AB78" s="589" t="n"/>
      <c r="AC78" s="589" t="n">
        <v>44</v>
      </c>
      <c r="AD78" s="589" t="n">
        <v>0</v>
      </c>
      <c r="AE78" s="589" t="n">
        <v>62</v>
      </c>
      <c r="AF78" s="587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86">
        <f>_xludf.IFNA(_xlfn.XLOOKUP(C81,'00_SKU_Master'!$B$2:$B$378,'00_SKU_Master'!$F$2:$F$378,0)*Y81,"")</f>
        <v/>
      </c>
      <c r="E79" s="586">
        <f>_xludf.IFNA(_xlfn.XLOOKUP(C81,'00_SKU_Master'!$B$2:$B$378,'00_SKU_Master'!$F$2:$F$378,0)*Z81,"")</f>
        <v/>
      </c>
      <c r="F79" s="586">
        <f>_xludf.IFNA(_xlfn.XLOOKUP(C81,'00_SKU_Master'!$B$2:$B$378,'00_SKU_Master'!$F$2:$F$378,0)*AA81,"")</f>
        <v/>
      </c>
      <c r="G79" s="586">
        <f>_xludf.IFNA(_xlfn.XLOOKUP(C81,'00_SKU_Master'!$B$2:$B$378,'00_SKU_Master'!$F$2:$F$378,0)*AB81,"")</f>
        <v/>
      </c>
      <c r="H79" s="586">
        <f>_xludf.IFNA(_xlfn.XLOOKUP(C81,'00_SKU_Master'!$B$2:$B$378,'00_SKU_Master'!$F$2:$F$378,0)*AC81,"")</f>
        <v/>
      </c>
      <c r="I79" s="586">
        <f>_xludf.IFNA(_xlfn.XLOOKUP(C81,'00_SKU_Master'!$B$2:$B$378,'00_SKU_Master'!$F$2:$F$378,0)*AD81,"")</f>
        <v/>
      </c>
      <c r="J79" s="586">
        <f>_xludf.IFNA(_xlfn.XLOOKUP(C81,'00_SKU_Master'!$B$2:$B$378,'00_SKU_Master'!$F$2:$F$378,0)*AE81,"")</f>
        <v/>
      </c>
      <c r="K79" s="587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88" t="n"/>
      <c r="Z79" s="589" t="n"/>
      <c r="AA79" s="589" t="n"/>
      <c r="AB79" s="589" t="n"/>
      <c r="AC79" s="589" t="n">
        <v>26</v>
      </c>
      <c r="AD79" s="589" t="n">
        <v>0</v>
      </c>
      <c r="AE79" s="589" t="n">
        <v>98</v>
      </c>
      <c r="AF79" s="587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86">
        <f>_xludf.IFNA(_xlfn.XLOOKUP(C82,'00_SKU_Master'!$B$2:$B$378,'00_SKU_Master'!$F$2:$F$378,0)*Y82,"")</f>
        <v/>
      </c>
      <c r="E80" s="586">
        <f>_xludf.IFNA(_xlfn.XLOOKUP(C82,'00_SKU_Master'!$B$2:$B$378,'00_SKU_Master'!$F$2:$F$378,0)*Z82,"")</f>
        <v/>
      </c>
      <c r="F80" s="586">
        <f>_xludf.IFNA(_xlfn.XLOOKUP(C82,'00_SKU_Master'!$B$2:$B$378,'00_SKU_Master'!$F$2:$F$378,0)*AA82,"")</f>
        <v/>
      </c>
      <c r="G80" s="586">
        <f>_xludf.IFNA(_xlfn.XLOOKUP(C82,'00_SKU_Master'!$B$2:$B$378,'00_SKU_Master'!$F$2:$F$378,0)*AB82,"")</f>
        <v/>
      </c>
      <c r="H80" s="586">
        <f>_xludf.IFNA(_xlfn.XLOOKUP(C82,'00_SKU_Master'!$B$2:$B$378,'00_SKU_Master'!$F$2:$F$378,0)*AC82,"")</f>
        <v/>
      </c>
      <c r="I80" s="586">
        <f>_xludf.IFNA(_xlfn.XLOOKUP(C82,'00_SKU_Master'!$B$2:$B$378,'00_SKU_Master'!$F$2:$F$378,0)*AD82,"")</f>
        <v/>
      </c>
      <c r="J80" s="586">
        <f>_xludf.IFNA(_xlfn.XLOOKUP(C82,'00_SKU_Master'!$B$2:$B$378,'00_SKU_Master'!$F$2:$F$378,0)*AE82,"")</f>
        <v/>
      </c>
      <c r="K80" s="587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88" t="n"/>
      <c r="Z80" s="589" t="n"/>
      <c r="AA80" s="589" t="n"/>
      <c r="AB80" s="589" t="n"/>
      <c r="AC80" s="589" t="n">
        <v>0</v>
      </c>
      <c r="AD80" s="589" t="n">
        <v>0</v>
      </c>
      <c r="AE80" s="589" t="n">
        <v>0</v>
      </c>
      <c r="AF80" s="587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86">
        <f>_xludf.IFNA(_xlfn.XLOOKUP(C83,'00_SKU_Master'!$B$2:$B$378,'00_SKU_Master'!$F$2:$F$378,0)*Y83,"")</f>
        <v/>
      </c>
      <c r="E81" s="586">
        <f>_xludf.IFNA(_xlfn.XLOOKUP(C83,'00_SKU_Master'!$B$2:$B$378,'00_SKU_Master'!$F$2:$F$378,0)*Z83,"")</f>
        <v/>
      </c>
      <c r="F81" s="586">
        <f>_xludf.IFNA(_xlfn.XLOOKUP(C83,'00_SKU_Master'!$B$2:$B$378,'00_SKU_Master'!$F$2:$F$378,0)*AA83,"")</f>
        <v/>
      </c>
      <c r="G81" s="586">
        <f>_xludf.IFNA(_xlfn.XLOOKUP(C83,'00_SKU_Master'!$B$2:$B$378,'00_SKU_Master'!$F$2:$F$378,0)*AB83,"")</f>
        <v/>
      </c>
      <c r="H81" s="586">
        <f>_xludf.IFNA(_xlfn.XLOOKUP(C83,'00_SKU_Master'!$B$2:$B$378,'00_SKU_Master'!$F$2:$F$378,0)*AC83,"")</f>
        <v/>
      </c>
      <c r="I81" s="586">
        <f>_xludf.IFNA(_xlfn.XLOOKUP(C83,'00_SKU_Master'!$B$2:$B$378,'00_SKU_Master'!$F$2:$F$378,0)*AD83,"")</f>
        <v/>
      </c>
      <c r="J81" s="586">
        <f>_xludf.IFNA(_xlfn.XLOOKUP(C83,'00_SKU_Master'!$B$2:$B$378,'00_SKU_Master'!$F$2:$F$378,0)*AE83,"")</f>
        <v/>
      </c>
      <c r="K81" s="587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88" t="n"/>
      <c r="Z81" s="589" t="n"/>
      <c r="AA81" s="589" t="n"/>
      <c r="AB81" s="589" t="n"/>
      <c r="AC81" s="589" t="n">
        <v>209</v>
      </c>
      <c r="AD81" s="589" t="n">
        <v>0</v>
      </c>
      <c r="AE81" s="589" t="n">
        <v>162</v>
      </c>
      <c r="AF81" s="587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86">
        <f>_xludf.IFNA(_xlfn.XLOOKUP(C84,'00_SKU_Master'!$B$2:$B$378,'00_SKU_Master'!$F$2:$F$378,0)*Y84,"")</f>
        <v/>
      </c>
      <c r="E82" s="586">
        <f>_xludf.IFNA(_xlfn.XLOOKUP(C84,'00_SKU_Master'!$B$2:$B$378,'00_SKU_Master'!$F$2:$F$378,0)*Z84,"")</f>
        <v/>
      </c>
      <c r="F82" s="586">
        <f>_xludf.IFNA(_xlfn.XLOOKUP(C84,'00_SKU_Master'!$B$2:$B$378,'00_SKU_Master'!$F$2:$F$378,0)*AA84,"")</f>
        <v/>
      </c>
      <c r="G82" s="586">
        <f>_xludf.IFNA(_xlfn.XLOOKUP(C84,'00_SKU_Master'!$B$2:$B$378,'00_SKU_Master'!$F$2:$F$378,0)*AB84,"")</f>
        <v/>
      </c>
      <c r="H82" s="586">
        <f>_xludf.IFNA(_xlfn.XLOOKUP(C84,'00_SKU_Master'!$B$2:$B$378,'00_SKU_Master'!$F$2:$F$378,0)*AC84,"")</f>
        <v/>
      </c>
      <c r="I82" s="586">
        <f>_xludf.IFNA(_xlfn.XLOOKUP(C84,'00_SKU_Master'!$B$2:$B$378,'00_SKU_Master'!$F$2:$F$378,0)*AD84,"")</f>
        <v/>
      </c>
      <c r="J82" s="586">
        <f>_xludf.IFNA(_xlfn.XLOOKUP(C84,'00_SKU_Master'!$B$2:$B$378,'00_SKU_Master'!$F$2:$F$378,0)*AE84,"")</f>
        <v/>
      </c>
      <c r="K82" s="587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88" t="n"/>
      <c r="Z82" s="589" t="n"/>
      <c r="AA82" s="589" t="n"/>
      <c r="AB82" s="589" t="n"/>
      <c r="AC82" s="589" t="n">
        <v>80</v>
      </c>
      <c r="AD82" s="589" t="n">
        <v>0</v>
      </c>
      <c r="AE82" s="589" t="n">
        <v>0</v>
      </c>
      <c r="AF82" s="587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86">
        <f>_xludf.IFNA(_xlfn.XLOOKUP(C85,'00_SKU_Master'!$B$2:$B$378,'00_SKU_Master'!$F$2:$F$378,0)*Y85,"")</f>
        <v/>
      </c>
      <c r="E83" s="586">
        <f>_xludf.IFNA(_xlfn.XLOOKUP(C85,'00_SKU_Master'!$B$2:$B$378,'00_SKU_Master'!$F$2:$F$378,0)*Z85,"")</f>
        <v/>
      </c>
      <c r="F83" s="586">
        <f>_xludf.IFNA(_xlfn.XLOOKUP(C85,'00_SKU_Master'!$B$2:$B$378,'00_SKU_Master'!$F$2:$F$378,0)*AA85,"")</f>
        <v/>
      </c>
      <c r="G83" s="586">
        <f>_xludf.IFNA(_xlfn.XLOOKUP(C85,'00_SKU_Master'!$B$2:$B$378,'00_SKU_Master'!$F$2:$F$378,0)*AB85,"")</f>
        <v/>
      </c>
      <c r="H83" s="586">
        <f>_xludf.IFNA(_xlfn.XLOOKUP(C85,'00_SKU_Master'!$B$2:$B$378,'00_SKU_Master'!$F$2:$F$378,0)*AC85,"")</f>
        <v/>
      </c>
      <c r="I83" s="586">
        <f>_xludf.IFNA(_xlfn.XLOOKUP(C85,'00_SKU_Master'!$B$2:$B$378,'00_SKU_Master'!$F$2:$F$378,0)*AD85,"")</f>
        <v/>
      </c>
      <c r="J83" s="586">
        <f>_xludf.IFNA(_xlfn.XLOOKUP(C85,'00_SKU_Master'!$B$2:$B$378,'00_SKU_Master'!$F$2:$F$378,0)*AE85,"")</f>
        <v/>
      </c>
      <c r="K83" s="587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88" t="n"/>
      <c r="Z83" s="589" t="n"/>
      <c r="AA83" s="589" t="n"/>
      <c r="AB83" s="589" t="n"/>
      <c r="AC83" s="589" t="n">
        <v>0</v>
      </c>
      <c r="AD83" s="589" t="n">
        <v>0</v>
      </c>
      <c r="AE83" s="589" t="n">
        <v>0</v>
      </c>
      <c r="AF83" s="587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86">
        <f>_xludf.IFNA(_xlfn.XLOOKUP(C86,'00_SKU_Master'!$B$2:$B$378,'00_SKU_Master'!$F$2:$F$378,0)*Y86,"")</f>
        <v/>
      </c>
      <c r="E84" s="586">
        <f>_xludf.IFNA(_xlfn.XLOOKUP(C86,'00_SKU_Master'!$B$2:$B$378,'00_SKU_Master'!$F$2:$F$378,0)*Z86,"")</f>
        <v/>
      </c>
      <c r="F84" s="586">
        <f>_xludf.IFNA(_xlfn.XLOOKUP(C86,'00_SKU_Master'!$B$2:$B$378,'00_SKU_Master'!$F$2:$F$378,0)*AA86,"")</f>
        <v/>
      </c>
      <c r="G84" s="586">
        <f>_xludf.IFNA(_xlfn.XLOOKUP(C86,'00_SKU_Master'!$B$2:$B$378,'00_SKU_Master'!$F$2:$F$378,0)*AB86,"")</f>
        <v/>
      </c>
      <c r="H84" s="586">
        <f>_xludf.IFNA(_xlfn.XLOOKUP(C86,'00_SKU_Master'!$B$2:$B$378,'00_SKU_Master'!$F$2:$F$378,0)*AC86,"")</f>
        <v/>
      </c>
      <c r="I84" s="586">
        <f>_xludf.IFNA(_xlfn.XLOOKUP(C86,'00_SKU_Master'!$B$2:$B$378,'00_SKU_Master'!$F$2:$F$378,0)*AD86,"")</f>
        <v/>
      </c>
      <c r="J84" s="586">
        <f>_xludf.IFNA(_xlfn.XLOOKUP(C86,'00_SKU_Master'!$B$2:$B$378,'00_SKU_Master'!$F$2:$F$378,0)*AE86,"")</f>
        <v/>
      </c>
      <c r="K84" s="587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88" t="n"/>
      <c r="Z84" s="589" t="n"/>
      <c r="AA84" s="589" t="n"/>
      <c r="AB84" s="589" t="n"/>
      <c r="AC84" s="589" t="n">
        <v>0</v>
      </c>
      <c r="AD84" s="589" t="n">
        <v>0</v>
      </c>
      <c r="AE84" s="589" t="n">
        <v>0</v>
      </c>
      <c r="AF84" s="587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86">
        <f>_xludf.IFNA(_xlfn.XLOOKUP(C87,'00_SKU_Master'!$B$2:$B$378,'00_SKU_Master'!$F$2:$F$378,0)*Y87,"")</f>
        <v/>
      </c>
      <c r="E85" s="586">
        <f>_xludf.IFNA(_xlfn.XLOOKUP(C87,'00_SKU_Master'!$B$2:$B$378,'00_SKU_Master'!$F$2:$F$378,0)*Z87,"")</f>
        <v/>
      </c>
      <c r="F85" s="586">
        <f>_xludf.IFNA(_xlfn.XLOOKUP(C87,'00_SKU_Master'!$B$2:$B$378,'00_SKU_Master'!$F$2:$F$378,0)*AA87,"")</f>
        <v/>
      </c>
      <c r="G85" s="586">
        <f>_xludf.IFNA(_xlfn.XLOOKUP(C87,'00_SKU_Master'!$B$2:$B$378,'00_SKU_Master'!$F$2:$F$378,0)*AB87,"")</f>
        <v/>
      </c>
      <c r="H85" s="586">
        <f>_xludf.IFNA(_xlfn.XLOOKUP(C87,'00_SKU_Master'!$B$2:$B$378,'00_SKU_Master'!$F$2:$F$378,0)*AC87,"")</f>
        <v/>
      </c>
      <c r="I85" s="586">
        <f>_xludf.IFNA(_xlfn.XLOOKUP(C87,'00_SKU_Master'!$B$2:$B$378,'00_SKU_Master'!$F$2:$F$378,0)*AD87,"")</f>
        <v/>
      </c>
      <c r="J85" s="586">
        <f>_xludf.IFNA(_xlfn.XLOOKUP(C87,'00_SKU_Master'!$B$2:$B$378,'00_SKU_Master'!$F$2:$F$378,0)*AE87,"")</f>
        <v/>
      </c>
      <c r="K85" s="587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88" t="n"/>
      <c r="Z85" s="589" t="n"/>
      <c r="AA85" s="589" t="n"/>
      <c r="AB85" s="589" t="n"/>
      <c r="AC85" s="589" t="n">
        <v>0</v>
      </c>
      <c r="AD85" s="589" t="n">
        <v>0</v>
      </c>
      <c r="AE85" s="589" t="n">
        <v>0</v>
      </c>
      <c r="AF85" s="587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86">
        <f>_xludf.IFNA(_xlfn.XLOOKUP(C88,'00_SKU_Master'!$B$2:$B$378,'00_SKU_Master'!$F$2:$F$378,0)*Y88,"")</f>
        <v/>
      </c>
      <c r="E86" s="586">
        <f>_xludf.IFNA(_xlfn.XLOOKUP(C88,'00_SKU_Master'!$B$2:$B$378,'00_SKU_Master'!$F$2:$F$378,0)*Z88,"")</f>
        <v/>
      </c>
      <c r="F86" s="586">
        <f>_xludf.IFNA(_xlfn.XLOOKUP(C88,'00_SKU_Master'!$B$2:$B$378,'00_SKU_Master'!$F$2:$F$378,0)*AA88,"")</f>
        <v/>
      </c>
      <c r="G86" s="586">
        <f>_xludf.IFNA(_xlfn.XLOOKUP(C88,'00_SKU_Master'!$B$2:$B$378,'00_SKU_Master'!$F$2:$F$378,0)*AB88,"")</f>
        <v/>
      </c>
      <c r="H86" s="586">
        <f>_xludf.IFNA(_xlfn.XLOOKUP(C88,'00_SKU_Master'!$B$2:$B$378,'00_SKU_Master'!$F$2:$F$378,0)*AC88,"")</f>
        <v/>
      </c>
      <c r="I86" s="586">
        <f>_xludf.IFNA(_xlfn.XLOOKUP(C88,'00_SKU_Master'!$B$2:$B$378,'00_SKU_Master'!$F$2:$F$378,0)*AD88,"")</f>
        <v/>
      </c>
      <c r="J86" s="586">
        <f>_xludf.IFNA(_xlfn.XLOOKUP(C88,'00_SKU_Master'!$B$2:$B$378,'00_SKU_Master'!$F$2:$F$378,0)*AE88,"")</f>
        <v/>
      </c>
      <c r="K86" s="587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88" t="n"/>
      <c r="Z86" s="589" t="n"/>
      <c r="AA86" s="589" t="n"/>
      <c r="AB86" s="589" t="n"/>
      <c r="AC86" s="589" t="n">
        <v>0</v>
      </c>
      <c r="AD86" s="589" t="n">
        <v>0</v>
      </c>
      <c r="AE86" s="589" t="n">
        <v>0</v>
      </c>
      <c r="AF86" s="587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86">
        <f>_xludf.IFNA(_xlfn.XLOOKUP(C89,'00_SKU_Master'!$B$2:$B$378,'00_SKU_Master'!$F$2:$F$378,0)*Y89,"")</f>
        <v/>
      </c>
      <c r="E87" s="586">
        <f>_xludf.IFNA(_xlfn.XLOOKUP(C89,'00_SKU_Master'!$B$2:$B$378,'00_SKU_Master'!$F$2:$F$378,0)*Z89,"")</f>
        <v/>
      </c>
      <c r="F87" s="586">
        <f>_xludf.IFNA(_xlfn.XLOOKUP(C89,'00_SKU_Master'!$B$2:$B$378,'00_SKU_Master'!$F$2:$F$378,0)*AA89,"")</f>
        <v/>
      </c>
      <c r="G87" s="586">
        <f>_xludf.IFNA(_xlfn.XLOOKUP(C89,'00_SKU_Master'!$B$2:$B$378,'00_SKU_Master'!$F$2:$F$378,0)*AB89,"")</f>
        <v/>
      </c>
      <c r="H87" s="586">
        <f>_xludf.IFNA(_xlfn.XLOOKUP(C89,'00_SKU_Master'!$B$2:$B$378,'00_SKU_Master'!$F$2:$F$378,0)*AC89,"")</f>
        <v/>
      </c>
      <c r="I87" s="586">
        <f>_xludf.IFNA(_xlfn.XLOOKUP(C89,'00_SKU_Master'!$B$2:$B$378,'00_SKU_Master'!$F$2:$F$378,0)*AD89,"")</f>
        <v/>
      </c>
      <c r="J87" s="586">
        <f>_xludf.IFNA(_xlfn.XLOOKUP(C89,'00_SKU_Master'!$B$2:$B$378,'00_SKU_Master'!$F$2:$F$378,0)*AE89,"")</f>
        <v/>
      </c>
      <c r="K87" s="587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88" t="n"/>
      <c r="Z87" s="589" t="n"/>
      <c r="AA87" s="589" t="n"/>
      <c r="AB87" s="589" t="n"/>
      <c r="AC87" s="589" t="n">
        <v>0</v>
      </c>
      <c r="AD87" s="589" t="n">
        <v>0</v>
      </c>
      <c r="AE87" s="589" t="n">
        <v>0</v>
      </c>
      <c r="AF87" s="587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86">
        <f>_xludf.IFNA(_xlfn.XLOOKUP(C90,'00_SKU_Master'!$B$2:$B$378,'00_SKU_Master'!$F$2:$F$378,0)*Y90,"")</f>
        <v/>
      </c>
      <c r="E88" s="586">
        <f>_xludf.IFNA(_xlfn.XLOOKUP(C90,'00_SKU_Master'!$B$2:$B$378,'00_SKU_Master'!$F$2:$F$378,0)*Z90,"")</f>
        <v/>
      </c>
      <c r="F88" s="586">
        <f>_xludf.IFNA(_xlfn.XLOOKUP(C90,'00_SKU_Master'!$B$2:$B$378,'00_SKU_Master'!$F$2:$F$378,0)*AA90,"")</f>
        <v/>
      </c>
      <c r="G88" s="586">
        <f>_xludf.IFNA(_xlfn.XLOOKUP(C90,'00_SKU_Master'!$B$2:$B$378,'00_SKU_Master'!$F$2:$F$378,0)*AB90,"")</f>
        <v/>
      </c>
      <c r="H88" s="586">
        <f>_xludf.IFNA(_xlfn.XLOOKUP(C90,'00_SKU_Master'!$B$2:$B$378,'00_SKU_Master'!$F$2:$F$378,0)*AC90,"")</f>
        <v/>
      </c>
      <c r="I88" s="586">
        <f>_xludf.IFNA(_xlfn.XLOOKUP(C90,'00_SKU_Master'!$B$2:$B$378,'00_SKU_Master'!$F$2:$F$378,0)*AD90,"")</f>
        <v/>
      </c>
      <c r="J88" s="586">
        <f>_xludf.IFNA(_xlfn.XLOOKUP(C90,'00_SKU_Master'!$B$2:$B$378,'00_SKU_Master'!$F$2:$F$378,0)*AE90,"")</f>
        <v/>
      </c>
      <c r="K88" s="587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88" t="n"/>
      <c r="Z88" s="589" t="n"/>
      <c r="AA88" s="589" t="n"/>
      <c r="AB88" s="589" t="n"/>
      <c r="AC88" s="589" t="n">
        <v>0</v>
      </c>
      <c r="AD88" s="589" t="n">
        <v>0</v>
      </c>
      <c r="AE88" s="589" t="n">
        <v>0</v>
      </c>
      <c r="AF88" s="587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86">
        <f>_xludf.IFNA(_xlfn.XLOOKUP(C91,'00_SKU_Master'!$B$2:$B$378,'00_SKU_Master'!$F$2:$F$378,0)*Y91,"")</f>
        <v/>
      </c>
      <c r="E89" s="586">
        <f>_xludf.IFNA(_xlfn.XLOOKUP(C91,'00_SKU_Master'!$B$2:$B$378,'00_SKU_Master'!$F$2:$F$378,0)*Z91,"")</f>
        <v/>
      </c>
      <c r="F89" s="586">
        <f>_xludf.IFNA(_xlfn.XLOOKUP(C91,'00_SKU_Master'!$B$2:$B$378,'00_SKU_Master'!$F$2:$F$378,0)*AA91,"")</f>
        <v/>
      </c>
      <c r="G89" s="586">
        <f>_xludf.IFNA(_xlfn.XLOOKUP(C91,'00_SKU_Master'!$B$2:$B$378,'00_SKU_Master'!$F$2:$F$378,0)*AB91,"")</f>
        <v/>
      </c>
      <c r="H89" s="586">
        <f>_xludf.IFNA(_xlfn.XLOOKUP(C91,'00_SKU_Master'!$B$2:$B$378,'00_SKU_Master'!$F$2:$F$378,0)*AC91,"")</f>
        <v/>
      </c>
      <c r="I89" s="586">
        <f>_xludf.IFNA(_xlfn.XLOOKUP(C91,'00_SKU_Master'!$B$2:$B$378,'00_SKU_Master'!$F$2:$F$378,0)*AD91,"")</f>
        <v/>
      </c>
      <c r="J89" s="586">
        <f>_xludf.IFNA(_xlfn.XLOOKUP(C91,'00_SKU_Master'!$B$2:$B$378,'00_SKU_Master'!$F$2:$F$378,0)*AE91,"")</f>
        <v/>
      </c>
      <c r="K89" s="587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88" t="n"/>
      <c r="Z89" s="589" t="n"/>
      <c r="AA89" s="589" t="n"/>
      <c r="AB89" s="589" t="n"/>
      <c r="AC89" s="589" t="n">
        <v>0</v>
      </c>
      <c r="AD89" s="589" t="n">
        <v>0</v>
      </c>
      <c r="AE89" s="589" t="n">
        <v>0</v>
      </c>
      <c r="AF89" s="587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86">
        <f>_xludf.IFNA(_xlfn.XLOOKUP(C92,'00_SKU_Master'!$B$2:$B$378,'00_SKU_Master'!$F$2:$F$378,0)*Y92,"")</f>
        <v/>
      </c>
      <c r="E90" s="586">
        <f>_xludf.IFNA(_xlfn.XLOOKUP(C92,'00_SKU_Master'!$B$2:$B$378,'00_SKU_Master'!$F$2:$F$378,0)*Z92,"")</f>
        <v/>
      </c>
      <c r="F90" s="586">
        <f>_xludf.IFNA(_xlfn.XLOOKUP(C92,'00_SKU_Master'!$B$2:$B$378,'00_SKU_Master'!$F$2:$F$378,0)*AA92,"")</f>
        <v/>
      </c>
      <c r="G90" s="586">
        <f>_xludf.IFNA(_xlfn.XLOOKUP(C92,'00_SKU_Master'!$B$2:$B$378,'00_SKU_Master'!$F$2:$F$378,0)*AB92,"")</f>
        <v/>
      </c>
      <c r="H90" s="586">
        <f>_xludf.IFNA(_xlfn.XLOOKUP(C92,'00_SKU_Master'!$B$2:$B$378,'00_SKU_Master'!$F$2:$F$378,0)*AC92,"")</f>
        <v/>
      </c>
      <c r="I90" s="586">
        <f>_xludf.IFNA(_xlfn.XLOOKUP(C92,'00_SKU_Master'!$B$2:$B$378,'00_SKU_Master'!$F$2:$F$378,0)*AD92,"")</f>
        <v/>
      </c>
      <c r="J90" s="586">
        <f>_xludf.IFNA(_xlfn.XLOOKUP(C92,'00_SKU_Master'!$B$2:$B$378,'00_SKU_Master'!$F$2:$F$378,0)*AE92,"")</f>
        <v/>
      </c>
      <c r="K90" s="587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88" t="n"/>
      <c r="Z90" s="589" t="n"/>
      <c r="AA90" s="589" t="n"/>
      <c r="AB90" s="589" t="n"/>
      <c r="AC90" s="589" t="n">
        <v>0</v>
      </c>
      <c r="AD90" s="589" t="n">
        <v>0</v>
      </c>
      <c r="AE90" s="589" t="n">
        <v>0</v>
      </c>
      <c r="AF90" s="587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86">
        <f>_xludf.IFNA(_xlfn.XLOOKUP(C93,'00_SKU_Master'!$B$2:$B$378,'00_SKU_Master'!$F$2:$F$378,0)*Y93,"")</f>
        <v/>
      </c>
      <c r="E91" s="586">
        <f>_xludf.IFNA(_xlfn.XLOOKUP(C93,'00_SKU_Master'!$B$2:$B$378,'00_SKU_Master'!$F$2:$F$378,0)*Z93,"")</f>
        <v/>
      </c>
      <c r="F91" s="586">
        <f>_xludf.IFNA(_xlfn.XLOOKUP(C93,'00_SKU_Master'!$B$2:$B$378,'00_SKU_Master'!$F$2:$F$378,0)*AA93,"")</f>
        <v/>
      </c>
      <c r="G91" s="586">
        <f>_xludf.IFNA(_xlfn.XLOOKUP(C93,'00_SKU_Master'!$B$2:$B$378,'00_SKU_Master'!$F$2:$F$378,0)*AB93,"")</f>
        <v/>
      </c>
      <c r="H91" s="586">
        <f>_xludf.IFNA(_xlfn.XLOOKUP(C93,'00_SKU_Master'!$B$2:$B$378,'00_SKU_Master'!$F$2:$F$378,0)*AC93,"")</f>
        <v/>
      </c>
      <c r="I91" s="586">
        <f>_xludf.IFNA(_xlfn.XLOOKUP(C93,'00_SKU_Master'!$B$2:$B$378,'00_SKU_Master'!$F$2:$F$378,0)*AD93,"")</f>
        <v/>
      </c>
      <c r="J91" s="586">
        <f>_xludf.IFNA(_xlfn.XLOOKUP(C93,'00_SKU_Master'!$B$2:$B$378,'00_SKU_Master'!$F$2:$F$378,0)*AE93,"")</f>
        <v/>
      </c>
      <c r="K91" s="587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88" t="n"/>
      <c r="Z91" s="589" t="n"/>
      <c r="AA91" s="589" t="n"/>
      <c r="AB91" s="589" t="n"/>
      <c r="AC91" s="589" t="n">
        <v>0</v>
      </c>
      <c r="AD91" s="589" t="n">
        <v>0</v>
      </c>
      <c r="AE91" s="589" t="n">
        <v>0</v>
      </c>
      <c r="AF91" s="587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86">
        <f>_xludf.IFNA(_xlfn.XLOOKUP(C94,'00_SKU_Master'!$B$2:$B$378,'00_SKU_Master'!$F$2:$F$378,0)*Y94,"")</f>
        <v/>
      </c>
      <c r="E92" s="586">
        <f>_xludf.IFNA(_xlfn.XLOOKUP(C94,'00_SKU_Master'!$B$2:$B$378,'00_SKU_Master'!$F$2:$F$378,0)*Z94,"")</f>
        <v/>
      </c>
      <c r="F92" s="586">
        <f>_xludf.IFNA(_xlfn.XLOOKUP(C94,'00_SKU_Master'!$B$2:$B$378,'00_SKU_Master'!$F$2:$F$378,0)*AA94,"")</f>
        <v/>
      </c>
      <c r="G92" s="586">
        <f>_xludf.IFNA(_xlfn.XLOOKUP(C94,'00_SKU_Master'!$B$2:$B$378,'00_SKU_Master'!$F$2:$F$378,0)*AB94,"")</f>
        <v/>
      </c>
      <c r="H92" s="586">
        <f>_xludf.IFNA(_xlfn.XLOOKUP(C94,'00_SKU_Master'!$B$2:$B$378,'00_SKU_Master'!$F$2:$F$378,0)*AC94,"")</f>
        <v/>
      </c>
      <c r="I92" s="586">
        <f>_xludf.IFNA(_xlfn.XLOOKUP(C94,'00_SKU_Master'!$B$2:$B$378,'00_SKU_Master'!$F$2:$F$378,0)*AD94,"")</f>
        <v/>
      </c>
      <c r="J92" s="586">
        <f>_xludf.IFNA(_xlfn.XLOOKUP(C94,'00_SKU_Master'!$B$2:$B$378,'00_SKU_Master'!$F$2:$F$378,0)*AE94,"")</f>
        <v/>
      </c>
      <c r="K92" s="587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88" t="n"/>
      <c r="Z92" s="589" t="n"/>
      <c r="AA92" s="589" t="n"/>
      <c r="AB92" s="589" t="n"/>
      <c r="AC92" s="589" t="n">
        <v>0</v>
      </c>
      <c r="AD92" s="589" t="n">
        <v>0</v>
      </c>
      <c r="AE92" s="589" t="n">
        <v>0</v>
      </c>
      <c r="AF92" s="587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86">
        <f>_xludf.IFNA(_xlfn.XLOOKUP(C95,'00_SKU_Master'!$B$2:$B$378,'00_SKU_Master'!$F$2:$F$378,0)*Y95,"")</f>
        <v/>
      </c>
      <c r="E93" s="586">
        <f>_xludf.IFNA(_xlfn.XLOOKUP(C95,'00_SKU_Master'!$B$2:$B$378,'00_SKU_Master'!$F$2:$F$378,0)*Z95,"")</f>
        <v/>
      </c>
      <c r="F93" s="586">
        <f>_xludf.IFNA(_xlfn.XLOOKUP(C95,'00_SKU_Master'!$B$2:$B$378,'00_SKU_Master'!$F$2:$F$378,0)*AA95,"")</f>
        <v/>
      </c>
      <c r="G93" s="586">
        <f>_xludf.IFNA(_xlfn.XLOOKUP(C95,'00_SKU_Master'!$B$2:$B$378,'00_SKU_Master'!$F$2:$F$378,0)*AB95,"")</f>
        <v/>
      </c>
      <c r="H93" s="586">
        <f>_xludf.IFNA(_xlfn.XLOOKUP(C95,'00_SKU_Master'!$B$2:$B$378,'00_SKU_Master'!$F$2:$F$378,0)*AC95,"")</f>
        <v/>
      </c>
      <c r="I93" s="586">
        <f>_xludf.IFNA(_xlfn.XLOOKUP(C95,'00_SKU_Master'!$B$2:$B$378,'00_SKU_Master'!$F$2:$F$378,0)*AD95,"")</f>
        <v/>
      </c>
      <c r="J93" s="586">
        <f>_xludf.IFNA(_xlfn.XLOOKUP(C95,'00_SKU_Master'!$B$2:$B$378,'00_SKU_Master'!$F$2:$F$378,0)*AE95,"")</f>
        <v/>
      </c>
      <c r="K93" s="587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88" t="n"/>
      <c r="Z93" s="589" t="n"/>
      <c r="AA93" s="589" t="n"/>
      <c r="AB93" s="589" t="n"/>
      <c r="AC93" s="589" t="n">
        <v>0</v>
      </c>
      <c r="AD93" s="589" t="n">
        <v>0</v>
      </c>
      <c r="AE93" s="589" t="n">
        <v>0</v>
      </c>
      <c r="AF93" s="587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86">
        <f>_xludf.IFNA(_xlfn.XLOOKUP(C96,'00_SKU_Master'!$B$2:$B$378,'00_SKU_Master'!$F$2:$F$378,0)*Y96,"")</f>
        <v/>
      </c>
      <c r="E94" s="586">
        <f>_xludf.IFNA(_xlfn.XLOOKUP(C96,'00_SKU_Master'!$B$2:$B$378,'00_SKU_Master'!$F$2:$F$378,0)*Z96,"")</f>
        <v/>
      </c>
      <c r="F94" s="586">
        <f>_xludf.IFNA(_xlfn.XLOOKUP(C96,'00_SKU_Master'!$B$2:$B$378,'00_SKU_Master'!$F$2:$F$378,0)*AA96,"")</f>
        <v/>
      </c>
      <c r="G94" s="586">
        <f>_xludf.IFNA(_xlfn.XLOOKUP(C96,'00_SKU_Master'!$B$2:$B$378,'00_SKU_Master'!$F$2:$F$378,0)*AB96,"")</f>
        <v/>
      </c>
      <c r="H94" s="586">
        <f>_xludf.IFNA(_xlfn.XLOOKUP(C96,'00_SKU_Master'!$B$2:$B$378,'00_SKU_Master'!$F$2:$F$378,0)*AC96,"")</f>
        <v/>
      </c>
      <c r="I94" s="586">
        <f>_xludf.IFNA(_xlfn.XLOOKUP(C96,'00_SKU_Master'!$B$2:$B$378,'00_SKU_Master'!$F$2:$F$378,0)*AD96,"")</f>
        <v/>
      </c>
      <c r="J94" s="586">
        <f>_xludf.IFNA(_xlfn.XLOOKUP(C96,'00_SKU_Master'!$B$2:$B$378,'00_SKU_Master'!$F$2:$F$378,0)*AE96,"")</f>
        <v/>
      </c>
      <c r="K94" s="587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88" t="n"/>
      <c r="Z94" s="589" t="n"/>
      <c r="AA94" s="589" t="n"/>
      <c r="AB94" s="589" t="n"/>
      <c r="AC94" s="589" t="n">
        <v>0</v>
      </c>
      <c r="AD94" s="589" t="n">
        <v>0</v>
      </c>
      <c r="AE94" s="589" t="n">
        <v>0</v>
      </c>
      <c r="AF94" s="587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86">
        <f>_xludf.IFNA(_xlfn.XLOOKUP(C97,'00_SKU_Master'!$B$2:$B$378,'00_SKU_Master'!$F$2:$F$378,0)*Y97,"")</f>
        <v/>
      </c>
      <c r="E95" s="586">
        <f>_xludf.IFNA(_xlfn.XLOOKUP(C97,'00_SKU_Master'!$B$2:$B$378,'00_SKU_Master'!$F$2:$F$378,0)*Z97,"")</f>
        <v/>
      </c>
      <c r="F95" s="586">
        <f>_xludf.IFNA(_xlfn.XLOOKUP(C97,'00_SKU_Master'!$B$2:$B$378,'00_SKU_Master'!$F$2:$F$378,0)*AA97,"")</f>
        <v/>
      </c>
      <c r="G95" s="586">
        <f>_xludf.IFNA(_xlfn.XLOOKUP(C97,'00_SKU_Master'!$B$2:$B$378,'00_SKU_Master'!$F$2:$F$378,0)*AB97,"")</f>
        <v/>
      </c>
      <c r="H95" s="586">
        <f>_xludf.IFNA(_xlfn.XLOOKUP(C97,'00_SKU_Master'!$B$2:$B$378,'00_SKU_Master'!$F$2:$F$378,0)*AC97,"")</f>
        <v/>
      </c>
      <c r="I95" s="586">
        <f>_xludf.IFNA(_xlfn.XLOOKUP(C97,'00_SKU_Master'!$B$2:$B$378,'00_SKU_Master'!$F$2:$F$378,0)*AD97,"")</f>
        <v/>
      </c>
      <c r="J95" s="586">
        <f>_xludf.IFNA(_xlfn.XLOOKUP(C97,'00_SKU_Master'!$B$2:$B$378,'00_SKU_Master'!$F$2:$F$378,0)*AE97,"")</f>
        <v/>
      </c>
      <c r="K95" s="587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88" t="n"/>
      <c r="Z95" s="589" t="n"/>
      <c r="AA95" s="589" t="n"/>
      <c r="AB95" s="589" t="n"/>
      <c r="AC95" s="589" t="n">
        <v>0</v>
      </c>
      <c r="AD95" s="589" t="n">
        <v>0</v>
      </c>
      <c r="AE95" s="589" t="n">
        <v>0</v>
      </c>
      <c r="AF95" s="587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86">
        <f>_xludf.IFNA(_xlfn.XLOOKUP(C98,'00_SKU_Master'!$B$2:$B$378,'00_SKU_Master'!$F$2:$F$378,0)*Y98,"")</f>
        <v/>
      </c>
      <c r="E96" s="586">
        <f>_xludf.IFNA(_xlfn.XLOOKUP(C98,'00_SKU_Master'!$B$2:$B$378,'00_SKU_Master'!$F$2:$F$378,0)*Z98,"")</f>
        <v/>
      </c>
      <c r="F96" s="586">
        <f>_xludf.IFNA(_xlfn.XLOOKUP(C98,'00_SKU_Master'!$B$2:$B$378,'00_SKU_Master'!$F$2:$F$378,0)*AA98,"")</f>
        <v/>
      </c>
      <c r="G96" s="586">
        <f>_xludf.IFNA(_xlfn.XLOOKUP(C98,'00_SKU_Master'!$B$2:$B$378,'00_SKU_Master'!$F$2:$F$378,0)*AB98,"")</f>
        <v/>
      </c>
      <c r="H96" s="586">
        <f>_xludf.IFNA(_xlfn.XLOOKUP(C98,'00_SKU_Master'!$B$2:$B$378,'00_SKU_Master'!$F$2:$F$378,0)*AC98,"")</f>
        <v/>
      </c>
      <c r="I96" s="586">
        <f>_xludf.IFNA(_xlfn.XLOOKUP(C98,'00_SKU_Master'!$B$2:$B$378,'00_SKU_Master'!$F$2:$F$378,0)*AD98,"")</f>
        <v/>
      </c>
      <c r="J96" s="586">
        <f>_xludf.IFNA(_xlfn.XLOOKUP(C98,'00_SKU_Master'!$B$2:$B$378,'00_SKU_Master'!$F$2:$F$378,0)*AE98,"")</f>
        <v/>
      </c>
      <c r="K96" s="587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88" t="n"/>
      <c r="Z96" s="589" t="n"/>
      <c r="AA96" s="589" t="n"/>
      <c r="AB96" s="589" t="n"/>
      <c r="AC96" s="589" t="n">
        <v>0</v>
      </c>
      <c r="AD96" s="589" t="n">
        <v>0</v>
      </c>
      <c r="AE96" s="589" t="n">
        <v>0</v>
      </c>
      <c r="AF96" s="587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86">
        <f>_xludf.IFNA(_xlfn.XLOOKUP(C99,'00_SKU_Master'!$B$2:$B$378,'00_SKU_Master'!$F$2:$F$378,0)*Y99,"")</f>
        <v/>
      </c>
      <c r="E97" s="586">
        <f>_xludf.IFNA(_xlfn.XLOOKUP(C99,'00_SKU_Master'!$B$2:$B$378,'00_SKU_Master'!$F$2:$F$378,0)*Z99,"")</f>
        <v/>
      </c>
      <c r="F97" s="586">
        <f>_xludf.IFNA(_xlfn.XLOOKUP(C99,'00_SKU_Master'!$B$2:$B$378,'00_SKU_Master'!$F$2:$F$378,0)*AA99,"")</f>
        <v/>
      </c>
      <c r="G97" s="586">
        <f>_xludf.IFNA(_xlfn.XLOOKUP(C99,'00_SKU_Master'!$B$2:$B$378,'00_SKU_Master'!$F$2:$F$378,0)*AB99,"")</f>
        <v/>
      </c>
      <c r="H97" s="586">
        <f>_xludf.IFNA(_xlfn.XLOOKUP(C99,'00_SKU_Master'!$B$2:$B$378,'00_SKU_Master'!$F$2:$F$378,0)*AC99,"")</f>
        <v/>
      </c>
      <c r="I97" s="586">
        <f>_xludf.IFNA(_xlfn.XLOOKUP(C99,'00_SKU_Master'!$B$2:$B$378,'00_SKU_Master'!$F$2:$F$378,0)*AD99,"")</f>
        <v/>
      </c>
      <c r="J97" s="586">
        <f>_xludf.IFNA(_xlfn.XLOOKUP(C99,'00_SKU_Master'!$B$2:$B$378,'00_SKU_Master'!$F$2:$F$378,0)*AE99,"")</f>
        <v/>
      </c>
      <c r="K97" s="587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88" t="n"/>
      <c r="Z97" s="589" t="n"/>
      <c r="AA97" s="589" t="n"/>
      <c r="AB97" s="589" t="n"/>
      <c r="AC97" s="589" t="n">
        <v>0</v>
      </c>
      <c r="AD97" s="589" t="n">
        <v>0</v>
      </c>
      <c r="AE97" s="589" t="n">
        <v>0</v>
      </c>
      <c r="AF97" s="587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86">
        <f>_xludf.IFNA(_xlfn.XLOOKUP(C100,'00_SKU_Master'!$B$2:$B$378,'00_SKU_Master'!$F$2:$F$378,0)*Y100,"")</f>
        <v/>
      </c>
      <c r="E98" s="586">
        <f>_xludf.IFNA(_xlfn.XLOOKUP(C100,'00_SKU_Master'!$B$2:$B$378,'00_SKU_Master'!$F$2:$F$378,0)*Z100,"")</f>
        <v/>
      </c>
      <c r="F98" s="586">
        <f>_xludf.IFNA(_xlfn.XLOOKUP(C100,'00_SKU_Master'!$B$2:$B$378,'00_SKU_Master'!$F$2:$F$378,0)*AA100,"")</f>
        <v/>
      </c>
      <c r="G98" s="586">
        <f>_xludf.IFNA(_xlfn.XLOOKUP(C100,'00_SKU_Master'!$B$2:$B$378,'00_SKU_Master'!$F$2:$F$378,0)*AB100,"")</f>
        <v/>
      </c>
      <c r="H98" s="586">
        <f>_xludf.IFNA(_xlfn.XLOOKUP(C100,'00_SKU_Master'!$B$2:$B$378,'00_SKU_Master'!$F$2:$F$378,0)*AC100,"")</f>
        <v/>
      </c>
      <c r="I98" s="586">
        <f>_xludf.IFNA(_xlfn.XLOOKUP(C100,'00_SKU_Master'!$B$2:$B$378,'00_SKU_Master'!$F$2:$F$378,0)*AD100,"")</f>
        <v/>
      </c>
      <c r="J98" s="586">
        <f>_xludf.IFNA(_xlfn.XLOOKUP(C100,'00_SKU_Master'!$B$2:$B$378,'00_SKU_Master'!$F$2:$F$378,0)*AE100,"")</f>
        <v/>
      </c>
      <c r="K98" s="587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88" t="n"/>
      <c r="Z98" s="589" t="n"/>
      <c r="AA98" s="589" t="n"/>
      <c r="AB98" s="589" t="n"/>
      <c r="AC98" s="589" t="n">
        <v>0</v>
      </c>
      <c r="AD98" s="589" t="n">
        <v>0</v>
      </c>
      <c r="AE98" s="589" t="n">
        <v>0</v>
      </c>
      <c r="AF98" s="587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86">
        <f>_xludf.IFNA(_xlfn.XLOOKUP(C101,'00_SKU_Master'!$B$2:$B$378,'00_SKU_Master'!$F$2:$F$378,0)*Y101,"")</f>
        <v/>
      </c>
      <c r="E99" s="586">
        <f>_xludf.IFNA(_xlfn.XLOOKUP(C101,'00_SKU_Master'!$B$2:$B$378,'00_SKU_Master'!$F$2:$F$378,0)*Z101,"")</f>
        <v/>
      </c>
      <c r="F99" s="586">
        <f>_xludf.IFNA(_xlfn.XLOOKUP(C101,'00_SKU_Master'!$B$2:$B$378,'00_SKU_Master'!$F$2:$F$378,0)*AA101,"")</f>
        <v/>
      </c>
      <c r="G99" s="586">
        <f>_xludf.IFNA(_xlfn.XLOOKUP(C101,'00_SKU_Master'!$B$2:$B$378,'00_SKU_Master'!$F$2:$F$378,0)*AB101,"")</f>
        <v/>
      </c>
      <c r="H99" s="586">
        <f>_xludf.IFNA(_xlfn.XLOOKUP(C101,'00_SKU_Master'!$B$2:$B$378,'00_SKU_Master'!$F$2:$F$378,0)*AC101,"")</f>
        <v/>
      </c>
      <c r="I99" s="586">
        <f>_xludf.IFNA(_xlfn.XLOOKUP(C101,'00_SKU_Master'!$B$2:$B$378,'00_SKU_Master'!$F$2:$F$378,0)*AD101,"")</f>
        <v/>
      </c>
      <c r="J99" s="586">
        <f>_xludf.IFNA(_xlfn.XLOOKUP(C101,'00_SKU_Master'!$B$2:$B$378,'00_SKU_Master'!$F$2:$F$378,0)*AE101,"")</f>
        <v/>
      </c>
      <c r="K99" s="587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88" t="n"/>
      <c r="Z99" s="589" t="n"/>
      <c r="AA99" s="589" t="n"/>
      <c r="AB99" s="589" t="n"/>
      <c r="AC99" s="589" t="n">
        <v>0</v>
      </c>
      <c r="AD99" s="589" t="n">
        <v>0</v>
      </c>
      <c r="AE99" s="589" t="n">
        <v>0</v>
      </c>
      <c r="AF99" s="587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86">
        <f>_xludf.IFNA(_xlfn.XLOOKUP(C102,'00_SKU_Master'!$B$2:$B$378,'00_SKU_Master'!$F$2:$F$378,0)*Y102,"")</f>
        <v/>
      </c>
      <c r="E100" s="586">
        <f>_xludf.IFNA(_xlfn.XLOOKUP(C102,'00_SKU_Master'!$B$2:$B$378,'00_SKU_Master'!$F$2:$F$378,0)*Z102,"")</f>
        <v/>
      </c>
      <c r="F100" s="586">
        <f>_xludf.IFNA(_xlfn.XLOOKUP(C102,'00_SKU_Master'!$B$2:$B$378,'00_SKU_Master'!$F$2:$F$378,0)*AA102,"")</f>
        <v/>
      </c>
      <c r="G100" s="586">
        <f>_xludf.IFNA(_xlfn.XLOOKUP(C102,'00_SKU_Master'!$B$2:$B$378,'00_SKU_Master'!$F$2:$F$378,0)*AB102,"")</f>
        <v/>
      </c>
      <c r="H100" s="586">
        <f>_xludf.IFNA(_xlfn.XLOOKUP(C102,'00_SKU_Master'!$B$2:$B$378,'00_SKU_Master'!$F$2:$F$378,0)*AC102,"")</f>
        <v/>
      </c>
      <c r="I100" s="586">
        <f>_xludf.IFNA(_xlfn.XLOOKUP(C102,'00_SKU_Master'!$B$2:$B$378,'00_SKU_Master'!$F$2:$F$378,0)*AD102,"")</f>
        <v/>
      </c>
      <c r="J100" s="586">
        <f>_xludf.IFNA(_xlfn.XLOOKUP(C102,'00_SKU_Master'!$B$2:$B$378,'00_SKU_Master'!$F$2:$F$378,0)*AE102,"")</f>
        <v/>
      </c>
      <c r="K100" s="587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88" t="n"/>
      <c r="Z100" s="589" t="n"/>
      <c r="AA100" s="589" t="n"/>
      <c r="AB100" s="589" t="n"/>
      <c r="AC100" s="589" t="n">
        <v>0</v>
      </c>
      <c r="AD100" s="589" t="n">
        <v>0</v>
      </c>
      <c r="AE100" s="589" t="n">
        <v>0</v>
      </c>
      <c r="AF100" s="587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86">
        <f>_xludf.IFNA(_xlfn.XLOOKUP(C103,'00_SKU_Master'!$B$2:$B$378,'00_SKU_Master'!$F$2:$F$378,0)*Y103,"")</f>
        <v/>
      </c>
      <c r="E101" s="586">
        <f>_xludf.IFNA(_xlfn.XLOOKUP(C103,'00_SKU_Master'!$B$2:$B$378,'00_SKU_Master'!$F$2:$F$378,0)*Z103,"")</f>
        <v/>
      </c>
      <c r="F101" s="586">
        <f>_xludf.IFNA(_xlfn.XLOOKUP(C103,'00_SKU_Master'!$B$2:$B$378,'00_SKU_Master'!$F$2:$F$378,0)*AA103,"")</f>
        <v/>
      </c>
      <c r="G101" s="586">
        <f>_xludf.IFNA(_xlfn.XLOOKUP(C103,'00_SKU_Master'!$B$2:$B$378,'00_SKU_Master'!$F$2:$F$378,0)*AB103,"")</f>
        <v/>
      </c>
      <c r="H101" s="586">
        <f>_xludf.IFNA(_xlfn.XLOOKUP(C103,'00_SKU_Master'!$B$2:$B$378,'00_SKU_Master'!$F$2:$F$378,0)*AC103,"")</f>
        <v/>
      </c>
      <c r="I101" s="586">
        <f>_xludf.IFNA(_xlfn.XLOOKUP(C103,'00_SKU_Master'!$B$2:$B$378,'00_SKU_Master'!$F$2:$F$378,0)*AD103,"")</f>
        <v/>
      </c>
      <c r="J101" s="586">
        <f>_xludf.IFNA(_xlfn.XLOOKUP(C103,'00_SKU_Master'!$B$2:$B$378,'00_SKU_Master'!$F$2:$F$378,0)*AE103,"")</f>
        <v/>
      </c>
      <c r="K101" s="587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88" t="n"/>
      <c r="Z101" s="589" t="n"/>
      <c r="AA101" s="589" t="n"/>
      <c r="AB101" s="589" t="n"/>
      <c r="AC101" s="589" t="n">
        <v>0</v>
      </c>
      <c r="AD101" s="589" t="n">
        <v>0</v>
      </c>
      <c r="AE101" s="589" t="n">
        <v>0</v>
      </c>
      <c r="AF101" s="587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86">
        <f>_xludf.IFNA(_xlfn.XLOOKUP(C104,'00_SKU_Master'!$B$2:$B$378,'00_SKU_Master'!$F$2:$F$378,0)*Y104,"")</f>
        <v/>
      </c>
      <c r="E102" s="586">
        <f>_xludf.IFNA(_xlfn.XLOOKUP(C104,'00_SKU_Master'!$B$2:$B$378,'00_SKU_Master'!$F$2:$F$378,0)*Z104,"")</f>
        <v/>
      </c>
      <c r="F102" s="586">
        <f>_xludf.IFNA(_xlfn.XLOOKUP(C104,'00_SKU_Master'!$B$2:$B$378,'00_SKU_Master'!$F$2:$F$378,0)*AA104,"")</f>
        <v/>
      </c>
      <c r="G102" s="586">
        <f>_xludf.IFNA(_xlfn.XLOOKUP(C104,'00_SKU_Master'!$B$2:$B$378,'00_SKU_Master'!$F$2:$F$378,0)*AB104,"")</f>
        <v/>
      </c>
      <c r="H102" s="586">
        <f>_xludf.IFNA(_xlfn.XLOOKUP(C104,'00_SKU_Master'!$B$2:$B$378,'00_SKU_Master'!$F$2:$F$378,0)*AC104,"")</f>
        <v/>
      </c>
      <c r="I102" s="586">
        <f>_xludf.IFNA(_xlfn.XLOOKUP(C104,'00_SKU_Master'!$B$2:$B$378,'00_SKU_Master'!$F$2:$F$378,0)*AD104,"")</f>
        <v/>
      </c>
      <c r="J102" s="586">
        <f>_xludf.IFNA(_xlfn.XLOOKUP(C104,'00_SKU_Master'!$B$2:$B$378,'00_SKU_Master'!$F$2:$F$378,0)*AE104,"")</f>
        <v/>
      </c>
      <c r="K102" s="587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88" t="n"/>
      <c r="Z102" s="589" t="n"/>
      <c r="AA102" s="589" t="n"/>
      <c r="AB102" s="589" t="n"/>
      <c r="AC102" s="589" t="n">
        <v>0</v>
      </c>
      <c r="AD102" s="589" t="n">
        <v>0</v>
      </c>
      <c r="AE102" s="589" t="n">
        <v>0</v>
      </c>
      <c r="AF102" s="587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86">
        <f>_xludf.IFNA(_xlfn.XLOOKUP(C105,'00_SKU_Master'!$B$2:$B$378,'00_SKU_Master'!$F$2:$F$378,0)*Y105,"")</f>
        <v/>
      </c>
      <c r="E103" s="586">
        <f>_xludf.IFNA(_xlfn.XLOOKUP(C105,'00_SKU_Master'!$B$2:$B$378,'00_SKU_Master'!$F$2:$F$378,0)*Z105,"")</f>
        <v/>
      </c>
      <c r="F103" s="586">
        <f>_xludf.IFNA(_xlfn.XLOOKUP(C105,'00_SKU_Master'!$B$2:$B$378,'00_SKU_Master'!$F$2:$F$378,0)*AA105,"")</f>
        <v/>
      </c>
      <c r="G103" s="586">
        <f>_xludf.IFNA(_xlfn.XLOOKUP(C105,'00_SKU_Master'!$B$2:$B$378,'00_SKU_Master'!$F$2:$F$378,0)*AB105,"")</f>
        <v/>
      </c>
      <c r="H103" s="586">
        <f>_xludf.IFNA(_xlfn.XLOOKUP(C105,'00_SKU_Master'!$B$2:$B$378,'00_SKU_Master'!$F$2:$F$378,0)*AC105,"")</f>
        <v/>
      </c>
      <c r="I103" s="586">
        <f>_xludf.IFNA(_xlfn.XLOOKUP(C105,'00_SKU_Master'!$B$2:$B$378,'00_SKU_Master'!$F$2:$F$378,0)*AD105,"")</f>
        <v/>
      </c>
      <c r="J103" s="586">
        <f>_xludf.IFNA(_xlfn.XLOOKUP(C105,'00_SKU_Master'!$B$2:$B$378,'00_SKU_Master'!$F$2:$F$378,0)*AE105,"")</f>
        <v/>
      </c>
      <c r="K103" s="587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88" t="n"/>
      <c r="Z103" s="589" t="n"/>
      <c r="AA103" s="589" t="n"/>
      <c r="AB103" s="589" t="n"/>
      <c r="AC103" s="589" t="n">
        <v>0</v>
      </c>
      <c r="AD103" s="589" t="n">
        <v>0</v>
      </c>
      <c r="AE103" s="589" t="n">
        <v>0</v>
      </c>
      <c r="AF103" s="587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86">
        <f>_xludf.IFNA(_xlfn.XLOOKUP(C106,'00_SKU_Master'!$B$2:$B$378,'00_SKU_Master'!$F$2:$F$378,0)*Y106,"")</f>
        <v/>
      </c>
      <c r="E104" s="586">
        <f>_xludf.IFNA(_xlfn.XLOOKUP(C106,'00_SKU_Master'!$B$2:$B$378,'00_SKU_Master'!$F$2:$F$378,0)*Z106,"")</f>
        <v/>
      </c>
      <c r="F104" s="586">
        <f>_xludf.IFNA(_xlfn.XLOOKUP(C106,'00_SKU_Master'!$B$2:$B$378,'00_SKU_Master'!$F$2:$F$378,0)*AA106,"")</f>
        <v/>
      </c>
      <c r="G104" s="586">
        <f>_xludf.IFNA(_xlfn.XLOOKUP(C106,'00_SKU_Master'!$B$2:$B$378,'00_SKU_Master'!$F$2:$F$378,0)*AB106,"")</f>
        <v/>
      </c>
      <c r="H104" s="586">
        <f>_xludf.IFNA(_xlfn.XLOOKUP(C106,'00_SKU_Master'!$B$2:$B$378,'00_SKU_Master'!$F$2:$F$378,0)*AC106,"")</f>
        <v/>
      </c>
      <c r="I104" s="586">
        <f>_xludf.IFNA(_xlfn.XLOOKUP(C106,'00_SKU_Master'!$B$2:$B$378,'00_SKU_Master'!$F$2:$F$378,0)*AD106,"")</f>
        <v/>
      </c>
      <c r="J104" s="586">
        <f>_xludf.IFNA(_xlfn.XLOOKUP(C106,'00_SKU_Master'!$B$2:$B$378,'00_SKU_Master'!$F$2:$F$378,0)*AE106,"")</f>
        <v/>
      </c>
      <c r="K104" s="587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88" t="n"/>
      <c r="Z104" s="589" t="n"/>
      <c r="AA104" s="589" t="n"/>
      <c r="AB104" s="589" t="n"/>
      <c r="AC104" s="589" t="n">
        <v>0</v>
      </c>
      <c r="AD104" s="589" t="n">
        <v>0</v>
      </c>
      <c r="AE104" s="589" t="n">
        <v>0</v>
      </c>
      <c r="AF104" s="587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86">
        <f>_xludf.IFNA(_xlfn.XLOOKUP(C107,'00_SKU_Master'!$B$2:$B$378,'00_SKU_Master'!$F$2:$F$378,0)*Y107,"")</f>
        <v/>
      </c>
      <c r="E105" s="586">
        <f>_xludf.IFNA(_xlfn.XLOOKUP(C107,'00_SKU_Master'!$B$2:$B$378,'00_SKU_Master'!$F$2:$F$378,0)*Z107,"")</f>
        <v/>
      </c>
      <c r="F105" s="586">
        <f>_xludf.IFNA(_xlfn.XLOOKUP(C107,'00_SKU_Master'!$B$2:$B$378,'00_SKU_Master'!$F$2:$F$378,0)*AA107,"")</f>
        <v/>
      </c>
      <c r="G105" s="586">
        <f>_xludf.IFNA(_xlfn.XLOOKUP(C107,'00_SKU_Master'!$B$2:$B$378,'00_SKU_Master'!$F$2:$F$378,0)*AB107,"")</f>
        <v/>
      </c>
      <c r="H105" s="586">
        <f>_xludf.IFNA(_xlfn.XLOOKUP(C107,'00_SKU_Master'!$B$2:$B$378,'00_SKU_Master'!$F$2:$F$378,0)*AC107,"")</f>
        <v/>
      </c>
      <c r="I105" s="586">
        <f>_xludf.IFNA(_xlfn.XLOOKUP(C107,'00_SKU_Master'!$B$2:$B$378,'00_SKU_Master'!$F$2:$F$378,0)*AD107,"")</f>
        <v/>
      </c>
      <c r="J105" s="586">
        <f>_xludf.IFNA(_xlfn.XLOOKUP(C107,'00_SKU_Master'!$B$2:$B$378,'00_SKU_Master'!$F$2:$F$378,0)*AE107,"")</f>
        <v/>
      </c>
      <c r="K105" s="587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88" t="n"/>
      <c r="Z105" s="589" t="n"/>
      <c r="AA105" s="589" t="n"/>
      <c r="AB105" s="589" t="n"/>
      <c r="AC105" s="589" t="n">
        <v>0</v>
      </c>
      <c r="AD105" s="589" t="n">
        <v>0</v>
      </c>
      <c r="AE105" s="589" t="n">
        <v>0</v>
      </c>
      <c r="AF105" s="587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86">
        <f>_xludf.IFNA(_xlfn.XLOOKUP(C108,'00_SKU_Master'!$B$2:$B$378,'00_SKU_Master'!$F$2:$F$378,0)*Y108,"")</f>
        <v/>
      </c>
      <c r="E106" s="586">
        <f>_xludf.IFNA(_xlfn.XLOOKUP(C108,'00_SKU_Master'!$B$2:$B$378,'00_SKU_Master'!$F$2:$F$378,0)*Z108,"")</f>
        <v/>
      </c>
      <c r="F106" s="586">
        <f>_xludf.IFNA(_xlfn.XLOOKUP(C108,'00_SKU_Master'!$B$2:$B$378,'00_SKU_Master'!$F$2:$F$378,0)*AA108,"")</f>
        <v/>
      </c>
      <c r="G106" s="586">
        <f>_xludf.IFNA(_xlfn.XLOOKUP(C108,'00_SKU_Master'!$B$2:$B$378,'00_SKU_Master'!$F$2:$F$378,0)*AB108,"")</f>
        <v/>
      </c>
      <c r="H106" s="586">
        <f>_xludf.IFNA(_xlfn.XLOOKUP(C108,'00_SKU_Master'!$B$2:$B$378,'00_SKU_Master'!$F$2:$F$378,0)*AC108,"")</f>
        <v/>
      </c>
      <c r="I106" s="586">
        <f>_xludf.IFNA(_xlfn.XLOOKUP(C108,'00_SKU_Master'!$B$2:$B$378,'00_SKU_Master'!$F$2:$F$378,0)*AD108,"")</f>
        <v/>
      </c>
      <c r="J106" s="586">
        <f>_xludf.IFNA(_xlfn.XLOOKUP(C108,'00_SKU_Master'!$B$2:$B$378,'00_SKU_Master'!$F$2:$F$378,0)*AE108,"")</f>
        <v/>
      </c>
      <c r="K106" s="587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88" t="n"/>
      <c r="Z106" s="589" t="n"/>
      <c r="AA106" s="589" t="n"/>
      <c r="AB106" s="589" t="n"/>
      <c r="AC106" s="589" t="n">
        <v>0</v>
      </c>
      <c r="AD106" s="589" t="n">
        <v>0</v>
      </c>
      <c r="AE106" s="589" t="n">
        <v>0</v>
      </c>
      <c r="AF106" s="587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86">
        <f>_xludf.IFNA(_xlfn.XLOOKUP(C109,'00_SKU_Master'!$B$2:$B$378,'00_SKU_Master'!$F$2:$F$378,0)*Y109,"")</f>
        <v/>
      </c>
      <c r="E107" s="586">
        <f>_xludf.IFNA(_xlfn.XLOOKUP(C109,'00_SKU_Master'!$B$2:$B$378,'00_SKU_Master'!$F$2:$F$378,0)*Z109,"")</f>
        <v/>
      </c>
      <c r="F107" s="586">
        <f>_xludf.IFNA(_xlfn.XLOOKUP(C109,'00_SKU_Master'!$B$2:$B$378,'00_SKU_Master'!$F$2:$F$378,0)*AA109,"")</f>
        <v/>
      </c>
      <c r="G107" s="586">
        <f>_xludf.IFNA(_xlfn.XLOOKUP(C109,'00_SKU_Master'!$B$2:$B$378,'00_SKU_Master'!$F$2:$F$378,0)*AB109,"")</f>
        <v/>
      </c>
      <c r="H107" s="586">
        <f>_xludf.IFNA(_xlfn.XLOOKUP(C109,'00_SKU_Master'!$B$2:$B$378,'00_SKU_Master'!$F$2:$F$378,0)*AC109,"")</f>
        <v/>
      </c>
      <c r="I107" s="586">
        <f>_xludf.IFNA(_xlfn.XLOOKUP(C109,'00_SKU_Master'!$B$2:$B$378,'00_SKU_Master'!$F$2:$F$378,0)*AD109,"")</f>
        <v/>
      </c>
      <c r="J107" s="586">
        <f>_xludf.IFNA(_xlfn.XLOOKUP(C109,'00_SKU_Master'!$B$2:$B$378,'00_SKU_Master'!$F$2:$F$378,0)*AE109,"")</f>
        <v/>
      </c>
      <c r="K107" s="587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88" t="n"/>
      <c r="Z107" s="589" t="n"/>
      <c r="AA107" s="589" t="n"/>
      <c r="AB107" s="589" t="n"/>
      <c r="AC107" s="589" t="n">
        <v>0</v>
      </c>
      <c r="AD107" s="589" t="n">
        <v>0</v>
      </c>
      <c r="AE107" s="589" t="n">
        <v>0</v>
      </c>
      <c r="AF107" s="587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86">
        <f>_xludf.IFNA(_xlfn.XLOOKUP(C110,'00_SKU_Master'!$B$2:$B$378,'00_SKU_Master'!$F$2:$F$378,0)*Y110,"")</f>
        <v/>
      </c>
      <c r="E108" s="586">
        <f>_xludf.IFNA(_xlfn.XLOOKUP(C110,'00_SKU_Master'!$B$2:$B$378,'00_SKU_Master'!$F$2:$F$378,0)*Z110,"")</f>
        <v/>
      </c>
      <c r="F108" s="586">
        <f>_xludf.IFNA(_xlfn.XLOOKUP(C110,'00_SKU_Master'!$B$2:$B$378,'00_SKU_Master'!$F$2:$F$378,0)*AA110,"")</f>
        <v/>
      </c>
      <c r="G108" s="586">
        <f>_xludf.IFNA(_xlfn.XLOOKUP(C110,'00_SKU_Master'!$B$2:$B$378,'00_SKU_Master'!$F$2:$F$378,0)*AB110,"")</f>
        <v/>
      </c>
      <c r="H108" s="586">
        <f>_xludf.IFNA(_xlfn.XLOOKUP(C110,'00_SKU_Master'!$B$2:$B$378,'00_SKU_Master'!$F$2:$F$378,0)*AC110,"")</f>
        <v/>
      </c>
      <c r="I108" s="586">
        <f>_xludf.IFNA(_xlfn.XLOOKUP(C110,'00_SKU_Master'!$B$2:$B$378,'00_SKU_Master'!$F$2:$F$378,0)*AD110,"")</f>
        <v/>
      </c>
      <c r="J108" s="586">
        <f>_xludf.IFNA(_xlfn.XLOOKUP(C110,'00_SKU_Master'!$B$2:$B$378,'00_SKU_Master'!$F$2:$F$378,0)*AE110,"")</f>
        <v/>
      </c>
      <c r="K108" s="587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88" t="n"/>
      <c r="Z108" s="589" t="n"/>
      <c r="AA108" s="589" t="n"/>
      <c r="AB108" s="589" t="n"/>
      <c r="AC108" s="589" t="n">
        <v>0</v>
      </c>
      <c r="AD108" s="589" t="n">
        <v>0</v>
      </c>
      <c r="AE108" s="589" t="n">
        <v>0</v>
      </c>
      <c r="AF108" s="587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86">
        <f>_xludf.IFNA(_xlfn.XLOOKUP(C111,'00_SKU_Master'!$B$2:$B$378,'00_SKU_Master'!$F$2:$F$378,0)*Y111,"")</f>
        <v/>
      </c>
      <c r="E109" s="586">
        <f>_xludf.IFNA(_xlfn.XLOOKUP(C111,'00_SKU_Master'!$B$2:$B$378,'00_SKU_Master'!$F$2:$F$378,0)*Z111,"")</f>
        <v/>
      </c>
      <c r="F109" s="586">
        <f>_xludf.IFNA(_xlfn.XLOOKUP(C111,'00_SKU_Master'!$B$2:$B$378,'00_SKU_Master'!$F$2:$F$378,0)*AA111,"")</f>
        <v/>
      </c>
      <c r="G109" s="586">
        <f>_xludf.IFNA(_xlfn.XLOOKUP(C111,'00_SKU_Master'!$B$2:$B$378,'00_SKU_Master'!$F$2:$F$378,0)*AB111,"")</f>
        <v/>
      </c>
      <c r="H109" s="586">
        <f>_xludf.IFNA(_xlfn.XLOOKUP(C111,'00_SKU_Master'!$B$2:$B$378,'00_SKU_Master'!$F$2:$F$378,0)*AC111,"")</f>
        <v/>
      </c>
      <c r="I109" s="586">
        <f>_xludf.IFNA(_xlfn.XLOOKUP(C111,'00_SKU_Master'!$B$2:$B$378,'00_SKU_Master'!$F$2:$F$378,0)*AD111,"")</f>
        <v/>
      </c>
      <c r="J109" s="586">
        <f>_xludf.IFNA(_xlfn.XLOOKUP(C111,'00_SKU_Master'!$B$2:$B$378,'00_SKU_Master'!$F$2:$F$378,0)*AE111,"")</f>
        <v/>
      </c>
      <c r="K109" s="587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88" t="n"/>
      <c r="Z109" s="589" t="n"/>
      <c r="AA109" s="589" t="n"/>
      <c r="AB109" s="589" t="n"/>
      <c r="AC109" s="589" t="n">
        <v>0</v>
      </c>
      <c r="AD109" s="589" t="n">
        <v>0</v>
      </c>
      <c r="AE109" s="589" t="n">
        <v>0</v>
      </c>
      <c r="AF109" s="587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86">
        <f>_xludf.IFNA(_xlfn.XLOOKUP(C112,'00_SKU_Master'!$B$2:$B$378,'00_SKU_Master'!$F$2:$F$378,0)*Y112,"")</f>
        <v/>
      </c>
      <c r="E110" s="586">
        <f>_xludf.IFNA(_xlfn.XLOOKUP(C112,'00_SKU_Master'!$B$2:$B$378,'00_SKU_Master'!$F$2:$F$378,0)*Z112,"")</f>
        <v/>
      </c>
      <c r="F110" s="586">
        <f>_xludf.IFNA(_xlfn.XLOOKUP(C112,'00_SKU_Master'!$B$2:$B$378,'00_SKU_Master'!$F$2:$F$378,0)*AA112,"")</f>
        <v/>
      </c>
      <c r="G110" s="586">
        <f>_xludf.IFNA(_xlfn.XLOOKUP(C112,'00_SKU_Master'!$B$2:$B$378,'00_SKU_Master'!$F$2:$F$378,0)*AB112,"")</f>
        <v/>
      </c>
      <c r="H110" s="586">
        <f>_xludf.IFNA(_xlfn.XLOOKUP(C112,'00_SKU_Master'!$B$2:$B$378,'00_SKU_Master'!$F$2:$F$378,0)*AC112,"")</f>
        <v/>
      </c>
      <c r="I110" s="586">
        <f>_xludf.IFNA(_xlfn.XLOOKUP(C112,'00_SKU_Master'!$B$2:$B$378,'00_SKU_Master'!$F$2:$F$378,0)*AD112,"")</f>
        <v/>
      </c>
      <c r="J110" s="586">
        <f>_xludf.IFNA(_xlfn.XLOOKUP(C112,'00_SKU_Master'!$B$2:$B$378,'00_SKU_Master'!$F$2:$F$378,0)*AE112,"")</f>
        <v/>
      </c>
      <c r="K110" s="587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88" t="n"/>
      <c r="Z110" s="589" t="n"/>
      <c r="AA110" s="589" t="n"/>
      <c r="AB110" s="589" t="n"/>
      <c r="AC110" s="589" t="n">
        <v>0</v>
      </c>
      <c r="AD110" s="589" t="n">
        <v>0</v>
      </c>
      <c r="AE110" s="589" t="n">
        <v>0</v>
      </c>
      <c r="AF110" s="587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86">
        <f>_xludf.IFNA(_xlfn.XLOOKUP(C113,'00_SKU_Master'!$B$2:$B$378,'00_SKU_Master'!$F$2:$F$378,0)*Y113,"")</f>
        <v/>
      </c>
      <c r="E111" s="586">
        <f>_xludf.IFNA(_xlfn.XLOOKUP(C113,'00_SKU_Master'!$B$2:$B$378,'00_SKU_Master'!$F$2:$F$378,0)*Z113,"")</f>
        <v/>
      </c>
      <c r="F111" s="586">
        <f>_xludf.IFNA(_xlfn.XLOOKUP(C113,'00_SKU_Master'!$B$2:$B$378,'00_SKU_Master'!$F$2:$F$378,0)*AA113,"")</f>
        <v/>
      </c>
      <c r="G111" s="586">
        <f>_xludf.IFNA(_xlfn.XLOOKUP(C113,'00_SKU_Master'!$B$2:$B$378,'00_SKU_Master'!$F$2:$F$378,0)*AB113,"")</f>
        <v/>
      </c>
      <c r="H111" s="586">
        <f>_xludf.IFNA(_xlfn.XLOOKUP(C113,'00_SKU_Master'!$B$2:$B$378,'00_SKU_Master'!$F$2:$F$378,0)*AC113,"")</f>
        <v/>
      </c>
      <c r="I111" s="586">
        <f>_xludf.IFNA(_xlfn.XLOOKUP(C113,'00_SKU_Master'!$B$2:$B$378,'00_SKU_Master'!$F$2:$F$378,0)*AD113,"")</f>
        <v/>
      </c>
      <c r="J111" s="586">
        <f>_xludf.IFNA(_xlfn.XLOOKUP(C113,'00_SKU_Master'!$B$2:$B$378,'00_SKU_Master'!$F$2:$F$378,0)*AE113,"")</f>
        <v/>
      </c>
      <c r="K111" s="587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88" t="n"/>
      <c r="Z111" s="589" t="n"/>
      <c r="AA111" s="589" t="n"/>
      <c r="AB111" s="589" t="n"/>
      <c r="AC111" s="589" t="n">
        <v>0</v>
      </c>
      <c r="AD111" s="589" t="n">
        <v>0</v>
      </c>
      <c r="AE111" s="589" t="n">
        <v>0</v>
      </c>
      <c r="AF111" s="587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86">
        <f>_xludf.IFNA(_xlfn.XLOOKUP(C114,'00_SKU_Master'!$B$2:$B$378,'00_SKU_Master'!$F$2:$F$378,0)*Y114,"")</f>
        <v/>
      </c>
      <c r="E112" s="586">
        <f>_xludf.IFNA(_xlfn.XLOOKUP(C114,'00_SKU_Master'!$B$2:$B$378,'00_SKU_Master'!$F$2:$F$378,0)*Z114,"")</f>
        <v/>
      </c>
      <c r="F112" s="586">
        <f>_xludf.IFNA(_xlfn.XLOOKUP(C114,'00_SKU_Master'!$B$2:$B$378,'00_SKU_Master'!$F$2:$F$378,0)*AA114,"")</f>
        <v/>
      </c>
      <c r="G112" s="586">
        <f>_xludf.IFNA(_xlfn.XLOOKUP(C114,'00_SKU_Master'!$B$2:$B$378,'00_SKU_Master'!$F$2:$F$378,0)*AB114,"")</f>
        <v/>
      </c>
      <c r="H112" s="586">
        <f>_xludf.IFNA(_xlfn.XLOOKUP(C114,'00_SKU_Master'!$B$2:$B$378,'00_SKU_Master'!$F$2:$F$378,0)*AC114,"")</f>
        <v/>
      </c>
      <c r="I112" s="586">
        <f>_xludf.IFNA(_xlfn.XLOOKUP(C114,'00_SKU_Master'!$B$2:$B$378,'00_SKU_Master'!$F$2:$F$378,0)*AD114,"")</f>
        <v/>
      </c>
      <c r="J112" s="586">
        <f>_xludf.IFNA(_xlfn.XLOOKUP(C114,'00_SKU_Master'!$B$2:$B$378,'00_SKU_Master'!$F$2:$F$378,0)*AE114,"")</f>
        <v/>
      </c>
      <c r="K112" s="587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88" t="n"/>
      <c r="Z112" s="589" t="n"/>
      <c r="AA112" s="589" t="n"/>
      <c r="AB112" s="589" t="n"/>
      <c r="AC112" s="589" t="n">
        <v>0</v>
      </c>
      <c r="AD112" s="589" t="n">
        <v>0</v>
      </c>
      <c r="AE112" s="589" t="n">
        <v>0</v>
      </c>
      <c r="AF112" s="587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86">
        <f>_xludf.IFNA(_xlfn.XLOOKUP(C115,'00_SKU_Master'!$B$2:$B$378,'00_SKU_Master'!$F$2:$F$378,0)*Y115,"")</f>
        <v/>
      </c>
      <c r="E113" s="586">
        <f>_xludf.IFNA(_xlfn.XLOOKUP(C115,'00_SKU_Master'!$B$2:$B$378,'00_SKU_Master'!$F$2:$F$378,0)*Z115,"")</f>
        <v/>
      </c>
      <c r="F113" s="586">
        <f>_xludf.IFNA(_xlfn.XLOOKUP(C115,'00_SKU_Master'!$B$2:$B$378,'00_SKU_Master'!$F$2:$F$378,0)*AA115,"")</f>
        <v/>
      </c>
      <c r="G113" s="586">
        <f>_xludf.IFNA(_xlfn.XLOOKUP(C115,'00_SKU_Master'!$B$2:$B$378,'00_SKU_Master'!$F$2:$F$378,0)*AB115,"")</f>
        <v/>
      </c>
      <c r="H113" s="586">
        <f>_xludf.IFNA(_xlfn.XLOOKUP(C115,'00_SKU_Master'!$B$2:$B$378,'00_SKU_Master'!$F$2:$F$378,0)*AC115,"")</f>
        <v/>
      </c>
      <c r="I113" s="586">
        <f>_xludf.IFNA(_xlfn.XLOOKUP(C115,'00_SKU_Master'!$B$2:$B$378,'00_SKU_Master'!$F$2:$F$378,0)*AD115,"")</f>
        <v/>
      </c>
      <c r="J113" s="586">
        <f>_xludf.IFNA(_xlfn.XLOOKUP(C115,'00_SKU_Master'!$B$2:$B$378,'00_SKU_Master'!$F$2:$F$378,0)*AE115,"")</f>
        <v/>
      </c>
      <c r="K113" s="587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88" t="n"/>
      <c r="Z113" s="589" t="n"/>
      <c r="AA113" s="589" t="n"/>
      <c r="AB113" s="589" t="n"/>
      <c r="AC113" s="589" t="n">
        <v>0</v>
      </c>
      <c r="AD113" s="589" t="n">
        <v>0</v>
      </c>
      <c r="AE113" s="589" t="n">
        <v>0</v>
      </c>
      <c r="AF113" s="587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86">
        <f>_xludf.IFNA(_xlfn.XLOOKUP(C116,'00_SKU_Master'!$B$2:$B$378,'00_SKU_Master'!$F$2:$F$378,0)*Y116,"")</f>
        <v/>
      </c>
      <c r="E114" s="586">
        <f>_xludf.IFNA(_xlfn.XLOOKUP(C116,'00_SKU_Master'!$B$2:$B$378,'00_SKU_Master'!$F$2:$F$378,0)*Z116,"")</f>
        <v/>
      </c>
      <c r="F114" s="586">
        <f>_xludf.IFNA(_xlfn.XLOOKUP(C116,'00_SKU_Master'!$B$2:$B$378,'00_SKU_Master'!$F$2:$F$378,0)*AA116,"")</f>
        <v/>
      </c>
      <c r="G114" s="586">
        <f>_xludf.IFNA(_xlfn.XLOOKUP(C116,'00_SKU_Master'!$B$2:$B$378,'00_SKU_Master'!$F$2:$F$378,0)*AB116,"")</f>
        <v/>
      </c>
      <c r="H114" s="586">
        <f>_xludf.IFNA(_xlfn.XLOOKUP(C116,'00_SKU_Master'!$B$2:$B$378,'00_SKU_Master'!$F$2:$F$378,0)*AC116,"")</f>
        <v/>
      </c>
      <c r="I114" s="586">
        <f>_xludf.IFNA(_xlfn.XLOOKUP(C116,'00_SKU_Master'!$B$2:$B$378,'00_SKU_Master'!$F$2:$F$378,0)*AD116,"")</f>
        <v/>
      </c>
      <c r="J114" s="586">
        <f>_xludf.IFNA(_xlfn.XLOOKUP(C116,'00_SKU_Master'!$B$2:$B$378,'00_SKU_Master'!$F$2:$F$378,0)*AE116,"")</f>
        <v/>
      </c>
      <c r="K114" s="587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88" t="n"/>
      <c r="Z114" s="589" t="n"/>
      <c r="AA114" s="589" t="n"/>
      <c r="AB114" s="589" t="n"/>
      <c r="AC114" s="589" t="n">
        <v>0</v>
      </c>
      <c r="AD114" s="589" t="n">
        <v>0</v>
      </c>
      <c r="AE114" s="589" t="n">
        <v>0</v>
      </c>
      <c r="AF114" s="587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86">
        <f>_xludf.IFNA(_xlfn.XLOOKUP(C117,'00_SKU_Master'!$B$2:$B$378,'00_SKU_Master'!$F$2:$F$378,0)*Y117,"")</f>
        <v/>
      </c>
      <c r="E115" s="586">
        <f>_xludf.IFNA(_xlfn.XLOOKUP(C117,'00_SKU_Master'!$B$2:$B$378,'00_SKU_Master'!$F$2:$F$378,0)*Z117,"")</f>
        <v/>
      </c>
      <c r="F115" s="586">
        <f>_xludf.IFNA(_xlfn.XLOOKUP(C117,'00_SKU_Master'!$B$2:$B$378,'00_SKU_Master'!$F$2:$F$378,0)*AA117,"")</f>
        <v/>
      </c>
      <c r="G115" s="586">
        <f>_xludf.IFNA(_xlfn.XLOOKUP(C117,'00_SKU_Master'!$B$2:$B$378,'00_SKU_Master'!$F$2:$F$378,0)*AB117,"")</f>
        <v/>
      </c>
      <c r="H115" s="586">
        <f>_xludf.IFNA(_xlfn.XLOOKUP(C117,'00_SKU_Master'!$B$2:$B$378,'00_SKU_Master'!$F$2:$F$378,0)*AC117,"")</f>
        <v/>
      </c>
      <c r="I115" s="586">
        <f>_xludf.IFNA(_xlfn.XLOOKUP(C117,'00_SKU_Master'!$B$2:$B$378,'00_SKU_Master'!$F$2:$F$378,0)*AD117,"")</f>
        <v/>
      </c>
      <c r="J115" s="586">
        <f>_xludf.IFNA(_xlfn.XLOOKUP(C117,'00_SKU_Master'!$B$2:$B$378,'00_SKU_Master'!$F$2:$F$378,0)*AE117,"")</f>
        <v/>
      </c>
      <c r="K115" s="587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88" t="n"/>
      <c r="Z115" s="589" t="n"/>
      <c r="AA115" s="589" t="n"/>
      <c r="AB115" s="589" t="n"/>
      <c r="AC115" s="589" t="n">
        <v>0</v>
      </c>
      <c r="AD115" s="589" t="n">
        <v>0</v>
      </c>
      <c r="AE115" s="589" t="n">
        <v>0</v>
      </c>
      <c r="AF115" s="587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86">
        <f>_xludf.IFNA(_xlfn.XLOOKUP(C118,'00_SKU_Master'!$B$2:$B$378,'00_SKU_Master'!$F$2:$F$378,0)*Y118,"")</f>
        <v/>
      </c>
      <c r="E116" s="586">
        <f>_xludf.IFNA(_xlfn.XLOOKUP(C118,'00_SKU_Master'!$B$2:$B$378,'00_SKU_Master'!$F$2:$F$378,0)*Z118,"")</f>
        <v/>
      </c>
      <c r="F116" s="586">
        <f>_xludf.IFNA(_xlfn.XLOOKUP(C118,'00_SKU_Master'!$B$2:$B$378,'00_SKU_Master'!$F$2:$F$378,0)*AA118,"")</f>
        <v/>
      </c>
      <c r="G116" s="586">
        <f>_xludf.IFNA(_xlfn.XLOOKUP(C118,'00_SKU_Master'!$B$2:$B$378,'00_SKU_Master'!$F$2:$F$378,0)*AB118,"")</f>
        <v/>
      </c>
      <c r="H116" s="586">
        <f>_xludf.IFNA(_xlfn.XLOOKUP(C118,'00_SKU_Master'!$B$2:$B$378,'00_SKU_Master'!$F$2:$F$378,0)*AC118,"")</f>
        <v/>
      </c>
      <c r="I116" s="586">
        <f>_xludf.IFNA(_xlfn.XLOOKUP(C118,'00_SKU_Master'!$B$2:$B$378,'00_SKU_Master'!$F$2:$F$378,0)*AD118,"")</f>
        <v/>
      </c>
      <c r="J116" s="586">
        <f>_xludf.IFNA(_xlfn.XLOOKUP(C118,'00_SKU_Master'!$B$2:$B$378,'00_SKU_Master'!$F$2:$F$378,0)*AE118,"")</f>
        <v/>
      </c>
      <c r="K116" s="587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88" t="n"/>
      <c r="Z116" s="589" t="n"/>
      <c r="AA116" s="589" t="n"/>
      <c r="AB116" s="589" t="n"/>
      <c r="AC116" s="589" t="n">
        <v>0</v>
      </c>
      <c r="AD116" s="589" t="n">
        <v>0</v>
      </c>
      <c r="AE116" s="589" t="n">
        <v>0</v>
      </c>
      <c r="AF116" s="587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86">
        <f>_xludf.IFNA(_xlfn.XLOOKUP(C119,'00_SKU_Master'!$B$2:$B$378,'00_SKU_Master'!$F$2:$F$378,0)*Y119,"")</f>
        <v/>
      </c>
      <c r="E117" s="586">
        <f>_xludf.IFNA(_xlfn.XLOOKUP(C119,'00_SKU_Master'!$B$2:$B$378,'00_SKU_Master'!$F$2:$F$378,0)*Z119,"")</f>
        <v/>
      </c>
      <c r="F117" s="586">
        <f>_xludf.IFNA(_xlfn.XLOOKUP(C119,'00_SKU_Master'!$B$2:$B$378,'00_SKU_Master'!$F$2:$F$378,0)*AA119,"")</f>
        <v/>
      </c>
      <c r="G117" s="586">
        <f>_xludf.IFNA(_xlfn.XLOOKUP(C119,'00_SKU_Master'!$B$2:$B$378,'00_SKU_Master'!$F$2:$F$378,0)*AB119,"")</f>
        <v/>
      </c>
      <c r="H117" s="586">
        <f>_xludf.IFNA(_xlfn.XLOOKUP(C119,'00_SKU_Master'!$B$2:$B$378,'00_SKU_Master'!$F$2:$F$378,0)*AC119,"")</f>
        <v/>
      </c>
      <c r="I117" s="586">
        <f>_xludf.IFNA(_xlfn.XLOOKUP(C119,'00_SKU_Master'!$B$2:$B$378,'00_SKU_Master'!$F$2:$F$378,0)*AD119,"")</f>
        <v/>
      </c>
      <c r="J117" s="586">
        <f>_xludf.IFNA(_xlfn.XLOOKUP(C119,'00_SKU_Master'!$B$2:$B$378,'00_SKU_Master'!$F$2:$F$378,0)*AE119,"")</f>
        <v/>
      </c>
      <c r="K117" s="587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88" t="n"/>
      <c r="Z117" s="589" t="n"/>
      <c r="AA117" s="589" t="n"/>
      <c r="AB117" s="589" t="n"/>
      <c r="AC117" s="589" t="n">
        <v>0</v>
      </c>
      <c r="AD117" s="589" t="n">
        <v>0</v>
      </c>
      <c r="AE117" s="589" t="n">
        <v>0</v>
      </c>
      <c r="AF117" s="587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86">
        <f>_xludf.IFNA(_xlfn.XLOOKUP(C120,'00_SKU_Master'!$B$2:$B$378,'00_SKU_Master'!$F$2:$F$378,0)*Y120,"")</f>
        <v/>
      </c>
      <c r="E118" s="586">
        <f>_xludf.IFNA(_xlfn.XLOOKUP(C120,'00_SKU_Master'!$B$2:$B$378,'00_SKU_Master'!$F$2:$F$378,0)*Z120,"")</f>
        <v/>
      </c>
      <c r="F118" s="586">
        <f>_xludf.IFNA(_xlfn.XLOOKUP(C120,'00_SKU_Master'!$B$2:$B$378,'00_SKU_Master'!$F$2:$F$378,0)*AA120,"")</f>
        <v/>
      </c>
      <c r="G118" s="586">
        <f>_xludf.IFNA(_xlfn.XLOOKUP(C120,'00_SKU_Master'!$B$2:$B$378,'00_SKU_Master'!$F$2:$F$378,0)*AB120,"")</f>
        <v/>
      </c>
      <c r="H118" s="586">
        <f>_xludf.IFNA(_xlfn.XLOOKUP(C120,'00_SKU_Master'!$B$2:$B$378,'00_SKU_Master'!$F$2:$F$378,0)*AC120,"")</f>
        <v/>
      </c>
      <c r="I118" s="586">
        <f>_xludf.IFNA(_xlfn.XLOOKUP(C120,'00_SKU_Master'!$B$2:$B$378,'00_SKU_Master'!$F$2:$F$378,0)*AD120,"")</f>
        <v/>
      </c>
      <c r="J118" s="586">
        <f>_xludf.IFNA(_xlfn.XLOOKUP(C120,'00_SKU_Master'!$B$2:$B$378,'00_SKU_Master'!$F$2:$F$378,0)*AE120,"")</f>
        <v/>
      </c>
      <c r="K118" s="587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88" t="n"/>
      <c r="Z118" s="589" t="n"/>
      <c r="AA118" s="589" t="n"/>
      <c r="AB118" s="589" t="n"/>
      <c r="AC118" s="589" t="n">
        <v>0</v>
      </c>
      <c r="AD118" s="589" t="n">
        <v>0</v>
      </c>
      <c r="AE118" s="589" t="n">
        <v>0</v>
      </c>
      <c r="AF118" s="587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86">
        <f>_xludf.IFNA(_xlfn.XLOOKUP(C121,'00_SKU_Master'!$B$2:$B$378,'00_SKU_Master'!$F$2:$F$378,0)*Y121,"")</f>
        <v/>
      </c>
      <c r="E119" s="586">
        <f>_xludf.IFNA(_xlfn.XLOOKUP(C121,'00_SKU_Master'!$B$2:$B$378,'00_SKU_Master'!$F$2:$F$378,0)*Z121,"")</f>
        <v/>
      </c>
      <c r="F119" s="586">
        <f>_xludf.IFNA(_xlfn.XLOOKUP(C121,'00_SKU_Master'!$B$2:$B$378,'00_SKU_Master'!$F$2:$F$378,0)*AA121,"")</f>
        <v/>
      </c>
      <c r="G119" s="586">
        <f>_xludf.IFNA(_xlfn.XLOOKUP(C121,'00_SKU_Master'!$B$2:$B$378,'00_SKU_Master'!$F$2:$F$378,0)*AB121,"")</f>
        <v/>
      </c>
      <c r="H119" s="586">
        <f>_xludf.IFNA(_xlfn.XLOOKUP(C121,'00_SKU_Master'!$B$2:$B$378,'00_SKU_Master'!$F$2:$F$378,0)*AC121,"")</f>
        <v/>
      </c>
      <c r="I119" s="586">
        <f>_xludf.IFNA(_xlfn.XLOOKUP(C121,'00_SKU_Master'!$B$2:$B$378,'00_SKU_Master'!$F$2:$F$378,0)*AD121,"")</f>
        <v/>
      </c>
      <c r="J119" s="586">
        <f>_xludf.IFNA(_xlfn.XLOOKUP(C121,'00_SKU_Master'!$B$2:$B$378,'00_SKU_Master'!$F$2:$F$378,0)*AE121,"")</f>
        <v/>
      </c>
      <c r="K119" s="587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88" t="n"/>
      <c r="Z119" s="589" t="n"/>
      <c r="AA119" s="589" t="n"/>
      <c r="AB119" s="589" t="n"/>
      <c r="AC119" s="589" t="n">
        <v>0</v>
      </c>
      <c r="AD119" s="589" t="n">
        <v>0</v>
      </c>
      <c r="AE119" s="589" t="n">
        <v>0</v>
      </c>
      <c r="AF119" s="587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86">
        <f>_xludf.IFNA(_xlfn.XLOOKUP(C122,'00_SKU_Master'!$B$2:$B$378,'00_SKU_Master'!$F$2:$F$378,0)*Y122,"")</f>
        <v/>
      </c>
      <c r="E120" s="586">
        <f>_xludf.IFNA(_xlfn.XLOOKUP(C122,'00_SKU_Master'!$B$2:$B$378,'00_SKU_Master'!$F$2:$F$378,0)*Z122,"")</f>
        <v/>
      </c>
      <c r="F120" s="586">
        <f>_xludf.IFNA(_xlfn.XLOOKUP(C122,'00_SKU_Master'!$B$2:$B$378,'00_SKU_Master'!$F$2:$F$378,0)*AA122,"")</f>
        <v/>
      </c>
      <c r="G120" s="586">
        <f>_xludf.IFNA(_xlfn.XLOOKUP(C122,'00_SKU_Master'!$B$2:$B$378,'00_SKU_Master'!$F$2:$F$378,0)*AB122,"")</f>
        <v/>
      </c>
      <c r="H120" s="586">
        <f>_xludf.IFNA(_xlfn.XLOOKUP(C122,'00_SKU_Master'!$B$2:$B$378,'00_SKU_Master'!$F$2:$F$378,0)*AC122,"")</f>
        <v/>
      </c>
      <c r="I120" s="586">
        <f>_xludf.IFNA(_xlfn.XLOOKUP(C122,'00_SKU_Master'!$B$2:$B$378,'00_SKU_Master'!$F$2:$F$378,0)*AD122,"")</f>
        <v/>
      </c>
      <c r="J120" s="586">
        <f>_xludf.IFNA(_xlfn.XLOOKUP(C122,'00_SKU_Master'!$B$2:$B$378,'00_SKU_Master'!$F$2:$F$378,0)*AE122,"")</f>
        <v/>
      </c>
      <c r="K120" s="587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88" t="n"/>
      <c r="Z120" s="589" t="n"/>
      <c r="AA120" s="589" t="n"/>
      <c r="AB120" s="589" t="n"/>
      <c r="AC120" s="589" t="n">
        <v>0</v>
      </c>
      <c r="AD120" s="589" t="n">
        <v>0</v>
      </c>
      <c r="AE120" s="589" t="n">
        <v>0</v>
      </c>
      <c r="AF120" s="587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86">
        <f>_xludf.IFNA(_xlfn.XLOOKUP(C123,'00_SKU_Master'!$B$2:$B$378,'00_SKU_Master'!$F$2:$F$378,0)*Y123,"")</f>
        <v/>
      </c>
      <c r="E121" s="586">
        <f>_xludf.IFNA(_xlfn.XLOOKUP(C123,'00_SKU_Master'!$B$2:$B$378,'00_SKU_Master'!$F$2:$F$378,0)*Z123,"")</f>
        <v/>
      </c>
      <c r="F121" s="586">
        <f>_xludf.IFNA(_xlfn.XLOOKUP(C123,'00_SKU_Master'!$B$2:$B$378,'00_SKU_Master'!$F$2:$F$378,0)*AA123,"")</f>
        <v/>
      </c>
      <c r="G121" s="586">
        <f>_xludf.IFNA(_xlfn.XLOOKUP(C123,'00_SKU_Master'!$B$2:$B$378,'00_SKU_Master'!$F$2:$F$378,0)*AB123,"")</f>
        <v/>
      </c>
      <c r="H121" s="586">
        <f>_xludf.IFNA(_xlfn.XLOOKUP(C123,'00_SKU_Master'!$B$2:$B$378,'00_SKU_Master'!$F$2:$F$378,0)*AC123,"")</f>
        <v/>
      </c>
      <c r="I121" s="586">
        <f>_xludf.IFNA(_xlfn.XLOOKUP(C123,'00_SKU_Master'!$B$2:$B$378,'00_SKU_Master'!$F$2:$F$378,0)*AD123,"")</f>
        <v/>
      </c>
      <c r="J121" s="586">
        <f>_xludf.IFNA(_xlfn.XLOOKUP(C123,'00_SKU_Master'!$B$2:$B$378,'00_SKU_Master'!$F$2:$F$378,0)*AE123,"")</f>
        <v/>
      </c>
      <c r="K121" s="587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88" t="n"/>
      <c r="Z121" s="589" t="n"/>
      <c r="AA121" s="589" t="n"/>
      <c r="AB121" s="589" t="n"/>
      <c r="AC121" s="589" t="n">
        <v>0</v>
      </c>
      <c r="AD121" s="589" t="n">
        <v>0</v>
      </c>
      <c r="AE121" s="589" t="n">
        <v>0</v>
      </c>
      <c r="AF121" s="587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86">
        <f>_xludf.IFNA(_xlfn.XLOOKUP(C124,'00_SKU_Master'!$B$2:$B$378,'00_SKU_Master'!$F$2:$F$378,0)*Y124,"")</f>
        <v/>
      </c>
      <c r="E122" s="586">
        <f>_xludf.IFNA(_xlfn.XLOOKUP(C124,'00_SKU_Master'!$B$2:$B$378,'00_SKU_Master'!$F$2:$F$378,0)*Z124,"")</f>
        <v/>
      </c>
      <c r="F122" s="586">
        <f>_xludf.IFNA(_xlfn.XLOOKUP(C124,'00_SKU_Master'!$B$2:$B$378,'00_SKU_Master'!$F$2:$F$378,0)*AA124,"")</f>
        <v/>
      </c>
      <c r="G122" s="586">
        <f>_xludf.IFNA(_xlfn.XLOOKUP(C124,'00_SKU_Master'!$B$2:$B$378,'00_SKU_Master'!$F$2:$F$378,0)*AB124,"")</f>
        <v/>
      </c>
      <c r="H122" s="586">
        <f>_xludf.IFNA(_xlfn.XLOOKUP(C124,'00_SKU_Master'!$B$2:$B$378,'00_SKU_Master'!$F$2:$F$378,0)*AC124,"")</f>
        <v/>
      </c>
      <c r="I122" s="586">
        <f>_xludf.IFNA(_xlfn.XLOOKUP(C124,'00_SKU_Master'!$B$2:$B$378,'00_SKU_Master'!$F$2:$F$378,0)*AD124,"")</f>
        <v/>
      </c>
      <c r="J122" s="586">
        <f>_xludf.IFNA(_xlfn.XLOOKUP(C124,'00_SKU_Master'!$B$2:$B$378,'00_SKU_Master'!$F$2:$F$378,0)*AE124,"")</f>
        <v/>
      </c>
      <c r="K122" s="587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88" t="n"/>
      <c r="Z122" s="589" t="n"/>
      <c r="AA122" s="589" t="n"/>
      <c r="AB122" s="589" t="n"/>
      <c r="AC122" s="589" t="n">
        <v>0</v>
      </c>
      <c r="AD122" s="589" t="n">
        <v>0</v>
      </c>
      <c r="AE122" s="589" t="n">
        <v>0</v>
      </c>
      <c r="AF122" s="587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86">
        <f>_xludf.IFNA(_xlfn.XLOOKUP(C125,'00_SKU_Master'!$B$2:$B$378,'00_SKU_Master'!$F$2:$F$378,0)*Y125,"")</f>
        <v/>
      </c>
      <c r="E123" s="586">
        <f>_xludf.IFNA(_xlfn.XLOOKUP(C125,'00_SKU_Master'!$B$2:$B$378,'00_SKU_Master'!$F$2:$F$378,0)*Z125,"")</f>
        <v/>
      </c>
      <c r="F123" s="586">
        <f>_xludf.IFNA(_xlfn.XLOOKUP(C125,'00_SKU_Master'!$B$2:$B$378,'00_SKU_Master'!$F$2:$F$378,0)*AA125,"")</f>
        <v/>
      </c>
      <c r="G123" s="586">
        <f>_xludf.IFNA(_xlfn.XLOOKUP(C125,'00_SKU_Master'!$B$2:$B$378,'00_SKU_Master'!$F$2:$F$378,0)*AB125,"")</f>
        <v/>
      </c>
      <c r="H123" s="586">
        <f>_xludf.IFNA(_xlfn.XLOOKUP(C125,'00_SKU_Master'!$B$2:$B$378,'00_SKU_Master'!$F$2:$F$378,0)*AC125,"")</f>
        <v/>
      </c>
      <c r="I123" s="586">
        <f>_xludf.IFNA(_xlfn.XLOOKUP(C125,'00_SKU_Master'!$B$2:$B$378,'00_SKU_Master'!$F$2:$F$378,0)*AD125,"")</f>
        <v/>
      </c>
      <c r="J123" s="586">
        <f>_xludf.IFNA(_xlfn.XLOOKUP(C125,'00_SKU_Master'!$B$2:$B$378,'00_SKU_Master'!$F$2:$F$378,0)*AE125,"")</f>
        <v/>
      </c>
      <c r="K123" s="587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88" t="n"/>
      <c r="Z123" s="589" t="n"/>
      <c r="AA123" s="589" t="n"/>
      <c r="AB123" s="589" t="n"/>
      <c r="AC123" s="589" t="n">
        <v>0</v>
      </c>
      <c r="AD123" s="589" t="n">
        <v>0</v>
      </c>
      <c r="AE123" s="589" t="n">
        <v>0</v>
      </c>
      <c r="AF123" s="587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86">
        <f>_xludf.IFNA(_xlfn.XLOOKUP(C126,'00_SKU_Master'!$B$2:$B$378,'00_SKU_Master'!$F$2:$F$378,0)*Y126,"")</f>
        <v/>
      </c>
      <c r="E124" s="586">
        <f>_xludf.IFNA(_xlfn.XLOOKUP(C126,'00_SKU_Master'!$B$2:$B$378,'00_SKU_Master'!$F$2:$F$378,0)*Z126,"")</f>
        <v/>
      </c>
      <c r="F124" s="586">
        <f>_xludf.IFNA(_xlfn.XLOOKUP(C126,'00_SKU_Master'!$B$2:$B$378,'00_SKU_Master'!$F$2:$F$378,0)*AA126,"")</f>
        <v/>
      </c>
      <c r="G124" s="586">
        <f>_xludf.IFNA(_xlfn.XLOOKUP(C126,'00_SKU_Master'!$B$2:$B$378,'00_SKU_Master'!$F$2:$F$378,0)*AB126,"")</f>
        <v/>
      </c>
      <c r="H124" s="586">
        <f>_xludf.IFNA(_xlfn.XLOOKUP(C126,'00_SKU_Master'!$B$2:$B$378,'00_SKU_Master'!$F$2:$F$378,0)*AC126,"")</f>
        <v/>
      </c>
      <c r="I124" s="586">
        <f>_xludf.IFNA(_xlfn.XLOOKUP(C126,'00_SKU_Master'!$B$2:$B$378,'00_SKU_Master'!$F$2:$F$378,0)*AD126,"")</f>
        <v/>
      </c>
      <c r="J124" s="586">
        <f>_xludf.IFNA(_xlfn.XLOOKUP(C126,'00_SKU_Master'!$B$2:$B$378,'00_SKU_Master'!$F$2:$F$378,0)*AE126,"")</f>
        <v/>
      </c>
      <c r="K124" s="587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88" t="n"/>
      <c r="Z124" s="589" t="n"/>
      <c r="AA124" s="589" t="n"/>
      <c r="AB124" s="589" t="n"/>
      <c r="AC124" s="589" t="n">
        <v>0</v>
      </c>
      <c r="AD124" s="589" t="n">
        <v>0</v>
      </c>
      <c r="AE124" s="589" t="n">
        <v>0</v>
      </c>
      <c r="AF124" s="587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86">
        <f>_xludf.IFNA(_xlfn.XLOOKUP(C127,'00_SKU_Master'!$B$2:$B$378,'00_SKU_Master'!$F$2:$F$378,0)*Y127,"")</f>
        <v/>
      </c>
      <c r="E125" s="586">
        <f>_xludf.IFNA(_xlfn.XLOOKUP(C127,'00_SKU_Master'!$B$2:$B$378,'00_SKU_Master'!$F$2:$F$378,0)*Z127,"")</f>
        <v/>
      </c>
      <c r="F125" s="586">
        <f>_xludf.IFNA(_xlfn.XLOOKUP(C127,'00_SKU_Master'!$B$2:$B$378,'00_SKU_Master'!$F$2:$F$378,0)*AA127,"")</f>
        <v/>
      </c>
      <c r="G125" s="586">
        <f>_xludf.IFNA(_xlfn.XLOOKUP(C127,'00_SKU_Master'!$B$2:$B$378,'00_SKU_Master'!$F$2:$F$378,0)*AB127,"")</f>
        <v/>
      </c>
      <c r="H125" s="586">
        <f>_xludf.IFNA(_xlfn.XLOOKUP(C127,'00_SKU_Master'!$B$2:$B$378,'00_SKU_Master'!$F$2:$F$378,0)*AC127,"")</f>
        <v/>
      </c>
      <c r="I125" s="586">
        <f>_xludf.IFNA(_xlfn.XLOOKUP(C127,'00_SKU_Master'!$B$2:$B$378,'00_SKU_Master'!$F$2:$F$378,0)*AD127,"")</f>
        <v/>
      </c>
      <c r="J125" s="586">
        <f>_xludf.IFNA(_xlfn.XLOOKUP(C127,'00_SKU_Master'!$B$2:$B$378,'00_SKU_Master'!$F$2:$F$378,0)*AE127,"")</f>
        <v/>
      </c>
      <c r="K125" s="587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88" t="n"/>
      <c r="Z125" s="589" t="n"/>
      <c r="AA125" s="589" t="n"/>
      <c r="AB125" s="589" t="n"/>
      <c r="AC125" s="589" t="n">
        <v>0</v>
      </c>
      <c r="AD125" s="589" t="n">
        <v>0</v>
      </c>
      <c r="AE125" s="589" t="n">
        <v>0</v>
      </c>
      <c r="AF125" s="587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86">
        <f>_xludf.IFNA(_xlfn.XLOOKUP(C128,'00_SKU_Master'!$B$2:$B$378,'00_SKU_Master'!$F$2:$F$378,0)*Y128,"")</f>
        <v/>
      </c>
      <c r="E126" s="586">
        <f>_xludf.IFNA(_xlfn.XLOOKUP(C128,'00_SKU_Master'!$B$2:$B$378,'00_SKU_Master'!$F$2:$F$378,0)*Z128,"")</f>
        <v/>
      </c>
      <c r="F126" s="586">
        <f>_xludf.IFNA(_xlfn.XLOOKUP(C128,'00_SKU_Master'!$B$2:$B$378,'00_SKU_Master'!$F$2:$F$378,0)*AA128,"")</f>
        <v/>
      </c>
      <c r="G126" s="586">
        <f>_xludf.IFNA(_xlfn.XLOOKUP(C128,'00_SKU_Master'!$B$2:$B$378,'00_SKU_Master'!$F$2:$F$378,0)*AB128,"")</f>
        <v/>
      </c>
      <c r="H126" s="586">
        <f>_xludf.IFNA(_xlfn.XLOOKUP(C128,'00_SKU_Master'!$B$2:$B$378,'00_SKU_Master'!$F$2:$F$378,0)*AC128,"")</f>
        <v/>
      </c>
      <c r="I126" s="586">
        <f>_xludf.IFNA(_xlfn.XLOOKUP(C128,'00_SKU_Master'!$B$2:$B$378,'00_SKU_Master'!$F$2:$F$378,0)*AD128,"")</f>
        <v/>
      </c>
      <c r="J126" s="586">
        <f>_xludf.IFNA(_xlfn.XLOOKUP(C128,'00_SKU_Master'!$B$2:$B$378,'00_SKU_Master'!$F$2:$F$378,0)*AE128,"")</f>
        <v/>
      </c>
      <c r="K126" s="587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88" t="n"/>
      <c r="Z126" s="589" t="n"/>
      <c r="AA126" s="589" t="n"/>
      <c r="AB126" s="589" t="n"/>
      <c r="AC126" s="589" t="n">
        <v>0</v>
      </c>
      <c r="AD126" s="589" t="n">
        <v>0</v>
      </c>
      <c r="AE126" s="589" t="n">
        <v>0</v>
      </c>
      <c r="AF126" s="587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86">
        <f>_xludf.IFNA(_xlfn.XLOOKUP(C129,'00_SKU_Master'!$B$2:$B$378,'00_SKU_Master'!$F$2:$F$378,0)*Y129,"")</f>
        <v/>
      </c>
      <c r="E127" s="586">
        <f>_xludf.IFNA(_xlfn.XLOOKUP(C129,'00_SKU_Master'!$B$2:$B$378,'00_SKU_Master'!$F$2:$F$378,0)*Z129,"")</f>
        <v/>
      </c>
      <c r="F127" s="586">
        <f>_xludf.IFNA(_xlfn.XLOOKUP(C129,'00_SKU_Master'!$B$2:$B$378,'00_SKU_Master'!$F$2:$F$378,0)*AA129,"")</f>
        <v/>
      </c>
      <c r="G127" s="586">
        <f>_xludf.IFNA(_xlfn.XLOOKUP(C129,'00_SKU_Master'!$B$2:$B$378,'00_SKU_Master'!$F$2:$F$378,0)*AB129,"")</f>
        <v/>
      </c>
      <c r="H127" s="586">
        <f>_xludf.IFNA(_xlfn.XLOOKUP(C129,'00_SKU_Master'!$B$2:$B$378,'00_SKU_Master'!$F$2:$F$378,0)*AC129,"")</f>
        <v/>
      </c>
      <c r="I127" s="586">
        <f>_xludf.IFNA(_xlfn.XLOOKUP(C129,'00_SKU_Master'!$B$2:$B$378,'00_SKU_Master'!$F$2:$F$378,0)*AD129,"")</f>
        <v/>
      </c>
      <c r="J127" s="586">
        <f>_xludf.IFNA(_xlfn.XLOOKUP(C129,'00_SKU_Master'!$B$2:$B$378,'00_SKU_Master'!$F$2:$F$378,0)*AE129,"")</f>
        <v/>
      </c>
      <c r="K127" s="587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88" t="n"/>
      <c r="Z127" s="589" t="n"/>
      <c r="AA127" s="589" t="n"/>
      <c r="AB127" s="589" t="n"/>
      <c r="AC127" s="589" t="n">
        <v>0</v>
      </c>
      <c r="AD127" s="589" t="n">
        <v>0</v>
      </c>
      <c r="AE127" s="589" t="n">
        <v>0</v>
      </c>
      <c r="AF127" s="587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86">
        <f>_xludf.IFNA(_xlfn.XLOOKUP(C130,'00_SKU_Master'!$B$2:$B$378,'00_SKU_Master'!$F$2:$F$378,0)*Y130,"")</f>
        <v/>
      </c>
      <c r="E128" s="586">
        <f>_xludf.IFNA(_xlfn.XLOOKUP(C130,'00_SKU_Master'!$B$2:$B$378,'00_SKU_Master'!$F$2:$F$378,0)*Z130,"")</f>
        <v/>
      </c>
      <c r="F128" s="586">
        <f>_xludf.IFNA(_xlfn.XLOOKUP(C130,'00_SKU_Master'!$B$2:$B$378,'00_SKU_Master'!$F$2:$F$378,0)*AA130,"")</f>
        <v/>
      </c>
      <c r="G128" s="586">
        <f>_xludf.IFNA(_xlfn.XLOOKUP(C130,'00_SKU_Master'!$B$2:$B$378,'00_SKU_Master'!$F$2:$F$378,0)*AB130,"")</f>
        <v/>
      </c>
      <c r="H128" s="586">
        <f>_xludf.IFNA(_xlfn.XLOOKUP(C130,'00_SKU_Master'!$B$2:$B$378,'00_SKU_Master'!$F$2:$F$378,0)*AC130,"")</f>
        <v/>
      </c>
      <c r="I128" s="586">
        <f>_xludf.IFNA(_xlfn.XLOOKUP(C130,'00_SKU_Master'!$B$2:$B$378,'00_SKU_Master'!$F$2:$F$378,0)*AD130,"")</f>
        <v/>
      </c>
      <c r="J128" s="586">
        <f>_xludf.IFNA(_xlfn.XLOOKUP(C130,'00_SKU_Master'!$B$2:$B$378,'00_SKU_Master'!$F$2:$F$378,0)*AE130,"")</f>
        <v/>
      </c>
      <c r="K128" s="587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88" t="n"/>
      <c r="Z128" s="589" t="n"/>
      <c r="AA128" s="589" t="n"/>
      <c r="AB128" s="589" t="n"/>
      <c r="AC128" s="589" t="n">
        <v>0</v>
      </c>
      <c r="AD128" s="589" t="n">
        <v>0</v>
      </c>
      <c r="AE128" s="589" t="n">
        <v>0</v>
      </c>
      <c r="AF128" s="587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86">
        <f>_xludf.IFNA(_xlfn.XLOOKUP(C131,'00_SKU_Master'!$B$2:$B$378,'00_SKU_Master'!$F$2:$F$378,0)*Y131,"")</f>
        <v/>
      </c>
      <c r="E129" s="586">
        <f>_xludf.IFNA(_xlfn.XLOOKUP(C131,'00_SKU_Master'!$B$2:$B$378,'00_SKU_Master'!$F$2:$F$378,0)*Z131,"")</f>
        <v/>
      </c>
      <c r="F129" s="586">
        <f>_xludf.IFNA(_xlfn.XLOOKUP(C131,'00_SKU_Master'!$B$2:$B$378,'00_SKU_Master'!$F$2:$F$378,0)*AA131,"")</f>
        <v/>
      </c>
      <c r="G129" s="586">
        <f>_xludf.IFNA(_xlfn.XLOOKUP(C131,'00_SKU_Master'!$B$2:$B$378,'00_SKU_Master'!$F$2:$F$378,0)*AB131,"")</f>
        <v/>
      </c>
      <c r="H129" s="586">
        <f>_xludf.IFNA(_xlfn.XLOOKUP(C131,'00_SKU_Master'!$B$2:$B$378,'00_SKU_Master'!$F$2:$F$378,0)*AC131,"")</f>
        <v/>
      </c>
      <c r="I129" s="586">
        <f>_xludf.IFNA(_xlfn.XLOOKUP(C131,'00_SKU_Master'!$B$2:$B$378,'00_SKU_Master'!$F$2:$F$378,0)*AD131,"")</f>
        <v/>
      </c>
      <c r="J129" s="586">
        <f>_xludf.IFNA(_xlfn.XLOOKUP(C131,'00_SKU_Master'!$B$2:$B$378,'00_SKU_Master'!$F$2:$F$378,0)*AE131,"")</f>
        <v/>
      </c>
      <c r="K129" s="587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88" t="n"/>
      <c r="Z129" s="589" t="n"/>
      <c r="AA129" s="589" t="n"/>
      <c r="AB129" s="589" t="n"/>
      <c r="AC129" s="589" t="n">
        <v>0</v>
      </c>
      <c r="AD129" s="589" t="n">
        <v>0</v>
      </c>
      <c r="AE129" s="589" t="n">
        <v>0</v>
      </c>
      <c r="AF129" s="587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86">
        <f>_xludf.IFNA(_xlfn.XLOOKUP(C132,'00_SKU_Master'!$B$2:$B$378,'00_SKU_Master'!$F$2:$F$378,0)*Y132,"")</f>
        <v/>
      </c>
      <c r="E130" s="586">
        <f>_xludf.IFNA(_xlfn.XLOOKUP(C132,'00_SKU_Master'!$B$2:$B$378,'00_SKU_Master'!$F$2:$F$378,0)*Z132,"")</f>
        <v/>
      </c>
      <c r="F130" s="586">
        <f>_xludf.IFNA(_xlfn.XLOOKUP(C132,'00_SKU_Master'!$B$2:$B$378,'00_SKU_Master'!$F$2:$F$378,0)*AA132,"")</f>
        <v/>
      </c>
      <c r="G130" s="586">
        <f>_xludf.IFNA(_xlfn.XLOOKUP(C132,'00_SKU_Master'!$B$2:$B$378,'00_SKU_Master'!$F$2:$F$378,0)*AB132,"")</f>
        <v/>
      </c>
      <c r="H130" s="586">
        <f>_xludf.IFNA(_xlfn.XLOOKUP(C132,'00_SKU_Master'!$B$2:$B$378,'00_SKU_Master'!$F$2:$F$378,0)*AC132,"")</f>
        <v/>
      </c>
      <c r="I130" s="586">
        <f>_xludf.IFNA(_xlfn.XLOOKUP(C132,'00_SKU_Master'!$B$2:$B$378,'00_SKU_Master'!$F$2:$F$378,0)*AD132,"")</f>
        <v/>
      </c>
      <c r="J130" s="586">
        <f>_xludf.IFNA(_xlfn.XLOOKUP(C132,'00_SKU_Master'!$B$2:$B$378,'00_SKU_Master'!$F$2:$F$378,0)*AE132,"")</f>
        <v/>
      </c>
      <c r="K130" s="587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88" t="n"/>
      <c r="Z130" s="589" t="n"/>
      <c r="AA130" s="589" t="n"/>
      <c r="AB130" s="589" t="n"/>
      <c r="AC130" s="589" t="n">
        <v>0</v>
      </c>
      <c r="AD130" s="589" t="n">
        <v>0</v>
      </c>
      <c r="AE130" s="589" t="n">
        <v>0</v>
      </c>
      <c r="AF130" s="587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86">
        <f>_xludf.IFNA(_xlfn.XLOOKUP(C133,'00_SKU_Master'!$B$2:$B$378,'00_SKU_Master'!$F$2:$F$378,0)*Y133,"")</f>
        <v/>
      </c>
      <c r="E131" s="586">
        <f>_xludf.IFNA(_xlfn.XLOOKUP(C133,'00_SKU_Master'!$B$2:$B$378,'00_SKU_Master'!$F$2:$F$378,0)*Z133,"")</f>
        <v/>
      </c>
      <c r="F131" s="586">
        <f>_xludf.IFNA(_xlfn.XLOOKUP(C133,'00_SKU_Master'!$B$2:$B$378,'00_SKU_Master'!$F$2:$F$378,0)*AA133,"")</f>
        <v/>
      </c>
      <c r="G131" s="586">
        <f>_xludf.IFNA(_xlfn.XLOOKUP(C133,'00_SKU_Master'!$B$2:$B$378,'00_SKU_Master'!$F$2:$F$378,0)*AB133,"")</f>
        <v/>
      </c>
      <c r="H131" s="586">
        <f>_xludf.IFNA(_xlfn.XLOOKUP(C133,'00_SKU_Master'!$B$2:$B$378,'00_SKU_Master'!$F$2:$F$378,0)*AC133,"")</f>
        <v/>
      </c>
      <c r="I131" s="586">
        <f>_xludf.IFNA(_xlfn.XLOOKUP(C133,'00_SKU_Master'!$B$2:$B$378,'00_SKU_Master'!$F$2:$F$378,0)*AD133,"")</f>
        <v/>
      </c>
      <c r="J131" s="586">
        <f>_xludf.IFNA(_xlfn.XLOOKUP(C133,'00_SKU_Master'!$B$2:$B$378,'00_SKU_Master'!$F$2:$F$378,0)*AE133,"")</f>
        <v/>
      </c>
      <c r="K131" s="587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88" t="n"/>
      <c r="Z131" s="589" t="n"/>
      <c r="AA131" s="589" t="n"/>
      <c r="AB131" s="589" t="n"/>
      <c r="AC131" s="589" t="n">
        <v>0</v>
      </c>
      <c r="AD131" s="589" t="n">
        <v>0</v>
      </c>
      <c r="AE131" s="589" t="n">
        <v>0</v>
      </c>
      <c r="AF131" s="587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86">
        <f>_xludf.IFNA(_xlfn.XLOOKUP(C134,'00_SKU_Master'!$B$2:$B$378,'00_SKU_Master'!$F$2:$F$378,0)*Y134,"")</f>
        <v/>
      </c>
      <c r="E132" s="586">
        <f>_xludf.IFNA(_xlfn.XLOOKUP(C134,'00_SKU_Master'!$B$2:$B$378,'00_SKU_Master'!$F$2:$F$378,0)*Z134,"")</f>
        <v/>
      </c>
      <c r="F132" s="586">
        <f>_xludf.IFNA(_xlfn.XLOOKUP(C134,'00_SKU_Master'!$B$2:$B$378,'00_SKU_Master'!$F$2:$F$378,0)*AA134,"")</f>
        <v/>
      </c>
      <c r="G132" s="586">
        <f>_xludf.IFNA(_xlfn.XLOOKUP(C134,'00_SKU_Master'!$B$2:$B$378,'00_SKU_Master'!$F$2:$F$378,0)*AB134,"")</f>
        <v/>
      </c>
      <c r="H132" s="586">
        <f>_xludf.IFNA(_xlfn.XLOOKUP(C134,'00_SKU_Master'!$B$2:$B$378,'00_SKU_Master'!$F$2:$F$378,0)*AC134,"")</f>
        <v/>
      </c>
      <c r="I132" s="586">
        <f>_xludf.IFNA(_xlfn.XLOOKUP(C134,'00_SKU_Master'!$B$2:$B$378,'00_SKU_Master'!$F$2:$F$378,0)*AD134,"")</f>
        <v/>
      </c>
      <c r="J132" s="586">
        <f>_xludf.IFNA(_xlfn.XLOOKUP(C134,'00_SKU_Master'!$B$2:$B$378,'00_SKU_Master'!$F$2:$F$378,0)*AE134,"")</f>
        <v/>
      </c>
      <c r="K132" s="587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88" t="n"/>
      <c r="Z132" s="589" t="n"/>
      <c r="AA132" s="589" t="n"/>
      <c r="AB132" s="589" t="n"/>
      <c r="AC132" s="589" t="n">
        <v>0</v>
      </c>
      <c r="AD132" s="589" t="n">
        <v>0</v>
      </c>
      <c r="AE132" s="589" t="n">
        <v>0</v>
      </c>
      <c r="AF132" s="587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86">
        <f>_xludf.IFNA(_xlfn.XLOOKUP(C135,'00_SKU_Master'!$B$2:$B$378,'00_SKU_Master'!$F$2:$F$378,0)*Y135,"")</f>
        <v/>
      </c>
      <c r="E133" s="586">
        <f>_xludf.IFNA(_xlfn.XLOOKUP(C135,'00_SKU_Master'!$B$2:$B$378,'00_SKU_Master'!$F$2:$F$378,0)*Z135,"")</f>
        <v/>
      </c>
      <c r="F133" s="586">
        <f>_xludf.IFNA(_xlfn.XLOOKUP(C135,'00_SKU_Master'!$B$2:$B$378,'00_SKU_Master'!$F$2:$F$378,0)*AA135,"")</f>
        <v/>
      </c>
      <c r="G133" s="586">
        <f>_xludf.IFNA(_xlfn.XLOOKUP(C135,'00_SKU_Master'!$B$2:$B$378,'00_SKU_Master'!$F$2:$F$378,0)*AB135,"")</f>
        <v/>
      </c>
      <c r="H133" s="586">
        <f>_xludf.IFNA(_xlfn.XLOOKUP(C135,'00_SKU_Master'!$B$2:$B$378,'00_SKU_Master'!$F$2:$F$378,0)*AC135,"")</f>
        <v/>
      </c>
      <c r="I133" s="586">
        <f>_xludf.IFNA(_xlfn.XLOOKUP(C135,'00_SKU_Master'!$B$2:$B$378,'00_SKU_Master'!$F$2:$F$378,0)*AD135,"")</f>
        <v/>
      </c>
      <c r="J133" s="586">
        <f>_xludf.IFNA(_xlfn.XLOOKUP(C135,'00_SKU_Master'!$B$2:$B$378,'00_SKU_Master'!$F$2:$F$378,0)*AE135,"")</f>
        <v/>
      </c>
      <c r="K133" s="587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88" t="n"/>
      <c r="Z133" s="589" t="n"/>
      <c r="AA133" s="589" t="n"/>
      <c r="AB133" s="589" t="n"/>
      <c r="AC133" s="589" t="n">
        <v>0</v>
      </c>
      <c r="AD133" s="589" t="n">
        <v>0</v>
      </c>
      <c r="AE133" s="589" t="n">
        <v>0</v>
      </c>
      <c r="AF133" s="587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86">
        <f>_xludf.IFNA(_xlfn.XLOOKUP(C136,'00_SKU_Master'!$B$2:$B$378,'00_SKU_Master'!$F$2:$F$378,0)*Y136,"")</f>
        <v/>
      </c>
      <c r="E134" s="586">
        <f>_xludf.IFNA(_xlfn.XLOOKUP(C136,'00_SKU_Master'!$B$2:$B$378,'00_SKU_Master'!$F$2:$F$378,0)*Z136,"")</f>
        <v/>
      </c>
      <c r="F134" s="586">
        <f>_xludf.IFNA(_xlfn.XLOOKUP(C136,'00_SKU_Master'!$B$2:$B$378,'00_SKU_Master'!$F$2:$F$378,0)*AA136,"")</f>
        <v/>
      </c>
      <c r="G134" s="586">
        <f>_xludf.IFNA(_xlfn.XLOOKUP(C136,'00_SKU_Master'!$B$2:$B$378,'00_SKU_Master'!$F$2:$F$378,0)*AB136,"")</f>
        <v/>
      </c>
      <c r="H134" s="586">
        <f>_xludf.IFNA(_xlfn.XLOOKUP(C136,'00_SKU_Master'!$B$2:$B$378,'00_SKU_Master'!$F$2:$F$378,0)*AC136,"")</f>
        <v/>
      </c>
      <c r="I134" s="586">
        <f>_xludf.IFNA(_xlfn.XLOOKUP(C136,'00_SKU_Master'!$B$2:$B$378,'00_SKU_Master'!$F$2:$F$378,0)*AD136,"")</f>
        <v/>
      </c>
      <c r="J134" s="586">
        <f>_xludf.IFNA(_xlfn.XLOOKUP(C136,'00_SKU_Master'!$B$2:$B$378,'00_SKU_Master'!$F$2:$F$378,0)*AE136,"")</f>
        <v/>
      </c>
      <c r="K134" s="587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88" t="n"/>
      <c r="Z134" s="589" t="n"/>
      <c r="AA134" s="589" t="n"/>
      <c r="AB134" s="589" t="n"/>
      <c r="AC134" s="589" t="n">
        <v>0</v>
      </c>
      <c r="AD134" s="589" t="n">
        <v>0</v>
      </c>
      <c r="AE134" s="589" t="n">
        <v>0</v>
      </c>
      <c r="AF134" s="587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86">
        <f>_xludf.IFNA(_xlfn.XLOOKUP(C137,'00_SKU_Master'!$B$2:$B$378,'00_SKU_Master'!$F$2:$F$378,0)*Y137,"")</f>
        <v/>
      </c>
      <c r="E135" s="586">
        <f>_xludf.IFNA(_xlfn.XLOOKUP(C137,'00_SKU_Master'!$B$2:$B$378,'00_SKU_Master'!$F$2:$F$378,0)*Z137,"")</f>
        <v/>
      </c>
      <c r="F135" s="586">
        <f>_xludf.IFNA(_xlfn.XLOOKUP(C137,'00_SKU_Master'!$B$2:$B$378,'00_SKU_Master'!$F$2:$F$378,0)*AA137,"")</f>
        <v/>
      </c>
      <c r="G135" s="586">
        <f>_xludf.IFNA(_xlfn.XLOOKUP(C137,'00_SKU_Master'!$B$2:$B$378,'00_SKU_Master'!$F$2:$F$378,0)*AB137,"")</f>
        <v/>
      </c>
      <c r="H135" s="586">
        <f>_xludf.IFNA(_xlfn.XLOOKUP(C137,'00_SKU_Master'!$B$2:$B$378,'00_SKU_Master'!$F$2:$F$378,0)*AC137,"")</f>
        <v/>
      </c>
      <c r="I135" s="586">
        <f>_xludf.IFNA(_xlfn.XLOOKUP(C137,'00_SKU_Master'!$B$2:$B$378,'00_SKU_Master'!$F$2:$F$378,0)*AD137,"")</f>
        <v/>
      </c>
      <c r="J135" s="586">
        <f>_xludf.IFNA(_xlfn.XLOOKUP(C137,'00_SKU_Master'!$B$2:$B$378,'00_SKU_Master'!$F$2:$F$378,0)*AE137,"")</f>
        <v/>
      </c>
      <c r="K135" s="587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88" t="n"/>
      <c r="Z135" s="589" t="n"/>
      <c r="AA135" s="589" t="n"/>
      <c r="AB135" s="589" t="n"/>
      <c r="AC135" s="589" t="n">
        <v>0</v>
      </c>
      <c r="AD135" s="589" t="n">
        <v>0</v>
      </c>
      <c r="AE135" s="589" t="n">
        <v>0</v>
      </c>
      <c r="AF135" s="587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86">
        <f>_xludf.IFNA(_xlfn.XLOOKUP(C138,'00_SKU_Master'!$B$2:$B$378,'00_SKU_Master'!$F$2:$F$378,0)*Y138,"")</f>
        <v/>
      </c>
      <c r="E136" s="586">
        <f>_xludf.IFNA(_xlfn.XLOOKUP(C138,'00_SKU_Master'!$B$2:$B$378,'00_SKU_Master'!$F$2:$F$378,0)*Z138,"")</f>
        <v/>
      </c>
      <c r="F136" s="586">
        <f>_xludf.IFNA(_xlfn.XLOOKUP(C138,'00_SKU_Master'!$B$2:$B$378,'00_SKU_Master'!$F$2:$F$378,0)*AA138,"")</f>
        <v/>
      </c>
      <c r="G136" s="586">
        <f>_xludf.IFNA(_xlfn.XLOOKUP(C138,'00_SKU_Master'!$B$2:$B$378,'00_SKU_Master'!$F$2:$F$378,0)*AB138,"")</f>
        <v/>
      </c>
      <c r="H136" s="586">
        <f>_xludf.IFNA(_xlfn.XLOOKUP(C138,'00_SKU_Master'!$B$2:$B$378,'00_SKU_Master'!$F$2:$F$378,0)*AC138,"")</f>
        <v/>
      </c>
      <c r="I136" s="586">
        <f>_xludf.IFNA(_xlfn.XLOOKUP(C138,'00_SKU_Master'!$B$2:$B$378,'00_SKU_Master'!$F$2:$F$378,0)*AD138,"")</f>
        <v/>
      </c>
      <c r="J136" s="586">
        <f>_xludf.IFNA(_xlfn.XLOOKUP(C138,'00_SKU_Master'!$B$2:$B$378,'00_SKU_Master'!$F$2:$F$378,0)*AE138,"")</f>
        <v/>
      </c>
      <c r="K136" s="587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88" t="n"/>
      <c r="Z136" s="589" t="n"/>
      <c r="AA136" s="589" t="n"/>
      <c r="AB136" s="589" t="n"/>
      <c r="AC136" s="589" t="n">
        <v>0</v>
      </c>
      <c r="AD136" s="589" t="n">
        <v>0</v>
      </c>
      <c r="AE136" s="589" t="n">
        <v>0</v>
      </c>
      <c r="AF136" s="587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86">
        <f>_xludf.IFNA(_xlfn.XLOOKUP(C139,'00_SKU_Master'!$B$2:$B$378,'00_SKU_Master'!$F$2:$F$378,0)*Y139,"")</f>
        <v/>
      </c>
      <c r="E137" s="586">
        <f>_xludf.IFNA(_xlfn.XLOOKUP(C139,'00_SKU_Master'!$B$2:$B$378,'00_SKU_Master'!$F$2:$F$378,0)*Z139,"")</f>
        <v/>
      </c>
      <c r="F137" s="586">
        <f>_xludf.IFNA(_xlfn.XLOOKUP(C139,'00_SKU_Master'!$B$2:$B$378,'00_SKU_Master'!$F$2:$F$378,0)*AA139,"")</f>
        <v/>
      </c>
      <c r="G137" s="586">
        <f>_xludf.IFNA(_xlfn.XLOOKUP(C139,'00_SKU_Master'!$B$2:$B$378,'00_SKU_Master'!$F$2:$F$378,0)*AB139,"")</f>
        <v/>
      </c>
      <c r="H137" s="586">
        <f>_xludf.IFNA(_xlfn.XLOOKUP(C139,'00_SKU_Master'!$B$2:$B$378,'00_SKU_Master'!$F$2:$F$378,0)*AC139,"")</f>
        <v/>
      </c>
      <c r="I137" s="586">
        <f>_xludf.IFNA(_xlfn.XLOOKUP(C139,'00_SKU_Master'!$B$2:$B$378,'00_SKU_Master'!$F$2:$F$378,0)*AD139,"")</f>
        <v/>
      </c>
      <c r="J137" s="586">
        <f>_xludf.IFNA(_xlfn.XLOOKUP(C139,'00_SKU_Master'!$B$2:$B$378,'00_SKU_Master'!$F$2:$F$378,0)*AE139,"")</f>
        <v/>
      </c>
      <c r="K137" s="587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88" t="n"/>
      <c r="Z137" s="589" t="n"/>
      <c r="AA137" s="589" t="n"/>
      <c r="AB137" s="589" t="n"/>
      <c r="AC137" s="589" t="n">
        <v>0</v>
      </c>
      <c r="AD137" s="589" t="n">
        <v>0</v>
      </c>
      <c r="AE137" s="589" t="n">
        <v>0</v>
      </c>
      <c r="AF137" s="587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86">
        <f>_xludf.IFNA(_xlfn.XLOOKUP(C140,'00_SKU_Master'!$B$2:$B$378,'00_SKU_Master'!$F$2:$F$378,0)*Y140,"")</f>
        <v/>
      </c>
      <c r="E138" s="586">
        <f>_xludf.IFNA(_xlfn.XLOOKUP(C140,'00_SKU_Master'!$B$2:$B$378,'00_SKU_Master'!$F$2:$F$378,0)*Z140,"")</f>
        <v/>
      </c>
      <c r="F138" s="586">
        <f>_xludf.IFNA(_xlfn.XLOOKUP(C140,'00_SKU_Master'!$B$2:$B$378,'00_SKU_Master'!$F$2:$F$378,0)*AA140,"")</f>
        <v/>
      </c>
      <c r="G138" s="586">
        <f>_xludf.IFNA(_xlfn.XLOOKUP(C140,'00_SKU_Master'!$B$2:$B$378,'00_SKU_Master'!$F$2:$F$378,0)*AB140,"")</f>
        <v/>
      </c>
      <c r="H138" s="586">
        <f>_xludf.IFNA(_xlfn.XLOOKUP(C140,'00_SKU_Master'!$B$2:$B$378,'00_SKU_Master'!$F$2:$F$378,0)*AC140,"")</f>
        <v/>
      </c>
      <c r="I138" s="586">
        <f>_xludf.IFNA(_xlfn.XLOOKUP(C140,'00_SKU_Master'!$B$2:$B$378,'00_SKU_Master'!$F$2:$F$378,0)*AD140,"")</f>
        <v/>
      </c>
      <c r="J138" s="586">
        <f>_xludf.IFNA(_xlfn.XLOOKUP(C140,'00_SKU_Master'!$B$2:$B$378,'00_SKU_Master'!$F$2:$F$378,0)*AE140,"")</f>
        <v/>
      </c>
      <c r="K138" s="587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88" t="n"/>
      <c r="Z138" s="589" t="n"/>
      <c r="AA138" s="589" t="n"/>
      <c r="AB138" s="589" t="n"/>
      <c r="AC138" s="589" t="n">
        <v>0</v>
      </c>
      <c r="AD138" s="589" t="n">
        <v>0</v>
      </c>
      <c r="AE138" s="589" t="n">
        <v>0</v>
      </c>
      <c r="AF138" s="587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86">
        <f>_xludf.IFNA(_xlfn.XLOOKUP(C141,'00_SKU_Master'!$B$2:$B$378,'00_SKU_Master'!$F$2:$F$378,0)*Y141,"")</f>
        <v/>
      </c>
      <c r="E139" s="586">
        <f>_xludf.IFNA(_xlfn.XLOOKUP(C141,'00_SKU_Master'!$B$2:$B$378,'00_SKU_Master'!$F$2:$F$378,0)*Z141,"")</f>
        <v/>
      </c>
      <c r="F139" s="586">
        <f>_xludf.IFNA(_xlfn.XLOOKUP(C141,'00_SKU_Master'!$B$2:$B$378,'00_SKU_Master'!$F$2:$F$378,0)*AA141,"")</f>
        <v/>
      </c>
      <c r="G139" s="586">
        <f>_xludf.IFNA(_xlfn.XLOOKUP(C141,'00_SKU_Master'!$B$2:$B$378,'00_SKU_Master'!$F$2:$F$378,0)*AB141,"")</f>
        <v/>
      </c>
      <c r="H139" s="586">
        <f>_xludf.IFNA(_xlfn.XLOOKUP(C141,'00_SKU_Master'!$B$2:$B$378,'00_SKU_Master'!$F$2:$F$378,0)*AC141,"")</f>
        <v/>
      </c>
      <c r="I139" s="586">
        <f>_xludf.IFNA(_xlfn.XLOOKUP(C141,'00_SKU_Master'!$B$2:$B$378,'00_SKU_Master'!$F$2:$F$378,0)*AD141,"")</f>
        <v/>
      </c>
      <c r="J139" s="586">
        <f>_xludf.IFNA(_xlfn.XLOOKUP(C141,'00_SKU_Master'!$B$2:$B$378,'00_SKU_Master'!$F$2:$F$378,0)*AE141,"")</f>
        <v/>
      </c>
      <c r="K139" s="587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88" t="n"/>
      <c r="Z139" s="589" t="n"/>
      <c r="AA139" s="589" t="n"/>
      <c r="AB139" s="589" t="n"/>
      <c r="AC139" s="589" t="n">
        <v>0</v>
      </c>
      <c r="AD139" s="589" t="n">
        <v>0</v>
      </c>
      <c r="AE139" s="589" t="n">
        <v>0</v>
      </c>
      <c r="AF139" s="587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86">
        <f>_xludf.IFNA(_xlfn.XLOOKUP(C142,'00_SKU_Master'!$B$2:$B$378,'00_SKU_Master'!$F$2:$F$378,0)*Y142,"")</f>
        <v/>
      </c>
      <c r="E140" s="586">
        <f>_xludf.IFNA(_xlfn.XLOOKUP(C142,'00_SKU_Master'!$B$2:$B$378,'00_SKU_Master'!$F$2:$F$378,0)*Z142,"")</f>
        <v/>
      </c>
      <c r="F140" s="586">
        <f>_xludf.IFNA(_xlfn.XLOOKUP(C142,'00_SKU_Master'!$B$2:$B$378,'00_SKU_Master'!$F$2:$F$378,0)*AA142,"")</f>
        <v/>
      </c>
      <c r="G140" s="586">
        <f>_xludf.IFNA(_xlfn.XLOOKUP(C142,'00_SKU_Master'!$B$2:$B$378,'00_SKU_Master'!$F$2:$F$378,0)*AB142,"")</f>
        <v/>
      </c>
      <c r="H140" s="586">
        <f>_xludf.IFNA(_xlfn.XLOOKUP(C142,'00_SKU_Master'!$B$2:$B$378,'00_SKU_Master'!$F$2:$F$378,0)*AC142,"")</f>
        <v/>
      </c>
      <c r="I140" s="586">
        <f>_xludf.IFNA(_xlfn.XLOOKUP(C142,'00_SKU_Master'!$B$2:$B$378,'00_SKU_Master'!$F$2:$F$378,0)*AD142,"")</f>
        <v/>
      </c>
      <c r="J140" s="586">
        <f>_xludf.IFNA(_xlfn.XLOOKUP(C142,'00_SKU_Master'!$B$2:$B$378,'00_SKU_Master'!$F$2:$F$378,0)*AE142,"")</f>
        <v/>
      </c>
      <c r="K140" s="587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88" t="n"/>
      <c r="Z140" s="589" t="n"/>
      <c r="AA140" s="589" t="n"/>
      <c r="AB140" s="589" t="n"/>
      <c r="AC140" s="589" t="n">
        <v>0</v>
      </c>
      <c r="AD140" s="589" t="n">
        <v>0</v>
      </c>
      <c r="AE140" s="589" t="n">
        <v>0</v>
      </c>
      <c r="AF140" s="587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86">
        <f>_xludf.IFNA(_xlfn.XLOOKUP(C143,'00_SKU_Master'!$B$2:$B$378,'00_SKU_Master'!$F$2:$F$378,0)*Y143,"")</f>
        <v/>
      </c>
      <c r="E141" s="586">
        <f>_xludf.IFNA(_xlfn.XLOOKUP(C143,'00_SKU_Master'!$B$2:$B$378,'00_SKU_Master'!$F$2:$F$378,0)*Z143,"")</f>
        <v/>
      </c>
      <c r="F141" s="586">
        <f>_xludf.IFNA(_xlfn.XLOOKUP(C143,'00_SKU_Master'!$B$2:$B$378,'00_SKU_Master'!$F$2:$F$378,0)*AA143,"")</f>
        <v/>
      </c>
      <c r="G141" s="586">
        <f>_xludf.IFNA(_xlfn.XLOOKUP(C143,'00_SKU_Master'!$B$2:$B$378,'00_SKU_Master'!$F$2:$F$378,0)*AB143,"")</f>
        <v/>
      </c>
      <c r="H141" s="586">
        <f>_xludf.IFNA(_xlfn.XLOOKUP(C143,'00_SKU_Master'!$B$2:$B$378,'00_SKU_Master'!$F$2:$F$378,0)*AC143,"")</f>
        <v/>
      </c>
      <c r="I141" s="586">
        <f>_xludf.IFNA(_xlfn.XLOOKUP(C143,'00_SKU_Master'!$B$2:$B$378,'00_SKU_Master'!$F$2:$F$378,0)*AD143,"")</f>
        <v/>
      </c>
      <c r="J141" s="586">
        <f>_xludf.IFNA(_xlfn.XLOOKUP(C143,'00_SKU_Master'!$B$2:$B$378,'00_SKU_Master'!$F$2:$F$378,0)*AE143,"")</f>
        <v/>
      </c>
      <c r="K141" s="587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88" t="n"/>
      <c r="Z141" s="589" t="n"/>
      <c r="AA141" s="589" t="n"/>
      <c r="AB141" s="589" t="n"/>
      <c r="AC141" s="589" t="n">
        <v>0</v>
      </c>
      <c r="AD141" s="589" t="n">
        <v>0</v>
      </c>
      <c r="AE141" s="589" t="n">
        <v>0</v>
      </c>
      <c r="AF141" s="587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86">
        <f>_xludf.IFNA(_xlfn.XLOOKUP(C144,'00_SKU_Master'!$B$2:$B$378,'00_SKU_Master'!$F$2:$F$378,0)*Y144,"")</f>
        <v/>
      </c>
      <c r="E142" s="586">
        <f>_xludf.IFNA(_xlfn.XLOOKUP(C144,'00_SKU_Master'!$B$2:$B$378,'00_SKU_Master'!$F$2:$F$378,0)*Z144,"")</f>
        <v/>
      </c>
      <c r="F142" s="586">
        <f>_xludf.IFNA(_xlfn.XLOOKUP(C144,'00_SKU_Master'!$B$2:$B$378,'00_SKU_Master'!$F$2:$F$378,0)*AA144,"")</f>
        <v/>
      </c>
      <c r="G142" s="586">
        <f>_xludf.IFNA(_xlfn.XLOOKUP(C144,'00_SKU_Master'!$B$2:$B$378,'00_SKU_Master'!$F$2:$F$378,0)*AB144,"")</f>
        <v/>
      </c>
      <c r="H142" s="586">
        <f>_xludf.IFNA(_xlfn.XLOOKUP(C144,'00_SKU_Master'!$B$2:$B$378,'00_SKU_Master'!$F$2:$F$378,0)*AC144,"")</f>
        <v/>
      </c>
      <c r="I142" s="586">
        <f>_xludf.IFNA(_xlfn.XLOOKUP(C144,'00_SKU_Master'!$B$2:$B$378,'00_SKU_Master'!$F$2:$F$378,0)*AD144,"")</f>
        <v/>
      </c>
      <c r="J142" s="586">
        <f>_xludf.IFNA(_xlfn.XLOOKUP(C144,'00_SKU_Master'!$B$2:$B$378,'00_SKU_Master'!$F$2:$F$378,0)*AE144,"")</f>
        <v/>
      </c>
      <c r="K142" s="587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88" t="n"/>
      <c r="Z142" s="589" t="n"/>
      <c r="AA142" s="589" t="n"/>
      <c r="AB142" s="589" t="n"/>
      <c r="AC142" s="589" t="n">
        <v>0</v>
      </c>
      <c r="AD142" s="589" t="n">
        <v>0</v>
      </c>
      <c r="AE142" s="589" t="n">
        <v>0</v>
      </c>
      <c r="AF142" s="587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86">
        <f>_xludf.IFNA(_xlfn.XLOOKUP(C145,'00_SKU_Master'!$B$2:$B$378,'00_SKU_Master'!$F$2:$F$378,0)*Y145,"")</f>
        <v/>
      </c>
      <c r="E143" s="586">
        <f>_xludf.IFNA(_xlfn.XLOOKUP(C145,'00_SKU_Master'!$B$2:$B$378,'00_SKU_Master'!$F$2:$F$378,0)*Z145,"")</f>
        <v/>
      </c>
      <c r="F143" s="586">
        <f>_xludf.IFNA(_xlfn.XLOOKUP(C145,'00_SKU_Master'!$B$2:$B$378,'00_SKU_Master'!$F$2:$F$378,0)*AA145,"")</f>
        <v/>
      </c>
      <c r="G143" s="586">
        <f>_xludf.IFNA(_xlfn.XLOOKUP(C145,'00_SKU_Master'!$B$2:$B$378,'00_SKU_Master'!$F$2:$F$378,0)*AB145,"")</f>
        <v/>
      </c>
      <c r="H143" s="586">
        <f>_xludf.IFNA(_xlfn.XLOOKUP(C145,'00_SKU_Master'!$B$2:$B$378,'00_SKU_Master'!$F$2:$F$378,0)*AC145,"")</f>
        <v/>
      </c>
      <c r="I143" s="586">
        <f>_xludf.IFNA(_xlfn.XLOOKUP(C145,'00_SKU_Master'!$B$2:$B$378,'00_SKU_Master'!$F$2:$F$378,0)*AD145,"")</f>
        <v/>
      </c>
      <c r="J143" s="586">
        <f>_xludf.IFNA(_xlfn.XLOOKUP(C145,'00_SKU_Master'!$B$2:$B$378,'00_SKU_Master'!$F$2:$F$378,0)*AE145,"")</f>
        <v/>
      </c>
      <c r="K143" s="587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88" t="n"/>
      <c r="Z143" s="589" t="n"/>
      <c r="AA143" s="589" t="n"/>
      <c r="AB143" s="589" t="n"/>
      <c r="AC143" s="589" t="n">
        <v>0</v>
      </c>
      <c r="AD143" s="589" t="n">
        <v>0</v>
      </c>
      <c r="AE143" s="589" t="n">
        <v>0</v>
      </c>
      <c r="AF143" s="587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86">
        <f>_xludf.IFNA(_xlfn.XLOOKUP(C146,'00_SKU_Master'!$B$2:$B$378,'00_SKU_Master'!$F$2:$F$378,0)*Y146,"")</f>
        <v/>
      </c>
      <c r="E144" s="586">
        <f>_xludf.IFNA(_xlfn.XLOOKUP(C146,'00_SKU_Master'!$B$2:$B$378,'00_SKU_Master'!$F$2:$F$378,0)*Z146,"")</f>
        <v/>
      </c>
      <c r="F144" s="586">
        <f>_xludf.IFNA(_xlfn.XLOOKUP(C146,'00_SKU_Master'!$B$2:$B$378,'00_SKU_Master'!$F$2:$F$378,0)*AA146,"")</f>
        <v/>
      </c>
      <c r="G144" s="586">
        <f>_xludf.IFNA(_xlfn.XLOOKUP(C146,'00_SKU_Master'!$B$2:$B$378,'00_SKU_Master'!$F$2:$F$378,0)*AB146,"")</f>
        <v/>
      </c>
      <c r="H144" s="586">
        <f>_xludf.IFNA(_xlfn.XLOOKUP(C146,'00_SKU_Master'!$B$2:$B$378,'00_SKU_Master'!$F$2:$F$378,0)*AC146,"")</f>
        <v/>
      </c>
      <c r="I144" s="586">
        <f>_xludf.IFNA(_xlfn.XLOOKUP(C146,'00_SKU_Master'!$B$2:$B$378,'00_SKU_Master'!$F$2:$F$378,0)*AD146,"")</f>
        <v/>
      </c>
      <c r="J144" s="586">
        <f>_xludf.IFNA(_xlfn.XLOOKUP(C146,'00_SKU_Master'!$B$2:$B$378,'00_SKU_Master'!$F$2:$F$378,0)*AE146,"")</f>
        <v/>
      </c>
      <c r="K144" s="587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88" t="n"/>
      <c r="Z144" s="589" t="n"/>
      <c r="AA144" s="589" t="n"/>
      <c r="AB144" s="589" t="n"/>
      <c r="AC144" s="589" t="n">
        <v>0</v>
      </c>
      <c r="AD144" s="589" t="n">
        <v>0</v>
      </c>
      <c r="AE144" s="589" t="n">
        <v>0</v>
      </c>
      <c r="AF144" s="587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86">
        <f>_xludf.IFNA(_xlfn.XLOOKUP(C147,'00_SKU_Master'!$B$2:$B$378,'00_SKU_Master'!$F$2:$F$378,0)*Y147,"")</f>
        <v/>
      </c>
      <c r="E145" s="586">
        <f>_xludf.IFNA(_xlfn.XLOOKUP(C147,'00_SKU_Master'!$B$2:$B$378,'00_SKU_Master'!$F$2:$F$378,0)*Z147,"")</f>
        <v/>
      </c>
      <c r="F145" s="586">
        <f>_xludf.IFNA(_xlfn.XLOOKUP(C147,'00_SKU_Master'!$B$2:$B$378,'00_SKU_Master'!$F$2:$F$378,0)*AA147,"")</f>
        <v/>
      </c>
      <c r="G145" s="586">
        <f>_xludf.IFNA(_xlfn.XLOOKUP(C147,'00_SKU_Master'!$B$2:$B$378,'00_SKU_Master'!$F$2:$F$378,0)*AB147,"")</f>
        <v/>
      </c>
      <c r="H145" s="586">
        <f>_xludf.IFNA(_xlfn.XLOOKUP(C147,'00_SKU_Master'!$B$2:$B$378,'00_SKU_Master'!$F$2:$F$378,0)*AC147,"")</f>
        <v/>
      </c>
      <c r="I145" s="586">
        <f>_xludf.IFNA(_xlfn.XLOOKUP(C147,'00_SKU_Master'!$B$2:$B$378,'00_SKU_Master'!$F$2:$F$378,0)*AD147,"")</f>
        <v/>
      </c>
      <c r="J145" s="586">
        <f>_xludf.IFNA(_xlfn.XLOOKUP(C147,'00_SKU_Master'!$B$2:$B$378,'00_SKU_Master'!$F$2:$F$378,0)*AE147,"")</f>
        <v/>
      </c>
      <c r="K145" s="587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88" t="n"/>
      <c r="Z145" s="589" t="n"/>
      <c r="AA145" s="589" t="n"/>
      <c r="AB145" s="589" t="n"/>
      <c r="AC145" s="589" t="n">
        <v>0</v>
      </c>
      <c r="AD145" s="589" t="n">
        <v>0</v>
      </c>
      <c r="AE145" s="589" t="n">
        <v>0</v>
      </c>
      <c r="AF145" s="587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86">
        <f>_xludf.IFNA(_xlfn.XLOOKUP(C148,'00_SKU_Master'!$B$2:$B$378,'00_SKU_Master'!$F$2:$F$378,0)*Y148,"")</f>
        <v/>
      </c>
      <c r="E146" s="586">
        <f>_xludf.IFNA(_xlfn.XLOOKUP(C148,'00_SKU_Master'!$B$2:$B$378,'00_SKU_Master'!$F$2:$F$378,0)*Z148,"")</f>
        <v/>
      </c>
      <c r="F146" s="586">
        <f>_xludf.IFNA(_xlfn.XLOOKUP(C148,'00_SKU_Master'!$B$2:$B$378,'00_SKU_Master'!$F$2:$F$378,0)*AA148,"")</f>
        <v/>
      </c>
      <c r="G146" s="586">
        <f>_xludf.IFNA(_xlfn.XLOOKUP(C148,'00_SKU_Master'!$B$2:$B$378,'00_SKU_Master'!$F$2:$F$378,0)*AB148,"")</f>
        <v/>
      </c>
      <c r="H146" s="586">
        <f>_xludf.IFNA(_xlfn.XLOOKUP(C148,'00_SKU_Master'!$B$2:$B$378,'00_SKU_Master'!$F$2:$F$378,0)*AC148,"")</f>
        <v/>
      </c>
      <c r="I146" s="586">
        <f>_xludf.IFNA(_xlfn.XLOOKUP(C148,'00_SKU_Master'!$B$2:$B$378,'00_SKU_Master'!$F$2:$F$378,0)*AD148,"")</f>
        <v/>
      </c>
      <c r="J146" s="586">
        <f>_xludf.IFNA(_xlfn.XLOOKUP(C148,'00_SKU_Master'!$B$2:$B$378,'00_SKU_Master'!$F$2:$F$378,0)*AE148,"")</f>
        <v/>
      </c>
      <c r="K146" s="587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88" t="n"/>
      <c r="Z146" s="589" t="n"/>
      <c r="AA146" s="589" t="n"/>
      <c r="AB146" s="589" t="n"/>
      <c r="AC146" s="589" t="n">
        <v>0</v>
      </c>
      <c r="AD146" s="589" t="n">
        <v>0</v>
      </c>
      <c r="AE146" s="589" t="n">
        <v>0</v>
      </c>
      <c r="AF146" s="587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86">
        <f>_xludf.IFNA(_xlfn.XLOOKUP(C149,'00_SKU_Master'!$B$2:$B$378,'00_SKU_Master'!$F$2:$F$378,0)*Y149,"")</f>
        <v/>
      </c>
      <c r="E147" s="586">
        <f>_xludf.IFNA(_xlfn.XLOOKUP(C149,'00_SKU_Master'!$B$2:$B$378,'00_SKU_Master'!$F$2:$F$378,0)*Z149,"")</f>
        <v/>
      </c>
      <c r="F147" s="586">
        <f>_xludf.IFNA(_xlfn.XLOOKUP(C149,'00_SKU_Master'!$B$2:$B$378,'00_SKU_Master'!$F$2:$F$378,0)*AA149,"")</f>
        <v/>
      </c>
      <c r="G147" s="586">
        <f>_xludf.IFNA(_xlfn.XLOOKUP(C149,'00_SKU_Master'!$B$2:$B$378,'00_SKU_Master'!$F$2:$F$378,0)*AB149,"")</f>
        <v/>
      </c>
      <c r="H147" s="586">
        <f>_xludf.IFNA(_xlfn.XLOOKUP(C149,'00_SKU_Master'!$B$2:$B$378,'00_SKU_Master'!$F$2:$F$378,0)*AC149,"")</f>
        <v/>
      </c>
      <c r="I147" s="586">
        <f>_xludf.IFNA(_xlfn.XLOOKUP(C149,'00_SKU_Master'!$B$2:$B$378,'00_SKU_Master'!$F$2:$F$378,0)*AD149,"")</f>
        <v/>
      </c>
      <c r="J147" s="586">
        <f>_xludf.IFNA(_xlfn.XLOOKUP(C149,'00_SKU_Master'!$B$2:$B$378,'00_SKU_Master'!$F$2:$F$378,0)*AE149,"")</f>
        <v/>
      </c>
      <c r="K147" s="587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88" t="n"/>
      <c r="Z147" s="589" t="n"/>
      <c r="AA147" s="589" t="n"/>
      <c r="AB147" s="589" t="n"/>
      <c r="AC147" s="589" t="n">
        <v>0</v>
      </c>
      <c r="AD147" s="589" t="n">
        <v>0</v>
      </c>
      <c r="AE147" s="589" t="n">
        <v>0</v>
      </c>
      <c r="AF147" s="587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86">
        <f>_xludf.IFNA(_xlfn.XLOOKUP(C150,'00_SKU_Master'!$B$2:$B$378,'00_SKU_Master'!$F$2:$F$378,0)*Y150,"")</f>
        <v/>
      </c>
      <c r="E148" s="586">
        <f>_xludf.IFNA(_xlfn.XLOOKUP(C150,'00_SKU_Master'!$B$2:$B$378,'00_SKU_Master'!$F$2:$F$378,0)*Z150,"")</f>
        <v/>
      </c>
      <c r="F148" s="586">
        <f>_xludf.IFNA(_xlfn.XLOOKUP(C150,'00_SKU_Master'!$B$2:$B$378,'00_SKU_Master'!$F$2:$F$378,0)*AA150,"")</f>
        <v/>
      </c>
      <c r="G148" s="586">
        <f>_xludf.IFNA(_xlfn.XLOOKUP(C150,'00_SKU_Master'!$B$2:$B$378,'00_SKU_Master'!$F$2:$F$378,0)*AB150,"")</f>
        <v/>
      </c>
      <c r="H148" s="586">
        <f>_xludf.IFNA(_xlfn.XLOOKUP(C150,'00_SKU_Master'!$B$2:$B$378,'00_SKU_Master'!$F$2:$F$378,0)*AC150,"")</f>
        <v/>
      </c>
      <c r="I148" s="586">
        <f>_xludf.IFNA(_xlfn.XLOOKUP(C150,'00_SKU_Master'!$B$2:$B$378,'00_SKU_Master'!$F$2:$F$378,0)*AD150,"")</f>
        <v/>
      </c>
      <c r="J148" s="586">
        <f>_xludf.IFNA(_xlfn.XLOOKUP(C150,'00_SKU_Master'!$B$2:$B$378,'00_SKU_Master'!$F$2:$F$378,0)*AE150,"")</f>
        <v/>
      </c>
      <c r="K148" s="587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88" t="n"/>
      <c r="Z148" s="589" t="n"/>
      <c r="AA148" s="589" t="n"/>
      <c r="AB148" s="589" t="n"/>
      <c r="AC148" s="589" t="n">
        <v>0</v>
      </c>
      <c r="AD148" s="589" t="n">
        <v>0</v>
      </c>
      <c r="AE148" s="589" t="n">
        <v>0</v>
      </c>
      <c r="AF148" s="587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86">
        <f>_xludf.IFNA(_xlfn.XLOOKUP(C151,'00_SKU_Master'!$B$2:$B$378,'00_SKU_Master'!$F$2:$F$378,0)*Y151,"")</f>
        <v/>
      </c>
      <c r="E149" s="586">
        <f>_xludf.IFNA(_xlfn.XLOOKUP(C151,'00_SKU_Master'!$B$2:$B$378,'00_SKU_Master'!$F$2:$F$378,0)*Z151,"")</f>
        <v/>
      </c>
      <c r="F149" s="586">
        <f>_xludf.IFNA(_xlfn.XLOOKUP(C151,'00_SKU_Master'!$B$2:$B$378,'00_SKU_Master'!$F$2:$F$378,0)*AA151,"")</f>
        <v/>
      </c>
      <c r="G149" s="586">
        <f>_xludf.IFNA(_xlfn.XLOOKUP(C151,'00_SKU_Master'!$B$2:$B$378,'00_SKU_Master'!$F$2:$F$378,0)*AB151,"")</f>
        <v/>
      </c>
      <c r="H149" s="586">
        <f>_xludf.IFNA(_xlfn.XLOOKUP(C151,'00_SKU_Master'!$B$2:$B$378,'00_SKU_Master'!$F$2:$F$378,0)*AC151,"")</f>
        <v/>
      </c>
      <c r="I149" s="586">
        <f>_xludf.IFNA(_xlfn.XLOOKUP(C151,'00_SKU_Master'!$B$2:$B$378,'00_SKU_Master'!$F$2:$F$378,0)*AD151,"")</f>
        <v/>
      </c>
      <c r="J149" s="586">
        <f>_xludf.IFNA(_xlfn.XLOOKUP(C151,'00_SKU_Master'!$B$2:$B$378,'00_SKU_Master'!$F$2:$F$378,0)*AE151,"")</f>
        <v/>
      </c>
      <c r="K149" s="587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88" t="n"/>
      <c r="Z149" s="589" t="n"/>
      <c r="AA149" s="589" t="n"/>
      <c r="AB149" s="589" t="n"/>
      <c r="AC149" s="589" t="n">
        <v>0</v>
      </c>
      <c r="AD149" s="589" t="n">
        <v>0</v>
      </c>
      <c r="AE149" s="589" t="n">
        <v>0</v>
      </c>
      <c r="AF149" s="587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86">
        <f>_xludf.IFNA(_xlfn.XLOOKUP(C152,'00_SKU_Master'!$B$2:$B$378,'00_SKU_Master'!$F$2:$F$378,0)*Y152,"")</f>
        <v/>
      </c>
      <c r="E150" s="586">
        <f>_xludf.IFNA(_xlfn.XLOOKUP(C152,'00_SKU_Master'!$B$2:$B$378,'00_SKU_Master'!$F$2:$F$378,0)*Z152,"")</f>
        <v/>
      </c>
      <c r="F150" s="586">
        <f>_xludf.IFNA(_xlfn.XLOOKUP(C152,'00_SKU_Master'!$B$2:$B$378,'00_SKU_Master'!$F$2:$F$378,0)*AA152,"")</f>
        <v/>
      </c>
      <c r="G150" s="586">
        <f>_xludf.IFNA(_xlfn.XLOOKUP(C152,'00_SKU_Master'!$B$2:$B$378,'00_SKU_Master'!$F$2:$F$378,0)*AB152,"")</f>
        <v/>
      </c>
      <c r="H150" s="586">
        <f>_xludf.IFNA(_xlfn.XLOOKUP(C152,'00_SKU_Master'!$B$2:$B$378,'00_SKU_Master'!$F$2:$F$378,0)*AC152,"")</f>
        <v/>
      </c>
      <c r="I150" s="586">
        <f>_xludf.IFNA(_xlfn.XLOOKUP(C152,'00_SKU_Master'!$B$2:$B$378,'00_SKU_Master'!$F$2:$F$378,0)*AD152,"")</f>
        <v/>
      </c>
      <c r="J150" s="586">
        <f>_xludf.IFNA(_xlfn.XLOOKUP(C152,'00_SKU_Master'!$B$2:$B$378,'00_SKU_Master'!$F$2:$F$378,0)*AE152,"")</f>
        <v/>
      </c>
      <c r="K150" s="587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88" t="n"/>
      <c r="Z150" s="589" t="n"/>
      <c r="AA150" s="589" t="n"/>
      <c r="AB150" s="589" t="n"/>
      <c r="AC150" s="589" t="n">
        <v>0</v>
      </c>
      <c r="AD150" s="589" t="n">
        <v>0</v>
      </c>
      <c r="AE150" s="589" t="n">
        <v>0</v>
      </c>
      <c r="AF150" s="587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86">
        <f>_xludf.IFNA(_xlfn.XLOOKUP(C153,'00_SKU_Master'!$B$2:$B$378,'00_SKU_Master'!$F$2:$F$378,0)*Y153,"")</f>
        <v/>
      </c>
      <c r="E151" s="586">
        <f>_xludf.IFNA(_xlfn.XLOOKUP(C153,'00_SKU_Master'!$B$2:$B$378,'00_SKU_Master'!$F$2:$F$378,0)*Z153,"")</f>
        <v/>
      </c>
      <c r="F151" s="586">
        <f>_xludf.IFNA(_xlfn.XLOOKUP(C153,'00_SKU_Master'!$B$2:$B$378,'00_SKU_Master'!$F$2:$F$378,0)*AA153,"")</f>
        <v/>
      </c>
      <c r="G151" s="586">
        <f>_xludf.IFNA(_xlfn.XLOOKUP(C153,'00_SKU_Master'!$B$2:$B$378,'00_SKU_Master'!$F$2:$F$378,0)*AB153,"")</f>
        <v/>
      </c>
      <c r="H151" s="586">
        <f>_xludf.IFNA(_xlfn.XLOOKUP(C153,'00_SKU_Master'!$B$2:$B$378,'00_SKU_Master'!$F$2:$F$378,0)*AC153,"")</f>
        <v/>
      </c>
      <c r="I151" s="586">
        <f>_xludf.IFNA(_xlfn.XLOOKUP(C153,'00_SKU_Master'!$B$2:$B$378,'00_SKU_Master'!$F$2:$F$378,0)*AD153,"")</f>
        <v/>
      </c>
      <c r="J151" s="586">
        <f>_xludf.IFNA(_xlfn.XLOOKUP(C153,'00_SKU_Master'!$B$2:$B$378,'00_SKU_Master'!$F$2:$F$378,0)*AE153,"")</f>
        <v/>
      </c>
      <c r="K151" s="587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88" t="n"/>
      <c r="Z151" s="589" t="n"/>
      <c r="AA151" s="589" t="n"/>
      <c r="AB151" s="589" t="n"/>
      <c r="AC151" s="589" t="n">
        <v>0</v>
      </c>
      <c r="AD151" s="589" t="n">
        <v>0</v>
      </c>
      <c r="AE151" s="589" t="n">
        <v>0</v>
      </c>
      <c r="AF151" s="587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86">
        <f>_xludf.IFNA(_xlfn.XLOOKUP(C154,'00_SKU_Master'!$B$2:$B$378,'00_SKU_Master'!$F$2:$F$378,0)*Y154,"")</f>
        <v/>
      </c>
      <c r="E152" s="586">
        <f>_xludf.IFNA(_xlfn.XLOOKUP(C154,'00_SKU_Master'!$B$2:$B$378,'00_SKU_Master'!$F$2:$F$378,0)*Z154,"")</f>
        <v/>
      </c>
      <c r="F152" s="586">
        <f>_xludf.IFNA(_xlfn.XLOOKUP(C154,'00_SKU_Master'!$B$2:$B$378,'00_SKU_Master'!$F$2:$F$378,0)*AA154,"")</f>
        <v/>
      </c>
      <c r="G152" s="586">
        <f>_xludf.IFNA(_xlfn.XLOOKUP(C154,'00_SKU_Master'!$B$2:$B$378,'00_SKU_Master'!$F$2:$F$378,0)*AB154,"")</f>
        <v/>
      </c>
      <c r="H152" s="586">
        <f>_xludf.IFNA(_xlfn.XLOOKUP(C154,'00_SKU_Master'!$B$2:$B$378,'00_SKU_Master'!$F$2:$F$378,0)*AC154,"")</f>
        <v/>
      </c>
      <c r="I152" s="586">
        <f>_xludf.IFNA(_xlfn.XLOOKUP(C154,'00_SKU_Master'!$B$2:$B$378,'00_SKU_Master'!$F$2:$F$378,0)*AD154,"")</f>
        <v/>
      </c>
      <c r="J152" s="586">
        <f>_xludf.IFNA(_xlfn.XLOOKUP(C154,'00_SKU_Master'!$B$2:$B$378,'00_SKU_Master'!$F$2:$F$378,0)*AE154,"")</f>
        <v/>
      </c>
      <c r="K152" s="587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88" t="n"/>
      <c r="Z152" s="589" t="n"/>
      <c r="AA152" s="589" t="n"/>
      <c r="AB152" s="589" t="n"/>
      <c r="AC152" s="589" t="n">
        <v>0</v>
      </c>
      <c r="AD152" s="589" t="n">
        <v>0</v>
      </c>
      <c r="AE152" s="589" t="n">
        <v>0</v>
      </c>
      <c r="AF152" s="587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86">
        <f>_xludf.IFNA(_xlfn.XLOOKUP(C155,'00_SKU_Master'!$B$2:$B$378,'00_SKU_Master'!$F$2:$F$378,0)*Y155,"")</f>
        <v/>
      </c>
      <c r="E153" s="586">
        <f>_xludf.IFNA(_xlfn.XLOOKUP(C155,'00_SKU_Master'!$B$2:$B$378,'00_SKU_Master'!$F$2:$F$378,0)*Z155,"")</f>
        <v/>
      </c>
      <c r="F153" s="586">
        <f>_xludf.IFNA(_xlfn.XLOOKUP(C155,'00_SKU_Master'!$B$2:$B$378,'00_SKU_Master'!$F$2:$F$378,0)*AA155,"")</f>
        <v/>
      </c>
      <c r="G153" s="586">
        <f>_xludf.IFNA(_xlfn.XLOOKUP(C155,'00_SKU_Master'!$B$2:$B$378,'00_SKU_Master'!$F$2:$F$378,0)*AB155,"")</f>
        <v/>
      </c>
      <c r="H153" s="586">
        <f>_xludf.IFNA(_xlfn.XLOOKUP(C155,'00_SKU_Master'!$B$2:$B$378,'00_SKU_Master'!$F$2:$F$378,0)*AC155,"")</f>
        <v/>
      </c>
      <c r="I153" s="586">
        <f>_xludf.IFNA(_xlfn.XLOOKUP(C155,'00_SKU_Master'!$B$2:$B$378,'00_SKU_Master'!$F$2:$F$378,0)*AD155,"")</f>
        <v/>
      </c>
      <c r="J153" s="586">
        <f>_xludf.IFNA(_xlfn.XLOOKUP(C155,'00_SKU_Master'!$B$2:$B$378,'00_SKU_Master'!$F$2:$F$378,0)*AE155,"")</f>
        <v/>
      </c>
      <c r="K153" s="587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88" t="n"/>
      <c r="Z153" s="589" t="n"/>
      <c r="AA153" s="589" t="n"/>
      <c r="AB153" s="589" t="n"/>
      <c r="AC153" s="589" t="n">
        <v>0</v>
      </c>
      <c r="AD153" s="589" t="n">
        <v>0</v>
      </c>
      <c r="AE153" s="589" t="n">
        <v>0</v>
      </c>
      <c r="AF153" s="587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86">
        <f>_xludf.IFNA(_xlfn.XLOOKUP(C156,'00_SKU_Master'!$B$2:$B$378,'00_SKU_Master'!$F$2:$F$378,0)*Y156,"")</f>
        <v/>
      </c>
      <c r="E154" s="586">
        <f>_xludf.IFNA(_xlfn.XLOOKUP(C156,'00_SKU_Master'!$B$2:$B$378,'00_SKU_Master'!$F$2:$F$378,0)*Z156,"")</f>
        <v/>
      </c>
      <c r="F154" s="586">
        <f>_xludf.IFNA(_xlfn.XLOOKUP(C156,'00_SKU_Master'!$B$2:$B$378,'00_SKU_Master'!$F$2:$F$378,0)*AA156,"")</f>
        <v/>
      </c>
      <c r="G154" s="586">
        <f>_xludf.IFNA(_xlfn.XLOOKUP(C156,'00_SKU_Master'!$B$2:$B$378,'00_SKU_Master'!$F$2:$F$378,0)*AB156,"")</f>
        <v/>
      </c>
      <c r="H154" s="586">
        <f>_xludf.IFNA(_xlfn.XLOOKUP(C156,'00_SKU_Master'!$B$2:$B$378,'00_SKU_Master'!$F$2:$F$378,0)*AC156,"")</f>
        <v/>
      </c>
      <c r="I154" s="586">
        <f>_xludf.IFNA(_xlfn.XLOOKUP(C156,'00_SKU_Master'!$B$2:$B$378,'00_SKU_Master'!$F$2:$F$378,0)*AD156,"")</f>
        <v/>
      </c>
      <c r="J154" s="586">
        <f>_xludf.IFNA(_xlfn.XLOOKUP(C156,'00_SKU_Master'!$B$2:$B$378,'00_SKU_Master'!$F$2:$F$378,0)*AE156,"")</f>
        <v/>
      </c>
      <c r="K154" s="587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88" t="n"/>
      <c r="Z154" s="589" t="n"/>
      <c r="AA154" s="589" t="n"/>
      <c r="AB154" s="589" t="n"/>
      <c r="AC154" s="589" t="n">
        <v>0</v>
      </c>
      <c r="AD154" s="589" t="n">
        <v>0</v>
      </c>
      <c r="AE154" s="589" t="n">
        <v>0</v>
      </c>
      <c r="AF154" s="587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86">
        <f>_xludf.IFNA(_xlfn.XLOOKUP(C157,'00_SKU_Master'!$B$2:$B$378,'00_SKU_Master'!$F$2:$F$378,0)*Y157,"")</f>
        <v/>
      </c>
      <c r="E155" s="586">
        <f>_xludf.IFNA(_xlfn.XLOOKUP(C157,'00_SKU_Master'!$B$2:$B$378,'00_SKU_Master'!$F$2:$F$378,0)*Z157,"")</f>
        <v/>
      </c>
      <c r="F155" s="586">
        <f>_xludf.IFNA(_xlfn.XLOOKUP(C157,'00_SKU_Master'!$B$2:$B$378,'00_SKU_Master'!$F$2:$F$378,0)*AA157,"")</f>
        <v/>
      </c>
      <c r="G155" s="586">
        <f>_xludf.IFNA(_xlfn.XLOOKUP(C157,'00_SKU_Master'!$B$2:$B$378,'00_SKU_Master'!$F$2:$F$378,0)*AB157,"")</f>
        <v/>
      </c>
      <c r="H155" s="586">
        <f>_xludf.IFNA(_xlfn.XLOOKUP(C157,'00_SKU_Master'!$B$2:$B$378,'00_SKU_Master'!$F$2:$F$378,0)*AC157,"")</f>
        <v/>
      </c>
      <c r="I155" s="586">
        <f>_xludf.IFNA(_xlfn.XLOOKUP(C157,'00_SKU_Master'!$B$2:$B$378,'00_SKU_Master'!$F$2:$F$378,0)*AD157,"")</f>
        <v/>
      </c>
      <c r="J155" s="586">
        <f>_xludf.IFNA(_xlfn.XLOOKUP(C157,'00_SKU_Master'!$B$2:$B$378,'00_SKU_Master'!$F$2:$F$378,0)*AE157,"")</f>
        <v/>
      </c>
      <c r="K155" s="587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88" t="n"/>
      <c r="Z155" s="589" t="n"/>
      <c r="AA155" s="589" t="n"/>
      <c r="AB155" s="589" t="n"/>
      <c r="AC155" s="589" t="n">
        <v>0</v>
      </c>
      <c r="AD155" s="589" t="n">
        <v>0</v>
      </c>
      <c r="AE155" s="589" t="n">
        <v>0</v>
      </c>
      <c r="AF155" s="587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86">
        <f>_xludf.IFNA(_xlfn.XLOOKUP(C158,'00_SKU_Master'!$B$2:$B$378,'00_SKU_Master'!$F$2:$F$378,0)*Y158,"")</f>
        <v/>
      </c>
      <c r="E156" s="586">
        <f>_xludf.IFNA(_xlfn.XLOOKUP(C158,'00_SKU_Master'!$B$2:$B$378,'00_SKU_Master'!$F$2:$F$378,0)*Z158,"")</f>
        <v/>
      </c>
      <c r="F156" s="586">
        <f>_xludf.IFNA(_xlfn.XLOOKUP(C158,'00_SKU_Master'!$B$2:$B$378,'00_SKU_Master'!$F$2:$F$378,0)*AA158,"")</f>
        <v/>
      </c>
      <c r="G156" s="586">
        <f>_xludf.IFNA(_xlfn.XLOOKUP(C158,'00_SKU_Master'!$B$2:$B$378,'00_SKU_Master'!$F$2:$F$378,0)*AB158,"")</f>
        <v/>
      </c>
      <c r="H156" s="586">
        <f>_xludf.IFNA(_xlfn.XLOOKUP(C158,'00_SKU_Master'!$B$2:$B$378,'00_SKU_Master'!$F$2:$F$378,0)*AC158,"")</f>
        <v/>
      </c>
      <c r="I156" s="586">
        <f>_xludf.IFNA(_xlfn.XLOOKUP(C158,'00_SKU_Master'!$B$2:$B$378,'00_SKU_Master'!$F$2:$F$378,0)*AD158,"")</f>
        <v/>
      </c>
      <c r="J156" s="586">
        <f>_xludf.IFNA(_xlfn.XLOOKUP(C158,'00_SKU_Master'!$B$2:$B$378,'00_SKU_Master'!$F$2:$F$378,0)*AE158,"")</f>
        <v/>
      </c>
      <c r="K156" s="587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88" t="n"/>
      <c r="Z156" s="589" t="n"/>
      <c r="AA156" s="589" t="n"/>
      <c r="AB156" s="589" t="n"/>
      <c r="AC156" s="589" t="n">
        <v>0</v>
      </c>
      <c r="AD156" s="589" t="n">
        <v>0</v>
      </c>
      <c r="AE156" s="589" t="n">
        <v>0</v>
      </c>
      <c r="AF156" s="587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86">
        <f>_xludf.IFNA(_xlfn.XLOOKUP(C159,'00_SKU_Master'!$B$2:$B$378,'00_SKU_Master'!$F$2:$F$378,0)*Y159,"")</f>
        <v/>
      </c>
      <c r="E157" s="586">
        <f>_xludf.IFNA(_xlfn.XLOOKUP(C159,'00_SKU_Master'!$B$2:$B$378,'00_SKU_Master'!$F$2:$F$378,0)*Z159,"")</f>
        <v/>
      </c>
      <c r="F157" s="586">
        <f>_xludf.IFNA(_xlfn.XLOOKUP(C159,'00_SKU_Master'!$B$2:$B$378,'00_SKU_Master'!$F$2:$F$378,0)*AA159,"")</f>
        <v/>
      </c>
      <c r="G157" s="586">
        <f>_xludf.IFNA(_xlfn.XLOOKUP(C159,'00_SKU_Master'!$B$2:$B$378,'00_SKU_Master'!$F$2:$F$378,0)*AB159,"")</f>
        <v/>
      </c>
      <c r="H157" s="586">
        <f>_xludf.IFNA(_xlfn.XLOOKUP(C159,'00_SKU_Master'!$B$2:$B$378,'00_SKU_Master'!$F$2:$F$378,0)*AC159,"")</f>
        <v/>
      </c>
      <c r="I157" s="586">
        <f>_xludf.IFNA(_xlfn.XLOOKUP(C159,'00_SKU_Master'!$B$2:$B$378,'00_SKU_Master'!$F$2:$F$378,0)*AD159,"")</f>
        <v/>
      </c>
      <c r="J157" s="586">
        <f>_xludf.IFNA(_xlfn.XLOOKUP(C159,'00_SKU_Master'!$B$2:$B$378,'00_SKU_Master'!$F$2:$F$378,0)*AE159,"")</f>
        <v/>
      </c>
      <c r="K157" s="587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88" t="n"/>
      <c r="Z157" s="589" t="n"/>
      <c r="AA157" s="589" t="n"/>
      <c r="AB157" s="589" t="n"/>
      <c r="AC157" s="589" t="n">
        <v>0</v>
      </c>
      <c r="AD157" s="589" t="n">
        <v>0</v>
      </c>
      <c r="AE157" s="589" t="n">
        <v>0</v>
      </c>
      <c r="AF157" s="587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86">
        <f>_xludf.IFNA(_xlfn.XLOOKUP(C160,'00_SKU_Master'!$B$2:$B$378,'00_SKU_Master'!$F$2:$F$378,0)*Y160,"")</f>
        <v/>
      </c>
      <c r="E158" s="586">
        <f>_xludf.IFNA(_xlfn.XLOOKUP(C160,'00_SKU_Master'!$B$2:$B$378,'00_SKU_Master'!$F$2:$F$378,0)*Z160,"")</f>
        <v/>
      </c>
      <c r="F158" s="586">
        <f>_xludf.IFNA(_xlfn.XLOOKUP(C160,'00_SKU_Master'!$B$2:$B$378,'00_SKU_Master'!$F$2:$F$378,0)*AA160,"")</f>
        <v/>
      </c>
      <c r="G158" s="586">
        <f>_xludf.IFNA(_xlfn.XLOOKUP(C160,'00_SKU_Master'!$B$2:$B$378,'00_SKU_Master'!$F$2:$F$378,0)*AB160,"")</f>
        <v/>
      </c>
      <c r="H158" s="586">
        <f>_xludf.IFNA(_xlfn.XLOOKUP(C160,'00_SKU_Master'!$B$2:$B$378,'00_SKU_Master'!$F$2:$F$378,0)*AC160,"")</f>
        <v/>
      </c>
      <c r="I158" s="586">
        <f>_xludf.IFNA(_xlfn.XLOOKUP(C160,'00_SKU_Master'!$B$2:$B$378,'00_SKU_Master'!$F$2:$F$378,0)*AD160,"")</f>
        <v/>
      </c>
      <c r="J158" s="586">
        <f>_xludf.IFNA(_xlfn.XLOOKUP(C160,'00_SKU_Master'!$B$2:$B$378,'00_SKU_Master'!$F$2:$F$378,0)*AE160,"")</f>
        <v/>
      </c>
      <c r="K158" s="587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88" t="n"/>
      <c r="Z158" s="589" t="n"/>
      <c r="AA158" s="589" t="n"/>
      <c r="AB158" s="589" t="n"/>
      <c r="AC158" s="589" t="n">
        <v>0</v>
      </c>
      <c r="AD158" s="589" t="n">
        <v>0</v>
      </c>
      <c r="AE158" s="589" t="n">
        <v>0</v>
      </c>
      <c r="AF158" s="587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86">
        <f>_xludf.IFNA(_xlfn.XLOOKUP(C161,'00_SKU_Master'!$B$2:$B$378,'00_SKU_Master'!$F$2:$F$378,0)*Y161,"")</f>
        <v/>
      </c>
      <c r="E159" s="586">
        <f>_xludf.IFNA(_xlfn.XLOOKUP(C161,'00_SKU_Master'!$B$2:$B$378,'00_SKU_Master'!$F$2:$F$378,0)*Z161,"")</f>
        <v/>
      </c>
      <c r="F159" s="586">
        <f>_xludf.IFNA(_xlfn.XLOOKUP(C161,'00_SKU_Master'!$B$2:$B$378,'00_SKU_Master'!$F$2:$F$378,0)*AA161,"")</f>
        <v/>
      </c>
      <c r="G159" s="586">
        <f>_xludf.IFNA(_xlfn.XLOOKUP(C161,'00_SKU_Master'!$B$2:$B$378,'00_SKU_Master'!$F$2:$F$378,0)*AB161,"")</f>
        <v/>
      </c>
      <c r="H159" s="586">
        <f>_xludf.IFNA(_xlfn.XLOOKUP(C161,'00_SKU_Master'!$B$2:$B$378,'00_SKU_Master'!$F$2:$F$378,0)*AC161,"")</f>
        <v/>
      </c>
      <c r="I159" s="586">
        <f>_xludf.IFNA(_xlfn.XLOOKUP(C161,'00_SKU_Master'!$B$2:$B$378,'00_SKU_Master'!$F$2:$F$378,0)*AD161,"")</f>
        <v/>
      </c>
      <c r="J159" s="586">
        <f>_xludf.IFNA(_xlfn.XLOOKUP(C161,'00_SKU_Master'!$B$2:$B$378,'00_SKU_Master'!$F$2:$F$378,0)*AE161,"")</f>
        <v/>
      </c>
      <c r="K159" s="587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88" t="n"/>
      <c r="Z159" s="589" t="n"/>
      <c r="AA159" s="589" t="n"/>
      <c r="AB159" s="589" t="n"/>
      <c r="AC159" s="589" t="n">
        <v>0</v>
      </c>
      <c r="AD159" s="589" t="n">
        <v>0</v>
      </c>
      <c r="AE159" s="589" t="n">
        <v>0</v>
      </c>
      <c r="AF159" s="587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86">
        <f>_xludf.IFNA(_xlfn.XLOOKUP(C162,'00_SKU_Master'!$B$2:$B$378,'00_SKU_Master'!$F$2:$F$378,0)*Y162,"")</f>
        <v/>
      </c>
      <c r="E160" s="586">
        <f>_xludf.IFNA(_xlfn.XLOOKUP(C162,'00_SKU_Master'!$B$2:$B$378,'00_SKU_Master'!$F$2:$F$378,0)*Z162,"")</f>
        <v/>
      </c>
      <c r="F160" s="586">
        <f>_xludf.IFNA(_xlfn.XLOOKUP(C162,'00_SKU_Master'!$B$2:$B$378,'00_SKU_Master'!$F$2:$F$378,0)*AA162,"")</f>
        <v/>
      </c>
      <c r="G160" s="586">
        <f>_xludf.IFNA(_xlfn.XLOOKUP(C162,'00_SKU_Master'!$B$2:$B$378,'00_SKU_Master'!$F$2:$F$378,0)*AB162,"")</f>
        <v/>
      </c>
      <c r="H160" s="586">
        <f>_xludf.IFNA(_xlfn.XLOOKUP(C162,'00_SKU_Master'!$B$2:$B$378,'00_SKU_Master'!$F$2:$F$378,0)*AC162,"")</f>
        <v/>
      </c>
      <c r="I160" s="586">
        <f>_xludf.IFNA(_xlfn.XLOOKUP(C162,'00_SKU_Master'!$B$2:$B$378,'00_SKU_Master'!$F$2:$F$378,0)*AD162,"")</f>
        <v/>
      </c>
      <c r="J160" s="586">
        <f>_xludf.IFNA(_xlfn.XLOOKUP(C162,'00_SKU_Master'!$B$2:$B$378,'00_SKU_Master'!$F$2:$F$378,0)*AE162,"")</f>
        <v/>
      </c>
      <c r="K160" s="587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88" t="n"/>
      <c r="Z160" s="589" t="n"/>
      <c r="AA160" s="589" t="n"/>
      <c r="AB160" s="589" t="n"/>
      <c r="AC160" s="589" t="n">
        <v>0</v>
      </c>
      <c r="AD160" s="589" t="n">
        <v>0</v>
      </c>
      <c r="AE160" s="589" t="n">
        <v>0</v>
      </c>
      <c r="AF160" s="587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86">
        <f>_xludf.IFNA(_xlfn.XLOOKUP(C163,'00_SKU_Master'!$B$2:$B$378,'00_SKU_Master'!$F$2:$F$378,0)*Y163,"")</f>
        <v/>
      </c>
      <c r="E161" s="586">
        <f>_xludf.IFNA(_xlfn.XLOOKUP(C163,'00_SKU_Master'!$B$2:$B$378,'00_SKU_Master'!$F$2:$F$378,0)*Z163,"")</f>
        <v/>
      </c>
      <c r="F161" s="586">
        <f>_xludf.IFNA(_xlfn.XLOOKUP(C163,'00_SKU_Master'!$B$2:$B$378,'00_SKU_Master'!$F$2:$F$378,0)*AA163,"")</f>
        <v/>
      </c>
      <c r="G161" s="586">
        <f>_xludf.IFNA(_xlfn.XLOOKUP(C163,'00_SKU_Master'!$B$2:$B$378,'00_SKU_Master'!$F$2:$F$378,0)*AB163,"")</f>
        <v/>
      </c>
      <c r="H161" s="586">
        <f>_xludf.IFNA(_xlfn.XLOOKUP(C163,'00_SKU_Master'!$B$2:$B$378,'00_SKU_Master'!$F$2:$F$378,0)*AC163,"")</f>
        <v/>
      </c>
      <c r="I161" s="586">
        <f>_xludf.IFNA(_xlfn.XLOOKUP(C163,'00_SKU_Master'!$B$2:$B$378,'00_SKU_Master'!$F$2:$F$378,0)*AD163,"")</f>
        <v/>
      </c>
      <c r="J161" s="586">
        <f>_xludf.IFNA(_xlfn.XLOOKUP(C163,'00_SKU_Master'!$B$2:$B$378,'00_SKU_Master'!$F$2:$F$378,0)*AE163,"")</f>
        <v/>
      </c>
      <c r="K161" s="587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88" t="n"/>
      <c r="Z161" s="589" t="n"/>
      <c r="AA161" s="589" t="n"/>
      <c r="AB161" s="589" t="n"/>
      <c r="AC161" s="589" t="n">
        <v>0</v>
      </c>
      <c r="AD161" s="589" t="n">
        <v>0</v>
      </c>
      <c r="AE161" s="589" t="n">
        <v>0</v>
      </c>
      <c r="AF161" s="587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86">
        <f>_xludf.IFNA(_xlfn.XLOOKUP(C164,'00_SKU_Master'!$B$2:$B$378,'00_SKU_Master'!$F$2:$F$378,0)*Y164,"")</f>
        <v/>
      </c>
      <c r="E162" s="586">
        <f>_xludf.IFNA(_xlfn.XLOOKUP(C164,'00_SKU_Master'!$B$2:$B$378,'00_SKU_Master'!$F$2:$F$378,0)*Z164,"")</f>
        <v/>
      </c>
      <c r="F162" s="586">
        <f>_xludf.IFNA(_xlfn.XLOOKUP(C164,'00_SKU_Master'!$B$2:$B$378,'00_SKU_Master'!$F$2:$F$378,0)*AA164,"")</f>
        <v/>
      </c>
      <c r="G162" s="586">
        <f>_xludf.IFNA(_xlfn.XLOOKUP(C164,'00_SKU_Master'!$B$2:$B$378,'00_SKU_Master'!$F$2:$F$378,0)*AB164,"")</f>
        <v/>
      </c>
      <c r="H162" s="586">
        <f>_xludf.IFNA(_xlfn.XLOOKUP(C164,'00_SKU_Master'!$B$2:$B$378,'00_SKU_Master'!$F$2:$F$378,0)*AC164,"")</f>
        <v/>
      </c>
      <c r="I162" s="586">
        <f>_xludf.IFNA(_xlfn.XLOOKUP(C164,'00_SKU_Master'!$B$2:$B$378,'00_SKU_Master'!$F$2:$F$378,0)*AD164,"")</f>
        <v/>
      </c>
      <c r="J162" s="586">
        <f>_xludf.IFNA(_xlfn.XLOOKUP(C164,'00_SKU_Master'!$B$2:$B$378,'00_SKU_Master'!$F$2:$F$378,0)*AE164,"")</f>
        <v/>
      </c>
      <c r="K162" s="587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88" t="n"/>
      <c r="Z162" s="589" t="n"/>
      <c r="AA162" s="589" t="n"/>
      <c r="AB162" s="589" t="n"/>
      <c r="AC162" s="589" t="n">
        <v>0</v>
      </c>
      <c r="AD162" s="589" t="n">
        <v>0</v>
      </c>
      <c r="AE162" s="589" t="n">
        <v>0</v>
      </c>
      <c r="AF162" s="587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86">
        <f>_xludf.IFNA(_xlfn.XLOOKUP(C165,'00_SKU_Master'!$B$2:$B$378,'00_SKU_Master'!$F$2:$F$378,0)*Y165,"")</f>
        <v/>
      </c>
      <c r="E163" s="586">
        <f>_xludf.IFNA(_xlfn.XLOOKUP(C165,'00_SKU_Master'!$B$2:$B$378,'00_SKU_Master'!$F$2:$F$378,0)*Z165,"")</f>
        <v/>
      </c>
      <c r="F163" s="586">
        <f>_xludf.IFNA(_xlfn.XLOOKUP(C165,'00_SKU_Master'!$B$2:$B$378,'00_SKU_Master'!$F$2:$F$378,0)*AA165,"")</f>
        <v/>
      </c>
      <c r="G163" s="586">
        <f>_xludf.IFNA(_xlfn.XLOOKUP(C165,'00_SKU_Master'!$B$2:$B$378,'00_SKU_Master'!$F$2:$F$378,0)*AB165,"")</f>
        <v/>
      </c>
      <c r="H163" s="586">
        <f>_xludf.IFNA(_xlfn.XLOOKUP(C165,'00_SKU_Master'!$B$2:$B$378,'00_SKU_Master'!$F$2:$F$378,0)*AC165,"")</f>
        <v/>
      </c>
      <c r="I163" s="586">
        <f>_xludf.IFNA(_xlfn.XLOOKUP(C165,'00_SKU_Master'!$B$2:$B$378,'00_SKU_Master'!$F$2:$F$378,0)*AD165,"")</f>
        <v/>
      </c>
      <c r="J163" s="586">
        <f>_xludf.IFNA(_xlfn.XLOOKUP(C165,'00_SKU_Master'!$B$2:$B$378,'00_SKU_Master'!$F$2:$F$378,0)*AE165,"")</f>
        <v/>
      </c>
      <c r="K163" s="587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88" t="n"/>
      <c r="Z163" s="589" t="n"/>
      <c r="AA163" s="589" t="n"/>
      <c r="AB163" s="589" t="n"/>
      <c r="AC163" s="589" t="n">
        <v>0</v>
      </c>
      <c r="AD163" s="589" t="n">
        <v>0</v>
      </c>
      <c r="AE163" s="589" t="n">
        <v>0</v>
      </c>
      <c r="AF163" s="587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86">
        <f>_xludf.IFNA(_xlfn.XLOOKUP(C166,'00_SKU_Master'!$B$2:$B$378,'00_SKU_Master'!$F$2:$F$378,0)*Y166,"")</f>
        <v/>
      </c>
      <c r="E164" s="586">
        <f>_xludf.IFNA(_xlfn.XLOOKUP(C166,'00_SKU_Master'!$B$2:$B$378,'00_SKU_Master'!$F$2:$F$378,0)*Z166,"")</f>
        <v/>
      </c>
      <c r="F164" s="586">
        <f>_xludf.IFNA(_xlfn.XLOOKUP(C166,'00_SKU_Master'!$B$2:$B$378,'00_SKU_Master'!$F$2:$F$378,0)*AA166,"")</f>
        <v/>
      </c>
      <c r="G164" s="586">
        <f>_xludf.IFNA(_xlfn.XLOOKUP(C166,'00_SKU_Master'!$B$2:$B$378,'00_SKU_Master'!$F$2:$F$378,0)*AB166,"")</f>
        <v/>
      </c>
      <c r="H164" s="586">
        <f>_xludf.IFNA(_xlfn.XLOOKUP(C166,'00_SKU_Master'!$B$2:$B$378,'00_SKU_Master'!$F$2:$F$378,0)*AC166,"")</f>
        <v/>
      </c>
      <c r="I164" s="586">
        <f>_xludf.IFNA(_xlfn.XLOOKUP(C166,'00_SKU_Master'!$B$2:$B$378,'00_SKU_Master'!$F$2:$F$378,0)*AD166,"")</f>
        <v/>
      </c>
      <c r="J164" s="586">
        <f>_xludf.IFNA(_xlfn.XLOOKUP(C166,'00_SKU_Master'!$B$2:$B$378,'00_SKU_Master'!$F$2:$F$378,0)*AE166,"")</f>
        <v/>
      </c>
      <c r="K164" s="587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88" t="n"/>
      <c r="Z164" s="589" t="n"/>
      <c r="AA164" s="589" t="n"/>
      <c r="AB164" s="589" t="n"/>
      <c r="AC164" s="589" t="n">
        <v>0</v>
      </c>
      <c r="AD164" s="589" t="n">
        <v>0</v>
      </c>
      <c r="AE164" s="589" t="n">
        <v>0</v>
      </c>
      <c r="AF164" s="587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86">
        <f>_xludf.IFNA(_xlfn.XLOOKUP(C167,'00_SKU_Master'!$B$2:$B$378,'00_SKU_Master'!$F$2:$F$378,0)*Y167,"")</f>
        <v/>
      </c>
      <c r="E165" s="586">
        <f>_xludf.IFNA(_xlfn.XLOOKUP(C167,'00_SKU_Master'!$B$2:$B$378,'00_SKU_Master'!$F$2:$F$378,0)*Z167,"")</f>
        <v/>
      </c>
      <c r="F165" s="586">
        <f>_xludf.IFNA(_xlfn.XLOOKUP(C167,'00_SKU_Master'!$B$2:$B$378,'00_SKU_Master'!$F$2:$F$378,0)*AA167,"")</f>
        <v/>
      </c>
      <c r="G165" s="586">
        <f>_xludf.IFNA(_xlfn.XLOOKUP(C167,'00_SKU_Master'!$B$2:$B$378,'00_SKU_Master'!$F$2:$F$378,0)*AB167,"")</f>
        <v/>
      </c>
      <c r="H165" s="586">
        <f>_xludf.IFNA(_xlfn.XLOOKUP(C167,'00_SKU_Master'!$B$2:$B$378,'00_SKU_Master'!$F$2:$F$378,0)*AC167,"")</f>
        <v/>
      </c>
      <c r="I165" s="586">
        <f>_xludf.IFNA(_xlfn.XLOOKUP(C167,'00_SKU_Master'!$B$2:$B$378,'00_SKU_Master'!$F$2:$F$378,0)*AD167,"")</f>
        <v/>
      </c>
      <c r="J165" s="586">
        <f>_xludf.IFNA(_xlfn.XLOOKUP(C167,'00_SKU_Master'!$B$2:$B$378,'00_SKU_Master'!$F$2:$F$378,0)*AE167,"")</f>
        <v/>
      </c>
      <c r="K165" s="587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88" t="n"/>
      <c r="Z165" s="589" t="n"/>
      <c r="AA165" s="589" t="n"/>
      <c r="AB165" s="589" t="n"/>
      <c r="AC165" s="589" t="n">
        <v>0</v>
      </c>
      <c r="AD165" s="589" t="n">
        <v>0</v>
      </c>
      <c r="AE165" s="589" t="n">
        <v>0</v>
      </c>
      <c r="AF165" s="587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86">
        <f>_xludf.IFNA(_xlfn.XLOOKUP(C168,'00_SKU_Master'!$B$2:$B$378,'00_SKU_Master'!$F$2:$F$378,0)*Y168,"")</f>
        <v/>
      </c>
      <c r="E166" s="586">
        <f>_xludf.IFNA(_xlfn.XLOOKUP(C168,'00_SKU_Master'!$B$2:$B$378,'00_SKU_Master'!$F$2:$F$378,0)*Z168,"")</f>
        <v/>
      </c>
      <c r="F166" s="586">
        <f>_xludf.IFNA(_xlfn.XLOOKUP(C168,'00_SKU_Master'!$B$2:$B$378,'00_SKU_Master'!$F$2:$F$378,0)*AA168,"")</f>
        <v/>
      </c>
      <c r="G166" s="586">
        <f>_xludf.IFNA(_xlfn.XLOOKUP(C168,'00_SKU_Master'!$B$2:$B$378,'00_SKU_Master'!$F$2:$F$378,0)*AB168,"")</f>
        <v/>
      </c>
      <c r="H166" s="586">
        <f>_xludf.IFNA(_xlfn.XLOOKUP(C168,'00_SKU_Master'!$B$2:$B$378,'00_SKU_Master'!$F$2:$F$378,0)*AC168,"")</f>
        <v/>
      </c>
      <c r="I166" s="586">
        <f>_xludf.IFNA(_xlfn.XLOOKUP(C168,'00_SKU_Master'!$B$2:$B$378,'00_SKU_Master'!$F$2:$F$378,0)*AD168,"")</f>
        <v/>
      </c>
      <c r="J166" s="586">
        <f>_xludf.IFNA(_xlfn.XLOOKUP(C168,'00_SKU_Master'!$B$2:$B$378,'00_SKU_Master'!$F$2:$F$378,0)*AE168,"")</f>
        <v/>
      </c>
      <c r="K166" s="587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88" t="n"/>
      <c r="Z166" s="589" t="n"/>
      <c r="AA166" s="589" t="n"/>
      <c r="AB166" s="589" t="n"/>
      <c r="AC166" s="589" t="n">
        <v>0</v>
      </c>
      <c r="AD166" s="589" t="n">
        <v>0</v>
      </c>
      <c r="AE166" s="589" t="n">
        <v>0</v>
      </c>
      <c r="AF166" s="587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86">
        <f>_xludf.IFNA(_xlfn.XLOOKUP(C169,'00_SKU_Master'!$B$2:$B$378,'00_SKU_Master'!$F$2:$F$378,0)*Y169,"")</f>
        <v/>
      </c>
      <c r="E167" s="586">
        <f>_xludf.IFNA(_xlfn.XLOOKUP(C169,'00_SKU_Master'!$B$2:$B$378,'00_SKU_Master'!$F$2:$F$378,0)*Z169,"")</f>
        <v/>
      </c>
      <c r="F167" s="586">
        <f>_xludf.IFNA(_xlfn.XLOOKUP(C169,'00_SKU_Master'!$B$2:$B$378,'00_SKU_Master'!$F$2:$F$378,0)*AA169,"")</f>
        <v/>
      </c>
      <c r="G167" s="586">
        <f>_xludf.IFNA(_xlfn.XLOOKUP(C169,'00_SKU_Master'!$B$2:$B$378,'00_SKU_Master'!$F$2:$F$378,0)*AB169,"")</f>
        <v/>
      </c>
      <c r="H167" s="586">
        <f>_xludf.IFNA(_xlfn.XLOOKUP(C169,'00_SKU_Master'!$B$2:$B$378,'00_SKU_Master'!$F$2:$F$378,0)*AC169,"")</f>
        <v/>
      </c>
      <c r="I167" s="586">
        <f>_xludf.IFNA(_xlfn.XLOOKUP(C169,'00_SKU_Master'!$B$2:$B$378,'00_SKU_Master'!$F$2:$F$378,0)*AD169,"")</f>
        <v/>
      </c>
      <c r="J167" s="586">
        <f>_xludf.IFNA(_xlfn.XLOOKUP(C169,'00_SKU_Master'!$B$2:$B$378,'00_SKU_Master'!$F$2:$F$378,0)*AE169,"")</f>
        <v/>
      </c>
      <c r="K167" s="587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88" t="n"/>
      <c r="Z167" s="589" t="n"/>
      <c r="AA167" s="589" t="n"/>
      <c r="AB167" s="589" t="n"/>
      <c r="AC167" s="589" t="n">
        <v>0</v>
      </c>
      <c r="AD167" s="589" t="n">
        <v>0</v>
      </c>
      <c r="AE167" s="589" t="n">
        <v>0</v>
      </c>
      <c r="AF167" s="587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86">
        <f>_xludf.IFNA(_xlfn.XLOOKUP(C170,'00_SKU_Master'!$B$2:$B$378,'00_SKU_Master'!$F$2:$F$378,0)*Y170,"")</f>
        <v/>
      </c>
      <c r="E168" s="586">
        <f>_xludf.IFNA(_xlfn.XLOOKUP(C170,'00_SKU_Master'!$B$2:$B$378,'00_SKU_Master'!$F$2:$F$378,0)*Z170,"")</f>
        <v/>
      </c>
      <c r="F168" s="586">
        <f>_xludf.IFNA(_xlfn.XLOOKUP(C170,'00_SKU_Master'!$B$2:$B$378,'00_SKU_Master'!$F$2:$F$378,0)*AA170,"")</f>
        <v/>
      </c>
      <c r="G168" s="586">
        <f>_xludf.IFNA(_xlfn.XLOOKUP(C170,'00_SKU_Master'!$B$2:$B$378,'00_SKU_Master'!$F$2:$F$378,0)*AB170,"")</f>
        <v/>
      </c>
      <c r="H168" s="586">
        <f>_xludf.IFNA(_xlfn.XLOOKUP(C170,'00_SKU_Master'!$B$2:$B$378,'00_SKU_Master'!$F$2:$F$378,0)*AC170,"")</f>
        <v/>
      </c>
      <c r="I168" s="586">
        <f>_xludf.IFNA(_xlfn.XLOOKUP(C170,'00_SKU_Master'!$B$2:$B$378,'00_SKU_Master'!$F$2:$F$378,0)*AD170,"")</f>
        <v/>
      </c>
      <c r="J168" s="586">
        <f>_xludf.IFNA(_xlfn.XLOOKUP(C170,'00_SKU_Master'!$B$2:$B$378,'00_SKU_Master'!$F$2:$F$378,0)*AE170,"")</f>
        <v/>
      </c>
      <c r="K168" s="587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88" t="n"/>
      <c r="Z168" s="589" t="n"/>
      <c r="AA168" s="589" t="n"/>
      <c r="AB168" s="589" t="n"/>
      <c r="AC168" s="589" t="n">
        <v>0</v>
      </c>
      <c r="AD168" s="589" t="n">
        <v>0</v>
      </c>
      <c r="AE168" s="589" t="n">
        <v>0</v>
      </c>
      <c r="AF168" s="587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86">
        <f>_xludf.IFNA(_xlfn.XLOOKUP(C171,'00_SKU_Master'!$B$2:$B$378,'00_SKU_Master'!$F$2:$F$378,0)*Y171,"")</f>
        <v/>
      </c>
      <c r="E169" s="586">
        <f>_xludf.IFNA(_xlfn.XLOOKUP(C171,'00_SKU_Master'!$B$2:$B$378,'00_SKU_Master'!$F$2:$F$378,0)*Z171,"")</f>
        <v/>
      </c>
      <c r="F169" s="586">
        <f>_xludf.IFNA(_xlfn.XLOOKUP(C171,'00_SKU_Master'!$B$2:$B$378,'00_SKU_Master'!$F$2:$F$378,0)*AA171,"")</f>
        <v/>
      </c>
      <c r="G169" s="586">
        <f>_xludf.IFNA(_xlfn.XLOOKUP(C171,'00_SKU_Master'!$B$2:$B$378,'00_SKU_Master'!$F$2:$F$378,0)*AB171,"")</f>
        <v/>
      </c>
      <c r="H169" s="586">
        <f>_xludf.IFNA(_xlfn.XLOOKUP(C171,'00_SKU_Master'!$B$2:$B$378,'00_SKU_Master'!$F$2:$F$378,0)*AC171,"")</f>
        <v/>
      </c>
      <c r="I169" s="586">
        <f>_xludf.IFNA(_xlfn.XLOOKUP(C171,'00_SKU_Master'!$B$2:$B$378,'00_SKU_Master'!$F$2:$F$378,0)*AD171,"")</f>
        <v/>
      </c>
      <c r="J169" s="586">
        <f>_xludf.IFNA(_xlfn.XLOOKUP(C171,'00_SKU_Master'!$B$2:$B$378,'00_SKU_Master'!$F$2:$F$378,0)*AE171,"")</f>
        <v/>
      </c>
      <c r="K169" s="587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88" t="n"/>
      <c r="Z169" s="589" t="n"/>
      <c r="AA169" s="589" t="n"/>
      <c r="AB169" s="589" t="n"/>
      <c r="AC169" s="589" t="n">
        <v>0</v>
      </c>
      <c r="AD169" s="589" t="n">
        <v>0</v>
      </c>
      <c r="AE169" s="589" t="n">
        <v>0</v>
      </c>
      <c r="AF169" s="587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86">
        <f>_xludf.IFNA(_xlfn.XLOOKUP(C172,'00_SKU_Master'!$B$2:$B$378,'00_SKU_Master'!$F$2:$F$378,0)*Y172,"")</f>
        <v/>
      </c>
      <c r="E170" s="586">
        <f>_xludf.IFNA(_xlfn.XLOOKUP(C172,'00_SKU_Master'!$B$2:$B$378,'00_SKU_Master'!$F$2:$F$378,0)*Z172,"")</f>
        <v/>
      </c>
      <c r="F170" s="586">
        <f>_xludf.IFNA(_xlfn.XLOOKUP(C172,'00_SKU_Master'!$B$2:$B$378,'00_SKU_Master'!$F$2:$F$378,0)*AA172,"")</f>
        <v/>
      </c>
      <c r="G170" s="586">
        <f>_xludf.IFNA(_xlfn.XLOOKUP(C172,'00_SKU_Master'!$B$2:$B$378,'00_SKU_Master'!$F$2:$F$378,0)*AB172,"")</f>
        <v/>
      </c>
      <c r="H170" s="586">
        <f>_xludf.IFNA(_xlfn.XLOOKUP(C172,'00_SKU_Master'!$B$2:$B$378,'00_SKU_Master'!$F$2:$F$378,0)*AC172,"")</f>
        <v/>
      </c>
      <c r="I170" s="586">
        <f>_xludf.IFNA(_xlfn.XLOOKUP(C172,'00_SKU_Master'!$B$2:$B$378,'00_SKU_Master'!$F$2:$F$378,0)*AD172,"")</f>
        <v/>
      </c>
      <c r="J170" s="586">
        <f>_xludf.IFNA(_xlfn.XLOOKUP(C172,'00_SKU_Master'!$B$2:$B$378,'00_SKU_Master'!$F$2:$F$378,0)*AE172,"")</f>
        <v/>
      </c>
      <c r="K170" s="587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88" t="n"/>
      <c r="Z170" s="589" t="n"/>
      <c r="AA170" s="589" t="n"/>
      <c r="AB170" s="589" t="n"/>
      <c r="AC170" s="589" t="n">
        <v>0</v>
      </c>
      <c r="AD170" s="589" t="n">
        <v>0</v>
      </c>
      <c r="AE170" s="589" t="n">
        <v>0</v>
      </c>
      <c r="AF170" s="587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86">
        <f>_xludf.IFNA(_xlfn.XLOOKUP(C173,'00_SKU_Master'!$B$2:$B$378,'00_SKU_Master'!$F$2:$F$378,0)*Y173,"")</f>
        <v/>
      </c>
      <c r="E171" s="586">
        <f>_xludf.IFNA(_xlfn.XLOOKUP(C173,'00_SKU_Master'!$B$2:$B$378,'00_SKU_Master'!$F$2:$F$378,0)*Z173,"")</f>
        <v/>
      </c>
      <c r="F171" s="586">
        <f>_xludf.IFNA(_xlfn.XLOOKUP(C173,'00_SKU_Master'!$B$2:$B$378,'00_SKU_Master'!$F$2:$F$378,0)*AA173,"")</f>
        <v/>
      </c>
      <c r="G171" s="586">
        <f>_xludf.IFNA(_xlfn.XLOOKUP(C173,'00_SKU_Master'!$B$2:$B$378,'00_SKU_Master'!$F$2:$F$378,0)*AB173,"")</f>
        <v/>
      </c>
      <c r="H171" s="586">
        <f>_xludf.IFNA(_xlfn.XLOOKUP(C173,'00_SKU_Master'!$B$2:$B$378,'00_SKU_Master'!$F$2:$F$378,0)*AC173,"")</f>
        <v/>
      </c>
      <c r="I171" s="586">
        <f>_xludf.IFNA(_xlfn.XLOOKUP(C173,'00_SKU_Master'!$B$2:$B$378,'00_SKU_Master'!$F$2:$F$378,0)*AD173,"")</f>
        <v/>
      </c>
      <c r="J171" s="586">
        <f>_xludf.IFNA(_xlfn.XLOOKUP(C173,'00_SKU_Master'!$B$2:$B$378,'00_SKU_Master'!$F$2:$F$378,0)*AE173,"")</f>
        <v/>
      </c>
      <c r="K171" s="587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88" t="n"/>
      <c r="Z171" s="589" t="n"/>
      <c r="AA171" s="589" t="n"/>
      <c r="AB171" s="589" t="n"/>
      <c r="AC171" s="589" t="n">
        <v>0</v>
      </c>
      <c r="AD171" s="589" t="n">
        <v>0</v>
      </c>
      <c r="AE171" s="589" t="n">
        <v>0</v>
      </c>
      <c r="AF171" s="587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86">
        <f>_xludf.IFNA(_xlfn.XLOOKUP(C174,'00_SKU_Master'!$B$2:$B$378,'00_SKU_Master'!$F$2:$F$378,0)*Y174,"")</f>
        <v/>
      </c>
      <c r="E172" s="586">
        <f>_xludf.IFNA(_xlfn.XLOOKUP(C174,'00_SKU_Master'!$B$2:$B$378,'00_SKU_Master'!$F$2:$F$378,0)*Z174,"")</f>
        <v/>
      </c>
      <c r="F172" s="586">
        <f>_xludf.IFNA(_xlfn.XLOOKUP(C174,'00_SKU_Master'!$B$2:$B$378,'00_SKU_Master'!$F$2:$F$378,0)*AA174,"")</f>
        <v/>
      </c>
      <c r="G172" s="586">
        <f>_xludf.IFNA(_xlfn.XLOOKUP(C174,'00_SKU_Master'!$B$2:$B$378,'00_SKU_Master'!$F$2:$F$378,0)*AB174,"")</f>
        <v/>
      </c>
      <c r="H172" s="586">
        <f>_xludf.IFNA(_xlfn.XLOOKUP(C174,'00_SKU_Master'!$B$2:$B$378,'00_SKU_Master'!$F$2:$F$378,0)*AC174,"")</f>
        <v/>
      </c>
      <c r="I172" s="586">
        <f>_xludf.IFNA(_xlfn.XLOOKUP(C174,'00_SKU_Master'!$B$2:$B$378,'00_SKU_Master'!$F$2:$F$378,0)*AD174,"")</f>
        <v/>
      </c>
      <c r="J172" s="586">
        <f>_xludf.IFNA(_xlfn.XLOOKUP(C174,'00_SKU_Master'!$B$2:$B$378,'00_SKU_Master'!$F$2:$F$378,0)*AE174,"")</f>
        <v/>
      </c>
      <c r="K172" s="587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88" t="n"/>
      <c r="Z172" s="589" t="n"/>
      <c r="AA172" s="589" t="n"/>
      <c r="AB172" s="589" t="n"/>
      <c r="AC172" s="589" t="n">
        <v>0</v>
      </c>
      <c r="AD172" s="589" t="n">
        <v>0</v>
      </c>
      <c r="AE172" s="589" t="n">
        <v>0</v>
      </c>
      <c r="AF172" s="587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86">
        <f>_xludf.IFNA(_xlfn.XLOOKUP(C175,'00_SKU_Master'!$B$2:$B$378,'00_SKU_Master'!$F$2:$F$378,0)*Y175,"")</f>
        <v/>
      </c>
      <c r="E173" s="586">
        <f>_xludf.IFNA(_xlfn.XLOOKUP(C175,'00_SKU_Master'!$B$2:$B$378,'00_SKU_Master'!$F$2:$F$378,0)*Z175,"")</f>
        <v/>
      </c>
      <c r="F173" s="586">
        <f>_xludf.IFNA(_xlfn.XLOOKUP(C175,'00_SKU_Master'!$B$2:$B$378,'00_SKU_Master'!$F$2:$F$378,0)*AA175,"")</f>
        <v/>
      </c>
      <c r="G173" s="586">
        <f>_xludf.IFNA(_xlfn.XLOOKUP(C175,'00_SKU_Master'!$B$2:$B$378,'00_SKU_Master'!$F$2:$F$378,0)*AB175,"")</f>
        <v/>
      </c>
      <c r="H173" s="586">
        <f>_xludf.IFNA(_xlfn.XLOOKUP(C175,'00_SKU_Master'!$B$2:$B$378,'00_SKU_Master'!$F$2:$F$378,0)*AC175,"")</f>
        <v/>
      </c>
      <c r="I173" s="586">
        <f>_xludf.IFNA(_xlfn.XLOOKUP(C175,'00_SKU_Master'!$B$2:$B$378,'00_SKU_Master'!$F$2:$F$378,0)*AD175,"")</f>
        <v/>
      </c>
      <c r="J173" s="586">
        <f>_xludf.IFNA(_xlfn.XLOOKUP(C175,'00_SKU_Master'!$B$2:$B$378,'00_SKU_Master'!$F$2:$F$378,0)*AE175,"")</f>
        <v/>
      </c>
      <c r="K173" s="587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88" t="n"/>
      <c r="Z173" s="589" t="n"/>
      <c r="AA173" s="589" t="n"/>
      <c r="AB173" s="589" t="n"/>
      <c r="AC173" s="589" t="n">
        <v>0</v>
      </c>
      <c r="AD173" s="589" t="n">
        <v>0</v>
      </c>
      <c r="AE173" s="589" t="n">
        <v>0</v>
      </c>
      <c r="AF173" s="587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86">
        <f>_xludf.IFNA(_xlfn.XLOOKUP(C176,'00_SKU_Master'!$B$2:$B$378,'00_SKU_Master'!$F$2:$F$378,0)*Y176,"")</f>
        <v/>
      </c>
      <c r="E174" s="586">
        <f>_xludf.IFNA(_xlfn.XLOOKUP(C176,'00_SKU_Master'!$B$2:$B$378,'00_SKU_Master'!$F$2:$F$378,0)*Z176,"")</f>
        <v/>
      </c>
      <c r="F174" s="586">
        <f>_xludf.IFNA(_xlfn.XLOOKUP(C176,'00_SKU_Master'!$B$2:$B$378,'00_SKU_Master'!$F$2:$F$378,0)*AA176,"")</f>
        <v/>
      </c>
      <c r="G174" s="586">
        <f>_xludf.IFNA(_xlfn.XLOOKUP(C176,'00_SKU_Master'!$B$2:$B$378,'00_SKU_Master'!$F$2:$F$378,0)*AB176,"")</f>
        <v/>
      </c>
      <c r="H174" s="586">
        <f>_xludf.IFNA(_xlfn.XLOOKUP(C176,'00_SKU_Master'!$B$2:$B$378,'00_SKU_Master'!$F$2:$F$378,0)*AC176,"")</f>
        <v/>
      </c>
      <c r="I174" s="586">
        <f>_xludf.IFNA(_xlfn.XLOOKUP(C176,'00_SKU_Master'!$B$2:$B$378,'00_SKU_Master'!$F$2:$F$378,0)*AD176,"")</f>
        <v/>
      </c>
      <c r="J174" s="586">
        <f>_xludf.IFNA(_xlfn.XLOOKUP(C176,'00_SKU_Master'!$B$2:$B$378,'00_SKU_Master'!$F$2:$F$378,0)*AE176,"")</f>
        <v/>
      </c>
      <c r="K174" s="587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88" t="n"/>
      <c r="Z174" s="589" t="n"/>
      <c r="AA174" s="589" t="n"/>
      <c r="AB174" s="589" t="n"/>
      <c r="AC174" s="589" t="n">
        <v>0</v>
      </c>
      <c r="AD174" s="589" t="n">
        <v>0</v>
      </c>
      <c r="AE174" s="589" t="n">
        <v>0</v>
      </c>
      <c r="AF174" s="587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86">
        <f>_xludf.IFNA(_xlfn.XLOOKUP(C177,'00_SKU_Master'!$B$2:$B$378,'00_SKU_Master'!$F$2:$F$378,0)*Y177,"")</f>
        <v/>
      </c>
      <c r="E175" s="586">
        <f>_xludf.IFNA(_xlfn.XLOOKUP(C177,'00_SKU_Master'!$B$2:$B$378,'00_SKU_Master'!$F$2:$F$378,0)*Z177,"")</f>
        <v/>
      </c>
      <c r="F175" s="586">
        <f>_xludf.IFNA(_xlfn.XLOOKUP(C177,'00_SKU_Master'!$B$2:$B$378,'00_SKU_Master'!$F$2:$F$378,0)*AA177,"")</f>
        <v/>
      </c>
      <c r="G175" s="586">
        <f>_xludf.IFNA(_xlfn.XLOOKUP(C177,'00_SKU_Master'!$B$2:$B$378,'00_SKU_Master'!$F$2:$F$378,0)*AB177,"")</f>
        <v/>
      </c>
      <c r="H175" s="586">
        <f>_xludf.IFNA(_xlfn.XLOOKUP(C177,'00_SKU_Master'!$B$2:$B$378,'00_SKU_Master'!$F$2:$F$378,0)*AC177,"")</f>
        <v/>
      </c>
      <c r="I175" s="586">
        <f>_xludf.IFNA(_xlfn.XLOOKUP(C177,'00_SKU_Master'!$B$2:$B$378,'00_SKU_Master'!$F$2:$F$378,0)*AD177,"")</f>
        <v/>
      </c>
      <c r="J175" s="586">
        <f>_xludf.IFNA(_xlfn.XLOOKUP(C177,'00_SKU_Master'!$B$2:$B$378,'00_SKU_Master'!$F$2:$F$378,0)*AE177,"")</f>
        <v/>
      </c>
      <c r="K175" s="587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88" t="n"/>
      <c r="Z175" s="589" t="n"/>
      <c r="AA175" s="589" t="n"/>
      <c r="AB175" s="589" t="n"/>
      <c r="AC175" s="589" t="n">
        <v>0</v>
      </c>
      <c r="AD175" s="589" t="n">
        <v>0</v>
      </c>
      <c r="AE175" s="589" t="n">
        <v>0</v>
      </c>
      <c r="AF175" s="587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86">
        <f>_xludf.IFNA(_xlfn.XLOOKUP(C178,'00_SKU_Master'!$B$2:$B$378,'00_SKU_Master'!$F$2:$F$378,0)*Y178,"")</f>
        <v/>
      </c>
      <c r="E176" s="586">
        <f>_xludf.IFNA(_xlfn.XLOOKUP(C178,'00_SKU_Master'!$B$2:$B$378,'00_SKU_Master'!$F$2:$F$378,0)*Z178,"")</f>
        <v/>
      </c>
      <c r="F176" s="586">
        <f>_xludf.IFNA(_xlfn.XLOOKUP(C178,'00_SKU_Master'!$B$2:$B$378,'00_SKU_Master'!$F$2:$F$378,0)*AA178,"")</f>
        <v/>
      </c>
      <c r="G176" s="586">
        <f>_xludf.IFNA(_xlfn.XLOOKUP(C178,'00_SKU_Master'!$B$2:$B$378,'00_SKU_Master'!$F$2:$F$378,0)*AB178,"")</f>
        <v/>
      </c>
      <c r="H176" s="586">
        <f>_xludf.IFNA(_xlfn.XLOOKUP(C178,'00_SKU_Master'!$B$2:$B$378,'00_SKU_Master'!$F$2:$F$378,0)*AC178,"")</f>
        <v/>
      </c>
      <c r="I176" s="586">
        <f>_xludf.IFNA(_xlfn.XLOOKUP(C178,'00_SKU_Master'!$B$2:$B$378,'00_SKU_Master'!$F$2:$F$378,0)*AD178,"")</f>
        <v/>
      </c>
      <c r="J176" s="586">
        <f>_xludf.IFNA(_xlfn.XLOOKUP(C178,'00_SKU_Master'!$B$2:$B$378,'00_SKU_Master'!$F$2:$F$378,0)*AE178,"")</f>
        <v/>
      </c>
      <c r="K176" s="587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88" t="n"/>
      <c r="Z176" s="589" t="n"/>
      <c r="AA176" s="589" t="n"/>
      <c r="AB176" s="589" t="n"/>
      <c r="AC176" s="589" t="n">
        <v>0</v>
      </c>
      <c r="AD176" s="589" t="n">
        <v>0</v>
      </c>
      <c r="AE176" s="589" t="n">
        <v>0</v>
      </c>
      <c r="AF176" s="587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86">
        <f>_xludf.IFNA(_xlfn.XLOOKUP(C179,'00_SKU_Master'!$B$2:$B$378,'00_SKU_Master'!$F$2:$F$378,0)*Y179,"")</f>
        <v/>
      </c>
      <c r="E177" s="586">
        <f>_xludf.IFNA(_xlfn.XLOOKUP(C179,'00_SKU_Master'!$B$2:$B$378,'00_SKU_Master'!$F$2:$F$378,0)*Z179,"")</f>
        <v/>
      </c>
      <c r="F177" s="586">
        <f>_xludf.IFNA(_xlfn.XLOOKUP(C179,'00_SKU_Master'!$B$2:$B$378,'00_SKU_Master'!$F$2:$F$378,0)*AA179,"")</f>
        <v/>
      </c>
      <c r="G177" s="586">
        <f>_xludf.IFNA(_xlfn.XLOOKUP(C179,'00_SKU_Master'!$B$2:$B$378,'00_SKU_Master'!$F$2:$F$378,0)*AB179,"")</f>
        <v/>
      </c>
      <c r="H177" s="586">
        <f>_xludf.IFNA(_xlfn.XLOOKUP(C179,'00_SKU_Master'!$B$2:$B$378,'00_SKU_Master'!$F$2:$F$378,0)*AC179,"")</f>
        <v/>
      </c>
      <c r="I177" s="586">
        <f>_xludf.IFNA(_xlfn.XLOOKUP(C179,'00_SKU_Master'!$B$2:$B$378,'00_SKU_Master'!$F$2:$F$378,0)*AD179,"")</f>
        <v/>
      </c>
      <c r="J177" s="586">
        <f>_xludf.IFNA(_xlfn.XLOOKUP(C179,'00_SKU_Master'!$B$2:$B$378,'00_SKU_Master'!$F$2:$F$378,0)*AE179,"")</f>
        <v/>
      </c>
      <c r="K177" s="587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88" t="n"/>
      <c r="Z177" s="589" t="n"/>
      <c r="AA177" s="589" t="n"/>
      <c r="AB177" s="589" t="n"/>
      <c r="AC177" s="589" t="n">
        <v>0</v>
      </c>
      <c r="AD177" s="589" t="n">
        <v>0</v>
      </c>
      <c r="AE177" s="589" t="n">
        <v>0</v>
      </c>
      <c r="AF177" s="587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86">
        <f>_xludf.IFNA(_xlfn.XLOOKUP(C180,'00_SKU_Master'!$B$2:$B$378,'00_SKU_Master'!$F$2:$F$378,0)*Y180,"")</f>
        <v/>
      </c>
      <c r="E178" s="586">
        <f>_xludf.IFNA(_xlfn.XLOOKUP(C180,'00_SKU_Master'!$B$2:$B$378,'00_SKU_Master'!$F$2:$F$378,0)*Z180,"")</f>
        <v/>
      </c>
      <c r="F178" s="586">
        <f>_xludf.IFNA(_xlfn.XLOOKUP(C180,'00_SKU_Master'!$B$2:$B$378,'00_SKU_Master'!$F$2:$F$378,0)*AA180,"")</f>
        <v/>
      </c>
      <c r="G178" s="586">
        <f>_xludf.IFNA(_xlfn.XLOOKUP(C180,'00_SKU_Master'!$B$2:$B$378,'00_SKU_Master'!$F$2:$F$378,0)*AB180,"")</f>
        <v/>
      </c>
      <c r="H178" s="586">
        <f>_xludf.IFNA(_xlfn.XLOOKUP(C180,'00_SKU_Master'!$B$2:$B$378,'00_SKU_Master'!$F$2:$F$378,0)*AC180,"")</f>
        <v/>
      </c>
      <c r="I178" s="586">
        <f>_xludf.IFNA(_xlfn.XLOOKUP(C180,'00_SKU_Master'!$B$2:$B$378,'00_SKU_Master'!$F$2:$F$378,0)*AD180,"")</f>
        <v/>
      </c>
      <c r="J178" s="586">
        <f>_xludf.IFNA(_xlfn.XLOOKUP(C180,'00_SKU_Master'!$B$2:$B$378,'00_SKU_Master'!$F$2:$F$378,0)*AE180,"")</f>
        <v/>
      </c>
      <c r="K178" s="587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88" t="n"/>
      <c r="Z178" s="589" t="n"/>
      <c r="AA178" s="589" t="n"/>
      <c r="AB178" s="589" t="n"/>
      <c r="AC178" s="589" t="n">
        <v>0</v>
      </c>
      <c r="AD178" s="589" t="n">
        <v>0</v>
      </c>
      <c r="AE178" s="589" t="n">
        <v>0</v>
      </c>
      <c r="AF178" s="587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86">
        <f>_xludf.IFNA(_xlfn.XLOOKUP(C181,'00_SKU_Master'!$B$2:$B$378,'00_SKU_Master'!$F$2:$F$378,0)*Y181,"")</f>
        <v/>
      </c>
      <c r="E179" s="586">
        <f>_xludf.IFNA(_xlfn.XLOOKUP(C181,'00_SKU_Master'!$B$2:$B$378,'00_SKU_Master'!$F$2:$F$378,0)*Z181,"")</f>
        <v/>
      </c>
      <c r="F179" s="586">
        <f>_xludf.IFNA(_xlfn.XLOOKUP(C181,'00_SKU_Master'!$B$2:$B$378,'00_SKU_Master'!$F$2:$F$378,0)*AA181,"")</f>
        <v/>
      </c>
      <c r="G179" s="586">
        <f>_xludf.IFNA(_xlfn.XLOOKUP(C181,'00_SKU_Master'!$B$2:$B$378,'00_SKU_Master'!$F$2:$F$378,0)*AB181,"")</f>
        <v/>
      </c>
      <c r="H179" s="586">
        <f>_xludf.IFNA(_xlfn.XLOOKUP(C181,'00_SKU_Master'!$B$2:$B$378,'00_SKU_Master'!$F$2:$F$378,0)*AC181,"")</f>
        <v/>
      </c>
      <c r="I179" s="586">
        <f>_xludf.IFNA(_xlfn.XLOOKUP(C181,'00_SKU_Master'!$B$2:$B$378,'00_SKU_Master'!$F$2:$F$378,0)*AD181,"")</f>
        <v/>
      </c>
      <c r="J179" s="586">
        <f>_xludf.IFNA(_xlfn.XLOOKUP(C181,'00_SKU_Master'!$B$2:$B$378,'00_SKU_Master'!$F$2:$F$378,0)*AE181,"")</f>
        <v/>
      </c>
      <c r="K179" s="587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88" t="n"/>
      <c r="Z179" s="589" t="n"/>
      <c r="AA179" s="589" t="n"/>
      <c r="AB179" s="589" t="n"/>
      <c r="AC179" s="589" t="n">
        <v>0</v>
      </c>
      <c r="AD179" s="589" t="n">
        <v>0</v>
      </c>
      <c r="AE179" s="589" t="n">
        <v>0</v>
      </c>
      <c r="AF179" s="587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86">
        <f>_xludf.IFNA(_xlfn.XLOOKUP(C182,'00_SKU_Master'!$B$2:$B$378,'00_SKU_Master'!$F$2:$F$378,0)*Y182,"")</f>
        <v/>
      </c>
      <c r="E180" s="586">
        <f>_xludf.IFNA(_xlfn.XLOOKUP(C182,'00_SKU_Master'!$B$2:$B$378,'00_SKU_Master'!$F$2:$F$378,0)*Z182,"")</f>
        <v/>
      </c>
      <c r="F180" s="586">
        <f>_xludf.IFNA(_xlfn.XLOOKUP(C182,'00_SKU_Master'!$B$2:$B$378,'00_SKU_Master'!$F$2:$F$378,0)*AA182,"")</f>
        <v/>
      </c>
      <c r="G180" s="586">
        <f>_xludf.IFNA(_xlfn.XLOOKUP(C182,'00_SKU_Master'!$B$2:$B$378,'00_SKU_Master'!$F$2:$F$378,0)*AB182,"")</f>
        <v/>
      </c>
      <c r="H180" s="586">
        <f>_xludf.IFNA(_xlfn.XLOOKUP(C182,'00_SKU_Master'!$B$2:$B$378,'00_SKU_Master'!$F$2:$F$378,0)*AC182,"")</f>
        <v/>
      </c>
      <c r="I180" s="586">
        <f>_xludf.IFNA(_xlfn.XLOOKUP(C182,'00_SKU_Master'!$B$2:$B$378,'00_SKU_Master'!$F$2:$F$378,0)*AD182,"")</f>
        <v/>
      </c>
      <c r="J180" s="586">
        <f>_xludf.IFNA(_xlfn.XLOOKUP(C182,'00_SKU_Master'!$B$2:$B$378,'00_SKU_Master'!$F$2:$F$378,0)*AE182,"")</f>
        <v/>
      </c>
      <c r="K180" s="587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88" t="n"/>
      <c r="Z180" s="589" t="n"/>
      <c r="AA180" s="589" t="n"/>
      <c r="AB180" s="589" t="n"/>
      <c r="AC180" s="589" t="n">
        <v>0</v>
      </c>
      <c r="AD180" s="589" t="n">
        <v>0</v>
      </c>
      <c r="AE180" s="589" t="n">
        <v>0</v>
      </c>
      <c r="AF180" s="587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86">
        <f>_xludf.IFNA(_xlfn.XLOOKUP(C183,'00_SKU_Master'!$B$2:$B$378,'00_SKU_Master'!$F$2:$F$378,0)*Y183,"")</f>
        <v/>
      </c>
      <c r="E181" s="586">
        <f>_xludf.IFNA(_xlfn.XLOOKUP(C183,'00_SKU_Master'!$B$2:$B$378,'00_SKU_Master'!$F$2:$F$378,0)*Z183,"")</f>
        <v/>
      </c>
      <c r="F181" s="586">
        <f>_xludf.IFNA(_xlfn.XLOOKUP(C183,'00_SKU_Master'!$B$2:$B$378,'00_SKU_Master'!$F$2:$F$378,0)*AA183,"")</f>
        <v/>
      </c>
      <c r="G181" s="586">
        <f>_xludf.IFNA(_xlfn.XLOOKUP(C183,'00_SKU_Master'!$B$2:$B$378,'00_SKU_Master'!$F$2:$F$378,0)*AB183,"")</f>
        <v/>
      </c>
      <c r="H181" s="586">
        <f>_xludf.IFNA(_xlfn.XLOOKUP(C183,'00_SKU_Master'!$B$2:$B$378,'00_SKU_Master'!$F$2:$F$378,0)*AC183,"")</f>
        <v/>
      </c>
      <c r="I181" s="586">
        <f>_xludf.IFNA(_xlfn.XLOOKUP(C183,'00_SKU_Master'!$B$2:$B$378,'00_SKU_Master'!$F$2:$F$378,0)*AD183,"")</f>
        <v/>
      </c>
      <c r="J181" s="586">
        <f>_xludf.IFNA(_xlfn.XLOOKUP(C183,'00_SKU_Master'!$B$2:$B$378,'00_SKU_Master'!$F$2:$F$378,0)*AE183,"")</f>
        <v/>
      </c>
      <c r="K181" s="587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88" t="n"/>
      <c r="Z181" s="589" t="n"/>
      <c r="AA181" s="589" t="n"/>
      <c r="AB181" s="589" t="n"/>
      <c r="AC181" s="589" t="n">
        <v>0</v>
      </c>
      <c r="AD181" s="589" t="n">
        <v>0</v>
      </c>
      <c r="AE181" s="589" t="n">
        <v>0</v>
      </c>
      <c r="AF181" s="587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86">
        <f>_xludf.IFNA(_xlfn.XLOOKUP(C184,'00_SKU_Master'!$B$2:$B$378,'00_SKU_Master'!$F$2:$F$378,0)*Y184,"")</f>
        <v/>
      </c>
      <c r="E182" s="586">
        <f>_xludf.IFNA(_xlfn.XLOOKUP(C184,'00_SKU_Master'!$B$2:$B$378,'00_SKU_Master'!$F$2:$F$378,0)*Z184,"")</f>
        <v/>
      </c>
      <c r="F182" s="586">
        <f>_xludf.IFNA(_xlfn.XLOOKUP(C184,'00_SKU_Master'!$B$2:$B$378,'00_SKU_Master'!$F$2:$F$378,0)*AA184,"")</f>
        <v/>
      </c>
      <c r="G182" s="586">
        <f>_xludf.IFNA(_xlfn.XLOOKUP(C184,'00_SKU_Master'!$B$2:$B$378,'00_SKU_Master'!$F$2:$F$378,0)*AB184,"")</f>
        <v/>
      </c>
      <c r="H182" s="586">
        <f>_xludf.IFNA(_xlfn.XLOOKUP(C184,'00_SKU_Master'!$B$2:$B$378,'00_SKU_Master'!$F$2:$F$378,0)*AC184,"")</f>
        <v/>
      </c>
      <c r="I182" s="586">
        <f>_xludf.IFNA(_xlfn.XLOOKUP(C184,'00_SKU_Master'!$B$2:$B$378,'00_SKU_Master'!$F$2:$F$378,0)*AD184,"")</f>
        <v/>
      </c>
      <c r="J182" s="586">
        <f>_xludf.IFNA(_xlfn.XLOOKUP(C184,'00_SKU_Master'!$B$2:$B$378,'00_SKU_Master'!$F$2:$F$378,0)*AE184,"")</f>
        <v/>
      </c>
      <c r="K182" s="587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88" t="n"/>
      <c r="Z182" s="589" t="n"/>
      <c r="AA182" s="589" t="n"/>
      <c r="AB182" s="589" t="n"/>
      <c r="AC182" s="589" t="n">
        <v>0</v>
      </c>
      <c r="AD182" s="589" t="n">
        <v>0</v>
      </c>
      <c r="AE182" s="589" t="n">
        <v>0</v>
      </c>
      <c r="AF182" s="587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86">
        <f>_xludf.IFNA(_xlfn.XLOOKUP(C185,'00_SKU_Master'!$B$2:$B$378,'00_SKU_Master'!$F$2:$F$378,0)*Y185,"")</f>
        <v/>
      </c>
      <c r="E183" s="586">
        <f>_xludf.IFNA(_xlfn.XLOOKUP(C185,'00_SKU_Master'!$B$2:$B$378,'00_SKU_Master'!$F$2:$F$378,0)*Z185,"")</f>
        <v/>
      </c>
      <c r="F183" s="586">
        <f>_xludf.IFNA(_xlfn.XLOOKUP(C185,'00_SKU_Master'!$B$2:$B$378,'00_SKU_Master'!$F$2:$F$378,0)*AA185,"")</f>
        <v/>
      </c>
      <c r="G183" s="586">
        <f>_xludf.IFNA(_xlfn.XLOOKUP(C185,'00_SKU_Master'!$B$2:$B$378,'00_SKU_Master'!$F$2:$F$378,0)*AB185,"")</f>
        <v/>
      </c>
      <c r="H183" s="586">
        <f>_xludf.IFNA(_xlfn.XLOOKUP(C185,'00_SKU_Master'!$B$2:$B$378,'00_SKU_Master'!$F$2:$F$378,0)*AC185,"")</f>
        <v/>
      </c>
      <c r="I183" s="586">
        <f>_xludf.IFNA(_xlfn.XLOOKUP(C185,'00_SKU_Master'!$B$2:$B$378,'00_SKU_Master'!$F$2:$F$378,0)*AD185,"")</f>
        <v/>
      </c>
      <c r="J183" s="586">
        <f>_xludf.IFNA(_xlfn.XLOOKUP(C185,'00_SKU_Master'!$B$2:$B$378,'00_SKU_Master'!$F$2:$F$378,0)*AE185,"")</f>
        <v/>
      </c>
      <c r="K183" s="587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88" t="n"/>
      <c r="Z183" s="589" t="n"/>
      <c r="AA183" s="589" t="n"/>
      <c r="AB183" s="589" t="n"/>
      <c r="AC183" s="589" t="n">
        <v>0</v>
      </c>
      <c r="AD183" s="589" t="n">
        <v>0</v>
      </c>
      <c r="AE183" s="589" t="n">
        <v>0</v>
      </c>
      <c r="AF183" s="587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86">
        <f>_xludf.IFNA(_xlfn.XLOOKUP(C186,'00_SKU_Master'!$B$2:$B$378,'00_SKU_Master'!$F$2:$F$378,0)*Y186,"")</f>
        <v/>
      </c>
      <c r="E184" s="586">
        <f>_xludf.IFNA(_xlfn.XLOOKUP(C186,'00_SKU_Master'!$B$2:$B$378,'00_SKU_Master'!$F$2:$F$378,0)*Z186,"")</f>
        <v/>
      </c>
      <c r="F184" s="586">
        <f>_xludf.IFNA(_xlfn.XLOOKUP(C186,'00_SKU_Master'!$B$2:$B$378,'00_SKU_Master'!$F$2:$F$378,0)*AA186,"")</f>
        <v/>
      </c>
      <c r="G184" s="586">
        <f>_xludf.IFNA(_xlfn.XLOOKUP(C186,'00_SKU_Master'!$B$2:$B$378,'00_SKU_Master'!$F$2:$F$378,0)*AB186,"")</f>
        <v/>
      </c>
      <c r="H184" s="586">
        <f>_xludf.IFNA(_xlfn.XLOOKUP(C186,'00_SKU_Master'!$B$2:$B$378,'00_SKU_Master'!$F$2:$F$378,0)*AC186,"")</f>
        <v/>
      </c>
      <c r="I184" s="586">
        <f>_xludf.IFNA(_xlfn.XLOOKUP(C186,'00_SKU_Master'!$B$2:$B$378,'00_SKU_Master'!$F$2:$F$378,0)*AD186,"")</f>
        <v/>
      </c>
      <c r="J184" s="586">
        <f>_xludf.IFNA(_xlfn.XLOOKUP(C186,'00_SKU_Master'!$B$2:$B$378,'00_SKU_Master'!$F$2:$F$378,0)*AE186,"")</f>
        <v/>
      </c>
      <c r="K184" s="587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88" t="n"/>
      <c r="Z184" s="589" t="n"/>
      <c r="AA184" s="589" t="n"/>
      <c r="AB184" s="589" t="n"/>
      <c r="AC184" s="589" t="n">
        <v>0</v>
      </c>
      <c r="AD184" s="589" t="n">
        <v>0</v>
      </c>
      <c r="AE184" s="589" t="n">
        <v>0</v>
      </c>
      <c r="AF184" s="587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86">
        <f>_xludf.IFNA(_xlfn.XLOOKUP(C187,'00_SKU_Master'!$B$2:$B$378,'00_SKU_Master'!$F$2:$F$378,0)*Y187,"")</f>
        <v/>
      </c>
      <c r="E185" s="586">
        <f>_xludf.IFNA(_xlfn.XLOOKUP(C187,'00_SKU_Master'!$B$2:$B$378,'00_SKU_Master'!$F$2:$F$378,0)*Z187,"")</f>
        <v/>
      </c>
      <c r="F185" s="586">
        <f>_xludf.IFNA(_xlfn.XLOOKUP(C187,'00_SKU_Master'!$B$2:$B$378,'00_SKU_Master'!$F$2:$F$378,0)*AA187,"")</f>
        <v/>
      </c>
      <c r="G185" s="586">
        <f>_xludf.IFNA(_xlfn.XLOOKUP(C187,'00_SKU_Master'!$B$2:$B$378,'00_SKU_Master'!$F$2:$F$378,0)*AB187,"")</f>
        <v/>
      </c>
      <c r="H185" s="586">
        <f>_xludf.IFNA(_xlfn.XLOOKUP(C187,'00_SKU_Master'!$B$2:$B$378,'00_SKU_Master'!$F$2:$F$378,0)*AC187,"")</f>
        <v/>
      </c>
      <c r="I185" s="586">
        <f>_xludf.IFNA(_xlfn.XLOOKUP(C187,'00_SKU_Master'!$B$2:$B$378,'00_SKU_Master'!$F$2:$F$378,0)*AD187,"")</f>
        <v/>
      </c>
      <c r="J185" s="586">
        <f>_xludf.IFNA(_xlfn.XLOOKUP(C187,'00_SKU_Master'!$B$2:$B$378,'00_SKU_Master'!$F$2:$F$378,0)*AE187,"")</f>
        <v/>
      </c>
      <c r="K185" s="587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88" t="n"/>
      <c r="Z185" s="589" t="n"/>
      <c r="AA185" s="589" t="n"/>
      <c r="AB185" s="589" t="n"/>
      <c r="AC185" s="589" t="n">
        <v>0</v>
      </c>
      <c r="AD185" s="589" t="n">
        <v>0</v>
      </c>
      <c r="AE185" s="589" t="n">
        <v>0</v>
      </c>
      <c r="AF185" s="587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86">
        <f>_xludf.IFNA(_xlfn.XLOOKUP(C188,'00_SKU_Master'!$B$2:$B$378,'00_SKU_Master'!$F$2:$F$378,0)*Y188,"")</f>
        <v/>
      </c>
      <c r="E186" s="586">
        <f>_xludf.IFNA(_xlfn.XLOOKUP(C188,'00_SKU_Master'!$B$2:$B$378,'00_SKU_Master'!$F$2:$F$378,0)*Z188,"")</f>
        <v/>
      </c>
      <c r="F186" s="586">
        <f>_xludf.IFNA(_xlfn.XLOOKUP(C188,'00_SKU_Master'!$B$2:$B$378,'00_SKU_Master'!$F$2:$F$378,0)*AA188,"")</f>
        <v/>
      </c>
      <c r="G186" s="586">
        <f>_xludf.IFNA(_xlfn.XLOOKUP(C188,'00_SKU_Master'!$B$2:$B$378,'00_SKU_Master'!$F$2:$F$378,0)*AB188,"")</f>
        <v/>
      </c>
      <c r="H186" s="586">
        <f>_xludf.IFNA(_xlfn.XLOOKUP(C188,'00_SKU_Master'!$B$2:$B$378,'00_SKU_Master'!$F$2:$F$378,0)*AC188,"")</f>
        <v/>
      </c>
      <c r="I186" s="586">
        <f>_xludf.IFNA(_xlfn.XLOOKUP(C188,'00_SKU_Master'!$B$2:$B$378,'00_SKU_Master'!$F$2:$F$378,0)*AD188,"")</f>
        <v/>
      </c>
      <c r="J186" s="586">
        <f>_xludf.IFNA(_xlfn.XLOOKUP(C188,'00_SKU_Master'!$B$2:$B$378,'00_SKU_Master'!$F$2:$F$378,0)*AE188,"")</f>
        <v/>
      </c>
      <c r="K186" s="587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88" t="n"/>
      <c r="Z186" s="589" t="n"/>
      <c r="AA186" s="589" t="n"/>
      <c r="AB186" s="589" t="n"/>
      <c r="AC186" s="589" t="n">
        <v>0</v>
      </c>
      <c r="AD186" s="589" t="n">
        <v>0</v>
      </c>
      <c r="AE186" s="589" t="n">
        <v>0</v>
      </c>
      <c r="AF186" s="587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86">
        <f>_xludf.IFNA(_xlfn.XLOOKUP(C189,'00_SKU_Master'!$B$2:$B$378,'00_SKU_Master'!$F$2:$F$378,0)*Y189,"")</f>
        <v/>
      </c>
      <c r="E187" s="586">
        <f>_xludf.IFNA(_xlfn.XLOOKUP(C189,'00_SKU_Master'!$B$2:$B$378,'00_SKU_Master'!$F$2:$F$378,0)*Z189,"")</f>
        <v/>
      </c>
      <c r="F187" s="586">
        <f>_xludf.IFNA(_xlfn.XLOOKUP(C189,'00_SKU_Master'!$B$2:$B$378,'00_SKU_Master'!$F$2:$F$378,0)*AA189,"")</f>
        <v/>
      </c>
      <c r="G187" s="586">
        <f>_xludf.IFNA(_xlfn.XLOOKUP(C189,'00_SKU_Master'!$B$2:$B$378,'00_SKU_Master'!$F$2:$F$378,0)*AB189,"")</f>
        <v/>
      </c>
      <c r="H187" s="586">
        <f>_xludf.IFNA(_xlfn.XLOOKUP(C189,'00_SKU_Master'!$B$2:$B$378,'00_SKU_Master'!$F$2:$F$378,0)*AC189,"")</f>
        <v/>
      </c>
      <c r="I187" s="586">
        <f>_xludf.IFNA(_xlfn.XLOOKUP(C189,'00_SKU_Master'!$B$2:$B$378,'00_SKU_Master'!$F$2:$F$378,0)*AD189,"")</f>
        <v/>
      </c>
      <c r="J187" s="586">
        <f>_xludf.IFNA(_xlfn.XLOOKUP(C189,'00_SKU_Master'!$B$2:$B$378,'00_SKU_Master'!$F$2:$F$378,0)*AE189,"")</f>
        <v/>
      </c>
      <c r="K187" s="587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88" t="n"/>
      <c r="Z187" s="589" t="n"/>
      <c r="AA187" s="589" t="n"/>
      <c r="AB187" s="589" t="n"/>
      <c r="AC187" s="589" t="n">
        <v>239</v>
      </c>
      <c r="AD187" s="589" t="n">
        <v>110</v>
      </c>
      <c r="AE187" s="589" t="n">
        <v>73</v>
      </c>
      <c r="AF187" s="587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86">
        <f>_xludf.IFNA(_xlfn.XLOOKUP(C190,'00_SKU_Master'!$B$2:$B$378,'00_SKU_Master'!$F$2:$F$378,0)*Y190,"")</f>
        <v/>
      </c>
      <c r="E188" s="586">
        <f>_xludf.IFNA(_xlfn.XLOOKUP(C190,'00_SKU_Master'!$B$2:$B$378,'00_SKU_Master'!$F$2:$F$378,0)*Z190,"")</f>
        <v/>
      </c>
      <c r="F188" s="586">
        <f>_xludf.IFNA(_xlfn.XLOOKUP(C190,'00_SKU_Master'!$B$2:$B$378,'00_SKU_Master'!$F$2:$F$378,0)*AA190,"")</f>
        <v/>
      </c>
      <c r="G188" s="586">
        <f>_xludf.IFNA(_xlfn.XLOOKUP(C190,'00_SKU_Master'!$B$2:$B$378,'00_SKU_Master'!$F$2:$F$378,0)*AB190,"")</f>
        <v/>
      </c>
      <c r="H188" s="586">
        <f>_xludf.IFNA(_xlfn.XLOOKUP(C190,'00_SKU_Master'!$B$2:$B$378,'00_SKU_Master'!$F$2:$F$378,0)*AC190,"")</f>
        <v/>
      </c>
      <c r="I188" s="586">
        <f>_xludf.IFNA(_xlfn.XLOOKUP(C190,'00_SKU_Master'!$B$2:$B$378,'00_SKU_Master'!$F$2:$F$378,0)*AD190,"")</f>
        <v/>
      </c>
      <c r="J188" s="586">
        <f>_xludf.IFNA(_xlfn.XLOOKUP(C190,'00_SKU_Master'!$B$2:$B$378,'00_SKU_Master'!$F$2:$F$378,0)*AE190,"")</f>
        <v/>
      </c>
      <c r="K188" s="587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88" t="n"/>
      <c r="Z188" s="589" t="n"/>
      <c r="AA188" s="589" t="n"/>
      <c r="AB188" s="589" t="n"/>
      <c r="AC188" s="589" t="n">
        <v>81</v>
      </c>
      <c r="AD188" s="589" t="n">
        <v>82</v>
      </c>
      <c r="AE188" s="589" t="n">
        <v>56</v>
      </c>
      <c r="AF188" s="587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86">
        <f>_xludf.IFNA(_xlfn.XLOOKUP(C191,'00_SKU_Master'!$B$2:$B$378,'00_SKU_Master'!$F$2:$F$378,0)*Y191,"")</f>
        <v/>
      </c>
      <c r="E189" s="586">
        <f>_xludf.IFNA(_xlfn.XLOOKUP(C191,'00_SKU_Master'!$B$2:$B$378,'00_SKU_Master'!$F$2:$F$378,0)*Z191,"")</f>
        <v/>
      </c>
      <c r="F189" s="586">
        <f>_xludf.IFNA(_xlfn.XLOOKUP(C191,'00_SKU_Master'!$B$2:$B$378,'00_SKU_Master'!$F$2:$F$378,0)*AA191,"")</f>
        <v/>
      </c>
      <c r="G189" s="586">
        <f>_xludf.IFNA(_xlfn.XLOOKUP(C191,'00_SKU_Master'!$B$2:$B$378,'00_SKU_Master'!$F$2:$F$378,0)*AB191,"")</f>
        <v/>
      </c>
      <c r="H189" s="586">
        <f>_xludf.IFNA(_xlfn.XLOOKUP(C191,'00_SKU_Master'!$B$2:$B$378,'00_SKU_Master'!$F$2:$F$378,0)*AC191,"")</f>
        <v/>
      </c>
      <c r="I189" s="586">
        <f>_xludf.IFNA(_xlfn.XLOOKUP(C191,'00_SKU_Master'!$B$2:$B$378,'00_SKU_Master'!$F$2:$F$378,0)*AD191,"")</f>
        <v/>
      </c>
      <c r="J189" s="586">
        <f>_xludf.IFNA(_xlfn.XLOOKUP(C191,'00_SKU_Master'!$B$2:$B$378,'00_SKU_Master'!$F$2:$F$378,0)*AE191,"")</f>
        <v/>
      </c>
      <c r="K189" s="587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88" t="n"/>
      <c r="Z189" s="589" t="n"/>
      <c r="AA189" s="589" t="n"/>
      <c r="AB189" s="589" t="n"/>
      <c r="AC189" s="589" t="n">
        <v>145</v>
      </c>
      <c r="AD189" s="589" t="n">
        <v>140</v>
      </c>
      <c r="AE189" s="589" t="n">
        <v>87</v>
      </c>
      <c r="AF189" s="587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86">
        <f>_xludf.IFNA(_xlfn.XLOOKUP(C192,'00_SKU_Master'!$B$2:$B$378,'00_SKU_Master'!$F$2:$F$378,0)*Y192,"")</f>
        <v/>
      </c>
      <c r="E190" s="586">
        <f>_xludf.IFNA(_xlfn.XLOOKUP(C192,'00_SKU_Master'!$B$2:$B$378,'00_SKU_Master'!$F$2:$F$378,0)*Z192,"")</f>
        <v/>
      </c>
      <c r="F190" s="586">
        <f>_xludf.IFNA(_xlfn.XLOOKUP(C192,'00_SKU_Master'!$B$2:$B$378,'00_SKU_Master'!$F$2:$F$378,0)*AA192,"")</f>
        <v/>
      </c>
      <c r="G190" s="586">
        <f>_xludf.IFNA(_xlfn.XLOOKUP(C192,'00_SKU_Master'!$B$2:$B$378,'00_SKU_Master'!$F$2:$F$378,0)*AB192,"")</f>
        <v/>
      </c>
      <c r="H190" s="586">
        <f>_xludf.IFNA(_xlfn.XLOOKUP(C192,'00_SKU_Master'!$B$2:$B$378,'00_SKU_Master'!$F$2:$F$378,0)*AC192,"")</f>
        <v/>
      </c>
      <c r="I190" s="586">
        <f>_xludf.IFNA(_xlfn.XLOOKUP(C192,'00_SKU_Master'!$B$2:$B$378,'00_SKU_Master'!$F$2:$F$378,0)*AD192,"")</f>
        <v/>
      </c>
      <c r="J190" s="586">
        <f>_xludf.IFNA(_xlfn.XLOOKUP(C192,'00_SKU_Master'!$B$2:$B$378,'00_SKU_Master'!$F$2:$F$378,0)*AE192,"")</f>
        <v/>
      </c>
      <c r="K190" s="587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88" t="n"/>
      <c r="Z190" s="589" t="n"/>
      <c r="AA190" s="589" t="n"/>
      <c r="AB190" s="589" t="n"/>
      <c r="AC190" s="589" t="n">
        <v>522</v>
      </c>
      <c r="AD190" s="589" t="n">
        <v>556</v>
      </c>
      <c r="AE190" s="589" t="n">
        <v>337</v>
      </c>
      <c r="AF190" s="587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86">
        <f>_xludf.IFNA(_xlfn.XLOOKUP(C193,'00_SKU_Master'!$B$2:$B$378,'00_SKU_Master'!$F$2:$F$378,0)*Y193,"")</f>
        <v/>
      </c>
      <c r="E191" s="586">
        <f>_xludf.IFNA(_xlfn.XLOOKUP(C193,'00_SKU_Master'!$B$2:$B$378,'00_SKU_Master'!$F$2:$F$378,0)*Z193,"")</f>
        <v/>
      </c>
      <c r="F191" s="586">
        <f>_xludf.IFNA(_xlfn.XLOOKUP(C193,'00_SKU_Master'!$B$2:$B$378,'00_SKU_Master'!$F$2:$F$378,0)*AA193,"")</f>
        <v/>
      </c>
      <c r="G191" s="586">
        <f>_xludf.IFNA(_xlfn.XLOOKUP(C193,'00_SKU_Master'!$B$2:$B$378,'00_SKU_Master'!$F$2:$F$378,0)*AB193,"")</f>
        <v/>
      </c>
      <c r="H191" s="586">
        <f>_xludf.IFNA(_xlfn.XLOOKUP(C193,'00_SKU_Master'!$B$2:$B$378,'00_SKU_Master'!$F$2:$F$378,0)*AC193,"")</f>
        <v/>
      </c>
      <c r="I191" s="586">
        <f>_xludf.IFNA(_xlfn.XLOOKUP(C193,'00_SKU_Master'!$B$2:$B$378,'00_SKU_Master'!$F$2:$F$378,0)*AD193,"")</f>
        <v/>
      </c>
      <c r="J191" s="586">
        <f>_xludf.IFNA(_xlfn.XLOOKUP(C193,'00_SKU_Master'!$B$2:$B$378,'00_SKU_Master'!$F$2:$F$378,0)*AE193,"")</f>
        <v/>
      </c>
      <c r="K191" s="587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88" t="n"/>
      <c r="Z191" s="589" t="n"/>
      <c r="AA191" s="589" t="n"/>
      <c r="AB191" s="589" t="n"/>
      <c r="AC191" s="589" t="n">
        <v>164</v>
      </c>
      <c r="AD191" s="589" t="n">
        <v>84</v>
      </c>
      <c r="AE191" s="589" t="n">
        <v>81</v>
      </c>
      <c r="AF191" s="587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86">
        <f>_xludf.IFNA(_xlfn.XLOOKUP(C194,'00_SKU_Master'!$B$2:$B$378,'00_SKU_Master'!$F$2:$F$378,0)*Y194,"")</f>
        <v/>
      </c>
      <c r="E192" s="586">
        <f>_xludf.IFNA(_xlfn.XLOOKUP(C194,'00_SKU_Master'!$B$2:$B$378,'00_SKU_Master'!$F$2:$F$378,0)*Z194,"")</f>
        <v/>
      </c>
      <c r="F192" s="586">
        <f>_xludf.IFNA(_xlfn.XLOOKUP(C194,'00_SKU_Master'!$B$2:$B$378,'00_SKU_Master'!$F$2:$F$378,0)*AA194,"")</f>
        <v/>
      </c>
      <c r="G192" s="586">
        <f>_xludf.IFNA(_xlfn.XLOOKUP(C194,'00_SKU_Master'!$B$2:$B$378,'00_SKU_Master'!$F$2:$F$378,0)*AB194,"")</f>
        <v/>
      </c>
      <c r="H192" s="586">
        <f>_xludf.IFNA(_xlfn.XLOOKUP(C194,'00_SKU_Master'!$B$2:$B$378,'00_SKU_Master'!$F$2:$F$378,0)*AC194,"")</f>
        <v/>
      </c>
      <c r="I192" s="586">
        <f>_xludf.IFNA(_xlfn.XLOOKUP(C194,'00_SKU_Master'!$B$2:$B$378,'00_SKU_Master'!$F$2:$F$378,0)*AD194,"")</f>
        <v/>
      </c>
      <c r="J192" s="586">
        <f>_xludf.IFNA(_xlfn.XLOOKUP(C194,'00_SKU_Master'!$B$2:$B$378,'00_SKU_Master'!$F$2:$F$378,0)*AE194,"")</f>
        <v/>
      </c>
      <c r="K192" s="587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88" t="n"/>
      <c r="Z192" s="589" t="n"/>
      <c r="AA192" s="589" t="n"/>
      <c r="AB192" s="589" t="n"/>
      <c r="AC192" s="589" t="n">
        <v>0</v>
      </c>
      <c r="AD192" s="589" t="n">
        <v>0</v>
      </c>
      <c r="AE192" s="589" t="n">
        <v>0</v>
      </c>
      <c r="AF192" s="587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86">
        <f>_xludf.IFNA(_xlfn.XLOOKUP(C195,'00_SKU_Master'!$B$2:$B$378,'00_SKU_Master'!$F$2:$F$378,0)*Y195,"")</f>
        <v/>
      </c>
      <c r="E193" s="586">
        <f>_xludf.IFNA(_xlfn.XLOOKUP(C195,'00_SKU_Master'!$B$2:$B$378,'00_SKU_Master'!$F$2:$F$378,0)*Z195,"")</f>
        <v/>
      </c>
      <c r="F193" s="586">
        <f>_xludf.IFNA(_xlfn.XLOOKUP(C195,'00_SKU_Master'!$B$2:$B$378,'00_SKU_Master'!$F$2:$F$378,0)*AA195,"")</f>
        <v/>
      </c>
      <c r="G193" s="586">
        <f>_xludf.IFNA(_xlfn.XLOOKUP(C195,'00_SKU_Master'!$B$2:$B$378,'00_SKU_Master'!$F$2:$F$378,0)*AB195,"")</f>
        <v/>
      </c>
      <c r="H193" s="586">
        <f>_xludf.IFNA(_xlfn.XLOOKUP(C195,'00_SKU_Master'!$B$2:$B$378,'00_SKU_Master'!$F$2:$F$378,0)*AC195,"")</f>
        <v/>
      </c>
      <c r="I193" s="586">
        <f>_xludf.IFNA(_xlfn.XLOOKUP(C195,'00_SKU_Master'!$B$2:$B$378,'00_SKU_Master'!$F$2:$F$378,0)*AD195,"")</f>
        <v/>
      </c>
      <c r="J193" s="586">
        <f>_xludf.IFNA(_xlfn.XLOOKUP(C195,'00_SKU_Master'!$B$2:$B$378,'00_SKU_Master'!$F$2:$F$378,0)*AE195,"")</f>
        <v/>
      </c>
      <c r="K193" s="587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88" t="n"/>
      <c r="Z193" s="589" t="n"/>
      <c r="AA193" s="589" t="n"/>
      <c r="AB193" s="589" t="n"/>
      <c r="AC193" s="589" t="n">
        <v>73</v>
      </c>
      <c r="AD193" s="589" t="n">
        <v>27</v>
      </c>
      <c r="AE193" s="589" t="n">
        <v>32</v>
      </c>
      <c r="AF193" s="587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86">
        <f>_xludf.IFNA(_xlfn.XLOOKUP(C196,'00_SKU_Master'!$B$2:$B$378,'00_SKU_Master'!$F$2:$F$378,0)*Y196,"")</f>
        <v/>
      </c>
      <c r="E194" s="586">
        <f>_xludf.IFNA(_xlfn.XLOOKUP(C196,'00_SKU_Master'!$B$2:$B$378,'00_SKU_Master'!$F$2:$F$378,0)*Z196,"")</f>
        <v/>
      </c>
      <c r="F194" s="586">
        <f>_xludf.IFNA(_xlfn.XLOOKUP(C196,'00_SKU_Master'!$B$2:$B$378,'00_SKU_Master'!$F$2:$F$378,0)*AA196,"")</f>
        <v/>
      </c>
      <c r="G194" s="586">
        <f>_xludf.IFNA(_xlfn.XLOOKUP(C196,'00_SKU_Master'!$B$2:$B$378,'00_SKU_Master'!$F$2:$F$378,0)*AB196,"")</f>
        <v/>
      </c>
      <c r="H194" s="586">
        <f>_xludf.IFNA(_xlfn.XLOOKUP(C196,'00_SKU_Master'!$B$2:$B$378,'00_SKU_Master'!$F$2:$F$378,0)*AC196,"")</f>
        <v/>
      </c>
      <c r="I194" s="586">
        <f>_xludf.IFNA(_xlfn.XLOOKUP(C196,'00_SKU_Master'!$B$2:$B$378,'00_SKU_Master'!$F$2:$F$378,0)*AD196,"")</f>
        <v/>
      </c>
      <c r="J194" s="586">
        <f>_xludf.IFNA(_xlfn.XLOOKUP(C196,'00_SKU_Master'!$B$2:$B$378,'00_SKU_Master'!$F$2:$F$378,0)*AE196,"")</f>
        <v/>
      </c>
      <c r="K194" s="587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88" t="n"/>
      <c r="Z194" s="589" t="n"/>
      <c r="AA194" s="589" t="n"/>
      <c r="AB194" s="589" t="n"/>
      <c r="AC194" s="589" t="n">
        <v>360</v>
      </c>
      <c r="AD194" s="589" t="n">
        <v>355</v>
      </c>
      <c r="AE194" s="589" t="n">
        <v>241</v>
      </c>
      <c r="AF194" s="587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86">
        <f>_xludf.IFNA(_xlfn.XLOOKUP(C197,'00_SKU_Master'!$B$2:$B$378,'00_SKU_Master'!$F$2:$F$378,0)*Y197,"")</f>
        <v/>
      </c>
      <c r="E195" s="586">
        <f>_xludf.IFNA(_xlfn.XLOOKUP(C197,'00_SKU_Master'!$B$2:$B$378,'00_SKU_Master'!$F$2:$F$378,0)*Z197,"")</f>
        <v/>
      </c>
      <c r="F195" s="586">
        <f>_xludf.IFNA(_xlfn.XLOOKUP(C197,'00_SKU_Master'!$B$2:$B$378,'00_SKU_Master'!$F$2:$F$378,0)*AA197,"")</f>
        <v/>
      </c>
      <c r="G195" s="586">
        <f>_xludf.IFNA(_xlfn.XLOOKUP(C197,'00_SKU_Master'!$B$2:$B$378,'00_SKU_Master'!$F$2:$F$378,0)*AB197,"")</f>
        <v/>
      </c>
      <c r="H195" s="586">
        <f>_xludf.IFNA(_xlfn.XLOOKUP(C197,'00_SKU_Master'!$B$2:$B$378,'00_SKU_Master'!$F$2:$F$378,0)*AC197,"")</f>
        <v/>
      </c>
      <c r="I195" s="586">
        <f>_xludf.IFNA(_xlfn.XLOOKUP(C197,'00_SKU_Master'!$B$2:$B$378,'00_SKU_Master'!$F$2:$F$378,0)*AD197,"")</f>
        <v/>
      </c>
      <c r="J195" s="586">
        <f>_xludf.IFNA(_xlfn.XLOOKUP(C197,'00_SKU_Master'!$B$2:$B$378,'00_SKU_Master'!$F$2:$F$378,0)*AE197,"")</f>
        <v/>
      </c>
      <c r="K195" s="587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88" t="n"/>
      <c r="Z195" s="589" t="n"/>
      <c r="AA195" s="589" t="n"/>
      <c r="AB195" s="589" t="n"/>
      <c r="AC195" s="589" t="n">
        <v>733</v>
      </c>
      <c r="AD195" s="589" t="n">
        <v>417</v>
      </c>
      <c r="AE195" s="589" t="n">
        <v>203</v>
      </c>
      <c r="AF195" s="587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86">
        <f>_xludf.IFNA(_xlfn.XLOOKUP(C198,'00_SKU_Master'!$B$2:$B$378,'00_SKU_Master'!$F$2:$F$378,0)*Y198,"")</f>
        <v/>
      </c>
      <c r="E196" s="586">
        <f>_xludf.IFNA(_xlfn.XLOOKUP(C198,'00_SKU_Master'!$B$2:$B$378,'00_SKU_Master'!$F$2:$F$378,0)*Z198,"")</f>
        <v/>
      </c>
      <c r="F196" s="586">
        <f>_xludf.IFNA(_xlfn.XLOOKUP(C198,'00_SKU_Master'!$B$2:$B$378,'00_SKU_Master'!$F$2:$F$378,0)*AA198,"")</f>
        <v/>
      </c>
      <c r="G196" s="586">
        <f>_xludf.IFNA(_xlfn.XLOOKUP(C198,'00_SKU_Master'!$B$2:$B$378,'00_SKU_Master'!$F$2:$F$378,0)*AB198,"")</f>
        <v/>
      </c>
      <c r="H196" s="586">
        <f>_xludf.IFNA(_xlfn.XLOOKUP(C198,'00_SKU_Master'!$B$2:$B$378,'00_SKU_Master'!$F$2:$F$378,0)*AC198,"")</f>
        <v/>
      </c>
      <c r="I196" s="586">
        <f>_xludf.IFNA(_xlfn.XLOOKUP(C198,'00_SKU_Master'!$B$2:$B$378,'00_SKU_Master'!$F$2:$F$378,0)*AD198,"")</f>
        <v/>
      </c>
      <c r="J196" s="586">
        <f>_xludf.IFNA(_xlfn.XLOOKUP(C198,'00_SKU_Master'!$B$2:$B$378,'00_SKU_Master'!$F$2:$F$378,0)*AE198,"")</f>
        <v/>
      </c>
      <c r="K196" s="587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88" t="n"/>
      <c r="Z196" s="589" t="n"/>
      <c r="AA196" s="589" t="n"/>
      <c r="AB196" s="589" t="n"/>
      <c r="AC196" s="589" t="n">
        <v>0</v>
      </c>
      <c r="AD196" s="589" t="n">
        <v>0</v>
      </c>
      <c r="AE196" s="589" t="n">
        <v>0</v>
      </c>
      <c r="AF196" s="587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86">
        <f>_xludf.IFNA(_xlfn.XLOOKUP(C199,'00_SKU_Master'!$B$2:$B$378,'00_SKU_Master'!$F$2:$F$378,0)*Y199,"")</f>
        <v/>
      </c>
      <c r="E197" s="586">
        <f>_xludf.IFNA(_xlfn.XLOOKUP(C199,'00_SKU_Master'!$B$2:$B$378,'00_SKU_Master'!$F$2:$F$378,0)*Z199,"")</f>
        <v/>
      </c>
      <c r="F197" s="586">
        <f>_xludf.IFNA(_xlfn.XLOOKUP(C199,'00_SKU_Master'!$B$2:$B$378,'00_SKU_Master'!$F$2:$F$378,0)*AA199,"")</f>
        <v/>
      </c>
      <c r="G197" s="586">
        <f>_xludf.IFNA(_xlfn.XLOOKUP(C199,'00_SKU_Master'!$B$2:$B$378,'00_SKU_Master'!$F$2:$F$378,0)*AB199,"")</f>
        <v/>
      </c>
      <c r="H197" s="586">
        <f>_xludf.IFNA(_xlfn.XLOOKUP(C199,'00_SKU_Master'!$B$2:$B$378,'00_SKU_Master'!$F$2:$F$378,0)*AC199,"")</f>
        <v/>
      </c>
      <c r="I197" s="586">
        <f>_xludf.IFNA(_xlfn.XLOOKUP(C199,'00_SKU_Master'!$B$2:$B$378,'00_SKU_Master'!$F$2:$F$378,0)*AD199,"")</f>
        <v/>
      </c>
      <c r="J197" s="586">
        <f>_xludf.IFNA(_xlfn.XLOOKUP(C199,'00_SKU_Master'!$B$2:$B$378,'00_SKU_Master'!$F$2:$F$378,0)*AE199,"")</f>
        <v/>
      </c>
      <c r="K197" s="587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88" t="n"/>
      <c r="Z197" s="589" t="n"/>
      <c r="AA197" s="589" t="n"/>
      <c r="AB197" s="589" t="n"/>
      <c r="AC197" s="589" t="n">
        <v>0</v>
      </c>
      <c r="AD197" s="589" t="n">
        <v>0</v>
      </c>
      <c r="AE197" s="589" t="n">
        <v>0</v>
      </c>
      <c r="AF197" s="587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86">
        <f>_xludf.IFNA(_xlfn.XLOOKUP(C200,'00_SKU_Master'!$B$2:$B$378,'00_SKU_Master'!$F$2:$F$378,0)*Y200,"")</f>
        <v/>
      </c>
      <c r="E198" s="586">
        <f>_xludf.IFNA(_xlfn.XLOOKUP(C200,'00_SKU_Master'!$B$2:$B$378,'00_SKU_Master'!$F$2:$F$378,0)*Z200,"")</f>
        <v/>
      </c>
      <c r="F198" s="586">
        <f>_xludf.IFNA(_xlfn.XLOOKUP(C200,'00_SKU_Master'!$B$2:$B$378,'00_SKU_Master'!$F$2:$F$378,0)*AA200,"")</f>
        <v/>
      </c>
      <c r="G198" s="586">
        <f>_xludf.IFNA(_xlfn.XLOOKUP(C200,'00_SKU_Master'!$B$2:$B$378,'00_SKU_Master'!$F$2:$F$378,0)*AB200,"")</f>
        <v/>
      </c>
      <c r="H198" s="586">
        <f>_xludf.IFNA(_xlfn.XLOOKUP(C200,'00_SKU_Master'!$B$2:$B$378,'00_SKU_Master'!$F$2:$F$378,0)*AC200,"")</f>
        <v/>
      </c>
      <c r="I198" s="586">
        <f>_xludf.IFNA(_xlfn.XLOOKUP(C200,'00_SKU_Master'!$B$2:$B$378,'00_SKU_Master'!$F$2:$F$378,0)*AD200,"")</f>
        <v/>
      </c>
      <c r="J198" s="586">
        <f>_xludf.IFNA(_xlfn.XLOOKUP(C200,'00_SKU_Master'!$B$2:$B$378,'00_SKU_Master'!$F$2:$F$378,0)*AE200,"")</f>
        <v/>
      </c>
      <c r="K198" s="587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88" t="n"/>
      <c r="Z198" s="589" t="n"/>
      <c r="AA198" s="589" t="n"/>
      <c r="AB198" s="589" t="n"/>
      <c r="AC198" s="589" t="n">
        <v>0</v>
      </c>
      <c r="AD198" s="589" t="n">
        <v>0</v>
      </c>
      <c r="AE198" s="589" t="n">
        <v>0</v>
      </c>
      <c r="AF198" s="587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86">
        <f>_xludf.IFNA(_xlfn.XLOOKUP(C201,'00_SKU_Master'!$B$2:$B$378,'00_SKU_Master'!$F$2:$F$378,0)*Y201,"")</f>
        <v/>
      </c>
      <c r="E199" s="586">
        <f>_xludf.IFNA(_xlfn.XLOOKUP(C201,'00_SKU_Master'!$B$2:$B$378,'00_SKU_Master'!$F$2:$F$378,0)*Z201,"")</f>
        <v/>
      </c>
      <c r="F199" s="586">
        <f>_xludf.IFNA(_xlfn.XLOOKUP(C201,'00_SKU_Master'!$B$2:$B$378,'00_SKU_Master'!$F$2:$F$378,0)*AA201,"")</f>
        <v/>
      </c>
      <c r="G199" s="586">
        <f>_xludf.IFNA(_xlfn.XLOOKUP(C201,'00_SKU_Master'!$B$2:$B$378,'00_SKU_Master'!$F$2:$F$378,0)*AB201,"")</f>
        <v/>
      </c>
      <c r="H199" s="586">
        <f>_xludf.IFNA(_xlfn.XLOOKUP(C201,'00_SKU_Master'!$B$2:$B$378,'00_SKU_Master'!$F$2:$F$378,0)*AC201,"")</f>
        <v/>
      </c>
      <c r="I199" s="586">
        <f>_xludf.IFNA(_xlfn.XLOOKUP(C201,'00_SKU_Master'!$B$2:$B$378,'00_SKU_Master'!$F$2:$F$378,0)*AD201,"")</f>
        <v/>
      </c>
      <c r="J199" s="586">
        <f>_xludf.IFNA(_xlfn.XLOOKUP(C201,'00_SKU_Master'!$B$2:$B$378,'00_SKU_Master'!$F$2:$F$378,0)*AE201,"")</f>
        <v/>
      </c>
      <c r="K199" s="587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88" t="n"/>
      <c r="Z199" s="589" t="n"/>
      <c r="AA199" s="589" t="n"/>
      <c r="AB199" s="589" t="n"/>
      <c r="AC199" s="589" t="n">
        <v>0</v>
      </c>
      <c r="AD199" s="589" t="n">
        <v>0</v>
      </c>
      <c r="AE199" s="589" t="n">
        <v>0</v>
      </c>
      <c r="AF199" s="587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86">
        <f>_xludf.IFNA(_xlfn.XLOOKUP(C202,'00_SKU_Master'!$B$2:$B$378,'00_SKU_Master'!$F$2:$F$378,0)*Y202,"")</f>
        <v/>
      </c>
      <c r="E200" s="586">
        <f>_xludf.IFNA(_xlfn.XLOOKUP(C202,'00_SKU_Master'!$B$2:$B$378,'00_SKU_Master'!$F$2:$F$378,0)*Z202,"")</f>
        <v/>
      </c>
      <c r="F200" s="586">
        <f>_xludf.IFNA(_xlfn.XLOOKUP(C202,'00_SKU_Master'!$B$2:$B$378,'00_SKU_Master'!$F$2:$F$378,0)*AA202,"")</f>
        <v/>
      </c>
      <c r="G200" s="586">
        <f>_xludf.IFNA(_xlfn.XLOOKUP(C202,'00_SKU_Master'!$B$2:$B$378,'00_SKU_Master'!$F$2:$F$378,0)*AB202,"")</f>
        <v/>
      </c>
      <c r="H200" s="586">
        <f>_xludf.IFNA(_xlfn.XLOOKUP(C202,'00_SKU_Master'!$B$2:$B$378,'00_SKU_Master'!$F$2:$F$378,0)*AC202,"")</f>
        <v/>
      </c>
      <c r="I200" s="586">
        <f>_xludf.IFNA(_xlfn.XLOOKUP(C202,'00_SKU_Master'!$B$2:$B$378,'00_SKU_Master'!$F$2:$F$378,0)*AD202,"")</f>
        <v/>
      </c>
      <c r="J200" s="586">
        <f>_xludf.IFNA(_xlfn.XLOOKUP(C202,'00_SKU_Master'!$B$2:$B$378,'00_SKU_Master'!$F$2:$F$378,0)*AE202,"")</f>
        <v/>
      </c>
      <c r="K200" s="587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88" t="n"/>
      <c r="Z200" s="589" t="n"/>
      <c r="AA200" s="589" t="n"/>
      <c r="AB200" s="589" t="n"/>
      <c r="AC200" s="589" t="n">
        <v>0</v>
      </c>
      <c r="AD200" s="589" t="n">
        <v>0</v>
      </c>
      <c r="AE200" s="589" t="n">
        <v>0</v>
      </c>
      <c r="AF200" s="587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86">
        <f>_xludf.IFNA(_xlfn.XLOOKUP(C203,'00_SKU_Master'!$B$2:$B$378,'00_SKU_Master'!$F$2:$F$378,0)*Y203,"")</f>
        <v/>
      </c>
      <c r="E201" s="586">
        <f>_xludf.IFNA(_xlfn.XLOOKUP(C203,'00_SKU_Master'!$B$2:$B$378,'00_SKU_Master'!$F$2:$F$378,0)*Z203,"")</f>
        <v/>
      </c>
      <c r="F201" s="586">
        <f>_xludf.IFNA(_xlfn.XLOOKUP(C203,'00_SKU_Master'!$B$2:$B$378,'00_SKU_Master'!$F$2:$F$378,0)*AA203,"")</f>
        <v/>
      </c>
      <c r="G201" s="586">
        <f>_xludf.IFNA(_xlfn.XLOOKUP(C203,'00_SKU_Master'!$B$2:$B$378,'00_SKU_Master'!$F$2:$F$378,0)*AB203,"")</f>
        <v/>
      </c>
      <c r="H201" s="586">
        <f>_xludf.IFNA(_xlfn.XLOOKUP(C203,'00_SKU_Master'!$B$2:$B$378,'00_SKU_Master'!$F$2:$F$378,0)*AC203,"")</f>
        <v/>
      </c>
      <c r="I201" s="586">
        <f>_xludf.IFNA(_xlfn.XLOOKUP(C203,'00_SKU_Master'!$B$2:$B$378,'00_SKU_Master'!$F$2:$F$378,0)*AD203,"")</f>
        <v/>
      </c>
      <c r="J201" s="586">
        <f>_xludf.IFNA(_xlfn.XLOOKUP(C203,'00_SKU_Master'!$B$2:$B$378,'00_SKU_Master'!$F$2:$F$378,0)*AE203,"")</f>
        <v/>
      </c>
      <c r="K201" s="587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88" t="n"/>
      <c r="Z201" s="589" t="n"/>
      <c r="AA201" s="589" t="n"/>
      <c r="AB201" s="589" t="n"/>
      <c r="AC201" s="589" t="n">
        <v>0</v>
      </c>
      <c r="AD201" s="589" t="n">
        <v>0</v>
      </c>
      <c r="AE201" s="589" t="n">
        <v>0</v>
      </c>
      <c r="AF201" s="587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86">
        <f>_xludf.IFNA(_xlfn.XLOOKUP(C204,'00_SKU_Master'!$B$2:$B$378,'00_SKU_Master'!$F$2:$F$378,0)*Y204,"")</f>
        <v/>
      </c>
      <c r="E202" s="586">
        <f>_xludf.IFNA(_xlfn.XLOOKUP(C204,'00_SKU_Master'!$B$2:$B$378,'00_SKU_Master'!$F$2:$F$378,0)*Z204,"")</f>
        <v/>
      </c>
      <c r="F202" s="586">
        <f>_xludf.IFNA(_xlfn.XLOOKUP(C204,'00_SKU_Master'!$B$2:$B$378,'00_SKU_Master'!$F$2:$F$378,0)*AA204,"")</f>
        <v/>
      </c>
      <c r="G202" s="586">
        <f>_xludf.IFNA(_xlfn.XLOOKUP(C204,'00_SKU_Master'!$B$2:$B$378,'00_SKU_Master'!$F$2:$F$378,0)*AB204,"")</f>
        <v/>
      </c>
      <c r="H202" s="586">
        <f>_xludf.IFNA(_xlfn.XLOOKUP(C204,'00_SKU_Master'!$B$2:$B$378,'00_SKU_Master'!$F$2:$F$378,0)*AC204,"")</f>
        <v/>
      </c>
      <c r="I202" s="586">
        <f>_xludf.IFNA(_xlfn.XLOOKUP(C204,'00_SKU_Master'!$B$2:$B$378,'00_SKU_Master'!$F$2:$F$378,0)*AD204,"")</f>
        <v/>
      </c>
      <c r="J202" s="586">
        <f>_xludf.IFNA(_xlfn.XLOOKUP(C204,'00_SKU_Master'!$B$2:$B$378,'00_SKU_Master'!$F$2:$F$378,0)*AE204,"")</f>
        <v/>
      </c>
      <c r="K202" s="587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88" t="n"/>
      <c r="Z202" s="589" t="n"/>
      <c r="AA202" s="589" t="n"/>
      <c r="AB202" s="589" t="n"/>
      <c r="AC202" s="589" t="n">
        <v>144</v>
      </c>
      <c r="AD202" s="589" t="n">
        <v>167</v>
      </c>
      <c r="AE202" s="589" t="n">
        <v>70</v>
      </c>
      <c r="AF202" s="587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86">
        <f>_xludf.IFNA(_xlfn.XLOOKUP(C205,'00_SKU_Master'!$B$2:$B$378,'00_SKU_Master'!$F$2:$F$378,0)*Y205,"")</f>
        <v/>
      </c>
      <c r="E203" s="586">
        <f>_xludf.IFNA(_xlfn.XLOOKUP(C205,'00_SKU_Master'!$B$2:$B$378,'00_SKU_Master'!$F$2:$F$378,0)*Z205,"")</f>
        <v/>
      </c>
      <c r="F203" s="586">
        <f>_xludf.IFNA(_xlfn.XLOOKUP(C205,'00_SKU_Master'!$B$2:$B$378,'00_SKU_Master'!$F$2:$F$378,0)*AA205,"")</f>
        <v/>
      </c>
      <c r="G203" s="586">
        <f>_xludf.IFNA(_xlfn.XLOOKUP(C205,'00_SKU_Master'!$B$2:$B$378,'00_SKU_Master'!$F$2:$F$378,0)*AB205,"")</f>
        <v/>
      </c>
      <c r="H203" s="586">
        <f>_xludf.IFNA(_xlfn.XLOOKUP(C205,'00_SKU_Master'!$B$2:$B$378,'00_SKU_Master'!$F$2:$F$378,0)*AC205,"")</f>
        <v/>
      </c>
      <c r="I203" s="586">
        <f>_xludf.IFNA(_xlfn.XLOOKUP(C205,'00_SKU_Master'!$B$2:$B$378,'00_SKU_Master'!$F$2:$F$378,0)*AD205,"")</f>
        <v/>
      </c>
      <c r="J203" s="586">
        <f>_xludf.IFNA(_xlfn.XLOOKUP(C205,'00_SKU_Master'!$B$2:$B$378,'00_SKU_Master'!$F$2:$F$378,0)*AE205,"")</f>
        <v/>
      </c>
      <c r="K203" s="587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88" t="n"/>
      <c r="Z203" s="589" t="n"/>
      <c r="AA203" s="589" t="n"/>
      <c r="AB203" s="589" t="n"/>
      <c r="AC203" s="589" t="n">
        <v>323</v>
      </c>
      <c r="AD203" s="589" t="n">
        <v>339</v>
      </c>
      <c r="AE203" s="589" t="n">
        <v>169</v>
      </c>
      <c r="AF203" s="587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86">
        <f>_xludf.IFNA(_xlfn.XLOOKUP(C206,'00_SKU_Master'!$B$2:$B$378,'00_SKU_Master'!$F$2:$F$378,0)*Y206,"")</f>
        <v/>
      </c>
      <c r="E204" s="586">
        <f>_xludf.IFNA(_xlfn.XLOOKUP(C206,'00_SKU_Master'!$B$2:$B$378,'00_SKU_Master'!$F$2:$F$378,0)*Z206,"")</f>
        <v/>
      </c>
      <c r="F204" s="586">
        <f>_xludf.IFNA(_xlfn.XLOOKUP(C206,'00_SKU_Master'!$B$2:$B$378,'00_SKU_Master'!$F$2:$F$378,0)*AA206,"")</f>
        <v/>
      </c>
      <c r="G204" s="586">
        <f>_xludf.IFNA(_xlfn.XLOOKUP(C206,'00_SKU_Master'!$B$2:$B$378,'00_SKU_Master'!$F$2:$F$378,0)*AB206,"")</f>
        <v/>
      </c>
      <c r="H204" s="586">
        <f>_xludf.IFNA(_xlfn.XLOOKUP(C206,'00_SKU_Master'!$B$2:$B$378,'00_SKU_Master'!$F$2:$F$378,0)*AC206,"")</f>
        <v/>
      </c>
      <c r="I204" s="586">
        <f>_xludf.IFNA(_xlfn.XLOOKUP(C206,'00_SKU_Master'!$B$2:$B$378,'00_SKU_Master'!$F$2:$F$378,0)*AD206,"")</f>
        <v/>
      </c>
      <c r="J204" s="586">
        <f>_xludf.IFNA(_xlfn.XLOOKUP(C206,'00_SKU_Master'!$B$2:$B$378,'00_SKU_Master'!$F$2:$F$378,0)*AE206,"")</f>
        <v/>
      </c>
      <c r="K204" s="587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88" t="n"/>
      <c r="Z204" s="589" t="n"/>
      <c r="AA204" s="589" t="n"/>
      <c r="AB204" s="589" t="n"/>
      <c r="AC204" s="589" t="n">
        <v>369</v>
      </c>
      <c r="AD204" s="589" t="n">
        <v>206</v>
      </c>
      <c r="AE204" s="589" t="n">
        <v>109</v>
      </c>
      <c r="AF204" s="587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86">
        <f>_xludf.IFNA(_xlfn.XLOOKUP(C207,'00_SKU_Master'!$B$2:$B$378,'00_SKU_Master'!$F$2:$F$378,0)*Y207,"")</f>
        <v/>
      </c>
      <c r="E205" s="586">
        <f>_xludf.IFNA(_xlfn.XLOOKUP(C207,'00_SKU_Master'!$B$2:$B$378,'00_SKU_Master'!$F$2:$F$378,0)*Z207,"")</f>
        <v/>
      </c>
      <c r="F205" s="586">
        <f>_xludf.IFNA(_xlfn.XLOOKUP(C207,'00_SKU_Master'!$B$2:$B$378,'00_SKU_Master'!$F$2:$F$378,0)*AA207,"")</f>
        <v/>
      </c>
      <c r="G205" s="586">
        <f>_xludf.IFNA(_xlfn.XLOOKUP(C207,'00_SKU_Master'!$B$2:$B$378,'00_SKU_Master'!$F$2:$F$378,0)*AB207,"")</f>
        <v/>
      </c>
      <c r="H205" s="586">
        <f>_xludf.IFNA(_xlfn.XLOOKUP(C207,'00_SKU_Master'!$B$2:$B$378,'00_SKU_Master'!$F$2:$F$378,0)*AC207,"")</f>
        <v/>
      </c>
      <c r="I205" s="586">
        <f>_xludf.IFNA(_xlfn.XLOOKUP(C207,'00_SKU_Master'!$B$2:$B$378,'00_SKU_Master'!$F$2:$F$378,0)*AD207,"")</f>
        <v/>
      </c>
      <c r="J205" s="586">
        <f>_xludf.IFNA(_xlfn.XLOOKUP(C207,'00_SKU_Master'!$B$2:$B$378,'00_SKU_Master'!$F$2:$F$378,0)*AE207,"")</f>
        <v/>
      </c>
      <c r="K205" s="587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88" t="n"/>
      <c r="Z205" s="589" t="n"/>
      <c r="AA205" s="589" t="n"/>
      <c r="AB205" s="589" t="n"/>
      <c r="AC205" s="589" t="n">
        <v>127</v>
      </c>
      <c r="AD205" s="589" t="n">
        <v>138</v>
      </c>
      <c r="AE205" s="589" t="n">
        <v>79</v>
      </c>
      <c r="AF205" s="587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86">
        <f>_xludf.IFNA(_xlfn.XLOOKUP(C208,'00_SKU_Master'!$B$2:$B$378,'00_SKU_Master'!$F$2:$F$378,0)*Y208,"")</f>
        <v/>
      </c>
      <c r="E206" s="586">
        <f>_xludf.IFNA(_xlfn.XLOOKUP(C208,'00_SKU_Master'!$B$2:$B$378,'00_SKU_Master'!$F$2:$F$378,0)*Z208,"")</f>
        <v/>
      </c>
      <c r="F206" s="586">
        <f>_xludf.IFNA(_xlfn.XLOOKUP(C208,'00_SKU_Master'!$B$2:$B$378,'00_SKU_Master'!$F$2:$F$378,0)*AA208,"")</f>
        <v/>
      </c>
      <c r="G206" s="586">
        <f>_xludf.IFNA(_xlfn.XLOOKUP(C208,'00_SKU_Master'!$B$2:$B$378,'00_SKU_Master'!$F$2:$F$378,0)*AB208,"")</f>
        <v/>
      </c>
      <c r="H206" s="586">
        <f>_xludf.IFNA(_xlfn.XLOOKUP(C208,'00_SKU_Master'!$B$2:$B$378,'00_SKU_Master'!$F$2:$F$378,0)*AC208,"")</f>
        <v/>
      </c>
      <c r="I206" s="586">
        <f>_xludf.IFNA(_xlfn.XLOOKUP(C208,'00_SKU_Master'!$B$2:$B$378,'00_SKU_Master'!$F$2:$F$378,0)*AD208,"")</f>
        <v/>
      </c>
      <c r="J206" s="586">
        <f>_xludf.IFNA(_xlfn.XLOOKUP(C208,'00_SKU_Master'!$B$2:$B$378,'00_SKU_Master'!$F$2:$F$378,0)*AE208,"")</f>
        <v/>
      </c>
      <c r="K206" s="587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88" t="n"/>
      <c r="Z206" s="589" t="n"/>
      <c r="AA206" s="589" t="n"/>
      <c r="AB206" s="589" t="n"/>
      <c r="AC206" s="589" t="n">
        <v>109</v>
      </c>
      <c r="AD206" s="589" t="n">
        <v>120</v>
      </c>
      <c r="AE206" s="589" t="n">
        <v>55</v>
      </c>
      <c r="AF206" s="587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86">
        <f>_xludf.IFNA(_xlfn.XLOOKUP(C209,'00_SKU_Master'!$B$2:$B$378,'00_SKU_Master'!$F$2:$F$378,0)*Y209,"")</f>
        <v/>
      </c>
      <c r="E207" s="586">
        <f>_xludf.IFNA(_xlfn.XLOOKUP(C209,'00_SKU_Master'!$B$2:$B$378,'00_SKU_Master'!$F$2:$F$378,0)*Z209,"")</f>
        <v/>
      </c>
      <c r="F207" s="586">
        <f>_xludf.IFNA(_xlfn.XLOOKUP(C209,'00_SKU_Master'!$B$2:$B$378,'00_SKU_Master'!$F$2:$F$378,0)*AA209,"")</f>
        <v/>
      </c>
      <c r="G207" s="586">
        <f>_xludf.IFNA(_xlfn.XLOOKUP(C209,'00_SKU_Master'!$B$2:$B$378,'00_SKU_Master'!$F$2:$F$378,0)*AB209,"")</f>
        <v/>
      </c>
      <c r="H207" s="586">
        <f>_xludf.IFNA(_xlfn.XLOOKUP(C209,'00_SKU_Master'!$B$2:$B$378,'00_SKU_Master'!$F$2:$F$378,0)*AC209,"")</f>
        <v/>
      </c>
      <c r="I207" s="586">
        <f>_xludf.IFNA(_xlfn.XLOOKUP(C209,'00_SKU_Master'!$B$2:$B$378,'00_SKU_Master'!$F$2:$F$378,0)*AD209,"")</f>
        <v/>
      </c>
      <c r="J207" s="586">
        <f>_xludf.IFNA(_xlfn.XLOOKUP(C209,'00_SKU_Master'!$B$2:$B$378,'00_SKU_Master'!$F$2:$F$378,0)*AE209,"")</f>
        <v/>
      </c>
      <c r="K207" s="587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88" t="n"/>
      <c r="Z207" s="589" t="n"/>
      <c r="AA207" s="589" t="n"/>
      <c r="AB207" s="589" t="n"/>
      <c r="AC207" s="589" t="n">
        <v>0</v>
      </c>
      <c r="AD207" s="589" t="n">
        <v>0</v>
      </c>
      <c r="AE207" s="589" t="n">
        <v>0</v>
      </c>
      <c r="AF207" s="587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86">
        <f>_xludf.IFNA(_xlfn.XLOOKUP(C210,'00_SKU_Master'!$B$2:$B$378,'00_SKU_Master'!$F$2:$F$378,0)*Y210,"")</f>
        <v/>
      </c>
      <c r="E208" s="586">
        <f>_xludf.IFNA(_xlfn.XLOOKUP(C210,'00_SKU_Master'!$B$2:$B$378,'00_SKU_Master'!$F$2:$F$378,0)*Z210,"")</f>
        <v/>
      </c>
      <c r="F208" s="586">
        <f>_xludf.IFNA(_xlfn.XLOOKUP(C210,'00_SKU_Master'!$B$2:$B$378,'00_SKU_Master'!$F$2:$F$378,0)*AA210,"")</f>
        <v/>
      </c>
      <c r="G208" s="586">
        <f>_xludf.IFNA(_xlfn.XLOOKUP(C210,'00_SKU_Master'!$B$2:$B$378,'00_SKU_Master'!$F$2:$F$378,0)*AB210,"")</f>
        <v/>
      </c>
      <c r="H208" s="586">
        <f>_xludf.IFNA(_xlfn.XLOOKUP(C210,'00_SKU_Master'!$B$2:$B$378,'00_SKU_Master'!$F$2:$F$378,0)*AC210,"")</f>
        <v/>
      </c>
      <c r="I208" s="586">
        <f>_xludf.IFNA(_xlfn.XLOOKUP(C210,'00_SKU_Master'!$B$2:$B$378,'00_SKU_Master'!$F$2:$F$378,0)*AD210,"")</f>
        <v/>
      </c>
      <c r="J208" s="586">
        <f>_xludf.IFNA(_xlfn.XLOOKUP(C210,'00_SKU_Master'!$B$2:$B$378,'00_SKU_Master'!$F$2:$F$378,0)*AE210,"")</f>
        <v/>
      </c>
      <c r="K208" s="587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88" t="n"/>
      <c r="Z208" s="589" t="n"/>
      <c r="AA208" s="589" t="n"/>
      <c r="AB208" s="589" t="n"/>
      <c r="AC208" s="589" t="n">
        <v>30</v>
      </c>
      <c r="AD208" s="589" t="n">
        <v>13</v>
      </c>
      <c r="AE208" s="589" t="n">
        <v>9</v>
      </c>
      <c r="AF208" s="587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86">
        <f>_xludf.IFNA(_xlfn.XLOOKUP(C211,'00_SKU_Master'!$B$2:$B$378,'00_SKU_Master'!$F$2:$F$378,0)*Y211,"")</f>
        <v/>
      </c>
      <c r="E209" s="586">
        <f>_xludf.IFNA(_xlfn.XLOOKUP(C211,'00_SKU_Master'!$B$2:$B$378,'00_SKU_Master'!$F$2:$F$378,0)*Z211,"")</f>
        <v/>
      </c>
      <c r="F209" s="586">
        <f>_xludf.IFNA(_xlfn.XLOOKUP(C211,'00_SKU_Master'!$B$2:$B$378,'00_SKU_Master'!$F$2:$F$378,0)*AA211,"")</f>
        <v/>
      </c>
      <c r="G209" s="586">
        <f>_xludf.IFNA(_xlfn.XLOOKUP(C211,'00_SKU_Master'!$B$2:$B$378,'00_SKU_Master'!$F$2:$F$378,0)*AB211,"")</f>
        <v/>
      </c>
      <c r="H209" s="586">
        <f>_xludf.IFNA(_xlfn.XLOOKUP(C211,'00_SKU_Master'!$B$2:$B$378,'00_SKU_Master'!$F$2:$F$378,0)*AC211,"")</f>
        <v/>
      </c>
      <c r="I209" s="586">
        <f>_xludf.IFNA(_xlfn.XLOOKUP(C211,'00_SKU_Master'!$B$2:$B$378,'00_SKU_Master'!$F$2:$F$378,0)*AD211,"")</f>
        <v/>
      </c>
      <c r="J209" s="586">
        <f>_xludf.IFNA(_xlfn.XLOOKUP(C211,'00_SKU_Master'!$B$2:$B$378,'00_SKU_Master'!$F$2:$F$378,0)*AE211,"")</f>
        <v/>
      </c>
      <c r="K209" s="587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88" t="n"/>
      <c r="Z209" s="589" t="n"/>
      <c r="AA209" s="589" t="n"/>
      <c r="AB209" s="589" t="n"/>
      <c r="AC209" s="589" t="n">
        <v>258</v>
      </c>
      <c r="AD209" s="589" t="n">
        <v>273</v>
      </c>
      <c r="AE209" s="589" t="n">
        <v>142</v>
      </c>
      <c r="AF209" s="587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86">
        <f>_xludf.IFNA(_xlfn.XLOOKUP(C212,'00_SKU_Master'!$B$2:$B$378,'00_SKU_Master'!$F$2:$F$378,0)*Y212,"")</f>
        <v/>
      </c>
      <c r="E210" s="586">
        <f>_xludf.IFNA(_xlfn.XLOOKUP(C212,'00_SKU_Master'!$B$2:$B$378,'00_SKU_Master'!$F$2:$F$378,0)*Z212,"")</f>
        <v/>
      </c>
      <c r="F210" s="586">
        <f>_xludf.IFNA(_xlfn.XLOOKUP(C212,'00_SKU_Master'!$B$2:$B$378,'00_SKU_Master'!$F$2:$F$378,0)*AA212,"")</f>
        <v/>
      </c>
      <c r="G210" s="586">
        <f>_xludf.IFNA(_xlfn.XLOOKUP(C212,'00_SKU_Master'!$B$2:$B$378,'00_SKU_Master'!$F$2:$F$378,0)*AB212,"")</f>
        <v/>
      </c>
      <c r="H210" s="586">
        <f>_xludf.IFNA(_xlfn.XLOOKUP(C212,'00_SKU_Master'!$B$2:$B$378,'00_SKU_Master'!$F$2:$F$378,0)*AC212,"")</f>
        <v/>
      </c>
      <c r="I210" s="586">
        <f>_xludf.IFNA(_xlfn.XLOOKUP(C212,'00_SKU_Master'!$B$2:$B$378,'00_SKU_Master'!$F$2:$F$378,0)*AD212,"")</f>
        <v/>
      </c>
      <c r="J210" s="586">
        <f>_xludf.IFNA(_xlfn.XLOOKUP(C212,'00_SKU_Master'!$B$2:$B$378,'00_SKU_Master'!$F$2:$F$378,0)*AE212,"")</f>
        <v/>
      </c>
      <c r="K210" s="587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88" t="n"/>
      <c r="Z210" s="589" t="n"/>
      <c r="AA210" s="589" t="n"/>
      <c r="AB210" s="589" t="n"/>
      <c r="AC210" s="589" t="n">
        <v>0</v>
      </c>
      <c r="AD210" s="589" t="n">
        <v>0</v>
      </c>
      <c r="AE210" s="589" t="n">
        <v>0</v>
      </c>
      <c r="AF210" s="587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86">
        <f>_xludf.IFNA(_xlfn.XLOOKUP(C213,'00_SKU_Master'!$B$2:$B$378,'00_SKU_Master'!$F$2:$F$378,0)*Y213,"")</f>
        <v/>
      </c>
      <c r="E211" s="586">
        <f>_xludf.IFNA(_xlfn.XLOOKUP(C213,'00_SKU_Master'!$B$2:$B$378,'00_SKU_Master'!$F$2:$F$378,0)*Z213,"")</f>
        <v/>
      </c>
      <c r="F211" s="586">
        <f>_xludf.IFNA(_xlfn.XLOOKUP(C213,'00_SKU_Master'!$B$2:$B$378,'00_SKU_Master'!$F$2:$F$378,0)*AA213,"")</f>
        <v/>
      </c>
      <c r="G211" s="586">
        <f>_xludf.IFNA(_xlfn.XLOOKUP(C213,'00_SKU_Master'!$B$2:$B$378,'00_SKU_Master'!$F$2:$F$378,0)*AB213,"")</f>
        <v/>
      </c>
      <c r="H211" s="586">
        <f>_xludf.IFNA(_xlfn.XLOOKUP(C213,'00_SKU_Master'!$B$2:$B$378,'00_SKU_Master'!$F$2:$F$378,0)*AC213,"")</f>
        <v/>
      </c>
      <c r="I211" s="586">
        <f>_xludf.IFNA(_xlfn.XLOOKUP(C213,'00_SKU_Master'!$B$2:$B$378,'00_SKU_Master'!$F$2:$F$378,0)*AD213,"")</f>
        <v/>
      </c>
      <c r="J211" s="586">
        <f>_xludf.IFNA(_xlfn.XLOOKUP(C213,'00_SKU_Master'!$B$2:$B$378,'00_SKU_Master'!$F$2:$F$378,0)*AE213,"")</f>
        <v/>
      </c>
      <c r="K211" s="587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88" t="n"/>
      <c r="Z211" s="589" t="n"/>
      <c r="AA211" s="589" t="n"/>
      <c r="AB211" s="589" t="n"/>
      <c r="AC211" s="589" t="n">
        <v>0</v>
      </c>
      <c r="AD211" s="589" t="n">
        <v>0</v>
      </c>
      <c r="AE211" s="589" t="n">
        <v>0</v>
      </c>
      <c r="AF211" s="587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86">
        <f>_xludf.IFNA(_xlfn.XLOOKUP(C214,'00_SKU_Master'!$B$2:$B$378,'00_SKU_Master'!$F$2:$F$378,0)*Y214,"")</f>
        <v/>
      </c>
      <c r="E212" s="586">
        <f>_xludf.IFNA(_xlfn.XLOOKUP(C214,'00_SKU_Master'!$B$2:$B$378,'00_SKU_Master'!$F$2:$F$378,0)*Z214,"")</f>
        <v/>
      </c>
      <c r="F212" s="586">
        <f>_xludf.IFNA(_xlfn.XLOOKUP(C214,'00_SKU_Master'!$B$2:$B$378,'00_SKU_Master'!$F$2:$F$378,0)*AA214,"")</f>
        <v/>
      </c>
      <c r="G212" s="586">
        <f>_xludf.IFNA(_xlfn.XLOOKUP(C214,'00_SKU_Master'!$B$2:$B$378,'00_SKU_Master'!$F$2:$F$378,0)*AB214,"")</f>
        <v/>
      </c>
      <c r="H212" s="586">
        <f>_xludf.IFNA(_xlfn.XLOOKUP(C214,'00_SKU_Master'!$B$2:$B$378,'00_SKU_Master'!$F$2:$F$378,0)*AC214,"")</f>
        <v/>
      </c>
      <c r="I212" s="586">
        <f>_xludf.IFNA(_xlfn.XLOOKUP(C214,'00_SKU_Master'!$B$2:$B$378,'00_SKU_Master'!$F$2:$F$378,0)*AD214,"")</f>
        <v/>
      </c>
      <c r="J212" s="586">
        <f>_xludf.IFNA(_xlfn.XLOOKUP(C214,'00_SKU_Master'!$B$2:$B$378,'00_SKU_Master'!$F$2:$F$378,0)*AE214,"")</f>
        <v/>
      </c>
      <c r="K212" s="587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88" t="n"/>
      <c r="Z212" s="589" t="n"/>
      <c r="AA212" s="589" t="n"/>
      <c r="AB212" s="589" t="n"/>
      <c r="AC212" s="589" t="n">
        <v>0</v>
      </c>
      <c r="AD212" s="589" t="n">
        <v>0</v>
      </c>
      <c r="AE212" s="589" t="n">
        <v>0</v>
      </c>
      <c r="AF212" s="587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86">
        <f>_xludf.IFNA(_xlfn.XLOOKUP(C215,'00_SKU_Master'!$B$2:$B$378,'00_SKU_Master'!$F$2:$F$378,0)*Y215,"")</f>
        <v/>
      </c>
      <c r="E213" s="586">
        <f>_xludf.IFNA(_xlfn.XLOOKUP(C215,'00_SKU_Master'!$B$2:$B$378,'00_SKU_Master'!$F$2:$F$378,0)*Z215,"")</f>
        <v/>
      </c>
      <c r="F213" s="586">
        <f>_xludf.IFNA(_xlfn.XLOOKUP(C215,'00_SKU_Master'!$B$2:$B$378,'00_SKU_Master'!$F$2:$F$378,0)*AA215,"")</f>
        <v/>
      </c>
      <c r="G213" s="586">
        <f>_xludf.IFNA(_xlfn.XLOOKUP(C215,'00_SKU_Master'!$B$2:$B$378,'00_SKU_Master'!$F$2:$F$378,0)*AB215,"")</f>
        <v/>
      </c>
      <c r="H213" s="586">
        <f>_xludf.IFNA(_xlfn.XLOOKUP(C215,'00_SKU_Master'!$B$2:$B$378,'00_SKU_Master'!$F$2:$F$378,0)*AC215,"")</f>
        <v/>
      </c>
      <c r="I213" s="586">
        <f>_xludf.IFNA(_xlfn.XLOOKUP(C215,'00_SKU_Master'!$B$2:$B$378,'00_SKU_Master'!$F$2:$F$378,0)*AD215,"")</f>
        <v/>
      </c>
      <c r="J213" s="586">
        <f>_xludf.IFNA(_xlfn.XLOOKUP(C215,'00_SKU_Master'!$B$2:$B$378,'00_SKU_Master'!$F$2:$F$378,0)*AE215,"")</f>
        <v/>
      </c>
      <c r="K213" s="587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88" t="n"/>
      <c r="Z213" s="589" t="n"/>
      <c r="AA213" s="589" t="n"/>
      <c r="AB213" s="589" t="n"/>
      <c r="AC213" s="589" t="n">
        <v>0</v>
      </c>
      <c r="AD213" s="589" t="n">
        <v>0</v>
      </c>
      <c r="AE213" s="589" t="n">
        <v>0</v>
      </c>
      <c r="AF213" s="587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86">
        <f>_xludf.IFNA(_xlfn.XLOOKUP(C216,'00_SKU_Master'!$B$2:$B$378,'00_SKU_Master'!$F$2:$F$378,0)*Y216,"")</f>
        <v/>
      </c>
      <c r="E214" s="586">
        <f>_xludf.IFNA(_xlfn.XLOOKUP(C216,'00_SKU_Master'!$B$2:$B$378,'00_SKU_Master'!$F$2:$F$378,0)*Z216,"")</f>
        <v/>
      </c>
      <c r="F214" s="586">
        <f>_xludf.IFNA(_xlfn.XLOOKUP(C216,'00_SKU_Master'!$B$2:$B$378,'00_SKU_Master'!$F$2:$F$378,0)*AA216,"")</f>
        <v/>
      </c>
      <c r="G214" s="586">
        <f>_xludf.IFNA(_xlfn.XLOOKUP(C216,'00_SKU_Master'!$B$2:$B$378,'00_SKU_Master'!$F$2:$F$378,0)*AB216,"")</f>
        <v/>
      </c>
      <c r="H214" s="586">
        <f>_xludf.IFNA(_xlfn.XLOOKUP(C216,'00_SKU_Master'!$B$2:$B$378,'00_SKU_Master'!$F$2:$F$378,0)*AC216,"")</f>
        <v/>
      </c>
      <c r="I214" s="586">
        <f>_xludf.IFNA(_xlfn.XLOOKUP(C216,'00_SKU_Master'!$B$2:$B$378,'00_SKU_Master'!$F$2:$F$378,0)*AD216,"")</f>
        <v/>
      </c>
      <c r="J214" s="586">
        <f>_xludf.IFNA(_xlfn.XLOOKUP(C216,'00_SKU_Master'!$B$2:$B$378,'00_SKU_Master'!$F$2:$F$378,0)*AE216,"")</f>
        <v/>
      </c>
      <c r="K214" s="587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88" t="n"/>
      <c r="Z214" s="589" t="n"/>
      <c r="AA214" s="589" t="n"/>
      <c r="AB214" s="589" t="n"/>
      <c r="AC214" s="589" t="n">
        <v>0</v>
      </c>
      <c r="AD214" s="589" t="n">
        <v>0</v>
      </c>
      <c r="AE214" s="589" t="n">
        <v>0</v>
      </c>
      <c r="AF214" s="587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86">
        <f>_xludf.IFNA(_xlfn.XLOOKUP(C217,'00_SKU_Master'!$B$2:$B$378,'00_SKU_Master'!$F$2:$F$378,0)*Y217,"")</f>
        <v/>
      </c>
      <c r="E215" s="586">
        <f>_xludf.IFNA(_xlfn.XLOOKUP(C217,'00_SKU_Master'!$B$2:$B$378,'00_SKU_Master'!$F$2:$F$378,0)*Z217,"")</f>
        <v/>
      </c>
      <c r="F215" s="586">
        <f>_xludf.IFNA(_xlfn.XLOOKUP(C217,'00_SKU_Master'!$B$2:$B$378,'00_SKU_Master'!$F$2:$F$378,0)*AA217,"")</f>
        <v/>
      </c>
      <c r="G215" s="586">
        <f>_xludf.IFNA(_xlfn.XLOOKUP(C217,'00_SKU_Master'!$B$2:$B$378,'00_SKU_Master'!$F$2:$F$378,0)*AB217,"")</f>
        <v/>
      </c>
      <c r="H215" s="586">
        <f>_xludf.IFNA(_xlfn.XLOOKUP(C217,'00_SKU_Master'!$B$2:$B$378,'00_SKU_Master'!$F$2:$F$378,0)*AC217,"")</f>
        <v/>
      </c>
      <c r="I215" s="586">
        <f>_xludf.IFNA(_xlfn.XLOOKUP(C217,'00_SKU_Master'!$B$2:$B$378,'00_SKU_Master'!$F$2:$F$378,0)*AD217,"")</f>
        <v/>
      </c>
      <c r="J215" s="586">
        <f>_xludf.IFNA(_xlfn.XLOOKUP(C217,'00_SKU_Master'!$B$2:$B$378,'00_SKU_Master'!$F$2:$F$378,0)*AE217,"")</f>
        <v/>
      </c>
      <c r="K215" s="587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88" t="n"/>
      <c r="Z215" s="589" t="n"/>
      <c r="AA215" s="589" t="n"/>
      <c r="AB215" s="589" t="n"/>
      <c r="AC215" s="589" t="n">
        <v>0</v>
      </c>
      <c r="AD215" s="589" t="n">
        <v>0</v>
      </c>
      <c r="AE215" s="589" t="n">
        <v>0</v>
      </c>
      <c r="AF215" s="587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86">
        <f>_xludf.IFNA(_xlfn.XLOOKUP(C218,'00_SKU_Master'!$B$2:$B$378,'00_SKU_Master'!$F$2:$F$378,0)*Y218,"")</f>
        <v/>
      </c>
      <c r="E216" s="586">
        <f>_xludf.IFNA(_xlfn.XLOOKUP(C218,'00_SKU_Master'!$B$2:$B$378,'00_SKU_Master'!$F$2:$F$378,0)*Z218,"")</f>
        <v/>
      </c>
      <c r="F216" s="586">
        <f>_xludf.IFNA(_xlfn.XLOOKUP(C218,'00_SKU_Master'!$B$2:$B$378,'00_SKU_Master'!$F$2:$F$378,0)*AA218,"")</f>
        <v/>
      </c>
      <c r="G216" s="586">
        <f>_xludf.IFNA(_xlfn.XLOOKUP(C218,'00_SKU_Master'!$B$2:$B$378,'00_SKU_Master'!$F$2:$F$378,0)*AB218,"")</f>
        <v/>
      </c>
      <c r="H216" s="586">
        <f>_xludf.IFNA(_xlfn.XLOOKUP(C218,'00_SKU_Master'!$B$2:$B$378,'00_SKU_Master'!$F$2:$F$378,0)*AC218,"")</f>
        <v/>
      </c>
      <c r="I216" s="586">
        <f>_xludf.IFNA(_xlfn.XLOOKUP(C218,'00_SKU_Master'!$B$2:$B$378,'00_SKU_Master'!$F$2:$F$378,0)*AD218,"")</f>
        <v/>
      </c>
      <c r="J216" s="586">
        <f>_xludf.IFNA(_xlfn.XLOOKUP(C218,'00_SKU_Master'!$B$2:$B$378,'00_SKU_Master'!$F$2:$F$378,0)*AE218,"")</f>
        <v/>
      </c>
      <c r="K216" s="587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88" t="n"/>
      <c r="Z216" s="589" t="n"/>
      <c r="AA216" s="589" t="n"/>
      <c r="AB216" s="589" t="n"/>
      <c r="AC216" s="589" t="n">
        <v>0</v>
      </c>
      <c r="AD216" s="589" t="n">
        <v>0</v>
      </c>
      <c r="AE216" s="589" t="n">
        <v>0</v>
      </c>
      <c r="AF216" s="587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86">
        <f>_xludf.IFNA(_xlfn.XLOOKUP(C219,'00_SKU_Master'!$B$2:$B$378,'00_SKU_Master'!$F$2:$F$378,0)*Y219,"")</f>
        <v/>
      </c>
      <c r="E217" s="586">
        <f>_xludf.IFNA(_xlfn.XLOOKUP(C219,'00_SKU_Master'!$B$2:$B$378,'00_SKU_Master'!$F$2:$F$378,0)*Z219,"")</f>
        <v/>
      </c>
      <c r="F217" s="586">
        <f>_xludf.IFNA(_xlfn.XLOOKUP(C219,'00_SKU_Master'!$B$2:$B$378,'00_SKU_Master'!$F$2:$F$378,0)*AA219,"")</f>
        <v/>
      </c>
      <c r="G217" s="586">
        <f>_xludf.IFNA(_xlfn.XLOOKUP(C219,'00_SKU_Master'!$B$2:$B$378,'00_SKU_Master'!$F$2:$F$378,0)*AB219,"")</f>
        <v/>
      </c>
      <c r="H217" s="586">
        <f>_xludf.IFNA(_xlfn.XLOOKUP(C219,'00_SKU_Master'!$B$2:$B$378,'00_SKU_Master'!$F$2:$F$378,0)*AC219,"")</f>
        <v/>
      </c>
      <c r="I217" s="586">
        <f>_xludf.IFNA(_xlfn.XLOOKUP(C219,'00_SKU_Master'!$B$2:$B$378,'00_SKU_Master'!$F$2:$F$378,0)*AD219,"")</f>
        <v/>
      </c>
      <c r="J217" s="586">
        <f>_xludf.IFNA(_xlfn.XLOOKUP(C219,'00_SKU_Master'!$B$2:$B$378,'00_SKU_Master'!$F$2:$F$378,0)*AE219,"")</f>
        <v/>
      </c>
      <c r="K217" s="587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88" t="n"/>
      <c r="Z217" s="589" t="n"/>
      <c r="AA217" s="589" t="n"/>
      <c r="AB217" s="589" t="n"/>
      <c r="AC217" s="589" t="n">
        <v>41</v>
      </c>
      <c r="AD217" s="589" t="n">
        <v>28</v>
      </c>
      <c r="AE217" s="589" t="n">
        <v>28</v>
      </c>
      <c r="AF217" s="587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86">
        <f>_xludf.IFNA(_xlfn.XLOOKUP(C220,'00_SKU_Master'!$B$2:$B$378,'00_SKU_Master'!$F$2:$F$378,0)*Y220,"")</f>
        <v/>
      </c>
      <c r="E218" s="586">
        <f>_xludf.IFNA(_xlfn.XLOOKUP(C220,'00_SKU_Master'!$B$2:$B$378,'00_SKU_Master'!$F$2:$F$378,0)*Z220,"")</f>
        <v/>
      </c>
      <c r="F218" s="586">
        <f>_xludf.IFNA(_xlfn.XLOOKUP(C220,'00_SKU_Master'!$B$2:$B$378,'00_SKU_Master'!$F$2:$F$378,0)*AA220,"")</f>
        <v/>
      </c>
      <c r="G218" s="586">
        <f>_xludf.IFNA(_xlfn.XLOOKUP(C220,'00_SKU_Master'!$B$2:$B$378,'00_SKU_Master'!$F$2:$F$378,0)*AB220,"")</f>
        <v/>
      </c>
      <c r="H218" s="586">
        <f>_xludf.IFNA(_xlfn.XLOOKUP(C220,'00_SKU_Master'!$B$2:$B$378,'00_SKU_Master'!$F$2:$F$378,0)*AC220,"")</f>
        <v/>
      </c>
      <c r="I218" s="586">
        <f>_xludf.IFNA(_xlfn.XLOOKUP(C220,'00_SKU_Master'!$B$2:$B$378,'00_SKU_Master'!$F$2:$F$378,0)*AD220,"")</f>
        <v/>
      </c>
      <c r="J218" s="586">
        <f>_xludf.IFNA(_xlfn.XLOOKUP(C220,'00_SKU_Master'!$B$2:$B$378,'00_SKU_Master'!$F$2:$F$378,0)*AE220,"")</f>
        <v/>
      </c>
      <c r="K218" s="587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88" t="n"/>
      <c r="Z218" s="589" t="n"/>
      <c r="AA218" s="589" t="n"/>
      <c r="AB218" s="589" t="n"/>
      <c r="AC218" s="589" t="n">
        <v>0</v>
      </c>
      <c r="AD218" s="589" t="n">
        <v>0</v>
      </c>
      <c r="AE218" s="589" t="n">
        <v>0</v>
      </c>
      <c r="AF218" s="587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86">
        <f>_xludf.IFNA(_xlfn.XLOOKUP(C221,'00_SKU_Master'!$B$2:$B$378,'00_SKU_Master'!$F$2:$F$378,0)*Y221,"")</f>
        <v/>
      </c>
      <c r="E219" s="586">
        <f>_xludf.IFNA(_xlfn.XLOOKUP(C221,'00_SKU_Master'!$B$2:$B$378,'00_SKU_Master'!$F$2:$F$378,0)*Z221,"")</f>
        <v/>
      </c>
      <c r="F219" s="586">
        <f>_xludf.IFNA(_xlfn.XLOOKUP(C221,'00_SKU_Master'!$B$2:$B$378,'00_SKU_Master'!$F$2:$F$378,0)*AA221,"")</f>
        <v/>
      </c>
      <c r="G219" s="586">
        <f>_xludf.IFNA(_xlfn.XLOOKUP(C221,'00_SKU_Master'!$B$2:$B$378,'00_SKU_Master'!$F$2:$F$378,0)*AB221,"")</f>
        <v/>
      </c>
      <c r="H219" s="586">
        <f>_xludf.IFNA(_xlfn.XLOOKUP(C221,'00_SKU_Master'!$B$2:$B$378,'00_SKU_Master'!$F$2:$F$378,0)*AC221,"")</f>
        <v/>
      </c>
      <c r="I219" s="586">
        <f>_xludf.IFNA(_xlfn.XLOOKUP(C221,'00_SKU_Master'!$B$2:$B$378,'00_SKU_Master'!$F$2:$F$378,0)*AD221,"")</f>
        <v/>
      </c>
      <c r="J219" s="586">
        <f>_xludf.IFNA(_xlfn.XLOOKUP(C221,'00_SKU_Master'!$B$2:$B$378,'00_SKU_Master'!$F$2:$F$378,0)*AE221,"")</f>
        <v/>
      </c>
      <c r="K219" s="587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88" t="n"/>
      <c r="Z219" s="589" t="n"/>
      <c r="AA219" s="589" t="n"/>
      <c r="AB219" s="589" t="n"/>
      <c r="AC219" s="589" t="n">
        <v>0</v>
      </c>
      <c r="AD219" s="589" t="n">
        <v>0</v>
      </c>
      <c r="AE219" s="589" t="n">
        <v>0</v>
      </c>
      <c r="AF219" s="587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86">
        <f>_xludf.IFNA(_xlfn.XLOOKUP(C222,'00_SKU_Master'!$B$2:$B$378,'00_SKU_Master'!$F$2:$F$378,0)*Y222,"")</f>
        <v/>
      </c>
      <c r="E220" s="586">
        <f>_xludf.IFNA(_xlfn.XLOOKUP(C222,'00_SKU_Master'!$B$2:$B$378,'00_SKU_Master'!$F$2:$F$378,0)*Z222,"")</f>
        <v/>
      </c>
      <c r="F220" s="586">
        <f>_xludf.IFNA(_xlfn.XLOOKUP(C222,'00_SKU_Master'!$B$2:$B$378,'00_SKU_Master'!$F$2:$F$378,0)*AA222,"")</f>
        <v/>
      </c>
      <c r="G220" s="586">
        <f>_xludf.IFNA(_xlfn.XLOOKUP(C222,'00_SKU_Master'!$B$2:$B$378,'00_SKU_Master'!$F$2:$F$378,0)*AB222,"")</f>
        <v/>
      </c>
      <c r="H220" s="586">
        <f>_xludf.IFNA(_xlfn.XLOOKUP(C222,'00_SKU_Master'!$B$2:$B$378,'00_SKU_Master'!$F$2:$F$378,0)*AC222,"")</f>
        <v/>
      </c>
      <c r="I220" s="586">
        <f>_xludf.IFNA(_xlfn.XLOOKUP(C222,'00_SKU_Master'!$B$2:$B$378,'00_SKU_Master'!$F$2:$F$378,0)*AD222,"")</f>
        <v/>
      </c>
      <c r="J220" s="586">
        <f>_xludf.IFNA(_xlfn.XLOOKUP(C222,'00_SKU_Master'!$B$2:$B$378,'00_SKU_Master'!$F$2:$F$378,0)*AE222,"")</f>
        <v/>
      </c>
      <c r="K220" s="587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88" t="n"/>
      <c r="Z220" s="589" t="n"/>
      <c r="AA220" s="589" t="n"/>
      <c r="AB220" s="589" t="n"/>
      <c r="AC220" s="589" t="n">
        <v>0</v>
      </c>
      <c r="AD220" s="589" t="n">
        <v>0</v>
      </c>
      <c r="AE220" s="589" t="n">
        <v>0</v>
      </c>
      <c r="AF220" s="587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86">
        <f>_xludf.IFNA(_xlfn.XLOOKUP(C223,'00_SKU_Master'!$B$2:$B$378,'00_SKU_Master'!$F$2:$F$378,0)*Y223,"")</f>
        <v/>
      </c>
      <c r="E221" s="586">
        <f>_xludf.IFNA(_xlfn.XLOOKUP(C223,'00_SKU_Master'!$B$2:$B$378,'00_SKU_Master'!$F$2:$F$378,0)*Z223,"")</f>
        <v/>
      </c>
      <c r="F221" s="586">
        <f>_xludf.IFNA(_xlfn.XLOOKUP(C223,'00_SKU_Master'!$B$2:$B$378,'00_SKU_Master'!$F$2:$F$378,0)*AA223,"")</f>
        <v/>
      </c>
      <c r="G221" s="586">
        <f>_xludf.IFNA(_xlfn.XLOOKUP(C223,'00_SKU_Master'!$B$2:$B$378,'00_SKU_Master'!$F$2:$F$378,0)*AB223,"")</f>
        <v/>
      </c>
      <c r="H221" s="586">
        <f>_xludf.IFNA(_xlfn.XLOOKUP(C223,'00_SKU_Master'!$B$2:$B$378,'00_SKU_Master'!$F$2:$F$378,0)*AC223,"")</f>
        <v/>
      </c>
      <c r="I221" s="586">
        <f>_xludf.IFNA(_xlfn.XLOOKUP(C223,'00_SKU_Master'!$B$2:$B$378,'00_SKU_Master'!$F$2:$F$378,0)*AD223,"")</f>
        <v/>
      </c>
      <c r="J221" s="586">
        <f>_xludf.IFNA(_xlfn.XLOOKUP(C223,'00_SKU_Master'!$B$2:$B$378,'00_SKU_Master'!$F$2:$F$378,0)*AE223,"")</f>
        <v/>
      </c>
      <c r="K221" s="587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88" t="n"/>
      <c r="Z221" s="589" t="n"/>
      <c r="AA221" s="589" t="n"/>
      <c r="AB221" s="589" t="n"/>
      <c r="AC221" s="589" t="n">
        <v>0</v>
      </c>
      <c r="AD221" s="589" t="n">
        <v>0</v>
      </c>
      <c r="AE221" s="589" t="n">
        <v>0</v>
      </c>
      <c r="AF221" s="587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86">
        <f>_xludf.IFNA(_xlfn.XLOOKUP(C224,'00_SKU_Master'!$B$2:$B$378,'00_SKU_Master'!$F$2:$F$378,0)*Y224,"")</f>
        <v/>
      </c>
      <c r="E222" s="586">
        <f>_xludf.IFNA(_xlfn.XLOOKUP(C224,'00_SKU_Master'!$B$2:$B$378,'00_SKU_Master'!$F$2:$F$378,0)*Z224,"")</f>
        <v/>
      </c>
      <c r="F222" s="586">
        <f>_xludf.IFNA(_xlfn.XLOOKUP(C224,'00_SKU_Master'!$B$2:$B$378,'00_SKU_Master'!$F$2:$F$378,0)*AA224,"")</f>
        <v/>
      </c>
      <c r="G222" s="586">
        <f>_xludf.IFNA(_xlfn.XLOOKUP(C224,'00_SKU_Master'!$B$2:$B$378,'00_SKU_Master'!$F$2:$F$378,0)*AB224,"")</f>
        <v/>
      </c>
      <c r="H222" s="586">
        <f>_xludf.IFNA(_xlfn.XLOOKUP(C224,'00_SKU_Master'!$B$2:$B$378,'00_SKU_Master'!$F$2:$F$378,0)*AC224,"")</f>
        <v/>
      </c>
      <c r="I222" s="586">
        <f>_xludf.IFNA(_xlfn.XLOOKUP(C224,'00_SKU_Master'!$B$2:$B$378,'00_SKU_Master'!$F$2:$F$378,0)*AD224,"")</f>
        <v/>
      </c>
      <c r="J222" s="586">
        <f>_xludf.IFNA(_xlfn.XLOOKUP(C224,'00_SKU_Master'!$B$2:$B$378,'00_SKU_Master'!$F$2:$F$378,0)*AE224,"")</f>
        <v/>
      </c>
      <c r="K222" s="587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88" t="n"/>
      <c r="Z222" s="589" t="n"/>
      <c r="AA222" s="589" t="n"/>
      <c r="AB222" s="589" t="n"/>
      <c r="AC222" s="589" t="n">
        <v>0</v>
      </c>
      <c r="AD222" s="589" t="n">
        <v>0</v>
      </c>
      <c r="AE222" s="589" t="n">
        <v>0</v>
      </c>
      <c r="AF222" s="587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86">
        <f>_xludf.IFNA(_xlfn.XLOOKUP(C225,'00_SKU_Master'!$B$2:$B$378,'00_SKU_Master'!$F$2:$F$378,0)*Y225,"")</f>
        <v/>
      </c>
      <c r="E223" s="586">
        <f>_xludf.IFNA(_xlfn.XLOOKUP(C225,'00_SKU_Master'!$B$2:$B$378,'00_SKU_Master'!$F$2:$F$378,0)*Z225,"")</f>
        <v/>
      </c>
      <c r="F223" s="586">
        <f>_xludf.IFNA(_xlfn.XLOOKUP(C225,'00_SKU_Master'!$B$2:$B$378,'00_SKU_Master'!$F$2:$F$378,0)*AA225,"")</f>
        <v/>
      </c>
      <c r="G223" s="586">
        <f>_xludf.IFNA(_xlfn.XLOOKUP(C225,'00_SKU_Master'!$B$2:$B$378,'00_SKU_Master'!$F$2:$F$378,0)*AB225,"")</f>
        <v/>
      </c>
      <c r="H223" s="586">
        <f>_xludf.IFNA(_xlfn.XLOOKUP(C225,'00_SKU_Master'!$B$2:$B$378,'00_SKU_Master'!$F$2:$F$378,0)*AC225,"")</f>
        <v/>
      </c>
      <c r="I223" s="586">
        <f>_xludf.IFNA(_xlfn.XLOOKUP(C225,'00_SKU_Master'!$B$2:$B$378,'00_SKU_Master'!$F$2:$F$378,0)*AD225,"")</f>
        <v/>
      </c>
      <c r="J223" s="586">
        <f>_xludf.IFNA(_xlfn.XLOOKUP(C225,'00_SKU_Master'!$B$2:$B$378,'00_SKU_Master'!$F$2:$F$378,0)*AE225,"")</f>
        <v/>
      </c>
      <c r="K223" s="587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88" t="n"/>
      <c r="Z223" s="589" t="n"/>
      <c r="AA223" s="589" t="n"/>
      <c r="AB223" s="589" t="n"/>
      <c r="AC223" s="589" t="n">
        <v>10</v>
      </c>
      <c r="AD223" s="589" t="n">
        <v>0</v>
      </c>
      <c r="AE223" s="589" t="n">
        <v>125</v>
      </c>
      <c r="AF223" s="587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86">
        <f>_xludf.IFNA(_xlfn.XLOOKUP(C226,'00_SKU_Master'!$B$2:$B$378,'00_SKU_Master'!$F$2:$F$378,0)*Y226,"")</f>
        <v/>
      </c>
      <c r="E224" s="586">
        <f>_xludf.IFNA(_xlfn.XLOOKUP(C226,'00_SKU_Master'!$B$2:$B$378,'00_SKU_Master'!$F$2:$F$378,0)*Z226,"")</f>
        <v/>
      </c>
      <c r="F224" s="586">
        <f>_xludf.IFNA(_xlfn.XLOOKUP(C226,'00_SKU_Master'!$B$2:$B$378,'00_SKU_Master'!$F$2:$F$378,0)*AA226,"")</f>
        <v/>
      </c>
      <c r="G224" s="586">
        <f>_xludf.IFNA(_xlfn.XLOOKUP(C226,'00_SKU_Master'!$B$2:$B$378,'00_SKU_Master'!$F$2:$F$378,0)*AB226,"")</f>
        <v/>
      </c>
      <c r="H224" s="586">
        <f>_xludf.IFNA(_xlfn.XLOOKUP(C226,'00_SKU_Master'!$B$2:$B$378,'00_SKU_Master'!$F$2:$F$378,0)*AC226,"")</f>
        <v/>
      </c>
      <c r="I224" s="586">
        <f>_xludf.IFNA(_xlfn.XLOOKUP(C226,'00_SKU_Master'!$B$2:$B$378,'00_SKU_Master'!$F$2:$F$378,0)*AD226,"")</f>
        <v/>
      </c>
      <c r="J224" s="586">
        <f>_xludf.IFNA(_xlfn.XLOOKUP(C226,'00_SKU_Master'!$B$2:$B$378,'00_SKU_Master'!$F$2:$F$378,0)*AE226,"")</f>
        <v/>
      </c>
      <c r="K224" s="587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88" t="n"/>
      <c r="Z224" s="589" t="n"/>
      <c r="AA224" s="589" t="n"/>
      <c r="AB224" s="589" t="n"/>
      <c r="AC224" s="589" t="n">
        <v>41</v>
      </c>
      <c r="AD224" s="589" t="n">
        <v>0</v>
      </c>
      <c r="AE224" s="589" t="n">
        <v>75</v>
      </c>
      <c r="AF224" s="587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86">
        <f>_xludf.IFNA(_xlfn.XLOOKUP(C227,'00_SKU_Master'!$B$2:$B$378,'00_SKU_Master'!$F$2:$F$378,0)*Y227,"")</f>
        <v/>
      </c>
      <c r="E225" s="586">
        <f>_xludf.IFNA(_xlfn.XLOOKUP(C227,'00_SKU_Master'!$B$2:$B$378,'00_SKU_Master'!$F$2:$F$378,0)*Z227,"")</f>
        <v/>
      </c>
      <c r="F225" s="586">
        <f>_xludf.IFNA(_xlfn.XLOOKUP(C227,'00_SKU_Master'!$B$2:$B$378,'00_SKU_Master'!$F$2:$F$378,0)*AA227,"")</f>
        <v/>
      </c>
      <c r="G225" s="586">
        <f>_xludf.IFNA(_xlfn.XLOOKUP(C227,'00_SKU_Master'!$B$2:$B$378,'00_SKU_Master'!$F$2:$F$378,0)*AB227,"")</f>
        <v/>
      </c>
      <c r="H225" s="586">
        <f>_xludf.IFNA(_xlfn.XLOOKUP(C227,'00_SKU_Master'!$B$2:$B$378,'00_SKU_Master'!$F$2:$F$378,0)*AC227,"")</f>
        <v/>
      </c>
      <c r="I225" s="586">
        <f>_xludf.IFNA(_xlfn.XLOOKUP(C227,'00_SKU_Master'!$B$2:$B$378,'00_SKU_Master'!$F$2:$F$378,0)*AD227,"")</f>
        <v/>
      </c>
      <c r="J225" s="586">
        <f>_xludf.IFNA(_xlfn.XLOOKUP(C227,'00_SKU_Master'!$B$2:$B$378,'00_SKU_Master'!$F$2:$F$378,0)*AE227,"")</f>
        <v/>
      </c>
      <c r="K225" s="587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88" t="n"/>
      <c r="Z225" s="589" t="n"/>
      <c r="AA225" s="589" t="n"/>
      <c r="AB225" s="589" t="n"/>
      <c r="AC225" s="589" t="n">
        <v>250</v>
      </c>
      <c r="AD225" s="589" t="n">
        <v>0</v>
      </c>
      <c r="AE225" s="589" t="n">
        <v>138</v>
      </c>
      <c r="AF225" s="587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86">
        <f>_xludf.IFNA(_xlfn.XLOOKUP(C228,'00_SKU_Master'!$B$2:$B$378,'00_SKU_Master'!$F$2:$F$378,0)*Y228,"")</f>
        <v/>
      </c>
      <c r="E226" s="586">
        <f>_xludf.IFNA(_xlfn.XLOOKUP(C228,'00_SKU_Master'!$B$2:$B$378,'00_SKU_Master'!$F$2:$F$378,0)*Z228,"")</f>
        <v/>
      </c>
      <c r="F226" s="586">
        <f>_xludf.IFNA(_xlfn.XLOOKUP(C228,'00_SKU_Master'!$B$2:$B$378,'00_SKU_Master'!$F$2:$F$378,0)*AA228,"")</f>
        <v/>
      </c>
      <c r="G226" s="586">
        <f>_xludf.IFNA(_xlfn.XLOOKUP(C228,'00_SKU_Master'!$B$2:$B$378,'00_SKU_Master'!$F$2:$F$378,0)*AB228,"")</f>
        <v/>
      </c>
      <c r="H226" s="586">
        <f>_xludf.IFNA(_xlfn.XLOOKUP(C228,'00_SKU_Master'!$B$2:$B$378,'00_SKU_Master'!$F$2:$F$378,0)*AC228,"")</f>
        <v/>
      </c>
      <c r="I226" s="586">
        <f>_xludf.IFNA(_xlfn.XLOOKUP(C228,'00_SKU_Master'!$B$2:$B$378,'00_SKU_Master'!$F$2:$F$378,0)*AD228,"")</f>
        <v/>
      </c>
      <c r="J226" s="586">
        <f>_xludf.IFNA(_xlfn.XLOOKUP(C228,'00_SKU_Master'!$B$2:$B$378,'00_SKU_Master'!$F$2:$F$378,0)*AE228,"")</f>
        <v/>
      </c>
      <c r="K226" s="587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88" t="n"/>
      <c r="Z226" s="589" t="n"/>
      <c r="AA226" s="589" t="n"/>
      <c r="AB226" s="589" t="n"/>
      <c r="AC226" s="589" t="n">
        <v>2</v>
      </c>
      <c r="AD226" s="589" t="n">
        <v>0</v>
      </c>
      <c r="AE226" s="589" t="n">
        <v>36</v>
      </c>
      <c r="AF226" s="587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86">
        <f>_xludf.IFNA(_xlfn.XLOOKUP(C229,'00_SKU_Master'!$B$2:$B$378,'00_SKU_Master'!$F$2:$F$378,0)*Y229,"")</f>
        <v/>
      </c>
      <c r="E227" s="586">
        <f>_xludf.IFNA(_xlfn.XLOOKUP(C229,'00_SKU_Master'!$B$2:$B$378,'00_SKU_Master'!$F$2:$F$378,0)*Z229,"")</f>
        <v/>
      </c>
      <c r="F227" s="586">
        <f>_xludf.IFNA(_xlfn.XLOOKUP(C229,'00_SKU_Master'!$B$2:$B$378,'00_SKU_Master'!$F$2:$F$378,0)*AA229,"")</f>
        <v/>
      </c>
      <c r="G227" s="586">
        <f>_xludf.IFNA(_xlfn.XLOOKUP(C229,'00_SKU_Master'!$B$2:$B$378,'00_SKU_Master'!$F$2:$F$378,0)*AB229,"")</f>
        <v/>
      </c>
      <c r="H227" s="586">
        <f>_xludf.IFNA(_xlfn.XLOOKUP(C229,'00_SKU_Master'!$B$2:$B$378,'00_SKU_Master'!$F$2:$F$378,0)*AC229,"")</f>
        <v/>
      </c>
      <c r="I227" s="586">
        <f>_xludf.IFNA(_xlfn.XLOOKUP(C229,'00_SKU_Master'!$B$2:$B$378,'00_SKU_Master'!$F$2:$F$378,0)*AD229,"")</f>
        <v/>
      </c>
      <c r="J227" s="586">
        <f>_xludf.IFNA(_xlfn.XLOOKUP(C229,'00_SKU_Master'!$B$2:$B$378,'00_SKU_Master'!$F$2:$F$378,0)*AE229,"")</f>
        <v/>
      </c>
      <c r="K227" s="587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88" t="n"/>
      <c r="Z227" s="589" t="n"/>
      <c r="AA227" s="589" t="n"/>
      <c r="AB227" s="589" t="n"/>
      <c r="AC227" s="589" t="n">
        <v>18</v>
      </c>
      <c r="AD227" s="589" t="n">
        <v>0</v>
      </c>
      <c r="AE227" s="589" t="n">
        <v>62</v>
      </c>
      <c r="AF227" s="587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86">
        <f>_xludf.IFNA(_xlfn.XLOOKUP(C230,'00_SKU_Master'!$B$2:$B$378,'00_SKU_Master'!$F$2:$F$378,0)*Y230,"")</f>
        <v/>
      </c>
      <c r="E228" s="586">
        <f>_xludf.IFNA(_xlfn.XLOOKUP(C230,'00_SKU_Master'!$B$2:$B$378,'00_SKU_Master'!$F$2:$F$378,0)*Z230,"")</f>
        <v/>
      </c>
      <c r="F228" s="586">
        <f>_xludf.IFNA(_xlfn.XLOOKUP(C230,'00_SKU_Master'!$B$2:$B$378,'00_SKU_Master'!$F$2:$F$378,0)*AA230,"")</f>
        <v/>
      </c>
      <c r="G228" s="586">
        <f>_xludf.IFNA(_xlfn.XLOOKUP(C230,'00_SKU_Master'!$B$2:$B$378,'00_SKU_Master'!$F$2:$F$378,0)*AB230,"")</f>
        <v/>
      </c>
      <c r="H228" s="586">
        <f>_xludf.IFNA(_xlfn.XLOOKUP(C230,'00_SKU_Master'!$B$2:$B$378,'00_SKU_Master'!$F$2:$F$378,0)*AC230,"")</f>
        <v/>
      </c>
      <c r="I228" s="586">
        <f>_xludf.IFNA(_xlfn.XLOOKUP(C230,'00_SKU_Master'!$B$2:$B$378,'00_SKU_Master'!$F$2:$F$378,0)*AD230,"")</f>
        <v/>
      </c>
      <c r="J228" s="586">
        <f>_xludf.IFNA(_xlfn.XLOOKUP(C230,'00_SKU_Master'!$B$2:$B$378,'00_SKU_Master'!$F$2:$F$378,0)*AE230,"")</f>
        <v/>
      </c>
      <c r="K228" s="587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88" t="n"/>
      <c r="Z228" s="589" t="n"/>
      <c r="AA228" s="589" t="n"/>
      <c r="AB228" s="589" t="n"/>
      <c r="AC228" s="589" t="n">
        <v>5</v>
      </c>
      <c r="AD228" s="589" t="n">
        <v>0</v>
      </c>
      <c r="AE228" s="589" t="n">
        <v>28</v>
      </c>
      <c r="AF228" s="587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86">
        <f>_xludf.IFNA(_xlfn.XLOOKUP(C231,'00_SKU_Master'!$B$2:$B$378,'00_SKU_Master'!$F$2:$F$378,0)*Y231,"")</f>
        <v/>
      </c>
      <c r="E229" s="586">
        <f>_xludf.IFNA(_xlfn.XLOOKUP(C231,'00_SKU_Master'!$B$2:$B$378,'00_SKU_Master'!$F$2:$F$378,0)*Z231,"")</f>
        <v/>
      </c>
      <c r="F229" s="586">
        <f>_xludf.IFNA(_xlfn.XLOOKUP(C231,'00_SKU_Master'!$B$2:$B$378,'00_SKU_Master'!$F$2:$F$378,0)*AA231,"")</f>
        <v/>
      </c>
      <c r="G229" s="586">
        <f>_xludf.IFNA(_xlfn.XLOOKUP(C231,'00_SKU_Master'!$B$2:$B$378,'00_SKU_Master'!$F$2:$F$378,0)*AB231,"")</f>
        <v/>
      </c>
      <c r="H229" s="586">
        <f>_xludf.IFNA(_xlfn.XLOOKUP(C231,'00_SKU_Master'!$B$2:$B$378,'00_SKU_Master'!$F$2:$F$378,0)*AC231,"")</f>
        <v/>
      </c>
      <c r="I229" s="586">
        <f>_xludf.IFNA(_xlfn.XLOOKUP(C231,'00_SKU_Master'!$B$2:$B$378,'00_SKU_Master'!$F$2:$F$378,0)*AD231,"")</f>
        <v/>
      </c>
      <c r="J229" s="586">
        <f>_xludf.IFNA(_xlfn.XLOOKUP(C231,'00_SKU_Master'!$B$2:$B$378,'00_SKU_Master'!$F$2:$F$378,0)*AE231,"")</f>
        <v/>
      </c>
      <c r="K229" s="587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88" t="n"/>
      <c r="Z229" s="589" t="n"/>
      <c r="AA229" s="589" t="n"/>
      <c r="AB229" s="589" t="n"/>
      <c r="AC229" s="589" t="n">
        <v>0</v>
      </c>
      <c r="AD229" s="589" t="n">
        <v>0</v>
      </c>
      <c r="AE229" s="589" t="n">
        <v>0</v>
      </c>
      <c r="AF229" s="587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86">
        <f>_xludf.IFNA(_xlfn.XLOOKUP(C232,'00_SKU_Master'!$B$2:$B$378,'00_SKU_Master'!$F$2:$F$378,0)*Y232,"")</f>
        <v/>
      </c>
      <c r="E230" s="586">
        <f>_xludf.IFNA(_xlfn.XLOOKUP(C232,'00_SKU_Master'!$B$2:$B$378,'00_SKU_Master'!$F$2:$F$378,0)*Z232,"")</f>
        <v/>
      </c>
      <c r="F230" s="586">
        <f>_xludf.IFNA(_xlfn.XLOOKUP(C232,'00_SKU_Master'!$B$2:$B$378,'00_SKU_Master'!$F$2:$F$378,0)*AA232,"")</f>
        <v/>
      </c>
      <c r="G230" s="586">
        <f>_xludf.IFNA(_xlfn.XLOOKUP(C232,'00_SKU_Master'!$B$2:$B$378,'00_SKU_Master'!$F$2:$F$378,0)*AB232,"")</f>
        <v/>
      </c>
      <c r="H230" s="586">
        <f>_xludf.IFNA(_xlfn.XLOOKUP(C232,'00_SKU_Master'!$B$2:$B$378,'00_SKU_Master'!$F$2:$F$378,0)*AC232,"")</f>
        <v/>
      </c>
      <c r="I230" s="586">
        <f>_xludf.IFNA(_xlfn.XLOOKUP(C232,'00_SKU_Master'!$B$2:$B$378,'00_SKU_Master'!$F$2:$F$378,0)*AD232,"")</f>
        <v/>
      </c>
      <c r="J230" s="586">
        <f>_xludf.IFNA(_xlfn.XLOOKUP(C232,'00_SKU_Master'!$B$2:$B$378,'00_SKU_Master'!$F$2:$F$378,0)*AE232,"")</f>
        <v/>
      </c>
      <c r="K230" s="587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88" t="n"/>
      <c r="Z230" s="589" t="n"/>
      <c r="AA230" s="589" t="n"/>
      <c r="AB230" s="589" t="n"/>
      <c r="AC230" s="589" t="n">
        <v>64</v>
      </c>
      <c r="AD230" s="589" t="n">
        <v>0</v>
      </c>
      <c r="AE230" s="589" t="n">
        <v>80</v>
      </c>
      <c r="AF230" s="587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86">
        <f>_xludf.IFNA(_xlfn.XLOOKUP(C233,'00_SKU_Master'!$B$2:$B$378,'00_SKU_Master'!$F$2:$F$378,0)*Y233,"")</f>
        <v/>
      </c>
      <c r="E231" s="586">
        <f>_xludf.IFNA(_xlfn.XLOOKUP(C233,'00_SKU_Master'!$B$2:$B$378,'00_SKU_Master'!$F$2:$F$378,0)*Z233,"")</f>
        <v/>
      </c>
      <c r="F231" s="586">
        <f>_xludf.IFNA(_xlfn.XLOOKUP(C233,'00_SKU_Master'!$B$2:$B$378,'00_SKU_Master'!$F$2:$F$378,0)*AA233,"")</f>
        <v/>
      </c>
      <c r="G231" s="586">
        <f>_xludf.IFNA(_xlfn.XLOOKUP(C233,'00_SKU_Master'!$B$2:$B$378,'00_SKU_Master'!$F$2:$F$378,0)*AB233,"")</f>
        <v/>
      </c>
      <c r="H231" s="586">
        <f>_xludf.IFNA(_xlfn.XLOOKUP(C233,'00_SKU_Master'!$B$2:$B$378,'00_SKU_Master'!$F$2:$F$378,0)*AC233,"")</f>
        <v/>
      </c>
      <c r="I231" s="586">
        <f>_xludf.IFNA(_xlfn.XLOOKUP(C233,'00_SKU_Master'!$B$2:$B$378,'00_SKU_Master'!$F$2:$F$378,0)*AD233,"")</f>
        <v/>
      </c>
      <c r="J231" s="586">
        <f>_xludf.IFNA(_xlfn.XLOOKUP(C233,'00_SKU_Master'!$B$2:$B$378,'00_SKU_Master'!$F$2:$F$378,0)*AE233,"")</f>
        <v/>
      </c>
      <c r="K231" s="587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88" t="n"/>
      <c r="Z231" s="589" t="n"/>
      <c r="AA231" s="589" t="n"/>
      <c r="AB231" s="589" t="n"/>
      <c r="AC231" s="589" t="n">
        <v>30</v>
      </c>
      <c r="AD231" s="589" t="n">
        <v>0</v>
      </c>
      <c r="AE231" s="589" t="n">
        <v>30</v>
      </c>
      <c r="AF231" s="587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86">
        <f>_xludf.IFNA(_xlfn.XLOOKUP(C234,'00_SKU_Master'!$B$2:$B$378,'00_SKU_Master'!$F$2:$F$378,0)*Y234,"")</f>
        <v/>
      </c>
      <c r="E232" s="586">
        <f>_xludf.IFNA(_xlfn.XLOOKUP(C234,'00_SKU_Master'!$B$2:$B$378,'00_SKU_Master'!$F$2:$F$378,0)*Z234,"")</f>
        <v/>
      </c>
      <c r="F232" s="586">
        <f>_xludf.IFNA(_xlfn.XLOOKUP(C234,'00_SKU_Master'!$B$2:$B$378,'00_SKU_Master'!$F$2:$F$378,0)*AA234,"")</f>
        <v/>
      </c>
      <c r="G232" s="586">
        <f>_xludf.IFNA(_xlfn.XLOOKUP(C234,'00_SKU_Master'!$B$2:$B$378,'00_SKU_Master'!$F$2:$F$378,0)*AB234,"")</f>
        <v/>
      </c>
      <c r="H232" s="586">
        <f>_xludf.IFNA(_xlfn.XLOOKUP(C234,'00_SKU_Master'!$B$2:$B$378,'00_SKU_Master'!$F$2:$F$378,0)*AC234,"")</f>
        <v/>
      </c>
      <c r="I232" s="586">
        <f>_xludf.IFNA(_xlfn.XLOOKUP(C234,'00_SKU_Master'!$B$2:$B$378,'00_SKU_Master'!$F$2:$F$378,0)*AD234,"")</f>
        <v/>
      </c>
      <c r="J232" s="586">
        <f>_xludf.IFNA(_xlfn.XLOOKUP(C234,'00_SKU_Master'!$B$2:$B$378,'00_SKU_Master'!$F$2:$F$378,0)*AE234,"")</f>
        <v/>
      </c>
      <c r="K232" s="587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88" t="n"/>
      <c r="Z232" s="589" t="n"/>
      <c r="AA232" s="589" t="n"/>
      <c r="AB232" s="589" t="n"/>
      <c r="AC232" s="589" t="n">
        <v>30</v>
      </c>
      <c r="AD232" s="589" t="n">
        <v>0</v>
      </c>
      <c r="AE232" s="589" t="n">
        <v>30</v>
      </c>
      <c r="AF232" s="587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86">
        <f>_xludf.IFNA(_xlfn.XLOOKUP(C235,'00_SKU_Master'!$B$2:$B$378,'00_SKU_Master'!$F$2:$F$378,0)*Y235,"")</f>
        <v/>
      </c>
      <c r="E233" s="586">
        <f>_xludf.IFNA(_xlfn.XLOOKUP(C235,'00_SKU_Master'!$B$2:$B$378,'00_SKU_Master'!$F$2:$F$378,0)*Z235,"")</f>
        <v/>
      </c>
      <c r="F233" s="586">
        <f>_xludf.IFNA(_xlfn.XLOOKUP(C235,'00_SKU_Master'!$B$2:$B$378,'00_SKU_Master'!$F$2:$F$378,0)*AA235,"")</f>
        <v/>
      </c>
      <c r="G233" s="586">
        <f>_xludf.IFNA(_xlfn.XLOOKUP(C235,'00_SKU_Master'!$B$2:$B$378,'00_SKU_Master'!$F$2:$F$378,0)*AB235,"")</f>
        <v/>
      </c>
      <c r="H233" s="586">
        <f>_xludf.IFNA(_xlfn.XLOOKUP(C235,'00_SKU_Master'!$B$2:$B$378,'00_SKU_Master'!$F$2:$F$378,0)*AC235,"")</f>
        <v/>
      </c>
      <c r="I233" s="586">
        <f>_xludf.IFNA(_xlfn.XLOOKUP(C235,'00_SKU_Master'!$B$2:$B$378,'00_SKU_Master'!$F$2:$F$378,0)*AD235,"")</f>
        <v/>
      </c>
      <c r="J233" s="586">
        <f>_xludf.IFNA(_xlfn.XLOOKUP(C235,'00_SKU_Master'!$B$2:$B$378,'00_SKU_Master'!$F$2:$F$378,0)*AE235,"")</f>
        <v/>
      </c>
      <c r="K233" s="587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88" t="n"/>
      <c r="Z233" s="589" t="n"/>
      <c r="AA233" s="589" t="n"/>
      <c r="AB233" s="589" t="n"/>
      <c r="AC233" s="589" t="n">
        <v>31</v>
      </c>
      <c r="AD233" s="589" t="n">
        <v>0</v>
      </c>
      <c r="AE233" s="589" t="n">
        <v>20</v>
      </c>
      <c r="AF233" s="587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86">
        <f>_xludf.IFNA(_xlfn.XLOOKUP(C236,'00_SKU_Master'!$B$2:$B$378,'00_SKU_Master'!$F$2:$F$378,0)*Y236,"")</f>
        <v/>
      </c>
      <c r="E234" s="586">
        <f>_xludf.IFNA(_xlfn.XLOOKUP(C236,'00_SKU_Master'!$B$2:$B$378,'00_SKU_Master'!$F$2:$F$378,0)*Z236,"")</f>
        <v/>
      </c>
      <c r="F234" s="586">
        <f>_xludf.IFNA(_xlfn.XLOOKUP(C236,'00_SKU_Master'!$B$2:$B$378,'00_SKU_Master'!$F$2:$F$378,0)*AA236,"")</f>
        <v/>
      </c>
      <c r="G234" s="586">
        <f>_xludf.IFNA(_xlfn.XLOOKUP(C236,'00_SKU_Master'!$B$2:$B$378,'00_SKU_Master'!$F$2:$F$378,0)*AB236,"")</f>
        <v/>
      </c>
      <c r="H234" s="586">
        <f>_xludf.IFNA(_xlfn.XLOOKUP(C236,'00_SKU_Master'!$B$2:$B$378,'00_SKU_Master'!$F$2:$F$378,0)*AC236,"")</f>
        <v/>
      </c>
      <c r="I234" s="586">
        <f>_xludf.IFNA(_xlfn.XLOOKUP(C236,'00_SKU_Master'!$B$2:$B$378,'00_SKU_Master'!$F$2:$F$378,0)*AD236,"")</f>
        <v/>
      </c>
      <c r="J234" s="586">
        <f>_xludf.IFNA(_xlfn.XLOOKUP(C236,'00_SKU_Master'!$B$2:$B$378,'00_SKU_Master'!$F$2:$F$378,0)*AE236,"")</f>
        <v/>
      </c>
      <c r="K234" s="587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88" t="n"/>
      <c r="Z234" s="589" t="n"/>
      <c r="AA234" s="589" t="n"/>
      <c r="AB234" s="589" t="n"/>
      <c r="AC234" s="589" t="n">
        <v>31</v>
      </c>
      <c r="AD234" s="589" t="n">
        <v>0</v>
      </c>
      <c r="AE234" s="589" t="n">
        <v>40</v>
      </c>
      <c r="AF234" s="587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86">
        <f>_xludf.IFNA(_xlfn.XLOOKUP(C237,'00_SKU_Master'!$B$2:$B$378,'00_SKU_Master'!$F$2:$F$378,0)*Y237,"")</f>
        <v/>
      </c>
      <c r="E235" s="586">
        <f>_xludf.IFNA(_xlfn.XLOOKUP(C237,'00_SKU_Master'!$B$2:$B$378,'00_SKU_Master'!$F$2:$F$378,0)*Z237,"")</f>
        <v/>
      </c>
      <c r="F235" s="586">
        <f>_xludf.IFNA(_xlfn.XLOOKUP(C237,'00_SKU_Master'!$B$2:$B$378,'00_SKU_Master'!$F$2:$F$378,0)*AA237,"")</f>
        <v/>
      </c>
      <c r="G235" s="586">
        <f>_xludf.IFNA(_xlfn.XLOOKUP(C237,'00_SKU_Master'!$B$2:$B$378,'00_SKU_Master'!$F$2:$F$378,0)*AB237,"")</f>
        <v/>
      </c>
      <c r="H235" s="586">
        <f>_xludf.IFNA(_xlfn.XLOOKUP(C237,'00_SKU_Master'!$B$2:$B$378,'00_SKU_Master'!$F$2:$F$378,0)*AC237,"")</f>
        <v/>
      </c>
      <c r="I235" s="586">
        <f>_xludf.IFNA(_xlfn.XLOOKUP(C237,'00_SKU_Master'!$B$2:$B$378,'00_SKU_Master'!$F$2:$F$378,0)*AD237,"")</f>
        <v/>
      </c>
      <c r="J235" s="586">
        <f>_xludf.IFNA(_xlfn.XLOOKUP(C237,'00_SKU_Master'!$B$2:$B$378,'00_SKU_Master'!$F$2:$F$378,0)*AE237,"")</f>
        <v/>
      </c>
      <c r="K235" s="587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88" t="n"/>
      <c r="Z235" s="589" t="n"/>
      <c r="AA235" s="589" t="n"/>
      <c r="AB235" s="589" t="n"/>
      <c r="AC235" s="589" t="n">
        <v>10</v>
      </c>
      <c r="AD235" s="589" t="n">
        <v>0</v>
      </c>
      <c r="AE235" s="589" t="n">
        <v>20</v>
      </c>
      <c r="AF235" s="587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86">
        <f>_xludf.IFNA(_xlfn.XLOOKUP(C238,'00_SKU_Master'!$B$2:$B$378,'00_SKU_Master'!$F$2:$F$378,0)*Y238,"")</f>
        <v/>
      </c>
      <c r="E236" s="586">
        <f>_xludf.IFNA(_xlfn.XLOOKUP(C238,'00_SKU_Master'!$B$2:$B$378,'00_SKU_Master'!$F$2:$F$378,0)*Z238,"")</f>
        <v/>
      </c>
      <c r="F236" s="586">
        <f>_xludf.IFNA(_xlfn.XLOOKUP(C238,'00_SKU_Master'!$B$2:$B$378,'00_SKU_Master'!$F$2:$F$378,0)*AA238,"")</f>
        <v/>
      </c>
      <c r="G236" s="586">
        <f>_xludf.IFNA(_xlfn.XLOOKUP(C238,'00_SKU_Master'!$B$2:$B$378,'00_SKU_Master'!$F$2:$F$378,0)*AB238,"")</f>
        <v/>
      </c>
      <c r="H236" s="586">
        <f>_xludf.IFNA(_xlfn.XLOOKUP(C238,'00_SKU_Master'!$B$2:$B$378,'00_SKU_Master'!$F$2:$F$378,0)*AC238,"")</f>
        <v/>
      </c>
      <c r="I236" s="586">
        <f>_xludf.IFNA(_xlfn.XLOOKUP(C238,'00_SKU_Master'!$B$2:$B$378,'00_SKU_Master'!$F$2:$F$378,0)*AD238,"")</f>
        <v/>
      </c>
      <c r="J236" s="586">
        <f>_xludf.IFNA(_xlfn.XLOOKUP(C238,'00_SKU_Master'!$B$2:$B$378,'00_SKU_Master'!$F$2:$F$378,0)*AE238,"")</f>
        <v/>
      </c>
      <c r="K236" s="587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88" t="n"/>
      <c r="Z236" s="589" t="n"/>
      <c r="AA236" s="589" t="n"/>
      <c r="AB236" s="589" t="n"/>
      <c r="AC236" s="589" t="n">
        <v>42</v>
      </c>
      <c r="AD236" s="589" t="n">
        <v>0</v>
      </c>
      <c r="AE236" s="589" t="n">
        <v>85</v>
      </c>
      <c r="AF236" s="587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86">
        <f>_xludf.IFNA(_xlfn.XLOOKUP(C239,'00_SKU_Master'!$B$2:$B$378,'00_SKU_Master'!$F$2:$F$378,0)*Y239,"")</f>
        <v/>
      </c>
      <c r="E237" s="586">
        <f>_xludf.IFNA(_xlfn.XLOOKUP(C239,'00_SKU_Master'!$B$2:$B$378,'00_SKU_Master'!$F$2:$F$378,0)*Z239,"")</f>
        <v/>
      </c>
      <c r="F237" s="586">
        <f>_xludf.IFNA(_xlfn.XLOOKUP(C239,'00_SKU_Master'!$B$2:$B$378,'00_SKU_Master'!$F$2:$F$378,0)*AA239,"")</f>
        <v/>
      </c>
      <c r="G237" s="586">
        <f>_xludf.IFNA(_xlfn.XLOOKUP(C239,'00_SKU_Master'!$B$2:$B$378,'00_SKU_Master'!$F$2:$F$378,0)*AB239,"")</f>
        <v/>
      </c>
      <c r="H237" s="586">
        <f>_xludf.IFNA(_xlfn.XLOOKUP(C239,'00_SKU_Master'!$B$2:$B$378,'00_SKU_Master'!$F$2:$F$378,0)*AC239,"")</f>
        <v/>
      </c>
      <c r="I237" s="586">
        <f>_xludf.IFNA(_xlfn.XLOOKUP(C239,'00_SKU_Master'!$B$2:$B$378,'00_SKU_Master'!$F$2:$F$378,0)*AD239,"")</f>
        <v/>
      </c>
      <c r="J237" s="586">
        <f>_xludf.IFNA(_xlfn.XLOOKUP(C239,'00_SKU_Master'!$B$2:$B$378,'00_SKU_Master'!$F$2:$F$378,0)*AE239,"")</f>
        <v/>
      </c>
      <c r="K237" s="587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88" t="n"/>
      <c r="Z237" s="589" t="n"/>
      <c r="AA237" s="589" t="n"/>
      <c r="AB237" s="589" t="n"/>
      <c r="AC237" s="589" t="n">
        <v>20</v>
      </c>
      <c r="AD237" s="589" t="n">
        <v>0</v>
      </c>
      <c r="AE237" s="589" t="n">
        <v>72</v>
      </c>
      <c r="AF237" s="587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86">
        <f>_xludf.IFNA(_xlfn.XLOOKUP(C240,'00_SKU_Master'!$B$2:$B$378,'00_SKU_Master'!$F$2:$F$378,0)*Y240,"")</f>
        <v/>
      </c>
      <c r="E238" s="586">
        <f>_xludf.IFNA(_xlfn.XLOOKUP(C240,'00_SKU_Master'!$B$2:$B$378,'00_SKU_Master'!$F$2:$F$378,0)*Z240,"")</f>
        <v/>
      </c>
      <c r="F238" s="586">
        <f>_xludf.IFNA(_xlfn.XLOOKUP(C240,'00_SKU_Master'!$B$2:$B$378,'00_SKU_Master'!$F$2:$F$378,0)*AA240,"")</f>
        <v/>
      </c>
      <c r="G238" s="586">
        <f>_xludf.IFNA(_xlfn.XLOOKUP(C240,'00_SKU_Master'!$B$2:$B$378,'00_SKU_Master'!$F$2:$F$378,0)*AB240,"")</f>
        <v/>
      </c>
      <c r="H238" s="586">
        <f>_xludf.IFNA(_xlfn.XLOOKUP(C240,'00_SKU_Master'!$B$2:$B$378,'00_SKU_Master'!$F$2:$F$378,0)*AC240,"")</f>
        <v/>
      </c>
      <c r="I238" s="586">
        <f>_xludf.IFNA(_xlfn.XLOOKUP(C240,'00_SKU_Master'!$B$2:$B$378,'00_SKU_Master'!$F$2:$F$378,0)*AD240,"")</f>
        <v/>
      </c>
      <c r="J238" s="586">
        <f>_xludf.IFNA(_xlfn.XLOOKUP(C240,'00_SKU_Master'!$B$2:$B$378,'00_SKU_Master'!$F$2:$F$378,0)*AE240,"")</f>
        <v/>
      </c>
      <c r="K238" s="587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88" t="n"/>
      <c r="Z238" s="589" t="n"/>
      <c r="AA238" s="589" t="n"/>
      <c r="AB238" s="589" t="n"/>
      <c r="AC238" s="589" t="n">
        <v>19</v>
      </c>
      <c r="AD238" s="589" t="n">
        <v>0</v>
      </c>
      <c r="AE238" s="589" t="n">
        <v>68</v>
      </c>
      <c r="AF238" s="587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86">
        <f>_xludf.IFNA(_xlfn.XLOOKUP(C241,'00_SKU_Master'!$B$2:$B$378,'00_SKU_Master'!$F$2:$F$378,0)*Y241,"")</f>
        <v/>
      </c>
      <c r="E239" s="586">
        <f>_xludf.IFNA(_xlfn.XLOOKUP(C241,'00_SKU_Master'!$B$2:$B$378,'00_SKU_Master'!$F$2:$F$378,0)*Z241,"")</f>
        <v/>
      </c>
      <c r="F239" s="586">
        <f>_xludf.IFNA(_xlfn.XLOOKUP(C241,'00_SKU_Master'!$B$2:$B$378,'00_SKU_Master'!$F$2:$F$378,0)*AA241,"")</f>
        <v/>
      </c>
      <c r="G239" s="586">
        <f>_xludf.IFNA(_xlfn.XLOOKUP(C241,'00_SKU_Master'!$B$2:$B$378,'00_SKU_Master'!$F$2:$F$378,0)*AB241,"")</f>
        <v/>
      </c>
      <c r="H239" s="586">
        <f>_xludf.IFNA(_xlfn.XLOOKUP(C241,'00_SKU_Master'!$B$2:$B$378,'00_SKU_Master'!$F$2:$F$378,0)*AC241,"")</f>
        <v/>
      </c>
      <c r="I239" s="586">
        <f>_xludf.IFNA(_xlfn.XLOOKUP(C241,'00_SKU_Master'!$B$2:$B$378,'00_SKU_Master'!$F$2:$F$378,0)*AD241,"")</f>
        <v/>
      </c>
      <c r="J239" s="586">
        <f>_xludf.IFNA(_xlfn.XLOOKUP(C241,'00_SKU_Master'!$B$2:$B$378,'00_SKU_Master'!$F$2:$F$378,0)*AE241,"")</f>
        <v/>
      </c>
      <c r="K239" s="587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88" t="n"/>
      <c r="Z239" s="589" t="n"/>
      <c r="AA239" s="589" t="n"/>
      <c r="AB239" s="589" t="n"/>
      <c r="AC239" s="589" t="n">
        <v>0</v>
      </c>
      <c r="AD239" s="589" t="n">
        <v>0</v>
      </c>
      <c r="AE239" s="589" t="n">
        <v>0</v>
      </c>
      <c r="AF239" s="587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86">
        <f>_xludf.IFNA(_xlfn.XLOOKUP(C242,'00_SKU_Master'!$B$2:$B$378,'00_SKU_Master'!$F$2:$F$378,0)*Y242,"")</f>
        <v/>
      </c>
      <c r="E240" s="586">
        <f>_xludf.IFNA(_xlfn.XLOOKUP(C242,'00_SKU_Master'!$B$2:$B$378,'00_SKU_Master'!$F$2:$F$378,0)*Z242,"")</f>
        <v/>
      </c>
      <c r="F240" s="586">
        <f>_xludf.IFNA(_xlfn.XLOOKUP(C242,'00_SKU_Master'!$B$2:$B$378,'00_SKU_Master'!$F$2:$F$378,0)*AA242,"")</f>
        <v/>
      </c>
      <c r="G240" s="586">
        <f>_xludf.IFNA(_xlfn.XLOOKUP(C242,'00_SKU_Master'!$B$2:$B$378,'00_SKU_Master'!$F$2:$F$378,0)*AB242,"")</f>
        <v/>
      </c>
      <c r="H240" s="586">
        <f>_xludf.IFNA(_xlfn.XLOOKUP(C242,'00_SKU_Master'!$B$2:$B$378,'00_SKU_Master'!$F$2:$F$378,0)*AC242,"")</f>
        <v/>
      </c>
      <c r="I240" s="586">
        <f>_xludf.IFNA(_xlfn.XLOOKUP(C242,'00_SKU_Master'!$B$2:$B$378,'00_SKU_Master'!$F$2:$F$378,0)*AD242,"")</f>
        <v/>
      </c>
      <c r="J240" s="586">
        <f>_xludf.IFNA(_xlfn.XLOOKUP(C242,'00_SKU_Master'!$B$2:$B$378,'00_SKU_Master'!$F$2:$F$378,0)*AE242,"")</f>
        <v/>
      </c>
      <c r="K240" s="587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88" t="n"/>
      <c r="Z240" s="589" t="n"/>
      <c r="AA240" s="589" t="n"/>
      <c r="AB240" s="589" t="n"/>
      <c r="AC240" s="589" t="n">
        <v>0</v>
      </c>
      <c r="AD240" s="589" t="n">
        <v>0</v>
      </c>
      <c r="AE240" s="589" t="n">
        <v>0</v>
      </c>
      <c r="AF240" s="587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86">
        <f>_xludf.IFNA(_xlfn.XLOOKUP(C243,'00_SKU_Master'!$B$2:$B$378,'00_SKU_Master'!$F$2:$F$378,0)*Y243,"")</f>
        <v/>
      </c>
      <c r="E241" s="586">
        <f>_xludf.IFNA(_xlfn.XLOOKUP(C243,'00_SKU_Master'!$B$2:$B$378,'00_SKU_Master'!$F$2:$F$378,0)*Z243,"")</f>
        <v/>
      </c>
      <c r="F241" s="586">
        <f>_xludf.IFNA(_xlfn.XLOOKUP(C243,'00_SKU_Master'!$B$2:$B$378,'00_SKU_Master'!$F$2:$F$378,0)*AA243,"")</f>
        <v/>
      </c>
      <c r="G241" s="586">
        <f>_xludf.IFNA(_xlfn.XLOOKUP(C243,'00_SKU_Master'!$B$2:$B$378,'00_SKU_Master'!$F$2:$F$378,0)*AB243,"")</f>
        <v/>
      </c>
      <c r="H241" s="586">
        <f>_xludf.IFNA(_xlfn.XLOOKUP(C243,'00_SKU_Master'!$B$2:$B$378,'00_SKU_Master'!$F$2:$F$378,0)*AC243,"")</f>
        <v/>
      </c>
      <c r="I241" s="586">
        <f>_xludf.IFNA(_xlfn.XLOOKUP(C243,'00_SKU_Master'!$B$2:$B$378,'00_SKU_Master'!$F$2:$F$378,0)*AD243,"")</f>
        <v/>
      </c>
      <c r="J241" s="586">
        <f>_xludf.IFNA(_xlfn.XLOOKUP(C243,'00_SKU_Master'!$B$2:$B$378,'00_SKU_Master'!$F$2:$F$378,0)*AE243,"")</f>
        <v/>
      </c>
      <c r="K241" s="587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88" t="n"/>
      <c r="Z241" s="589" t="n"/>
      <c r="AA241" s="589" t="n"/>
      <c r="AB241" s="589" t="n"/>
      <c r="AC241" s="589" t="n">
        <v>0</v>
      </c>
      <c r="AD241" s="589" t="n">
        <v>0</v>
      </c>
      <c r="AE241" s="589" t="n">
        <v>0</v>
      </c>
      <c r="AF241" s="587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86">
        <f>_xludf.IFNA(_xlfn.XLOOKUP(C244,'00_SKU_Master'!$B$2:$B$378,'00_SKU_Master'!$F$2:$F$378,0)*Y244,"")</f>
        <v/>
      </c>
      <c r="E242" s="586">
        <f>_xludf.IFNA(_xlfn.XLOOKUP(C244,'00_SKU_Master'!$B$2:$B$378,'00_SKU_Master'!$F$2:$F$378,0)*Z244,"")</f>
        <v/>
      </c>
      <c r="F242" s="586">
        <f>_xludf.IFNA(_xlfn.XLOOKUP(C244,'00_SKU_Master'!$B$2:$B$378,'00_SKU_Master'!$F$2:$F$378,0)*AA244,"")</f>
        <v/>
      </c>
      <c r="G242" s="586">
        <f>_xludf.IFNA(_xlfn.XLOOKUP(C244,'00_SKU_Master'!$B$2:$B$378,'00_SKU_Master'!$F$2:$F$378,0)*AB244,"")</f>
        <v/>
      </c>
      <c r="H242" s="586">
        <f>_xludf.IFNA(_xlfn.XLOOKUP(C244,'00_SKU_Master'!$B$2:$B$378,'00_SKU_Master'!$F$2:$F$378,0)*AC244,"")</f>
        <v/>
      </c>
      <c r="I242" s="586">
        <f>_xludf.IFNA(_xlfn.XLOOKUP(C244,'00_SKU_Master'!$B$2:$B$378,'00_SKU_Master'!$F$2:$F$378,0)*AD244,"")</f>
        <v/>
      </c>
      <c r="J242" s="586">
        <f>_xludf.IFNA(_xlfn.XLOOKUP(C244,'00_SKU_Master'!$B$2:$B$378,'00_SKU_Master'!$F$2:$F$378,0)*AE244,"")</f>
        <v/>
      </c>
      <c r="K242" s="587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88" t="n"/>
      <c r="Z242" s="589" t="n"/>
      <c r="AA242" s="589" t="n"/>
      <c r="AB242" s="589" t="n"/>
      <c r="AC242" s="589" t="n">
        <v>0</v>
      </c>
      <c r="AD242" s="589" t="n">
        <v>0</v>
      </c>
      <c r="AE242" s="589" t="n">
        <v>0</v>
      </c>
      <c r="AF242" s="587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86">
        <f>_xludf.IFNA(_xlfn.XLOOKUP(C245,'00_SKU_Master'!$B$2:$B$378,'00_SKU_Master'!$F$2:$F$378,0)*Y245,"")</f>
        <v/>
      </c>
      <c r="E243" s="586">
        <f>_xludf.IFNA(_xlfn.XLOOKUP(C245,'00_SKU_Master'!$B$2:$B$378,'00_SKU_Master'!$F$2:$F$378,0)*Z245,"")</f>
        <v/>
      </c>
      <c r="F243" s="586">
        <f>_xludf.IFNA(_xlfn.XLOOKUP(C245,'00_SKU_Master'!$B$2:$B$378,'00_SKU_Master'!$F$2:$F$378,0)*AA245,"")</f>
        <v/>
      </c>
      <c r="G243" s="586">
        <f>_xludf.IFNA(_xlfn.XLOOKUP(C245,'00_SKU_Master'!$B$2:$B$378,'00_SKU_Master'!$F$2:$F$378,0)*AB245,"")</f>
        <v/>
      </c>
      <c r="H243" s="586">
        <f>_xludf.IFNA(_xlfn.XLOOKUP(C245,'00_SKU_Master'!$B$2:$B$378,'00_SKU_Master'!$F$2:$F$378,0)*AC245,"")</f>
        <v/>
      </c>
      <c r="I243" s="586">
        <f>_xludf.IFNA(_xlfn.XLOOKUP(C245,'00_SKU_Master'!$B$2:$B$378,'00_SKU_Master'!$F$2:$F$378,0)*AD245,"")</f>
        <v/>
      </c>
      <c r="J243" s="586">
        <f>_xludf.IFNA(_xlfn.XLOOKUP(C245,'00_SKU_Master'!$B$2:$B$378,'00_SKU_Master'!$F$2:$F$378,0)*AE245,"")</f>
        <v/>
      </c>
      <c r="K243" s="587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88" t="n"/>
      <c r="Z243" s="589" t="n"/>
      <c r="AA243" s="589" t="n"/>
      <c r="AB243" s="589" t="n"/>
      <c r="AC243" s="589" t="n">
        <v>46</v>
      </c>
      <c r="AD243" s="589" t="n">
        <v>0</v>
      </c>
      <c r="AE243" s="589" t="n">
        <v>40</v>
      </c>
      <c r="AF243" s="587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86">
        <f>_xludf.IFNA(_xlfn.XLOOKUP(C246,'00_SKU_Master'!$B$2:$B$378,'00_SKU_Master'!$F$2:$F$378,0)*Y246,"")</f>
        <v/>
      </c>
      <c r="E244" s="586">
        <f>_xludf.IFNA(_xlfn.XLOOKUP(C246,'00_SKU_Master'!$B$2:$B$378,'00_SKU_Master'!$F$2:$F$378,0)*Z246,"")</f>
        <v/>
      </c>
      <c r="F244" s="586">
        <f>_xludf.IFNA(_xlfn.XLOOKUP(C246,'00_SKU_Master'!$B$2:$B$378,'00_SKU_Master'!$F$2:$F$378,0)*AA246,"")</f>
        <v/>
      </c>
      <c r="G244" s="586">
        <f>_xludf.IFNA(_xlfn.XLOOKUP(C246,'00_SKU_Master'!$B$2:$B$378,'00_SKU_Master'!$F$2:$F$378,0)*AB246,"")</f>
        <v/>
      </c>
      <c r="H244" s="586">
        <f>_xludf.IFNA(_xlfn.XLOOKUP(C246,'00_SKU_Master'!$B$2:$B$378,'00_SKU_Master'!$F$2:$F$378,0)*AC246,"")</f>
        <v/>
      </c>
      <c r="I244" s="586">
        <f>_xludf.IFNA(_xlfn.XLOOKUP(C246,'00_SKU_Master'!$B$2:$B$378,'00_SKU_Master'!$F$2:$F$378,0)*AD246,"")</f>
        <v/>
      </c>
      <c r="J244" s="586">
        <f>_xludf.IFNA(_xlfn.XLOOKUP(C246,'00_SKU_Master'!$B$2:$B$378,'00_SKU_Master'!$F$2:$F$378,0)*AE246,"")</f>
        <v/>
      </c>
      <c r="K244" s="587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88" t="n"/>
      <c r="Z244" s="589" t="n"/>
      <c r="AA244" s="589" t="n"/>
      <c r="AB244" s="589" t="n"/>
      <c r="AC244" s="589" t="n">
        <v>0</v>
      </c>
      <c r="AD244" s="589" t="n">
        <v>0</v>
      </c>
      <c r="AE244" s="589" t="n">
        <v>0</v>
      </c>
      <c r="AF244" s="587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86">
        <f>_xludf.IFNA(_xlfn.XLOOKUP(C247,'00_SKU_Master'!$B$2:$B$378,'00_SKU_Master'!$F$2:$F$378,0)*Y247,"")</f>
        <v/>
      </c>
      <c r="E245" s="586">
        <f>_xludf.IFNA(_xlfn.XLOOKUP(C247,'00_SKU_Master'!$B$2:$B$378,'00_SKU_Master'!$F$2:$F$378,0)*Z247,"")</f>
        <v/>
      </c>
      <c r="F245" s="586">
        <f>_xludf.IFNA(_xlfn.XLOOKUP(C247,'00_SKU_Master'!$B$2:$B$378,'00_SKU_Master'!$F$2:$F$378,0)*AA247,"")</f>
        <v/>
      </c>
      <c r="G245" s="586">
        <f>_xludf.IFNA(_xlfn.XLOOKUP(C247,'00_SKU_Master'!$B$2:$B$378,'00_SKU_Master'!$F$2:$F$378,0)*AB247,"")</f>
        <v/>
      </c>
      <c r="H245" s="586">
        <f>_xludf.IFNA(_xlfn.XLOOKUP(C247,'00_SKU_Master'!$B$2:$B$378,'00_SKU_Master'!$F$2:$F$378,0)*AC247,"")</f>
        <v/>
      </c>
      <c r="I245" s="586">
        <f>_xludf.IFNA(_xlfn.XLOOKUP(C247,'00_SKU_Master'!$B$2:$B$378,'00_SKU_Master'!$F$2:$F$378,0)*AD247,"")</f>
        <v/>
      </c>
      <c r="J245" s="586">
        <f>_xludf.IFNA(_xlfn.XLOOKUP(C247,'00_SKU_Master'!$B$2:$B$378,'00_SKU_Master'!$F$2:$F$378,0)*AE247,"")</f>
        <v/>
      </c>
      <c r="K245" s="587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88" t="n"/>
      <c r="Z245" s="589" t="n"/>
      <c r="AA245" s="589" t="n"/>
      <c r="AB245" s="589" t="n"/>
      <c r="AC245" s="589" t="n">
        <v>0</v>
      </c>
      <c r="AD245" s="589" t="n">
        <v>0</v>
      </c>
      <c r="AE245" s="589" t="n">
        <v>0</v>
      </c>
      <c r="AF245" s="587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86">
        <f>_xludf.IFNA(_xlfn.XLOOKUP(C248,'00_SKU_Master'!$B$2:$B$378,'00_SKU_Master'!$F$2:$F$378,0)*Y248,"")</f>
        <v/>
      </c>
      <c r="E246" s="586">
        <f>_xludf.IFNA(_xlfn.XLOOKUP(C248,'00_SKU_Master'!$B$2:$B$378,'00_SKU_Master'!$F$2:$F$378,0)*Z248,"")</f>
        <v/>
      </c>
      <c r="F246" s="586">
        <f>_xludf.IFNA(_xlfn.XLOOKUP(C248,'00_SKU_Master'!$B$2:$B$378,'00_SKU_Master'!$F$2:$F$378,0)*AA248,"")</f>
        <v/>
      </c>
      <c r="G246" s="586">
        <f>_xludf.IFNA(_xlfn.XLOOKUP(C248,'00_SKU_Master'!$B$2:$B$378,'00_SKU_Master'!$F$2:$F$378,0)*AB248,"")</f>
        <v/>
      </c>
      <c r="H246" s="586">
        <f>_xludf.IFNA(_xlfn.XLOOKUP(C248,'00_SKU_Master'!$B$2:$B$378,'00_SKU_Master'!$F$2:$F$378,0)*AC248,"")</f>
        <v/>
      </c>
      <c r="I246" s="586">
        <f>_xludf.IFNA(_xlfn.XLOOKUP(C248,'00_SKU_Master'!$B$2:$B$378,'00_SKU_Master'!$F$2:$F$378,0)*AD248,"")</f>
        <v/>
      </c>
      <c r="J246" s="586">
        <f>_xludf.IFNA(_xlfn.XLOOKUP(C248,'00_SKU_Master'!$B$2:$B$378,'00_SKU_Master'!$F$2:$F$378,0)*AE248,"")</f>
        <v/>
      </c>
      <c r="K246" s="587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88" t="n"/>
      <c r="Z246" s="589" t="n"/>
      <c r="AA246" s="589" t="n"/>
      <c r="AB246" s="589" t="n"/>
      <c r="AC246" s="589" t="n">
        <v>0</v>
      </c>
      <c r="AD246" s="589" t="n">
        <v>0</v>
      </c>
      <c r="AE246" s="589" t="n">
        <v>0</v>
      </c>
      <c r="AF246" s="587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86">
        <f>_xludf.IFNA(_xlfn.XLOOKUP(C249,'00_SKU_Master'!$B$2:$B$378,'00_SKU_Master'!$F$2:$F$378,0)*Y249,"")</f>
        <v/>
      </c>
      <c r="E247" s="586">
        <f>_xludf.IFNA(_xlfn.XLOOKUP(C249,'00_SKU_Master'!$B$2:$B$378,'00_SKU_Master'!$F$2:$F$378,0)*Z249,"")</f>
        <v/>
      </c>
      <c r="F247" s="586">
        <f>_xludf.IFNA(_xlfn.XLOOKUP(C249,'00_SKU_Master'!$B$2:$B$378,'00_SKU_Master'!$F$2:$F$378,0)*AA249,"")</f>
        <v/>
      </c>
      <c r="G247" s="586">
        <f>_xludf.IFNA(_xlfn.XLOOKUP(C249,'00_SKU_Master'!$B$2:$B$378,'00_SKU_Master'!$F$2:$F$378,0)*AB249,"")</f>
        <v/>
      </c>
      <c r="H247" s="586">
        <f>_xludf.IFNA(_xlfn.XLOOKUP(C249,'00_SKU_Master'!$B$2:$B$378,'00_SKU_Master'!$F$2:$F$378,0)*AC249,"")</f>
        <v/>
      </c>
      <c r="I247" s="586">
        <f>_xludf.IFNA(_xlfn.XLOOKUP(C249,'00_SKU_Master'!$B$2:$B$378,'00_SKU_Master'!$F$2:$F$378,0)*AD249,"")</f>
        <v/>
      </c>
      <c r="J247" s="586">
        <f>_xludf.IFNA(_xlfn.XLOOKUP(C249,'00_SKU_Master'!$B$2:$B$378,'00_SKU_Master'!$F$2:$F$378,0)*AE249,"")</f>
        <v/>
      </c>
      <c r="K247" s="587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88" t="n"/>
      <c r="Z247" s="589" t="n"/>
      <c r="AA247" s="589" t="n"/>
      <c r="AB247" s="589" t="n"/>
      <c r="AC247" s="589" t="n">
        <v>0</v>
      </c>
      <c r="AD247" s="589" t="n">
        <v>0</v>
      </c>
      <c r="AE247" s="589" t="n">
        <v>0</v>
      </c>
      <c r="AF247" s="587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86">
        <f>_xludf.IFNA(_xlfn.XLOOKUP(C250,'00_SKU_Master'!$B$2:$B$378,'00_SKU_Master'!$F$2:$F$378,0)*Y250,"")</f>
        <v/>
      </c>
      <c r="E248" s="586">
        <f>_xludf.IFNA(_xlfn.XLOOKUP(C250,'00_SKU_Master'!$B$2:$B$378,'00_SKU_Master'!$F$2:$F$378,0)*Z250,"")</f>
        <v/>
      </c>
      <c r="F248" s="586">
        <f>_xludf.IFNA(_xlfn.XLOOKUP(C250,'00_SKU_Master'!$B$2:$B$378,'00_SKU_Master'!$F$2:$F$378,0)*AA250,"")</f>
        <v/>
      </c>
      <c r="G248" s="586">
        <f>_xludf.IFNA(_xlfn.XLOOKUP(C250,'00_SKU_Master'!$B$2:$B$378,'00_SKU_Master'!$F$2:$F$378,0)*AB250,"")</f>
        <v/>
      </c>
      <c r="H248" s="586">
        <f>_xludf.IFNA(_xlfn.XLOOKUP(C250,'00_SKU_Master'!$B$2:$B$378,'00_SKU_Master'!$F$2:$F$378,0)*AC250,"")</f>
        <v/>
      </c>
      <c r="I248" s="586">
        <f>_xludf.IFNA(_xlfn.XLOOKUP(C250,'00_SKU_Master'!$B$2:$B$378,'00_SKU_Master'!$F$2:$F$378,0)*AD250,"")</f>
        <v/>
      </c>
      <c r="J248" s="586">
        <f>_xludf.IFNA(_xlfn.XLOOKUP(C250,'00_SKU_Master'!$B$2:$B$378,'00_SKU_Master'!$F$2:$F$378,0)*AE250,"")</f>
        <v/>
      </c>
      <c r="K248" s="587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88" t="n"/>
      <c r="Z248" s="589" t="n"/>
      <c r="AA248" s="589" t="n"/>
      <c r="AB248" s="589" t="n"/>
      <c r="AC248" s="589" t="n">
        <v>0</v>
      </c>
      <c r="AD248" s="589" t="n">
        <v>0</v>
      </c>
      <c r="AE248" s="589" t="n">
        <v>0</v>
      </c>
      <c r="AF248" s="587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86">
        <f>_xludf.IFNA(_xlfn.XLOOKUP(C251,'00_SKU_Master'!$B$2:$B$378,'00_SKU_Master'!$F$2:$F$378,0)*Y251,"")</f>
        <v/>
      </c>
      <c r="E249" s="586">
        <f>_xludf.IFNA(_xlfn.XLOOKUP(C251,'00_SKU_Master'!$B$2:$B$378,'00_SKU_Master'!$F$2:$F$378,0)*Z251,"")</f>
        <v/>
      </c>
      <c r="F249" s="586">
        <f>_xludf.IFNA(_xlfn.XLOOKUP(C251,'00_SKU_Master'!$B$2:$B$378,'00_SKU_Master'!$F$2:$F$378,0)*AA251,"")</f>
        <v/>
      </c>
      <c r="G249" s="586">
        <f>_xludf.IFNA(_xlfn.XLOOKUP(C251,'00_SKU_Master'!$B$2:$B$378,'00_SKU_Master'!$F$2:$F$378,0)*AB251,"")</f>
        <v/>
      </c>
      <c r="H249" s="586">
        <f>_xludf.IFNA(_xlfn.XLOOKUP(C251,'00_SKU_Master'!$B$2:$B$378,'00_SKU_Master'!$F$2:$F$378,0)*AC251,"")</f>
        <v/>
      </c>
      <c r="I249" s="586">
        <f>_xludf.IFNA(_xlfn.XLOOKUP(C251,'00_SKU_Master'!$B$2:$B$378,'00_SKU_Master'!$F$2:$F$378,0)*AD251,"")</f>
        <v/>
      </c>
      <c r="J249" s="586">
        <f>_xludf.IFNA(_xlfn.XLOOKUP(C251,'00_SKU_Master'!$B$2:$B$378,'00_SKU_Master'!$F$2:$F$378,0)*AE251,"")</f>
        <v/>
      </c>
      <c r="K249" s="587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88" t="n"/>
      <c r="Z249" s="589" t="n"/>
      <c r="AA249" s="589" t="n"/>
      <c r="AB249" s="589" t="n"/>
      <c r="AC249" s="589" t="n">
        <v>0</v>
      </c>
      <c r="AD249" s="589" t="n">
        <v>0</v>
      </c>
      <c r="AE249" s="589" t="n">
        <v>0</v>
      </c>
      <c r="AF249" s="587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86">
        <f>_xludf.IFNA(_xlfn.XLOOKUP(C252,'00_SKU_Master'!$B$2:$B$378,'00_SKU_Master'!$F$2:$F$378,0)*Y252,"")</f>
        <v/>
      </c>
      <c r="E250" s="586">
        <f>_xludf.IFNA(_xlfn.XLOOKUP(C252,'00_SKU_Master'!$B$2:$B$378,'00_SKU_Master'!$F$2:$F$378,0)*Z252,"")</f>
        <v/>
      </c>
      <c r="F250" s="586">
        <f>_xludf.IFNA(_xlfn.XLOOKUP(C252,'00_SKU_Master'!$B$2:$B$378,'00_SKU_Master'!$F$2:$F$378,0)*AA252,"")</f>
        <v/>
      </c>
      <c r="G250" s="586">
        <f>_xludf.IFNA(_xlfn.XLOOKUP(C252,'00_SKU_Master'!$B$2:$B$378,'00_SKU_Master'!$F$2:$F$378,0)*AB252,"")</f>
        <v/>
      </c>
      <c r="H250" s="586">
        <f>_xludf.IFNA(_xlfn.XLOOKUP(C252,'00_SKU_Master'!$B$2:$B$378,'00_SKU_Master'!$F$2:$F$378,0)*AC252,"")</f>
        <v/>
      </c>
      <c r="I250" s="586">
        <f>_xludf.IFNA(_xlfn.XLOOKUP(C252,'00_SKU_Master'!$B$2:$B$378,'00_SKU_Master'!$F$2:$F$378,0)*AD252,"")</f>
        <v/>
      </c>
      <c r="J250" s="586">
        <f>_xludf.IFNA(_xlfn.XLOOKUP(C252,'00_SKU_Master'!$B$2:$B$378,'00_SKU_Master'!$F$2:$F$378,0)*AE252,"")</f>
        <v/>
      </c>
      <c r="K250" s="587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88" t="n"/>
      <c r="Z250" s="589" t="n"/>
      <c r="AA250" s="589" t="n"/>
      <c r="AB250" s="589" t="n"/>
      <c r="AC250" s="589" t="n">
        <v>0</v>
      </c>
      <c r="AD250" s="589" t="n">
        <v>0</v>
      </c>
      <c r="AE250" s="589" t="n">
        <v>0</v>
      </c>
      <c r="AF250" s="587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86">
        <f>_xludf.IFNA(_xlfn.XLOOKUP(C253,'00_SKU_Master'!$B$2:$B$378,'00_SKU_Master'!$F$2:$F$378,0)*Y253,"")</f>
        <v/>
      </c>
      <c r="E251" s="586">
        <f>_xludf.IFNA(_xlfn.XLOOKUP(C253,'00_SKU_Master'!$B$2:$B$378,'00_SKU_Master'!$F$2:$F$378,0)*Z253,"")</f>
        <v/>
      </c>
      <c r="F251" s="586">
        <f>_xludf.IFNA(_xlfn.XLOOKUP(C253,'00_SKU_Master'!$B$2:$B$378,'00_SKU_Master'!$F$2:$F$378,0)*AA253,"")</f>
        <v/>
      </c>
      <c r="G251" s="586">
        <f>_xludf.IFNA(_xlfn.XLOOKUP(C253,'00_SKU_Master'!$B$2:$B$378,'00_SKU_Master'!$F$2:$F$378,0)*AB253,"")</f>
        <v/>
      </c>
      <c r="H251" s="586">
        <f>_xludf.IFNA(_xlfn.XLOOKUP(C253,'00_SKU_Master'!$B$2:$B$378,'00_SKU_Master'!$F$2:$F$378,0)*AC253,"")</f>
        <v/>
      </c>
      <c r="I251" s="586">
        <f>_xludf.IFNA(_xlfn.XLOOKUP(C253,'00_SKU_Master'!$B$2:$B$378,'00_SKU_Master'!$F$2:$F$378,0)*AD253,"")</f>
        <v/>
      </c>
      <c r="J251" s="586">
        <f>_xludf.IFNA(_xlfn.XLOOKUP(C253,'00_SKU_Master'!$B$2:$B$378,'00_SKU_Master'!$F$2:$F$378,0)*AE253,"")</f>
        <v/>
      </c>
      <c r="K251" s="587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88" t="n"/>
      <c r="Z251" s="589" t="n"/>
      <c r="AA251" s="589" t="n"/>
      <c r="AB251" s="589" t="n"/>
      <c r="AC251" s="589" t="n">
        <v>0</v>
      </c>
      <c r="AD251" s="589" t="n">
        <v>0</v>
      </c>
      <c r="AE251" s="589" t="n">
        <v>0</v>
      </c>
      <c r="AF251" s="587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86">
        <f>_xludf.IFNA(_xlfn.XLOOKUP(C254,'00_SKU_Master'!$B$2:$B$378,'00_SKU_Master'!$F$2:$F$378,0)*Y254,"")</f>
        <v/>
      </c>
      <c r="E252" s="586">
        <f>_xludf.IFNA(_xlfn.XLOOKUP(C254,'00_SKU_Master'!$B$2:$B$378,'00_SKU_Master'!$F$2:$F$378,0)*Z254,"")</f>
        <v/>
      </c>
      <c r="F252" s="586">
        <f>_xludf.IFNA(_xlfn.XLOOKUP(C254,'00_SKU_Master'!$B$2:$B$378,'00_SKU_Master'!$F$2:$F$378,0)*AA254,"")</f>
        <v/>
      </c>
      <c r="G252" s="586">
        <f>_xludf.IFNA(_xlfn.XLOOKUP(C254,'00_SKU_Master'!$B$2:$B$378,'00_SKU_Master'!$F$2:$F$378,0)*AB254,"")</f>
        <v/>
      </c>
      <c r="H252" s="586">
        <f>_xludf.IFNA(_xlfn.XLOOKUP(C254,'00_SKU_Master'!$B$2:$B$378,'00_SKU_Master'!$F$2:$F$378,0)*AC254,"")</f>
        <v/>
      </c>
      <c r="I252" s="586">
        <f>_xludf.IFNA(_xlfn.XLOOKUP(C254,'00_SKU_Master'!$B$2:$B$378,'00_SKU_Master'!$F$2:$F$378,0)*AD254,"")</f>
        <v/>
      </c>
      <c r="J252" s="586">
        <f>_xludf.IFNA(_xlfn.XLOOKUP(C254,'00_SKU_Master'!$B$2:$B$378,'00_SKU_Master'!$F$2:$F$378,0)*AE254,"")</f>
        <v/>
      </c>
      <c r="K252" s="587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88" t="n"/>
      <c r="Z252" s="589" t="n"/>
      <c r="AA252" s="589" t="n"/>
      <c r="AB252" s="589" t="n"/>
      <c r="AC252" s="589" t="n">
        <v>0</v>
      </c>
      <c r="AD252" s="589" t="n">
        <v>0</v>
      </c>
      <c r="AE252" s="589" t="n">
        <v>0</v>
      </c>
      <c r="AF252" s="587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86">
        <f>_xludf.IFNA(_xlfn.XLOOKUP(C255,'00_SKU_Master'!$B$2:$B$378,'00_SKU_Master'!$F$2:$F$378,0)*Y255,"")</f>
        <v/>
      </c>
      <c r="E253" s="586">
        <f>_xludf.IFNA(_xlfn.XLOOKUP(C255,'00_SKU_Master'!$B$2:$B$378,'00_SKU_Master'!$F$2:$F$378,0)*Z255,"")</f>
        <v/>
      </c>
      <c r="F253" s="586">
        <f>_xludf.IFNA(_xlfn.XLOOKUP(C255,'00_SKU_Master'!$B$2:$B$378,'00_SKU_Master'!$F$2:$F$378,0)*AA255,"")</f>
        <v/>
      </c>
      <c r="G253" s="586">
        <f>_xludf.IFNA(_xlfn.XLOOKUP(C255,'00_SKU_Master'!$B$2:$B$378,'00_SKU_Master'!$F$2:$F$378,0)*AB255,"")</f>
        <v/>
      </c>
      <c r="H253" s="586">
        <f>_xludf.IFNA(_xlfn.XLOOKUP(C255,'00_SKU_Master'!$B$2:$B$378,'00_SKU_Master'!$F$2:$F$378,0)*AC255,"")</f>
        <v/>
      </c>
      <c r="I253" s="586">
        <f>_xludf.IFNA(_xlfn.XLOOKUP(C255,'00_SKU_Master'!$B$2:$B$378,'00_SKU_Master'!$F$2:$F$378,0)*AD255,"")</f>
        <v/>
      </c>
      <c r="J253" s="586">
        <f>_xludf.IFNA(_xlfn.XLOOKUP(C255,'00_SKU_Master'!$B$2:$B$378,'00_SKU_Master'!$F$2:$F$378,0)*AE255,"")</f>
        <v/>
      </c>
      <c r="K253" s="587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88" t="n"/>
      <c r="Z253" s="589" t="n"/>
      <c r="AA253" s="589" t="n"/>
      <c r="AB253" s="589" t="n"/>
      <c r="AC253" s="589" t="n">
        <v>0</v>
      </c>
      <c r="AD253" s="589" t="n">
        <v>0</v>
      </c>
      <c r="AE253" s="589" t="n">
        <v>0</v>
      </c>
      <c r="AF253" s="587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86">
        <f>_xludf.IFNA(_xlfn.XLOOKUP(C256,'00_SKU_Master'!$B$2:$B$378,'00_SKU_Master'!$F$2:$F$378,0)*Y256,"")</f>
        <v/>
      </c>
      <c r="E254" s="586">
        <f>_xludf.IFNA(_xlfn.XLOOKUP(C256,'00_SKU_Master'!$B$2:$B$378,'00_SKU_Master'!$F$2:$F$378,0)*Z256,"")</f>
        <v/>
      </c>
      <c r="F254" s="586">
        <f>_xludf.IFNA(_xlfn.XLOOKUP(C256,'00_SKU_Master'!$B$2:$B$378,'00_SKU_Master'!$F$2:$F$378,0)*AA256,"")</f>
        <v/>
      </c>
      <c r="G254" s="586">
        <f>_xludf.IFNA(_xlfn.XLOOKUP(C256,'00_SKU_Master'!$B$2:$B$378,'00_SKU_Master'!$F$2:$F$378,0)*AB256,"")</f>
        <v/>
      </c>
      <c r="H254" s="586">
        <f>_xludf.IFNA(_xlfn.XLOOKUP(C256,'00_SKU_Master'!$B$2:$B$378,'00_SKU_Master'!$F$2:$F$378,0)*AC256,"")</f>
        <v/>
      </c>
      <c r="I254" s="586">
        <f>_xludf.IFNA(_xlfn.XLOOKUP(C256,'00_SKU_Master'!$B$2:$B$378,'00_SKU_Master'!$F$2:$F$378,0)*AD256,"")</f>
        <v/>
      </c>
      <c r="J254" s="586">
        <f>_xludf.IFNA(_xlfn.XLOOKUP(C256,'00_SKU_Master'!$B$2:$B$378,'00_SKU_Master'!$F$2:$F$378,0)*AE256,"")</f>
        <v/>
      </c>
      <c r="K254" s="587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88" t="n"/>
      <c r="Z254" s="589" t="n"/>
      <c r="AA254" s="589" t="n"/>
      <c r="AB254" s="589" t="n"/>
      <c r="AC254" s="589" t="n">
        <v>62</v>
      </c>
      <c r="AD254" s="589" t="n">
        <v>0</v>
      </c>
      <c r="AE254" s="589" t="n">
        <v>0</v>
      </c>
      <c r="AF254" s="587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86">
        <f>_xludf.IFNA(_xlfn.XLOOKUP(C257,'00_SKU_Master'!$B$2:$B$378,'00_SKU_Master'!$F$2:$F$378,0)*Y257,"")</f>
        <v/>
      </c>
      <c r="E255" s="586">
        <f>_xludf.IFNA(_xlfn.XLOOKUP(C257,'00_SKU_Master'!$B$2:$B$378,'00_SKU_Master'!$F$2:$F$378,0)*Z257,"")</f>
        <v/>
      </c>
      <c r="F255" s="586">
        <f>_xludf.IFNA(_xlfn.XLOOKUP(C257,'00_SKU_Master'!$B$2:$B$378,'00_SKU_Master'!$F$2:$F$378,0)*AA257,"")</f>
        <v/>
      </c>
      <c r="G255" s="586">
        <f>_xludf.IFNA(_xlfn.XLOOKUP(C257,'00_SKU_Master'!$B$2:$B$378,'00_SKU_Master'!$F$2:$F$378,0)*AB257,"")</f>
        <v/>
      </c>
      <c r="H255" s="586">
        <f>_xludf.IFNA(_xlfn.XLOOKUP(C257,'00_SKU_Master'!$B$2:$B$378,'00_SKU_Master'!$F$2:$F$378,0)*AC257,"")</f>
        <v/>
      </c>
      <c r="I255" s="586">
        <f>_xludf.IFNA(_xlfn.XLOOKUP(C257,'00_SKU_Master'!$B$2:$B$378,'00_SKU_Master'!$F$2:$F$378,0)*AD257,"")</f>
        <v/>
      </c>
      <c r="J255" s="586">
        <f>_xludf.IFNA(_xlfn.XLOOKUP(C257,'00_SKU_Master'!$B$2:$B$378,'00_SKU_Master'!$F$2:$F$378,0)*AE257,"")</f>
        <v/>
      </c>
      <c r="K255" s="587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88" t="n"/>
      <c r="Z255" s="589" t="n"/>
      <c r="AA255" s="589" t="n"/>
      <c r="AB255" s="589" t="n"/>
      <c r="AC255" s="589" t="n">
        <v>1711</v>
      </c>
      <c r="AD255" s="589" t="n">
        <v>0</v>
      </c>
      <c r="AE255" s="589" t="n">
        <v>0</v>
      </c>
      <c r="AF255" s="587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86">
        <f>_xludf.IFNA(_xlfn.XLOOKUP(C258,'00_SKU_Master'!$B$2:$B$378,'00_SKU_Master'!$F$2:$F$378,0)*Y258,"")</f>
        <v/>
      </c>
      <c r="E256" s="586">
        <f>_xludf.IFNA(_xlfn.XLOOKUP(C258,'00_SKU_Master'!$B$2:$B$378,'00_SKU_Master'!$F$2:$F$378,0)*Z258,"")</f>
        <v/>
      </c>
      <c r="F256" s="586">
        <f>_xludf.IFNA(_xlfn.XLOOKUP(C258,'00_SKU_Master'!$B$2:$B$378,'00_SKU_Master'!$F$2:$F$378,0)*AA258,"")</f>
        <v/>
      </c>
      <c r="G256" s="586">
        <f>_xludf.IFNA(_xlfn.XLOOKUP(C258,'00_SKU_Master'!$B$2:$B$378,'00_SKU_Master'!$F$2:$F$378,0)*AB258,"")</f>
        <v/>
      </c>
      <c r="H256" s="586">
        <f>_xludf.IFNA(_xlfn.XLOOKUP(C258,'00_SKU_Master'!$B$2:$B$378,'00_SKU_Master'!$F$2:$F$378,0)*AC258,"")</f>
        <v/>
      </c>
      <c r="I256" s="586">
        <f>_xludf.IFNA(_xlfn.XLOOKUP(C258,'00_SKU_Master'!$B$2:$B$378,'00_SKU_Master'!$F$2:$F$378,0)*AD258,"")</f>
        <v/>
      </c>
      <c r="J256" s="586">
        <f>_xludf.IFNA(_xlfn.XLOOKUP(C258,'00_SKU_Master'!$B$2:$B$378,'00_SKU_Master'!$F$2:$F$378,0)*AE258,"")</f>
        <v/>
      </c>
      <c r="K256" s="587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88" t="n"/>
      <c r="Z256" s="589" t="n"/>
      <c r="AA256" s="589" t="n"/>
      <c r="AB256" s="589" t="n"/>
      <c r="AC256" s="589" t="n">
        <v>0</v>
      </c>
      <c r="AD256" s="589" t="n">
        <v>0</v>
      </c>
      <c r="AE256" s="589" t="n">
        <v>0</v>
      </c>
      <c r="AF256" s="587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86">
        <f>_xludf.IFNA(_xlfn.XLOOKUP(C259,'00_SKU_Master'!$B$2:$B$378,'00_SKU_Master'!$F$2:$F$378,0)*Y259,"")</f>
        <v/>
      </c>
      <c r="E257" s="586">
        <f>_xludf.IFNA(_xlfn.XLOOKUP(C259,'00_SKU_Master'!$B$2:$B$378,'00_SKU_Master'!$F$2:$F$378,0)*Z259,"")</f>
        <v/>
      </c>
      <c r="F257" s="586">
        <f>_xludf.IFNA(_xlfn.XLOOKUP(C259,'00_SKU_Master'!$B$2:$B$378,'00_SKU_Master'!$F$2:$F$378,0)*AA259,"")</f>
        <v/>
      </c>
      <c r="G257" s="586">
        <f>_xludf.IFNA(_xlfn.XLOOKUP(C259,'00_SKU_Master'!$B$2:$B$378,'00_SKU_Master'!$F$2:$F$378,0)*AB259,"")</f>
        <v/>
      </c>
      <c r="H257" s="586">
        <f>_xludf.IFNA(_xlfn.XLOOKUP(C259,'00_SKU_Master'!$B$2:$B$378,'00_SKU_Master'!$F$2:$F$378,0)*AC259,"")</f>
        <v/>
      </c>
      <c r="I257" s="586">
        <f>_xludf.IFNA(_xlfn.XLOOKUP(C259,'00_SKU_Master'!$B$2:$B$378,'00_SKU_Master'!$F$2:$F$378,0)*AD259,"")</f>
        <v/>
      </c>
      <c r="J257" s="586">
        <f>_xludf.IFNA(_xlfn.XLOOKUP(C259,'00_SKU_Master'!$B$2:$B$378,'00_SKU_Master'!$F$2:$F$378,0)*AE259,"")</f>
        <v/>
      </c>
      <c r="K257" s="587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90">
        <f>_xludf.IFNA(D259/_xlfn.XLOOKUP($M259,'00_SKU_Master'!$B$2:$B$378,'00_SKU_Master'!$M$2:$M$378,0)/$M$2,"0")</f>
        <v/>
      </c>
      <c r="O257" s="590">
        <f>_xludf.IFNA(E259/_xlfn.XLOOKUP($M259,'00_SKU_Master'!$B$2:$B$378,'00_SKU_Master'!$M$2:$M$378,0)/$M$2,"0")</f>
        <v/>
      </c>
      <c r="P257" s="590">
        <f>_xludf.IFNA(F259/_xlfn.XLOOKUP($M259,'00_SKU_Master'!$B$2:$B$378,'00_SKU_Master'!$M$2:$M$378,0)/$M$2,"0")</f>
        <v/>
      </c>
      <c r="Q257" s="590">
        <f>_xludf.IFNA(G259/_xlfn.XLOOKUP($M259,'00_SKU_Master'!$B$2:$B$378,'00_SKU_Master'!$M$2:$M$378,0)/$M$2,"0")</f>
        <v/>
      </c>
      <c r="R257" s="590">
        <f>_xludf.IFNA(H259/_xlfn.XLOOKUP($M259,'00_SKU_Master'!$B$2:$B$378,'00_SKU_Master'!$M$2:$M$378,0)/$M$2,"0")</f>
        <v/>
      </c>
      <c r="S257" s="590">
        <f>_xludf.IFNA(I259/_xlfn.XLOOKUP($M259,'00_SKU_Master'!$B$2:$B$378,'00_SKU_Master'!$M$2:$M$378,0)/$M$2,"0")</f>
        <v/>
      </c>
      <c r="T257" s="590">
        <f>_xludf.IFNA(J259/_xlfn.XLOOKUP($M259,'00_SKU_Master'!$B$2:$B$378,'00_SKU_Master'!$M$2:$M$378,0)/$M$2,"0")</f>
        <v/>
      </c>
      <c r="U257" s="590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88" t="n"/>
      <c r="Z257" s="589" t="n"/>
      <c r="AA257" s="589" t="n"/>
      <c r="AB257" s="589" t="n"/>
      <c r="AC257" s="589" t="n">
        <v>79</v>
      </c>
      <c r="AD257" s="589" t="n">
        <v>0</v>
      </c>
      <c r="AE257" s="589" t="n">
        <v>0</v>
      </c>
      <c r="AF257" s="587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86">
        <f>_xludf.IFNA(_xlfn.XLOOKUP(C260,'00_SKU_Master'!$B$2:$B$378,'00_SKU_Master'!$F$2:$F$378,0)*Y260,"")</f>
        <v/>
      </c>
      <c r="E258" s="586">
        <f>_xludf.IFNA(_xlfn.XLOOKUP(C260,'00_SKU_Master'!$B$2:$B$378,'00_SKU_Master'!$F$2:$F$378,0)*Z260,"")</f>
        <v/>
      </c>
      <c r="F258" s="586">
        <f>_xludf.IFNA(_xlfn.XLOOKUP(C260,'00_SKU_Master'!$B$2:$B$378,'00_SKU_Master'!$F$2:$F$378,0)*AA260,"")</f>
        <v/>
      </c>
      <c r="G258" s="586">
        <f>_xludf.IFNA(_xlfn.XLOOKUP(C260,'00_SKU_Master'!$B$2:$B$378,'00_SKU_Master'!$F$2:$F$378,0)*AB260,"")</f>
        <v/>
      </c>
      <c r="H258" s="586">
        <f>_xludf.IFNA(_xlfn.XLOOKUP(C260,'00_SKU_Master'!$B$2:$B$378,'00_SKU_Master'!$F$2:$F$378,0)*AC260,"")</f>
        <v/>
      </c>
      <c r="I258" s="586">
        <f>_xludf.IFNA(_xlfn.XLOOKUP(C260,'00_SKU_Master'!$B$2:$B$378,'00_SKU_Master'!$F$2:$F$378,0)*AD260,"")</f>
        <v/>
      </c>
      <c r="J258" s="586">
        <f>_xludf.IFNA(_xlfn.XLOOKUP(C260,'00_SKU_Master'!$B$2:$B$378,'00_SKU_Master'!$F$2:$F$378,0)*AE260,"")</f>
        <v/>
      </c>
      <c r="K258" s="587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90">
        <f>_xludf.IFNA(D260/_xlfn.XLOOKUP($M260,'00_SKU_Master'!$B$2:$B$378,'00_SKU_Master'!$M$2:$M$378,0)/$M$2,"0")</f>
        <v/>
      </c>
      <c r="O258" s="590">
        <f>_xludf.IFNA(E260/_xlfn.XLOOKUP($M260,'00_SKU_Master'!$B$2:$B$378,'00_SKU_Master'!$M$2:$M$378,0)/$M$2,"0")</f>
        <v/>
      </c>
      <c r="P258" s="590">
        <f>_xludf.IFNA(F260/_xlfn.XLOOKUP($M260,'00_SKU_Master'!$B$2:$B$378,'00_SKU_Master'!$M$2:$M$378,0)/$M$2,"0")</f>
        <v/>
      </c>
      <c r="Q258" s="590">
        <f>_xludf.IFNA(G260/_xlfn.XLOOKUP($M260,'00_SKU_Master'!$B$2:$B$378,'00_SKU_Master'!$M$2:$M$378,0)/$M$2,"0")</f>
        <v/>
      </c>
      <c r="R258" s="590">
        <f>_xludf.IFNA(H260/_xlfn.XLOOKUP($M260,'00_SKU_Master'!$B$2:$B$378,'00_SKU_Master'!$M$2:$M$378,0)/$M$2,"0")</f>
        <v/>
      </c>
      <c r="S258" s="590">
        <f>_xludf.IFNA(I260/_xlfn.XLOOKUP($M260,'00_SKU_Master'!$B$2:$B$378,'00_SKU_Master'!$M$2:$M$378,0)/$M$2,"0")</f>
        <v/>
      </c>
      <c r="T258" s="590">
        <f>_xludf.IFNA(J260/_xlfn.XLOOKUP($M260,'00_SKU_Master'!$B$2:$B$378,'00_SKU_Master'!$M$2:$M$378,0)/$M$2,"0")</f>
        <v/>
      </c>
      <c r="U258" s="590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88" t="n"/>
      <c r="Z258" s="589" t="n"/>
      <c r="AA258" s="589" t="n"/>
      <c r="AB258" s="589" t="n"/>
      <c r="AC258" s="589" t="n">
        <v>517</v>
      </c>
      <c r="AD258" s="589" t="n">
        <v>0</v>
      </c>
      <c r="AE258" s="589" t="n">
        <v>0</v>
      </c>
      <c r="AF258" s="587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86">
        <f>_xludf.IFNA(_xlfn.XLOOKUP(C261,'00_SKU_Master'!$B$2:$B$378,'00_SKU_Master'!$F$2:$F$378,0)*Y261,"")</f>
        <v/>
      </c>
      <c r="E259" s="586">
        <f>_xludf.IFNA(_xlfn.XLOOKUP(C261,'00_SKU_Master'!$B$2:$B$378,'00_SKU_Master'!$F$2:$F$378,0)*Z261,"")</f>
        <v/>
      </c>
      <c r="F259" s="586">
        <f>_xludf.IFNA(_xlfn.XLOOKUP(C261,'00_SKU_Master'!$B$2:$B$378,'00_SKU_Master'!$F$2:$F$378,0)*AA261,"")</f>
        <v/>
      </c>
      <c r="G259" s="586">
        <f>_xludf.IFNA(_xlfn.XLOOKUP(C261,'00_SKU_Master'!$B$2:$B$378,'00_SKU_Master'!$F$2:$F$378,0)*AB261,"")</f>
        <v/>
      </c>
      <c r="H259" s="586">
        <f>_xludf.IFNA(_xlfn.XLOOKUP(C261,'00_SKU_Master'!$B$2:$B$378,'00_SKU_Master'!$F$2:$F$378,0)*AC261,"")</f>
        <v/>
      </c>
      <c r="I259" s="586">
        <f>_xludf.IFNA(_xlfn.XLOOKUP(C261,'00_SKU_Master'!$B$2:$B$378,'00_SKU_Master'!$F$2:$F$378,0)*AD261,"")</f>
        <v/>
      </c>
      <c r="J259" s="586">
        <f>_xludf.IFNA(_xlfn.XLOOKUP(C261,'00_SKU_Master'!$B$2:$B$378,'00_SKU_Master'!$F$2:$F$378,0)*AE261,"")</f>
        <v/>
      </c>
      <c r="K259" s="587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90">
        <f>_xludf.IFNA(D261/_xlfn.XLOOKUP($M261,'00_SKU_Master'!$B$2:$B$378,'00_SKU_Master'!$M$2:$M$378,0)/$M$2,"0")</f>
        <v/>
      </c>
      <c r="O259" s="590">
        <f>_xludf.IFNA(E261/_xlfn.XLOOKUP($M261,'00_SKU_Master'!$B$2:$B$378,'00_SKU_Master'!$M$2:$M$378,0)/$M$2,"0")</f>
        <v/>
      </c>
      <c r="P259" s="590">
        <f>_xludf.IFNA(F261/_xlfn.XLOOKUP($M261,'00_SKU_Master'!$B$2:$B$378,'00_SKU_Master'!$M$2:$M$378,0)/$M$2,"0")</f>
        <v/>
      </c>
      <c r="Q259" s="590">
        <f>_xludf.IFNA(G261/_xlfn.XLOOKUP($M261,'00_SKU_Master'!$B$2:$B$378,'00_SKU_Master'!$M$2:$M$378,0)/$M$2,"0")</f>
        <v/>
      </c>
      <c r="R259" s="590">
        <f>_xludf.IFNA(H261/_xlfn.XLOOKUP($M261,'00_SKU_Master'!$B$2:$B$378,'00_SKU_Master'!$M$2:$M$378,0)/$M$2,"0")</f>
        <v/>
      </c>
      <c r="S259" s="590">
        <f>_xludf.IFNA(I261/_xlfn.XLOOKUP($M261,'00_SKU_Master'!$B$2:$B$378,'00_SKU_Master'!$M$2:$M$378,0)/$M$2,"0")</f>
        <v/>
      </c>
      <c r="T259" s="590">
        <f>_xludf.IFNA(J261/_xlfn.XLOOKUP($M261,'00_SKU_Master'!$B$2:$B$378,'00_SKU_Master'!$M$2:$M$378,0)/$M$2,"0")</f>
        <v/>
      </c>
      <c r="U259" s="590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88" t="n"/>
      <c r="Z259" s="589" t="n"/>
      <c r="AA259" s="589" t="n"/>
      <c r="AB259" s="589" t="n"/>
      <c r="AC259" s="589" t="n">
        <v>0</v>
      </c>
      <c r="AD259" s="589" t="n">
        <v>0</v>
      </c>
      <c r="AE259" s="589" t="n">
        <v>0</v>
      </c>
      <c r="AF259" s="587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86">
        <f>_xludf.IFNA(_xlfn.XLOOKUP(C262,'00_SKU_Master'!$B$2:$B$378,'00_SKU_Master'!$F$2:$F$378,0)*Y262,"")</f>
        <v/>
      </c>
      <c r="E260" s="586">
        <f>_xludf.IFNA(_xlfn.XLOOKUP(C262,'00_SKU_Master'!$B$2:$B$378,'00_SKU_Master'!$F$2:$F$378,0)*Z262,"")</f>
        <v/>
      </c>
      <c r="F260" s="586">
        <f>_xludf.IFNA(_xlfn.XLOOKUP(C262,'00_SKU_Master'!$B$2:$B$378,'00_SKU_Master'!$F$2:$F$378,0)*AA262,"")</f>
        <v/>
      </c>
      <c r="G260" s="586">
        <f>_xludf.IFNA(_xlfn.XLOOKUP(C262,'00_SKU_Master'!$B$2:$B$378,'00_SKU_Master'!$F$2:$F$378,0)*AB262,"")</f>
        <v/>
      </c>
      <c r="H260" s="586">
        <f>_xludf.IFNA(_xlfn.XLOOKUP(C262,'00_SKU_Master'!$B$2:$B$378,'00_SKU_Master'!$F$2:$F$378,0)*AC262,"")</f>
        <v/>
      </c>
      <c r="I260" s="586">
        <f>_xludf.IFNA(_xlfn.XLOOKUP(C262,'00_SKU_Master'!$B$2:$B$378,'00_SKU_Master'!$F$2:$F$378,0)*AD262,"")</f>
        <v/>
      </c>
      <c r="J260" s="586">
        <f>_xludf.IFNA(_xlfn.XLOOKUP(C262,'00_SKU_Master'!$B$2:$B$378,'00_SKU_Master'!$F$2:$F$378,0)*AE262,"")</f>
        <v/>
      </c>
      <c r="K260" s="587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90">
        <f>_xludf.IFNA(D262/_xlfn.XLOOKUP($M262,'00_SKU_Master'!$B$2:$B$378,'00_SKU_Master'!$M$2:$M$378,0)/$M$2,"0")</f>
        <v/>
      </c>
      <c r="O260" s="590">
        <f>_xludf.IFNA(E262/_xlfn.XLOOKUP($M262,'00_SKU_Master'!$B$2:$B$378,'00_SKU_Master'!$M$2:$M$378,0)/$M$2,"0")</f>
        <v/>
      </c>
      <c r="P260" s="590">
        <f>_xludf.IFNA(F262/_xlfn.XLOOKUP($M262,'00_SKU_Master'!$B$2:$B$378,'00_SKU_Master'!$M$2:$M$378,0)/$M$2,"0")</f>
        <v/>
      </c>
      <c r="Q260" s="590">
        <f>_xludf.IFNA(G262/_xlfn.XLOOKUP($M262,'00_SKU_Master'!$B$2:$B$378,'00_SKU_Master'!$M$2:$M$378,0)/$M$2,"0")</f>
        <v/>
      </c>
      <c r="R260" s="590">
        <f>_xludf.IFNA(H262/_xlfn.XLOOKUP($M262,'00_SKU_Master'!$B$2:$B$378,'00_SKU_Master'!$M$2:$M$378,0)/$M$2,"0")</f>
        <v/>
      </c>
      <c r="S260" s="590">
        <f>_xludf.IFNA(I262/_xlfn.XLOOKUP($M262,'00_SKU_Master'!$B$2:$B$378,'00_SKU_Master'!$M$2:$M$378,0)/$M$2,"0")</f>
        <v/>
      </c>
      <c r="T260" s="590">
        <f>_xludf.IFNA(J262/_xlfn.XLOOKUP($M262,'00_SKU_Master'!$B$2:$B$378,'00_SKU_Master'!$M$2:$M$378,0)/$M$2,"0")</f>
        <v/>
      </c>
      <c r="U260" s="590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88" t="n"/>
      <c r="Z260" s="589" t="n"/>
      <c r="AA260" s="589" t="n"/>
      <c r="AB260" s="589" t="n"/>
      <c r="AC260" s="589" t="n">
        <v>0</v>
      </c>
      <c r="AD260" s="589" t="n">
        <v>0</v>
      </c>
      <c r="AE260" s="589" t="n">
        <v>0</v>
      </c>
      <c r="AF260" s="587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86">
        <f>_xludf.IFNA(_xlfn.XLOOKUP(C263,'00_SKU_Master'!$B$2:$B$378,'00_SKU_Master'!$F$2:$F$378,0)*Y263,"")</f>
        <v/>
      </c>
      <c r="E261" s="586">
        <f>_xludf.IFNA(_xlfn.XLOOKUP(C263,'00_SKU_Master'!$B$2:$B$378,'00_SKU_Master'!$F$2:$F$378,0)*Z263,"")</f>
        <v/>
      </c>
      <c r="F261" s="586">
        <f>_xludf.IFNA(_xlfn.XLOOKUP(C263,'00_SKU_Master'!$B$2:$B$378,'00_SKU_Master'!$F$2:$F$378,0)*AA263,"")</f>
        <v/>
      </c>
      <c r="G261" s="586">
        <f>_xludf.IFNA(_xlfn.XLOOKUP(C263,'00_SKU_Master'!$B$2:$B$378,'00_SKU_Master'!$F$2:$F$378,0)*AB263,"")</f>
        <v/>
      </c>
      <c r="H261" s="586">
        <f>_xludf.IFNA(_xlfn.XLOOKUP(C263,'00_SKU_Master'!$B$2:$B$378,'00_SKU_Master'!$F$2:$F$378,0)*AC263,"")</f>
        <v/>
      </c>
      <c r="I261" s="586">
        <f>_xludf.IFNA(_xlfn.XLOOKUP(C263,'00_SKU_Master'!$B$2:$B$378,'00_SKU_Master'!$F$2:$F$378,0)*AD263,"")</f>
        <v/>
      </c>
      <c r="J261" s="586">
        <f>_xludf.IFNA(_xlfn.XLOOKUP(C263,'00_SKU_Master'!$B$2:$B$378,'00_SKU_Master'!$F$2:$F$378,0)*AE263,"")</f>
        <v/>
      </c>
      <c r="K261" s="587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90">
        <f>_xludf.IFNA(D263/_xlfn.XLOOKUP($M263,'00_SKU_Master'!$B$2:$B$378,'00_SKU_Master'!$M$2:$M$378,0)/$M$2,"0")</f>
        <v/>
      </c>
      <c r="O261" s="590">
        <f>_xludf.IFNA(E263/_xlfn.XLOOKUP($M263,'00_SKU_Master'!$B$2:$B$378,'00_SKU_Master'!$M$2:$M$378,0)/$M$2,"0")</f>
        <v/>
      </c>
      <c r="P261" s="590">
        <f>_xludf.IFNA(F263/_xlfn.XLOOKUP($M263,'00_SKU_Master'!$B$2:$B$378,'00_SKU_Master'!$M$2:$M$378,0)/$M$2,"0")</f>
        <v/>
      </c>
      <c r="Q261" s="590">
        <f>_xludf.IFNA(G263/_xlfn.XLOOKUP($M263,'00_SKU_Master'!$B$2:$B$378,'00_SKU_Master'!$M$2:$M$378,0)/$M$2,"0")</f>
        <v/>
      </c>
      <c r="R261" s="590">
        <f>_xludf.IFNA(H263/_xlfn.XLOOKUP($M263,'00_SKU_Master'!$B$2:$B$378,'00_SKU_Master'!$M$2:$M$378,0)/$M$2,"0")</f>
        <v/>
      </c>
      <c r="S261" s="590">
        <f>_xludf.IFNA(I263/_xlfn.XLOOKUP($M263,'00_SKU_Master'!$B$2:$B$378,'00_SKU_Master'!$M$2:$M$378,0)/$M$2,"0")</f>
        <v/>
      </c>
      <c r="T261" s="590">
        <f>_xludf.IFNA(J263/_xlfn.XLOOKUP($M263,'00_SKU_Master'!$B$2:$B$378,'00_SKU_Master'!$M$2:$M$378,0)/$M$2,"0")</f>
        <v/>
      </c>
      <c r="U261" s="590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88" t="n"/>
      <c r="Z261" s="589" t="n"/>
      <c r="AA261" s="589" t="n"/>
      <c r="AB261" s="589" t="n"/>
      <c r="AC261" s="589" t="n">
        <v>0</v>
      </c>
      <c r="AD261" s="589" t="n">
        <v>0</v>
      </c>
      <c r="AE261" s="589" t="n">
        <v>0</v>
      </c>
      <c r="AF261" s="587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86">
        <f>_xludf.IFNA(_xlfn.XLOOKUP(C264,'00_SKU_Master'!$B$2:$B$378,'00_SKU_Master'!$F$2:$F$378,0)*Y264,"")</f>
        <v/>
      </c>
      <c r="E262" s="586">
        <f>_xludf.IFNA(_xlfn.XLOOKUP(C264,'00_SKU_Master'!$B$2:$B$378,'00_SKU_Master'!$F$2:$F$378,0)*Z264,"")</f>
        <v/>
      </c>
      <c r="F262" s="586">
        <f>_xludf.IFNA(_xlfn.XLOOKUP(C264,'00_SKU_Master'!$B$2:$B$378,'00_SKU_Master'!$F$2:$F$378,0)*AA264,"")</f>
        <v/>
      </c>
      <c r="G262" s="586">
        <f>_xludf.IFNA(_xlfn.XLOOKUP(C264,'00_SKU_Master'!$B$2:$B$378,'00_SKU_Master'!$F$2:$F$378,0)*AB264,"")</f>
        <v/>
      </c>
      <c r="H262" s="586">
        <f>_xludf.IFNA(_xlfn.XLOOKUP(C264,'00_SKU_Master'!$B$2:$B$378,'00_SKU_Master'!$F$2:$F$378,0)*AC264,"")</f>
        <v/>
      </c>
      <c r="I262" s="586">
        <f>_xludf.IFNA(_xlfn.XLOOKUP(C264,'00_SKU_Master'!$B$2:$B$378,'00_SKU_Master'!$F$2:$F$378,0)*AD264,"")</f>
        <v/>
      </c>
      <c r="J262" s="586">
        <f>_xludf.IFNA(_xlfn.XLOOKUP(C264,'00_SKU_Master'!$B$2:$B$378,'00_SKU_Master'!$F$2:$F$378,0)*AE264,"")</f>
        <v/>
      </c>
      <c r="K262" s="587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90">
        <f>_xludf.IFNA(D264/_xlfn.XLOOKUP($M264,'00_SKU_Master'!$B$2:$B$378,'00_SKU_Master'!$M$2:$M$378,0)/$M$2,"0")</f>
        <v/>
      </c>
      <c r="O262" s="590">
        <f>_xludf.IFNA(E264/_xlfn.XLOOKUP($M264,'00_SKU_Master'!$B$2:$B$378,'00_SKU_Master'!$M$2:$M$378,0)/$M$2,"0")</f>
        <v/>
      </c>
      <c r="P262" s="590">
        <f>_xludf.IFNA(F264/_xlfn.XLOOKUP($M264,'00_SKU_Master'!$B$2:$B$378,'00_SKU_Master'!$M$2:$M$378,0)/$M$2,"0")</f>
        <v/>
      </c>
      <c r="Q262" s="590">
        <f>_xludf.IFNA(G264/_xlfn.XLOOKUP($M264,'00_SKU_Master'!$B$2:$B$378,'00_SKU_Master'!$M$2:$M$378,0)/$M$2,"0")</f>
        <v/>
      </c>
      <c r="R262" s="590">
        <f>_xludf.IFNA(H264/_xlfn.XLOOKUP($M264,'00_SKU_Master'!$B$2:$B$378,'00_SKU_Master'!$M$2:$M$378,0)/$M$2,"0")</f>
        <v/>
      </c>
      <c r="S262" s="590">
        <f>_xludf.IFNA(I264/_xlfn.XLOOKUP($M264,'00_SKU_Master'!$B$2:$B$378,'00_SKU_Master'!$M$2:$M$378,0)/$M$2,"0")</f>
        <v/>
      </c>
      <c r="T262" s="590">
        <f>_xludf.IFNA(J264/_xlfn.XLOOKUP($M264,'00_SKU_Master'!$B$2:$B$378,'00_SKU_Master'!$M$2:$M$378,0)/$M$2,"0")</f>
        <v/>
      </c>
      <c r="U262" s="590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88" t="n"/>
      <c r="Z262" s="589" t="n"/>
      <c r="AA262" s="589" t="n"/>
      <c r="AB262" s="589" t="n"/>
      <c r="AC262" s="589" t="n">
        <v>0</v>
      </c>
      <c r="AD262" s="589" t="n">
        <v>0</v>
      </c>
      <c r="AE262" s="589" t="n">
        <v>0</v>
      </c>
      <c r="AF262" s="587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86">
        <f>_xludf.IFNA(_xlfn.XLOOKUP(C265,'00_SKU_Master'!$B$2:$B$378,'00_SKU_Master'!$F$2:$F$378,0)*Y265,"")</f>
        <v/>
      </c>
      <c r="E263" s="586">
        <f>_xludf.IFNA(_xlfn.XLOOKUP(C265,'00_SKU_Master'!$B$2:$B$378,'00_SKU_Master'!$F$2:$F$378,0)*Z265,"")</f>
        <v/>
      </c>
      <c r="F263" s="586">
        <f>_xludf.IFNA(_xlfn.XLOOKUP(C265,'00_SKU_Master'!$B$2:$B$378,'00_SKU_Master'!$F$2:$F$378,0)*AA265,"")</f>
        <v/>
      </c>
      <c r="G263" s="586">
        <f>_xludf.IFNA(_xlfn.XLOOKUP(C265,'00_SKU_Master'!$B$2:$B$378,'00_SKU_Master'!$F$2:$F$378,0)*AB265,"")</f>
        <v/>
      </c>
      <c r="H263" s="586">
        <f>_xludf.IFNA(_xlfn.XLOOKUP(C265,'00_SKU_Master'!$B$2:$B$378,'00_SKU_Master'!$F$2:$F$378,0)*AC265,"")</f>
        <v/>
      </c>
      <c r="I263" s="586">
        <f>_xludf.IFNA(_xlfn.XLOOKUP(C265,'00_SKU_Master'!$B$2:$B$378,'00_SKU_Master'!$F$2:$F$378,0)*AD265,"")</f>
        <v/>
      </c>
      <c r="J263" s="586">
        <f>_xludf.IFNA(_xlfn.XLOOKUP(C265,'00_SKU_Master'!$B$2:$B$378,'00_SKU_Master'!$F$2:$F$378,0)*AE265,"")</f>
        <v/>
      </c>
      <c r="K263" s="587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90">
        <f>_xludf.IFNA(D265/_xlfn.XLOOKUP($M265,'00_SKU_Master'!$B$2:$B$378,'00_SKU_Master'!$M$2:$M$378,0)/$M$2,"0")</f>
        <v/>
      </c>
      <c r="O263" s="590">
        <f>_xludf.IFNA(E265/_xlfn.XLOOKUP($M265,'00_SKU_Master'!$B$2:$B$378,'00_SKU_Master'!$M$2:$M$378,0)/$M$2,"0")</f>
        <v/>
      </c>
      <c r="P263" s="590">
        <f>_xludf.IFNA(F265/_xlfn.XLOOKUP($M265,'00_SKU_Master'!$B$2:$B$378,'00_SKU_Master'!$M$2:$M$378,0)/$M$2,"0")</f>
        <v/>
      </c>
      <c r="Q263" s="590">
        <f>_xludf.IFNA(G265/_xlfn.XLOOKUP($M265,'00_SKU_Master'!$B$2:$B$378,'00_SKU_Master'!$M$2:$M$378,0)/$M$2,"0")</f>
        <v/>
      </c>
      <c r="R263" s="590">
        <f>_xludf.IFNA(H265/_xlfn.XLOOKUP($M265,'00_SKU_Master'!$B$2:$B$378,'00_SKU_Master'!$M$2:$M$378,0)/$M$2,"0")</f>
        <v/>
      </c>
      <c r="S263" s="590">
        <f>_xludf.IFNA(I265/_xlfn.XLOOKUP($M265,'00_SKU_Master'!$B$2:$B$378,'00_SKU_Master'!$M$2:$M$378,0)/$M$2,"0")</f>
        <v/>
      </c>
      <c r="T263" s="590">
        <f>_xludf.IFNA(J265/_xlfn.XLOOKUP($M265,'00_SKU_Master'!$B$2:$B$378,'00_SKU_Master'!$M$2:$M$378,0)/$M$2,"0")</f>
        <v/>
      </c>
      <c r="U263" s="590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88" t="n"/>
      <c r="Z263" s="589" t="n"/>
      <c r="AA263" s="589" t="n"/>
      <c r="AB263" s="589" t="n"/>
      <c r="AC263" s="589" t="n">
        <v>0</v>
      </c>
      <c r="AD263" s="589" t="n">
        <v>0</v>
      </c>
      <c r="AE263" s="589" t="n">
        <v>0</v>
      </c>
      <c r="AF263" s="587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86">
        <f>_xludf.IFNA(_xlfn.XLOOKUP(C266,'00_SKU_Master'!$B$2:$B$378,'00_SKU_Master'!$F$2:$F$378,0)*Y266,"")</f>
        <v/>
      </c>
      <c r="E264" s="586">
        <f>_xludf.IFNA(_xlfn.XLOOKUP(C266,'00_SKU_Master'!$B$2:$B$378,'00_SKU_Master'!$F$2:$F$378,0)*Z266,"")</f>
        <v/>
      </c>
      <c r="F264" s="586">
        <f>_xludf.IFNA(_xlfn.XLOOKUP(C266,'00_SKU_Master'!$B$2:$B$378,'00_SKU_Master'!$F$2:$F$378,0)*AA266,"")</f>
        <v/>
      </c>
      <c r="G264" s="586">
        <f>_xludf.IFNA(_xlfn.XLOOKUP(C266,'00_SKU_Master'!$B$2:$B$378,'00_SKU_Master'!$F$2:$F$378,0)*AB266,"")</f>
        <v/>
      </c>
      <c r="H264" s="586">
        <f>_xludf.IFNA(_xlfn.XLOOKUP(C266,'00_SKU_Master'!$B$2:$B$378,'00_SKU_Master'!$F$2:$F$378,0)*AC266,"")</f>
        <v/>
      </c>
      <c r="I264" s="586">
        <f>_xludf.IFNA(_xlfn.XLOOKUP(C266,'00_SKU_Master'!$B$2:$B$378,'00_SKU_Master'!$F$2:$F$378,0)*AD266,"")</f>
        <v/>
      </c>
      <c r="J264" s="586">
        <f>_xludf.IFNA(_xlfn.XLOOKUP(C266,'00_SKU_Master'!$B$2:$B$378,'00_SKU_Master'!$F$2:$F$378,0)*AE266,"")</f>
        <v/>
      </c>
      <c r="K264" s="587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90">
        <f>_xludf.IFNA(D266/_xlfn.XLOOKUP($M266,'00_SKU_Master'!$B$2:$B$378,'00_SKU_Master'!$M$2:$M$378,0)/$M$2,"0")</f>
        <v/>
      </c>
      <c r="O264" s="590">
        <f>_xludf.IFNA(E266/_xlfn.XLOOKUP($M266,'00_SKU_Master'!$B$2:$B$378,'00_SKU_Master'!$M$2:$M$378,0)/$M$2,"0")</f>
        <v/>
      </c>
      <c r="P264" s="590">
        <f>_xludf.IFNA(F266/_xlfn.XLOOKUP($M266,'00_SKU_Master'!$B$2:$B$378,'00_SKU_Master'!$M$2:$M$378,0)/$M$2,"0")</f>
        <v/>
      </c>
      <c r="Q264" s="590">
        <f>_xludf.IFNA(G266/_xlfn.XLOOKUP($M266,'00_SKU_Master'!$B$2:$B$378,'00_SKU_Master'!$M$2:$M$378,0)/$M$2,"0")</f>
        <v/>
      </c>
      <c r="R264" s="590">
        <f>_xludf.IFNA(H266/_xlfn.XLOOKUP($M266,'00_SKU_Master'!$B$2:$B$378,'00_SKU_Master'!$M$2:$M$378,0)/$M$2,"0")</f>
        <v/>
      </c>
      <c r="S264" s="590">
        <f>_xludf.IFNA(I266/_xlfn.XLOOKUP($M266,'00_SKU_Master'!$B$2:$B$378,'00_SKU_Master'!$M$2:$M$378,0)/$M$2,"0")</f>
        <v/>
      </c>
      <c r="T264" s="590">
        <f>_xludf.IFNA(J266/_xlfn.XLOOKUP($M266,'00_SKU_Master'!$B$2:$B$378,'00_SKU_Master'!$M$2:$M$378,0)/$M$2,"0")</f>
        <v/>
      </c>
      <c r="U264" s="590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88" t="n"/>
      <c r="Z264" s="589" t="n"/>
      <c r="AA264" s="589" t="n"/>
      <c r="AB264" s="589" t="n"/>
      <c r="AC264" s="589" t="n">
        <v>0</v>
      </c>
      <c r="AD264" s="589" t="n">
        <v>0</v>
      </c>
      <c r="AE264" s="589" t="n">
        <v>0</v>
      </c>
      <c r="AF264" s="587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86">
        <f>_xludf.IFNA(_xlfn.XLOOKUP(C267,'00_SKU_Master'!$B$2:$B$378,'00_SKU_Master'!$F$2:$F$378,0)*Y267,"")</f>
        <v/>
      </c>
      <c r="E265" s="586">
        <f>_xludf.IFNA(_xlfn.XLOOKUP(C267,'00_SKU_Master'!$B$2:$B$378,'00_SKU_Master'!$F$2:$F$378,0)*Z267,"")</f>
        <v/>
      </c>
      <c r="F265" s="586">
        <f>_xludf.IFNA(_xlfn.XLOOKUP(C267,'00_SKU_Master'!$B$2:$B$378,'00_SKU_Master'!$F$2:$F$378,0)*AA267,"")</f>
        <v/>
      </c>
      <c r="G265" s="586">
        <f>_xludf.IFNA(_xlfn.XLOOKUP(C267,'00_SKU_Master'!$B$2:$B$378,'00_SKU_Master'!$F$2:$F$378,0)*AB267,"")</f>
        <v/>
      </c>
      <c r="H265" s="586">
        <f>_xludf.IFNA(_xlfn.XLOOKUP(C267,'00_SKU_Master'!$B$2:$B$378,'00_SKU_Master'!$F$2:$F$378,0)*AC267,"")</f>
        <v/>
      </c>
      <c r="I265" s="586">
        <f>_xludf.IFNA(_xlfn.XLOOKUP(C267,'00_SKU_Master'!$B$2:$B$378,'00_SKU_Master'!$F$2:$F$378,0)*AD267,"")</f>
        <v/>
      </c>
      <c r="J265" s="586">
        <f>_xludf.IFNA(_xlfn.XLOOKUP(C267,'00_SKU_Master'!$B$2:$B$378,'00_SKU_Master'!$F$2:$F$378,0)*AE267,"")</f>
        <v/>
      </c>
      <c r="K265" s="587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90">
        <f>_xludf.IFNA(D267/_xlfn.XLOOKUP($M267,'00_SKU_Master'!$B$2:$B$378,'00_SKU_Master'!$M$2:$M$378,0)/$M$2,"0")</f>
        <v/>
      </c>
      <c r="O265" s="590">
        <f>_xludf.IFNA(E267/_xlfn.XLOOKUP($M267,'00_SKU_Master'!$B$2:$B$378,'00_SKU_Master'!$M$2:$M$378,0)/$M$2,"0")</f>
        <v/>
      </c>
      <c r="P265" s="590">
        <f>_xludf.IFNA(F267/_xlfn.XLOOKUP($M267,'00_SKU_Master'!$B$2:$B$378,'00_SKU_Master'!$M$2:$M$378,0)/$M$2,"0")</f>
        <v/>
      </c>
      <c r="Q265" s="590">
        <f>_xludf.IFNA(G267/_xlfn.XLOOKUP($M267,'00_SKU_Master'!$B$2:$B$378,'00_SKU_Master'!$M$2:$M$378,0)/$M$2,"0")</f>
        <v/>
      </c>
      <c r="R265" s="590">
        <f>_xludf.IFNA(H267/_xlfn.XLOOKUP($M267,'00_SKU_Master'!$B$2:$B$378,'00_SKU_Master'!$M$2:$M$378,0)/$M$2,"0")</f>
        <v/>
      </c>
      <c r="S265" s="590">
        <f>_xludf.IFNA(I267/_xlfn.XLOOKUP($M267,'00_SKU_Master'!$B$2:$B$378,'00_SKU_Master'!$M$2:$M$378,0)/$M$2,"0")</f>
        <v/>
      </c>
      <c r="T265" s="590">
        <f>_xludf.IFNA(J267/_xlfn.XLOOKUP($M267,'00_SKU_Master'!$B$2:$B$378,'00_SKU_Master'!$M$2:$M$378,0)/$M$2,"0")</f>
        <v/>
      </c>
      <c r="U265" s="590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88" t="n"/>
      <c r="Z265" s="589" t="n"/>
      <c r="AA265" s="589" t="n"/>
      <c r="AB265" s="589" t="n"/>
      <c r="AC265" s="589" t="n"/>
      <c r="AD265" s="589" t="n"/>
      <c r="AE265" s="589" t="n"/>
      <c r="AF265" s="587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86">
        <f>_xludf.IFNA(_xlfn.XLOOKUP(C268,'00_SKU_Master'!$B$2:$B$378,'00_SKU_Master'!$F$2:$F$378,0)*Y268,"")</f>
        <v/>
      </c>
      <c r="E266" s="586">
        <f>_xludf.IFNA(_xlfn.XLOOKUP(C268,'00_SKU_Master'!$B$2:$B$378,'00_SKU_Master'!$F$2:$F$378,0)*Z268,"")</f>
        <v/>
      </c>
      <c r="F266" s="586">
        <f>_xludf.IFNA(_xlfn.XLOOKUP(C268,'00_SKU_Master'!$B$2:$B$378,'00_SKU_Master'!$F$2:$F$378,0)*AA268,"")</f>
        <v/>
      </c>
      <c r="G266" s="586">
        <f>_xludf.IFNA(_xlfn.XLOOKUP(C268,'00_SKU_Master'!$B$2:$B$378,'00_SKU_Master'!$F$2:$F$378,0)*AB268,"")</f>
        <v/>
      </c>
      <c r="H266" s="586">
        <f>_xludf.IFNA(_xlfn.XLOOKUP(C268,'00_SKU_Master'!$B$2:$B$378,'00_SKU_Master'!$F$2:$F$378,0)*AC268,"")</f>
        <v/>
      </c>
      <c r="I266" s="586">
        <f>_xludf.IFNA(_xlfn.XLOOKUP(C268,'00_SKU_Master'!$B$2:$B$378,'00_SKU_Master'!$F$2:$F$378,0)*AD268,"")</f>
        <v/>
      </c>
      <c r="J266" s="586">
        <f>_xludf.IFNA(_xlfn.XLOOKUP(C268,'00_SKU_Master'!$B$2:$B$378,'00_SKU_Master'!$F$2:$F$378,0)*AE268,"")</f>
        <v/>
      </c>
      <c r="K266" s="587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90">
        <f>_xludf.IFNA(D268/_xlfn.XLOOKUP($M268,'00_SKU_Master'!$B$2:$B$378,'00_SKU_Master'!$M$2:$M$378,0)/$M$2,"0")</f>
        <v/>
      </c>
      <c r="O266" s="590">
        <f>_xludf.IFNA(E268/_xlfn.XLOOKUP($M268,'00_SKU_Master'!$B$2:$B$378,'00_SKU_Master'!$M$2:$M$378,0)/$M$2,"0")</f>
        <v/>
      </c>
      <c r="P266" s="590">
        <f>_xludf.IFNA(F268/_xlfn.XLOOKUP($M268,'00_SKU_Master'!$B$2:$B$378,'00_SKU_Master'!$M$2:$M$378,0)/$M$2,"0")</f>
        <v/>
      </c>
      <c r="Q266" s="590">
        <f>_xludf.IFNA(G268/_xlfn.XLOOKUP($M268,'00_SKU_Master'!$B$2:$B$378,'00_SKU_Master'!$M$2:$M$378,0)/$M$2,"0")</f>
        <v/>
      </c>
      <c r="R266" s="590">
        <f>_xludf.IFNA(H268/_xlfn.XLOOKUP($M268,'00_SKU_Master'!$B$2:$B$378,'00_SKU_Master'!$M$2:$M$378,0)/$M$2,"0")</f>
        <v/>
      </c>
      <c r="S266" s="590">
        <f>_xludf.IFNA(I268/_xlfn.XLOOKUP($M268,'00_SKU_Master'!$B$2:$B$378,'00_SKU_Master'!$M$2:$M$378,0)/$M$2,"0")</f>
        <v/>
      </c>
      <c r="T266" s="590">
        <f>_xludf.IFNA(J268/_xlfn.XLOOKUP($M268,'00_SKU_Master'!$B$2:$B$378,'00_SKU_Master'!$M$2:$M$378,0)/$M$2,"0")</f>
        <v/>
      </c>
      <c r="U266" s="590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88" t="n"/>
      <c r="Z266" s="589" t="n"/>
      <c r="AA266" s="589" t="n"/>
      <c r="AB266" s="589" t="n"/>
      <c r="AC266" s="589" t="n"/>
      <c r="AD266" s="589" t="n"/>
      <c r="AE266" s="589" t="n"/>
      <c r="AF266" s="587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86">
        <f>_xludf.IFNA(_xlfn.XLOOKUP(C269,'00_SKU_Master'!$B$2:$B$378,'00_SKU_Master'!$F$2:$F$378,0)*Y269,"")</f>
        <v/>
      </c>
      <c r="E267" s="586">
        <f>_xludf.IFNA(_xlfn.XLOOKUP(C269,'00_SKU_Master'!$B$2:$B$378,'00_SKU_Master'!$F$2:$F$378,0)*Z269,"")</f>
        <v/>
      </c>
      <c r="F267" s="586">
        <f>_xludf.IFNA(_xlfn.XLOOKUP(C269,'00_SKU_Master'!$B$2:$B$378,'00_SKU_Master'!$F$2:$F$378,0)*AA269,"")</f>
        <v/>
      </c>
      <c r="G267" s="586">
        <f>_xludf.IFNA(_xlfn.XLOOKUP(C269,'00_SKU_Master'!$B$2:$B$378,'00_SKU_Master'!$F$2:$F$378,0)*AB269,"")</f>
        <v/>
      </c>
      <c r="H267" s="586">
        <f>_xludf.IFNA(_xlfn.XLOOKUP(C269,'00_SKU_Master'!$B$2:$B$378,'00_SKU_Master'!$F$2:$F$378,0)*AC269,"")</f>
        <v/>
      </c>
      <c r="I267" s="586">
        <f>_xludf.IFNA(_xlfn.XLOOKUP(C269,'00_SKU_Master'!$B$2:$B$378,'00_SKU_Master'!$F$2:$F$378,0)*AD269,"")</f>
        <v/>
      </c>
      <c r="J267" s="586">
        <f>_xludf.IFNA(_xlfn.XLOOKUP(C269,'00_SKU_Master'!$B$2:$B$378,'00_SKU_Master'!$F$2:$F$378,0)*AE269,"")</f>
        <v/>
      </c>
      <c r="K267" s="587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90">
        <f>_xludf.IFNA(D269/_xlfn.XLOOKUP($M269,'00_SKU_Master'!$B$2:$B$378,'00_SKU_Master'!$M$2:$M$378,0)/$M$2,"0")</f>
        <v/>
      </c>
      <c r="O267" s="590">
        <f>_xludf.IFNA(E269/_xlfn.XLOOKUP($M269,'00_SKU_Master'!$B$2:$B$378,'00_SKU_Master'!$M$2:$M$378,0)/$M$2,"0")</f>
        <v/>
      </c>
      <c r="P267" s="590">
        <f>_xludf.IFNA(F269/_xlfn.XLOOKUP($M269,'00_SKU_Master'!$B$2:$B$378,'00_SKU_Master'!$M$2:$M$378,0)/$M$2,"0")</f>
        <v/>
      </c>
      <c r="Q267" s="590">
        <f>_xludf.IFNA(G269/_xlfn.XLOOKUP($M269,'00_SKU_Master'!$B$2:$B$378,'00_SKU_Master'!$M$2:$M$378,0)/$M$2,"0")</f>
        <v/>
      </c>
      <c r="R267" s="590">
        <f>_xludf.IFNA(H269/_xlfn.XLOOKUP($M269,'00_SKU_Master'!$B$2:$B$378,'00_SKU_Master'!$M$2:$M$378,0)/$M$2,"0")</f>
        <v/>
      </c>
      <c r="S267" s="590">
        <f>_xludf.IFNA(I269/_xlfn.XLOOKUP($M269,'00_SKU_Master'!$B$2:$B$378,'00_SKU_Master'!$M$2:$M$378,0)/$M$2,"0")</f>
        <v/>
      </c>
      <c r="T267" s="590">
        <f>_xludf.IFNA(J269/_xlfn.XLOOKUP($M269,'00_SKU_Master'!$B$2:$B$378,'00_SKU_Master'!$M$2:$M$378,0)/$M$2,"0")</f>
        <v/>
      </c>
      <c r="U267" s="590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88" t="n"/>
      <c r="Z267" s="589" t="n"/>
      <c r="AA267" s="589" t="n"/>
      <c r="AB267" s="589" t="n"/>
      <c r="AC267" s="589" t="n"/>
      <c r="AD267" s="589" t="n"/>
      <c r="AE267" s="589" t="n"/>
      <c r="AF267" s="587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86">
        <f>_xludf.IFNA(_xlfn.XLOOKUP(C270,'00_SKU_Master'!$B$2:$B$378,'00_SKU_Master'!$F$2:$F$378,0)*Y270,"")</f>
        <v/>
      </c>
      <c r="E268" s="586">
        <f>_xludf.IFNA(_xlfn.XLOOKUP(C270,'00_SKU_Master'!$B$2:$B$378,'00_SKU_Master'!$F$2:$F$378,0)*Z270,"")</f>
        <v/>
      </c>
      <c r="F268" s="586">
        <f>_xludf.IFNA(_xlfn.XLOOKUP(C270,'00_SKU_Master'!$B$2:$B$378,'00_SKU_Master'!$F$2:$F$378,0)*AA270,"")</f>
        <v/>
      </c>
      <c r="G268" s="586">
        <f>_xludf.IFNA(_xlfn.XLOOKUP(C270,'00_SKU_Master'!$B$2:$B$378,'00_SKU_Master'!$F$2:$F$378,0)*AB270,"")</f>
        <v/>
      </c>
      <c r="H268" s="586">
        <f>_xludf.IFNA(_xlfn.XLOOKUP(C270,'00_SKU_Master'!$B$2:$B$378,'00_SKU_Master'!$F$2:$F$378,0)*AC270,"")</f>
        <v/>
      </c>
      <c r="I268" s="586">
        <f>_xludf.IFNA(_xlfn.XLOOKUP(C270,'00_SKU_Master'!$B$2:$B$378,'00_SKU_Master'!$F$2:$F$378,0)*AD270,"")</f>
        <v/>
      </c>
      <c r="J268" s="586">
        <f>_xludf.IFNA(_xlfn.XLOOKUP(C270,'00_SKU_Master'!$B$2:$B$378,'00_SKU_Master'!$F$2:$F$378,0)*AE270,"")</f>
        <v/>
      </c>
      <c r="K268" s="587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90">
        <f>_xludf.IFNA(D270/_xlfn.XLOOKUP($M270,'00_SKU_Master'!$B$2:$B$378,'00_SKU_Master'!$M$2:$M$378,0)/$M$2,"0")</f>
        <v/>
      </c>
      <c r="O268" s="590">
        <f>_xludf.IFNA(E270/_xlfn.XLOOKUP($M270,'00_SKU_Master'!$B$2:$B$378,'00_SKU_Master'!$M$2:$M$378,0)/$M$2,"0")</f>
        <v/>
      </c>
      <c r="P268" s="590">
        <f>_xludf.IFNA(F270/_xlfn.XLOOKUP($M270,'00_SKU_Master'!$B$2:$B$378,'00_SKU_Master'!$M$2:$M$378,0)/$M$2,"0")</f>
        <v/>
      </c>
      <c r="Q268" s="590">
        <f>_xludf.IFNA(G270/_xlfn.XLOOKUP($M270,'00_SKU_Master'!$B$2:$B$378,'00_SKU_Master'!$M$2:$M$378,0)/$M$2,"0")</f>
        <v/>
      </c>
      <c r="R268" s="590">
        <f>_xludf.IFNA(H270/_xlfn.XLOOKUP($M270,'00_SKU_Master'!$B$2:$B$378,'00_SKU_Master'!$M$2:$M$378,0)/$M$2,"0")</f>
        <v/>
      </c>
      <c r="S268" s="590">
        <f>_xludf.IFNA(I270/_xlfn.XLOOKUP($M270,'00_SKU_Master'!$B$2:$B$378,'00_SKU_Master'!$M$2:$M$378,0)/$M$2,"0")</f>
        <v/>
      </c>
      <c r="T268" s="590">
        <f>_xludf.IFNA(J270/_xlfn.XLOOKUP($M270,'00_SKU_Master'!$B$2:$B$378,'00_SKU_Master'!$M$2:$M$378,0)/$M$2,"0")</f>
        <v/>
      </c>
      <c r="U268" s="590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88" t="n"/>
      <c r="Z268" s="589" t="n"/>
      <c r="AA268" s="589" t="n"/>
      <c r="AB268" s="589" t="n"/>
      <c r="AC268" s="589" t="n"/>
      <c r="AD268" s="589" t="n"/>
      <c r="AE268" s="589" t="n"/>
      <c r="AF268" s="587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86">
        <f>_xludf.IFNA(_xlfn.XLOOKUP(C271,'00_SKU_Master'!$B$2:$B$378,'00_SKU_Master'!$F$2:$F$378,0)*Y271,"")</f>
        <v/>
      </c>
      <c r="E269" s="586">
        <f>_xludf.IFNA(_xlfn.XLOOKUP(C271,'00_SKU_Master'!$B$2:$B$378,'00_SKU_Master'!$F$2:$F$378,0)*Z271,"")</f>
        <v/>
      </c>
      <c r="F269" s="586">
        <f>_xludf.IFNA(_xlfn.XLOOKUP(C271,'00_SKU_Master'!$B$2:$B$378,'00_SKU_Master'!$F$2:$F$378,0)*AA271,"")</f>
        <v/>
      </c>
      <c r="G269" s="586">
        <f>_xludf.IFNA(_xlfn.XLOOKUP(C271,'00_SKU_Master'!$B$2:$B$378,'00_SKU_Master'!$F$2:$F$378,0)*AB271,"")</f>
        <v/>
      </c>
      <c r="H269" s="586">
        <f>_xludf.IFNA(_xlfn.XLOOKUP(C271,'00_SKU_Master'!$B$2:$B$378,'00_SKU_Master'!$F$2:$F$378,0)*AC271,"")</f>
        <v/>
      </c>
      <c r="I269" s="586">
        <f>_xludf.IFNA(_xlfn.XLOOKUP(C271,'00_SKU_Master'!$B$2:$B$378,'00_SKU_Master'!$F$2:$F$378,0)*AD271,"")</f>
        <v/>
      </c>
      <c r="J269" s="586">
        <f>_xludf.IFNA(_xlfn.XLOOKUP(C271,'00_SKU_Master'!$B$2:$B$378,'00_SKU_Master'!$F$2:$F$378,0)*AE271,"")</f>
        <v/>
      </c>
      <c r="K269" s="587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90">
        <f>_xludf.IFNA(D271/_xlfn.XLOOKUP($M271,'00_SKU_Master'!$B$2:$B$378,'00_SKU_Master'!$M$2:$M$378,0)/$M$2,"0")</f>
        <v/>
      </c>
      <c r="O269" s="590">
        <f>_xludf.IFNA(E271/_xlfn.XLOOKUP($M271,'00_SKU_Master'!$B$2:$B$378,'00_SKU_Master'!$M$2:$M$378,0)/$M$2,"0")</f>
        <v/>
      </c>
      <c r="P269" s="590">
        <f>_xludf.IFNA(F271/_xlfn.XLOOKUP($M271,'00_SKU_Master'!$B$2:$B$378,'00_SKU_Master'!$M$2:$M$378,0)/$M$2,"0")</f>
        <v/>
      </c>
      <c r="Q269" s="590">
        <f>_xludf.IFNA(G271/_xlfn.XLOOKUP($M271,'00_SKU_Master'!$B$2:$B$378,'00_SKU_Master'!$M$2:$M$378,0)/$M$2,"0")</f>
        <v/>
      </c>
      <c r="R269" s="590">
        <f>_xludf.IFNA(H271/_xlfn.XLOOKUP($M271,'00_SKU_Master'!$B$2:$B$378,'00_SKU_Master'!$M$2:$M$378,0)/$M$2,"0")</f>
        <v/>
      </c>
      <c r="S269" s="590">
        <f>_xludf.IFNA(I271/_xlfn.XLOOKUP($M271,'00_SKU_Master'!$B$2:$B$378,'00_SKU_Master'!$M$2:$M$378,0)/$M$2,"0")</f>
        <v/>
      </c>
      <c r="T269" s="590">
        <f>_xludf.IFNA(J271/_xlfn.XLOOKUP($M271,'00_SKU_Master'!$B$2:$B$378,'00_SKU_Master'!$M$2:$M$378,0)/$M$2,"0")</f>
        <v/>
      </c>
      <c r="U269" s="590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88" t="n"/>
      <c r="Z269" s="589" t="n"/>
      <c r="AA269" s="589" t="n"/>
      <c r="AB269" s="589" t="n"/>
      <c r="AC269" s="589" t="n"/>
      <c r="AD269" s="589" t="n"/>
      <c r="AE269" s="589" t="n"/>
      <c r="AF269" s="587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86">
        <f>_xludf.IFNA(_xlfn.XLOOKUP(C272,'00_SKU_Master'!$B$2:$B$378,'00_SKU_Master'!$F$2:$F$378,0)*Y272,"")</f>
        <v/>
      </c>
      <c r="E270" s="586">
        <f>_xludf.IFNA(_xlfn.XLOOKUP(C272,'00_SKU_Master'!$B$2:$B$378,'00_SKU_Master'!$F$2:$F$378,0)*Z272,"")</f>
        <v/>
      </c>
      <c r="F270" s="586">
        <f>_xludf.IFNA(_xlfn.XLOOKUP(C272,'00_SKU_Master'!$B$2:$B$378,'00_SKU_Master'!$F$2:$F$378,0)*AA272,"")</f>
        <v/>
      </c>
      <c r="G270" s="586">
        <f>_xludf.IFNA(_xlfn.XLOOKUP(C272,'00_SKU_Master'!$B$2:$B$378,'00_SKU_Master'!$F$2:$F$378,0)*AB272,"")</f>
        <v/>
      </c>
      <c r="H270" s="586">
        <f>_xludf.IFNA(_xlfn.XLOOKUP(C272,'00_SKU_Master'!$B$2:$B$378,'00_SKU_Master'!$F$2:$F$378,0)*AC272,"")</f>
        <v/>
      </c>
      <c r="I270" s="586">
        <f>_xludf.IFNA(_xlfn.XLOOKUP(C272,'00_SKU_Master'!$B$2:$B$378,'00_SKU_Master'!$F$2:$F$378,0)*AD272,"")</f>
        <v/>
      </c>
      <c r="J270" s="586">
        <f>_xludf.IFNA(_xlfn.XLOOKUP(C272,'00_SKU_Master'!$B$2:$B$378,'00_SKU_Master'!$F$2:$F$378,0)*AE272,"")</f>
        <v/>
      </c>
      <c r="K270" s="587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90">
        <f>_xludf.IFNA(D272/_xlfn.XLOOKUP($M272,'00_SKU_Master'!$B$2:$B$378,'00_SKU_Master'!$M$2:$M$378,0)/$M$2,"0")</f>
        <v/>
      </c>
      <c r="O270" s="590">
        <f>_xludf.IFNA(E272/_xlfn.XLOOKUP($M272,'00_SKU_Master'!$B$2:$B$378,'00_SKU_Master'!$M$2:$M$378,0)/$M$2,"0")</f>
        <v/>
      </c>
      <c r="P270" s="590">
        <f>_xludf.IFNA(F272/_xlfn.XLOOKUP($M272,'00_SKU_Master'!$B$2:$B$378,'00_SKU_Master'!$M$2:$M$378,0)/$M$2,"0")</f>
        <v/>
      </c>
      <c r="Q270" s="590">
        <f>_xludf.IFNA(G272/_xlfn.XLOOKUP($M272,'00_SKU_Master'!$B$2:$B$378,'00_SKU_Master'!$M$2:$M$378,0)/$M$2,"0")</f>
        <v/>
      </c>
      <c r="R270" s="590">
        <f>_xludf.IFNA(H272/_xlfn.XLOOKUP($M272,'00_SKU_Master'!$B$2:$B$378,'00_SKU_Master'!$M$2:$M$378,0)/$M$2,"0")</f>
        <v/>
      </c>
      <c r="S270" s="590">
        <f>_xludf.IFNA(I272/_xlfn.XLOOKUP($M272,'00_SKU_Master'!$B$2:$B$378,'00_SKU_Master'!$M$2:$M$378,0)/$M$2,"0")</f>
        <v/>
      </c>
      <c r="T270" s="590">
        <f>_xludf.IFNA(J272/_xlfn.XLOOKUP($M272,'00_SKU_Master'!$B$2:$B$378,'00_SKU_Master'!$M$2:$M$378,0)/$M$2,"0")</f>
        <v/>
      </c>
      <c r="U270" s="590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88" t="n"/>
      <c r="Z270" s="589" t="n"/>
      <c r="AA270" s="589" t="n"/>
      <c r="AB270" s="589" t="n"/>
      <c r="AC270" s="589" t="n"/>
      <c r="AD270" s="589" t="n"/>
      <c r="AE270" s="589" t="n"/>
      <c r="AF270" s="587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86">
        <f>_xludf.IFNA(_xlfn.XLOOKUP(C273,'00_SKU_Master'!$B$2:$B$378,'00_SKU_Master'!$F$2:$F$378,0)*Y273,"")</f>
        <v/>
      </c>
      <c r="E271" s="586">
        <f>_xludf.IFNA(_xlfn.XLOOKUP(C273,'00_SKU_Master'!$B$2:$B$378,'00_SKU_Master'!$F$2:$F$378,0)*Z273,"")</f>
        <v/>
      </c>
      <c r="F271" s="586">
        <f>_xludf.IFNA(_xlfn.XLOOKUP(C273,'00_SKU_Master'!$B$2:$B$378,'00_SKU_Master'!$F$2:$F$378,0)*AA273,"")</f>
        <v/>
      </c>
      <c r="G271" s="586">
        <f>_xludf.IFNA(_xlfn.XLOOKUP(C273,'00_SKU_Master'!$B$2:$B$378,'00_SKU_Master'!$F$2:$F$378,0)*AB273,"")</f>
        <v/>
      </c>
      <c r="H271" s="586">
        <f>_xludf.IFNA(_xlfn.XLOOKUP(C273,'00_SKU_Master'!$B$2:$B$378,'00_SKU_Master'!$F$2:$F$378,0)*AC273,"")</f>
        <v/>
      </c>
      <c r="I271" s="586">
        <f>_xludf.IFNA(_xlfn.XLOOKUP(C273,'00_SKU_Master'!$B$2:$B$378,'00_SKU_Master'!$F$2:$F$378,0)*AD273,"")</f>
        <v/>
      </c>
      <c r="J271" s="586">
        <f>_xludf.IFNA(_xlfn.XLOOKUP(C273,'00_SKU_Master'!$B$2:$B$378,'00_SKU_Master'!$F$2:$F$378,0)*AE273,"")</f>
        <v/>
      </c>
      <c r="K271" s="587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90">
        <f>_xludf.IFNA(D273/_xlfn.XLOOKUP($M273,'00_SKU_Master'!$B$2:$B$378,'00_SKU_Master'!$M$2:$M$378,0)/$M$2,"0")</f>
        <v/>
      </c>
      <c r="O271" s="590">
        <f>_xludf.IFNA(E273/_xlfn.XLOOKUP($M273,'00_SKU_Master'!$B$2:$B$378,'00_SKU_Master'!$M$2:$M$378,0)/$M$2,"0")</f>
        <v/>
      </c>
      <c r="P271" s="590">
        <f>_xludf.IFNA(F273/_xlfn.XLOOKUP($M273,'00_SKU_Master'!$B$2:$B$378,'00_SKU_Master'!$M$2:$M$378,0)/$M$2,"0")</f>
        <v/>
      </c>
      <c r="Q271" s="590">
        <f>_xludf.IFNA(G273/_xlfn.XLOOKUP($M273,'00_SKU_Master'!$B$2:$B$378,'00_SKU_Master'!$M$2:$M$378,0)/$M$2,"0")</f>
        <v/>
      </c>
      <c r="R271" s="590">
        <f>_xludf.IFNA(H273/_xlfn.XLOOKUP($M273,'00_SKU_Master'!$B$2:$B$378,'00_SKU_Master'!$M$2:$M$378,0)/$M$2,"0")</f>
        <v/>
      </c>
      <c r="S271" s="590">
        <f>_xludf.IFNA(I273/_xlfn.XLOOKUP($M273,'00_SKU_Master'!$B$2:$B$378,'00_SKU_Master'!$M$2:$M$378,0)/$M$2,"0")</f>
        <v/>
      </c>
      <c r="T271" s="590">
        <f>_xludf.IFNA(J273/_xlfn.XLOOKUP($M273,'00_SKU_Master'!$B$2:$B$378,'00_SKU_Master'!$M$2:$M$378,0)/$M$2,"0")</f>
        <v/>
      </c>
      <c r="U271" s="590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88" t="n"/>
      <c r="Z271" s="589" t="n"/>
      <c r="AA271" s="589" t="n"/>
      <c r="AB271" s="589" t="n"/>
      <c r="AC271" s="589" t="n"/>
      <c r="AD271" s="589" t="n"/>
      <c r="AE271" s="589" t="n"/>
      <c r="AF271" s="587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86">
        <f>_xludf.IFNA(_xlfn.XLOOKUP(C274,'00_SKU_Master'!$B$2:$B$378,'00_SKU_Master'!$F$2:$F$378,0)*Y274,"")</f>
        <v/>
      </c>
      <c r="E272" s="586">
        <f>_xludf.IFNA(_xlfn.XLOOKUP(C274,'00_SKU_Master'!$B$2:$B$378,'00_SKU_Master'!$F$2:$F$378,0)*Z274,"")</f>
        <v/>
      </c>
      <c r="F272" s="586">
        <f>_xludf.IFNA(_xlfn.XLOOKUP(C274,'00_SKU_Master'!$B$2:$B$378,'00_SKU_Master'!$F$2:$F$378,0)*AA274,"")</f>
        <v/>
      </c>
      <c r="G272" s="586">
        <f>_xludf.IFNA(_xlfn.XLOOKUP(C274,'00_SKU_Master'!$B$2:$B$378,'00_SKU_Master'!$F$2:$F$378,0)*AB274,"")</f>
        <v/>
      </c>
      <c r="H272" s="586">
        <f>_xludf.IFNA(_xlfn.XLOOKUP(C274,'00_SKU_Master'!$B$2:$B$378,'00_SKU_Master'!$F$2:$F$378,0)*AC274,"")</f>
        <v/>
      </c>
      <c r="I272" s="586">
        <f>_xludf.IFNA(_xlfn.XLOOKUP(C274,'00_SKU_Master'!$B$2:$B$378,'00_SKU_Master'!$F$2:$F$378,0)*AD274,"")</f>
        <v/>
      </c>
      <c r="J272" s="586">
        <f>_xludf.IFNA(_xlfn.XLOOKUP(C274,'00_SKU_Master'!$B$2:$B$378,'00_SKU_Master'!$F$2:$F$378,0)*AE274,"")</f>
        <v/>
      </c>
      <c r="K272" s="587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90">
        <f>_xludf.IFNA(D274/_xlfn.XLOOKUP($M274,'00_SKU_Master'!$B$2:$B$378,'00_SKU_Master'!$M$2:$M$378,0)/$M$2,"0")</f>
        <v/>
      </c>
      <c r="O272" s="590">
        <f>_xludf.IFNA(E274/_xlfn.XLOOKUP($M274,'00_SKU_Master'!$B$2:$B$378,'00_SKU_Master'!$M$2:$M$378,0)/$M$2,"0")</f>
        <v/>
      </c>
      <c r="P272" s="590">
        <f>_xludf.IFNA(F274/_xlfn.XLOOKUP($M274,'00_SKU_Master'!$B$2:$B$378,'00_SKU_Master'!$M$2:$M$378,0)/$M$2,"0")</f>
        <v/>
      </c>
      <c r="Q272" s="590">
        <f>_xludf.IFNA(G274/_xlfn.XLOOKUP($M274,'00_SKU_Master'!$B$2:$B$378,'00_SKU_Master'!$M$2:$M$378,0)/$M$2,"0")</f>
        <v/>
      </c>
      <c r="R272" s="590">
        <f>_xludf.IFNA(H274/_xlfn.XLOOKUP($M274,'00_SKU_Master'!$B$2:$B$378,'00_SKU_Master'!$M$2:$M$378,0)/$M$2,"0")</f>
        <v/>
      </c>
      <c r="S272" s="590">
        <f>_xludf.IFNA(I274/_xlfn.XLOOKUP($M274,'00_SKU_Master'!$B$2:$B$378,'00_SKU_Master'!$M$2:$M$378,0)/$M$2,"0")</f>
        <v/>
      </c>
      <c r="T272" s="590">
        <f>_xludf.IFNA(J274/_xlfn.XLOOKUP($M274,'00_SKU_Master'!$B$2:$B$378,'00_SKU_Master'!$M$2:$M$378,0)/$M$2,"0")</f>
        <v/>
      </c>
      <c r="U272" s="590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91" t="n"/>
      <c r="Z272" s="592" t="n"/>
      <c r="AA272" s="592" t="n"/>
      <c r="AB272" s="592" t="n"/>
      <c r="AC272" s="592" t="n"/>
      <c r="AD272" s="592" t="n"/>
      <c r="AE272" s="592" t="n"/>
      <c r="AF272" s="593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2026-01-02T01:01:46Z</dcterms:modified>
  <cp:lastModifiedBy>Ying Sun</cp:lastModifiedBy>
</cp:coreProperties>
</file>